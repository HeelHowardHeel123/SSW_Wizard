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comments8.xml" ContentType="application/vnd.openxmlformats-officedocument.spreadsheetml.comments+xml"/>
  <Override PartName="/xl/threadedComments/threadedComment7.xml" ContentType="application/vnd.ms-excel.threadedcomments+xml"/>
  <Override PartName="/xl/comments9.xml" ContentType="application/vnd.openxmlformats-officedocument.spreadsheetml.comments+xml"/>
  <Override PartName="/xl/threadedComments/threadedComment8.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tpcus808.sharepoint.com/sites/DataEntryAutomation/Shared Documents/New Automation Documents/Templates/"/>
    </mc:Choice>
  </mc:AlternateContent>
  <xr:revisionPtr revIDLastSave="31" documentId="13_ncr:1_{AA88CD5F-CAE5-46E4-A04E-D7A1DF7B0F6B}" xr6:coauthVersionLast="47" xr6:coauthVersionMax="47" xr10:uidLastSave="{9DE4744F-9408-49C5-AD2D-DB932248E5FD}"/>
  <bookViews>
    <workbookView xWindow="-108" yWindow="-108" windowWidth="23256" windowHeight="13896" tabRatio="716" firstSheet="6" activeTab="6" xr2:uid="{00000000-000D-0000-FFFF-FFFF00000000}"/>
  </bookViews>
  <sheets>
    <sheet name="Guidelines" sheetId="46" r:id="rId1"/>
    <sheet name="Comm Summary (O-O,N-O)" sheetId="43" r:id="rId2"/>
    <sheet name="Comm Summary (A-O)" sheetId="45" r:id="rId3"/>
    <sheet name="Comm Summary (L-L, L-O)" sheetId="34" r:id="rId4"/>
    <sheet name="Billings" sheetId="24" r:id="rId5"/>
    <sheet name="Residency - Callsheet" sheetId="49" r:id="rId6"/>
    <sheet name="Crew Payroll" sheetId="17" r:id="rId7"/>
    <sheet name="AICP Bid" sheetId="50" r:id="rId8"/>
    <sheet name="PO Log" sheetId="51" r:id="rId9"/>
    <sheet name="ProdCo Sub-Vendors" sheetId="2" r:id="rId10"/>
    <sheet name="Prod - Petty Cash" sheetId="3" r:id="rId11"/>
    <sheet name="Talent &amp; Extras" sheetId="23" r:id="rId12"/>
    <sheet name="Agency Hours" sheetId="25" r:id="rId13"/>
    <sheet name="Agency Job Description" sheetId="48" r:id="rId14"/>
    <sheet name="Agency Sub-Vendors" sheetId="27" r:id="rId15"/>
    <sheet name="Loan Out Withholding" sheetId="47" r:id="rId16"/>
  </sheets>
  <definedNames>
    <definedName name="_xlnm._FilterDatabase" localSheetId="14">'Agency Sub-Vendors'!$B$7:$T$40</definedName>
    <definedName name="_xlnm._FilterDatabase" localSheetId="4">Billings!$B$7:$S$22</definedName>
    <definedName name="_xlnm._FilterDatabase" localSheetId="6" hidden="1">'Crew Payroll'!$B$8:$BQ$41</definedName>
    <definedName name="_xlnm._FilterDatabase" localSheetId="10" hidden="1">'Prod - Petty Cash'!$B$7:$V$29</definedName>
    <definedName name="_xlnm._FilterDatabase" localSheetId="9">'ProdCo Sub-Vendors'!$B$7:$U$40</definedName>
    <definedName name="_xlnm._FilterDatabase" localSheetId="11" hidden="1">'Talent &amp; Extras'!$B$8:$AP$59</definedName>
    <definedName name="OLE_LINK1" localSheetId="15">#REF!</definedName>
    <definedName name="OLE_LINK1">#REF!</definedName>
    <definedName name="_xlnm.Print_Area" localSheetId="11">'Talent &amp; Extras'!$B$1:$AI$59</definedName>
    <definedName name="rngCeilingAm">#REF!</definedName>
    <definedName name="rngCeilingCnt">#REF!</definedName>
    <definedName name="rngCeilingVal">#REF!</definedName>
    <definedName name="rngFloorAm">#REF!</definedName>
    <definedName name="rngFloorCnt">#REF!</definedName>
    <definedName name="rngFloorVal">#REF!</definedName>
    <definedName name="rngMaximum">#REF!</definedName>
    <definedName name="rngMinimum">#REF!</definedName>
    <definedName name="rngNegCnt">#REF!</definedName>
    <definedName name="rngNegVal">#REF!</definedName>
    <definedName name="rngRecInDwnld">#REF!</definedName>
    <definedName name="rngRecInDwnldVal">#REF!</definedName>
    <definedName name="rngSmpSz1">#REF!</definedName>
    <definedName name="rngSmpSz2">#REF!</definedName>
    <definedName name="rngSmpSz3">#REF!</definedName>
    <definedName name="rngSmpSz4">#REF!</definedName>
    <definedName name="rngSmpSz5">#REF!</definedName>
    <definedName name="rngSmpSz6">#REF!</definedName>
    <definedName name="rngStr1BrkVal">#REF!</definedName>
    <definedName name="rngStr2BrkVal">#REF!</definedName>
    <definedName name="rngStr3BrkVal">#REF!</definedName>
    <definedName name="rngStr4BrkVal">#REF!</definedName>
    <definedName name="rngStr5BrkVal">#REF!</definedName>
    <definedName name="rngUnitsSmpCnt">#REF!</definedName>
    <definedName name="rngUnitsSmpVal">#REF!</definedName>
    <definedName name="rngUnSz1">#REF!</definedName>
    <definedName name="rngUnSz1Val">#REF!</definedName>
    <definedName name="rngUnSz2">#REF!</definedName>
    <definedName name="rngUnSz2Val">#REF!</definedName>
    <definedName name="rngUnSz3">#REF!</definedName>
    <definedName name="rngUnSz3Val">#REF!</definedName>
    <definedName name="rngUnSz4">#REF!</definedName>
    <definedName name="rngUnSz4Val">#REF!</definedName>
    <definedName name="rngUnSz5">#REF!</definedName>
    <definedName name="rngUnSz5Val">#REF!</definedName>
    <definedName name="rngUnSz6">#REF!</definedName>
    <definedName name="rngUnSz6Val">#REF!</definedName>
    <definedName name="Z_064F1E00_4E44_40D8_9D84_C13C3FC17883_.wvu.Cols" localSheetId="6" hidden="1">'Crew Payroll'!$E:$E</definedName>
    <definedName name="Z_064F1E00_4E44_40D8_9D84_C13C3FC17883_.wvu.Cols" localSheetId="10" hidden="1">'Prod - Petty Cash'!#REF!,'Prod - Petty Cash'!#REF!</definedName>
    <definedName name="Z_064F1E00_4E44_40D8_9D84_C13C3FC17883_.wvu.FilterData" localSheetId="14" hidden="1">'Agency Sub-Vendors'!$B$7:$T$33</definedName>
    <definedName name="Z_064F1E00_4E44_40D8_9D84_C13C3FC17883_.wvu.FilterData" localSheetId="6" hidden="1">'Crew Payroll'!$B$8:$BC$43</definedName>
    <definedName name="Z_064F1E00_4E44_40D8_9D84_C13C3FC17883_.wvu.FilterData" localSheetId="10" hidden="1">'Prod - Petty Cash'!$B$7:$V$29</definedName>
    <definedName name="Z_064F1E00_4E44_40D8_9D84_C13C3FC17883_.wvu.FilterData" localSheetId="9" hidden="1">'ProdCo Sub-Vendors'!$B$7:$U$33</definedName>
    <definedName name="Z_064F1E00_4E44_40D8_9D84_C13C3FC17883_.wvu.FilterData" localSheetId="11" hidden="1">'Talent &amp; Extras'!$B$8:$AK$59</definedName>
    <definedName name="Z_14C8854E_48EC_4FF0_8495_678A66A79974_.wvu.Cols" localSheetId="6" hidden="1">'Crew Payroll'!$E:$E</definedName>
    <definedName name="Z_14C8854E_48EC_4FF0_8495_678A66A79974_.wvu.Cols" localSheetId="10" hidden="1">'Prod - Petty Cash'!#REF!,'Prod - Petty Cash'!#REF!</definedName>
    <definedName name="Z_14C8854E_48EC_4FF0_8495_678A66A79974_.wvu.FilterData" localSheetId="14" hidden="1">'Agency Sub-Vendors'!$B$7:$T$33</definedName>
    <definedName name="Z_14C8854E_48EC_4FF0_8495_678A66A79974_.wvu.FilterData" localSheetId="6" hidden="1">'Crew Payroll'!$B$8:$BC$43</definedName>
    <definedName name="Z_14C8854E_48EC_4FF0_8495_678A66A79974_.wvu.FilterData" localSheetId="10" hidden="1">'Prod - Petty Cash'!$B$7:$V$29</definedName>
    <definedName name="Z_14C8854E_48EC_4FF0_8495_678A66A79974_.wvu.FilterData" localSheetId="9" hidden="1">'ProdCo Sub-Vendors'!$B$7:$U$33</definedName>
    <definedName name="Z_14C8854E_48EC_4FF0_8495_678A66A79974_.wvu.FilterData" localSheetId="11" hidden="1">'Talent &amp; Extras'!$B$8:$AK$59</definedName>
  </definedNames>
  <calcPr calcId="191028"/>
  <customWorkbookViews>
    <customWorkbookView name="John Ryan - Personal View" guid="{064F1E00-4E44-40D8-9D84-C13C3FC17883}" mergeInterval="0" changesSavedWin="1" personalView="1" maximized="1" windowWidth="1676" windowHeight="805" activeSheetId="6"/>
    <customWorkbookView name="Tina Dankova - Personal View" guid="{14C8854E-48EC-4FF0-8495-678A66A79974}" mergeInterval="0" personalView="1" maximized="1" windowWidth="1676" windowHeight="825"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9" i="17" l="1"/>
  <c r="AI38" i="17"/>
  <c r="AI37" i="17"/>
  <c r="AI36" i="17"/>
  <c r="AI35" i="17"/>
  <c r="AI34" i="17"/>
  <c r="AI33" i="17"/>
  <c r="AI32" i="17"/>
  <c r="AI31" i="17"/>
  <c r="AI30" i="17"/>
  <c r="AI29" i="17"/>
  <c r="AI28" i="17"/>
  <c r="AI27" i="17"/>
  <c r="AI26" i="17"/>
  <c r="AI25" i="17"/>
  <c r="AI24" i="17"/>
  <c r="AI23" i="17"/>
  <c r="AI22" i="17"/>
  <c r="AI21" i="17"/>
  <c r="AI20" i="17"/>
  <c r="AI19" i="17"/>
  <c r="AI18" i="17"/>
  <c r="AI17" i="17"/>
  <c r="AI16" i="17"/>
  <c r="AI15" i="17"/>
  <c r="AI14" i="17"/>
  <c r="AI13" i="17"/>
  <c r="AI12" i="17"/>
  <c r="AI11" i="17"/>
  <c r="AI10" i="17"/>
  <c r="AH45" i="17"/>
  <c r="AH42" i="17"/>
  <c r="T58" i="23" l="1"/>
  <c r="T57" i="23"/>
  <c r="T56" i="23"/>
  <c r="T55" i="23"/>
  <c r="T54" i="23"/>
  <c r="T53" i="23"/>
  <c r="T52" i="23"/>
  <c r="T51" i="23"/>
  <c r="T50" i="23"/>
  <c r="T49" i="23"/>
  <c r="T48" i="23"/>
  <c r="T47" i="23"/>
  <c r="T46" i="23"/>
  <c r="T45" i="23"/>
  <c r="T44" i="23"/>
  <c r="T43" i="23"/>
  <c r="T42" i="23"/>
  <c r="T41" i="23"/>
  <c r="T40" i="23"/>
  <c r="T39" i="23"/>
  <c r="T38" i="23"/>
  <c r="T37" i="23"/>
  <c r="T36" i="23"/>
  <c r="T35" i="23"/>
  <c r="T34" i="23"/>
  <c r="T33" i="23"/>
  <c r="T32" i="23"/>
  <c r="T31" i="23"/>
  <c r="T30" i="23"/>
  <c r="T29" i="23"/>
  <c r="T28" i="23"/>
  <c r="T27" i="23"/>
  <c r="T26" i="23"/>
  <c r="T25" i="23"/>
  <c r="T24" i="23"/>
  <c r="T23" i="23"/>
  <c r="T22" i="23"/>
  <c r="T21" i="23"/>
  <c r="T20" i="23"/>
  <c r="T19" i="23"/>
  <c r="T18" i="23"/>
  <c r="T17" i="23"/>
  <c r="T16" i="23"/>
  <c r="T15" i="23"/>
  <c r="T14" i="23"/>
  <c r="T13" i="23"/>
  <c r="T12" i="23"/>
  <c r="T11" i="23"/>
  <c r="T10" i="23"/>
  <c r="S63" i="23"/>
  <c r="S60" i="23"/>
  <c r="AJ45" i="17"/>
  <c r="AJ42" i="17"/>
  <c r="AI45" i="17"/>
  <c r="AI42" i="17"/>
  <c r="AE39" i="17"/>
  <c r="AE38" i="17"/>
  <c r="AE37" i="17"/>
  <c r="AE36" i="17"/>
  <c r="AE35" i="17"/>
  <c r="AE34" i="17"/>
  <c r="AE33" i="17"/>
  <c r="AE32" i="17"/>
  <c r="AE31" i="17"/>
  <c r="AE30" i="17"/>
  <c r="AE29" i="17"/>
  <c r="AE28" i="17"/>
  <c r="AE27" i="17"/>
  <c r="AE26" i="17"/>
  <c r="AE25" i="17"/>
  <c r="AE24" i="17"/>
  <c r="AE23" i="17"/>
  <c r="AE22" i="17"/>
  <c r="AE21" i="17"/>
  <c r="AE20" i="17"/>
  <c r="AE19" i="17"/>
  <c r="AE18" i="17"/>
  <c r="AE17" i="17"/>
  <c r="AE16" i="17"/>
  <c r="AE15" i="17"/>
  <c r="AE14" i="17"/>
  <c r="AE13" i="17"/>
  <c r="AE12" i="17"/>
  <c r="AE11" i="17"/>
  <c r="AE10" i="17"/>
  <c r="AD45" i="17"/>
  <c r="AD42" i="17"/>
  <c r="C69" i="23"/>
  <c r="Q69" i="23"/>
  <c r="K82" i="34"/>
  <c r="K84" i="34"/>
  <c r="L60" i="45"/>
  <c r="K78" i="34" l="1"/>
  <c r="K95" i="45"/>
  <c r="K93" i="45"/>
  <c r="K93" i="43"/>
  <c r="K91" i="43"/>
  <c r="AI23" i="24" l="1"/>
  <c r="AI22" i="24"/>
  <c r="AI21" i="24"/>
  <c r="AI20" i="24"/>
  <c r="AI19" i="24"/>
  <c r="AI18" i="24"/>
  <c r="AI17" i="24"/>
  <c r="AI16" i="24"/>
  <c r="AI15" i="24"/>
  <c r="AI14" i="24"/>
  <c r="AI13" i="24"/>
  <c r="AI12" i="24"/>
  <c r="AI11" i="24"/>
  <c r="AI10" i="24"/>
  <c r="AI9" i="24"/>
  <c r="AI8" i="24"/>
  <c r="BN11" i="17"/>
  <c r="BN12" i="17"/>
  <c r="BN13" i="17"/>
  <c r="BN14" i="17"/>
  <c r="BN15" i="17"/>
  <c r="BN16" i="17"/>
  <c r="BN17" i="17"/>
  <c r="BN18" i="17"/>
  <c r="BN19" i="17"/>
  <c r="BN20" i="17"/>
  <c r="BN21" i="17"/>
  <c r="BN22" i="17"/>
  <c r="BN23" i="17"/>
  <c r="BN24" i="17"/>
  <c r="BN25" i="17"/>
  <c r="BN26" i="17"/>
  <c r="BN27" i="17"/>
  <c r="BN28" i="17"/>
  <c r="BN29" i="17"/>
  <c r="BN30" i="17"/>
  <c r="BN31" i="17"/>
  <c r="BN32" i="17"/>
  <c r="BN33" i="17"/>
  <c r="BN34" i="17"/>
  <c r="BN35" i="17"/>
  <c r="BN36" i="17"/>
  <c r="BN37" i="17"/>
  <c r="BN38" i="17"/>
  <c r="BN39" i="17"/>
  <c r="BN40" i="17"/>
  <c r="BN41" i="17"/>
  <c r="AA25" i="25"/>
  <c r="AA26" i="25"/>
  <c r="AA27" i="25"/>
  <c r="AA28" i="25"/>
  <c r="AA29" i="25"/>
  <c r="AA30" i="25"/>
  <c r="AA31" i="25"/>
  <c r="AA32" i="25"/>
  <c r="AA33" i="25"/>
  <c r="AA34" i="25"/>
  <c r="AA24" i="25"/>
  <c r="AA23" i="25"/>
  <c r="AA22" i="25"/>
  <c r="AA21" i="25"/>
  <c r="AA20" i="25"/>
  <c r="AA19" i="25"/>
  <c r="AA18" i="25"/>
  <c r="AA10" i="25"/>
  <c r="AA11" i="25"/>
  <c r="AA12" i="25"/>
  <c r="AA13" i="25"/>
  <c r="AA14" i="25"/>
  <c r="AA15" i="25"/>
  <c r="AA16" i="25"/>
  <c r="AA17" i="25"/>
  <c r="AA9" i="25"/>
  <c r="P45" i="17"/>
  <c r="P42" i="17"/>
  <c r="O45" i="17"/>
  <c r="O42" i="17"/>
  <c r="Q68" i="43"/>
  <c r="O69" i="45"/>
  <c r="Q69" i="45"/>
  <c r="O60" i="34"/>
  <c r="Q60" i="34"/>
  <c r="R55" i="45"/>
  <c r="R67" i="45"/>
  <c r="P60" i="45"/>
  <c r="R60" i="45"/>
  <c r="J75" i="34"/>
  <c r="J86" i="45"/>
  <c r="J84" i="43"/>
  <c r="O68" i="43"/>
  <c r="N88" i="43" a="1"/>
  <c r="N88" i="43" s="1"/>
  <c r="J78" i="34"/>
  <c r="R80" i="34"/>
  <c r="K72" i="34"/>
  <c r="L72" i="34" s="1"/>
  <c r="M72" i="34" s="1" a="1"/>
  <c r="M72" i="34" s="1"/>
  <c r="L71" i="34"/>
  <c r="M71" i="34" s="1" a="1"/>
  <c r="M71" i="34" s="1"/>
  <c r="N100" i="43" a="1"/>
  <c r="N100" i="43" s="1"/>
  <c r="J87" i="43"/>
  <c r="J88" i="43" s="1"/>
  <c r="L80" i="43"/>
  <c r="M80" i="43" s="1" a="1"/>
  <c r="M80" i="43" s="1"/>
  <c r="L79" i="43"/>
  <c r="M79" i="43" s="1" a="1"/>
  <c r="M79" i="43" s="1"/>
  <c r="J89" i="45"/>
  <c r="J90" i="45" s="1"/>
  <c r="L58" i="34"/>
  <c r="K73" i="34" s="1"/>
  <c r="L73" i="34" s="1"/>
  <c r="M73" i="34" s="1" a="1"/>
  <c r="M73" i="34" s="1"/>
  <c r="P55" i="34"/>
  <c r="R55" i="34"/>
  <c r="R54" i="34"/>
  <c r="R63" i="34"/>
  <c r="R62" i="34"/>
  <c r="R61" i="34"/>
  <c r="R58" i="34"/>
  <c r="R57" i="34"/>
  <c r="R56" i="34"/>
  <c r="R66" i="45"/>
  <c r="R65" i="45"/>
  <c r="R63" i="45"/>
  <c r="R62" i="45"/>
  <c r="R61" i="45"/>
  <c r="R58" i="45"/>
  <c r="R57" i="45"/>
  <c r="R56" i="45"/>
  <c r="R54" i="45"/>
  <c r="R72" i="45"/>
  <c r="R71" i="45"/>
  <c r="R70" i="45"/>
  <c r="L81" i="45"/>
  <c r="M81" i="45" s="1" a="1"/>
  <c r="M81" i="45" s="1"/>
  <c r="L82" i="45"/>
  <c r="M82" i="45" s="1" a="1"/>
  <c r="M82" i="45" s="1"/>
  <c r="R66" i="43"/>
  <c r="R65" i="43"/>
  <c r="P65" i="43"/>
  <c r="R71" i="43"/>
  <c r="R70" i="43"/>
  <c r="R69" i="43"/>
  <c r="R64" i="43"/>
  <c r="R63" i="43"/>
  <c r="R62" i="43"/>
  <c r="R61" i="43"/>
  <c r="R60" i="43"/>
  <c r="R58" i="43"/>
  <c r="R57" i="43"/>
  <c r="R56" i="43"/>
  <c r="R55" i="43"/>
  <c r="R54" i="43"/>
  <c r="R60" i="34" l="1"/>
  <c r="R69" i="45"/>
  <c r="R68" i="43"/>
  <c r="P58" i="34"/>
  <c r="J79" i="34"/>
  <c r="J80" i="34" s="1"/>
  <c r="J85" i="34" s="1"/>
  <c r="J89" i="43"/>
  <c r="J94" i="43" s="1"/>
  <c r="J91" i="45"/>
  <c r="L66" i="43"/>
  <c r="L67" i="45"/>
  <c r="P67" i="45" s="1"/>
  <c r="AN18" i="25"/>
  <c r="AQ18" i="25" s="1"/>
  <c r="AW14" i="17"/>
  <c r="AW10" i="17"/>
  <c r="AW9" i="17"/>
  <c r="V42" i="45"/>
  <c r="V42" i="43"/>
  <c r="G33" i="24"/>
  <c r="G32" i="24"/>
  <c r="G31" i="24"/>
  <c r="G30" i="24"/>
  <c r="G29" i="24"/>
  <c r="G28" i="24"/>
  <c r="G27" i="24"/>
  <c r="H33" i="24"/>
  <c r="H32" i="24"/>
  <c r="H31" i="24"/>
  <c r="H30" i="24"/>
  <c r="H29" i="24"/>
  <c r="H28" i="24"/>
  <c r="H27" i="24"/>
  <c r="F33" i="24"/>
  <c r="F32" i="24"/>
  <c r="F31" i="24"/>
  <c r="F28" i="24"/>
  <c r="F29" i="24"/>
  <c r="F30" i="24"/>
  <c r="F27" i="24"/>
  <c r="D52" i="34" s="1"/>
  <c r="AJ19" i="24"/>
  <c r="AG19" i="24"/>
  <c r="AF19" i="24"/>
  <c r="AE19" i="24"/>
  <c r="AD19" i="24"/>
  <c r="AC19" i="24"/>
  <c r="AB19" i="24"/>
  <c r="AA19" i="24"/>
  <c r="Z19" i="24"/>
  <c r="AJ18" i="24"/>
  <c r="AG18" i="24"/>
  <c r="AF18" i="24"/>
  <c r="AE18" i="24"/>
  <c r="AD18" i="24"/>
  <c r="AC18" i="24"/>
  <c r="AB18" i="24"/>
  <c r="AA18" i="24"/>
  <c r="Z18" i="24"/>
  <c r="AJ17" i="24"/>
  <c r="AG17" i="24"/>
  <c r="AF17" i="24"/>
  <c r="AE17" i="24"/>
  <c r="AD17" i="24"/>
  <c r="AC17" i="24"/>
  <c r="AB17" i="24"/>
  <c r="AA17" i="24"/>
  <c r="Z17" i="24"/>
  <c r="AJ16" i="24"/>
  <c r="AG16" i="24"/>
  <c r="AF16" i="24"/>
  <c r="AE16" i="24"/>
  <c r="AD16" i="24"/>
  <c r="AC16" i="24"/>
  <c r="AB16" i="24"/>
  <c r="AA16" i="24"/>
  <c r="Z16" i="24"/>
  <c r="J86" i="34" l="1"/>
  <c r="J87" i="34"/>
  <c r="D54" i="45"/>
  <c r="D54" i="34"/>
  <c r="D53" i="43"/>
  <c r="K82" i="43"/>
  <c r="L82" i="43" s="1"/>
  <c r="M82" i="43" s="1" a="1"/>
  <c r="M82" i="43" s="1"/>
  <c r="P66" i="43"/>
  <c r="J95" i="43"/>
  <c r="J96" i="43" s="1"/>
  <c r="P68" i="45"/>
  <c r="K84" i="45"/>
  <c r="L84" i="45" s="1"/>
  <c r="M84" i="45" s="1" a="1"/>
  <c r="M84" i="45" s="1"/>
  <c r="F34" i="24"/>
  <c r="V42" i="34"/>
  <c r="K40" i="34" l="1"/>
  <c r="K40" i="43"/>
  <c r="K40" i="45"/>
  <c r="U41" i="45"/>
  <c r="U41" i="43"/>
  <c r="U41" i="34"/>
  <c r="K48" i="25"/>
  <c r="K47" i="25"/>
  <c r="K46" i="25"/>
  <c r="K45" i="25"/>
  <c r="K44" i="25"/>
  <c r="S49" i="25"/>
  <c r="P31" i="34" s="1"/>
  <c r="R49" i="25"/>
  <c r="Q49" i="25"/>
  <c r="P49" i="25"/>
  <c r="O49" i="25"/>
  <c r="U31" i="34" s="1"/>
  <c r="K43" i="25"/>
  <c r="J48" i="25"/>
  <c r="J47" i="25"/>
  <c r="J46" i="25"/>
  <c r="J45" i="25"/>
  <c r="J44" i="25"/>
  <c r="J43" i="25"/>
  <c r="H44" i="25"/>
  <c r="I44" i="25"/>
  <c r="H45" i="25"/>
  <c r="I45" i="25"/>
  <c r="H46" i="25"/>
  <c r="I46" i="25"/>
  <c r="H47" i="25"/>
  <c r="I47" i="25"/>
  <c r="H48" i="25"/>
  <c r="I48" i="25"/>
  <c r="I43" i="25"/>
  <c r="H43" i="25"/>
  <c r="O35" i="25"/>
  <c r="AN26" i="25"/>
  <c r="AQ26" i="25" s="1"/>
  <c r="AL26" i="25"/>
  <c r="AK26" i="25"/>
  <c r="AJ26" i="25"/>
  <c r="AI26" i="25"/>
  <c r="AH26" i="25"/>
  <c r="AG26" i="25"/>
  <c r="AF26" i="25"/>
  <c r="AN25" i="25"/>
  <c r="AQ25" i="25" s="1"/>
  <c r="AL25" i="25"/>
  <c r="AK25" i="25"/>
  <c r="AJ25" i="25"/>
  <c r="AI25" i="25"/>
  <c r="AH25" i="25"/>
  <c r="AG25" i="25"/>
  <c r="AF25" i="25"/>
  <c r="AN24" i="25"/>
  <c r="AQ24" i="25" s="1"/>
  <c r="AL24" i="25"/>
  <c r="AK24" i="25"/>
  <c r="AJ24" i="25"/>
  <c r="AI24" i="25"/>
  <c r="AG24" i="25"/>
  <c r="AF24" i="25"/>
  <c r="AH24" i="25"/>
  <c r="AN23" i="25"/>
  <c r="AQ23" i="25" s="1"/>
  <c r="AL23" i="25"/>
  <c r="AK23" i="25"/>
  <c r="AJ23" i="25"/>
  <c r="AI23" i="25"/>
  <c r="AG23" i="25"/>
  <c r="AF23" i="25"/>
  <c r="AH23" i="25"/>
  <c r="AN22" i="25"/>
  <c r="AQ22" i="25" s="1"/>
  <c r="AL22" i="25"/>
  <c r="AK22" i="25"/>
  <c r="AJ22" i="25"/>
  <c r="AI22" i="25"/>
  <c r="AG22" i="25"/>
  <c r="AF22" i="25"/>
  <c r="AH22" i="25"/>
  <c r="AN21" i="25"/>
  <c r="AQ21" i="25" s="1"/>
  <c r="AL21" i="25"/>
  <c r="AK21" i="25"/>
  <c r="AJ21" i="25"/>
  <c r="AI21" i="25"/>
  <c r="AG21" i="25"/>
  <c r="AF21" i="25"/>
  <c r="AH21" i="25"/>
  <c r="AN20" i="25"/>
  <c r="AQ20" i="25" s="1"/>
  <c r="AL20" i="25"/>
  <c r="AK20" i="25"/>
  <c r="AJ20" i="25"/>
  <c r="AI20" i="25"/>
  <c r="AG20" i="25"/>
  <c r="AF20" i="25"/>
  <c r="AH20" i="25"/>
  <c r="T38" i="45" l="1"/>
  <c r="T38" i="43"/>
  <c r="T38" i="34"/>
  <c r="T49" i="25"/>
  <c r="U31" i="43"/>
  <c r="U31" i="45"/>
  <c r="P31" i="43"/>
  <c r="P31" i="45"/>
  <c r="J49" i="25"/>
  <c r="K49" i="25"/>
  <c r="AN34" i="25"/>
  <c r="AQ34" i="25" s="1"/>
  <c r="AL34" i="25"/>
  <c r="AK34" i="25"/>
  <c r="AJ34" i="25"/>
  <c r="AI34" i="25"/>
  <c r="AH34" i="25"/>
  <c r="AG34" i="25"/>
  <c r="AN33" i="25"/>
  <c r="AQ33" i="25" s="1"/>
  <c r="AL33" i="25"/>
  <c r="AK33" i="25"/>
  <c r="AJ33" i="25"/>
  <c r="AI33" i="25"/>
  <c r="AH33" i="25"/>
  <c r="AG33" i="25"/>
  <c r="AN32" i="25"/>
  <c r="AQ32" i="25" s="1"/>
  <c r="AL32" i="25"/>
  <c r="AK32" i="25"/>
  <c r="AJ32" i="25"/>
  <c r="AI32" i="25"/>
  <c r="AG32" i="25"/>
  <c r="AN31" i="25"/>
  <c r="AQ31" i="25" s="1"/>
  <c r="AL31" i="25"/>
  <c r="AK31" i="25"/>
  <c r="AJ31" i="25"/>
  <c r="AI31" i="25"/>
  <c r="AG31" i="25"/>
  <c r="AN30" i="25"/>
  <c r="AQ30" i="25" s="1"/>
  <c r="AL30" i="25"/>
  <c r="AK30" i="25"/>
  <c r="AJ30" i="25"/>
  <c r="AI30" i="25"/>
  <c r="AG30" i="25"/>
  <c r="AN29" i="25"/>
  <c r="AQ29" i="25" s="1"/>
  <c r="AL29" i="25"/>
  <c r="AK29" i="25"/>
  <c r="AJ29" i="25"/>
  <c r="AI29" i="25"/>
  <c r="AG29" i="25"/>
  <c r="AN28" i="25"/>
  <c r="AQ28" i="25" s="1"/>
  <c r="AL28" i="25"/>
  <c r="AK28" i="25"/>
  <c r="AJ28" i="25"/>
  <c r="AI28" i="25"/>
  <c r="AG28" i="25"/>
  <c r="AH32" i="25"/>
  <c r="AH31" i="25"/>
  <c r="S43" i="25"/>
  <c r="R43" i="25"/>
  <c r="Q43" i="25"/>
  <c r="P43" i="25"/>
  <c r="O43" i="25"/>
  <c r="N35" i="25"/>
  <c r="S55" i="25"/>
  <c r="R55" i="25"/>
  <c r="Q55" i="25"/>
  <c r="P55" i="25"/>
  <c r="O55" i="25"/>
  <c r="AH30" i="25"/>
  <c r="AH29" i="25"/>
  <c r="AH28" i="25"/>
  <c r="Y76" i="17"/>
  <c r="Y75" i="17"/>
  <c r="Y74" i="17"/>
  <c r="Y73" i="17"/>
  <c r="Y72" i="17"/>
  <c r="Y71" i="17"/>
  <c r="Y70" i="17"/>
  <c r="Y69" i="17"/>
  <c r="Y68" i="17"/>
  <c r="Y67" i="17"/>
  <c r="Y66" i="17"/>
  <c r="Y65" i="17"/>
  <c r="Y64" i="17"/>
  <c r="Y63" i="17"/>
  <c r="K55" i="27"/>
  <c r="K50" i="27"/>
  <c r="M61" i="27" s="1"/>
  <c r="AO107" i="23"/>
  <c r="AN107" i="23"/>
  <c r="AM107" i="23"/>
  <c r="AL107" i="23"/>
  <c r="AO106" i="23"/>
  <c r="AN106" i="23"/>
  <c r="AM106" i="23"/>
  <c r="AL106" i="23"/>
  <c r="AO105" i="23"/>
  <c r="AN105" i="23"/>
  <c r="AM105" i="23"/>
  <c r="AL105" i="23"/>
  <c r="AO104" i="23"/>
  <c r="AN104" i="23"/>
  <c r="AM104" i="23"/>
  <c r="AL104" i="23"/>
  <c r="AO103" i="23"/>
  <c r="AN103" i="23"/>
  <c r="AM103" i="23"/>
  <c r="AL103" i="23"/>
  <c r="AO102" i="23"/>
  <c r="AN102" i="23"/>
  <c r="AM102" i="23"/>
  <c r="AL102" i="23"/>
  <c r="AO101" i="23"/>
  <c r="AN101" i="23"/>
  <c r="AM101" i="23"/>
  <c r="AL101" i="23"/>
  <c r="AO100" i="23"/>
  <c r="AN100" i="23"/>
  <c r="AM100" i="23"/>
  <c r="AL100" i="23"/>
  <c r="AO99" i="23"/>
  <c r="AN99" i="23"/>
  <c r="AM99" i="23"/>
  <c r="AL99" i="23"/>
  <c r="AO98" i="23"/>
  <c r="AN98" i="23"/>
  <c r="AM98" i="23"/>
  <c r="AL98" i="23"/>
  <c r="AO97" i="23"/>
  <c r="AN97" i="23"/>
  <c r="AM97" i="23"/>
  <c r="AL97" i="23"/>
  <c r="AO96" i="23"/>
  <c r="AN96" i="23"/>
  <c r="AM96" i="23"/>
  <c r="AL96" i="23"/>
  <c r="AO95" i="23"/>
  <c r="AN95" i="23"/>
  <c r="AM95" i="23"/>
  <c r="AL95" i="23"/>
  <c r="AO94" i="23"/>
  <c r="AN94" i="23"/>
  <c r="AM94" i="23"/>
  <c r="AL94" i="23"/>
  <c r="AO93" i="23"/>
  <c r="AN93" i="23"/>
  <c r="AM93" i="23"/>
  <c r="AL93" i="23"/>
  <c r="AO92" i="23"/>
  <c r="AN92" i="23"/>
  <c r="AM92" i="23"/>
  <c r="AL92" i="23"/>
  <c r="AO91" i="23"/>
  <c r="AN91" i="23"/>
  <c r="AM91" i="23"/>
  <c r="AL91" i="23"/>
  <c r="AO90" i="23"/>
  <c r="AN90" i="23"/>
  <c r="AM90" i="23"/>
  <c r="AL90" i="23"/>
  <c r="AK91" i="23"/>
  <c r="AK92" i="23"/>
  <c r="AK93" i="23"/>
  <c r="AK94" i="23"/>
  <c r="AK95" i="23"/>
  <c r="AK96" i="23"/>
  <c r="AK97" i="23"/>
  <c r="AK98" i="23"/>
  <c r="AK99" i="23"/>
  <c r="AK100" i="23"/>
  <c r="AK101" i="23"/>
  <c r="AK102" i="23"/>
  <c r="AK103" i="23"/>
  <c r="AK104" i="23"/>
  <c r="AK105" i="23"/>
  <c r="AK106" i="23"/>
  <c r="AK107" i="23"/>
  <c r="AK90" i="23"/>
  <c r="AL108" i="23" l="1"/>
  <c r="AO108" i="23"/>
  <c r="AN108" i="23"/>
  <c r="AM108" i="23"/>
  <c r="Q61" i="25"/>
  <c r="T50" i="25"/>
  <c r="Q64" i="25"/>
  <c r="P34" i="43"/>
  <c r="P34" i="45"/>
  <c r="P34" i="34"/>
  <c r="T27" i="43"/>
  <c r="T27" i="45"/>
  <c r="T33" i="43"/>
  <c r="T33" i="45"/>
  <c r="T33" i="34"/>
  <c r="Q59" i="25"/>
  <c r="P29" i="45"/>
  <c r="P29" i="43"/>
  <c r="J31" i="45"/>
  <c r="V31" i="45" s="1"/>
  <c r="J31" i="43"/>
  <c r="V31" i="43" s="1"/>
  <c r="J31" i="34"/>
  <c r="V31" i="34" s="1"/>
  <c r="Q65" i="25"/>
  <c r="P35" i="45"/>
  <c r="P35" i="43"/>
  <c r="P35" i="34"/>
  <c r="T26" i="45"/>
  <c r="T26" i="43"/>
  <c r="T26" i="34"/>
  <c r="Q60" i="25"/>
  <c r="T43" i="25"/>
  <c r="Q66" i="25"/>
  <c r="T55" i="25"/>
  <c r="Q58" i="25"/>
  <c r="J50" i="25"/>
  <c r="J51" i="25" s="1"/>
  <c r="Q71" i="25"/>
  <c r="Q72" i="25"/>
  <c r="Q73" i="25"/>
  <c r="Q67" i="25"/>
  <c r="T27" i="34"/>
  <c r="Q70" i="25"/>
  <c r="P28" i="34"/>
  <c r="T107" i="23"/>
  <c r="T106" i="23"/>
  <c r="T105" i="23"/>
  <c r="T104" i="23"/>
  <c r="T103" i="23"/>
  <c r="T102" i="23"/>
  <c r="T101" i="23"/>
  <c r="T100" i="23"/>
  <c r="T99" i="23"/>
  <c r="T98" i="23"/>
  <c r="T97" i="23"/>
  <c r="T96" i="23"/>
  <c r="T95" i="23"/>
  <c r="T94" i="23"/>
  <c r="T93" i="23"/>
  <c r="T92" i="23"/>
  <c r="T91" i="23"/>
  <c r="T90" i="23"/>
  <c r="O107" i="23"/>
  <c r="N107" i="23"/>
  <c r="O106" i="23"/>
  <c r="N106" i="23"/>
  <c r="O105" i="23"/>
  <c r="N105" i="23"/>
  <c r="O104" i="23"/>
  <c r="N104" i="23"/>
  <c r="O103" i="23"/>
  <c r="N103" i="23"/>
  <c r="O102" i="23"/>
  <c r="N102" i="23"/>
  <c r="O101" i="23"/>
  <c r="N101" i="23"/>
  <c r="O100" i="23"/>
  <c r="N100" i="23"/>
  <c r="O99" i="23"/>
  <c r="N99" i="23"/>
  <c r="O98" i="23"/>
  <c r="N98" i="23"/>
  <c r="O97" i="23"/>
  <c r="N97" i="23"/>
  <c r="O96" i="23"/>
  <c r="N96" i="23"/>
  <c r="O95" i="23"/>
  <c r="N95" i="23"/>
  <c r="O94" i="23"/>
  <c r="N94" i="23"/>
  <c r="O93" i="23"/>
  <c r="N93" i="23"/>
  <c r="O92" i="23"/>
  <c r="N92" i="23"/>
  <c r="O91" i="23"/>
  <c r="N91" i="23"/>
  <c r="O90" i="23"/>
  <c r="N90" i="23"/>
  <c r="G71" i="23"/>
  <c r="F71" i="23"/>
  <c r="E71" i="23"/>
  <c r="D71" i="23"/>
  <c r="G70" i="23"/>
  <c r="F70" i="23"/>
  <c r="E70" i="23"/>
  <c r="D70" i="23"/>
  <c r="P22" i="34" s="1"/>
  <c r="G69" i="23"/>
  <c r="F69" i="23"/>
  <c r="E69" i="23"/>
  <c r="D69" i="23"/>
  <c r="M75" i="23"/>
  <c r="H55" i="3"/>
  <c r="H54" i="3"/>
  <c r="H53" i="3"/>
  <c r="H52" i="3"/>
  <c r="H51" i="3"/>
  <c r="H50" i="3"/>
  <c r="H49" i="3"/>
  <c r="H48" i="3"/>
  <c r="H47" i="3"/>
  <c r="H46" i="3"/>
  <c r="H45" i="3"/>
  <c r="H44" i="3"/>
  <c r="H43" i="3"/>
  <c r="H42" i="3"/>
  <c r="H41" i="3"/>
  <c r="H40" i="3"/>
  <c r="H39" i="3"/>
  <c r="H38" i="3"/>
  <c r="N45" i="3"/>
  <c r="L54" i="2"/>
  <c r="T76" i="17"/>
  <c r="T75" i="17"/>
  <c r="T74" i="17"/>
  <c r="T73" i="17"/>
  <c r="T72" i="17"/>
  <c r="T71" i="17"/>
  <c r="T70" i="17"/>
  <c r="T69" i="17"/>
  <c r="T68" i="17"/>
  <c r="T67" i="17"/>
  <c r="T66" i="17"/>
  <c r="T65" i="17"/>
  <c r="S76" i="17"/>
  <c r="S75" i="17"/>
  <c r="S74" i="17"/>
  <c r="S73" i="17"/>
  <c r="S72" i="17"/>
  <c r="S71" i="17"/>
  <c r="S70" i="17"/>
  <c r="S69" i="17"/>
  <c r="S68" i="17"/>
  <c r="U76" i="17"/>
  <c r="U75" i="17"/>
  <c r="U74" i="17"/>
  <c r="U73" i="17"/>
  <c r="U72" i="17"/>
  <c r="U71" i="17"/>
  <c r="U70" i="17"/>
  <c r="U69" i="17"/>
  <c r="U68" i="17"/>
  <c r="U66" i="17"/>
  <c r="U65" i="17"/>
  <c r="U64" i="17"/>
  <c r="U63" i="17"/>
  <c r="G42" i="24"/>
  <c r="G41" i="24"/>
  <c r="G40" i="24"/>
  <c r="F42" i="24"/>
  <c r="F41" i="24"/>
  <c r="F40" i="24"/>
  <c r="E42" i="24"/>
  <c r="E41" i="24"/>
  <c r="E40" i="24"/>
  <c r="AB45" i="17"/>
  <c r="AB42" i="17"/>
  <c r="F72" i="23" l="1"/>
  <c r="O84" i="23" s="1"/>
  <c r="P21" i="43"/>
  <c r="P21" i="45"/>
  <c r="P21" i="34"/>
  <c r="G72" i="23"/>
  <c r="P22" i="45"/>
  <c r="P22" i="43"/>
  <c r="Q62" i="25"/>
  <c r="T44" i="25" s="1"/>
  <c r="Q68" i="25"/>
  <c r="K27" i="43"/>
  <c r="K27" i="45"/>
  <c r="Q27" i="43"/>
  <c r="Q27" i="45"/>
  <c r="K50" i="25"/>
  <c r="P28" i="43"/>
  <c r="P28" i="45"/>
  <c r="Q33" i="43"/>
  <c r="Q33" i="45"/>
  <c r="Q33" i="34"/>
  <c r="BN10" i="17"/>
  <c r="H56" i="3"/>
  <c r="H40" i="24"/>
  <c r="H42" i="24"/>
  <c r="H41" i="24"/>
  <c r="Q74" i="25"/>
  <c r="R74" i="25" s="1"/>
  <c r="V69" i="17"/>
  <c r="V75" i="17"/>
  <c r="V68" i="17"/>
  <c r="V76" i="17"/>
  <c r="V70" i="17"/>
  <c r="V71" i="17"/>
  <c r="V72" i="17"/>
  <c r="V73" i="17"/>
  <c r="V74" i="17"/>
  <c r="T108" i="23"/>
  <c r="F43" i="24"/>
  <c r="K33" i="45" l="1"/>
  <c r="V33" i="45" s="1"/>
  <c r="K33" i="43"/>
  <c r="V33" i="43" s="1"/>
  <c r="R68" i="25"/>
  <c r="K33" i="34"/>
  <c r="V33" i="34" s="1"/>
  <c r="V27" i="43"/>
  <c r="V27" i="45"/>
  <c r="T56" i="25"/>
  <c r="BF41" i="17" l="1"/>
  <c r="BF40" i="17"/>
  <c r="BF39" i="17"/>
  <c r="BF38" i="17"/>
  <c r="BF37" i="17"/>
  <c r="BF36" i="17"/>
  <c r="BF35" i="17"/>
  <c r="BF34" i="17"/>
  <c r="BF33" i="17"/>
  <c r="BF32" i="17"/>
  <c r="BF31" i="17"/>
  <c r="BF30" i="17"/>
  <c r="BF29" i="17"/>
  <c r="BF28" i="17"/>
  <c r="BF27" i="17"/>
  <c r="BF26" i="17"/>
  <c r="BF25" i="17"/>
  <c r="BF24" i="17"/>
  <c r="BF23" i="17"/>
  <c r="BF22" i="17"/>
  <c r="BF21" i="17"/>
  <c r="BF20" i="17"/>
  <c r="BF19" i="17"/>
  <c r="BF18" i="17"/>
  <c r="BF17" i="17"/>
  <c r="BF16" i="17"/>
  <c r="BF15" i="17"/>
  <c r="BF14" i="17"/>
  <c r="BF13" i="17"/>
  <c r="BF12" i="17"/>
  <c r="BF11" i="17"/>
  <c r="BF10" i="17"/>
  <c r="AJ9" i="24"/>
  <c r="AJ10" i="24"/>
  <c r="AJ11" i="24"/>
  <c r="AJ12" i="24"/>
  <c r="AJ13" i="24"/>
  <c r="AJ14" i="24"/>
  <c r="AJ15" i="24"/>
  <c r="AJ20" i="24"/>
  <c r="AJ21" i="24"/>
  <c r="AJ22" i="24"/>
  <c r="AJ23" i="24"/>
  <c r="AJ8" i="24"/>
  <c r="W65" i="17"/>
  <c r="X65" i="17"/>
  <c r="W66" i="17"/>
  <c r="X66" i="17"/>
  <c r="W67" i="17"/>
  <c r="X67" i="17"/>
  <c r="W68" i="17"/>
  <c r="X68" i="17"/>
  <c r="W69" i="17"/>
  <c r="X69" i="17"/>
  <c r="W70" i="17"/>
  <c r="X70" i="17"/>
  <c r="W71" i="17"/>
  <c r="X71" i="17"/>
  <c r="W72" i="17"/>
  <c r="X72" i="17"/>
  <c r="W73" i="17"/>
  <c r="X73" i="17"/>
  <c r="M25" i="24" l="1"/>
  <c r="L25" i="24"/>
  <c r="AW39" i="17" l="1"/>
  <c r="AW38" i="17"/>
  <c r="AW37" i="17"/>
  <c r="AW36" i="17"/>
  <c r="AW35" i="17"/>
  <c r="AW34" i="17"/>
  <c r="AW33" i="17"/>
  <c r="AW32" i="17"/>
  <c r="AW31" i="17"/>
  <c r="AW30" i="17"/>
  <c r="AW29" i="17"/>
  <c r="AW28" i="17"/>
  <c r="AW27" i="17"/>
  <c r="AW26" i="17"/>
  <c r="AW25" i="17"/>
  <c r="AW24" i="17"/>
  <c r="AW23" i="17"/>
  <c r="AW22" i="17"/>
  <c r="AW21" i="17"/>
  <c r="AW20" i="17"/>
  <c r="AW19" i="17"/>
  <c r="AW18" i="17"/>
  <c r="AW17" i="17"/>
  <c r="AW16" i="17"/>
  <c r="AW15" i="17"/>
  <c r="AW13" i="17"/>
  <c r="AW12" i="17"/>
  <c r="AW11" i="17"/>
  <c r="L71" i="45"/>
  <c r="D51" i="45"/>
  <c r="C4" i="45"/>
  <c r="P29" i="34"/>
  <c r="L70" i="43"/>
  <c r="D50" i="43"/>
  <c r="C4" i="43"/>
  <c r="R127" i="23"/>
  <c r="R126" i="23"/>
  <c r="R116" i="23"/>
  <c r="R115" i="23"/>
  <c r="R117" i="23"/>
  <c r="R118" i="23"/>
  <c r="Z107" i="23"/>
  <c r="Y107" i="23"/>
  <c r="X107" i="23"/>
  <c r="Z106" i="23"/>
  <c r="Y106" i="23"/>
  <c r="X106" i="23"/>
  <c r="Z105" i="23"/>
  <c r="Y105" i="23"/>
  <c r="X105" i="23"/>
  <c r="Z104" i="23"/>
  <c r="Y104" i="23"/>
  <c r="X104" i="23"/>
  <c r="Z103" i="23"/>
  <c r="Y103" i="23"/>
  <c r="X103" i="23"/>
  <c r="Z102" i="23"/>
  <c r="Y102" i="23"/>
  <c r="X102" i="23"/>
  <c r="Z101" i="23"/>
  <c r="Y101" i="23"/>
  <c r="X101" i="23"/>
  <c r="Z100" i="23"/>
  <c r="Y100" i="23"/>
  <c r="X100" i="23"/>
  <c r="Z99" i="23"/>
  <c r="Y99" i="23"/>
  <c r="X99" i="23"/>
  <c r="Z98" i="23"/>
  <c r="Y98" i="23"/>
  <c r="X98" i="23"/>
  <c r="Z97" i="23"/>
  <c r="Y97" i="23"/>
  <c r="X97" i="23"/>
  <c r="Z96" i="23"/>
  <c r="Y96" i="23"/>
  <c r="X96" i="23"/>
  <c r="Z95" i="23"/>
  <c r="Y95" i="23"/>
  <c r="X95" i="23"/>
  <c r="Z94" i="23"/>
  <c r="Y94" i="23"/>
  <c r="X94" i="23"/>
  <c r="Z93" i="23"/>
  <c r="Y93" i="23"/>
  <c r="X93" i="23"/>
  <c r="Z92" i="23"/>
  <c r="Y92" i="23"/>
  <c r="X92" i="23"/>
  <c r="Z91" i="23"/>
  <c r="Y91" i="23"/>
  <c r="X91" i="23"/>
  <c r="Z90" i="23"/>
  <c r="Y90" i="23"/>
  <c r="X90" i="23"/>
  <c r="R107" i="23"/>
  <c r="R106" i="23"/>
  <c r="R105" i="23"/>
  <c r="R104" i="23"/>
  <c r="R103" i="23"/>
  <c r="R102" i="23"/>
  <c r="R101" i="23"/>
  <c r="R100" i="23"/>
  <c r="R99" i="23"/>
  <c r="R98" i="23"/>
  <c r="R97" i="23"/>
  <c r="R96" i="23"/>
  <c r="R95" i="23"/>
  <c r="R94" i="23"/>
  <c r="R93" i="23"/>
  <c r="R92" i="23"/>
  <c r="D51" i="34"/>
  <c r="H56" i="24"/>
  <c r="H58" i="24" s="1"/>
  <c r="AE9" i="24"/>
  <c r="AF9" i="24"/>
  <c r="AG9" i="24"/>
  <c r="AE10" i="24"/>
  <c r="AF10" i="24"/>
  <c r="AG10" i="24"/>
  <c r="AE11" i="24"/>
  <c r="AF11" i="24"/>
  <c r="AG11" i="24"/>
  <c r="AE12" i="24"/>
  <c r="AF12" i="24"/>
  <c r="AG12" i="24"/>
  <c r="AE13" i="24"/>
  <c r="AF13" i="24"/>
  <c r="AG13" i="24"/>
  <c r="AE14" i="24"/>
  <c r="AF14" i="24"/>
  <c r="AG14" i="24"/>
  <c r="AE15" i="24"/>
  <c r="AF15" i="24"/>
  <c r="AG15" i="24"/>
  <c r="AE20" i="24"/>
  <c r="AF20" i="24"/>
  <c r="AG20" i="24"/>
  <c r="AE21" i="24"/>
  <c r="AF21" i="24"/>
  <c r="AG21" i="24"/>
  <c r="AE22" i="24"/>
  <c r="AF22" i="24"/>
  <c r="AG22" i="24"/>
  <c r="AE23" i="24"/>
  <c r="AF23" i="24"/>
  <c r="AG23" i="24"/>
  <c r="AG8" i="24"/>
  <c r="AF8" i="24"/>
  <c r="AE8" i="24"/>
  <c r="Z9" i="24"/>
  <c r="AA9" i="24"/>
  <c r="AB9" i="24"/>
  <c r="AC9" i="24"/>
  <c r="AD9" i="24"/>
  <c r="Z10" i="24"/>
  <c r="AA10" i="24"/>
  <c r="AB10" i="24"/>
  <c r="AC10" i="24"/>
  <c r="AD10" i="24"/>
  <c r="Z11" i="24"/>
  <c r="AA11" i="24"/>
  <c r="AB11" i="24"/>
  <c r="AC11" i="24"/>
  <c r="AD11" i="24"/>
  <c r="Z12" i="24"/>
  <c r="AA12" i="24"/>
  <c r="AB12" i="24"/>
  <c r="AC12" i="24"/>
  <c r="AD12" i="24"/>
  <c r="Z13" i="24"/>
  <c r="AA13" i="24"/>
  <c r="AB13" i="24"/>
  <c r="AC13" i="24"/>
  <c r="AD13" i="24"/>
  <c r="Z14" i="24"/>
  <c r="AA14" i="24"/>
  <c r="AB14" i="24"/>
  <c r="AC14" i="24"/>
  <c r="AD14" i="24"/>
  <c r="Z15" i="24"/>
  <c r="AA15" i="24"/>
  <c r="AB15" i="24"/>
  <c r="AC15" i="24"/>
  <c r="AD15" i="24"/>
  <c r="Z20" i="24"/>
  <c r="AA20" i="24"/>
  <c r="AB20" i="24"/>
  <c r="AC20" i="24"/>
  <c r="AD20" i="24"/>
  <c r="Z21" i="24"/>
  <c r="AA21" i="24"/>
  <c r="AB21" i="24"/>
  <c r="AC21" i="24"/>
  <c r="AD21" i="24"/>
  <c r="Z22" i="24"/>
  <c r="AA22" i="24"/>
  <c r="AB22" i="24"/>
  <c r="AC22" i="24"/>
  <c r="AD22" i="24"/>
  <c r="Z23" i="24"/>
  <c r="AA23" i="24"/>
  <c r="AB23" i="24"/>
  <c r="AC23" i="24"/>
  <c r="AD23" i="24"/>
  <c r="AD8" i="24"/>
  <c r="AC8" i="24"/>
  <c r="AB8" i="24"/>
  <c r="AA8" i="24"/>
  <c r="Z8" i="24"/>
  <c r="K68" i="34"/>
  <c r="BC10" i="23"/>
  <c r="AX10" i="23"/>
  <c r="N55" i="27"/>
  <c r="M55" i="27"/>
  <c r="L55" i="27"/>
  <c r="L41" i="27"/>
  <c r="Y10" i="27"/>
  <c r="Z10" i="27"/>
  <c r="AA10" i="27"/>
  <c r="AB10" i="27"/>
  <c r="AC10" i="27"/>
  <c r="AD10" i="27"/>
  <c r="AE10" i="27"/>
  <c r="Y11" i="27"/>
  <c r="Z11" i="27"/>
  <c r="AA11" i="27"/>
  <c r="AB11" i="27"/>
  <c r="AC11" i="27"/>
  <c r="AD11" i="27"/>
  <c r="AE11" i="27"/>
  <c r="Y12" i="27"/>
  <c r="Z12" i="27"/>
  <c r="AA12" i="27"/>
  <c r="AB12" i="27"/>
  <c r="AC12" i="27"/>
  <c r="AD12" i="27"/>
  <c r="AE12" i="27"/>
  <c r="Y13" i="27"/>
  <c r="Z13" i="27"/>
  <c r="AA13" i="27"/>
  <c r="AB13" i="27"/>
  <c r="AC13" i="27"/>
  <c r="AD13" i="27"/>
  <c r="AE13" i="27"/>
  <c r="AF13" i="27"/>
  <c r="Y14" i="27"/>
  <c r="Z14" i="27"/>
  <c r="AA14" i="27"/>
  <c r="AB14" i="27"/>
  <c r="AC14" i="27"/>
  <c r="AD14" i="27"/>
  <c r="AE14" i="27"/>
  <c r="AF14" i="27"/>
  <c r="Y15" i="27"/>
  <c r="Z15" i="27"/>
  <c r="AA15" i="27"/>
  <c r="AB15" i="27"/>
  <c r="AC15" i="27"/>
  <c r="AD15" i="27"/>
  <c r="AE15" i="27"/>
  <c r="AF15" i="27"/>
  <c r="Y16" i="27"/>
  <c r="Z16" i="27"/>
  <c r="AA16" i="27"/>
  <c r="AB16" i="27"/>
  <c r="AC16" i="27"/>
  <c r="AD16" i="27"/>
  <c r="AE16" i="27"/>
  <c r="AF16" i="27"/>
  <c r="Y17" i="27"/>
  <c r="Z17" i="27"/>
  <c r="AA17" i="27"/>
  <c r="AB17" i="27"/>
  <c r="AC17" i="27"/>
  <c r="AD17" i="27"/>
  <c r="AE17" i="27"/>
  <c r="AF17" i="27"/>
  <c r="Y18" i="27"/>
  <c r="Z18" i="27"/>
  <c r="AA18" i="27"/>
  <c r="AB18" i="27"/>
  <c r="AC18" i="27"/>
  <c r="AD18" i="27"/>
  <c r="AE18" i="27"/>
  <c r="AF18" i="27"/>
  <c r="Y19" i="27"/>
  <c r="Z19" i="27"/>
  <c r="AA19" i="27"/>
  <c r="AB19" i="27"/>
  <c r="AC19" i="27"/>
  <c r="AD19" i="27"/>
  <c r="AE19" i="27"/>
  <c r="AF19" i="27"/>
  <c r="Y20" i="27"/>
  <c r="Z20" i="27"/>
  <c r="AA20" i="27"/>
  <c r="AB20" i="27"/>
  <c r="AC20" i="27"/>
  <c r="AD20" i="27"/>
  <c r="AE20" i="27"/>
  <c r="AF20" i="27"/>
  <c r="Y21" i="27"/>
  <c r="Z21" i="27"/>
  <c r="AA21" i="27"/>
  <c r="AB21" i="27"/>
  <c r="AC21" i="27"/>
  <c r="AD21" i="27"/>
  <c r="AE21" i="27"/>
  <c r="AF21" i="27"/>
  <c r="Y22" i="27"/>
  <c r="Z22" i="27"/>
  <c r="AA22" i="27"/>
  <c r="AB22" i="27"/>
  <c r="AC22" i="27"/>
  <c r="AD22" i="27"/>
  <c r="AE22" i="27"/>
  <c r="AF22" i="27"/>
  <c r="Y23" i="27"/>
  <c r="Z23" i="27"/>
  <c r="AA23" i="27"/>
  <c r="AB23" i="27"/>
  <c r="AC23" i="27"/>
  <c r="AD23" i="27"/>
  <c r="AE23" i="27"/>
  <c r="AF23" i="27"/>
  <c r="Y24" i="27"/>
  <c r="Z24" i="27"/>
  <c r="AA24" i="27"/>
  <c r="AB24" i="27"/>
  <c r="AC24" i="27"/>
  <c r="AD24" i="27"/>
  <c r="AE24" i="27"/>
  <c r="AF24" i="27"/>
  <c r="Y25" i="27"/>
  <c r="Z25" i="27"/>
  <c r="AA25" i="27"/>
  <c r="AB25" i="27"/>
  <c r="AC25" i="27"/>
  <c r="AD25" i="27"/>
  <c r="AE25" i="27"/>
  <c r="AF25" i="27"/>
  <c r="Y26" i="27"/>
  <c r="Z26" i="27"/>
  <c r="AA26" i="27"/>
  <c r="AB26" i="27"/>
  <c r="AC26" i="27"/>
  <c r="AD26" i="27"/>
  <c r="AE26" i="27"/>
  <c r="AF26" i="27"/>
  <c r="Y27" i="27"/>
  <c r="Z27" i="27"/>
  <c r="AA27" i="27"/>
  <c r="AB27" i="27"/>
  <c r="AC27" i="27"/>
  <c r="AD27" i="27"/>
  <c r="AE27" i="27"/>
  <c r="AF27" i="27"/>
  <c r="Y28" i="27"/>
  <c r="Z28" i="27"/>
  <c r="AA28" i="27"/>
  <c r="AB28" i="27"/>
  <c r="AC28" i="27"/>
  <c r="AD28" i="27"/>
  <c r="AE28" i="27"/>
  <c r="AF28" i="27"/>
  <c r="Y29" i="27"/>
  <c r="Z29" i="27"/>
  <c r="AA29" i="27"/>
  <c r="AB29" i="27"/>
  <c r="AC29" i="27"/>
  <c r="AD29" i="27"/>
  <c r="AE29" i="27"/>
  <c r="AF29" i="27"/>
  <c r="Y30" i="27"/>
  <c r="Z30" i="27"/>
  <c r="AA30" i="27"/>
  <c r="AB30" i="27"/>
  <c r="AC30" i="27"/>
  <c r="AD30" i="27"/>
  <c r="AE30" i="27"/>
  <c r="AF30" i="27"/>
  <c r="Y31" i="27"/>
  <c r="Z31" i="27"/>
  <c r="AA31" i="27"/>
  <c r="AB31" i="27"/>
  <c r="AC31" i="27"/>
  <c r="AD31" i="27"/>
  <c r="AE31" i="27"/>
  <c r="AF31" i="27"/>
  <c r="Y32" i="27"/>
  <c r="Z32" i="27"/>
  <c r="AA32" i="27"/>
  <c r="AB32" i="27"/>
  <c r="AC32" i="27"/>
  <c r="AD32" i="27"/>
  <c r="AE32" i="27"/>
  <c r="AF32" i="27"/>
  <c r="Y33" i="27"/>
  <c r="Z33" i="27"/>
  <c r="AA33" i="27"/>
  <c r="AB33" i="27"/>
  <c r="AC33" i="27"/>
  <c r="AD33" i="27"/>
  <c r="AE33" i="27"/>
  <c r="AF33" i="27"/>
  <c r="Y34" i="27"/>
  <c r="Z34" i="27"/>
  <c r="AA34" i="27"/>
  <c r="AB34" i="27"/>
  <c r="AC34" i="27"/>
  <c r="AD34" i="27"/>
  <c r="AE34" i="27"/>
  <c r="AF34" i="27"/>
  <c r="Y35" i="27"/>
  <c r="Z35" i="27"/>
  <c r="AA35" i="27"/>
  <c r="AB35" i="27"/>
  <c r="AC35" i="27"/>
  <c r="AD35" i="27"/>
  <c r="AE35" i="27"/>
  <c r="AF35" i="27"/>
  <c r="Y36" i="27"/>
  <c r="Z36" i="27"/>
  <c r="AA36" i="27"/>
  <c r="AB36" i="27"/>
  <c r="AC36" i="27"/>
  <c r="AD36" i="27"/>
  <c r="AE36" i="27"/>
  <c r="AF36" i="27"/>
  <c r="Y37" i="27"/>
  <c r="Z37" i="27"/>
  <c r="AA37" i="27"/>
  <c r="AB37" i="27"/>
  <c r="AC37" i="27"/>
  <c r="AD37" i="27"/>
  <c r="AE37" i="27"/>
  <c r="AF37" i="27"/>
  <c r="Y38" i="27"/>
  <c r="Z38" i="27"/>
  <c r="AA38" i="27"/>
  <c r="AB38" i="27"/>
  <c r="AC38" i="27"/>
  <c r="AD38" i="27"/>
  <c r="AE38" i="27"/>
  <c r="AF38" i="27"/>
  <c r="Y39" i="27"/>
  <c r="Z39" i="27"/>
  <c r="AA39" i="27"/>
  <c r="AB39" i="27"/>
  <c r="AC39" i="27"/>
  <c r="AD39" i="27"/>
  <c r="AE39" i="27"/>
  <c r="AF39" i="27"/>
  <c r="Y40" i="27"/>
  <c r="Z40" i="27"/>
  <c r="AA40" i="27"/>
  <c r="AB40" i="27"/>
  <c r="AC40" i="27"/>
  <c r="AD40" i="27"/>
  <c r="AE40" i="27"/>
  <c r="AF40" i="27"/>
  <c r="AE9" i="27"/>
  <c r="AD9" i="27"/>
  <c r="AC9" i="27"/>
  <c r="AB9" i="27"/>
  <c r="AA9" i="27"/>
  <c r="Z9" i="27"/>
  <c r="Y9" i="27"/>
  <c r="AN17" i="25"/>
  <c r="AQ17" i="25" s="1"/>
  <c r="AL17" i="25"/>
  <c r="AK17" i="25"/>
  <c r="AJ17" i="25"/>
  <c r="AI17" i="25"/>
  <c r="AH17" i="25"/>
  <c r="AG17" i="25"/>
  <c r="AF17" i="25"/>
  <c r="AN16" i="25"/>
  <c r="AQ16" i="25" s="1"/>
  <c r="AL16" i="25"/>
  <c r="AK16" i="25"/>
  <c r="AJ16" i="25"/>
  <c r="AI16" i="25"/>
  <c r="AH16" i="25"/>
  <c r="AG16" i="25"/>
  <c r="AF16" i="25"/>
  <c r="AN15" i="25"/>
  <c r="AQ15" i="25" s="1"/>
  <c r="AL15" i="25"/>
  <c r="AK15" i="25"/>
  <c r="AJ15" i="25"/>
  <c r="AI15" i="25"/>
  <c r="AH15" i="25"/>
  <c r="AG15" i="25"/>
  <c r="AF15" i="25"/>
  <c r="AG11" i="25"/>
  <c r="AH11" i="25"/>
  <c r="AI11" i="25"/>
  <c r="AJ11" i="25"/>
  <c r="AK11" i="25"/>
  <c r="AL11" i="25"/>
  <c r="AN11" i="25"/>
  <c r="AQ11" i="25" s="1"/>
  <c r="AG12" i="25"/>
  <c r="AH12" i="25"/>
  <c r="AI12" i="25"/>
  <c r="AJ12" i="25"/>
  <c r="AK12" i="25"/>
  <c r="AL12" i="25"/>
  <c r="AN12" i="25"/>
  <c r="AQ12" i="25" s="1"/>
  <c r="AG13" i="25"/>
  <c r="AH13" i="25"/>
  <c r="AI13" i="25"/>
  <c r="AJ13" i="25"/>
  <c r="AK13" i="25"/>
  <c r="AL13" i="25"/>
  <c r="AN13" i="25"/>
  <c r="AQ13" i="25" s="1"/>
  <c r="AG14" i="25"/>
  <c r="AH14" i="25"/>
  <c r="AI14" i="25"/>
  <c r="AJ14" i="25"/>
  <c r="AK14" i="25"/>
  <c r="AL14" i="25"/>
  <c r="AN14" i="25"/>
  <c r="AQ14" i="25" s="1"/>
  <c r="AF11" i="25"/>
  <c r="AF12" i="25"/>
  <c r="AF13" i="25"/>
  <c r="AF14" i="25"/>
  <c r="AF28" i="25"/>
  <c r="AF29" i="25"/>
  <c r="AF30" i="25"/>
  <c r="AF31" i="25"/>
  <c r="AF32" i="25"/>
  <c r="AF33" i="25"/>
  <c r="AF34" i="25"/>
  <c r="BC11" i="23"/>
  <c r="BD11" i="23"/>
  <c r="BC12" i="23"/>
  <c r="BD12" i="23"/>
  <c r="BC13" i="23"/>
  <c r="BD13" i="23"/>
  <c r="BC14" i="23"/>
  <c r="BD14" i="23"/>
  <c r="BC15" i="23"/>
  <c r="BD15" i="23"/>
  <c r="BC16" i="23"/>
  <c r="BD16" i="23"/>
  <c r="BC17" i="23"/>
  <c r="BD17" i="23"/>
  <c r="BC18" i="23"/>
  <c r="BD18" i="23"/>
  <c r="BC19" i="23"/>
  <c r="BD19" i="23"/>
  <c r="BC20" i="23"/>
  <c r="BD20" i="23"/>
  <c r="BC21" i="23"/>
  <c r="BD21" i="23"/>
  <c r="BC22" i="23"/>
  <c r="BD22" i="23"/>
  <c r="BC23" i="23"/>
  <c r="BD23" i="23"/>
  <c r="BC24" i="23"/>
  <c r="BD24" i="23"/>
  <c r="BC25" i="23"/>
  <c r="BD25" i="23"/>
  <c r="BC26" i="23"/>
  <c r="BD26" i="23"/>
  <c r="BC27" i="23"/>
  <c r="BD27" i="23"/>
  <c r="BC28" i="23"/>
  <c r="BD28" i="23"/>
  <c r="BC29" i="23"/>
  <c r="BD29" i="23"/>
  <c r="BC30" i="23"/>
  <c r="BD30" i="23"/>
  <c r="BC31" i="23"/>
  <c r="BD31" i="23"/>
  <c r="BC32" i="23"/>
  <c r="BD32" i="23"/>
  <c r="BC33" i="23"/>
  <c r="BD33" i="23"/>
  <c r="BC34" i="23"/>
  <c r="BD34" i="23"/>
  <c r="BC35" i="23"/>
  <c r="BD35" i="23"/>
  <c r="BC36" i="23"/>
  <c r="BD36" i="23"/>
  <c r="BC37" i="23"/>
  <c r="BD37" i="23"/>
  <c r="BC38" i="23"/>
  <c r="BD38" i="23"/>
  <c r="BC39" i="23"/>
  <c r="BD39" i="23"/>
  <c r="BC40" i="23"/>
  <c r="BD40" i="23"/>
  <c r="BC41" i="23"/>
  <c r="BD41" i="23"/>
  <c r="BC42" i="23"/>
  <c r="BD42" i="23"/>
  <c r="BC43" i="23"/>
  <c r="BD43" i="23"/>
  <c r="BC44" i="23"/>
  <c r="BD44" i="23"/>
  <c r="BC45" i="23"/>
  <c r="BD45" i="23"/>
  <c r="BC46" i="23"/>
  <c r="BD46" i="23"/>
  <c r="BC47" i="23"/>
  <c r="BD47" i="23"/>
  <c r="BC48" i="23"/>
  <c r="BD48" i="23"/>
  <c r="BC49" i="23"/>
  <c r="BD49" i="23"/>
  <c r="BC50" i="23"/>
  <c r="BD50" i="23"/>
  <c r="BC51" i="23"/>
  <c r="BD51" i="23"/>
  <c r="BC52" i="23"/>
  <c r="BD52" i="23"/>
  <c r="BC53" i="23"/>
  <c r="BD53" i="23"/>
  <c r="BC54" i="23"/>
  <c r="BD54" i="23"/>
  <c r="BC55" i="23"/>
  <c r="BD55" i="23"/>
  <c r="BC56" i="23"/>
  <c r="BD56" i="23"/>
  <c r="BC57" i="23"/>
  <c r="BD57" i="23"/>
  <c r="BC58" i="23"/>
  <c r="BD58" i="23"/>
  <c r="BD10" i="23"/>
  <c r="N31" i="3"/>
  <c r="X10" i="2"/>
  <c r="Y10" i="2"/>
  <c r="Z10" i="2"/>
  <c r="AA10" i="2"/>
  <c r="AB10" i="2"/>
  <c r="AC10" i="2"/>
  <c r="AD10" i="2"/>
  <c r="X11" i="2"/>
  <c r="Y11" i="2"/>
  <c r="Z11" i="2"/>
  <c r="AA11" i="2"/>
  <c r="AB11" i="2"/>
  <c r="AC11" i="2"/>
  <c r="AD11" i="2"/>
  <c r="X12" i="2"/>
  <c r="Y12" i="2"/>
  <c r="Z12" i="2"/>
  <c r="AA12" i="2"/>
  <c r="AB12" i="2"/>
  <c r="AC12" i="2"/>
  <c r="AD12" i="2"/>
  <c r="X13" i="2"/>
  <c r="Y13" i="2"/>
  <c r="Z13" i="2"/>
  <c r="AA13" i="2"/>
  <c r="AB13" i="2"/>
  <c r="AC13" i="2"/>
  <c r="AD13" i="2"/>
  <c r="AE13" i="2"/>
  <c r="X14" i="2"/>
  <c r="Y14" i="2"/>
  <c r="Z14" i="2"/>
  <c r="AA14" i="2"/>
  <c r="AB14" i="2"/>
  <c r="AC14" i="2"/>
  <c r="AD14" i="2"/>
  <c r="AE14" i="2"/>
  <c r="X15" i="2"/>
  <c r="Y15" i="2"/>
  <c r="Z15" i="2"/>
  <c r="AA15" i="2"/>
  <c r="AB15" i="2"/>
  <c r="AC15" i="2"/>
  <c r="AD15" i="2"/>
  <c r="AE15" i="2"/>
  <c r="X16" i="2"/>
  <c r="Y16" i="2"/>
  <c r="Z16" i="2"/>
  <c r="AA16" i="2"/>
  <c r="AB16" i="2"/>
  <c r="AC16" i="2"/>
  <c r="AD16" i="2"/>
  <c r="AE16" i="2"/>
  <c r="X17" i="2"/>
  <c r="Y17" i="2"/>
  <c r="Z17" i="2"/>
  <c r="AA17" i="2"/>
  <c r="AB17" i="2"/>
  <c r="AC17" i="2"/>
  <c r="AD17" i="2"/>
  <c r="AE17" i="2"/>
  <c r="X18" i="2"/>
  <c r="Y18" i="2"/>
  <c r="Z18" i="2"/>
  <c r="AA18" i="2"/>
  <c r="AB18" i="2"/>
  <c r="AC18" i="2"/>
  <c r="AD18" i="2"/>
  <c r="AE18" i="2"/>
  <c r="X19" i="2"/>
  <c r="Y19" i="2"/>
  <c r="Z19" i="2"/>
  <c r="AA19" i="2"/>
  <c r="AB19" i="2"/>
  <c r="AC19" i="2"/>
  <c r="AD19" i="2"/>
  <c r="AE19" i="2"/>
  <c r="X20" i="2"/>
  <c r="Y20" i="2"/>
  <c r="Z20" i="2"/>
  <c r="AA20" i="2"/>
  <c r="AB20" i="2"/>
  <c r="AC20" i="2"/>
  <c r="AD20" i="2"/>
  <c r="AE20" i="2"/>
  <c r="X21" i="2"/>
  <c r="Y21" i="2"/>
  <c r="Z21" i="2"/>
  <c r="AA21" i="2"/>
  <c r="AB21" i="2"/>
  <c r="AC21" i="2"/>
  <c r="AD21" i="2"/>
  <c r="AE21" i="2"/>
  <c r="X22" i="2"/>
  <c r="Y22" i="2"/>
  <c r="Z22" i="2"/>
  <c r="AA22" i="2"/>
  <c r="AB22" i="2"/>
  <c r="AC22" i="2"/>
  <c r="AD22" i="2"/>
  <c r="AE22" i="2"/>
  <c r="X23" i="2"/>
  <c r="Y23" i="2"/>
  <c r="Z23" i="2"/>
  <c r="AA23" i="2"/>
  <c r="AB23" i="2"/>
  <c r="AC23" i="2"/>
  <c r="AD23" i="2"/>
  <c r="AE23" i="2"/>
  <c r="X24" i="2"/>
  <c r="Y24" i="2"/>
  <c r="Z24" i="2"/>
  <c r="AA24" i="2"/>
  <c r="AB24" i="2"/>
  <c r="AC24" i="2"/>
  <c r="AD24" i="2"/>
  <c r="AE24" i="2"/>
  <c r="X25" i="2"/>
  <c r="Y25" i="2"/>
  <c r="Z25" i="2"/>
  <c r="AA25" i="2"/>
  <c r="AB25" i="2"/>
  <c r="AC25" i="2"/>
  <c r="AD25" i="2"/>
  <c r="AE25" i="2"/>
  <c r="X26" i="2"/>
  <c r="Y26" i="2"/>
  <c r="Z26" i="2"/>
  <c r="AA26" i="2"/>
  <c r="AB26" i="2"/>
  <c r="AC26" i="2"/>
  <c r="AD26" i="2"/>
  <c r="AE26" i="2"/>
  <c r="X27" i="2"/>
  <c r="Y27" i="2"/>
  <c r="Z27" i="2"/>
  <c r="AA27" i="2"/>
  <c r="AB27" i="2"/>
  <c r="AC27" i="2"/>
  <c r="AD27" i="2"/>
  <c r="AE27" i="2"/>
  <c r="X28" i="2"/>
  <c r="Y28" i="2"/>
  <c r="Z28" i="2"/>
  <c r="AA28" i="2"/>
  <c r="AB28" i="2"/>
  <c r="AC28" i="2"/>
  <c r="AD28" i="2"/>
  <c r="AE28" i="2"/>
  <c r="X29" i="2"/>
  <c r="Y29" i="2"/>
  <c r="Z29" i="2"/>
  <c r="AA29" i="2"/>
  <c r="AB29" i="2"/>
  <c r="AC29" i="2"/>
  <c r="AD29" i="2"/>
  <c r="AE29" i="2"/>
  <c r="X30" i="2"/>
  <c r="Y30" i="2"/>
  <c r="Z30" i="2"/>
  <c r="AA30" i="2"/>
  <c r="AB30" i="2"/>
  <c r="AC30" i="2"/>
  <c r="AD30" i="2"/>
  <c r="AE30" i="2"/>
  <c r="X31" i="2"/>
  <c r="Y31" i="2"/>
  <c r="Z31" i="2"/>
  <c r="AA31" i="2"/>
  <c r="AB31" i="2"/>
  <c r="AC31" i="2"/>
  <c r="AD31" i="2"/>
  <c r="AE31" i="2"/>
  <c r="X32" i="2"/>
  <c r="Y32" i="2"/>
  <c r="Z32" i="2"/>
  <c r="AA32" i="2"/>
  <c r="AB32" i="2"/>
  <c r="AC32" i="2"/>
  <c r="AD32" i="2"/>
  <c r="AE32" i="2"/>
  <c r="X33" i="2"/>
  <c r="Y33" i="2"/>
  <c r="Z33" i="2"/>
  <c r="AA33" i="2"/>
  <c r="AB33" i="2"/>
  <c r="AC33" i="2"/>
  <c r="AD33" i="2"/>
  <c r="AE33" i="2"/>
  <c r="X34" i="2"/>
  <c r="Y34" i="2"/>
  <c r="Z34" i="2"/>
  <c r="AA34" i="2"/>
  <c r="AB34" i="2"/>
  <c r="AC34" i="2"/>
  <c r="AD34" i="2"/>
  <c r="AE34" i="2"/>
  <c r="X35" i="2"/>
  <c r="Y35" i="2"/>
  <c r="Z35" i="2"/>
  <c r="AA35" i="2"/>
  <c r="AB35" i="2"/>
  <c r="AC35" i="2"/>
  <c r="AD35" i="2"/>
  <c r="AE35" i="2"/>
  <c r="X36" i="2"/>
  <c r="Y36" i="2"/>
  <c r="Z36" i="2"/>
  <c r="AA36" i="2"/>
  <c r="AB36" i="2"/>
  <c r="AC36" i="2"/>
  <c r="AD36" i="2"/>
  <c r="AE36" i="2"/>
  <c r="X37" i="2"/>
  <c r="Y37" i="2"/>
  <c r="Z37" i="2"/>
  <c r="AA37" i="2"/>
  <c r="AB37" i="2"/>
  <c r="AC37" i="2"/>
  <c r="AD37" i="2"/>
  <c r="AE37" i="2"/>
  <c r="X38" i="2"/>
  <c r="Y38" i="2"/>
  <c r="Z38" i="2"/>
  <c r="AA38" i="2"/>
  <c r="AB38" i="2"/>
  <c r="AC38" i="2"/>
  <c r="AD38" i="2"/>
  <c r="AE38" i="2"/>
  <c r="X39" i="2"/>
  <c r="Y39" i="2"/>
  <c r="Z39" i="2"/>
  <c r="AA39" i="2"/>
  <c r="AB39" i="2"/>
  <c r="AC39" i="2"/>
  <c r="AD39" i="2"/>
  <c r="AE39" i="2"/>
  <c r="X40" i="2"/>
  <c r="Y40" i="2"/>
  <c r="Z40" i="2"/>
  <c r="AA40" i="2"/>
  <c r="AB40" i="2"/>
  <c r="AC40" i="2"/>
  <c r="AD40" i="2"/>
  <c r="AE40" i="2"/>
  <c r="AD9" i="2"/>
  <c r="AC9" i="2"/>
  <c r="AB9" i="2"/>
  <c r="AA9" i="2"/>
  <c r="Z9" i="2"/>
  <c r="Y9" i="2"/>
  <c r="X9" i="2"/>
  <c r="BI24" i="17"/>
  <c r="L68" i="34" l="1"/>
  <c r="M68" i="34" s="1" a="1"/>
  <c r="M68" i="34" s="1"/>
  <c r="R91" i="45"/>
  <c r="P71" i="45"/>
  <c r="P70" i="43"/>
  <c r="Q37" i="34"/>
  <c r="Q37" i="43"/>
  <c r="Q37" i="45"/>
  <c r="T18" i="45"/>
  <c r="T18" i="43"/>
  <c r="T18" i="34"/>
  <c r="Q17" i="45"/>
  <c r="Q17" i="43"/>
  <c r="Q18" i="45"/>
  <c r="L58" i="45" s="1"/>
  <c r="P58" i="45" s="1"/>
  <c r="Q18" i="43"/>
  <c r="L58" i="43" s="1"/>
  <c r="P58" i="43" s="1"/>
  <c r="L65" i="45"/>
  <c r="P65" i="45" s="1"/>
  <c r="L64" i="43"/>
  <c r="O55" i="27"/>
  <c r="L63" i="45"/>
  <c r="P63" i="45" s="1"/>
  <c r="L62" i="43"/>
  <c r="P62" i="43" s="1"/>
  <c r="Q18" i="34"/>
  <c r="Q17" i="34"/>
  <c r="D53" i="34"/>
  <c r="D65" i="34" s="1"/>
  <c r="H61" i="24"/>
  <c r="D51" i="43"/>
  <c r="D52" i="43"/>
  <c r="E65" i="43" s="1"/>
  <c r="D52" i="45"/>
  <c r="D53" i="45"/>
  <c r="D65" i="45" s="1"/>
  <c r="P64" i="43" l="1"/>
  <c r="K81" i="43"/>
  <c r="L81" i="43" s="1"/>
  <c r="M81" i="43" s="1" a="1"/>
  <c r="M81" i="43" s="1"/>
  <c r="T39" i="45"/>
  <c r="T39" i="43"/>
  <c r="T39" i="34"/>
  <c r="Q39" i="45"/>
  <c r="Q39" i="43"/>
  <c r="Q39" i="34"/>
  <c r="T37" i="45"/>
  <c r="T37" i="43"/>
  <c r="T37" i="34"/>
  <c r="K17" i="43"/>
  <c r="K18" i="45"/>
  <c r="V18" i="45" s="1"/>
  <c r="K17" i="45"/>
  <c r="K18" i="43"/>
  <c r="V18" i="43" s="1"/>
  <c r="T17" i="45"/>
  <c r="T17" i="43"/>
  <c r="T17" i="34"/>
  <c r="Q40" i="45"/>
  <c r="P41" i="45"/>
  <c r="Q40" i="43"/>
  <c r="P41" i="43"/>
  <c r="P41" i="34"/>
  <c r="L57" i="34"/>
  <c r="Q40" i="34"/>
  <c r="K18" i="34"/>
  <c r="V18" i="34" s="1"/>
  <c r="K17" i="34"/>
  <c r="V17" i="34" s="1"/>
  <c r="D64" i="43"/>
  <c r="E65" i="34"/>
  <c r="L54" i="34"/>
  <c r="P54" i="34" s="1"/>
  <c r="E65" i="45"/>
  <c r="Q27" i="34"/>
  <c r="L56" i="34" s="1"/>
  <c r="L69" i="43"/>
  <c r="L59" i="34" l="1"/>
  <c r="P69" i="43"/>
  <c r="R89" i="43"/>
  <c r="K69" i="34"/>
  <c r="P57" i="34"/>
  <c r="Q38" i="45"/>
  <c r="Q38" i="43"/>
  <c r="Q38" i="34"/>
  <c r="K37" i="34"/>
  <c r="V37" i="34" s="1"/>
  <c r="K37" i="43"/>
  <c r="V37" i="43" s="1"/>
  <c r="K37" i="45"/>
  <c r="V37" i="45" s="1"/>
  <c r="V17" i="45"/>
  <c r="V17" i="43"/>
  <c r="J41" i="45"/>
  <c r="V41" i="45" s="1"/>
  <c r="J41" i="43"/>
  <c r="V41" i="43" s="1"/>
  <c r="L71" i="43"/>
  <c r="J41" i="34"/>
  <c r="V41" i="34" s="1"/>
  <c r="P56" i="34"/>
  <c r="L62" i="34"/>
  <c r="P62" i="34" s="1"/>
  <c r="C4" i="34"/>
  <c r="AW40" i="17"/>
  <c r="AG19" i="17"/>
  <c r="AG18" i="17"/>
  <c r="AG17" i="17"/>
  <c r="AG16" i="17"/>
  <c r="AG15" i="17"/>
  <c r="AR11" i="23"/>
  <c r="AS11" i="23"/>
  <c r="AT11" i="23"/>
  <c r="AU11" i="23"/>
  <c r="AV11" i="23"/>
  <c r="AW11" i="23"/>
  <c r="AR12" i="23"/>
  <c r="AS12" i="23"/>
  <c r="AT12" i="23"/>
  <c r="AU12" i="23"/>
  <c r="AV12" i="23"/>
  <c r="AW12" i="23"/>
  <c r="AR13" i="23"/>
  <c r="AS13" i="23"/>
  <c r="AT13" i="23"/>
  <c r="AU13" i="23"/>
  <c r="AV13" i="23"/>
  <c r="AW13" i="23"/>
  <c r="AR14" i="23"/>
  <c r="AS14" i="23"/>
  <c r="AT14" i="23"/>
  <c r="AU14" i="23"/>
  <c r="AV14" i="23"/>
  <c r="AW14" i="23"/>
  <c r="AR15" i="23"/>
  <c r="AS15" i="23"/>
  <c r="AT15" i="23"/>
  <c r="AU15" i="23"/>
  <c r="AV15" i="23"/>
  <c r="AW15" i="23"/>
  <c r="AR16" i="23"/>
  <c r="AS16" i="23"/>
  <c r="AT16" i="23"/>
  <c r="AU16" i="23"/>
  <c r="AV16" i="23"/>
  <c r="AW16" i="23"/>
  <c r="AR17" i="23"/>
  <c r="AS17" i="23"/>
  <c r="AT17" i="23"/>
  <c r="AU17" i="23"/>
  <c r="AV17" i="23"/>
  <c r="AW17" i="23"/>
  <c r="AR18" i="23"/>
  <c r="AS18" i="23"/>
  <c r="AT18" i="23"/>
  <c r="AU18" i="23"/>
  <c r="AV18" i="23"/>
  <c r="AW18" i="23"/>
  <c r="AR19" i="23"/>
  <c r="AS19" i="23"/>
  <c r="AT19" i="23"/>
  <c r="AU19" i="23"/>
  <c r="AV19" i="23"/>
  <c r="AW19" i="23"/>
  <c r="AR20" i="23"/>
  <c r="AS20" i="23"/>
  <c r="AT20" i="23"/>
  <c r="AU20" i="23"/>
  <c r="AV20" i="23"/>
  <c r="AW20" i="23"/>
  <c r="AR21" i="23"/>
  <c r="AS21" i="23"/>
  <c r="AT21" i="23"/>
  <c r="AU21" i="23"/>
  <c r="AV21" i="23"/>
  <c r="AW21" i="23"/>
  <c r="AR22" i="23"/>
  <c r="AS22" i="23"/>
  <c r="AT22" i="23"/>
  <c r="AU22" i="23"/>
  <c r="AV22" i="23"/>
  <c r="AW22" i="23"/>
  <c r="AR23" i="23"/>
  <c r="AS23" i="23"/>
  <c r="AT23" i="23"/>
  <c r="AU23" i="23"/>
  <c r="AV23" i="23"/>
  <c r="AW23" i="23"/>
  <c r="AR24" i="23"/>
  <c r="AS24" i="23"/>
  <c r="AT24" i="23"/>
  <c r="AU24" i="23"/>
  <c r="AV24" i="23"/>
  <c r="AW24" i="23"/>
  <c r="AR25" i="23"/>
  <c r="AS25" i="23"/>
  <c r="AT25" i="23"/>
  <c r="AU25" i="23"/>
  <c r="AV25" i="23"/>
  <c r="AW25" i="23"/>
  <c r="AR26" i="23"/>
  <c r="AS26" i="23"/>
  <c r="AT26" i="23"/>
  <c r="AU26" i="23"/>
  <c r="AV26" i="23"/>
  <c r="AW26" i="23"/>
  <c r="AR27" i="23"/>
  <c r="AS27" i="23"/>
  <c r="AT27" i="23"/>
  <c r="AU27" i="23"/>
  <c r="AV27" i="23"/>
  <c r="AW27" i="23"/>
  <c r="AR28" i="23"/>
  <c r="AS28" i="23"/>
  <c r="AT28" i="23"/>
  <c r="AU28" i="23"/>
  <c r="AV28" i="23"/>
  <c r="AW28" i="23"/>
  <c r="AR29" i="23"/>
  <c r="AS29" i="23"/>
  <c r="AT29" i="23"/>
  <c r="AU29" i="23"/>
  <c r="AV29" i="23"/>
  <c r="AW29" i="23"/>
  <c r="AR30" i="23"/>
  <c r="AS30" i="23"/>
  <c r="AT30" i="23"/>
  <c r="AU30" i="23"/>
  <c r="AV30" i="23"/>
  <c r="AW30" i="23"/>
  <c r="AR31" i="23"/>
  <c r="AS31" i="23"/>
  <c r="AT31" i="23"/>
  <c r="AU31" i="23"/>
  <c r="AV31" i="23"/>
  <c r="AW31" i="23"/>
  <c r="AR32" i="23"/>
  <c r="AS32" i="23"/>
  <c r="AT32" i="23"/>
  <c r="AU32" i="23"/>
  <c r="AV32" i="23"/>
  <c r="AW32" i="23"/>
  <c r="AR33" i="23"/>
  <c r="AS33" i="23"/>
  <c r="AT33" i="23"/>
  <c r="AU33" i="23"/>
  <c r="AV33" i="23"/>
  <c r="AW33" i="23"/>
  <c r="AR34" i="23"/>
  <c r="AS34" i="23"/>
  <c r="AT34" i="23"/>
  <c r="AU34" i="23"/>
  <c r="AV34" i="23"/>
  <c r="AW34" i="23"/>
  <c r="AR35" i="23"/>
  <c r="AS35" i="23"/>
  <c r="AT35" i="23"/>
  <c r="AU35" i="23"/>
  <c r="AV35" i="23"/>
  <c r="AW35" i="23"/>
  <c r="AR36" i="23"/>
  <c r="AS36" i="23"/>
  <c r="AT36" i="23"/>
  <c r="AU36" i="23"/>
  <c r="AV36" i="23"/>
  <c r="AW36" i="23"/>
  <c r="AR37" i="23"/>
  <c r="AS37" i="23"/>
  <c r="AT37" i="23"/>
  <c r="AU37" i="23"/>
  <c r="AV37" i="23"/>
  <c r="AW37" i="23"/>
  <c r="AR38" i="23"/>
  <c r="AS38" i="23"/>
  <c r="AT38" i="23"/>
  <c r="AU38" i="23"/>
  <c r="AV38" i="23"/>
  <c r="AW38" i="23"/>
  <c r="AR39" i="23"/>
  <c r="AS39" i="23"/>
  <c r="AT39" i="23"/>
  <c r="AU39" i="23"/>
  <c r="AV39" i="23"/>
  <c r="AW39" i="23"/>
  <c r="AR40" i="23"/>
  <c r="AS40" i="23"/>
  <c r="AT40" i="23"/>
  <c r="AU40" i="23"/>
  <c r="AV40" i="23"/>
  <c r="AW40" i="23"/>
  <c r="AR41" i="23"/>
  <c r="AS41" i="23"/>
  <c r="AT41" i="23"/>
  <c r="AU41" i="23"/>
  <c r="AV41" i="23"/>
  <c r="AW41" i="23"/>
  <c r="AR42" i="23"/>
  <c r="AS42" i="23"/>
  <c r="AT42" i="23"/>
  <c r="AU42" i="23"/>
  <c r="AV42" i="23"/>
  <c r="AW42" i="23"/>
  <c r="AR43" i="23"/>
  <c r="AS43" i="23"/>
  <c r="AT43" i="23"/>
  <c r="AU43" i="23"/>
  <c r="AV43" i="23"/>
  <c r="AW43" i="23"/>
  <c r="AR44" i="23"/>
  <c r="AS44" i="23"/>
  <c r="AT44" i="23"/>
  <c r="AU44" i="23"/>
  <c r="AV44" i="23"/>
  <c r="AW44" i="23"/>
  <c r="AR45" i="23"/>
  <c r="AS45" i="23"/>
  <c r="AT45" i="23"/>
  <c r="AU45" i="23"/>
  <c r="AV45" i="23"/>
  <c r="AW45" i="23"/>
  <c r="AR46" i="23"/>
  <c r="AS46" i="23"/>
  <c r="AT46" i="23"/>
  <c r="AU46" i="23"/>
  <c r="AV46" i="23"/>
  <c r="AW46" i="23"/>
  <c r="AR47" i="23"/>
  <c r="AS47" i="23"/>
  <c r="AT47" i="23"/>
  <c r="AU47" i="23"/>
  <c r="AV47" i="23"/>
  <c r="AW47" i="23"/>
  <c r="AR48" i="23"/>
  <c r="AS48" i="23"/>
  <c r="AT48" i="23"/>
  <c r="AU48" i="23"/>
  <c r="AV48" i="23"/>
  <c r="AW48" i="23"/>
  <c r="AR49" i="23"/>
  <c r="AS49" i="23"/>
  <c r="AT49" i="23"/>
  <c r="AU49" i="23"/>
  <c r="AV49" i="23"/>
  <c r="AW49" i="23"/>
  <c r="AR50" i="23"/>
  <c r="AS50" i="23"/>
  <c r="AT50" i="23"/>
  <c r="AU50" i="23"/>
  <c r="AV50" i="23"/>
  <c r="AW50" i="23"/>
  <c r="AR51" i="23"/>
  <c r="AS51" i="23"/>
  <c r="AT51" i="23"/>
  <c r="AU51" i="23"/>
  <c r="AV51" i="23"/>
  <c r="AW51" i="23"/>
  <c r="AR52" i="23"/>
  <c r="AS52" i="23"/>
  <c r="AT52" i="23"/>
  <c r="AU52" i="23"/>
  <c r="AV52" i="23"/>
  <c r="AW52" i="23"/>
  <c r="AR53" i="23"/>
  <c r="AS53" i="23"/>
  <c r="AT53" i="23"/>
  <c r="AU53" i="23"/>
  <c r="AV53" i="23"/>
  <c r="AW53" i="23"/>
  <c r="AR54" i="23"/>
  <c r="AS54" i="23"/>
  <c r="AT54" i="23"/>
  <c r="AU54" i="23"/>
  <c r="AV54" i="23"/>
  <c r="AW54" i="23"/>
  <c r="AR55" i="23"/>
  <c r="AS55" i="23"/>
  <c r="AT55" i="23"/>
  <c r="AU55" i="23"/>
  <c r="AV55" i="23"/>
  <c r="AW55" i="23"/>
  <c r="AR56" i="23"/>
  <c r="AS56" i="23"/>
  <c r="AT56" i="23"/>
  <c r="AU56" i="23"/>
  <c r="AV56" i="23"/>
  <c r="AW56" i="23"/>
  <c r="AR57" i="23"/>
  <c r="AS57" i="23"/>
  <c r="AT57" i="23"/>
  <c r="AU57" i="23"/>
  <c r="AV57" i="23"/>
  <c r="AW57" i="23"/>
  <c r="AR58" i="23"/>
  <c r="AS58" i="23"/>
  <c r="AT58" i="23"/>
  <c r="AU58" i="23"/>
  <c r="AV58" i="23"/>
  <c r="AW58" i="23"/>
  <c r="AR59" i="23"/>
  <c r="AS59" i="23"/>
  <c r="AT59" i="23"/>
  <c r="AU59" i="23"/>
  <c r="AV59" i="23"/>
  <c r="AW59" i="23"/>
  <c r="AW10" i="23"/>
  <c r="AV10" i="23"/>
  <c r="AU10" i="23"/>
  <c r="AT10" i="23"/>
  <c r="AS10" i="23"/>
  <c r="AR10" i="23"/>
  <c r="AN9" i="25"/>
  <c r="AQ9" i="25" s="1"/>
  <c r="AL9" i="25"/>
  <c r="AK9" i="25"/>
  <c r="AJ9" i="25"/>
  <c r="AI9" i="25"/>
  <c r="AH9" i="25"/>
  <c r="AG9" i="25"/>
  <c r="AF9" i="25"/>
  <c r="AN10" i="25"/>
  <c r="AQ10" i="25" s="1"/>
  <c r="AL10" i="25"/>
  <c r="AK10" i="25"/>
  <c r="AJ10" i="25"/>
  <c r="AI10" i="25"/>
  <c r="AH10" i="25"/>
  <c r="AG10" i="25"/>
  <c r="AF10" i="25"/>
  <c r="BJ11" i="17"/>
  <c r="BK11" i="17"/>
  <c r="BL11" i="17"/>
  <c r="BM11" i="17"/>
  <c r="BJ12" i="17"/>
  <c r="BK12" i="17"/>
  <c r="BL12" i="17"/>
  <c r="BM12" i="17"/>
  <c r="BJ13" i="17"/>
  <c r="BK13" i="17"/>
  <c r="BL13" i="17"/>
  <c r="BM13" i="17"/>
  <c r="BJ14" i="17"/>
  <c r="BK14" i="17"/>
  <c r="BL14" i="17"/>
  <c r="BM14" i="17"/>
  <c r="BJ15" i="17"/>
  <c r="BK15" i="17"/>
  <c r="BL15" i="17"/>
  <c r="BM15" i="17"/>
  <c r="BJ16" i="17"/>
  <c r="BK16" i="17"/>
  <c r="BL16" i="17"/>
  <c r="BM16" i="17"/>
  <c r="BJ17" i="17"/>
  <c r="BK17" i="17"/>
  <c r="BL17" i="17"/>
  <c r="BM17" i="17"/>
  <c r="BJ18" i="17"/>
  <c r="BK18" i="17"/>
  <c r="BL18" i="17"/>
  <c r="BM18" i="17"/>
  <c r="BJ19" i="17"/>
  <c r="BK19" i="17"/>
  <c r="BL19" i="17"/>
  <c r="BM19" i="17"/>
  <c r="BJ20" i="17"/>
  <c r="BK20" i="17"/>
  <c r="BL20" i="17"/>
  <c r="BM20" i="17"/>
  <c r="BJ21" i="17"/>
  <c r="BK21" i="17"/>
  <c r="BL21" i="17"/>
  <c r="BM21" i="17"/>
  <c r="BJ22" i="17"/>
  <c r="BK22" i="17"/>
  <c r="BL22" i="17"/>
  <c r="BM22" i="17"/>
  <c r="BJ23" i="17"/>
  <c r="BK23" i="17"/>
  <c r="BL23" i="17"/>
  <c r="BM23" i="17"/>
  <c r="BJ24" i="17"/>
  <c r="BK24" i="17"/>
  <c r="BL24" i="17"/>
  <c r="BM24" i="17"/>
  <c r="BJ25" i="17"/>
  <c r="BK25" i="17"/>
  <c r="BL25" i="17"/>
  <c r="BM25" i="17"/>
  <c r="BJ26" i="17"/>
  <c r="BK26" i="17"/>
  <c r="BL26" i="17"/>
  <c r="BM26" i="17"/>
  <c r="BJ27" i="17"/>
  <c r="BK27" i="17"/>
  <c r="BL27" i="17"/>
  <c r="BM27" i="17"/>
  <c r="BJ28" i="17"/>
  <c r="BK28" i="17"/>
  <c r="BL28" i="17"/>
  <c r="BM28" i="17"/>
  <c r="BJ29" i="17"/>
  <c r="BK29" i="17"/>
  <c r="BL29" i="17"/>
  <c r="BM29" i="17"/>
  <c r="BJ30" i="17"/>
  <c r="BK30" i="17"/>
  <c r="BL30" i="17"/>
  <c r="BM30" i="17"/>
  <c r="BJ31" i="17"/>
  <c r="BK31" i="17"/>
  <c r="BL31" i="17"/>
  <c r="BM31" i="17"/>
  <c r="BJ32" i="17"/>
  <c r="BK32" i="17"/>
  <c r="BL32" i="17"/>
  <c r="BM32" i="17"/>
  <c r="BJ33" i="17"/>
  <c r="BK33" i="17"/>
  <c r="BL33" i="17"/>
  <c r="BM33" i="17"/>
  <c r="BJ34" i="17"/>
  <c r="BK34" i="17"/>
  <c r="BL34" i="17"/>
  <c r="BM34" i="17"/>
  <c r="BJ35" i="17"/>
  <c r="BK35" i="17"/>
  <c r="BL35" i="17"/>
  <c r="BM35" i="17"/>
  <c r="BJ36" i="17"/>
  <c r="BK36" i="17"/>
  <c r="BL36" i="17"/>
  <c r="BM36" i="17"/>
  <c r="BJ37" i="17"/>
  <c r="BK37" i="17"/>
  <c r="BL37" i="17"/>
  <c r="BM37" i="17"/>
  <c r="BJ38" i="17"/>
  <c r="BK38" i="17"/>
  <c r="BL38" i="17"/>
  <c r="BM38" i="17"/>
  <c r="BJ39" i="17"/>
  <c r="BK39" i="17"/>
  <c r="BL39" i="17"/>
  <c r="BM39" i="17"/>
  <c r="BJ40" i="17"/>
  <c r="BK40" i="17"/>
  <c r="BL40" i="17"/>
  <c r="BM40" i="17"/>
  <c r="BJ41" i="17"/>
  <c r="BK41" i="17"/>
  <c r="BL41" i="17"/>
  <c r="BM41" i="17"/>
  <c r="BM10" i="17"/>
  <c r="BL10" i="17"/>
  <c r="BK10" i="17"/>
  <c r="BJ10" i="17"/>
  <c r="BI11" i="17"/>
  <c r="BI12" i="17"/>
  <c r="BI13" i="17"/>
  <c r="BI14" i="17"/>
  <c r="BI15" i="17"/>
  <c r="BI16" i="17"/>
  <c r="BI17" i="17"/>
  <c r="BI18" i="17"/>
  <c r="BI19" i="17"/>
  <c r="BI20" i="17"/>
  <c r="BI21" i="17"/>
  <c r="BI22" i="17"/>
  <c r="BI23" i="17"/>
  <c r="BI25" i="17"/>
  <c r="BI26" i="17"/>
  <c r="BI27" i="17"/>
  <c r="BI28" i="17"/>
  <c r="BI29" i="17"/>
  <c r="BI30" i="17"/>
  <c r="BI31" i="17"/>
  <c r="BI32" i="17"/>
  <c r="BI33" i="17"/>
  <c r="BI34" i="17"/>
  <c r="BI35" i="17"/>
  <c r="BI36" i="17"/>
  <c r="BI37" i="17"/>
  <c r="BI38" i="17"/>
  <c r="BI39" i="17"/>
  <c r="BI40" i="17"/>
  <c r="BI41" i="17"/>
  <c r="BI10" i="17"/>
  <c r="BH11" i="17"/>
  <c r="BH12" i="17"/>
  <c r="BH13" i="17"/>
  <c r="BH14" i="17"/>
  <c r="BH15" i="17"/>
  <c r="BH16" i="17"/>
  <c r="BH17" i="17"/>
  <c r="BH18" i="17"/>
  <c r="BH19" i="17"/>
  <c r="BH20" i="17"/>
  <c r="BH21" i="17"/>
  <c r="BH22" i="17"/>
  <c r="BH23" i="17"/>
  <c r="BH24" i="17"/>
  <c r="BH25" i="17"/>
  <c r="BH26" i="17"/>
  <c r="BH27" i="17"/>
  <c r="BH28" i="17"/>
  <c r="BH29" i="17"/>
  <c r="BH30" i="17"/>
  <c r="BH31" i="17"/>
  <c r="BH32" i="17"/>
  <c r="BH33" i="17"/>
  <c r="BH34" i="17"/>
  <c r="BH35" i="17"/>
  <c r="BH36" i="17"/>
  <c r="BH37" i="17"/>
  <c r="BH38" i="17"/>
  <c r="BH39" i="17"/>
  <c r="BH40" i="17"/>
  <c r="BH41" i="17"/>
  <c r="BH10" i="17"/>
  <c r="BG11" i="17"/>
  <c r="BG12" i="17"/>
  <c r="BG13" i="17"/>
  <c r="BG14" i="17"/>
  <c r="BG15" i="17"/>
  <c r="BG16" i="17"/>
  <c r="BG17" i="17"/>
  <c r="BG18" i="17"/>
  <c r="BG19" i="17"/>
  <c r="BG20" i="17"/>
  <c r="BG21" i="17"/>
  <c r="BG22" i="17"/>
  <c r="BG23" i="17"/>
  <c r="BG24" i="17"/>
  <c r="BG25" i="17"/>
  <c r="BG26" i="17"/>
  <c r="BG27" i="17"/>
  <c r="BG28" i="17"/>
  <c r="BG29" i="17"/>
  <c r="BG30" i="17"/>
  <c r="BG31" i="17"/>
  <c r="BG32" i="17"/>
  <c r="BG33" i="17"/>
  <c r="BG34" i="17"/>
  <c r="BG35" i="17"/>
  <c r="BG36" i="17"/>
  <c r="BG37" i="17"/>
  <c r="BG38" i="17"/>
  <c r="BG39" i="17"/>
  <c r="BG40" i="17"/>
  <c r="BG41" i="17"/>
  <c r="BG10" i="17"/>
  <c r="N34" i="3"/>
  <c r="O34" i="3"/>
  <c r="P45" i="3"/>
  <c r="P71" i="43" l="1"/>
  <c r="K87" i="43"/>
  <c r="K88" i="43" s="1"/>
  <c r="K89" i="43" s="1"/>
  <c r="M59" i="34"/>
  <c r="P59" i="34"/>
  <c r="L61" i="34"/>
  <c r="L63" i="34" s="1"/>
  <c r="K70" i="34"/>
  <c r="L70" i="34" s="1"/>
  <c r="M70" i="34" s="1" a="1"/>
  <c r="M70" i="34" s="1"/>
  <c r="L69" i="34"/>
  <c r="M69" i="34" s="1" a="1"/>
  <c r="M69" i="34" s="1"/>
  <c r="K39" i="34"/>
  <c r="V39" i="34" s="1"/>
  <c r="K39" i="43"/>
  <c r="V39" i="43" s="1"/>
  <c r="K39" i="45"/>
  <c r="V39" i="45" s="1"/>
  <c r="K16" i="45"/>
  <c r="K16" i="43"/>
  <c r="AG12" i="17"/>
  <c r="S65" i="17"/>
  <c r="V65" i="17" s="1"/>
  <c r="AG13" i="17"/>
  <c r="S66" i="17"/>
  <c r="V66" i="17" s="1"/>
  <c r="AG11" i="17"/>
  <c r="S64" i="17"/>
  <c r="AG14" i="17"/>
  <c r="S67" i="17"/>
  <c r="K16" i="34"/>
  <c r="AG10" i="17"/>
  <c r="S63" i="17"/>
  <c r="L66" i="45"/>
  <c r="K74" i="34" l="1"/>
  <c r="K75" i="34" s="1"/>
  <c r="L74" i="34"/>
  <c r="M74" i="34" s="1" a="1"/>
  <c r="M74" i="34" s="1"/>
  <c r="P66" i="45"/>
  <c r="K83" i="45"/>
  <c r="L83" i="45" s="1"/>
  <c r="M83" i="45" s="1" a="1"/>
  <c r="M83" i="45" s="1"/>
  <c r="K38" i="45"/>
  <c r="V38" i="45" s="1"/>
  <c r="K38" i="43"/>
  <c r="V38" i="43" s="1"/>
  <c r="K38" i="34"/>
  <c r="V38" i="34" s="1"/>
  <c r="P61" i="34" l="1"/>
  <c r="M44" i="27"/>
  <c r="L44" i="27"/>
  <c r="S41" i="27"/>
  <c r="M41" i="27"/>
  <c r="N39" i="27"/>
  <c r="N38" i="27"/>
  <c r="N37" i="27"/>
  <c r="N36" i="27"/>
  <c r="N35" i="27"/>
  <c r="N34" i="27"/>
  <c r="N33" i="27"/>
  <c r="N32" i="27"/>
  <c r="N31" i="27"/>
  <c r="N30" i="27"/>
  <c r="N29" i="27"/>
  <c r="N28" i="27"/>
  <c r="N27" i="27"/>
  <c r="N26" i="27"/>
  <c r="N25" i="27"/>
  <c r="N24" i="27"/>
  <c r="N23" i="27"/>
  <c r="N22" i="27"/>
  <c r="N21" i="27"/>
  <c r="N20" i="27"/>
  <c r="N19" i="27"/>
  <c r="N18" i="27"/>
  <c r="N17" i="27"/>
  <c r="N16" i="27"/>
  <c r="N15" i="27"/>
  <c r="N14" i="27"/>
  <c r="N13" i="27"/>
  <c r="N12" i="27"/>
  <c r="AF12" i="27" s="1"/>
  <c r="N11" i="27"/>
  <c r="N10" i="27"/>
  <c r="N9" i="27"/>
  <c r="E5" i="27"/>
  <c r="E4" i="27"/>
  <c r="E3" i="27"/>
  <c r="K79" i="34" l="1"/>
  <c r="K80" i="34" s="1"/>
  <c r="P63" i="34"/>
  <c r="AF11" i="27"/>
  <c r="L50" i="27"/>
  <c r="AF10" i="27"/>
  <c r="M50" i="27"/>
  <c r="N50" i="27"/>
  <c r="AF9" i="27"/>
  <c r="O56" i="27"/>
  <c r="N41" i="27"/>
  <c r="N44" i="27"/>
  <c r="M62" i="27" l="1"/>
  <c r="O50" i="27"/>
  <c r="O51" i="27" s="1"/>
  <c r="M60" i="27"/>
  <c r="M67" i="27" l="1"/>
  <c r="Q26" i="45"/>
  <c r="Q26" i="43"/>
  <c r="Q26" i="34"/>
  <c r="L64" i="45"/>
  <c r="L63" i="43"/>
  <c r="P63" i="43" s="1"/>
  <c r="M63" i="27"/>
  <c r="D5" i="25"/>
  <c r="D4" i="25"/>
  <c r="D3" i="25"/>
  <c r="K26" i="45" l="1"/>
  <c r="V26" i="45" s="1"/>
  <c r="K26" i="43"/>
  <c r="V26" i="43" s="1"/>
  <c r="K26" i="34"/>
  <c r="V26" i="34" s="1"/>
  <c r="N63" i="27"/>
  <c r="E64" i="45" l="1"/>
  <c r="E64" i="43"/>
  <c r="K51" i="25"/>
  <c r="S51" i="17" l="1"/>
  <c r="X76" i="17"/>
  <c r="W76" i="17"/>
  <c r="X75" i="17"/>
  <c r="W75" i="17"/>
  <c r="X74" i="17"/>
  <c r="W74" i="17"/>
  <c r="AG25" i="17"/>
  <c r="AZ53" i="23"/>
  <c r="AX53" i="23"/>
  <c r="AY53" i="23"/>
  <c r="AZ52" i="23"/>
  <c r="AX52" i="23"/>
  <c r="U52" i="23"/>
  <c r="AZ51" i="23"/>
  <c r="AX51" i="23"/>
  <c r="U51" i="23"/>
  <c r="AZ50" i="23"/>
  <c r="AX50" i="23"/>
  <c r="U50" i="23"/>
  <c r="AZ49" i="23"/>
  <c r="AX49" i="23"/>
  <c r="U49" i="23"/>
  <c r="AW41" i="17"/>
  <c r="C6" i="23"/>
  <c r="C5" i="23"/>
  <c r="C4" i="23"/>
  <c r="Q125" i="23"/>
  <c r="T119" i="23"/>
  <c r="V107" i="23"/>
  <c r="Q107" i="23"/>
  <c r="V106" i="23"/>
  <c r="AD106" i="23"/>
  <c r="Q106" i="23"/>
  <c r="V105" i="23"/>
  <c r="AF105" i="23"/>
  <c r="Q105" i="23"/>
  <c r="V104" i="23"/>
  <c r="AD104" i="23"/>
  <c r="Q104" i="23"/>
  <c r="V103" i="23"/>
  <c r="AD103" i="23"/>
  <c r="Q103" i="23"/>
  <c r="V102" i="23"/>
  <c r="AD102" i="23"/>
  <c r="Q102" i="23"/>
  <c r="V101" i="23"/>
  <c r="AD101" i="23"/>
  <c r="Q101" i="23"/>
  <c r="V100" i="23"/>
  <c r="AD100" i="23"/>
  <c r="Q100" i="23"/>
  <c r="V99" i="23"/>
  <c r="Q99" i="23"/>
  <c r="V98" i="23"/>
  <c r="AD98" i="23"/>
  <c r="Q98" i="23"/>
  <c r="V97" i="23"/>
  <c r="AF97" i="23"/>
  <c r="Q97" i="23"/>
  <c r="V96" i="23"/>
  <c r="V95" i="23"/>
  <c r="V94" i="23"/>
  <c r="V93" i="23"/>
  <c r="V92" i="23"/>
  <c r="V91" i="23"/>
  <c r="V90" i="23"/>
  <c r="N75" i="23"/>
  <c r="R75" i="23"/>
  <c r="Q75" i="23"/>
  <c r="P75" i="23"/>
  <c r="O75" i="23"/>
  <c r="R63" i="23"/>
  <c r="Q63" i="23"/>
  <c r="N85" i="23" s="1"/>
  <c r="P63" i="23"/>
  <c r="N63" i="23"/>
  <c r="M63" i="23"/>
  <c r="R60" i="23"/>
  <c r="Q60" i="23"/>
  <c r="P60" i="23"/>
  <c r="N60" i="23"/>
  <c r="M60" i="23"/>
  <c r="AZ59" i="23"/>
  <c r="AY59" i="23"/>
  <c r="AX59" i="23"/>
  <c r="AZ58" i="23"/>
  <c r="AX58" i="23"/>
  <c r="U58" i="23"/>
  <c r="AZ57" i="23"/>
  <c r="AX57" i="23"/>
  <c r="U57" i="23"/>
  <c r="AZ56" i="23"/>
  <c r="AX56" i="23"/>
  <c r="AY56" i="23"/>
  <c r="AZ55" i="23"/>
  <c r="AX55" i="23"/>
  <c r="AY55" i="23"/>
  <c r="AZ54" i="23"/>
  <c r="AX54" i="23"/>
  <c r="AY54" i="23"/>
  <c r="AZ48" i="23"/>
  <c r="AX48" i="23"/>
  <c r="U48" i="23"/>
  <c r="AZ47" i="23"/>
  <c r="AX47" i="23"/>
  <c r="U47" i="23"/>
  <c r="AZ46" i="23"/>
  <c r="AX46" i="23"/>
  <c r="U46" i="23"/>
  <c r="AZ45" i="23"/>
  <c r="AX45" i="23"/>
  <c r="U45" i="23"/>
  <c r="AZ44" i="23"/>
  <c r="AX44" i="23"/>
  <c r="AZ43" i="23"/>
  <c r="AX43" i="23"/>
  <c r="AY43" i="23"/>
  <c r="AZ42" i="23"/>
  <c r="AX42" i="23"/>
  <c r="U42" i="23"/>
  <c r="AZ41" i="23"/>
  <c r="AX41" i="23"/>
  <c r="U41" i="23"/>
  <c r="AZ40" i="23"/>
  <c r="AX40" i="23"/>
  <c r="AY40" i="23"/>
  <c r="AZ39" i="23"/>
  <c r="AX39" i="23"/>
  <c r="U39" i="23"/>
  <c r="AZ38" i="23"/>
  <c r="AX38" i="23"/>
  <c r="AY38" i="23"/>
  <c r="AZ37" i="23"/>
  <c r="AX37" i="23"/>
  <c r="AY37" i="23"/>
  <c r="AZ36" i="23"/>
  <c r="AX36" i="23"/>
  <c r="U36" i="23"/>
  <c r="AZ35" i="23"/>
  <c r="AX35" i="23"/>
  <c r="AY35" i="23"/>
  <c r="AZ34" i="23"/>
  <c r="AX34" i="23"/>
  <c r="AY34" i="23"/>
  <c r="AZ33" i="23"/>
  <c r="AX33" i="23"/>
  <c r="U33" i="23"/>
  <c r="AZ32" i="23"/>
  <c r="AX32" i="23"/>
  <c r="AY32" i="23"/>
  <c r="AZ31" i="23"/>
  <c r="AX31" i="23"/>
  <c r="AY31" i="23"/>
  <c r="AZ30" i="23"/>
  <c r="AX30" i="23"/>
  <c r="AY30" i="23"/>
  <c r="AZ29" i="23"/>
  <c r="AX29" i="23"/>
  <c r="U29" i="23"/>
  <c r="AZ28" i="23"/>
  <c r="AX28" i="23"/>
  <c r="AZ27" i="23"/>
  <c r="AX27" i="23"/>
  <c r="AY27" i="23"/>
  <c r="AZ26" i="23"/>
  <c r="AX26" i="23"/>
  <c r="AZ25" i="23"/>
  <c r="AX25" i="23"/>
  <c r="AZ24" i="23"/>
  <c r="AX24" i="23"/>
  <c r="AY24" i="23"/>
  <c r="AZ23" i="23"/>
  <c r="AX23" i="23"/>
  <c r="U23" i="23"/>
  <c r="AZ22" i="23"/>
  <c r="AX22" i="23"/>
  <c r="U22" i="23"/>
  <c r="AZ21" i="23"/>
  <c r="AX21" i="23"/>
  <c r="AY21" i="23"/>
  <c r="AZ20" i="23"/>
  <c r="AX20" i="23"/>
  <c r="AY20" i="23"/>
  <c r="AZ19" i="23"/>
  <c r="AX19" i="23"/>
  <c r="U19" i="23"/>
  <c r="AZ18" i="23"/>
  <c r="AX18" i="23"/>
  <c r="AY18" i="23"/>
  <c r="AZ17" i="23"/>
  <c r="AX17" i="23"/>
  <c r="AY17" i="23"/>
  <c r="AZ16" i="23"/>
  <c r="AX16" i="23"/>
  <c r="AZ15" i="23"/>
  <c r="AX15" i="23"/>
  <c r="AY15" i="23"/>
  <c r="AZ14" i="23"/>
  <c r="AX14" i="23"/>
  <c r="U14" i="23"/>
  <c r="AZ13" i="23"/>
  <c r="AX13" i="23"/>
  <c r="U13" i="23"/>
  <c r="AZ12" i="23"/>
  <c r="AX12" i="23"/>
  <c r="AY12" i="23"/>
  <c r="AZ11" i="23"/>
  <c r="AX11" i="23"/>
  <c r="U11" i="23"/>
  <c r="AZ10" i="23"/>
  <c r="AY10" i="23"/>
  <c r="AZ9" i="23"/>
  <c r="AX9" i="23"/>
  <c r="AY9" i="23"/>
  <c r="U30" i="23"/>
  <c r="BP41" i="17"/>
  <c r="BP40" i="17"/>
  <c r="BP39" i="17"/>
  <c r="BP38" i="17"/>
  <c r="BP37" i="17"/>
  <c r="BP36" i="17"/>
  <c r="BP35" i="17"/>
  <c r="BP34" i="17"/>
  <c r="BP33" i="17"/>
  <c r="BP32" i="17"/>
  <c r="BP31" i="17"/>
  <c r="BP30" i="17"/>
  <c r="BP29" i="17"/>
  <c r="BP28" i="17"/>
  <c r="BP27" i="17"/>
  <c r="BP26" i="17"/>
  <c r="BP25" i="17"/>
  <c r="BP24" i="17"/>
  <c r="BP23" i="17"/>
  <c r="BP22" i="17"/>
  <c r="BP21" i="17"/>
  <c r="BP20" i="17"/>
  <c r="BP19" i="17"/>
  <c r="BP18" i="17"/>
  <c r="BP17" i="17"/>
  <c r="BP16" i="17"/>
  <c r="BP15" i="17"/>
  <c r="BP14" i="17"/>
  <c r="BP13" i="17"/>
  <c r="BP12" i="17"/>
  <c r="BP11" i="17"/>
  <c r="BP10" i="17"/>
  <c r="BP9" i="17"/>
  <c r="W64" i="17"/>
  <c r="W63" i="17"/>
  <c r="BN9" i="17"/>
  <c r="F38" i="3"/>
  <c r="BO10" i="17"/>
  <c r="X63" i="17" s="1"/>
  <c r="BO11" i="17"/>
  <c r="X64" i="17" s="1"/>
  <c r="BO12" i="17"/>
  <c r="BO13" i="17"/>
  <c r="BO14" i="17"/>
  <c r="BO15" i="17"/>
  <c r="BO16" i="17"/>
  <c r="BO17" i="17"/>
  <c r="BO18" i="17"/>
  <c r="BO19" i="17"/>
  <c r="BO20" i="17"/>
  <c r="AG20" i="17"/>
  <c r="BO21" i="17"/>
  <c r="AG21" i="17"/>
  <c r="BO22" i="17"/>
  <c r="AG22" i="17"/>
  <c r="BO23" i="17"/>
  <c r="AG23" i="17"/>
  <c r="BO24" i="17"/>
  <c r="AG24" i="17"/>
  <c r="BO25" i="17"/>
  <c r="BO26" i="17"/>
  <c r="BO27" i="17"/>
  <c r="AG27" i="17"/>
  <c r="BO28" i="17"/>
  <c r="AG28" i="17"/>
  <c r="BO29" i="17"/>
  <c r="AG29" i="17"/>
  <c r="BO30" i="17"/>
  <c r="AG30" i="17"/>
  <c r="BO31" i="17"/>
  <c r="AG31" i="17"/>
  <c r="BO32" i="17"/>
  <c r="AG32" i="17"/>
  <c r="BO33" i="17"/>
  <c r="AG33" i="17"/>
  <c r="BO34" i="17"/>
  <c r="AG34" i="17"/>
  <c r="BO35" i="17"/>
  <c r="AG35" i="17"/>
  <c r="BO36" i="17"/>
  <c r="AG36" i="17"/>
  <c r="BO37" i="17"/>
  <c r="AG37" i="17"/>
  <c r="BO38" i="17"/>
  <c r="AG38" i="17"/>
  <c r="BO39" i="17"/>
  <c r="AG39" i="17"/>
  <c r="BO40" i="17"/>
  <c r="BO41" i="17"/>
  <c r="BO9" i="17"/>
  <c r="O45" i="3"/>
  <c r="Q45" i="3"/>
  <c r="D5" i="3"/>
  <c r="D5" i="2"/>
  <c r="D4" i="3"/>
  <c r="D4" i="2"/>
  <c r="AF42" i="17"/>
  <c r="AF45" i="17"/>
  <c r="O10" i="2"/>
  <c r="AE10" i="2" s="1"/>
  <c r="O11" i="2"/>
  <c r="AE11" i="2" s="1"/>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9" i="2"/>
  <c r="AE9" i="2" s="1"/>
  <c r="N44" i="2"/>
  <c r="N41" i="2"/>
  <c r="G55" i="3"/>
  <c r="F55" i="3"/>
  <c r="G54" i="3"/>
  <c r="F54" i="3"/>
  <c r="G53" i="3"/>
  <c r="F53" i="3"/>
  <c r="G52" i="3"/>
  <c r="F52" i="3"/>
  <c r="G51" i="3"/>
  <c r="F51" i="3"/>
  <c r="G50" i="3"/>
  <c r="F50" i="3"/>
  <c r="G49" i="3"/>
  <c r="F49" i="3"/>
  <c r="G48" i="3"/>
  <c r="F48" i="3"/>
  <c r="G47" i="3"/>
  <c r="F47" i="3"/>
  <c r="G46" i="3"/>
  <c r="F46" i="3"/>
  <c r="G45" i="3"/>
  <c r="F45" i="3"/>
  <c r="G44" i="3"/>
  <c r="F44" i="3"/>
  <c r="G43" i="3"/>
  <c r="F43" i="3"/>
  <c r="G42" i="3"/>
  <c r="F42" i="3"/>
  <c r="G41" i="3"/>
  <c r="F41" i="3"/>
  <c r="I41" i="3" s="1"/>
  <c r="G40" i="3"/>
  <c r="F40" i="3"/>
  <c r="G39" i="3"/>
  <c r="F39" i="3"/>
  <c r="G38" i="3"/>
  <c r="O54" i="2"/>
  <c r="N54" i="2"/>
  <c r="M54" i="2"/>
  <c r="S45" i="17"/>
  <c r="S42" i="17"/>
  <c r="P40" i="3"/>
  <c r="O40" i="3"/>
  <c r="S57" i="17"/>
  <c r="AA45" i="17"/>
  <c r="Z45" i="17"/>
  <c r="Y45" i="17"/>
  <c r="X45" i="17"/>
  <c r="W45" i="17"/>
  <c r="V45" i="17"/>
  <c r="U45" i="17"/>
  <c r="T45" i="17"/>
  <c r="R45" i="17"/>
  <c r="Q45" i="17"/>
  <c r="AA42" i="17"/>
  <c r="Z42" i="17"/>
  <c r="Y42" i="17"/>
  <c r="X42" i="17"/>
  <c r="W42" i="17"/>
  <c r="V42" i="17"/>
  <c r="U42" i="17"/>
  <c r="T42" i="17"/>
  <c r="R42" i="17"/>
  <c r="Q42" i="17"/>
  <c r="P30" i="3"/>
  <c r="M44" i="2"/>
  <c r="P23" i="3"/>
  <c r="P10" i="3"/>
  <c r="P11" i="3"/>
  <c r="P12" i="3"/>
  <c r="N40" i="3" s="1"/>
  <c r="P13" i="3"/>
  <c r="P14" i="3"/>
  <c r="P15" i="3"/>
  <c r="P16" i="3"/>
  <c r="P17" i="3"/>
  <c r="P18" i="3"/>
  <c r="P19" i="3"/>
  <c r="P20" i="3"/>
  <c r="P21" i="3"/>
  <c r="P22" i="3"/>
  <c r="P24" i="3"/>
  <c r="P25" i="3"/>
  <c r="P26" i="3"/>
  <c r="P27" i="3"/>
  <c r="P28" i="3"/>
  <c r="P29" i="3"/>
  <c r="M41" i="2"/>
  <c r="T41" i="2"/>
  <c r="O31" i="3"/>
  <c r="P9" i="3"/>
  <c r="Q40" i="3" s="1"/>
  <c r="O49" i="3" s="1"/>
  <c r="AC45" i="17"/>
  <c r="BE63" i="23" l="1"/>
  <c r="U16" i="23"/>
  <c r="AP102" i="23"/>
  <c r="U102" i="23"/>
  <c r="U105" i="23"/>
  <c r="AP105" i="23"/>
  <c r="AP97" i="23"/>
  <c r="U97" i="23"/>
  <c r="AP100" i="23"/>
  <c r="U100" i="23"/>
  <c r="AP103" i="23"/>
  <c r="U103" i="23"/>
  <c r="AP99" i="23"/>
  <c r="U99" i="23"/>
  <c r="U106" i="23"/>
  <c r="AP106" i="23"/>
  <c r="U98" i="23"/>
  <c r="AP98" i="23"/>
  <c r="U101" i="23"/>
  <c r="AP101" i="23"/>
  <c r="AP104" i="23"/>
  <c r="U104" i="23"/>
  <c r="AP107" i="23"/>
  <c r="U107" i="23"/>
  <c r="G69" i="3"/>
  <c r="I53" i="3"/>
  <c r="I39" i="3"/>
  <c r="I49" i="3"/>
  <c r="I43" i="3"/>
  <c r="I47" i="3"/>
  <c r="I51" i="3"/>
  <c r="I55" i="3"/>
  <c r="I45" i="3"/>
  <c r="I40" i="3"/>
  <c r="I44" i="3"/>
  <c r="I48" i="3"/>
  <c r="I52" i="3"/>
  <c r="I42" i="3"/>
  <c r="I46" i="3"/>
  <c r="I50" i="3"/>
  <c r="I54" i="3"/>
  <c r="I38" i="3"/>
  <c r="T16" i="43"/>
  <c r="T16" i="45"/>
  <c r="T16" i="34"/>
  <c r="H57" i="3"/>
  <c r="Q16" i="45"/>
  <c r="Q16" i="43"/>
  <c r="P54" i="2"/>
  <c r="P55" i="2" s="1"/>
  <c r="N49" i="2"/>
  <c r="K15" i="43"/>
  <c r="K15" i="45"/>
  <c r="T75" i="23"/>
  <c r="V75" i="23" s="1"/>
  <c r="BA10" i="23"/>
  <c r="BA12" i="23"/>
  <c r="Q127" i="23"/>
  <c r="O51" i="3"/>
  <c r="R44" i="3"/>
  <c r="O50" i="3"/>
  <c r="R40" i="3"/>
  <c r="Q16" i="34"/>
  <c r="AE12" i="2"/>
  <c r="L49" i="2"/>
  <c r="M49" i="2"/>
  <c r="O49" i="2"/>
  <c r="N57" i="2" s="1"/>
  <c r="G70" i="3"/>
  <c r="G76" i="3"/>
  <c r="G75" i="3"/>
  <c r="G74" i="3"/>
  <c r="G73" i="3"/>
  <c r="G72" i="3"/>
  <c r="G71" i="3"/>
  <c r="K15" i="34"/>
  <c r="P34" i="3"/>
  <c r="AX60" i="23"/>
  <c r="AZ60" i="23"/>
  <c r="F56" i="3"/>
  <c r="F57" i="3" s="1"/>
  <c r="P31" i="3"/>
  <c r="G56" i="3"/>
  <c r="G57" i="3" s="1"/>
  <c r="AY58" i="23"/>
  <c r="BA58" i="23" s="1"/>
  <c r="BE58" i="23" s="1"/>
  <c r="BA53" i="23"/>
  <c r="Z63" i="17"/>
  <c r="O41" i="2"/>
  <c r="BQ34" i="17"/>
  <c r="BS34" i="17" s="1"/>
  <c r="BQ35" i="17"/>
  <c r="BS35" i="17" s="1"/>
  <c r="BQ31" i="17"/>
  <c r="BS31" i="17" s="1"/>
  <c r="BQ12" i="17"/>
  <c r="BQ37" i="17"/>
  <c r="BS37" i="17" s="1"/>
  <c r="AG99" i="23"/>
  <c r="AY47" i="23"/>
  <c r="BA47" i="23" s="1"/>
  <c r="BE47" i="23" s="1"/>
  <c r="AG107" i="23"/>
  <c r="U56" i="23"/>
  <c r="U53" i="23"/>
  <c r="U17" i="23"/>
  <c r="AY45" i="23"/>
  <c r="BA45" i="23" s="1"/>
  <c r="BE45" i="23" s="1"/>
  <c r="U38" i="23"/>
  <c r="BA31" i="23"/>
  <c r="AY46" i="23"/>
  <c r="BA46" i="23" s="1"/>
  <c r="U31" i="23"/>
  <c r="AY13" i="23"/>
  <c r="BA13" i="23" s="1"/>
  <c r="AD99" i="23"/>
  <c r="AF98" i="23"/>
  <c r="AF106" i="23"/>
  <c r="AG104" i="23"/>
  <c r="AF99" i="23"/>
  <c r="AF107" i="23"/>
  <c r="AG97" i="23"/>
  <c r="AG105" i="23"/>
  <c r="AF92" i="23"/>
  <c r="AF100" i="23"/>
  <c r="AG98" i="23"/>
  <c r="AG106" i="23"/>
  <c r="AE98" i="23"/>
  <c r="AE106" i="23"/>
  <c r="AF101" i="23"/>
  <c r="AF102" i="23"/>
  <c r="AG92" i="23"/>
  <c r="AG100" i="23"/>
  <c r="AF103" i="23"/>
  <c r="AG101" i="23"/>
  <c r="AF104" i="23"/>
  <c r="AG102" i="23"/>
  <c r="AG103" i="23"/>
  <c r="AE97" i="23"/>
  <c r="AE105" i="23"/>
  <c r="AE99" i="23"/>
  <c r="AE107" i="23"/>
  <c r="AE100" i="23"/>
  <c r="AD97" i="23"/>
  <c r="AD105" i="23"/>
  <c r="AD107" i="23"/>
  <c r="AE101" i="23"/>
  <c r="AE102" i="23"/>
  <c r="AE103" i="23"/>
  <c r="AE104" i="23"/>
  <c r="AY16" i="23"/>
  <c r="BA16" i="23" s="1"/>
  <c r="BE16" i="23" s="1"/>
  <c r="D3" i="2"/>
  <c r="D3" i="3"/>
  <c r="BQ13" i="17"/>
  <c r="BQ14" i="17"/>
  <c r="U67" i="17" s="1"/>
  <c r="BQ15" i="17"/>
  <c r="BR15" i="17" s="1"/>
  <c r="BQ19" i="17"/>
  <c r="BS19" i="17" s="1"/>
  <c r="AC42" i="17"/>
  <c r="X77" i="17"/>
  <c r="BQ24" i="17"/>
  <c r="BR24" i="17" s="1"/>
  <c r="BQ36" i="17"/>
  <c r="BS36" i="17" s="1"/>
  <c r="BQ26" i="17"/>
  <c r="BS26" i="17" s="1"/>
  <c r="Z65" i="17"/>
  <c r="AQ65" i="17" s="1"/>
  <c r="BQ28" i="17"/>
  <c r="BS28" i="17" s="1"/>
  <c r="BQ18" i="17"/>
  <c r="BS18" i="17" s="1"/>
  <c r="BQ23" i="17"/>
  <c r="BS23" i="17" s="1"/>
  <c r="BQ20" i="17"/>
  <c r="BS20" i="17" s="1"/>
  <c r="BQ32" i="17"/>
  <c r="BR32" i="17" s="1"/>
  <c r="BQ10" i="17"/>
  <c r="T63" i="17" s="1"/>
  <c r="V63" i="17" s="1"/>
  <c r="BA43" i="23"/>
  <c r="AY50" i="23"/>
  <c r="BA50" i="23" s="1"/>
  <c r="BG50" i="23" s="1"/>
  <c r="AY52" i="23"/>
  <c r="BA52" i="23" s="1"/>
  <c r="BA27" i="23"/>
  <c r="AY49" i="23"/>
  <c r="BA49" i="23" s="1"/>
  <c r="BE49" i="23" s="1"/>
  <c r="AY51" i="23"/>
  <c r="BA51" i="23" s="1"/>
  <c r="BE51" i="23" s="1"/>
  <c r="BA40" i="23"/>
  <c r="Z108" i="23"/>
  <c r="AA102" i="23"/>
  <c r="AA105" i="23"/>
  <c r="BN45" i="17"/>
  <c r="BQ17" i="17"/>
  <c r="BS17" i="17" s="1"/>
  <c r="Z68" i="17"/>
  <c r="AQ68" i="17" s="1"/>
  <c r="Z64" i="17"/>
  <c r="BQ22" i="17"/>
  <c r="BS22" i="17" s="1"/>
  <c r="BQ11" i="17"/>
  <c r="T64" i="17" s="1"/>
  <c r="V64" i="17" s="1"/>
  <c r="Z71" i="17"/>
  <c r="AQ71" i="17" s="1"/>
  <c r="BQ41" i="17"/>
  <c r="BS41" i="17" s="1"/>
  <c r="BQ39" i="17"/>
  <c r="BS39" i="17" s="1"/>
  <c r="BQ33" i="17"/>
  <c r="BS33" i="17" s="1"/>
  <c r="BQ29" i="17"/>
  <c r="BS29" i="17" s="1"/>
  <c r="BQ27" i="17"/>
  <c r="BR27" i="17" s="1"/>
  <c r="BQ25" i="17"/>
  <c r="BS25" i="17" s="1"/>
  <c r="BQ30" i="17"/>
  <c r="BR30" i="17" s="1"/>
  <c r="Z73" i="17"/>
  <c r="AQ73" i="17" s="1"/>
  <c r="Z70" i="17"/>
  <c r="AQ70" i="17" s="1"/>
  <c r="Z67" i="17"/>
  <c r="AQ67" i="17" s="1"/>
  <c r="Z75" i="17"/>
  <c r="AQ75" i="17" s="1"/>
  <c r="Z74" i="17"/>
  <c r="AQ74" i="17" s="1"/>
  <c r="BQ38" i="17"/>
  <c r="BR38" i="17" s="1"/>
  <c r="Y77" i="17"/>
  <c r="BQ40" i="17"/>
  <c r="BS40" i="17" s="1"/>
  <c r="BO42" i="17"/>
  <c r="BP45" i="17"/>
  <c r="BQ21" i="17"/>
  <c r="BR21" i="17" s="1"/>
  <c r="Z72" i="17"/>
  <c r="AQ72" i="17" s="1"/>
  <c r="Z69" i="17"/>
  <c r="AQ69" i="17" s="1"/>
  <c r="Z66" i="17"/>
  <c r="AQ66" i="17" s="1"/>
  <c r="AY33" i="23"/>
  <c r="BA33" i="23" s="1"/>
  <c r="BG33" i="23" s="1"/>
  <c r="BH33" i="23" s="1"/>
  <c r="U34" i="23"/>
  <c r="U35" i="23"/>
  <c r="AY36" i="23"/>
  <c r="BA36" i="23" s="1"/>
  <c r="BE36" i="23" s="1"/>
  <c r="U37" i="23"/>
  <c r="AA100" i="23"/>
  <c r="AA101" i="23"/>
  <c r="AA103" i="23"/>
  <c r="AY22" i="23"/>
  <c r="BA22" i="23" s="1"/>
  <c r="AG94" i="23" s="1"/>
  <c r="AY23" i="23"/>
  <c r="BA23" i="23" s="1"/>
  <c r="U21" i="23"/>
  <c r="AY11" i="23"/>
  <c r="BA11" i="23" s="1"/>
  <c r="AY14" i="23"/>
  <c r="BA14" i="23" s="1"/>
  <c r="BA17" i="23"/>
  <c r="AY41" i="23"/>
  <c r="BA41" i="23" s="1"/>
  <c r="BG41" i="23" s="1"/>
  <c r="BH41" i="23" s="1"/>
  <c r="AY42" i="23"/>
  <c r="BA42" i="23" s="1"/>
  <c r="BE42" i="23" s="1"/>
  <c r="U43" i="23"/>
  <c r="BA21" i="23"/>
  <c r="AY48" i="23"/>
  <c r="BA48" i="23" s="1"/>
  <c r="BE48" i="23" s="1"/>
  <c r="BA9" i="23"/>
  <c r="H69" i="23"/>
  <c r="BA20" i="23"/>
  <c r="U32" i="23"/>
  <c r="U55" i="23"/>
  <c r="BA35" i="23"/>
  <c r="BA54" i="23"/>
  <c r="AA92" i="23"/>
  <c r="AA104" i="23"/>
  <c r="AA106" i="23"/>
  <c r="BA34" i="23"/>
  <c r="BA15" i="23"/>
  <c r="AA99" i="23"/>
  <c r="U27" i="23"/>
  <c r="AY19" i="23"/>
  <c r="BA19" i="23" s="1"/>
  <c r="BE19" i="23" s="1"/>
  <c r="U20" i="23"/>
  <c r="BA24" i="23"/>
  <c r="BA30" i="23"/>
  <c r="BG30" i="23" s="1"/>
  <c r="BH30" i="23" s="1"/>
  <c r="BA38" i="23"/>
  <c r="AY39" i="23"/>
  <c r="BA39" i="23" s="1"/>
  <c r="U40" i="23"/>
  <c r="BA55" i="23"/>
  <c r="AA97" i="23"/>
  <c r="AA98" i="23"/>
  <c r="BA18" i="23"/>
  <c r="AA107" i="23"/>
  <c r="AZ63" i="23"/>
  <c r="U26" i="23"/>
  <c r="AY26" i="23"/>
  <c r="BA26" i="23" s="1"/>
  <c r="BA37" i="23"/>
  <c r="U25" i="23"/>
  <c r="AY25" i="23"/>
  <c r="BA25" i="23" s="1"/>
  <c r="AG95" i="23" s="1"/>
  <c r="BA56" i="23"/>
  <c r="AY28" i="23"/>
  <c r="BA28" i="23" s="1"/>
  <c r="AF96" i="23" s="1"/>
  <c r="X108" i="23"/>
  <c r="AY29" i="23"/>
  <c r="BA29" i="23" s="1"/>
  <c r="BE29" i="23" s="1"/>
  <c r="U54" i="23"/>
  <c r="O63" i="23"/>
  <c r="O60" i="23"/>
  <c r="AY57" i="23"/>
  <c r="BA57" i="23" s="1"/>
  <c r="V108" i="23"/>
  <c r="V109" i="23" s="1"/>
  <c r="BA32" i="23"/>
  <c r="U44" i="23"/>
  <c r="AY44" i="23"/>
  <c r="BA44" i="23" s="1"/>
  <c r="BA59" i="23"/>
  <c r="AE42" i="17"/>
  <c r="AE45" i="17"/>
  <c r="BO45" i="17"/>
  <c r="BQ9" i="17"/>
  <c r="BS9" i="17" s="1"/>
  <c r="BP42" i="17"/>
  <c r="AG26" i="17"/>
  <c r="BN42" i="17"/>
  <c r="BQ16" i="17"/>
  <c r="O44" i="2"/>
  <c r="U15" i="23" l="1"/>
  <c r="C71" i="23"/>
  <c r="C70" i="23"/>
  <c r="H70" i="23" s="1"/>
  <c r="O52" i="3"/>
  <c r="O53" i="3" s="1"/>
  <c r="V16" i="34"/>
  <c r="V16" i="45"/>
  <c r="R41" i="3"/>
  <c r="V16" i="43"/>
  <c r="N59" i="2"/>
  <c r="Q15" i="45"/>
  <c r="L56" i="45" s="1"/>
  <c r="Q15" i="43"/>
  <c r="L56" i="43" s="1"/>
  <c r="P56" i="43" s="1"/>
  <c r="K12" i="43"/>
  <c r="K12" i="45"/>
  <c r="N58" i="2"/>
  <c r="P49" i="2"/>
  <c r="AQ64" i="17"/>
  <c r="T77" i="17"/>
  <c r="U77" i="17"/>
  <c r="V67" i="17"/>
  <c r="V77" i="17" s="1"/>
  <c r="BG14" i="23"/>
  <c r="M69" i="23"/>
  <c r="R114" i="23"/>
  <c r="R91" i="23"/>
  <c r="R125" i="23"/>
  <c r="U12" i="23"/>
  <c r="Q126" i="23"/>
  <c r="BE13" i="23"/>
  <c r="R69" i="23"/>
  <c r="U10" i="23"/>
  <c r="Q124" i="23"/>
  <c r="R124" i="23"/>
  <c r="R113" i="23"/>
  <c r="R90" i="23"/>
  <c r="L57" i="45"/>
  <c r="P57" i="45" s="1"/>
  <c r="L57" i="43"/>
  <c r="P57" i="43" s="1"/>
  <c r="AQ63" i="17"/>
  <c r="Q15" i="34"/>
  <c r="BR11" i="17"/>
  <c r="X58" i="17" s="1"/>
  <c r="X53" i="17"/>
  <c r="S54" i="17" s="1"/>
  <c r="BR12" i="17"/>
  <c r="W58" i="17" s="1"/>
  <c r="W53" i="17"/>
  <c r="BR14" i="17"/>
  <c r="U58" i="17" s="1"/>
  <c r="U53" i="17"/>
  <c r="K12" i="34"/>
  <c r="BE10" i="23"/>
  <c r="Q96" i="23"/>
  <c r="U28" i="23"/>
  <c r="Q94" i="23"/>
  <c r="U24" i="23"/>
  <c r="Q92" i="23"/>
  <c r="U18" i="23"/>
  <c r="AY60" i="23"/>
  <c r="BR10" i="17"/>
  <c r="BS10" i="17"/>
  <c r="I56" i="3"/>
  <c r="I57" i="3" s="1"/>
  <c r="BE15" i="23"/>
  <c r="BG53" i="23"/>
  <c r="BH53" i="23" s="1"/>
  <c r="BG9" i="23"/>
  <c r="BH9" i="23" s="1"/>
  <c r="BG31" i="23"/>
  <c r="BH31" i="23" s="1"/>
  <c r="V53" i="17"/>
  <c r="BS13" i="17"/>
  <c r="Y53" i="17"/>
  <c r="BR26" i="17"/>
  <c r="BR19" i="17"/>
  <c r="BR37" i="17"/>
  <c r="BR31" i="17"/>
  <c r="BR34" i="17"/>
  <c r="BS15" i="17"/>
  <c r="BR9" i="17"/>
  <c r="BR33" i="17"/>
  <c r="BR41" i="17"/>
  <c r="BR35" i="17"/>
  <c r="BS12" i="17"/>
  <c r="BR28" i="17"/>
  <c r="BR36" i="17"/>
  <c r="BS24" i="17"/>
  <c r="BR18" i="17"/>
  <c r="BS27" i="17"/>
  <c r="BR13" i="17"/>
  <c r="V58" i="17" s="1"/>
  <c r="BS32" i="17"/>
  <c r="BS14" i="17"/>
  <c r="BR22" i="17"/>
  <c r="Q91" i="23"/>
  <c r="BG43" i="23"/>
  <c r="BH43" i="23" s="1"/>
  <c r="BE56" i="23"/>
  <c r="BE33" i="23"/>
  <c r="BE30" i="23"/>
  <c r="BG48" i="23"/>
  <c r="BH48" i="23" s="1"/>
  <c r="BE31" i="23"/>
  <c r="BG58" i="23"/>
  <c r="BH58" i="23" s="1"/>
  <c r="BE43" i="23"/>
  <c r="BG35" i="23"/>
  <c r="BH35" i="23" s="1"/>
  <c r="BE46" i="23"/>
  <c r="BG46" i="23"/>
  <c r="BH46" i="23" s="1"/>
  <c r="BG22" i="23"/>
  <c r="BH22" i="23" s="1"/>
  <c r="BE22" i="23"/>
  <c r="BE17" i="23"/>
  <c r="BG47" i="23"/>
  <c r="BH47" i="23" s="1"/>
  <c r="BH50" i="23"/>
  <c r="BE38" i="23"/>
  <c r="BG54" i="23"/>
  <c r="BH54" i="23" s="1"/>
  <c r="BE50" i="23"/>
  <c r="N69" i="23"/>
  <c r="F73" i="23" s="1"/>
  <c r="BE53" i="23"/>
  <c r="BG40" i="23"/>
  <c r="BH40" i="23" s="1"/>
  <c r="AG93" i="23"/>
  <c r="BG21" i="23"/>
  <c r="BH21" i="23" s="1"/>
  <c r="BG19" i="23"/>
  <c r="BH19" i="23" s="1"/>
  <c r="AG96" i="23"/>
  <c r="AA96" i="23"/>
  <c r="AD96" i="23"/>
  <c r="Y108" i="23"/>
  <c r="Q95" i="23"/>
  <c r="AF95" i="23"/>
  <c r="AA95" i="23"/>
  <c r="AA94" i="23"/>
  <c r="AF94" i="23"/>
  <c r="BE21" i="23"/>
  <c r="BE18" i="23"/>
  <c r="BG17" i="23"/>
  <c r="BH17" i="23" s="1"/>
  <c r="BG15" i="23"/>
  <c r="BH15" i="23" s="1"/>
  <c r="BE14" i="23"/>
  <c r="P69" i="23"/>
  <c r="AH105" i="23"/>
  <c r="AH106" i="23"/>
  <c r="AH98" i="23"/>
  <c r="AH103" i="23"/>
  <c r="BG12" i="23"/>
  <c r="BH12" i="23" s="1"/>
  <c r="AH97" i="23"/>
  <c r="AH100" i="23"/>
  <c r="AH102" i="23"/>
  <c r="AH104" i="23"/>
  <c r="BE11" i="23"/>
  <c r="O69" i="23"/>
  <c r="AH107" i="23"/>
  <c r="AH101" i="23"/>
  <c r="AH99" i="23"/>
  <c r="AD94" i="23"/>
  <c r="Q90" i="23"/>
  <c r="BE20" i="23"/>
  <c r="Q93" i="23"/>
  <c r="BH14" i="23"/>
  <c r="BG24" i="23"/>
  <c r="BH24" i="23" s="1"/>
  <c r="BG27" i="23"/>
  <c r="BH27" i="23" s="1"/>
  <c r="BG16" i="23"/>
  <c r="BE27" i="23"/>
  <c r="S77" i="17"/>
  <c r="S78" i="17" s="1"/>
  <c r="AG42" i="17"/>
  <c r="BR20" i="17"/>
  <c r="BS11" i="17"/>
  <c r="BR29" i="17"/>
  <c r="BR23" i="17"/>
  <c r="BS30" i="17"/>
  <c r="BR17" i="17"/>
  <c r="BE52" i="23"/>
  <c r="BG52" i="23"/>
  <c r="BH52" i="23" s="1"/>
  <c r="BG51" i="23"/>
  <c r="BH51" i="23" s="1"/>
  <c r="BG20" i="23"/>
  <c r="BH20" i="23" s="1"/>
  <c r="BG49" i="23"/>
  <c r="BH49" i="23" s="1"/>
  <c r="BG36" i="23"/>
  <c r="BH36" i="23" s="1"/>
  <c r="BE35" i="23"/>
  <c r="BR25" i="17"/>
  <c r="BR39" i="17"/>
  <c r="Z76" i="17"/>
  <c r="AQ76" i="17" s="1"/>
  <c r="BR40" i="17"/>
  <c r="BS38" i="17"/>
  <c r="BS21" i="17"/>
  <c r="BE44" i="23"/>
  <c r="BE41" i="23"/>
  <c r="BE26" i="23"/>
  <c r="BG10" i="23"/>
  <c r="BH10" i="23" s="1"/>
  <c r="BE12" i="23"/>
  <c r="BE24" i="23"/>
  <c r="BE39" i="23"/>
  <c r="BG39" i="23"/>
  <c r="BH39" i="23" s="1"/>
  <c r="BG18" i="23"/>
  <c r="BH18" i="23" s="1"/>
  <c r="BG11" i="23"/>
  <c r="BG38" i="23"/>
  <c r="BH38" i="23" s="1"/>
  <c r="BG55" i="23"/>
  <c r="BH55" i="23" s="1"/>
  <c r="BE55" i="23"/>
  <c r="BG13" i="23"/>
  <c r="BH13" i="23" s="1"/>
  <c r="BG25" i="23"/>
  <c r="BH25" i="23" s="1"/>
  <c r="BE34" i="23"/>
  <c r="BG34" i="23"/>
  <c r="BH34" i="23" s="1"/>
  <c r="BE40" i="23"/>
  <c r="BG29" i="23"/>
  <c r="BH29" i="23" s="1"/>
  <c r="BG45" i="23"/>
  <c r="BH45" i="23" s="1"/>
  <c r="BG28" i="23"/>
  <c r="BH28" i="23" s="1"/>
  <c r="BG44" i="23"/>
  <c r="BH44" i="23" s="1"/>
  <c r="BG23" i="23"/>
  <c r="BH23" i="23" s="1"/>
  <c r="BE23" i="23"/>
  <c r="BE57" i="23"/>
  <c r="BG57" i="23"/>
  <c r="BH57" i="23" s="1"/>
  <c r="BE25" i="23"/>
  <c r="BA63" i="23"/>
  <c r="BE28" i="23"/>
  <c r="BE32" i="23"/>
  <c r="BG32" i="23"/>
  <c r="BH32" i="23" s="1"/>
  <c r="BE59" i="23"/>
  <c r="BG59" i="23"/>
  <c r="BH59" i="23" s="1"/>
  <c r="T60" i="23"/>
  <c r="BG42" i="23"/>
  <c r="BH42" i="23" s="1"/>
  <c r="T63" i="23"/>
  <c r="BE37" i="23"/>
  <c r="BG37" i="23"/>
  <c r="BH37" i="23" s="1"/>
  <c r="BG26" i="23"/>
  <c r="BH26" i="23" s="1"/>
  <c r="BG56" i="23"/>
  <c r="BH56" i="23" s="1"/>
  <c r="BE54" i="23"/>
  <c r="BF63" i="23"/>
  <c r="BA60" i="23"/>
  <c r="BQ42" i="17"/>
  <c r="BS42" i="17" s="1"/>
  <c r="BQ45" i="17"/>
  <c r="BS16" i="17"/>
  <c r="BR16" i="17"/>
  <c r="AG45" i="17"/>
  <c r="W77" i="17"/>
  <c r="T69" i="23" l="1"/>
  <c r="T70" i="23" s="1"/>
  <c r="BG63" i="23"/>
  <c r="P56" i="45"/>
  <c r="E61" i="43" a="1"/>
  <c r="E61" i="43" s="1"/>
  <c r="E59" i="43"/>
  <c r="E60" i="43"/>
  <c r="E61" i="34" a="1"/>
  <c r="E61" i="34" s="1"/>
  <c r="E60" i="34"/>
  <c r="E59" i="34"/>
  <c r="E61" i="45" a="1"/>
  <c r="E61" i="45" s="1"/>
  <c r="E60" i="45"/>
  <c r="E59" i="45"/>
  <c r="H71" i="23"/>
  <c r="J22" i="43"/>
  <c r="J22" i="45"/>
  <c r="K20" i="45"/>
  <c r="K43" i="45" s="1"/>
  <c r="K20" i="43"/>
  <c r="K43" i="43" s="1"/>
  <c r="U93" i="23"/>
  <c r="AP93" i="23"/>
  <c r="P23" i="45"/>
  <c r="P23" i="43"/>
  <c r="P23" i="34"/>
  <c r="U91" i="23"/>
  <c r="AP91" i="23"/>
  <c r="T20" i="43"/>
  <c r="T20" i="45"/>
  <c r="N82" i="23"/>
  <c r="T20" i="34"/>
  <c r="G73" i="23"/>
  <c r="T109" i="23"/>
  <c r="Q113" i="23"/>
  <c r="AP90" i="23"/>
  <c r="U90" i="23"/>
  <c r="J21" i="43"/>
  <c r="J21" i="45"/>
  <c r="U92" i="23"/>
  <c r="AP92" i="23"/>
  <c r="AE95" i="23"/>
  <c r="AP95" i="23"/>
  <c r="U95" i="23"/>
  <c r="AE94" i="23"/>
  <c r="AH94" i="23" s="1"/>
  <c r="AP94" i="23"/>
  <c r="U94" i="23"/>
  <c r="AE96" i="23"/>
  <c r="AH96" i="23" s="1"/>
  <c r="AP96" i="23"/>
  <c r="U96" i="23"/>
  <c r="N60" i="2"/>
  <c r="O60" i="2" s="1"/>
  <c r="T15" i="34"/>
  <c r="V15" i="34" s="1"/>
  <c r="T15" i="45"/>
  <c r="V15" i="45" s="1"/>
  <c r="T15" i="43"/>
  <c r="V15" i="43" s="1"/>
  <c r="T12" i="43"/>
  <c r="T12" i="45"/>
  <c r="T12" i="34"/>
  <c r="P14" i="45"/>
  <c r="P14" i="43"/>
  <c r="U78" i="17"/>
  <c r="M74" i="23"/>
  <c r="R128" i="23"/>
  <c r="Q128" i="23"/>
  <c r="Q129" i="23" s="1"/>
  <c r="R119" i="23"/>
  <c r="L62" i="45"/>
  <c r="P62" i="45" s="1"/>
  <c r="L61" i="43"/>
  <c r="P61" i="43" s="1"/>
  <c r="E72" i="23"/>
  <c r="E73" i="23" s="1"/>
  <c r="N74" i="23"/>
  <c r="BH16" i="23"/>
  <c r="R74" i="23"/>
  <c r="N84" i="23"/>
  <c r="N81" i="23"/>
  <c r="Z53" i="17"/>
  <c r="S55" i="17"/>
  <c r="P14" i="34"/>
  <c r="P45" i="34" s="1"/>
  <c r="R77" i="34" s="1"/>
  <c r="D61" i="45"/>
  <c r="D59" i="45"/>
  <c r="D60" i="45"/>
  <c r="D60" i="34"/>
  <c r="D59" i="34"/>
  <c r="D61" i="34"/>
  <c r="D60" i="43"/>
  <c r="D58" i="43"/>
  <c r="D59" i="43"/>
  <c r="AE92" i="23"/>
  <c r="AD92" i="23"/>
  <c r="T126" i="23" s="1"/>
  <c r="K20" i="34"/>
  <c r="AF90" i="23"/>
  <c r="AA90" i="23"/>
  <c r="J22" i="34"/>
  <c r="J21" i="34"/>
  <c r="Y58" i="17"/>
  <c r="Z58" i="17" s="1"/>
  <c r="S53" i="17"/>
  <c r="AG90" i="23"/>
  <c r="R108" i="23"/>
  <c r="AA108" i="23" s="1"/>
  <c r="AF93" i="23"/>
  <c r="AE93" i="23"/>
  <c r="P74" i="23"/>
  <c r="AA93" i="23"/>
  <c r="D72" i="23"/>
  <c r="AD95" i="23"/>
  <c r="AE91" i="23"/>
  <c r="AF91" i="23"/>
  <c r="AG91" i="23"/>
  <c r="AD91" i="23"/>
  <c r="T125" i="23" s="1"/>
  <c r="AA91" i="23"/>
  <c r="Q108" i="23"/>
  <c r="Q109" i="23" s="1"/>
  <c r="AD90" i="23"/>
  <c r="T124" i="23" s="1"/>
  <c r="Q115" i="23"/>
  <c r="AD93" i="23"/>
  <c r="T127" i="23" s="1"/>
  <c r="Q116" i="23"/>
  <c r="Q114" i="23"/>
  <c r="Q118" i="23"/>
  <c r="Q117" i="23"/>
  <c r="BH11" i="23"/>
  <c r="O74" i="23"/>
  <c r="Q74" i="23"/>
  <c r="AE90" i="23"/>
  <c r="Z77" i="17"/>
  <c r="AQ77" i="17" s="1"/>
  <c r="BE60" i="23"/>
  <c r="BG60" i="23"/>
  <c r="BH60" i="23" s="1"/>
  <c r="BI63" i="23"/>
  <c r="BJ63" i="23" s="1"/>
  <c r="BR42" i="17"/>
  <c r="BR45" i="17"/>
  <c r="T40" i="34" l="1"/>
  <c r="V40" i="34" s="1"/>
  <c r="P45" i="43"/>
  <c r="R94" i="43" s="1"/>
  <c r="R85" i="34"/>
  <c r="L55" i="45"/>
  <c r="P55" i="45" s="1"/>
  <c r="P45" i="45"/>
  <c r="R96" i="45" s="1"/>
  <c r="L55" i="43"/>
  <c r="P55" i="43" s="1"/>
  <c r="D63" i="43"/>
  <c r="AH95" i="23"/>
  <c r="N83" i="23"/>
  <c r="N86" i="23" s="1"/>
  <c r="P84" i="23"/>
  <c r="M68" i="27"/>
  <c r="Q20" i="43"/>
  <c r="V20" i="43" s="1"/>
  <c r="Q20" i="45"/>
  <c r="V20" i="45" s="1"/>
  <c r="AP108" i="23"/>
  <c r="T78" i="17"/>
  <c r="P13" i="45"/>
  <c r="Q12" i="45" s="1"/>
  <c r="E62" i="45" s="1"/>
  <c r="P13" i="43"/>
  <c r="Q12" i="43" s="1"/>
  <c r="E62" i="43" s="1"/>
  <c r="T40" i="45"/>
  <c r="V40" i="45" s="1"/>
  <c r="T40" i="43"/>
  <c r="V40" i="43" s="1"/>
  <c r="D73" i="23"/>
  <c r="T74" i="23"/>
  <c r="L61" i="45"/>
  <c r="K80" i="45" s="1"/>
  <c r="L60" i="43"/>
  <c r="T128" i="23"/>
  <c r="R129" i="23"/>
  <c r="S56" i="17"/>
  <c r="S58" i="17" s="1"/>
  <c r="S59" i="17" s="1"/>
  <c r="D64" i="34"/>
  <c r="P13" i="34"/>
  <c r="Q12" i="34" s="1"/>
  <c r="E62" i="34" s="1"/>
  <c r="AH92" i="23"/>
  <c r="Q20" i="34"/>
  <c r="V20" i="34" s="1"/>
  <c r="Z59" i="17"/>
  <c r="Z54" i="17"/>
  <c r="AG108" i="23"/>
  <c r="P85" i="23" s="1"/>
  <c r="AF108" i="23"/>
  <c r="O85" i="23" s="1"/>
  <c r="M69" i="27" s="1"/>
  <c r="AH93" i="23"/>
  <c r="AE108" i="23"/>
  <c r="AH91" i="23"/>
  <c r="U108" i="23"/>
  <c r="Q119" i="23"/>
  <c r="Q120" i="23" s="1"/>
  <c r="AD108" i="23"/>
  <c r="AH90" i="23"/>
  <c r="U117" i="23"/>
  <c r="U116" i="23"/>
  <c r="Y114" i="23"/>
  <c r="U118" i="23"/>
  <c r="U113" i="23"/>
  <c r="U114" i="23"/>
  <c r="U115" i="23"/>
  <c r="R120" i="23"/>
  <c r="R109" i="23"/>
  <c r="V78" i="17" l="1"/>
  <c r="T43" i="34"/>
  <c r="K78" i="43"/>
  <c r="L78" i="43" s="1"/>
  <c r="M78" i="43" s="1" a="1"/>
  <c r="M78" i="43" s="1"/>
  <c r="P60" i="43"/>
  <c r="R96" i="43"/>
  <c r="R98" i="43" s="1"/>
  <c r="R79" i="34"/>
  <c r="R81" i="34" s="1"/>
  <c r="R83" i="34" s="1"/>
  <c r="P61" i="45"/>
  <c r="L80" i="45"/>
  <c r="M80" i="45" s="1" a="1"/>
  <c r="M80" i="45" s="1"/>
  <c r="P24" i="43"/>
  <c r="P24" i="45"/>
  <c r="P24" i="34"/>
  <c r="P25" i="43"/>
  <c r="P25" i="45"/>
  <c r="P25" i="34"/>
  <c r="M70" i="27"/>
  <c r="T43" i="43"/>
  <c r="V12" i="34"/>
  <c r="V12" i="45"/>
  <c r="V43" i="45" s="1"/>
  <c r="T43" i="45"/>
  <c r="V12" i="43"/>
  <c r="V43" i="43" s="1"/>
  <c r="Y84" i="23"/>
  <c r="N87" i="23"/>
  <c r="D64" i="45"/>
  <c r="D62" i="34"/>
  <c r="L54" i="43"/>
  <c r="K77" i="43" s="1"/>
  <c r="L54" i="45"/>
  <c r="K79" i="45" s="1"/>
  <c r="AG109" i="23"/>
  <c r="AE109" i="23"/>
  <c r="U109" i="23"/>
  <c r="T129" i="23"/>
  <c r="U119" i="23"/>
  <c r="U120" i="23" s="1"/>
  <c r="K85" i="45" l="1"/>
  <c r="K86" i="45" s="1"/>
  <c r="R98" i="45"/>
  <c r="R100" i="45" s="1"/>
  <c r="P54" i="43"/>
  <c r="L67" i="43"/>
  <c r="R86" i="43" s="1"/>
  <c r="R88" i="43" s="1"/>
  <c r="R90" i="43" s="1"/>
  <c r="R92" i="43" s="1"/>
  <c r="R100" i="43" s="1"/>
  <c r="K92" i="43" s="1"/>
  <c r="K94" i="43" s="1"/>
  <c r="K95" i="43" s="1"/>
  <c r="K96" i="43" s="1"/>
  <c r="L96" i="43" s="1"/>
  <c r="M96" i="43" s="1" a="1"/>
  <c r="M96" i="43" s="1"/>
  <c r="R87" i="34"/>
  <c r="R89" i="34" s="1"/>
  <c r="R91" i="34" s="1"/>
  <c r="K83" i="34" s="1"/>
  <c r="K85" i="34" s="1"/>
  <c r="S89" i="34"/>
  <c r="L68" i="45"/>
  <c r="P54" i="45"/>
  <c r="Q43" i="43"/>
  <c r="Q43" i="45"/>
  <c r="Q43" i="34"/>
  <c r="D62" i="45"/>
  <c r="D61" i="43"/>
  <c r="P50" i="2"/>
  <c r="R45" i="3"/>
  <c r="K86" i="34" l="1"/>
  <c r="K87" i="34" s="1"/>
  <c r="L87" i="34" s="1"/>
  <c r="M87" i="34" s="1" a="1"/>
  <c r="M87" i="34" s="1"/>
  <c r="S98" i="43"/>
  <c r="L79" i="45"/>
  <c r="M79" i="45" s="1" a="1"/>
  <c r="M79" i="45" s="1"/>
  <c r="L70" i="45"/>
  <c r="P70" i="45" s="1"/>
  <c r="R88" i="45"/>
  <c r="S100" i="45" s="1"/>
  <c r="M68" i="45"/>
  <c r="L85" i="45"/>
  <c r="M85" i="45" s="1" a="1"/>
  <c r="M85" i="45" s="1"/>
  <c r="M67" i="43"/>
  <c r="P67" i="43"/>
  <c r="L77" i="43"/>
  <c r="M77" i="43" s="1" a="1"/>
  <c r="M77" i="43" s="1"/>
  <c r="K83" i="43"/>
  <c r="K84" i="43" s="1"/>
  <c r="L72" i="45"/>
  <c r="K89" i="45" l="1"/>
  <c r="K90" i="45" s="1"/>
  <c r="K91" i="45" s="1"/>
  <c r="R90" i="45"/>
  <c r="R92" i="45" s="1"/>
  <c r="R94" i="45" s="1"/>
  <c r="R102" i="45" s="1"/>
  <c r="K94" i="45" s="1"/>
  <c r="L83" i="43"/>
  <c r="M83" i="43" s="1" a="1"/>
  <c r="M83" i="43" s="1"/>
  <c r="J96" i="45"/>
  <c r="J97" i="45" s="1"/>
  <c r="J98" i="45" s="1"/>
  <c r="P72" i="45"/>
  <c r="K96" i="45" l="1"/>
  <c r="K97" i="45" s="1"/>
  <c r="K98" i="45" s="1"/>
  <c r="L98" i="45" s="1"/>
  <c r="M98" i="45" s="1" a="1"/>
  <c r="M98" i="45" s="1"/>
  <c r="G43" i="24"/>
  <c r="E43" i="24"/>
  <c r="C72" i="23"/>
  <c r="H72" i="23" l="1"/>
  <c r="H73" i="23" s="1"/>
  <c r="H43" i="24"/>
  <c r="C73" i="23"/>
  <c r="I72" i="23" l="1"/>
  <c r="R62" i="25"/>
  <c r="K27" i="34"/>
  <c r="K43" i="34" s="1"/>
  <c r="E64" i="34" l="1"/>
  <c r="V27" i="34"/>
  <c r="V43" i="34" s="1"/>
  <c r="H50" i="24"/>
  <c r="H62" i="24" s="1"/>
  <c r="H63" i="24" s="1"/>
  <c r="D66" i="34"/>
  <c r="H51"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Andrei Ela M. Royo</author>
  </authors>
  <commentList>
    <comment ref="A25" authorId="0" shapeId="0" xr:uid="{E98E7D07-0339-4BED-9040-787A69273CEA}">
      <text>
        <r>
          <rPr>
            <b/>
            <sz val="11"/>
            <color indexed="81"/>
            <rFont val="Tahoma"/>
            <family val="2"/>
          </rPr>
          <t>Andrei Ela M. Royo:</t>
        </r>
        <r>
          <rPr>
            <sz val="11"/>
            <color indexed="81"/>
            <rFont val="Tahoma"/>
            <family val="2"/>
          </rPr>
          <t xml:space="preserve">
Writer, Director, Director of Photography, Production Designer, Costume Designer, Production Accountant, VFX Supervisor, Editor, Composer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tc={D20DFC33-8949-4961-964D-1B4F42A3D753}</author>
    <author>tc={A42ACE27-921F-41FF-93C2-5BCB3C8B37B9}</author>
    <author>tc={103C1B1A-BAF0-428D-9B0C-01D5D06EDBA7}</author>
    <author>tc={A9780493-5B7A-44CE-A53D-735BA0DD88FC}</author>
    <author>tc={F8807AAA-6605-4744-B4E8-F4CE6EDCB15F}</author>
    <author>tc={821CBCB2-35A5-41C0-91D3-DE67603A54C6}</author>
    <author>tc={6A01452C-A779-4BFD-B280-6FE7B96C6354}</author>
    <author>tc={3A900496-4511-4E17-AC7C-415C917CB6C1}</author>
    <author>tc={9DA28518-547B-4051-A1EE-551D81A690B5}</author>
    <author>tc={3A9DC2BA-5F78-4379-8A61-EC724CFBC54B}</author>
    <author>tc={3ADB552D-8BE2-4ABE-BFA5-F033B8F84BE2}</author>
    <author>tc={7E0E1E6D-CCCB-4390-8F0E-DC0267179760}</author>
    <author>tc={A3F4A563-A247-4E15-9D0C-2050D65C59E6}</author>
    <author>tc={F234B473-CC8B-43B7-8539-6FBE78380D30}</author>
    <author>tc={8C77637D-D824-47AB-8961-A1110570AD61}</author>
    <author>tc={C698FA4D-C33B-4E61-81C7-360F18D98D18}</author>
    <author>tc={DBCB91A1-0777-474E-82BE-0E8C54DB35AB}</author>
    <author>tc={BFD9A5CC-FB4C-42A7-8888-48A452D93C93}</author>
    <author>tc={DFE7E341-B77F-43AB-8F16-BF58EE3D6D0B}</author>
    <author>tc={D8DE3642-5290-40DB-9887-9BB0D548E99F}</author>
    <author>tc={FF383728-FF16-4AB9-B96A-51A7E72BA576}</author>
    <author>tc={1CC7A76C-8C85-49A6-B48C-7D8BE1EE7DD0}</author>
    <author>tc={1912198D-7837-47E1-9A55-7F3EF6904036}</author>
  </authors>
  <commentList>
    <comment ref="B12" authorId="0" shapeId="0" xr:uid="{D20DFC33-8949-4961-964D-1B4F42A3D753}">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3" authorId="1" shapeId="0" xr:uid="{A42ACE27-921F-41FF-93C2-5BCB3C8B37B9}">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B14" authorId="2" shapeId="0" xr:uid="{103C1B1A-BAF0-428D-9B0C-01D5D06EDBA7}">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14" authorId="3" shapeId="0" xr:uid="{A9780493-5B7A-44CE-A53D-735BA0DD88FC}">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O23" authorId="4" shapeId="0" xr:uid="{F8807AAA-6605-4744-B4E8-F4CE6EDCB15F}">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821CBCB2-35A5-41C0-91D3-DE67603A54C6}">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8" authorId="6" shapeId="0" xr:uid="{6A01452C-A779-4BFD-B280-6FE7B96C6354}">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39" authorId="7" shapeId="0" xr:uid="{3A900496-4511-4E17-AC7C-415C917CB6C1}">
      <text>
        <t>[Threaded comment]
Your version of Excel allows you to read this threaded comment; however, any edits to it will get removed if the file is opened in a newer version of Excel. Learn more: https://go.microsoft.com/fwlink/?linkid=870924
Comment:
    Application Date</t>
      </text>
    </comment>
    <comment ref="C41" authorId="8" shapeId="0" xr:uid="{9DA28518-547B-4051-A1EE-551D81A690B5}">
      <text>
        <t>[Threaded comment]
Your version of Excel allows you to read this threaded comment; however, any edits to it will get removed if the file is opened in a newer version of Excel. Learn more: https://go.microsoft.com/fwlink/?linkid=870924
Comment:
    Shoot Date</t>
      </text>
    </comment>
    <comment ref="C45" authorId="9" shapeId="0" xr:uid="{3A9DC2BA-5F78-4379-8A61-EC724CFBC54B}">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C49" authorId="10" shapeId="0" xr:uid="{3ADB552D-8BE2-4ABE-BFA5-F033B8F84BE2}">
      <text>
        <t>[Threaded comment]
Your version of Excel allows you to read this threaded comment; however, any edits to it will get removed if the file is opened in a newer version of Excel. Learn more: https://go.microsoft.com/fwlink/?linkid=870924
Comment:
    Link to PO Log</t>
      </text>
    </comment>
    <comment ref="J49" authorId="11" shapeId="0" xr:uid="{7E0E1E6D-CCCB-4390-8F0E-DC0267179760}">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O52" authorId="12" shapeId="0" xr:uid="{A3F4A563-A247-4E15-9D0C-2050D65C59E6}">
      <text>
        <t>[Threaded comment]
Your version of Excel allows you to read this threaded comment; however, any edits to it will get removed if the file is opened in a newer version of Excel. Learn more: https://go.microsoft.com/fwlink/?linkid=870924
Comment:
    Link to CPA Workbook Amounts</t>
      </text>
    </comment>
    <comment ref="C59" authorId="13" shapeId="0" xr:uid="{F234B473-CC8B-43B7-8539-6FBE78380D30}">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E62" authorId="14" shapeId="0" xr:uid="{8C77637D-D824-47AB-8961-A1110570AD61}">
      <text>
        <t xml:space="preserve">[Threaded comment]
Your version of Excel allows you to read this threaded comment; however, any edits to it will get removed if the file is opened in a newer version of Excel. Learn more: https://go.microsoft.com/fwlink/?linkid=870924
Comment:
    Should be at least 50% for Local-OOS
</t>
      </text>
    </comment>
    <comment ref="C63" authorId="15" shapeId="0" xr:uid="{C698FA4D-C33B-4E61-81C7-360F18D98D18}">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O67" authorId="16" shapeId="0" xr:uid="{DBCB91A1-0777-474E-82BE-0E8C54DB35AB}">
      <text>
        <t>[Threaded comment]
Your version of Excel allows you to read this threaded comment; however, any edits to it will get removed if the file is opened in a newer version of Excel. Learn more: https://go.microsoft.com/fwlink/?linkid=870924
Comment:
    Link amount to total amount from CPA workbook; do not use SUM formula</t>
      </text>
    </comment>
    <comment ref="Q67" authorId="17" shapeId="0" xr:uid="{BFD9A5CC-FB4C-42A7-8888-48A452D93C93}">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67" authorId="18" shapeId="0" xr:uid="{DFE7E341-B77F-43AB-8F16-BF58EE3D6D0B}">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J75" authorId="19" shapeId="0" xr:uid="{D8DE3642-5290-40DB-9887-9BB0D548E99F}">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83" authorId="20" shapeId="0" xr:uid="{FF383728-FF16-4AB9-B96A-51A7E72BA576}">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88" authorId="21" shapeId="0" xr:uid="{1CC7A76C-8C85-49A6-B48C-7D8BE1EE7DD0}">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95" authorId="22" shapeId="0" xr:uid="{1912198D-7837-47E1-9A55-7F3EF6904036}">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tc={8C96B776-B6D5-4019-869B-037354529BF3}</author>
    <author>tc={2F7D2E13-CF42-4114-8C4A-31F0233788B2}</author>
    <author>tc={4D84F97A-C899-4B11-BBEC-37F98FE54CC7}</author>
    <author>tc={07C16DC3-51F9-4F34-85AE-BBB791EB1EA3}</author>
    <author>tc={07E92FE5-E9DE-40F0-9949-33C76F0ED2D8}</author>
    <author>tc={6D37EC71-C38E-432E-90F9-DD7C343549FA}</author>
    <author>tc={FFA06469-5BF4-48E4-A925-B6A53AF45830}</author>
    <author>tc={C2B2BFBA-5287-41FC-B292-379E00DF5D75}</author>
    <author>tc={CC7B99DF-D4F6-455D-9C11-4C1A17FC51E2}</author>
    <author>tc={F7595213-DE7A-41AA-9F7E-594FEEE112BF}</author>
    <author>tc={522AF04B-8E49-49E0-8D50-8DCF5BEB7493}</author>
    <author>tc={026DF94C-94AD-41C2-A802-D76D49003816}</author>
    <author>tc={1378F990-B2F8-4174-8A3A-D603B4CA775A}</author>
    <author>tc={2C107E02-2594-44D3-90EA-24F9332AF2EB}</author>
    <author>tc={A5892C02-6141-451B-B2DE-3CA95C3E1F90}</author>
    <author>tc={EEBC74DD-F1A5-421E-99D2-60E6336A7664}</author>
    <author>tc={477058A0-0067-4479-900B-0A99AC841D96}</author>
    <author>tc={B5D98C4F-C8D0-4D9C-8CAA-5D2C0922B260}</author>
    <author>tc={59F469E5-3359-42E6-95EF-5386C08C7427}</author>
    <author>tc={6AEFD4A6-B9B9-4848-B3F4-519469254FCB}</author>
    <author>tc={C62615BB-8A9C-48FA-9CE7-49010E4C270B}</author>
    <author>tc={2FA4B1A7-DB73-425C-B248-DE0D8BF31884}</author>
    <author>tc={8C71B734-4568-4FD1-8C51-26929ADF2E9A}</author>
  </authors>
  <commentList>
    <comment ref="B13" authorId="0" shapeId="0" xr:uid="{8C96B776-B6D5-4019-869B-037354529BF3}">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4" authorId="1" shapeId="0" xr:uid="{2F7D2E13-CF42-4114-8C4A-31F0233788B2}">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O14" authorId="2" shapeId="0" xr:uid="{4D84F97A-C899-4B11-BBEC-37F98FE54CC7}">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B15" authorId="3" shapeId="0" xr:uid="{07C16DC3-51F9-4F34-85AE-BBB791EB1EA3}">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23" authorId="4" shapeId="0" xr:uid="{07E92FE5-E9DE-40F0-9949-33C76F0ED2D8}">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6D37EC71-C38E-432E-90F9-DD7C343549FA}">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9" authorId="6" shapeId="0" xr:uid="{FFA06469-5BF4-48E4-A925-B6A53AF45830}">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40" authorId="7" shapeId="0" xr:uid="{C2B2BFBA-5287-41FC-B292-379E00DF5D75}">
      <text>
        <t>[Threaded comment]
Your version of Excel allows you to read this threaded comment; however, any edits to it will get removed if the file is opened in a newer version of Excel. Learn more: https://go.microsoft.com/fwlink/?linkid=870924
Comment:
    Application Date</t>
      </text>
    </comment>
    <comment ref="C42" authorId="8" shapeId="0" xr:uid="{CC7B99DF-D4F6-455D-9C11-4C1A17FC51E2}">
      <text>
        <t>[Threaded comment]
Your version of Excel allows you to read this threaded comment; however, any edits to it will get removed if the file is opened in a newer version of Excel. Learn more: https://go.microsoft.com/fwlink/?linkid=870924
Comment:
    Shoot Date</t>
      </text>
    </comment>
    <comment ref="C46" authorId="9" shapeId="0" xr:uid="{F7595213-DE7A-41AA-9F7E-594FEEE112BF}">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J49" authorId="10" shapeId="0" xr:uid="{522AF04B-8E49-49E0-8D50-8DCF5BEB7493}">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C50" authorId="11" shapeId="0" xr:uid="{026DF94C-94AD-41C2-A802-D76D49003816}">
      <text>
        <t>[Threaded comment]
Your version of Excel allows you to read this threaded comment; however, any edits to it will get removed if the file is opened in a newer version of Excel. Learn more: https://go.microsoft.com/fwlink/?linkid=870924
Comment:
    Link to PO Log</t>
      </text>
    </comment>
    <comment ref="O52" authorId="12" shapeId="0" xr:uid="{1378F990-B2F8-4174-8A3A-D603B4CA775A}">
      <text>
        <t>[Threaded comment]
Your version of Excel allows you to read this threaded comment; however, any edits to it will get removed if the file is opened in a newer version of Excel. Learn more: https://go.microsoft.com/fwlink/?linkid=870924
Comment:
    Link to CPA Workbook Amounts</t>
      </text>
    </comment>
    <comment ref="C60" authorId="13" shapeId="0" xr:uid="{2C107E02-2594-44D3-90EA-24F9332AF2EB}">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E62" authorId="14" shapeId="0" xr:uid="{A5892C02-6141-451B-B2DE-3CA95C3E1F90}">
      <text>
        <t>[Threaded comment]
Your version of Excel allows you to read this threaded comment; however, any edits to it will get removed if the file is opened in a newer version of Excel. Learn more: https://go.microsoft.com/fwlink/?linkid=870924
Comment:
    Should be at least 50% for Local-OOS</t>
      </text>
    </comment>
    <comment ref="C64" authorId="15" shapeId="0" xr:uid="{EEBC74DD-F1A5-421E-99D2-60E6336A7664}">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O68" authorId="16" shapeId="0" xr:uid="{477058A0-0067-4479-900B-0A99AC841D96}">
      <text>
        <t>[Threaded comment]
Your version of Excel allows you to read this threaded comment; however, any edits to it will get removed if the file is opened in a newer version of Excel. Learn more: https://go.microsoft.com/fwlink/?linkid=870924
Comment:
    Link amount to total amount from CPA workbook; do not use SUM formula</t>
      </text>
    </comment>
    <comment ref="Q68" authorId="17" shapeId="0" xr:uid="{B5D98C4F-C8D0-4D9C-8CAA-5D2C0922B260}">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68" authorId="18" shapeId="0" xr:uid="{59F469E5-3359-42E6-95EF-5386C08C7427}">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J77" authorId="19" shapeId="0" xr:uid="{6AEFD4A6-B9B9-4848-B3F4-519469254FCB}">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85" authorId="20" shapeId="0" xr:uid="{C62615BB-8A9C-48FA-9CE7-49010E4C270B}">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90" authorId="21" shapeId="0" xr:uid="{2FA4B1A7-DB73-425C-B248-DE0D8BF31884}">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97" authorId="22" shapeId="0" xr:uid="{8C71B734-4568-4FD1-8C51-26929ADF2E9A}">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tc={F8C1013C-6E64-441F-BD9A-055A53A82030}</author>
    <author>tc={0C1CAF40-08D3-434A-9A74-9483399CE794}</author>
    <author>tc={0FC7C391-8755-448B-A7C5-203CCD949109}</author>
    <author>tc={17D1A1B6-3D0A-4106-99A4-10A800035484}</author>
    <author>tc={1AE9FF04-7398-4C22-B36E-9FE2F77C02A6}</author>
    <author>tc={13AD4272-4697-4F9B-B10D-FE62FD54FF91}</author>
    <author>tc={A632DA2F-87DC-4466-9E54-0E8D035A1142}</author>
    <author>tc={B6B0A08D-47A7-4463-9E91-745D80636278}</author>
    <author>tc={518D238B-73E6-4743-96F0-6D77FD5A4E18}</author>
    <author>tc={F03D0A3F-4133-4065-B44A-E71D31E18969}</author>
    <author>tc={566137DB-B37A-4D13-BAC4-DF38C50E9971}</author>
    <author>tc={12C81AFC-2FFE-4B55-87E8-79BEAB6EAA0A}</author>
    <author>tc={89D6C10A-5C81-4ECE-A087-22677A7039FB}</author>
    <author>tc={0CBA4ABC-EA58-4F36-86FD-46D97EE368B5}</author>
    <author>tc={98556962-46EB-40AF-810B-EDE7B6287774}</author>
    <author>tc={3AE1A0DA-40F8-4F8F-B7EC-F8B0C6EFE40A}</author>
    <author>tc={527BBB50-FDC0-4AA1-8027-AEA32F35627B}</author>
    <author>tc={A2602AA6-CF20-4F74-8CBB-E1B2EB499175}</author>
    <author>tc={8F7C1C1A-F8C1-48F9-ACB6-464491D0034C}</author>
    <author>tc={74F3357B-AFE0-4C25-8364-EC61D5F7280E}</author>
    <author>tc={F99C3D4F-5254-489C-8DBB-3144A2958D9C}</author>
    <author>tc={2C6C0AB4-99FC-4ED9-8453-F8B2FCA2645C}</author>
    <author>tc={695761AE-AF22-4C16-A209-91C9B2D54004}</author>
    <author>tc={DF55C068-7CB7-4864-B0D9-9A5542CC872A}</author>
  </authors>
  <commentList>
    <comment ref="B13" authorId="0" shapeId="0" xr:uid="{F8C1013C-6E64-441F-BD9A-055A53A82030}">
      <text>
        <t>[Threaded comment]
Your version of Excel allows you to read this threaded comment; however, any edits to it will get removed if the file is opened in a newer version of Excel. Learn more: https://go.microsoft.com/fwlink/?linkid=870924
Comment:
    Animation/ Live Action/ Still</t>
      </text>
    </comment>
    <comment ref="B14" authorId="1" shapeId="0" xr:uid="{0C1CAF40-08D3-434A-9A74-9483399CE794}">
      <text>
        <t>[Threaded comment]
Your version of Excel allows you to read this threaded comment; however, any edits to it will get removed if the file is opened in a newer version of Excel. Learn more: https://go.microsoft.com/fwlink/?linkid=870924
Comment:
    Copy here any notes from SF or other notes related to the job</t>
      </text>
    </comment>
    <comment ref="O14" authorId="2" shapeId="0" xr:uid="{0FC7C391-8755-448B-A7C5-203CCD949109}">
      <text>
        <t xml:space="preserve">[Threaded comment]
Your version of Excel allows you to read this threaded comment; however, any edits to it will get removed if the file is opened in a newer version of Excel. Learn more: https://go.microsoft.com/fwlink/?linkid=870924
Comment:
    Max of 9 qualified
Writer, Director, Director of Photography, Production Designer, Costume Designer, Production Accountant, VFX Supervisor, Editor, Composer </t>
      </text>
    </comment>
    <comment ref="B15" authorId="3" shapeId="0" xr:uid="{17D1A1B6-3D0A-4106-99A4-10A800035484}">
      <text>
        <t>[Threaded comment]
Your version of Excel allows you to read this threaded comment; however, any edits to it will get removed if the file is opened in a newer version of Excel. Learn more: https://go.microsoft.com/fwlink/?linkid=870924
Comment:
    Other locations (e.g. part of the shoot will be done in TX or CT)</t>
      </text>
    </comment>
    <comment ref="O23" authorId="4" shapeId="0" xr:uid="{1AE9FF04-7398-4C22-B36E-9FE2F77C02A6}">
      <text>
        <t>[Threaded comment]
Your version of Excel allows you to read this threaded comment; however, any edits to it will get removed if the file is opened in a newer version of Excel. Learn more: https://go.microsoft.com/fwlink/?linkid=870924
Comment:
    Max 2 non-resident actors (Extras don't qualify)</t>
      </text>
    </comment>
    <comment ref="O29" authorId="5" shapeId="0" xr:uid="{13AD4272-4697-4F9B-B10D-FE62FD54FF91}">
      <text>
        <t>[Threaded comment]
Your version of Excel allows you to read this threaded comment; however, any edits to it will get removed if the file is opened in a newer version of Excel. Learn more: https://go.microsoft.com/fwlink/?linkid=870924
Comment:
    Included in counting the max 9 OOS crew</t>
      </text>
    </comment>
    <comment ref="C39" authorId="6" shapeId="0" xr:uid="{A632DA2F-87DC-4466-9E54-0E8D035A1142}">
      <text>
        <t>[Threaded comment]
Your version of Excel allows you to read this threaded comment; however, any edits to it will get removed if the file is opened in a newer version of Excel. Learn more: https://go.microsoft.com/fwlink/?linkid=870924
Comment:
    1) Award Date from Agency's Calendar
2) Approval Date of Agency Estimate</t>
      </text>
    </comment>
    <comment ref="C40" authorId="7" shapeId="0" xr:uid="{B6B0A08D-47A7-4463-9E91-745D80636278}">
      <text>
        <t>[Threaded comment]
Your version of Excel allows you to read this threaded comment; however, any edits to it will get removed if the file is opened in a newer version of Excel. Learn more: https://go.microsoft.com/fwlink/?linkid=870924
Comment:
    Application Date</t>
      </text>
    </comment>
    <comment ref="C42" authorId="8" shapeId="0" xr:uid="{518D238B-73E6-4743-96F0-6D77FD5A4E18}">
      <text>
        <t>[Threaded comment]
Your version of Excel allows you to read this threaded comment; however, any edits to it will get removed if the file is opened in a newer version of Excel. Learn more: https://go.microsoft.com/fwlink/?linkid=870924
Comment:
    Shoot Date</t>
      </text>
    </comment>
    <comment ref="C46" authorId="9" shapeId="0" xr:uid="{F03D0A3F-4133-4065-B44A-E71D31E18969}">
      <text>
        <t>[Threaded comment]
Your version of Excel allows you to read this threaded comment; however, any edits to it will get removed if the file is opened in a newer version of Excel. Learn more: https://go.microsoft.com/fwlink/?linkid=870924
Comment:
    Alphabetic order, include business/residence name</t>
      </text>
    </comment>
    <comment ref="C50" authorId="10" shapeId="0" xr:uid="{566137DB-B37A-4D13-BAC4-DF38C50E9971}">
      <text>
        <t>[Threaded comment]
Your version of Excel allows you to read this threaded comment; however, any edits to it will get removed if the file is opened in a newer version of Excel. Learn more: https://go.microsoft.com/fwlink/?linkid=870924
Comment:
    Link to PO Log</t>
      </text>
    </comment>
    <comment ref="J50" authorId="11" shapeId="0" xr:uid="{12C81AFC-2FFE-4B55-87E8-79BEAB6EAA0A}">
      <text>
        <t>[Threaded comment]
Your version of Excel allows you to read this threaded comment; however, any edits to it will get removed if the file is opened in a newer version of Excel. Learn more: https://go.microsoft.com/fwlink/?linkid=870924
Comment:
    Use appropriate formula based on classification of Agency-ProdCo (Refer to Qualifying Amounts Tab)</t>
      </text>
    </comment>
    <comment ref="O52" authorId="12" shapeId="0" xr:uid="{89D6C10A-5C81-4ECE-A087-22677A7039FB}">
      <text>
        <t>[Threaded comment]
Your version of Excel allows you to read this threaded comment; however, any edits to it will get removed if the file is opened in a newer version of Excel. Learn more: https://go.microsoft.com/fwlink/?linkid=870924
Comment:
    Link to CPA Workbook Amounts</t>
      </text>
    </comment>
    <comment ref="J55" authorId="13" shapeId="0" xr:uid="{0CBA4ABC-EA58-4F36-86FD-46D97EE368B5}">
      <text>
        <t>[Threaded comment]
Your version of Excel allows you to read this threaded comment; however, any edits to it will get removed if the file is opened in a newer version of Excel. Learn more: https://go.microsoft.com/fwlink/?linkid=870924
Comment:
    Ineligible agency expenses itemized in client billings/ Zero if summary billing</t>
      </text>
    </comment>
    <comment ref="J56" authorId="14" shapeId="0" xr:uid="{98556962-46EB-40AF-810B-EDE7B6287774}">
      <text>
        <t>[Threaded comment]
Your version of Excel allows you to read this threaded comment; however, any edits to it will get removed if the file is opened in a newer version of Excel. Learn more: https://go.microsoft.com/fwlink/?linkid=870924
Comment:
    Add hours only if with separate retainer fee with POP</t>
      </text>
    </comment>
    <comment ref="Q59" authorId="15" shapeId="0" xr:uid="{3AE1A0DA-40F8-4F8F-B7EC-F8B0C6EFE40A}">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R59" authorId="16" shapeId="0" xr:uid="{527BBB50-FDC0-4AA1-8027-AEA32F35627B}">
      <text>
        <t>[Threaded comment]
Your version of Excel allows you to read this threaded comment; however, any edits to it will get removed if the file is opened in a newer version of Excel. Learn more: https://go.microsoft.com/fwlink/?linkid=870924
Comment:
    Link amount to total amount from Tax Credit file; do not use SUM formula</t>
      </text>
    </comment>
    <comment ref="C60" authorId="17" shapeId="0" xr:uid="{A2602AA6-CF20-4F74-8CBB-E1B2EB499175}">
      <text>
        <t>[Threaded comment]
Your version of Excel allows you to read this threaded comment; however, any edits to it will get removed if the file is opened in a newer version of Excel. Learn more: https://go.microsoft.com/fwlink/?linkid=870924
Comment:
    ProdCo Vendors, Petty Cash, Prod CC, etc</t>
      </text>
    </comment>
    <comment ref="E62" authorId="18" shapeId="0" xr:uid="{8F7C1C1A-F8C1-48F9-ACB6-464491D0034C}">
      <text>
        <t xml:space="preserve">[Threaded comment]
Your version of Excel allows you to read this threaded comment; however, any edits to it will get removed if the file is opened in a newer version of Excel. Learn more: https://go.microsoft.com/fwlink/?linkid=870924
Comment:
    Should be at least 50% for Local-OOS
</t>
      </text>
    </comment>
    <comment ref="C64" authorId="19" shapeId="0" xr:uid="{74F3357B-AFE0-4C25-8364-EC61D5F7280E}">
      <text>
        <t>[Threaded comment]
Your version of Excel allows you to read this threaded comment; however, any edits to it will get removed if the file is opened in a newer version of Excel. Learn more: https://go.microsoft.com/fwlink/?linkid=870924
Comment:
     ProdCo Invoice, Agency Vendors, Project Fee, Talent, Agency Exp Report</t>
      </text>
    </comment>
    <comment ref="J66" authorId="20" shapeId="0" xr:uid="{F99C3D4F-5254-489C-8DBB-3144A2958D9C}">
      <text>
        <t>[Threaded comment]
Your version of Excel allows you to read this threaded comment; however, any edits to it will get removed if the file is opened in a newer version of Excel. Learn more: https://go.microsoft.com/fwlink/?linkid=870924
Comment:
    Link the rebate estimate file here, and the amounts from the rebate est. file</t>
      </text>
    </comment>
    <comment ref="J74" authorId="21" shapeId="0" xr:uid="{2C6C0AB4-99FC-4ED9-8453-F8B2FCA2645C}">
      <text>
        <t>[Threaded comment]
Your version of Excel allows you to read this threaded comment; however, any edits to it will get removed if the file is opened in a newer version of Excel. Learn more: https://go.microsoft.com/fwlink/?linkid=870924
Comment:
    Link amount to Rebate Est. file; do not use SUM formula</t>
      </text>
    </comment>
    <comment ref="I79" authorId="22" shapeId="0" xr:uid="{695761AE-AF22-4C16-A209-91C9B2D54004}">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 ref="I86" authorId="23" shapeId="0" xr:uid="{DF55C068-7CB7-4864-B0D9-9A5542CC872A}">
      <text>
        <t>[Threaded comment]
Your version of Excel allows you to read this threaded comment; however, any edits to it will get removed if the file is opened in a newer version of Excel. Learn more: https://go.microsoft.com/fwlink/?linkid=870924
Comment:
    Check the % from the rebate estimate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tc={A454412B-1354-4768-92FD-4C0950039CE2}</author>
    <author>tc={36811332-9FAF-42B7-A6B1-213B75D11895}</author>
    <author>tc={4F1329AC-57A0-4699-85FC-676F38C5DF89}</author>
  </authors>
  <commentList>
    <comment ref="T7" authorId="0" shapeId="0" xr:uid="{A454412B-1354-4768-92FD-4C0950039CE2}">
      <text>
        <t>[Threaded comment]
Your version of Excel allows you to read this threaded comment; however, any edits to it will get removed if the file is opened in a newer version of Excel. Learn more: https://go.microsoft.com/fwlink/?linkid=870924
Comment:
    Process Date, not when the payment is cleared</t>
      </text>
    </comment>
    <comment ref="V7" authorId="1" shapeId="0" xr:uid="{36811332-9FAF-42B7-A6B1-213B75D11895}">
      <text>
        <t>[Threaded comment]
Your version of Excel allows you to read this threaded comment; however, any edits to it will get removed if the file is opened in a newer version of Excel. Learn more: https://go.microsoft.com/fwlink/?linkid=870924
Comment:
    If IL and no address on the invoice</t>
      </text>
    </comment>
    <comment ref="E49" authorId="2" shapeId="0" xr:uid="{4F1329AC-57A0-4699-85FC-676F38C5DF89}">
      <text>
        <t>[Threaded comment]
Your version of Excel allows you to read this threaded comment; however, any edits to it will get removed if the file is opened in a newer version of Excel. Learn more: https://go.microsoft.com/fwlink/?linkid=870924
Comment:
    Link to JCD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tc={2B81FB1A-39E1-4B06-B5FE-60D9009D9EFE}</author>
    <author>tc={0C9AAE4A-0C14-4BB6-B74B-C43F7E3D09AC}</author>
    <author>tc={939AFA79-01EE-4256-A80F-0DDE982980A4}</author>
    <author>tc={8A3B5E84-CF86-4918-9FD3-8A285364E6CE}</author>
    <author>Admin User</author>
  </authors>
  <commentList>
    <comment ref="G8" authorId="0" shapeId="0" xr:uid="{2B81FB1A-39E1-4B06-B5FE-60D9009D9EFE}">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I8" authorId="1" shapeId="0" xr:uid="{0C9AAE4A-0C14-4BB6-B74B-C43F7E3D09AC}">
      <text>
        <t>[Threaded comment]
Your version of Excel allows you to read this threaded comment; however, any edits to it will get removed if the file is opened in a newer version of Excel. Learn more: https://go.microsoft.com/fwlink/?linkid=870924
Comment:
    To encode if exact work dates are not on the fringe recap; can use date range only for continuous dates (not needed for freelance)</t>
      </text>
    </comment>
    <comment ref="AS8" authorId="2" shapeId="0" xr:uid="{939AFA79-01EE-4256-A80F-0DDE982980A4}">
      <text>
        <t>[Threaded comment]
Your version of Excel allows you to read this threaded comment; however, any edits to it will get removed if the file is opened in a newer version of Excel. Learn more: https://go.microsoft.com/fwlink/?linkid=870924
Comment:
    Check/ update data from "Legend" tab for the dropdown menu</t>
      </text>
    </comment>
    <comment ref="BI8" authorId="3" shapeId="0" xr:uid="{8A3B5E84-CF86-4918-9FD3-8A285364E6CE}">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BN8" authorId="4" shapeId="0" xr:uid="{00000000-0006-0000-0500-000001000000}">
      <text>
        <r>
          <rPr>
            <b/>
            <sz val="9"/>
            <color indexed="81"/>
            <rFont val="Tahoma"/>
            <family val="2"/>
          </rPr>
          <t>Admin User:</t>
        </r>
        <r>
          <rPr>
            <sz val="9"/>
            <color indexed="81"/>
            <rFont val="Tahoma"/>
            <family val="2"/>
          </rPr>
          <t xml:space="preserve">
Includes Taxable, Non-Taxable &amp; Corp -- Vac/Holiday Pay is included as a benefit</t>
        </r>
      </text>
    </comment>
    <comment ref="BO8" authorId="4" shapeId="0" xr:uid="{0368E5D2-0C38-4E5F-BD2F-7A88DDB96E5E}">
      <text>
        <r>
          <rPr>
            <b/>
            <sz val="9"/>
            <color indexed="81"/>
            <rFont val="Tahoma"/>
            <family val="2"/>
          </rPr>
          <t>Admin User:</t>
        </r>
        <r>
          <rPr>
            <sz val="9"/>
            <color indexed="81"/>
            <rFont val="Tahoma"/>
            <family val="2"/>
          </rPr>
          <t xml:space="preserve">
includes FICA, Medi, FUI, SUI </t>
        </r>
      </text>
    </comment>
    <comment ref="BP8" authorId="4" shapeId="0" xr:uid="{00000000-0006-0000-0500-000002000000}">
      <text>
        <r>
          <rPr>
            <b/>
            <sz val="9"/>
            <color indexed="81"/>
            <rFont val="Tahoma"/>
            <family val="2"/>
          </rPr>
          <t>Admin User:</t>
        </r>
        <r>
          <rPr>
            <sz val="9"/>
            <color indexed="81"/>
            <rFont val="Tahoma"/>
            <family val="2"/>
          </rPr>
          <t xml:space="preserve">
includes PH&amp;W &amp; Hoiday/Vacation Pay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tc={AC0A2DD6-9D6A-4536-B81D-5F551C095FFB}</author>
    <author>tc={5430671E-2C76-4CBD-A179-BDC09B11A235}</author>
  </authors>
  <commentList>
    <comment ref="L7" authorId="0" shapeId="0" xr:uid="{AC0A2DD6-9D6A-4536-B81D-5F551C095FFB}">
      <text>
        <t>[Threaded comment]
Your version of Excel allows you to read this threaded comment; however, any edits to it will get removed if the file is opened in a newer version of Excel. Learn more: https://go.microsoft.com/fwlink/?linkid=870924
Comment:
    Enter ref # for easy tracing of returns to original receipt</t>
      </text>
    </comment>
    <comment ref="Q7" authorId="1" shapeId="0" xr:uid="{5430671E-2C76-4CBD-A179-BDC09B11A235}">
      <text>
        <t>[Threaded comment]
Your version of Excel allows you to read this threaded comment; however, any edits to it will get removed if the file is opened in a newer version of Excel. Learn more: https://go.microsoft.com/fwlink/?linkid=870924
Comment:
    Compute for net qualified amount for receipts with returns; put related receipts next to each other</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tc={44FE74CE-047A-4707-A417-C2E033BEBA63}</author>
    <author>tc={C520CE7C-8260-48AC-964D-41348EF87B27}</author>
    <author>tc={DB449FC3-5605-4751-966F-BD5676222590}</author>
    <author>tc={1BBBCAAB-04F9-4A01-BDC2-5FEAB9040273}</author>
  </authors>
  <commentList>
    <comment ref="J8" authorId="0" shapeId="0" xr:uid="{44FE74CE-047A-4707-A417-C2E033BEBA63}">
      <text>
        <t>[Threaded comment]
Your version of Excel allows you to read this threaded comment; however, any edits to it will get removed if the file is opened in a newer version of Excel. Learn more: https://go.microsoft.com/fwlink/?linkid=870924
Comment:
    Actual dates worked</t>
      </text>
    </comment>
    <comment ref="AH8" authorId="1" shapeId="0" xr:uid="{C520CE7C-8260-48AC-964D-41348EF87B27}">
      <text>
        <t>[Threaded comment]
Your version of Excel allows you to read this threaded comment; however, any edits to it will get removed if the file is opened in a newer version of Excel. Learn more: https://go.microsoft.com/fwlink/?linkid=870924
Comment:
    For Agent, and when only loan out name is shown in the invoice</t>
      </text>
    </comment>
    <comment ref="BC8" authorId="2" shapeId="0" xr:uid="{DB449FC3-5605-4751-966F-BD5676222590}">
      <text>
        <t>[Threaded comment]
Your version of Excel allows you to read this threaded comment; however, any edits to it will get removed if the file is opened in a newer version of Excel. Learn more: https://go.microsoft.com/fwlink/?linkid=870924
Comment:
    Enter data in Column AD</t>
      </text>
    </comment>
    <comment ref="BD8" authorId="3" shapeId="0" xr:uid="{1BBBCAAB-04F9-4A01-BDC2-5FEAB9040273}">
      <text>
        <t>[Threaded comment]
Your version of Excel allows you to read this threaded comment; however, any edits to it will get removed if the file is opened in a newer version of Excel. Learn more: https://go.microsoft.com/fwlink/?linkid=870924
Comment:
    Actual dates worked</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tc={F4EC2FF6-2A0A-48F0-A849-467847CC358C}</author>
    <author>tc={D6EA9958-06F6-4FE6-9723-19A99C8C0A78}</author>
    <author>Admin User</author>
    <author>tc={F2A2F95D-CAA1-41AC-BFED-1C0A413A7034}</author>
    <author>tc={41E0744D-CE56-4B04-996D-9C1471E69A85}</author>
  </authors>
  <commentList>
    <comment ref="H8" authorId="0" shapeId="0" xr:uid="{F4EC2FF6-2A0A-48F0-A849-467847CC358C}">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AH8" authorId="1" shapeId="0" xr:uid="{D6EA9958-06F6-4FE6-9723-19A99C8C0A78}">
      <text>
        <t>[Threaded comment]
Your version of Excel allows you to read this threaded comment; however, any edits to it will get removed if the file is opened in a newer version of Excel. Learn more: https://go.microsoft.com/fwlink/?linkid=870924
Comment:
    PA - Entry Level
Manager/ Supervisor/ Coordinator/ Designer - Management
Edit/Coloring-related - Post-Production
All Others - commonly Production</t>
      </text>
    </comment>
    <comment ref="AO8" authorId="2" shapeId="0" xr:uid="{213E9E3E-8CF8-4CB7-B7DB-3EE7F31E0F49}">
      <text>
        <r>
          <rPr>
            <b/>
            <sz val="9"/>
            <color indexed="81"/>
            <rFont val="Tahoma"/>
            <family val="2"/>
          </rPr>
          <t>Admin User:</t>
        </r>
        <r>
          <rPr>
            <sz val="9"/>
            <color indexed="81"/>
            <rFont val="Tahoma"/>
            <family val="2"/>
          </rPr>
          <t xml:space="preserve">
includes FICA, Medi, FUI, SUI </t>
        </r>
      </text>
    </comment>
    <comment ref="AP8" authorId="2" shapeId="0" xr:uid="{F02873B7-B26D-40B1-B648-71234EDA5473}">
      <text>
        <r>
          <rPr>
            <b/>
            <sz val="9"/>
            <color indexed="81"/>
            <rFont val="Tahoma"/>
            <family val="2"/>
          </rPr>
          <t>Admin User:</t>
        </r>
        <r>
          <rPr>
            <sz val="9"/>
            <color indexed="81"/>
            <rFont val="Tahoma"/>
            <family val="2"/>
          </rPr>
          <t xml:space="preserve">
includes PH&amp;W &amp; Hoiday/Vacation Pay</t>
        </r>
      </text>
    </comment>
    <comment ref="B9" authorId="3" shapeId="0" xr:uid="{F2A2F95D-CAA1-41AC-BFED-1C0A413A7034}">
      <text>
        <t>[Threaded comment]
Your version of Excel allows you to read this threaded comment; however, any edits to it will get removed if the file is opened in a newer version of Excel. Learn more: https://go.microsoft.com/fwlink/?linkid=870924
Comment:
    Link to Hours Letter</t>
      </text>
    </comment>
    <comment ref="G43" authorId="4" shapeId="0" xr:uid="{41E0744D-CE56-4B04-996D-9C1471E69A85}">
      <text>
        <t>[Threaded comment]
Your version of Excel allows you to read this threaded comment; however, any edits to it will get removed if the file is opened in a newer version of Excel. Learn more: https://go.microsoft.com/fwlink/?linkid=870924
Comment:
    Should be higher than total Agency Hours submitted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<sst xmlns="http://schemas.openxmlformats.org/spreadsheetml/2006/main" count="34067" uniqueCount="8311">
  <si>
    <t>AGENCY</t>
  </si>
  <si>
    <t>Local</t>
  </si>
  <si>
    <t xml:space="preserve"> OOS</t>
  </si>
  <si>
    <t>Agency is the Applicant</t>
  </si>
  <si>
    <t>No Agency</t>
  </si>
  <si>
    <t>OOS</t>
  </si>
  <si>
    <t>PRODCO</t>
  </si>
  <si>
    <t xml:space="preserve">Local </t>
  </si>
  <si>
    <t>Crew Payroll Tab</t>
  </si>
  <si>
    <t>Enter all back up</t>
  </si>
  <si>
    <t xml:space="preserve">Crew Expenses Tab
</t>
  </si>
  <si>
    <t>Enter one line &amp; NO-IL</t>
  </si>
  <si>
    <r>
      <t xml:space="preserve">Enter one line &amp; NO-IL, except break out Receipts/Invoices </t>
    </r>
    <r>
      <rPr>
        <b/>
        <sz val="11"/>
        <color theme="1"/>
        <rFont val="Calibri"/>
        <family val="2"/>
      </rPr>
      <t>≥</t>
    </r>
    <r>
      <rPr>
        <b/>
        <sz val="11"/>
        <color theme="1"/>
        <rFont val="Calibri"/>
        <family val="2"/>
        <scheme val="minor"/>
      </rPr>
      <t>$200.00 paid with CC</t>
    </r>
  </si>
  <si>
    <t xml:space="preserve">Production Tab
</t>
  </si>
  <si>
    <t>Enter Vendor PO #, Name, Amount, Description, link &amp; NO-IL</t>
  </si>
  <si>
    <t xml:space="preserve">Prod CC Tab
</t>
  </si>
  <si>
    <t>Petty Cash Tab</t>
  </si>
  <si>
    <t xml:space="preserve">Client Billings
</t>
  </si>
  <si>
    <t>Request a Summary Invoice (s)</t>
  </si>
  <si>
    <t>Split Receipts</t>
  </si>
  <si>
    <t>û</t>
  </si>
  <si>
    <t>x</t>
  </si>
  <si>
    <t>Needed if qualified ProdCo exps are less than 50% of ProdCo billings</t>
  </si>
  <si>
    <t>ü</t>
  </si>
  <si>
    <t>Alcohol Split Receipts</t>
  </si>
  <si>
    <t>Hotel Charges Summary</t>
  </si>
  <si>
    <t>Needed if qualified ProdCo exps are less than 50% of ProdCo billings; when meals are $300 and above</t>
  </si>
  <si>
    <t>When meals are $300 and above</t>
  </si>
  <si>
    <t>Local Agency - will qualify client billings less deductions</t>
  </si>
  <si>
    <t>Local ProdCo - will qualify ProdCo billings</t>
  </si>
  <si>
    <t>Local Agency - OOS ProdCo  - can still qualify entire ProdCo billings, regardless of qualified ProdCo Vendors (at least 50%)</t>
  </si>
  <si>
    <t>WHAT'S INCLUDED IN THE CPA WORKBOOK?</t>
  </si>
  <si>
    <t>Client Billings - Agency</t>
  </si>
  <si>
    <t>Include, deduct OOS agency exps if detailed billings</t>
  </si>
  <si>
    <t>Exclude, submit billings in the State Sub Folder</t>
  </si>
  <si>
    <t>Exclude</t>
  </si>
  <si>
    <t>N/A</t>
  </si>
  <si>
    <t>Agency IL Vendors</t>
  </si>
  <si>
    <t>Include</t>
  </si>
  <si>
    <t>Agency Hours Letter</t>
  </si>
  <si>
    <t>Include, will increase qualified amount if with retainer fee</t>
  </si>
  <si>
    <t>Talent</t>
  </si>
  <si>
    <t>Include - PTIP amounts in Talent Tab; Qualify entire invoice amount if at least 1 talent qualifies in the Client Billing; will affect total amount if Client Billing is detailed</t>
  </si>
  <si>
    <t>Include, use PTIP report as reference</t>
  </si>
  <si>
    <t>Include - PTIP amounts in Talent Tab;
Qualify entire invoice amount if at least 1 talent qualifies in the Client Billing; will affect total amount if Client Billing is detailed</t>
  </si>
  <si>
    <t>Include, will increase amount qualified</t>
  </si>
  <si>
    <t>Agency Exp Reports</t>
  </si>
  <si>
    <t>Include if detailed billings; Exclude if summary billings</t>
  </si>
  <si>
    <t>OOS Crew - paid by Agency</t>
  </si>
  <si>
    <t>Include if detailed client billings; Exclude if summary billings</t>
  </si>
  <si>
    <t>ProdCo Billings</t>
  </si>
  <si>
    <t>Exclude, submit billings in the State Submission folder</t>
  </si>
  <si>
    <t>ProdCo IL Vendors</t>
  </si>
  <si>
    <t>Prod Crew Payroll</t>
  </si>
  <si>
    <t>Include, will be deducted from Total Vendor Expenses (CPA Presentation)</t>
  </si>
  <si>
    <t>Include, will increase qualified spend</t>
  </si>
  <si>
    <t>Prod CC</t>
  </si>
  <si>
    <t>Prod Petty Cash</t>
  </si>
  <si>
    <t>Crew Expenses</t>
  </si>
  <si>
    <t>Include (will be deducted from Total Vendor Expenses)</t>
  </si>
  <si>
    <t>OOS Crew - paid by ProdCo</t>
  </si>
  <si>
    <t>TPC Commercial Incentives Service</t>
  </si>
  <si>
    <t>Commercial Project Summary</t>
  </si>
  <si>
    <t>Project Description</t>
  </si>
  <si>
    <t>State:</t>
  </si>
  <si>
    <t>Illinois</t>
  </si>
  <si>
    <t>ECS Company code:</t>
  </si>
  <si>
    <t>Elite CIS</t>
  </si>
  <si>
    <t>Project Title:</t>
  </si>
  <si>
    <t>Shoot Date:</t>
  </si>
  <si>
    <t>LIVE ACTION</t>
  </si>
  <si>
    <t>Rebate Estimate Analysis</t>
  </si>
  <si>
    <t>STILL</t>
  </si>
  <si>
    <t>ProdCo Job Type(s):</t>
  </si>
  <si>
    <t>ProdCo Job Notes:</t>
  </si>
  <si>
    <t>SUBMITTED EXPENSES</t>
  </si>
  <si>
    <t>QUALIFIED EXPENSES</t>
  </si>
  <si>
    <t>Pending</t>
  </si>
  <si>
    <t>DNQ</t>
  </si>
  <si>
    <t>Amount</t>
  </si>
  <si>
    <t>Difference</t>
  </si>
  <si>
    <t>OOS Shoot Job Type &amp; Location</t>
  </si>
  <si>
    <t>PRODUCTION COMPANY</t>
  </si>
  <si>
    <t>To have additional columns here if there's another shoot/ production (to not create another workbook)</t>
  </si>
  <si>
    <t>OOS Shoot Date(s):</t>
  </si>
  <si>
    <t>Crew Payroll</t>
  </si>
  <si>
    <t>Total Crew Payroll</t>
  </si>
  <si>
    <t>Create Crew Payroll, Production, and other applicable tabs and create formulas to get total Submitted and Qualified costs.</t>
  </si>
  <si>
    <t>IL Crew Payroll</t>
  </si>
  <si>
    <t>Client:</t>
  </si>
  <si>
    <t>OOS Crew</t>
  </si>
  <si>
    <t>Client Brand &amp; Product:</t>
  </si>
  <si>
    <t>ProdCo Sub-Vendors</t>
  </si>
  <si>
    <t>Agency:</t>
  </si>
  <si>
    <t>OOS Agency or No Agency</t>
  </si>
  <si>
    <t>Prod - Petty Cash</t>
  </si>
  <si>
    <t>Production Company:</t>
  </si>
  <si>
    <t>Prod - Credit Card</t>
  </si>
  <si>
    <t>Subcontracted ProdCo:</t>
  </si>
  <si>
    <t>Prod - Exp Reports</t>
  </si>
  <si>
    <t>OOS Shoot Prod Company:</t>
  </si>
  <si>
    <t>Crew Payroll Company:</t>
  </si>
  <si>
    <t>Total Talent</t>
  </si>
  <si>
    <t>Celebrity Payroll Company:</t>
  </si>
  <si>
    <t>Talent Payroll</t>
  </si>
  <si>
    <t>Talent Payroll Company:</t>
  </si>
  <si>
    <t>Extras Payroll</t>
  </si>
  <si>
    <t>Production Insurance:</t>
  </si>
  <si>
    <t>Two (2) OOS Talent</t>
  </si>
  <si>
    <t>Other Payor 2:</t>
  </si>
  <si>
    <t>Handling Fees</t>
  </si>
  <si>
    <t>Other Payor 3:</t>
  </si>
  <si>
    <t>Agency Fees</t>
  </si>
  <si>
    <t>Agency Sub-Vendors</t>
  </si>
  <si>
    <t>Total Sub-Vendors</t>
  </si>
  <si>
    <t>Celebrity Name(s):</t>
  </si>
  <si>
    <t>Agency Hours</t>
  </si>
  <si>
    <t>Normal Agency Hours</t>
  </si>
  <si>
    <t>IL Crew</t>
  </si>
  <si>
    <t>Agency Job Description:</t>
  </si>
  <si>
    <t>Agency Job Name:</t>
  </si>
  <si>
    <t>Agency Job Number:</t>
  </si>
  <si>
    <t>Retainer Billings</t>
  </si>
  <si>
    <t>AICP Bid</t>
  </si>
  <si>
    <t>Prod Agency Hours</t>
  </si>
  <si>
    <t>Production Agency Hours</t>
  </si>
  <si>
    <t>Agency Estimate</t>
  </si>
  <si>
    <t>Final Script/Storyboard Date</t>
  </si>
  <si>
    <t>Application &amp; Boards</t>
  </si>
  <si>
    <t>APC</t>
  </si>
  <si>
    <t>Agency Exp. Report</t>
  </si>
  <si>
    <t>Pre-Production Book</t>
  </si>
  <si>
    <t>Client - Crew</t>
  </si>
  <si>
    <t>Client</t>
  </si>
  <si>
    <t>Call Sheet</t>
  </si>
  <si>
    <t>Client - Sub-Vendors</t>
  </si>
  <si>
    <t>Diversity Tracking Sheet (Including Agency)</t>
  </si>
  <si>
    <t>Consultant</t>
  </si>
  <si>
    <t>Vendor Diversity Summary</t>
  </si>
  <si>
    <t>Consultant Retainer Fee</t>
  </si>
  <si>
    <t>Shoot Location/s:</t>
  </si>
  <si>
    <t>CPA Fee</t>
  </si>
  <si>
    <t>Total Submitted costs:</t>
  </si>
  <si>
    <t>Total Qualified costs:</t>
  </si>
  <si>
    <t>Spots:</t>
  </si>
  <si>
    <t>All Qualified OOS</t>
  </si>
  <si>
    <t>PO Log</t>
  </si>
  <si>
    <t>Job Cost Detail</t>
  </si>
  <si>
    <t>Total ProdCo Billings</t>
  </si>
  <si>
    <t>Total Client Billings</t>
  </si>
  <si>
    <t>Total Amount Spent on Project</t>
  </si>
  <si>
    <t>QUALIFIED AMOUNT FOR CPA</t>
  </si>
  <si>
    <t>CPA Workbook</t>
  </si>
  <si>
    <t>Audit Adjustment</t>
  </si>
  <si>
    <t>Tax Credit</t>
  </si>
  <si>
    <t>%</t>
  </si>
  <si>
    <t>AICP vs ProdCo Submitted</t>
  </si>
  <si>
    <t>IL Agency Expenses</t>
  </si>
  <si>
    <t xml:space="preserve">PO Log vs ProdCo Amount Entered </t>
  </si>
  <si>
    <t>Non-Resident Labor</t>
  </si>
  <si>
    <t>ProdCo Submitted vs ProdCo Billings</t>
  </si>
  <si>
    <t>ProdCo Qualified vs ProdCo Billings</t>
  </si>
  <si>
    <t>Extras</t>
  </si>
  <si>
    <t>JCD vs Agency Amount Entered</t>
  </si>
  <si>
    <t>Agency Exps</t>
  </si>
  <si>
    <t>Agency Estimate vs Client Billings</t>
  </si>
  <si>
    <t>Consultant Hours</t>
  </si>
  <si>
    <t>QUALIFIED SPEND</t>
  </si>
  <si>
    <t>of rebate estimate</t>
  </si>
  <si>
    <t>Tax Incentive Amount</t>
  </si>
  <si>
    <t>Add'l 15%</t>
  </si>
  <si>
    <t>ProdCo Materials Entered by:</t>
  </si>
  <si>
    <t>Total Tax Credit Amount</t>
  </si>
  <si>
    <t>Reviewed by:</t>
  </si>
  <si>
    <t>Agency Materials Entered by:</t>
  </si>
  <si>
    <t>REBATE ESTIMATE</t>
  </si>
  <si>
    <t>CPA QUALIFIED</t>
  </si>
  <si>
    <t>ProdCo</t>
  </si>
  <si>
    <t>CPA Prepped by:</t>
  </si>
  <si>
    <t>CPA Review by:</t>
  </si>
  <si>
    <t>Project Fee</t>
  </si>
  <si>
    <t>CPA</t>
  </si>
  <si>
    <t>TOTAL QUALIFIED SPEND</t>
  </si>
  <si>
    <t>IL Transfer Fee</t>
  </si>
  <si>
    <t>((((Qualified Spend - Non Resident Labor) * 0.3) + Bonus Incentive Amount ) * 0.0025) + ((Non Resident Labor * 0.3) * 0.025)</t>
  </si>
  <si>
    <t>Tax Credit (30%)</t>
  </si>
  <si>
    <t>Qualified Spend No OOS</t>
  </si>
  <si>
    <t>Gross Rebate</t>
  </si>
  <si>
    <t>State Rebate %</t>
  </si>
  <si>
    <t>Est. Transfer Costs (11.00%)</t>
  </si>
  <si>
    <t>Net Proceeds</t>
  </si>
  <si>
    <t>Bonus Incentive</t>
  </si>
  <si>
    <t>Reimbursable Expenses</t>
  </si>
  <si>
    <t>Admin Fee</t>
  </si>
  <si>
    <t xml:space="preserve">Net Rebate </t>
  </si>
  <si>
    <t>Qualified Spend OOS</t>
  </si>
  <si>
    <t>TPC Fee (22.50%)</t>
  </si>
  <si>
    <t>Net to Brand</t>
  </si>
  <si>
    <t>Reported range</t>
  </si>
  <si>
    <t>IL Transfer Fee Total</t>
  </si>
  <si>
    <t>"2022 Q3 Eggo Liege TV"</t>
  </si>
  <si>
    <t>Kellogg Company</t>
  </si>
  <si>
    <t>Digitas</t>
  </si>
  <si>
    <t>Picrow, Inc</t>
  </si>
  <si>
    <t>OOS ProdCo (Motion)</t>
  </si>
  <si>
    <t>Gabe Sanchez</t>
  </si>
  <si>
    <t>OOS ProdCo (Still)</t>
  </si>
  <si>
    <t>AICP less identified OOS</t>
  </si>
  <si>
    <t>Greenslate</t>
  </si>
  <si>
    <t>Extreme Reach Talent, Inc</t>
  </si>
  <si>
    <t>OOS-OOS/ None-OOS</t>
  </si>
  <si>
    <t>IL ProdCo Expenses</t>
  </si>
  <si>
    <t>ProdCo Petty Cash</t>
  </si>
  <si>
    <t>ProdCo Exps</t>
  </si>
  <si>
    <t>Crew Paid by Agency</t>
  </si>
  <si>
    <t>Transfer Costs (11.00%)</t>
  </si>
  <si>
    <t>Agency is Applicant</t>
  </si>
  <si>
    <t>Agency is the applicant - OOS ProdCo</t>
  </si>
  <si>
    <t>Local Agency</t>
  </si>
  <si>
    <t>Local or OOS (State) - Motion or Still</t>
  </si>
  <si>
    <t>Local-Local/ Local-OOS</t>
  </si>
  <si>
    <t>Client Billings</t>
  </si>
  <si>
    <t>Less: OOS Exp on Client Billings</t>
  </si>
  <si>
    <t>Client Billings vs Agency Amount Entered</t>
  </si>
  <si>
    <t>Commercial Project Billings Summary</t>
  </si>
  <si>
    <t>ITEM</t>
  </si>
  <si>
    <t>Qualify</t>
  </si>
  <si>
    <t>Vendor Name</t>
  </si>
  <si>
    <t>Vendor Type</t>
  </si>
  <si>
    <t>Job Type</t>
  </si>
  <si>
    <t>State</t>
  </si>
  <si>
    <t>Description</t>
  </si>
  <si>
    <t>Details</t>
  </si>
  <si>
    <t>Invoice Date</t>
  </si>
  <si>
    <t>Invoice #</t>
  </si>
  <si>
    <t>Eligible Total</t>
  </si>
  <si>
    <t>Address</t>
  </si>
  <si>
    <t xml:space="preserve">City </t>
  </si>
  <si>
    <t>Zip</t>
  </si>
  <si>
    <t>Received Invoice</t>
  </si>
  <si>
    <t>POP</t>
  </si>
  <si>
    <t>Payment Date</t>
  </si>
  <si>
    <t>Payment Method</t>
  </si>
  <si>
    <t>W-9</t>
  </si>
  <si>
    <t>Job Number</t>
  </si>
  <si>
    <t>Notes</t>
  </si>
  <si>
    <t>VENDOR NAME</t>
  </si>
  <si>
    <t>DESCRIPTION</t>
  </si>
  <si>
    <t>ADDRESS</t>
  </si>
  <si>
    <t>CITY</t>
  </si>
  <si>
    <t>ZIP</t>
  </si>
  <si>
    <t>INVOICE DATE</t>
  </si>
  <si>
    <t>INVOICE NUMBER</t>
  </si>
  <si>
    <t>AMOUNT</t>
  </si>
  <si>
    <t>PAYMENT DATE</t>
  </si>
  <si>
    <t>PAYMENT METHOD</t>
  </si>
  <si>
    <t>Total Billings</t>
  </si>
  <si>
    <t>Job Name</t>
  </si>
  <si>
    <t>Qualified 
Total</t>
  </si>
  <si>
    <t>Pending Total</t>
  </si>
  <si>
    <t>Agency</t>
  </si>
  <si>
    <t>Sub-ProdCo</t>
  </si>
  <si>
    <t>Agency - Job Number</t>
  </si>
  <si>
    <t>Production</t>
  </si>
  <si>
    <t xml:space="preserve">Amount Entered </t>
  </si>
  <si>
    <t>Talent Residuals</t>
  </si>
  <si>
    <t>Total Amount</t>
  </si>
  <si>
    <t>Total Amount Entered</t>
  </si>
  <si>
    <t>Production Tax Incentives
PRODUCTION COMPANY CREW PAYROLL</t>
  </si>
  <si>
    <t xml:space="preserve"> </t>
  </si>
  <si>
    <t>1st Shoot Day</t>
  </si>
  <si>
    <t>Kellogg Company  "2022 Q3 Eggo Liege TV"</t>
  </si>
  <si>
    <t>Last Shoot Day</t>
  </si>
  <si>
    <t>FILL-OUT TABLES BELOW THE DATA AFTER ENCODING (TIE-OUTS)</t>
  </si>
  <si>
    <t>Covid End Date</t>
  </si>
  <si>
    <t>Work State:</t>
  </si>
  <si>
    <t>Automated: in case data is not reflected add it to this masterfile</t>
  </si>
  <si>
    <t>Don't edit this part; with formulas</t>
  </si>
  <si>
    <t>Vac/Hol    with</t>
  </si>
  <si>
    <t>ER BENEFITS / PH&amp;W</t>
  </si>
  <si>
    <t>Exclude  (Loan Out names)</t>
  </si>
  <si>
    <t>Use acronym, as will be used in CPA</t>
  </si>
  <si>
    <t>INVOICE/ W9</t>
  </si>
  <si>
    <t>PROOF OF PAYMENT</t>
  </si>
  <si>
    <t>RESIDENCY</t>
  </si>
  <si>
    <t>DIVERSITY</t>
  </si>
  <si>
    <t>ITEM_No</t>
  </si>
  <si>
    <t>Work_State</t>
  </si>
  <si>
    <t>Crew_Name</t>
  </si>
  <si>
    <t>Crew_Position</t>
  </si>
  <si>
    <t>Position_Category</t>
  </si>
  <si>
    <t>No_of_Days_Worked</t>
  </si>
  <si>
    <t>Work Dates</t>
  </si>
  <si>
    <t>W_Dates_Worked_on_Invoice</t>
  </si>
  <si>
    <t>Gap_1</t>
  </si>
  <si>
    <t xml:space="preserve"> Invoice_Date</t>
  </si>
  <si>
    <t>PO_No</t>
  </si>
  <si>
    <t>Invoice_No</t>
  </si>
  <si>
    <t>Taxable_Wages</t>
  </si>
  <si>
    <t>Kit Rental</t>
  </si>
  <si>
    <t>Mileage Fee</t>
  </si>
  <si>
    <t>Reimbursement</t>
  </si>
  <si>
    <t>Rental</t>
  </si>
  <si>
    <t>Corporate</t>
  </si>
  <si>
    <t>FICA</t>
  </si>
  <si>
    <t>Medi</t>
  </si>
  <si>
    <t>FUI</t>
  </si>
  <si>
    <t>SUI</t>
  </si>
  <si>
    <t>W_C</t>
  </si>
  <si>
    <t>PH_W</t>
  </si>
  <si>
    <t>Vac_Hol</t>
  </si>
  <si>
    <t>Other</t>
  </si>
  <si>
    <t>Hand</t>
  </si>
  <si>
    <t>Sub_Total</t>
  </si>
  <si>
    <t>Non_Eligible</t>
  </si>
  <si>
    <t>Total_Eligible</t>
  </si>
  <si>
    <t>Received_Invoice</t>
  </si>
  <si>
    <t>Loan Out / 1099</t>
  </si>
  <si>
    <t>Loan_Out_Name</t>
  </si>
  <si>
    <t>W9_and_Valid_Date</t>
  </si>
  <si>
    <t>Pymt_Method</t>
  </si>
  <si>
    <t>Pymt_No</t>
  </si>
  <si>
    <t>Proof_of_Payment</t>
  </si>
  <si>
    <t>Payment_Entity</t>
  </si>
  <si>
    <t>Document_Type</t>
  </si>
  <si>
    <t>Issue_Date</t>
  </si>
  <si>
    <t>Expiration_Date</t>
  </si>
  <si>
    <t>Residency</t>
  </si>
  <si>
    <t>Home_Address</t>
  </si>
  <si>
    <t>City</t>
  </si>
  <si>
    <t>Diversity</t>
  </si>
  <si>
    <t>Sex</t>
  </si>
  <si>
    <t>Invoice No.</t>
  </si>
  <si>
    <t>CPA_Crew_Name</t>
  </si>
  <si>
    <t>CPA_Crew_Position</t>
  </si>
  <si>
    <t>CPA_Position_Category</t>
  </si>
  <si>
    <t>CPA_Home_Address</t>
  </si>
  <si>
    <t>CPA_City</t>
  </si>
  <si>
    <t>CPA_Zip</t>
  </si>
  <si>
    <t>CPA_No_of_Days_Worked</t>
  </si>
  <si>
    <t xml:space="preserve">CPA_GROSS_WAGES </t>
  </si>
  <si>
    <t xml:space="preserve">CPA_ER_TAXES </t>
  </si>
  <si>
    <t>CPA_ER_BENEFITS_PH_W</t>
  </si>
  <si>
    <t>CPA_CPA_TOTAL</t>
  </si>
  <si>
    <t>Ineligible1</t>
  </si>
  <si>
    <t>Ineligible2</t>
  </si>
  <si>
    <t>Number of YES-OOS</t>
  </si>
  <si>
    <t>ELIGIBLE TOTAL</t>
  </si>
  <si>
    <t>PENDING</t>
  </si>
  <si>
    <t>NO-OOS</t>
  </si>
  <si>
    <t>NO-IL</t>
  </si>
  <si>
    <t>YES-OOS</t>
  </si>
  <si>
    <t>YES</t>
  </si>
  <si>
    <t>Total Eligible</t>
  </si>
  <si>
    <t>Two OOS Crew</t>
  </si>
  <si>
    <t>Total Ineligible</t>
  </si>
  <si>
    <t>INELIGIBLE TOTAL</t>
  </si>
  <si>
    <t>PAs</t>
  </si>
  <si>
    <t>Total Expenses</t>
  </si>
  <si>
    <t>Payroll &amp; Crew Invoice No.</t>
  </si>
  <si>
    <t>Invoice Amount</t>
  </si>
  <si>
    <t>Qualified Amount</t>
  </si>
  <si>
    <t>Ineligible Amount</t>
  </si>
  <si>
    <t>Gross</t>
  </si>
  <si>
    <t>ER Taxes</t>
  </si>
  <si>
    <t>Benefits
(P, H &amp; W)</t>
  </si>
  <si>
    <t>Total Qualified</t>
  </si>
  <si>
    <t>Hours Letter</t>
  </si>
  <si>
    <t>Total</t>
  </si>
  <si>
    <t xml:space="preserve">All Freelance </t>
  </si>
  <si>
    <t>Production Tax Incentives
ProdCo Sub-Vendors</t>
  </si>
  <si>
    <t>Exclude (ezCater/Uber) from name if ordered through app; put in notes</t>
  </si>
  <si>
    <t>ITEM #</t>
  </si>
  <si>
    <t>Qualify?</t>
  </si>
  <si>
    <t>PO #</t>
  </si>
  <si>
    <t xml:space="preserve"> Invoice Date</t>
  </si>
  <si>
    <t>Invoice $</t>
  </si>
  <si>
    <t>Non-Eligible $</t>
  </si>
  <si>
    <t>Eligible Total $</t>
  </si>
  <si>
    <t>Received Invoice?</t>
  </si>
  <si>
    <t>W9 and Valid Date</t>
  </si>
  <si>
    <t>Proof of Payment?</t>
  </si>
  <si>
    <t>Pymt Method</t>
  </si>
  <si>
    <t>Pymt #</t>
  </si>
  <si>
    <t>Payment Entity</t>
  </si>
  <si>
    <t>Notes:</t>
  </si>
  <si>
    <t>Production Sub-Vendors</t>
  </si>
  <si>
    <t>Total Pending</t>
  </si>
  <si>
    <t>Production Tax Incentives
Production Company Petty Cash</t>
  </si>
  <si>
    <t>Name</t>
  </si>
  <si>
    <t>Vendor</t>
  </si>
  <si>
    <t>Env #</t>
  </si>
  <si>
    <t>Line #</t>
  </si>
  <si>
    <t>Invoice/ Receipt #</t>
  </si>
  <si>
    <t>Receipt Date</t>
  </si>
  <si>
    <t>Petty $ Amount</t>
  </si>
  <si>
    <t>Qualified Total</t>
  </si>
  <si>
    <t>Net Purchase Returns</t>
  </si>
  <si>
    <t>Subtotal:</t>
  </si>
  <si>
    <t>Please complete this during binder entry</t>
  </si>
  <si>
    <t>Total Spend:</t>
  </si>
  <si>
    <r>
      <t>USE "UNIQUE " FORMULA TO INPUT THE NAMES HERE UNDER COLUMN E; "=UNIQUE(</t>
    </r>
    <r>
      <rPr>
        <i/>
        <sz val="11"/>
        <color rgb="FFFF0000"/>
        <rFont val="Calibri"/>
        <family val="2"/>
        <scheme val="minor"/>
      </rPr>
      <t>Range from Column D Names)</t>
    </r>
  </si>
  <si>
    <t>Non-Qualified $</t>
  </si>
  <si>
    <t xml:space="preserve">Total </t>
  </si>
  <si>
    <r>
      <t>USE "UNIQUE " FORMULA TO INPUT THE NAMES HERE UNDER COLUMN D; "=UNIQUE(</t>
    </r>
    <r>
      <rPr>
        <i/>
        <sz val="11"/>
        <color rgb="FFFF0000"/>
        <rFont val="Calibri"/>
        <family val="2"/>
        <scheme val="minor"/>
      </rPr>
      <t>Range from Column D Names)</t>
    </r>
  </si>
  <si>
    <t>For OOS-OOS, Local-OOS (when qualified ProdCo expenses is less than 50% of ProdCo billings)</t>
  </si>
  <si>
    <t>FOR CPA</t>
  </si>
  <si>
    <t>Add here names of employees with qualified Petty Cash expenses</t>
  </si>
  <si>
    <t>EMPLOYEE NAME</t>
  </si>
  <si>
    <t>Production Company Petty Cash</t>
  </si>
  <si>
    <t>Various IL</t>
  </si>
  <si>
    <t>Petty Cash</t>
  </si>
  <si>
    <t>Pending Amount</t>
  </si>
  <si>
    <t>Production Tax Incentives
Agency Sub-Vendors</t>
  </si>
  <si>
    <t>Job No.</t>
  </si>
  <si>
    <t>Client Billing No.</t>
  </si>
  <si>
    <t>Revised Qualified Total</t>
  </si>
  <si>
    <t>Production Tax Incentives
Hours Letter</t>
  </si>
  <si>
    <t>DELETE SAMPLE DATA FOR ACTUAL PROJECTS</t>
  </si>
  <si>
    <t>Follow CPA Diversity Format (WHITE, HISP, AA…)</t>
  </si>
  <si>
    <t>Proof of Payment</t>
  </si>
  <si>
    <t>Crew  Name</t>
  </si>
  <si>
    <t>Job Description</t>
  </si>
  <si>
    <t>Position Category</t>
  </si>
  <si>
    <t xml:space="preserve">State </t>
  </si>
  <si>
    <t>Agency Hours Amount</t>
  </si>
  <si>
    <t>Agency Retainer Billing Amount</t>
  </si>
  <si>
    <t>Hours Letter Type</t>
  </si>
  <si>
    <t>Pymt/Check</t>
  </si>
  <si>
    <t>Document Type</t>
  </si>
  <si>
    <t>Issue Date</t>
  </si>
  <si>
    <t>Expiration Date</t>
  </si>
  <si>
    <t>NO-IL 
Residency Status</t>
  </si>
  <si>
    <t>Crew Name</t>
  </si>
  <si>
    <t>Crew Position</t>
  </si>
  <si>
    <t>Home address</t>
  </si>
  <si>
    <t># of Hours Worked</t>
  </si>
  <si>
    <t>Dates Worked</t>
  </si>
  <si>
    <t>Agency Hours Amount $</t>
  </si>
  <si>
    <t xml:space="preserve">ER TAXES </t>
  </si>
  <si>
    <t>CPA TOTAL</t>
  </si>
  <si>
    <t>AGENCY Retainer Fee</t>
  </si>
  <si>
    <t>AGENCY PRODUCTION HOURS</t>
  </si>
  <si>
    <t>Normal Hours TOTALS</t>
  </si>
  <si>
    <t>Invoice_Number</t>
  </si>
  <si>
    <t>Total
Amount</t>
  </si>
  <si>
    <t>Qualified
Amount</t>
  </si>
  <si>
    <t>Retainer Billings TOTALS</t>
  </si>
  <si>
    <t>Total Retainer Billings</t>
  </si>
  <si>
    <t>Total Agency Hours $</t>
  </si>
  <si>
    <t>&lt;-- Notify If Red</t>
  </si>
  <si>
    <t>Production Hours TOTALS</t>
  </si>
  <si>
    <t>Normal Eligible</t>
  </si>
  <si>
    <t>Normal OOS Eligible</t>
  </si>
  <si>
    <t>Normal Pending</t>
  </si>
  <si>
    <t>Normal Ineligible</t>
  </si>
  <si>
    <t>Production Hours Eligible</t>
  </si>
  <si>
    <t>Production Hours  OOS Eligible</t>
  </si>
  <si>
    <t>Production Hours  Pending</t>
  </si>
  <si>
    <t>Production Hours  Ineligible</t>
  </si>
  <si>
    <t>Total OOS Eligible</t>
  </si>
  <si>
    <t>Production Tax Incentives
Talent &amp; Extras</t>
  </si>
  <si>
    <t>(Handling Fees &amp; W/C)</t>
  </si>
  <si>
    <t>INVOICE/ PROOF OF PAYMENT</t>
  </si>
  <si>
    <t>Ineligible</t>
  </si>
  <si>
    <t>Included on PTIP Report?</t>
  </si>
  <si>
    <t>Amount Included on PTIP Report</t>
  </si>
  <si>
    <t>Work State</t>
  </si>
  <si>
    <t>Talent Name</t>
  </si>
  <si>
    <t>Title</t>
  </si>
  <si>
    <t>No. of Work Days</t>
  </si>
  <si>
    <t>Wages $</t>
  </si>
  <si>
    <t>Misc Pymt/ Agent Fee</t>
  </si>
  <si>
    <t>ER Payroll Tax</t>
  </si>
  <si>
    <t>Worker's Comp</t>
  </si>
  <si>
    <t>Handling</t>
  </si>
  <si>
    <t>SAG (P&amp;H) $</t>
  </si>
  <si>
    <t>PTIP_Check</t>
  </si>
  <si>
    <t>Type</t>
  </si>
  <si>
    <t>Home Address</t>
  </si>
  <si>
    <t>Commercial Id</t>
  </si>
  <si>
    <t>Commercial Title</t>
  </si>
  <si>
    <t>CPA Tab</t>
  </si>
  <si>
    <t>GROSS</t>
  </si>
  <si>
    <t>PAYROLL TAXES</t>
  </si>
  <si>
    <t>BENEFITS (P, H &amp; W)</t>
  </si>
  <si>
    <t>YES-AGENCY FEE</t>
  </si>
  <si>
    <t>Extra</t>
  </si>
  <si>
    <t>Handling Fee</t>
  </si>
  <si>
    <t>Qualifed</t>
  </si>
  <si>
    <t>Total Agency Fees</t>
  </si>
  <si>
    <t>(For CPA Use only)</t>
  </si>
  <si>
    <t>Total Handling Fees</t>
  </si>
  <si>
    <t>Invoice 
Amount</t>
  </si>
  <si>
    <t>Qualified 
Amount</t>
  </si>
  <si>
    <t>Ineligible 
Amount</t>
  </si>
  <si>
    <t>Handling 
Fees</t>
  </si>
  <si>
    <t>Qualified Wages/Misc</t>
  </si>
  <si>
    <t>Qualified Taxes</t>
  </si>
  <si>
    <t>Qualified Benefits</t>
  </si>
  <si>
    <t>CPA Qualified</t>
  </si>
  <si>
    <t>CPA DNQ</t>
  </si>
  <si>
    <t>CPA Handling</t>
  </si>
  <si>
    <t>CPA DNQ 
Handling</t>
  </si>
  <si>
    <t>Invoice</t>
  </si>
  <si>
    <t>Talent Sessions</t>
  </si>
  <si>
    <t>Artists Taxes</t>
  </si>
  <si>
    <t xml:space="preserve">Handling &amp; Fulfillment </t>
  </si>
  <si>
    <t>SAG</t>
  </si>
  <si>
    <t>State Submission Table Entry Reconcile</t>
  </si>
  <si>
    <t>Job #</t>
  </si>
  <si>
    <t>Client Billing</t>
  </si>
  <si>
    <t>Qualified Billing Amount</t>
  </si>
  <si>
    <t>Amount Removed</t>
  </si>
  <si>
    <t>Ties to CPA workbook</t>
  </si>
  <si>
    <t>A</t>
  </si>
  <si>
    <t>B</t>
  </si>
  <si>
    <t>C</t>
  </si>
  <si>
    <t>D</t>
  </si>
  <si>
    <t>CPA Columns  - State Submission Entered Amounts Reconcile</t>
  </si>
  <si>
    <t>A1</t>
  </si>
  <si>
    <t>B1</t>
  </si>
  <si>
    <t>C1</t>
  </si>
  <si>
    <t>D1</t>
  </si>
  <si>
    <t>IL</t>
  </si>
  <si>
    <t>INVOICE - 1099</t>
  </si>
  <si>
    <t>PRODUCTION DESIGNER</t>
  </si>
  <si>
    <t>67-0902395</t>
  </si>
  <si>
    <t>MAD SWORDSMAN PRODUCTIONS LLC</t>
  </si>
  <si>
    <t>GM 006</t>
  </si>
  <si>
    <t>WRAPBOOK</t>
  </si>
  <si>
    <t>DIT/VTR</t>
  </si>
  <si>
    <t>67-0902394</t>
  </si>
  <si>
    <t>DON REED JR.</t>
  </si>
  <si>
    <t>DIGITAL TECH</t>
  </si>
  <si>
    <t>67-0902393</t>
  </si>
  <si>
    <t>ELAINE SUZANNE MILLER</t>
  </si>
  <si>
    <t>CAMERA OPERATOR</t>
  </si>
  <si>
    <t>67-0902392</t>
  </si>
  <si>
    <t>JASON KNOBLOCH</t>
  </si>
  <si>
    <t>SWING G&amp;E</t>
  </si>
  <si>
    <t>67-0902391</t>
  </si>
  <si>
    <t>AISLE 35 STUDIOS LLC</t>
  </si>
  <si>
    <t>PRODUCTION ASSISTANT</t>
  </si>
  <si>
    <t>67-0902390</t>
  </si>
  <si>
    <t>HUNTER JONES</t>
  </si>
  <si>
    <t>WTH REMITTED?</t>
  </si>
  <si>
    <t>HOME STATE</t>
  </si>
  <si>
    <t>PAYROLL COMPANY</t>
  </si>
  <si>
    <t>CREW POSITION</t>
  </si>
  <si>
    <t>FEIN</t>
  </si>
  <si>
    <t>LOAN OUT NAME</t>
  </si>
  <si>
    <t>JOB CODE</t>
  </si>
  <si>
    <t>GENERAL MILLS REESES PUFFS</t>
  </si>
  <si>
    <t>UPLIFTS</t>
  </si>
  <si>
    <t>Green Sustainability Uplift</t>
  </si>
  <si>
    <t>Rural Area Uplift</t>
  </si>
  <si>
    <t>LOAN OUT WITHHOLDING</t>
  </si>
  <si>
    <t>Job Code</t>
  </si>
  <si>
    <t>Shoot Date</t>
  </si>
  <si>
    <t>Crew / Employee Name (Last, First)</t>
  </si>
  <si>
    <t>Federal Tax Classification</t>
  </si>
  <si>
    <t>SSN</t>
  </si>
  <si>
    <t>INVOICE/ GROSS AMOUNT</t>
  </si>
  <si>
    <t>AMOUNT WITHELD</t>
  </si>
  <si>
    <t>WORK STATE</t>
  </si>
  <si>
    <t>NOTES</t>
  </si>
  <si>
    <t>Jones, Hunter</t>
  </si>
  <si>
    <t>Individual</t>
  </si>
  <si>
    <t>123 Main Street, El Segundo, CA</t>
  </si>
  <si>
    <t>CA</t>
  </si>
  <si>
    <t>Doe, John</t>
  </si>
  <si>
    <t>LLC</t>
  </si>
  <si>
    <t>124 Main Street, El Segundo, CA</t>
  </si>
  <si>
    <t>Knobloch, Jason</t>
  </si>
  <si>
    <t>S-Corp</t>
  </si>
  <si>
    <t>125 Main Street, El Segundo, CA</t>
  </si>
  <si>
    <t>GA</t>
  </si>
  <si>
    <t>101-34</t>
  </si>
  <si>
    <t>Miller, Elaine</t>
  </si>
  <si>
    <t>C-Corp</t>
  </si>
  <si>
    <t>126 Main Street, El Segundo, CA</t>
  </si>
  <si>
    <t>1qw123</t>
  </si>
  <si>
    <t>Reed, Don</t>
  </si>
  <si>
    <t>127 Main Street, El Segundo, CA</t>
  </si>
  <si>
    <t>2025-34</t>
  </si>
  <si>
    <t>Smith, Joe</t>
  </si>
  <si>
    <t>128 Main Street, El Segundo, CA</t>
  </si>
  <si>
    <t>2025-00001</t>
  </si>
  <si>
    <t/>
  </si>
  <si>
    <t>Award Date</t>
  </si>
  <si>
    <t>Pre Pro Date</t>
  </si>
  <si>
    <t>Production Wrap Date</t>
  </si>
  <si>
    <t>Post Production Date</t>
  </si>
  <si>
    <t>Pre Production Date</t>
  </si>
  <si>
    <t>Employee</t>
  </si>
  <si>
    <t>Employee Title</t>
  </si>
  <si>
    <t>Pre-production: Describe the specific work done during this hase of production.</t>
  </si>
  <si>
    <t>Production:  Describe the specific work done during this hase of production.</t>
  </si>
  <si>
    <t>Post-production: Describe the specific work done during this hase of production.</t>
  </si>
  <si>
    <t>Pre-Production (Insert Date Range)</t>
  </si>
  <si>
    <t>Production (Insert Date Range)</t>
  </si>
  <si>
    <t>Post-Production (Insert Date Range)</t>
  </si>
  <si>
    <t>Total Hours</t>
  </si>
  <si>
    <t>employee_title</t>
  </si>
  <si>
    <t>time</t>
  </si>
  <si>
    <t>single_description</t>
  </si>
  <si>
    <t>Approved</t>
  </si>
  <si>
    <t>case_analysis</t>
  </si>
  <si>
    <t>ending_analysis</t>
  </si>
  <si>
    <t xml:space="preserve">Take the following input sentence, remove any specific names and locations, and rewrite it in the past tense. If the sentence mentions multiple people, start the output with "Part of the team that" and focus on condensing the core action described. Ensure the output does not contain any names, specific locations, or mention who the action was done with.  Input Sentence Starts Here: </t>
  </si>
  <si>
    <t>Acct Dir</t>
  </si>
  <si>
    <t>post_production</t>
  </si>
  <si>
    <t>Attended all internal agency reviews</t>
  </si>
  <si>
    <t>Capital</t>
  </si>
  <si>
    <t>Neither</t>
  </si>
  <si>
    <t>Attended all internal agency reviews with Producer &amp; Creative Team</t>
  </si>
  <si>
    <t>Attended all internal reviews with Producers and Creative Team</t>
  </si>
  <si>
    <t>Captured all client feedback and relayed to internal agency teams</t>
  </si>
  <si>
    <t>Captured client feedback and relayed to internal agency teams</t>
  </si>
  <si>
    <t>Coordinated &amp; attended all client meetings for rough cut reviews/approvals</t>
  </si>
  <si>
    <t>Coordinated all client meetings for rough cut review/approvals</t>
  </si>
  <si>
    <t>Coordinated all client meetings for updates on production</t>
  </si>
  <si>
    <t>Coordinated client meetings for rough cut review/approvals</t>
  </si>
  <si>
    <t>Coordinated client meetings for updates on production</t>
  </si>
  <si>
    <t>Ensured all invoices/payments had been made on the project</t>
  </si>
  <si>
    <t>Ensured invoices/payments had been made on the project</t>
  </si>
  <si>
    <t>Ensured quality of production outputs prior to client review</t>
  </si>
  <si>
    <t>Managed budget expectations</t>
  </si>
  <si>
    <t>Obtained and submitted legal clearance</t>
  </si>
  <si>
    <t>Part of Account Team that captured all client feedback and relayed to internal agency teams</t>
  </si>
  <si>
    <t>Provided timely production status reports for clients</t>
  </si>
  <si>
    <t>Provided timely production status reports for clients &amp; coordinated all client meetings for updates on production</t>
  </si>
  <si>
    <t>Relayed and explained additional costs to clients and managed revised estimate of costs</t>
  </si>
  <si>
    <t>Relayed and explained additional overage costs to clients and obtained their approval</t>
  </si>
  <si>
    <t>Responsible for obtaining and submitting legal clearance and substantiation</t>
  </si>
  <si>
    <t>Scheduled &amp; attended meeting with client, producer, creative &amp; account teams for final review/approval of spot</t>
  </si>
  <si>
    <t>Scheduled &amp; attended meeting with client, producer, creative &amp; account teams for obtaining and submitting legal clearance and substantiation</t>
  </si>
  <si>
    <t>Scheduled client review for talent casting</t>
  </si>
  <si>
    <t>Scheduled meeting with client, Producers, Creative Team, Business Affairs &amp; Account teams for final review/approval of spot</t>
  </si>
  <si>
    <t>Submitted revised estimates of costs to client &amp; obtained their approval</t>
  </si>
  <si>
    <t>Was responsible for obtaining and submitting legal clearance and substantiation</t>
  </si>
  <si>
    <t>Worked closely with agency internal teams to ensure quality of production outputs prior to client review</t>
  </si>
  <si>
    <t>Worked with agency internal teams to ensure quality of production outputs prior to client review</t>
  </si>
  <si>
    <t>Worked with internal agency Team to manage budget expectations</t>
  </si>
  <si>
    <t>pre_production</t>
  </si>
  <si>
    <t>Coordinated schedules of internal agency meeting for production budget &amp; timeline review</t>
  </si>
  <si>
    <t>Coordinated with and scheduled internal agency meeting for production budget &amp; timeline review</t>
  </si>
  <si>
    <t>Ensured client had signed off on all production items prior to shoot</t>
  </si>
  <si>
    <t>Ensured client had signed off on all production items prior to shoot including shoot location, set design, props &amp; wardrobe selections</t>
  </si>
  <si>
    <t>Facilitated client’s schedule during shoot</t>
  </si>
  <si>
    <t>Met with clients &amp; communicated updates on production</t>
  </si>
  <si>
    <t>Met with internal agency team &amp; communicated updates/feedback on production from client</t>
  </si>
  <si>
    <t>Presented client with production timeline &amp; initial agency estimate for approval</t>
  </si>
  <si>
    <t>Scheduled internal agency meeting for production budget &amp; timeline review</t>
  </si>
  <si>
    <t>Scheduled meeting with client for production budget &amp; timeline review</t>
  </si>
  <si>
    <t>Submitted client approved estimate &amp; production timeline to internal agency production and finance teams for invoicing &amp; budget management</t>
  </si>
  <si>
    <t>Submitted client approved estimate &amp; production timeline to internal agency production and finance teams to begin invoicing &amp; budget management</t>
  </si>
  <si>
    <t>Submitted client approved estimate &amp; production timeline to internal agency to begin invoicing &amp; budget management</t>
  </si>
  <si>
    <t>Worked with agency teams and client on production requirements and budgets</t>
  </si>
  <si>
    <t>Worked with client on items that needed client’s approvals including cast selections &amp; insurance documents</t>
  </si>
  <si>
    <t>Worked with client on paperwork that needed client’s approvals including product substantiation &amp; insurance documents</t>
  </si>
  <si>
    <t>Worked with client on travel arrangements &amp; to organize client's schedule during shoot</t>
  </si>
  <si>
    <t>Worked with internal agency teams and client on production requirements and budgets</t>
  </si>
  <si>
    <t>production</t>
  </si>
  <si>
    <t>A direct partner on set with client to ensure footage being captured was based on approved storyboards &amp; met the client’s needs</t>
  </si>
  <si>
    <t>Acted as liaison between the agency, production company, and the client</t>
  </si>
  <si>
    <t>Attended shoot as client liaison for Production Company, Producer and Creative Team</t>
  </si>
  <si>
    <t>Attended shoot as client liaison for production company, Sr Producer and Creative Team</t>
  </si>
  <si>
    <t>Attended shoot day as main contact for client</t>
  </si>
  <si>
    <t>Direct partner on set with client to ensure footage being captured was based on approved storyboards &amp; met the client’s needs</t>
  </si>
  <si>
    <t>Direct partner on set with client to ensure footage captured was based on approved storyboards &amp; met the client’s needs</t>
  </si>
  <si>
    <t>Helped ensure that the shoot is on schedule and within budget</t>
  </si>
  <si>
    <t>Interfaced with Producers, Creative Team and Client to sign off on set design, props &amp; wardrobe</t>
  </si>
  <si>
    <t>Interfaced with the client to sign off on production selections for shoot</t>
  </si>
  <si>
    <t>Interfaced with the client to sign off on set design, props &amp; wardrobe selections for shoot</t>
  </si>
  <si>
    <t>Obtained clients' approval for changes in artwork</t>
  </si>
  <si>
    <t>Was a direct partner on set with client to ensure footage captured was based on approved storyboards &amp; met the client’s needs</t>
  </si>
  <si>
    <t>Worked with Producer to keep shoot on schedule and within budget</t>
  </si>
  <si>
    <t>Acct Executive</t>
  </si>
  <si>
    <t>Attended all client reviews with Producer, Creative &amp; Business Affairs Teams including review for final approval of spots</t>
  </si>
  <si>
    <t>Attended all internal agency reviews with Creative, Producer, Social Media, Strategy &amp; Business Affairs Teams</t>
  </si>
  <si>
    <t>Attended all internal reviews with Creative, Production &amp; Business teams</t>
  </si>
  <si>
    <t>Attended casting sessions &amp; selected principal talent and backup for client review</t>
  </si>
  <si>
    <t>Coordinated all client meetings for job updates &amp; reviews/approvals</t>
  </si>
  <si>
    <t>Coordinated meeting for final review/approval of spot</t>
  </si>
  <si>
    <t>Ensure audio/music specifications were met</t>
  </si>
  <si>
    <t>Ensure edit specifications were met</t>
  </si>
  <si>
    <t>Ensure spot deliverables met timeline for client review</t>
  </si>
  <si>
    <t>Managed budgets &amp; ensured all invoices and payments had been made on the project</t>
  </si>
  <si>
    <t>Presented client with rough cut of spots, noted client revisions &amp; ensured feedback was communicated to agency teams</t>
  </si>
  <si>
    <t>Production &amp; visual effect specifications were met for motion graphics, color correction &amp; VFX compositing</t>
  </si>
  <si>
    <t>Responsible for capturing all client feedback and relaying it to internal teams</t>
  </si>
  <si>
    <t>Responsible for obtaining and submitting legal clearances</t>
  </si>
  <si>
    <t>Supervised assembly of all versions of final spot</t>
  </si>
  <si>
    <t>Supervised designers/editors on all post production</t>
  </si>
  <si>
    <t>post</t>
  </si>
  <si>
    <t>Supervised music selection, sound design/mixing &amp; recording</t>
  </si>
  <si>
    <t>Worked closely with Editor, Producers &amp; Lead Creative Team to ensure post production</t>
  </si>
  <si>
    <t>Worked with Business Affairs &amp; Creative Teams to actualize and close out production job within budget</t>
  </si>
  <si>
    <t>Approved talent &amp; backups for client's approval</t>
  </si>
  <si>
    <t>Assisted in evaluating terms of all production, audio/music, post/visual effects, casting &amp; editorial bids</t>
  </si>
  <si>
    <t>Attended talent casting auditions &amp; callbacks along with Producer &amp; Creative Teams to select on</t>
  </si>
  <si>
    <t xml:space="preserve">Ensured client signed off on all production items prior to shoot </t>
  </si>
  <si>
    <t>Met with clients &amp; communicated updates on production prep</t>
  </si>
  <si>
    <t>Obtained insurance policy with necessary &amp; proper coverage amounts</t>
  </si>
  <si>
    <t>Provided overview of job specifications for all vendors based on discussions with client</t>
  </si>
  <si>
    <t>Reviewed talent demo reels</t>
  </si>
  <si>
    <t xml:space="preserve">Worked on creation of contracts for talent </t>
  </si>
  <si>
    <t>Worked on specifications for shoot locations, set design, cast, props &amp; wardrobe selections</t>
  </si>
  <si>
    <t>Worked with client &amp; agency teams regarding all components of production</t>
  </si>
  <si>
    <t>Worked with client to organize client's schedule during shoot</t>
  </si>
  <si>
    <t>Worked with internal agency teams and client on production requirements &amp; budgets</t>
  </si>
  <si>
    <t>Attended Prelight &amp; shoot as client liaison between Creative Team, Project Manager &amp; Production Company</t>
  </si>
  <si>
    <t>Attended Pre-Light and Shoot</t>
  </si>
  <si>
    <t>Client liaison between Producer &amp; Creative Teams &amp; Production Company</t>
  </si>
  <si>
    <t>Interfaced with agency team and clients to sign off on set design</t>
  </si>
  <si>
    <t>Interfaced with agency team and clients to sign off on set design, props &amp; lighting</t>
  </si>
  <si>
    <t>Partner on set with client to ensure footage captured was based on approved storyboards &amp; met the client’s needs</t>
  </si>
  <si>
    <t>Worked with agency Teams to keep shoot on schedule and within budget</t>
  </si>
  <si>
    <t>Acct Executive, Client Leadership</t>
  </si>
  <si>
    <t>Attended internal reviews with creative/production teams and coordinated client meetings and reviews/approvals.</t>
  </si>
  <si>
    <t>Captured client feedback and relay to internal teams and obtained final approval on spots prior to shipping.</t>
  </si>
  <si>
    <t>Oversaw quality of production outputs prior to client review.</t>
  </si>
  <si>
    <t>Ensured client has signed off on all preproduction documentation (storyboards, talent, locations, etc.)</t>
  </si>
  <si>
    <t>Submitted all estimates to agency production and finance team for approvals and invoicing.</t>
  </si>
  <si>
    <t>Worked with agency teams and client on production requirements and budgets.</t>
  </si>
  <si>
    <t>Ensured productions are delivered on time and within budget.</t>
  </si>
  <si>
    <t>Acct Manager</t>
  </si>
  <si>
    <t>Approved and facilitated invoice approvals and payment.</t>
  </si>
  <si>
    <t>Approved production</t>
  </si>
  <si>
    <t>Ensured final shipping, traffic, and all invoices/payments have been made on the project</t>
  </si>
  <si>
    <t>Related vendor invoices before submitting to finance.</t>
  </si>
  <si>
    <t>Revised estimates as necessary to report additional costs and/or overages.</t>
  </si>
  <si>
    <t>Monitor production budgets</t>
  </si>
  <si>
    <t>Supervised business teams involved in pre production</t>
  </si>
  <si>
    <t>pre</t>
  </si>
  <si>
    <t>Updated estimates and processed overages, as needed</t>
  </si>
  <si>
    <t>Acct Managing Dir</t>
  </si>
  <si>
    <t>Attended client meetings for rough cut review/approvals</t>
  </si>
  <si>
    <t>Attended client meetings for updates on production</t>
  </si>
  <si>
    <t>Attended internal reviews with Producers, Creative Team &amp; Sr Business Mgr</t>
  </si>
  <si>
    <t>Attended meeting with Client for final review/approval of spot</t>
  </si>
  <si>
    <t>Acct Mgr</t>
  </si>
  <si>
    <t>Approved production related vendor invoices before submitting to finance</t>
  </si>
  <si>
    <t>Monitored production budgets</t>
  </si>
  <si>
    <t>Acct Supervisor</t>
  </si>
  <si>
    <t>Actualize and close out production job within budget</t>
  </si>
  <si>
    <t>Attended all client reviews along with the  Creative Team</t>
  </si>
  <si>
    <t>Attended all internal reviews with Producers &amp; Prod Business Mgr</t>
  </si>
  <si>
    <t>Attended internal reviews with Creative, Production &amp; Business teams</t>
  </si>
  <si>
    <t>Attended meeting for final review/approval of spot</t>
  </si>
  <si>
    <t>Attended meeting for obtaining and submitting legal clearance and substantiation</t>
  </si>
  <si>
    <t>Coordinated all client meetings and reviews/approvals</t>
  </si>
  <si>
    <t>Ensure edit specifications were met for color grading/correction, compositing &amp; finishing of spots</t>
  </si>
  <si>
    <t>Ensure quality of production outputs prior to client review</t>
  </si>
  <si>
    <t>Ensured audio/music specifications were met</t>
  </si>
  <si>
    <t>Ensured spot deliverables met timeline for client review</t>
  </si>
  <si>
    <t>Obtaining and submitting legal clearance and substantiation</t>
  </si>
  <si>
    <t>Presented client with rough cut of spots, noted client revisions &amp; communicated revisions Art Team</t>
  </si>
  <si>
    <t>Scheduled client review for voice over talent casting</t>
  </si>
  <si>
    <t>Scheduled meeting with client, producers &amp; account team for final review/approval of spot</t>
  </si>
  <si>
    <t>Supervised  internal agency Art Team on all editorial services</t>
  </si>
  <si>
    <t>Supervised assembly of all versions of final broadcast, programmatic online video &amp; social media spots for client review</t>
  </si>
  <si>
    <t>Supervised assembly of final spots, and all versioning of spots for client review</t>
  </si>
  <si>
    <t>Supervised designers on all post production</t>
  </si>
  <si>
    <t>Worked with internal agency team to manage budget expectations</t>
  </si>
  <si>
    <t>Worked with Producer &amp; Lead Creative Teams to supervise designers/editors on all post production</t>
  </si>
  <si>
    <t xml:space="preserve">Worked with Producer &amp; Lead Creative Teams to supervise music selection, sound design/mixing &amp; recording of all voice over sessions </t>
  </si>
  <si>
    <t>Attended talent casting auditions &amp; callbacks</t>
  </si>
  <si>
    <t xml:space="preserve">Coordinated schedules of internal agency meeting for talent &amp; backups </t>
  </si>
  <si>
    <t>Coordinated with client on availability for meetings &amp; schedule during shoot</t>
  </si>
  <si>
    <t>Coordinated with internal agency on scheduling meeting for production budget &amp; timeline review</t>
  </si>
  <si>
    <t>Danielle presented client and cost consultant with agency estimate for approval</t>
  </si>
  <si>
    <t>Direct to client contact that manages agency teams to ensure success and client sign</t>
  </si>
  <si>
    <t>Ensured client had signed off on all shoot</t>
  </si>
  <si>
    <t>Evaluated terms of all production, audio/music, post/visual effects, casting &amp; editorial bids</t>
  </si>
  <si>
    <t>Helped ensure that client signed off on all production elements</t>
  </si>
  <si>
    <t>Met with internal agency team &amp; communicated updates on production from client</t>
  </si>
  <si>
    <t>Presented client with agency estimate for approval</t>
  </si>
  <si>
    <t>Provided client feedback on approved estimate &amp; production timeline to internal agency production team</t>
  </si>
  <si>
    <t>Regularly met with clients &amp; communicated updates on production prep</t>
  </si>
  <si>
    <t>Reviewed talent demo reels provided by the casting director to determine potential talent selects that would attend auditions</t>
  </si>
  <si>
    <t>Submitted client approved estimate to agency production and finance teams to begin invoicing &amp; budget management</t>
  </si>
  <si>
    <t>Worked with client on paperwork that needed client’s approvals</t>
  </si>
  <si>
    <t>Worked with client on paperwork that needed client’s approvals including product substantiation, background checks &amp; legal documents</t>
  </si>
  <si>
    <t>Worked with internal agency on creation of contracts for talent for legal to review</t>
  </si>
  <si>
    <t>Worked with internal agency team</t>
  </si>
  <si>
    <t>Worked with internal agency team on finalization of budgets</t>
  </si>
  <si>
    <t>Worked with Producer &amp; Creative Teams on specifications for shoot locations, set design, cast, props &amp; wardrobe selections</t>
  </si>
  <si>
    <t>Works with agency teams and client on production requirements and budgets.</t>
  </si>
  <si>
    <t>Attended Prelight &amp; Shoot as main contact for client</t>
  </si>
  <si>
    <t>Attended shoot as client liaison for production company, Producer and Creative Team</t>
  </si>
  <si>
    <t>Attends production shoots as client liaison for production company and creative teams</t>
  </si>
  <si>
    <t>Day Shoot as client liaison between Producer &amp; Creative Teams &amp; Production Company</t>
  </si>
  <si>
    <t>Interfaced with agency team and clients to sign off on production items</t>
  </si>
  <si>
    <t>Interfaced with clients to sign off on production items for shoot</t>
  </si>
  <si>
    <t>Interfaced with production company and clients to sign off on production items for shoot</t>
  </si>
  <si>
    <t>Kept shoot on schedule and within budget</t>
  </si>
  <si>
    <t>Liaison between client, Production Company &amp; Producer</t>
  </si>
  <si>
    <t>Obtained clients' approval for last minute changes</t>
  </si>
  <si>
    <t>Was direct partner on set with client to ensure footage captured was based on approved storyboards &amp; met the client’s needs</t>
  </si>
  <si>
    <t>Animation Dir</t>
  </si>
  <si>
    <t>Directed the style of animation use</t>
  </si>
  <si>
    <t>Reviewed and approved version of spots</t>
  </si>
  <si>
    <t>Art Director</t>
  </si>
  <si>
    <t>Attended all client reviews along with Account Team</t>
  </si>
  <si>
    <t>Attended internal agency reviews regarding edits</t>
  </si>
  <si>
    <t>Ensured edit specifications were met</t>
  </si>
  <si>
    <t>Managed internal agency Art Team on design, layout and creation of graphic supers on all versions of cinemagraphs/spots</t>
  </si>
  <si>
    <t>Presented client with rough cut of spots, noted client revisions &amp; communicated revisions to internal agency Art Team</t>
  </si>
  <si>
    <t>Supervised editors on all post production</t>
  </si>
  <si>
    <t>Supervised internal agency Art Team on all editorial services</t>
  </si>
  <si>
    <t>Worked on all finishing services including color grading/correction, compositing &amp; finishing of spots</t>
  </si>
  <si>
    <t>Worked on design, layout and creation of graphic supers on all versions of broadcast</t>
  </si>
  <si>
    <t>Worked on design, layout and creation of graphic supers on all versions of cinemagraphs/spots</t>
  </si>
  <si>
    <t>Worked on timing of visual &amp; graphic supers to ensure they were aligned in all versions of broadcast &amp; social media spots</t>
  </si>
  <si>
    <t>Worked on timing of visual &amp; graphic supers to ensure they were aligned in all versions of cinemagraphs/spots</t>
  </si>
  <si>
    <t>Worked with designers on all post production</t>
  </si>
  <si>
    <t>Worked with editors on all finishing services including color correction/grading, compositing &amp; finishing for all versions of broadcast &amp; social media spots</t>
  </si>
  <si>
    <t>Worked with internal agency Art Team to ensure timing of visual &amp; graphic supers were aligned in all versions of cinemagraphs/spots</t>
  </si>
  <si>
    <t>Attended all meetings with production company regarding shoot prep &amp; pre-production meetings with clients prior to shoot</t>
  </si>
  <si>
    <t>Created artwork for prepro book that included images/art references for props &amp; set dressing, wardrobe and stylings</t>
  </si>
  <si>
    <t>Created artwork for shot list &amp; Pre-Pro Book</t>
  </si>
  <si>
    <t>Was part of Creative Team that attended all pre-production meetings with internal agency teams</t>
  </si>
  <si>
    <t>Was part of Creative Team that attended pre-production meetings with internal agency teams regarding shoot prep</t>
  </si>
  <si>
    <t>Was part of Creative Team that supervised production company with preproduction prep</t>
  </si>
  <si>
    <t>Worked with internal agency members on artwork specifications for shot list/prepro book</t>
  </si>
  <si>
    <t>Approved set design, lighting &amp; product/props prior to shooting</t>
  </si>
  <si>
    <t>Approved wardrobe, hair &amp; makeup for celebrity &amp; on camera talent prior to shooting</t>
  </si>
  <si>
    <t>Attended Prelight &amp; Shoot that led all creative decisions, visual and copy aspects throughout production</t>
  </si>
  <si>
    <t>Attended Prelight, Wardrobe Fitting Session and Shoot</t>
  </si>
  <si>
    <t>Attended shoot day and part of doing creative decisions, visual and copy aspects throughout production</t>
  </si>
  <si>
    <t>Ensured client, agency teams &amp; production company were aligned with production decisions</t>
  </si>
  <si>
    <t>Managed production workflow to ensure all footage captured was based on storyboards/scripts</t>
  </si>
  <si>
    <t>Part of Creative Team that led all creative decisions, visual and copy aspects throughout shoot</t>
  </si>
  <si>
    <t>Was part of Creative Team that worked with the director &amp; line producer on set direction, lighting &amp; props</t>
  </si>
  <si>
    <t>Worked with Producers on managing production workflow to ensure all footage captured was based on storyboards/scripts</t>
  </si>
  <si>
    <t>Worked with Producers to ensure client, agency teams &amp; production company were aligned with production decisions</t>
  </si>
  <si>
    <t>Worked with Producers, Director &amp; Line Producer on set direction, lighting &amp; props</t>
  </si>
  <si>
    <t>Yi was part of Creative Team that worked with Chloe Micek (Acct Supervisor), director &amp; line producer on set direction, lighting &amp; props</t>
  </si>
  <si>
    <t>Assistant Program Mgr</t>
  </si>
  <si>
    <t>Assisted in the organization and management of post-production schedules, ensuring timely completion of editing and revisions.</t>
  </si>
  <si>
    <t>Collaborated with the editing team to gather and catalog raw footage, ensuring all necessary clips were available for review.</t>
  </si>
  <si>
    <t>Facilitated communication between the creative team and clients to gather feedback on the initial cut of the commercial.</t>
  </si>
  <si>
    <t>Maintained a project tracking system to monitor the status of edits, visual effects, and sound design, ensuring deadlines were met.</t>
  </si>
  <si>
    <t>Prepared final project deliverables for client review and distribution, ensuring all materials were formatted according to specifications.</t>
  </si>
  <si>
    <t>Assisted in coordinating project timelines and schedules, ensuring that all pre-production activities were completed on time.</t>
  </si>
  <si>
    <t>Collaborated with the program manager to prepare and distribute project briefs that outlined objectives and deliverables to the creative team.</t>
  </si>
  <si>
    <t>Conducted research to identify potential production vendors and facilitated initial outreach for quotes and availability.</t>
  </si>
  <si>
    <t>Organized and maintained project documentation, including contracts, scripts, and meeting notes, to ensure all stakeholders had access to relevant information.</t>
  </si>
  <si>
    <t>Participated in brainstorming sessions with the creative team to contribute ideas and feedback on concepts and strategies for the commercial.</t>
  </si>
  <si>
    <t>Assisted in coordinating logistics for the shoot, including location scouting, transportation arrangements, and catering services.</t>
  </si>
  <si>
    <t>Communicated with crew members to relay important updates and ensure that everyone was aligned on the production goals.</t>
  </si>
  <si>
    <t>Helped manage on-site supplies and resources, ensuring that all materials were available and ready for use during the shoot.</t>
  </si>
  <si>
    <t>Monitored the progress of the shoot, documenting any changes to the schedule or script to keep the project on track.</t>
  </si>
  <si>
    <t>Supported the production team by tracking daily schedules and ensuring that all necessary equipment and personnel were present on set.</t>
  </si>
  <si>
    <t>Assistant Video Editor</t>
  </si>
  <si>
    <t>Applied basic transitions, effects, and color adjustments to rough edits before passing them on for final refinement.</t>
  </si>
  <si>
    <t>Assembled initial rough cuts based on the creative direction provided by the lead editor and director.</t>
  </si>
  <si>
    <t>Exported finalized video files in the required formats, ensuring they met technical specifications for various platforms and distribution channels.</t>
  </si>
  <si>
    <t>Reviewed final edits to ensure technical quality, including correct resolution, frame rate, and audio levels.</t>
  </si>
  <si>
    <t>Synced, edited, and incorporated audio tracks, including dialogue, sound effects, and background music, into the video timeline.</t>
  </si>
  <si>
    <t>Assisted the post-production supervisor in preparing editing software, templates, and workflows for the upcoming project.</t>
  </si>
  <si>
    <t>Collaborated with the production team to understand the creative brief and ensure all assets were aligned with the project’s goals.</t>
  </si>
  <si>
    <t>Coordinated with the camera and sound teams to ensure proper syncing of video and audio files for smooth post-production.</t>
  </si>
  <si>
    <t>Organized and managed media files, ensuring all footage was properly logged and stored for easy access during the editing phase.</t>
  </si>
  <si>
    <t>Set up file structures and backup systems to ensure the safe storage of all raw footage and media files.</t>
  </si>
  <si>
    <t>Assisted the director and lead editor on set by organizing shot lists and tracking takes for later editing.</t>
  </si>
  <si>
    <t>Downloaded and organized daily footage from the shoot, ensuring all files were backed up and properly labeled.</t>
  </si>
  <si>
    <t>Monitored video quality for any issues such as exposure, focus, or audio sync, and flagged any necessary reshoots to the production team.</t>
  </si>
  <si>
    <t>Provided rough assembly edits of footage to assist the lead editor in reviewing the shoot’s progress.</t>
  </si>
  <si>
    <t>Synced audio and video files, preparing them for the editing process to ensure smooth integration into the final cut.</t>
  </si>
  <si>
    <t>Assoc Bus Affairs Mgr</t>
  </si>
  <si>
    <t>Compiled a comprehensive report on production costs and any variances from the budget, presenting findings to stakeholders.</t>
  </si>
  <si>
    <t>Coordinated with legal counsel to finalize agreements related to music licensing and any other outstanding rights issues.</t>
  </si>
  <si>
    <t>Facilitated the approval process for the commercial's distribution by ensuring all necessary documentation was completed and submitted.</t>
  </si>
  <si>
    <t>Organized and maintained all project files, including contracts, agreements, and correspondence, for future reference and audits.</t>
  </si>
  <si>
    <t>Reviewed final cut of the commercial to ensure all contractual obligations regarding talent and materials were satisfied before release.</t>
  </si>
  <si>
    <t>Collaborated with the finance team to establish the production budget, ensuring all costs were accurately projected and aligned with the overall campaign strategy.</t>
  </si>
  <si>
    <t>Conducted rights clearances for all script elements, including music, images, and brand references, to mitigate legal risks.</t>
  </si>
  <si>
    <t>Coordinated with the creative team to secure necessary permits and licenses for shooting locations, ensuring all legal requirements were met.</t>
  </si>
  <si>
    <t>Developed detailed production schedules that outlined key milestones and deadlines for deliverables throughout the project lifecycle.</t>
  </si>
  <si>
    <t>Reviewed and negotiated contracts with talent and production companies to ensure compliance with legal and budgetary guidelines.</t>
  </si>
  <si>
    <t>Assisted in the documentation of production expenses to ensure accurate reporting and accountability for the project budget.</t>
  </si>
  <si>
    <t>Facilitated communication between the production team and external vendors, resolving any contractual issues that arose during filming.</t>
  </si>
  <si>
    <t>Managed any unexpected legal issues that occurred on set, providing immediate solutions to ensure the production timeline was maintained.</t>
  </si>
  <si>
    <t>Monitored production activities to ensure adherence to contractual obligations and compliance with industry regulations.</t>
  </si>
  <si>
    <t>Reviewed call sheets and daily production reports to verify that all contractual terms were being upheld by involved parties.</t>
  </si>
  <si>
    <t>Assoc Creative Dir</t>
  </si>
  <si>
    <t>Managed internal agency on design, layout and creation of graphic supers on all versions of cinemagraphs/spots</t>
  </si>
  <si>
    <t>Part of Creative Team that ensured edit specifications were met</t>
  </si>
  <si>
    <t>Part of Creative Team that worked with internal agency to ensure timing of visual &amp; graphic supers were aligned in all versions of cinemagraphs/spots</t>
  </si>
  <si>
    <t>Presented client with rough cut of spots, noted client revisions &amp; communicated revisions to internal agency team</t>
  </si>
  <si>
    <t>Supervised  internal agency on all editorial services including edits of graphics/titles/end cards &amp; finishing of cinemagraphs/spots</t>
  </si>
  <si>
    <t>Along with client, has final approval on all setups and shot completion.</t>
  </si>
  <si>
    <t>Attended preproduction meetings with internal agency teams</t>
  </si>
  <si>
    <t>Ensured client, agency and vendors are aligned with the production decisions.</t>
  </si>
  <si>
    <t>Led creative decisions &amp; visual or copy aspects throughout production.</t>
  </si>
  <si>
    <t>Led director, talent, location search with creative team and producer.</t>
  </si>
  <si>
    <t>Managed shoot/production to ensure creative follows storyboards.</t>
  </si>
  <si>
    <t>Oversaw creative team that executes the approved creative.</t>
  </si>
  <si>
    <t>Presented director/talent/location options and any other items from preproduction book to client for review/approval Manage teams of creatives.</t>
  </si>
  <si>
    <t>Ensure client, agency teams &amp; production company were aligned with production decisions</t>
  </si>
  <si>
    <t xml:space="preserve">Part of Creative Team that worked on set direction, lighting &amp; props </t>
  </si>
  <si>
    <t>Assoc Dir, Bus Affairs</t>
  </si>
  <si>
    <t>Approve and facilitate invoice approvals and payment.</t>
  </si>
  <si>
    <t>Approve production related vendor invoices before submitting to finance.</t>
  </si>
  <si>
    <t>Approved vendor invoices &amp; sent to Accounting Dept for payment</t>
  </si>
  <si>
    <t>Ensured all job files were complete with all requisite production paperwork</t>
  </si>
  <si>
    <t>Ensured all job files were complete with all the necessary production paperwork</t>
  </si>
  <si>
    <t>Finalized costs and closed out job</t>
  </si>
  <si>
    <t>Manage talent payment, residual projections, and contract renewals when necessary.</t>
  </si>
  <si>
    <t>Revise estimates as necessary to report additional costs and/or overages.</t>
  </si>
  <si>
    <t>Set up new vendors. Issue vendor purchase orders.</t>
  </si>
  <si>
    <t>Update and process overages with producer.</t>
  </si>
  <si>
    <t>Worked closely with the Production Company to ensure specifications were met</t>
  </si>
  <si>
    <t>Liaison between client, agency, and production company regarding the components of production</t>
  </si>
  <si>
    <t>Oversight of the hiring process for vendors</t>
  </si>
  <si>
    <t>Prepared production budget &amp; timeline for spot deliverables for client review</t>
  </si>
  <si>
    <t>Prepared specifications for all vendors</t>
  </si>
  <si>
    <t>Assoc Dir, Business Affairs</t>
  </si>
  <si>
    <t>Approve post production related vendor invoices before submitting to finance.</t>
  </si>
  <si>
    <t>Managed all payments of contracted vendors</t>
  </si>
  <si>
    <t>Reviewed all versions of spots</t>
  </si>
  <si>
    <t>Scheduled &amp; attended all meetings with client &amp; producer</t>
  </si>
  <si>
    <t>Negotiated terms of all bids</t>
  </si>
  <si>
    <t>Oversaw the hiring process for all vendors</t>
  </si>
  <si>
    <t>Prepared budget &amp; timeline for spot deliverables &amp; obtained approvals from client</t>
  </si>
  <si>
    <t>Prepared contracts</t>
  </si>
  <si>
    <t>Assoc Dir, Exec Prod</t>
  </si>
  <si>
    <t>Attended all internal and client reviews and coordinated final client approval of spots</t>
  </si>
  <si>
    <t>Ensure all job files were complete with all requisite production paperwork</t>
  </si>
  <si>
    <t>Ensure editorial specifications were met</t>
  </si>
  <si>
    <t>Ensure post specifications were met</t>
  </si>
  <si>
    <t>Ensure post specifications were met for color grading, 2D motion graphics, VFX compositing &amp; VFX rig removal for all spots</t>
  </si>
  <si>
    <t>Ensured music specifications were met</t>
  </si>
  <si>
    <t>Issued sessions and final cast reports</t>
  </si>
  <si>
    <t>Made sure hard drives of shoot footage were delivered to editors &amp; briefed editors on shoot details</t>
  </si>
  <si>
    <t>Presented client with rough cut of spots, noted client revisions &amp; communicated revisions to Editorial Company</t>
  </si>
  <si>
    <t>Supervised designers on all post production &amp; edits including sound design, graphics &amp; finishing of spots</t>
  </si>
  <si>
    <t>Supervised editors on edits &amp; finishing of spots</t>
  </si>
  <si>
    <t>Supervised mixing of audio, footage edits and all versioning of spots, including assembly of final spots for client review</t>
  </si>
  <si>
    <t>Supervised music production</t>
  </si>
  <si>
    <t xml:space="preserve">Supervised sound design/mixing with audio engineer </t>
  </si>
  <si>
    <t>Worked closely with audio engineer to ensure audio specifications were met</t>
  </si>
  <si>
    <t>Engaged producers and production companies based on approved storyboards &amp; job specifications</t>
  </si>
  <si>
    <t>Ensure that no unecessary costs have been added to the estimate, that all mark up costs on production estimates have the correct percentage based on the client's bid specifications and timely signing of all budgets/estimates</t>
  </si>
  <si>
    <t>Liaison between client, agency, and production companies regarding all components of production</t>
  </si>
  <si>
    <t>Oversight of the hiring process for all vendors including production/animation, music, audio &amp; edit vendors</t>
  </si>
  <si>
    <t>Prepare production budget &amp; timeline for spot deliverables for cost consultant &amp; client review</t>
  </si>
  <si>
    <t>Prepared job specifications for production company and music, audio &amp; edit vendors</t>
  </si>
  <si>
    <t>Worked on production/shooting schedules</t>
  </si>
  <si>
    <t>Acted as gatekeeper during shoot to ensure client, agency &amp; production/animation company were aligned with production decisions</t>
  </si>
  <si>
    <t>Managed production workflow to ensure VFX footage was captured based on storyboards/scripts</t>
  </si>
  <si>
    <t>Obtained clients approval for last minute changes in artwork</t>
  </si>
  <si>
    <t>Responsible for keeping production on time and within budget</t>
  </si>
  <si>
    <t>Assoc Dir, Proj Mgt</t>
  </si>
  <si>
    <t>Maintained group calendars and scheduled &amp; attended postproduction hours for all agency personnel</t>
  </si>
  <si>
    <t>Responsible for product substantiation &amp; for obtaining and submitting legal clearance</t>
  </si>
  <si>
    <t>Reviewed and finalized costs and closed out the job</t>
  </si>
  <si>
    <t>Reviewed versions of spots to resolve legal clearance issues to ensure all footage was cleared for use</t>
  </si>
  <si>
    <t>Tracked post production hours for all agency personnel</t>
  </si>
  <si>
    <t>Added client review/meeting dates to group calendars to ensure timelines were met</t>
  </si>
  <si>
    <t>Established group calendars and scheduled &amp; attended internal agency meetings</t>
  </si>
  <si>
    <t>Reviewed agency personnel hours that worked on the job during preproduction</t>
  </si>
  <si>
    <t>Reviewed bids &amp; agency estimates for accuracy prior to sending to client for approval</t>
  </si>
  <si>
    <t>Was involved in researching legal clearance issues to ensure all potential spot contents were cleared for use</t>
  </si>
  <si>
    <t>Tracked production/shoot hours for all agency personnel to ensure hours were within range for the project based on client specifications</t>
  </si>
  <si>
    <t>Worked closely across all agency teams to help ensure successful production completion (on time &amp; within budget)</t>
  </si>
  <si>
    <t>Assoc Dir, Sr Prod</t>
  </si>
  <si>
    <t>Actualize and closed out job</t>
  </si>
  <si>
    <t>Approved vendor invoices &amp; sent to Accounting Dept for payment.</t>
  </si>
  <si>
    <t>Attended internal and client reviews and coordinated final client approval of spots</t>
  </si>
  <si>
    <t>Ensured all job files were complete with all requisite production paperwork.</t>
  </si>
  <si>
    <t>Ensured post production &amp; edit specifications were met</t>
  </si>
  <si>
    <t xml:space="preserve">Ensured spots ship. </t>
  </si>
  <si>
    <t>Finalized costs and closed out job.</t>
  </si>
  <si>
    <t>Finalized costs, overages, job, actuals, etc.</t>
  </si>
  <si>
    <t>License music search with audio engineer.</t>
  </si>
  <si>
    <t>Made sure hard drives of shoot footage were delivered to  &amp; briefed editors on shoot details</t>
  </si>
  <si>
    <t>Oversaw post production edits.</t>
  </si>
  <si>
    <t>Oversees all post production edits and additional asset creation.</t>
  </si>
  <si>
    <t>Presented client with rough cut of spots and noted client revisions</t>
  </si>
  <si>
    <t>Responsible for making air dates and obtaining legal clearance when needed.</t>
  </si>
  <si>
    <t>Responsible for scheduling and ensuring agency and clients meet client or post house approval deadlines.</t>
  </si>
  <si>
    <t>Reviewed and ensured post production &amp; edit specifications were met</t>
  </si>
  <si>
    <t>Reviewed clean up of film and additional fixes to final picture</t>
  </si>
  <si>
    <t>Reviewedl AD ID's and versions, legal on spots, etc.</t>
  </si>
  <si>
    <t>Supervised additional asset creation</t>
  </si>
  <si>
    <t>Supervised additional asset creation (sound design and graphics)</t>
  </si>
  <si>
    <t>Supervised final color and grading of film.</t>
  </si>
  <si>
    <t>Supervised final edits/assembly of final spots, and all versioning of spots.</t>
  </si>
  <si>
    <t>Supervised final mixing of audio.</t>
  </si>
  <si>
    <t>Supervised mixing of audio, footage edits &amp; assembly of final spots, and all versioning of spots for client review</t>
  </si>
  <si>
    <t>Supervises final color and grading of film.</t>
  </si>
  <si>
    <t>Supervises final mixing of audio.</t>
  </si>
  <si>
    <t>Uploaded assets to media company.</t>
  </si>
  <si>
    <t>Worked on sounds design with creative team and audio engineer.</t>
  </si>
  <si>
    <t>Worked to ensure spot deliverables met timeline for client review</t>
  </si>
  <si>
    <t>Worked with audio engineer, records rough scratch tracks.</t>
  </si>
  <si>
    <t>Worked with editor on edits and versions with creative team.</t>
  </si>
  <si>
    <t>Worked with music company and composers on music tracks.</t>
  </si>
  <si>
    <t>Works on sounds design with creative team and audio engineer.</t>
  </si>
  <si>
    <t>Works with audio engineer, records rough scratch tracks.</t>
  </si>
  <si>
    <t>Works with editor on a daily basis.</t>
  </si>
  <si>
    <t>Works with music company and composers on music tracks.</t>
  </si>
  <si>
    <t>Attended all pre production meetings with internal agency teams</t>
  </si>
  <si>
    <t>Attended casting sessions &amp; selected talent for client's approval</t>
  </si>
  <si>
    <t>Created budgets</t>
  </si>
  <si>
    <t>Engaged directors, production companies &amp; vendors for job based on approved storyboards</t>
  </si>
  <si>
    <t>Liaison between client, agency team and production companies regarding all components of production</t>
  </si>
  <si>
    <t>Liaison between client, agency, and production companies regarding all components of production including shoot location, cast &amp; wardrobe selections</t>
  </si>
  <si>
    <t>Oversaw the creation of production/shooting schedules</t>
  </si>
  <si>
    <t>Oversight of creation of production/shooting schedules</t>
  </si>
  <si>
    <t>Runs pre pro meeting and approves final preproduction book</t>
  </si>
  <si>
    <t>Assoc Dir/Rights Mgr</t>
  </si>
  <si>
    <t>Assisted in tracking talent usage for finalized spots</t>
  </si>
  <si>
    <t>Created budgets and timelines to ensure production comes in on time and on target</t>
  </si>
  <si>
    <t>Manage production workflow to ensure creative is captured</t>
  </si>
  <si>
    <t>Assoc Motion Designer</t>
  </si>
  <si>
    <t>Assisted in preparing the final project files for archiving and documentation.</t>
  </si>
  <si>
    <t>Compiled a portfolio piece showcasing the work completed on the commercial for future reference.</t>
  </si>
  <si>
    <t>Created promotional graphics and social media assets derived from the commercial animations.</t>
  </si>
  <si>
    <t>Made necessary adjustments to animations based on director feedback after the initial screening.</t>
  </si>
  <si>
    <t>Reviewed the final cut of the commercial to ensure all animations were correctly implemented.</t>
  </si>
  <si>
    <t>Assisted in creating mood boards to visualize the desired aesthetic and tone of the commercial.</t>
  </si>
  <si>
    <t>Collaborated with the creative team to conceptualize and develop storyboards for the commercial.</t>
  </si>
  <si>
    <t>Participated in team meetings to discuss project timelines and deliverables.</t>
  </si>
  <si>
    <t>Prepared asset lists based on the storyboard for the animation production phase.</t>
  </si>
  <si>
    <t>Researched design trends and gathered reference materials to inform the animation style.</t>
  </si>
  <si>
    <t>Assisted in setting up and managing project files within the animation software.</t>
  </si>
  <si>
    <t>Collaborated with other designers and animators to refine animations and ensure consistency.</t>
  </si>
  <si>
    <t>Developed animated graphics and visual effects according to the approved storyboard.</t>
  </si>
  <si>
    <t>Exported and delivered animation files to the production team for integration into the final edit.</t>
  </si>
  <si>
    <t>Implemented feedback from the lead designer during the animation review process.</t>
  </si>
  <si>
    <t>Assoc Program Dir, Content &amp; Packaging</t>
  </si>
  <si>
    <t>Collaborated with editors to provide feedback on pacing, transitions, and overall narrative structure of the commercial.</t>
  </si>
  <si>
    <t>Conducted post-mortem evaluations with the team to analyze project outcomes and identify areas for improvement in future productions.</t>
  </si>
  <si>
    <t>Ensured all assets, including video files and production notes, were archived and organized for future use and reference.</t>
  </si>
  <si>
    <t>Prepared presentation materials for client review, highlighting key elements of the commercial and rationales for creative choices made.</t>
  </si>
  <si>
    <t>Reviewed edited content to ensure alignment with the original creative vision and adherence to client specifications before final approval.</t>
  </si>
  <si>
    <t>Assisted in the selection of production vendors and resources, evaluating proposals to ensure quality and cost-effectiveness.</t>
  </si>
  <si>
    <t>Collaborated with the creative team to develop the initial concept and narrative for the commercial, aligning it with client goals and target audience insights.</t>
  </si>
  <si>
    <t>Conducted research on competitive content and market trends to inform creative direction and enhance the commercial’s impact.</t>
  </si>
  <si>
    <t>Coordinated with stakeholders to establish project timelines and deliverables, ensuring all parties were aligned on expectations and deadlines.</t>
  </si>
  <si>
    <t>Created content briefs that outlined key messages, target demographics, and branding guidelines to inform the production process.</t>
  </si>
  <si>
    <t>Coordinated logistics for talent, crew, and equipment on set, ensuring all necessary resources were in place for a smooth production process.</t>
  </si>
  <si>
    <t>Documented production notes and feedback during filming sessions to inform post-production editing and revisions.</t>
  </si>
  <si>
    <t>Managed communication between the production crew and client representatives, ensuring transparency and timely updates on project progress.</t>
  </si>
  <si>
    <t>Oversaw daily production activities to ensure adherence to the established schedule and quality standards, facilitating problem-solving as needed.</t>
  </si>
  <si>
    <t>Worked closely with the director and cinematographer to provide guidance on content alignment and adherence to the creative vision during filming.</t>
  </si>
  <si>
    <t>Associate Creative Director</t>
  </si>
  <si>
    <t>Addresses client revisions.</t>
  </si>
  <si>
    <t>Approves music search with audio engineer.</t>
  </si>
  <si>
    <t>Reviews clean up of film and additional fixes to final picture.</t>
  </si>
  <si>
    <t>Supervises creative team and audio engineer, records rough scratch tracks.</t>
  </si>
  <si>
    <t>Supervises creative team with edits and versions.</t>
  </si>
  <si>
    <t>Presents examples of art direction for locations.</t>
  </si>
  <si>
    <t>Attends shoot and communicates on set with agency team, and with clients.</t>
  </si>
  <si>
    <t>Ensures client, agency and vendors are aligned with the production decisions.</t>
  </si>
  <si>
    <t>Manages shoot/production to ensure creative follows storyboards.</t>
  </si>
  <si>
    <t>Associate Creative Director, Art Director</t>
  </si>
  <si>
    <t>Approved all post production edits and additional asset creation</t>
  </si>
  <si>
    <t>Approved music search with audio engineer.</t>
  </si>
  <si>
    <t>Oversaw all post production edits and additional asset creation</t>
  </si>
  <si>
    <t>Reviews clean up of film and additional fixes to final picture</t>
  </si>
  <si>
    <t>Supervises final color and grading of picture.</t>
  </si>
  <si>
    <t>Supervises final edits/assembly of final spots, and all versioning of spots.</t>
  </si>
  <si>
    <t>Works with creative team and animators on graphics/titles/end cards/mnemonics.</t>
  </si>
  <si>
    <t>Assists with director, talent, location search within creative team and producer.</t>
  </si>
  <si>
    <t>Cleans up and/or approves packaging files for product</t>
  </si>
  <si>
    <t>Leads all creative decisions &amp; visual or copy aspects throughout production.</t>
  </si>
  <si>
    <t>Leads director, talent, location search with creative team and producer.</t>
  </si>
  <si>
    <t>Manage teams of creatives.</t>
  </si>
  <si>
    <t>Oversees creative team that executes the approved creative.</t>
  </si>
  <si>
    <t>Present director/talent/location options and any other items from preproduction book to client for review/approval</t>
  </si>
  <si>
    <t>Present examples of art direction for locations</t>
  </si>
  <si>
    <t>Along with client, has final approval on set</t>
  </si>
  <si>
    <t>Communicates on set with agency team, and with clients.</t>
  </si>
  <si>
    <t>Ensured creative followed storyboards.</t>
  </si>
  <si>
    <t>Ensures all shots are captured on set.</t>
  </si>
  <si>
    <t>Associate Director, Business Affairs</t>
  </si>
  <si>
    <t>Issued vendor purchase orders.</t>
  </si>
  <si>
    <t>Set up new vendors.</t>
  </si>
  <si>
    <t>Oversaw the hiring process for all vendors including production, music, audio &amp; edit vendors</t>
  </si>
  <si>
    <t>Prepared specifications for all vendors including production company, music, audio &amp; edit vendors</t>
  </si>
  <si>
    <t>Associate Director, Senior Producer</t>
  </si>
  <si>
    <t>Faciliates VO talent contracts, and signs.</t>
  </si>
  <si>
    <t>May do license music search with audio engineer.</t>
  </si>
  <si>
    <t>Oversees all post production edits and additional asset creation</t>
  </si>
  <si>
    <t>Worked with editor on a daily basis on edits and versions with creative team.</t>
  </si>
  <si>
    <t>Liaison between client, creative team, agency team and production companies regarding all components of production including production budget, shoot location, set design &amp; prop selections</t>
  </si>
  <si>
    <t>Runs pre pro meeting and approves final pre production book</t>
  </si>
  <si>
    <t>Asst Account Exec</t>
  </si>
  <si>
    <t>Attended all internal reviews with creative/production teams and coordinated client meetings and reviews/approvals</t>
  </si>
  <si>
    <t>Captured client feedback and relayed to internal teams</t>
  </si>
  <si>
    <t>Communicated status with internal teams including agency leadership</t>
  </si>
  <si>
    <t>Managed account team that coordinates with client for approval of post production shoot footage and final edits</t>
  </si>
  <si>
    <t>Obtained and submited legal clearance and substantiation</t>
  </si>
  <si>
    <t>Obtained final approval on spot(s) prior to shipping</t>
  </si>
  <si>
    <t>Oversaw quality of production outputs prior to client review</t>
  </si>
  <si>
    <t>Asst Account Executive</t>
  </si>
  <si>
    <t>Was part of Account Team that worked to actualize and close out production job within budget</t>
  </si>
  <si>
    <t>Was part of team responsible for obtaining and submitting legal clearance</t>
  </si>
  <si>
    <t>Was part of the Account Team that coordinated all client meetings for job updates &amp; reviews/approvals</t>
  </si>
  <si>
    <t>Was part of the Account Team that managed budgets &amp; ensured all invoices and payments had been made on the project</t>
  </si>
  <si>
    <t>Was part of the Account Team that supervised designers/editors on post production &amp; editorial services</t>
  </si>
  <si>
    <t>Was part of the Account Team that was responsible for capturing all client feedback and relaying it to internal teams</t>
  </si>
  <si>
    <t>Worked closely with Creative Team to ensure edit specifications were met</t>
  </si>
  <si>
    <t>Worked closely with Creative Team to ensure post production specifications were met</t>
  </si>
  <si>
    <t>Worked with agency teams &amp; Editorial Company to ensure spot deliverables met timeline for client review</t>
  </si>
  <si>
    <t>Attended internal agency meetings for production budget &amp; timeline review prior to submitting to client</t>
  </si>
  <si>
    <t>Ensured client signed off on all production items prior to shoot including set design, props, insurance documents &amp; prepro book</t>
  </si>
  <si>
    <t>Was part of Account Team that regularly met with clients &amp; communicated updates on production prep</t>
  </si>
  <si>
    <t>Was part of Account Team that worked with Producer &amp; Creative Teams on specifications for shoot locations, set design, cast, props &amp; wardrobe selections</t>
  </si>
  <si>
    <t>Was part of Account Team that worked with Producer and Creative &amp; Business Affairs Teams to provide overview of job specifications for all vendors based on discussions with client</t>
  </si>
  <si>
    <t>Was part of Account Team that regularly met with internal agency team &amp; communicated updates/feedback on production from client</t>
  </si>
  <si>
    <t>Was part of Account Team that worked with client &amp; agency teams regarding all components of production including production budget, shoot locations, set design, cast, props &amp; wardrobe selections</t>
  </si>
  <si>
    <t>Was part of the Account Team that acted as client liaison between Producer &amp; Creative Teams &amp; Production Company</t>
  </si>
  <si>
    <t>Was part of the Account Team that was a direct partner on set with client to ensure footage captured was based on approved storyboards &amp; met the client’s needs</t>
  </si>
  <si>
    <t>Was part of the Account Team that worked with agency teams to keep shoot on schedule and within budget</t>
  </si>
  <si>
    <t>Asst Acct Exec, Client Leadership</t>
  </si>
  <si>
    <t>Presented client and cost consultant with agency estimate for approval</t>
  </si>
  <si>
    <t>Regularly met with internal agency team &amp; communicated updates on pre production from client</t>
  </si>
  <si>
    <t>Related items prior to shoot including shoot location, set design, &amp; props selection</t>
  </si>
  <si>
    <t>Was the liaison between client and the Production Company</t>
  </si>
  <si>
    <t>Worked on keeping shoot on schedule and within budget</t>
  </si>
  <si>
    <t>Asst Designer</t>
  </si>
  <si>
    <t>Assisted with FX of shoot footage</t>
  </si>
  <si>
    <t>Met with design team regarding design and animation requirements for cinemagraphs/spots</t>
  </si>
  <si>
    <t>Asst Editor</t>
  </si>
  <si>
    <t>Attended internal and client reviews</t>
  </si>
  <si>
    <t>Was part of the team that presented client with rough cut of spots, &amp; noted client revisions</t>
  </si>
  <si>
    <t>Was part of the team that supervised assembly of rough draft of spots for client review</t>
  </si>
  <si>
    <t>Audio Engineer</t>
  </si>
  <si>
    <t>Edited tracks for spots and enhanced quality</t>
  </si>
  <si>
    <t>Set up and tested sound equipments</t>
  </si>
  <si>
    <t>BBA Coordinator</t>
  </si>
  <si>
    <t>Assisted in reviewing versions of spots to ensure rights</t>
  </si>
  <si>
    <t>Issued session and final cast reports</t>
  </si>
  <si>
    <t>Managed items were not captured to avoid potential lawsuits (Included rough cut, revisions &amp; final spots)</t>
  </si>
  <si>
    <t xml:space="preserve">Managed usage payments for talent </t>
  </si>
  <si>
    <t>Brand Designer</t>
  </si>
  <si>
    <t>Collaborated with the sound and editing teams to ensure that brand guidelines were adhered to in all final assets.</t>
  </si>
  <si>
    <t>Delivered final branded assets, including logos and design elements, for inclusion in the finished commercial.</t>
  </si>
  <si>
    <t>Provided feedback on font choices, graphics, and other design elements added during the editing process.</t>
  </si>
  <si>
    <t>Reviewed the final edit to ensure that the overall design and branding were consistent throughout the commercial.</t>
  </si>
  <si>
    <t>Worked with the post-production team to ensure that color grading and visual effects remained true to the brand's visual identity.</t>
  </si>
  <si>
    <t>Collaborated with the creative team to develop visual concepts and brand guidelines for the commercial.</t>
  </si>
  <si>
    <t>Designed initial mockups, storyboards, and mood boards to guide the creative direction of the production.</t>
  </si>
  <si>
    <t>Presented design ideas and brand concepts to the client for approval, ensuring alignment with their vision and brand identity.</t>
  </si>
  <si>
    <t>Provided detailed design briefs to vendors and external teams, ensuring consistency across all pre-production assets.</t>
  </si>
  <si>
    <t>Worked closely with the production team to ensure that set designs, props, and wardrobe choices reflected the brand’s aesthetics.</t>
  </si>
  <si>
    <t>Collaborated with the director and production designer to ensure that every scene captured the intended brand look and feel.</t>
  </si>
  <si>
    <t>Communicated any necessary changes to the design or visual style to the production team during filming.</t>
  </si>
  <si>
    <t>Monitored the use of props, set pieces, and wardrobe to ensure they aligned with the brand’s guidelines.</t>
  </si>
  <si>
    <t>Oversaw the implementation of brand elements on set, ensuring that the commercial adhered to the established visual identity.</t>
  </si>
  <si>
    <t>Provided on-set art direction, offering adjustments to visual elements as needed to maintain brand consistency.</t>
  </si>
  <si>
    <t>Broadcast Support</t>
  </si>
  <si>
    <t>Presented client with rough cut of spots, noted client revisions</t>
  </si>
  <si>
    <t>Broadcast Talent Mgr</t>
  </si>
  <si>
    <t>Ensured all extras contracts/paperwork were signed &amp; executed properly before submitting to paymaster</t>
  </si>
  <si>
    <t>Bus Affairs Mgr</t>
  </si>
  <si>
    <t>Managed all payments of contracted vendors including Production Companies &amp; Post Vendors</t>
  </si>
  <si>
    <t>Reviewed all versions of spots to ensure rights managed items were not captured to avoid potential lawsuits (Included rough cut, revisions &amp; final spots)</t>
  </si>
  <si>
    <t>Scheduled &amp; attended all meetings with client &amp; producer for job updates &amp; to review all versions of spots including Included rough cut, revisions &amp; final spots</t>
  </si>
  <si>
    <t>Scheduled &amp; attended meetings with client &amp; producer for job updates &amp; to review all versions of spots</t>
  </si>
  <si>
    <t>Oversaw the hiring process for all vendors including production, music, and graphic design</t>
  </si>
  <si>
    <t>Ensure schedules were met throughout production so that no overages were incurred without client approval</t>
  </si>
  <si>
    <t>Provide timely updates of production/shoot &amp; noted client feedback</t>
  </si>
  <si>
    <t>Worked with Accounting Dept on schedule of initial payments for production company &amp; other vendors</t>
  </si>
  <si>
    <t>Business Affairs</t>
  </si>
  <si>
    <t>Approved vendor invoices and managed production budget</t>
  </si>
  <si>
    <t>Reviewed spots to ensure rights managed items were not captured to avoid potential lawsuits</t>
  </si>
  <si>
    <t>Worked with Executive Producer to issue session and final cast reports</t>
  </si>
  <si>
    <t>Business Affairs Dir</t>
  </si>
  <si>
    <t>Reviewed production/post expenses to ensure job closed within budget</t>
  </si>
  <si>
    <t>Reviewed revised production budget to report revisions of costs prior to submitting to the client for approval</t>
  </si>
  <si>
    <t>Assisted in evaluating and negotiating terms of production, music, audio &amp; editorial bids</t>
  </si>
  <si>
    <t>Assisted in preparing specifications for vendors including the production company and music, audio &amp; edit vendors</t>
  </si>
  <si>
    <t>Reviewed production budget &amp; timeline for spot deliverables</t>
  </si>
  <si>
    <t>Helped ensure that schedules were met throughout production so that no overages were incurred without client approval</t>
  </si>
  <si>
    <t>Business Affairs Mgr</t>
  </si>
  <si>
    <t>Actualized costs and close out job</t>
  </si>
  <si>
    <t>Approved remaining vendor invoices, sent to Accounting Dept for payment and managed production budget</t>
  </si>
  <si>
    <t>Ensured all job files were complete with all requisite production paperwork through her departure from the agency</t>
  </si>
  <si>
    <t>Ensured all remaining job files were complete with all requisite production paperwork</t>
  </si>
  <si>
    <t>Scheduled &amp; attended all meetings with client &amp; producer for job updates &amp; to review all versions of spots including Included rough cut, revisions &amp; final</t>
  </si>
  <si>
    <t>Scheduled &amp; attended initial meetings with client &amp; producer for job updates</t>
  </si>
  <si>
    <t>Scheduled post production sessions for music production &amp; finishing of spots</t>
  </si>
  <si>
    <t>Scheduled voice over session with recording studio</t>
  </si>
  <si>
    <t>Submitted talent paperwork to payroll company &amp; managed session payments</t>
  </si>
  <si>
    <t>Prepare job specifications for productio company and audio vendors</t>
  </si>
  <si>
    <t>Prepared job specifications for production company and audio vendors</t>
  </si>
  <si>
    <t>Prepared production budget &amp; timeline for spot deliverables &amp; obtained approvals from client</t>
  </si>
  <si>
    <t>Prepared Production Company contract</t>
  </si>
  <si>
    <t>Researched legal clearance issues to ensure all potential spot content was cleared for use</t>
  </si>
  <si>
    <t>Reviewed and negotiated terms for all audio and post vendor bids</t>
  </si>
  <si>
    <t>Reviewed and negotiating terms for all vendor bids</t>
  </si>
  <si>
    <t>Ensured schedules were met throughout production so that no overages were incurred without client approval</t>
  </si>
  <si>
    <t>Met with Producer for updates regarding production</t>
  </si>
  <si>
    <t>Scheduled &amp; attended meetings with client to provide timely updates of production &amp; noted client feedback</t>
  </si>
  <si>
    <t>Scheduled audio sessions</t>
  </si>
  <si>
    <t>Scheduled post production sessions with with editorial company for Producer to attend</t>
  </si>
  <si>
    <t>Worked with Accounting Dept on schedule of initial payments for production company &amp; audio vendor</t>
  </si>
  <si>
    <t>Business Analyst</t>
  </si>
  <si>
    <t>Attended all internal agency meetings regarding stock images for use in spots</t>
  </si>
  <si>
    <t>Researched stock images for use in all spots</t>
  </si>
  <si>
    <t>Business Manager</t>
  </si>
  <si>
    <t>Ensured final shipping, traffic, and all invoices/payments have been made on the project.</t>
  </si>
  <si>
    <t>Assisted in evaluating and negotiating terms of all production and casting</t>
  </si>
  <si>
    <t>Prepared Production Company &amp; talent contracts</t>
  </si>
  <si>
    <t>Supervise business teams involved in pre production with talent contracts</t>
  </si>
  <si>
    <t>Worked with producers to prepare job specifications</t>
  </si>
  <si>
    <t>Attend production shoot</t>
  </si>
  <si>
    <t>Business Mgr</t>
  </si>
  <si>
    <t>Attended meeting with client, producers &amp; account supervisor for final review/approval of spot</t>
  </si>
  <si>
    <t>Coordinated schedules with recording studio</t>
  </si>
  <si>
    <t>Managed payments of contracted vendors</t>
  </si>
  <si>
    <t>Worked with producers to actualize and close out job</t>
  </si>
  <si>
    <t>Coordinated with Producers to ensure schedules were met throughout production so that no overages were incurred</t>
  </si>
  <si>
    <t>Monitored production budgets on set</t>
  </si>
  <si>
    <t>Worked with producers to evaluate creative and to assess talent, copyright, and intellectual property issues</t>
  </si>
  <si>
    <t>CGI Prod</t>
  </si>
  <si>
    <t>Analyzed post-launch audience responses and performance metrics, gathering insights to inform future CGI projects and improve production workflows.</t>
  </si>
  <si>
    <t>Collaborated with editors to integrate CGI seamlessly into the final cut of the commercial.</t>
  </si>
  <si>
    <t>Coordinated with sound designers to align audio elements with CGI visuals</t>
  </si>
  <si>
    <t>Managed client feedback sessions, incorporating revisions and ensuring that the final CGI work met client expectations and objectives.</t>
  </si>
  <si>
    <t>Reviewed final CGI composites and animations, ensuring all elements met the project's quality standards and artistic direction before delivery.</t>
  </si>
  <si>
    <t>Collaborated with the creative team to define the visual style and requirements for CGI elements in the commercial, ensuring alignment with the overall project vision.</t>
  </si>
  <si>
    <t>Coordinated with clients to gather necessary assets and specifications, ensuring all requirements for CGI integration were clearly understood.</t>
  </si>
  <si>
    <t>Created and presented pitch materials and concepts to stakeholders, effectively communicating the intended use of CGI in enhancing the commercial narrative.</t>
  </si>
  <si>
    <t>Developed detailed project schedules and budgets for CGI production, accounting for resources, technology needs, and time constraints.</t>
  </si>
  <si>
    <t>Supervised the selection and onboarding of CGI artists and technical staff, ensuring the team possessed the required skills and expertise for the project.</t>
  </si>
  <si>
    <t>Collaborated closely with directors and cinematographers to integrate CGI seamlessly with live-action footage, ensuring visual coherence and realism.</t>
  </si>
  <si>
    <t>Conducted regular reviews of CGI assets and animations, providing constructive feedback to artists to enhance quality and adherence to the project vision.</t>
  </si>
  <si>
    <t>Ensured the implementation of best practices for rendering and file management, maintaining efficiency and organization throughout the production phase.</t>
  </si>
  <si>
    <t>Facilitated daily stand-up meetings with the CGI team to address challenges, track progress, and adjust priorities as necessary.</t>
  </si>
  <si>
    <t>Managed the CGI production workflow, overseeing the progress of 3D modeling, animation, and rendering to ensure timelines were met.</t>
  </si>
  <si>
    <t>Chief Creative</t>
  </si>
  <si>
    <t>Addressed client revisions.</t>
  </si>
  <si>
    <t>Oversaw post production edits and additional asset creation.</t>
  </si>
  <si>
    <t>Supervised final color and grading of picture.</t>
  </si>
  <si>
    <t>Worked on all finishing services for all versions of broadcast</t>
  </si>
  <si>
    <t>Worked on all post production for all versions of broadcast</t>
  </si>
  <si>
    <t>Worked on timing of visual &amp; graphic supers to ensure they were aligned in all versions of broadcast</t>
  </si>
  <si>
    <t>Worked with creative team and animators on graphics/titles/end cards/mnemonics.</t>
  </si>
  <si>
    <t>Was part of Creative Team that evaluated production &amp; editorial bids</t>
  </si>
  <si>
    <t>Was part of Creative Team that prepared job specifications for vendors including production &amp; edit vendors</t>
  </si>
  <si>
    <t>Was part of Creative Team that supervised production company with pre production prep</t>
  </si>
  <si>
    <t>Was part of Creative Team that worked on specifications for shoot locations, set design &amp; props selection</t>
  </si>
  <si>
    <t>Was part of Creative Team that worked on set direction, lighting &amp; props</t>
  </si>
  <si>
    <t>Was part of Creative Team that worked to ensure client, agency teams &amp; production company were aligned with production decisions</t>
  </si>
  <si>
    <t>Chief Creative/ Design Officer</t>
  </si>
  <si>
    <t>Supervised creative team and audio engineer, records rough scratch tracks.</t>
  </si>
  <si>
    <t>Supervised creative team with edits and versions.</t>
  </si>
  <si>
    <t>Along with client, had final approval on all set ups and shot completion.</t>
  </si>
  <si>
    <t>Led all creative decisions &amp; visual or copy aspects throughout production.</t>
  </si>
  <si>
    <t>Managed teams of creatives.</t>
  </si>
  <si>
    <t>Present pre production book items to client for review/approval</t>
  </si>
  <si>
    <t>Communicated on set with agency team, and with clients.</t>
  </si>
  <si>
    <t>Client Mgmt Dir</t>
  </si>
  <si>
    <t>Assisted in preparing job specifications for vendors including production &amp; casting companies, audio, post/special effects &amp; edit vendors</t>
  </si>
  <si>
    <t>Reviewed Production Company contract prior to submitting to Legal</t>
  </si>
  <si>
    <t>Supervised team that negotiated &amp; prepare all talent contracts including on camera principal, stand ins &amp; extras</t>
  </si>
  <si>
    <t>Attended Pre light, Wardrobe Fitting Session &amp; shoot days as part of Management Team that worked directly with client</t>
  </si>
  <si>
    <t>Ensured required paperwork for payroll processing for talent was complete</t>
  </si>
  <si>
    <t>Colorist</t>
  </si>
  <si>
    <t>Designed color schemes for spots</t>
  </si>
  <si>
    <t>Ensured color consistencies for all spots</t>
  </si>
  <si>
    <t>Connections Strategist</t>
  </si>
  <si>
    <t>Analyzed initial edits of the commercial to ensure messaging clarity and alignment with strategic objectives, providing feedback for revisions.</t>
  </si>
  <si>
    <t>Collaborated with the analytics team to assess viewer engagement data and determine the effectiveness of the chosen media channels.</t>
  </si>
  <si>
    <t>Conducted audience feedback sessions to gauge reactions to the commercial, synthesizing insights to inform future strategies.</t>
  </si>
  <si>
    <t>Participated in strategy meetings to discuss outcomes and refine approaches for future campaigns based on analytical findings and market trends.</t>
  </si>
  <si>
    <t>Presented final campaign performance reports to stakeholders, highlighting key learnings and recommendations for future projects.</t>
  </si>
  <si>
    <t>Collaborated with the creative team to develop integrated messaging strategies that aligned with the overall campaign objectives.</t>
  </si>
  <si>
    <t>Conducted audience segmentation analysis to identify key demographics and psychographics for targeting in the commercial campaign.</t>
  </si>
  <si>
    <t>Coordinated with stakeholders to establish KPIs and performance metrics for measuring the success of the campaign across various platforms.</t>
  </si>
  <si>
    <t>Created detailed media plans that outlined the timing, placement, and budget for each channel to maximize campaign effectiveness.</t>
  </si>
  <si>
    <t>Researched and recommended media channels based on audience insights, ensuring the optimal reach and engagement for the campaign.</t>
  </si>
  <si>
    <t>Collaborated with media buyers to negotiate placement opportunities, optimizing visibility for the commercial during its airing.</t>
  </si>
  <si>
    <t>Facilitated real-time adjustments during production to enhance audience engagement strategies based on emerging insights.</t>
  </si>
  <si>
    <t>Monitored live shoots to ensure that the content captured was aligned with the intended messaging and brand voice.</t>
  </si>
  <si>
    <t>Provided input on talent selection, ensuring that the chosen actors aligned with the brand's target audience and overall campaign strategy.</t>
  </si>
  <si>
    <t>Worked alongside the production team to ensure that the commercial's messaging was consistently represented across all elements during filming.</t>
  </si>
  <si>
    <t>Copywriter</t>
  </si>
  <si>
    <t>Assisted on crafting content for all versions of spots</t>
  </si>
  <si>
    <t>Assisted on crafting content for versions of social media spots</t>
  </si>
  <si>
    <t>Attended additional talent voiceover sessions as well as voiceover edit sessions for additional spots &amp; cutdowns that client requested</t>
  </si>
  <si>
    <t>Attended additional talent voiceover sessions as well as voiceover edit sessions for additional spots &amp; cutdowns that client requested to direct talent according to client feedback</t>
  </si>
  <si>
    <t>Attended additional talent voiceover sessions as well as voiceover edit sessions for additional spots, revisions &amp; cutdowns that client requested</t>
  </si>
  <si>
    <t>Attended internal agency meetings regarding content/graphic supers for all versions of social media spots</t>
  </si>
  <si>
    <t>Attended internal agency meetings regarding content/graphic supers for post production</t>
  </si>
  <si>
    <t>Attended internal agency meetings regarding content/graphic supers for select versions of social media spots</t>
  </si>
  <si>
    <t>Attended talent voiceover sessions as well as voiceover edit sessions spots &amp; cutdowns that client requested</t>
  </si>
  <si>
    <t>Attended voiceover casting sessions &amp; was lead on hiring voice over talent</t>
  </si>
  <si>
    <t>Crafed content for all versions of social media spots</t>
  </si>
  <si>
    <t>Creative Team that attended internal agency reviews</t>
  </si>
  <si>
    <t>Creative Team that helped ensure that post/editorial specifications were met for motion graphics and color correction for all spots</t>
  </si>
  <si>
    <t>Ensured post/editorial specifications were met for motion graphics, color correction, VFX compositing &amp; VFX rig removal for all spots</t>
  </si>
  <si>
    <t>James worked with other copywriter, Art Director to ensure timing of visual, audio &amp; graphic supers were aligned in all versions of spots</t>
  </si>
  <si>
    <t>Lead on Creative team that was responsible for design, layout and creation/changes to graphic supers</t>
  </si>
  <si>
    <t>Outlined post specifications based on client's feedback</t>
  </si>
  <si>
    <t>Part of Creative Team that attended all internal agency reviews with Business Mgr, Project Manager &amp; Account Team</t>
  </si>
  <si>
    <t>Part of Creative Team that outlined post specifications based on client's feedback</t>
  </si>
  <si>
    <t>Part of Creative Team that outlined post specifications for editorial company's based on client's feedback</t>
  </si>
  <si>
    <t>Part of Creative Team that worked with Producer to ensure audio/music specifications were met</t>
  </si>
  <si>
    <t>Part of Creative Team that worked with Producer to ensure post/editorial specifications were met for motion graphics, color correction, VFX compositing &amp; VFX rig removal for all spots</t>
  </si>
  <si>
    <t>Part of Creative Team that worked with Producer to supervise designers on all post production</t>
  </si>
  <si>
    <t>Part of Creative Team that worked with Producer to supervise editors on all edits &amp; finishing of spots</t>
  </si>
  <si>
    <t>Part of Creative Team that worked with Producer to supervise mixing of audio, music selection &amp; recording of all voiceover sessions</t>
  </si>
  <si>
    <t>Part of Creative Team that worked with Producer to supervise recording of all voice over sessions with audio engineer</t>
  </si>
  <si>
    <t>Part of Creative Team that worked with Producer to supervise sound design/mixing with audio engineer</t>
  </si>
  <si>
    <t>Part of team that presented client with rough cut of spots, noted client revisions &amp; communicated revisions to Editorial Company</t>
  </si>
  <si>
    <t>Part of team that supervised assembly of final spots, and all versioning of spots for client review</t>
  </si>
  <si>
    <t>Presented client with rough cut of spots, noted client revisions &amp; communicated revisions</t>
  </si>
  <si>
    <t>Responsible for design, layout and creation/changes to graphic supers on all versions of spots</t>
  </si>
  <si>
    <t>Reviewed graphics/titles/end cards on all versioning of final spots</t>
  </si>
  <si>
    <t>Supervised editors on all edits &amp; finishing of spots</t>
  </si>
  <si>
    <t>Supervised mixing of audio, music selection &amp; recording of all voiceover sessions</t>
  </si>
  <si>
    <t>Supervised sound design/mixing with audio engineer</t>
  </si>
  <si>
    <t>Was part of Creative Team that supervised designers on all post production</t>
  </si>
  <si>
    <t>Was part of Creative Team that supervised editors on all edits &amp; finishing of spots</t>
  </si>
  <si>
    <t>Was part of Creative team that was responsible for design, layout and creation/changes on all versions spots including additional spots &amp; cutdowns that client requested</t>
  </si>
  <si>
    <t>Was part of team that presented client with rough cut of spots and noted client revisions</t>
  </si>
  <si>
    <t>Was part of team that supervised assembly of final spots, and all versioning of spots for client review</t>
  </si>
  <si>
    <t>Worked on crafting content for all versions cinemagraphs/social spots</t>
  </si>
  <si>
    <t>Worked on graphic supers</t>
  </si>
  <si>
    <t>Worked with Art Director to ensure timing of visual, audio &amp; graphic supers were aligned in all versions of spots</t>
  </si>
  <si>
    <t>Worked with graphic supers on all versions of cinemagraphs/social spots</t>
  </si>
  <si>
    <t>Worked with Producer to ensure audio/music specifications were met</t>
  </si>
  <si>
    <t>Worked with Producer to supervise designers on all post production</t>
  </si>
  <si>
    <t>Worked with Producer to supervise recording of all voice over sessions with audio engineer to ensure scripts were adhered to</t>
  </si>
  <si>
    <t>Part of Creative Team that attended all pre production meetings with clients prior to shoot</t>
  </si>
  <si>
    <t>Part of Creative Team that attended all pre production meetings with clients prior to shoot along with the Account Team &amp; Producer</t>
  </si>
  <si>
    <t>Part of Creative Team that evaluated all production, audio &amp; editorial/post bids to ensure job specifications were met</t>
  </si>
  <si>
    <t>Part of Creative Team that supervised production company with pre production</t>
  </si>
  <si>
    <t>Part of Creative Team that supervised production company with pre production meetings with clients prior to shoot along with the Account Team &amp; Producer</t>
  </si>
  <si>
    <t>Part of Creative Team that was responsible for execution of approved script/storyboards</t>
  </si>
  <si>
    <t>Part of Creative Team that worked with Producer &amp; Bus Affairs to prepare job specifications for all vendors</t>
  </si>
  <si>
    <t>Part of Creative Team that wrote specifications for music search</t>
  </si>
  <si>
    <t>production meetings with clients prior to shoot along with the Account Team &amp; Producer (Mark Ginski)</t>
  </si>
  <si>
    <t>Lowercase</t>
  </si>
  <si>
    <t>production prep (creation of animation files/shot list for production)</t>
  </si>
  <si>
    <t xml:space="preserve"> James was part of Creative Team that reviewed pencil tests/preliminary animation direction and shared feedback with producer</t>
  </si>
  <si>
    <t xml:space="preserve"> Ricardo was part of Creative Team that reviewed pencil tests/preliminary animation direction and shared feedback with producer</t>
  </si>
  <si>
    <t>Wrote casting specifications for talent casting</t>
  </si>
  <si>
    <t xml:space="preserve">Wrote casting specifications for voice over talent casting </t>
  </si>
  <si>
    <t>Part of Creative Team that worked with Producer on managing production workflow to ensure all artwork &amp; footage captured was based on storyboards/scripts &amp; Creative Team's direction</t>
  </si>
  <si>
    <t>Part of Creative Team that worked with Producer to ensure client, agency teams &amp; production company were aligned with production decisions</t>
  </si>
  <si>
    <t>Part of Creative Team that worked with Producer to obtain approval on last minute changes in artwork &amp; text graphics</t>
  </si>
  <si>
    <t>Creative</t>
  </si>
  <si>
    <t>Attended client reviews</t>
  </si>
  <si>
    <t>Ensured timing of visual, audio &amp; graphic supers were aligned in all version of spots</t>
  </si>
  <si>
    <t>Was part of agency team that presented client with rough cut of spots, &amp; noted client revisions</t>
  </si>
  <si>
    <t>Worked on ensuring edit specifications were met</t>
  </si>
  <si>
    <t>Attended pre production meetings with internal agency teams and with client</t>
  </si>
  <si>
    <t>Responsible for execution of approved script/storyboards</t>
  </si>
  <si>
    <t>Worked on specifications for shoot locations, set design, props &amp; wardrobe selections</t>
  </si>
  <si>
    <t>Was at the shoot and led creative decisions, visual and copy aspects throughout production</t>
  </si>
  <si>
    <t>Worked on ensuring that client, agency teams &amp; production company were aligned with production decisions</t>
  </si>
  <si>
    <t>Worked on managing production workflow to ensure all footage captured was based on storyboards/scripts</t>
  </si>
  <si>
    <t>Creative Dir</t>
  </si>
  <si>
    <t>production specifications were met for motion graphics, color correction</t>
  </si>
  <si>
    <t>Reviewed animation on graphics/titles/end cards/mnemonics.</t>
  </si>
  <si>
    <t>Reviews all final spots to ensure scripts are adhered to and provides closed caption scripts for shipping.</t>
  </si>
  <si>
    <t>Rewrite scripts based on feedback.</t>
  </si>
  <si>
    <t>Worked ensure post production specifications were met for motion graphics, color correction</t>
  </si>
  <si>
    <t>Worked on assembly of rough cut of spots, revisions &amp; final spots</t>
  </si>
  <si>
    <t>Worked on design, layout and creation/changes to graphic supers</t>
  </si>
  <si>
    <t>Worked on design, layout and creation/changes to graphic supers (text in spots) on versions of spots including cutdowns &amp; additional spots &amp; that the client requested</t>
  </si>
  <si>
    <t>Worked to ensure audio/music specifications were met</t>
  </si>
  <si>
    <t>Worked to ensure edit specifications were met</t>
  </si>
  <si>
    <t>Worked to supervise music selection</t>
  </si>
  <si>
    <t>Assisted with director, talent, location search within creative team and producer.</t>
  </si>
  <si>
    <t>Assisted with the creation of shot list for pre production book/production company</t>
  </si>
  <si>
    <t>Cleaned up and approved packaging files for hero product.</t>
  </si>
  <si>
    <t>Evaluated all production, audio, post/special effects, casting &amp; editorial bids</t>
  </si>
  <si>
    <t>Managed Creative Team that evaluated all production, audio &amp; editorial/post bids to ensure job specifications were met</t>
  </si>
  <si>
    <t>Managed Creative Team that worked with Producer &amp; Bus Affairs to prepare job specifications for all vendors</t>
  </si>
  <si>
    <t>Managed Creative Team that wrote specifications for music search</t>
  </si>
  <si>
    <t>Part of creative team that executes the approved creative.</t>
  </si>
  <si>
    <t>Presented examples of art direction for locations.</t>
  </si>
  <si>
    <t>Reviewed casting specifications for talent casting, provided feedback to Creative Team to implement changes</t>
  </si>
  <si>
    <t>Reviewed on camera casting/auditions</t>
  </si>
  <si>
    <t>Reviewed pencil tests/preliminary animation direction and shared feedback with producer</t>
  </si>
  <si>
    <t>Supervised production company with pre production prep</t>
  </si>
  <si>
    <t>Supervised production company with preproduction meetings with clients prior to shoot</t>
  </si>
  <si>
    <t>Worked to prepare job specifications for all vendors including production &amp; casting companies, audio, post/special effects &amp; edit vendors</t>
  </si>
  <si>
    <t>Attended shoot. Communicated on set with agency team, and with clients.</t>
  </si>
  <si>
    <t>Attended shoots to help detect vital disconnects with scripts and revises copy based on internal and client feedback/direction.</t>
  </si>
  <si>
    <t>Ensured shots are captured on set.</t>
  </si>
  <si>
    <t>Creative Dir, Art</t>
  </si>
  <si>
    <t>Attended all meetings with production company regarding shoot prep &amp; Pre</t>
  </si>
  <si>
    <t>Attended all pre production meetings with internal agency teams regarding shoot prep</t>
  </si>
  <si>
    <t>Created artwork for shot list &amp; preproduction meetings with internal agency teams regarding shoot prep</t>
  </si>
  <si>
    <t>Worked  on artwork specifications for shot list/pre pro book</t>
  </si>
  <si>
    <t>Creative Dir, Copy</t>
  </si>
  <si>
    <t>Part of agency team that presented client with rough cut of spots, noted client revisions &amp; communicated revisions to Post/Editorial companies</t>
  </si>
  <si>
    <t>Part of Creative Team that attended all client reviews with Producer, Business Mgr &amp; Business Affairs</t>
  </si>
  <si>
    <t>Part of Creative Team that attended all internal agency reviews with Producers, Business Mgr &amp; Affairs Teams</t>
  </si>
  <si>
    <t>Part of Creative Team that was responsible for design, layout and creation/changes to graphic supers on all versions of spots</t>
  </si>
  <si>
    <t>Part of Creative Team that worked Producer &amp; audio engineer to ensure audio/music specifications were met</t>
  </si>
  <si>
    <t>Part of Creative Team that worked with Producer and editorial company to ensure post production specifications were met for motion graphics, color correction &amp; SFX compositing</t>
  </si>
  <si>
    <t xml:space="preserve">Part of Creative Team that worked with Producer to supervise sound design/mixing &amp; recording of all voice over sessions with audio engineer </t>
  </si>
  <si>
    <t>Part of Creative Team worked with editorial company to ensure timing of visual, audio &amp; graphic supers were aligned in all versions of spots</t>
  </si>
  <si>
    <t>Supervised designers on all post production including special effects/animation/graphics/titles/end cards</t>
  </si>
  <si>
    <t>Supervised editors at editorial company on all edits &amp; finishing of spots</t>
  </si>
  <si>
    <t>Was part of Creative Team that worked with Producer &amp; editorial company to ensure edit specifications were met</t>
  </si>
  <si>
    <t>Was part of Creative Team that worked with Producer to supervise music selection</t>
  </si>
  <si>
    <t>Creative Dir, Copywriter</t>
  </si>
  <si>
    <t>Creative Dir, Creative Development</t>
  </si>
  <si>
    <t>Worked on design, layout and creation/changes to graphic supers on spots that the client requested</t>
  </si>
  <si>
    <t>Attended shoot,  Communicated on set with agency team, and with clients.</t>
  </si>
  <si>
    <t>Creative Dir/Animator</t>
  </si>
  <si>
    <t>Attended talent voiceover sessions as well as voiceover edit sessions for spots, revisions &amp; cutdowns that client requested</t>
  </si>
  <si>
    <t>Worked on all post production including graphics/titles/end cards &amp; VFX finishing</t>
  </si>
  <si>
    <t>Worked on design, layout and creation/changes to graphic supers on all versions of spots that client requested</t>
  </si>
  <si>
    <t>Worked with agency team on mixing of audio, music selection &amp; recording of all voiceover sessions</t>
  </si>
  <si>
    <t>Worked with agency team to ensure timing of visual, audio &amp; graphic supers were aligned in all versions of spots</t>
  </si>
  <si>
    <t>Worked with internal agency team on assembly of rough cut of spots, revisions &amp; final spots</t>
  </si>
  <si>
    <t>Worked with internal agency team to ensure post/editorial specifications were met for motion graphics, color correction, VFX compositing &amp; VFX rig removal for all spots</t>
  </si>
  <si>
    <t>Created preliminary animation sketches/files and shared feedback with Producer</t>
  </si>
  <si>
    <t>Met with Producer regarding creative/script direction of production based on specifications provided agency team</t>
  </si>
  <si>
    <t>Revised preliminary animation files based on feedback provided to Producer by agency team</t>
  </si>
  <si>
    <t>Worked with Producer on pre production prep (creation of animation files/shot list for production)</t>
  </si>
  <si>
    <t>Worked to implement changes in artwork &amp; text graphics based on feedback from agency team</t>
  </si>
  <si>
    <t>Worked with Producer &amp; agency team on production workflow to ensure all artwork &amp; footage captured was based on storyboards/scripts</t>
  </si>
  <si>
    <t>Creative Director</t>
  </si>
  <si>
    <t>Attended voiceover casting sessions &amp; along with Producer selected principal voice over talent and backup for client review</t>
  </si>
  <si>
    <t>Had final approval of all creative decisions &amp; visual aspects of all versions of spots from beginning of post production through approval of final edits</t>
  </si>
  <si>
    <t>Managed Creative Team that supervised post production on all edits &amp; finishing of spots</t>
  </si>
  <si>
    <t>Managed Creative Team that worked on ensuring editorial specifications were met</t>
  </si>
  <si>
    <t>Managed Creative Team that worked with Producer to ensure audio/music specifications were met</t>
  </si>
  <si>
    <t>Managed Creative Team that worked with Producer to ensure post/editorial specifications were met for motion graphics, color grading/correction, VFX compositing &amp; VFX rig removal for all spots</t>
  </si>
  <si>
    <t>Managed Creative Team that worked with Producer to supervise designers on all post production</t>
  </si>
  <si>
    <t>Managed Creative Team that worked with Producer to supervise editors on all edits &amp; finishing of spots</t>
  </si>
  <si>
    <t>Managed Creative Team that worked with Producer to supervise mixing of audio, music selection &amp; recording of all voiceover sessions</t>
  </si>
  <si>
    <t>Managed Creative Team that worked with Producer to supervise sound design/mixing with audio engineer</t>
  </si>
  <si>
    <t>Part of agency team that presented client with rough cut of spots, noted and communicated client revisions</t>
  </si>
  <si>
    <t>Part of Creative Team that attended all client reviews with Producers &amp; Business Affairs Teams</t>
  </si>
  <si>
    <t>Part of Creative Team that attended all internal agency reviews with Business Affairs, Project Manager &amp; Account Team</t>
  </si>
  <si>
    <t>Part of Creative Team that attended all internal agency reviews with Producers, Sr Business Mgr &amp; Account &amp; Business Affairs Teams</t>
  </si>
  <si>
    <t>Part of Creative Team that was responsible for design, layout and creation/changes to all versions of spots</t>
  </si>
  <si>
    <t>Part of Creative Team that was responsible for design, layout and creation/changes to graphic supers on all versions of spots including additional spots &amp; cutdowns that client requested</t>
  </si>
  <si>
    <t>Part of Creative Team that worked to ensure post production specifications were met</t>
  </si>
  <si>
    <t>Part of Creative Team that worked with Director to obtain approval on last minute changes in artwork &amp; text graphics</t>
  </si>
  <si>
    <t>Part of Creative Team worked to ensure timing of visual in all versions of spots</t>
  </si>
  <si>
    <t>production including animation/graphics/titles/end cards &amp; VFX finishing</t>
  </si>
  <si>
    <t>production on all edits &amp; finishing of spots</t>
  </si>
  <si>
    <t>production specifications were met</t>
  </si>
  <si>
    <t>production through approval of final edits</t>
  </si>
  <si>
    <t>Reviewed post specifications created by Creative Team based on client's feedback</t>
  </si>
  <si>
    <t>Was part of agency team that presented client with rough cut of spots, noted client revisions &amp; communicated revisions</t>
  </si>
  <si>
    <t>Was part of agency team that presented client with rough cut of spots, noted client revisions &amp; communicated revisions to Editorial Company</t>
  </si>
  <si>
    <t>Was part of agency team that supervised assembly of final spots, and all versioning of spots for client review</t>
  </si>
  <si>
    <t>Was part of Creative Team that attended internal agency reviews</t>
  </si>
  <si>
    <t>Managed Creative Team &amp; attended all pre production meetings with clients prior to shoot along with the Account Team &amp; Producer</t>
  </si>
  <si>
    <t>Managed Creative Team &amp; attended pre production prep (creation of shot list for production)</t>
  </si>
  <si>
    <t>Managed Creative Team that evaluated production &amp; editorial bids to ensure job specifications were met</t>
  </si>
  <si>
    <t>Managed Creative Team that evaluates all production, audio &amp; editorial to ensure job specifications were met</t>
  </si>
  <si>
    <t>Managed Creative Team that supervised production company with pre production prep</t>
  </si>
  <si>
    <t>Managed Creative Team that was responsible for execution of approved script/storyboards</t>
  </si>
  <si>
    <t>Managed Creative Team that worked on preparing job specifications for all vendors</t>
  </si>
  <si>
    <t>Managed Creative Team that worked with Producer &amp; Bus Affairs to prepare job specifications for all vendors including production company, audio &amp; edit vendors</t>
  </si>
  <si>
    <t>Managed Creative Team to prepare job specifications for all vendors including production company, audio &amp; edit vendors</t>
  </si>
  <si>
    <t>Part of Creative Team that attended casting auditions &amp; callbacks to select on camera talent &amp; backups for client's approval</t>
  </si>
  <si>
    <t>Part of Creative Team that evaluated all production, audio, post/special effects, casting &amp; editorial bids</t>
  </si>
  <si>
    <t>Part of Creative Team that worked on specifications for shoot locations, set design, cast, props &amp; wardrobe selections</t>
  </si>
  <si>
    <t>Part of Creative Team that worked to prepare job specifications for all vendors including production &amp; casting companies, audio, post/special effects &amp; edit vendors</t>
  </si>
  <si>
    <t>Part of Creative Team that worked to supervise production company with pre production prep</t>
  </si>
  <si>
    <t>Reviewed casting specifications for voice over talent casting, provided feedback to Creative Team to implement changes</t>
  </si>
  <si>
    <t>Attended Pre light &amp; Shoot that led all creative decisions, visual and copy aspects throughout production</t>
  </si>
  <si>
    <t>Part of Creative Team that approved talent wardrobe &amp; makeup prior to shooting</t>
  </si>
  <si>
    <t>Part of Creative Team that attended Pre light &amp; Shoot that led all creative decisions, visual and copy aspects throughout production</t>
  </si>
  <si>
    <t>Part of Creative Team that on managing production workflow to ensure all footage captured was based on storyboards/scripts</t>
  </si>
  <si>
    <t>Part of Creative Team that worked on set direction, lighting &amp; props</t>
  </si>
  <si>
    <t>Part of Creative Team that worked to ensure client, agency teams &amp; production company were aligned with production decisions</t>
  </si>
  <si>
    <t>Part of Creative Team that worked with Sr Producer on managing production workflow to ensure all footage captured was based on storyboards/scripts</t>
  </si>
  <si>
    <t>Part of Creative Team that worked with Sr Producer to ensure client, agency teams &amp; production company are aligned with production decisions</t>
  </si>
  <si>
    <t>Was part of Creative Team that worked on ensuring client, agency teams &amp; production company were aligned with production decisions</t>
  </si>
  <si>
    <t>Was part of Creative Team that worked on managing production workflow to ensure all artwork &amp; footage captured was based on storyboards/scripts &amp; Creative Team's direction</t>
  </si>
  <si>
    <t>Was part of Creative Team that worked on obtaining approval on changes in artwork &amp; text graphics</t>
  </si>
  <si>
    <t>Was part of Creative Team that worked with Producer to ensure client, agency teams &amp; production company were aligned with production decisions</t>
  </si>
  <si>
    <t>Was part of Creative Team that worked with Producer to obtain approval on last minute changes in artwork &amp; text graphics</t>
  </si>
  <si>
    <t>Creative Director, Art</t>
  </si>
  <si>
    <t>Attended additional talent voiceover sessions and voiceover edit sessions for extra spots and cutdowns requested.</t>
  </si>
  <si>
    <t>Attended voiceover casting sessions and selected principal voiceover talent and backup for client review.</t>
  </si>
  <si>
    <t>Chris attended voiceover casting sessions &amp; along with other Creative Director (Rob White) &amp; Sarah Tomick (Sr Producer) selected principal voice over talent and backup for client review</t>
  </si>
  <si>
    <t>Collaborated with a post-production company to ensure the timing of visual, audio, and graphic supers were aligned in all versions of spots.</t>
  </si>
  <si>
    <t>Collaborated with a producer and a creative team to ensure post-production and special effect specifications were met for motion graphics, color correction, and SFX compositing.</t>
  </si>
  <si>
    <t>Collaborated with a producer and a creative team to ensure post-production, including special effects, animation, graphics, titles, and end cards.</t>
  </si>
  <si>
    <t>Collaborated with a producer and a post-production company to ensure edit specifications were met.</t>
  </si>
  <si>
    <t>Collaborated with a producer and another team to ensure audio and music specifications were met.</t>
  </si>
  <si>
    <t>Contributed to the design, layout, and creation of graphic supers on all versions of spots, including additional spots and cutdowns requested.</t>
  </si>
  <si>
    <t>Participated in all internal agency reviews with Producers and contributed to discussions with the Account and Business Affairs Teams.</t>
  </si>
  <si>
    <t>Participated in client reviews with Producers and selected options for further discussion.</t>
  </si>
  <si>
    <t>Supervised designers at the post-production company on all post-production work.</t>
  </si>
  <si>
    <t>Supervised editors at the post-production company on all edits and finishing of spots.</t>
  </si>
  <si>
    <t>Supervised music selection in collaboration with a producer and a music clearance consultant.</t>
  </si>
  <si>
    <t>Supervised sound design, mixing, and recording of all voiceover sessions with an audio engineer.</t>
  </si>
  <si>
    <t>Supervised the assembly of final spots and all versioning of spots for client review.</t>
  </si>
  <si>
    <t>Creative Director, Copywriter</t>
  </si>
  <si>
    <t>Addresses client revisions with creative team.</t>
  </si>
  <si>
    <t>Assists with all post production edits and/or asset creation.</t>
  </si>
  <si>
    <t>If changes are needed 'directs  VO with rerecords.</t>
  </si>
  <si>
    <t>Presents deliverables to internal team and clients.</t>
  </si>
  <si>
    <t>Reviews animation on graphics/titles/end cards/mnemonics.</t>
  </si>
  <si>
    <t>Reviews edits for legal lines and language.</t>
  </si>
  <si>
    <t>Supervises final layouts/edits/assembly of final spots, and all versioning of assets.</t>
  </si>
  <si>
    <t>Works with art director and editor on a daily basis on edits and versions with copywriter.</t>
  </si>
  <si>
    <t>Assists with creation of shot list for preproduction book/production/animation company.</t>
  </si>
  <si>
    <t>Reviews on camera casting/auditions.</t>
  </si>
  <si>
    <t>Reviews VO casting/auditions.</t>
  </si>
  <si>
    <t>Writes specs for music search or music composing.</t>
  </si>
  <si>
    <t>Attends all  shoots to help detect vital disconnects with scripts and revises copy based on internal and client feedback/direction.</t>
  </si>
  <si>
    <t>Creative Director, Creative Development</t>
  </si>
  <si>
    <t>Part of agency team that presented client with rough cut of spots, noted client revisions &amp; communicated revisions to Post Production Companies</t>
  </si>
  <si>
    <t>Part of Creative Team that attended all client reviews</t>
  </si>
  <si>
    <t>Part of Creative Team that attended all internal agency reviews</t>
  </si>
  <si>
    <t>Managed Creative Team &amp; attended all pre production meetings with clients prior to shoot</t>
  </si>
  <si>
    <t>Managed Creative Team that evaluated all production, audio &amp; editorial to ensure job specifications were met</t>
  </si>
  <si>
    <t>Managed Creative Team that supervised production company with preproduction prep (creation of shot list for production)</t>
  </si>
  <si>
    <t>Managed Creative Team that worked to prepare job specifications for all vendors including production company, audio &amp; edit vendors</t>
  </si>
  <si>
    <t>Part of Creative Team that attended Prelight &amp; Shoot that led all creative decisions, visual and copy aspects throughout production</t>
  </si>
  <si>
    <t>Part of Creative Team that worked on managing production workflow to ensure all footage captured was based on storyboards/scripts</t>
  </si>
  <si>
    <t>Creative Strategist</t>
  </si>
  <si>
    <t>Analyzed audience feedback and performance metrics to assess the commercial's effectiveness, identifying areas for improvement in future projects.</t>
  </si>
  <si>
    <t>Collaborated with the editor and sound designer to ensure that the final cut effectively conveyed the intended message and emotional tone.</t>
  </si>
  <si>
    <t>Developed and presented the final commercial to clients, highlighting the creative strategies employed and their alignment with campaign objectives.</t>
  </si>
  <si>
    <t>Participated in post-mortem meetings to discuss successes and challenges, contributing insights to enhance the creative process for upcoming campaigns.</t>
  </si>
  <si>
    <t>Reviewed the initial edit of the commercial to assess alignment with the creative strategy and provided constructive feedback for revisions.</t>
  </si>
  <si>
    <t>Brainstormed innovative ideas and concepts in collaboration with the creative team, ensuring alignment with the overall brand strategy.</t>
  </si>
  <si>
    <t>Collaborated with the account management team to define campaign objectives and key performance indicators (KPIs) for the project.</t>
  </si>
  <si>
    <t>Conducted market research to identify target audience insights and trends that informed the creative direction of the commercial.</t>
  </si>
  <si>
    <t>Developed and presented creative briefs that outlined strategic concepts, messaging, and execution plans to internal teams and clients.</t>
  </si>
  <si>
    <t>Established a creative timeline that outlined milestones and deliverables, facilitating a smooth workflow throughout the pre-production phase.</t>
  </si>
  <si>
    <t>Collaborated with the cinematographer to discuss shot composition and lighting to ensure the final visuals matched the intended aesthetic.</t>
  </si>
  <si>
    <t>Facilitated communication between the creative team and the production crew to ensure a cohesive understanding of the project goals.</t>
  </si>
  <si>
    <t>Monitored the production process, addressing any creative concerns or adjustments needed to maintain the project’s vision.</t>
  </si>
  <si>
    <t>Provided on-set direction and feedback to ensure that performances and visual elements aligned with the established creative strategy.</t>
  </si>
  <si>
    <t>Worked closely with the director and production team to ensure that the creative vision was accurately translated during the shoot.</t>
  </si>
  <si>
    <t>Design Dir</t>
  </si>
  <si>
    <t>Approved the final edit and delivered the commercial, ensuring that all design elements met the technical and creative requirements.</t>
  </si>
  <si>
    <t>Collaborated with the editing team to ensure that transitions, pacing, and overall visual flow aligned with the commercial’s aesthetic and brand identity.</t>
  </si>
  <si>
    <t>Led the post-production design process, reviewing and approving all visual effects, motion graphics, and color grading to ensure consistency with the original design vision.</t>
  </si>
  <si>
    <t>Provided detailed feedback on design elements such as typography, graphics, and animations used in the final cut.</t>
  </si>
  <si>
    <t>Worked with sound designers to ensure that audio elements complemented the visual style and reinforced the brand’s identity.</t>
  </si>
  <si>
    <t>Approved pre-visualizations and mockups, ensuring all creative assets were aligned with the intended visual direction and client expectations.</t>
  </si>
  <si>
    <t>Collaborated with the client and creative teams to finalize design concepts, including storyboards, style frames, and mood boards.</t>
  </si>
  <si>
    <t>Led the creative team in developing the visual strategy and design direction for the commercial, ensuring alignment with the overall brand vision.</t>
  </si>
  <si>
    <t>Oversaw the selection of key creative partners, such as production designers and costume designers, to ensure design cohesion across all aspects of the production.</t>
  </si>
  <si>
    <t>Provided clear design briefs to production teams, ensuring all set designs, props, and visual elements adhered to brand guidelines.</t>
  </si>
  <si>
    <t>Communicated directly with the production team to resolve any design-related issues that arose during filming.</t>
  </si>
  <si>
    <t>Monitored costume, set, and prop choices to ensure they remained in line with the approved creative and brand guidelines.</t>
  </si>
  <si>
    <t>Provided on-the-spot design direction and adjustments to maintain brand consistency across all scenes and assets.</t>
  </si>
  <si>
    <t>Supervised the execution of the creative vision on set, ensuring that all visual elements—from lighting to set design—reflected the approved design direction.</t>
  </si>
  <si>
    <t>Worked closely with the director and cinematographer to ensure that each shot adhered to the established visual tone and style.</t>
  </si>
  <si>
    <t>Designer</t>
  </si>
  <si>
    <t>Addressed client revisions communicated by the agency team as part of a design team.</t>
  </si>
  <si>
    <t>Led the animation of shoot footage as part of a design team.</t>
  </si>
  <si>
    <t>Met with a team regarding design and animation requirements for cinemagraphs and spots.</t>
  </si>
  <si>
    <t>Met with the client team regarding design and animation requirements for cinemagraphs/spots</t>
  </si>
  <si>
    <t>Was part of a team of designers that addressed client revisions communicated by agency team</t>
  </si>
  <si>
    <t>Was part of a team of designers that met with agency team regarding design and animation requirements for cinemagraphs/spots</t>
  </si>
  <si>
    <t>Dir of Business Affairs</t>
  </si>
  <si>
    <t>Ensured all contracts and paperwork for principal on-camera talent and extras were signed and executed properly before submitting to legal.</t>
  </si>
  <si>
    <t>Managed talent contracts and ensured compliance with SAG and non-SAG requirements.</t>
  </si>
  <si>
    <t>Negotiated and prepared talent contracts and paperwork in collaboration with a senior producer.</t>
  </si>
  <si>
    <t>Reviewed all final versions of spots to ensure talent was paid according to contract terms and collaborated with talent agents to make necessary contract adjustments for any changes or upgrades.</t>
  </si>
  <si>
    <t>Sent contracts to legal to address potential union issues to ensure compliance</t>
  </si>
  <si>
    <t>Dir of Finish</t>
  </si>
  <si>
    <t>Reviewed final spots to help ensure that client requirements were met</t>
  </si>
  <si>
    <t>Was involved in actualizing and closing out jobs and ensured all job files were complete</t>
  </si>
  <si>
    <t>Dir Strategic Planning</t>
  </si>
  <si>
    <t>Attended internal meetings &amp; assisted with feedback and selection of final edits to ensured spots were on brief</t>
  </si>
  <si>
    <t>Managed team that provided sizing specifications for cinemagraphs/social media spots</t>
  </si>
  <si>
    <t>Was part of the team that reviewed final versions of cinemagraphs/spots to ensure aspect ratios, specs and visuals met specified requirements</t>
  </si>
  <si>
    <t>Dir, Business Affairs</t>
  </si>
  <si>
    <t>Maintained group calendars and scheduled &amp; attended internal agency meetings for production/talent</t>
  </si>
  <si>
    <t>Reviewed all versions of spots to ensure rights</t>
  </si>
  <si>
    <t>Reviewed revised production budget to report revisions of costs prior to submitting to the cost consultant/client for approval</t>
  </si>
  <si>
    <t>Reviewed talent budget tha to reflect additional edit sessions &amp; usage costs prior to submitting client for approval</t>
  </si>
  <si>
    <t>Supervised talent contract renewals &amp; reviewed production/post expenses to ensure job closed within budget</t>
  </si>
  <si>
    <t>Dir, Creative Resource Mgmt</t>
  </si>
  <si>
    <t>Oversaw all post production edits and additional asset creation.</t>
  </si>
  <si>
    <t>Oversaw creative team that executed the approved creative.</t>
  </si>
  <si>
    <t>Attended shoot.</t>
  </si>
  <si>
    <t>Director of Prod</t>
  </si>
  <si>
    <t>Attended some internal agency reviews with Producers, Creative Team, Account &amp; Business Affairs Teams</t>
  </si>
  <si>
    <t>EP/Managing Dir</t>
  </si>
  <si>
    <t>Liaison regarding all facets of post production</t>
  </si>
  <si>
    <t>Supervised internal team on assembly of rough cut of spots, revisions &amp; final spots</t>
  </si>
  <si>
    <t>Worked on project management of budgets to ensure timeline of deliverables were met</t>
  </si>
  <si>
    <t>Managed production workflow to ensure all artwork &amp; footage captured was based on storyboards/scripts</t>
  </si>
  <si>
    <t>Project management of budgets and timelines</t>
  </si>
  <si>
    <t>Worked with the team to implement last minute changes in artwork &amp; text graphics</t>
  </si>
  <si>
    <t>EVP, Group Mgmt Dir</t>
  </si>
  <si>
    <t>Attended all Business Affairs Team meetings during post production for job updates</t>
  </si>
  <si>
    <t>Attended internal agency reviews of spots &amp; meetings regarding budget management</t>
  </si>
  <si>
    <t>Carolyn worked with producer to actualize and close out production job within budget</t>
  </si>
  <si>
    <t>Ensured talent was paid according to terms in their contract</t>
  </si>
  <si>
    <t>Prepare production budget to report overage costs</t>
  </si>
  <si>
    <t>Reviewed all versions of spots to ensure rights managed items were not captured to avoid potential lawsuits</t>
  </si>
  <si>
    <t>Worked with Producer to ensure spot deliverables met timeline for client review</t>
  </si>
  <si>
    <t>Assisted in evaluating and negotiating terms of all audio/music, post/visual effects &amp; editorial bids</t>
  </si>
  <si>
    <t>Assisted in evaluating and negotiating terms of lnsurance bid</t>
  </si>
  <si>
    <t>Attended all meetings with Account Team regarding insurance</t>
  </si>
  <si>
    <t>Part of team that prepare job specifications for audio, post/special effects &amp; edit vendors</t>
  </si>
  <si>
    <t>Part of team that prepared production budget &amp; timeline for spot deliverables for internal agency review prior to submitting to client for review</t>
  </si>
  <si>
    <t>Scheduled meeting with Production Company and Producers, Creative &amp; Lead Account Teams to review &amp; select shoot location options</t>
  </si>
  <si>
    <t>Was part of team that prepare job specifications for location search</t>
  </si>
  <si>
    <t>Worked with Account Team to prepare insurance specifications based on client brief</t>
  </si>
  <si>
    <t>Worked with the Account Teamto obtain Insurance policy with necessary &amp; proper coverage amounts</t>
  </si>
  <si>
    <t>Attended shoot</t>
  </si>
  <si>
    <t>Exec Broadcast Producer</t>
  </si>
  <si>
    <t>Attended a internal reviews with Creative &amp; Account teams</t>
  </si>
  <si>
    <t>Attended some internal agency reviews with Producer, Creative, Account &amp; Business Affairs Teams regarding edit changes to provide feedback</t>
  </si>
  <si>
    <t>Exec Bus Lead</t>
  </si>
  <si>
    <t xml:space="preserve">Reviewed versions of spots to ensure rights managed items were not captured to avoid potential lawsuits </t>
  </si>
  <si>
    <t>Assisted in evaluating and negotiating terms of production and casting</t>
  </si>
  <si>
    <t>Exec Creative Dir</t>
  </si>
  <si>
    <t>Attended all  shoots to help detect vital disconnects with scripts and revised copy based on internal and client feedback/direction.</t>
  </si>
  <si>
    <t>Part of creative team that executed the approved creative</t>
  </si>
  <si>
    <t>Reviewed on camera casting/auditions.</t>
  </si>
  <si>
    <t>Was part of Creative Team that evaluated production, audio, post/special effects, casting &amp; editorial bids</t>
  </si>
  <si>
    <t>Exec Creative Dir, Creative Development</t>
  </si>
  <si>
    <t>Worked with internal agency team to ensure timing of visual, audio &amp; graphic supers were aligned in all versions of spots</t>
  </si>
  <si>
    <t>Executed the approved creative.</t>
  </si>
  <si>
    <t>Presented director/talent/location options and any other items from preproduction book to client for review/approval.</t>
  </si>
  <si>
    <t>Final approval on all setups and shot completion.</t>
  </si>
  <si>
    <t>Led creative decisions &amp; visual aspects throughout production.</t>
  </si>
  <si>
    <t>Managed teams of creatives, including attending productions to ensure creative is on brief throughout development.</t>
  </si>
  <si>
    <t>Exec Creative Dir, Creative Devt</t>
  </si>
  <si>
    <t xml:space="preserve">Was part of Creative Team that supervised production company with preproduction prep </t>
  </si>
  <si>
    <t>Led all creative decisions, visual and copy aspects throughout production</t>
  </si>
  <si>
    <t xml:space="preserve">Was part of Creative Team that attended Pre light &amp; Shoot </t>
  </si>
  <si>
    <t>Was part of Creative Team that worked on managing production workflow to ensure all footage captured was based on storyboards/scripts</t>
  </si>
  <si>
    <t>Exec Mgmt</t>
  </si>
  <si>
    <t>Supervise business teams involved in pre production with talent contracts, client budgets, estimates,etc.</t>
  </si>
  <si>
    <t>Exec Print Producer</t>
  </si>
  <si>
    <t>Attended internal agency meetings regarding retouching of shoot footage/asset selection for spots</t>
  </si>
  <si>
    <t>Supervised  on retouching of shoot footage including cleanup of images, removing elements and lighting adjustments</t>
  </si>
  <si>
    <t>Worked with Creative Team on selection of images for insertion into spots &amp; for cinemagraphs</t>
  </si>
  <si>
    <t>Exec Prod</t>
  </si>
  <si>
    <t>Approved all agency personnel hours that worked on the production</t>
  </si>
  <si>
    <t>Helped ensure edit specifications were met</t>
  </si>
  <si>
    <t>Helped ensure post production specifications were met</t>
  </si>
  <si>
    <t>Direct contact to client that managed agency teams to ensure success and client signoff.</t>
  </si>
  <si>
    <t>Ensured client has signed off on all preproduction documentation (props, talent, locations, etc.) and estimates prior to shoot</t>
  </si>
  <si>
    <t>Helped ensure that client, agency and on set vendors were aligned with the production decisions</t>
  </si>
  <si>
    <t>Helped keep shoot on schedule and within budget</t>
  </si>
  <si>
    <t>Exec Producer</t>
  </si>
  <si>
    <t>Along with Creative Team, supervised designers on post production</t>
  </si>
  <si>
    <t>Along with Creative Team, supervised editors on all edits &amp; finishing of spots</t>
  </si>
  <si>
    <t>Attended client reviews with Creative Team and coordinated final client approval of spots</t>
  </si>
  <si>
    <t>Attended edit sessions for additional spots &amp; cutdowns that the client requested</t>
  </si>
  <si>
    <t>Attended internal agency reviews</t>
  </si>
  <si>
    <t>Ensure client's audio/music specifications were met</t>
  </si>
  <si>
    <t>Ensured hard drives of shoot footage were delivered &amp; briefed editors on shoot details</t>
  </si>
  <si>
    <t>Ensured spots ship.</t>
  </si>
  <si>
    <t>Helped ensure spot deliverables met timeline for cost consultant &amp; client review</t>
  </si>
  <si>
    <t>Helped ensure that actualized and closed out production job is within budget</t>
  </si>
  <si>
    <t>Jonathan supervised additional talent voiceover sessions as well as voiceover edit sessions for additional spots, revisions &amp; cutdowns that client requested</t>
  </si>
  <si>
    <t>Jonathan supervised internal Optimus team on assembly of rough cut of spots, revisions &amp; final spots</t>
  </si>
  <si>
    <t>Jonathan was liaison between Optimus team &amp; Havas Annex LLC agency team regarding all facets of post production</t>
  </si>
  <si>
    <t>Oversaw post production edits and additional asset creation</t>
  </si>
  <si>
    <t>Reviewed clean up of film and additional fixes to final picture.</t>
  </si>
  <si>
    <t>Supervise editors on all edits &amp; finishing of spots</t>
  </si>
  <si>
    <t>Supervised internal team on design, layout and creation/changes to graphic superson all versions of spots</t>
  </si>
  <si>
    <t>Was part of agency team that presented client with rough cut of spots and noted client revisions</t>
  </si>
  <si>
    <t>Worked on mixing of audio, music selection &amp; recording of all voiceover sessions</t>
  </si>
  <si>
    <t>Worked to actualize talent costs and close out talent job</t>
  </si>
  <si>
    <t>Worked to ensure that job files were complete with all requisite production paperwork</t>
  </si>
  <si>
    <t>Worked with agency team on project management of budgets and to ensure timeline of deliverables were met</t>
  </si>
  <si>
    <t>Worked with agency team to outline post specifications based on client's feedback</t>
  </si>
  <si>
    <t>Worked with agency team to supervise sound design/mixing with audio engineer</t>
  </si>
  <si>
    <t>Assisted in evaluating and negotiating terms of all production, audio, post, casting &amp; editorial bids</t>
  </si>
  <si>
    <t>Attended all client meetings with creative &amp; account teams to discuss shoot prep</t>
  </si>
  <si>
    <t>Attended all internal meetings with creative team &amp; production company to discuss shoot prep</t>
  </si>
  <si>
    <t>Attended casting auditions &amp; callbacks along with Creative Team &amp; Director to select on camera talent &amp; backups for client's approval</t>
  </si>
  <si>
    <t>Engaged with directors and production companies based on storyboards &amp; job specifications</t>
  </si>
  <si>
    <t>Engaged with production company based on approved storyboards &amp; job specifications</t>
  </si>
  <si>
    <t>Helped ensure that creative/script direction was being executed accordingly</t>
  </si>
  <si>
    <t>Liaison between client, agency team and production company</t>
  </si>
  <si>
    <t>Oversight of the hiring process for all vendors</t>
  </si>
  <si>
    <t>Prepared job specifications for production company and music, audio, and graphic design</t>
  </si>
  <si>
    <t>Worked on budgets and timelines throughout full project timeline</t>
  </si>
  <si>
    <t>Worked on preparation of production budget &amp; timeline for spot deliverables for cost consultant &amp; client review</t>
  </si>
  <si>
    <t>Worked with Creative Team on specifications for shoot locations, set design, cast, props &amp; wardrobe selections</t>
  </si>
  <si>
    <t>Worked with Director to prepare production budget &amp; timeline for spot deliverables for client review</t>
  </si>
  <si>
    <t>Acted as gatekeeper during shoot to ensure client, agency &amp; production company were aligned with production decisions</t>
  </si>
  <si>
    <t>Implement last minute changes in artwork &amp; text graphics</t>
  </si>
  <si>
    <t>Liaison between client &amp; agency team regarding all facets of production</t>
  </si>
  <si>
    <t>Managed production workflow to ensure green screen/VFX footage were captured based on storyboards/scripts</t>
  </si>
  <si>
    <t>Was responsible for keeping production on time and within budget</t>
  </si>
  <si>
    <t>Worked with agency team budgets and timelines throughout full project timeline</t>
  </si>
  <si>
    <t>Worked with agency team on managing production workflow to ensure all artwork &amp; footage captured was based on storyboards/scripts</t>
  </si>
  <si>
    <t>Exec VP, Exec Creative Dir</t>
  </si>
  <si>
    <t>Executive Creative Director</t>
  </si>
  <si>
    <t>Attends all client reviews with Producers &amp; Business Affairs Teams</t>
  </si>
  <si>
    <t>Part of creative team that supervised designers on all post production including special effects/graphics/titles/end cards</t>
  </si>
  <si>
    <t>Part of creative team that supervised editors on all edits &amp; finishing of spots</t>
  </si>
  <si>
    <t>Presented client with rough cut of spots, noted client revisions &amp; communicated revisions to Post/Editorial companies</t>
  </si>
  <si>
    <t>Presents client with rough cut of spots, makes notes of client revisions &amp; communicates revisions to Post/Editorial companies</t>
  </si>
  <si>
    <t>Supervises assembly of final spots, and all versioning of spots for client review</t>
  </si>
  <si>
    <t>Worked to ensure post-production and special effect specifications were met for motion graphics and color correction.</t>
  </si>
  <si>
    <t>Attended all pre production meetings with clients prior to shoot</t>
  </si>
  <si>
    <t>Attended casting auditions &amp; callback to select on camera talent &amp; backups for client's approval</t>
  </si>
  <si>
    <t>Developed specifications for shoot locations, set design, cast, props and wardrobe selections.</t>
  </si>
  <si>
    <t>Manages Creative Team that is responsible for execution of approved script/storyboards</t>
  </si>
  <si>
    <t>Manages Creative Team that supervised production company with pre production prep</t>
  </si>
  <si>
    <t>Prepared job specifications for all vendors</t>
  </si>
  <si>
    <t>Supervised production company with pre-production preparation.</t>
  </si>
  <si>
    <t>Was responsible for execution of approved script/storyboards</t>
  </si>
  <si>
    <t>Approved talent wardrobe &amp; makeup prior to shooting</t>
  </si>
  <si>
    <t>Attends Shoot and makes creative decisions, visual and copy aspects throughout production</t>
  </si>
  <si>
    <t>Managed production workflow to ensure all footage captured aligned with storyboards and scripts.</t>
  </si>
  <si>
    <t>Part of team that ensured alignment between client, agency teams and production company on production decisions.</t>
  </si>
  <si>
    <t>Executive Creative Director,</t>
  </si>
  <si>
    <t>Creative Development</t>
  </si>
  <si>
    <t>Part of Creative Team that worked to ensure audio/music specifications were met</t>
  </si>
  <si>
    <t>Part of Creative Team that worked to ensure edit specifications were met</t>
  </si>
  <si>
    <t>Part of Creative Team that worked to supervise music selection</t>
  </si>
  <si>
    <t>Part of team that designed, created, and modified graphic supers for all versions of spots, including additional requests and cutdowns.</t>
  </si>
  <si>
    <t>Part of team that ensured post-production and special effect specifications were met for motion graphics and color correction.</t>
  </si>
  <si>
    <t>Executive Producer</t>
  </si>
  <si>
    <t>Along with Creative Team supervises designers on all postproduction including graphics/titles/end cards</t>
  </si>
  <si>
    <t>Ensured all spots ship. Uploads assets to media company.</t>
  </si>
  <si>
    <t>Ensures that all job files are complete with all requisite production paperwork</t>
  </si>
  <si>
    <t>Oversaw post production edits and additional asset creation (animation, sound design and graphics).</t>
  </si>
  <si>
    <t>Reviewed AD ID's and versions, legal on spots, etc.</t>
  </si>
  <si>
    <t>Worked on finalizing costs, overages, job, actuals, etc.</t>
  </si>
  <si>
    <t>Worked on making air dates and obtaining legal clearance when needed.</t>
  </si>
  <si>
    <t>Works closely with Creative Team to ensure that postproduction &amp; special effect specifications are met for motion graphics and color correction.</t>
  </si>
  <si>
    <t>Works with Agency Team to issue session and final cast reports</t>
  </si>
  <si>
    <t>Works with Creative Team to ensure that audio/music specifications are met</t>
  </si>
  <si>
    <t>Works with Creative Team to supervise sound design/mixing &amp; recording sessions with audio engineer</t>
  </si>
  <si>
    <t>Works with Post/Editorial companies to ensure spot deliverables met timeline for cost consultant &amp; client review</t>
  </si>
  <si>
    <t>Bids production companies.</t>
  </si>
  <si>
    <t>Created budgets and timelines to ensure production comes in on time and on target.</t>
  </si>
  <si>
    <t>Discusses specs for location scouting, casting, production design for sets and locations.</t>
  </si>
  <si>
    <t>Discusses wardrobe direction with Production Company.</t>
  </si>
  <si>
    <t>Facilitated product from client to shoot site for shoot.</t>
  </si>
  <si>
    <t>Helped negotiate vendor contracts</t>
  </si>
  <si>
    <t>Liaised between client, agency, and production companies regarding all components of production.</t>
  </si>
  <si>
    <t>Negotiated costs and finalized estimate for client approval.</t>
  </si>
  <si>
    <t>Prepared materials for pre pro meeting with clients</t>
  </si>
  <si>
    <t>Runs pre pro meeting and approves final preproduction book.</t>
  </si>
  <si>
    <t>Set up communication between director/prodco and agency team.</t>
  </si>
  <si>
    <t>Helps ensure that client, agency and onset vendors were aligned with the production decisions</t>
  </si>
  <si>
    <t>Was responsible for keeping shoot on schedule and within budget</t>
  </si>
  <si>
    <t>Group Acct Dir</t>
  </si>
  <si>
    <t>Managed &amp; worked closely with agency internal teams to ensure quality of production outputs prior to client review</t>
  </si>
  <si>
    <t>Managed internal agency team that was responsible for capturing all client feedback and relaying it to internal teams</t>
  </si>
  <si>
    <t>Attended internal agency meeting for production budget &amp; timeline review prior to submitting to client</t>
  </si>
  <si>
    <t>Supervised internal agency team to ensure client signed off on all production items prior to shoot including set design, props, insurance documents &amp; pre pro book</t>
  </si>
  <si>
    <t>Supervised internal agency teams to ensure production requirements and budgets are met</t>
  </si>
  <si>
    <t>Group Creative Dir</t>
  </si>
  <si>
    <t>Oversaw all postproduction edits and additional asset creation</t>
  </si>
  <si>
    <t>Reviewed cleanup of film and additional fixes to final picture.</t>
  </si>
  <si>
    <t>Assisted creative team with executing the approved creative.</t>
  </si>
  <si>
    <t>Assisted with creation of shot list for pre production book/production</t>
  </si>
  <si>
    <t>Cleaned up and/or approved packaging files for product.</t>
  </si>
  <si>
    <t>Cleaned up packaging files for product.</t>
  </si>
  <si>
    <t>Prepped examples of art direction</t>
  </si>
  <si>
    <t>Prepped examples of art direction for locations.</t>
  </si>
  <si>
    <t>Presented examples for set design and/or props.</t>
  </si>
  <si>
    <t>Supplied examples of wardrobe direction for stylist.</t>
  </si>
  <si>
    <t>Ensure footage captured was based on approved storyboards &amp; met the client’s needs</t>
  </si>
  <si>
    <t>Group Creative Dir, Art</t>
  </si>
  <si>
    <t>Part of team that attended internal agency reviews with producers, business managers, and account and business affairs teams.</t>
  </si>
  <si>
    <t>Part of team that supervised assembly of final spots and all versioning for client review.</t>
  </si>
  <si>
    <t>Group Exec Producer</t>
  </si>
  <si>
    <t>Worked with Business Affairs to finalize costs and close out job</t>
  </si>
  <si>
    <t>Head of Brand Design</t>
  </si>
  <si>
    <t>Approved the final version of the commercial after reviewing all post-production elements, including audio, graphics, and branding.</t>
  </si>
  <si>
    <t>Archived all final creative assets, ensuring proper documentation and storage for future brand projects.</t>
  </si>
  <si>
    <t>Coordinated with the media team to ensure that the final deliverables met technical requirements for various distribution channels.</t>
  </si>
  <si>
    <t>Provided detailed feedback on rough cuts, ensuring that the final product aligned with both the creative vision and brand standards.</t>
  </si>
  <si>
    <t>Worked with the post-production team to ensure that editing, color grading, and visual effects stayed true to the brand’s design principles.</t>
  </si>
  <si>
    <t>Coordinated with external vendors to ensure all pre-production materials, including wardrobe and set pieces, adhered to brand standards.</t>
  </si>
  <si>
    <t>Developed the overarching creative vision and brand guidelines for the commercial.</t>
  </si>
  <si>
    <t>Led brainstorming sessions with the creative team to finalize concept designs and visual themes.</t>
  </si>
  <si>
    <t>Reviewed and approved storyboards, ensuring brand consistency and alignment with campaign objectives.</t>
  </si>
  <si>
    <t>Worked closely with production teams to secure the right locations, props, and set designs that aligned with the brand identity.</t>
  </si>
  <si>
    <t>Collaborated with the Director and Cinematographer to ensure that shot compositions and lighting reflected the intended visual style.</t>
  </si>
  <si>
    <t>Liaised between the client and the production team to ensure that the creative vision was properly communicated and executed.</t>
  </si>
  <si>
    <t>Monitored production progress to ensure that the brand’s creative direction was adhered to at every stage.</t>
  </si>
  <si>
    <t>Oversaw the visual execution of the commercial, ensuring that all creative elements aligned with the brand’s identity.</t>
  </si>
  <si>
    <t>Provided real-time feedback on set design, wardrobe, and props to maintain brand consistency throughout the shoot.</t>
  </si>
  <si>
    <t>Head of Production</t>
  </si>
  <si>
    <t>Ensures final shipping, traffic, and all invoices/payments have been made on the project.</t>
  </si>
  <si>
    <t>Reviewed estimates to ensure that no unecessary costs have been added to the estimate</t>
  </si>
  <si>
    <t>Integrated Creative Dir</t>
  </si>
  <si>
    <t>Analyzed post-launch performance metrics and audience feedback, using insights to inform future campaigns and enhance overall creative strategy.</t>
  </si>
  <si>
    <t>Coordinated with sound designers and visual effects teams to enhance the final cut, ensuring that all elements contributed to a cohesive and impactful commercial.</t>
  </si>
  <si>
    <t>Facilitated feedback sessions with clients and stakeholders, incorporating their insights into final revisions while maintaining creative integrity.</t>
  </si>
  <si>
    <t>Prepared creative presentations for clients, showcasing the final commercial and explaining the rationale behind key creative decisions and visual choices.</t>
  </si>
  <si>
    <t>Reviewed and approved the initial edits of the commercial, collaborating closely with editors to ensure that pacing, transitions, and overall storytelling aligned with the creative vision.</t>
  </si>
  <si>
    <t>Collaborated with account managers and clients to finalize project briefs, establishing clear goals, key messages, and timelines for the campaign.</t>
  </si>
  <si>
    <t>Coordinated the selection of talent, locations, and production partners, ensuring alignment with the creative vision and budget constraints.</t>
  </si>
  <si>
    <t>Developed comprehensive creative concepts for the commercial, integrating client objectives with innovative storytelling techniques to engage the target audience.</t>
  </si>
  <si>
    <t>Led brainstorming sessions with the creative team to generate diverse ideas, ensuring a collaborative environment that fostered creativity and originality.</t>
  </si>
  <si>
    <t>Reviewed and approved storyboards and scripts, providing constructive feedback to enhance the narrative and visual elements before production began.</t>
  </si>
  <si>
    <t>Communicated effectively with the director and production team, facilitating adjustments to on-set activities to ensure creative objectives were met.</t>
  </si>
  <si>
    <t>Conducted daily briefings with the production team to address any challenges or changes, fostering a collaborative and responsive working environment.</t>
  </si>
  <si>
    <t>Monitored the production schedule and budget, ensuring efficient use of resources while maintaining quality standards throughout the filming process.</t>
  </si>
  <si>
    <t>Oversaw the creative direction during filming, ensuring that the execution aligned with the established vision and maintained brand integrity.</t>
  </si>
  <si>
    <t>Provided real-time feedback to actors and crew during shoots, guiding performances and visual compositions to enhance the final product.</t>
  </si>
  <si>
    <t>Jr Art Buyer</t>
  </si>
  <si>
    <t>Attended all agency internal meetings regarding production budget &amp; legal clearance</t>
  </si>
  <si>
    <t>Scheduled all edit sessions for in house agency team to attend</t>
  </si>
  <si>
    <t>Scheduled pos sessions with editor for Creative Team to attend</t>
  </si>
  <si>
    <t>Worked with Project Mgr to actualize costs and close out job</t>
  </si>
  <si>
    <t>Worked with Project Mgr to ensure all job files were complete with all requisite production paperwork</t>
  </si>
  <si>
    <t>Jr Art Director</t>
  </si>
  <si>
    <t>Was part of internal agency Team that attended internal agency reviews regarding edits</t>
  </si>
  <si>
    <t>Was part of internal agency team that worked on all editorial services including editing of graphics/titles/end cards</t>
  </si>
  <si>
    <t>Was part of internal agency Team that worked on design, layout and creation of graphic super son all versions of cinemagraphs/spots</t>
  </si>
  <si>
    <t>Was part of internal agency Team that worked on timing of visual &amp; graphic supers to ensure they were aligned in all versions of cinemagraphs/spots</t>
  </si>
  <si>
    <t>Manager-BBA</t>
  </si>
  <si>
    <t>Approved and facilitated production related vendor invoice approvals and payment</t>
  </si>
  <si>
    <t>Managed all payments of contracted vendors including Production Company, Casting Company, in addition to Post Vendors</t>
  </si>
  <si>
    <t>Researched stock images for use in spot</t>
  </si>
  <si>
    <t>Submitted talent paperwork &amp; managed talent payments</t>
  </si>
  <si>
    <t>Worked with Producer &amp; Creative Team on casting specifications for talent</t>
  </si>
  <si>
    <t>Worked with producer to actualize costs and close out job</t>
  </si>
  <si>
    <t>Worked with Producer to issue session and final cast reports</t>
  </si>
  <si>
    <t>Worked with Producer to prepare revised production budget to report revisions of costs</t>
  </si>
  <si>
    <t>Worked with Supervisor to prepare revised versions of talent estimates based on additional edit sessions &amp; usage costs</t>
  </si>
  <si>
    <t>Assisted in evaluating and negotiating terms of all production, audio, post/special effects, casting &amp; editorial bids</t>
  </si>
  <si>
    <t>Managed initial payments of contracted vendors including Production Company</t>
  </si>
  <si>
    <t>Worked with producer &amp; Creative Team to prepare job specifications for all vendors</t>
  </si>
  <si>
    <t>Coordinated with Producer to ensure schedules were met throughout production so that no overages were incurred</t>
  </si>
  <si>
    <t>Researched Legal clearance for on set items to ensure all footage captured was cleared for usage</t>
  </si>
  <si>
    <t>Mgmt Director</t>
  </si>
  <si>
    <t>Attended all internal agency reviews with Producers and Account, Creative Team, Social Media &amp; Strategy &amp; Teams during entire post production</t>
  </si>
  <si>
    <t>Managed Business Team that managed all Purchase Orders &amp; payments of contracted vendors</t>
  </si>
  <si>
    <t>Managed Business Team that researched stock images for use in spot</t>
  </si>
  <si>
    <t>Managed Business Team that reviewed all versions of spots to ensure rights managed items were not captured to avoid potential lawsuits</t>
  </si>
  <si>
    <t>Managed Business Team that scheduled all post/visual effects/audio/editing sessions</t>
  </si>
  <si>
    <t>Managed Business Team that scheduled talent edit sessions with recording studio</t>
  </si>
  <si>
    <t>Managed Business Team that worked Account Teams to actualize and close out production job within budget</t>
  </si>
  <si>
    <t>Managed Business Team that worked with Creative Team on casting specifications for talent</t>
  </si>
  <si>
    <t>Managed Business Team that worked with creative team that issue session and final cast reports</t>
  </si>
  <si>
    <t>Managed Business Team that worked with producer to prepare revised production budget to report overage costs</t>
  </si>
  <si>
    <t>Supervised entire Business Affairs Team &amp; met with team regularly during post production to receive job updates &amp; provide direction &amp; feedback from internal agency &amp; client meetings</t>
  </si>
  <si>
    <t>Was part of agency team that presented client with rough cut of spots, noted client revisions &amp; communicated revisions to agency teams</t>
  </si>
  <si>
    <t>Was part of agency team that supervised assembly of all versions of final broadcast, programmatic online video &amp; media spots for client review</t>
  </si>
  <si>
    <t>Was part of agency team that supervised assembly of all versions of final broadcast, programmatic online video &amp; social media spots for client review</t>
  </si>
  <si>
    <t>Was part of Business Affairs Team that attended all client reviews with Creative &amp; Account Teams, including review for final approval of spots</t>
  </si>
  <si>
    <t>Worked with Business Affairs &amp; Account Teams to prepare insurance specifications for Insurance vendor based on client brief</t>
  </si>
  <si>
    <t>Worked with Business Affairs Team to actualize talent costs and close out talent job</t>
  </si>
  <si>
    <t>Worked with Business Affairs Team to issue session and final cast reports</t>
  </si>
  <si>
    <t>Worked with Business Team to prepare revised versions of talent estimates based on additional edit sessions &amp; usage costs</t>
  </si>
  <si>
    <t>Worked with Editorial Company to ensure spot deliverables met timeline for client review</t>
  </si>
  <si>
    <t>Worked with the Business Affairs Team &amp; Insurance Company to obtain Insurance policy with necessary &amp; proper coverage amounts</t>
  </si>
  <si>
    <t>Assisted in evaluating and negotiating terms of all production, audio/music, post/visual effects, casting &amp; editorial bids</t>
  </si>
  <si>
    <t>Prepared required paperwork for payroll processing for celebrity talent to complete</t>
  </si>
  <si>
    <t>Prepared talent contracts &amp; sent to legal for review</t>
  </si>
  <si>
    <t>Reviewed legal clearance issues to ensure all potential spot content was cleared for use</t>
  </si>
  <si>
    <t>Reviewed Production Company contract prior to submitting to legal</t>
  </si>
  <si>
    <t>Supervised Business Affairs Team &amp; met with team during pre production to receive job updates &amp; provide direction &amp; feedback from internal agency &amp; client meetings</t>
  </si>
  <si>
    <t xml:space="preserve">supervised Business Affairs Team that negotiated &amp; prepared all talent contracts </t>
  </si>
  <si>
    <t>Was part of Business Affairs Team that prepared production budget &amp; timeline for spot deliverables for internal agency review prior to submitting to client for review</t>
  </si>
  <si>
    <t>Worked with Account Team to prepare initial draft of talent estimate</t>
  </si>
  <si>
    <t>Worked with Account Team to prepare insurance specifications for Insurance vendor based on client brief</t>
  </si>
  <si>
    <t>Worked with Creative &amp; Account Teams to prepare job specifications for all vendors</t>
  </si>
  <si>
    <t>Attended Pre light, Wardrobe Fitting Session &amp; Shoot</t>
  </si>
  <si>
    <t>Mgr, Business Affairs</t>
  </si>
  <si>
    <t>Actualized expenses and closed out job within budget</t>
  </si>
  <si>
    <t>Conveyed to client the amount of editorial overages due to changes requested by client</t>
  </si>
  <si>
    <t>Managed all payments of contracted vendors including Production Companies Society Inc and Carbon VFX in addition to Post Vendors (Another Country, Earhole Studios, LLC, Shutterstock, Inc &amp; Whitehouse Post Productions, LLC)</t>
  </si>
  <si>
    <t>Scheduled all edit sessions producer to attend</t>
  </si>
  <si>
    <t>Scheduled music production sessions producer to attend</t>
  </si>
  <si>
    <t>Submitted talent paperwork &amp; managed payment</t>
  </si>
  <si>
    <t>Assisted in evaluating and negotiating terms of all production, music, audio &amp; editorial bids</t>
  </si>
  <si>
    <t>Courtney worked with Carrie (Executive Producer) to prepare specifications for all vendors including production/animation company and music, audio &amp; edit vendors</t>
  </si>
  <si>
    <t>Researched legal clearance issues to ensure all animated items were cleared for use.</t>
  </si>
  <si>
    <t>Worked with producer to prepare production budget &amp; timeline for spot deliverables &amp; obtained approvals from cost consultant &amp; client</t>
  </si>
  <si>
    <t>Scheduled audio production sessions for producer to attend</t>
  </si>
  <si>
    <t>Scheduled post sessions producer to attend</t>
  </si>
  <si>
    <t>PM / Producer</t>
  </si>
  <si>
    <t>Assisted in evaluating and negotiating terms of production bids</t>
  </si>
  <si>
    <t>Attended client meetings with creative &amp; account teams to discuss shoot prep</t>
  </si>
  <si>
    <t>Attended internal meetings with creative team &amp; production company to discuss shoot prep</t>
  </si>
  <si>
    <t>Engaged directors and production companies based on approved storyboards &amp; job specifications</t>
  </si>
  <si>
    <t>Helped prepare production budget &amp; timeline for spot deliverables for cost consultant &amp; client review</t>
  </si>
  <si>
    <t>Acted as gatekeeper during shoot to ensure client, creative team, director and on set vendors were aligned with all production decisions</t>
  </si>
  <si>
    <t>Attended shoot day</t>
  </si>
  <si>
    <t>Managed workflow of shoot to ensure all footage captured was based on storyboards/scripts</t>
  </si>
  <si>
    <t>Worked with creative team, director &amp; line producer on set direction, lighting &amp; props</t>
  </si>
  <si>
    <t>Post Producer</t>
  </si>
  <si>
    <t>Conducted a final review with the client and creative team, addressing any last-minute changes or adjustments before the commercial's release.</t>
  </si>
  <si>
    <t>Coordinated sound design and music scoring, ensuring that audio elements enhanced the overall impact of the commercial.</t>
  </si>
  <si>
    <t>Managed the final delivery of the commercial, ensuring all formats and specifications were met for various distribution channels.</t>
  </si>
  <si>
    <t>Reviewed color grading and visual effects, ensuring they met the desired aesthetic and were consistent with the brand’s identity.</t>
  </si>
  <si>
    <t>Supervised the editing process, providing creative input and feedback to ensure the final cut aligned with the project’s vision and client expectations.</t>
  </si>
  <si>
    <t>Collaborated with the production team to determine the necessary post-production resources, including editors, sound designers, and colorists.</t>
  </si>
  <si>
    <t>Coordinated with the creative team to understand the vision for the commercial and discussed the required post-production techniques to achieve that vision.</t>
  </si>
  <si>
    <t>Developed detailed post-production schedules that outlined timelines for editing, sound design, and visual effects.</t>
  </si>
  <si>
    <t>Established budgets for post-production activities, ensuring alignment with overall project costs and financial constraints.</t>
  </si>
  <si>
    <t>Prepared logistics for the transfer of footage and files from the production team to the post-production team, ensuring smooth workflow continuity.</t>
  </si>
  <si>
    <t>Assisted in the organization and management of raw footage, ensuring all assets were properly labeled and accessible for the editing team.</t>
  </si>
  <si>
    <t>Communicated with the director and other stakeholders to gather feedback on initial edits and integrate their notes into the editing process.</t>
  </si>
  <si>
    <t>Facilitated communication between the production and post-production teams to address any issues or adjustments needed during the editing phase.</t>
  </si>
  <si>
    <t>Monitored the progress of the edit, ensuring that the project stayed on schedule and met the quality standards set during pre-production.</t>
  </si>
  <si>
    <t>Oversaw the daily workflow of the post-production team, ensuring that editing and sound work began promptly after filming concluded.</t>
  </si>
  <si>
    <t>Pres, Digital &amp; Social Media</t>
  </si>
  <si>
    <t>Worked with Creative Team to select final assets for Cinemagraphs/Gifs</t>
  </si>
  <si>
    <t>Prod Business Mgr</t>
  </si>
  <si>
    <t>Submitted on camera talent paperwork to payroll company &amp; managed payments</t>
  </si>
  <si>
    <t>Worked with producer to issue session and final cast reports</t>
  </si>
  <si>
    <t>Assisted in evaluating and negotiating terms of all production, casting &amp; post vendor bids</t>
  </si>
  <si>
    <t>Booked on camera talent upon approval from Producers &amp; client</t>
  </si>
  <si>
    <t>Worked with producers to prepare job specifications for Production Company, Casting Company and Post/Edit &amp; Music Licensing vendors</t>
  </si>
  <si>
    <t>Ensured all talent contracts were signed and executed properly</t>
  </si>
  <si>
    <t>Monitored production budget on set</t>
  </si>
  <si>
    <t>Prod Mgr</t>
  </si>
  <si>
    <t>Maintained group calendars and scheduled &amp; attended all post production internal agency meetings</t>
  </si>
  <si>
    <t>Producer</t>
  </si>
  <si>
    <t>Assisted agency team to ensure rights managed items were not captured to avoid potential lawsuits</t>
  </si>
  <si>
    <t>Assisted with oversight of editor to ensure post production &amp; edit specifications were met</t>
  </si>
  <si>
    <t>Attended internal agency reviews regarding music &amp; audio production</t>
  </si>
  <si>
    <t>Attended internal reviews with Creative &amp; Account teams</t>
  </si>
  <si>
    <t>Conducted search of music search licenses</t>
  </si>
  <si>
    <t>Ensure post production &amp; edit specifications were met</t>
  </si>
  <si>
    <t>Ensured hard drives of shoot footage were delivered &amp; briefed post staff on shoot details</t>
  </si>
  <si>
    <t>Ensured hard drives of shoot footage were delivered to Editorial Company &amp; briefed editors on shoot details</t>
  </si>
  <si>
    <t>Ensured spot deliverables met timeline for cost consultant &amp; client review</t>
  </si>
  <si>
    <t>Helped ensure that spot deliverables met timeline for cost consultant &amp; client review</t>
  </si>
  <si>
    <t>Obtained creative team/client approvals</t>
  </si>
  <si>
    <t>Oversaw all postproduction edits.</t>
  </si>
  <si>
    <t xml:space="preserve">Oversight of assembly of all versions of spots for client review </t>
  </si>
  <si>
    <t>Presented client with rough cut of spots and noted client comments for revision</t>
  </si>
  <si>
    <t>Worked account team to actualize and close out job within budget</t>
  </si>
  <si>
    <t>Worked account team to ensure all job files were complete with all requisite production paperwork</t>
  </si>
  <si>
    <t>Worked account team to ensure spot deliverables met timeline for cost consultant &amp; client review</t>
  </si>
  <si>
    <t>Worked closely with Creative &amp; Account Teams to ensure music specifications were met</t>
  </si>
  <si>
    <t>Worked closely with editor to ensure post production &amp; edit specifications were met</t>
  </si>
  <si>
    <t>Worked on closing out job within budget</t>
  </si>
  <si>
    <t>Worked with animators on graphics, titles, end cards on social spots</t>
  </si>
  <si>
    <t>Worked with Creative Team &amp; audio engineers on music production for spots</t>
  </si>
  <si>
    <t xml:space="preserve">Worked with editor &amp; designers on additional post production edits </t>
  </si>
  <si>
    <t>Worked with editor daily on edits and versions with creative team.</t>
  </si>
  <si>
    <t>Worked with the editor daily on edits and versions with the creative team.</t>
  </si>
  <si>
    <t>Discussed specs for location scouting, casting, production design for sets and locations.</t>
  </si>
  <si>
    <t>Discussed wardrobe direction with prodco.</t>
  </si>
  <si>
    <t>Ensured everything that was being filmed was cleared for usage and resolved potential production liabilities</t>
  </si>
  <si>
    <t>Executed production contracts and declared insurance in coordination with legal to ensure compliance with client SOWs</t>
  </si>
  <si>
    <t>Helped prepare job specifications for Production Company, Casting Company and Post/Edit &amp; Music Licensing vendors</t>
  </si>
  <si>
    <t>Oversight of the hiring process for all production vendors including production, casting &amp; post companies</t>
  </si>
  <si>
    <t>Prepared production budget &amp; timeline for spot deliverables for cost consultant &amp; client review</t>
  </si>
  <si>
    <t>Ran pre pro meeting and approved final pre production book.</t>
  </si>
  <si>
    <t>Reviewed casting sessions &amp; selected talent for client's approval</t>
  </si>
  <si>
    <t>Worked on outside counsel needed for copyright issues &amp; legal clearance</t>
  </si>
  <si>
    <t>Worked on preparing job specifications for Production Company, Casting Company and Post/Edit &amp; Music Licensing vendors</t>
  </si>
  <si>
    <t>Acted as gatekeeper to ensure client, agency and on set vendors are aligned with the production decisions</t>
  </si>
  <si>
    <t>Approved talent wardrobe &amp; makeup prior to shoot</t>
  </si>
  <si>
    <t>Attended Pre light and shoot</t>
  </si>
  <si>
    <t>Ensured clients approved food product on set</t>
  </si>
  <si>
    <t>Led Production Meeting at Prelight and Shoot</t>
  </si>
  <si>
    <t>Managed production workflow of shoot to ensure all footage was captured based on storyboards/scripts</t>
  </si>
  <si>
    <t>Signed talent contracts on set &amp; managed talent hours</t>
  </si>
  <si>
    <t>Worked with director &amp; line producer on set direction, lighting &amp; props</t>
  </si>
  <si>
    <t>Producer - Executive</t>
  </si>
  <si>
    <t>Oversight of assembly of all versions of spots for client review</t>
  </si>
  <si>
    <t>Presented client with rough cut of spots &amp; noted client revisions</t>
  </si>
  <si>
    <t>Scheduled meeting with client, producer &amp; creative team for final review/approval of spot</t>
  </si>
  <si>
    <t>Submitted talent paperwork to pay master &amp; managed talent payments</t>
  </si>
  <si>
    <t>Worked on actualizing and closing out job within budget</t>
  </si>
  <si>
    <t>Worked on ensuring all job files were complete with all requisite production paperwork</t>
  </si>
  <si>
    <t>Worked on ensuring post production &amp; edit specifications were met</t>
  </si>
  <si>
    <t>Worked on ensuring spot deliverables met timeline for cost consultant &amp; client review</t>
  </si>
  <si>
    <t>Engaged production company based on approved storyboards &amp; job specifications</t>
  </si>
  <si>
    <t>Oversight of the hiring process for all production vendors</t>
  </si>
  <si>
    <t>Worked on preparing job specifications for Production Company and Edit vendors</t>
  </si>
  <si>
    <t>Worked on preparing production budget &amp; timeline for spot deliverables for cost consultant &amp; client review</t>
  </si>
  <si>
    <t>Acted as gatekeeper to ensure client, agency and on set vendors were aligned with all production decisions</t>
  </si>
  <si>
    <t>Producer Intern</t>
  </si>
  <si>
    <t>Helped ensure all job files were complete with all requisite production paperwork</t>
  </si>
  <si>
    <t>Producer, Integrated Production</t>
  </si>
  <si>
    <t>Attended presentation of client with rough cut of spots, noted client revisions &amp; communicated sound design &amp; graphic changes</t>
  </si>
  <si>
    <t>Managed specific elements of post production including sound design and graphics</t>
  </si>
  <si>
    <t>Worked on sounds design with creative team and audio engineer</t>
  </si>
  <si>
    <t>Worked with designers on graphics/titles/end cards</t>
  </si>
  <si>
    <t>Bid editorial houses.</t>
  </si>
  <si>
    <t>Bid production companies.</t>
  </si>
  <si>
    <t>Facilitated hero packaging being created and shipped.</t>
  </si>
  <si>
    <t>Helped negotiate vendor and talent contracts and worked with internal team.</t>
  </si>
  <si>
    <t>Prepared materials for pre pro meeting with clients and ran pre pro meeting.</t>
  </si>
  <si>
    <t>Ran pre pro meeting and approves final pre production book.</t>
  </si>
  <si>
    <t>Reviewed casting with on camera.</t>
  </si>
  <si>
    <t>Sent casting specs to production company for on camera talent.</t>
  </si>
  <si>
    <t>Helped ensure that client, agency and on set vendors were aligned with the production decisions.</t>
  </si>
  <si>
    <t>Obtained creative team/client approvals.</t>
  </si>
  <si>
    <t>Was responsible for keeping shoot on schedule and within budget.</t>
  </si>
  <si>
    <t>Production Designer</t>
  </si>
  <si>
    <t>Assisted in all creative decisions &amp; and visual aspects throughout production and approval of final edits.</t>
  </si>
  <si>
    <t>Assists in all creative decisions &amp; visual aspects throughout production and approval of final edits.</t>
  </si>
  <si>
    <t>Attend internal and client reviews in regard to design/visual requirements and needs for the final spots.</t>
  </si>
  <si>
    <t>Review post production edits and additional asset creation</t>
  </si>
  <si>
    <t>Reviewed clean up of film and additional fixes to the final picture.</t>
  </si>
  <si>
    <t>Assists creative team with executing the approved creative.</t>
  </si>
  <si>
    <t>Cleans up and/or approves packaging files for hero product.</t>
  </si>
  <si>
    <t>Facilitates hero packaging files for animators.</t>
  </si>
  <si>
    <t>Preps examples of art direction for locations.</t>
  </si>
  <si>
    <t>Present examples for set design and/or props.</t>
  </si>
  <si>
    <t>Supplies examples of wardrobe direction for stylist.</t>
  </si>
  <si>
    <t>Program Mgr, Integrated Campaigns</t>
  </si>
  <si>
    <t>Coordinated with editors and creative teams to review rough cuts and provide feedback based on client expectations.</t>
  </si>
  <si>
    <t>Ensured that all final assets are delivered on time and meet the required technical specifications for media placement.</t>
  </si>
  <si>
    <t>Managed rounds of revisions and feedback between the agency, client, and post-production teams to finalize deliverables.</t>
  </si>
  <si>
    <t>Oversaw the post-production process, ensuring that editing, sound design, and visual effects align with the campaign’s goals.</t>
  </si>
  <si>
    <t>Reviewed and archives all final files and documentation, ensuring compliance with agency and client standards.</t>
  </si>
  <si>
    <t>Collaborated with the creative and strategy teams to develop a clear vision for the campaign’s messaging and objectives.</t>
  </si>
  <si>
    <t>Coordinated pre-production meetings with key stakeholders, ensuring all creative, logistical, and technical requirements are met.</t>
  </si>
  <si>
    <t>Developed comprehensive production schedules and timelines, coordinating across internal and external teams.</t>
  </si>
  <si>
    <t>Oversaw the creation and approval of detailed budgets, ensuring financial alignment with client expectations.</t>
  </si>
  <si>
    <t>Secured necessary resources, including production companies, talent, and locations, ensuring alignment with the project scope.</t>
  </si>
  <si>
    <t>Acted as the primary point of contact between the agency, client, and production crew to ensure smooth communication.</t>
  </si>
  <si>
    <t>Managed on-set operations, ensuring that all production activities are executed on time and in accordance with the plan.</t>
  </si>
  <si>
    <t>Monitors the shoot to ensure creative objectives are being met and facilitates any necessary adjustments.</t>
  </si>
  <si>
    <t>Provided regular updates to clients and internal teams on production status, addressing any concerns promptly.</t>
  </si>
  <si>
    <t>Tracked production progress and expenses, ensuring that the project remains within budget and timeline constraints.</t>
  </si>
  <si>
    <t>Project Mgr</t>
  </si>
  <si>
    <t>Finalize costs and close out job</t>
  </si>
  <si>
    <t>Maintained group calendars and scheduled &amp; attended interdepartmental agency meetings &amp; reviews</t>
  </si>
  <si>
    <t>Monitored production budget across internal agency teams</t>
  </si>
  <si>
    <t>Reviewed final versions of spots to resolve legal clearance issues to ensure all footage was cleared for use</t>
  </si>
  <si>
    <t>Tracked &amp; approved all post production hours for all agency personnel</t>
  </si>
  <si>
    <t xml:space="preserve">Worked closely across all agency teams to ensure successful production completion </t>
  </si>
  <si>
    <t>Retoucher</t>
  </si>
  <si>
    <t>Attended all internal agency meetings regarding retouching of shoot footage</t>
  </si>
  <si>
    <t>Responsible for retouching of shoot footage to improve/enhance representation of product images</t>
  </si>
  <si>
    <t>Background compositing, adjustment of tone, color, saturation and brightness &amp; comprehensive cleanup/edit of shoot footage</t>
  </si>
  <si>
    <t>Senior Associate, CX</t>
  </si>
  <si>
    <t>Adds client meeting dates to group calendars to ensure timelines are met</t>
  </si>
  <si>
    <t>Senior Copy Writer</t>
  </si>
  <si>
    <t>Attends internal agency meetings regarding content/graphic supers for spots</t>
  </si>
  <si>
    <t>Works on crafting content for all versions cinemagraphs/social spots</t>
  </si>
  <si>
    <t>Senior Manager,</t>
  </si>
  <si>
    <t>Business Affairs &amp;</t>
  </si>
  <si>
    <t>Talent Management</t>
  </si>
  <si>
    <t>Ensure schedules were met throughout production so that no overages were incurred</t>
  </si>
  <si>
    <t>Senior Producer</t>
  </si>
  <si>
    <t>Ensures all spots ship. Uploads assets to media company.</t>
  </si>
  <si>
    <t>Finalizes costs, overages, job, actuals, etc.</t>
  </si>
  <si>
    <t>Oversees all post production edits.</t>
  </si>
  <si>
    <t>Reviews all AD ID's and versions, legal on spots, etc.</t>
  </si>
  <si>
    <t>Reviews clean up of film and additional fixes to final picture. (ie. remove lightswitch from wall, dust on film, etc. ).</t>
  </si>
  <si>
    <t>Supervises final edits/assembly of final spots, and all versioning of spots. .</t>
  </si>
  <si>
    <t>Works closely with Business Affairs on making air dates and obtaining legal clearance when needed.</t>
  </si>
  <si>
    <t>Works with animators on graphics/titles/end cards/mnemonics.</t>
  </si>
  <si>
    <t>Works with Business Affairs to finalize costs, overages, job, actuals, etc.</t>
  </si>
  <si>
    <t>Works with editor on a daily basis on edits and versions with creative team.</t>
  </si>
  <si>
    <t>Attends pre pro metting</t>
  </si>
  <si>
    <t>Bids editorial houses.</t>
  </si>
  <si>
    <t>Bids music companies.</t>
  </si>
  <si>
    <t>Creates budgets and timelines to ensure production comes in on time and on target.</t>
  </si>
  <si>
    <t>Discusses wardrobe direction with prodco.</t>
  </si>
  <si>
    <t>Facilitates hero packaging being created. and shipped.</t>
  </si>
  <si>
    <t>Facilitates product from client to shoot site for shoot.</t>
  </si>
  <si>
    <t>Helps negotiate vendor and talent contracts and works with Business Affairs  and outside counsel and/or internal team.</t>
  </si>
  <si>
    <t>Negotiates costs and finalizes estimate for client approval.</t>
  </si>
  <si>
    <t>Prepare job specifications for Production Company, Casting Company &amp; Post/Edit vendors</t>
  </si>
  <si>
    <t>Preps all materials for pre pro meeting with clients and runs pre pro meeting.</t>
  </si>
  <si>
    <t>Preps all materials for pre pro meeting with clients.</t>
  </si>
  <si>
    <t>Reviews all casting with creative team</t>
  </si>
  <si>
    <t>Reviews all casting with on camera</t>
  </si>
  <si>
    <t>Runs pre pro meeting and approves final pre production book.</t>
  </si>
  <si>
    <t>Sends casting specs to production company for on camera talent.</t>
  </si>
  <si>
    <t>Sets up communication between director/prodco and agency team.</t>
  </si>
  <si>
    <t>Starts casting for voice over talent.</t>
  </si>
  <si>
    <t>Works with food stylist to align on how product will be made and look.</t>
  </si>
  <si>
    <t>Acted as gatekeeper to ensure client, agency and on set vendors were aligned with the production decisions</t>
  </si>
  <si>
    <t>Attended Pre light</t>
  </si>
  <si>
    <t>Attends shoot.</t>
  </si>
  <si>
    <t>Facilitates any script changes with director.</t>
  </si>
  <si>
    <t>Gatekeeper to ensure client, agency and vendors are aligned with the production decisions.</t>
  </si>
  <si>
    <t>Helps ensure that client, agency and on</t>
  </si>
  <si>
    <t>Makes sure creative and clients approved food or product on set.</t>
  </si>
  <si>
    <t>Makes sure shoot day is running on time.</t>
  </si>
  <si>
    <t>Responsible for color correct packaging on set.</t>
  </si>
  <si>
    <t>Responsible for keeping things on track and within budget.</t>
  </si>
  <si>
    <t>Signs talent contracts.</t>
  </si>
  <si>
    <t>Senior Producer,</t>
  </si>
  <si>
    <t>Integrated Production</t>
  </si>
  <si>
    <t>Actualized and close out production job within budget</t>
  </si>
  <si>
    <t>Actualized talent costs and closed out talent job</t>
  </si>
  <si>
    <t>Along with Creative Team supervised designers on all post production</t>
  </si>
  <si>
    <t>Along with Creative Team supervised editors on all edits &amp; finishing of spots</t>
  </si>
  <si>
    <t>Attended all client reviews with Creative &amp; Account Team and coordinated final client approval of spots</t>
  </si>
  <si>
    <t>Attended all internal agency reviews with team</t>
  </si>
  <si>
    <t>Was part of agency team that presented client with rough cut of spots, noted client revisions &amp; communicated revisions to Post/Editorial companies</t>
  </si>
  <si>
    <t>Worked closely with Creative Team to ensure audio/music specifications were met</t>
  </si>
  <si>
    <t>Worked with Creative Team to ensure spot deliverables met timeline for client review</t>
  </si>
  <si>
    <t>Worked with Creative Team to issue session and final cast reports</t>
  </si>
  <si>
    <t>Worked with Creative Team to supervise sound design/mixing &amp; recording sessions with audio engineer</t>
  </si>
  <si>
    <t>Liaison between client, agency team, and production company regarding all components of production</t>
  </si>
  <si>
    <t>Oversight of the hiring process for all production vendors including production company &amp; audio, post &amp; edit vendors</t>
  </si>
  <si>
    <t>Worked on copyright issues &amp; legal clearance; ensured everything that was filmed was cleared for usage and resolved potential production liabilities</t>
  </si>
  <si>
    <t>Worked to prepare insurance specifications for Insurance vendor based on client statement of work</t>
  </si>
  <si>
    <t>Worked to prepare job specifications for all vendors including production &amp; casting companies, audio, post &amp; edit vendors</t>
  </si>
  <si>
    <t>Worked to prepare production budget &amp; timeline for spot deliverables for cost consultant &amp; client review</t>
  </si>
  <si>
    <t>Along with creative team &amp; client approved talent wardrobe &amp; makeup prior to shoot</t>
  </si>
  <si>
    <t>Attended Pre light &amp; Shoot and led Pre Pre Pro Meeting</t>
  </si>
  <si>
    <t>Senior Production, Business Affairs Manager</t>
  </si>
  <si>
    <t>Attend production shoots</t>
  </si>
  <si>
    <t>Manage talent contracts</t>
  </si>
  <si>
    <t>Senior Vice President, Account Director</t>
  </si>
  <si>
    <t>Obtain final approval on spot(s) prior to shipping.</t>
  </si>
  <si>
    <t>Direct to client contact that manages agency teams to ensure success and client signoff</t>
  </si>
  <si>
    <t>Ensure client has signed off on all preproduction documentation and estimates prior to shoot</t>
  </si>
  <si>
    <t>Social Director</t>
  </si>
  <si>
    <t>Attended internal agency meetings &amp; assisted with feedback and selection of final edits to ensure spots were on brief</t>
  </si>
  <si>
    <t>Collaborated with Creative Team on selection of visual assets for social media spots</t>
  </si>
  <si>
    <t>Used knowledge of trends &amp; expertise of social media trends to ensure optimal creation of social media spots</t>
  </si>
  <si>
    <t>Part of Social Media Team that provided sizing specifications for social media spots</t>
  </si>
  <si>
    <t>Was part of the team that reviewed final versions of social media spots to ensure all specified requirements were met</t>
  </si>
  <si>
    <t>Worked with creative team on captions &amp; hashtags for various social media spots</t>
  </si>
  <si>
    <t>Secured images to incorporate in artwork for shot list &amp; pre pro book</t>
  </si>
  <si>
    <t xml:space="preserve">Part of Strategy Team that attended all pre production meetings </t>
  </si>
  <si>
    <t>Worked with Creative Team on artwork specifications for shot list/prepro book for broadcast &amp; programmatic online video spots</t>
  </si>
  <si>
    <t>Part of Social Media Team that attended Pre light &amp; Shoot to collaborate with agency teams on direction of shoot &amp; footage captured for broadcast &amp; programmatic online video spots</t>
  </si>
  <si>
    <t>Social Media Mgr</t>
  </si>
  <si>
    <t>Analyzed engagement metrics and audience feedback to assess the effectiveness of the social media campaign.</t>
  </si>
  <si>
    <t>Was part of the team that reviewed final versions of social media spots to ensure aspect ratios, specs and visuals met specified requirements</t>
  </si>
  <si>
    <t>Worked with Creative Team on captions &amp; hashtags for various social media spots</t>
  </si>
  <si>
    <t>Collaborated with the customer service team to address viewer inquiries and comments related to the commercial.</t>
  </si>
  <si>
    <t>Developed and executed follow-up posts and stories to maintain audience engagement after the commercial launch.</t>
  </si>
  <si>
    <t>Edited and published the final commercial across all designated social media platforms.</t>
  </si>
  <si>
    <t>Reported on social media performance to stakeholders, highlighting key insights and recommendations for future campaigns.</t>
  </si>
  <si>
    <t>Collaborated with influencers and brand ambassadors to outline partnership opportunities for promoting the commercial.</t>
  </si>
  <si>
    <t>Conducted research on trending hashtags and topics relevant to the commercial to optimize engagement.</t>
  </si>
  <si>
    <t>Coordinated with the creative team to ensure brand consistency across all social media platforms.</t>
  </si>
  <si>
    <t>Created a content calendar to schedule posts and promotional activities surrounding the commercial’s release.</t>
  </si>
  <si>
    <t>Developed a social media strategy that outlined key messaging and target audience for the commercial launch.</t>
  </si>
  <si>
    <t>Captured behind-the-scenes content during the filming of the commercial for use on social media channels.</t>
  </si>
  <si>
    <t>Coordinated with the production team to ensure timely access to visual assets for social media use.</t>
  </si>
  <si>
    <t>Created and scheduled posts featuring teasers and sneak peeks of the commercial.</t>
  </si>
  <si>
    <t>Engaged with followers in real-time during the production phase to generate excitement and anticipation for the commercial.</t>
  </si>
  <si>
    <t>Monitored social media conversations and feedback related to the commercial production.</t>
  </si>
  <si>
    <t>Social Strategist, Influencer</t>
  </si>
  <si>
    <t>Analyzed influencer-generated content and its performance metrics post-launch.</t>
  </si>
  <si>
    <t>Compiled and presented a report summarizing influencer impact on the campaign's overall performance.</t>
  </si>
  <si>
    <t>Coordinated follow-up campaigns with influencers to sustain audience engagement after the commercial aired.</t>
  </si>
  <si>
    <t>Gathered testimonials and feedback from influencers regarding their experience with the campaign.</t>
  </si>
  <si>
    <t>Managed relationships with influencers for potential future collaborations.</t>
  </si>
  <si>
    <t>Coordinated with the creative team to integrate influencer content into the overall campaign strategy.</t>
  </si>
  <si>
    <t>Created a detailed influencer brief outlining campaign goals, messaging, and deliverables.</t>
  </si>
  <si>
    <t>Developed outreach strategies to engage selected influencers for the campaign.</t>
  </si>
  <si>
    <t>Established metrics for measuring influencer performance and campaign success.</t>
  </si>
  <si>
    <t>Identified and researched potential influencers to align with the commercial's target audience and brand values.</t>
  </si>
  <si>
    <t>Captured real-time feedback from influencers on the production experience for future reference.</t>
  </si>
  <si>
    <t>Collaborated with influencers during the production phase to ensure alignment with the commercial's vision.</t>
  </si>
  <si>
    <t>Facilitated communication between influencers and the production team for any necessary adjustments.</t>
  </si>
  <si>
    <t>Monitored influencer posts during production to engage with audiences and amplify reach.</t>
  </si>
  <si>
    <t>Provided influencers with content guidelines and assets needed for their promotions.</t>
  </si>
  <si>
    <t>Sr Account Director</t>
  </si>
  <si>
    <t>Helped ensured that invoices/payments had been made on the project</t>
  </si>
  <si>
    <t>Sr Acct Director</t>
  </si>
  <si>
    <t>Attended internal reviews with agency internal teams to ensure quality of production outputs prior to client review</t>
  </si>
  <si>
    <t>Submitted client approved estimate &amp; production timeline to internal agency production, business affairs and finance teams to begin invoicing &amp; budget management</t>
  </si>
  <si>
    <t>Was part of Account Team that regularly met with clients &amp; communicated updates on production</t>
  </si>
  <si>
    <t>Worked with client on items that needed client’s approvals</t>
  </si>
  <si>
    <t>Was part of Account Team that interfaced with Producer, Creative Team, and client to sign off on set design, props &amp; wardrobe selections for shoot</t>
  </si>
  <si>
    <t>Was part of Account Team that was a direct partner on set with client to ensure footage captured was based on approved storyboards &amp; met the client’s needs</t>
  </si>
  <si>
    <t>Was part of Account Team that worked in keeping shoot on schedule and within budget</t>
  </si>
  <si>
    <t>Sr Art Dir</t>
  </si>
  <si>
    <t>Attended all internal agency reviews with, Sr. Business Affairs Mgr &amp; Account Team</t>
  </si>
  <si>
    <t>Oversaw post production edits</t>
  </si>
  <si>
    <t>Part of Creative team that was responsible for design &amp; layout on all versions of spots including additional spots &amp; cutdowns that client requested</t>
  </si>
  <si>
    <t>Part of Creative Team that worked to ensure postproduction specifications were met</t>
  </si>
  <si>
    <t>Rensure timing of visual, audio &amp; graphic supers were aligned in all versions of spots</t>
  </si>
  <si>
    <t>Was part of Creative Team that worked with Producer to ensure post/editorial specifications were met for graphics/color correction for all spots</t>
  </si>
  <si>
    <t xml:space="preserve">Aattended all pre production meetings with clients prior to shoot </t>
  </si>
  <si>
    <t>Lead on Creative Team that reviewed pencil tests/preliminary animation direction and shared feedback with producer</t>
  </si>
  <si>
    <t>Once production company was contracted, was part of Creative Team that was responsible for execution of visual aspects of approved storyboards</t>
  </si>
  <si>
    <t>Supervised production company with pre production prep production prep</t>
  </si>
  <si>
    <t>Was lead on Creative Team that reviewed pencil tests/preliminary animation direction and shared feedback with producer</t>
  </si>
  <si>
    <t>Was part of Creative Team that evaluated all production &amp; editorial/post bids to ensure job specifications were met</t>
  </si>
  <si>
    <t>Was part of Creative Team that worked with the Sr Producer &amp; Sr Bus Affairs Mgr to prepare job specifications for production company &amp; edit vendors</t>
  </si>
  <si>
    <t xml:space="preserve">Was part of Lead Creative Team that attended all pre production meetings with clients prior to shoot </t>
  </si>
  <si>
    <t>Was part of Lead Creative Team that evaluated all production, audio/music, post/visual effects, casting &amp; editorial bids</t>
  </si>
  <si>
    <t>Was part of Lead Creative Team that supervised production company with pre production prep</t>
  </si>
  <si>
    <t>Was part of Lead Creative Team that worked with Producers &amp; Account Team on specifications for shoot locations, set design, cast, &amp; props elections</t>
  </si>
  <si>
    <t>Was part of Lead Creative Team that worked with Producers, Business Affairs &amp; Account Teams to prepare job specifications for all vendors including production &amp; casting companies, audio, post/special effects &amp; edit vendors</t>
  </si>
  <si>
    <t>Was part of Lead Creative Team that wrote casting specifications</t>
  </si>
  <si>
    <t>Was part of Lead Creative Team that wrote specifications for music search</t>
  </si>
  <si>
    <t>Was part of Creative Team that approved set design, lighting &amp; product/props prior to shooting</t>
  </si>
  <si>
    <t>Was part of Creative Team that attended shoot days and led creative decisions, visual and copy aspects throughout production</t>
  </si>
  <si>
    <t>Was part of Creative Team that worked with Producer to ensure client, agency teams &amp; production were aligned with production decisions</t>
  </si>
  <si>
    <t>Worked with Producer on managing production workflow to ensure all artwork &amp; footage captured was based on storyboards/scripts &amp; Creative Team's direction</t>
  </si>
  <si>
    <t>Worked with Producer to obtain approval on last minute changes in artwork &amp; text graphics</t>
  </si>
  <si>
    <t>Sr Art Director</t>
  </si>
  <si>
    <t>Assisted with editing of stock images used for social media spots</t>
  </si>
  <si>
    <t>Edward was part of internal agency Art Team that attended internal agency reviews regarding edits</t>
  </si>
  <si>
    <t xml:space="preserve">Part of Creative team that was responsible for design &amp; layout on all versions of spots </t>
  </si>
  <si>
    <t>Part of internal agency Art Team that worked on design, layout and creation of graphic supers on all versions of cinemagraphs/spots</t>
  </si>
  <si>
    <t>Part of internal agency Art Team that worked with designers on all post production</t>
  </si>
  <si>
    <t>Part of Team that worked on all editorial services including editing of graphics/titles/end cards</t>
  </si>
  <si>
    <t>Part of the team that assisted with editing stock images for broadcast and online video spots.</t>
  </si>
  <si>
    <t>Part of the team that assisted with image cleanup and element removal from various versions of social media spots.</t>
  </si>
  <si>
    <t>Was part of Creative Team that attended client reviews, including review for final approval of spots</t>
  </si>
  <si>
    <t>Was part of Creative Team that ensured timing of visual and audio were aligned in all version of spots</t>
  </si>
  <si>
    <t>Was part of Creative Team that outlined post specifications based on client's feedback</t>
  </si>
  <si>
    <t>Was part of Creative Team that was responsible for design, layout and creation/changes on all versions of spots including additional spots &amp; cutdowns that client requested</t>
  </si>
  <si>
    <t>Was part of Creative Team that worked on ensuring post specifications were met</t>
  </si>
  <si>
    <t>Was part of internal agency Art Team that attended internal agency reviews regarding edits</t>
  </si>
  <si>
    <t>Was part of internal agency Art Team that worked on all editorial services including editing of graphics/titles/end cards</t>
  </si>
  <si>
    <t>Was part of internal agency Art Team that worked on all finishing services including color grading/correction, compositing &amp; finishing of spots</t>
  </si>
  <si>
    <t>Was part of internal agency Art Team that worked on design, layout and creation of graphic supers (text in spots) on all versions of spots</t>
  </si>
  <si>
    <t>Was part of internal agency Art Team that worked on editorial services including editing of graphics/titles/end cards</t>
  </si>
  <si>
    <t>Was part of internal agency Art Team that worked on finishing services including color grading/correction, compositing &amp; finishing of spots</t>
  </si>
  <si>
    <t>Was part of internal agency Art Team that worked on timing of visual &amp; graphic supers to ensure they were aligned in all versions of spots</t>
  </si>
  <si>
    <t>Was part of team that presented client with rough cut of spots, noted client revisions &amp; communicated revisions to Editorial Company</t>
  </si>
  <si>
    <t>Evaluated all production &amp; editorial/post bids to ensure job specifications were met</t>
  </si>
  <si>
    <t>Evaluated all production, audio/music, post/visual effects, casting &amp; editorial bids</t>
  </si>
  <si>
    <t>Part of Lead Creative Team that attended casting auditions &amp; callbacks to select on camera talent &amp; backups for client's approval</t>
  </si>
  <si>
    <t>Part of Lead Creative Team that wrote casting specifications for talent casting</t>
  </si>
  <si>
    <t>Was part of Creative Team that worked on preparing job specifications for production company &amp; edit vendors</t>
  </si>
  <si>
    <t>Was part of Lead Creative Team that attended all pre production meetings with clients prior to shoot</t>
  </si>
  <si>
    <t>Was part of Lead Creative Team that was responsible for execution of approved script/storyboards</t>
  </si>
  <si>
    <t>Wrote specifications for music search</t>
  </si>
  <si>
    <t>Approved wardrobe, hair &amp; makeup for on camera talent</t>
  </si>
  <si>
    <t>Led all creative decisions, visual and copy aspects throughout shoot</t>
  </si>
  <si>
    <t>Sr Assoc, Project Mgmt</t>
  </si>
  <si>
    <t>Monitored and reporedt on out of pocket costs and profitability across production teams</t>
  </si>
  <si>
    <t>Scheduled all creative and internal reviews.</t>
  </si>
  <si>
    <t>Sent notes and feedback internally.</t>
  </si>
  <si>
    <t>Approved all estimates and document out of pocket costs based on client sign off.</t>
  </si>
  <si>
    <t>Reviewed and finalized estimates and timelines prior to sending to client for approval.</t>
  </si>
  <si>
    <t>Work with account team and producer to review and finalize estimates and timelines prior to sending to client for approval.</t>
  </si>
  <si>
    <t>Work with Business Affairs and finance teams to approve all estimates and document out of pocket costs based on client sign off.</t>
  </si>
  <si>
    <t>Sr Assoc, Project Mgt</t>
  </si>
  <si>
    <t>Responsible product substantiation &amp; for obtaining and submitting legal clearance</t>
  </si>
  <si>
    <t>Established group calendars and scheduled &amp; attended all production</t>
  </si>
  <si>
    <t>Sr Asst Editor</t>
  </si>
  <si>
    <t>Ensured post production &amp; visual effect specifications were met for motion graphics, color correction &amp; VFX compositing</t>
  </si>
  <si>
    <t>Supervised and ensured edit specifications were met</t>
  </si>
  <si>
    <t>Sr Audio Engr</t>
  </si>
  <si>
    <t>Reviewed and edited audio tracks for spots</t>
  </si>
  <si>
    <t>Sr Broadcast Bus Mgr</t>
  </si>
  <si>
    <t>Actualize talent costs and close out talent job</t>
  </si>
  <si>
    <t>Assisted with preparing revised versions of talent estimates</t>
  </si>
  <si>
    <t>Assisted with preparing revised versions of talent estimates based on additional edit sessions &amp; usage costs</t>
  </si>
  <si>
    <t>Attended all Business Affairs Team meetings during post production</t>
  </si>
  <si>
    <t>Attended all internal agency reviews with Producers and Account, Creative Team &amp; Strategy &amp; Teams during entire post production</t>
  </si>
  <si>
    <t>Attended internal agency reviews with during entire Post</t>
  </si>
  <si>
    <t>Attended meetings during post production</t>
  </si>
  <si>
    <t>Issued session and final cost reports</t>
  </si>
  <si>
    <t>Managed all purchase orders, approved vendor invoices &amp; payments of contracted vendors</t>
  </si>
  <si>
    <t>Managed purchase orders, approved vendor invoices &amp; payments of contracted vendors</t>
  </si>
  <si>
    <t>Production phase regarding post production changes to provide feedback</t>
  </si>
  <si>
    <t>Scheduled all post/visual effects/audio/editing sessions for producer &amp; creative team to attend</t>
  </si>
  <si>
    <t>Scheduled post/editing sessions</t>
  </si>
  <si>
    <t>Scheduled talent edit sessions with recording studio for producer) &amp; creative team to attend</t>
  </si>
  <si>
    <t>Worked on actualizing talent costs and close out talent job</t>
  </si>
  <si>
    <t>Worked with Creative Team on casting specifications for talent</t>
  </si>
  <si>
    <t>Assisted in evaluating and negotiating terms of all production &amp; casting bids</t>
  </si>
  <si>
    <t>Assisted in evaluating and negotiating terms of all production company &amp; editorial bids</t>
  </si>
  <si>
    <t>Assisted in preparation of all talent contracts &amp; required paperwork for payroll processing for on camera talent</t>
  </si>
  <si>
    <t>Assisted in preparation of all talent contracts &amp; required paperwork for payroll processing for talent</t>
  </si>
  <si>
    <t>Created purchase orders for all contracted vendors</t>
  </si>
  <si>
    <t>Declared insurance in coordination with legal to ensure compliance with client statement of work</t>
  </si>
  <si>
    <t>Evaluated and negotiated terms of insurance bid for client review</t>
  </si>
  <si>
    <t>Part of Business Affairs Team that worked with Producers, Creative &amp; Lead Account Teams to prepare job specifications for production &amp; casting vendors</t>
  </si>
  <si>
    <t>Prepared initial draft of talent estimate</t>
  </si>
  <si>
    <t>Prepared insurance specifications for insurance vendor based on client statement of work</t>
  </si>
  <si>
    <t>Prepared Production Company contract for legal to review &amp; handled execution of contracts</t>
  </si>
  <si>
    <t>Reviewed Production Company contract</t>
  </si>
  <si>
    <t>Scheduled casting auditions &amp; callback session for talent</t>
  </si>
  <si>
    <t>Worked in preparing production budget &amp; timeline for spot deliverables for internal agency review prior to submitting to cost consultant &amp; client for review</t>
  </si>
  <si>
    <t>Worked with Account Team in obtaining insurance policy with necessary &amp; proper coverage amounts</t>
  </si>
  <si>
    <t>Worked with Producers, Creative &amp; Lead Account Teams to prepare job specifications for production &amp; casting vendors</t>
  </si>
  <si>
    <t>Worked with various talent agencies to book on</t>
  </si>
  <si>
    <t>Worked with various talent agencies to book on camera talent</t>
  </si>
  <si>
    <t>Attended Prelight &amp; shoot to collect talent contracts, minor permits &amp; paperwork needed</t>
  </si>
  <si>
    <t>Attended Prelight &amp; shoot to collect talent contracts, minor permits &amp; paperwork needed for paymaster</t>
  </si>
  <si>
    <t xml:space="preserve">Attended shoot days to collect talent contracts &amp; paperwork needed </t>
  </si>
  <si>
    <t>Responsible for managing talent hours during Prelight &amp; shoot</t>
  </si>
  <si>
    <t>Scheduled all post/visual effects/audio/editing sessions for Creative Team to attend</t>
  </si>
  <si>
    <t>Was responsible for managing talent hours during shoot</t>
  </si>
  <si>
    <t>Worked on actualization of talent costs and close out talent job</t>
  </si>
  <si>
    <t>Sr Broadcast Business Mgr</t>
  </si>
  <si>
    <t>Approved production related vendor invoices before submitting to finance.</t>
  </si>
  <si>
    <t>Managed talent payment, residual projections, and contract renewals when necessary.</t>
  </si>
  <si>
    <t>Set up new vendors. Issued vendor purchase orders.</t>
  </si>
  <si>
    <t>Updated and processed overages with producer.</t>
  </si>
  <si>
    <t>Prepared production budget &amp; timeline for spot deliverables for internal agency review prior to submitting to cost consultant &amp; client for review</t>
  </si>
  <si>
    <t>Worked in obtaining insurance policy with necessary &amp; proper coverage amounts</t>
  </si>
  <si>
    <t>Attended production shoots</t>
  </si>
  <si>
    <t>Managed talent contracts</t>
  </si>
  <si>
    <t>Sr Broadcast Producer</t>
  </si>
  <si>
    <t>Attended client reviews with Creative Team, Sr Business Mgr &amp; Account Team and coordinated final client approval of spots</t>
  </si>
  <si>
    <t>Attended internal agency reviews regarding post production changes to provide feedback</t>
  </si>
  <si>
    <t>Ensured all spots ship, uploaded assets to media company</t>
  </si>
  <si>
    <t>Helped actualize and close out production job within budget</t>
  </si>
  <si>
    <t>Helped actualize talent costs and close out talent job</t>
  </si>
  <si>
    <t>Helped ensure that all job files were complete with all requisite production paperwork</t>
  </si>
  <si>
    <t>Oversaw all post production edits and additional asset creation (sound design and graphics)</t>
  </si>
  <si>
    <t>Oversaw asset creation (sound design and graphics)</t>
  </si>
  <si>
    <t>Reviewed all AD ID's and versions, legal on spots, etc</t>
  </si>
  <si>
    <t>Reviewed clean up of film and additional fixes to final picture (removed lightswitch from wall, dust on film, etc.)</t>
  </si>
  <si>
    <t>Supervised designers on post production</t>
  </si>
  <si>
    <t>Supervised final color and grading of film</t>
  </si>
  <si>
    <t>Supervised final edits/assembly of final spots, and all versioning of spots</t>
  </si>
  <si>
    <t>Supervised final mixing of audio</t>
  </si>
  <si>
    <t>Was responsible for scheduling and ensuring agency and clients meet client deadlines</t>
  </si>
  <si>
    <t>Was responsible for scheduling and ensuring agency and clients meet client or post house approval deadlines</t>
  </si>
  <si>
    <t>Worked closely with Business Affairs on obtaining legal clearance when needed</t>
  </si>
  <si>
    <t>Worked on license music search with audio engineer</t>
  </si>
  <si>
    <t>Worked to ensure spot deliverables met timeline for cost consultant &amp; client review</t>
  </si>
  <si>
    <t>Worked with audio engineer, records rough scratch tracks</t>
  </si>
  <si>
    <t>Worked with Business Affairs Team to finalize costs, overages, job, actuals, etc.</t>
  </si>
  <si>
    <t>Worked with editor on a daily basis on edits and versions with creative team</t>
  </si>
  <si>
    <t>Worked with music company and composers on music tracks</t>
  </si>
  <si>
    <t>Approved Bids for production companies, editorial houses and music companies</t>
  </si>
  <si>
    <t>Arranged communication between director/prodco and agency team</t>
  </si>
  <si>
    <t>Created budgets and timelines to ensure production comes in on time and on target. Liaison between client, agency, and production companies regarding all components of production</t>
  </si>
  <si>
    <t>Discussed specs for location scouting, casting, production design for sets and locations</t>
  </si>
  <si>
    <t>Discussed wardrobe direction with Production Company</t>
  </si>
  <si>
    <t>Facilitated hero packaging being created and shipped</t>
  </si>
  <si>
    <t>Helped negotiate vendor and talent contracts and works with Business Affairs  and outside counsel and/or internal team</t>
  </si>
  <si>
    <t>Negotiated costs and finalizes estimate for client approval</t>
  </si>
  <si>
    <t>Prepared all materials for pre pro meeting with clients</t>
  </si>
  <si>
    <t>Ran pre pro meeting and approved final pre production book</t>
  </si>
  <si>
    <t>Reviewed all casting with creative team and on camera</t>
  </si>
  <si>
    <t>Sent casting specs to production company for on camera talent</t>
  </si>
  <si>
    <t>Communicated on set with Agency Team, and with client</t>
  </si>
  <si>
    <t>Communicated on set with Agency Team, and with clients</t>
  </si>
  <si>
    <t>Ensured all shots are captured on set</t>
  </si>
  <si>
    <t>Facilitated any script changes with Director</t>
  </si>
  <si>
    <t>Gatekeeper to ensure client, agency and vendors were aligned with the production decisions</t>
  </si>
  <si>
    <t>Managed production to ensure creative follows storyboards/scripts.</t>
  </si>
  <si>
    <t>Sr Bus Affairs Mgr</t>
  </si>
  <si>
    <t>Sr Bus Affairs Talent Mgr</t>
  </si>
  <si>
    <t>Ensured all talent contract was signed and executed properly before submitting to payroll for payment</t>
  </si>
  <si>
    <t>Submitted talent paperwork to payroll &amp; managed all session &amp; usage payments</t>
  </si>
  <si>
    <t>Worked with Talent Agency to book talent upon approval from Producer, Creative Team &amp; client</t>
  </si>
  <si>
    <t>Worked with Talent Agency to secure talent contracts &amp; paperwork needed for payroll</t>
  </si>
  <si>
    <t>Sr Business Mgr</t>
  </si>
  <si>
    <t>Alica attended all meetings with client &amp; producer for job updates &amp; to review all versions of spots including Included rough cut, revisions &amp; final</t>
  </si>
  <si>
    <t>Ensured all talent contracts were signed and executed properly before submitting</t>
  </si>
  <si>
    <t>Ensured talent contract for voice over/announcer was signed and executed properly before submitting to pay master</t>
  </si>
  <si>
    <t>Prepared revised versions of talent estimates based on edit sessions &amp; usage costs</t>
  </si>
  <si>
    <t>Scheduled additional post/special effects sessions for Creative Team to attend</t>
  </si>
  <si>
    <t>Scheduled all edit sessions for Creative Team to attend</t>
  </si>
  <si>
    <t>Scheduled talent edit sessions with recording studio for Creative Team to attend</t>
  </si>
  <si>
    <t>Submitted talent paperwork &amp; managed payments</t>
  </si>
  <si>
    <t>Worked with producer to actualize and close out jobs and ensured all job files were complete with all requisite production paperwork</t>
  </si>
  <si>
    <t>Worked with Producer to actualize costs and close out job</t>
  </si>
  <si>
    <t>Worked with producer to issue session reports and final cast reports</t>
  </si>
  <si>
    <t>Worked withproducers to issue session and final cast reports</t>
  </si>
  <si>
    <t>Assisted in evaluating and negotiating terms of all production &amp; post vendor bids</t>
  </si>
  <si>
    <t xml:space="preserve">Managed initial payments of contracted vendors </t>
  </si>
  <si>
    <t>Prepared production budget &amp; timelines &amp; obtained approvals from cost consultant &amp; client</t>
  </si>
  <si>
    <t>Screened directors for shoot by reviewing director reels</t>
  </si>
  <si>
    <t>Worked with producer to prepare specifications for all vendors including Production Company, Casting Company &amp; Post/Edit vendors</t>
  </si>
  <si>
    <t>Attended Pre light &amp; Shoot remotely</t>
  </si>
  <si>
    <t>Sr CGI Look Devt Artist</t>
  </si>
  <si>
    <t>Assisted in compositing efforts by integrating CGI elements seamlessly into live-action footage.</t>
  </si>
  <si>
    <t>Compiled a breakdown of the look development process to be included in the project portfolio.</t>
  </si>
  <si>
    <t>Prepared and delivered final look development files for archiving and future reference.</t>
  </si>
  <si>
    <t>Provided final texture and shading tweaks based on feedback from the director and producers.</t>
  </si>
  <si>
    <t>Reviewed rendered scenes for color accuracy and material fidelity, making adjustments as needed.</t>
  </si>
  <si>
    <t>Collaborated with the creative team to establish the visual style and tone for the commercial.</t>
  </si>
  <si>
    <t>Conducted research on materials and textures relevant to the commercial's themes.</t>
  </si>
  <si>
    <t>Created prototypes of lighting setups to showcase the intended atmosphere.</t>
  </si>
  <si>
    <t>Developed detailed look development sketches and color palettes for key assets.</t>
  </si>
  <si>
    <t>Participated in concept reviews, presenting visual ideas and receiving feedback from directors.</t>
  </si>
  <si>
    <t>Collaborated with animators to provide feedback on how materials reacted to movement.</t>
  </si>
  <si>
    <t>Conducted tests and iterations on CGI elements to meet the project specifications.</t>
  </si>
  <si>
    <t>Generated high-quality textures and shaders for 3D models according to the established look.</t>
  </si>
  <si>
    <t>Implemented lighting setups in the CGI environment to achieve desired visual effects.</t>
  </si>
  <si>
    <t>Worked closely with modelers to refine asset details and ensure consistency in style.</t>
  </si>
  <si>
    <t>Sr Copywriter</t>
  </si>
  <si>
    <t>Assisted on crafting content for some versions of programmatic online video spots.</t>
  </si>
  <si>
    <t>Attended additional talent voiceover sessions and voiceover edit sessions for additional spots and cutdowns requested by the client.</t>
  </si>
  <si>
    <t>Attended agency team meetings that presented the client with a rough cut of spots, noted client revisions, and communicated revisions to the audio/post/editorial company.</t>
  </si>
  <si>
    <t>Attended internal agency meetings regarding content and graphic supers for all versions of programmatic online video spots.</t>
  </si>
  <si>
    <t>Attended internal agency meetings regarding content and graphic supers for all versions of social media spots.</t>
  </si>
  <si>
    <t>Ensured timing of visual, audio &amp; graphic supers were aligned in all versions of spots</t>
  </si>
  <si>
    <t>Part of Creative Team that supervised music selection</t>
  </si>
  <si>
    <t>Part of team that attended all client reviews, including review for final approval of spots.</t>
  </si>
  <si>
    <t>Part of team that attended all internal agency reviews with Producers and Account, Social Media, Strategy, and Business Affairs Teams.</t>
  </si>
  <si>
    <t>Part of team that attended voiceover casting sessions and selected principal voiceover talent and backups for client review."</t>
  </si>
  <si>
    <t>Part of team that supervised sound design/mixing and recording of all voice over sessions with audio engineer.</t>
  </si>
  <si>
    <t>Part of team that was responsible for design, layout, and creation/changes to graphic supers on all versions of spots, including additional spots and cutdowns requested by the client.</t>
  </si>
  <si>
    <t>Part of team that worked on crafting content for all versions of programmatic online video spots.</t>
  </si>
  <si>
    <t>Part of team that worked on crafting content for all versions of social media spots.</t>
  </si>
  <si>
    <t>Part of team that worked on graphic supers for all versions of programmatic online video spots.</t>
  </si>
  <si>
    <t>Part of team that worked on graphic supers for all versions of social media spots.</t>
  </si>
  <si>
    <t>Part of team that worked on insertion and edits of graphics, titles, and end cards on all versions of cinemagraphs/social spots.</t>
  </si>
  <si>
    <t>Part of team that worked to ensure audio/music specifications were met.</t>
  </si>
  <si>
    <t>Part of team that worked to ensure edit specifications were met.</t>
  </si>
  <si>
    <t>Part of team that worked to ensure postproduction and visual effect specifications were met for motion graphics, color correction, and VFX compositing.</t>
  </si>
  <si>
    <t>Part of team that worked to ensure timing of visual, audio, and graphic supers were aligned in all versions of spots.</t>
  </si>
  <si>
    <t>Reviewed all versions of spots to ensure timing of visual and graphic supers were aligned in all versions of cinemagraphs/spots.</t>
  </si>
  <si>
    <t>Supervised editors on all edits and finishing of spots.</t>
  </si>
  <si>
    <t>Supervised the assembly of all versions of final spots for client review, including multiple broadcast, programmatic online video, and social media spots.</t>
  </si>
  <si>
    <t>Was lead on Creative team that was responsible for design, layout and creation/changes to graphic supers on all versions of spots</t>
  </si>
  <si>
    <t>Was part of Creative Team that ensured post/editorial specifications were met for motion graphics, color correction, VFX compositing &amp; VFX rig removal for all spots</t>
  </si>
  <si>
    <t>Was part of team that presented client with rough cut of spots, noted &amp; communicated client revisions</t>
  </si>
  <si>
    <t>Worked on crafting content for all versions of cinemagraphs/social spots.</t>
  </si>
  <si>
    <t>Worked with graphic supers on all versions of cinemagraphs/social spots.</t>
  </si>
  <si>
    <t>Part of team that attended all preproduction meetings with clients prior to shoot.</t>
  </si>
  <si>
    <t>Part of team that attended casting auditions and callbacks to select on-camera talent and backups for client's approval.</t>
  </si>
  <si>
    <t>Part of team that evaluated all production, audio/music, post/visual effects, casting and editorial bids.</t>
  </si>
  <si>
    <t>Part of team that prepared job specifications for all vendors including production, casting, audio, post/special effects, and edit vendors.</t>
  </si>
  <si>
    <t>Part of team that reviewed talent demo reels to determine potential talent selects for auditions.</t>
  </si>
  <si>
    <t>Part of team that was responsible for execution of approved script/storyboards after production company was contracted.</t>
  </si>
  <si>
    <t>Part of team that worked on specifications for shoot locations, set design, cast, props and wardrobe selections.</t>
  </si>
  <si>
    <t>Part of team that worked to supervise production company with preproduction prep.</t>
  </si>
  <si>
    <t>Part of team that wrote casting specifications for voice over talent casting.</t>
  </si>
  <si>
    <t>Part of team that wrote specifications for music search.</t>
  </si>
  <si>
    <t>Was part of Creative Team that attended all preproduction meetings with clients prior to shoot along with the Account Team &amp; Producers</t>
  </si>
  <si>
    <t>Was part of Creative Team that evaluated all production, audio &amp; editorial/post bids to ensure job specifications were met</t>
  </si>
  <si>
    <t>Was part of Creative Team that reviewed preliminary direction and shared feedback with producer</t>
  </si>
  <si>
    <t>Was part of Creative Team that worked on preparing job specifications for all vendors including production company, audio &amp; edit vendors</t>
  </si>
  <si>
    <t>Was part of Creative Team that wrote specifications for music search</t>
  </si>
  <si>
    <t>Detected vital disconnects with scripts and revised copy based on internal team and client's feedback and direction.</t>
  </si>
  <si>
    <t>Ensured alignment between client, agency teams and production company on production decisions.</t>
  </si>
  <si>
    <t>Ensured client, agency teams and production company were aligned with production decisions.</t>
  </si>
  <si>
    <t>Led all creative decisions, visual and copy aspects throughout shoot.</t>
  </si>
  <si>
    <t>Managed production workflow to ensure all artwork and footage captured aligned with storyboards/scripts and creative direction.</t>
  </si>
  <si>
    <t>Managed production workflow to ensure all footage captured was based on storyboards/scripts.</t>
  </si>
  <si>
    <t>Obtained approval for last-minute changes in artwork and text graphics.</t>
  </si>
  <si>
    <t>Part of team that approved wardrobe, hair and makeup for celebrity and on-camera talent prior to shooting.</t>
  </si>
  <si>
    <t>Part of team that attended prelight and wardrobe fitting sessions.</t>
  </si>
  <si>
    <t>Worked on set direction, lighting and props during production.</t>
  </si>
  <si>
    <t>Sr Editor</t>
  </si>
  <si>
    <t>Worked on pre production prep (shot list for production)</t>
  </si>
  <si>
    <t>Sr Integrated Prod</t>
  </si>
  <si>
    <t>Managed specific elements of post production to ensure the efficient/timely/cost</t>
  </si>
  <si>
    <t>Worked closely with internal agency team on all aspects of post production including sound design and graphics</t>
  </si>
  <si>
    <t>Collaborated with production company on creation of production/shooting schedules</t>
  </si>
  <si>
    <t>Discussed specifications with production company for location scouting &amp; set design</t>
  </si>
  <si>
    <t>Worked closely with Producer on all aspects of preproduction including budgeting, supervision of tasks &amp; creative decision making</t>
  </si>
  <si>
    <t>Assisted as gatekeeper to ensure client, agency and on set vendors were aligned with all production decisions</t>
  </si>
  <si>
    <t>Assisted with management of production workflow of shoot to ensure all footage was captured based on storyboards/scripts</t>
  </si>
  <si>
    <t>Was responsible for keeping shoot on time and within budget</t>
  </si>
  <si>
    <t>Sr Mgr, Bus Affairs &amp; Talent Mgmt</t>
  </si>
  <si>
    <t>Ensured all talent contract was signed and executed properly</t>
  </si>
  <si>
    <t>Prepared specifications for all vendors including production company, and music vendors</t>
  </si>
  <si>
    <t>Managed talent payment, residual projections, and contract renewals.</t>
  </si>
  <si>
    <t>Sr Motion Graphics Designer</t>
  </si>
  <si>
    <t>Conducted final quality checks on motion graphics, ensuring they were polished and error-free before delivery.</t>
  </si>
  <si>
    <t>Created and animated high-quality motion graphics using industry-standard software, ensuring they met the project’s aesthetic and technical requirements.</t>
  </si>
  <si>
    <t>Delivered all final motion graphic assets in required formats for various distribution channels, ensuring compliance with client specifications.</t>
  </si>
  <si>
    <t>Integrated motion graphics into the final edit, collaborating with the editing team to achieve seamless transitions and visual effects.</t>
  </si>
  <si>
    <t>Reviewed and refined animations based on feedback from the creative team and clients, ensuring alignment with the original vision.</t>
  </si>
  <si>
    <t>Collaborated with the creative team to conceptualize motion graphics that aligned with the overall vision for the commercial.</t>
  </si>
  <si>
    <t>Coordinated with the production team to understand the filming schedule and identify opportunities for integrating motion graphics in real-time.</t>
  </si>
  <si>
    <t>Designed storyboards that illustrated the sequence and flow of motion graphics, ensuring clarity in visual storytelling.</t>
  </si>
  <si>
    <t>Developed style frames to present design concepts and visual styles for approval from stakeholders and clients.</t>
  </si>
  <si>
    <t>Established technical specifications for motion graphics, including resolution, frame rate, and aspect ratio, to guide production efforts.</t>
  </si>
  <si>
    <t>Collaborated with the sound design team to ensure that audio elements complemented the motion graphics during production.</t>
  </si>
  <si>
    <t>Monitored the quality of motion graphics during filming, making adjustments to ensure consistency with the creative direction.</t>
  </si>
  <si>
    <t>Provided on-set support to ensure that live-action footage captured aligned with the planned motion graphic elements.</t>
  </si>
  <si>
    <t>Recorded live-action elements and gathered necessary assets, such as textures and backgrounds, to enhance motion graphic designs.</t>
  </si>
  <si>
    <t>Worked closely with the director and cinematographer to communicate the integration of motion graphics into specific shots, ensuring cohesive visual flow.</t>
  </si>
  <si>
    <t>Sr Prod Affairs Mgr</t>
  </si>
  <si>
    <t>Supervise business teams involved in preproduction with talent contracts, client budgets, estimates,etc.</t>
  </si>
  <si>
    <t>Sr Prod Bus Affairs Mgr</t>
  </si>
  <si>
    <t>Actualized costs and closed out job</t>
  </si>
  <si>
    <t xml:space="preserve">Prepared production budget </t>
  </si>
  <si>
    <t>Reviewed invoices, approved &amp; sent to Accounting Dept for payment</t>
  </si>
  <si>
    <t>Reviewed overage bids prior to approval</t>
  </si>
  <si>
    <t>Scheduled all audio &amp; edit/post sessions for Creative Team to attend</t>
  </si>
  <si>
    <t>Assisted in evaluating and negotiating terms of all production, audio &amp; editorial/post bids</t>
  </si>
  <si>
    <t>Prepared contracts that contained components of production, audio &amp; editorial/post</t>
  </si>
  <si>
    <t>Researched legal clearance issues to ensure all items were cleared for use</t>
  </si>
  <si>
    <t xml:space="preserve">Worked with Creative Team to prepare job specifications for all vendors </t>
  </si>
  <si>
    <t>Worked with producer to prepare production budget &amp; timeline for spot deliverables for internal agency review prior to submitting to client for review</t>
  </si>
  <si>
    <t>Sr Producer</t>
  </si>
  <si>
    <t>Actualized and close out job</t>
  </si>
  <si>
    <t>Addressed client revisions</t>
  </si>
  <si>
    <t>Ensure post-production specifications were met.</t>
  </si>
  <si>
    <t>Ensure spot deliverables met the timeline for cost consultant and client review.</t>
  </si>
  <si>
    <t>Ensured all job files were complete with the requisite production paperwork.</t>
  </si>
  <si>
    <t>Ensured all spots ship.</t>
  </si>
  <si>
    <t>Faciliated talent contracts and signs</t>
  </si>
  <si>
    <t>Finalized costs and closed out the job.</t>
  </si>
  <si>
    <t>Made sure hard drives of shoot footage were delivered to Editorial/Post Company &amp; briefed editors on shoot details</t>
  </si>
  <si>
    <t>Managed sounds design with creative team and audio engineer</t>
  </si>
  <si>
    <t>Part of the team that attended additional talent sessions and voiceover edit sessions for requested spots and cutdowns.</t>
  </si>
  <si>
    <t>Part of the team that attended additional talent voiceover sessions and edit sessions for spots and cutdowns requested by the client.</t>
  </si>
  <si>
    <t>Part of the team that attended all client reviews and coordinated final client approval of spots.</t>
  </si>
  <si>
    <t>Part of the team that attended all internal agency reviews and coordinated with various teams.</t>
  </si>
  <si>
    <t>Part of the team that attended all internal agency reviews with the Creative Team and Account Team.</t>
  </si>
  <si>
    <t>Part of the team that attended casting sessions and selected principal talent and backups for review.</t>
  </si>
  <si>
    <t>Part of the team that attended internal agency reviews with Producers, Creative Team, and Account &amp; Business Affairs Teams.</t>
  </si>
  <si>
    <t>Part of the team that attended voiceover casting sessions and selected principal voiceover talent and backup for client review.</t>
  </si>
  <si>
    <t>Part of the team that ensured all job files were complete with the requisite production paperwork.</t>
  </si>
  <si>
    <t>Part of the team that ensured delivery of shoot footage and briefed editors on shoot details.</t>
  </si>
  <si>
    <t>Part of the team that presented a rough cut to the client, noted revisions, and communicated changes to post-production teams.</t>
  </si>
  <si>
    <t>Part of the team that presented the client with a rough cut of spots, noted client revisions, and communicated revisions.</t>
  </si>
  <si>
    <t>Part of the team that supervised designers on all post production.</t>
  </si>
  <si>
    <t>Part of the team that supervised designerson all post.</t>
  </si>
  <si>
    <t>Part of the team that supervised editors on all edits and finishing of spots.</t>
  </si>
  <si>
    <t>Part of the team that supervised sound design and mixing with an audio engineer.</t>
  </si>
  <si>
    <t>Part of the team that supervised the assembly and versioning of final spots for client review.</t>
  </si>
  <si>
    <t>Part of the team that supervised the mixing of audio, music selection, and recording of all voiceover sessions.</t>
  </si>
  <si>
    <t>Part of the team that worked closely to ensure audio and music specifications were met.</t>
  </si>
  <si>
    <t>Part of the team that worked on casting specifications for talent.</t>
  </si>
  <si>
    <t>Part of the team that worked to actualize talent costs and close out talent jobs.</t>
  </si>
  <si>
    <t>Part of the team that worked to issue session and final cast reports.</t>
  </si>
  <si>
    <t>Part of the team that worked with a Music Clearance Consultant to review music clearance agreements.</t>
  </si>
  <si>
    <t>Presented client with rough cut of spots, noted client revisions &amp; communicated to post production</t>
  </si>
  <si>
    <t>Reviewed all AD ID's and versions, legal on spots, etc.</t>
  </si>
  <si>
    <t>Reviewed all overage bids prior to approval.</t>
  </si>
  <si>
    <t>Reviewed all versions and legal on spots, etc.</t>
  </si>
  <si>
    <t>Supervised final color grading of spots with Creative Team</t>
  </si>
  <si>
    <t>Supervised the assembly of final spots and all versioning for client review.</t>
  </si>
  <si>
    <t>Uploads assets to media company</t>
  </si>
  <si>
    <t>Worked closely with the creative team on all post.</t>
  </si>
  <si>
    <t>Worked on making air dates and obtaining legal clearance when needed</t>
  </si>
  <si>
    <t>Worked to actualize and close out the job.</t>
  </si>
  <si>
    <t>Worked to ensure audio and music specifications were met.</t>
  </si>
  <si>
    <t>Worked to ensure post and editorial specifications were met for motion graphics, color correction, VFX compositing, and VFX rig removal for all spots.</t>
  </si>
  <si>
    <t>Worked with animators on graphics/titles/end cards/mnemonics</t>
  </si>
  <si>
    <t>Worked with creative team and talent to record final voiceover</t>
  </si>
  <si>
    <t>Approved final pre pro book</t>
  </si>
  <si>
    <t>Attended all internal meetings with creative team &amp; production/animation company to discuss shoot prep</t>
  </si>
  <si>
    <t>Attended pre pro meeting with clients and ran pre pro meeting</t>
  </si>
  <si>
    <t>Engaged producers and production companies based on approved storyboards and job specifications.</t>
  </si>
  <si>
    <t>Facilitated communication between Production Company &amp; Agency Creative Team for discussion on specifications on set design and studio location</t>
  </si>
  <si>
    <t>Facilitates hero packaging being created and shipped.</t>
  </si>
  <si>
    <t>Helped negotiate vendor and talent contracts and works with internal team.</t>
  </si>
  <si>
    <t>Part of the team that addressed copyright issues and legal clearance.</t>
  </si>
  <si>
    <t>Part of the team that assisted in evaluating and negotiating terms for all production, audio, music, post, visual effects, casting, and editorial bids.</t>
  </si>
  <si>
    <t>Part of the team that attended client meetings to discuss shoot preparation.</t>
  </si>
  <si>
    <t>Part of the team that attended internal meetings to discuss shoot preparation, including the shoot list and items for pre-production approval.</t>
  </si>
  <si>
    <t>Part of the team that attended talent casting auditions and callbacks to select on-camera principals.</t>
  </si>
  <si>
    <t>Part of the team that developed specifications for shoot locations, set design, cast, props, and wardrobe selections.</t>
  </si>
  <si>
    <t>Part of the team that engaged directors and production companies based on approved storyboards and job specifications.</t>
  </si>
  <si>
    <t>Part of the team that facilitated communication among stakeholders regarding all components of production.</t>
  </si>
  <si>
    <t>Part of the team that managed all components of production, including budget, travel, locations, set design, and selections for cast, props, and wardrobe.</t>
  </si>
  <si>
    <t>Part of the team that negotiated and prepared all talent contracts</t>
  </si>
  <si>
    <t>Part of the team that oversaw the hiring process for all production vendors, including production and post companies.</t>
  </si>
  <si>
    <t>Part of the team that prepared job specifications for all vendors,</t>
  </si>
  <si>
    <t>Part of the team that prepared job specifications for production and post/edit vendors.</t>
  </si>
  <si>
    <t>Part of the team that prepared job specifications for production, casting, and post/edit vendors.</t>
  </si>
  <si>
    <t>Part of the team that prepared the production budget and timeline for spot deliverables for review by the cost consultant and client.</t>
  </si>
  <si>
    <t>Part of the team that prepared the production budget and timeline of deliverables for internal agency review before submission to the client.</t>
  </si>
  <si>
    <t>Part of the team that reviewed talent demo reels to determine potential selects for auditions.</t>
  </si>
  <si>
    <t>Prepared job specifications for all vendors, including production, animation, audio, and editing.</t>
  </si>
  <si>
    <t>Prepared job specifications for production and post/edit vendors.</t>
  </si>
  <si>
    <t>Prepared materials for pre production meetings with internal agency teams</t>
  </si>
  <si>
    <t>Prepared the production budget and timeline for spot deliverables for client review.</t>
  </si>
  <si>
    <t>Sent casting specs to production company</t>
  </si>
  <si>
    <t>Helped ensure that client, agency and on set vendors were aligned with all production decisions</t>
  </si>
  <si>
    <t>Managed production to ensure creative followed storyboards/scripts</t>
  </si>
  <si>
    <t>Valerie led Pre</t>
  </si>
  <si>
    <t>Worked with creative team and production company on set direction, lighting &amp; props</t>
  </si>
  <si>
    <t>Sr Project Mgr</t>
  </si>
  <si>
    <t>Monitored production budget across all internal agency teams</t>
  </si>
  <si>
    <t>Resolve legal clearance issues to ensure all footage was cleared for use</t>
  </si>
  <si>
    <t>Review post overage bids prior to sending to client for approval</t>
  </si>
  <si>
    <t xml:space="preserve">Reviewed all version of spots </t>
  </si>
  <si>
    <t>Worked with all internal agency teams to finalize costs and close out job</t>
  </si>
  <si>
    <t>Approved all agency personnel hours that worked on job during pre production</t>
  </si>
  <si>
    <t>Review bid &amp; agency estimate for accuracy prior to sending to client for approval</t>
  </si>
  <si>
    <t xml:space="preserve">Scheduled and attended all internal meetings with Producers and Creative, Business Affairs, Strategy &amp; Account Teams to review all production items prior to shoot </t>
  </si>
  <si>
    <t>Worked with Lead Account Team to review Production Company estimate for accuracy prior to sending to client for approval</t>
  </si>
  <si>
    <t>Worked with legal on clearance issues to ensure all potential spot content was cleared for use</t>
  </si>
  <si>
    <t>Attended Prelight, Wardrobe Fitting Session &amp; Shoot</t>
  </si>
  <si>
    <t>Worked closely across all agency teams to ensure successful production completion</t>
  </si>
  <si>
    <t>Sr Rights Mgr</t>
  </si>
  <si>
    <t>Assist in tracking talent usage for finalized spots and ensure residual/buyout payments are processed based on final contracts as well as for future usage/renewals.</t>
  </si>
  <si>
    <t>Assisted in tracking talent usage for finalized spots and ens.ured buyout payments are processed based on final contracts</t>
  </si>
  <si>
    <t>Manage talent payment, residual projections, and contract renewals.</t>
  </si>
  <si>
    <t>Presented deliverables to internal team and clients.</t>
  </si>
  <si>
    <t>Reviewed all final spots to ensure scripts are adhered to and provides closed caption scripts for shipping.</t>
  </si>
  <si>
    <t>Reviewed edits for legal lines and language.</t>
  </si>
  <si>
    <t>Tracked talent usage for finalized spots and ensured buyout payments are processed based on final contracts as well as for future usage/renewals.</t>
  </si>
  <si>
    <t>Work with producers and talent agents to negotiate and prepare talent contracts.</t>
  </si>
  <si>
    <t>Sr Strategic Planner</t>
  </si>
  <si>
    <t>Collaborated with Creative Team on selection of visual assets for programmatic online video spots</t>
  </si>
  <si>
    <t>Collaborated with Creative Team on selection of visual assets for spots</t>
  </si>
  <si>
    <t>Used knowledge of trends &amp; expertise of brand to ensure optimal creation of spots</t>
  </si>
  <si>
    <t>Was part of the team that attended all internal meetings &amp; assisted with feedback and selection of final edits to ensured spots were on brief</t>
  </si>
  <si>
    <t>Was part of the team that provided sizing specifications (aspect ratio, size, length) for cinemagraphs/social media spots</t>
  </si>
  <si>
    <t>Was part of the team that reviewed final versions of spots to ensure aspect ratios, specs and visuals met specified requirements</t>
  </si>
  <si>
    <t>Worked with copywriters &amp; Creative Team on captions for various programmatic online video spots</t>
  </si>
  <si>
    <t>Collaborated on final artwork with Creative team for shot list &amp; pre pro book</t>
  </si>
  <si>
    <t>Was part of Strategy Team that attended all pre production meetings with internal agency teams regarding shoot prep &amp; pre pro book</t>
  </si>
  <si>
    <t>Worked with Creative team on artwork specifications for shot list/pre pro book</t>
  </si>
  <si>
    <t>Was part of Strategy Team that attended Pre light &amp; Shoot to collaborate with agency teams on direction of shoot &amp; footage captured for broadcast &amp; programmatic online video spots</t>
  </si>
  <si>
    <t>Worked with Creative Team during shoot to ensure that image sizing specifications requirements were met</t>
  </si>
  <si>
    <t>Sr Strategy</t>
  </si>
  <si>
    <t>Managed team that provided sizing specifications (aspect ratio, size, length)</t>
  </si>
  <si>
    <t>Used knowledge of trends &amp; expertise of brand to ensure optimal creation of video spots</t>
  </si>
  <si>
    <t>Sr Talent Mgr, Bus Affairs</t>
  </si>
  <si>
    <t>Supervises business teams involved in post production on contract renewals, invoicing, overages, etc.</t>
  </si>
  <si>
    <t>Supervises business teams involved in pre production on talent contracts, client budgets, estimates etc.</t>
  </si>
  <si>
    <t>Work with creative team &amp; producers to procure talent options based on final scripts/storyboards.</t>
  </si>
  <si>
    <t>Attends production shoots to manage talent contracts.</t>
  </si>
  <si>
    <t>Sr Video Editor</t>
  </si>
  <si>
    <t>Collaborated with the sound design team to synchronize audio elements, ensuring that sound effects and music complemented the visual components.</t>
  </si>
  <si>
    <t>Conducted color grading to achieve the desired aesthetic, ensuring that the visual tone matched the brand’s identity and project goals.</t>
  </si>
  <si>
    <t>Delivered the final edited commercial in multiple formats and resolutions, preparing it for distribution across various platforms.</t>
  </si>
  <si>
    <t>Edited raw footage into a cohesive commercial, incorporating transitions, effects, and graphics to enhance storytelling.</t>
  </si>
  <si>
    <t>Implemented client feedback into revisions, making necessary adjustments to ensure satisfaction with the final edit.</t>
  </si>
  <si>
    <t>Collaborated with the creative team to define the editing style and narrative structure of the commercial.</t>
  </si>
  <si>
    <t>Developed an editing timeline that outlined project milestones, ensuring alignment with production schedules and client deadlines.</t>
  </si>
  <si>
    <t>Established a folder structure and asset management system for organizing raw footage and project files to streamline the editing workflow.</t>
  </si>
  <si>
    <t>Participated in pre-production meetings to provide insights on editing techniques and the feasibility of visual effects.</t>
  </si>
  <si>
    <t>Reviewed the script and shot list to identify key scenes and elements requiring special attention during the editing process.</t>
  </si>
  <si>
    <t>Assisted in capturing behind-the-scenes footage for promotional use, contributing to the agency’s marketing efforts.</t>
  </si>
  <si>
    <t>Coordinated with the director and cinematographer to address any immediate editing considerations during filming, ensuring all necessary elements were recorded.</t>
  </si>
  <si>
    <t>Gathered and cataloged production assets, including B-roll and additional footage, to ensure a comprehensive library for editing.</t>
  </si>
  <si>
    <t>Monitored audio quality during production to ensure that dialogue and sound effects were clear for later editing.</t>
  </si>
  <si>
    <t>Provided on-set guidance to ensure that footage was captured in a way that would facilitate smooth editing, including necessary camera angles and shot compositions.</t>
  </si>
  <si>
    <t>Sr VP, Acct Dir</t>
  </si>
  <si>
    <t>Sr VP, Exec Producer</t>
  </si>
  <si>
    <t>Obtained final approval on spot(s) prior to shipping.</t>
  </si>
  <si>
    <t>Responsible for scheduling and ensuring agency meet client deadlines.</t>
  </si>
  <si>
    <t>Was involved in finalizing costs, overages, job, actuals, etc.</t>
  </si>
  <si>
    <t>Worked closely with Business Affairs on making air dates and obtaining legal clearance when needed.</t>
  </si>
  <si>
    <t>Direct to client contact that managed agency teams to ensure success and client sign off</t>
  </si>
  <si>
    <t>Ensured client has signed off on all pre production documentation and estimates prior to shoot</t>
  </si>
  <si>
    <t>Attended production shoots as client liaison for production company and creative teams</t>
  </si>
  <si>
    <t>SVP, Acct Dir</t>
  </si>
  <si>
    <t>Attended shoot as client liaison between Creative Team, Project Manager &amp; Production Company</t>
  </si>
  <si>
    <t>Interfaced with agency team and clients to sign off on set design, on set product, props &amp; lighting</t>
  </si>
  <si>
    <t>SVP, Acct Director</t>
  </si>
  <si>
    <t>Supervised internal agency team to ensure client signed off on all production items prior to shoot</t>
  </si>
  <si>
    <t>SVP, Creative Dir, Art Dir</t>
  </si>
  <si>
    <t>SVP, Group Mgmt Dir</t>
  </si>
  <si>
    <t>Managed Account Team &amp; worked closely with agency internal teams to ensure quality of production outputs prior to client review</t>
  </si>
  <si>
    <t>Managed Account Team that was responsible for capturing all client feedback and relaying it to internal teams</t>
  </si>
  <si>
    <t>Part of the Account Team  that was a direct partner on set with client to ensure footage captured was based on approved storyboards &amp; met the client’s needs</t>
  </si>
  <si>
    <t>Part of the Account Team that attended Prelight &amp; shoot as client liaison between Creative Team, Project Manager &amp; Production Company</t>
  </si>
  <si>
    <t>Part of the Account Team that interfaced with agency team and clients to sign off on set design, on set product, props &amp; lighting</t>
  </si>
  <si>
    <t>Part of the Account Team that worked with agency Teams to keep shoot on schedule and within budget</t>
  </si>
  <si>
    <t>Talent Mgr</t>
  </si>
  <si>
    <t>Ensured all talent contract was signed and executed properly before submitting to Extreme Reach for payment</t>
  </si>
  <si>
    <t>Submitted voice over talent paperwork to Extreme Reach &amp; managed all session &amp; usage payments</t>
  </si>
  <si>
    <t>Managed talent payment, residual projections, and contract renewals</t>
  </si>
  <si>
    <t>Talent Supervisor</t>
  </si>
  <si>
    <t>Ensured all talent job files were complete with all requisite talent paperwork</t>
  </si>
  <si>
    <t>Managed talent contracts and ensured talent SAG and non SAG requirements were being met</t>
  </si>
  <si>
    <t>Reviewed &amp; approved all talent invoices, worked with payroll company on any corrections &amp; sent approved invoice to the Accounting Dept for payment</t>
  </si>
  <si>
    <t>Reviewed all final versions of spots to ensure talent was paid according to terms of their contract</t>
  </si>
  <si>
    <t>Worked with talent agents to make contract adjustments for any talent changes/upgrades</t>
  </si>
  <si>
    <t>Worked with Business Mgr to prepare revised versions of talent estimates</t>
  </si>
  <si>
    <t>Actualize talent costs and closed out job</t>
  </si>
  <si>
    <t>Vice President, Director Production Consultant</t>
  </si>
  <si>
    <t>Responsible for scheduling and ensuring agency and clients meet client or post house approval deadlines</t>
  </si>
  <si>
    <t>Creates budgets and timelines. Ensures production comes in on time and on budget.</t>
  </si>
  <si>
    <t>Vice President, Executive Producer</t>
  </si>
  <si>
    <t>Oversees all post production edits and additional asset creation (sound design and graphics).</t>
  </si>
  <si>
    <t>VP Group Dir, EP</t>
  </si>
  <si>
    <t>Liaison between client, agency, and production company regarding all components of production</t>
  </si>
  <si>
    <t>VP Group Dir, Exec Prod</t>
  </si>
  <si>
    <t>VP Group Dir, Exec Producer</t>
  </si>
  <si>
    <t>Approved agency personnel hours that worked on the production</t>
  </si>
  <si>
    <t>Helped ensure that all job files were complete with all the necessary production paperwork</t>
  </si>
  <si>
    <t>Maintained group calendars and scheduled &amp; attended post production internal agency meetings</t>
  </si>
  <si>
    <t>Managed approved scripts/storyboards, engages directors and production companies</t>
  </si>
  <si>
    <t>Managed preparation of production budget &amp; timeline for spot deliverables for cost consultant &amp; client review</t>
  </si>
  <si>
    <t>VP Group Dir, Proj Mgt</t>
  </si>
  <si>
    <t>Attended production related internal agency meetings</t>
  </si>
  <si>
    <t>VP Group Dir, Project Mgmt</t>
  </si>
  <si>
    <t>Attended production internal agency meetings</t>
  </si>
  <si>
    <t>VP Group Director, Executive Producer</t>
  </si>
  <si>
    <t>Manages approved scripts/storyboards, engages directors and production companies.</t>
  </si>
  <si>
    <t>VP, Client Leadership</t>
  </si>
  <si>
    <t>Liaison between client, agency team, and production company</t>
  </si>
  <si>
    <t>Oversight of the hiring process for all production vendors including production company &amp; audio, post/special effects &amp; edit vendors</t>
  </si>
  <si>
    <t>Was a direct partner on set with client to ensure footage being captured was based on approved storyboards &amp; met the client’s needs</t>
  </si>
  <si>
    <t>VP, Creative Director</t>
  </si>
  <si>
    <t>Attended internal agency meetings and assisted with feedback and selection of final edits to ensure spots aligned with the brief.</t>
  </si>
  <si>
    <t>Collaborated with designers and retouchers on post-production.</t>
  </si>
  <si>
    <t>Part of team that attended internal agency reviews.</t>
  </si>
  <si>
    <t>Part of team that collaborated on selection of visual assets for programmatic online video spots and social media spots.</t>
  </si>
  <si>
    <t>Part of team that ensured post-production specifications were met.</t>
  </si>
  <si>
    <t>Part of team that worked on captions and hashtags for all social media spots.</t>
  </si>
  <si>
    <t>Part of team that worked on captions for all programmatic online video spots.</t>
  </si>
  <si>
    <t>Part of team that worked on timing of visual and graphic supers to ensure alignment across all versions of broadcast and social media spots.</t>
  </si>
  <si>
    <t>Reviewed final versions of broadcast, programmatic online video, and social media spots.</t>
  </si>
  <si>
    <t>Selected images for insertion into spots and for cinemagraphs/GIFs.</t>
  </si>
  <si>
    <t>Worked on design, layout, and creation of graphic supers for all versions of broadcast and social media spots.</t>
  </si>
  <si>
    <t>Attended all meetings with production company regarding shoot preparation and pre-production.</t>
  </si>
  <si>
    <t>Part of team that attended all pre-production meetings with internal agency teams regarding shoot preparation.</t>
  </si>
  <si>
    <t>Part of team that worked on artwork specifications for shot list and pre-production book.</t>
  </si>
  <si>
    <t>Worked on artwork for shot list and pre-production book.</t>
  </si>
  <si>
    <t>Attended Prelight</t>
  </si>
  <si>
    <t>Provided input on all creative decisions, visual elements, and copy aspects throughout the shoot.</t>
  </si>
  <si>
    <t>VP, Design Director</t>
  </si>
  <si>
    <t>Attended meeting for design/special effects</t>
  </si>
  <si>
    <t>VP, Dir of Prod</t>
  </si>
  <si>
    <t>Attended internal agency &amp; client reviews with Producer, Creative, Account, Strategy &amp; Business Affairs Teams</t>
  </si>
  <si>
    <t>Lead Creative &amp; Account Teams, supervised designers on post production</t>
  </si>
  <si>
    <t>Supervised editors on edits &amp; finishing of rough draft of spots</t>
  </si>
  <si>
    <t>Was part of agency team that presented client with rough cut of spots, noted client revisions &amp; communicated revisions to Audio/Post/Editorial Company</t>
  </si>
  <si>
    <t>Was part of agency team that supervised assembly of rough draft of spots for client review</t>
  </si>
  <si>
    <t>Worked closely with Producer and Creative Teams to ensure post production &amp; visual effect specifications were met</t>
  </si>
  <si>
    <t>Worked closely with Producer, Creative &amp; Account Teams to ensure edit specifications were met</t>
  </si>
  <si>
    <t>Worked with producer &amp; Audio/Post/Editorial Company to ensure spot deliverables met timeline for client review</t>
  </si>
  <si>
    <t>Attended all client meetings with Creative &amp; Account teams to discuss shoot prep</t>
  </si>
  <si>
    <t xml:space="preserve">Attended all internal meetings with Creative Team &amp; production company to discuss shoot prep </t>
  </si>
  <si>
    <t>Part of Team that prepared production budget &amp; timeline for spot deliverables for client review</t>
  </si>
  <si>
    <t>Was part of Agency Team that assisted in evaluating and negotiating terms of all production, audio/music, post/visual effects, casting &amp; editorial bids</t>
  </si>
  <si>
    <t xml:space="preserve">Was part of Producer Team that attended talent casting auditions &amp; callback </t>
  </si>
  <si>
    <t>Was part of Team that worked with client, agency team, and production company regarding all components of production</t>
  </si>
  <si>
    <t>Was part of Team that worked with Creative &amp; Account Teams on specifications for shoot locations, set design, cast, props &amp; wardrobe selections</t>
  </si>
  <si>
    <t xml:space="preserve">Was part of Team that worked with Creative, Business Affairs &amp; Account Teams to prepare job specifications for all vendors </t>
  </si>
  <si>
    <t>Attended meeting with clients, cast, crew &amp; agency teams</t>
  </si>
  <si>
    <t>Attended Pre light &amp; Shoot</t>
  </si>
  <si>
    <t>Part of Team that acted as gatekeeper during shoot to ensure client, creative &amp; account teams, director and on set vendors were aligned with all production decisions</t>
  </si>
  <si>
    <t>Part of Team that along with Creative Team &amp; client, approved talent wardrobe, hair &amp; makeup prior to shoot</t>
  </si>
  <si>
    <t>Part of Team that was responsible for keeping shoot on schedule and within budget</t>
  </si>
  <si>
    <t>Part of Team that worked with creative team, director &amp; producer on set direction, lighting &amp; props</t>
  </si>
  <si>
    <t>VP, Dir Strategic Plan</t>
  </si>
  <si>
    <t>Collaborated with Creative Team on selection of visual assets for programmatic video spots</t>
  </si>
  <si>
    <t>Part of team that reviewed rough draft versions of spots to ensure aspect ratios, specs and visuals met specified requirements</t>
  </si>
  <si>
    <t>Used knowledge of trends &amp; expertise of brand to provide feedback on programmatic video spots</t>
  </si>
  <si>
    <t>Worked with creative team on captions for various programmatic video spots</t>
  </si>
  <si>
    <t>VP, Director, Strategy</t>
  </si>
  <si>
    <t>Attended post production internal agency meetings</t>
  </si>
  <si>
    <t>Maintained group calendars and schedules</t>
  </si>
  <si>
    <t>VP, Exec Producer</t>
  </si>
  <si>
    <t>Actualized and closed out job and ensured all job files were complete with all requisite production paperwork</t>
  </si>
  <si>
    <t>Ensured production came in on time and on budget</t>
  </si>
  <si>
    <t>Helped negotiate vendor and talent contracts</t>
  </si>
  <si>
    <t>Hired production company, managed overall production &amp; budget</t>
  </si>
  <si>
    <t>Liaison between client, agency, and production company regarding all components of production including thorough review of estimates to ensure that no unnecessary costs have been added to the estimate, that all mark up costs on production/animation estimates have the correct percentage based on the client's bid specifications and timely signing of all budgets/estimates</t>
  </si>
  <si>
    <t>VP, Sr Broadcast Prod</t>
  </si>
  <si>
    <t>Attended some internal agency reviews regarding post production changes to provide feedback</t>
  </si>
  <si>
    <t>VP, Studio Services</t>
  </si>
  <si>
    <t>Provided image sizing specifications (aspect ratio, size, length) so she could include in job specifications for production company &amp; edit vendors</t>
  </si>
  <si>
    <t>Supervised the Account Team that worked with agency teams and client on production requirements and budgets</t>
  </si>
  <si>
    <t>Supervised the Account Team to ensure client signed off on all production items prior to shoot including set design, props, insurance documents &amp; pre pro book</t>
  </si>
  <si>
    <t>Worked on creating artwork for shot list in Pre Pro Book that included image sizing specifications</t>
  </si>
  <si>
    <t>Was part of the Account Team  that was a direct partner on set with client to ensure footage captured was based on approved storyboards &amp; met the client’s needs</t>
  </si>
  <si>
    <t>Was part of the Account Team that interfaced with agency team and clients to sign off on set design, on set product, props &amp; lighting</t>
  </si>
  <si>
    <t>Was part of the Account Team that worked with agency Teams to keep shoot on schedule and within budget</t>
  </si>
  <si>
    <t>Analytics, Mgr</t>
  </si>
  <si>
    <t>Analyzed target audience demographics and behaviors to inform creative direction.</t>
  </si>
  <si>
    <t>Conducted market research to identify trends and competitive positioning.</t>
  </si>
  <si>
    <t>Collaborated with the creative team to refine the commercial’s messaging strategy.</t>
  </si>
  <si>
    <t>Reviewed and approved the media budget allocation for the campaign.</t>
  </si>
  <si>
    <t>Evaluated location options and finalized filming schedules based on logistical considerations.</t>
  </si>
  <si>
    <t>Monitored live metrics on audience engagement during social media teasers.</t>
  </si>
  <si>
    <t>Coordinated with the production team to ensure adherence to project timelines.</t>
  </si>
  <si>
    <t>Provided real-time insights on brand visibility and product placement effectiveness.</t>
  </si>
  <si>
    <t>Tracked and assessed key performance indicators during the filming process.</t>
  </si>
  <si>
    <t>Collaborated with the director to align shot selection with advertising goals.</t>
  </si>
  <si>
    <t>Analyzed early cuts of the commercial to assess audience engagement potential.</t>
  </si>
  <si>
    <t>Evaluated final edits against brand standards and advertising objectives.</t>
  </si>
  <si>
    <t>Provided data-driven insights for optimizing the final runtime of the commercial.</t>
  </si>
  <si>
    <t>Conducted A/B testing on various commercial versions to determine the most effective cut.</t>
  </si>
  <si>
    <t>Prepared detailed performance reports for stakeholders on projected campaign outcomes.</t>
  </si>
  <si>
    <t>Maya Anlyst</t>
  </si>
  <si>
    <t>Analyzed historical data to forecast potential audience reach for the commercial.</t>
  </si>
  <si>
    <t>Compiled insights from previous campaigns to recommend optimizations for the creative brief.</t>
  </si>
  <si>
    <t>Assessed cost-per-impression metrics to guide media planning decisions.</t>
  </si>
  <si>
    <t>Coordinated with the strategy team to align the commercial’s objectives with audience behaviors.</t>
  </si>
  <si>
    <t>Reviewed initial concept proposals to ensure alignment with performance benchmarks.</t>
  </si>
  <si>
    <t>Monitored live data from focus groups to adjust campaign parameters on the fly.</t>
  </si>
  <si>
    <t>Generated reports on budget spend to ensure resource allocation was on track.</t>
  </si>
  <si>
    <t>Tracked real-time engagement from social platforms during behind-the-scenes content release.</t>
  </si>
  <si>
    <t>Coordinated with the creative and technical teams to optimize visual effects for performance impact.</t>
  </si>
  <si>
    <t>Analyzed preliminary footage for adherence to the campaign’s key performance indicators.</t>
  </si>
  <si>
    <t>Analyzed audience feedback from test screenings to inform final edits.</t>
  </si>
  <si>
    <t>Evaluated post-production data to measure the effectiveness of digital effects and transitions.</t>
  </si>
  <si>
    <t>Provided insights on optimal video lengths for different platforms based on past performance data.</t>
  </si>
  <si>
    <t>Analyzed engagement metrics from early release versions to refine targeting strategies.</t>
  </si>
  <si>
    <t>Generated a comprehensive report on the commercial’s predicted performance across all media channels.</t>
  </si>
  <si>
    <t>VP Dir Analytic</t>
  </si>
  <si>
    <t>Reviewed consumer behavior reports to refine the commercial’s strategic approach.</t>
  </si>
  <si>
    <t>Provided data-driven recommendations on media channel selection for maximum reach.</t>
  </si>
  <si>
    <t>Approved audience segmentation models for targeted messaging.</t>
  </si>
  <si>
    <t>Oversaw the analysis of competitive landscape to identify opportunities for differentiation.</t>
  </si>
  <si>
    <t>Finalized KPIs and success metrics to measure campaign effectiveness post-launch.</t>
  </si>
  <si>
    <t>Assessed real-time data on audience engagement during teaser content releases.</t>
  </si>
  <si>
    <t>Monitored production costs to ensure alignment with budget forecasts.</t>
  </si>
  <si>
    <t>Collaborated with the creative team to ensure scenes were optimized for measurable outcomes.</t>
  </si>
  <si>
    <t>Evaluated on-site data from test shots to validate the effectiveness of visual storytelling.</t>
  </si>
  <si>
    <t>Provided feedback on live analytics to adjust production efforts for improved performance.</t>
  </si>
  <si>
    <t>Analyzed initial engagement metrics from rough cuts to recommend final edits.</t>
  </si>
  <si>
    <t>Reviewed and approved reports on projected commercial reach across all media platforms.</t>
  </si>
  <si>
    <t>Assessed the impact of editing and visual effects on audience retention metrics.</t>
  </si>
  <si>
    <t>Generated a comprehensive analysis of the campaign’s effectiveness for internal and client review.</t>
  </si>
  <si>
    <t>Delivered post-launch performance reports to refine strategies for future campaigns.</t>
  </si>
  <si>
    <t>SVP Group Str Dir</t>
  </si>
  <si>
    <t>Led strategic planning sessions to define the commercial’s core messaging and positioning.</t>
  </si>
  <si>
    <t>Reviewed audience insights and market research to align the campaign with brand objectives.</t>
  </si>
  <si>
    <t>Approved the creative brief to ensure consistency with the overarching brand strategy.</t>
  </si>
  <si>
    <t>Collaborated with media planners to set objectives for channel distribution and reach.</t>
  </si>
  <si>
    <t>Provided direction on the campaign’s performance goals and key success metrics.</t>
  </si>
  <si>
    <t>Coordinated with the creative and production teams to ensure alignment with strategic goals.</t>
  </si>
  <si>
    <t>Assessed on-set decisions to confirm that creative execution matched the brand’s positioning.</t>
  </si>
  <si>
    <t>Reviewed live performance data to make informed adjustments during filming.</t>
  </si>
  <si>
    <t>Provided feedback on key visual elements to ensure they supported the campaign’s objectives.</t>
  </si>
  <si>
    <t>Monitored resource allocation to ensure production adhered to strategic and budgetary guidelines.</t>
  </si>
  <si>
    <t>Evaluated preliminary cuts to ensure the final output aligned with the campaign’s strategic vision.</t>
  </si>
  <si>
    <t>Provided strategic guidance on revisions based on brand positioning and audience engagement data.</t>
  </si>
  <si>
    <t>Reviewed post-campaign analytics to assess performance against predefined goals.</t>
  </si>
  <si>
    <t>Collaborated with media teams to optimize content for various distribution platforms.</t>
  </si>
  <si>
    <t>Delivered a comprehensive performance report to the client, outlining strategic insights for future campaigns.</t>
  </si>
  <si>
    <t>Jr Sr Strategic Planner</t>
  </si>
  <si>
    <t>Conducted research on consumer trends to inform the creative direction of the commercial.</t>
  </si>
  <si>
    <t>Compiled competitive analysis reports to guide positioning and messaging strategies.</t>
  </si>
  <si>
    <t>Assisted in drafting the creative brief, ensuring alignment with brand objectives.</t>
  </si>
  <si>
    <t>Coordinated brainstorming sessions with the creative and strategy teams to refine campaign concepts.</t>
  </si>
  <si>
    <t>Reviewed target audience personas to confirm alignment with the commercial’s messaging.</t>
  </si>
  <si>
    <t>Attended production meetings to ensure strategic objectives were maintained during filming.</t>
  </si>
  <si>
    <t>Provided feedback on shot selections to align with the target audience’s preferences.</t>
  </si>
  <si>
    <t>Monitored the production schedule to ensure timelines matched the strategic plan.</t>
  </si>
  <si>
    <t>Assisted with real-time adjustments to creative elements based on strategic insights.</t>
  </si>
  <si>
    <t>Collaborated with the production team to ensure brand guidelines were adhered to during filming.</t>
  </si>
  <si>
    <t>Analyzed early edits to verify that the final cut met the strategic objectives.</t>
  </si>
  <si>
    <t>Reviewed feedback from focus groups to refine the commercial’s final messaging.</t>
  </si>
  <si>
    <t>Assisted in developing the media rollout plan to ensure optimal platform distribution.</t>
  </si>
  <si>
    <t>Evaluated the commercial’s alignment with initial KPIs for audience engagement.</t>
  </si>
  <si>
    <t>Compiled performance metrics and insights to present to senior strategists and clients.</t>
  </si>
  <si>
    <t>Assoc Copywriter</t>
  </si>
  <si>
    <t>Drafted initial script concepts based on the creative brief and campaign objectives.</t>
  </si>
  <si>
    <t>Collaborated with the creative team to refine the tone and messaging of the script.</t>
  </si>
  <si>
    <t>Researched the target audience to ensure the script’s language resonated with their preferences.</t>
  </si>
  <si>
    <t>Provided input on the tagline and key copy elements for consistency across all campaign materials.</t>
  </si>
  <si>
    <t>Edited the script for clarity, flow, and alignment with brand voice.</t>
  </si>
  <si>
    <t>Attended rehearsals to provide feedback on the delivery of the script by talent.</t>
  </si>
  <si>
    <t>Worked with the director to ensure the script was interpreted as intended during filming.</t>
  </si>
  <si>
    <t>Revised on-set dialogue based on real-time feedback from the production team.</t>
  </si>
  <si>
    <t>Ensured all visual and verbal elements were consistent with the approved script.</t>
  </si>
  <si>
    <t>Collaborated with the creative director to make adjustments to copy for specific shots.</t>
  </si>
  <si>
    <t>Reviewed rough cuts to ensure the script was accurately translated to the final edit.</t>
  </si>
  <si>
    <t>Provided copy revisions for voiceover scripts based on post-production feedback.</t>
  </si>
  <si>
    <t>Assisted in writing additional copy for digital and social media adaptations of the commercial.</t>
  </si>
  <si>
    <t>Ensured all final copy was aligned with brand guidelines and approved messaging.</t>
  </si>
  <si>
    <t>Dir Production - Vp</t>
  </si>
  <si>
    <t>Participated in the final review process to confirm the script’s effectiveness in the finished product.</t>
  </si>
  <si>
    <t>Reviewed and approved the production budget to ensure alignment with project goals.</t>
  </si>
  <si>
    <t>Negotiated contracts with key vendors, including production crews and equipment suppliers.</t>
  </si>
  <si>
    <t>Oversaw the development of the production timeline and ensured all pre-production tasks were completed on schedule.</t>
  </si>
  <si>
    <t>Finalized casting decisions and approved talent contracts for the commercial.</t>
  </si>
  <si>
    <t>Coordinated with department heads to ensure all logistical elements were prepared for the shoot.</t>
  </si>
  <si>
    <t>Managed on-set operations to ensure the production stayed on schedule and within budget.</t>
  </si>
  <si>
    <t>Addressed and resolved any production issues that arose during filming to avoid delays.</t>
  </si>
  <si>
    <t>Ensured that all safety protocols were followed by the crew and talent on set.</t>
  </si>
  <si>
    <t>Collaborated with the director and creative team to ensure the vision of the commercial was executed as planned.</t>
  </si>
  <si>
    <t>Conducted daily reviews of the footage to ensure it met the quality and creative standards required.</t>
  </si>
  <si>
    <t>Reviewed and approved the final cut of the commercial before client delivery.</t>
  </si>
  <si>
    <t>Managed the post-production budget to ensure all editing, sound, and visual effects were completed within financial constraints.</t>
  </si>
  <si>
    <t>Coordinated with the post-production team to finalize music, sound design, and color grading.</t>
  </si>
  <si>
    <t>Liaised with the client to incorporate feedback and finalize any revisions to the commercial.</t>
  </si>
  <si>
    <t>Approved the final delivery of the commercial across all platforms and ensured all technical specifications were met.</t>
  </si>
  <si>
    <t>Sr Digi Prod Anlyst</t>
  </si>
  <si>
    <t>Analyzed digital performance data from previous campaigns to inform the commercial’s strategic objectives.</t>
  </si>
  <si>
    <t>Collaborated with the media team to define key digital metrics and establish benchmarks for success.</t>
  </si>
  <si>
    <t>Evaluated audience data to determine optimal platforms for digital distribution.</t>
  </si>
  <si>
    <t>Reviewed the digital integration plan to ensure alignment with the overall campaign strategy.</t>
  </si>
  <si>
    <t>Provided insights on audience targeting and segmentation to refine the creative brief.</t>
  </si>
  <si>
    <t>Monitored real-time data from digital test audiences to assess the effectiveness of creative elements.</t>
  </si>
  <si>
    <t>Collaborated with the digital production team to ensure on-set assets were optimized for cross-platform use.</t>
  </si>
  <si>
    <t>Provided performance feedback to the creative team to adjust content for digital consumption.</t>
  </si>
  <si>
    <t>Analyzed engagement metrics during behind-the-scenes digital content releases to measure audience interest.</t>
  </si>
  <si>
    <t>Ensured all digital touchpoints were set up for data tracking and analytics during production.</t>
  </si>
  <si>
    <t>Analyzed post-launch digital metrics to assess the commercial’s performance across platforms.</t>
  </si>
  <si>
    <t>Compiled detailed reports on key digital performance indicators, including click-through rates and audience retention.</t>
  </si>
  <si>
    <t>Provided recommendations for optimizing the commercial’s digital rollout based on performance data.</t>
  </si>
  <si>
    <t>Reviewed audience engagement data to inform potential re-edits for future digital versions.</t>
  </si>
  <si>
    <t>Collaborated with the media team to analyze the effectiveness of digital ad placements and make data-driven adjustments.</t>
  </si>
  <si>
    <t>Sr Anlyst</t>
  </si>
  <si>
    <t>Conducted market research to identify trends and consumer preferences relevant to the commercial.</t>
  </si>
  <si>
    <t>Collaborated with the creative team to develop the commercial’s objectives and key messages.</t>
  </si>
  <si>
    <t>Analyzed historical campaign performance data to inform strategic planning for the new commercial.</t>
  </si>
  <si>
    <t>Assisted in creating the production schedule to ensure all pre-production tasks were accounted for.</t>
  </si>
  <si>
    <t>Reviewed and approved the project budget to ensure alignment with financial goals.</t>
  </si>
  <si>
    <t>Monitored production activities to ensure compliance with the established timeline and budget.</t>
  </si>
  <si>
    <t>Collaborated with the director and production team to evaluate the effectiveness of creative execution during filming.</t>
  </si>
  <si>
    <t>Collected real-time data on audience reactions to on-set elements for future optimization.</t>
  </si>
  <si>
    <t>Provided insights on production logistics to ensure resources were allocated efficiently.</t>
  </si>
  <si>
    <t>Documented key production metrics to assess performance against project goals.</t>
  </si>
  <si>
    <t>Analyzed viewer engagement metrics following the commercial's launch to measure effectiveness.</t>
  </si>
  <si>
    <t>Compiled a comprehensive report on campaign performance, highlighting successes and areas for improvement.</t>
  </si>
  <si>
    <t>Conducted a post-campaign analysis to assess the impact on brand awareness and sales.</t>
  </si>
  <si>
    <t>Collaborated with the marketing team to derive actionable insights from post-launch feedback.</t>
  </si>
  <si>
    <t>Presented findings to stakeholders, outlining recommendations for future campaigns based on data analysis.</t>
  </si>
  <si>
    <t>Jr Art Dir</t>
  </si>
  <si>
    <t>Developed initial mood boards to convey the visual style and tone of the commercial.</t>
  </si>
  <si>
    <t>Collaborated with the creative team to finalize the storyboard and shot list.</t>
  </si>
  <si>
    <t>Researched and sourced props and locations to enhance the visual narrative.</t>
  </si>
  <si>
    <t>Assisted in creating a detailed production design plan to guide the set construction.</t>
  </si>
  <si>
    <t>Coordinated with the production team to ensure all visual elements were aligned with the creative vision.</t>
  </si>
  <si>
    <t>Oversaw the set design and decoration to ensure visual consistency during filming.</t>
  </si>
  <si>
    <t>Collaborated with the director and cinematographer to determine optimal lighting and camera angles.</t>
  </si>
  <si>
    <t>Managed the arrangement of props and set pieces for each scene to enhance storytelling.</t>
  </si>
  <si>
    <t>Provided on-set art direction to ensure adherence to the established visual style.</t>
  </si>
  <si>
    <t>Conducted daily reviews of set designs and adjustments to ensure alignment with the creative brief.</t>
  </si>
  <si>
    <t>Reviewed edited footage to ensure the visual elements matched the original artistic vision.</t>
  </si>
  <si>
    <t>Collaborated with the post-production team to finalize color grading for aesthetic consistency.</t>
  </si>
  <si>
    <t>Provided feedback on visual effects to enhance the overall impact of the commercial.</t>
  </si>
  <si>
    <t>Created visual assets for promotional materials related to the commercial launch.</t>
  </si>
  <si>
    <t>Assisted in compiling a comprehensive visual presentation for stakeholders to review the final product.</t>
  </si>
  <si>
    <t>Dir Strat Planning</t>
  </si>
  <si>
    <t>Conducted market analysis to identify target demographics and their preferences for the commercial.</t>
  </si>
  <si>
    <t>Developed strategic objectives to guide the overall creative direction of the campaign.</t>
  </si>
  <si>
    <t>Collaborated with the creative team to refine the messaging and ensure alignment with brand values.</t>
  </si>
  <si>
    <t>Created a comprehensive project timeline that outlined key milestones and deliverables.</t>
  </si>
  <si>
    <t>Presented strategic recommendations to stakeholders to secure approval for the proposed campaign direction.</t>
  </si>
  <si>
    <t>Oversaw the execution of the production schedule to ensure adherence to strategic objectives.</t>
  </si>
  <si>
    <t>Coordinated with the director and production team to align creative elements with the strategic vision.</t>
  </si>
  <si>
    <t>Monitored on-set activities to ensure messaging and brand representation were consistent.</t>
  </si>
  <si>
    <t>Provided real-time feedback on creative execution to maintain alignment with the overall strategy.</t>
  </si>
  <si>
    <t>Engaged with the team to assess potential adjustments based on emerging insights during filming.</t>
  </si>
  <si>
    <t>Analyzed performance metrics from the commercial to evaluate its effectiveness against strategic goals.</t>
  </si>
  <si>
    <t>Conducted a post-campaign review to identify insights and lessons learned for future projects.</t>
  </si>
  <si>
    <t>Collaborated with the analytics team to assess audience engagement and brand impact.</t>
  </si>
  <si>
    <t>Presented findings and strategic recommendations to senior management for future campaign planning.</t>
  </si>
  <si>
    <t>Developed a strategic report summarizing the commercial's performance and areas for improvement.</t>
  </si>
  <si>
    <t>Gallego Sr Copywriter</t>
  </si>
  <si>
    <t>Developed creative briefs that outlined the objectives, target audience, and key messages for the commercial.</t>
  </si>
  <si>
    <t>Collaborated with the creative team to brainstorm and refine concepts for the script and visuals.</t>
  </si>
  <si>
    <t>Conducted research on competitors and industry trends to inform the messaging strategy.</t>
  </si>
  <si>
    <t>Drafted the initial script, ensuring alignment with the brand's voice and tone.</t>
  </si>
  <si>
    <t>Reviewed and revised the script based on feedback from stakeholders and the creative team.</t>
  </si>
  <si>
    <t>Worked closely with the director to ensure the script was executed effectively during filming.</t>
  </si>
  <si>
    <t>Provided on-set copy direction to actors, ensuring delivery aligned with the intended tone and style.</t>
  </si>
  <si>
    <t>Collaborated with the production team to make real-time adjustments to dialogue or scenes as needed.</t>
  </si>
  <si>
    <t>Monitored the filming process to confirm all necessary shots and dialogue were captured.</t>
  </si>
  <si>
    <t>Assisted in developing promotional copy for social media and other marketing materials related to the commercial.</t>
  </si>
  <si>
    <t>Reviewed the edited footage to ensure the final cut adhered to the original script and messaging.</t>
  </si>
  <si>
    <t>Provided feedback on voiceovers and other audio elements to maintain consistency with the brand's voice.</t>
  </si>
  <si>
    <t>Assisted in the development of supplementary copy for advertisements and online content post-launch.</t>
  </si>
  <si>
    <t>Analyzed audience reception and engagement metrics to evaluate the effectiveness of the messaging.</t>
  </si>
  <si>
    <t>Compiled a report summarizing key insights and recommendations for future copywriting projects.</t>
  </si>
  <si>
    <t>Sr Prod Bus Mgr</t>
  </si>
  <si>
    <t>Finalized the budget and secured necessary approvals from stakeholders.</t>
  </si>
  <si>
    <t>Coordinated with the creative team to ensure the script aligned with brand objectives.</t>
  </si>
  <si>
    <t>Negotiated contracts with external vendors, including production houses and talent agencies.</t>
  </si>
  <si>
    <t>Organized location scouting sessions and ensured all permits were obtained.</t>
  </si>
  <si>
    <t>Developed the production schedule and distributed it to all relevant departments.</t>
  </si>
  <si>
    <t>Oversaw on-set operations to ensure the shoot adhered to the timeline and budget.</t>
  </si>
  <si>
    <t>Managed communication between the director, crew, and client to address real-time feedback.</t>
  </si>
  <si>
    <t>Monitored the proper allocation of resources, including talent, equipment, and catering.</t>
  </si>
  <si>
    <t>Verified compliance with safety protocols and industry standards throughout the shoot.</t>
  </si>
  <si>
    <t>Facilitated real-time troubleshooting of any technical or logistical issues on set.</t>
  </si>
  <si>
    <t>Coordinated the handover of footage to the editing team and set delivery deadlines.</t>
  </si>
  <si>
    <t>Managed the client review process, gathering feedback for revisions.</t>
  </si>
  <si>
    <t>Approved the final sound mix and color grading, ensuring brand consistency.</t>
  </si>
  <si>
    <t>Ensured that all legal clearances, including music licensing, were completed before distribution.</t>
  </si>
  <si>
    <t>Delivered the final commercial to the media buying team for broadcast scheduling.</t>
  </si>
  <si>
    <t>Producer/CFOO</t>
  </si>
  <si>
    <t>Secured project funding and finalized the budget for the commercial.</t>
  </si>
  <si>
    <t>Negotiated contracts with talent, vendors, and production crews.</t>
  </si>
  <si>
    <t>Conducted casting sessions and selected talent for key roles.</t>
  </si>
  <si>
    <t>Coordinated with the creative team to finalize the script and storyboard.</t>
  </si>
  <si>
    <t>Arranged location permits and ensured compliance with legal requirements.</t>
  </si>
  <si>
    <t>Supervised the filming schedule to ensure adherence to project timelines.</t>
  </si>
  <si>
    <t>Managed on-set logistics, including equipment rentals and crew accommodations.</t>
  </si>
  <si>
    <t>Oversaw the implementation of the creative vision on set alongside the director.</t>
  </si>
  <si>
    <t>Approved daily shot lists to confirm coverage of key scenes and shots.</t>
  </si>
  <si>
    <t>Addressed unforeseen issues and facilitated communication between departments.</t>
  </si>
  <si>
    <t>Reviewed initial edits and provided feedback to align with the project goals.</t>
  </si>
  <si>
    <t>Managed the budget during post-production to stay within financial constraints.</t>
  </si>
  <si>
    <t>Coordinated with sound and visual effects teams to complete final touches.</t>
  </si>
  <si>
    <t>Oversaw color correction and audio mixing to ensure quality standards.</t>
  </si>
  <si>
    <t>Approved the final cut for distribution and collaborated on the release strategy.</t>
  </si>
  <si>
    <t>Created a detailed project timeline and assigned milestones for each department.</t>
  </si>
  <si>
    <t>Held kickoff meetings with key stakeholders to align on project objectives.</t>
  </si>
  <si>
    <t>Sourced and booked necessary insurance for production and crew.</t>
  </si>
  <si>
    <t>Coordinated rehearsals with talent to prepare for complex scenes.</t>
  </si>
  <si>
    <t>Finalized all creative approvals with the client to prevent mid-production changes.</t>
  </si>
  <si>
    <t>Collaborated with the marketing team to develop the launch strategy for the commercial.</t>
  </si>
  <si>
    <t>Scheduled and supervised client review sessions to gather feedback on edits.</t>
  </si>
  <si>
    <t>Coordinated with the legal team to clear music, images, and other rights.</t>
  </si>
  <si>
    <t>Approved subtitles and closed captioning to meet accessibility requirements.</t>
  </si>
  <si>
    <t>Organized archival storage for all project files and final media.</t>
  </si>
  <si>
    <t>Producer/President</t>
  </si>
  <si>
    <t>Established project goals and objectives with the client to ensure alignment.</t>
  </si>
  <si>
    <t>Developed a comprehensive production schedule and outlined key deliverables.</t>
  </si>
  <si>
    <t>Reviewed and approved casting options provided by the casting director.</t>
  </si>
  <si>
    <t>Secured primary shooting locations and obtained necessary permits.</t>
  </si>
  <si>
    <t>Negotiated and finalized contracts with production staff, vendors, and suppliers.</t>
  </si>
  <si>
    <t>Monitored on-set operations to ensure adherence to the production timeline.</t>
  </si>
  <si>
    <t>Managed the budget daily, approving necessary expenses and adjustments.</t>
  </si>
  <si>
    <t>Coordinated with department heads to ensure all scenes matched the creative vision.</t>
  </si>
  <si>
    <t>Resolved any immediate issues related to logistics, scheduling, or personnel.</t>
  </si>
  <si>
    <t>Provided daily progress updates to stakeholders to confirm milestones were met.</t>
  </si>
  <si>
    <t>Oversaw initial edits and provided feedback on pacing, structure, and tone.</t>
  </si>
  <si>
    <t>Coordinated with sound engineers and visual effects artists to finalize enhancements.</t>
  </si>
  <si>
    <t>Ensured that the final cut adhered to client expectations and brand guidelines.</t>
  </si>
  <si>
    <t>Approved color grading and sound mixing for consistency across deliverables.</t>
  </si>
  <si>
    <t>Directed the final distribution plan and ensured the commercial was delivered on time.</t>
  </si>
  <si>
    <t>Evaluated and approved proposals from production and post-production vendors.</t>
  </si>
  <si>
    <t>Organized a risk assessment and safety briefing for all production personnel.</t>
  </si>
  <si>
    <t>Collaborated with the creative director to finalize set designs and visual concepts.</t>
  </si>
  <si>
    <t>Scheduled pre-production meetings with department heads to align on responsibilities.</t>
  </si>
  <si>
    <t>Reviewed and approved the wardrobe, props, and styling for talent in the commercial.</t>
  </si>
  <si>
    <t>Coordinated multiple rounds of client feedback to refine edits.</t>
  </si>
  <si>
    <t>Approved licensing agreements for music, stock footage, and third-party assets.</t>
  </si>
  <si>
    <t>Managed the quality control process to verify that the final product met technical standards.</t>
  </si>
  <si>
    <t>Organized a final screening with the client for last approvals before distribution.</t>
  </si>
  <si>
    <t>Arranged for secure backup and archiving of all raw footage and project files.</t>
  </si>
  <si>
    <t>Creative Director/CEO</t>
  </si>
  <si>
    <t>Conceptualized and developed the creative vision and theme for the commercial.</t>
  </si>
  <si>
    <t>Presented storyboards and concept pitches to the client for approval.</t>
  </si>
  <si>
    <t>Selected and approved visual styles, color schemes, and design elements.</t>
  </si>
  <si>
    <t>Collaborated with the scriptwriter to finalize dialogue and narrative flow.</t>
  </si>
  <si>
    <t>Reviewed and approved talent options to ensure alignment with brand identity.</t>
  </si>
  <si>
    <t>Directed on-set scenes to ensure the creative vision was accurately translated.</t>
  </si>
  <si>
    <t>Worked closely with the cinematographer to achieve the desired visual aesthetics.</t>
  </si>
  <si>
    <t>Provided real-time feedback on camera angles, lighting, and set design.</t>
  </si>
  <si>
    <t>Ensured that each shot captured key brand messages and visual appeal.</t>
  </si>
  <si>
    <t>Coordinated with the production designer to maintain consistency in the creative elements.</t>
  </si>
  <si>
    <t>Oversaw the editing process to ensure the final cut reflected the creative vision.</t>
  </si>
  <si>
    <t>Reviewed color grading and visual effects for consistency with the brand style.</t>
  </si>
  <si>
    <t>Directed the audio mixing process to align sound with the desired emotional tone.</t>
  </si>
  <si>
    <t>Approved the integration of graphics, animations, and final visual elements.</t>
  </si>
  <si>
    <t>Presented the final commercial to the client and secured their approval for release.</t>
  </si>
  <si>
    <t>Collaborated with the marketing team to align the commercial’s messaging with the broader campaign strategy.</t>
  </si>
  <si>
    <t>Reviewed location options and provided input on how each setting supported the creative concept.</t>
  </si>
  <si>
    <t>Worked with the wardrobe and makeup teams to define the visual style for each character.</t>
  </si>
  <si>
    <t>Created a mood board to communicate the intended look and feel to the production team.</t>
  </si>
  <si>
    <t>Finalized the shot list and sequence of scenes to ensure smooth production flow.</t>
  </si>
  <si>
    <t>Reviewed the initial cut to ensure pacing and transitions matched the intended tone.</t>
  </si>
  <si>
    <t>Provided detailed feedback on the edit to enhance emotional impact and storytelling.</t>
  </si>
  <si>
    <t>Worked with sound designers to ensure background music and effects complemented the visuals.</t>
  </si>
  <si>
    <t>Directed the team to make final tweaks on animations and motion graphics.</t>
  </si>
  <si>
    <t>Organized a final review session with key stakeholders to gather feedback before distribution.</t>
  </si>
  <si>
    <t>Creator</t>
  </si>
  <si>
    <t>Developed and refined the initial concept and storyline for the commercial.</t>
  </si>
  <si>
    <t>Drafted the script to ensure alignment with brand messaging and target audience.</t>
  </si>
  <si>
    <t>Created mood boards and visual references to communicate the creative direction.</t>
  </si>
  <si>
    <t>Presented creative ideas and concepts to the client for feedback and approval.</t>
  </si>
  <si>
    <t>Coordinated with the production team to determine set requirements and prop needs.</t>
  </si>
  <si>
    <t>Directed talent on set to capture authentic performances that matched the vision.</t>
  </si>
  <si>
    <t>Collaborated with the camera team to ensure each shot aligned with the storyboard.</t>
  </si>
  <si>
    <t>Monitored lighting and set arrangements to maintain visual consistency across scenes.</t>
  </si>
  <si>
    <t>Provided immediate feedback on each take to adjust and improve performance as needed.</t>
  </si>
  <si>
    <t>Ensured all key shots were captured according to the planned shot list and timeline.</t>
  </si>
  <si>
    <t>Reviewed the rough cut and provided feedback to shape the pacing and narrative flow.</t>
  </si>
  <si>
    <t>Approved or requested adjustments to visual effects and color grading.</t>
  </si>
  <si>
    <t>Worked with the editor to fine-tune transitions and scene cuts for optimal flow.</t>
  </si>
  <si>
    <t>Reviewed the final audio mix to ensure clarity and emotional resonance with the visuals.</t>
  </si>
  <si>
    <t>Approved the final version for client presentation and prepared files for distribution.</t>
  </si>
  <si>
    <t>Selected background music options and sound effects to match the commercial’s tone.</t>
  </si>
  <si>
    <t>Drafted a creative brief outlining key messaging and visual style for the production team.</t>
  </si>
  <si>
    <t>Reviewed storyboards with the animation team to plan any required visual effects.</t>
  </si>
  <si>
    <t>Held brainstorming sessions with the creative team to finalize unique visual elements.</t>
  </si>
  <si>
    <t>Conducted test shots to ensure visual concepts were achievable within the production constraints.</t>
  </si>
  <si>
    <t>Provided feedback on initial animations and requested modifications for smoother transitions.</t>
  </si>
  <si>
    <t>Approved font choices and graphic overlays to align with brand guidelines.</t>
  </si>
  <si>
    <t>Coordinated with the marketing team to prepare the commercial for multi-platform release.</t>
  </si>
  <si>
    <t>Conducted a quality check on the final edit to ensure there were no visual or audio inconsistencies.</t>
  </si>
  <si>
    <t>Organized a client viewing session and prepared key talking points for final approval.</t>
  </si>
  <si>
    <t>Proj Mgr</t>
  </si>
  <si>
    <t>Coordinated with the creative team to finalize the commercial script.</t>
  </si>
  <si>
    <t>Scheduled and facilitated meetings with stakeholders to confirm project deliverables.</t>
  </si>
  <si>
    <t>Secured necessary permits and locations for the shoot.</t>
  </si>
  <si>
    <t>Organized casting sessions and confirmed talent selections.</t>
  </si>
  <si>
    <t>Developed a comprehensive production timeline and budget.</t>
  </si>
  <si>
    <t>Monitored daily shoot schedules to ensure adherence to the production timeline.</t>
  </si>
  <si>
    <t>Managed on-set logistics, including crew coordination and equipment setup.</t>
  </si>
  <si>
    <t>Communicated with the director and producer to address immediate concerns.</t>
  </si>
  <si>
    <t>Ensured compliance with safety protocols on set.</t>
  </si>
  <si>
    <t>Tracked expenses and updated the budget in real-time.</t>
  </si>
  <si>
    <t>Reviewed initial edits and provided detailed feedback to the editing team.</t>
  </si>
  <si>
    <t>Coordinated with sound designers to finalize audio tracks and voiceovers.</t>
  </si>
  <si>
    <t>Oversaw the color correction process to maintain visual consistency.</t>
  </si>
  <si>
    <t>Approved final deliverables and ensured alignment with client expectations.</t>
  </si>
  <si>
    <t>Facilitated the distribution of the final commercial to media outlets.</t>
  </si>
  <si>
    <t>Conducted a risk assessment to identify potential challenges during production.</t>
  </si>
  <si>
    <t>Liaised with vendors to secure equipment rentals and contracts.</t>
  </si>
  <si>
    <t>Prepared and distributed call sheets to the production team and talent.</t>
  </si>
  <si>
    <t>Collaborated with legal teams to review and finalize contracts.</t>
  </si>
  <si>
    <t>Coordinated with art directors to confirm set designs and props.</t>
  </si>
  <si>
    <t>Supervised the transportation and setup of props and costumes on set.</t>
  </si>
  <si>
    <t>Communicated real-time updates to stakeholders regarding shoot progress.</t>
  </si>
  <si>
    <t>Addressed unexpected delays by reallocating resources to maintain the schedule.</t>
  </si>
  <si>
    <t>Verified that all required scenes were captured according to the shot list.</t>
  </si>
  <si>
    <t>Supported the crew in resolving technical issues with equipment during the shoot.</t>
  </si>
  <si>
    <t>Organized a post-mortem meeting to review production performance and gather feedback.</t>
  </si>
  <si>
    <t>Coordinated with motion graphic designers to integrate animations into the final cut.</t>
  </si>
  <si>
    <t>Reviewed licensing agreements to ensure proper use of music and stock footage.</t>
  </si>
  <si>
    <t>Compiled and archived all production materials for future reference.</t>
  </si>
  <si>
    <t>Managed client review sessions and documented requested revisions.</t>
  </si>
  <si>
    <t>SVP Exec Creat Dir</t>
  </si>
  <si>
    <t>Provided creative direction to refine the concept and ensure brand alignment.</t>
  </si>
  <si>
    <t>Approved the final storyboard and script for the commercial.</t>
  </si>
  <si>
    <t>Collaborated with the client to confirm the overarching creative vision.</t>
  </si>
  <si>
    <t>Selected the production team, including the director and key department leads.</t>
  </si>
  <si>
    <t>Reviewed and endorsed the pre-production budget and timeline.</t>
  </si>
  <si>
    <t>Supervised on-set creative execution to maintain alignment with the approved vision.</t>
  </si>
  <si>
    <t>Reviewed dailies to ensure quality and consistency with creative objectives.</t>
  </si>
  <si>
    <t>Made real-time decisions to adjust creative elements during filming.</t>
  </si>
  <si>
    <t>Consulted with the director and cinematographer to achieve desired visual outcomes.</t>
  </si>
  <si>
    <t>Authorized creative changes to props, wardrobe, or set design as needed.</t>
  </si>
  <si>
    <t>Directed the editing team to finalize the visual narrative and pacing.</t>
  </si>
  <si>
    <t>Provided creative oversight on color grading and visual effects.</t>
  </si>
  <si>
    <t>Approved the final soundtrack and voiceover recordings.</t>
  </si>
  <si>
    <t>Conducted the final review of the commercial with the client for sign-off.</t>
  </si>
  <si>
    <t>Presented the completed commercial to the agency leadership for internal review.</t>
  </si>
  <si>
    <t>Conceptualized and pitched multiple creative approaches to the client for consideration.</t>
  </si>
  <si>
    <t>Reviewed casting options to ensure alignment with the target audience and creative goals.</t>
  </si>
  <si>
    <t>Collaborated with the art director to finalize mood boards and visual themes.</t>
  </si>
  <si>
    <t>Approved key creative materials, including set designs and costume concepts.</t>
  </si>
  <si>
    <t>Directed the development of a comprehensive creative brief for the production team.</t>
  </si>
  <si>
    <t>Conducted on-set reviews of key shots to ensure alignment with the storyboard.</t>
  </si>
  <si>
    <t>Provided creative input during rehearsals to refine performance delivery.</t>
  </si>
  <si>
    <t>Worked with the production designer to make adjustments to on-set aesthetics.</t>
  </si>
  <si>
    <t>Directed key scenes to ensure emotional and visual impact matched the vision.</t>
  </si>
  <si>
    <t>Communicated real-time creative updates to stakeholders to maintain transparency.</t>
  </si>
  <si>
    <t>Reviewed and refined the pacing and transitions in the initial edit.</t>
  </si>
  <si>
    <t>Collaborated with sound designers to craft an audio mix that complemented the visuals.</t>
  </si>
  <si>
    <t>Ensured brand guidelines were adhered to in all post-production elements.</t>
  </si>
  <si>
    <t>Directed the team during test screenings to gather feedback for final revisions.</t>
  </si>
  <si>
    <t>Signed off on deliverables for different media formats, ensuring readiness for distribution.</t>
  </si>
  <si>
    <t>Assoc Planner</t>
  </si>
  <si>
    <t>Conducted audience research to identify key demographics for targeting.</t>
  </si>
  <si>
    <t>Analyzed market trends to align the commercial concept with consumer behavior.</t>
  </si>
  <si>
    <t>Compiled competitive analysis reports to inform strategic decisions.</t>
  </si>
  <si>
    <t>Collaborated with the creative team to ensure messaging reflected insights.</t>
  </si>
  <si>
    <t>Presented research findings to stakeholders to guide pre-production planning.</t>
  </si>
  <si>
    <t>Observed on-set activities to ensure alignment with strategic objectives.</t>
  </si>
  <si>
    <t>Provided real-time insights to adjust creative elements for better audience appeal.</t>
  </si>
  <si>
    <t>Monitored the execution of planned messaging during key scenes.</t>
  </si>
  <si>
    <t>Documented any deviations from the strategy for follow-up discussions.</t>
  </si>
  <si>
    <t>Communicated feedback to the team to maintain consistency with research insights.</t>
  </si>
  <si>
    <t>Reviewed initial edits to ensure the messaging resonated with the target audience.</t>
  </si>
  <si>
    <t>Analyzed focus group data to guide revisions in the final cut.</t>
  </si>
  <si>
    <t>Provided recommendations for optimizing the commercial’s delivery across platforms.</t>
  </si>
  <si>
    <t>Assisted in finalizing ad placement strategies to maximize impact.</t>
  </si>
  <si>
    <t>Compiled a report summarizing the campaign’s alignment with planning goals.</t>
  </si>
  <si>
    <t>Conducted surveys to gather consumer preferences for the product category.</t>
  </si>
  <si>
    <t>Developed a strategic framework to position the commercial within the broader campaign.</t>
  </si>
  <si>
    <t>Coordinated with media planners to align the creative brief with distribution plans.</t>
  </si>
  <si>
    <t>Compiled and presented historical performance data of similar campaigns.</t>
  </si>
  <si>
    <t>Evaluated feedback from stakeholder meetings to refine the creative approach.</t>
  </si>
  <si>
    <t>Tracked on-set activities to ensure the narrative reflected research insights.</t>
  </si>
  <si>
    <t>Provided data-driven suggestions to refine performance direction.</t>
  </si>
  <si>
    <t>Communicated adjustments to key messaging elements during filming.</t>
  </si>
  <si>
    <t>Observed and recorded scene setups for post-production analysis.</t>
  </si>
  <si>
    <t>Facilitated discussions between the creative and production teams to maintain strategic consistency.</t>
  </si>
  <si>
    <t>Conducted sentiment analysis on initial audience reactions to the rough cut.</t>
  </si>
  <si>
    <t>Reviewed revisions to ensure strategic objectives were incorporated.</t>
  </si>
  <si>
    <t>Worked with analytics teams to project the commercial’s performance metrics.</t>
  </si>
  <si>
    <t>Delivered detailed feedback on messaging effectiveness in post-production elements.</t>
  </si>
  <si>
    <t>Prepared a post-campaign analysis framework to measure success after launch.</t>
  </si>
  <si>
    <t>VP Mgt Dir</t>
  </si>
  <si>
    <t>Approved the overall strategic direction for the commercial to align with client objectives.</t>
  </si>
  <si>
    <t>Finalized the budget and resource allocation plan with department leads.</t>
  </si>
  <si>
    <t>Negotiated terms and contracts with external production partners.</t>
  </si>
  <si>
    <t>Conducted high-level reviews of the creative brief and campaign strategy.</t>
  </si>
  <si>
    <t>Met with the client to ensure all expectations and deliverables were clearly outlined.</t>
  </si>
  <si>
    <t>Oversaw the production schedule to ensure adherence to project timelines.</t>
  </si>
  <si>
    <t>Managed communication between the client and production team during filming.</t>
  </si>
  <si>
    <t>Resolved escalated issues on set to prevent delays or disruptions.</t>
  </si>
  <si>
    <t>Ensured the brand’s messaging was consistently represented in all filmed content.</t>
  </si>
  <si>
    <t>Evaluated daily production reports to confirm progress aligned with objectives.</t>
  </si>
  <si>
    <t>Reviewed the final cut to ensure it met strategic and creative standards.</t>
  </si>
  <si>
    <t>Approved adjustments to the commercial based on client feedback.</t>
  </si>
  <si>
    <t>Coordinated with media planning teams to prepare for the commercial’s launch.</t>
  </si>
  <si>
    <t>Led post-project evaluations to identify lessons learned for future campaigns.</t>
  </si>
  <si>
    <t>Delivered a final presentation to the client showcasing the completed commercial and its alignment with campaign goals.</t>
  </si>
  <si>
    <t>Collaborated with senior leadership to establish key performance metrics for the campaign.</t>
  </si>
  <si>
    <t>Secured internal approvals for the commercial’s creative direction and budget.</t>
  </si>
  <si>
    <t>Directed the alignment of the commercial’s concept with the broader marketing strategy.</t>
  </si>
  <si>
    <t>Oversaw the recruitment and onboarding of key creative and production personnel.</t>
  </si>
  <si>
    <t>Conducted stakeholder alignment meetings to ensure cross-functional support.</t>
  </si>
  <si>
    <t>Monitored high-level budget adherence and authorized additional resources when necessary.</t>
  </si>
  <si>
    <t>Provided strategic guidance to the director during critical scenes.</t>
  </si>
  <si>
    <t>Conducted on-site visits to assess production quality and team coordination.</t>
  </si>
  <si>
    <t>Communicated updates to the client on major milestones during filming.</t>
  </si>
  <si>
    <t>Facilitated conflict resolution among production team members to maintain progress.</t>
  </si>
  <si>
    <t>Approved the integration of branded elements into the final edit.</t>
  </si>
  <si>
    <t>Coordinated with the agency’s legal team to ensure compliance with advertising regulations.</t>
  </si>
  <si>
    <t>Directed the creation of supplementary materials for cross-platform distribution.</t>
  </si>
  <si>
    <t>Organized a client review session to gather final approvals.</t>
  </si>
  <si>
    <t>Drafted a comprehensive campaign performance report for internal and client use.</t>
  </si>
  <si>
    <t>Sr Bdcast Bus Mgr</t>
  </si>
  <si>
    <t>Negotiated broadcast rights and licensing agreements for the commercial.</t>
  </si>
  <si>
    <t>Coordinated with media agencies to finalize the broadcast schedule.</t>
  </si>
  <si>
    <t>Managed the approval process for creative materials to ensure compliance with broadcast standards.</t>
  </si>
  <si>
    <t>Worked with the legal team to review and finalize contracts with talent and vendors.</t>
  </si>
  <si>
    <t>Developed and presented a detailed broadcast strategy to stakeholders.</t>
  </si>
  <si>
    <t>Supervised the execution of the broadcast plan to ensure proper transmission of content.</t>
  </si>
  <si>
    <t>Monitored real-time production quality during filming to maintain broadcast standards.</t>
  </si>
  <si>
    <t>Coordinated with the production team to ensure timely delivery of content for air.</t>
  </si>
  <si>
    <t>Oversaw the logistics of on-location broadcasting and satellite feed coordination.</t>
  </si>
  <si>
    <t>Addressed any technical issues that arose during the live broadcast or filming.</t>
  </si>
  <si>
    <t>Reviewed the final commercial to ensure all broadcast specifications were met.</t>
  </si>
  <si>
    <t>Coordinated the delivery of the final commercial to broadcasters and media outlets.</t>
  </si>
  <si>
    <t>Worked with the team to develop a broadcast performance report for the client.</t>
  </si>
  <si>
    <t>Managed the integration of any last-minute revisions before final airing.</t>
  </si>
  <si>
    <t>Ensured the distribution of commercial content across multiple broadcast platforms.</t>
  </si>
  <si>
    <t>Secured clearance for music, trademarks, and other intellectual property used in the commercial.</t>
  </si>
  <si>
    <t>Worked with the creative team to ensure the commercial met broadcast length and format requirements.</t>
  </si>
  <si>
    <t>Developed a detailed timeline for the production and broadcast phases.</t>
  </si>
  <si>
    <t>Liaised with external vendors to arrange the necessary broadcast equipment and technology.</t>
  </si>
  <si>
    <t>Evaluated and selected appropriate channels for commercial air time based on audience demographics.</t>
  </si>
  <si>
    <t>Supervised the setup of live feed or broadcast equipment on location.</t>
  </si>
  <si>
    <t>Managed the timing of scenes to ensure they fit within the allocated broadcast window.</t>
  </si>
  <si>
    <t>Worked with technical teams to ensure the proper functioning of broadcast signals.</t>
  </si>
  <si>
    <t>Oversaw the coordination of behind-the-scenes operations for a smooth production flow.</t>
  </si>
  <si>
    <t>Monitored talent and crew during production to ensure they adhered to broadcast schedules.</t>
  </si>
  <si>
    <t>Ensured that the final commercial met all regulatory and broadcast compliance requirements.</t>
  </si>
  <si>
    <t>Coordinated the submission of the final commercial for review by networks and stations.</t>
  </si>
  <si>
    <t>Managed the optimization of the commercial for various broadcast formats (e.g., HD, 4K).</t>
  </si>
  <si>
    <t>Worked with analytics teams to track the commercial’s reach and performance post-airing.</t>
  </si>
  <si>
    <t>Reviewed broadcast performance data to refine future media strategies and placements.</t>
  </si>
  <si>
    <t>SVP Dir Strat Plng</t>
  </si>
  <si>
    <t>Developed the strategic framework for the commercial to ensure alignment with overall brand goals.</t>
  </si>
  <si>
    <t>Led the creation of the target audience profile based on market research and consumer insights.</t>
  </si>
  <si>
    <t>Worked with the creative team to refine the commercial concept in line with strategic objectives.</t>
  </si>
  <si>
    <t>Conducted budget reviews and resource allocation planning to ensure the commercial stayed within financial limits.</t>
  </si>
  <si>
    <t>Presented the commercial strategy to senior leadership and secured approval to move forward with production.</t>
  </si>
  <si>
    <t>Oversaw the execution of the creative vision on set to ensure strategic alignment with campaign goals.</t>
  </si>
  <si>
    <t>Monitored the pacing and tone of the production to ensure consistency with brand messaging.</t>
  </si>
  <si>
    <t>Coordinated with the media and production teams to align filming with the strategic distribution plan.</t>
  </si>
  <si>
    <t>Provided real-time feedback to the director and production team to make adjustments as needed.</t>
  </si>
  <si>
    <t>Ensured that any changes during production were in line with the strategic objectives and client goals.</t>
  </si>
  <si>
    <t>Reviewed the rough cut to ensure the commercial aligned with the intended strategy and messaging.</t>
  </si>
  <si>
    <t>Collaborated with the media team to plan the commercial's distribution across appropriate channels.</t>
  </si>
  <si>
    <t>Analyzed consumer response data from test screenings to assess the effectiveness of the commercial.</t>
  </si>
  <si>
    <t>Approved final edits and ensured all strategic messaging was clearly conveyed in the finished product.</t>
  </si>
  <si>
    <t>Delivered a final report to stakeholders that included campaign performance expectations and key learnings for future projects.</t>
  </si>
  <si>
    <t>Conducted SWOT analysis to inform the strategic direction and creative brief for the commercial.</t>
  </si>
  <si>
    <t>Worked with the media planning team to determine optimal media channels and timing for the commercial’s release.</t>
  </si>
  <si>
    <t>Coordinated with external agencies to align the commercial’s strategic messaging with broader marketing campaigns.</t>
  </si>
  <si>
    <t>Defined key performance indicators (KPIs) for measuring the commercial’s success and effectiveness.</t>
  </si>
  <si>
    <t>Facilitated strategic alignment meetings with stakeholders to ensure all parties were in agreement with the commercial’s objectives.</t>
  </si>
  <si>
    <t>Reviewed daily production dailies to ensure that the execution aligned with the initial strategic vision.</t>
  </si>
  <si>
    <t>Worked with the creative director to ensure the brand’s core message was consistently communicated throughout the shoot.</t>
  </si>
  <si>
    <t>Monitored the creative execution of key scenes to ensure they resonated with the target audience.</t>
  </si>
  <si>
    <t>Oversaw changes to the script or production plan to maintain strategic consistency with the campaign goals.</t>
  </si>
  <si>
    <t>Ensured all on-set decisions adhered to the budget and resource constraints established in the pre-production phase.</t>
  </si>
  <si>
    <t>Led the analysis of final edits to ensure the commercial met all strategic objectives before client review.</t>
  </si>
  <si>
    <t>Worked closely with the analytics team to track early performance data and adjust the distribution strategy accordingly.</t>
  </si>
  <si>
    <t>Provided final approval on the commercial’s tone and messaging for different audience segments.</t>
  </si>
  <si>
    <t>Managed post-launch monitoring to assess the commercial’s alignment with brand strategy and audience reception.</t>
  </si>
  <si>
    <t>Compiled a detailed post-mortem analysis on the campaign’s performance, including insights for future strategies.</t>
  </si>
  <si>
    <t>Developed social media strategy to ensure alignment with the commercial’s overall messaging and target audience.</t>
  </si>
  <si>
    <t>Coordinated with creative teams to establish visual and tone guidelines for the commercial's digital assets.</t>
  </si>
  <si>
    <t>Reviewed and approved the initial script to ensure it was optimized for social media platforms and engagement.</t>
  </si>
  <si>
    <t>Prepared content calendars to schedule teaser campaigns and promotional posts ahead of the commercial launch.</t>
  </si>
  <si>
    <t>Collaborated with influencers and social media personalities to secure partnerships for the commercial’s digital promotion.</t>
  </si>
  <si>
    <t>Monitored real-time social media content during the shoot to ensure all digital assets were on brand.</t>
  </si>
  <si>
    <t>Provided on-set feedback regarding social media engagement strategies and audience reception.</t>
  </si>
  <si>
    <t>Captured behind-the-scenes footage and images for future social media posts and campaign promotions.</t>
  </si>
  <si>
    <t>Liaised with the production team to ensure that social media deliverables were properly integrated into the filming schedule.</t>
  </si>
  <si>
    <t>Managed live updates on social media platforms, including posting stories, live videos, and responding to audience comments during the shoot.</t>
  </si>
  <si>
    <t>Reviewed and approved final edits for digital assets to ensure they met social media specifications and brand guidelines.</t>
  </si>
  <si>
    <t>Developed social media content to promote the commercial’s release, including clips, GIFs, and promotional posts.</t>
  </si>
  <si>
    <t>Analyzed audience feedback and engagement on initial posts to gauge the commercial’s digital impact.</t>
  </si>
  <si>
    <t>Coordinated the creation of paid social media ads to target specific demographics with the commercial content.</t>
  </si>
  <si>
    <t>Tracked social media performance metrics to evaluate the commercial’s effectiveness across different platforms and recommend adjustments for future campaigns.</t>
  </si>
  <si>
    <t>Drafted initial concepts for the commercial script, aligning with the client’s brief and brand objectives.</t>
  </si>
  <si>
    <t>Collaborated with the creative director to refine messaging, ensuring consistency with the overall campaign theme.</t>
  </si>
  <si>
    <t>Conducted research on target audience insights to tailor the tone, language, and content of the script.</t>
  </si>
  <si>
    <t>Developed taglines and key phrases to highlight the commercial’s central message and appeal.</t>
  </si>
  <si>
    <t>Created a detailed script outline that included dialogue, voiceover instructions, and on-screen text for production teams.</t>
  </si>
  <si>
    <t>Reviewed on-set dialogue to ensure script accuracy and consistency with the original concept.</t>
  </si>
  <si>
    <t>Provided real-time feedback to the director and actors regarding line delivery and tone during filming.</t>
  </si>
  <si>
    <t>Assisted with voiceover recordings, directing talent to ensure the script’s tone and messaging were effectively conveyed.</t>
  </si>
  <si>
    <t>Collaborated with the creative team to adjust the script as needed based on feedback from the production process.</t>
  </si>
  <si>
    <t>Monitored scene pacing to ensure dialogue and narrative flow aligned with the intended impact for the audience</t>
  </si>
  <si>
    <t>Reviewed the edited commercial to ensure the script was faithfully executed in the final cut.</t>
  </si>
  <si>
    <t>Revised any dialogue or copy that required fine-tuning in alignment with the visual edits and pacing.</t>
  </si>
  <si>
    <t>Crafted supporting text for social media and digital platforms, including captions, hashtags, and calls to action.</t>
  </si>
  <si>
    <t>Collaborated with the marketing team to refine the messaging for different ad formats, such as TV, digital, and print.</t>
  </si>
  <si>
    <t>Analyzed audience feedback on the commercial’s messaging and proposed adjustments for future campaigns based on insights.</t>
  </si>
  <si>
    <t>Developed a brand tone guide to ensure consistency in language and messaging across all campaign materials.</t>
  </si>
  <si>
    <t>Collaborated with the art department to align visual concepts with written copy and ensure a cohesive creative vision.</t>
  </si>
  <si>
    <t>Created a list of potential key messages and value propositions to be included in the script for client approval.</t>
  </si>
  <si>
    <t>Researched competitor commercials to analyze trends and identify opportunities for differentiation in the script.</t>
  </si>
  <si>
    <t>Prepared a script breakdown for the production team, outlining specific copy needs for each scene, including on-screen text and product mentions.</t>
  </si>
  <si>
    <t>Reviewed all on-screen text during filming to ensure accuracy and proper integration with the visuals.</t>
  </si>
  <si>
    <t>Assisted in coordinating the timing of key messages to align with visual cues, music, and transitions.</t>
  </si>
  <si>
    <t>Worked with the director to adjust language or tone of the script based on how scenes were unfolding on set.</t>
  </si>
  <si>
    <t>Provided on-set support to ensure that all scripted elements (e.g., product names, slogans) were clearly and effectively delivered.</t>
  </si>
  <si>
    <t>Observed rehearsals and filming to ensure that actors' delivery of lines reflected the intended message and emotional tone.</t>
  </si>
  <si>
    <t>Reviewed and revised the final voiceover script to ensure it complemented the visuals and sound design.</t>
  </si>
  <si>
    <t>Created alternative copy versions for different media formats, such as shorter cuts for digital platforms or radio ads.</t>
  </si>
  <si>
    <t>Collaborated with the sound design team to ensure that music and voiceover complemented the messaging without overpowering it.</t>
  </si>
  <si>
    <t>Updated call-to-action messaging based on the final cut to ensure clarity and effectiveness for the target audience.</t>
  </si>
  <si>
    <t>Evaluated the commercial’s language and tone post-edit to ensure it resonated with the target demographic before distribution.</t>
  </si>
  <si>
    <t>Conducted in-depth research on target audience demographics, behaviors, and preferences.</t>
  </si>
  <si>
    <t>Collaborated with creative teams to develop a campaign brief outlining strategic objectives.</t>
  </si>
  <si>
    <t>Analyzed competitive campaigns to identify positioning opportunities and potential pitfalls.</t>
  </si>
  <si>
    <t>Facilitated brainstorming sessions to align stakeholders on the commercial's key message.</t>
  </si>
  <si>
    <t>Reviewed and approved storyboards to ensure alignment with the overall brand strategy.</t>
  </si>
  <si>
    <t>Supervised the execution of the creative vision on set to maintain adherence to strategic goals.</t>
  </si>
  <si>
    <t>Coordinated with the director and production team to confirm the proper representation of messaging.</t>
  </si>
  <si>
    <t>Provided on-site guidance regarding brand guidelines and audience expectations.</t>
  </si>
  <si>
    <t>Ensured real-time feedback was communicated to maintain consistency with the campaign brief.</t>
  </si>
  <si>
    <t>Monitored the filming schedule to address any strategic concerns arising during production.</t>
  </si>
  <si>
    <t>Reviewed initial edits of the commercial to assess alignment with the campaign's objectives.</t>
  </si>
  <si>
    <t>Provided feedback on audio, visuals, and pacing to enhance narrative coherence.</t>
  </si>
  <si>
    <t>Evaluated the inclusion of branding elements to ensure clear and impactful representation.</t>
  </si>
  <si>
    <t>Collaborated with media planners to align final deliverables with distribution strategies.</t>
  </si>
  <si>
    <t>Approved the final cut for release, ensuring all strategic requirements were met.</t>
  </si>
  <si>
    <t>Exec Broadcast Prod</t>
  </si>
  <si>
    <t>Negotiated contracts with directors, production companies, and other key vendors.</t>
  </si>
  <si>
    <t>Managed the creation of production schedules and ensured all deadlines were met.</t>
  </si>
  <si>
    <t>Oversaw the budgeting process to confirm resource allocation aligned with project needs.</t>
  </si>
  <si>
    <t>Reviewed and approved casting selections and location scouting results.</t>
  </si>
  <si>
    <t>Coordinated pre-production meetings to align stakeholders on logistical and creative requirements.</t>
  </si>
  <si>
    <t>Supervised on-set operations to ensure production adhered to the approved schedule and budget.</t>
  </si>
  <si>
    <t>Resolved logistical challenges in real-time to maintain the shoot's efficiency.</t>
  </si>
  <si>
    <t>Ensured compliance with safety protocols and production guidelines throughout filming.</t>
  </si>
  <si>
    <t>Communicated regularly with the agency and client to address any immediate concerns.</t>
  </si>
  <si>
    <t>Monitored continuity and technical quality during the shoot to avoid post-production issues.</t>
  </si>
  <si>
    <t>Managed the selection and approval of editors, sound designers, and other post-production specialists.</t>
  </si>
  <si>
    <t>Oversaw the assembly and review of rough cuts to ensure alignment with the creative vision.</t>
  </si>
  <si>
    <t>Facilitated client review sessions and implemented feedback into the final edit.</t>
  </si>
  <si>
    <t>Coordinated the integration of visual effects, sound mixing, and color grading.</t>
  </si>
  <si>
    <t>Delivered the final commercial to media teams within the agreed-upon deadlines and specifications.</t>
  </si>
  <si>
    <t>Acct Exec</t>
  </si>
  <si>
    <t>Liaised with clients to confirm objectives, deliverables, and key messaging for the commercial.</t>
  </si>
  <si>
    <t>Prepared detailed project proposals and timelines for client approval.</t>
  </si>
  <si>
    <t>Coordinated internal meetings to align creative, production, and media teams on campaign goals.</t>
  </si>
  <si>
    <t>Communicated budget constraints and approvals between the client and production teams.</t>
  </si>
  <si>
    <t>Ensured all client feedback was incorporated into the script and storyboard revisions.</t>
  </si>
  <si>
    <t>Acted as the primary point of contact for the client during the shoot, providing updates and managing approvals.</t>
  </si>
  <si>
    <t>Monitored the production schedule to ensure alignment with client expectations.</t>
  </si>
  <si>
    <t>Facilitated client visits to the set and addressed their feedback in real time.</t>
  </si>
  <si>
    <t>Ensured all brand guidelines and client preferences were upheld throughout the filming process.</t>
  </si>
  <si>
    <t>Documented production progress and flagged any potential issues for internal review.</t>
  </si>
  <si>
    <t>Reviewed initial edits with the production team to ensure they met client specifications.</t>
  </si>
  <si>
    <t>Presented rough cuts to the client and facilitated rounds of feedback.</t>
  </si>
  <si>
    <t>Communicated client requests for revisions to the editing, sound, and visual effects teams.</t>
  </si>
  <si>
    <t>Confirmed final deliverables adhered to agreed-upon formats and distribution requirements.</t>
  </si>
  <si>
    <t>Delivered the completed commercial to the client and coordinated the launch schedule.</t>
  </si>
  <si>
    <t>Developed initial concept scripts based on the creative brief and campaign objectives.</t>
  </si>
  <si>
    <t>Collaborated with creative directors to refine the tone, language, and messaging of the scripts.</t>
  </si>
  <si>
    <t>Conducted research on target audience preferences to tailor the commercial’s language and style.</t>
  </si>
  <si>
    <t>Presented script drafts to the client and incorporated feedback into revisions.</t>
  </si>
  <si>
    <t>Assisted in brainstorming taglines and key phrases to enhance the campaign’s impact.</t>
  </si>
  <si>
    <t>Provided on-set support to ensure the script was accurately interpreted during filming.</t>
  </si>
  <si>
    <t>Made real-time script adjustments to accommodate unforeseen changes in production.</t>
  </si>
  <si>
    <t>Verified that dialogue delivery matched the intended tone and pacing.</t>
  </si>
  <si>
    <t>Coordinated with directors and actors to clarify any ambiguities in the script.</t>
  </si>
  <si>
    <t>Reviewed shot footage to confirm alignment with the commercial’s narrative and messaging.</t>
  </si>
  <si>
    <t>Reviewed early cuts to assess how well the script translated to the visual narrative.</t>
  </si>
  <si>
    <t>Provided feedback on voiceover recordings to ensure consistency with the script’s tone.</t>
  </si>
  <si>
    <t>Suggested edits to optimize pacing, phrasing, and transitions in the final cut.</t>
  </si>
  <si>
    <t>Assisted in crafting subtitles or captions to align with the approved script.</t>
  </si>
  <si>
    <t>Reviewed and approved final script-related elements before delivery to the client.</t>
  </si>
  <si>
    <t>Sr Proj Mgr</t>
  </si>
  <si>
    <t>Created a detailed project timeline outlining key milestones and deliverables for all teams.</t>
  </si>
  <si>
    <t>Allocated resources and assigned responsibilities across creative, production, and account teams.</t>
  </si>
  <si>
    <t>Facilitated regular status meetings to ensure alignment on project scope and deadlines.</t>
  </si>
  <si>
    <t>Reviewed and approved vendor contracts and production agreements to confirm compliance with project requirements.</t>
  </si>
  <si>
    <t>Monitored pre-production progress and resolved scheduling or logistical conflicts.</t>
  </si>
  <si>
    <t>Managed daily production schedules to ensure adherence to the project timeline.</t>
  </si>
  <si>
    <t>Acted as the central point of communication between clients, agency teams, and production crews.</t>
  </si>
  <si>
    <t>Monitored the budget in real-time to track expenses and manage cost overruns.</t>
  </si>
  <si>
    <t>Identified and resolved operational challenges that arose during filming.</t>
  </si>
  <si>
    <t>Documented production progress and prepared updates for internal and client stakeholders.</t>
  </si>
  <si>
    <t>Coordinated the handoff of footage and assets to the post-production team.</t>
  </si>
  <si>
    <t>Scheduled review sessions with internal teams and clients to ensure timely feedback.</t>
  </si>
  <si>
    <t>Tracked revisions and ensured all changes were implemented accurately and on schedule.</t>
  </si>
  <si>
    <t>Verified the final deliverables met quality standards and adhered to client specifications.</t>
  </si>
  <si>
    <t>Managed the approval process and facilitated the delivery of final assets to media partners.</t>
  </si>
  <si>
    <t>Art Dir</t>
  </si>
  <si>
    <t>Designed and presented mood boards to establish the visual tone and style of the commercial.</t>
  </si>
  <si>
    <t>Collaborated with the creative team to finalize the overall artistic concept and direction.</t>
  </si>
  <si>
    <t>Provided detailed art direction for storyboards to ensure alignment with the campaign’s vision.</t>
  </si>
  <si>
    <t>Selected and approved set designs, props, and wardrobe choices in consultation with production designers.</t>
  </si>
  <si>
    <t>Reviewed casting options to ensure alignment with the desired aesthetic and brand identity.</t>
  </si>
  <si>
    <t>Supervised on-set styling, set design, and prop placement to maintain consistency with the approved visual direction.</t>
  </si>
  <si>
    <t>Directed the camera crew and lighting technicians to achieve the desired visual effects.</t>
  </si>
  <si>
    <t>Provided feedback on framing, composition, and color grading during filming.</t>
  </si>
  <si>
    <t>Ensured all creative elements on set adhered to the brand guidelines and artistic vision.</t>
  </si>
  <si>
    <t>Monitored footage during production to identify any visual inconsistencies requiring correction.</t>
  </si>
  <si>
    <t>Reviewed initial cuts to ensure the visuals reflected the intended artistic style and tone.</t>
  </si>
  <si>
    <t>Collaborated with editors to refine visual transitions, effects, and pacing.</t>
  </si>
  <si>
    <t>Provided input on color grading and visual effects to enhance the commercial’s aesthetic.</t>
  </si>
  <si>
    <t>Approved final visual elements, including typography and motion graphics.</t>
  </si>
  <si>
    <t>Ensured the final cut adhered to the established visual standards and brand identity.</t>
  </si>
  <si>
    <t>Established the overall production strategy, budget, and resource allocation for the commercial.</t>
  </si>
  <si>
    <t>Approved key hires for production roles, including directors, cinematographers, and production designers.</t>
  </si>
  <si>
    <t>Negotiated contracts with production companies and secured necessary permissions and licenses.</t>
  </si>
  <si>
    <t>Led discussions with creative and account teams to align on production goals and feasibility.</t>
  </si>
  <si>
    <t>Reviewed and approved production schedules, ensuring all logistical elements were accounted for.</t>
  </si>
  <si>
    <t>Oversaw all on-set activities to ensure the production adhered to the approved schedule and budget.</t>
  </si>
  <si>
    <t>Directed the resolution of any high-level production issues or delays that arose during filming.</t>
  </si>
  <si>
    <t>Maintained communication with the client to provide updates on production progress and address concerns.</t>
  </si>
  <si>
    <t>Monitored adherence to safety protocols and industry standards throughout the shoot.</t>
  </si>
  <si>
    <t>Ensured all key creative and logistical elements were captured as planned for post-production.</t>
  </si>
  <si>
    <t>Approved the selection of post-production vendors, including editors, sound designers, and VFX artists.</t>
  </si>
  <si>
    <t>Reviewed preliminary edits and provided strategic feedback to align the final product with campaign objectives.</t>
  </si>
  <si>
    <t>Facilitated client review sessions and ensured that revisions were implemented efficiently.</t>
  </si>
  <si>
    <t>Approved the integration of final sound design, visual effects, and color grading.</t>
  </si>
  <si>
    <t>Delivered the completed commercial to media and distribution teams, ensuring all technical specifications were met.</t>
  </si>
  <si>
    <t>Sr Production Mgr</t>
  </si>
  <si>
    <t>Coordinated with the creative team to finalize the commercial concept and key messaging.</t>
  </si>
  <si>
    <t>Secured locations for the shoot, including obtaining necessary permits and location releases.</t>
  </si>
  <si>
    <t>Managed the casting process by liaising with casting agents and confirming talent availability.</t>
  </si>
  <si>
    <t>Created a detailed production schedule, outlining key milestones and deadlines for each department.</t>
  </si>
  <si>
    <t>Organized and facilitated the production budget review, ensuring all costs were aligned with the project’s financial constraints.</t>
  </si>
  <si>
    <t>Supervised the day-to-day operations on set to ensure the shoot adhered to the schedule and budget.</t>
  </si>
  <si>
    <t>Coordinated with the director and department heads to troubleshoot any on-site challenges.</t>
  </si>
  <si>
    <t>Managed the logistics for the transportation of crew, equipment, and materials to and from the set.</t>
  </si>
  <si>
    <t>Communicated with vendors to ensure timely delivery of props, wardrobe, and set materials.</t>
  </si>
  <si>
    <t>Oversaw the safety protocols on set, ensuring all crew and talent were working in a safe environment.</t>
  </si>
  <si>
    <t>Collaborated with the editor to review rough cuts, providing feedback on pacing, tone, and alignment with creative goals.</t>
  </si>
  <si>
    <t>Coordinated the delivery of the final commercial to internal stakeholders for approval before release.</t>
  </si>
  <si>
    <t>Managed the post-production timeline to ensure timely completion of all visual effects and sound mixing.</t>
  </si>
  <si>
    <t>Handled the legal clearance process for music, talent rights, and any copyrighted materials used in the commercial.</t>
  </si>
  <si>
    <t>Organized the delivery of final assets to distribution channels, ensuring compliance with broadcast specifications and deadlines.</t>
  </si>
  <si>
    <t>Developed and distributed call sheets to all cast and crew members, outlining key details for the shoot.</t>
  </si>
  <si>
    <t>Liaised with the legal team to ensure all contracts for talent, locations, and vendors were finalized and signed.</t>
  </si>
  <si>
    <t>Negotiated and secured any required insurance policies for the production, covering equipment, location, and talent.</t>
  </si>
  <si>
    <t>Conducted a walk-through of the shoot location with the director and department heads to assess logistical needs.</t>
  </si>
  <si>
    <t>Collaborated with the creative team to source and approve all visual references and mood boards for the commercial's aesthetic.</t>
  </si>
  <si>
    <t>Managed the scheduling and coordination of rehearsals with talent prior to the shoot.</t>
  </si>
  <si>
    <t>Supervised the setup of the production equipment and ensured that all gear was properly tested before filming.</t>
  </si>
  <si>
    <t>Communicated with the wardrobe and hair/makeup departments to ensure talent was prepared for the shoot as scheduled.</t>
  </si>
  <si>
    <t>Monitored the daily progress of the shoot, ensuring that all shots were captured according to the storyboard and shot list.</t>
  </si>
  <si>
    <t>Coordinated with the sound department to ensure proper audio capture and troubleshoot any on-set audio issues.</t>
  </si>
  <si>
    <t>Worked with the color grading team to ensure the final footage aligned with the desired visual tone and style.</t>
  </si>
  <si>
    <t>Collaborated with the music supervisor to select and clear the appropriate track(s) for the commercial's soundtrack.</t>
  </si>
  <si>
    <t>Coordinated with the voiceover artist for any necessary voice recordings and ensured the final audio mix was cohesive.</t>
  </si>
  <si>
    <t>Managed the creation of various commercial formats for different platforms in line with distribution requirements.</t>
  </si>
  <si>
    <t>Ensured all required paperwork and approvals were completed for the commercial’s submission to regulatory bodies before airing.</t>
  </si>
  <si>
    <t>Asst Acct Exec</t>
  </si>
  <si>
    <t>Coordinated with the creative team to finalize the script and storyboard for the commercial.</t>
  </si>
  <si>
    <t>Scheduled meetings with clients to review and approve the overall campaign strategy and messaging.</t>
  </si>
  <si>
    <t>Secured agreements with external vendors, including production studios and location scouts.</t>
  </si>
  <si>
    <t>Compiled and distributed a detailed production timeline and budget breakdown to stakeholders.</t>
  </si>
  <si>
    <t>Organized casting sessions and reviewed talent recommendations for on-screen roles.</t>
  </si>
  <si>
    <t>Monitored on-set activities to ensure adherence to the approved creative vision and production schedule.</t>
  </si>
  <si>
    <t>Facilitated real-time communication between the production team and the client for feedback and approvals.</t>
  </si>
  <si>
    <t>Oversaw compliance with all regulatory guidelines and legal requirements during filming.</t>
  </si>
  <si>
    <t>Managed the distribution of daily production reports to key stakeholders.</t>
  </si>
  <si>
    <t>Provided logistical support to the crew, including arranging accommodations and handling unexpected needs.</t>
  </si>
  <si>
    <t>Reviewed initial cuts of the commercial and provided consolidated feedback from clients and the creative team.</t>
  </si>
  <si>
    <t>Managed timelines for editing, sound design, and special effects to ensure project deadlines were met.</t>
  </si>
  <si>
    <t>Coordinated with legal and compliance teams to verify that the final content adhered to advertising standards.</t>
  </si>
  <si>
    <t>Organized client review sessions for the completed commercial and facilitated revisions where necessary.</t>
  </si>
  <si>
    <t>Delivered the final approved version of the commercial to media outlets and confirmed successful deployment.</t>
  </si>
  <si>
    <t>Conducted market research to ensure the proposed concept aligned with audience demographics and campaign goals.</t>
  </si>
  <si>
    <t>Prepared and distributed briefing documents to all teams involved in the project.</t>
  </si>
  <si>
    <t>Liaised with legal teams to ensure all creative assets complied with intellectual property and advertising laws.</t>
  </si>
  <si>
    <t>Reviewed and approved location contracts and permits for the production.</t>
  </si>
  <si>
    <t>Assembled a detailed shot list in collaboration with the director and production team.</t>
  </si>
  <si>
    <t>Coordinated daily call sheets to ensure all team members were informed of their responsibilities and schedules.</t>
  </si>
  <si>
    <t>Assisted in tracking on-set expenses to maintain alignment with the approved budget.</t>
  </si>
  <si>
    <t>Facilitated client site visits to the set and managed their interactions with the production team.</t>
  </si>
  <si>
    <t>Ensured all safety protocols were followed on set, including the use of proper equipment and procedures.</t>
  </si>
  <si>
    <t>Maintained real-time updates to a centralized project dashboard for tracking production progress.</t>
  </si>
  <si>
    <t>Verified the accuracy and placement of branding elements in the commercial during the editing phase.</t>
  </si>
  <si>
    <t>Coordinated the creation of subtitles, translations, or alternate versions for different markets.</t>
  </si>
  <si>
    <t>Assisted in organizing focus group screenings to gather feedback on the commercial’s impact and appeal.</t>
  </si>
  <si>
    <t>Managed the delivery of final assets to digital and traditional media partners within specified deadlines.</t>
  </si>
  <si>
    <t>Compiled and presented a comprehensive post-campaign report, including metrics on commercial performance and audience engagement.</t>
  </si>
  <si>
    <t>Multicultural Creative Dir</t>
  </si>
  <si>
    <t>Developed the overall creative concept and visual direction for the commercial, ensuring alignment with the target multicultural audience.</t>
  </si>
  <si>
    <t>Collaborated with the client and account teams to finalize the script and key messaging, integrating cultural nuances and sensitivities.</t>
  </si>
  <si>
    <t>Led casting sessions, selecting talent that authentically represented the diverse demographic the campaign targeted.</t>
  </si>
  <si>
    <t>Coordinated with the production designer to establish culturally relevant settings and props that would resonate with the target audience.</t>
  </si>
  <si>
    <t>Worked with the director and producers to create a detailed shooting schedule, considering logistical and cultural factors.</t>
  </si>
  <si>
    <t>Supervised the creative direction on set, ensuring that the performance, set design, and overall aesthetic adhered to the multicultural vision.</t>
  </si>
  <si>
    <t>Provided guidance to the director and actors to ensure that cultural authenticity was maintained throughout each scene.</t>
  </si>
  <si>
    <t>Conducted real-time assessments of shots and scenes, offering feedback to the director on visual composition and representation.</t>
  </si>
  <si>
    <t>Collaborated with the cinematographer to achieve the desired lighting and color tones that enhanced the multicultural theme of the commercial.</t>
  </si>
  <si>
    <t>Managed the integration of multicultural elements in wardrobe, hair, and makeup to ensure cultural accuracy and inclusivity.</t>
  </si>
  <si>
    <t>Oversaw the editing process, ensuring the pacing, tone, and narrative structure reflected the cultural nuances integral to the campaign.</t>
  </si>
  <si>
    <t>Worked closely with the sound designer to select and refine music, sound effects, and voiceovers that resonated with the target multicultural audience.</t>
  </si>
  <si>
    <t>Provided input on color grading to ensure visual elements aligned with the campaign's intended emotional tone and cultural aesthetic.</t>
  </si>
  <si>
    <t>Approved final edits of the commercial, reviewing how the multicultural themes were represented in the final cut.</t>
  </si>
  <si>
    <t>Reviewed and approved the commercial’s distribution strategy, ensuring it was optimized for various media platforms to effectively reach diverse audience segments.</t>
  </si>
  <si>
    <t>Conducted research on cultural trends and consumer behavior within the target demographic to inform creative direction.</t>
  </si>
  <si>
    <t>Collaborated with the media planning team to ensure alignment between the commercial's creative elements and the media strategy.</t>
  </si>
  <si>
    <t>Created mood boards and visual references to communicate the aesthetic direction to stakeholders and the production team.</t>
  </si>
  <si>
    <t>Coordinated with legal and compliance teams to ensure the script and imagery adhered to cultural sensitivities and regulatory guidelines.</t>
  </si>
  <si>
    <t>Developed a multicultural tone guide for the campaign, outlining key messaging and tone to ensure consistency across all creative materials.</t>
  </si>
  <si>
    <t>Directed the cultural advisor on set to verify that all aspects of the commercial, from dialogue to symbolism, accurately represented the intended culture.</t>
  </si>
  <si>
    <t>Monitored the integration of multiple languages or dialects in the dialogue to ensure linguistic authenticity and clarity.</t>
  </si>
  <si>
    <t>Worked closely with the director of photography to ensure that camera angles and framing reflected cultural perspectives and storytelling traditions.</t>
  </si>
  <si>
    <t>Managed on-set coordination between the multicultural creative team and the production crew to ensure smooth communication and execution.</t>
  </si>
  <si>
    <t>Provided real-time feedback on the performances of multicultural talent to ensure each actor’s portrayal was respectful and culturally appropriate.</t>
  </si>
  <si>
    <t>Collaborated with the visual effects (VFX) team to integrate culturally relevant elements, ensuring they enhanced the narrative without overpowering it.</t>
  </si>
  <si>
    <t>Directed the voice-over recording sessions, selecting voices that accurately represented the target multicultural demographics.</t>
  </si>
  <si>
    <t>Worked with the creative team to adapt and localize the commercial for different markets, adjusting the tone, messaging, or imagery as needed.</t>
  </si>
  <si>
    <t>Reviewed the pacing and editing of the commercial to ensure that the representation of diverse characters and cultures was balanced and effective.</t>
  </si>
  <si>
    <t>Provided final feedback on the commercial’s accessibility features, such as subtitles and translations, ensuring the campaign was inclusive and accessible to all audiences.</t>
  </si>
  <si>
    <t>Sr Strategist</t>
  </si>
  <si>
    <t>Conducted in-depth market research to identify target audience insights and inform the development of the commercial’s strategic objectives.</t>
  </si>
  <si>
    <t>Collaborated with the creative team to define key performance indicators (KPIs) and ensure the commercial aligned with broader brand and campaign goals.</t>
  </si>
  <si>
    <t>Developed a comprehensive media strategy, selecting the most effective platforms and formats for delivering the commercial to the target audience.</t>
  </si>
  <si>
    <t>Worked with the account management team to draft the project brief, outlining objectives, deliverables, and timelines for the commercial.</t>
  </si>
  <si>
    <t>Analyzed competitive advertising strategies to inform the creative direction and positioning of the commercial within the market landscape.</t>
  </si>
  <si>
    <t>Provided strategic input during the production meetings to ensure the commercial’s narrative, tone, and visuals aligned with the campaign's objectives.</t>
  </si>
  <si>
    <t>Coordinated with the creative team to ensure that brand messaging and strategic goals were consistently communicated throughout the shoot.</t>
  </si>
  <si>
    <t>Monitored real-time progress on set, offering feedback to ensure that the creative direction remained in line with the campaign’s strategic vision.</t>
  </si>
  <si>
    <t>Ensured that the intended target audience was accurately reflected in the casting, set design, and overall production aesthetic.</t>
  </si>
  <si>
    <t>Supported the production team by reviewing media content, ensuring alignment with the planned media strategy and audience engagement goals.</t>
  </si>
  <si>
    <t>Collaborated with the creative team to assess the final edit, ensuring it effectively communicated the brand message and adhered to strategic objectives.</t>
  </si>
  <si>
    <t>Conducted a review of the commercial’s performance metrics from initial testing or focus groups, providing strategic feedback for any necessary revisions.</t>
  </si>
  <si>
    <t>Worked with the media buying team to optimize the commercial’s placement, ensuring it reached the target audience across appropriate channels.</t>
  </si>
  <si>
    <t>Analyzed consumer feedback and engagement data to refine the commercial’s message and recommend potential adjustments to the final cut.</t>
  </si>
  <si>
    <t>Developed a post-launch analysis report, assessing the commercial’s performance against the predefined KPIs and providing strategic recommendations for future campaigns.</t>
  </si>
  <si>
    <t>Led cross-functional strategy meetings to ensure alignment between the creative, media, and client teams on campaign objectives and deliverables.</t>
  </si>
  <si>
    <t>Defined the commercial’s target audience segments based on demographic, psychographic, and behavioral data to refine the creative and media approach.</t>
  </si>
  <si>
    <t>Developed a content calendar that outlined the production timeline, key milestones, and deadlines for the commercial’s execution.</t>
  </si>
  <si>
    <t>Collaborated with the analytics team to develop audience segmentation models and refine the commercial’s targeting strategy across multiple platforms.</t>
  </si>
  <si>
    <t>Presented strategic recommendations to senior leadership and clients, securing approval on key creative concepts and media strategies.</t>
  </si>
  <si>
    <t>Provided ongoing strategic guidance during the shoot to ensure the narrative remained aligned with the overall brand positioning and key messaging.</t>
  </si>
  <si>
    <t>Collaborated with the creative director and producer to assess the on-set execution of campaign objectives, adjusting where necessary to optimize strategic impact.</t>
  </si>
  <si>
    <t>Monitored the budget and resource allocation, ensuring the production stayed within the defined scope while meeting strategic goals.</t>
  </si>
  <si>
    <t>Conducted real-time data collection from on-site digital media activations to gauge audience reactions and inform any immediate shifts in creative direction.</t>
  </si>
  <si>
    <t>Reviewed raw footage and initial cuts to assess how well the commercial aligned with the established strategic plan, providing feedback to keep the project on track.</t>
  </si>
  <si>
    <t>Conducted a comprehensive review of the commercial's messaging to ensure it effectively addressed audience pain points and motivations as identified in the pre-production strategy.</t>
  </si>
  <si>
    <t>Analyzed the commercial’s pacing, tone, and overall flow to ensure the messaging resonated with target segments and aligned with campaign objectives.</t>
  </si>
  <si>
    <t>Worked with the media planning team to refine the commercial’s distribution strategy, ensuring optimal placement across multiple channels based on audience behavior and media consumption patterns.</t>
  </si>
  <si>
    <t>Evaluated the effectiveness of various commercial versions or edits in achieving desired strategic goals through A/B testing and focus group feedback.</t>
  </si>
  <si>
    <t>Analyzed post-launch campaign data, reviewing engagement, conversion, and brand lift metrics, and provided insights to inform future creative strategies and media planning.</t>
  </si>
  <si>
    <t>Group Strategy Dir</t>
  </si>
  <si>
    <t>Led strategic workshops with key stakeholders to define the commercial’s overarching objectives and ensure alignment with broader brand goals.</t>
  </si>
  <si>
    <t>Conducted in-depth market analysis to identify emerging trends and consumer insights, shaping the commercial’s strategic direction.</t>
  </si>
  <si>
    <t>Developed a comprehensive communication strategy, outlining key messaging, target audience segmentation, and positioning for the commercial.</t>
  </si>
  <si>
    <t>Worked with the creative team to review initial concepts and ensure they adhered to the strategic vision and target audience needs.</t>
  </si>
  <si>
    <t>Collaborated with the media planning team to establish media goals and KPIs, ensuring the commercial would be effectively placed to reach key demographics.</t>
  </si>
  <si>
    <t>Monitored the production process to ensure that all creative decisions aligned with the strategic objectives and brand guidelines.</t>
  </si>
  <si>
    <t>Provided real-time feedback during the shoot, ensuring that key messages were being communicated effectively and that the narrative remained consistent with the strategy.</t>
  </si>
  <si>
    <t>Coordinated with the director and creative teams to adjust the storyline or visuals if the commercial needed to better resonate with the target audience.</t>
  </si>
  <si>
    <t>Ensured that the talent, set design, and visuals were culturally relevant and aligned with the strategic direction for a diverse target audience.</t>
  </si>
  <si>
    <t>Managed communications between the production team, client, and other key stakeholders to ensure smooth workflow and alignment with campaign objectives.</t>
  </si>
  <si>
    <t>Reviewed the final edit of the commercial, ensuring it met strategic goals and effectively conveyed the brand's message to the target audience.</t>
  </si>
  <si>
    <t>Collaborated with the analytics team to assess audience reactions, engagement metrics, and feedback from initial testing, making strategic recommendations for refinements.</t>
  </si>
  <si>
    <t>Worked with the media planning team to finalize distribution strategies, ensuring the commercial reached the intended audience across the most effective channels.</t>
  </si>
  <si>
    <t>Provided strategic input on the localization of the commercial, ensuring that the messaging remained relevant and resonant across different markets or regions.</t>
  </si>
  <si>
    <t>Conducted a post-launch performance review, analyzing the commercial’s impact against KPIs and providing insights for future strategic planning and campaign adjustments.</t>
  </si>
  <si>
    <t>Facilitated discussions with the account team to ensure the commercial’s strategy aligned with the client’s business objectives and brand vision.</t>
  </si>
  <si>
    <t>Conducted competitive analysis to assess the landscape and identify key differentiators, informing the creative direction and messaging strategy.</t>
  </si>
  <si>
    <t>Developed a comprehensive content strategy, outlining how the commercial would be integrated into broader marketing and communication initiatives.</t>
  </si>
  <si>
    <t>Collaborated with the media team to analyze audience media consumption patterns, helping inform the choice of channels for commercial distribution.</t>
  </si>
  <si>
    <t>Created a timeline for the project, outlining milestones, deliverables, and approval processes to ensure the commercial stayed on track throughout production.</t>
  </si>
  <si>
    <t>Oversaw the execution of the commercial’s strategic vision on set, ensuring alignment between the director’s vision and the established objectives.</t>
  </si>
  <si>
    <t>Worked with the producer to ensure production schedules, resources, and budget allocations were optimized to meet strategic goals.</t>
  </si>
  <si>
    <t>Provided ongoing feedback to the director and creative team during rehearsals to ensure the messaging remained focused and aligned with strategic priorities.</t>
  </si>
  <si>
    <t>Collaborated with the media team to monitor audience feedback from on-set test screenings, offering real-time insights to adjust the production as needed.</t>
  </si>
  <si>
    <t>Coordinated with the legal team to review scripts and ensure all content was compliant with advertising regulations and aligned with the brand’s values.</t>
  </si>
  <si>
    <t>Directed the review of the commercial’s post-production elements, ensuring final edits met strategic objectives for tone, messaging, and impact.</t>
  </si>
  <si>
    <t>Analyzed the commercial’s performance across different media platforms, evaluating audience engagement and providing insights to optimize future campaigns.</t>
  </si>
  <si>
    <t>Worked with the analytics team to conduct deep dives into viewer demographics, assessing how well the commercial resonated with the intended audience.</t>
  </si>
  <si>
    <t>Collaborated with the creative and media teams to optimize the commercial for various formats, ensuring effectiveness across TV, digital, and social media platforms.</t>
  </si>
  <si>
    <t>Developed a strategic report summarizing the commercial’s performance, identifying lessons learned, and offering actionable recommendations for future advertising initiatives.</t>
  </si>
  <si>
    <t>Sr Designer</t>
  </si>
  <si>
    <t>Collaborated with the creative director to develop visual concepts and design elements that aligned with the campaign’s overall vision.</t>
  </si>
  <si>
    <t>Created mood boards and style guides to communicate the desired aesthetic direction, ensuring consistency across all visual components.</t>
  </si>
  <si>
    <t>Developed initial design mockups for key scenes or assets, presenting options for client feedback and approval.</t>
  </si>
  <si>
    <t>Worked with the account and strategy teams to ensure that the design vision aligned with the target audience and messaging goals.</t>
  </si>
  <si>
    <t>Prepared detailed design briefs for the production team, outlining specific requirements for set design, props, costumes, and other visual elements.</t>
  </si>
  <si>
    <t>Supervised the on-set application of design elements, ensuring that the set, props, and wardrobe aligned with the approved creative direction.</t>
  </si>
  <si>
    <t>Worked closely with the cinematographer to ensure that lighting, camera angles, and color schemes were optimized to achieve the desired visual impact.</t>
  </si>
  <si>
    <t>Directed the placement of key design elements during the shoot to ensure consistency in composition and alignment with the storyboard.</t>
  </si>
  <si>
    <t>Provided real-time feedback on the aesthetic choices made during the production, ensuring that the commercial’s visuals stayed true to the initial design vision.</t>
  </si>
  <si>
    <t>Coordinated with the makeup and costume departments to ensure all talent was styled according to the established visual guidelines.</t>
  </si>
  <si>
    <t>Reviewed and refined visual assets in collaboration with the editing team, ensuring that the final cut aligned with the original design concepts.</t>
  </si>
  <si>
    <t>Worked with the motion graphics team to create any necessary visual effects or animated elements, ensuring they seamlessly integrated with the live-action footage.</t>
  </si>
  <si>
    <t>Directed the color grading process, ensuring that the color palette matched the visual style and tone established in pre-production.</t>
  </si>
  <si>
    <t>Approved final designs for all promotional materials related to the commercial, ensuring consistency across all platforms and formats.</t>
  </si>
  <si>
    <t>Conducted a final review of the commercial’s visual components, ensuring that all design elements were polished and aligned with the intended brand messaging.</t>
  </si>
  <si>
    <t>Developed a comprehensive design brief outlining visual concepts, color schemes, typography, and graphic elements to guide the entire production team.</t>
  </si>
  <si>
    <t>Researched cultural, social, and design trends to ensure the commercial's visual identity resonated with the target demographic and felt current.</t>
  </si>
  <si>
    <t>Coordinated with the director and scriptwriter to ensure that the design supported the narrative flow and was integrated effectively with the script.</t>
  </si>
  <si>
    <t>Produced visual prototypes and assets for testing, presenting them to stakeholders for review and incorporating feedback into the design process.</t>
  </si>
  <si>
    <t>Worked with the project manager to create a production timeline for the design elements, ensuring that all visual assets were delivered on schedule.</t>
  </si>
  <si>
    <t>Oversaw the construction and arrangement of physical sets, ensuring that props, backdrops, and furniture were positioned according to the design concept.</t>
  </si>
  <si>
    <t>Directed the visual style of talent movement and positioning within the frame to align with the storyboard and visual narrative.</t>
  </si>
  <si>
    <t>Assisted in overseeing on-set photography, ensuring that shot composition, framing, and perspective met the visual goals of the project.</t>
  </si>
  <si>
    <t>Provided guidance on the design and execution of any practical effects or interactive elements used during the shoot, ensuring they complemented the overall aesthetic.</t>
  </si>
  <si>
    <t>Monitored the integration of graphic elements or digital assets on set, ensuring that they were captured accurately for later use in post-production.</t>
  </si>
  <si>
    <t>Collaborated with the editing team to ensure that visual transitions between shots were smooth and aligned with the commercial's tone and pacing.</t>
  </si>
  <si>
    <t>Assisted in designing and refining title treatments, lower thirds, and any other graphical text elements for use in the final commercial.</t>
  </si>
  <si>
    <t>Led the review of animation or visual effects to ensure they adhered to the initial design concept and were integrated seamlessly into the final footage.</t>
  </si>
  <si>
    <t>Worked closely with the sound design team to ensure that visual pacing was in sync with sound effects, music, and voiceovers, maintaining a cohesive audiovisual experience.</t>
  </si>
  <si>
    <t>Reviewed final renders and animations, ensuring that all visual elements, from color grading to motion graphics, met the highest quality standards before approval.</t>
  </si>
  <si>
    <t>Bus Affairs Dir</t>
  </si>
  <si>
    <t>Developed the overall strategy and concept for the commercial, aligning it with the client's objectives and target audience.</t>
  </si>
  <si>
    <t>Coordinated with the creative team to finalize the script and storyboard, ensuring consistency with brand messaging.</t>
  </si>
  <si>
    <t>Liaised with the director and producers to confirm talent requirements, locations, and overall logistics for the shoot.</t>
  </si>
  <si>
    <t>Collaborated with the legal team to secure necessary rights, licenses, and permissions for locations, music, and talent usage.</t>
  </si>
  <si>
    <t>Facilitated meetings with the client to present and refine the creative brief and timeline, ensuring all expectations were clearly defined.</t>
  </si>
  <si>
    <t>Managed on-set coordination, ensuring all departments (lighting, sound, props) were on schedule and in line with the production plan.</t>
  </si>
  <si>
    <t>Supervised the execution of the shooting schedule, adjusting resources as needed to meet the creative vision and timelines.</t>
  </si>
  <si>
    <t>Directed talent through rehearsals and takes, providing feedback to ensure performances aligned with the concept.</t>
  </si>
  <si>
    <t>Monitored the quality of shots and ensured adherence to the storyboard, providing immediate adjustments when necessary.</t>
  </si>
  <si>
    <t>Oversaw the organization and flow of all on-set activities, ensuring safety protocols were followed and the production ran efficiently.</t>
  </si>
  <si>
    <t>Collaborated with editors to review and refine the footage, ensuring alignment with the original concept and brand guidelines.</t>
  </si>
  <si>
    <t>Worked with sound designers and composers to integrate sound effects, voiceovers, and music into the final edit.</t>
  </si>
  <si>
    <t>Coordinated with the color grading team to ensure visual consistency and adherence to the desired tone and style.</t>
  </si>
  <si>
    <t>Reviewed multiple cuts and provided feedback for revisions, ensuring the commercial met client specifications and expectations.</t>
  </si>
  <si>
    <t>Led the final approval process with the client, presenting the completed commercial and addressing any last-minute revisions or adjustments.</t>
  </si>
  <si>
    <t>Researched and identified potential production vendors, including equipment rental companies and post-production facilities, to support the project.</t>
  </si>
  <si>
    <t>Developed and managed the project budget, tracking all expenses and ensuring cost efficiency throughout the production process.</t>
  </si>
  <si>
    <t>Coordinated with the casting director to select appropriate talent, conducting auditions and ensuring the final choices aligned with the creative brief.</t>
  </si>
  <si>
    <t>Prepared and distributed detailed production schedules to all stakeholders, outlining key milestones and deadlines for each phase of the project.</t>
  </si>
  <si>
    <t>Organized and led location scouting trips to assess potential filming environments, securing final approvals for selected sites.</t>
  </si>
  <si>
    <t>Overseen the setup and breakdown of on-set equipment, ensuring all technical aspects were functioning properly and met production standards.</t>
  </si>
  <si>
    <t>Managed communication between the director, crew, and client, providing real-time updates on the shoot's progress and any adjustments required.</t>
  </si>
  <si>
    <t>Ensured compliance with union and labor regulations, overseeing contracts and managing the involvement of unionized crew members and talent.</t>
  </si>
  <si>
    <t>Maintained the on-set timeline, adjusting shoot day schedules based on unforeseen circumstances while keeping the production within scope.</t>
  </si>
  <si>
    <t>Monitored continuity across shots, verifying that wardrobe, props, and other details remained consistent throughout the shoot.</t>
  </si>
  <si>
    <t>Collaborated with visual effects (VFX) teams to integrate digital elements and ensure they enhanced the overall aesthetic and narrative.</t>
  </si>
  <si>
    <t>Worked with the client and creative team to refine the pacing and structure of the commercial, suggesting edits to improve the narrative flow.</t>
  </si>
  <si>
    <t>Managed the preparation of different versions of the commercial (e.g., for digital, broadcast, and social media), ensuring specifications were met for each platform.</t>
  </si>
  <si>
    <t>Coordinated the delivery of the final commercial to all required channels, ensuring timely submission to broadcasters and other outlets.</t>
  </si>
  <si>
    <t>Organized and led post-production review sessions with the client, ensuring the final product aligned with their vision and making necessary adjustments before final approval.</t>
  </si>
  <si>
    <t>Assoc Prod</t>
  </si>
  <si>
    <t>Collaborated with creative teams to refine the commercial concept and finalize the script.</t>
  </si>
  <si>
    <t>Prepared detailed production schedules and timelines to ensure key milestones were met.</t>
  </si>
  <si>
    <t>Secured necessary permits and locations by coordinating with relevant authorities and stakeholders.</t>
  </si>
  <si>
    <t>Negotiated contracts and agreements with vendors, talent, and production crew.</t>
  </si>
  <si>
    <t>Conducted pre-production meetings with department heads to align on project goals and logistics.</t>
  </si>
  <si>
    <t>Oversaw on-set activities to ensure adherence to the production schedule and creative vision.</t>
  </si>
  <si>
    <t>Managed budget tracking and expense reporting throughout the production phase.</t>
  </si>
  <si>
    <t>Coordinated daily call sheets and ensured all team members were informed of their responsibilities.</t>
  </si>
  <si>
    <t>Supervised equipment setup and breakdown to maintain operational efficiency.</t>
  </si>
  <si>
    <t>Addressed and resolved any production challenges that arose during filming.</t>
  </si>
  <si>
    <t>Reviewed initial cuts and provided constructive feedback to the editing team.</t>
  </si>
  <si>
    <t>Facilitated communication between editors, sound designers, and visual effects artists.</t>
  </si>
  <si>
    <t>Managed final deliverables by ensuring compliance with technical and brand standards.</t>
  </si>
  <si>
    <t>Organized and approved legal clearances, rights management, and licensing agreements.</t>
  </si>
  <si>
    <t>Delivered final assets to clients and distribution platforms, ensuring deadlines were met.</t>
  </si>
  <si>
    <t>Developed detailed project briefs outlining creative goals, timelines, and deliverables.</t>
  </si>
  <si>
    <t>Conducted talent casting sessions and facilitated client approvals on selected candidates.</t>
  </si>
  <si>
    <t>Created and distributed production budgets, ensuring transparency with internal and external teams.</t>
  </si>
  <si>
    <t>Organized creative review sessions to align stakeholders on storyboards and visual concepts.</t>
  </si>
  <si>
    <t>Coordinated travel and accommodation arrangements for cast, crew, and agency representatives.</t>
  </si>
  <si>
    <t>Monitored on-set brand representation to ensure alignment with the approved creative direction.</t>
  </si>
  <si>
    <t>Managed client presence on set, providing updates and facilitating feedback in real time.</t>
  </si>
  <si>
    <t>Verified that safety protocols and compliance standards were followed throughout the production.</t>
  </si>
  <si>
    <t>Authorized production adjustments, such as schedule changes or additional equipment needs.</t>
  </si>
  <si>
    <t>Documented behind-the-scenes footage and conducted interviews for potential promotional use.</t>
  </si>
  <si>
    <t>Scheduled and attended color grading and sound mixing sessions to ensure creative consistency.</t>
  </si>
  <si>
    <t>Reviewed and approved subtitles, captions, and translations for international versions.</t>
  </si>
  <si>
    <t>Managed the delivery of rough cuts and final versions to clients for review and approval.</t>
  </si>
  <si>
    <t>Coordinated promotional materials, including trailers, teasers, and social media content.</t>
  </si>
  <si>
    <t>Archived all production files, legal documentation, and final media assets for future reference.</t>
  </si>
  <si>
    <t>Head of Prod, Executive Producer</t>
  </si>
  <si>
    <t>Approved creative concepts and scripts, ensuring alignment with strategic brand objectives.</t>
  </si>
  <si>
    <t>Set overall project budgets and secured funding through client negotiations and internal approvals.</t>
  </si>
  <si>
    <t>Assembled key creative and production teams, including directors, producers, and department leads.</t>
  </si>
  <si>
    <t>Established production timelines and critical deadlines in collaboration with senior stakeholders.</t>
  </si>
  <si>
    <t>Oversaw risk management planning, including insurance coverage and legal compliance reviews.</t>
  </si>
  <si>
    <t>Supervised all aspects of production, ensuring that creative and business goals were achieved.</t>
  </si>
  <si>
    <t>Managed high-level client relationships by providing updates and facilitating strategic decisions.</t>
  </si>
  <si>
    <t>Approved major creative changes on set, balancing creative vision with budget constraints.</t>
  </si>
  <si>
    <t>Directed crisis management responses to any on-set emergencies or operational disruptions.</t>
  </si>
  <si>
    <t>Conducted quality control assessments during production to maintain the highest production standards.</t>
  </si>
  <si>
    <t>Led final creative reviews and approved edits, ensuring the commercial met brand and agency standards.</t>
  </si>
  <si>
    <t>Negotiated final deliverable timelines with distribution partners and media outlets.</t>
  </si>
  <si>
    <t>Approved licensing agreements, talent contracts, and legal clearances for all content usage.</t>
  </si>
  <si>
    <t>Presented the final commercial to executive leadership and key client stakeholders for sign-off.</t>
  </si>
  <si>
    <t>Directed the development of case studies and awards submissions to promote agency achievements.</t>
  </si>
  <si>
    <t>Approved key creative deliverables such as storyboards, style frames, and casting selections.</t>
  </si>
  <si>
    <t>Led high-level strategy meetings with agency leadership to align on campaign objectives.</t>
  </si>
  <si>
    <t>Authorized vendor and supplier agreements after thorough contract negotiations.</t>
  </si>
  <si>
    <t>Reviewed production designs and technical specifications to ensure feasibility and brand alignment.</t>
  </si>
  <si>
    <t>Established cross-functional communication protocols for seamless collaboration between teams.</t>
  </si>
  <si>
    <t>Conducted executive-level production check-ins to monitor progress and address critical issues.</t>
  </si>
  <si>
    <t>Managed real-time problem-solving for production challenges, balancing creative and operational needs.</t>
  </si>
  <si>
    <t>Approved major on-set expenditures and resource reallocations based on evolving project demands.</t>
  </si>
  <si>
    <t>Oversaw compliance with industry standards and union regulations during filming.</t>
  </si>
  <si>
    <t>Evaluated performance of key production personnel to ensure top-level execution and team leadership.</t>
  </si>
  <si>
    <t>Directed final creative refinements, including adjustments to narrative flow and visual effects.</t>
  </si>
  <si>
    <t>Approved final music composition and sound design for maximum brand impact.</t>
  </si>
  <si>
    <t>Managed agency-client presentations of completed work, facilitating executive-level feedback.</t>
  </si>
  <si>
    <t>Supervised media asset packaging and ensured proper delivery to broadcasters and digital platforms.</t>
  </si>
  <si>
    <t>Conducted project retrospectives to identify process improvements and enhance future campaigns.</t>
  </si>
  <si>
    <t>Creative Dir, Art Dir</t>
  </si>
  <si>
    <t>Developed the commercial's creative concept and visual direction in collaboration with copywriters.</t>
  </si>
  <si>
    <t>Designed comprehensive mood boards, style guides, and visual references for client presentations.</t>
  </si>
  <si>
    <t>Approved initial designs for set, props, costumes, and overall art direction.</t>
  </si>
  <si>
    <t>Reviewed and refined storyboards and animatics to ensure visual storytelling aligned with the creative vision.</t>
  </si>
  <si>
    <t>Collaborated with directors, production designers, and photographers to finalize the artistic approach.</t>
  </si>
  <si>
    <t>Directed on-set visual composition, ensuring that framing, lighting, and design matched the approved concept.</t>
  </si>
  <si>
    <t>Provided real-time creative feedback to the production team on set design, wardrobe, and props.</t>
  </si>
  <si>
    <t>Monitored shot lists and ensured that key creative elements were captured according to the storyboard.</t>
  </si>
  <si>
    <t>Worked closely with the director and cinematographer to achieve the intended visual style.</t>
  </si>
  <si>
    <t>Oversaw adjustments to art direction elements due to changing on-set conditions or client feedback.</t>
  </si>
  <si>
    <t>Reviewed and approved final edits, ensuring consistent application of the visual style.</t>
  </si>
  <si>
    <t>Directed the design and integration of motion graphics, visual effects, and on-screen text.</t>
  </si>
  <si>
    <t>Collaborated with colorists to adjust the final color grade for visual impact and brand consistency.</t>
  </si>
  <si>
    <t>Approved sound design and music choices to complement the visual elements.</t>
  </si>
  <si>
    <t>Presented final creative work to clients, explaining artistic decisions and how they supported the campaign goals.</t>
  </si>
  <si>
    <t>Led brainstorming sessions with creative teams to generate innovative concepts and campaign themes.</t>
  </si>
  <si>
    <t>Designed initial key visuals and concept art for client presentations and creative pitch decks.</t>
  </si>
  <si>
    <t>Selected and approved artists, designers, and freelancers for specialized creative tasks.</t>
  </si>
  <si>
    <t>Provided detailed creative briefs to production designers and set decorators.</t>
  </si>
  <si>
    <t>Reviewed casting selections to ensure on-screen talent fit the brand’s visual identity and concept.</t>
  </si>
  <si>
    <t>Conducted pre-shoot art direction walk-throughs to finalize set designs and props placement.</t>
  </si>
  <si>
    <t>Supervised wardrobe fittings and make-up tests to ensure stylistic consistency.</t>
  </si>
  <si>
    <t>Directed special effects implementation on set, ensuring alignment with the creative vision.</t>
  </si>
  <si>
    <t>Evaluated set construction progress, ensuring all elements were visually accurate and production-ready.</t>
  </si>
  <si>
    <t>Reviewed and approved camera angles and shot compositions during live production.</t>
  </si>
  <si>
    <t>Collaborated with graphic designers to create title sequences and end tags.</t>
  </si>
  <si>
    <t>Directed motion graphic animations and ensured stylistic integration into the commercial.</t>
  </si>
  <si>
    <t>Provided art direction feedback on retouching, compositing, and digital enhancements.</t>
  </si>
  <si>
    <t>Evaluated multiple editing versions to fine-tune the pacing, visual flow, and narrative.</t>
  </si>
  <si>
    <t>Approved final packaging and branding elements, such as logos, product shots, and overlays.</t>
  </si>
  <si>
    <t>Sr Social Media Mgr</t>
  </si>
  <si>
    <t>Developed the social media campaign strategy to align with the commercial’s objectives.</t>
  </si>
  <si>
    <t>Collaborated with the creative team to ensure social media integration in the commercial concept.</t>
  </si>
  <si>
    <t>Provided audience insights and platform trends to optimize the content’s engagement potential.</t>
  </si>
  <si>
    <t>Coordinated with the media planning team to define distribution channels and paid strategies.</t>
  </si>
  <si>
    <t>Reviewed scripts and storyboards to ensure brand consistency across social platforms.</t>
  </si>
  <si>
    <t>Secured influencer or brand ambassador partnerships for potential social media tie-ins.</t>
  </si>
  <si>
    <t>Created a social media content calendar outlining promotional efforts leading up to the commercial’s launch.</t>
  </si>
  <si>
    <t>Approved pre-production assets, including teaser visuals and behind-the-scenes content plans.</t>
  </si>
  <si>
    <t>Briefed the production team on social-specific content needs, such as vertical video formats.</t>
  </si>
  <si>
    <t>Monitored competitive campaigns to identify opportunities for differentiation.</t>
  </si>
  <si>
    <t>Supervised on-set content capture for real-time social media updates.</t>
  </si>
  <si>
    <t>Provided creative direction for social-first adaptations of commercial footage.</t>
  </si>
  <si>
    <t>Coordinated live behind-the-scenes coverage to build audience anticipation.</t>
  </si>
  <si>
    <t>Approved real-time social media posts featuring production progress.</t>
  </si>
  <si>
    <t>Managed influencer or brand ambassador interactions on set for social media collaborations.</t>
  </si>
  <si>
    <t>Ensured that key visual elements were adaptable for multiple social platforms.</t>
  </si>
  <si>
    <t>Collected soundbites and short-form content for social media cutdowns.</t>
  </si>
  <si>
    <t>Reviewed rough footage to identify potential social teaser clips.</t>
  </si>
  <si>
    <t>Collaborated with the video team to ensure brand messaging remained intact in all social adaptations.</t>
  </si>
  <si>
    <t>Monitored audience engagement on social media during production updates and adjusted content accordingly.</t>
  </si>
  <si>
    <t>Developed a phased social media rollout plan for the commercial’s launch.</t>
  </si>
  <si>
    <t>Worked with editors to create platform-specific cutdowns optimized for engagement.</t>
  </si>
  <si>
    <t>Approved final social media assets, including captions, hashtags, and paid ad creatives.</t>
  </si>
  <si>
    <t>Managed the scheduling and distribution of the commercial across all social platforms.</t>
  </si>
  <si>
    <t>Coordinated with the analytics team to track performance metrics and audience sentiment.</t>
  </si>
  <si>
    <t>Engaged with audience responses by overseeing community management efforts.</t>
  </si>
  <si>
    <t>Developed a retargeting strategy based on initial engagement data.</t>
  </si>
  <si>
    <t>Provided insights to the creative team for optimizing future commercial adaptations.</t>
  </si>
  <si>
    <t>Conducted a post-mortem analysis of social media campaign effectiveness.</t>
  </si>
  <si>
    <t>Compiled a comprehensive report summarizing key learnings and performance takeaways.</t>
  </si>
  <si>
    <t>Developed initial concept sketches and visual mood boards for the commercial.</t>
  </si>
  <si>
    <t>Created storyboards to outline key scenes and transitions.</t>
  </si>
  <si>
    <t>Collaborated with the creative director to refine visual direction.</t>
  </si>
  <si>
    <t>Selected potential locations based on creative and production requirements.</t>
  </si>
  <si>
    <t>Assisted in casting by reviewing talent portfolios and providing visual input.</t>
  </si>
  <si>
    <t>Coordinated with the production team to ensure props and set designs aligned with the creative vision.</t>
  </si>
  <si>
    <t>Designed presentation materials for client approvals.</t>
  </si>
  <si>
    <t>Provided input on wardrobe and styling to maintain brand consistency.</t>
  </si>
  <si>
    <t>Reviewed and adjusted shot lists with the director and cinematographer.</t>
  </si>
  <si>
    <t>Attended pre-production meetings to align creative execution with logistics.</t>
  </si>
  <si>
    <t>Oversaw on-set visual consistency to ensure adherence to the creative concept.</t>
  </si>
  <si>
    <t>Provided real-time feedback on framing, composition, and set design.</t>
  </si>
  <si>
    <t>Assisted in directing talent on posture, movement, and expressions.</t>
  </si>
  <si>
    <t>Worked closely with the director to refine shots based on the storyboard.</t>
  </si>
  <si>
    <t>Ensured proper branding elements were visually incorporated.</t>
  </si>
  <si>
    <t>Collaborated with the cinematographer to adjust lighting for the desired aesthetic.</t>
  </si>
  <si>
    <t>Addressed unexpected creative challenges by offering visual solutions.</t>
  </si>
  <si>
    <t>Reviewed footage in real-time to confirm adherence to the brand’s visual style.</t>
  </si>
  <si>
    <t>Provided last-minute graphic or set design adjustments as needed.</t>
  </si>
  <si>
    <t>Documented production details for reference in post-production.</t>
  </si>
  <si>
    <t>Reviewed rough cuts and provided feedback on visual composition.</t>
  </si>
  <si>
    <t>Worked with editors to refine transitions, pacing, and scene flow.</t>
  </si>
  <si>
    <t>Approved or adjusted color grading to match the intended aesthetic.</t>
  </si>
  <si>
    <t>Designed and integrated motion graphics or text overlays.</t>
  </si>
  <si>
    <t>Ensured visual elements aligned with brand guidelines in the final cut.</t>
  </si>
  <si>
    <t>Provided input on visual effects to enhance storytelling.</t>
  </si>
  <si>
    <t>Reviewed sound design and music to ensure coherence with visuals.</t>
  </si>
  <si>
    <t>Prepared and formatted final assets for multiple media platforms.</t>
  </si>
  <si>
    <t>Created additional promotional materials based on the commercial’s key visuals.</t>
  </si>
  <si>
    <t>Attended client review sessions and implemented necessary revisions.</t>
  </si>
  <si>
    <t>Analytics Mgr</t>
  </si>
  <si>
    <t>Collected and analyzed audience data to inform targeting strategies for the commercial.</t>
  </si>
  <si>
    <t>Conducted competitive analysis to assess industry trends and consumer engagement metrics.</t>
  </si>
  <si>
    <t>Provided data-driven insights to guide creative and media planning teams.</t>
  </si>
  <si>
    <t>Identified key performance indicators (KPIs) to measure commercial effectiveness.</t>
  </si>
  <si>
    <t>Developed forecasting models to predict campaign performance based on past data.</t>
  </si>
  <si>
    <t>Assisted in defining audience segments and demographics for media placement.</t>
  </si>
  <si>
    <t>Reviewed historical campaign performance to optimize creative and messaging strategies.</t>
  </si>
  <si>
    <t>Coordinated with media planners to align distribution channels with audience behavior.</t>
  </si>
  <si>
    <t>Created reporting templates for tracking commercial performance post-launch.</t>
  </si>
  <si>
    <t>Presented analytical findings to stakeholders to support pre-production decision-making.</t>
  </si>
  <si>
    <t>Monitored real-time audience engagement metrics for live or digital commercial activations.</t>
  </si>
  <si>
    <t>Ensured that tracking mechanisms were properly integrated into production assets.</t>
  </si>
  <si>
    <t>Collaborated with creative teams to align messaging with audience insights.</t>
  </si>
  <si>
    <t>Verified that data collection points aligned with campaign objectives.</t>
  </si>
  <si>
    <t>Communicated key demographic insights to refine production strategies.</t>
  </si>
  <si>
    <t>Provided support in adjusting media plans based on evolving production needs.</t>
  </si>
  <si>
    <t>Documented production-level data to inform post-campaign analysis.</t>
  </si>
  <si>
    <t>Conducted initial sentiment analysis on social media interactions related to the commercial.</t>
  </si>
  <si>
    <t>Analyzed preliminary test screenings to gauge audience reactions.</t>
  </si>
  <si>
    <t>Coordinated with digital teams to prepare measurement tools for launch.</t>
  </si>
  <si>
    <t>Collected and analyzed performance data from multiple distribution platforms.</t>
  </si>
  <si>
    <t>Measured commercial impact based on predefined KPIs and engagement metrics.</t>
  </si>
  <si>
    <t>Created detailed reports on audience reach, conversion rates, and effectiveness.</t>
  </si>
  <si>
    <t>Presented insights to creative and media teams for future campaign optimization.</t>
  </si>
  <si>
    <t>Assessed ad placement success and adjusted strategies for reallocation if necessary.</t>
  </si>
  <si>
    <t>Conducted A/B testing analysis on different commercial variations.</t>
  </si>
  <si>
    <t>Integrated consumer feedback and behavioral data into post-campaign reviews.</t>
  </si>
  <si>
    <t>Evaluated return on investment (ROI) for media spend and creative production.</t>
  </si>
  <si>
    <t>Recommended data-driven improvements for future advertising efforts.</t>
  </si>
  <si>
    <t>Developed executive summaries for stakeholders outlining key performance takeaways.</t>
  </si>
  <si>
    <t>Mgmnt Dir</t>
  </si>
  <si>
    <t>Defined overall campaign objectives and aligned them with business goals.</t>
  </si>
  <si>
    <t>Approved budget allocations for creative development, production, and media distribution.</t>
  </si>
  <si>
    <t>Provided strategic guidance to creative, media, and analytics teams.</t>
  </si>
  <si>
    <t>Facilitated high-level discussions between clients and internal teams to ensure alignment.</t>
  </si>
  <si>
    <t>Reviewed and approved key creative concepts and production plans.</t>
  </si>
  <si>
    <t>Negotiated contracts with production partners, talent agencies, and media vendors.</t>
  </si>
  <si>
    <t>Established timelines and milestones to ensure efficient project execution.</t>
  </si>
  <si>
    <t>Oversaw risk assessments and contingency planning for the commercial’s development.</t>
  </si>
  <si>
    <t>Presented campaign strategies and commercial objectives to executive stakeholders.</t>
  </si>
  <si>
    <t>Ensured compliance with advertising regulations and brand guidelines.</t>
  </si>
  <si>
    <t>Supervised the production process to ensure adherence to strategic goals.</t>
  </si>
  <si>
    <t>Managed high-level client relationships and provided updates on production progress.</t>
  </si>
  <si>
    <t>Addressed budgetary concerns and approved necessary financial adjustments.</t>
  </si>
  <si>
    <t>Resolved conflicts between departments to maintain workflow efficiency.</t>
  </si>
  <si>
    <t>Evaluated on-set creative decisions to ensure consistency with the campaign vision.</t>
  </si>
  <si>
    <t>Coordinated with external vendors and partners to ensure seamless execution.</t>
  </si>
  <si>
    <t>Provided leadership support to production teams during critical decision-making moments.</t>
  </si>
  <si>
    <t>Monitored overall project timelines and addressed potential delays.</t>
  </si>
  <si>
    <t>Ensured production adhered to legal and contractual obligations.</t>
  </si>
  <si>
    <t>Reviewed dailies and provided feedback to ensure alignment with campaign objectives.</t>
  </si>
  <si>
    <t>Reviewed final commercial edits and provided strategic feedback.</t>
  </si>
  <si>
    <t>Assessed performance data to determine campaign effectiveness.</t>
  </si>
  <si>
    <t>Approved final deliverables for distribution across media channels.</t>
  </si>
  <si>
    <t>Presented post-campaign analysis to clients and executive leadership.</t>
  </si>
  <si>
    <t>Ensured that post-production revisions aligned with client expectations.</t>
  </si>
  <si>
    <t>Managed crisis communication strategies if unforeseen issues arose post-launch.</t>
  </si>
  <si>
    <t>Led debrief meetings to discuss campaign successes and areas for improvement.</t>
  </si>
  <si>
    <t>Evaluated vendor and partner performance for future collaborations.</t>
  </si>
  <si>
    <t>Provided recommendations for optimizing future advertising strategies.</t>
  </si>
  <si>
    <t>Oversaw final financial reconciliation and closed out project budgets.</t>
  </si>
  <si>
    <t>VP Dir Strategic Plng</t>
  </si>
  <si>
    <t>Defined the strategic objectives of the commercial based on business goals and market research.</t>
  </si>
  <si>
    <t>Conducted consumer insights analysis to inform messaging and positioning.</t>
  </si>
  <si>
    <t>Led competitive analysis to identify differentiation opportunities.</t>
  </si>
  <si>
    <t>Provided guidance on audience segmentation and targeting strategies.</t>
  </si>
  <si>
    <t>Collaborated with creative and media teams to ensure alignment with strategic direction.</t>
  </si>
  <si>
    <t>Developed briefing documents outlining key insights and messaging frameworks.</t>
  </si>
  <si>
    <t>Reviewed and approved research findings to support creative development.</t>
  </si>
  <si>
    <t>Assessed potential media placements to ensure alignment with target demographics.</t>
  </si>
  <si>
    <t>Presented strategic recommendations to executive leadership and clients.</t>
  </si>
  <si>
    <t>Established key performance indicators (KPIs) to measure campaign effectiveness.</t>
  </si>
  <si>
    <t>Ensured that the commercial’s execution aligned with the strategic vision.</t>
  </si>
  <si>
    <t>Provided on-set consultation to ensure messaging consistency.</t>
  </si>
  <si>
    <t>Evaluated creative decisions against research insights and strategic objectives.</t>
  </si>
  <si>
    <t>Addressed any deviations from the approved strategic plan.</t>
  </si>
  <si>
    <t>Coordinated with the media planning team to ensure integration across platforms.</t>
  </si>
  <si>
    <t>Assisted in refining real-time adjustments to optimize audience impact.</t>
  </si>
  <si>
    <t>Monitored audience engagement trends for live or digital activations.</t>
  </si>
  <si>
    <t>Acted as a liaison between client representatives and creative teams to maintain strategic focus.</t>
  </si>
  <si>
    <t>Documented key observations to inform post-production analysis.</t>
  </si>
  <si>
    <t>Ensured that cultural and behavioral insights were accurately represented in the execution.</t>
  </si>
  <si>
    <t>Reviewed final commercial edits to ensure alignment with strategic objectives.</t>
  </si>
  <si>
    <t>Assessed audience response data and consumer sentiment post-launch.</t>
  </si>
  <si>
    <t>Conducted post-campaign analysis to evaluate message effectiveness.</t>
  </si>
  <si>
    <t>Led internal and client-facing debriefs on strategic performance insights.</t>
  </si>
  <si>
    <t>Recommended adjustments for future creative and media strategies.</t>
  </si>
  <si>
    <t>Identified key learnings to inform upcoming campaign initiatives.</t>
  </si>
  <si>
    <t>Developed reports summarizing strategic impact and commercial effectiveness.</t>
  </si>
  <si>
    <t>Advised on content repurposing opportunities based on performance data.</t>
  </si>
  <si>
    <t>Collaborated with media and analytics teams to refine future targeting strategies.</t>
  </si>
  <si>
    <t>Presented final strategic findings to executive stakeholders and clients.</t>
  </si>
  <si>
    <t>VP Dir Analytics</t>
  </si>
  <si>
    <t>Defined key performance indicators (KPIs) to measure the commercial’s effectiveness.</t>
  </si>
  <si>
    <t>Conducted audience segmentation analysis to guide targeting strategies.</t>
  </si>
  <si>
    <t>Developed predictive models to forecast commercial performance.</t>
  </si>
  <si>
    <t>Analyzed historical campaign data to identify trends and optimization opportunities.</t>
  </si>
  <si>
    <t>Provided data-driven insights to inform creative and media planning teams.</t>
  </si>
  <si>
    <t>Collaborated with strategists to ensure alignment between analytics and business objectives.</t>
  </si>
  <si>
    <t>Established methodologies for tracking and measuring audience engagement.</t>
  </si>
  <si>
    <t>Reviewed competitive benchmarks to assess market positioning.</t>
  </si>
  <si>
    <t>Designed data collection frameworks for tracking campaign performance.</t>
  </si>
  <si>
    <t>Created reporting templates to streamline post-campaign analysis.</t>
  </si>
  <si>
    <t>Ensured tracking mechanisms were correctly implemented in production assets.</t>
  </si>
  <si>
    <t>Monitored real-time audience engagement data for live or digital activations.</t>
  </si>
  <si>
    <t>Provided input on data integration across various media channels.</t>
  </si>
  <si>
    <t>Verified alignment between media execution and analytical benchmarks.</t>
  </si>
  <si>
    <t>Coordinated with creative teams to ensure measurable elements were included.</t>
  </si>
  <si>
    <t>Identified early performance indicators from test screenings or digital previews.</t>
  </si>
  <si>
    <t>Analyzed social listening data to track real-time audience sentiment.</t>
  </si>
  <si>
    <t>Ensured compliance with data privacy regulations in tracking and measurement.</t>
  </si>
  <si>
    <t>Advised on adjustments to optimize performance measurement post-launch.</t>
  </si>
  <si>
    <t>Collected and analyzed commercial performance data across media platforms.</t>
  </si>
  <si>
    <t>Measured audience engagement, conversion rates, and brand lift.</t>
  </si>
  <si>
    <t>Conducted A/B testing analysis on different versions of the commercial.</t>
  </si>
  <si>
    <t>Developed detailed performance reports for internal teams and clients.</t>
  </si>
  <si>
    <t>Assessed return on investment (ROI) for media spend and creative execution.</t>
  </si>
  <si>
    <t>Provided insights on audience response to refine future campaign strategies.</t>
  </si>
  <si>
    <t>Led post-campaign debrief meetings to discuss data-driven learnings.</t>
  </si>
  <si>
    <t>Recommended optimizations based on campaign performance analytics.</t>
  </si>
  <si>
    <t>Integrated findings into predictive models for future media planning.</t>
  </si>
  <si>
    <t>Presented key insights and strategic recommendations to executive leadership.</t>
  </si>
  <si>
    <t>Defined the overarching strategic vision for the commercial in alignment with brand objectives.</t>
  </si>
  <si>
    <t>Led consumer research initiatives to uncover key audience insights.</t>
  </si>
  <si>
    <t>Developed a strategic brief to guide creative and media teams.</t>
  </si>
  <si>
    <t>Evaluated market trends and competitive positioning to inform messaging.</t>
  </si>
  <si>
    <t>Collaborated with senior leadership to ensure campaign alignment with business goals.</t>
  </si>
  <si>
    <t>Provided input on audience segmentation and targeting strategies.</t>
  </si>
  <si>
    <t>Reviewed and approved key creative and media planning decisions.</t>
  </si>
  <si>
    <t>Advised on the integration of behavioral and cultural insights into the campaign.</t>
  </si>
  <si>
    <t>Established success metrics and KPIs to measure the commercial’s impact.</t>
  </si>
  <si>
    <t>Presented strategic recommendations to clients and internal stakeholders.</t>
  </si>
  <si>
    <t>Ensured that the creative execution remained aligned with the strategic vision.</t>
  </si>
  <si>
    <t>Provided high-level feedback on messaging consistency and brand positioning.</t>
  </si>
  <si>
    <t>Acted as a liaison between the client and internal teams to maintain strategic alignment.</t>
  </si>
  <si>
    <t>Evaluated real-time production decisions to ensure they supported campaign objectives.</t>
  </si>
  <si>
    <t>Addressed any strategic concerns that arose during production.</t>
  </si>
  <si>
    <t>Reviewed on-set creative elements to confirm audience resonance.</t>
  </si>
  <si>
    <t>Worked with media planners to align production with distribution strategy.</t>
  </si>
  <si>
    <t>Provided insights on potential adjustments based on evolving market conditions.</t>
  </si>
  <si>
    <t>Assisted in managing high-level stakeholder expectations throughout production.</t>
  </si>
  <si>
    <t>Documented key strategic observations to inform post-production analysis.</t>
  </si>
  <si>
    <t>Reviewed final commercial edits to ensure strategic consistency.</t>
  </si>
  <si>
    <t>Assessed campaign performance against predefined KPIs.</t>
  </si>
  <si>
    <t>Led post-campaign analysis to evaluate audience engagement and message effectiveness.</t>
  </si>
  <si>
    <t>Provided strategic recommendations for optimizing future creative executions.</t>
  </si>
  <si>
    <t>Presented findings and insights to executive leadership and clients.</t>
  </si>
  <si>
    <t>Integrated post-campaign learnings into broader brand strategy discussions.</t>
  </si>
  <si>
    <t>Identified opportunities for content repurposing and amplification.</t>
  </si>
  <si>
    <t>Collaborated with analytics teams to refine audience targeting strategies.</t>
  </si>
  <si>
    <t>Conducted competitive post-launch analysis to benchmark performance.</t>
  </si>
  <si>
    <t>Led debrief sessions to align internal teams on key takeaways and next steps.</t>
  </si>
  <si>
    <t>SVP Group Mngmnt Dir</t>
  </si>
  <si>
    <t>Defined the overall business and marketing objectives for the commercial.</t>
  </si>
  <si>
    <t>Led high-level discussions with clients to align on strategic direction and campaign goals.</t>
  </si>
  <si>
    <t>Oversaw the development of the creative brief in collaboration with strategy and creative teams.</t>
  </si>
  <si>
    <t>Managed cross-functional team coordination to ensure alignment across departments.</t>
  </si>
  <si>
    <t>Reviewed and approved production timelines, ensuring project feasibility.</t>
  </si>
  <si>
    <t>Negotiated contracts with external production partners and vendors.</t>
  </si>
  <si>
    <t>Assessed and mitigated potential risks affecting production and campaign success.</t>
  </si>
  <si>
    <t>Provided executive oversight on key creative and media planning decisions.</t>
  </si>
  <si>
    <t>Presented commercial strategy and execution plans to senior leadership and stakeholders.</t>
  </si>
  <si>
    <t>Monitored production progress to ensure alignment with campaign objectives and client expectations.</t>
  </si>
  <si>
    <t>Served as the primary client liaison, providing updates and addressing concerns in real time.</t>
  </si>
  <si>
    <t>Approved on-set creative and strategic decisions to maintain brand consistency.</t>
  </si>
  <si>
    <t>Managed high-level problem-solving for unexpected production challenges.</t>
  </si>
  <si>
    <t>Ensured that production remained within budget and on schedule.</t>
  </si>
  <si>
    <t>Provided leadership support to the production team to uphold creative and strategic standards.</t>
  </si>
  <si>
    <t>Oversaw talent and vendor relationships, ensuring contractual compliance.</t>
  </si>
  <si>
    <t>Reviewed preliminary footage to assess execution quality and adherence to objectives.</t>
  </si>
  <si>
    <t>Acted as a key decision-maker for any last-minute changes or refinements.</t>
  </si>
  <si>
    <t>Communicated production insights and observations to inform post-production strategy.</t>
  </si>
  <si>
    <t>Reviewed final commercial edits to ensure strategic and creative alignment.</t>
  </si>
  <si>
    <t>Led internal and client-facing debriefs on campaign execution and effectiveness.</t>
  </si>
  <si>
    <t>Analyzed commercial performance data in collaboration with analytics and media teams.</t>
  </si>
  <si>
    <t>Provided executive recommendations for optimizing future campaigns based on insights.</t>
  </si>
  <si>
    <t>Ensured the final commercial adhered to brand guidelines and regulatory requirements.</t>
  </si>
  <si>
    <t>Oversaw budget reconciliation and financial reporting post-production.</t>
  </si>
  <si>
    <t>Facilitated discussions on content repurposing for extended campaign use.</t>
  </si>
  <si>
    <t>Managed relationships with media partners for distribution and amplification.</t>
  </si>
  <si>
    <t>Presented campaign performance insights and next steps to senior leadership and clients.</t>
  </si>
  <si>
    <t>Led internal alignment sessions to apply key learnings to future advertising initiatives.</t>
  </si>
  <si>
    <t>EVP Exec Strat Dir</t>
  </si>
  <si>
    <t>Defined the overarching strategic vision and business objectives for the commercial.</t>
  </si>
  <si>
    <t>Led client discussions to align on brand positioning, messaging, and campaign goals.</t>
  </si>
  <si>
    <t>Conducted in-depth market research to identify audience insights and competitive positioning.</t>
  </si>
  <si>
    <t>Provided high-level guidance on consumer segmentation and targeting strategies.</t>
  </si>
  <si>
    <t>Collaborated with creative and media teams to ensure strategic alignment across all touchpoints.</t>
  </si>
  <si>
    <t>Reviewed and approved the strategic brief, ensuring clarity and focus for all teams.</t>
  </si>
  <si>
    <t>Identified key performance indicators (KPIs) to measure the commercial’s success.</t>
  </si>
  <si>
    <t>Evaluated proposed creative concepts to ensure they aligned with strategic objectives.</t>
  </si>
  <si>
    <t>Presented strategic recommendations and commercial roadmaps to executive leadership.</t>
  </si>
  <si>
    <t>Established frameworks for measuring campaign impact and effectiveness.</t>
  </si>
  <si>
    <t>Ensured production execution remained aligned with the strategic vision and brand objectives.</t>
  </si>
  <si>
    <t>Provided high-level feedback on messaging consistency and audience resonance.</t>
  </si>
  <si>
    <t>Reviewed on-set creative elements to confirm strategic alignment.</t>
  </si>
  <si>
    <t>Acted as a key decision-maker for adjustments needed to maintain campaign focus.</t>
  </si>
  <si>
    <t>Served as the primary strategic liaison between the client and internal teams.</t>
  </si>
  <si>
    <t>Assessed emerging consumer trends or market conditions that could influence messaging.</t>
  </si>
  <si>
    <t>Oversaw the integration of strategic insights into the production process.</t>
  </si>
  <si>
    <t>Evaluated test footage or early creative elements for adherence to campaign goals.</t>
  </si>
  <si>
    <t>Provided real-time guidance on any necessary refinements in execution.</t>
  </si>
  <si>
    <t>Communicated strategic observations to inform post-production edits and optimizations.</t>
  </si>
  <si>
    <t>Reviewed final commercial edits to ensure strategic integrity and messaging clarity.</t>
  </si>
  <si>
    <t>Led post-campaign analysis discussions with internal teams and clients.</t>
  </si>
  <si>
    <t>Evaluated audience engagement and sentiment data in collaboration with analytics teams.</t>
  </si>
  <si>
    <t>Provided high-level recommendations for optimizing future creative executions.</t>
  </si>
  <si>
    <t>Assessed media performance to determine effectiveness against KPIs.</t>
  </si>
  <si>
    <t>Identified opportunities for content repurposing across additional platforms.</t>
  </si>
  <si>
    <t>Oversaw the development of post-campaign reports for client and internal review.</t>
  </si>
  <si>
    <t>Presented strategic insights and learnings to executive leadership and stakeholders.</t>
  </si>
  <si>
    <t>Collaborated with creative and media teams to refine future targeting strategies.</t>
  </si>
  <si>
    <t>Led internal debrief sessions to apply campaign learnings to future initiatives.</t>
  </si>
  <si>
    <t>Strategic Planner</t>
  </si>
  <si>
    <t>Conducted market research to gather insights on audience behavior, preferences, and trends.</t>
  </si>
  <si>
    <t>Developed a strategic brief outlining key messaging, positioning, and campaign objectives.</t>
  </si>
  <si>
    <t>Analyzed competitive landscape to identify opportunities for differentiation.</t>
  </si>
  <si>
    <t>Collaborated with creative teams to ensure concept development aligned with consumer insights.</t>
  </si>
  <si>
    <t>Provided recommendations on audience segmentation and targeting strategies.</t>
  </si>
  <si>
    <t>Reviewed past campaign performance data to inform strategic direction.</t>
  </si>
  <si>
    <t>Assisted in defining key performance indicators (KPIs) for measuring commercial success.</t>
  </si>
  <si>
    <t>Presented research findings and strategic recommendations to internal teams and clients.</t>
  </si>
  <si>
    <t>Worked with media planners to ensure alignment between content strategy and media placement.</t>
  </si>
  <si>
    <t>Assisted in developing storytelling frameworks that would resonate with the target audience.</t>
  </si>
  <si>
    <t>Ensured that messaging and branding remained consistent with the strategic vision.</t>
  </si>
  <si>
    <t>Provided real-time feedback on creative execution to maintain alignment with consumer insights.</t>
  </si>
  <si>
    <t>Evaluated production elements to ensure cultural and behavioral relevance.</t>
  </si>
  <si>
    <t>Collaborated with the creative team to refine any messaging inconsistencies.</t>
  </si>
  <si>
    <t>Reviewed on-set footage or early edits to ensure strategic alignment.</t>
  </si>
  <si>
    <t>Acted as a liaison between strategy and creative teams to maintain a cohesive vision.</t>
  </si>
  <si>
    <t>Documented key observations from the production process to inform post-campaign analysis.</t>
  </si>
  <si>
    <t>Monitored evolving market trends that could impact campaign effectiveness.</t>
  </si>
  <si>
    <t>Provided input on potential adjustments to optimize engagement and impact.</t>
  </si>
  <si>
    <t>Worked with media and analytics teams to ensure proper tracking mechanisms were in place.</t>
  </si>
  <si>
    <t>eviewed the final commercial to ensure alignment with the initial strategy.</t>
  </si>
  <si>
    <t>Analyzed audience engagement data to evaluate message effectiveness.</t>
  </si>
  <si>
    <t>Conducted post-campaign analysis to identify key takeaways and areas for optimization.</t>
  </si>
  <si>
    <t>Developed reports summarizing insights and strategic recommendations.</t>
  </si>
  <si>
    <t>Presented findings to internal teams and clients to guide future campaigns.</t>
  </si>
  <si>
    <t>Identified opportunities to repurpose content for additional marketing efforts.</t>
  </si>
  <si>
    <t>Collaborated with analytics teams to refine audience segmentation for future initiatives.</t>
  </si>
  <si>
    <t>Assessed how well the commercial resonated with different audience segments.</t>
  </si>
  <si>
    <t>Provided strategic input on media performance and distribution effectiveness.</t>
  </si>
  <si>
    <t>Led internal debrief sessions to apply learnings to future campaign strategies.</t>
  </si>
  <si>
    <t>VP Mngmnt Dir</t>
  </si>
  <si>
    <t>Defined overall business and marketing objectives for the commercial in collaboration with senior leadership.</t>
  </si>
  <si>
    <t>Led discussions with clients to align on campaign goals, messaging, and execution plans.</t>
  </si>
  <si>
    <t>Oversaw the development of the creative and media brief to ensure strategic consistency.</t>
  </si>
  <si>
    <t>Coordinated cross-functional teams to ensure seamless collaboration between departments.</t>
  </si>
  <si>
    <t>Reviewed and provided feedback on initial creative concepts to ensure alignment with brand strategy.</t>
  </si>
  <si>
    <t>Negotiated contracts with external vendors, production companies, and talent agencies.</t>
  </si>
  <si>
    <t>Established key performance indicators (KPIs) to measure the success of the commercial.</t>
  </si>
  <si>
    <t>Addressed and mitigated potential production risks to ensure smooth execution.</t>
  </si>
  <si>
    <t>Presented pre-production plans and strategic recommendations to executive stakeholders and clients.</t>
  </si>
  <si>
    <t>Monitored the production process to ensure alignment with the approved creative vision and strategy.</t>
  </si>
  <si>
    <t>Served as the primary client liaison, addressing concerns and managing expectations.</t>
  </si>
  <si>
    <t>Provided high-level oversight on creative execution, ensuring brand consistency.</t>
  </si>
  <si>
    <t>Managed budget adherence and resolved any financial discrepancies during production.</t>
  </si>
  <si>
    <t>Facilitated communication between internal teams and external production partners.</t>
  </si>
  <si>
    <t>Reviewed early footage to confirm adherence to messaging and campaign objectives.</t>
  </si>
  <si>
    <t>Acted as a decision-maker for any strategic pivots needed during production.</t>
  </si>
  <si>
    <t>Ensured that all legal and compliance standards were met throughout the production process.</t>
  </si>
  <si>
    <t>Worked with media teams to confirm alignment between production and distribution plans.</t>
  </si>
  <si>
    <t>Provided real-time insights to ensure the commercial’s effectiveness in reaching target audiences.</t>
  </si>
  <si>
    <t>Reviewed final commercial edits to ensure consistency with the original strategy and brand objectives.</t>
  </si>
  <si>
    <t>Led post-campaign performance evaluations to assess effectiveness against KPIs.</t>
  </si>
  <si>
    <t>Facilitated internal and client debriefs to discuss key learnings and future improvements.</t>
  </si>
  <si>
    <t>Worked with analytics teams to interpret audience engagement and performance metrics.</t>
  </si>
  <si>
    <t>Oversaw budget reconciliation and financial reporting for the completed project.</t>
  </si>
  <si>
    <t>Evaluated media performance and provided insights on distribution effectiveness.</t>
  </si>
  <si>
    <t>Recommended optimizations for future creative executions based on campaign results.</t>
  </si>
  <si>
    <t>Identified opportunities for repurposing content across different media platforms.</t>
  </si>
  <si>
    <t>Presented final results and strategic recommendations to executive leadership and clients.</t>
  </si>
  <si>
    <t>Led internal discussions to integrate campaign learnings into future initiatives.</t>
  </si>
  <si>
    <t>Sr Bcast Traffic Mgr</t>
  </si>
  <si>
    <t>Coordinated with creative, media, and production teams to establish traffic deadlines and deliverables.</t>
  </si>
  <si>
    <t>Developed a trafficking schedule to ensure timely asset delivery for all media placements.</t>
  </si>
  <si>
    <t>Reviewed media plans to determine commercial distribution requirements.</t>
  </si>
  <si>
    <t>Collected and verified legal and compliance documentation for all broadcast materials.</t>
  </si>
  <si>
    <t>Liaised with production teams to obtain final formats, specifications, and versioning details.</t>
  </si>
  <si>
    <t>Established quality control procedures to ensure all assets met network and platform requirements.</t>
  </si>
  <si>
    <t>Communicated technical specifications and submission guidelines to internal teams and vendors.</t>
  </si>
  <si>
    <t>Managed clearance processes for regulatory approvals and network compliance.</t>
  </si>
  <si>
    <t>Updated internal tracking systems with project timelines and asset details.</t>
  </si>
  <si>
    <t>Provided trafficking status updates to internal teams and clients to ensure</t>
  </si>
  <si>
    <t>Monitored production progress to anticipate trafficking and delivery requirements.</t>
  </si>
  <si>
    <t>Confirmed that all required versions, edits, and cutdowns were accounted for in the production pipeline.</t>
  </si>
  <si>
    <t>Coordinated with editors and post-production teams to ensure timely finalization of assets.</t>
  </si>
  <si>
    <t>Reviewed preliminary asset files to confirm adherence to broadcast standards.</t>
  </si>
  <si>
    <t>Communicated any last-minute trafficking adjustments to creative and production teams.</t>
  </si>
  <si>
    <t>Worked with legal teams to ensure all required disclaimers, logos, and end tags were properly included.</t>
  </si>
  <si>
    <t>Prepared documentation for network and platform submissions, including metadata and clearance forms.</t>
  </si>
  <si>
    <t>Provided troubleshooting support for technical issues related to asset formats and delivery specifications.</t>
  </si>
  <si>
    <t>Ensured that naming conventions, slates, and time codes were properly implemented.</t>
  </si>
  <si>
    <t>Maintained tracking records of all versions, revisions, and approvals for future reference.</t>
  </si>
  <si>
    <t>Verified final commercial assets before distribution to broadcasters and digital platforms.</t>
  </si>
  <si>
    <t>Delivered completed assets to media partners, ensuring compliance with deadlines.</t>
  </si>
  <si>
    <t>Confirmed receipt and acceptance of materials by networks and digital platforms.</t>
  </si>
  <si>
    <t>Addressed any rejections or technical issues with media partners and post-production teams.</t>
  </si>
  <si>
    <t>Maintained detailed records of traffic logs, submission confirmations, and clearance approvals.</t>
  </si>
  <si>
    <t>Provided internal and client teams with confirmation reports on asset deliveries.</t>
  </si>
  <si>
    <t>Archived all final commercial files for future reference and reuse.</t>
  </si>
  <si>
    <t>Reviewed media performance reports to ensure accurate rotation and airing of commercials.</t>
  </si>
  <si>
    <t>Coordinated with finance teams to reconcile trafficking-related costs and vendor invoices.</t>
  </si>
  <si>
    <t>Led post-campaign trafficking debriefs to optimize future processes and improve efficiency.</t>
  </si>
  <si>
    <t>Collected and analyzed historical campaign performance data to inform commercial strategy.</t>
  </si>
  <si>
    <t>Researched market trends, audience behaviors, and competitive insights to support strategic planning.</t>
  </si>
  <si>
    <t>Assisted in defining key performance indicators (KPIs) for measuring commercial effectiveness.</t>
  </si>
  <si>
    <t>Collaborated with strategy and media teams to align data insights with creative objectives.</t>
  </si>
  <si>
    <t>Created data-driven reports to help guide audience targeting and messaging decisions.</t>
  </si>
  <si>
    <t>Evaluated consumer sentiment and brand perception data relevant to the campaign.</t>
  </si>
  <si>
    <t>Reviewed past media performance to recommend optimal placement and timing.</t>
  </si>
  <si>
    <t>Provided insights on audience segmentation and demographic trends.</t>
  </si>
  <si>
    <t>Ensured tracking mechanisms were in place to measure engagement and effectiveness post-launch.</t>
  </si>
  <si>
    <t>Presented pre-production analysis findings to internal stakeholders to guide creative and media planning.</t>
  </si>
  <si>
    <t>Monitored real-time data from test audiences or live production feedback to assess early performance indicators.</t>
  </si>
  <si>
    <t>Provided analytical support to validate creative and messaging choices.</t>
  </si>
  <si>
    <t>Collaborated with media and production teams to ensure alignment between creative content and strategic goals.</t>
  </si>
  <si>
    <t>Ensured all necessary data tracking elements were embedded into the commercial assets.</t>
  </si>
  <si>
    <t>Assisted in reviewing preliminary footage for consistency with targeted audience insights.</t>
  </si>
  <si>
    <t>Analyzed any available test footage or early edits to predict audience reception.</t>
  </si>
  <si>
    <t>Documented key insights from the production process for post-campaign analysis.</t>
  </si>
  <si>
    <t>Reviewed on-set decisions to ensure strategic alignment with audience preferences.</t>
  </si>
  <si>
    <t>Gathered industry benchmark data to compare real-time production insights with best practices.</t>
  </si>
  <si>
    <t>Provided data-backed recommendations for any necessary last-minute refinements.</t>
  </si>
  <si>
    <t>Analyzed post-campaign performance data to assess the commercial’s effectiveness against KPIs.</t>
  </si>
  <si>
    <t>Compiled reports summarizing audience engagement, brand recall, and conversion metrics.</t>
  </si>
  <si>
    <t>Conducted A/B testing analysis if multiple versions of the commercial were released.</t>
  </si>
  <si>
    <t>Provided insights on regional or demographic performance variations.</t>
  </si>
  <si>
    <t>Reviewed media placement effectiveness based on post-launch data trends.</t>
  </si>
  <si>
    <t>Identified patterns in consumer behavior related to commercial exposure.</t>
  </si>
  <si>
    <t>Collaborated with marketing and media teams to refine future campaign strategies based on performance data.</t>
  </si>
  <si>
    <t>Assessed social media sentiment and digital engagement following the commercial’s release.</t>
  </si>
  <si>
    <t>Developed recommendations for optimizing future commercials based on analytical findings.</t>
  </si>
  <si>
    <t>Presented final performance reports to internal teams and stakeholders, highlighting key learnings.</t>
  </si>
  <si>
    <t>VP Creative Dir</t>
  </si>
  <si>
    <t>Developed the overall creative vision and concept for the commercial in alignment with brand objectives.</t>
  </si>
  <si>
    <t>Led brainstorming sessions with art directors, copywriters, and strategists to refine creative ideas.</t>
  </si>
  <si>
    <t>Reviewed and approved script drafts, ensuring consistency with brand messaging and tone.</t>
  </si>
  <si>
    <t>Provided creative direction for storyboards and visual treatments.</t>
  </si>
  <si>
    <t>Collaborated with strategy and account teams to ensure creative alignment with business goals.</t>
  </si>
  <si>
    <t>Selected key creative partners, including directors, cinematographers, and production designers.</t>
  </si>
  <si>
    <t>Reviewed casting choices to ensure talent aligned with the brand’s image and messaging.</t>
  </si>
  <si>
    <t>Presented creative concepts to clients, incorporating feedback while maintaining artistic integrity.</t>
  </si>
  <si>
    <t>Worked with production teams to ensure feasibility of creative execution within budget constraints.</t>
  </si>
  <si>
    <t>Approved final pre-production materials, including shot lists, set designs, and wardrobe selections.</t>
  </si>
  <si>
    <t>Supervised on-set creative execution to ensure alignment with the approved concept and brand identity.</t>
  </si>
  <si>
    <t>Provided real-time feedback to the director, cinematographer, and production team.</t>
  </si>
  <si>
    <t>Ensured that performances and visual elements adhered to the brand’s tone and style.</t>
  </si>
  <si>
    <t>Collaborated with production designers and stylists to maintain consistency in set and wardrobe choices.</t>
  </si>
  <si>
    <t>Reviewed daily footage (dailies) to ensure high-quality visual and narrative execution.</t>
  </si>
  <si>
    <t>Addressed any creative challenges that arose during filming, making real-time adjustments.</t>
  </si>
  <si>
    <t>Worked closely with editors and script supervisors to maintain narrative continuity.</t>
  </si>
  <si>
    <t>Communicated with agency leadership and clients to provide updates on production progress.</t>
  </si>
  <si>
    <t>Ensured that creative integrity was maintained despite logistical or budgetary constraints.</t>
  </si>
  <si>
    <t>Provided direction for additional shots or reshoots if necessary to enhance storytelling.</t>
  </si>
  <si>
    <t>Reviewed and provided feedback on rough cuts, ensuring alignment with the original creative vision.</t>
  </si>
  <si>
    <t>Directed color grading, sound design, and visual effects to enhance the final product.</t>
  </si>
  <si>
    <t>Worked closely with editors to refine pacing, transitions, and storytelling elements.</t>
  </si>
  <si>
    <t>Provided input on music selection and audio mixing to maintain emotional resonance.</t>
  </si>
  <si>
    <t>Ensured all branding elements, logos, and disclaimers were correctly implemented.</t>
  </si>
  <si>
    <t>Reviewed multiple versions of the commercial for different platforms and audience segments.</t>
  </si>
  <si>
    <t>Collaborated with media teams to tailor edits for various distribution channels.</t>
  </si>
  <si>
    <t>Presented the final cut to clients and addressed any last-minute revisions.</t>
  </si>
  <si>
    <t>Approved the final commercial for release, ensuring it met quality standards.</t>
  </si>
  <si>
    <t>Conducted a post-mortem review to assess creative successes and areas for improvement in future projects.</t>
  </si>
  <si>
    <t>Broadcast Traffic Mgr</t>
  </si>
  <si>
    <t>Coordinated with media, creative, and production teams to establish trafficking timelines and asset requirements.</t>
  </si>
  <si>
    <t>Reviewed media plans to ensure all commercial placements had accurate specifications and deadlines.</t>
  </si>
  <si>
    <t>Communicated submission guidelines, format requirements, and clearance procedures to internal teams.</t>
  </si>
  <si>
    <t>Collected and verified legal disclaimers, talent usage rights, and network compliance documentation.</t>
  </si>
  <si>
    <t>Set up tracking systems to monitor commercial versions, flighting schedules, and delivery deadlines.</t>
  </si>
  <si>
    <t>Worked with post-production teams to confirm final deliverables matched media specifications.</t>
  </si>
  <si>
    <t>Organized and maintained a trafficking database for all commercial assets.</t>
  </si>
  <si>
    <t>Provided internal teams with a detailed production and distribution schedule.</t>
  </si>
  <si>
    <t>Ensured all required approvals were obtained before commercial distribution.</t>
  </si>
  <si>
    <t>Communicated any last-minute trafficking changes or updates to relevant stakeholders.</t>
  </si>
  <si>
    <t>Monitored the production process to anticipate trafficking needs and potential delivery challenges.</t>
  </si>
  <si>
    <t>Coordinated with the production team to confirm final asset specifications for various media platforms.</t>
  </si>
  <si>
    <t>Ensured proper naming conventions and versioning for all commercial edits.</t>
  </si>
  <si>
    <t>Reviewed test versions of commercials to ensure compliance with broadcasting standards.</t>
  </si>
  <si>
    <t>Communicated any technical or clearance-related feedback to production teams.</t>
  </si>
  <si>
    <t>Updated internal trafficking logs with real-time status updates on production progress.</t>
  </si>
  <si>
    <t>Addressed any last-minute adjustments in timing, edits, or regulatory requirements.</t>
  </si>
  <si>
    <t>Ensured the correct placement of branding elements, end tags, and required legal disclaimers.</t>
  </si>
  <si>
    <t>Provided final approval on deliverable formats before assets moved into post-production.</t>
  </si>
  <si>
    <t>Maintained open communication with post-production teams to ensure seamless asset handoff.</t>
  </si>
  <si>
    <t>Verified the final commercial files before submission to broadcasters, digital platforms, and media partners.</t>
  </si>
  <si>
    <t>Delivered completed assets to media partners, ensuring adherence to submission deadlines.</t>
  </si>
  <si>
    <t>Confirmed receipt and approval of commercials with broadcasters and media outlets.</t>
  </si>
  <si>
    <t>Troubleshot any issues related to rejected files, formatting errors, or compliance concerns.</t>
  </si>
  <si>
    <t>Managed flighting schedules and coordinated updates for any versioning changes or re-uploads.</t>
  </si>
  <si>
    <t>Maintained documentation of all commercial deliveries, including timestamps and approval confirmations.</t>
  </si>
  <si>
    <t>Provided internal and client teams with distribution status updates and trafficking reports.</t>
  </si>
  <si>
    <t>Archived all final commercial assets for future reference and potential reuse.</t>
  </si>
  <si>
    <t>Reconciled trafficking-related costs and vendor invoices with finance and media teams.</t>
  </si>
  <si>
    <t>Conducted a post-campaign trafficking review to identify opportunities for workflow improvements.</t>
  </si>
  <si>
    <t>Assoc Dir Social Media</t>
  </si>
  <si>
    <t>Developed the social media strategy to support the commercial’s launch and engagement goals.</t>
  </si>
  <si>
    <t>Collaborated with creative and media teams to align social content with the commercial’s messaging.</t>
  </si>
  <si>
    <t>Identified key audience segments and platform-specific distribution strategies.</t>
  </si>
  <si>
    <t>Coordinated with influencers or brand advocates for potential campaign collaborations.</t>
  </si>
  <si>
    <t>Developed a content calendar for social media posts leading up to, during, and after the commercial launch.</t>
  </si>
  <si>
    <t>Created engagement guidelines for community management and real-time responses.</t>
  </si>
  <si>
    <t>Ensured legal and compliance approvals for social media assets related to the commercial.</t>
  </si>
  <si>
    <t>Planned paid media support, including targeting parameters for social ad placements.</t>
  </si>
  <si>
    <t>Worked with designers and copywriters to develop teaser content and supporting visuals.</t>
  </si>
  <si>
    <t>Established key performance indicators (KPIs) for measuring social media success.</t>
  </si>
  <si>
    <t>Captured behind-the-scenes content for social media use across various platforms.</t>
  </si>
  <si>
    <t>Conducted real-time social monitoring to gauge audience sentiment during production teasers.</t>
  </si>
  <si>
    <t>Coordinated live social updates from the set, such as interviews with cast or crew.</t>
  </si>
  <si>
    <t>Ensured social branding elements were properly integrated into the production environment.</t>
  </si>
  <si>
    <t>Developed interactive social experiences, such as polls or Q&amp;A sessions, to engage audiences.</t>
  </si>
  <si>
    <t>Provided creative input on social-first adaptations of the commercial content.</t>
  </si>
  <si>
    <t>Monitored and responded to early audience reactions on social platforms.</t>
  </si>
  <si>
    <t>Collaborated with videographers to ensure short-form content was optimized for mobile platforms.</t>
  </si>
  <si>
    <t>Managed approvals for on-set content before sharing with the public.</t>
  </si>
  <si>
    <t>Created and scheduled promotional posts to build anticipation before the commercial’s release.</t>
  </si>
  <si>
    <t>Launched the commercial on social media platforms according to the distribution strategy.</t>
  </si>
  <si>
    <t>Monitored audience reactions and engagement metrics in real time.</t>
  </si>
  <si>
    <t>Managed community responses, addressing comments and fostering brand conversations.</t>
  </si>
  <si>
    <t>Optimized the commercial’s social performance through A/B testing of headlines, thumbnails, and copy.</t>
  </si>
  <si>
    <t>Developed and published supporting content, such as GIFs, clips, or reaction videos.</t>
  </si>
  <si>
    <t>Coordinated with paid media teams to boost high-performing content.</t>
  </si>
  <si>
    <t>Analyzed post-launch data to measure social engagement, shares, and conversions.</t>
  </si>
  <si>
    <t>Created performance reports highlighting key social media insights and recommendations.</t>
  </si>
  <si>
    <t>Adjusted content distribution tactics based on initial audience responses.</t>
  </si>
  <si>
    <t>Led a post-campaign debrief to assess successes and areas for improvement in future social campaigns.</t>
  </si>
  <si>
    <t>Conducted market research to identify consumer insights that informed the commercial’s strategy.</t>
  </si>
  <si>
    <t>Developed a strategic brief outlining key messaging, target audience, and brand positioning.</t>
  </si>
  <si>
    <t>Collaborated with creative teams to ensure the commercial’s concept aligned with strategic objectives.</t>
  </si>
  <si>
    <t>Analyzed competitive campaigns to identify opportunities for differentiation.</t>
  </si>
  <si>
    <t>Provided data-backed recommendations on audience segmentation and media placement.</t>
  </si>
  <si>
    <t>Worked with media planners to ensure strategic alignment between creative execution and distribution channels.</t>
  </si>
  <si>
    <t>Reviewed past campaign performance to identify insights applicable to the new commercial.</t>
  </si>
  <si>
    <t>Presented strategic recommendations to internal stakeholders and client teams.</t>
  </si>
  <si>
    <t>Ensured the strategy incorporated cultural and market trends relevant to the target audience.</t>
  </si>
  <si>
    <t>Provided on-set guidance to ensure the execution remained true to the strategic vision.</t>
  </si>
  <si>
    <t>Assessed real-time production adjustments to ensure they aligned with audience insights.</t>
  </si>
  <si>
    <t>Reviewed early footage to confirm consistency with the brand’s messaging and objectives.</t>
  </si>
  <si>
    <t>Collaborated with creative directors to refine visual storytelling based on strategic goals.</t>
  </si>
  <si>
    <t>Ensured brand authenticity was maintained through dialogue, visuals, and tone.</t>
  </si>
  <si>
    <t>Addressed any strategic misalignment that arose during the filming process.</t>
  </si>
  <si>
    <t>Monitored live audience reactions if test screenings were conducted during production.</t>
  </si>
  <si>
    <t>Provided feedback on performance delivery to ensure messaging effectiveness.</t>
  </si>
  <si>
    <t>Assisted in optimizing content for multiple platforms and audience segments.</t>
  </si>
  <si>
    <t>Documented strategic learnings from production for post-campaign analysis.</t>
  </si>
  <si>
    <t>Reviewed rough cuts to ensure alignment with the strategic brief and brand objectives.</t>
  </si>
  <si>
    <t>Provided feedback on edits to refine messaging clarity and emotional impact.</t>
  </si>
  <si>
    <t>Analyzed early audience testing results to recommend final adjustments.</t>
  </si>
  <si>
    <t>Worked with media and analytics teams to measure initial response and engagement.</t>
  </si>
  <si>
    <t>Evaluated the commercial’s alignment with current cultural and consumer trends.</t>
  </si>
  <si>
    <t>Developed post-campaign reports summarizing key insights and strategic learnings.</t>
  </si>
  <si>
    <t>Presented final analysis to internal teams and clients, outlining successes and areas for improvement.</t>
  </si>
  <si>
    <t>Assessed performance metrics to inform recommendations for future campaigns.</t>
  </si>
  <si>
    <t>Identified ways to repurpose content for extended brand storytelling.</t>
  </si>
  <si>
    <t>Led a post-mortem discussion to refine future strategic planning processes.</t>
  </si>
  <si>
    <t>Supervised on-set talent to ensure contract adherence and proper execution of agreements.</t>
  </si>
  <si>
    <t>Addressed last-minute contractual or legal concerns arising during filming.</t>
  </si>
  <si>
    <t>Coordinated talent scheduling and ensured all required documentation was properly executed.</t>
  </si>
  <si>
    <t>Acted as the primary liaison between talent, legal teams, and production staff.</t>
  </si>
  <si>
    <t>Ensured compliance with union and industry regulations regarding working conditions and payment.</t>
  </si>
  <si>
    <t>Reviewed talent contracts and ensured compliance with legal and financial guidelines.</t>
  </si>
  <si>
    <t>Negotiated usage rights, exclusivity terms, and compensation agreements for featured talent.</t>
  </si>
  <si>
    <t>Coordinated with casting agencies to finalize talent selection and obtain necessary approvals.</t>
  </si>
  <si>
    <t>Provided guidance on regulatory considerations related to talent involvement in advertising.</t>
  </si>
  <si>
    <t>Drafted and reviewed confidentiality agreements to protect proprietary campaign details.</t>
  </si>
  <si>
    <t>Verified that final edits adhered to talent agreements, including voiceovers and image rights.</t>
  </si>
  <si>
    <t>Reviewed licensing and release terms to confirm proper usage in all planned media channels.</t>
  </si>
  <si>
    <t>Managed talent residuals and ensured accurate compensation tracking for future use.</t>
  </si>
  <si>
    <t>Provided legal oversight on extended usage requests or edits requiring additional clearances.</t>
  </si>
  <si>
    <t>Coordinated with media planners to ensure talent-related restrictions were met across platforms.</t>
  </si>
  <si>
    <t>Prod, Integrated Production</t>
  </si>
  <si>
    <t>Developed production timelines and ensured alignment with overall campaign milestones.</t>
  </si>
  <si>
    <t>Coordinated with creative, strategy, and account teams to finalize script and concept details.</t>
  </si>
  <si>
    <t>Secured production vendors, including directors, cinematographers, and post-production teams.</t>
  </si>
  <si>
    <t>Managed budget estimates, secured approvals, and negotiated vendor contracts.</t>
  </si>
  <si>
    <t>Organized pre-production meetings to align all stakeholders on creative execution and logistics.</t>
  </si>
  <si>
    <t>Secured necessary permits, insurance, and location agreements for the shoot.</t>
  </si>
  <si>
    <t>Reviewed talent, wardrobe, and set design decisions to ensure feasibility within production constraints.</t>
  </si>
  <si>
    <t>Oversaw on-set operations to ensure adherence to the production schedule and budget.</t>
  </si>
  <si>
    <t>Managed communication between agency teams, clients, and production staff during filming.</t>
  </si>
  <si>
    <t>Resolved real-time challenges related to logistics, talent, and creative execution.</t>
  </si>
  <si>
    <t>Ensured all necessary legal and compliance documentation was executed and maintained.</t>
  </si>
  <si>
    <t>Supervised vendor deliverables, ensuring quality control and adherence to creative vision.</t>
  </si>
  <si>
    <t>Monitored on-set safety protocols and ensured adherence to industry regulations.</t>
  </si>
  <si>
    <t>Provided daily production reports and budget updates to key stakeholders.</t>
  </si>
  <si>
    <t>Coordinated with editorial teams to manage footage transfers and initial rough cuts.</t>
  </si>
  <si>
    <t>Managed client feedback and facilitated revisions to align with campaign objectives.</t>
  </si>
  <si>
    <t>Oversaw visual effects, sound design, and color correction to ensure high-quality final assets.</t>
  </si>
  <si>
    <t>Ensured legal clearances for music, stock footage, and other licensed content.</t>
  </si>
  <si>
    <t>Supervised final asset delivery, ensuring correct formatting and specifications for media placement.</t>
  </si>
  <si>
    <t>Managed versioning and adaptation of content for different platforms and markets.</t>
  </si>
  <si>
    <t>Conducted post-mortem meetings to assess production efficiency and identify areas for improvement.</t>
  </si>
  <si>
    <t>Assoc Creative Dir, Creative</t>
  </si>
  <si>
    <t>Developed the initial creative concept and storyboard for the commercial.</t>
  </si>
  <si>
    <t>Collaborated with the copywriting team to refine the script and messaging.</t>
  </si>
  <si>
    <t>Reviewed and approved casting selections for on-screen talent.</t>
  </si>
  <si>
    <t>Provided creative direction for the set design and visual style.</t>
  </si>
  <si>
    <t>Coordinated with the production team to align the budget with creative needs.</t>
  </si>
  <si>
    <t>Approved location selections to ensure alignment with the creative vision.</t>
  </si>
  <si>
    <t>Directed the development of pre-visualization materials, including animatics.</t>
  </si>
  <si>
    <t>Reviewed wardrobe, hair, and makeup choices to maintain brand consistency.</t>
  </si>
  <si>
    <t>Participated in pre-production meetings with the director and production leads.</t>
  </si>
  <si>
    <t>Signed off on final shot lists and production schedules.</t>
  </si>
  <si>
    <t>Provided on-set creative direction to maintain visual and narrative consistency.</t>
  </si>
  <si>
    <t>Collaborated with the director to adjust performances as needed.</t>
  </si>
  <si>
    <t>Reviewed lighting and camera setups to ensure alignment with the vision.</t>
  </si>
  <si>
    <t>Gave real-time feedback on set design, props, and styling.</t>
  </si>
  <si>
    <t>Worked with the production team to solve unforeseen creative challenges.</t>
  </si>
  <si>
    <t>Evaluated test shots and made adjustments to framing and composition.</t>
  </si>
  <si>
    <t>Ensured brand guidelines were adhered to throughout filming.</t>
  </si>
  <si>
    <t>Approved key takes before moving forward with additional shots.</t>
  </si>
  <si>
    <t>Directed voiceover or talent to refine delivery and tone.</t>
  </si>
  <si>
    <t>Documented on-set changes for reference in post-production.</t>
  </si>
  <si>
    <t>Reviewed and provided feedback on initial rough cuts of the commercial.</t>
  </si>
  <si>
    <t>Collaborated with the editing team to refine pacing and transitions.</t>
  </si>
  <si>
    <t>Approved final color grading to maintain brand consistency.</t>
  </si>
  <si>
    <t>Provided direction on visual effects and motion graphics integration.</t>
  </si>
  <si>
    <t>Evaluated sound design and approved final audio mixes.</t>
  </si>
  <si>
    <t>Reviewed voiceover and synchronized it with visual elements.</t>
  </si>
  <si>
    <t>Ensured all edits adhered to brand guidelines and creative vision.</t>
  </si>
  <si>
    <t>Signed off on final deliverables before distribution.</t>
  </si>
  <si>
    <t>Participated in final approval meetings with stakeholders.</t>
  </si>
  <si>
    <t>Oversaw adaptation of the commercial for different media formats.</t>
  </si>
  <si>
    <t>Negotiated contracts with on-screen and voiceover talent.</t>
  </si>
  <si>
    <t>Secured usage rights and licensing agreements for talent appearances.</t>
  </si>
  <si>
    <t>Reviewed talent union requirements and ensured compliance.</t>
  </si>
  <si>
    <t>Coordinated with legal teams to finalize talent agreements.</t>
  </si>
  <si>
    <t>Managed talent budget allocations in alignment with production costs.</t>
  </si>
  <si>
    <t>Oversaw casting negotiations and approved final talent selections.</t>
  </si>
  <si>
    <t>Ensured exclusivity clauses were reviewed and enforced as needed.</t>
  </si>
  <si>
    <t>Provided guidance on talent contract terms related to media usage.</t>
  </si>
  <si>
    <t>Addressed any talent-related conflicts before production commenced.</t>
  </si>
  <si>
    <t>Confirmed travel, accommodations, and per diem arrangements for talent.</t>
  </si>
  <si>
    <t>Supervised on-site talent management to ensure contractual compliance.</t>
  </si>
  <si>
    <t>Coordinated talent schedules to align with the production timeline.</t>
  </si>
  <si>
    <t>Addressed last-minute contractual or logistical talent concerns.</t>
  </si>
  <si>
    <t>Ensured proper handling of talent accommodations and on-set needs.</t>
  </si>
  <si>
    <t>Communicated real-time talent-related updates to the production team.</t>
  </si>
  <si>
    <t>Verified that all talent adhered to contractual obligations on set.</t>
  </si>
  <si>
    <t>Managed any necessary adjustments to talent agreements during filming.</t>
  </si>
  <si>
    <t>Ensured accurate time tracking for union compliance and payroll processing.</t>
  </si>
  <si>
    <t>Resolved talent disputes or concerns in collaboration with production leads.</t>
  </si>
  <si>
    <t>Reviewed and approved talent wrap paperwork before the conclusion of filming.</t>
  </si>
  <si>
    <t>Verified adherence to talent contract terms regarding usage rights.</t>
  </si>
  <si>
    <t>Ensured all necessary talent releases and waivers were on file.</t>
  </si>
  <si>
    <t>Reviewed final edits to confirm compliance with talent agreements.</t>
  </si>
  <si>
    <t>Managed additional compensation agreements for extended usage.</t>
  </si>
  <si>
    <t>Approved talent payments and processed residuals as required.</t>
  </si>
  <si>
    <t>Coordinated with legal teams to resolve any talent-related disputes.</t>
  </si>
  <si>
    <t>Provided guidance on talent usage across different media formats.</t>
  </si>
  <si>
    <t>Ensured compliance with talent union regulations for broadcast and digital use.</t>
  </si>
  <si>
    <t>Reviewed final commercial materials for any unauthorized talent appearances.</t>
  </si>
  <si>
    <t>Maintained accurate records of talent contracts and usage rights for future reference.</t>
  </si>
  <si>
    <t>Assoc Creative Dir, Creative Devt</t>
  </si>
  <si>
    <t>Developed and refined the creative concept for the commercial.</t>
  </si>
  <si>
    <t>Created and presented storyboards and visual references for approval.</t>
  </si>
  <si>
    <t>Collaborated with copywriters to finalize script development.</t>
  </si>
  <si>
    <t>Provided creative input on casting decisions for on-screen talent.</t>
  </si>
  <si>
    <t>Directed the overall visual and tonal approach of the commercial.</t>
  </si>
  <si>
    <t>Approved key design elements, including set, wardrobe, and props.</t>
  </si>
  <si>
    <t>Worked closely with directors and cinematographers to plan shot compositions.</t>
  </si>
  <si>
    <t>Participated in pre-production meetings to align creative direction with production logistics.</t>
  </si>
  <si>
    <t>Reviewed and refined animatics or pre-visualization materials.</t>
  </si>
  <si>
    <t>Signed off on final production schedules to ensure alignment with creative goals.</t>
  </si>
  <si>
    <t>Provided on-set creative direction to maintain consistency with the concept.</t>
  </si>
  <si>
    <t>Ensured visual elements, such as framing and lighting, aligned with the creative vision.</t>
  </si>
  <si>
    <t>Reviewed test shots and provided real-time feedback to the production team.</t>
  </si>
  <si>
    <t>Addressed any creative challenges that arose during filming.</t>
  </si>
  <si>
    <t>Worked with the wardrobe and styling team to ensure brand consistency.</t>
  </si>
  <si>
    <t>Supervised prop and set dressing to maintain the intended aesthetic.</t>
  </si>
  <si>
    <t>Directed on-set adjustments to enhance storytelling effectiveness.</t>
  </si>
  <si>
    <t>Approved key takes before proceeding with additional shots.</t>
  </si>
  <si>
    <t>Documented creative decisions for reference in post-production.</t>
  </si>
  <si>
    <t>Reviewed initial rough cuts and provided feedback for refinements.</t>
  </si>
  <si>
    <t>Worked with editors to fine-tune pacing, transitions, and visual flow.</t>
  </si>
  <si>
    <t>Provided direction on color grading to maintain brand consistency.</t>
  </si>
  <si>
    <t>Approved motion graphics and visual effects for integration into the final cut.</t>
  </si>
  <si>
    <t>Reviewed and refined audio elements, including sound design and music selection.</t>
  </si>
  <si>
    <t>Ensured voiceover recordings aligned with the intended creative tone.</t>
  </si>
  <si>
    <t>Collaborated with post-production teams to finalize typography and branding elements.</t>
  </si>
  <si>
    <t>Signed off on the final edit before client presentation.</t>
  </si>
  <si>
    <t>Provided guidance on adaptations for different media formats and platforms.</t>
  </si>
  <si>
    <t>Participated in final approval meetings to ensure creative integrity was maintained.</t>
  </si>
  <si>
    <t>Sr Acct Exec</t>
  </si>
  <si>
    <t>Coordinated with clients to gather project requirements and define campaign objectives.</t>
  </si>
  <si>
    <t>Collaborated with the creative team to develop and refine the commercial concept and script.</t>
  </si>
  <si>
    <t>Organized and managed auditions for talent, including actors, voiceovers, and extras.</t>
  </si>
  <si>
    <t>Secured locations for shooting by researching, visiting, and obtaining necessary permits.</t>
  </si>
  <si>
    <t>Developed and managed the project timeline, ensuring all milestones were met prior to production.</t>
  </si>
  <si>
    <t>Oversaw the coordination between the production crew and client representatives on set.</t>
  </si>
  <si>
    <t>Ensured that all equipment, talent, and resources were available and properly allocated during filming.</t>
  </si>
  <si>
    <t>Monitored the daily production schedule, making adjustments as needed to maintain project efficiency.</t>
  </si>
  <si>
    <t>Supervised the communication between directors, producers, and clients to ensure creative vision was adhered to.</t>
  </si>
  <si>
    <t>Managed on-site logistics, including catering, transportation, and accommodations for talent and crew.</t>
  </si>
  <si>
    <t>Reviewed initial edits of the commercial and provided feedback to the editing team.</t>
  </si>
  <si>
    <t>Coordinated with sound designers and music supervisors to finalize audio elements of the commercial.</t>
  </si>
  <si>
    <t>Ensured the timely delivery of the final commercial to clients, adhering to all quality standards.</t>
  </si>
  <si>
    <t>Worked closely with the legal team to verify that all copyright and usage rights were properly secured.</t>
  </si>
  <si>
    <t>Managed the creation of different versions of the commercial for various platforms and distribution channels.</t>
  </si>
  <si>
    <t>Developed and presented project budgets to clients, ensuring alignment with financial expectations.</t>
  </si>
  <si>
    <t>Coordinated with the legal department to draft and review contracts for talent and vendors.</t>
  </si>
  <si>
    <t>Conducted research on market trends and audience preferences to inform creative direction.</t>
  </si>
  <si>
    <t>Scheduled and led client meetings to review concepts, storyboards, and production plans.</t>
  </si>
  <si>
    <t>Managed the logistics of securing props, wardrobe, and other necessary materials for the shoot.</t>
  </si>
  <si>
    <t>Facilitated communication between the client and production team to address any on-set changes or requests.</t>
  </si>
  <si>
    <t>Oversaw the tracking and approval of daily expenses and kept the production budget on track.</t>
  </si>
  <si>
    <t>Ensured all safety protocols were followed on set, maintaining a secure environment for the crew and talent.</t>
  </si>
  <si>
    <t>Managed the coordination of transportation and logistics for crew and equipment to and from locations.</t>
  </si>
  <si>
    <t>Acted as a liaison between the director and the client to ensure real-time approvals and feedback during filming.</t>
  </si>
  <si>
    <t>Organized and participated in post-production review sessions with clients to ensure the final product aligned with their vision.</t>
  </si>
  <si>
    <t>Coordinated the integration of visual effects, ensuring they were consistent with the commercial’s overall aesthetic.</t>
  </si>
  <si>
    <t>Ensured all project deliverables, such as digital files, were formatted correctly for various media platforms.</t>
  </si>
  <si>
    <t>Monitored the approval process of the final commercial, ensuring timely revisions and approvals from the client.</t>
  </si>
  <si>
    <t>Managed the coordination of the commercial's launch strategy, including timelines for distribution and promotion.</t>
  </si>
  <si>
    <t>Developed the overarching campaign strategy in collaboration with the creative and media teams.</t>
  </si>
  <si>
    <t>Approved the commercial concept and script to ensure alignment with brand objectives.</t>
  </si>
  <si>
    <t>Secured client approval on the creative direction, budget, and production timeline.</t>
  </si>
  <si>
    <t>Coordinated with legal and regulatory teams to review script compliance.</t>
  </si>
  <si>
    <t>Negotiated contracts with production companies, directors, and key talent.</t>
  </si>
  <si>
    <t>Oversaw casting decisions and ensured talent selection aligned with brand positioning.</t>
  </si>
  <si>
    <t>Managed client expectations regarding creative execution, budget constraints, and timelines.</t>
  </si>
  <si>
    <t>Reviewed and approved the final production schedule and location scouting reports.</t>
  </si>
  <si>
    <t>Aligned internal stakeholders on key deliverables, roles, and responsibilities.</t>
  </si>
  <si>
    <t>Led pre-production meetings to ensure all teams were prepared for execution.</t>
  </si>
  <si>
    <t>Supervised on-set activities to ensure adherence to the approved creative vision.</t>
  </si>
  <si>
    <t>Addressed client feedback in real-time during the shoot while balancing creative integrity.</t>
  </si>
  <si>
    <t>Ensured budget adherence by monitoring production costs and approving necessary adjustments.</t>
  </si>
  <si>
    <t>Managed high-level problem-solving for unforeseen production challenges.</t>
  </si>
  <si>
    <t>Maintained clear communication between the agency, production team, and client representatives.</t>
  </si>
  <si>
    <t>Reviewed footage periodically to confirm alignment with the creative brief.</t>
  </si>
  <si>
    <t>Provided leadership in resolving talent or crew-related issues that impacted production.</t>
  </si>
  <si>
    <t>Approved any last-minute script or scene changes in consultation with key stakeholders.</t>
  </si>
  <si>
    <t>Ensured all required shots were captured within the allocated production time.</t>
  </si>
  <si>
    <t>Signed off on the completion of each scheduled shoot day.</t>
  </si>
  <si>
    <t>Reviewed initial edits and provided strategic feedback to refine the commercial.</t>
  </si>
  <si>
    <t>Ensured consistency in messaging, branding, and storytelling throughout the edit.</t>
  </si>
  <si>
    <t>Coordinated client review sessions and consolidated feedback for the post-production team.</t>
  </si>
  <si>
    <t>Approved final selections for music, sound design, and voiceovers.</t>
  </si>
  <si>
    <t>Worked with legal teams to verify compliance with industry regulations before final approval.</t>
  </si>
  <si>
    <t>Oversaw color correction and visual effects to maintain brand aesthetics.</t>
  </si>
  <si>
    <t>Finalized subtitling, closed captions, or alternate versions required for distribution.</t>
  </si>
  <si>
    <t>Managed final budget reconciliation and ensured all post-production costs were accounted for.</t>
  </si>
  <si>
    <t>Secured client sign-off on the final commercial before media deployment.</t>
  </si>
  <si>
    <t>Coordinated with media partners to ensure proper formatting and timely delivery for broadcast and digital platforms</t>
  </si>
  <si>
    <t>Head of Prod</t>
  </si>
  <si>
    <t>Finalized the production budget and ensured cost efficiency across all elements.</t>
  </si>
  <si>
    <t>Selected and negotiated contracts with production vendors, directors, and key crew members.</t>
  </si>
  <si>
    <t>Secured locations, permits, and necessary clearances for the shoot.</t>
  </si>
  <si>
    <t>Developed the production timeline and ensured alignment with overall campaign deadlines.</t>
  </si>
  <si>
    <t>Reviewed and approved casting choices in collaboration with the creative team.</t>
  </si>
  <si>
    <t>Managed logistics for travel, accommodations, and equipment rentals.</t>
  </si>
  <si>
    <t>Coordinated with legal teams to ensure compliance with talent agreements and industry regulations.</t>
  </si>
  <si>
    <t>Oversaw pre-production meetings to align all departments on execution details.</t>
  </si>
  <si>
    <t>Assessed production risks and implemented contingency plans.</t>
  </si>
  <si>
    <t>Approved the final call sheet, production schedules, and crew assignments</t>
  </si>
  <si>
    <t>Supervised all on-set operations to ensure adherence to the production plan.</t>
  </si>
  <si>
    <t>Monitored the production budget and approved necessary adjustments.</t>
  </si>
  <si>
    <t>Addressed technical challenges, scheduling conflicts, and unforeseen production issues.</t>
  </si>
  <si>
    <t>Ensured that all equipment, props, and wardrobe met creative and technical specifications.</t>
  </si>
  <si>
    <t>Managed crew coordination and problem-solving to maintain workflow efficiency.</t>
  </si>
  <si>
    <t>Oversaw health and safety protocols for cast and crew during filming.</t>
  </si>
  <si>
    <t>Ensured compliance with contractual obligations, including union and labor requirements.</t>
  </si>
  <si>
    <t>Reviewed footage regularly to confirm quality control and adherence to the storyboard.</t>
  </si>
  <si>
    <t>Facilitated real-time decision-making between creative, client, and production teams.</t>
  </si>
  <si>
    <t>Approved the wrap plan and ensured proper handling of production assets</t>
  </si>
  <si>
    <t>Oversaw the editing process to ensure alignment with the creative vision.</t>
  </si>
  <si>
    <t>Managed post-production budgets and ensured costs remained within approved limits.</t>
  </si>
  <si>
    <t>Coordinated with editors, VFX teams, and sound designers to meet project deadlines.</t>
  </si>
  <si>
    <t>Reviewed and approved music licensing, voiceover recordings, and final sound mix.</t>
  </si>
  <si>
    <t>Ensured color correction and finishing met brand and technical standards.</t>
  </si>
  <si>
    <t>Managed revisions based on internal and client feedback rounds.</t>
  </si>
  <si>
    <t>Approved final deliverables and ensured proper formatting for distribution.</t>
  </si>
  <si>
    <t>Secured legal clearances for final assets, including rights management and usage agreements.</t>
  </si>
  <si>
    <t>Coordinated with media and trafficking teams to meet broadcast and digital distribution deadlines.</t>
  </si>
  <si>
    <t>Conducted a final project wrap-up, including asset archiving and financial reconciliation</t>
  </si>
  <si>
    <t>Developed comprehensive social media campaign strategies aligned with the commercial's objectives.</t>
  </si>
  <si>
    <t>Collaborated with creative teams to ensure social media messaging was integrated into the commercial concept.</t>
  </si>
  <si>
    <t>Coordinated with production teams to align shoot schedules with planned social media content rollouts.</t>
  </si>
  <si>
    <t>Provided input on casting and script elements to ensure relevance and resonance with target social media audiences.</t>
  </si>
  <si>
    <t>Established KPIs for social media engagement and performance related to the commercial's launch.</t>
  </si>
  <si>
    <t>Oversaw behind-the-scenes content creation for use across social media platforms.</t>
  </si>
  <si>
    <t>Managed real-time social media updates during key production milestones.</t>
  </si>
  <si>
    <t>Worked closely with directors and producers to secure exclusive social media content during filming.</t>
  </si>
  <si>
    <t>Directed live social media interactions, including Q&amp;A sessions and live-streaming opportunities from the set.</t>
  </si>
  <si>
    <t>Ensured consistent brand voice and messaging across all social media content captured during production.</t>
  </si>
  <si>
    <t>Coordinated the rollout schedule of the commercial across social media channels.</t>
  </si>
  <si>
    <t>Developed and executed teaser campaigns to generate anticipation prior to the commercial's release.</t>
  </si>
  <si>
    <t>Analyzed performance metrics of social media campaigns tied to the commercial and prepared performance reports.</t>
  </si>
  <si>
    <t>Collaborated with post-production teams to secure final assets optimized for various social media formats.</t>
  </si>
  <si>
    <t>Engaged with audience feedback across social media platforms and adjusted content strategies accordingly.</t>
  </si>
  <si>
    <t>Conducted market research to identify social media trends relevant to the commercial’s target audience.</t>
  </si>
  <si>
    <t>Developed a content calendar outlining key social media activities leading up to the commercial launch.</t>
  </si>
  <si>
    <t>Collaborated with legal and compliance teams to review social media content guidelines for the campaign.</t>
  </si>
  <si>
    <t>Briefed influencers and brand ambassadors on campaign objectives and expected deliverables.</t>
  </si>
  <si>
    <t>Created detailed social media briefs to guide creative and production teams on platform-specific content requirements.</t>
  </si>
  <si>
    <t>Captured exclusive interviews with cast and crew for social media promotional content.</t>
  </si>
  <si>
    <t>Monitored on-set content creation to ensure alignment with social media strategy and branding guidelines.</t>
  </si>
  <si>
    <t>Coordinated with photographers and videographers to produce supplementary digital content for social media use.</t>
  </si>
  <si>
    <t>Managed approvals for real-time content shared during production across social media platforms.</t>
  </si>
  <si>
    <t>Facilitated social media collaborations with strategic partners and talent during the production phase.</t>
  </si>
  <si>
    <t>Created platform-specific content adaptations from the commercial for optimized social media distribution.</t>
  </si>
  <si>
    <t>Implemented paid social media campaigns to boost the commercial's visibility across key markets.</t>
  </si>
  <si>
    <t>Managed post-launch social listening efforts to monitor audience sentiment and engagement trends.</t>
  </si>
  <si>
    <t>Led cross-functional debrief sessions to evaluate the performance of social media initiatives tied to the commercial.</t>
  </si>
  <si>
    <t>Updated social media playbooks with key learnings and best practices derived from the campaign’s performance.</t>
  </si>
  <si>
    <t>Assisted in developing visual concepts and storyboards to align with the commercial's creative direction.</t>
  </si>
  <si>
    <t>Prepared mood boards and style guides to ensure consistency in visual elements across all campaign assets.</t>
  </si>
  <si>
    <t>Collaborated with senior creative staff to refine the commercial’s visual narrative and design approach.</t>
  </si>
  <si>
    <t>Selected props, wardrobe pieces, and set design elements that complemented the visual aesthetic of the campaign.</t>
  </si>
  <si>
    <t>Participated in pre-production meetings to provide input on the visual impact of proposed concepts.</t>
  </si>
  <si>
    <t>Oversaw the execution of visual elements on set to ensure alignment with approved design concepts.</t>
  </si>
  <si>
    <t>Worked closely with the director and cinematographer to adjust visual compositions during filming.</t>
  </si>
  <si>
    <t>Provided on-the-spot creative feedback regarding set design, lighting, and wardrobe choices.</t>
  </si>
  <si>
    <t>Assisted in managing on-set creative assets, including props and visual references, for continuity.</t>
  </si>
  <si>
    <t>Documented visual references and key scenes for use in post-production editing and design.</t>
  </si>
  <si>
    <t>Reviewed rough cuts to ensure visual elements met the original creative brief and design standards.</t>
  </si>
  <si>
    <t>Collaborated with editors and motion graphics teams to refine visual effects and color grading.</t>
  </si>
  <si>
    <t>Provided feedback on typography, graphic overlays, and visual transitions used in the final edit.</t>
  </si>
  <si>
    <t>Assisted in the creation of supplementary visual content for digital and social media adaptations.</t>
  </si>
  <si>
    <t>Participated in final approval sessions to ensure all design components were visually cohesive and brand-compliant.</t>
  </si>
  <si>
    <t>Analyzed historical campaign data to provide insights for shaping the commercial's strategic direction.</t>
  </si>
  <si>
    <t>Developed data-driven audience profiles to guide creative and media planning decisions.</t>
  </si>
  <si>
    <t>Defined key performance indicators (KPIs) and success metrics for measuring campaign effectiveness.</t>
  </si>
  <si>
    <t>Collaborated with media planners to forecast reach, engagement, and conversion projections.</t>
  </si>
  <si>
    <t>Created reporting frameworks to track performance data throughout the commercial's lifecycle.</t>
  </si>
  <si>
    <t>Monitored real-time engagement data from teaser content released during filming.</t>
  </si>
  <si>
    <t>Provided on-set recommendations based on live audience sentiment analysis from social channels.</t>
  </si>
  <si>
    <t>Collected and organized production data to inform predictive performance modeling.</t>
  </si>
  <si>
    <t>Ensured data collection mechanisms were in place for tracking behind-the-scenes content engagement.</t>
  </si>
  <si>
    <t>Coordinated with creative teams to tag assets properly for post-production performance analysis.</t>
  </si>
  <si>
    <t>Analyzed campaign performance data post-launch to assess alignment with predefined KPIs.</t>
  </si>
  <si>
    <t>Prepared comprehensive performance reports highlighting audience reach, engagement, and conversion rates.</t>
  </si>
  <si>
    <t>Conducted A/B testing on various content adaptations to optimize social media performance.</t>
  </si>
  <si>
    <t>Delivered insights on audience behavior trends to inform future content strategies.</t>
  </si>
  <si>
    <t>Led debrief sessions to present key analytical findings and recommend data-driven optimizations.</t>
  </si>
  <si>
    <t>Conducted competitive analysis to benchmark expected performance metrics for the commercial.</t>
  </si>
  <si>
    <t>Developed audience segmentation models to support targeted distribution strategies.</t>
  </si>
  <si>
    <t>Collaborated with creative teams to ensure data insights informed the storyline and messaging.</t>
  </si>
  <si>
    <t>Built predictive analytics models to estimate campaign ROI and viewer engagement rates.</t>
  </si>
  <si>
    <t>Identified key data sources and integrated tracking solutions to capture campaign performance metrics.</t>
  </si>
  <si>
    <t>Collected preliminary engagement data from promotional content released during production.</t>
  </si>
  <si>
    <t>Monitored digital touchpoints for early indicators of audience interest and campaign momentum.</t>
  </si>
  <si>
    <t>Validated data tracking processes to ensure accuracy in performance measurement post-launch.</t>
  </si>
  <si>
    <t>Coordinated with the technical team to implement tracking pixels and UTM parameters for digital assets.</t>
  </si>
  <si>
    <t>Provided real-time data insights to guide adjustments in creative execution during filming.</t>
  </si>
  <si>
    <t>Conducted multivariate analysis to determine which creative elements drove audience engagement.</t>
  </si>
  <si>
    <t>Created interactive dashboards to visualize real-time performance data for key stakeholders.</t>
  </si>
  <si>
    <t>Assessed the commercial's contribution to broader marketing objectives using advanced attribution models.</t>
  </si>
  <si>
    <t>Led data review sessions to interpret post-campaign performance and discuss optimization strategies.</t>
  </si>
  <si>
    <t>Compiled insights into actionable recommendations for future campaigns based on post-launch analytics.</t>
  </si>
  <si>
    <t>Defined overarching campaign objectives and aligned them with client expectations and business goals.</t>
  </si>
  <si>
    <t>Led strategic planning sessions to outline the commercial’s creative direction and execution timeline.</t>
  </si>
  <si>
    <t>Allocated budgets and resources across departments to support pre-production activities.</t>
  </si>
  <si>
    <t>Approved final scripts, storyboards, and creative briefs to ensure consistency with brand strategy.</t>
  </si>
  <si>
    <t>Established key performance indicators (KPIs) to measure the success of the commercial post-launch.</t>
  </si>
  <si>
    <t>Oversaw daily production operations to ensure adherence to timelines, budgets, and quality standards.</t>
  </si>
  <si>
    <t>Resolved high-level production challenges by coordinating with senior creative and production teams.</t>
  </si>
  <si>
    <t>Maintained communication with clients to provide progress updates and manage stakeholder expectations.</t>
  </si>
  <si>
    <t>Assessed on-set creative executions to ensure alignment with approved concepts and brand guidelines.</t>
  </si>
  <si>
    <t>Managed vendor and partner relationships to ensure smooth execution of production deliverables.</t>
  </si>
  <si>
    <t>Reviewed and approved final edits, ensuring the commercial met strategic and creative objectives.</t>
  </si>
  <si>
    <t>Directed the development of distribution strategies across multiple channels based on target audience insights.</t>
  </si>
  <si>
    <t>Evaluated campaign performance metrics and provided strategic recommendations for optimization.</t>
  </si>
  <si>
    <t>Led post-campaign debrief sessions to assess outcomes, address challenges, and define key learnings.</t>
  </si>
  <si>
    <t>Presented comprehensive campaign results and insights to executive stakeholders and clients.</t>
  </si>
  <si>
    <t>Finalized contractual agreements with key stakeholders, including talent, production teams, and vendors.</t>
  </si>
  <si>
    <t>Led cross-functional meetings to align creative, media, and strategy teams on project deliverables.</t>
  </si>
  <si>
    <t>Assessed market research insights to refine the commercial’s messaging and audience targeting.</t>
  </si>
  <si>
    <t>Approved risk management plans to address potential challenges during production.</t>
  </si>
  <si>
    <t>Secured executive buy-in for proposed creative concepts and strategic approaches.</t>
  </si>
  <si>
    <t>Conducted on-site reviews to ensure production quality met established brand and creative standards.</t>
  </si>
  <si>
    <t>Managed high-level adjustments to schedules and budgets to address unforeseen production issues.</t>
  </si>
  <si>
    <t>Facilitated decision-making processes between creative directors and client representatives.</t>
  </si>
  <si>
    <t>Oversaw compliance with legal and regulatory requirements throughout the production process.</t>
  </si>
  <si>
    <t>Provided leadership support to production teams to maintain workflow efficiency and morale.</t>
  </si>
  <si>
    <t>Reviewed audience feedback from early screenings to inform final revisions.</t>
  </si>
  <si>
    <t>Directed the allocation of remaining budget resources for post-production enhancements.</t>
  </si>
  <si>
    <t>Led strategic planning for promotional activities tied to the commercial’s release.</t>
  </si>
  <si>
    <t>Evaluated vendor performance and negotiated terms for future collaborations based on campaign outcomes.</t>
  </si>
  <si>
    <t>Compiled executive summaries detailing project performance, insights, and recommendations for future campaigns.</t>
  </si>
  <si>
    <t>Developed comprehensive strategic frameworks to guide the commercial's creative and media direction.</t>
  </si>
  <si>
    <t>Conducted in-depth market and consumer research to inform positioning and messaging strategies.</t>
  </si>
  <si>
    <t>Collaborated with senior leadership to align campaign objectives with long-term business goals.</t>
  </si>
  <si>
    <t>Presented strategic recommendations to clients and secured approvals for key campaign elements.</t>
  </si>
  <si>
    <t>Identified growth opportunities through competitive analysis and integrated findings into campaign planning.</t>
  </si>
  <si>
    <t>Provided strategic oversight during production to ensure alignment with the approved brand narrative.</t>
  </si>
  <si>
    <t>Addressed high-level strategic concerns arising during production by collaborating with creative leads.</t>
  </si>
  <si>
    <t>Evaluated real-time feedback from focus groups and advised on necessary production adjustments.</t>
  </si>
  <si>
    <t>Maintained stakeholder alignment by communicating production progress and strategic implications.</t>
  </si>
  <si>
    <t>Ensured production execution adhered to strategic timelines and budget allocations.</t>
  </si>
  <si>
    <t>Analyzed post-campaign performance data to measure effectiveness against strategic objectives.</t>
  </si>
  <si>
    <t>Led sessions to distill key insights from campaign performance for future strategic initiatives.</t>
  </si>
  <si>
    <t>Refined distribution strategies based on audience engagement data and market response.</t>
  </si>
  <si>
    <t>Presented strategic performance reports to executive leadership, highlighting key achievements and areas for improvement.</t>
  </si>
  <si>
    <t>Developed recommendations for future campaigns based on lessons learned and evolving market trends.</t>
  </si>
  <si>
    <t>Defined key performance indicators (KPIs) to measure the commercial’s effectiveness across target markets.</t>
  </si>
  <si>
    <t>Conducted data-driven audience segmentation analysis to inform creative and media strategies.</t>
  </si>
  <si>
    <t>Collaborated with strategy and creative teams to integrate data insights into campaign planning.</t>
  </si>
  <si>
    <t>Developed forecasting models to estimate campaign reach, engagement, and conversion potential.</t>
  </si>
  <si>
    <t>Recommended data collection methodologies to ensure robust measurement of campaign impact.</t>
  </si>
  <si>
    <t>Monitored real-time production data to assess adherence to projected timelines and budgets.</t>
  </si>
  <si>
    <t>Analyzed audience feedback from test screenings and provided data-driven recommendations for adjustments.</t>
  </si>
  <si>
    <t>Ensured that data tracking mechanisms were implemented during production for post-campaign analysis.</t>
  </si>
  <si>
    <t>Provided analytical insights to guide strategic decisions on creative executions during production.</t>
  </si>
  <si>
    <t>Coordinated with media partners to validate data pipelines for tracking campaign performance.</t>
  </si>
  <si>
    <t>Analyzed campaign performance data to assess the commercial’s effectiveness against established KPIs.</t>
  </si>
  <si>
    <t>Delivered detailed reports highlighting audience engagement metrics and return on investment (ROI).</t>
  </si>
  <si>
    <t>Conducted attribution analysis to determine the commercial’s impact on key business objectives.</t>
  </si>
  <si>
    <t>Led post-campaign evaluation sessions to present insights and optimization opportunities.</t>
  </si>
  <si>
    <t>Developed predictive models to inform future campaign strategies based on performance data.</t>
  </si>
  <si>
    <t>Developed overarching strategic frameworks to guide the creative direction and messaging of the commercial.</t>
  </si>
  <si>
    <t>Led cross-functional workshops to align internal teams and client stakeholders on strategic objectives.</t>
  </si>
  <si>
    <t>Conducted comprehensive market and cultural trend analyses to inform campaign positioning.</t>
  </si>
  <si>
    <t>Evaluated creative briefs to ensure alignment with long-term brand and business strategies.</t>
  </si>
  <si>
    <t>Approved research methodologies to gather consumer insights critical to campaign development.</t>
  </si>
  <si>
    <t>Oversaw production activities to ensure strategic consistency with the approved brand narrative.</t>
  </si>
  <si>
    <t>Provided strategic input on creative decisions to maintain alignment with target audience insights.</t>
  </si>
  <si>
    <t>Addressed emerging challenges during production by facilitating collaboration among creative, media, and client teams.</t>
  </si>
  <si>
    <t>Reviewed production progress reports to ensure adherence to strategic timelines and deliverables.</t>
  </si>
  <si>
    <t>Participated in daily production reviews to ensure content execution reflected the intended strategic messaging.</t>
  </si>
  <si>
    <t>Analyzed post-campaign performance data to evaluate alignment with strategic objectives.</t>
  </si>
  <si>
    <t>Led debrief sessions with clients and internal teams to assess campaign outcomes and strategic effectiveness.</t>
  </si>
  <si>
    <t>Synthesized audience engagement insights into actionable recommendations for future initiatives.</t>
  </si>
  <si>
    <t>Developed long-term strategic plans based on campaign results and evolving market dynamics.</t>
  </si>
  <si>
    <t>Presented executive-level summaries highlighting strategic achievements and growth opportunities identified from the campaign.</t>
  </si>
  <si>
    <t>Formulated detailed brand positioning strategies that guided the creative development process.</t>
  </si>
  <si>
    <t>Established clear communication channels between the creative, strategy, and media teams for efficient collaboration.</t>
  </si>
  <si>
    <t>Identified key target audiences and refined audience personas to ensure tailored messaging.</t>
  </si>
  <si>
    <t>Secured approval for detailed production schedules and timelines to meet strategic goals.</t>
  </si>
  <si>
    <t>Led competitive analysis workshops to determine key differentiators for the commercial in the marketplace.</t>
  </si>
  <si>
    <t>Monitored daily production activities to ensure creative concepts were executed in line with the strategic vision.</t>
  </si>
  <si>
    <t>Provided strategic direction during production meetings to ensure consistency across messaging, visual style, and tone.</t>
  </si>
  <si>
    <t>Assessed and managed potential risks during production, ensuring alignment with the established budget and timeline.</t>
  </si>
  <si>
    <t>Worked closely with the media team to ensure that production elements were optimized for distribution channels.</t>
  </si>
  <si>
    <t>Evaluated the execution of talent and on-set performances to ensure brand alignment and strategic goals were being met.</t>
  </si>
  <si>
    <t>Coordinated the development of post-campaign analytics reports to assess the commercial's market impact.</t>
  </si>
  <si>
    <t>Led discussions on how to incorporate learnings from the campaign into future strategic initiatives.</t>
  </si>
  <si>
    <t>Oversaw the optimization of digital content post-production to maximize audience reach and engagement.</t>
  </si>
  <si>
    <t>Collaborated with the media team to adjust media placements based on early performance data.</t>
  </si>
  <si>
    <t>Provided strategic recommendations for repurposing or adapting the commercial for future campaigns or platforms.</t>
  </si>
  <si>
    <t>Led strategic planning sessions to define the overall vision and objectives for the commercial.</t>
  </si>
  <si>
    <t>Coordinated with internal and client teams to ensure alignment on goals, target audiences, and messaging.</t>
  </si>
  <si>
    <t>Oversaw the development of the production brief to ensure clear expectations and timelines.</t>
  </si>
  <si>
    <t>Managed the allocation of resources, including budget and personnel, to meet project needs.</t>
  </si>
  <si>
    <t>Approved creative concepts and scripts, ensuring they adhered to the brand’s voice and strategic direction.</t>
  </si>
  <si>
    <t>Supervised the day-to-day operations of the production team to ensure timelines and budgets were adhered to.</t>
  </si>
  <si>
    <t>Facilitated communication between creative, production, and client teams to ensure smooth execution.</t>
  </si>
  <si>
    <t>Provided strategic input during production meetings to guide creative decisions in line with objectives.</t>
  </si>
  <si>
    <t>Monitored progress against the project plan, resolving issues or delays as they arose.</t>
  </si>
  <si>
    <t>Ensured that all legal and contractual requirements were met throughout the production process.</t>
  </si>
  <si>
    <t>Reviewed and approved final edits, ensuring alignment with the overall strategic direction and brand guidelines.</t>
  </si>
  <si>
    <t>Analyzed campaign performance data to assess the commercial’s effectiveness and return on investment.</t>
  </si>
  <si>
    <t>Led debrief sessions with internal teams and clients to assess the commercial’s impact and key learnings.</t>
  </si>
  <si>
    <t>Provided feedback to creative teams on any necessary revisions for future campaigns.</t>
  </si>
  <si>
    <t>Prepared final reports on project outcomes and strategic recommendations for future projects.</t>
  </si>
  <si>
    <t>Developed detailed production timelines, ensuring all team members had a clear understanding of their responsibilities and deadlines.</t>
  </si>
  <si>
    <t>Coordinated with external vendors and talent agencies to secure necessary resources for the production phase.</t>
  </si>
  <si>
    <t>Worked with the legal team to review and approve contracts, ensuring all intellectual property rights were accounted for.</t>
  </si>
  <si>
    <t>Established risk management protocols to mitigate potential issues that could affect the production schedule or budget.</t>
  </si>
  <si>
    <t>Conducted final reviews of the creative concepts, ensuring they aligned with both client objectives and audience expectations.</t>
  </si>
  <si>
    <t>Managed the logistics of the production set, overseeing the setup of locations, equipment, and personnel.</t>
  </si>
  <si>
    <t>Provided ongoing direction to the production team to ensure creative elements were executed according to the brief.</t>
  </si>
  <si>
    <t>Monitored the budget throughout production, making adjustments as necessary to avoid cost overruns.</t>
  </si>
  <si>
    <t>Addressed real-time production challenges, liaising between creative, technical, and client teams to resolve issues promptly.</t>
  </si>
  <si>
    <t>Ensured quality control measures were in place, evaluating on-site footage to ensure the highest production standards.</t>
  </si>
  <si>
    <t>Collaborated with the editing team to ensure that final cuts met client expectations and strategic goals.</t>
  </si>
  <si>
    <t>Led the review of post-production deliverables, ensuring they met technical specifications for various distribution channels.</t>
  </si>
  <si>
    <t>Evaluated the commercial’s performance across multiple media channels, providing feedback for optimization.</t>
  </si>
  <si>
    <t>Coordinated the final approval process with clients and internal teams, ensuring all feedback was addressed before release.</t>
  </si>
  <si>
    <t>Compiled and delivered a comprehensive post-campaign report, detailing key performance metrics and offering recommendations for future campaigns.</t>
  </si>
  <si>
    <t>Assoc Acct Dir</t>
  </si>
  <si>
    <t>Conducted strategic planning meetings with clients to align campaign objectives with creative direction.</t>
  </si>
  <si>
    <t>Reviewed and approved creative briefs to ensure messaging and brand positioning were accurately represented.</t>
  </si>
  <si>
    <t>Collaborated with the creative and production teams to refine scripts and storyboards before client presentation.</t>
  </si>
  <si>
    <t>Secured necessary approvals from internal stakeholders and clients for budget allocations and production timelines.</t>
  </si>
  <si>
    <t>Coordinated with media planners to align commercial placements with overall campaign strategy</t>
  </si>
  <si>
    <t>Oversaw on-site production to ensure creative execution aligned with approved concepts and client expectations.</t>
  </si>
  <si>
    <t>Managed communication between agency teams, clients, and production crews to facilitate smooth operations.</t>
  </si>
  <si>
    <t>Addressed real-time adjustments to scripts, visuals, or branding elements based on client feedback.</t>
  </si>
  <si>
    <t>Ensured legal and compliance requirements were met by reviewing on-set branding, disclaimers, and usage rights.</t>
  </si>
  <si>
    <t>Monitored adherence to budget and timeline constraints, mitigating potential overages or delays</t>
  </si>
  <si>
    <t>Reviewed initial edits and provided feedback to the creative team for alignment with campaign objectives.</t>
  </si>
  <si>
    <t>Coordinated with sound designers and editors to refine audio elements, including voiceovers and music selection.</t>
  </si>
  <si>
    <t>Managed final approval process by presenting polished versions to clients and addressing last-minute revisions.</t>
  </si>
  <si>
    <t>Verified adherence to broadcast and digital platform specifications before submission for distribution.</t>
  </si>
  <si>
    <t>Oversaw the integration of performance tracking tools to measure the commercial’s effectiveness post-launch</t>
  </si>
  <si>
    <t>Reviewed and approved budget allocations to ensure financial feasibility of the commercial.</t>
  </si>
  <si>
    <t>Coordinated with creative, production, and legal teams to finalize project timelines and deliverables.</t>
  </si>
  <si>
    <t>Secured vendor contracts and negotiated rates for production-related services.</t>
  </si>
  <si>
    <t>Oversaw script clearances and ensured compliance with industry regulations and brand guidelines.</t>
  </si>
  <si>
    <t>Managed risk assessments and obtained necessary permits for production locations</t>
  </si>
  <si>
    <t>Supervised on-set operations to ensure adherence to budget and production schedules.</t>
  </si>
  <si>
    <t>Liaised with agency stakeholders to address real-time production challenges.</t>
  </si>
  <si>
    <t>Monitored vendor and crew performance to ensure contractual obligations were met.</t>
  </si>
  <si>
    <t>Oversaw financial tracking of on-set expenses to prevent cost overruns.</t>
  </si>
  <si>
    <t>Approved and facilitated any last-minute logistical adjustments needed during filming</t>
  </si>
  <si>
    <t>Reviewed and approved initial edits to ensure alignment with agency objectives.</t>
  </si>
  <si>
    <t>Managed invoice reconciliation and ensured timely payments to vendors.</t>
  </si>
  <si>
    <t>Coordinated with legal and compliance teams for final content approvals.</t>
  </si>
  <si>
    <t>Facilitated final asset delivery to media partners and internal distribution teams.</t>
  </si>
  <si>
    <t>Conducted a post-mortem analysis to assess budget adherence and process efficiencies</t>
  </si>
  <si>
    <t>Traffic Manager</t>
  </si>
  <si>
    <t>Coordinated project timelines with creative, media, and production teams.</t>
  </si>
  <si>
    <t>Scheduled meetings between stakeholders to finalize creative concepts.</t>
  </si>
  <si>
    <t>Reviewed production budgets and ensured alignment with agency resources.</t>
  </si>
  <si>
    <t>Secured necessary approvals for scripts, storyboards, and creative assets.</t>
  </si>
  <si>
    <t>Liaised with vendors and production partners to confirm availability.</t>
  </si>
  <si>
    <t>Distributed production schedules and deadlines to relevant teams.</t>
  </si>
  <si>
    <t>Ensured compliance with advertising regulations and client requirements.</t>
  </si>
  <si>
    <t>Monitored asset delivery to meet scheduled pre-production milestones.</t>
  </si>
  <si>
    <t>Verified that media placement deadlines aligned with production timelines.</t>
  </si>
  <si>
    <t>Organized internal checkpoints to track progress and flag potential delays.</t>
  </si>
  <si>
    <t>Managed real-time updates to production schedules as changes occurred.</t>
  </si>
  <si>
    <t>Communicated with production crews to ensure adherence to agency guidelines.</t>
  </si>
  <si>
    <t>Confirmed that required brand assets were accessible on-site.</t>
  </si>
  <si>
    <t>Addressed last-minute logistical concerns affecting production flow.</t>
  </si>
  <si>
    <t>Ensured necessary approvals were obtained for on-set modifications.</t>
  </si>
  <si>
    <t>Coordinated with media buyers to confirm ad placement specifications.</t>
  </si>
  <si>
    <t>Monitored vendor deliverables for accuracy and on-time execution.</t>
  </si>
  <si>
    <t>Facilitated communication between creative teams and production staff.</t>
  </si>
  <si>
    <t>Resolved scheduling conflicts and adjusted timelines as needed.</t>
  </si>
  <si>
    <t>Tracked expenses against the allocated production budget.</t>
  </si>
  <si>
    <t>Reviewed rough cuts to ensure alignment with approved creative direction.</t>
  </si>
  <si>
    <t>Managed timelines for editorial revisions, voiceover recordings, and sound design.</t>
  </si>
  <si>
    <t>Ensured all required assets were delivered for final editing.</t>
  </si>
  <si>
    <t>Coordinated internal and client review cycles for final approval.</t>
  </si>
  <si>
    <t>Verified ad compliance with broadcasting and digital advertising standards.</t>
  </si>
  <si>
    <t>Scheduled the delivery of final files to media outlets.</t>
  </si>
  <si>
    <t>Oversaw versioning and formatting for different distribution channels.</t>
  </si>
  <si>
    <t>Tracked post-production costs against the allocated budget.</t>
  </si>
  <si>
    <t>Communicated final air dates and distribution schedules to stakeholders.</t>
  </si>
  <si>
    <t>Archived final campaign assets for future reference and reporting</t>
  </si>
  <si>
    <t>Assoc Dir, Rights Mgt</t>
  </si>
  <si>
    <t>Reviewed talent contracts to ensure compliance with usage rights and licensing agreements.</t>
  </si>
  <si>
    <t>Negotiated terms with music licensors to secure appropriate rights for commercial use.</t>
  </si>
  <si>
    <t>Collaborated with legal teams to verify clearance of third-party intellectual property.</t>
  </si>
  <si>
    <t>Assessed stock footage and photography agreements to confirm authorized usage duration.</t>
  </si>
  <si>
    <t>Provided guidance on rights-related budget allocations to production and creative teams</t>
  </si>
  <si>
    <t>Monitored on-set compliance with contractual obligations for talent and intellectual property.</t>
  </si>
  <si>
    <t>Advised production teams on potential rights management issues during filming.</t>
  </si>
  <si>
    <t>Ensured proper documentation of releases for featured locations, props, and background elements.</t>
  </si>
  <si>
    <t>Confirmed that music and sound recordings used during production aligned with licensed agreements.</t>
  </si>
  <si>
    <t>Verified adherence to union and guild regulations for talent appearances in the commercial</t>
  </si>
  <si>
    <t>Reviewed final edits to confirm that all licensed assets were used within approved parameters.</t>
  </si>
  <si>
    <t>Coordinated with legal and clearance teams to resolve any outstanding rights issues.</t>
  </si>
  <si>
    <t>Provided final approvals for talent, music, and media rights prior to commercial distribution.</t>
  </si>
  <si>
    <t>Updated rights tracking databases to reflect commercial usage terms and expirations.</t>
  </si>
  <si>
    <t>Assisted media and marketing teams with re-clearance processes for extended usage requests</t>
  </si>
  <si>
    <t>Reviewed legal and contractual obligations related to talent, music licensing, and third-party intellectual property rights.</t>
  </si>
  <si>
    <t>Negotiated agreements with external vendors, talent agencies, and production companies to ensure compliance with budget and legal requirements.</t>
  </si>
  <si>
    <t>Secured necessary permits, location releases, and insurance coverage to mitigate potential risks.</t>
  </si>
  <si>
    <t>Collaborated with creative, production, and legal teams to ensure all advertising content aligned with regulatory and industry standards.</t>
  </si>
  <si>
    <t>Finalized usage rights and media terms for talent, voice-over artists, and licensed content before production commenced.</t>
  </si>
  <si>
    <t>Ensured that all contractual obligations related to talent, crew, and production vendors were adhered to during filming.</t>
  </si>
  <si>
    <t>Monitored on-set compliance with union guidelines, SAG-AFTRA requirements, and other industry-specific regulations.</t>
  </si>
  <si>
    <t>Addressed any legal or business-related issues that arose during filming, coordinating with legal counsel when necessary.</t>
  </si>
  <si>
    <t>Reviewed real-time footage and production elements to confirm alignment with approved legal guidelines and contractual agreements.</t>
  </si>
  <si>
    <t>Managed proper documentation of all releases, contracts, and agreements signed on set for record-keeping and future use</t>
  </si>
  <si>
    <t>Reviewed final edits to ensure all licensed materials, talent performances, and music usage adhered to contractual obligations.</t>
  </si>
  <si>
    <t>Facilitated rights clearances for final assets, verifying that all elements met the agreed-upon terms and usage restrictions.</t>
  </si>
  <si>
    <t>Coordinated with legal and compliance teams to confirm adherence to advertising regulations before public distribution.</t>
  </si>
  <si>
    <t>Secured necessary approvals for talent and third-party content usage across different media platforms.</t>
  </si>
  <si>
    <t>Archived contracts, licenses, and final agreements for future reference and potential re-use of assets in future campaigns</t>
  </si>
  <si>
    <t>Reviewed preliminary scripts for technical feasibility and post-production requirements.</t>
  </si>
  <si>
    <t>Consulted with creative directors to understand the visual tone and editing style desired.</t>
  </si>
  <si>
    <t>Evaluated storyboards to anticipate editorial needs and potential timing challenges.</t>
  </si>
  <si>
    <t>Provided input on shot lists based on expected transitions and pacing.</t>
  </si>
  <si>
    <t>Identified post-production assets required, such as stock footage, templates, or effects.</t>
  </si>
  <si>
    <t>Recommended visual effects strategies based on script and budget parameters.</t>
  </si>
  <si>
    <t>Participated in pre-production meetings to align with directors, producers, and cinematographers.</t>
  </si>
  <si>
    <t>Assisted in planning file naming conventions and media management workflows.</t>
  </si>
  <si>
    <t>Created mood reels or sample edits to establish visual direction.</t>
  </si>
  <si>
    <t>Analyzed reference materials for pacing, color, and stylistic benchmarks.</t>
  </si>
  <si>
    <t>Collaborated with the production team to ensure proper frame rates and resolutions were planned.</t>
  </si>
  <si>
    <t>Communicated with audio teams to coordinate sync requirements and sound design expectations.</t>
  </si>
  <si>
    <t>Outlined post-production timelines to ensure delivery milestones were realistic.</t>
  </si>
  <si>
    <t>Provided technical requirements for on-set data wrangling and backups.</t>
  </si>
  <si>
    <t>Ensured all editing software, plugins, and hardware were prepared for incoming footage</t>
  </si>
  <si>
    <t>Advised on shot setups to ensure smooth transitions in the final edit.</t>
  </si>
  <si>
    <t>Reviewed dailies to assess coverage and note potential reshoots or continuity issues.</t>
  </si>
  <si>
    <t>Maintained close communication with the script supervisor to track scene changes and edits.</t>
  </si>
  <si>
    <t>Provided real-time feedback on takes for editorial usability.</t>
  </si>
  <si>
    <t>Ensured proper metadata tagging for seamless ingestion into the editing workflow.</t>
  </si>
  <si>
    <t>Coordinated with the DIT to ensure all footage was properly backed up and organized.</t>
  </si>
  <si>
    <t>Monitored frame composition and lighting setups for post-production flexibility.</t>
  </si>
  <si>
    <t>Logged key takes and marked selects based on editorial judgment.</t>
  </si>
  <si>
    <t>Managed rough string-outs of scenes during off-hours to accelerate post.</t>
  </si>
  <si>
    <t>Communicated with production leads regarding special effects or green screen requirements.</t>
  </si>
  <si>
    <t>Consulted on B-roll and cutaway shots needed for flexibility in editing.</t>
  </si>
  <si>
    <t>Verified that slates and audio sync markers were captured correctly for each take.</t>
  </si>
  <si>
    <t>Assessed continuity across shots to minimize editorial challenges.</t>
  </si>
  <si>
    <t>Noted any camera anomalies or performance inconsistencies for review.</t>
  </si>
  <si>
    <t>Reviewed and approved proxy workflows for offline editing compatibility</t>
  </si>
  <si>
    <t>Assembled rough cuts according to the creative brief and director’s notes.</t>
  </si>
  <si>
    <t>Refined pacing, transitions, and visual flow to align with the approved narrative.</t>
  </si>
  <si>
    <t>Synced multi-camera footage and audio recordings for efficient timeline management.</t>
  </si>
  <si>
    <t>Integrated approved visual effects and motion graphics into the sequence.</t>
  </si>
  <si>
    <t>Collaborated with colorists to ensure consistent tone and grade across all scenes.</t>
  </si>
  <si>
    <t>Applied text treatments and lower thirds per brand guidelines.</t>
  </si>
  <si>
    <t>Incorporated music, sound design, and voiceover into the edit.</t>
  </si>
  <si>
    <t>Delivered multiple revisions based on internal and client feedback.</t>
  </si>
  <si>
    <t>Performed fine-cut adjustments to meet duration and content standards.</t>
  </si>
  <si>
    <t>Exported edits for review in a variety of formats and resolutions.</t>
  </si>
  <si>
    <t>Conducted quality control checks for technical compliance and artifact issues.</t>
  </si>
  <si>
    <t>Managed media assets and project files for archival and versioning.</t>
  </si>
  <si>
    <t>Collaborated with the legal team to ensure usage of licensed material was accurate.</t>
  </si>
  <si>
    <t>Delivered final commercial masters to the delivery team according to platform specifications.</t>
  </si>
  <si>
    <t>Documented project workflows and archived final deliverables for future reference.</t>
  </si>
  <si>
    <t>Collaborated with the creative team to assess technical requirements for post-production.</t>
  </si>
  <si>
    <t>Reviewed scripts and storyboards to anticipate post-production needs.</t>
  </si>
  <si>
    <t>Participated in pre-production meetings to align on schedules and deliverables.</t>
  </si>
  <si>
    <t>Coordinated with directors and producers to plan post workflows.</t>
  </si>
  <si>
    <t>Created detailed post-production schedules and timelines.</t>
  </si>
  <si>
    <t>Consulted with editors and VFX supervisors regarding software and resource needs.</t>
  </si>
  <si>
    <t>Estimated post-production budgets and secured necessary approvals.</t>
  </si>
  <si>
    <t>Sourced and secured post-production vendors and freelancers.</t>
  </si>
  <si>
    <t>Established file delivery protocols and media handling guidelines.</t>
  </si>
  <si>
    <t>Identified key milestones for reviews and final delivery.</t>
  </si>
  <si>
    <t>Assisted in selecting production formats compatible with post workflows.</t>
  </si>
  <si>
    <t>Evaluated preliminary casting options for post-related considerations (e.g., voiceovers).</t>
  </si>
  <si>
    <t>Oversaw the setup of data wrangling and media management strategies.</t>
  </si>
  <si>
    <t>Reviewed legal and usage considerations for post-production content.</t>
  </si>
  <si>
    <t>Briefed internal and external teams on post-production expectations and processes.</t>
  </si>
  <si>
    <t>Ensured accurate capture and backup of media assets on set.</t>
  </si>
  <si>
    <t>Monitored adherence to post-production requirements during shooting.</t>
  </si>
  <si>
    <t>Coordinated communication between set crew and post team.</t>
  </si>
  <si>
    <t>Collected and organized media logs and camera reports.</t>
  </si>
  <si>
    <t>Managed transfer of dailies to editors for immediate review.</t>
  </si>
  <si>
    <t>Oversaw on-set VFX supervision to align with post expectations.</t>
  </si>
  <si>
    <t>Facilitated daily syncs with production and editorial teams.</t>
  </si>
  <si>
    <t>Logged production notes relevant to post-production planning.</t>
  </si>
  <si>
    <t>Verified the correct frame rates, codecs, and formats were used.</t>
  </si>
  <si>
    <t>Confirmed proper use of slates and timecode for editorial alignment.</t>
  </si>
  <si>
    <t>Liaised with sound recordists to ensure delivery of clean audio files.</t>
  </si>
  <si>
    <t>Organized the secure shipment or upload of media to post facilities.</t>
  </si>
  <si>
    <t>Maintained updated records of footage shot versus the shot list.</t>
  </si>
  <si>
    <t>Flagged any potential post-production challenges arising during production.</t>
  </si>
  <si>
    <t>Coordinated with colorists or DITs for on-set look management</t>
  </si>
  <si>
    <t>Supervised the editing process from first assembly to final cut.</t>
  </si>
  <si>
    <t>Managed version control across all edit stages.</t>
  </si>
  <si>
    <t>Coordinated visual effects integration with editors and VFX artists.</t>
  </si>
  <si>
    <t>Scheduled internal and client review sessions.</t>
  </si>
  <si>
    <t>Collected and organized feedback from stakeholders.</t>
  </si>
  <si>
    <t>Oversaw the motion graphics and animation workflows.</t>
  </si>
  <si>
    <t>Liaised with sound designers for mixing and final audio mastering.</t>
  </si>
  <si>
    <t>Ensured music licensing and voiceover usage complied with legal standards.</t>
  </si>
  <si>
    <t>Supervised color correction and final grade sessions.</t>
  </si>
  <si>
    <t>Maintained communication between editors and agency/client teams.</t>
  </si>
  <si>
    <t>Reviewed rough cuts to ensure creative consistency and technical accuracy.</t>
  </si>
  <si>
    <t>Approved and QC’d final deliverables before submission.</t>
  </si>
  <si>
    <t>Managed localization or versioning needs for different markets.</t>
  </si>
  <si>
    <t>Delivered final masters to broadcasters or digital platforms.</t>
  </si>
  <si>
    <t>Archived project files and ensured all assets were properly stored</t>
  </si>
  <si>
    <t>Assoc Creative Dir, Integrated</t>
  </si>
  <si>
    <t>Developed the initial creative concept aligned with the campaign strategy.</t>
  </si>
  <si>
    <t>Oversaw the creation of storyboards and visual references.</t>
  </si>
  <si>
    <t>Reviewed and approved scripts and creative treatments.</t>
  </si>
  <si>
    <t>Collaborated with strategy and account teams to refine messaging.</t>
  </si>
  <si>
    <t>Selected directors and key production partners in alignment with the concept.</t>
  </si>
  <si>
    <t>Participated in casting sessions and approved talent selections.</t>
  </si>
  <si>
    <t>Provided creative input during location scouting sessions.</t>
  </si>
  <si>
    <t>Led internal reviews to ensure brand consistency across all assets.</t>
  </si>
  <si>
    <t>Presented creative direction to client stakeholders for sign-off.</t>
  </si>
  <si>
    <t>Worked with producers to finalize production timelines and budgets.</t>
  </si>
  <si>
    <t>Gave feedback on wardrobe, set design, and props.</t>
  </si>
  <si>
    <t>Directed the integration of motion graphics or animation into planning.</t>
  </si>
  <si>
    <t>Reviewed and adjusted visual mood boards to maintain brand tone.</t>
  </si>
  <si>
    <t>Aligned with legal and compliance teams on creative boundaries.</t>
  </si>
  <si>
    <t>Coordinated with media teams on format and placement specifications</t>
  </si>
  <si>
    <t>Supervised on-set execution to ensure alignment with the creative vision.</t>
  </si>
  <si>
    <t>Gave direction to the director and cinematographer regarding key shots.</t>
  </si>
  <si>
    <t>Reviewed shot lists and daily schedules to prioritize critical scenes.</t>
  </si>
  <si>
    <t>Approved hair, makeup, and wardrobe styling on location.</t>
  </si>
  <si>
    <t>Attended rehearsals and provided performance notes to talent.</t>
  </si>
  <si>
    <t>Evaluated set dressing and lighting setups before filming.</t>
  </si>
  <si>
    <t>Adjusted scripts or lines on set for clarity or tone.</t>
  </si>
  <si>
    <t>Worked with the production team to resolve real-time creative challenges.</t>
  </si>
  <si>
    <t>Participated in playback reviews to confirm captured footage met expectations.</t>
  </si>
  <si>
    <t>Signed off on changes to camera angles or lenses as needed.</t>
  </si>
  <si>
    <t>Collaborated with producers to maintain creative integrity under time constraints.</t>
  </si>
  <si>
    <t>Guided the crew on visual continuity across scenes.</t>
  </si>
  <si>
    <t>Maintained communication with off-site agency teams during shoots.</t>
  </si>
  <si>
    <t>Monitored multiple takes to select the most effective performances.</t>
  </si>
  <si>
    <t>Captured supplementary visuals to support post-production flexibility</t>
  </si>
  <si>
    <t>Reviewed rough cuts and provided structured creative feedback.</t>
  </si>
  <si>
    <t>Directed the pacing, tone, and visual transitions of the edit.</t>
  </si>
  <si>
    <t>Collaborated with editors to refine narrative flow.</t>
  </si>
  <si>
    <t>Approved color grading to ensure consistency with brand palette.</t>
  </si>
  <si>
    <t>Oversaw the development of motion graphics and visual effects.</t>
  </si>
  <si>
    <t>Gave notes on sound design, including voiceover, music, and sound effects.</t>
  </si>
  <si>
    <t>Worked with legal to verify all clearances were reflected in the final version.</t>
  </si>
  <si>
    <t>Participated in final mixing sessions to ensure audio balance.</t>
  </si>
  <si>
    <t>Reviewed subtitling or translations for localized versions.</t>
  </si>
  <si>
    <t>Ensured the final cut adhered to technical and platform specifications.</t>
  </si>
  <si>
    <t>Coordinated with media partners on ad placements and delivery formats.</t>
  </si>
  <si>
    <t>Guided social cutdowns and alternate edits for digital platforms.</t>
  </si>
  <si>
    <t>Presented final deliverables to client teams for approval.</t>
  </si>
  <si>
    <t>Archived creative assets for future use and reference.</t>
  </si>
  <si>
    <t>Debriefed with internal teams to document learnings and results</t>
  </si>
  <si>
    <t>Creative Dir, Whirlpool + Amana</t>
  </si>
  <si>
    <t>Developed the creative concept and visual direction in alignment with the campaign strategy.</t>
  </si>
  <si>
    <t>Oversaw script development and provided detailed feedback to copywriters.</t>
  </si>
  <si>
    <t>Approved storyboards and visual treatments presented by the art team.</t>
  </si>
  <si>
    <t>Collaborated with account teams to align creative vision with client expectations.</t>
  </si>
  <si>
    <t>Selected and approved directors and production partners based on project fit.</t>
  </si>
  <si>
    <t>Guided casting choices and reviewed audition tapes to ensure brand alignment.</t>
  </si>
  <si>
    <t>Participated in location scouting sessions and approved final selections.</t>
  </si>
  <si>
    <t>Provided creative input during wardrobe and set design planning.</t>
  </si>
  <si>
    <t>Led internal creative reviews and ensured consistency across all touchpoints.</t>
  </si>
  <si>
    <t>Approved mood boards, animatics, and key visuals used in pre-visualization.</t>
  </si>
  <si>
    <t>Directed the preparation of creative briefs for production crew and vendors.</t>
  </si>
  <si>
    <t>Reviewed and signed off on shoot schedules and call sheets.</t>
  </si>
  <si>
    <t>Ensured all brand guidelines and messaging frameworks were embedded into planning.</t>
  </si>
  <si>
    <t>Coordinated with legal teams to confirm all necessary usage rights and clearances.</t>
  </si>
  <si>
    <t>Participated in pre-production meetings to confirm alignment across departments.</t>
  </si>
  <si>
    <t>Supervised on-set activities to ensure fidelity to the creative vision.</t>
  </si>
  <si>
    <t>Provided direction to the director and cinematographer on framing and tone.</t>
  </si>
  <si>
    <t>Approved camera setups, lighting schemes, and shot compositions.</t>
  </si>
  <si>
    <t>Collaborated with stylists and set designers to refine on-camera aesthetics.</t>
  </si>
  <si>
    <t>Directed talent performances to maintain narrative consistency.</t>
  </si>
  <si>
    <t>Made real-time adjustments to scripts and visuals based on shoot conditions.</t>
  </si>
  <si>
    <t>Reviewed playback footage to validate quality and alignment with concept.</t>
  </si>
  <si>
    <t>Ensured continuity across scenes in collaboration with script supervisors.</t>
  </si>
  <si>
    <t>Resolved creative issues that arose during the filming process.</t>
  </si>
  <si>
    <t>Participated in daily production debriefs with crew and agency team.</t>
  </si>
  <si>
    <t>Signed off on key takes before moving to the next shot or scene.</t>
  </si>
  <si>
    <t>Coordinated with producers to manage time and resource constraints.</t>
  </si>
  <si>
    <t>Facilitated client visits and explained creative decisions on set.</t>
  </si>
  <si>
    <t>Maintained brand voice and identity throughout all captured content.</t>
  </si>
  <si>
    <t>Verified that production materials adhered to advertising standards and policies</t>
  </si>
  <si>
    <t>Provided creative direction during initial video edits and rough cuts.</t>
  </si>
  <si>
    <t>Reviewed multiple edit versions and delivered detailed revision notes.</t>
  </si>
  <si>
    <t>Approved transitions, pacing, and visual flow in the final cut.</t>
  </si>
  <si>
    <t>Oversaw color grading to ensure visual consistency and tone.</t>
  </si>
  <si>
    <t>Directed the integration of motion graphics and visual effects.</t>
  </si>
  <si>
    <t>Approved audio mixing, voiceover takes, and sound design elements.</t>
  </si>
  <si>
    <t>Collaborated with editors and sound engineers to refine timing and emotional impact.</t>
  </si>
  <si>
    <t>Ensured final outputs matched technical specifications for intended platforms.</t>
  </si>
  <si>
    <t>Participated in client review sessions and defended creative integrity.</t>
  </si>
  <si>
    <t>Managed revisions based on client and stakeholder feedback.</t>
  </si>
  <si>
    <t>Approved final cutdowns, versions, and localizations for various channels.</t>
  </si>
  <si>
    <t>Directed the development of accompanying campaign assets for distribution.</t>
  </si>
  <si>
    <t>Reviewed and signed off on all final deliverables before media handoff.</t>
  </si>
  <si>
    <t>Archived creative materials and project assets for future use.</t>
  </si>
  <si>
    <t>Debriefed with internal teams to evaluate project outcomes and creative performance</t>
  </si>
  <si>
    <t>Reviewed creative briefs to understand the intended message and visual tone.</t>
  </si>
  <si>
    <t>Organized reference videos and visual inspiration for editorial guidance.</t>
  </si>
  <si>
    <t>Created and updated shot lists based on script and storyboard details.</t>
  </si>
  <si>
    <t>Logged incoming storyboards, scripts, and visual assets for editorial planning.</t>
  </si>
  <si>
    <t>Coordinated with senior editors to confirm technical requirements and formats.</t>
  </si>
  <si>
    <t>Prepared proxy templates for offline editing workflows.</t>
  </si>
  <si>
    <t>Reviewed past commercial edits to identify stylistic preferences.</t>
  </si>
  <si>
    <t>Imported and organized scratch voiceovers and music tracks for early mockups.</t>
  </si>
  <si>
    <t>Collaborated with production teams to assess footage delivery timelines.</t>
  </si>
  <si>
    <t>Set up project folders and naming conventions in alignment with agency standards.</t>
  </si>
  <si>
    <t>Assisted in reviewing casting tapes or visual references for editorial input.</t>
  </si>
  <si>
    <t>Created basic motion graphic mockups to aid the pitch presentation.</t>
  </si>
  <si>
    <t>Compiled b-roll and stock footage for potential inclusion.</t>
  </si>
  <si>
    <t>Reviewed equipment lists to ensure compatibility with post-production software.</t>
  </si>
  <si>
    <t>Participated in pre-production meetings to gather notes relevant to editing</t>
  </si>
  <si>
    <t>Backed up footage from production drives onto designated storage systems.</t>
  </si>
  <si>
    <t>Logged and organized daily raw footage for editorial access.</t>
  </si>
  <si>
    <t>Synced audio and video files from multi-camera setups.</t>
  </si>
  <si>
    <t>Flagged technically flawed footage for reshoots or client review.</t>
  </si>
  <si>
    <t>Created on-set editorial selects during live shooting when required.</t>
  </si>
  <si>
    <t>Liaised with the digital imaging technician to ensure metadata accuracy.</t>
  </si>
  <si>
    <t>Verified frame rates and resolution settings on incoming files.</t>
  </si>
  <si>
    <t>Imported dailies into project timelines for early assembly.</t>
  </si>
  <si>
    <t>Generated string-outs of usable takes for review by senior editors.</t>
  </si>
  <si>
    <t>Updated timecode notes based on director or producer feedback.</t>
  </si>
  <si>
    <t>Prepared daily rough cut exports for internal review.</t>
  </si>
  <si>
    <t>Maintained naming conventions during footage ingestion.</t>
  </si>
  <si>
    <t>Assembled first-pass timelines with preferred takes.</t>
  </si>
  <si>
    <t>Managed version control of multiple edit iterations during shoot days.</t>
  </si>
  <si>
    <t>Assisted editors in tracking continuity between takes.</t>
  </si>
  <si>
    <t>Assembled rough cuts using selected footage and reference materials.</t>
  </si>
  <si>
    <t>Synced final voiceovers and music tracks with editorial timelines.</t>
  </si>
  <si>
    <t>Applied basic color correction for internal review cuts.</t>
  </si>
  <si>
    <t>Implemented revisions based on client and creative feedback.</t>
  </si>
  <si>
    <t>Prepared versions of edits for client, legal, or internal review.</t>
  </si>
  <si>
    <t>Updated end slates, disclaimers, and graphic overlays.</t>
  </si>
  <si>
    <t>Exported final sequences in required codecs and aspect ratios.</t>
  </si>
  <si>
    <t>Managed file conversions for broadcast or digital platforms.</t>
  </si>
  <si>
    <t>Archived completed projects and relevant working files.</t>
  </si>
  <si>
    <t>Coordinated with sound designers to ensure seamless audio handoffs.</t>
  </si>
  <si>
    <t>Integrated motion graphics and animations into the locked edit.</t>
  </si>
  <si>
    <t>Ensured all shots met resolution and quality standards before delivery.</t>
  </si>
  <si>
    <t>Rendered preview files for presentations or internal approvals.</t>
  </si>
  <si>
    <t>Assisted with subtitle placement and timing adjustments.</t>
  </si>
  <si>
    <t>Delivered final deliverables to media buying or trafficking teams</t>
  </si>
  <si>
    <t>Exec Prod, Agency Production</t>
  </si>
  <si>
    <t>Reviewed creative concepts and ensured alignment with the client’s strategic objectives.</t>
  </si>
  <si>
    <t>Evaluated director treatments and facilitated the selection process in collaboration with creative leads.</t>
  </si>
  <si>
    <t>Oversaw the bidding process and negotiated production estimates with external production companies.</t>
  </si>
  <si>
    <t>Secured client approvals for budget, schedule, and production approach.</t>
  </si>
  <si>
    <t>Coordinated internal legal and business affairs reviews for production agreements.</t>
  </si>
  <si>
    <t>Supervised script breakdowns and assessed implications on production logistics.</t>
  </si>
  <si>
    <t>Finalized production timelines and synchronized milestones with internal and external stakeholders.</t>
  </si>
  <si>
    <t>Conducted pre-bid meetings with production partners to ensure scope clarity.</t>
  </si>
  <si>
    <t>Organized location scouts and participated in final location approvals.</t>
  </si>
  <si>
    <t>Reviewed casting submissions and participated in talent selection alongside the creative team.</t>
  </si>
  <si>
    <t>Ensured compliance with advertising regulations and union requirements.</t>
  </si>
  <si>
    <t>Oversaw creation and approval of production insurance documentation.</t>
  </si>
  <si>
    <t>Scheduled and led internal production status meetings with cross-functional agency teams.</t>
  </si>
  <si>
    <t>Approved production designs, storyboards, and shot lists prior to shoot.</t>
  </si>
  <si>
    <t>Confirmed all logistical elements were in place, including travel, accommodations, and call sheets</t>
  </si>
  <si>
    <t>Supervised on-set execution to ensure alignment with creative intent and production standards.</t>
  </si>
  <si>
    <t>Acted as the primary liaison between agency creatives and the production company.</t>
  </si>
  <si>
    <t>Monitored shoot schedule to identify and address any delays or inefficiencies.</t>
  </si>
  <si>
    <t>Managed real-time decision-making related to budget and scope adjustments.</t>
  </si>
  <si>
    <t>Ensured proper client representation and facilitated their feedback during the shoot.</t>
  </si>
  <si>
    <t>Oversaw safety protocols and resolved on-set operational concerns.</t>
  </si>
  <si>
    <t>Reviewed dailies with creative leads to validate captured content.</t>
  </si>
  <si>
    <t>Escalated critical issues to senior stakeholders when necessary.</t>
  </si>
  <si>
    <t>Controlled access to confidential materials and restricted areas on set.</t>
  </si>
  <si>
    <t>Ensured proper documentation and handling of talent contracts and releases.</t>
  </si>
  <si>
    <t>Managed communication between departments, including wardrobe, art, and camera.</t>
  </si>
  <si>
    <t>Verified that all brand assets and visual guidelines were adhered to during filming.</t>
  </si>
  <si>
    <t>Facilitated creative problem-solving to address unplanned obstacles.</t>
  </si>
  <si>
    <t>Approved on-the-fly changes to props, wardrobe, or locations based on agency feedback.</t>
  </si>
  <si>
    <t>Ensured wrap-out activities were conducted according to production requirements.</t>
  </si>
  <si>
    <t>Reviewed selects and participated in edit lock discussions with the creative team.</t>
  </si>
  <si>
    <t>Managed post-production timelines to align with delivery requirements.</t>
  </si>
  <si>
    <t>Oversaw agency reviews of rough cuts, fine cuts, and final masters.</t>
  </si>
  <si>
    <t>Coordinated voiceover recording sessions and ensured proper direction was provided.</t>
  </si>
  <si>
    <t>Approved color grading and visual effects passes before client presentation.</t>
  </si>
  <si>
    <t>Ensured sound design and audio mix met technical and creative expectations.</t>
  </si>
  <si>
    <t>Facilitated legal and regulatory review of final content.</t>
  </si>
  <si>
    <t>Managed music licensing processes and ensured clearance documentation was secured.</t>
  </si>
  <si>
    <t>Confirmed delivery specifications with media partners and platforms.</t>
  </si>
  <si>
    <t>Directed internal and external teams on required versioning and localizations.</t>
  </si>
  <si>
    <t>Oversaw the adaptation of assets for social, digital, and broadcast formats.</t>
  </si>
  <si>
    <t>Reviewed final masters for quality assurance and consistency across deliverables.</t>
  </si>
  <si>
    <t>Ensured timely delivery of all assets to the client and media partners.</t>
  </si>
  <si>
    <t>Coordinated internal debriefs to discuss project outcomes and key learnings.</t>
  </si>
  <si>
    <t>Archived all production materials according to agency standards.</t>
  </si>
  <si>
    <t>Assoc Creative Dir, Content, CW</t>
  </si>
  <si>
    <t>Developed the creative concept in alignment with the campaign strategy.</t>
  </si>
  <si>
    <t>Wrote the initial script draft based on the approved concept.</t>
  </si>
  <si>
    <t>Edited script iterations following feedback from internal stakeholders.</t>
  </si>
  <si>
    <t>Collaborated with art directors to ensure cohesive visual and narrative direction.</t>
  </si>
  <si>
    <t>Participated in casting decisions to align talent with brand tone.</t>
  </si>
  <si>
    <t>Reviewed director treatments to assess narrative alignment.</t>
  </si>
  <si>
    <t>Provided voiceover direction and script options for tone and pacing.</t>
  </si>
  <si>
    <t>Attended location scouts to evaluate narrative suitability.</t>
  </si>
  <si>
    <t>Supervised the storyboard development to ensure accurate script translation.</t>
  </si>
  <si>
    <t>Reviewed wardrobe and prop selections for character consistency.</t>
  </si>
  <si>
    <t>Participated in pre-production meetings to align teams on creative goals.</t>
  </si>
  <si>
    <t>Coordinated with account teams to confirm script compliance with client expectations.</t>
  </si>
  <si>
    <t>Provided copy adjustments for legal or regulatory review as needed.</t>
  </si>
  <si>
    <t>Created alternate script versions for different media platforms.</t>
  </si>
  <si>
    <t>Finalized the shooting script for production readiness.</t>
  </si>
  <si>
    <t>Oversaw script adherence during live shoots.</t>
  </si>
  <si>
    <t>Provided on-set copy revisions in response to real-time adjustments.</t>
  </si>
  <si>
    <t>Ensured tone consistency across multiple takes.</t>
  </si>
  <si>
    <t>Advised on actor delivery to maintain brand voice.</t>
  </si>
  <si>
    <t>Collaborated with the director to fine-tune dialogue performance.</t>
  </si>
  <si>
    <t>Reviewed playback to monitor script execution.</t>
  </si>
  <si>
    <t>Coordinated with producers to resolve narrative-related production challenges.</t>
  </si>
  <si>
    <t>Evaluated scene coverage to ensure storytelling clarity.</t>
  </si>
  <si>
    <t>Provided direction on timing for visual-text alignment.</t>
  </si>
  <si>
    <t>Approved last-minute changes to voiceover lines.</t>
  </si>
  <si>
    <t>Contributed to decisions on unscripted content inclusion.</t>
  </si>
  <si>
    <t>Communicated with post-production teams on key storytelling elements.</t>
  </si>
  <si>
    <t>Maintained continuity logs specific to dialogue and performance.</t>
  </si>
  <si>
    <t>Participated in creative problem-solving during production delays.</t>
  </si>
  <si>
    <t>Approved alternative shots when original script execution was not feasible.</t>
  </si>
  <si>
    <t>Reviewed rough cuts to assess narrative pacing and clarity.</t>
  </si>
  <si>
    <t>Provided script notes to inform editing decisions.</t>
  </si>
  <si>
    <t>Directed voiceover recording sessions for tone and timing.</t>
  </si>
  <si>
    <t>Reviewed and edited subtitle or supers copy for accuracy and tone.</t>
  </si>
  <si>
    <t>Approved final script-driven elements including tags and endlines.</t>
  </si>
  <si>
    <t>Collaborated with editors to ensure script alignment in final cut.</t>
  </si>
  <si>
    <t>Suggested adjustments to voiceover or dialogue timing for impact.</t>
  </si>
  <si>
    <t>Reviewed music and sound design for emotional resonance with the script.</t>
  </si>
  <si>
    <t>Evaluated visual transitions for narrative flow.</t>
  </si>
  <si>
    <t>Provided creative feedback on graphics and animated copy elements.</t>
  </si>
  <si>
    <t>Participated in color grading sessions to ensure tone matches script mood.</t>
  </si>
  <si>
    <t>Reviewed final audio mix for clarity and consistency with brand voice.</t>
  </si>
  <si>
    <t>Ensured final deliverables included correct script versions for all platforms.</t>
  </si>
  <si>
    <t>Approved legal copy placement and disclaimers.</t>
  </si>
  <si>
    <t>Signed off on the final commercial for client delivery</t>
  </si>
  <si>
    <t>Head of Film and Photo</t>
  </si>
  <si>
    <t>Defined the visual direction in collaboration with the creative and strategy teams.</t>
  </si>
  <si>
    <t>Evaluated director reels and recommended talent aligned with the visual brief.</t>
  </si>
  <si>
    <t>Supervised the development of shot lists and storyboards.</t>
  </si>
  <si>
    <t>Reviewed treatment submissions to ensure creative alignment.</t>
  </si>
  <si>
    <t>Participated in the selection of directors, photographers, and production vendors.</t>
  </si>
  <si>
    <t>Assessed potential production partners and finalized vendor approvals.</t>
  </si>
  <si>
    <t>Oversaw casting sessions and approved talent selections.</t>
  </si>
  <si>
    <t>Reviewed location options for cinematic and photographic suitability.</t>
  </si>
  <si>
    <t>Worked with producers to align budgets with visual execution needs.</t>
  </si>
  <si>
    <t>Reviewed and signed off on production schedules and call sheets.</t>
  </si>
  <si>
    <t>Coordinated with creative and production leads to ensure shoot feasibility.</t>
  </si>
  <si>
    <t>Advised on equipment requirements based on creative intent.</t>
  </si>
  <si>
    <t>Attended technical scouts to assess lighting and framing opportunities.</t>
  </si>
  <si>
    <t>Directed pre-visualization efforts for key film and photo moments.</t>
  </si>
  <si>
    <t>Provided final approvals on production assets prior to shoot day</t>
  </si>
  <si>
    <t>Supervised on-set execution to ensure alignment with visual strategy.</t>
  </si>
  <si>
    <t>Directed camera and lighting setups in collaboration with the director of photography.</t>
  </si>
  <si>
    <t>Reviewed live monitor feeds to confirm shot framing and quality.</t>
  </si>
  <si>
    <t>Provided feedback on performance to maintain visual and narrative consistency.</t>
  </si>
  <si>
    <t>Oversaw still photo captures during filming for integrated content needs.</t>
  </si>
  <si>
    <t>Ensured continuity between scenes and setups across film and photo.</t>
  </si>
  <si>
    <t>Approved selects during shooting to stay on schedule and on brief.</t>
  </si>
  <si>
    <t>Monitored art direction on set to ensure visual integrity.</t>
  </si>
  <si>
    <t>Collaborated with production crew to troubleshoot technical issues.</t>
  </si>
  <si>
    <t>Coordinated with creative leadership to manage real-time adjustments.</t>
  </si>
  <si>
    <t>Maintained alignment between photo and film units for unified storytelling.</t>
  </si>
  <si>
    <t>Provided approvals on lighting changes and scene transitions.</t>
  </si>
  <si>
    <t>Signed off on key setups and hero shots during filming.</t>
  </si>
  <si>
    <t>Ensured behind-the-scenes documentation met internal standards.</t>
  </si>
  <si>
    <t>Conducted daily reviews to evaluate shot progress and make adjustments</t>
  </si>
  <si>
    <t>Reviewed raw footage and selects for quality and consistency.</t>
  </si>
  <si>
    <t>Collaborated with editors to define the visual tone of the final cut.</t>
  </si>
  <si>
    <t>Supervised retouching and color grading for both film and photo assets.</t>
  </si>
  <si>
    <t>Reviewed animation and visual effects passes for quality control.</t>
  </si>
  <si>
    <t>Provided feedback on motion design and transitions.</t>
  </si>
  <si>
    <t>Approved photo selects for retouching and final delivery.</t>
  </si>
  <si>
    <t>Evaluated pacing and framing in early edits to ensure visual impact.</t>
  </si>
  <si>
    <t>Attended edit sessions to guide composition and narrative emphasis.</t>
  </si>
  <si>
    <t>Ensured consistency between moving and still imagery across formats.</t>
  </si>
  <si>
    <t>Worked with the sound team to align audio design with visual rhythm.</t>
  </si>
  <si>
    <t>Reviewed text overlays and superimposed graphics for aesthetic consistency.</t>
  </si>
  <si>
    <t>Approved final photo and film assets for client presentation.</t>
  </si>
  <si>
    <t>Coordinated delivery of multiple asset formats for various media channels.</t>
  </si>
  <si>
    <t>Provided sign-off on technical specifications and final compression settings.</t>
  </si>
  <si>
    <t>Archived final project assets in accordance with agency protocols</t>
  </si>
  <si>
    <t>Assoc Program Dir, Integrated Campaigns</t>
  </si>
  <si>
    <t>Aligned campaign objectives with client expectations and strategic marketing goals.</t>
  </si>
  <si>
    <t>Collaborated with creative leads to finalize the commercial concept and treatment.</t>
  </si>
  <si>
    <t>Created detailed production timelines and tracked key milestones.</t>
  </si>
  <si>
    <t>Reviewed and approved creative briefs and project scopes.</t>
  </si>
  <si>
    <t>Coordinated with media planning teams to ensure alignment on deliverables and formats.</t>
  </si>
  <si>
    <t>Secured internal and external resources required for production execution.</t>
  </si>
  <si>
    <t>Oversaw budget development and validated cost estimates from production partners.</t>
  </si>
  <si>
    <t>Scheduled and facilitated kickoff meetings with cross-functional teams.</t>
  </si>
  <si>
    <t>Worked with legal to ensure all creative content complied with industry regulations.</t>
  </si>
  <si>
    <t>Led the approval process for scripts, storyboards, and casting recommendations.</t>
  </si>
  <si>
    <t>Partnered with account teams to manage client feedback loops.</t>
  </si>
  <si>
    <t>Ensured vendor contracts and NDAs were executed ahead of production.</t>
  </si>
  <si>
    <t>Established asset management protocols for campaign materials.</t>
  </si>
  <si>
    <t>Facilitated location scouting and permit acquisition with production partners.</t>
  </si>
  <si>
    <t>Developed contingency plans for potential production delays or issues</t>
  </si>
  <si>
    <t>Attended shoots to oversee alignment with creative direction and brand guidelines.</t>
  </si>
  <si>
    <t>Coordinated with producers to manage daily production schedules and crew logistics.</t>
  </si>
  <si>
    <t>Addressed client questions and approvals in real time during filming.</t>
  </si>
  <si>
    <t>Verified on-set talent usage adhered to contractual agreements.</t>
  </si>
  <si>
    <t>Escalated and resolved production issues impacting timeline or deliverables.</t>
  </si>
  <si>
    <t>Captured behind-the-scenes content as required for integrated campaign needs.</t>
  </si>
  <si>
    <t>Ensured production adhered to safety and compliance standards.</t>
  </si>
  <si>
    <t>Confirmed technical specifications were met for video, audio, and lighting.</t>
  </si>
  <si>
    <t>Provided real-time updates to internal and external stakeholders.</t>
  </si>
  <si>
    <t>Reviewed footage with creative leads to ensure key scenes were captured effectively.</t>
  </si>
  <si>
    <t>Oversaw budget tracking and cost control during shoot days.</t>
  </si>
  <si>
    <t>Facilitated on-set coordination between agency and production company teams.</t>
  </si>
  <si>
    <t>Approved production adjustments based on weather or environmental factors.</t>
  </si>
  <si>
    <t>Verified continuity across takes to maintain consistency in final edits.</t>
  </si>
  <si>
    <t>Collected and secured raw footage and data for post-production</t>
  </si>
  <si>
    <t>Managed post-production timelines and ensured delivery milestones were met.</t>
  </si>
  <si>
    <t>Reviewed and approved rough cuts in collaboration with creative leadership.</t>
  </si>
  <si>
    <t>Coordinated internal review rounds before sharing content with clients.</t>
  </si>
  <si>
    <t>Collected consolidated client feedback for editors and motion graphics teams.</t>
  </si>
  <si>
    <t>Ensured visual and audio elements were consistent with brand standards.</t>
  </si>
  <si>
    <t>Oversaw the implementation of legal disclaimers, end tags, and supers.</t>
  </si>
  <si>
    <t>Managed localization needs for regional and international markets.</t>
  </si>
  <si>
    <t>Verified closed captioning and accessibility requirements were met.</t>
  </si>
  <si>
    <t>Approved final color correction and sound mixing passes.</t>
  </si>
  <si>
    <t>Coordinated final delivery of assets to media partners and platforms.</t>
  </si>
  <si>
    <t>Archived final project files and version history in the agency’s asset library.</t>
  </si>
  <si>
    <t>Confirmed music licensing and usage rights were secured and documented.</t>
  </si>
  <si>
    <t>Supported post-campaign performance tracking setup with analytics teams.</t>
  </si>
  <si>
    <t>Facilitated a final wrap meeting with internal teams and external partners.</t>
  </si>
  <si>
    <t>Documented key learnings and production notes for future campaigns.</t>
  </si>
  <si>
    <t>Creative Dir, Commerce and Content</t>
  </si>
  <si>
    <t>Developed the creative concept for the commercial in collaboration with the team.</t>
  </si>
  <si>
    <t>Created mood boards and visual references to communicate the overall aesthetic.</t>
  </si>
  <si>
    <t>Drafted the initial script and coordinated feedback sessions.</t>
  </si>
  <si>
    <t>Conducted market research to inform the commercial’s direction.</t>
  </si>
  <si>
    <t>Secured approval for the final script from stakeholders.</t>
  </si>
  <si>
    <t>Organized casting calls to identify talent for the commercial.</t>
  </si>
  <si>
    <t>Held auditions and selected the appropriate actors for the roles.</t>
  </si>
  <si>
    <t>Coordinated with the director to define the visual style and shot list.</t>
  </si>
  <si>
    <t>Developed a production timeline, outlining key milestones and deadlines.</t>
  </si>
  <si>
    <t>Created a detailed budget for the production, covering all costs.</t>
  </si>
  <si>
    <t>Sourced and secured locations for filming, including permits and permissions.</t>
  </si>
  <si>
    <t>Managed the logistics of set design, ensuring the environment aligned with the concept.</t>
  </si>
  <si>
    <t>Selected and liaised with the cinematographer to discuss camera angles and lighting plans.</t>
  </si>
  <si>
    <t>Organized rehearsals with the talent to ensure proper delivery of lines and timing.</t>
  </si>
  <si>
    <t>Communicated with the production team to ensure everyone was aligned with the project vision</t>
  </si>
  <si>
    <t>Supervised the setup of the set, ensuring alignment with the creative vision.</t>
  </si>
  <si>
    <t>Coordinated with the director to ensure the script was being followed during filming.</t>
  </si>
  <si>
    <t>Directed the actors during takes, guiding their performances to match the vision.</t>
  </si>
  <si>
    <t>Ensured the crew executed the lighting, sound, and camera angles as planned.</t>
  </si>
  <si>
    <t>Managed the pacing of the shoot to ensure all scenes were captured within the schedule.</t>
  </si>
  <si>
    <t>Collaborated with the art department to ensure props and set elements were in place.</t>
  </si>
  <si>
    <t>Oversaw the makeup and wardrobe departments to guarantee consistency with the concept.</t>
  </si>
  <si>
    <t>Monitored sound quality to ensure clear, high-quality audio was recorded.</t>
  </si>
  <si>
    <t>Addressed any issues or obstacles during the shoot to avoid delays.</t>
  </si>
  <si>
    <t>Provided immediate feedback to the director and crew on performance and technical elements.</t>
  </si>
  <si>
    <t>Liaised with the producers to ensure the shoot remained within budget and schedule.</t>
  </si>
  <si>
    <t>Reviewed footage during breaks to assess quality and alignment with the vision.</t>
  </si>
  <si>
    <t>Coordinated with the post-production team to ensure the necessary shots were captured.</t>
  </si>
  <si>
    <t>Ensured all necessary permissions and releases were obtained from talent and locations.</t>
  </si>
  <si>
    <t>Managed the transportation of all necessary equipment and materials to and from the location</t>
  </si>
  <si>
    <t>Collaborated with the editor to review the raw footage and select the best takes.</t>
  </si>
  <si>
    <t>Provided creative direction on the editing style, pacing, and flow of the commercial.</t>
  </si>
  <si>
    <t>Supervised the addition of sound effects and music to enhance the commercial’s impact.</t>
  </si>
  <si>
    <t>Reviewed and approved the rough cut, providing feedback for revisions.</t>
  </si>
  <si>
    <t>Coordinated with the visual effects team to ensure any needed CGI was seamlessly integrated.</t>
  </si>
  <si>
    <t>Approved the color grading to ensure the final look matched the creative direction.</t>
  </si>
  <si>
    <t>Worked with the sound designer to finalize the audio mix and ensure high-quality sound.</t>
  </si>
  <si>
    <t>Ensured the commercial’s timing aligned with the desired duration and structure.</t>
  </si>
  <si>
    <t>Collaborated with the copywriters to finalize the voiceover or script edits.</t>
  </si>
  <si>
    <t>Conducted multiple review sessions with internal stakeholders to ensure alignment.</t>
  </si>
  <si>
    <t>Managed any necessary reshoots, ensuring consistency with the final vision.</t>
  </si>
  <si>
    <t>Verified that all legal and compliance requirements for the commercial were met.</t>
  </si>
  <si>
    <t>Coordinated the creation of any additional promotional assets or teasers.</t>
  </si>
  <si>
    <t>Approved the final version of the commercial for distribution.</t>
  </si>
  <si>
    <t>Delivered the final files to the appropriate channels for broadcast or online distribution</t>
  </si>
  <si>
    <t>Reviewed and negotiated contracts with external vendors and suppliers for the production.</t>
  </si>
  <si>
    <t>Coordinated the approval of the production budget with relevant stakeholders.</t>
  </si>
  <si>
    <t>Secured talent agreements and ensured proper legal documentation for actors and crew.</t>
  </si>
  <si>
    <t>Managed the production schedule, ensuring all timelines were met.</t>
  </si>
  <si>
    <t>Facilitated the acquisition of location permits and ensured legal compliance.</t>
  </si>
  <si>
    <t>Reviewed and approved the project’s legal and regulatory requirements.</t>
  </si>
  <si>
    <t>Collaborated with the finance team to ensure budget allocation for all production elements.</t>
  </si>
  <si>
    <t>Negotiated terms with post-production houses for editing and finishing services.</t>
  </si>
  <si>
    <t>Ensured insurance coverage was in place for production activities.</t>
  </si>
  <si>
    <t>Coordinated with external agencies to secure necessary clearances for music and branded content.</t>
  </si>
  <si>
    <t>Managed the acquisition of all necessary licenses for third-party materials.</t>
  </si>
  <si>
    <t>Assisted in preparing and distributing pre-production documentation, including contracts and timelines.</t>
  </si>
  <si>
    <t>Reviewed union or guild requirements and ensured compliance with relevant labor laws.</t>
  </si>
  <si>
    <t>Liaised with the legal department to ensure intellectual property rights were properly managed.</t>
  </si>
  <si>
    <t>Conducted risk assessments to identify potential legal or financial issues before production began.</t>
  </si>
  <si>
    <t>Oversaw the proper execution of production contracts, ensuring all obligations were met.</t>
  </si>
  <si>
    <t>Monitored the production budget to ensure spending remained within allocated limits.</t>
  </si>
  <si>
    <t>Managed the approval of invoices and ensured timely payments to vendors and talent.</t>
  </si>
  <si>
    <t>Facilitated communication between producers, the legal team, and external vendors during production.</t>
  </si>
  <si>
    <t>Ensured all talent and crew were paid according to contract terms and on schedule.</t>
  </si>
  <si>
    <t>Addressed any legal issues that arose during filming, including contract disputes or location problems.</t>
  </si>
  <si>
    <t>Coordinated the acquisition of permits or additional licenses during production as needed.</t>
  </si>
  <si>
    <t>Managed the logistics of transporting equipment and materials to and from the location.</t>
  </si>
  <si>
    <t>Assisted with any necessary contract amendments or addendums during production.</t>
  </si>
  <si>
    <t>Monitored the production schedule to ensure all milestones were met and deadlines adhered to.</t>
  </si>
  <si>
    <t>Coordinated with the finance team to track production expenses and approve payments.</t>
  </si>
  <si>
    <t>Managed risk mitigation measures, ensuring compliance with health and safety regulations.</t>
  </si>
  <si>
    <t>Verified that all documentation for location releases, permits, and contracts was in order.</t>
  </si>
  <si>
    <t>Ensured that all union and guild requirements were being adhered to during production.</t>
  </si>
  <si>
    <t>Assisted with resolving any on-set disputes related to contracts, payments, or other business matters.</t>
  </si>
  <si>
    <t>Coordinated the review and approval of post-production contracts and agreements.</t>
  </si>
  <si>
    <t>Monitored the post-production budget to ensure no overages occurred during editing and finalization.</t>
  </si>
  <si>
    <t>Managed the delivery of final contracts and agreements to external vendors for services rendered.</t>
  </si>
  <si>
    <t>Ensured that licensing rights for music, visuals, and other third-party materials were properly managed.</t>
  </si>
  <si>
    <t>Reviewed final payment schedules for talent, crew, and vendors and ensured timely processing.</t>
  </si>
  <si>
    <t>Coordinated the legal review of the commercial to ensure compliance with intellectual property rights.</t>
  </si>
  <si>
    <t>Reviewed final invoices from post-production houses and vendors for accuracy and compliance with contracts.</t>
  </si>
  <si>
    <t>Ensured all relevant tax and financial documentation was processed and filed.</t>
  </si>
  <si>
    <t>Managed the distribution of final assets to clients and broadcasters according to agreed-upon terms.</t>
  </si>
  <si>
    <t>Assisted in the preparation of post-production reports for internal and client review.</t>
  </si>
  <si>
    <t>Coordinated the final approval of the commercial from a business affairs perspective.</t>
  </si>
  <si>
    <t>Ensured all necessary clearances were obtained for broadcast or digital distribution.</t>
  </si>
  <si>
    <t>Managed the completion and distribution of any post-production amendments to contracts.</t>
  </si>
  <si>
    <t>Coordinated with the finance team to ensure all post-production expenses were accounted for and paid.</t>
  </si>
  <si>
    <t>Ensured all legal obligations regarding distribution and airing of the commercial were fulfilled</t>
  </si>
  <si>
    <t>Employee Title: Sr Prod, CGI</t>
  </si>
  <si>
    <t>Collaborated with the creative team to develop concepts for the commercial.</t>
  </si>
  <si>
    <t>Conducted research on the target audience and industry trends.</t>
  </si>
  <si>
    <t>Defined the visual style and tone of the commercial.</t>
  </si>
  <si>
    <t>Developed a storyboard to visualize the commercial’s sequence.</t>
  </si>
  <si>
    <t>Coordinated with the director to discuss the artistic direction.</t>
  </si>
  <si>
    <t>Met with the scriptwriter to review and finalize the commercial script.</t>
  </si>
  <si>
    <t>Secured locations for filming and coordinated permits if necessary.</t>
  </si>
  <si>
    <t>Worked with casting directors to select talent for the commercial.</t>
  </si>
  <si>
    <t>Prepared a production schedule outlining key milestones and deadlines.</t>
  </si>
  <si>
    <t>Coordinated with the art department to establish design requirements.</t>
  </si>
  <si>
    <t>Created a detailed budget plan for the commercial’s production.</t>
  </si>
  <si>
    <t>Engaged with special effects teams to plan CGI elements.</t>
  </si>
  <si>
    <t>Identified and secured any props needed for the commercial.</t>
  </si>
  <si>
    <t>Coordinated with the wardrobe department to select costumes for talent.</t>
  </si>
  <si>
    <t>Reviewed and finalized legal documents related to talent contracts and location agreements.</t>
  </si>
  <si>
    <t>Supervised the on-set application of CGI elements to live-action footage.</t>
  </si>
  <si>
    <t>Worked with the director to ensure CGI content was integrated seamlessly.</t>
  </si>
  <si>
    <t>Managed communication between the production team and CGI artists.</t>
  </si>
  <si>
    <t>Oversaw the creation and execution of any live-action visual effects.</t>
  </si>
  <si>
    <t>Ensured CGI shots were captured correctly, including camera movements and lighting.</t>
  </si>
  <si>
    <t>Provided real-time feedback to the CGI team to refine visual elements.</t>
  </si>
  <si>
    <t>Directed and guided the use of motion capture technology when required.</t>
  </si>
  <si>
    <t>Worked with lighting technicians to ensure CGI content matched lighting setups.</t>
  </si>
  <si>
    <t>Coordinated with the sound department to ensure proper integration of audio with visuals.</t>
  </si>
  <si>
    <t>Ensured all required assets (e.g., digital props, environments) were prepared for post-production.</t>
  </si>
  <si>
    <t>Reviewed footage during dailies to identify potential visual issues.</t>
  </si>
  <si>
    <t>Managed the technical aspects of capturing CGI during the production.</t>
  </si>
  <si>
    <t>Facilitated on-set adjustments to optimize performance capture and motion tracking.</t>
  </si>
  <si>
    <t>Ensured all shots involving CGI were captured according to the approved storyboard.</t>
  </si>
  <si>
    <t>Collaborated with the director of photography to adjust visual effects according to scene needs</t>
  </si>
  <si>
    <t>Coordinated the integration of CGI with live-action footage.</t>
  </si>
  <si>
    <t>Directed the refinement of visual effects during editing.</t>
  </si>
  <si>
    <t>Reviewed raw footage to ensure CGI was properly aligned with the desired aesthetic.</t>
  </si>
  <si>
    <t>Worked closely with editors to finalize the pacing and timing of CGI elements.</t>
  </si>
  <si>
    <t>Ensured that the visual continuity of the commercial was maintained during post-production.</t>
  </si>
  <si>
    <t>Oversaw the creation of 3D models and assets required for the commercial.</t>
  </si>
  <si>
    <t>Collaborated with sound designers to integrate sound effects with CGI elements.</t>
  </si>
  <si>
    <t>Managed the process of color grading to ensure CGI content matched the live-action footage.</t>
  </si>
  <si>
    <t>Directed the creation and addition of any visual effects in the final cut.</t>
  </si>
  <si>
    <t>Reviewed and approved CGI renders to ensure quality and consistency.</t>
  </si>
  <si>
    <t>Worked with compositors to integrate CGI seamlessly into the final edit.</t>
  </si>
  <si>
    <t>Directed the rendering process for any complex CGI sequences.</t>
  </si>
  <si>
    <t>Coordinated with the visual effects supervisor to finalize and optimize CGI shots.</t>
  </si>
  <si>
    <t>Oversaw the final review and approval of CGI shots from the creative team.</t>
  </si>
  <si>
    <t>Assisted in preparing the final commercial file for distribution in various formats.</t>
  </si>
  <si>
    <t>Assoc Creative Dir, Art Dir, Content</t>
  </si>
  <si>
    <t>Developed the concept for the commercial based on client objectives.</t>
  </si>
  <si>
    <t>Collaborated with the creative team to brainstorm visual and narrative ideas.</t>
  </si>
  <si>
    <t>Produced storyboards to illustrate key scenes and visual sequences.</t>
  </si>
  <si>
    <t>Created mood boards to establish the aesthetic direction of the commercial.</t>
  </si>
  <si>
    <t>Coordinated with the client to finalize the creative brief.</t>
  </si>
  <si>
    <t>Drafted a shooting script that outlined dialogue and key actions.</t>
  </si>
  <si>
    <t>Secured locations for filming and ensured they met project requirements.</t>
  </si>
  <si>
    <t>Selected talent, including actors and voice-over artists, based on the project's needs.</t>
  </si>
  <si>
    <t>Worked with the production team to determine the shooting schedule.</t>
  </si>
  <si>
    <t>Designed the commercial’s set and props, ensuring they aligned with the concept.</t>
  </si>
  <si>
    <t>Collaborated with the director and cinematographer to develop the visual style.</t>
  </si>
  <si>
    <t>Coordinated with wardrobe and makeup teams to prepare looks for talent.</t>
  </si>
  <si>
    <t>Managed the creation and approval of graphic elements to be used in the commercial.</t>
  </si>
  <si>
    <t>Secured necessary permits and permissions for location filming.</t>
  </si>
  <si>
    <t>Reviewed and approved pre-production timelines and budgets.</t>
  </si>
  <si>
    <t>Supervised the visual execution of the commercial during filming.</t>
  </si>
  <si>
    <t>Directed the art direction on set to ensure the visual consistency of the project.</t>
  </si>
  <si>
    <t>Oversaw the placement and setup of props to enhance the narrative.</t>
  </si>
  <si>
    <t>Collaborated with the director and cinematographer to frame shots according to the storyboards.</t>
  </si>
  <si>
    <t>Managed the lighting setup to ensure it matched the desired look and tone.</t>
  </si>
  <si>
    <t>Coordinated with sound engineers to capture clean, high-quality audio.</t>
  </si>
  <si>
    <t>Provided on-set feedback to talent regarding performance and direction.</t>
  </si>
  <si>
    <t>Supervised wardrobe, makeup, and hair teams to maintain consistency throughout scenes.</t>
  </si>
  <si>
    <t>Assisted the director in adjusting shots to improve pacing and visual appeal.</t>
  </si>
  <si>
    <t>Monitored the on-set execution of special effects or stunts.</t>
  </si>
  <si>
    <t>Ensured that the production adhered to the shooting schedule and time constraints.</t>
  </si>
  <si>
    <t>Coordinated with the production team to manage equipment and technical setups.</t>
  </si>
  <si>
    <t>Handled any adjustments to props or set pieces during the shoot.</t>
  </si>
  <si>
    <t>Collaborated with the client to ensure their vision was being accurately represented.</t>
  </si>
  <si>
    <t>Oversaw the safety and well-being of the crew and talent during production</t>
  </si>
  <si>
    <t>Worked with the editor to assemble the raw footage into a coherent narrative.</t>
  </si>
  <si>
    <t>Collaborated with the sound designer to finalize audio mixing and sound effects.</t>
  </si>
  <si>
    <t>Directed color grading to achieve the desired visual tone and style.</t>
  </si>
  <si>
    <t>Approved the final edit of the commercial for pacing and continuity.</t>
  </si>
  <si>
    <t>Provided feedback on the integration of graphic elements into the commercial.</t>
  </si>
  <si>
    <t>Oversaw the creation and integration of special effects and visual effects.</t>
  </si>
  <si>
    <t>Coordinated with the music supervisor to select and incorporate the soundtrack.</t>
  </si>
  <si>
    <t>Supervised the creation of voice-over recordings and their integration into the commercial.</t>
  </si>
  <si>
    <t>Approved the final cut for distribution in various formats (TV, online, etc.).</t>
  </si>
  <si>
    <t>Reviewed test screenings and made adjustments based on feedback.</t>
  </si>
  <si>
    <t>Worked with the legal team to ensure all necessary rights and licenses were obtained.</t>
  </si>
  <si>
    <t>Ensured that the final product complied with industry standards and regulations.</t>
  </si>
  <si>
    <t>Managed the final export of the commercial in the required specifications.</t>
  </si>
  <si>
    <t>Delivered the commercial to the client and received final approval.</t>
  </si>
  <si>
    <t>Organized the archiving of all project files and assets for future use</t>
  </si>
  <si>
    <t>Creative Dir, Content</t>
  </si>
  <si>
    <t>Developed the overall creative concept for the commercial.</t>
  </si>
  <si>
    <t>Collaborated with the client to define project goals and objectives.</t>
  </si>
  <si>
    <t>Conducted market research to identify target audience preferences.</t>
  </si>
  <si>
    <t>Drafted the script and ensured alignment with the campaign message.</t>
  </si>
  <si>
    <t>Presented the creative concept and script to the client for approval.</t>
  </si>
  <si>
    <t>Created storyboards to visualize key scenes and camera angles.</t>
  </si>
  <si>
    <t>Organized casting calls and selected talent for the commercial.</t>
  </si>
  <si>
    <t>Secured locations for the shoot and negotiated permits.</t>
  </si>
  <si>
    <t>Coordinated with the production team to plan the shooting schedule.</t>
  </si>
  <si>
    <t>Developed the budget for the commercial, allocating resources efficiently.</t>
  </si>
  <si>
    <t>Identified and hired key crew members, such as directors, cinematographers, and sound engineers.</t>
  </si>
  <si>
    <t>Coordinated wardrobe and makeup teams for actor preparation.</t>
  </si>
  <si>
    <t>Secured props and set materials required for the shoot.</t>
  </si>
  <si>
    <t>Arranged for any special equipment, such as lighting and cameras.</t>
  </si>
  <si>
    <t>Finalized contracts and agreements with talent, crew, and vendors</t>
  </si>
  <si>
    <t>Oversaw the execution of the creative concept on set.</t>
  </si>
  <si>
    <t>Directed talent in alignment with the vision outlined in the script.</t>
  </si>
  <si>
    <t>Coordinated with the director of photography to achieve desired visual aesthetics.</t>
  </si>
  <si>
    <t>Managed the shooting schedule to ensure timely completion of scenes.</t>
  </si>
  <si>
    <t>Supervised the lighting setup to ensure proper mood and tone.</t>
  </si>
  <si>
    <t>Collaborated with sound engineers to capture high-quality audio.</t>
  </si>
  <si>
    <t>Ensured proper camera placement and angles to capture key shots.</t>
  </si>
  <si>
    <t>Monitored the performance of talent to ensure consistency with the script.</t>
  </si>
  <si>
    <t>Troubleshot any production issues, such as technical malfunctions.</t>
  </si>
  <si>
    <t>Reviewed footage throughout the shoot to ensure quality and alignment with the vision.</t>
  </si>
  <si>
    <t>Worked with the production designer to adjust set elements as needed.</t>
  </si>
  <si>
    <t>Ensured the safety of the cast and crew during the shoot.</t>
  </si>
  <si>
    <t>Communicated with the client during filming to provide progress updates.</t>
  </si>
  <si>
    <t>Managed the logistics of transporting crew and equipment to various locations.</t>
  </si>
  <si>
    <t>Addressed any on-set changes to the script or creative direction promptly</t>
  </si>
  <si>
    <t>Reviewed the raw footage to determine the best takes for editing.</t>
  </si>
  <si>
    <t>Collaborated with the editor to select the final shots for the commercial.</t>
  </si>
  <si>
    <t>Supervised the editing process to ensure alignment with the initial concept.</t>
  </si>
  <si>
    <t>Provided feedback on pacing, transitions, and overall flow of the commercial.</t>
  </si>
  <si>
    <t>Worked with sound designers to create the final audio mix.</t>
  </si>
  <si>
    <t>Coordinated the addition of visual effects and graphics as required.</t>
  </si>
  <si>
    <t>Approved the final color grading to ensure the desired look was achieved.</t>
  </si>
  <si>
    <t>Collaborated with the composer to select or create background music.</t>
  </si>
  <si>
    <t>Reviewed and approved the commercial's voice-over narration.</t>
  </si>
  <si>
    <t>Managed the revision process to incorporate client feedback into the final cut.</t>
  </si>
  <si>
    <t>Ensured the commercial adhered to legal and regulatory guidelines.</t>
  </si>
  <si>
    <t>Provided feedback on the commercial’s timing and visual appeal.</t>
  </si>
  <si>
    <t>Coordinated the delivery of the commercial to various platforms for distribution.</t>
  </si>
  <si>
    <t>Created alternative versions or edits for different media formats.</t>
  </si>
  <si>
    <t>Finalized the commercial and ensured all technical specifications were met for broadcast</t>
  </si>
  <si>
    <t>Sr Talent Mgr</t>
  </si>
  <si>
    <t>Coordinated casting calls for commercial talent.</t>
  </si>
  <si>
    <t>Reviewed and approved talent submissions for roles.</t>
  </si>
  <si>
    <t>Conducted auditions for selected talent.</t>
  </si>
  <si>
    <t>Negotiated contracts and terms with talent.</t>
  </si>
  <si>
    <t>Coordinated talent availability and scheduling.</t>
  </si>
  <si>
    <t>Communicated with the director and producers to discuss talent requirements.</t>
  </si>
  <si>
    <t>Collaborated with the creative team to understand character profiles.</t>
  </si>
  <si>
    <t>Managed talent's travel arrangements and accommodations.</t>
  </si>
  <si>
    <t>Worked with the wardrobe department to ensure proper fittings for talent.</t>
  </si>
  <si>
    <t>Organized and distributed talent information to the production team.</t>
  </si>
  <si>
    <t>Handled the distribution of talent scripts and briefing materials.</t>
  </si>
  <si>
    <t>Assisted in rehearsing lines with talent prior to the shoot.</t>
  </si>
  <si>
    <t>Developed backup talent options in case of scheduling conflicts.</t>
  </si>
  <si>
    <t>Coordinated with legal teams to secure necessary release forms.</t>
  </si>
  <si>
    <t>Reviewed and approved the final casting list for the commercial.</t>
  </si>
  <si>
    <t>Ensured talent arrived on set according to schedule.</t>
  </si>
  <si>
    <t>Coordinated talent’s on-set needs, including hair, makeup, and wardrobe.</t>
  </si>
  <si>
    <t>Supervised talent's rehearsal and performance during takes.</t>
  </si>
  <si>
    <t>Assisted the director in providing direction to talent on performance nuances.</t>
  </si>
  <si>
    <t>Monitored the flow of the shoot to keep talent in sync with the production schedule.</t>
  </si>
  <si>
    <t>Ensured all talent-related legal paperwork was on hand and up to date.</t>
  </si>
  <si>
    <t>Addressed any last-minute changes or issues related to talent during the shoot.</t>
  </si>
  <si>
    <t>Managed talent’s downtime on set, ensuring comfort and productivity.</t>
  </si>
  <si>
    <t>Provided guidance on ad-libbing or improvisation where necessary.</t>
  </si>
  <si>
    <t>Maintained constant communication with the director regarding talent performance.</t>
  </si>
  <si>
    <t>Verified talent's performance in various scenes and retakes as required.</t>
  </si>
  <si>
    <t>Coordinated with the production team to manage any issues related to talent.</t>
  </si>
  <si>
    <t>Ensured that talent’s safety was prioritized throughout the shooting process.</t>
  </si>
  <si>
    <t>Monitored the consistency of the talent's performance across different takes.</t>
  </si>
  <si>
    <t>Assisted with the final approval of talent's performance from the director's perspective</t>
  </si>
  <si>
    <t>Coordinated with editors to ensure the inclusion of talent in the commercial.</t>
  </si>
  <si>
    <t>Provided feedback on talent's performance in early cuts of the commercial.</t>
  </si>
  <si>
    <t>Reviewed and approved the final selection of talent clips for the commercial.</t>
  </si>
  <si>
    <t>Managed any required voiceovers or ADR sessions with talent.</t>
  </si>
  <si>
    <t>Handled talent approvals for any post-production edits that affected their appearance or performance.</t>
  </si>
  <si>
    <t>Liaised with the marketing team to ensure talent portrayal aligns with the campaign.</t>
  </si>
  <si>
    <t>Secured additional talent participation for promotional content if required.</t>
  </si>
  <si>
    <t>Ensured talent's compensation and contractual obligations were finalized.</t>
  </si>
  <si>
    <t>Coordinated with talent for any additional promotional or behind-the-scenes materials.</t>
  </si>
  <si>
    <t>Assisted in finalizing the credits for talent in the commercial.</t>
  </si>
  <si>
    <t>Collaborated with the legal team to handle any last-minute clearance issues.</t>
  </si>
  <si>
    <t>Managed talent feedback and final approval of the commercial.</t>
  </si>
  <si>
    <t>Ensured all post-production legal releases and payments were processed.</t>
  </si>
  <si>
    <t>Arranged for any promotional appearances or interviews by talent after the commercial's release.</t>
  </si>
  <si>
    <t>Coordinated with the distribution team to ensure that talent rights were properly managed for different media platforms.</t>
  </si>
  <si>
    <t>Video Editor</t>
  </si>
  <si>
    <t>Developed the initial concept for the commercial.</t>
  </si>
  <si>
    <t>Collaborated with the creative team to define the visual style and tone.</t>
  </si>
  <si>
    <t>Conducted research to ensure the commercial aligned with market trends.</t>
  </si>
  <si>
    <t>Worked with the director to refine the script and storyboard.</t>
  </si>
  <si>
    <t>Coordinated with the client to gather any necessary brand guidelines and preferences.</t>
  </si>
  <si>
    <t>Created a preliminary shot list and outline for the commercial.</t>
  </si>
  <si>
    <t>Selected potential locations for the shoot in collaboration with the production team.</t>
  </si>
  <si>
    <t>Assisted in casting actors or selecting talent for the commercial.</t>
  </si>
  <si>
    <t>Helped scout locations for shooting and coordinated logistics.</t>
  </si>
  <si>
    <t>Created a production schedule to ensure timely execution.</t>
  </si>
  <si>
    <t>Secured necessary permits and permissions for filming.</t>
  </si>
  <si>
    <t>Reviewed the budget for the project and suggested cost-saving adjustments.</t>
  </si>
  <si>
    <t>Coordinated with the costume and makeup teams to determine look and style.</t>
  </si>
  <si>
    <t>Prepared technical specifications for filming equipment.</t>
  </si>
  <si>
    <t>Communicated with the post-production team to establish editing needs and timelines.</t>
  </si>
  <si>
    <t>Supervised the filming process to ensure adherence to the pre-production plan.</t>
  </si>
  <si>
    <t>Coordinated with the director to maintain the intended visual style and tone.</t>
  </si>
  <si>
    <t>Managed the timing and pacing of each shot during filming.</t>
  </si>
  <si>
    <t>Ensured proper camera angles were captured for ease of editing.</t>
  </si>
  <si>
    <t>Monitored audio levels and quality throughout the shoot.</t>
  </si>
  <si>
    <t>Assisted in setting up lighting and ensuring consistency across scenes.</t>
  </si>
  <si>
    <t>Worked with the production designer to confirm the set was aligned with the concept.</t>
  </si>
  <si>
    <t>Assisted in managing the talent to ensure smooth transitions between shots.</t>
  </si>
  <si>
    <t>Ensured all necessary footage was captured for post-production editing.</t>
  </si>
  <si>
    <t>Managed the organization and storage of raw footage for easy access.</t>
  </si>
  <si>
    <t>Worked with the sound department to confirm the quality of recorded sound.</t>
  </si>
  <si>
    <t>Communicated any changes in the schedule or location to the crew.</t>
  </si>
  <si>
    <t>Assisted in troubleshooting technical issues during filming.</t>
  </si>
  <si>
    <t>Ensured that all props and wardrobe were in line with the concept and brand.</t>
  </si>
  <si>
    <t>Coordinated with the director to ensure the commercial was being filmed according to vision</t>
  </si>
  <si>
    <t>Organized and reviewed all raw footage from the shoot.</t>
  </si>
  <si>
    <t>Collaborated with the director to determine the final selection of footage.</t>
  </si>
  <si>
    <t>Edited video sequences to align with the intended narrative.</t>
  </si>
  <si>
    <t>Applied color correction to enhance the visual style.</t>
  </si>
  <si>
    <t>Integrated visual effects to support the storytelling.</t>
  </si>
  <si>
    <t>Edited audio to ensure clarity and consistency with the visuals.</t>
  </si>
  <si>
    <t>Selected and incorporated background music that fit the tone of the commercial.</t>
  </si>
  <si>
    <t>Worked on creating and adding motion graphics or titles as needed.</t>
  </si>
  <si>
    <t>Coordinated with the sound team to finalize the audio mix.</t>
  </si>
  <si>
    <t>Reviewed the edited commercial with the creative team for feedback and revisions.</t>
  </si>
  <si>
    <t>Incorporated client feedback into the final edit.</t>
  </si>
  <si>
    <t>Delivered the final video files in various formats suitable for broadcast.</t>
  </si>
  <si>
    <t>Ensured all copyright and licensing requirements for music and footage were met.</t>
  </si>
  <si>
    <t>Prepared final edits for approval from the client and other stakeholders.</t>
  </si>
  <si>
    <t>Organized and archived the final versions of the commercial for future use</t>
  </si>
  <si>
    <t>Sr Prod, CGI</t>
  </si>
  <si>
    <t>Collaborated with the creative team to finalize the concept for the commercial.</t>
  </si>
  <si>
    <t>Developed and presented visual mood boards to align with the creative vision.</t>
  </si>
  <si>
    <t>Reviewed script drafts to ensure CGI elements were accurately represented.</t>
  </si>
  <si>
    <t>Coordinated with the director to discuss the integration of CGI with live-action footage.</t>
  </si>
  <si>
    <t>Identified and researched required CGI assets based on the script and storyboard.</t>
  </si>
  <si>
    <t>Assessed project timelines and provided estimates for CGI production phases.</t>
  </si>
  <si>
    <t>Collaborated with the art department to determine the style and look of the CGI elements.</t>
  </si>
  <si>
    <t>Secured necessary software and hardware resources for the CGI work.</t>
  </si>
  <si>
    <t>Created initial pre-visualizations (pre-viz) for complex CGI scenes.</t>
  </si>
  <si>
    <t>Worked with the casting team to identify any CGI actors or digital doubles required.</t>
  </si>
  <si>
    <t>Managed communication with external CGI vendors for asset creation.</t>
  </si>
  <si>
    <t>Reviewed and approved initial designs for CGI sets, props, and characters.</t>
  </si>
  <si>
    <t>Coordinated the scheduling of CGI elements with the overall production timeline.</t>
  </si>
  <si>
    <t>Conducted technical research to ensure the best CGI solutions for the commercial's needs.</t>
  </si>
  <si>
    <t>Prepared and organized asset lists for the upcoming production phase</t>
  </si>
  <si>
    <t>Supervised the on-set integration of CGI elements with live-action footage.</t>
  </si>
  <si>
    <t>Directed the placement of motion-capture equipment and ensured its proper calibration.</t>
  </si>
  <si>
    <t>Coordinated with the cinematographer to adjust camera angles for optimal CGI incorporation.</t>
  </si>
  <si>
    <t>Monitored real-time rendering of CGI elements during on-set shoots.</t>
  </si>
  <si>
    <t>Managed the team of CGI artists to address any on-the-fly adjustments required during shooting.</t>
  </si>
  <si>
    <t>Ensured the proper lighting on set to match the lighting requirements of CGI elements.</t>
  </si>
  <si>
    <t>Verified that tracking markers were correctly placed on set for post-production CGI integration.</t>
  </si>
  <si>
    <t>Conducted quality checks to ensure the accuracy of CGI implementation in the live-action scenes.</t>
  </si>
  <si>
    <t>Collaborated with the director to adjust CGI plans as needed during production.</t>
  </si>
  <si>
    <t>Ensured that all CGI props and elements were available and ready for use on set.</t>
  </si>
  <si>
    <t>Provided feedback to the VFX supervisor regarding CGI integration during filming.</t>
  </si>
  <si>
    <t>Managed the logistical aspects of CGI-related equipment and technology on set.</t>
  </si>
  <si>
    <t>Oversaw the capture of reference materials required for CGI modeling and texturing.</t>
  </si>
  <si>
    <t>Coordinated with the sound department to align CGI elements with sound effects or dialogue.</t>
  </si>
  <si>
    <t>Assisted with the execution of complex stunts or visual effects that required CGI interaction</t>
  </si>
  <si>
    <t>Supervised the final integration of CGI elements with the live-action footage.</t>
  </si>
  <si>
    <t>Managed the process of compositing CGI assets into the edited film sequence.</t>
  </si>
  <si>
    <t>Oversaw the rendering of CGI elements for final output.</t>
  </si>
  <si>
    <t>Conducted review sessions with the director and producers to refine CGI integration.</t>
  </si>
  <si>
    <t>Collaborated with the editing team to ensure seamless transitions between CGI and live-action shots.</t>
  </si>
  <si>
    <t>Directed the final touch-ups on CGI elements to match the overall aesthetic.</t>
  </si>
  <si>
    <t>Ensured the consistency of CGI elements throughout the entire commercial.</t>
  </si>
  <si>
    <t>Managed the color grading process to ensure CGI matched the tone of the live-action footage.</t>
  </si>
  <si>
    <t>Collaborated with the sound team to synchronize CGI-related sound effects with visuals.</t>
  </si>
  <si>
    <t>Led the team responsible for creating the final visual effects for the commercial.</t>
  </si>
  <si>
    <t>Coordinated the final rendering of the commercial for different media formats.</t>
  </si>
  <si>
    <t>Managed the approval process for final CGI renders from internal stakeholders.</t>
  </si>
  <si>
    <t>Assisted in troubleshooting and resolving any technical issues related to CGI rendering.</t>
  </si>
  <si>
    <t>Reviewed the final commercial to ensure that all CGI elements met the project’s specifications.</t>
  </si>
  <si>
    <t>Prepared the final CGI assets for distribution to stakeholders and external vendors for the commercial's release.</t>
  </si>
  <si>
    <t>Bcast Bus Assoc</t>
  </si>
  <si>
    <t>Reviewed and finalized budget estimates in coordination with the production and account teams.</t>
  </si>
  <si>
    <t>Secured talent usage rights and verified contractual obligations for on-camera appearances.</t>
  </si>
  <si>
    <t>Coordinated production schedules with internal teams and external vendors to ensure timeline alignment.</t>
  </si>
  <si>
    <t>Arranged purchase orders and processed vendor agreements to facilitate shoot readiness</t>
  </si>
  <si>
    <t>Submitted scripts for legal and regulatory clearance ahead of production.</t>
  </si>
  <si>
    <t>Oversaw on-site compliance with budgetary and contractual guidelines during the shoot.</t>
  </si>
  <si>
    <t>Monitored talent deliverables and ensured all usage terms were being adhered to.</t>
  </si>
  <si>
    <t>Maintained accurate tracking of production expenses for reconciliation and reporting.</t>
  </si>
  <si>
    <t>Liaised with the production company to address any scope changes in real time.</t>
  </si>
  <si>
    <t>Captured and logged necessary production documentation, including call sheets and talent sign-offs.</t>
  </si>
  <si>
    <t>Reviewed rough cuts to ensure alignment with cleared scripts and approved budgets.</t>
  </si>
  <si>
    <t>Coordinated trafficking instructions and delivery specifications with media partners.</t>
  </si>
  <si>
    <t>Managed the submission and approval of final broadcast masters to legal and standards teams.</t>
  </si>
  <si>
    <t>Reconciled final production costs and closed out financials with accounting.</t>
  </si>
  <si>
    <t>Archived all contractual, creative, and financial documentation for compliance and audit purposes</t>
  </si>
  <si>
    <t>VP Dir Strtgc Plng</t>
  </si>
  <si>
    <t>Collaborated with creative and account teams to finalize the commercial’s strategic messaging framework.</t>
  </si>
  <si>
    <t>Reviewed and approved the creative brief to ensure alignment with overarching brand and campaign objectives.</t>
  </si>
  <si>
    <t>Provided strategic input during concept development meetings to guide creative direction.</t>
  </si>
  <si>
    <t>Conducted market and audience analysis to validate creative approach and positioning.</t>
  </si>
  <si>
    <t>Participated in director and vendor selection discussions to support alignment with campaign strategy</t>
  </si>
  <si>
    <t>Observed filming to ensure adherence to strategic intent and brand tone.</t>
  </si>
  <si>
    <t>Liaised with account and creative leads during shoot days to resolve emergent issues impacting strategy.</t>
  </si>
  <si>
    <t>Provided real-time feedback on key scenes and messaging moments during on-set playback.</t>
  </si>
  <si>
    <t>Ensured that script and visual elements remained consistent with the approved brief.</t>
  </si>
  <si>
    <t>Documented key observations for post-production adjustments aligned with strategic goals</t>
  </si>
  <si>
    <t>Reviewed rough and final edits to confirm fidelity to campaign strategy and messaging.</t>
  </si>
  <si>
    <t>Provided strategic feedback on voiceover, music, and pacing to enhance audience impact.</t>
  </si>
  <si>
    <t>Evaluated multiple cuts to determine the most effective version for target segments.</t>
  </si>
  <si>
    <t>Approved final deliverables in coordination with creative and account leadership.</t>
  </si>
  <si>
    <t>Contributed to performance tracking plans to assess the commercial’s strategic effectiveness</t>
  </si>
  <si>
    <t>Mgt Dir</t>
  </si>
  <si>
    <t>Approved the creative concept and ensured alignment with the client's strategic objectives.</t>
  </si>
  <si>
    <t>Oversaw the selection of the production team, including director, producer, and key crew members.</t>
  </si>
  <si>
    <t>Finalized the commercial script and storyboard in collaboration with the creative department.</t>
  </si>
  <si>
    <t>Allocated budget resources and secured internal sign-offs for production expenditures.</t>
  </si>
  <si>
    <t>Coordinated scheduling and logistics with internal stakeholders and external vendors</t>
  </si>
  <si>
    <t>Supervised on-set activities to ensure adherence to creative direction and production timeline.</t>
  </si>
  <si>
    <t>Liaised with the director and agency producers to address any real-time production challenges.</t>
  </si>
  <si>
    <t>Maintained client communication during shooting days to manage expectations and approvals.</t>
  </si>
  <si>
    <t>Reviewed dailies to confirm visual and messaging consistency with pre-approved materials.</t>
  </si>
  <si>
    <t>Authorized any necessary changes to the shoot plan based on evolving conditions or insights</t>
  </si>
  <si>
    <t>Reviewed initial edits and provided feedback to the editorial and creative teams.</t>
  </si>
  <si>
    <t>Approved final voiceover, sound design, and music selections in coordination with production.</t>
  </si>
  <si>
    <t>Ensured legal and regulatory compliance checks were completed for all versions.</t>
  </si>
  <si>
    <t>Signed off on the final cut before distribution to media channels.</t>
  </si>
  <si>
    <t>Delivered post-mortem analysis to senior leadership, identifying learnings for future campaigns</t>
  </si>
  <si>
    <t>Sr Print Prod</t>
  </si>
  <si>
    <t>Coordinated initial creative brief reviews with internal stakeholders and production teams.</t>
  </si>
  <si>
    <t>Evaluated director treatments for alignment with creative and production requirements.</t>
  </si>
  <si>
    <t>Oversaw bidding process and selected vendors based on scope, timeline, and budget.</t>
  </si>
  <si>
    <t>Collaborated with legal to review and finalize talent contracts and usage rights.</t>
  </si>
  <si>
    <t>Scheduled and led pre-production meetings to align all departments on deliverables.</t>
  </si>
  <si>
    <t>Secured necessary permits, insurance certificates, and location agreements.</t>
  </si>
  <si>
    <t>Reviewed storyboards and shot lists for feasibility, continuity, and technical execution.</t>
  </si>
  <si>
    <t>Developed and distributed a comprehensive production timeline to all key parties.</t>
  </si>
  <si>
    <t>Finalized production budget and obtained necessary approvals from finance.</t>
  </si>
  <si>
    <t>Confirmed delivery specifications and print requirements with media and finishing teams</t>
  </si>
  <si>
    <t>Supervised on-set activities to ensure adherence to budget, schedule, and creative direction.</t>
  </si>
  <si>
    <t>Monitored print continuity across all production materials and branded elements.</t>
  </si>
  <si>
    <t>Liaised with talent representatives and production team to resolve day-of scheduling changes.</t>
  </si>
  <si>
    <t>Oversaw the capture of still photography assets for integrated print and digital usage.</t>
  </si>
  <si>
    <t>Verified that all deliverables aligned with pre-established technical print standards.</t>
  </si>
  <si>
    <t>Addressed print production contingencies such as material substitutions or format changes.</t>
  </si>
  <si>
    <t>Conducted quality control checks on live-set signage, props, and set dressing.</t>
  </si>
  <si>
    <t>Maintained real-time documentation of production milestones and status updates.</t>
  </si>
  <si>
    <t>Coordinated with production assistants to track usage of print-specific assets.</t>
  </si>
  <si>
    <t>Escalated and resolved any issues that could compromise the print production schedule</t>
  </si>
  <si>
    <t>Reviewed and approved initial comps and layouts of final print assets.</t>
  </si>
  <si>
    <t>Collaborated with retouchers to ensure color accuracy and consistency across formats.</t>
  </si>
  <si>
    <t>Verified that all usage rights were correctly applied to final materials.</t>
  </si>
  <si>
    <t>Worked with printers and finishers to confirm final output specifications and proofs.</t>
  </si>
  <si>
    <t>Managed routing of mechanicals through legal, brand, and compliance reviews.</t>
  </si>
  <si>
    <t>Oversaw file preparation for various distribution channels, including OOH and POS.</t>
  </si>
  <si>
    <t>Coordinated with media partners to meet delivery deadlines and placement specifications.</t>
  </si>
  <si>
    <t>Led final press checks to ensure print quality before mass production.</t>
  </si>
  <si>
    <t>Archived final assets according to internal file management protocols.</t>
  </si>
  <si>
    <t>Closed out project budgets and conducted post-mortem evaluations with the team</t>
  </si>
  <si>
    <t>Creative Dir - Art</t>
  </si>
  <si>
    <t>Developed the visual concept and overall aesthetic direction for the commercial.</t>
  </si>
  <si>
    <t>Approved initial storyboard drafts and ensured alignment with the creative brief.</t>
  </si>
  <si>
    <t>Supervised the selection of directors, production designers, and key creative partners.</t>
  </si>
  <si>
    <t>Reviewed casting options and provided input on talent selection.</t>
  </si>
  <si>
    <t>Collaborated with copywriters and strategists to refine the narrative flow.</t>
  </si>
  <si>
    <t>Oversaw location scouting and evaluated visual compatibility with the concept.</t>
  </si>
  <si>
    <t>Participated in pre-visualization meetings to guide mood and tone.</t>
  </si>
  <si>
    <t>Finalized wardrobe and styling direction in collaboration with costume designers.</t>
  </si>
  <si>
    <t>Reviewed and approved all visual treatments and art references.</t>
  </si>
  <si>
    <t>Conducted creative alignment meetings with internal teams and external vendors</t>
  </si>
  <si>
    <t>Directed on-set execution to ensure visual consistency with the approved concept.</t>
  </si>
  <si>
    <t>Provided real-time feedback to the director and cinematographer on composition and framing.</t>
  </si>
  <si>
    <t>Supervised set design and prop placement for visual accuracy.</t>
  </si>
  <si>
    <t>Monitored wardrobe, hair, and makeup to maintain continuity.</t>
  </si>
  <si>
    <t>Reviewed live footage to assess lighting, mood, and brand alignment.</t>
  </si>
  <si>
    <t>Approved spontaneous creative adjustments made during filming.</t>
  </si>
  <si>
    <t>Guided talent to align their performance with the intended visual tone.</t>
  </si>
  <si>
    <t>Coordinated with producers to resolve any visual or logistical challenges.</t>
  </si>
  <si>
    <t>Ensured that all key visual elements were captured according to the shot list.</t>
  </si>
  <si>
    <t>Documented reference material for use in post-production.</t>
  </si>
  <si>
    <t>Reviewed initial edits and provided feedback on visual pacing and composition.</t>
  </si>
  <si>
    <t>Approved color grading direction to maintain the intended tone.</t>
  </si>
  <si>
    <t>Oversaw visual effects integration to ensure consistency with the original concept.</t>
  </si>
  <si>
    <t>Directed graphic design elements and motion treatments.</t>
  </si>
  <si>
    <t>Evaluated type treatments and on-screen text placement.</t>
  </si>
  <si>
    <t>Coordinated with sound designers to ensure audio-visual alignment.</t>
  </si>
  <si>
    <t>Participated in client review sessions and refined visuals based on feedback.</t>
  </si>
  <si>
    <t>Approved final versions of the commercial for delivery.</t>
  </si>
  <si>
    <t>Ensured brand guidelines were adhered to in all visual elements.</t>
  </si>
  <si>
    <t>Assoc Dir</t>
  </si>
  <si>
    <t>Assisted in translating the creative brief into actionable visual concepts.</t>
  </si>
  <si>
    <t>Developed and refined initial storyboards and moodboards under the direction of the Creative Director.</t>
  </si>
  <si>
    <t>Participated in the selection of visual collaborators, including directors and production designers.</t>
  </si>
  <si>
    <t>Reviewed casting suggestions and contributed input on visual fit.</t>
  </si>
  <si>
    <t>Prepared visual reference decks to support client presentations.</t>
  </si>
  <si>
    <t>Contributed to the planning of shot lists and visual sequences.</t>
  </si>
  <si>
    <t>Coordinated with art department leads to ensure execution aligned with concept direction.</t>
  </si>
  <si>
    <t>Reviewed location photos and flagged potential visual challenges.</t>
  </si>
  <si>
    <t>Participated in creative reviews and incorporated team feedback.</t>
  </si>
  <si>
    <t>Organized pre-production materials to ensure visual consistency across departments</t>
  </si>
  <si>
    <t>Supervised art direction on set, ensuring visual fidelity to the approved concept.</t>
  </si>
  <si>
    <t>Acted as a liaison between the creative team and the production crew for on-set visuals.</t>
  </si>
  <si>
    <t>Provided feedback on lighting setups and shot framing during takes.</t>
  </si>
  <si>
    <t>Checked props and set design elements for continuity and alignment with the look.</t>
  </si>
  <si>
    <t>Monitored wardrobe, makeup, and set changes for adherence to the visual plan.</t>
  </si>
  <si>
    <t>Captured reference stills and behind-the-scenes documentation for post-use.</t>
  </si>
  <si>
    <t>Reviewed daily footage with the Creative Director to assess visual quality.</t>
  </si>
  <si>
    <t>Flagged any deviations from the storyboard and suggested corrective actions.</t>
  </si>
  <si>
    <t>Supported real-time decision-making on creative adjustments during shooting.</t>
  </si>
  <si>
    <t>Communicated production notes to the agency team in real time.</t>
  </si>
  <si>
    <t>Reviewed rough cuts and identified areas needing visual refinement.</t>
  </si>
  <si>
    <t>Provided visual direction on type treatments and motion graphics.</t>
  </si>
  <si>
    <t>Assisted in managing the color grading process to preserve the intended mood.</t>
  </si>
  <si>
    <t>Evaluated integration of visual effects for consistency and quality.</t>
  </si>
  <si>
    <t>Ensured continuity of design elements across multiple edits or deliverables.</t>
  </si>
  <si>
    <t>Participated in internal and client-facing post-review sessions.</t>
  </si>
  <si>
    <t>Flagged any misalignments between the edit and the original storyboard.</t>
  </si>
  <si>
    <t>Collaborated with editors and designers on versioning and format adaptation.</t>
  </si>
  <si>
    <t>Reviewed final outputs for visual polish and brand alignment.</t>
  </si>
  <si>
    <t>Organized and archived final design files and presentation assets</t>
  </si>
  <si>
    <t>Analytics, Dir</t>
  </si>
  <si>
    <t>Analyzed historical campaign performance data to inform creative strategy.</t>
  </si>
  <si>
    <t>Provided audience segmentation insights to guide targeting decisions.</t>
  </si>
  <si>
    <t>Evaluated market trends to support message positioning.</t>
  </si>
  <si>
    <t>Collaborated with media planners to align KPIs with media strategy.</t>
  </si>
  <si>
    <t>Delivered predictive modeling outputs to forecast campaign reach.</t>
  </si>
  <si>
    <t>Prepared performance benchmarks to guide production investment.</t>
  </si>
  <si>
    <t>Participated in creative brief development with data-backed insights.</t>
  </si>
  <si>
    <t>Assessed platform-specific engagement metrics for format selection.</t>
  </si>
  <si>
    <t>Reviewed previous testing frameworks to recommend new testing variables.</t>
  </si>
  <si>
    <t>Presented data-driven recommendations during pre-production reviews</t>
  </si>
  <si>
    <t>Consulted with the creative team to ensure data alignment during execution.</t>
  </si>
  <si>
    <t>Verified real-time content compliance with planned analytics goals.</t>
  </si>
  <si>
    <t>Oversaw tagging requirements for measurable creative assets.</t>
  </si>
  <si>
    <t>Advised on scene prioritization based on projected audience impact.</t>
  </si>
  <si>
    <t>Coordinated with legal and compliance teams on data usage in creative.</t>
  </si>
  <si>
    <t>Participated in on-site reviews to validate executional consistency.</t>
  </si>
  <si>
    <t>Reviewed production scripts for measurable call-to-action placement.</t>
  </si>
  <si>
    <t>Supported adaptation of assets for multi-platform performance tracking.</t>
  </si>
  <si>
    <t>Ensured continuity of tracking elements across content variations.</t>
  </si>
  <si>
    <t>Evaluated live feedback loops for immediate analytic adjustments</t>
  </si>
  <si>
    <t>Audited final assets for proper data tagging and tracking functionality.</t>
  </si>
  <si>
    <t>Analyzed initial performance metrics to assess creative effectiveness.</t>
  </si>
  <si>
    <t>Created reporting dashboards for internal and client-facing use.</t>
  </si>
  <si>
    <t>Conducted attribution analysis to determine commercial ROI.</t>
  </si>
  <si>
    <t>Interpreted behavioral data to refine future creative strategies.</t>
  </si>
  <si>
    <t>Led post-campaign analysis presentations with actionable insights.</t>
  </si>
  <si>
    <t>Measured cross-channel lift resulting from the commercial.</t>
  </si>
  <si>
    <t>Compared actual outcomes to forecasted benchmarks.</t>
  </si>
  <si>
    <t>Recommended optimization strategies based on post-launch data.</t>
  </si>
  <si>
    <t>Archived performance data for use in longitudinal campaign studies.</t>
  </si>
  <si>
    <t>Dir Production - VP</t>
  </si>
  <si>
    <t>Approved final production budgets in alignment with campaign objectives.</t>
  </si>
  <si>
    <t>Oversaw vendor selection and negotiated key contractual terms.</t>
  </si>
  <si>
    <t>Reviewed and signed off on production timelines and milestone schedules.</t>
  </si>
  <si>
    <t>Collaborated with creative and strategy leads to align vision and logistics.</t>
  </si>
  <si>
    <t>Allocated resources across departments to optimize production workflows.</t>
  </si>
  <si>
    <t>Assessed risk factors and developed contingency plans for the shoot.</t>
  </si>
  <si>
    <t>Provided executive oversight on talent casting and location scouting.</t>
  </si>
  <si>
    <t>Coordinated cross-functional pre-production meetings to ensure alignment.</t>
  </si>
  <si>
    <t>Reviewed technical requirements and secured necessary production permits.</t>
  </si>
  <si>
    <t>Finalized crew assignments and confirmed availability of production assets.</t>
  </si>
  <si>
    <t>Supervised on-set operations to ensure adherence to the production plan.</t>
  </si>
  <si>
    <t>Managed real-time problem solving to address logistical and technical issues.</t>
  </si>
  <si>
    <t>Ensured compliance with safety standards and labor regulations.</t>
  </si>
  <si>
    <t>Conducted daily production reviews with department leads.</t>
  </si>
  <si>
    <t>Approved creative adjustments made during filming.</t>
  </si>
  <si>
    <t>Maintained communication with client stakeholders throughout the shoot.</t>
  </si>
  <si>
    <t>Reviewed shot lists to confirm coverage of all required elements.</t>
  </si>
  <si>
    <t>Oversaw budget adherence and approved day-to-day expenditures.</t>
  </si>
  <si>
    <t>Verified quality standards across all captured footage.</t>
  </si>
  <si>
    <t>Documented production performance for post-project evaluations.</t>
  </si>
  <si>
    <t>Supervised the post-production schedule to ensure timely delivery.</t>
  </si>
  <si>
    <t>Approved editor selections and managed revisions to align with the brief.</t>
  </si>
  <si>
    <t>Led internal review sessions to assess creative and technical quality.</t>
  </si>
  <si>
    <t>Coordinated final asset delivery across platforms and formats.</t>
  </si>
  <si>
    <t>Ensured all licensing and usage rights were properly documented.</t>
  </si>
  <si>
    <t>Approved color grading, sound design, and final mix stages.</t>
  </si>
  <si>
    <t>Oversaw client review processes and managed feedback incorporation.</t>
  </si>
  <si>
    <t>Monitored post-production expenditures against projected costs.</t>
  </si>
  <si>
    <t>Signed off on final masters for broadcast and digital release.</t>
  </si>
  <si>
    <t>Conducted post-mortem reviews to identify process improvements.</t>
  </si>
  <si>
    <t>Dir Production Operations</t>
  </si>
  <si>
    <t>Reviewed and approved production schedules to ensure alignment with campaign timelines.</t>
  </si>
  <si>
    <t>Coordinated with creative and account teams to finalize commercial concepts and scripts.</t>
  </si>
  <si>
    <t>Secured necessary permits, locations, and insurance for the shoot.</t>
  </si>
  <si>
    <t>Oversaw the selection and contracting of production vendors and crew members.</t>
  </si>
  <si>
    <t>Established budget parameters and monitored pre-production expenditures</t>
  </si>
  <si>
    <t>Supervised on-set operations to ensure adherence to schedule and production standards.</t>
  </si>
  <si>
    <t>Addressed logistical issues and facilitated communication among departments during filming.</t>
  </si>
  <si>
    <t>Verified compliance with safety protocols and production regulations.</t>
  </si>
  <si>
    <t>Managed daily production reports and updated stakeholders on progress.</t>
  </si>
  <si>
    <t>Ensured all required footage and assets were captured as outlined in the production plan.</t>
  </si>
  <si>
    <t>Coordinated transfer and organization of raw footage to editorial teams.</t>
  </si>
  <si>
    <t>Monitored progress of editing, sound design, and visual effects to ensure timely delivery.</t>
  </si>
  <si>
    <t>Facilitated review sessions with internal stakeholders and incorporated feedback.</t>
  </si>
  <si>
    <t>Approved final versions for legal, quality control, and brand compliance.</t>
  </si>
  <si>
    <t>Oversaw delivery of completed commercial assets to media partners and distribution channels.</t>
  </si>
  <si>
    <t>Proj Dir</t>
  </si>
  <si>
    <t>Defined project scope, deliverables, and timelines in collaboration with key stakeholders.</t>
  </si>
  <si>
    <t>Created detailed project plans outlining milestones, dependencies, and resource allocations.</t>
  </si>
  <si>
    <t>Coordinated kick-off meetings to align creative, production, and account teams.</t>
  </si>
  <si>
    <t>Identified potential risks and developed mitigation strategies prior to production start.</t>
  </si>
  <si>
    <t>Secured cross-functional approvals on production schedules and creative assets</t>
  </si>
  <si>
    <t>Monitored real-time progress to ensure production stayed on schedule and within scope.</t>
  </si>
  <si>
    <t>Communicated daily updates and issue resolutions to internal teams and clients.</t>
  </si>
  <si>
    <t>Adjusted project timelines and resources in response to on-set changes or delays.</t>
  </si>
  <si>
    <t>Verified that all production activities aligned with the overall project objectives.</t>
  </si>
  <si>
    <t>Maintained documentation of decisions, changes, and approvals during the shoot</t>
  </si>
  <si>
    <t>Tracked post-production deliverables against timeline and budget constraints.</t>
  </si>
  <si>
    <t>Scheduled and facilitated client review sessions throughout the editing process.</t>
  </si>
  <si>
    <t>Managed feedback consolidation and version control to streamline revisions.</t>
  </si>
  <si>
    <t>Ensured timely sign-off on final assets from all stakeholders.</t>
  </si>
  <si>
    <t>Closed out projects with post-mortem reviews and documented key learnings</t>
  </si>
  <si>
    <t>Strategy Dir</t>
  </si>
  <si>
    <t>Conducted market research and audience analysis to inform the creative direction.</t>
  </si>
  <si>
    <t>Defined campaign objectives and success metrics aligned with client goals.</t>
  </si>
  <si>
    <t>Collaborated with creative teams to develop strategic briefs guiding the commercial concept.</t>
  </si>
  <si>
    <t>Presented strategic recommendations to internal stakeholders and clients for alignment.</t>
  </si>
  <si>
    <t>Reviewed scripts and storyboards to ensure consistency with brand positioning and insights</t>
  </si>
  <si>
    <t>Provided strategic oversight during filming to maintain message integrity and audience relevance.</t>
  </si>
  <si>
    <t>Consulted with the creative and production teams on-the-fly to address shifts in execution.</t>
  </si>
  <si>
    <t>Ensured that filmed content aligned with the approved strategic narrative.</t>
  </si>
  <si>
    <t>Monitored production output to validate consistency with campaign tone and target audience.</t>
  </si>
  <si>
    <t>Advised on key messaging elements to prioritize during production</t>
  </si>
  <si>
    <t>Evaluated rough and final cuts to ensure alignment with strategic goals and brand voice.</t>
  </si>
  <si>
    <t>Reviewed edits for message clarity and resonance with intended audience segments.</t>
  </si>
  <si>
    <t>Partnered with analytics teams to develop testing strategies for commercial performance.</t>
  </si>
  <si>
    <t>Presented the strategic rationale behind the final asset to client stakeholders.</t>
  </si>
  <si>
    <t>Documented insights from the commercial’s performance for future strategic planning</t>
  </si>
  <si>
    <t>Dir, Program Mgt</t>
  </si>
  <si>
    <t>Aligned the project scope, deliverables, and timelines with client and internal stakeholders.</t>
  </si>
  <si>
    <t>Developed and finalized the master production schedule across all departments.</t>
  </si>
  <si>
    <t>Coordinated cross-functional kick-off meetings to ensure alignment on project goals.</t>
  </si>
  <si>
    <t>Reviewed creative briefs and production treatments for consistency with project objectives.</t>
  </si>
  <si>
    <t>Secured sign-off on budgets and ensured cost alignment with procurement and finance teams.</t>
  </si>
  <si>
    <t>Established tracking systems to monitor milestones, dependencies, and risks.</t>
  </si>
  <si>
    <t>Managed internal approvals and clearance processes for scripts and storyboards.</t>
  </si>
  <si>
    <t>Assigned project owners and clarified team roles to ensure operational clarity.</t>
  </si>
  <si>
    <t>Oversaw vendor selection and contract negotiation with production partners.</t>
  </si>
  <si>
    <t>Facilitated communication between creative, strategy, and production to ensure readiness for shoot.</t>
  </si>
  <si>
    <t>Monitored live shoot progress to ensure adherence to timeline and production plan.</t>
  </si>
  <si>
    <t>Resolved real-time issues and escalations impacting budget, resources, or creative.</t>
  </si>
  <si>
    <t>Coordinated daily production reports and shared updates with key stakeholders.</t>
  </si>
  <si>
    <t>Ensured alignment between on-set activities and approved scope of work.</t>
  </si>
  <si>
    <t>Verified that compliance requirements and safety protocols were implemented.</t>
  </si>
  <si>
    <t>Maintained project documentation and tracked production-related changes.</t>
  </si>
  <si>
    <t>Adjusted resource allocations in response to evolving shoot demands.</t>
  </si>
  <si>
    <t>Liaised with producers and department leads to keep production on track.</t>
  </si>
  <si>
    <t>Conducted mid-shoot check-ins to recalibrate priorities and flag risks.</t>
  </si>
  <si>
    <t>Ensured accurate capture of content required for post-production workflows</t>
  </si>
  <si>
    <t>Supervised the delivery schedule of edits, versions, and final outputs.</t>
  </si>
  <si>
    <t>Managed coordination between post houses, editors, and internal creative teams.</t>
  </si>
  <si>
    <t>Oversaw the versioning process for multiple markets and formats.</t>
  </si>
  <si>
    <t>Ensured feedback rounds stayed within scope, budget, and timeline.</t>
  </si>
  <si>
    <t>Reviewed progress on finishing, color grading, sound mixing, and VFX.</t>
  </si>
  <si>
    <t>Facilitated legal and compliance checks prior to delivery.</t>
  </si>
  <si>
    <t>Monitored quality control processes for all master and cutdown files.</t>
  </si>
  <si>
    <t>Verified timely upload and delivery to media and trafficking partners.</t>
  </si>
  <si>
    <t>Closed out budgets, reconciled invoices, and completed final cost reporting.</t>
  </si>
  <si>
    <t>Led project retrospectives and documented key learnings for future programs</t>
  </si>
  <si>
    <t>Bus Lead</t>
  </si>
  <si>
    <t>Aligned business objectives with the creative and production strategy during project planning.</t>
  </si>
  <si>
    <t>Led discussions with the client to confirm project scope, KPIs, and success metrics.</t>
  </si>
  <si>
    <t>Negotiated and secured client approvals on budget, deliverables, and timelines.</t>
  </si>
  <si>
    <t>Partnered with internal teams to ensure brand guidelines and messaging were reflected in creative development.</t>
  </si>
  <si>
    <t>Identified risks and provided strategic guidance to safeguard business goals.</t>
  </si>
  <si>
    <t>Reviewed and approved key project documents, including briefs, treatments, and production plans.</t>
  </si>
  <si>
    <t>Ensured agency resources were allocated to meet both creative and operational demands.</t>
  </si>
  <si>
    <t>Acted as a key liaison between client stakeholders and agency departments.</t>
  </si>
  <si>
    <t>Set up regular client check-ins to manage expectations and provide visibility.</t>
  </si>
  <si>
    <t>Provided input on vendor and partner selection from a business alignment perspective</t>
  </si>
  <si>
    <t>Maintained close communication with the client to provide updates and manage real-time decisions.</t>
  </si>
  <si>
    <t>Ensured production activities aligned with the agreed business and brand strategy.</t>
  </si>
  <si>
    <t>Addressed client escalations or change requests during shoot days.</t>
  </si>
  <si>
    <t>Verified that shoot content fulfilled contractual, media, and distribution commitments.</t>
  </si>
  <si>
    <t>Represented business interests in daily production status calls.</t>
  </si>
  <si>
    <t>Monitored production spend against budget and flagged potential overages.</t>
  </si>
  <si>
    <t>Assessed content capture for future adaptability across markets or platforms.</t>
  </si>
  <si>
    <t>Facilitated approvals on any in-the-moment creative or logistical adjustments.</t>
  </si>
  <si>
    <t>Communicated potential schedule impacts to clients and internal leadership.</t>
  </si>
  <si>
    <t>Ensured the production team had what they needed to meet client expectations efficiently</t>
  </si>
  <si>
    <t>Managed client expectations around timelines, feedback rounds, and delivery stages.</t>
  </si>
  <si>
    <t>Reviewed early cuts and edits to ensure alignment with brand and business goals.</t>
  </si>
  <si>
    <t>Facilitated consolidated client feedback and ensured clarity for creative and post teams.</t>
  </si>
  <si>
    <t>Oversaw delivery planning across all platforms, regions, and media partners.</t>
  </si>
  <si>
    <t>Partnered with finance to review final billing, reconcile scope changes, and track margins.</t>
  </si>
  <si>
    <t>Led final presentations to clients, ensuring clarity around the impact and effectiveness of the campaign.</t>
  </si>
  <si>
    <t>Gathered performance insights from media and strategy teams to inform future work.</t>
  </si>
  <si>
    <t>Ensured final assets met technical and brand requirements before delivery.</t>
  </si>
  <si>
    <t>Conducted a wrap-up session with clients to review outcomes and identify future opportunities.</t>
  </si>
  <si>
    <t>Documented lessons learned and shared strategic recommendations for upcoming initiatives</t>
  </si>
  <si>
    <t>Freelance Prod</t>
  </si>
  <si>
    <t>Created detailed production budgets and secured approvals from key stakeholders.</t>
  </si>
  <si>
    <t>Developed comprehensive shoot schedules, including tech scouts and pre-light days.</t>
  </si>
  <si>
    <t>Coordinated with directors, DPs, and department heads to align on production requirements.</t>
  </si>
  <si>
    <t>Managed casting processes, including callbacks and talent negotiations.</t>
  </si>
  <si>
    <t>Secured locations, permits, and insurance coverage in line with shoot needs.</t>
  </si>
  <si>
    <t>Booked crew members, managed deal memos, and ensured proper onboarding documentation.</t>
  </si>
  <si>
    <t>Arranged travel, accommodations, and logistics for out-of-town shoots.</t>
  </si>
  <si>
    <t>Oversaw prep meetings, tech scouts, and production walkthroughs.</t>
  </si>
  <si>
    <t>Coordinated equipment rentals and verified gear availability for each department.</t>
  </si>
  <si>
    <t>Ensured all necessary production documents were created and distributed, including call sheets and contact lists</t>
  </si>
  <si>
    <t>Oversaw daily shoot operations to ensure alignment with the production schedule.</t>
  </si>
  <si>
    <t>Managed on-set logistics including crew coordination, talent handling, and client support.</t>
  </si>
  <si>
    <t>Monitored production spend in real-time and controlled costs on the ground.</t>
  </si>
  <si>
    <t>Facilitated communication between director, agency, and client representatives.</t>
  </si>
  <si>
    <t>Resolved on-site issues quickly to avoid delays or disruptions.</t>
  </si>
  <si>
    <t>Ensured all necessary releases and paperwork were properly collected and filed.</t>
  </si>
  <si>
    <t>Confirmed safety protocols were followed across departments.</t>
  </si>
  <si>
    <t>Tracked shot progress and flagged any risks to coverage or content delivery.</t>
  </si>
  <si>
    <t>Handled wrap-out procedures including gear returns and crew payments.</t>
  </si>
  <si>
    <t>Collected production materials for handoff to the post-production team</t>
  </si>
  <si>
    <t>Organized and delivered production assets to post teams according to handoff requirements.</t>
  </si>
  <si>
    <t>Coordinated with editorial to ensure footage logs and metadata were accurate.</t>
  </si>
  <si>
    <t>Scheduled and supervised client reviews and feedback sessions on edits.</t>
  </si>
  <si>
    <t>Facilitated revisions by relaying clear, actionable notes to post-production teams.</t>
  </si>
  <si>
    <t>Oversaw finishing stages, including color, sound mix, and graphics delivery.</t>
  </si>
  <si>
    <t>Ensured on-time delivery of final masters across all required formats.</t>
  </si>
  <si>
    <t>Managed versioning needs based on media specs or market requirements.</t>
  </si>
  <si>
    <t>Reviewed post-production invoices and ensured alignment with actuals.</t>
  </si>
  <si>
    <t>Provided documentation for final cost reporting and closeout.</t>
  </si>
  <si>
    <t>Supported final archive of project assets and ensured deliverables were backed up securely</t>
  </si>
  <si>
    <t>Assoc Production Bus Mgr</t>
  </si>
  <si>
    <t>Prepared detailed production budgets and monitored forecast updates with producers.</t>
  </si>
  <si>
    <t>Coordinated vendor contracts, negotiated terms, and ensured compliance with agency policies.</t>
  </si>
  <si>
    <t>Managed procurement processes for production-related goods and services.</t>
  </si>
  <si>
    <t>Processed and tracked pre-production invoices and purchase orders.</t>
  </si>
  <si>
    <t>Collaborated with finance and accounting teams to set up project accounts.</t>
  </si>
  <si>
    <t>Maintained and updated production cost reports to reflect estimates and commitments.</t>
  </si>
  <si>
    <t>Facilitated communication of financial guidelines and timelines to production teams.</t>
  </si>
  <si>
    <t>Assisted in risk assessment and contingency planning for budgetary issues.</t>
  </si>
  <si>
    <t>Verified insurance certificates and legal documentation before shoot commencement.</t>
  </si>
  <si>
    <t>Supported onboarding of freelance staff and contractors with payroll and payment setup</t>
  </si>
  <si>
    <t>Monitored actual production expenditures daily against budgets and forecasts.</t>
  </si>
  <si>
    <t>Reviewed and approved production-related invoices and expense reports for accuracy.</t>
  </si>
  <si>
    <t>Coordinated timely processing of crew payroll and vendor payments.</t>
  </si>
  <si>
    <t>Maintained detailed records of purchase orders, change orders, and budget modifications.</t>
  </si>
  <si>
    <t>Ensured compliance with labor laws, union agreements, and contractual obligations.</t>
  </si>
  <si>
    <t>Provided financial reports and status updates to production leadership and agency management.</t>
  </si>
  <si>
    <t>Assisted in resolving billing discrepancies or payment disputes promptly.</t>
  </si>
  <si>
    <t>Oversaw expense documentation and audit preparation.</t>
  </si>
  <si>
    <t>Facilitated communication between production, finance, and accounting departments.</t>
  </si>
  <si>
    <t>Supported cash flow management and advanced payment tracking throughout production</t>
  </si>
  <si>
    <t>Reconciled final production budgets against actual costs and prepared variance analyses.</t>
  </si>
  <si>
    <t>Coordinated closeout of vendor contracts and ensured final invoice submissions.</t>
  </si>
  <si>
    <t>Processed post-production billing, including additional fees and change orders.</t>
  </si>
  <si>
    <t>Compiled comprehensive financial reports for agency leadership and client review.</t>
  </si>
  <si>
    <t>Assisted in audit preparation and documentation retention for compliance purposes.</t>
  </si>
  <si>
    <t>Managed payroll wrap-up and final payments for freelance and contract staff.</t>
  </si>
  <si>
    <t>Collaborated with accounting to finalize project financials and close accounts.</t>
  </si>
  <si>
    <t>Documented lessons learned regarding financial processes and system improvements.</t>
  </si>
  <si>
    <t>Ensured secure archiving of financial records and contractual documents.</t>
  </si>
  <si>
    <t>Participated in post-mortem meetings to review budget performance and identify efficiencies</t>
  </si>
  <si>
    <t>Reviewed the creative brief and clarified objectives with the account and strategy teams.</t>
  </si>
  <si>
    <t>Developed the core campaign concept and presented it to senior creative leadership.</t>
  </si>
  <si>
    <t>Oversaw the scripting process and ensured alignment with the brand voice and messaging.</t>
  </si>
  <si>
    <t>Collaborated with art directors and copywriters to refine storyboard visuals and dialogue.</t>
  </si>
  <si>
    <t>Participated in casting sessions and approved talent selections based on creative fit.</t>
  </si>
  <si>
    <t>Selected the production company and director in coordination with the executive producer.</t>
  </si>
  <si>
    <t>Provided creative input during location scouting and approved final selections.</t>
  </si>
  <si>
    <t>Attended pre-production meetings to align with production teams and department heads.</t>
  </si>
  <si>
    <t>Reviewed and signed off on wardrobe, props, and set design proposals.</t>
  </si>
  <si>
    <t>Ensured all creative elements met client expectations and internal quality standards.</t>
  </si>
  <si>
    <t>Supervised the on-set execution to maintain alignment with the approved creative vision.</t>
  </si>
  <si>
    <t>Collaborated with the director to ensure performance direction matched the intended tone.</t>
  </si>
  <si>
    <t>Reviewed framing, lighting, and set arrangements to ensure visual consistency.</t>
  </si>
  <si>
    <t>Provided feedback during takes to guide talent performance and script delivery.</t>
  </si>
  <si>
    <t>Managed on-site creative approvals for scenes, wardrobe, and product placement.</t>
  </si>
  <si>
    <t>Coordinated with agency producers to address real-time production issues.</t>
  </si>
  <si>
    <t>Monitored continuity between scenes and ensured fidelity to the storyboard.</t>
  </si>
  <si>
    <t>Approved key shots and selects during playback reviews.</t>
  </si>
  <si>
    <t>Communicated creative updates to internal stakeholders throughout the shoot.</t>
  </si>
  <si>
    <t>Maintained creative integrity while adapting to on-set constraints and time pressures.</t>
  </si>
  <si>
    <t>Reviewed initial video edits and provided feedback for narrative clarity and pacing.</t>
  </si>
  <si>
    <t>Directed the integration of motion graphics, titles, and visual effects.</t>
  </si>
  <si>
    <t>Approved the music selection and guided the sound design process.</t>
  </si>
  <si>
    <t>Participated in color grading sessions to ensure tonal consistency with brand guidelines.</t>
  </si>
  <si>
    <t>Oversaw voiceover recording sessions and approved final takes.</t>
  </si>
  <si>
    <t>Collaborated with editors to finalize timing, transitions, and visual rhythm.</t>
  </si>
  <si>
    <t>Ensured the final cut adhered to regulatory, broadcast, and brand compliance standards.</t>
  </si>
  <si>
    <t>Presented polished edits to internal teams and integrated their feedback.</t>
  </si>
  <si>
    <t>Provided creative sign-off on the final master and all cutdown versions.</t>
  </si>
  <si>
    <t>Supported client review sessions and addressed any remaining creative adjustments.</t>
  </si>
  <si>
    <t>Dir Bcast Bus Aff VP</t>
  </si>
  <si>
    <t>Negotiated and finalized talent agreements and clearances prior to production.</t>
  </si>
  <si>
    <t>Reviewed and approved all contracts related to production vendors and service providers.</t>
  </si>
  <si>
    <t>Secured rights and licensing agreements for music, scripts, and third-party content usage.</t>
  </si>
  <si>
    <t>Advised internal teams on compliance with advertising regulations and broadcast standards.</t>
  </si>
  <si>
    <t>Coordinated with legal counsel to manage intellectual property issues and risk assessments.</t>
  </si>
  <si>
    <t>Drafted and reviewed confidentiality and non-disclosure agreements with all partners.</t>
  </si>
  <si>
    <t>Managed budgetary approvals for business affairs expenditures tied to the commercial.</t>
  </si>
  <si>
    <t>Consulted with finance and procurement to ensure contract terms aligned with company policies.</t>
  </si>
  <si>
    <t>Established clearance timelines and ensured deadlines were met for all legal deliverables.</t>
  </si>
  <si>
    <t>Facilitated approvals for use of locations, props, and other clearable elements in production.</t>
  </si>
  <si>
    <t>Monitored contract compliance during the production phase to avoid legal or financial risks.</t>
  </si>
  <si>
    <t>Coordinated with production management to resolve any emerging contractual issues on set.</t>
  </si>
  <si>
    <t>Ensured proper documentation and tracking of talent and crew hours for payment processing.</t>
  </si>
  <si>
    <t>Authorized any last-minute contract amendments or addendums required during shooting.</t>
  </si>
  <si>
    <t>Liaised with insurance providers to confirm coverage aligned with production activities.</t>
  </si>
  <si>
    <t>Oversaw the execution of all business affairs requirements, including clearances and releases.</t>
  </si>
  <si>
    <t>Managed the approval process for production-related invoices and change orders.</t>
  </si>
  <si>
    <t>Facilitated communication between legal, finance, and production departments for smooth operations.</t>
  </si>
  <si>
    <t>Verified that usage rights were honored throughout filming to prevent future disputes.</t>
  </si>
  <si>
    <t>Documented all contractual milestones and compliance checkpoints during production</t>
  </si>
  <si>
    <t>Reviewed post-production contracts including editing, visual effects, and sound studios agreements.</t>
  </si>
  <si>
    <t>Ensured all necessary clearances were obtained for final assets, including music and voiceovers.</t>
  </si>
  <si>
    <t>Managed licensing renewals or extensions required for broadcast and digital distribution.</t>
  </si>
  <si>
    <t>Coordinated with regulatory bodies to confirm advertising content compliance prior to airing.</t>
  </si>
  <si>
    <t>Supervised final contract reconciliations and resolved any outstanding business affairs issues.</t>
  </si>
  <si>
    <t>Approved distribution rights and usage terms for all media formats and platforms.</t>
  </si>
  <si>
    <t>Negotiated and finalized agreements with broadcast networks and digital publishers.</t>
  </si>
  <si>
    <t>Reviewed and approved final budgets and expense reports related to business affairs.</t>
  </si>
  <si>
    <t>Provided legal and business guidance during client review and approval stages.</t>
  </si>
  <si>
    <t>Maintained records and archives of all agreements and clearances related to the commercial.</t>
  </si>
  <si>
    <t>Developed detailed project plans and production schedules aligning with creative and client deadlines.</t>
  </si>
  <si>
    <t>Coordinated cross-functional team meetings to establish project milestones and deliverables.</t>
  </si>
  <si>
    <t>Monitored budget forecasts and ensured alignment with allocated resources.</t>
  </si>
  <si>
    <t>Managed procurement of production vendors and negotiated service agreements.</t>
  </si>
  <si>
    <t>Facilitated communication between creative, account, and production teams to synchronize efforts.</t>
  </si>
  <si>
    <t>Identified potential risks and implemented mitigation strategies during the planning phase.</t>
  </si>
  <si>
    <t>Oversaw the approval workflow for scripts, storyboards, and production assets.</t>
  </si>
  <si>
    <t>Tracked all pre-production activities to ensure timely completion of tasks.</t>
  </si>
  <si>
    <t>Maintained comprehensive documentation of project scope, timelines, and client requirements.</t>
  </si>
  <si>
    <t>Reported project status and escalated issues to senior management as needed.</t>
  </si>
  <si>
    <t>Supervised day-to-day production operations to ensure adherence to schedule and budget.</t>
  </si>
  <si>
    <t>Coordinated logistics including equipment, talent, and crew call times and locations.</t>
  </si>
  <si>
    <t>Monitored on-set progress and resolved operational challenges promptly.</t>
  </si>
  <si>
    <t>Maintained clear communication channels between production teams and agency stakeholders.</t>
  </si>
  <si>
    <t>Tracked production expenses and managed change orders or budget adjustments.</t>
  </si>
  <si>
    <t>Ensured compliance with safety protocols and regulatory requirements on set.</t>
  </si>
  <si>
    <t>Managed vendor performance and addressed any contractual or delivery issues.</t>
  </si>
  <si>
    <t>Facilitated daily status updates and post-shoot wrap meetings.</t>
  </si>
  <si>
    <t>Documented production milestones and maintained accurate records of deliverables.</t>
  </si>
  <si>
    <t>Addressed client and internal feedback promptly to minimize production delays.</t>
  </si>
  <si>
    <t>Coordinated post-production schedules including editing, visual effects, and sound design timelines.</t>
  </si>
  <si>
    <t>Managed review cycles and consolidated feedback from internal and client teams.</t>
  </si>
  <si>
    <t>Tracked post-production budgets and approved invoice payments for services rendered.</t>
  </si>
  <si>
    <t>Ensured timely delivery of final assets and adherence to technical specifications.</t>
  </si>
  <si>
    <t>Facilitated communication between post-production vendors and agency stakeholders.</t>
  </si>
  <si>
    <t>Oversaw quality control checks and final sign-off processes.</t>
  </si>
  <si>
    <t>Managed asset archiving and documentation for future reference.</t>
  </si>
  <si>
    <t>Reported post-production progress and challenges to senior management.</t>
  </si>
  <si>
    <t>Coordinated final client approvals and delivered broadcast-ready materials.</t>
  </si>
  <si>
    <t>Conducted project retrospectives to identify lessons learned and improve future workflows</t>
  </si>
  <si>
    <t>Brdcst Bus Mgr</t>
  </si>
  <si>
    <t>Prepared and managed the commercial’s overall production budget and forecasts.</t>
  </si>
  <si>
    <t>Reviewed and negotiated vendor contracts and purchase orders to ensure cost-effectiveness.</t>
  </si>
  <si>
    <t>Coordinated with finance and procurement to secure funding and approvals for pre-production expenses.</t>
  </si>
  <si>
    <t>Developed cost estimates for locations, talent, and equipment rentals based on initial creative plans.</t>
  </si>
  <si>
    <t>Implemented financial controls to track pre-production spending against budget.</t>
  </si>
  <si>
    <t>Collaborated with producers and project managers to align financial goals with production schedules.</t>
  </si>
  <si>
    <t>Approved vendor invoices and advanced payments related to pre-production activities.</t>
  </si>
  <si>
    <t>Ensured compliance with company financial policies and accounting standards.</t>
  </si>
  <si>
    <t>Managed documentation for financial audits and internal reviews.</t>
  </si>
  <si>
    <t>Provided budgetary reports and updates to senior management and agency stakeholders.</t>
  </si>
  <si>
    <t>Oversaw daily production expenditures and monitored budget adherence on set.</t>
  </si>
  <si>
    <t>Processed and authorized payments for crew, talent, and vendors during production.</t>
  </si>
  <si>
    <t>Managed petty cash and on-site financial transactions related to production needs.</t>
  </si>
  <si>
    <t>Reviewed and approved change orders and additional cost requests promptly.</t>
  </si>
  <si>
    <t>Maintained accurate records of all production-related financial activities.</t>
  </si>
  <si>
    <t>Coordinated with production managers to forecast and adjust budgets in real-time.</t>
  </si>
  <si>
    <t>Ensured all financial documentation was submitted timely for accounting and payroll processing.</t>
  </si>
  <si>
    <t>Monitored contractual obligations related to payments and deliverables.</t>
  </si>
  <si>
    <t>Liaised with legal and business affairs teams regarding financial terms and compliance.</t>
  </si>
  <si>
    <t>Reported production financial status and variances to executive leadership regularly</t>
  </si>
  <si>
    <t>Managed budgeting and payment schedules for post-production vendors and facilities.</t>
  </si>
  <si>
    <t>Reviewed final invoices and reconciled post-production expenses against the approved budget.</t>
  </si>
  <si>
    <t>Coordinated with post-production supervisors to forecast remaining costs and financial needs.</t>
  </si>
  <si>
    <t>Ensured all post-production financial documentation met company and regulatory standards.</t>
  </si>
  <si>
    <t>Authorized payments for editing, visual effects, sound, and other post-production services.</t>
  </si>
  <si>
    <t>Oversaw closing financial procedures including budget reconciliation and cost reporting.</t>
  </si>
  <si>
    <t>Prepared detailed financial reports summarizing total project expenditures.</t>
  </si>
  <si>
    <t>Collaborated with accounting teams to complete audits and resolve discrepancies.</t>
  </si>
  <si>
    <t>Supported contract closeouts and final vendor negotiations from a financial perspective.</t>
  </si>
  <si>
    <t>Provided post-project financial analysis to inform future budgeting and forecasting.</t>
  </si>
  <si>
    <t>Print Prod</t>
  </si>
  <si>
    <t>Reviewed creative briefs and print specifications to establish production requirements.</t>
  </si>
  <si>
    <t>Collaborated with creative teams to finalize print layouts and artwork approvals.</t>
  </si>
  <si>
    <t>Coordinated with vendors and printers to obtain cost estimates and production timelines.</t>
  </si>
  <si>
    <t>Selected appropriate materials, substrates, and finishes based on creative direction and budget.</t>
  </si>
  <si>
    <t>Managed print proofs and ensured color accuracy and consistency across samples.</t>
  </si>
  <si>
    <t>Negotiated contracts and pricing with print vendors and service providers.</t>
  </si>
  <si>
    <t>Developed detailed production schedules aligning with campaign deadlines.</t>
  </si>
  <si>
    <t>Ensured all print files met technical specifications and quality standards.</t>
  </si>
  <si>
    <t>Coordinated pre-press checks and corrections with design and production teams.</t>
  </si>
  <si>
    <t>Secured necessary legal clearances for imagery, fonts, and third-party content in print assets.</t>
  </si>
  <si>
    <t>Oversaw the printing process to ensure adherence to specifications and quality standards.</t>
  </si>
  <si>
    <t>Monitored production runs for color consistency, registration, and finishing accuracy.</t>
  </si>
  <si>
    <t>Coordinated delivery logistics with vendors to meet distribution timelines.</t>
  </si>
  <si>
    <t>Addressed and resolved production issues such as print defects or delays.</t>
  </si>
  <si>
    <t>Managed inventory of printed materials and tracked order fulfillment.</t>
  </si>
  <si>
    <t>Communicated regularly with vendors to maintain production schedules and status updates.</t>
  </si>
  <si>
    <t>Verified that all materials complied with client brand guidelines and regulatory requirements.</t>
  </si>
  <si>
    <t>Supervised quality control inspections during and after print runs.</t>
  </si>
  <si>
    <t>Coordinated with shipping and logistics teams to ensure timely dispatch of print assets.</t>
  </si>
  <si>
    <t>Documented production progress and maintained records for auditing and reporting.</t>
  </si>
  <si>
    <t>Reviewed final printed materials for quality assurance before client delivery.</t>
  </si>
  <si>
    <t>Managed post-print finishing processes including trimming, binding, and packaging.</t>
  </si>
  <si>
    <t>Coordinated returns, reprints, or adjustments based on client or distributor feedback.</t>
  </si>
  <si>
    <t>Maintained comprehensive records of print runs, costs, and vendor performance.</t>
  </si>
  <si>
    <t>Reconciled production invoices and ensured accurate financial tracking.</t>
  </si>
  <si>
    <t>Conducted post-project evaluations to identify production efficiencies and areas for improvement.</t>
  </si>
  <si>
    <t>Collaborated with marketing and distribution teams to ensure proper asset deployment.</t>
  </si>
  <si>
    <t>Archived final print files and documentation for future reference.</t>
  </si>
  <si>
    <t>Facilitated client approvals for reprints or additional print orders.</t>
  </si>
  <si>
    <t>Prepared detailed production reports summarizing timelines, quality outcomes, and budget adherence</t>
  </si>
  <si>
    <t>Program Mgr, Content</t>
  </si>
  <si>
    <t>Aligned campaign deliverables with the client brief and internal content strategy.</t>
  </si>
  <si>
    <t>Created and maintained a detailed production timeline with key milestones.</t>
  </si>
  <si>
    <t>Coordinated cross-functional meetings to confirm script approvals and creative direction.</t>
  </si>
  <si>
    <t>Reviewed and finalized budgets with account and production teams.</t>
  </si>
  <si>
    <t>Secured approvals on casting, location selections, and set designs.</t>
  </si>
  <si>
    <t>Managed risk assessments and ensured compliance with advertising standards.</t>
  </si>
  <si>
    <t>Confirmed usage rights for third-party assets such as music and footage.</t>
  </si>
  <si>
    <t>Oversaw the integration of messaging frameworks into the script.</t>
  </si>
  <si>
    <t>Facilitated alignment between creative, legal, and media planning stakeholders.</t>
  </si>
  <si>
    <t>Delivered pre-production materials to all production partners on schedule.</t>
  </si>
  <si>
    <t>Supervised on-site execution to ensure adherence to the approved creative.</t>
  </si>
  <si>
    <t>Monitored real-time schedule updates and addressed any delays or blockers.</t>
  </si>
  <si>
    <t>Verified that all shot lists and storyboards were followed by the director and crew.</t>
  </si>
  <si>
    <t>Ensured continuity across scenes with the production team and script supervisor.</t>
  </si>
  <si>
    <t>Managed daily production reports and communicated progress to stakeholders.</t>
  </si>
  <si>
    <t>Coordinated approvals for on-the-fly creative changes during the shoot.</t>
  </si>
  <si>
    <t>Facilitated secure storage and transfer of raw footage for post-production.</t>
  </si>
  <si>
    <t>Supported the agency producer in managing client presence and expectations on set.</t>
  </si>
  <si>
    <t>Documented production milestones and flagged any scope deviations.</t>
  </si>
  <si>
    <t>Oversaw brand compliance during filming, including wardrobe, props, and set design.</t>
  </si>
  <si>
    <t>Reviewed initial rough cuts and compiled consolidated feedback from internal teams.</t>
  </si>
  <si>
    <t>Managed client review cycles, ensuring all revisions were documented and executed.</t>
  </si>
  <si>
    <t>Coordinated with editors to maintain version control and delivery timelines.</t>
  </si>
  <si>
    <t>Verified the inclusion of legal disclaimers, end slates, and regulatory requirements.</t>
  </si>
  <si>
    <t>Approved color grading and audio mixing stages based on quality standards.</t>
  </si>
  <si>
    <t>Ensured localization needs were met for multi-market distribution.</t>
  </si>
  <si>
    <t>Oversaw final sign-off from legal, brand, and client teams before asset lock.</t>
  </si>
  <si>
    <t>Delivered broadcast-ready files to media partners per technical specifications.</t>
  </si>
  <si>
    <t>Archived final assets and documentation according to agency protocols.</t>
  </si>
  <si>
    <t>Conducted post-mortem reviews to identify production learnings and process improvements.</t>
  </si>
  <si>
    <t>Assoc Program Dir, KitchenAid</t>
  </si>
  <si>
    <t>Aligned commercial objectives with brand guidelines and long-term marketing strategies.</t>
  </si>
  <si>
    <t>Directed cross-agency collaboration to define campaign KPIs and success metrics.</t>
  </si>
  <si>
    <t>Oversaw the creative development process, ensuring messaging consistency with brand voice.</t>
  </si>
  <si>
    <t>Approved budget allocations and secured cross-functional buy-in on resource planning.</t>
  </si>
  <si>
    <t>Led strategic planning meetings to integrate product positioning into the creative brief.</t>
  </si>
  <si>
    <t>Managed stakeholder approvals for casting, art direction, and location scouting.</t>
  </si>
  <si>
    <t>Reviewed all creative concepts for alignment with audience insights and product benefits.</t>
  </si>
  <si>
    <t>Collaborated with product, legal, and compliance teams to vet claims and product representations.</t>
  </si>
  <si>
    <t>Secured executive-level approval on campaign narratives and visual treatments.</t>
  </si>
  <si>
    <t>Directed the finalization of production schedules and vendor contracts.</t>
  </si>
  <si>
    <t>Oversaw live production to ensure on-brand representation of product usage and lifestyle.</t>
  </si>
  <si>
    <t>Partnered with the agency producer to maintain production flow and creative integrity.</t>
  </si>
  <si>
    <t>Monitored real-time progress to ensure all scenes delivered against storyboard and brief.</t>
  </si>
  <si>
    <t>Resolved cross-functional escalations related to timing, scope, or production issues.</t>
  </si>
  <si>
    <t>Ensured visual integration of brand assets, including color, logo usage, and packaging.</t>
  </si>
  <si>
    <t>Guided on-set creative reviews to provide directional feedback and prevent rework.</t>
  </si>
  <si>
    <t>Managed communications between agency, internal brand teams, and external vendors.</t>
  </si>
  <si>
    <t>Documented production highlights and ensured compliance with brand and legal standards.</t>
  </si>
  <si>
    <t>Supported talent relations to uphold brand values and community alignment.</t>
  </si>
  <si>
    <t>Directed secure transfer of footage and brand assets for editorial handling</t>
  </si>
  <si>
    <t>Led cross-functional reviews of initial edits, ensuring strategic alignment and brand tone.</t>
  </si>
  <si>
    <t>Facilitated client and stakeholder feedback across multiple approval cycles.</t>
  </si>
  <si>
    <t>Oversaw integration of motion graphics, packaging overlays, and supers for brand clarity.</t>
  </si>
  <si>
    <t>Ensured final edits met brand, regulatory, and technical delivery requirements.</t>
  </si>
  <si>
    <t>Reviewed and approved localization versions for regional and global rollouts.</t>
  </si>
  <si>
    <t>Directed the development of cutdowns and social variants for omnichannel use.</t>
  </si>
  <si>
    <t>Confirmed alignment between final edits and media specifications for broadcast and digital.</t>
  </si>
  <si>
    <t>Managed asset tracking, naming conventions, and archival in brand content systems.</t>
  </si>
  <si>
    <t>Delivered launch assets to media partners, internal platforms, and retail partners.</t>
  </si>
  <si>
    <t>Conducted campaign performance reviews to evaluate commercial impact and future optimizations</t>
  </si>
  <si>
    <t>Developed initial visual concepts and key frames aligned with the commercial’s creative brief.</t>
  </si>
  <si>
    <t>Created mood boards and design references to establish a consistent visual language.</t>
  </si>
  <si>
    <t>Designed logo lockups, graphic treatments, and visual elements for integration into the commercial.</t>
  </si>
  <si>
    <t>Collaborated with art directors and copywriters to ensure cohesive storytelling across all frames.</t>
  </si>
  <si>
    <t>Produced pitch decks and design presentations to communicate the visual direction.</t>
  </si>
  <si>
    <t>Adapted existing brand guidelines to fit the tone and format of the specific campaign.</t>
  </si>
  <si>
    <t>Provided input on set design, wardrobe, and prop selection to reinforce brand aesthetics.</t>
  </si>
  <si>
    <t>Prepared layered design files and templates for animation and post-production teams.</t>
  </si>
  <si>
    <t>Participated in pre-visualization meetings to align on look and feel across all media.</t>
  </si>
  <si>
    <t>Reviewed and approved all creative assets for brand consistency before entering production</t>
  </si>
  <si>
    <t>Advised on lighting, framing, and composition to maintain visual alignment with brand standards.</t>
  </si>
  <si>
    <t>Supervised on-set art direction to ensure the correct use of brand elements in physical spaces.</t>
  </si>
  <si>
    <t>Provided real-time feedback on the execution of branded props, packaging, and signage.</t>
  </si>
  <si>
    <t>Verified color accuracy and brand representation on camera monitors during filming.</t>
  </si>
  <si>
    <t>Collaborated with the director and DOP to refine visual storytelling elements in key shots.</t>
  </si>
  <si>
    <t>Ensured proper placement and visibility of product branding within the scene composition.</t>
  </si>
  <si>
    <t>Updated design elements or artwork in response to last-minute script or product changes.</t>
  </si>
  <si>
    <t>Captured reference imagery and notes for post-production visual continuity.</t>
  </si>
  <si>
    <t>Evaluated shot compositions for visual hierarchy and graphic integration.</t>
  </si>
  <si>
    <t>Approved final on-set visuals before wrap to ensure alignment with brand look-and-feel</t>
  </si>
  <si>
    <t>Designed end slates, supers, lower thirds, and other graphic elements for final edits.</t>
  </si>
  <si>
    <t>Reviewed motion graphic executions to ensure consistency with visual style guides.</t>
  </si>
  <si>
    <t>Approved typography, color grading, and graphic pacing in early and final cuts.</t>
  </si>
  <si>
    <t>Provided art direction for VFX, product animations, and transitions as needed.</t>
  </si>
  <si>
    <t>Delivered high-resolution design assets and style references to editorial teams.</t>
  </si>
  <si>
    <t>Reviewed compositing to ensure seamless integration of static and motion design.</t>
  </si>
  <si>
    <t>Verified final asset output across formats for consistency across digital, TV, and social channels.</t>
  </si>
  <si>
    <t>Ensured that all final files met technical and brand specifications before delivery.</t>
  </si>
  <si>
    <t>Archived design assets and updated brand libraries with new campaign visuals.</t>
  </si>
  <si>
    <t>Participated in post-mortem reviews to share insights on visual performance and production learnings.</t>
  </si>
  <si>
    <t>Mgr, Sr CGI Prod</t>
  </si>
  <si>
    <t>Collaborated with creative leads to interpret scripts and storyboards into feasible CGI execution plans.</t>
  </si>
  <si>
    <t>Scoped technical requirements and resource needs for all CGI elements in the commercial.</t>
  </si>
  <si>
    <t>Developed production schedules and delivery timelines in coordination with internal and external CGI teams.</t>
  </si>
  <si>
    <t>Managed vendor selection and negotiated contracts for third-party CGI studios and freelancers.</t>
  </si>
  <si>
    <t>Approved creative treatments and CGI look development based on brand standards and artistic direction.</t>
  </si>
  <si>
    <t>Led internal reviews to align stakeholders on CGI pipeline strategy and asset integration plans.</t>
  </si>
  <si>
    <t>Reviewed product references, CAD files, and visual documentation to ensure accuracy in CGI replication.</t>
  </si>
  <si>
    <t>Coordinated previsualization efforts to block CGI sequences and align with live-action components.</t>
  </si>
  <si>
    <t>Secured approvals on test renders and lighting studies before moving into asset production.</t>
  </si>
  <si>
    <t>Created a risk assessment plan to address complexity, rendering capacity, and timeline constraints</t>
  </si>
  <si>
    <t>Oversaw real-time collaboration between CGI teams and live-action crews during hybrid shoots.</t>
  </si>
  <si>
    <t>Supervised on-set data capture including HDRIs, photogrammetry, and lens metadata for CGI integration.</t>
  </si>
  <si>
    <t>Directed motion tracking and matchmove planning to ensure seamless compositing in post.</t>
  </si>
  <si>
    <t>Reviewed CGI blocking and proxy renders in parallel with live production milestones.</t>
  </si>
  <si>
    <t>Managed communication between art directors, VFX supervisors, and CGI vendors throughout production.</t>
  </si>
  <si>
    <t>Resolved asset dependencies and coordinated technical handoffs between departments.</t>
  </si>
  <si>
    <t>Ensured continuity in scale, lighting, and product detailing across scenes and platforms.</t>
  </si>
  <si>
    <t>Monitored daily production reports to track asset completion and identify any pipeline delays.</t>
  </si>
  <si>
    <t>Implemented best practices for data security and asset version control during active production.</t>
  </si>
  <si>
    <t>Provided real-time approvals for CGI-related changes impacting visual fidelity or timing.</t>
  </si>
  <si>
    <t>Led CGI post workflows including modeling, surfacing, lighting, animation, and rendering.</t>
  </si>
  <si>
    <t>Reviewed lighting passes, render layers, and composited shots for realism and accuracy.</t>
  </si>
  <si>
    <t>Managed cross-team feedback loops for iterative reviews of product fidelity and brand alignment.</t>
  </si>
  <si>
    <t>Approved final render outputs based on quality benchmarks and campaign specifications.</t>
  </si>
  <si>
    <t>Ensured synchronization between CGI sequences and sound, VO, and timing cues.</t>
  </si>
  <si>
    <t>Oversaw color matching and grading to align CGI elements with live-action footage.</t>
  </si>
  <si>
    <t>Delivered final CGI assets in multiple aspect ratios and resolutions for omnichannel deployment.</t>
  </si>
  <si>
    <t>Managed the delivery of master files to editorial, finishing, and media teams.</t>
  </si>
  <si>
    <t>Archived production assets, metadata, and source files for future adaptation or reuse.</t>
  </si>
  <si>
    <t>Conducted post-project debriefs to evaluate CGI pipeline efficiency, team performance, and technical innovations</t>
  </si>
  <si>
    <t>Reviewed and negotiated talent contracts in accordance with union and non-union guidelines.</t>
  </si>
  <si>
    <t>Secured music, footage, and third-party IP rights for inclusion in the commercial.</t>
  </si>
  <si>
    <t>Evaluated and approved production vendor estimates and usage terms.</t>
  </si>
  <si>
    <t>Drafted production service agreements and ensured legal compliance.</t>
  </si>
  <si>
    <t>Liaised with legal teams to review clearance issues related to scripts and storyboards.</t>
  </si>
  <si>
    <t>Confirmed SAG-AFTRA requirements and managed signatory paperwork.</t>
  </si>
  <si>
    <t>Identified potential clearance risks in creative materials and flagged for revision.</t>
  </si>
  <si>
    <t>Oversaw insurance requirements for the production and ensured certificates were issued.</t>
  </si>
  <si>
    <t>Reviewed storyboard submissions for claims, substantiation, and regulatory flags.</t>
  </si>
  <si>
    <t>Finalized production timelines with producers to align with contractual obligations</t>
  </si>
  <si>
    <t>Monitored talent sessions to ensure adherence to contractual conditions.</t>
  </si>
  <si>
    <t>Coordinated with line producers on real-time business affairs issues during the shoot.</t>
  </si>
  <si>
    <t>Ensured release forms were signed for all on-camera participants and assets.</t>
  </si>
  <si>
    <t>Addressed usage questions related to props, locations, and branding on set.</t>
  </si>
  <si>
    <t>Advised on cost implications for overtime, additional shoot days, or usage changes.</t>
  </si>
  <si>
    <t>Tracked talent hours and meal breaks for union compliance.</t>
  </si>
  <si>
    <t>Facilitated last-minute contract modifications in response to on-set changes.</t>
  </si>
  <si>
    <t>Collaborated with agency producers to confirm proper indemnification coverage.</t>
  </si>
  <si>
    <t>Reviewed and approved any material substitutions against original scripts.</t>
  </si>
  <si>
    <t>Maintained documentation of all business affairs decisions during production.</t>
  </si>
  <si>
    <t>Reviewed rough cuts for compliance with usage rights and contractual terms.</t>
  </si>
  <si>
    <t>Verified that all licensed content matched agreed-upon usage and territory terms.</t>
  </si>
  <si>
    <t>Approved final talent tracking reports for residual and session fee processing.</t>
  </si>
  <si>
    <t>Ensured music cues and stock imagery were properly cleared and invoiced.</t>
  </si>
  <si>
    <t>Coordinated final network/legal review submissions for clearance approval.</t>
  </si>
  <si>
    <t>Managed claims substantiation documentation for any comparative or superlative statements.</t>
  </si>
  <si>
    <t>Processed talent and third-party rights payments in line with contract obligations.</t>
  </si>
  <si>
    <t>Archived legal documentation and clearance reports for internal records.</t>
  </si>
  <si>
    <t>Provided guidance on global usage extensions and renewal options.</t>
  </si>
  <si>
    <t>Issued final usage summaries and contractual close-out memos to stakeholders.</t>
  </si>
  <si>
    <t>Agency Prod</t>
  </si>
  <si>
    <t>Developed and managed detailed production schedules aligned with client deadlines.</t>
  </si>
  <si>
    <t>Coordinated internal agency teams and external vendors to align project objectives.</t>
  </si>
  <si>
    <t>Prepared and monitored production budgets, ensuring cost controls and approvals.</t>
  </si>
  <si>
    <t>Facilitated agency-client meetings to confirm creative direction and deliverables.</t>
  </si>
  <si>
    <t>Secured locations and coordinated necessary permits and clearances.</t>
  </si>
  <si>
    <t>Oversaw casting sessions and coordinated talent bookings with casting agencies.</t>
  </si>
  <si>
    <t>Collaborated with creative directors to refine scripts and storyboards.</t>
  </si>
  <si>
    <t>Managed vendor bids and negotiated contracts with production companies.</t>
  </si>
  <si>
    <t>Organized pre-production meetings with all stakeholders to clarify responsibilities.</t>
  </si>
  <si>
    <t>Compiled and distributed comprehensive production briefs to all departments</t>
  </si>
  <si>
    <t>Supervised day-to-day on-set operations to ensure schedule adherence.</t>
  </si>
  <si>
    <t>Managed communication between the agency, production crew, and talent.</t>
  </si>
  <si>
    <t>Resolved logistical issues promptly to minimize disruptions during shoots.</t>
  </si>
  <si>
    <t>Ensured adherence to health and safety protocols on set.</t>
  </si>
  <si>
    <t>Approved daily production reports and tracked progress against the budget.</t>
  </si>
  <si>
    <t>Coordinated transportation, accommodation, and catering for cast and crew.</t>
  </si>
  <si>
    <t>Monitored equipment rentals and technical requirements.</t>
  </si>
  <si>
    <t>Facilitated timely approvals for script or schedule changes on set.</t>
  </si>
  <si>
    <t>Maintained comprehensive production documentation and asset tracking.</t>
  </si>
  <si>
    <t>Liaised with directors and agency stakeholders to uphold creative vision.</t>
  </si>
  <si>
    <t>Coordinated post-production schedules with editors, VFX, and sound teams.</t>
  </si>
  <si>
    <t>Managed delivery of initial cuts for internal and client reviews.</t>
  </si>
  <si>
    <t>Oversaw implementation of client feedback and revisions within deadlines.</t>
  </si>
  <si>
    <t>Verified all deliverables met technical specifications for broadcast and digital platforms.</t>
  </si>
  <si>
    <t>Managed post-production budgets and approved vendor invoices.</t>
  </si>
  <si>
    <t>Organized final approvals from clients and agency leadership.</t>
  </si>
  <si>
    <t>Coordinated rights clearances and ensured proper licensing for all assets.</t>
  </si>
  <si>
    <t>Prepared and distributed final commercial materials to media buyers and networks.</t>
  </si>
  <si>
    <t>Archived production materials and documentation for future reference.</t>
  </si>
  <si>
    <t>Conducted project debriefs to identify lessons learned and best practices.</t>
  </si>
  <si>
    <t>Coordinated scheduling and resource allocation for the commercial shoot.</t>
  </si>
  <si>
    <t>Approved the final production budget and ensured cost controls.</t>
  </si>
  <si>
    <t>Selected and contracted key vendors, including studios, equipment rentals, and crew members.</t>
  </si>
  <si>
    <t>Oversaw location scouting and secured necessary permits for filming.</t>
  </si>
  <si>
    <t>Facilitated production meetings to align all departments on timelines and deliverables.</t>
  </si>
  <si>
    <t>Managed on-set operations to ensure smooth execution of the shooting schedule.</t>
  </si>
  <si>
    <t>Supervised the production crew and resolved logistical issues in real-time.</t>
  </si>
  <si>
    <t>Monitored compliance with safety protocols and industry regulations during filming.</t>
  </si>
  <si>
    <t>Communicated between the director, client representatives, and crew to maintain workflow efficiency.</t>
  </si>
  <si>
    <t>Documented daily production progress and reported updates to stakeholders.</t>
  </si>
  <si>
    <t>Coordinated with editors, sound designers, and VFX teams to oversee the post-production timeline.</t>
  </si>
  <si>
    <t>Reviewed rough cuts and provided feedback aligned with the creative vision.</t>
  </si>
  <si>
    <t>Managed post-production budgets and ensured adherence to financial constraints.</t>
  </si>
  <si>
    <t>Facilitated final approval processes with clients and internal teams.</t>
  </si>
  <si>
    <t>Organized delivery of final commercial assets in required formats and specifications.</t>
  </si>
  <si>
    <t>Presentation Designer</t>
  </si>
  <si>
    <t>Collaborated with creative teams to understand key messaging and visual concepts.</t>
  </si>
  <si>
    <t>Researched brand guidelines and competitor presentations to ensure alignment.</t>
  </si>
  <si>
    <t>Developed initial design mockups and presentation templates for client review.</t>
  </si>
  <si>
    <t>Prepared storyboards or visual outlines to map out the presentation flow.</t>
  </si>
  <si>
    <t>Incorporated client feedback to refine design direction before production</t>
  </si>
  <si>
    <t>Designed high-quality presentation slides incorporating graphics, typography, and animations.</t>
  </si>
  <si>
    <t>Synchronized visual elements with the commercial’s narrative and storyboard.</t>
  </si>
  <si>
    <t>Created custom illustrations, charts, or infographics to enhance communication.</t>
  </si>
  <si>
    <t>Collaborated with multimedia teams to integrate video clips or interactive content.</t>
  </si>
  <si>
    <t>Ensured consistency in style, color, and branding across all presentation materials.</t>
  </si>
  <si>
    <t>Reviewed final presentation decks for accuracy, visual impact, and technical functionality.</t>
  </si>
  <si>
    <t>Edited and optimized presentation files for different formats and delivery platforms.</t>
  </si>
  <si>
    <t>Prepared supporting materials such as handouts or digital summaries.</t>
  </si>
  <si>
    <t>Conducted quality assurance checks on animations and embedded media.</t>
  </si>
  <si>
    <t>Delivered final presentations to clients or internal teams with detailed usage instructions.</t>
  </si>
  <si>
    <t>Developed and refined the creative concept and overall messaging.</t>
  </si>
  <si>
    <t>Collaborated with the account team to understand client objectives and campaign goals.</t>
  </si>
  <si>
    <t>Wrote and edited the commercial script to align with the brand voice and strategy.</t>
  </si>
  <si>
    <t>Presented creative ideas and storyboards for client approval.</t>
  </si>
  <si>
    <t>Coordinated with the art director to ensure visual elements complemented the copy.</t>
  </si>
  <si>
    <t>Reviewed and approved casting choices for on-screen talent.</t>
  </si>
  <si>
    <t>Participated in location scouting to confirm suitability for the script’s requirements.</t>
  </si>
  <si>
    <t>Finalized the script and production brief for the production team.</t>
  </si>
  <si>
    <t>Attended pre-production meetings with producers, directors, and other key stakeholders.</t>
  </si>
  <si>
    <t>Ensured all legal and compliance checks were addressed in the creative materials</t>
  </si>
  <si>
    <t>Oversaw the execution of the script during the shoot to maintain creative integrity.</t>
  </si>
  <si>
    <t>Directed on-set copy adjustments and coached talent on delivering lines effectively.</t>
  </si>
  <si>
    <t>Collaborated with the director to ensure the tone and pacing matched the creative vision.</t>
  </si>
  <si>
    <t>Provided immediate feedback on takes related to dialogue and narration.</t>
  </si>
  <si>
    <t>Approved on-the-spot changes to dialogue or visuals when necessary.</t>
  </si>
  <si>
    <t>Monitored continuity to ensure the script’s message remained clear and consistent.</t>
  </si>
  <si>
    <t>Worked closely with the production team to manage any creative challenges during filming.</t>
  </si>
  <si>
    <t>Facilitated communication between the creative team and production crew.</t>
  </si>
  <si>
    <t>Recorded voiceovers or guided voice talent as required.</t>
  </si>
  <si>
    <t>Documented key production details for reference during post-production.</t>
  </si>
  <si>
    <t>Reviewed initial edits to ensure the narrative flow aligned with the approved script.</t>
  </si>
  <si>
    <t>Provided detailed notes on timing, tone, and pacing to the editors.</t>
  </si>
  <si>
    <t>Collaborated with sound designers to refine voiceover and audio elements.</t>
  </si>
  <si>
    <t>Approved revisions to the copy or on-screen text during the editing process.</t>
  </si>
  <si>
    <t>Ensured the final cut adhered to brand guidelines and creative objectives.</t>
  </si>
  <si>
    <t>Coordinated with legal and compliance teams to finalize disclaimers and mandatory text.</t>
  </si>
  <si>
    <t>Participated in client presentations to secure approval on final deliverables.</t>
  </si>
  <si>
    <t>Worked with the post-production team to oversee color grading and visual effects integration.</t>
  </si>
  <si>
    <t>Validated the final version of the commercial for distribution formats.</t>
  </si>
  <si>
    <t>Documented lessons learned and creative insights for future campaigns</t>
  </si>
  <si>
    <t>Group Bus Lead</t>
  </si>
  <si>
    <t>Aligned with strategy and creative leads to validate the campaign's business objectives.</t>
  </si>
  <si>
    <t>Reviewed and approved creative briefs prior to client presentation.</t>
  </si>
  <si>
    <t>Collaborated with media teams to ensure deliverables matched planned channel specifications.</t>
  </si>
  <si>
    <t>Led internal cross-functional meetings to define timelines, scopes, and resource needs.</t>
  </si>
  <si>
    <t>Oversaw the development of production budgets and secured client approval.</t>
  </si>
  <si>
    <t>Coordinated with legal and account management to ensure compliance with advertising regulations.</t>
  </si>
  <si>
    <t>Approved final scripts and storyboards for agency and client sign-off.</t>
  </si>
  <si>
    <t>Facilitated client alignment meetings to confirm production direction and messaging.</t>
  </si>
  <si>
    <t>Identified and approved production vendors in coordination with the executive producer.</t>
  </si>
  <si>
    <t>Monitored pre-production checklists to ensure all logistical requirements were fulfilled.</t>
  </si>
  <si>
    <t>Supervised on-site operations to ensure adherence to brand and creative guidelines.</t>
  </si>
  <si>
    <t>Served as agency liaison during shoot days, managing client interactions and feedback.</t>
  </si>
  <si>
    <t>Monitored production milestones and adjusted schedules as needed to maintain alignment.</t>
  </si>
  <si>
    <t>Reviewed real-time footage to confirm consistency with the approved concept.</t>
  </si>
  <si>
    <t>Managed agency and client communications to resolve production issues quickly.</t>
  </si>
  <si>
    <t>Ensured all required assets and footage were captured during principal photography.</t>
  </si>
  <si>
    <t>Supported production leads in maintaining cost control throughout shoot execution.</t>
  </si>
  <si>
    <t>Verified talent performance and usage rights were documented and archived.</t>
  </si>
  <si>
    <t>Coordinated the delivery of production dailies for agency and client review.</t>
  </si>
  <si>
    <t>Ensured production crews followed agency protocols and quality standards.</t>
  </si>
  <si>
    <t>Reviewed initial edits and provided consolidated agency feedback.</t>
  </si>
  <si>
    <t>Facilitated versioning conversations to align edits with platform requirements.</t>
  </si>
  <si>
    <t>Coordinated internal review sessions across creative, strategy, and account teams.</t>
  </si>
  <si>
    <t>Managed client feedback loops to ensure timely approvals of rough and final cuts.</t>
  </si>
  <si>
    <t>Approved visual effects and motion graphics integration for brand consistency.</t>
  </si>
  <si>
    <t>Oversaw the delivery of final audio, color grading, and mix approvals.</t>
  </si>
  <si>
    <t>Confirmed final assets matched technical specifications for all planned media channels.</t>
  </si>
  <si>
    <t>Directed trafficking and asset management teams for on-time deployment.</t>
  </si>
  <si>
    <t>Archived final deliverables and documentation in agency asset systems.</t>
  </si>
  <si>
    <t>Conducted post-mortem meetings to evaluate process effectiveness and key learnings.</t>
  </si>
  <si>
    <t>Bus Affairs Intern</t>
  </si>
  <si>
    <t>Assisted in organizing talent usage grids and tracking potential conflicts.</t>
  </si>
  <si>
    <t>Prepared initial drafts of legal documentation under supervision, including NDAs and appearance releases.</t>
  </si>
  <si>
    <t>Supported the clearance process by gathering reference materials and usage details.</t>
  </si>
  <si>
    <t>Maintained a database of vendor and talent contracts for team access.</t>
  </si>
  <si>
    <t>Logged and tracked status updates for legal reviews and script approvals.</t>
  </si>
  <si>
    <t>Compiled background information for regulatory compliance checks.</t>
  </si>
  <si>
    <t>Helped monitor internal timelines for contract execution and deliverable deadlines.</t>
  </si>
  <si>
    <t>Attended pre-production meetings to take notes and flag follow-up items.</t>
  </si>
  <si>
    <t>Reviewed talent specs and flagged discrepancies in usage terms or deliverables.</t>
  </si>
  <si>
    <t>Assisted in routing scripts and storyboards through internal clearance processes.</t>
  </si>
  <si>
    <t>Collected and organized signed talent and crew releases on set.</t>
  </si>
  <si>
    <t>Updated tracking sheets for talent usage, locations, and licensing assets.</t>
  </si>
  <si>
    <t>Assisted with real-time documentation of shoot-day legal and business affairs checklists.</t>
  </si>
  <si>
    <t>Helped confirm that usage rights matched what was being captured on set.</t>
  </si>
  <si>
    <t>Coordinated with producers to track appearances of third-party assets in footage.</t>
  </si>
  <si>
    <t>Maintained organized copies of insurance certificates, permits, and location agreements.</t>
  </si>
  <si>
    <t>Verified that all signed documents were properly labeled and stored.</t>
  </si>
  <si>
    <t>Helped manage on-set document distribution, including backup copies of releases.</t>
  </si>
  <si>
    <t>Participated in production check-ins to assist with legal compliance tasks.</t>
  </si>
  <si>
    <t>Filed shoot-day paperwork in the agency’s digital filing system for post-production reference.</t>
  </si>
  <si>
    <t>Cross-checked final footage against usage rights to confirm compliance.</t>
  </si>
  <si>
    <t>Assisted in routing edits for legal and clearance review.</t>
  </si>
  <si>
    <t>Logged feedback from business affairs and legal teams for version tracking.</t>
  </si>
  <si>
    <t>Updated asset tracking logs with finalized usage dates and renewal terms.</t>
  </si>
  <si>
    <t>Helped verify that third-party materials (music, footage, images) were properly licensed.</t>
  </si>
  <si>
    <t>Coordinated with post-production to ensure supers and disclaimers met legal standards.</t>
  </si>
  <si>
    <t>Archived final contracts, releases, and clearance documents for recordkeeping.</t>
  </si>
  <si>
    <t>Participated in post-project wrap-up sessions to document business affairs learnings.</t>
  </si>
  <si>
    <t>Supported the team in preparing reports on rights usage and expirations.</t>
  </si>
  <si>
    <t>Assisted in organizing closed files and legal documents for audit readiness.</t>
  </si>
  <si>
    <t>Sr Production Bus Mgr</t>
  </si>
  <si>
    <t>Reviewed and negotiated production estimates, vendor bids, and cost breakdowns for accuracy and compliance.</t>
  </si>
  <si>
    <t>Oversaw the development and execution of production contracts, including talent, crew, and vendor agreements.</t>
  </si>
  <si>
    <t>Ensured all creative materials were routed through legal for preliminary clearance review.</t>
  </si>
  <si>
    <t>Collaborated with producers to confirm compliance with union regulations and labor requirements.</t>
  </si>
  <si>
    <t>Secured all necessary insurance certificates, location permits, and indemnification documents.</t>
  </si>
  <si>
    <t>Assessed potential risk factors and advised production teams on legal and financial safeguards.</t>
  </si>
  <si>
    <t>Approved usage rights and licensing terms for third-party content proposed for use.</t>
  </si>
  <si>
    <t>Managed talent negotiation processes and finalized session and usage agreements.</t>
  </si>
  <si>
    <t>Coordinated closely with legal, finance, and account teams to align budgets with contractual obligations.</t>
  </si>
  <si>
    <t>Supervised internal pre-production checklists to verify all deliverables were cleared before production commenced.</t>
  </si>
  <si>
    <t>Ensured all required releases, contracts, and agreements were executed and filed during the shoot.</t>
  </si>
  <si>
    <t>Acted as the primary business affairs contact for producers and clients during production days.</t>
  </si>
  <si>
    <t>Monitored adherence to contractual terms for union labor, talent usage, and working hours.</t>
  </si>
  <si>
    <t>Addressed and resolved any legal or financial issues arising on set in real time.</t>
  </si>
  <si>
    <t>Validated that shoot-day content did not include unapproved third-party IP or talent appearances.</t>
  </si>
  <si>
    <t>Reviewed production activities to ensure compliance with insurance, safety, and labor requirements.</t>
  </si>
  <si>
    <t>Maintained oversight of asset usage to align with contracted rights and restrictions.</t>
  </si>
  <si>
    <t>Collaborated with producers to capture proper documentation for music, locations, and image rights.</t>
  </si>
  <si>
    <t>Coordinated talent documentation and SAG/AFTRA filing requirements.</t>
  </si>
  <si>
    <t>Ensured all original documentation from the shoot was secured and delivered to agency archives.</t>
  </si>
  <si>
    <t>Reviewed final edits to confirm compliance with usage rights, talent terms, and licensing agreements.</t>
  </si>
  <si>
    <t>Directed the clearance of all music, footage, graphics, and stock imagery used in final deliverables.</t>
  </si>
  <si>
    <t>Oversaw legal and business affairs approvals for final cuts and campaign assets.</t>
  </si>
  <si>
    <t>Ensured deliverables met all contractual obligations and were cleared for media release.</t>
  </si>
  <si>
    <t>Managed union reporting, session payments, and residual tracking for talent.</t>
  </si>
  <si>
    <t>Coordinated renewals or extensions of usage rights when edits exceeded original terms.</t>
  </si>
  <si>
    <t>Worked with finance to reconcile final production costs against approved budgets.</t>
  </si>
  <si>
    <t>Audited all legal documentation and archived files for agency compliance and client review.</t>
  </si>
  <si>
    <t>Participated in post-project wrap-ups to identify process improvements and risk mitigation strategies.</t>
  </si>
  <si>
    <t>Delivered business affairs reports summarizing rights usage, clearances, and contractual fulfillment.</t>
  </si>
  <si>
    <t>Global Segment Lead</t>
  </si>
  <si>
    <t>Defined global campaign objectives and ensured alignment with segment growth strategies.</t>
  </si>
  <si>
    <t>Collaborated with strategy and creative teams to shape messaging frameworks for multi-market execution.</t>
  </si>
  <si>
    <t>Reviewed and approved creative briefs to ensure market relevance and brand consistency.</t>
  </si>
  <si>
    <t>Engaged regional stakeholders to gather insights and validate campaign approach.</t>
  </si>
  <si>
    <t>Directed the development of transcreation guidelines for localized adaptation.</t>
  </si>
  <si>
    <t>Provided strategic oversight for media plans to ensure proper segmentation and targeting.</t>
  </si>
  <si>
    <t>Coordinated legal and regulatory review across priority markets for early-stage concepts.</t>
  </si>
  <si>
    <t>Led internal kickoff meetings to align teams on messaging priorities and success metrics.</t>
  </si>
  <si>
    <t>Oversaw budget allocations across markets and secured approvals for global campaign investments.</t>
  </si>
  <si>
    <t>Ensured all production partners understood global requirements for cultural sensitivity and compliance.</t>
  </si>
  <si>
    <t>Oversaw the adaptation of final assets into multiple regional formats and languages.</t>
  </si>
  <si>
    <t>Reviewed localized versions to ensure consistency with the global creative intent.</t>
  </si>
  <si>
    <t>Coordinated with legal and regulatory teams to validate post-production edits for regional compliance.</t>
  </si>
  <si>
    <t>Partnered with media leads to align final asset delivery with global launch timelines.</t>
  </si>
  <si>
    <t>Provided strategic input during final approval rounds to ensure commercial effectiveness across segments.</t>
  </si>
  <si>
    <t>Consolidated cross-market feedback and delivered actionable summaries to creative and production teams.</t>
  </si>
  <si>
    <t>Ensured all markets received the correct asset versions, aligned with their media plans and audience segments.</t>
  </si>
  <si>
    <t>Tracked performance readiness and content activation milestones across regions.</t>
  </si>
  <si>
    <t>Participated in post-campaign reviews to assess effectiveness by segment and geography.</t>
  </si>
  <si>
    <t>Compiled and presented campaign learnings to inform future global commercial initiatives.</t>
  </si>
  <si>
    <t>Assistant Acct Exec</t>
  </si>
  <si>
    <t>Scheduled and coordinated internal meetings and client touchpoints during project initiation.</t>
  </si>
  <si>
    <t>Compiled meeting recaps and distributed action items to relevant teams.</t>
  </si>
  <si>
    <t>Supported the preparation of creative briefs and ensured timely routing for approvals.</t>
  </si>
  <si>
    <t>Maintained status trackers and updated timelines based on input from cross-functional teams.</t>
  </si>
  <si>
    <t>Helped organize asset delivery schedules in collaboration with production and creative teams.</t>
  </si>
  <si>
    <t>Assisted in routing scripts, treatments, and storyboards through internal and client review processes.</t>
  </si>
  <si>
    <t>Collected and formatted materials for client presentations and pre-production meetings.</t>
  </si>
  <si>
    <t>Tracked client feedback and followed up on outstanding questions or deliverables.</t>
  </si>
  <si>
    <t>Logged creative revisions and ensured updated files were properly labeled and distributed.</t>
  </si>
  <si>
    <t>Supported the account team in coordinating legal and compliance documentation submissions.</t>
  </si>
  <si>
    <t>Helped manage shoot schedules and coordinated logistics with internal and external teams.</t>
  </si>
  <si>
    <t>Acted as a point of contact for basic client questions and ensured timely follow-up.</t>
  </si>
  <si>
    <t>Maintained on-site documentation such as call sheets, release forms, and production notes.</t>
  </si>
  <si>
    <t>Provided real-time updates to the account team during shoot days.</t>
  </si>
  <si>
    <t>Assisted in tracking talent, wardrobe, and prop details for continuity purposes.</t>
  </si>
  <si>
    <t>Delivered updated scripts and schedules to the production team as needed.</t>
  </si>
  <si>
    <t>Coordinated catering, transportation, and other logistics for agency personnel and clients.</t>
  </si>
  <si>
    <t>Took on-set notes during production to document approvals and client feedback.</t>
  </si>
  <si>
    <t>Helped collect and organize signed releases and other legal documentation.</t>
  </si>
  <si>
    <t>Uploaded shoot-day assets to internal systems for review and archiving.</t>
  </si>
  <si>
    <t>Routed initial edits internally and tracked feedback from creative, strategy, and production teams.</t>
  </si>
  <si>
    <t>Assisted in managing version control for commercial edits across platforms.</t>
  </si>
  <si>
    <t>Compiled and organized client feedback across rounds of review.</t>
  </si>
  <si>
    <t>Created and maintained distribution lists for final asset delivery.</t>
  </si>
  <si>
    <t>Coordinated with producers to ensure post timelines matched delivery deadlines.</t>
  </si>
  <si>
    <t>Helped update budget trackers and documented scope changes with account leads.</t>
  </si>
  <si>
    <t>Prepared materials for final approval meetings, including side-by-sides and edit logs.</t>
  </si>
  <si>
    <t>Supported the account team in confirming usage rights and licensing terms before asset release.</t>
  </si>
  <si>
    <t>Ensured all final files were correctly labeled, formatted, and delivered to media partners.</t>
  </si>
  <si>
    <t>Assisted in assembling wrap-up materials and case studies for internal and client reporting.</t>
  </si>
  <si>
    <t>Developed the overarching creative concept aligned with the campaign’s objectives.</t>
  </si>
  <si>
    <t>Directed the writing and refinement of the commercial script.</t>
  </si>
  <si>
    <t>Collaborated with the strategy team to ensure messaging consistency across platforms.</t>
  </si>
  <si>
    <t>Reviewed and approved storyboards and visual treatments.</t>
  </si>
  <si>
    <t>Selected and briefed the production company and director on creative expectations.</t>
  </si>
  <si>
    <t>Provided creative input during casting sessions and talent selection.</t>
  </si>
  <si>
    <t>Oversaw location scouting to ensure alignment with the visual style.</t>
  </si>
  <si>
    <t>Led internal reviews to finalize the creative brief and production guidelines.</t>
  </si>
  <si>
    <t>Presented the creative approach to clients and secured approvals.</t>
  </si>
  <si>
    <t>Partnered with producers to ensure the creative vision was achievable within the budget.</t>
  </si>
  <si>
    <t>Supervised on-set direction to ensure creative fidelity.</t>
  </si>
  <si>
    <t>Worked closely with the director to maintain tone, pacing, and visual identity.</t>
  </si>
  <si>
    <t>Provided real-time feedback on set design, wardrobe, and talent performance.</t>
  </si>
  <si>
    <t>Monitored shot composition and lighting to align with approved storyboards.</t>
  </si>
  <si>
    <t>Reviewed live playback footage to ensure consistency with the concept.</t>
  </si>
  <si>
    <t>Resolved creative discrepancies between production and agency teams.</t>
  </si>
  <si>
    <t>Approved adjustments to scripts or visuals during filming when necessary.</t>
  </si>
  <si>
    <t>Collaborated with agency producers to manage timing and shot priorities.</t>
  </si>
  <si>
    <t>Ensured brand elements were incorporated naturally within the scene.</t>
  </si>
  <si>
    <t>Maintained clear communication with the client regarding creative developments during the shoot</t>
  </si>
  <si>
    <t>Reviewed and provided direction on the initial rough cuts.</t>
  </si>
  <si>
    <t>Guided editors on pacing, transitions, and narrative clarity.</t>
  </si>
  <si>
    <t>Approved the music selection, voiceover tone, and audio mixing.</t>
  </si>
  <si>
    <t>Oversaw color grading to ensure visual consistency with brand aesthetics.</t>
  </si>
  <si>
    <t>Provided detailed feedback on graphics, typography, and supers.</t>
  </si>
  <si>
    <t>Ensured legal and compliance elements were visually and contextually integrated.</t>
  </si>
  <si>
    <t>Worked with producers to incorporate client revisions while preserving the creative vision.</t>
  </si>
  <si>
    <t>Finalized all creative decisions ahead of mastering and versioning.</t>
  </si>
  <si>
    <t>Participated in quality control checks before final delivery.</t>
  </si>
  <si>
    <t>Presented the final commercial to internal and client teams for sign-off.</t>
  </si>
  <si>
    <t>Digital and Broadcast Traffic Spec</t>
  </si>
  <si>
    <t>Confirmed all media deadlines and distribution specifications with media partners.</t>
  </si>
  <si>
    <t>Created a detailed trafficking timeline aligned with production and media schedules.</t>
  </si>
  <si>
    <t>Gathered clearance requirements and submission protocols from broadcast and digital platforms.</t>
  </si>
  <si>
    <t>Coordinated with legal and account teams to confirm required disclaimers and regulatory elements.</t>
  </si>
  <si>
    <t>Established file format and technical requirements for each platform and vendor.</t>
  </si>
  <si>
    <t>Set up naming conventions and metadata standards for all deliverables.</t>
  </si>
  <si>
    <t>Created and distributed traffic instructions for internal and external teams.</t>
  </si>
  <si>
    <t>Confirmed ISCI codes or ad-IDs were reserved and registered properly.</t>
  </si>
  <si>
    <t>Coordinated asset needs with post-production and creative teams.</t>
  </si>
  <si>
    <t>Aligned trafficking schedules with anticipated production milestones.</t>
  </si>
  <si>
    <t>Maintained regular communication with production teams to track delivery timelines.</t>
  </si>
  <si>
    <t>Updated trafficking documents in real time as changes to media plans occurred.</t>
  </si>
  <si>
    <t>Checked on-set to ensure versioning needs and platform-specific deliverables were accounted for.</t>
  </si>
  <si>
    <t>Coordinated with the producer and editor to pre-plan encoding and formatting.</t>
  </si>
  <si>
    <t>Confirmed that necessary visual or audio tags for each media channel were included in the shot list.</t>
  </si>
  <si>
    <t>Flagged potential timing issues that could impact trafficking deadlines.</t>
  </si>
  <si>
    <t>Updated media partners on any shifts in estimated delivery dates.</t>
  </si>
  <si>
    <t>Provided platform-specific guidelines to ensure creative compliance.</t>
  </si>
  <si>
    <t>Assisted in organizing take-down and embargo schedules for embargoed spots.</t>
  </si>
  <si>
    <t>Maintained a centralized tracking system for asset status across all commercial versions</t>
  </si>
  <si>
    <t>Collected final masters and ensured all assets were delivered in required specifications.</t>
  </si>
  <si>
    <t>Verified file integrity, aspect ratios, codecs, and audio levels against media requirements.</t>
  </si>
  <si>
    <t>Routed assets through internal quality control processes.</t>
  </si>
  <si>
    <t>Distributed final spots to media partners, stations, or digital platforms per trafficking instructions.</t>
  </si>
  <si>
    <t>Uploaded assets into ad servers, media exchanges, or distribution portals.</t>
  </si>
  <si>
    <t>Registered spots with relevant clearance bodies (e.g., Clearcast, Extreme Reach) where applicable.</t>
  </si>
  <si>
    <t>Archived final versions with appropriate metadata and backup protocols.</t>
  </si>
  <si>
    <t>Tracked confirmation receipts and air-dates from media vendors.</t>
  </si>
  <si>
    <t>Issued final trafficking reports to internal stakeholders and client teams.</t>
  </si>
  <si>
    <t>Logged and resolved any distribution issues, rejections, or late deliveries.</t>
  </si>
  <si>
    <t>Freelance Acct Exec</t>
  </si>
  <si>
    <t>Acted as the primary liaison between the client and internal teams to align on campaign goals.</t>
  </si>
  <si>
    <t>Gathered and documented all client input, mandatories, and brand guidelines.</t>
  </si>
  <si>
    <t>Scheduled and facilitated kickoff meetings with strategy, creative, and production leads.</t>
  </si>
  <si>
    <t>Managed client approvals on initial creative concepts, scripts, and production plans.</t>
  </si>
  <si>
    <t>Created and maintained a master project timeline and status tracker.</t>
  </si>
  <si>
    <t>Coordinated internal and external communications to ensure all stakeholders remained informed.</t>
  </si>
  <si>
    <t>Reviewed budgets with the project manager and flagged potential scope issues early.</t>
  </si>
  <si>
    <t>Briefed the client on the production schedule, roles, and key deliverables.</t>
  </si>
  <si>
    <t>Assisted with securing client-supplied assets and references required for creative development.</t>
  </si>
  <si>
    <t>Collected and distributed feedback from client reviews in an organized and actionable format</t>
  </si>
  <si>
    <t>Represented client interests on set or in virtual production environments.</t>
  </si>
  <si>
    <t>Provided real-time updates to the client on shoot progress and key moments.</t>
  </si>
  <si>
    <t>Ensured the production remained aligned with the approved creative brief.</t>
  </si>
  <si>
    <t>Relayed client or agency leadership feedback to the director or production team as needed.</t>
  </si>
  <si>
    <t>Addressed last-minute client concerns or requests in coordination with producers.</t>
  </si>
  <si>
    <t>Verified that all necessary legal, brand, and compliance elements were being captured.</t>
  </si>
  <si>
    <t>Maintained clear documentation of shoot details and any on-the-fly decisions.</t>
  </si>
  <si>
    <t>Escalated production issues to senior stakeholders promptly and constructively.</t>
  </si>
  <si>
    <t>Gathered behind-the-scenes content or stills as requested by the client.</t>
  </si>
  <si>
    <t>Confirmed delivery timelines were still achievable based on shoot performance.</t>
  </si>
  <si>
    <t>Managed the client review process for rough cuts, revisions, and final edits.</t>
  </si>
  <si>
    <t>Compiled consolidated client feedback and communicated it clearly to post-production.</t>
  </si>
  <si>
    <t>Ensured client requests were balanced with the integrity of the creative vision.</t>
  </si>
  <si>
    <t>Monitored progress of edits to ensure deadlines were met.</t>
  </si>
  <si>
    <t>Facilitated internal review sessions before sending versions to the client.</t>
  </si>
  <si>
    <t>Tracked all client approvals, change requests, and delivery confirmations.</t>
  </si>
  <si>
    <t>Verified all final deliverables met client specs before trafficking or handoff.</t>
  </si>
  <si>
    <t>Provided status updates to both the client and internal teams throughout post.</t>
  </si>
  <si>
    <t>Assisted with gathering performance assets for case studies or post-campaign reporting.</t>
  </si>
  <si>
    <t>Ensured all contractual deliverables were fulfilled and documented upon completion.</t>
  </si>
  <si>
    <t>Exec Bus Dir</t>
  </si>
  <si>
    <t>Defined the commercial’s strategic business objectives in alignment with the broader campaign.</t>
  </si>
  <si>
    <t>Secured senior client buy-in on the creative direction, media investment, and production scope.</t>
  </si>
  <si>
    <t>Oversaw the integration of brand, media, and creative strategies across departments.</t>
  </si>
  <si>
    <t>Aligned internal leadership teams on resource allocation, budget forecasting, and risk management.</t>
  </si>
  <si>
    <t>Reviewed and approved key agency deliverables, including creative briefs and production plans.</t>
  </si>
  <si>
    <t>Facilitated alignment between client-side decision-makers and agency leadership.</t>
  </si>
  <si>
    <t>Evaluated potential production partners in collaboration with executive producers and finance leads.</t>
  </si>
  <si>
    <t>Anticipated operational or financial risks and established contingency frameworks.</t>
  </si>
  <si>
    <t>Ensured all contractual obligations, scopes, and service agreements were clearly defined.</t>
  </si>
  <si>
    <t>Established performance metrics and success criteria for the commercial’s business impact</t>
  </si>
  <si>
    <t>Provided executive oversight to ensure production activities supported strategic goals.</t>
  </si>
  <si>
    <t>Maintained regular communication with senior client stakeholders throughout the shoot.</t>
  </si>
  <si>
    <t>Supported creative and production leadership in navigating client or logistical escalations.</t>
  </si>
  <si>
    <t>Evaluated real-time production progress against budget and schedule benchmarks.</t>
  </si>
  <si>
    <t>Ensured all deliverables remained compliant with legal, financial, and brand requirements.</t>
  </si>
  <si>
    <t>Authorized critical decisions affecting the project scope, resourcing, or creative execution.</t>
  </si>
  <si>
    <t>Supported high-profile client visits to set or production meetings as needed.</t>
  </si>
  <si>
    <t>Advised on potential implications of mid-production changes or delays.</t>
  </si>
  <si>
    <t>Maintained alignment between agency teams and client C-suite throughout execution.</t>
  </si>
  <si>
    <t>Reinforced cross-functional accountability across creative, production, and media leads</t>
  </si>
  <si>
    <t>Oversaw the final creative review process in collaboration with agency and client leadership.</t>
  </si>
  <si>
    <t>Ensured all deliverables adhered to contractual terms and media commitments.</t>
  </si>
  <si>
    <t>Reviewed final campaign assets to confirm alignment with strategic objectives.</t>
  </si>
  <si>
    <t>Facilitated final client sign-offs on creative and financial reconciliation.</t>
  </si>
  <si>
    <t>Managed high-level discussions around campaign launch, timing, and performance tracking.</t>
  </si>
  <si>
    <t>Reviewed project debriefs to extract insights and lessons for future initiatives.</t>
  </si>
  <si>
    <t>Approved final budget reconciliations and ensured fiscal accountability.</t>
  </si>
  <si>
    <t>Supported internal recognition of team performance and successful execution.</t>
  </si>
  <si>
    <t>Participated in executive-level reporting on campaign outcomes and ROI analysis.</t>
  </si>
  <si>
    <t>Led relationship continuity planning for future work and account growth opportunities</t>
  </si>
  <si>
    <t>Head of Program Mgt</t>
  </si>
  <si>
    <t>Defined the program structure, timelines, and key milestones in alignment with campaign objectives.</t>
  </si>
  <si>
    <t>Oversaw the creation and approval of integrated project plans across creative, production, and media.</t>
  </si>
  <si>
    <t>Facilitated alignment meetings with department leads to ensure cross-functional coordination.</t>
  </si>
  <si>
    <t>Identified potential delivery risks and implemented mitigation strategies early in planning.</t>
  </si>
  <si>
    <t>Secured resource commitments across teams and balanced workloads across programs.</t>
  </si>
  <si>
    <t>Reviewed scopes of work to ensure consistency with commercial objectives and budget.</t>
  </si>
  <si>
    <t>Standardized workflows and documentation to ensure clear ownership and accountability.</t>
  </si>
  <si>
    <t>Established communication protocols and escalation pathways across internal and external teams.</t>
  </si>
  <si>
    <t>Partnered with finance and operations leads to confirm project tracking and reporting structures.</t>
  </si>
  <si>
    <t>Ensured all legal, compliance, and procurement processes were accounted for in the project schedule</t>
  </si>
  <si>
    <t>Monitored production timelines to ensure adherence to the master schedule.</t>
  </si>
  <si>
    <t>Coordinated cross-functional syncs to address shifting priorities and resource reallocation.</t>
  </si>
  <si>
    <t>Maintained oversight of interdependencies between creative execution and production logistics.</t>
  </si>
  <si>
    <t>Served as a senior escalation point for schedule conflicts or delivery concerns.</t>
  </si>
  <si>
    <t>Ensured all stakeholders had access to updated production status reports and timelines.</t>
  </si>
  <si>
    <t>Conducted risk reviews and adjusted planning assumptions in real time as needed.</t>
  </si>
  <si>
    <t>Worked with the production team to verify that deliverables aligned with program scope.</t>
  </si>
  <si>
    <t>Facilitated change management processes when creative or operational shifts occurred.</t>
  </si>
  <si>
    <t>Aligned with legal, traffic, and business affairs to confirm all compliance tasks were progressing.</t>
  </si>
  <si>
    <t>Provided program-level reporting to executive leadership on production status and blockers.</t>
  </si>
  <si>
    <t>Oversaw the scheduling and coordination of post-production milestones across departments.</t>
  </si>
  <si>
    <t>Ensured final delivery timelines remained aligned with media flight dates and trafficking plans.</t>
  </si>
  <si>
    <t>Reviewed version control processes to prevent delays in asset finalization and approvals.</t>
  </si>
  <si>
    <t>Drove post-mortem planning and retrospectives to evaluate operational performance.</t>
  </si>
  <si>
    <t>Maintained cross-functional alignment as deliverables moved through editing, client review, and QC.</t>
  </si>
  <si>
    <t>Resolved workflow bottlenecks to maintain post-production momentum.</t>
  </si>
  <si>
    <t>Managed dependencies between editorial, trafficking, and distribution workflows.</t>
  </si>
  <si>
    <t>Delivered program-level wrap reports highlighting performance, risks, and outcomes.</t>
  </si>
  <si>
    <t>Partnered with finance to close out budgets and reconcile final production costs.</t>
  </si>
  <si>
    <t>Captured learnings and best practices to inform future campaign planning and delivery models.</t>
  </si>
  <si>
    <t>General Counsel</t>
  </si>
  <si>
    <t>Reviewed and approved all creative concepts and scripts for legal compliance and risk exposure.</t>
  </si>
  <si>
    <t>Conducted preliminary clearance assessments for potential claims, likeness issues, and IP usage.</t>
  </si>
  <si>
    <t>Drafted and negotiated production-related agreements, including vendor, talent, and licensing contracts.</t>
  </si>
  <si>
    <t>Ensured adherence to advertising laws, industry standards, and regulatory guidelines.</t>
  </si>
  <si>
    <t>Provided legal guidance on contest rules, pricing claims, endorsements, and substantiation requirements.</t>
  </si>
  <si>
    <t>Reviewed talent releases, union obligations, and contractual terms for third-party involvement.</t>
  </si>
  <si>
    <t>Coordinated with business affairs to finalize usage rights for music, imagery, and external content.</t>
  </si>
  <si>
    <t>Assessed potential liability in storyline elements, representations, or comparative claims.</t>
  </si>
  <si>
    <t>Worked with internal teams to ensure all disclosures and disclaimers were properly drafted.</t>
  </si>
  <si>
    <t>Advised leadership on jurisdictional considerations and international compliance issues where applicable.</t>
  </si>
  <si>
    <t>Monitored live production activities to ensure compliance with union rules, labor laws, and safety protocols.</t>
  </si>
  <si>
    <t>Reviewed any script or scene changes during filming for continued legal integrity.</t>
  </si>
  <si>
    <t>Responded to real-time legal inquiries or concerns raised by production or agency staff.</t>
  </si>
  <si>
    <t>Ensured appropriate documentation and releases were obtained for on-location shoots and background talent.</t>
  </si>
  <si>
    <t>Advised on issues related to defamation, likeness rights, or copyright during filming.</t>
  </si>
  <si>
    <t>Reviewed signage, props, and set elements to prevent inadvertent IP infringements.</t>
  </si>
  <si>
    <t>Collaborated with producers to address last-minute legal escalations or contractual constraints.</t>
  </si>
  <si>
    <t>Ensured sensitive content complied with advertising standards and community guidelines.</t>
  </si>
  <si>
    <t>Worked with outside counsel or compliance consultants when specialized jurisdictional input was required.</t>
  </si>
  <si>
    <t>Documented legal oversight activities to support risk management and post-project auditing</t>
  </si>
  <si>
    <t>Conducted final legal review of edited content to ensure all usage rights and clearances were secured.</t>
  </si>
  <si>
    <t>Verified that all required disclaimers, disclosures, and legal text were included in final deliverables.</t>
  </si>
  <si>
    <t>Confirmed that third-party IP, music, and talent usage adhered to the terms of negotiated licenses.</t>
  </si>
  <si>
    <t>Provided final sign-off on commercial assets before distribution and public release.</t>
  </si>
  <si>
    <t>Coordinated with media and traffic teams to ensure regulatory compliance across channels.</t>
  </si>
  <si>
    <t>Reviewed and archived all contracts, releases, and clearance documentation for future reference.</t>
  </si>
  <si>
    <t>Advised on legal risk in market-specific versions or adaptations of the commercial.</t>
  </si>
  <si>
    <t>Responded to any post-launch legal inquiries, challenges, or takedown requests.</t>
  </si>
  <si>
    <t>Supported the development of legal debrief materials for internal stakeholders.</t>
  </si>
  <si>
    <t>Identified opportunities to strengthen internal advertising compliance policies and training.</t>
  </si>
  <si>
    <t>Sr Bus Anlyst</t>
  </si>
  <si>
    <t>Analyzed client requirements and documented key business objectives.</t>
  </si>
  <si>
    <t>Collaborated with creative and account teams to define project scope and deliverables.</t>
  </si>
  <si>
    <t>Facilitated stakeholder meetings to gather detailed functional and technical specifications.</t>
  </si>
  <si>
    <t>Developed and maintained the project timeline and resource allocation plan.</t>
  </si>
  <si>
    <t>Prepared comprehensive business requirement documents and ensured alignment with marketing goals.</t>
  </si>
  <si>
    <t>Monitored project progress against requirements and identified potential risks or deviations.</t>
  </si>
  <si>
    <t>Coordinated communication between creative, technical, and client teams to resolve issues.</t>
  </si>
  <si>
    <t>Validated adherence to business requirements during production activities.</t>
  </si>
  <si>
    <t>Updated stakeholders with status reports and impact assessments of changes.</t>
  </si>
  <si>
    <t>Assisted in decision-making by providing data-driven insights and analysis.</t>
  </si>
  <si>
    <t>Conducted a detailed review of final deliverables against initial business requirements.</t>
  </si>
  <si>
    <t>Gathered feedback from stakeholders to assess project success and areas for improvement.</t>
  </si>
  <si>
    <t>Documented lessons learned and best practices for future projects.</t>
  </si>
  <si>
    <t>Facilitated post-mortem meetings to evaluate project outcomes and client satisfaction.</t>
  </si>
  <si>
    <t>Prepared final reports summarizing performance metrics and compliance with business objectives.</t>
  </si>
  <si>
    <t>Assoc Program Dir</t>
  </si>
  <si>
    <t>Coordinated internal kick-off meetings to align creative, strategy, and production teams.</t>
  </si>
  <si>
    <t>Reviewed project timelines and ensured all deliverables were scheduled appropriately.</t>
  </si>
  <si>
    <t>Consolidated client feedback into actionable notes for the creative and production teams.</t>
  </si>
  <si>
    <t>Oversaw budget outlines and confirmed allocation of resources across departments.</t>
  </si>
  <si>
    <t>Finalized vendor and partner agreements required for the shoot.</t>
  </si>
  <si>
    <t>Supervised daily production activities to ensure alignment with project objectives.</t>
  </si>
  <si>
    <t>Facilitated communication between the client, creative team, and production crew on set.</t>
  </si>
  <si>
    <t>Monitored adherence to the approved timeline and budget during the shoot.</t>
  </si>
  <si>
    <t>Addressed real-time issues by coordinating solutions with department leads.</t>
  </si>
  <si>
    <t>Documented progress and provided regular status updates to stakeholders.</t>
  </si>
  <si>
    <t>Reviewed rough cuts and gathered consolidated feedback from internal teams and clients.</t>
  </si>
  <si>
    <t>Tracked revisions and ensured delivery deadlines were met.</t>
  </si>
  <si>
    <t>Coordinated final approvals across creative, legal, and client stakeholders.</t>
  </si>
  <si>
    <t>Verified accuracy and consistency of deliverables before release.</t>
  </si>
  <si>
    <t>Managed the final delivery process across required platforms and formats.</t>
  </si>
  <si>
    <t>Integrated Prod</t>
  </si>
  <si>
    <t>Developed detailed production schedules and distributed them to all departments.</t>
  </si>
  <si>
    <t>Secured bids from vendors and negotiated contracts with external partners.</t>
  </si>
  <si>
    <t>Coordinated logistics for casting, locations, and crew requirements.</t>
  </si>
  <si>
    <t>Managed pre-production meetings to confirm creative, technical, and operational needs.</t>
  </si>
  <si>
    <t>Ensured compliance with budget constraints through cost estimates and approvals</t>
  </si>
  <si>
    <t>Oversaw on-set operations to maintain efficiency and quality standards.</t>
  </si>
  <si>
    <t>Supervised vendors, crew, and talent to ensure deliverables matched the creative vision.</t>
  </si>
  <si>
    <t>Managed daily call sheets, production reports, and expense tracking.</t>
  </si>
  <si>
    <t>Resolved technical and logistical issues as they arose during the shoot.</t>
  </si>
  <si>
    <t>Ensured all production assets were properly documented and archived.</t>
  </si>
  <si>
    <t>Coordinated handoff of production materials to post-production teams.</t>
  </si>
  <si>
    <t>Scheduled edit sessions and tracked progress against delivery milestones.</t>
  </si>
  <si>
    <t>Supervised sound, color, and visual effects workflows to maintain consistency.</t>
  </si>
  <si>
    <t>Consolidated client and internal feedback for editors and finishing teams.</t>
  </si>
  <si>
    <t>Oversaw final mastering and ensured assets were delivered in approved formats.</t>
  </si>
  <si>
    <t>Group Bus Dir</t>
  </si>
  <si>
    <t>Collaborated with clients to finalize the creative brief and campaign objectives.</t>
  </si>
  <si>
    <t>Aligned internal teams on the project scope, timelines, and key deliverables.</t>
  </si>
  <si>
    <t>Approved the creative concept and ensured alignment with the brand’s positioning.</t>
  </si>
  <si>
    <t>Oversaw budget allocations and confirmed financial approvals for the production.</t>
  </si>
  <si>
    <t>Reviewed director’s treatment and provided strategic feedback.</t>
  </si>
  <si>
    <t>Coordinated with the production house to confirm schedules and logistics.</t>
  </si>
  <si>
    <t>Ensured all contracts, releases, and legal requirements were completed.</t>
  </si>
  <si>
    <t>Managed client expectations through status meetings and progress updates.</t>
  </si>
  <si>
    <t>Supervised the selection of key talent, locations, and production vendors.</t>
  </si>
  <si>
    <t>Approved the final pre-production checklist before moving to the shoot phase.</t>
  </si>
  <si>
    <t>Represented the agency on set to oversee creative and strategic consistency.</t>
  </si>
  <si>
    <t>Monitored the shoot schedule to ensure adherence to approved timelines.</t>
  </si>
  <si>
    <t>Reviewed live takes and provided feedback on creative execution.</t>
  </si>
  <si>
    <t>Coordinated communication between the client, director, and production team.</t>
  </si>
  <si>
    <t>Managed real-time decision-making to resolve any production challenges.</t>
  </si>
  <si>
    <t>Ensured brand guidelines were maintained throughout all visual and verbal elements.</t>
  </si>
  <si>
    <t>Authorized any on-set adjustments within the approved budget and scope.</t>
  </si>
  <si>
    <t>Documented production updates for internal reporting and client review.</t>
  </si>
  <si>
    <t>Supported the creative team in aligning the shoot with campaign objectives.</t>
  </si>
  <si>
    <t>Confirmed completion of all planned scenes before wrap.</t>
  </si>
  <si>
    <t>Reviewed the first cut and provided consolidated feedback from the agency and client.</t>
  </si>
  <si>
    <t>Approved music, voiceover, and sound design selections.</t>
  </si>
  <si>
    <t>Coordinated revisions and ensured creative alignment across multiple deliverables.</t>
  </si>
  <si>
    <t>Oversaw color grading, graphics, and final visual treatments.</t>
  </si>
  <si>
    <t>Ensured all legal and compliance requirements were met in the final version.</t>
  </si>
  <si>
    <t>Managed final client presentations and secured approval for release.</t>
  </si>
  <si>
    <t>Reviewed post-production budgets and reconciled final costs.</t>
  </si>
  <si>
    <t>Supervised the delivery of broadcast and digital masters to media partners.</t>
  </si>
  <si>
    <t>Conducted a post-campaign evaluation meeting with the client and internal teams.</t>
  </si>
  <si>
    <t>Documented key learnings and best practices for future productions.</t>
  </si>
  <si>
    <t>Assoc Creative Dir/Copywriter</t>
  </si>
  <si>
    <t>Developed campaign concepts and scripts based on the approved creative brief.</t>
  </si>
  <si>
    <t>Collaborated with art directors and strategists to refine key campaign messaging.</t>
  </si>
  <si>
    <t>Presented creative ideas and scripts to clients and internal leadership for approval.</t>
  </si>
  <si>
    <t>Revised concepts and scripts following client and agency feedback.</t>
  </si>
  <si>
    <t>Worked with the director and production team to translate creative vision to screen.</t>
  </si>
  <si>
    <t>Participated in casting sessions to evaluate talent performance and tone.</t>
  </si>
  <si>
    <t>Reviewed storyboards and shot lists to ensure alignment with the script and brand voice.</t>
  </si>
  <si>
    <t>Prepared voiceover scripts, on-screen copy, and supers for the commercial.</t>
  </si>
  <si>
    <t>Ensured the creative tone and language reflected the campaign’s strategic direction.</t>
  </si>
  <si>
    <t>Finalized all copy and creative materials prior to the production shoot.</t>
  </si>
  <si>
    <t>Attended the shoot to oversee creative integrity and brand consistency.</t>
  </si>
  <si>
    <t>Provided on-set copy adjustments to enhance clarity and performance delivery.</t>
  </si>
  <si>
    <t>Collaborated with the director and production team to align visuals with the script.</t>
  </si>
  <si>
    <t>Supervised talent to ensure accurate tone and emotional delivery.</t>
  </si>
  <si>
    <t>Reviewed live playback and provided input on line delivery and pacing.</t>
  </si>
  <si>
    <t>Ensured all creative elements adhered to the approved messaging and brand tone.</t>
  </si>
  <si>
    <t>Coordinated with producers to manage real-time creative revisions.</t>
  </si>
  <si>
    <t>Assisted in capturing alternative lines or variations for editorial flexibility.</t>
  </si>
  <si>
    <t>Maintained communication with agency and client teams throughout production.</t>
  </si>
  <si>
    <t>Approved final takes before wrap to confirm creative satisfaction.</t>
  </si>
  <si>
    <t>Reviewed rough cuts and provided feedback on narrative flow and copy delivery.</t>
  </si>
  <si>
    <t>Refined voiceover scripts and supervised voice recording sessions.</t>
  </si>
  <si>
    <t>Collaborated with editors to ensure the storytelling matched the campaign intent.</t>
  </si>
  <si>
    <t>Approved music, tone, and pacing to maintain emotional and creative consistency.</t>
  </si>
  <si>
    <t>Reviewed on-screen text, legal lines, and end cards for accuracy and readability.</t>
  </si>
  <si>
    <t>Evaluated final color grade and sound mix for tone consistency.</t>
  </si>
  <si>
    <t>Coordinated with motion graphics teams to finalize supers and typography.</t>
  </si>
  <si>
    <t>Provided creative direction during the final edit review sessions.</t>
  </si>
  <si>
    <t>Secured client and internal approvals for the finished commercial.</t>
  </si>
  <si>
    <t>Archived scripts and creative materials for future campaign reference</t>
  </si>
  <si>
    <t>Defined the campaign’s strategic direction based on client objectives and market insights.</t>
  </si>
  <si>
    <t>Conducted audience research and data analysis to identify key consumer motivations.</t>
  </si>
  <si>
    <t>Developed the communication framework and core messaging strategy.</t>
  </si>
  <si>
    <t>Collaborated with creative and account teams to ensure strategic alignment.</t>
  </si>
  <si>
    <t>Presented strategic recommendations and insights to clients for approval.</t>
  </si>
  <si>
    <t>Supervised the development of the creative brief to translate strategy into execution.</t>
  </si>
  <si>
    <t>Reviewed early creative concepts to ensure alignment with the brand positioning.</t>
  </si>
  <si>
    <t>Provided data-driven guidance on channel mix, audience targeting, and tone.</t>
  </si>
  <si>
    <t>Validated the creative and production plan against campaign KPIs.</t>
  </si>
  <si>
    <t>Supported the client team in aligning multiple stakeholders on the strategic approach.</t>
  </si>
  <si>
    <t>Observed the shoot to ensure the execution reflected the strategic intent.</t>
  </si>
  <si>
    <t>Advised the creative team on narrative clarity and brand relevance.</t>
  </si>
  <si>
    <t>Monitored production elements to confirm alignment with audience insights.</t>
  </si>
  <si>
    <t>Reviewed script and scene execution to ensure consistency with the campaign message.</t>
  </si>
  <si>
    <t>Supported the agency and client teams in resolving strategy-related questions on set.</t>
  </si>
  <si>
    <t>Provided feedback on visual and verbal cues to strengthen strategic storytelling.</t>
  </si>
  <si>
    <t>Coordinated with the account team to ensure production decisions upheld brand goals.</t>
  </si>
  <si>
    <t>Assessed potential content variations for different media placements.</t>
  </si>
  <si>
    <t>Maintained oversight on message hierarchy and brand tone throughout filming.</t>
  </si>
  <si>
    <t>Documented key strategy observations for post-production reference.</t>
  </si>
  <si>
    <t>Reviewed rough cuts to ensure the final edit reinforced the campaign strategy.</t>
  </si>
  <si>
    <t>Evaluated narrative pacing and emotional resonance against audience insights.</t>
  </si>
  <si>
    <t>Provided feedback on copy, visuals, and sound to optimize strategic impact.</t>
  </si>
  <si>
    <t>Reviewed analytics from test edits or focus groups for performance validation.</t>
  </si>
  <si>
    <t>Collaborated with media planners to ensure strategic consistency across formats.</t>
  </si>
  <si>
    <t>Approved final messaging and tone prior to client delivery.</t>
  </si>
  <si>
    <t>Participated in final client reviews to articulate strategic rationale.</t>
  </si>
  <si>
    <t>Ensured the final work adhered to the brand’s positioning and market objectives.</t>
  </si>
  <si>
    <t>Conducted a post-campaign evaluation of results versus KPIs.</t>
  </si>
  <si>
    <t>Compiled strategic learnings and insights for future campaign planning</t>
  </si>
  <si>
    <t>Coordinated with the client to confirm campaign objectives and key deliverables.</t>
  </si>
  <si>
    <t>Facilitated internal briefings between creative, strategy, and production teams.</t>
  </si>
  <si>
    <t>Reviewed and approved the creative brief prior to presentation.</t>
  </si>
  <si>
    <t>Scheduled client meetings to present initial concepts and gather feedback.</t>
  </si>
  <si>
    <t>Aligned budget estimates and secured client approval for production costs.</t>
  </si>
  <si>
    <t>Managed timelines and ensured all pre-production milestones were met.</t>
  </si>
  <si>
    <t>Oversaw the preparation of production contracts and vendor agreements.</t>
  </si>
  <si>
    <t>Communicated revisions and approvals between the client and internal teams.</t>
  </si>
  <si>
    <t>Confirmed final scripts, storyboards, and casting selections with the client.</t>
  </si>
  <si>
    <t>Ensured all legal and brand compliance documents were submitted before shoot.</t>
  </si>
  <si>
    <t>Acted as the primary liaison between the client and production team on set.</t>
  </si>
  <si>
    <t>Monitored adherence to approved budgets and production schedules.</t>
  </si>
  <si>
    <t>Facilitated real-time client feedback during filming sessions.</t>
  </si>
  <si>
    <t>Ensured brand guidelines were maintained throughout the shoot.</t>
  </si>
  <si>
    <t>Coordinated logistics for client attendance during production days.</t>
  </si>
  <si>
    <t>Managed communication between agency departments and external vendors.</t>
  </si>
  <si>
    <t>Verified that all required releases and documentation were completed on site.</t>
  </si>
  <si>
    <t>Resolved client concerns promptly to maintain workflow efficiency.</t>
  </si>
  <si>
    <t>Recorded key updates and relayed progress reports to internal stakeholders.</t>
  </si>
  <si>
    <t>Reviewed preliminary footage with the production team before client delivery.</t>
  </si>
  <si>
    <t>Organized review sessions for rough cuts and edits with the client.</t>
  </si>
  <si>
    <t>Gathered and consolidated feedback from client stakeholders.</t>
  </si>
  <si>
    <t>Coordinated revisions with the creative and post-production teams.</t>
  </si>
  <si>
    <t>Verified that final outputs matched approved storyboards and messaging.</t>
  </si>
  <si>
    <t>Ensured timely delivery of finished assets across all required formats.</t>
  </si>
  <si>
    <t>Reviewed and approved post-production invoices and expense reports.</t>
  </si>
  <si>
    <t>Managed final sign-off processes with the client and internal departments.</t>
  </si>
  <si>
    <t>Oversaw the archiving of project files and production documentation.</t>
  </si>
  <si>
    <t>Assisted in preparing final performance and budget summary reports.</t>
  </si>
  <si>
    <t>Maintained ongoing communication with the client for future campaign follow-ups.</t>
  </si>
  <si>
    <t>Production Mgr</t>
  </si>
  <si>
    <t>Developed detailed production schedules and shooting timelines.</t>
  </si>
  <si>
    <t>Coordinated with directors, producers, and agency teams to define production requirements.</t>
  </si>
  <si>
    <t>Prepared and managed the overall production budget for client approval.</t>
  </si>
  <si>
    <t>Secured filming locations and obtained necessary permits and insurance.</t>
  </si>
  <si>
    <t>Hired production crew, including technical staff, set designers, and equipment operators.</t>
  </si>
  <si>
    <t>Arranged casting sessions and confirmed talent availability and contracts.</t>
  </si>
  <si>
    <t>Scheduled pre-production meetings to align all departments on shoot logistics.</t>
  </si>
  <si>
    <t>Oversaw procurement of equipment, props, and wardrobe for the shoot.</t>
  </si>
  <si>
    <t>Reviewed storyboards and shot lists to identify potential logistical challenges.</t>
  </si>
  <si>
    <t>Ensured all pre-production documentation, safety plans, and compliance requirements were completed.</t>
  </si>
  <si>
    <t>Supervised all on-set operations to ensure the shoot ran smoothly and on schedule.</t>
  </si>
  <si>
    <t>Managed day-to-day logistics, including call times, crew coordination, and location setup.</t>
  </si>
  <si>
    <t>Monitored adherence to production budgets and managed any cost adjustments.</t>
  </si>
  <si>
    <t>Oversaw the proper setup and operation of production equipment.</t>
  </si>
  <si>
    <t>Maintained communication between the director, agency team, and client representatives.</t>
  </si>
  <si>
    <t>Addressed and resolved on-site issues or delays promptly.</t>
  </si>
  <si>
    <t>Ensured safety protocols and industry standards were followed throughout filming.</t>
  </si>
  <si>
    <t>Approved daily production reports and tracked progress against the schedule.</t>
  </si>
  <si>
    <t>Coordinated meal breaks, transport, and accommodations for cast and crew.</t>
  </si>
  <si>
    <t>Verified that all required shots were completed before wrap.</t>
  </si>
  <si>
    <t>Reviewed and confirmed delivery of raw footage and production materials to the post team.</t>
  </si>
  <si>
    <t>Organized post-production timelines in collaboration with editors and producers.</t>
  </si>
  <si>
    <t>Managed vendor coordination for editing, color grading, sound design, and visual effects.</t>
  </si>
  <si>
    <t>Monitored post-production expenses and reconciled final costs against the budget.</t>
  </si>
  <si>
    <t>Ensured adherence to delivery schedules and technical specifications.</t>
  </si>
  <si>
    <t>Facilitated communication between the post-production team and account management.</t>
  </si>
  <si>
    <t>Oversaw the review process for rough cuts and client revisions.</t>
  </si>
  <si>
    <t>Verified quality control of final outputs before delivery.</t>
  </si>
  <si>
    <t>Supervised final asset delivery to the agency or client in required formats.</t>
  </si>
  <si>
    <t>Compiled post-production reports and maintained documentation for future reference.</t>
  </si>
  <si>
    <t>Dir of Bus Affairs</t>
  </si>
  <si>
    <t>Reviewed and approved all vendor and talent contracts to ensure compliance with company policies.</t>
  </si>
  <si>
    <t>Negotiated usage rights and licensing terms for music, footage, and intellectual property.</t>
  </si>
  <si>
    <t>Coordinated with legal counsel to confirm adherence to advertising regulations and union guidelines.</t>
  </si>
  <si>
    <t>Assessed production budgets for contractual accuracy and financial feasibility.</t>
  </si>
  <si>
    <t>Finalized talent agreements and secured required releases prior to shoot commencement.</t>
  </si>
  <si>
    <t>Collaborated with producers to determine appropriate insurance coverage and risk management plans.</t>
  </si>
  <si>
    <t>Verified all third-party vendor credentials and ensured legal documentation was properly executed.</t>
  </si>
  <si>
    <t>Oversaw the clearance of scripts and storyboards for potential legal or regulatory issues.</t>
  </si>
  <si>
    <t>Ensured all necessary permits and location agreements were completed and filed.</t>
  </si>
  <si>
    <t>Provided guidance to internal teams on business and legal considerations during project planning.</t>
  </si>
  <si>
    <t>Monitored on-set operations to ensure compliance with union, talent, and vendor agreements.</t>
  </si>
  <si>
    <t>Addressed any contract-related issues or disputes that arose during filming.</t>
  </si>
  <si>
    <t>Confirmed that usage and compensation terms were adhered to for all performers and crew.</t>
  </si>
  <si>
    <t>Reviewed and approved on-site changes to budgets and scopes of work.</t>
  </si>
  <si>
    <t>Coordinated with the production manager to verify insurance and safety requirements were met.</t>
  </si>
  <si>
    <t>Documented any production adjustments impacting contractual terms or deliverables.</t>
  </si>
  <si>
    <t>Ensured that all required releases and documentation were obtained during the shoot.</t>
  </si>
  <si>
    <t>Managed communications between legal, finance, and production teams regarding compliance.</t>
  </si>
  <si>
    <t>Oversaw execution of payment schedules for vendors and talent in accordance with contracts.</t>
  </si>
  <si>
    <t>Supported producers in resolving last-minute licensing or clearance concerns</t>
  </si>
  <si>
    <t>Reviewed final edits to confirm compliance with licensed materials and contractual limitations.</t>
  </si>
  <si>
    <t>Verified that all talent usage and residual obligations were accurately tracked and documented.</t>
  </si>
  <si>
    <t>Coordinated with finance to process final payments and close out production accounts.</t>
  </si>
  <si>
    <t>Ensured that music, footage, and visual elements were cleared for final broadcast or digital release.</t>
  </si>
  <si>
    <t>Oversaw the preparation of legal and compliance deliverables for network submission.</t>
  </si>
  <si>
    <t>Addressed any post-production claims or legal inquiries related to usage or representation.</t>
  </si>
  <si>
    <t>Maintained detailed records of all contracts, clearances, and licensing agreements.</t>
  </si>
  <si>
    <t>Collaborated with distribution partners to confirm media rights and territory restrictions.</t>
  </si>
  <si>
    <t>Conducted a final review of project files to ensure all business affairs documentation was complete.</t>
  </si>
  <si>
    <t>Provided post-mortem feedback to senior management on contractual performance and risk management.</t>
  </si>
  <si>
    <t>Jr Copywriter</t>
  </si>
  <si>
    <t>Assisted in developing initial concept ideas and creative themes for the commercial.</t>
  </si>
  <si>
    <t>Wrote and refined copy for scripts, taglines, and campaign materials under senior direction.</t>
  </si>
  <si>
    <t>Participated in creative briefings to align messaging with client objectives and brand tone.</t>
  </si>
  <si>
    <t>Supported the Senior Copywriter and Creative Director in preparing presentation decks.</t>
  </si>
  <si>
    <t>Collaborated with art directors to ensure copy complemented visual direction.</t>
  </si>
  <si>
    <t>Edited and proofread scripts to maintain clarity, consistency, and brand voice.</t>
  </si>
  <si>
    <t>Contributed alternative lines and punch-ups during creative brainstorming sessions.</t>
  </si>
  <si>
    <t>Incorporated client and internal feedback into revised drafts of scripts and captions.</t>
  </si>
  <si>
    <t>Researched audience insights and competitor messaging to inform tone and language.</t>
  </si>
  <si>
    <t>Prepared final approved scripts for production handoff and distribution to stakeholders</t>
  </si>
  <si>
    <t>Attended the shoot to provide on-site copy adjustments as needed.</t>
  </si>
  <si>
    <t>Reviewed performances to ensure dialogue and tone matched the approved script.</t>
  </si>
  <si>
    <t>Collaborated with the director and producer to clarify copy intent during takes.</t>
  </si>
  <si>
    <t>Assisted in revising on-screen supers, end tags, or VO lines during filming.</t>
  </si>
  <si>
    <t>Observed brand consistency across all spoken and visual communication.</t>
  </si>
  <si>
    <t>Provided quick line rewrites to address timing or performance constraints.</t>
  </si>
  <si>
    <t>Ensured that any changes to script copy were documented for post-production reference.</t>
  </si>
  <si>
    <t>Maintained communication with the creative team regarding copy-related concerns.</t>
  </si>
  <si>
    <t>Verified that pronunciation and phrasing aligned with brand and regional standards.</t>
  </si>
  <si>
    <t>Supported senior creatives by reviewing footage for alignment with key messaging</t>
  </si>
  <si>
    <t>Reviewed rough cuts to confirm that voiceover and on-screen text matched the final script.</t>
  </si>
  <si>
    <t>Provided copy adjustments for timing, clarity, or compliance during editing.</t>
  </si>
  <si>
    <t>Checked supers, titles, and end cards for grammatical and stylistic accuracy.</t>
  </si>
  <si>
    <t>Assisted in reviewing final voiceover recordings to ensure tone consistency.</t>
  </si>
  <si>
    <t>Updated final copy decks to reflect approved post-production changes.</t>
  </si>
  <si>
    <t>Collaborated with editors and producers to align captions and subtitles with the script.</t>
  </si>
  <si>
    <t>Proofread all on-screen and promotional copy before final approval.</t>
  </si>
  <si>
    <t>Contributed to writing social and digital extensions of the main commercial.</t>
  </si>
  <si>
    <t>Ensured all written elements adhered to brand guidelines and legal requirements.</t>
  </si>
  <si>
    <t>Archived final scripts and copy materials for future campaign reference.</t>
  </si>
  <si>
    <t>Led the visual development of the campaign concept in collaboration with creative leadership.</t>
  </si>
  <si>
    <t>Supervised the creation of storyboards, mood boards, and design references for client presentation.</t>
  </si>
  <si>
    <t>Reviewed and approved all key visual elements to ensure alignment with brand identity.</t>
  </si>
  <si>
    <t>Collaborated with copywriters and art directors to establish a cohesive creative direction.</t>
  </si>
  <si>
    <t>Provided design guidance on set design, wardrobe, color palette, and overall visual tone.</t>
  </si>
  <si>
    <t>Coordinated with producers to align design deliverables with production schedules and budgets.</t>
  </si>
  <si>
    <t>Oversaw the preparation of client presentation materials and ensured visual consistency.</t>
  </si>
  <si>
    <t>Directed the design team in developing layout options for title cards, supers, and end frames.</t>
  </si>
  <si>
    <t>Approved design mockups and key visuals for pre-production review and client sign-off.</t>
  </si>
  <si>
    <t>Ensured all visual concepts adhered to brand standards and production feasibility.</t>
  </si>
  <si>
    <t>Supervised on-set art direction to maintain visual integrity of the design concept.</t>
  </si>
  <si>
    <t>Collaborated with the director and cinematographer to ensure proper framing, lighting, and composition.</t>
  </si>
  <si>
    <t>Provided feedback on set decoration and prop styling to align with the approved design vision.</t>
  </si>
  <si>
    <t>Reviewed wardrobe, makeup, and set details for color harmony and brand consistency.</t>
  </si>
  <si>
    <t>Oversaw execution of motion graphics or on-screen visual elements during filming.</t>
  </si>
  <si>
    <t>Approved on-set still photography for key visuals or campaign assets.</t>
  </si>
  <si>
    <t>Coordinated with production designers to adjust visual elements based on shooting conditions.</t>
  </si>
  <si>
    <t>Ensured adherence to the established brand aesthetic across all design components.</t>
  </si>
  <si>
    <t>Documented design-related adjustments for post-production reference.</t>
  </si>
  <si>
    <t>Provided real-time creative feedback to maintain visual continuity across scenes.</t>
  </si>
  <si>
    <t>Directed the visual finishing process, including color grading and graphic integration.</t>
  </si>
  <si>
    <t>Reviewed motion graphics, titles, and supers for accuracy and brand alignment.</t>
  </si>
  <si>
    <t>Collaborated with editors to refine pacing and transitions for optimal visual flow.</t>
  </si>
  <si>
    <t>Approved the final visual treatment of the commercial before client review.</t>
  </si>
  <si>
    <t>Oversaw design consistency across all deliverables, including digital and print extensions.</t>
  </si>
  <si>
    <t>Reviewed typography, logo placement, and lower thirds for clarity and balance.</t>
  </si>
  <si>
    <t>Provided feedback on animation timing and visual effects integration.</t>
  </si>
  <si>
    <t>Ensured all design assets met technical specifications for broadcast and online release.</t>
  </si>
  <si>
    <t>Coordinated with the production team to archive final design files and templates.</t>
  </si>
  <si>
    <t>Presented final design outcomes to internal leadership and clients for closing review</t>
  </si>
  <si>
    <t>Reviewed the script and creative brief to establish the overall visual style.</t>
  </si>
  <si>
    <t>Developed concept boards and mood references to guide the art direction.</t>
  </si>
  <si>
    <t>Designed initial sketches and layout plans for each scene setup.</t>
  </si>
  <si>
    <t>Collaborated with the director and art director to finalize the visual tone.</t>
  </si>
  <si>
    <t>Prepared detailed set design drawings and floor plans.</t>
  </si>
  <si>
    <t>Coordinated with the props and set construction teams to source materials.</t>
  </si>
  <si>
    <t>Selected color palettes, textures, and finishes aligned with the creative vision.</t>
  </si>
  <si>
    <t>Conducted location visits to assess design feasibility and lighting conditions.</t>
  </si>
  <si>
    <t>Created a comprehensive design budget and materials list for approval.</t>
  </si>
  <si>
    <t>Presented final design concepts for client and internal team sign-off</t>
  </si>
  <si>
    <t>Supervised set construction and ensured all visual elements matched the approved design.</t>
  </si>
  <si>
    <t>Oversaw set dressing and placement of props before each shoot.</t>
  </si>
  <si>
    <t>Worked closely with the director of photography to maintain visual consistency.</t>
  </si>
  <si>
    <t>Adjusted set layouts to accommodate camera angles and lighting requirements.</t>
  </si>
  <si>
    <t>Ensured all design elements were safely and efficiently installed on set.</t>
  </si>
  <si>
    <t>Managed quick design changes during filming to meet creative or logistical needs.</t>
  </si>
  <si>
    <t>Coordinated with costume and makeup departments for cohesive aesthetics.</t>
  </si>
  <si>
    <t>Monitored the art department’s daily progress and resolved design-related issues.</t>
  </si>
  <si>
    <t>Verified that each scene’s set design remained consistent with continuity notes.</t>
  </si>
  <si>
    <t>Conducted end-of-day checks to secure and preserve set pieces for subsequent shoot days</t>
  </si>
  <si>
    <t>Reviewed footage to confirm the design elements translated accurately on camera.</t>
  </si>
  <si>
    <t>Provided feedback on color grading to ensure visual alignment with the intended palette.</t>
  </si>
  <si>
    <t>Collaborated with VFX artists to integrate digital elements with physical set designs.</t>
  </si>
  <si>
    <t>Approved final stills and frames for marketing and promotional materials.</t>
  </si>
  <si>
    <t>Assisted in correcting any visual inconsistencies identified during editing.</t>
  </si>
  <si>
    <t>Archived all design documents, sketches, and references for future use.</t>
  </si>
  <si>
    <t>Participated in debrief meetings to discuss set performance and design outcomes.</t>
  </si>
  <si>
    <t>Updated design documentation to reflect lessons learned for future productions.</t>
  </si>
  <si>
    <t>Reviewed behind-the-scenes content for accurate portrayal of the design process.</t>
  </si>
  <si>
    <t>Supported the final presentation of the commercial to internal and client teams by providing design insights</t>
  </si>
  <si>
    <t>Dir of Production OPS</t>
  </si>
  <si>
    <t>Oversaw the development of the production schedule and ensured alignment with creative and client timelines.</t>
  </si>
  <si>
    <t>Coordinated resource allocation across departments to meet project requirements.</t>
  </si>
  <si>
    <t>Reviewed production budgets and confirmed cost estimates with finance and account teams.</t>
  </si>
  <si>
    <t>Supervised vendor selection and negotiated service agreements for production logistics.</t>
  </si>
  <si>
    <t>Ensured all necessary permits and insurance documentation were secured prior to shoot.</t>
  </si>
  <si>
    <t>Collaborated with creative leads to finalize technical specifications and production needs.</t>
  </si>
  <si>
    <t>Established operational workflows for the production team to maintain efficiency.</t>
  </si>
  <si>
    <t>Conducted pre-production meetings to review schedules, responsibilities, and deliverables.</t>
  </si>
  <si>
    <t>Approved final production plans, call sheets, and staffing requirements.</t>
  </si>
  <si>
    <t>Assessed risk factors and developed contingency plans for potential production challenges</t>
  </si>
  <si>
    <t>Managed on-site production activities to ensure adherence to schedule and budget.</t>
  </si>
  <si>
    <t>Oversaw crew performance and addressed any operational or logistical issues.</t>
  </si>
  <si>
    <t>Maintained communication between production, creative, and client representatives.</t>
  </si>
  <si>
    <t>Reviewed and approved daily production reports and cost updates.</t>
  </si>
  <si>
    <t>Ensured equipment and location setups were completed according to technical requirements.</t>
  </si>
  <si>
    <t>Resolved unforeseen production challenges to minimize downtime.</t>
  </si>
  <si>
    <t>Coordinated transportation and logistics for talent and crew.</t>
  </si>
  <si>
    <t>Monitored workflow efficiency and adjusted schedules as needed.</t>
  </si>
  <si>
    <t>Provided final on-set approvals for deliverable footage and production materials.</t>
  </si>
  <si>
    <t>Supervised the handoff of production assets to the post-production team.</t>
  </si>
  <si>
    <t>Reviewed and approved post-production schedules and resource assignments.</t>
  </si>
  <si>
    <t>Oversaw editing progress to ensure consistency with the approved creative direction.</t>
  </si>
  <si>
    <t>Coordinated with sound, color, and visual effects teams to align final outputs.</t>
  </si>
  <si>
    <t>Managed post-production budgets and vendor invoices.</t>
  </si>
  <si>
    <t>Ensured timely delivery of rough cuts and final versions for client review.</t>
  </si>
  <si>
    <t>Facilitated internal quality control before submission of deliverables.</t>
  </si>
  <si>
    <t>Addressed operational or technical issues that arose during post-production.</t>
  </si>
  <si>
    <t>Approved final master files for distribution or broadcast.</t>
  </si>
  <si>
    <t>Conducted post-mortem meetings to evaluate production efficiency and identify improvements</t>
  </si>
  <si>
    <t>Bus Affairs Mgr - Legal</t>
  </si>
  <si>
    <t>Reviewed and approved production contracts, vendor agreements, and talent releases.</t>
  </si>
  <si>
    <t>Advised the production team on legal and compliance requirements for the project.</t>
  </si>
  <si>
    <t>Drafted and negotiated contracts with agencies, freelancers, and service providers.</t>
  </si>
  <si>
    <t>Ensured intellectual property rights were properly secured for creative materials.</t>
  </si>
  <si>
    <t>Verified that all union and guild requirements were documented and met.</t>
  </si>
  <si>
    <t>Coordinated with finance to confirm contract terms aligned with budget allocations.</t>
  </si>
  <si>
    <t>Provided legal guidance on usage rights for scripts, music, and visual content.</t>
  </si>
  <si>
    <t>Reviewed insurance policies and ensured coverage met production standards.</t>
  </si>
  <si>
    <t>Prepared legal documentation for location use, permits, and clearances.</t>
  </si>
  <si>
    <t>Conducted legal briefings with producers and department heads before production began.</t>
  </si>
  <si>
    <t>Monitored daily production activities for compliance with contractual and legal terms.</t>
  </si>
  <si>
    <t>Reviewed and approved on-site agreements, such as location or appearance releases.</t>
  </si>
  <si>
    <t>Addressed legal or rights-related issues that arose during filming.</t>
  </si>
  <si>
    <t>Ensured all production participants signed the required legal documents.</t>
  </si>
  <si>
    <t>Coordinated with producers to manage any talent or vendor disputes.</t>
  </si>
  <si>
    <t>Oversaw adherence to labor laws, working hours, and safety regulations.</t>
  </si>
  <si>
    <t>Provided immediate legal consultation for unforeseen production incidents.</t>
  </si>
  <si>
    <t>Maintained documentation of all executed contracts and agreements.</t>
  </si>
  <si>
    <t>Verified that no unauthorized materials or content were captured during filming.</t>
  </si>
  <si>
    <t>Supported risk management by liaising with insurance and compliance teams</t>
  </si>
  <si>
    <t>Reviewed post-production contracts for editing, music licensing, and distribution.</t>
  </si>
  <si>
    <t>Ensured all third-party materials used in the final cut were properly licensed.</t>
  </si>
  <si>
    <t>Verified legal compliance of final edits, disclaimers, and credits.</t>
  </si>
  <si>
    <t>Addressed any legal concerns raised during client or regulatory reviews.</t>
  </si>
  <si>
    <t>Oversaw final music cue sheets, talent residuals, and rights documentation.</t>
  </si>
  <si>
    <t>Coordinated with clearance teams to confirm all footage and assets were approved.</t>
  </si>
  <si>
    <t>Finalized release forms and usage rights for long-term or multi-platform distribution.</t>
  </si>
  <si>
    <t>Reviewed final deliverables to ensure no violations of advertising or content laws.</t>
  </si>
  <si>
    <t>Managed archiving of contracts, legal documents, and compliance certifications.</t>
  </si>
  <si>
    <t>Conducted post-project evaluations to improve future contract and clearance processes</t>
  </si>
  <si>
    <t>Line Prod</t>
  </si>
  <si>
    <t>Developed and managed the master production budget based on creative requirements.</t>
  </si>
  <si>
    <t>Created detailed production schedules in coordination with department leads.</t>
  </si>
  <si>
    <t>Hired key crew members and confirmed staffing needs across all production stages.</t>
  </si>
  <si>
    <t>Reviewed vendor bids and negotiated rates for equipment, locations, and services.</t>
  </si>
  <si>
    <t>Secured necessary permits, insurance, and production-related paperwork.</t>
  </si>
  <si>
    <t>Oversaw logistics planning, including travel, accommodations, and transport.</t>
  </si>
  <si>
    <t>Coordinated with creative and business affairs teams to align production feasibility with legal and financial standards.</t>
  </si>
  <si>
    <t>Conducted production meetings to review schedules, responsibilities, and deadlines.</t>
  </si>
  <si>
    <t>Approved cost reports and purchase orders prior to production start.</t>
  </si>
  <si>
    <t>Established contingency plans and addressed potential budget or scheduling risks</t>
  </si>
  <si>
    <t>Supervised daily operations on set to ensure adherence to budget and schedule.</t>
  </si>
  <si>
    <t>Managed payroll, timecards, and crew hours throughout the shoot.</t>
  </si>
  <si>
    <t>Oversaw expenditures and maintained up-to-date cost tracking reports.</t>
  </si>
  <si>
    <t>Coordinated communication between creative, technical, and production departments.</t>
  </si>
  <si>
    <t>Ensured that safety standards and compliance requirements were met on set.</t>
  </si>
  <si>
    <t>Approved call sheets, shooting schedules, and production reports.</t>
  </si>
  <si>
    <t>Solved logistical and operational issues that arose during filming.</t>
  </si>
  <si>
    <t>Managed vendor deliveries, rentals, and service contracts in real time.</t>
  </si>
  <si>
    <t>Oversaw transportation, catering, and accommodation logistics for crew and talent.</t>
  </si>
  <si>
    <t>Reported daily progress and financial updates to the producer and executive team</t>
  </si>
  <si>
    <t>Reviewed final cost reports and reconciled all production-related expenses.</t>
  </si>
  <si>
    <t>Managed vendor wrap-out and ensured all outstanding invoices were processed.</t>
  </si>
  <si>
    <t>Oversaw the return of rental equipment and closure of production accounts.</t>
  </si>
  <si>
    <t>Verified that post-production teams received all necessary materials and assets.</t>
  </si>
  <si>
    <t>Conducted final reviews of crew payroll and union reporting documentation.</t>
  </si>
  <si>
    <t>Coordinated with finance and business affairs to finalize cost summaries.</t>
  </si>
  <si>
    <t>Ensured compliance with insurance and contractual wrap requirements.</t>
  </si>
  <si>
    <t>Managed archive and delivery of production reports, contracts, and documentation.</t>
  </si>
  <si>
    <t>Provided post-project analysis on budget performance and resource allocation.</t>
  </si>
  <si>
    <t>Participated in wrap meetings to evaluate production efficiency and identify improvements for future projects.</t>
  </si>
  <si>
    <t>Broadcast Bus Assoc</t>
  </si>
  <si>
    <t>Reviewed and prepared broadcast budgets for upcoming commercial shoots.</t>
  </si>
  <si>
    <t>Coordinated with media vendors to secure airtime and production resources.</t>
  </si>
  <si>
    <t>Compiled and organized contracts, licenses, and necessary legal documentation.</t>
  </si>
  <si>
    <t>Communicated with internal teams to confirm production schedules and deliverables.</t>
  </si>
  <si>
    <t>Maintained a tracking system for project timelines, approvals, and budget updates.</t>
  </si>
  <si>
    <t>Monitored production expenses and ensured adherence to allocated budgets.</t>
  </si>
  <si>
    <t>Liaised with production crew and vendors to facilitate smooth on-set operations.</t>
  </si>
  <si>
    <t>Verified talent contracts, usage rights, and on-set paperwork compliance.</t>
  </si>
  <si>
    <t>Tracked daily production costs and reported variances to management.</t>
  </si>
  <si>
    <t>Assisted in resolving logistical or administrative issues during shoots.</t>
  </si>
  <si>
    <t>Reviewed invoices and reconciled post-production expenses against the budget.</t>
  </si>
  <si>
    <t>Coordinated with post-production vendors for final asset delivery and clearance.</t>
  </si>
  <si>
    <t>Maintained accurate records of completed projects for internal reporting.</t>
  </si>
  <si>
    <t>Processed usage reports and ensured compliance with broadcast regulations.</t>
  </si>
  <si>
    <t>Supported management with post-project financial summaries and documentation</t>
  </si>
  <si>
    <t>SVP Executive Creative Director</t>
  </si>
  <si>
    <t>Reviewed and approved creative concepts, scripts, and storyboards for campaigns.</t>
  </si>
  <si>
    <t>Guided the creative team to ensure alignment with brand strategy and objectives.</t>
  </si>
  <si>
    <t>Participated in client presentations to pitch creative ideas and gain approvals.</t>
  </si>
  <si>
    <t>Oversaw development of mood boards, visual references, and tone guidelines.</t>
  </si>
  <si>
    <t>Collaborated with producers and planners to ensure feasibility and budget alignment.</t>
  </si>
  <si>
    <t>Directed on-set creative execution, providing guidance to talent and crew.</t>
  </si>
  <si>
    <t>Reviewed dailies to ensure visual and narrative consistency with the creative vision.</t>
  </si>
  <si>
    <t>Provided feedback on performances, shot composition, and overall aesthetic.</t>
  </si>
  <si>
    <t>Coordinated with production teams to maintain schedule and quality standards.</t>
  </si>
  <si>
    <t>Made key creative decisions in real time to resolve production challenges</t>
  </si>
  <si>
    <t>Reviewed rough cuts and provided notes for editing, sound, and visual effects.</t>
  </si>
  <si>
    <t>Ensured the final commercial adhered to creative vision, brand guidelines, and client expectations.</t>
  </si>
  <si>
    <t>Approved color grading, audio mixing, and final visual effects.</t>
  </si>
  <si>
    <t>Collaborated with marketing and media teams to optimize final deliverables.</t>
  </si>
  <si>
    <t>Provided feedback and mentorship to the creative team on post-production processes</t>
  </si>
  <si>
    <t>Creative Dir, SVP</t>
  </si>
  <si>
    <t>Provided final approval on the creative concept and overarching campaign direction.</t>
  </si>
  <si>
    <t>Reviewed scripts and storyboards to ensure alignment with the creative vision.</t>
  </si>
  <si>
    <t>Guided the development of visual references and treatments for production teams.</t>
  </si>
  <si>
    <t>Evaluated casting, styling, and art direction proposals before production lock.</t>
  </si>
  <si>
    <t>Led creative briefings with internal teams to solidify execution across disciplines.</t>
  </si>
  <si>
    <t>Oversaw on-set creative execution to maintain consistency with the approved concept.</t>
  </si>
  <si>
    <t>Collaborated with the director to refine shot compositions and visual details.</t>
  </si>
  <si>
    <t>Assessed scene setups and performances to ensure they met creative standards.</t>
  </si>
  <si>
    <t>Provided timely creative direction during shoots to address emerging needs.</t>
  </si>
  <si>
    <t>Coordinated with department leads to validate production design and aesthetics.</t>
  </si>
  <si>
    <t>Reviewed initial edits to confirm pacing, tone, and narrative clarity.</t>
  </si>
  <si>
    <t>Provided direction on color grading, sound design, and visual effects integration.</t>
  </si>
  <si>
    <t>Evaluated revised cuts and ensured alignment with the established creative intent.</t>
  </si>
  <si>
    <t>Approved final music selections and audio mixes to support the campaign voice.</t>
  </si>
  <si>
    <t>Signed off on the final master after confirming all creative elements were completed</t>
  </si>
  <si>
    <t>Mgt Dir - VP</t>
  </si>
  <si>
    <t>Aligned project scope and expectations with senior stakeholders before creative development advanced.</t>
  </si>
  <si>
    <t>Confirmed budget parameters and resource allocations with cross-functional leads.</t>
  </si>
  <si>
    <t>Reviewed strategic positioning to ensure the commercial aligned with broader business objectives.</t>
  </si>
  <si>
    <t>Approved key timelines and milestone schedules to guide all departments.</t>
  </si>
  <si>
    <t>Coordinated with agency leadership to validate team readiness and workflow processes.</t>
  </si>
  <si>
    <t>Oversaw risk assessments and mitigations related to production planning</t>
  </si>
  <si>
    <t>Maintained oversight on production progress to ensure adherence to approved budgets and schedules.</t>
  </si>
  <si>
    <t>Facilitated communication between agency leadership and on-set teams during critical shoot days.</t>
  </si>
  <si>
    <t>Addressed high-level operational issues that emerged during filming.</t>
  </si>
  <si>
    <t>Verified that production quality standards met expectations set during pre-production.</t>
  </si>
  <si>
    <t>Supported senior creative and production leads with executive-level decision making.</t>
  </si>
  <si>
    <t>Monitored vendor performance to ensure contractual obligations were met</t>
  </si>
  <si>
    <t>Reviewed progress updates on edits, ensuring delivery timelines were upheld.</t>
  </si>
  <si>
    <t>Provided executive oversight on post-production workflows and resource utilization.</t>
  </si>
  <si>
    <t>Assessed final deliverable readiness before creative and client approvals proceeded.</t>
  </si>
  <si>
    <t>Evaluated compliance with legal, financial, and operational requirements.</t>
  </si>
  <si>
    <t>Confirmed that final outputs aligned with strategic objectives established at project start.</t>
  </si>
  <si>
    <t>Authorized final release of the commercial following cross-departmental sign-off.</t>
  </si>
  <si>
    <t>Designer - Jr</t>
  </si>
  <si>
    <t>Developed initial visual concepts based on creative briefs and direction.</t>
  </si>
  <si>
    <t>Assisted in creating mood boards and visual references for the commercial.</t>
  </si>
  <si>
    <t>Prepared layout drafts and design explorations for internal review.</t>
  </si>
  <si>
    <t>Updated design assets based on feedback from senior creatives.</t>
  </si>
  <si>
    <t>Organized and managed design files for pre-production use.</t>
  </si>
  <si>
    <t>Researched visual styles, typography, and color palettes relevant to the concept.</t>
  </si>
  <si>
    <t>Adapted key visuals into preliminary storyboards or frames.</t>
  </si>
  <si>
    <t>Ensured design elements aligned with approved creative guidelines.</t>
  </si>
  <si>
    <t>Supported presentations by preparing visual materials and mockups.</t>
  </si>
  <si>
    <t>Coordinated with the creative team to finalize pre-production design deliverables.</t>
  </si>
  <si>
    <t>Provided on-set design support as needed for visual consistency.</t>
  </si>
  <si>
    <t>Reviewed live or captured visuals to ensure alignment with approved designs.</t>
  </si>
  <si>
    <t>Assisted in adjusting graphic elements based on production requirements.</t>
  </si>
  <si>
    <t>Supplied updated design files to the production team in real time.</t>
  </si>
  <si>
    <t>Collaborated with art and creative leads to address design-related changes.</t>
  </si>
  <si>
    <t>Verified proper usage of typography, colors, and graphic layouts during shoots.</t>
  </si>
  <si>
    <t>Managed version control of design assets used in production.</t>
  </si>
  <si>
    <t>Responded to production requests for additional design materials.</t>
  </si>
  <si>
    <t>Ensured all design outputs met technical and formatting standards.</t>
  </si>
  <si>
    <t>Documented design updates made during the production phase</t>
  </si>
  <si>
    <t>Adapted approved designs for post-production formats and outputs.</t>
  </si>
  <si>
    <t>Assisted in creating final graphics for editing and compositing.</t>
  </si>
  <si>
    <t>Implemented revisions based on creative and client feedback.</t>
  </si>
  <si>
    <t>Prepared multiple layout versions for different deliverables.</t>
  </si>
  <si>
    <t>Conducted quality checks on final visual assets.</t>
  </si>
  <si>
    <t>Organized and archived final design files according to agency standards.</t>
  </si>
  <si>
    <t>Coordinated with post-production teams to ensure smooth asset handoff.</t>
  </si>
  <si>
    <t>Updated design elements to reflect final edits and timing.</t>
  </si>
  <si>
    <t>Ensured consistency across all final visual materials.</t>
  </si>
  <si>
    <t>Delivered finalized design assets ready for release and distribution.</t>
  </si>
  <si>
    <t>Designer - Sr</t>
  </si>
  <si>
    <t>Led the development of visual concepts in alignment with creative briefs.</t>
  </si>
  <si>
    <t>Translated strategic direction into refined design approaches and systems.</t>
  </si>
  <si>
    <t>Established visual style guides and design frameworks for the project.</t>
  </si>
  <si>
    <t>Directed junior designers in creating mood boards and concept explorations.</t>
  </si>
  <si>
    <t>Reviewed and refined key visuals, layouts, and design mockups.</t>
  </si>
  <si>
    <t>Ensured visual concepts aligned with overall creative and production requirements.</t>
  </si>
  <si>
    <t>Prepared polished presentation materials for internal and external reviews.</t>
  </si>
  <si>
    <t>Provided clear design direction and feedback to the creative team.</t>
  </si>
  <si>
    <t>Approved pre-production design assets prior to production handoff.</t>
  </si>
  <si>
    <t>Coordinated with cross-functional teams to finalize visual direction.</t>
  </si>
  <si>
    <t>Oversaw the execution of design elements during production.</t>
  </si>
  <si>
    <t>Provided on-set or real-time design guidance to maintain visual integrity.</t>
  </si>
  <si>
    <t>Reviewed production visuals to ensure consistency with approved designs.</t>
  </si>
  <si>
    <t>Approved design adjustments required to meet production needs.</t>
  </si>
  <si>
    <t>Collaborated with production and creative leads to resolve visual challenges.</t>
  </si>
  <si>
    <t>Ensured all design assets were delivered accurately and on schedule.</t>
  </si>
  <si>
    <t>Managed version control and approvals for active design files.</t>
  </si>
  <si>
    <t>Directed junior designers in implementing production-related revisions.</t>
  </si>
  <si>
    <t>Maintained adherence to established visual standards throughout production.</t>
  </si>
  <si>
    <t>Signed off on design-related elements prior to post-production transition.</t>
  </si>
  <si>
    <t>Led the review of final visuals and graphic executions.</t>
  </si>
  <si>
    <t>Provided creative direction for motion graphics and final layouts.</t>
  </si>
  <si>
    <t>Approved design revisions based on post-production feedback.</t>
  </si>
  <si>
    <t>Ensured final assets met creative, technical, and quality standards.</t>
  </si>
  <si>
    <t>Collaborated with post-production teams to refine visual details.</t>
  </si>
  <si>
    <t>Reviewed and approved final color, typography, and graphic treatments.</t>
  </si>
  <si>
    <t>Guided junior designers in preparing final deliverables.</t>
  </si>
  <si>
    <t>Conducted final quality checks before project completion.</t>
  </si>
  <si>
    <t>Approved design assets for final delivery and archiving.</t>
  </si>
  <si>
    <t>Supported final project wrap by confirming all design requirements were met.</t>
  </si>
  <si>
    <t>Planner - Dir</t>
  </si>
  <si>
    <t>Led the development of strategic insights based on the creative brief.</t>
  </si>
  <si>
    <t>Defined the communication strategy and key messaging framework.</t>
  </si>
  <si>
    <t>Reviewed research and data to inform the overall planning approach.</t>
  </si>
  <si>
    <t>Aligned strategy with creative and production teams during early planning.</t>
  </si>
  <si>
    <t>Provided strategic direction for concept development.</t>
  </si>
  <si>
    <t>Validated target audience and channel considerations.</t>
  </si>
  <si>
    <t>Refined strategic deliverables for internal approval.</t>
  </si>
  <si>
    <t>Presented planning recommendations to senior stakeholders.</t>
  </si>
  <si>
    <t>Ensured strategic alignment across all pre-production materials.</t>
  </si>
  <si>
    <t>Approved final strategy prior to production kickoff.</t>
  </si>
  <si>
    <t>Oversaw the strategic integrity of work during production.</t>
  </si>
  <si>
    <t>Reviewed production outputs to ensure alignment with approved strategy.</t>
  </si>
  <si>
    <t>Provided guidance on messaging adjustments during production.</t>
  </si>
  <si>
    <t>Collaborated with creative leads to address strategic considerations.</t>
  </si>
  <si>
    <t>Responded to production questions related to audience and messaging.</t>
  </si>
  <si>
    <t>Evaluated changes for strategic impact and consistency.</t>
  </si>
  <si>
    <t>Ensured strategic objectives were maintained throughout production.</t>
  </si>
  <si>
    <t>Approved strategy-related refinements as production progressed.</t>
  </si>
  <si>
    <t>Supported production teams with real-time strategic input.</t>
  </si>
  <si>
    <t>Maintained alignment between execution and planning intent.</t>
  </si>
  <si>
    <t>Reviewed final edits for strategic and messaging consistency.</t>
  </si>
  <si>
    <t>Approved final outputs against original planning objectives.</t>
  </si>
  <si>
    <t>Evaluated overall effectiveness of the completed work.</t>
  </si>
  <si>
    <t>Provided strategic feedback on post-production refinements.</t>
  </si>
  <si>
    <t>Ensured final deliverables reflected approved communication strategy.</t>
  </si>
  <si>
    <t>Collaborated with teams on final messaging adjustments.</t>
  </si>
  <si>
    <t>Reviewed post-production materials for audience relevance.</t>
  </si>
  <si>
    <t>Signed off on strategy-related components of final delivery.</t>
  </si>
  <si>
    <t>Supported project wrap-up with strategic assessments.</t>
  </si>
  <si>
    <t>Confirmed strategic requirements were fully met prior to completion.</t>
  </si>
  <si>
    <t>Prod - Exec</t>
  </si>
  <si>
    <t>Oversaw overall project planning and production strategy.</t>
  </si>
  <si>
    <t>Reviewed and approved production budgets and schedules.</t>
  </si>
  <si>
    <t>Evaluated production approaches for feasibility and efficiency.</t>
  </si>
  <si>
    <t>Aligned production plans with creative and strategic objectives.</t>
  </si>
  <si>
    <t>Approved key production partners and resource allocations.</t>
  </si>
  <si>
    <t>Provided high-level guidance on production scope and execution.</t>
  </si>
  <si>
    <t>Ensured pre-production readiness across all departments.</t>
  </si>
  <si>
    <t>Reviewed risk considerations and mitigation plans.</t>
  </si>
  <si>
    <t>Approved final pre-production materials prior to production start.</t>
  </si>
  <si>
    <t>Confirmed production alignment with overall project requirements.</t>
  </si>
  <si>
    <t>Oversaw production execution to ensure alignment with approved plans.</t>
  </si>
  <si>
    <t>Monitored production progress, budget adherence, and timelines.</t>
  </si>
  <si>
    <t>Provided executive-level decision-making during production.</t>
  </si>
  <si>
    <t>Addressed high-level production issues and escalations.</t>
  </si>
  <si>
    <t>Ensured compliance with approved production standards.</t>
  </si>
  <si>
    <t>Reviewed production updates and key deliverables.</t>
  </si>
  <si>
    <t>Approved significant production changes or adjustments.</t>
  </si>
  <si>
    <t>Supported production leadership with guidance and oversight.</t>
  </si>
  <si>
    <t>Maintained accountability across production teams.</t>
  </si>
  <si>
    <t>Confirmed production milestones were achieved as scheduled.</t>
  </si>
  <si>
    <t>Oversaw post-production timelines and delivery milestones.</t>
  </si>
  <si>
    <t>Reviewed post-production budgets and final cost reports.</t>
  </si>
  <si>
    <t>Approved final edits and deliverables at an executive level.</t>
  </si>
  <si>
    <t>Ensured post-production activities aligned with project scope.</t>
  </si>
  <si>
    <t>Addressed escalations related to post-production execution.</t>
  </si>
  <si>
    <t>Reviewed final outputs for overall quality and completion.</t>
  </si>
  <si>
    <t>Approved final payments and production close-out.</t>
  </si>
  <si>
    <t>Confirmed all contractual and production obligations were met.</t>
  </si>
  <si>
    <t>Supported project wrap-up and final reporting.</t>
  </si>
  <si>
    <t>Signed off on project completion and final delivery.</t>
  </si>
  <si>
    <t>Production Dir</t>
  </si>
  <si>
    <t>Led overall production planning and execution strategy.</t>
  </si>
  <si>
    <t>Reviewed creative concepts for production feasibility.</t>
  </si>
  <si>
    <t>Established production timelines and workflow plans.</t>
  </si>
  <si>
    <t>Oversaw budget development and resource allocation.</t>
  </si>
  <si>
    <t>Approved production methodologies and technical approaches.</t>
  </si>
  <si>
    <t>Coordinated with creative, planning, and production leadership.</t>
  </si>
  <si>
    <t>Identified production risks and approved mitigation plans.</t>
  </si>
  <si>
    <t>Confirmed staffing, vendors, and production requirements.</t>
  </si>
  <si>
    <t>Reviewed and approved pre-production schedules and deliverables.</t>
  </si>
  <si>
    <t>Signed off on production readiness prior to shoot.</t>
  </si>
  <si>
    <t>Directed overall production operations during active production.</t>
  </si>
  <si>
    <t>Ensured execution aligned with approved plans, budget, and schedule.</t>
  </si>
  <si>
    <t>Provided leadership to producers and department heads.</t>
  </si>
  <si>
    <t>Addressed high-level production issues and decision points.</t>
  </si>
  <si>
    <t>Monitored quality, efficiency, and compliance on set.</t>
  </si>
  <si>
    <t>Approved production changes and adjustments as required.</t>
  </si>
  <si>
    <t>Maintained coordination across all production departments.</t>
  </si>
  <si>
    <t>Reviewed daily production reports and progress updates.</t>
  </si>
  <si>
    <t>Ensured safety and operational standards were upheld.</t>
  </si>
  <si>
    <t>Confirmed production milestones were met as scheduled.</t>
  </si>
  <si>
    <t>Oversaw post-production workflows and schedules.</t>
  </si>
  <si>
    <t>Reviewed post-production budgets and cost tracking.</t>
  </si>
  <si>
    <t>Ensured alignment between post-production output and production intent.</t>
  </si>
  <si>
    <t>Approved post-production timelines and key deliverables.</t>
  </si>
  <si>
    <t>Addressed escalated post-production issues.</t>
  </si>
  <si>
    <t>Reviewed final edits for overall production quality.</t>
  </si>
  <si>
    <t>Coordinated final approvals with executive stakeholders.</t>
  </si>
  <si>
    <t>Ensured completion of all production documentation.</t>
  </si>
  <si>
    <t>Supported final delivery and project close-out.</t>
  </si>
  <si>
    <t>Signed off on production completion and final handover</t>
  </si>
  <si>
    <t>Sr Content Prod</t>
  </si>
  <si>
    <t>Defined the overall production scope, timeline, and deliverables for the commercial.</t>
  </si>
  <si>
    <t>Collaborated with creative and strategy teams to translate concepts into producible plans.</t>
  </si>
  <si>
    <t>Developed and managed preliminary budgets and production estimates.</t>
  </si>
  <si>
    <t>Evaluated and approved scripts, storyboards, and production treatments.</t>
  </si>
  <si>
    <t>Identified and secured key production resources and vendors.</t>
  </si>
  <si>
    <t>Oversaw casting, location planning, and scheduling activities.</t>
  </si>
  <si>
    <t>Reviewed and approved production schedules and call sheets.</t>
  </si>
  <si>
    <t>Ensured all legal, insurance, and compliance requirements were addressed.</t>
  </si>
  <si>
    <t>Aligned stakeholders on production expectations and milestones.</t>
  </si>
  <si>
    <t>Provided senior-level guidance to production staff during planning.</t>
  </si>
  <si>
    <t>Supervised on-set production activities to ensure alignment with approved plans.</t>
  </si>
  <si>
    <t>Managed production budgets and monitored daily costs.</t>
  </si>
  <si>
    <t>Served as the primary liaison between agency leadership and the production team.</t>
  </si>
  <si>
    <t>Addressed on-set challenges and approved real-time adjustments.</t>
  </si>
  <si>
    <t>Ensured creative intent and quality standards were maintained during filming.</t>
  </si>
  <si>
    <t>Oversaw adherence to schedules, safety protocols, and workflows.</t>
  </si>
  <si>
    <t>Reviewed daily production reports and footage summaries.</t>
  </si>
  <si>
    <t>Approved key production decisions requiring senior oversight.</t>
  </si>
  <si>
    <t>Coordinated communication across departments during active shoots.</t>
  </si>
  <si>
    <t>Maintained accountability for deliverables throughout production days.</t>
  </si>
  <si>
    <t>Oversaw post-production timelines, workflows, and deliverable schedules.</t>
  </si>
  <si>
    <t>Reviewed and approved edits, sound, and visual elements at key milestones.</t>
  </si>
  <si>
    <t>Coordinated feedback cycles between creative teams and post-production partners.</t>
  </si>
  <si>
    <t>Ensured final content met technical and quality standards.</t>
  </si>
  <si>
    <t>Approved final cuts and versions for delivery.</t>
  </si>
  <si>
    <t>Confirmed all contractual and rights-related requirements were fulfilled.</t>
  </si>
  <si>
    <t>Supervised final asset preparation and handoff.</t>
  </si>
  <si>
    <t>Led post-production status updates with internal stakeholders.</t>
  </si>
  <si>
    <t>Closed out production documentation and finalized reporting.</t>
  </si>
  <si>
    <t>Studio - Video</t>
  </si>
  <si>
    <t>Reviewed creative briefs and scripts to assess studio video requirements.</t>
  </si>
  <si>
    <t>Prepared technical plans for studio-based video production.</t>
  </si>
  <si>
    <t>Coordinated equipment needs, crew assignments, and studio schedules.</t>
  </si>
  <si>
    <t>Set up workflows for recording, ingest, and file management.</t>
  </si>
  <si>
    <t>Tested cameras, lighting, audio, and studio systems prior to production.</t>
  </si>
  <si>
    <t>Collaborated with producers to confirm production timelines and needs.</t>
  </si>
  <si>
    <t>Assisted in planning studio layouts and shot setups.</t>
  </si>
  <si>
    <t>Ensured studio readiness and compliance with technical standards.</t>
  </si>
  <si>
    <t>Prepared production documentation and setup checklists.</t>
  </si>
  <si>
    <t>Supported rehearsals and technical run-throughs</t>
  </si>
  <si>
    <t>Operated studio video equipment during recording sessions.</t>
  </si>
  <si>
    <t>Managed camera setups, framing, and technical adjustments in real time.</t>
  </si>
  <si>
    <t>Monitored audio and video quality throughout production.</t>
  </si>
  <si>
    <t>Supported directors and producers with technical execution.</t>
  </si>
  <si>
    <t>Adjusted lighting and equipment as needed during shoots.</t>
  </si>
  <si>
    <t>Maintained studio organization and workflow efficiency.</t>
  </si>
  <si>
    <t>Recorded and labeled video assets accurately.</t>
  </si>
  <si>
    <t>Troubleshot technical issues during live or recorded sessions.</t>
  </si>
  <si>
    <t>Followed studio safety and operational protocols.</t>
  </si>
  <si>
    <t>Documented production notes and technical observations.</t>
  </si>
  <si>
    <t>Ingested, organized, and archived recorded studio footage.</t>
  </si>
  <si>
    <t>Performed basic video edits or assisted editors as required.</t>
  </si>
  <si>
    <t>Synced audio and video files for post-production use.</t>
  </si>
  <si>
    <t>Applied initial quality checks to recorded assets.</t>
  </si>
  <si>
    <t>Prepared files according to post-production specifications.</t>
  </si>
  <si>
    <t>Coordinated handoff of footage to post-production teams.</t>
  </si>
  <si>
    <t>Assisted with revisions and technical updates as requested.</t>
  </si>
  <si>
    <t>Maintained file naming conventions and version control.</t>
  </si>
  <si>
    <t>Ensured proper storage and backup of final assets.</t>
  </si>
  <si>
    <t>Completed studio wrap documentation and equipment shutdown</t>
  </si>
  <si>
    <t>CCO</t>
  </si>
  <si>
    <t>Defined the overarching creative vision and tone for the commercial.</t>
  </si>
  <si>
    <t>Approved the final script and creative concept prior to production.</t>
  </si>
  <si>
    <t>Led high-level creative reviews with internal stakeholders.</t>
  </si>
  <si>
    <t>Provided strategic creative direction to align execution with campaign objectives.</t>
  </si>
  <si>
    <t>Signed off on key visual, messaging, and stylistic decisions.</t>
  </si>
  <si>
    <t>Oversaw on-set creative execution to ensure alignment with the approved vision.</t>
  </si>
  <si>
    <t>Provided real-time creative feedback during filming.</t>
  </si>
  <si>
    <t>Reviewed performances, visuals, and framing for creative consistency.</t>
  </si>
  <si>
    <t>Collaborated with the director to resolve creative adjustments on set.</t>
  </si>
  <si>
    <t>Ensured creative standards were upheld throughout the shoot</t>
  </si>
  <si>
    <t>Reviewed initial edits and provided high-level creative feedback.</t>
  </si>
  <si>
    <t>Approved final narrative structure and pacing.</t>
  </si>
  <si>
    <t>Evaluated color, sound, and overall finish for creative quality.</t>
  </si>
  <si>
    <t>Directed final creative refinements prior to delivery.</t>
  </si>
  <si>
    <t>Gave final creative approval on the completed commercial.</t>
  </si>
  <si>
    <t>VP, Strategy</t>
  </si>
  <si>
    <t>Defined the strategic objective and success metrics for the commercial.</t>
  </si>
  <si>
    <t>Led audience and market analysis to inform the creative direction.</t>
  </si>
  <si>
    <t>Developed the strategic brief aligning business goals with creative approach.</t>
  </si>
  <si>
    <t>Evaluated insights and trends relevant to the campaign context.</t>
  </si>
  <si>
    <t>Collaborated with creative leadership to shape the core message.</t>
  </si>
  <si>
    <t>Assessed competitive positioning to ensure differentiation.</t>
  </si>
  <si>
    <t>Validated strategic alignment across stakeholders prior to production.</t>
  </si>
  <si>
    <t>Reviewed scripts and concepts for strategic consistency.</t>
  </si>
  <si>
    <t>Provided guidance on channel and format considerations.</t>
  </si>
  <si>
    <t>Approved the final strategic recommendation for production readiness.</t>
  </si>
  <si>
    <t>Oversaw strategic integrity during filming and execution.</t>
  </si>
  <si>
    <t>Reviewed on-set decisions for alignment with the approved strategy.</t>
  </si>
  <si>
    <t>Advised creative and account teams on real-time strategic adjustments.</t>
  </si>
  <si>
    <t>Ensured the commercial execution reflected target audience insights.</t>
  </si>
  <si>
    <t>Monitored messaging clarity and brand voice throughout production.</t>
  </si>
  <si>
    <t>Participated in key production check-ins and reviews.</t>
  </si>
  <si>
    <t>Addressed strategic risks identified during production.</t>
  </si>
  <si>
    <t>Supported decision-making related to performance-driven elements.</t>
  </si>
  <si>
    <t>Confirmed continuity between planned strategy and live execution.</t>
  </si>
  <si>
    <t>Signed off on production outputs from a strategic perspective.</t>
  </si>
  <si>
    <t>Reviewed edits to ensure strategic intent was maintained.</t>
  </si>
  <si>
    <t>Evaluated narrative flow and message effectiveness in final cuts.</t>
  </si>
  <si>
    <t>Provided feedback on pacing, tone, and clarity relative to strategy.</t>
  </si>
  <si>
    <t>Assessed the commercial’s alignment with audience and channel strategy.</t>
  </si>
  <si>
    <t>Approved final deliverables from a strategic standpoint.</t>
  </si>
  <si>
    <t>Collaborated on performance measurement frameworks.</t>
  </si>
  <si>
    <t>Analyzed early feedback or test results when available.</t>
  </si>
  <si>
    <t>Documented strategic learnings from the campaign process.</t>
  </si>
  <si>
    <t>Supported optimization recommendations for future placements or edits.</t>
  </si>
  <si>
    <t>Contributed to post-campaign evaluations and strategic reporting.</t>
  </si>
  <si>
    <t>Creative Dir, Performance Creative</t>
  </si>
  <si>
    <t>Developed the creative concept aligned with performance objectives and audience insights.</t>
  </si>
  <si>
    <t>Defined the key message hierarchy and performance-driven creative framework.</t>
  </si>
  <si>
    <t>Collaborated with strategy and media teams to align creative direction with channel requirements.</t>
  </si>
  <si>
    <t>Reviewed and approved scripts, storyboards, and creative treatments.</t>
  </si>
  <si>
    <t>Established visual tone, style guidelines, and performance-focused creative benchmarks.</t>
  </si>
  <si>
    <t>Directed creative testing hypotheses and variant planning for the commercial.</t>
  </si>
  <si>
    <t>Provided guidance on casting direction to support messaging and engagement goals.</t>
  </si>
  <si>
    <t>Reviewed production plans to ensure creative feasibility and performance alignment.</t>
  </si>
  <si>
    <t>Approved creative assets and layouts prior to final production readiness.</t>
  </si>
  <si>
    <t>Aligned stakeholders on creative direction, deliverables, and success criteria.</t>
  </si>
  <si>
    <t>Oversaw on-set creative execution to ensure adherence to the approved concept.</t>
  </si>
  <si>
    <t>Directed performance-focused framing, pacing, and visual emphasis during filming.</t>
  </si>
  <si>
    <t>Provided real-time creative feedback to optimize shots for multiple placements.</t>
  </si>
  <si>
    <t>Ensured messaging clarity and brand consistency throughout production.</t>
  </si>
  <si>
    <t>Collaborated with production teams to adapt creative elements as needed.</t>
  </si>
  <si>
    <t>Monitored content capture to support testing and modular asset creation.</t>
  </si>
  <si>
    <t>Approved performance-critical takes and creative variations on set.</t>
  </si>
  <si>
    <t>Ensured efficient use of production time while maintaining creative quality.</t>
  </si>
  <si>
    <t>Maintained alignment between creative intent and execution during filming.</t>
  </si>
  <si>
    <t>Documented creative notes and priorities for post-production handoff.</t>
  </si>
  <si>
    <t>Reviewed initial edits to ensure alignment with performance objectives.</t>
  </si>
  <si>
    <t>Provided creative direction on pacing, structure, and narrative clarity.</t>
  </si>
  <si>
    <t>Approved multiple cut-downs and formats optimized for various platforms.</t>
  </si>
  <si>
    <t>Guided the integration of graphics, text overlays, and visual enhancements.</t>
  </si>
  <si>
    <t>Reviewed sound design and music selections for performance impact.</t>
  </si>
  <si>
    <t>Ensured creative consistency across all deliverable versions.</t>
  </si>
  <si>
    <t>Approved final edits based on clarity, engagement, and performance readiness.</t>
  </si>
  <si>
    <t>Collaborated with analytics teams to align creative outputs with testing plans.</t>
  </si>
  <si>
    <t>Provided feedback on creative learnings to inform future iterations.</t>
  </si>
  <si>
    <t>Signed off on final assets for distribution and performance deployment.</t>
  </si>
  <si>
    <t>Senior Business Manager, Business Affairs</t>
  </si>
  <si>
    <t>Reviewed scripts and creative treatments for business affairs considerations.</t>
  </si>
  <si>
    <t>Evaluated proposed production plans for contractual and risk implications.</t>
  </si>
  <si>
    <t>Negotiated and finalized preliminary talent, vendor, and crew agreements.</t>
  </si>
  <si>
    <t>Advised creative and production teams on usage, rights, and clearance requirements.</t>
  </si>
  <si>
    <t>Developed initial cost structures aligned with approved scopes of work.</t>
  </si>
  <si>
    <t>Coordinated with legal partners on compliance and regulatory standards.</t>
  </si>
  <si>
    <t>Established business affairs guidelines for production execution.</t>
  </si>
  <si>
    <t>Reviewed union and non-union requirements applicable to the project.</t>
  </si>
  <si>
    <t>Approved preliminary budgets and contractual assumptions prior to production.</t>
  </si>
  <si>
    <t>Aligned stakeholders on business terms, deliverables, and usage parameters.</t>
  </si>
  <si>
    <t>Oversaw contract compliance throughout the production process.</t>
  </si>
  <si>
    <t>Managed on-set business affairs issues related to talent and crew agreements.</t>
  </si>
  <si>
    <t>Approved deal memos and contract amendments as production needs evolved.</t>
  </si>
  <si>
    <t>Addressed usage, overtime, and scope changes in real time.</t>
  </si>
  <si>
    <t>Ensured adherence to union regulations and labor requirements.</t>
  </si>
  <si>
    <t>Coordinated with production accounting on cost tracking and approvals.</t>
  </si>
  <si>
    <t>Resolved contractual and operational issues during filming.</t>
  </si>
  <si>
    <t>Maintained documentation of agreements and approvals executed on set.</t>
  </si>
  <si>
    <t>Provided guidance on rights, releases, and clearances during production.</t>
  </si>
  <si>
    <t>Communicated business affairs updates to internal stakeholders</t>
  </si>
  <si>
    <t>Finalized contracts and ensured all agreements were fully executed.</t>
  </si>
  <si>
    <t>Verified talent, music, and content usage aligned with licensed terms.</t>
  </si>
  <si>
    <t>Reviewed final costs against approved budgets and scopes.</t>
  </si>
  <si>
    <t>Resolved outstanding business affairs issues prior to delivery.</t>
  </si>
  <si>
    <t>Approved final payments related to contractual obligations.</t>
  </si>
  <si>
    <t>Ensured proper archiving of contracts and production documentation.</t>
  </si>
  <si>
    <t>Confirmed compliance with usage, expiration, and renewal requirements.</t>
  </si>
  <si>
    <t>Coordinated with legal teams on any post-production concerns.</t>
  </si>
  <si>
    <t>Provided post-project business affairs summaries and documentation.</t>
  </si>
  <si>
    <t>Supported internal reviews and audits related to production activities</t>
  </si>
  <si>
    <t>Assoc Creative Dir, Performance Creative</t>
  </si>
  <si>
    <t>Assisted in developing performance-driven creative concepts and frameworks.</t>
  </si>
  <si>
    <t>Translated strategic objectives into actionable creative directions.</t>
  </si>
  <si>
    <t>Collaborated with cross-functional teams to align creative with channel needs.</t>
  </si>
  <si>
    <t>Reviewed scripts, storyboards, and layouts for performance effectiveness.</t>
  </si>
  <si>
    <t>Developed creative variations to support testing and optimization plans.</t>
  </si>
  <si>
    <t>Defined visual and messaging guidelines for asset development.</t>
  </si>
  <si>
    <t>Provided feedback on casting, locations, and production approach.</t>
  </si>
  <si>
    <t>Prepared creative briefs and documentation for production teams.</t>
  </si>
  <si>
    <t>Ensured creative concepts were production-ready and performance-aligned.</t>
  </si>
  <si>
    <t>Supported alignment of stakeholders on creative deliverables and timelines</t>
  </si>
  <si>
    <t>Supported on-set creative direction to ensure alignment with approved concepts.</t>
  </si>
  <si>
    <t>Reviewed framing, pacing, and messaging during filming for performance impact.</t>
  </si>
  <si>
    <t>Provided real-time creative feedback to production and talent.</t>
  </si>
  <si>
    <t>Ensured consistent execution of visual and messaging standards.</t>
  </si>
  <si>
    <t>Assisted in capturing creative variations for testing purposes.</t>
  </si>
  <si>
    <t>Monitored content capture to meet multi-platform requirements.</t>
  </si>
  <si>
    <t>Flagged creative issues and proposed solutions during production.</t>
  </si>
  <si>
    <t>Documented creative decisions and updates for post-production.</t>
  </si>
  <si>
    <t>Maintained alignment between creative intent and on-set execution.</t>
  </si>
  <si>
    <t>Coordinated with senior creative leadership on approvals and adjustments</t>
  </si>
  <si>
    <t>Reviewed edits for clarity, engagement, and performance alignment.</t>
  </si>
  <si>
    <t>Provided detailed feedback on pacing, structure, and visual hierarchy.</t>
  </si>
  <si>
    <t>Supported development of cut-downs and alternate versions.</t>
  </si>
  <si>
    <t>Reviewed motion graphics, text overlays, and performance elements.</t>
  </si>
  <si>
    <t>Ensured consistency across all asset versions and formats.</t>
  </si>
  <si>
    <t>Collaborated with editors to refine creative outputs.</t>
  </si>
  <si>
    <t>Prepared creative notes and recommendations for final approvals.</t>
  </si>
  <si>
    <t>Supported creative testing and iteration processes.</t>
  </si>
  <si>
    <t>Documented creative learnings for future performance optimization.</t>
  </si>
  <si>
    <t>Assisted in final asset approvals for delivery and deployment.</t>
  </si>
  <si>
    <t>Production Bus Mgr</t>
  </si>
  <si>
    <t>Coordinated travel arrangements and accommodations for cast and crew.</t>
  </si>
  <si>
    <t>Prepared and maintained detailed transportation schedules for all production vehicles.</t>
  </si>
  <si>
    <t>Secured permits for on-location parking and vehicle access.</t>
  </si>
  <si>
    <t>Arranged catering and meal logistics for transportation staff.</t>
  </si>
  <si>
    <t>Managed the budget for transportation and ground logistics.</t>
  </si>
  <si>
    <t>Communicated schedules and requirements to drivers and transportation vendors.</t>
  </si>
  <si>
    <t>Oversaw equipment transport planning, ensuring timely delivery to locations.</t>
  </si>
  <si>
    <t>Conducted site visits to assess vehicle access and parking logistics.</t>
  </si>
  <si>
    <t>Created and distributed call sheets including transportation details.</t>
  </si>
  <si>
    <t>Coordinated shuttle services for crew between hotels, sets, and locations</t>
  </si>
  <si>
    <t>Oversaw daily vehicle operations, ensuring timely arrival and departure.</t>
  </si>
  <si>
    <t>Supervised drivers and transportation staff during on-set operations.</t>
  </si>
  <si>
    <t>Managed last-minute changes to transportation schedules.</t>
  </si>
  <si>
    <t>Ensured all vehicles were fueled, serviced, and ready for production needs.</t>
  </si>
  <si>
    <t>Monitored compliance with safety regulations for all transportation activities.</t>
  </si>
  <si>
    <t>Assisted with loading and unloading of equipment from production vehicles.</t>
  </si>
  <si>
    <t>Maintained accurate records of vehicle usage and mileage.</t>
  </si>
  <si>
    <t>Communicated with production management regarding transportation delays or issues.</t>
  </si>
  <si>
    <t>Coordinated emergency transportation solutions when needed.</t>
  </si>
  <si>
    <t>Verified crew and talent pick-up and drop-off times were adhered to</t>
  </si>
  <si>
    <t>Reconciled transportation expenses against the production budget.</t>
  </si>
  <si>
    <t>Collected receipts and invoices for all vehicle rentals and services.</t>
  </si>
  <si>
    <t>Completed post-production reports detailing vehicle and driver usage.</t>
  </si>
  <si>
    <t>Evaluated vendor performance and provided feedback.</t>
  </si>
  <si>
    <t>Returned rental vehicles and ensured all equipment was accounted for.</t>
  </si>
  <si>
    <t>Updated internal records for future production planning.</t>
  </si>
  <si>
    <t>Reviewed transportation schedules for efficiency improvements.</t>
  </si>
  <si>
    <t>Archived call sheets and transportation logs.</t>
  </si>
  <si>
    <t>Coordinated final settlements with drivers and transportation vendors.</t>
  </si>
  <si>
    <t>Provided post-mortem feedback to production management regarding transportation logistics.</t>
  </si>
  <si>
    <t>Reviewed creative briefs and visual references provided by the creative team.</t>
  </si>
  <si>
    <t>Assisted in developing motion design concepts aligned with the approved direction.</t>
  </si>
  <si>
    <t>Created style frames and exploratory motion studies for internal review.</t>
  </si>
  <si>
    <t>Participated in brainstorming sessions for visual storytelling approaches.</t>
  </si>
  <si>
    <t>Organized and prepared design assets for animation workflows.</t>
  </si>
  <si>
    <t>Interpreted storyboards and scripts to plan motion requirements.</t>
  </si>
  <si>
    <t>Collaborated with art directors to refine visual treatments.</t>
  </si>
  <si>
    <t>Built rough animatics to support timing and pacing discussions.</t>
  </si>
  <si>
    <t>Conducted visual research to support design decisions.</t>
  </si>
  <si>
    <t>Prepared project files and templates for production use</t>
  </si>
  <si>
    <t>Animated graphics and visual elements according to approved designs.</t>
  </si>
  <si>
    <t>Applied motion principles to enhance clarity, rhythm, and flow.</t>
  </si>
  <si>
    <t>Integrated typography, illustrations, and graphic assets into animations.</t>
  </si>
  <si>
    <t>Executed revisions based on creative and client feedback.</t>
  </si>
  <si>
    <t>Maintained organized project files throughout production.</t>
  </si>
  <si>
    <t>Collaborated with editors to ensure seamless integration of motion assets.</t>
  </si>
  <si>
    <t>Adjusted animations to align with timing changes and editorial updates.</t>
  </si>
  <si>
    <t>Optimized animations for performance and playback requirements.</t>
  </si>
  <si>
    <t>Ensured consistency with established motion design guidelines.</t>
  </si>
  <si>
    <t>Met production deadlines while maintaining quality standards.</t>
  </si>
  <si>
    <t>Refined animations based on final review notes.</t>
  </si>
  <si>
    <t>Assisted in color adjustments and visual polish of motion elements.</t>
  </si>
  <si>
    <t>Prepared final motion assets for delivery across required formats.</t>
  </si>
  <si>
    <t>Conducted quality checks to ensure accuracy and consistency.</t>
  </si>
  <si>
    <t>Exported and organized final files according to delivery specifications.</t>
  </si>
  <si>
    <t>Coordinated with post-production teams to resolve technical issues.</t>
  </si>
  <si>
    <t>Updated project files to reflect final approved versions.</t>
  </si>
  <si>
    <t>Archived assets and working files following project completion.</t>
  </si>
  <si>
    <t>Supported versioning for different durations or placements.</t>
  </si>
  <si>
    <t>Documented workflows and asset usage for future reference.</t>
  </si>
  <si>
    <t>Sr Program Mgr</t>
  </si>
  <si>
    <t>Reviewed project scope, timelines, and deliverables with stakeholders.</t>
  </si>
  <si>
    <t>Defined program milestones and aligned them with creative and production schedules.</t>
  </si>
  <si>
    <t>Coordinated cross-functional teams to confirm roles and responsibilities.</t>
  </si>
  <si>
    <t>Consolidated requirements and ensured alignment across departments.</t>
  </si>
  <si>
    <t>Developed detailed project plans and tracking documents.</t>
  </si>
  <si>
    <t>Identified risks and established mitigation strategies.</t>
  </si>
  <si>
    <t>Facilitated kickoff meetings and planning sessions.</t>
  </si>
  <si>
    <t>Managed resource allocation and scheduling forecasts.</t>
  </si>
  <si>
    <t>Approved workflows and communication protocols.</t>
  </si>
  <si>
    <t>Ensured pre-production deliverables met quality and timeline standards.</t>
  </si>
  <si>
    <t>Oversaw day-to-day program execution across multiple workstreams.</t>
  </si>
  <si>
    <t>Monitored progress against timelines, scope, and budget.</t>
  </si>
  <si>
    <t>Led status meetings and communicated updates to stakeholders.</t>
  </si>
  <si>
    <t>Resolved scheduling conflicts and operational blockers.</t>
  </si>
  <si>
    <t>Managed change requests and scope adjustments.</t>
  </si>
  <si>
    <t>Ensured dependencies between teams were tracked and addressed.</t>
  </si>
  <si>
    <t>Coordinated approvals to maintain production momentum.</t>
  </si>
  <si>
    <t>Maintained alignment between creative, production, and post teams.</t>
  </si>
  <si>
    <t>Enforced process adherence and delivery standards.</t>
  </si>
  <si>
    <t>Escalated risks and issues with recommended solutions.</t>
  </si>
  <si>
    <t>Oversaw final delivery schedules and release milestones.</t>
  </si>
  <si>
    <t>Ensured all deliverables met agreed specifications and timelines.</t>
  </si>
  <si>
    <t>Coordinated final reviews and approvals across stakeholders.</t>
  </si>
  <si>
    <t>Managed versioning and delivery of final assets.</t>
  </si>
  <si>
    <t>Confirmed completion of contractual and operational requirements.</t>
  </si>
  <si>
    <t>Led post-mortem reviews to capture learnings.</t>
  </si>
  <si>
    <t>Documented outcomes, metrics, and process improvements.</t>
  </si>
  <si>
    <t>Closed out project plans and program documentation.</t>
  </si>
  <si>
    <t>Ensured proper handoff and archival of project materials.</t>
  </si>
  <si>
    <t>Reported final status and performance summaries to leadership.</t>
  </si>
  <si>
    <t>Campaign/Proj Mgr</t>
  </si>
  <si>
    <t>Developed the overall project timeline for the commercial.</t>
  </si>
  <si>
    <t>Coordinated client briefings and clarified campaign objectives.</t>
  </si>
  <si>
    <t>Prepared detailed budgets and cost estimates for the production.</t>
  </si>
  <si>
    <t>Secured approvals for scripts, storyboards, and creative concepts.</t>
  </si>
  <si>
    <t>Identified and booked locations for shooting.</t>
  </si>
  <si>
    <t>Sourced and confirmed vendors, including production crews and equipment rental.</t>
  </si>
  <si>
    <t>Organized casting sessions and finalized talent selections.</t>
  </si>
  <si>
    <t>Scheduled pre-production meetings and distributed agendas.</t>
  </si>
  <si>
    <t>Monitored compliance with legal, regulatory, and brand guidelines.</t>
  </si>
  <si>
    <t>Prepared production packages including shot lists, call sheets, and schedules.</t>
  </si>
  <si>
    <t>Oversaw day-to-day operations on set to ensure adherence to schedule.</t>
  </si>
  <si>
    <t>Managed communication between creative, technical, and client teams.</t>
  </si>
  <si>
    <t>Tracked budget expenditures and approved on-the-spot expenses.</t>
  </si>
  <si>
    <t>Facilitated problem-solving for unexpected production challenges.</t>
  </si>
  <si>
    <t>Ensured proper setup and coordination of equipment and technical teams.</t>
  </si>
  <si>
    <t>Verified that talent, crew, and resources were present and prepared.</t>
  </si>
  <si>
    <t>Maintained production logs documenting progress and incidents.</t>
  </si>
  <si>
    <t>Coordinated transportation and logistics for cast and crew.</t>
  </si>
  <si>
    <t>Ensured adherence to safety protocols and site regulations.</t>
  </si>
  <si>
    <t>Reviewed footage on-site to confirm coverage and quality standards.</t>
  </si>
  <si>
    <t>Managed delivery of raw footage to editing teams.</t>
  </si>
  <si>
    <t>Oversaw editing schedules and tracked milestones for post-production.</t>
  </si>
  <si>
    <t>Coordinated visual effects, motion graphics, and sound design teams.</t>
  </si>
  <si>
    <t>Reviewed rough cuts and provided structured feedback.</t>
  </si>
  <si>
    <t>Ensured color correction, audio mixing, and final visual edits were completed.</t>
  </si>
  <si>
    <t>Facilitated client approvals for drafts and final cut versions.</t>
  </si>
  <si>
    <t>Monitored post-production budget and controlled additional costs.</t>
  </si>
  <si>
    <t>Coordinated subtitling, localization, or versioning if required.</t>
  </si>
  <si>
    <t>Prepared final deliverables and ensured timely distribution to media channels.</t>
  </si>
  <si>
    <t>Compiled post-production reports summarizing project completion and lessons learned.</t>
  </si>
  <si>
    <t>Exec VP, Creative Dir</t>
  </si>
  <si>
    <t>Reviewed the creative brief and established the overall creative direction for the commercial.</t>
  </si>
  <si>
    <t>Led internal creative meetings to align the team on concept and messaging.</t>
  </si>
  <si>
    <t>Evaluated and approved initial script drafts and creative treatments.</t>
  </si>
  <si>
    <t>Provided strategic feedback on storyboards and visual concepts.</t>
  </si>
  <si>
    <t>Collaborated with senior creative staff to refine the campaign narrative.</t>
  </si>
  <si>
    <t>Presented the creative concept and direction to stakeholders for approval.</t>
  </si>
  <si>
    <t>Oversaw revisions to the script and visual materials based on feedback.</t>
  </si>
  <si>
    <t>Coordinated with production leadership to ensure the creative vision was feasible for execution.</t>
  </si>
  <si>
    <t>Approved final creative assets, including scripts, storyboards, and visual references.</t>
  </si>
  <si>
    <t>Confirmed that the creative approach aligned with the overall campaign objectives.</t>
  </si>
  <si>
    <t>Attended the production shoot to oversee execution of the approved creative vision.</t>
  </si>
  <si>
    <t>Provided on-set creative direction to ensure consistency with the storyboard.</t>
  </si>
  <si>
    <t>Reviewed performances and visual setups to confirm alignment with the concept.</t>
  </si>
  <si>
    <t>Collaborated with the director and production team on creative adjustments during filming.</t>
  </si>
  <si>
    <t>Evaluated shot compositions and visual style during filming.</t>
  </si>
  <si>
    <t>Approved key scenes and takes during the shoot.</t>
  </si>
  <si>
    <t>Addressed creative issues that arose during production.</t>
  </si>
  <si>
    <t>Ensured the narrative tone and visual style remained consistent throughout filming.</t>
  </si>
  <si>
    <t>Reviewed daily footage to confirm the material met creative expectations.</t>
  </si>
  <si>
    <t>Communicated creative updates and decisions to the internal team.</t>
  </si>
  <si>
    <t>Reviewed initial edits to evaluate narrative flow and creative execution.</t>
  </si>
  <si>
    <t>Provided feedback on the rough cut to refine pacing and storytelling.</t>
  </si>
  <si>
    <t>Approved revisions to visual elements and sequence structure.</t>
  </si>
  <si>
    <t>Evaluated color, visual style, and overall presentation in the edit.</t>
  </si>
  <si>
    <t>Reviewed sound design and music selections for creative alignment.</t>
  </si>
  <si>
    <t>Collaborated with the post-production team to refine the final cut.</t>
  </si>
  <si>
    <t>Ensured the final edit maintained the intended creative direction.</t>
  </si>
  <si>
    <t>Reviewed updated versions of the commercial for quality and consistency.</t>
  </si>
  <si>
    <t>Approved the final version of the commercial for delivery.</t>
  </si>
  <si>
    <t>Confirmed that the completed commercial aligned with the approved creative concept</t>
  </si>
  <si>
    <t>Sr VP, Creative Dir, Copywriter</t>
  </si>
  <si>
    <t>Reviewed the creative brief and developed initial copy concepts for the commercial.</t>
  </si>
  <si>
    <t>Wrote and refined script drafts based on the approved creative direction.</t>
  </si>
  <si>
    <t>Collaborated with the creative team to align messaging and tone with the campaign concept.</t>
  </si>
  <si>
    <t>Revised dialogue and voiceover copy to improve clarity and impact.</t>
  </si>
  <si>
    <t>Participated in creative meetings to discuss story development and script direction.</t>
  </si>
  <si>
    <t>Assisted in the development of storyboards by providing script guidance and copy notes.</t>
  </si>
  <si>
    <t>Incorporated feedback from senior leadership into updated script versions.</t>
  </si>
  <si>
    <t>Ensured that the script maintained consistent messaging throughout all scenes.</t>
  </si>
  <si>
    <t>Prepared finalized script materials for production readiness.</t>
  </si>
  <si>
    <t>Confirmed that the written content aligned with the overall campaign message.</t>
  </si>
  <si>
    <t>Attended the production shoot to support the execution of the approved script.</t>
  </si>
  <si>
    <t>Provided guidance on dialogue delivery and voiceover interpretation.</t>
  </si>
  <si>
    <t>Reviewed script adherence during filming to ensure accuracy.</t>
  </si>
  <si>
    <t>Assisted the production team in addressing script-related adjustments on set.</t>
  </si>
  <si>
    <t>Evaluated dialogue timing and pacing during scene execution.</t>
  </si>
  <si>
    <t>Clarified script intent when questions arose during filming.</t>
  </si>
  <si>
    <t>Coordinated with the director to ensure key messaging was clearly conveyed.</t>
  </si>
  <si>
    <t>Reviewed performances to confirm alignment with the written narrative.</t>
  </si>
  <si>
    <t>Verified that scripted lines and voiceover content were captured correctly.</t>
  </si>
  <si>
    <t>Documented any necessary script revisions identified during production.</t>
  </si>
  <si>
    <t>Reviewed initial edits to confirm the script was accurately represented in the cut.</t>
  </si>
  <si>
    <t>Provided feedback on dialogue flow and narrative clarity in the rough cut.</t>
  </si>
  <si>
    <t>Assisted in refining voiceover scripts for final recording.</t>
  </si>
  <si>
    <t>Reviewed voiceover recordings to ensure consistency with the approved script.</t>
  </si>
  <si>
    <t>Suggested adjustments to on-screen text and supers for clarity.</t>
  </si>
  <si>
    <t>Evaluated pacing of dialogue and narration in the edit.</t>
  </si>
  <si>
    <t>Collaborated with editors to maintain narrative consistency.</t>
  </si>
  <si>
    <t>Reviewed revised cuts to confirm that key messages were clearly communicated.</t>
  </si>
  <si>
    <t>Approved final copy elements, including voiceover and on-screen text.</t>
  </si>
  <si>
    <t>Confirmed that the final commercial reflected the intended script and messaging.</t>
  </si>
  <si>
    <t>Assoc Creative Dir, Copywriter</t>
  </si>
  <si>
    <t>Reviewed the creative brief and contributed copy ideas for the commercial concept.</t>
  </si>
  <si>
    <t>Assisted in drafting and revising the commercial script.</t>
  </si>
  <si>
    <t>Collaborated with senior creative staff to refine dialogue and messaging.</t>
  </si>
  <si>
    <t>Participated in brainstorming sessions to develop creative copy concepts.</t>
  </si>
  <si>
    <t>Provided input on storyboards to ensure alignment with the script.</t>
  </si>
  <si>
    <t>Edited script drafts for clarity, tone, and consistency.</t>
  </si>
  <si>
    <t>Incorporated feedback from leadership into updated script versions.</t>
  </si>
  <si>
    <t>Coordinated with the creative team to maintain consistent messaging across scenes.</t>
  </si>
  <si>
    <t>Prepared supporting copy elements for use during production.</t>
  </si>
  <si>
    <t>Reviewed the final script to confirm readiness for filming.</t>
  </si>
  <si>
    <t>Attended the production shoot to support script execution.</t>
  </si>
  <si>
    <t>Monitored dialogue delivery to ensure it followed the approved script.</t>
  </si>
  <si>
    <t>Provided guidance on wording and phrasing during scene rehearsals.</t>
  </si>
  <si>
    <t>Assisted with minor script adjustments when required during filming.</t>
  </si>
  <si>
    <t>Confirmed that key lines and messaging were delivered accurately.</t>
  </si>
  <si>
    <t>Collaborated with the director and creative team to address copy-related concerns.</t>
  </si>
  <si>
    <t>Reviewed scenes during filming to ensure narrative consistency.</t>
  </si>
  <si>
    <t>Clarified script intent for production team members when needed.</t>
  </si>
  <si>
    <t>Documented any script changes that occurred during the shoot.</t>
  </si>
  <si>
    <t>Ensured that essential copy elements were properly captured on set.</t>
  </si>
  <si>
    <t>Reviewed rough cuts to ensure the script translated effectively on screen.</t>
  </si>
  <si>
    <t>Provided feedback on dialogue pacing and narrative clarity.</t>
  </si>
  <si>
    <t>Assisted in refining voiceover copy for final recording.</t>
  </si>
  <si>
    <t>Reviewed voiceover drafts and suggested improvements where necessary.</t>
  </si>
  <si>
    <t>Evaluated on-screen text and captions for clarity and tone.</t>
  </si>
  <si>
    <t>Collaborated with editors to maintain consistency in messaging.</t>
  </si>
  <si>
    <t>Reviewed revised edits to ensure copy accuracy.</t>
  </si>
  <si>
    <t>Suggested improvements to dialogue flow and narrative structure.</t>
  </si>
  <si>
    <t>Approved final copy elements included in the commercial.</t>
  </si>
  <si>
    <t>Confirmed that the final edit reflected the intended script and messaging.</t>
  </si>
  <si>
    <t>SVP, Creative Director</t>
  </si>
  <si>
    <t>Interpreted the strategic brief and defined the overarching creative direction for the commercial.</t>
  </si>
  <si>
    <t>Led the development of core campaign concepts with copywriters and art directors.</t>
  </si>
  <si>
    <t>Reviewed and refined scripts to ensure alignment with the approved creative vision.</t>
  </si>
  <si>
    <t>Evaluated and approved storyboards to establish the visual narrative and tone.</t>
  </si>
  <si>
    <t>Directed the development of visual style references and mood boards for the production team.</t>
  </si>
  <si>
    <t>Provided guidance on casting direction and character portrayal within the narrative framework.</t>
  </si>
  <si>
    <t>Reviewed proposed production approaches and ensured they aligned with the intended creative concept.</t>
  </si>
  <si>
    <t>Participated in pre-production meetings to align the creative team and production partners on expectations.</t>
  </si>
  <si>
    <t>Provided creative feedback on set design concepts, wardrobe direction, and visual styling.</t>
  </si>
  <si>
    <t>Presented the finalized creative concept and visual approach to senior stakeholders for approval.</t>
  </si>
  <si>
    <t>Oversaw the on-set execution of the commercial to maintain consistency with the approved creative direction.</t>
  </si>
  <si>
    <t>Collaborated with the director to guide the visual storytelling during filming.</t>
  </si>
  <si>
    <t>Reviewed scene compositions and shot framing to ensure alignment with the storyboard.</t>
  </si>
  <si>
    <t>Provided creative direction to ensure performances reflected the intended tone and narrative.</t>
  </si>
  <si>
    <t>Evaluated real-time playback of filmed footage to confirm adherence to creative standards.</t>
  </si>
  <si>
    <t>Addressed creative adjustments required during filming to maintain narrative clarity.</t>
  </si>
  <si>
    <t>Supervised the integration of art direction, lighting, and camera work to support the visual concept.</t>
  </si>
  <si>
    <t>Coordinated with the production team to ensure key visual moments were captured as planned.</t>
  </si>
  <si>
    <t>Maintained creative oversight across departments to ensure a cohesive execution.</t>
  </si>
  <si>
    <t>Approved significant creative decisions affecting the visual storytelling while on set.</t>
  </si>
  <si>
    <t>Reviewed initial rough cuts to evaluate narrative structure and pacing.</t>
  </si>
  <si>
    <t>Provided detailed feedback to editors on storytelling flow and visual continuity.</t>
  </si>
  <si>
    <t>Directed refinements to scene sequencing and timing during edit revisions.</t>
  </si>
  <si>
    <t>Collaborated with sound designers to shape the overall auditory experience.</t>
  </si>
  <si>
    <t>Reviewed visual effects and motion elements for consistency with the creative vision.</t>
  </si>
  <si>
    <t>Evaluated color grading and final visual treatments to ensure visual cohesion.</t>
  </si>
  <si>
    <t>Provided guidance on music selection and integration within the final edit.</t>
  </si>
  <si>
    <t>Led internal creative review sessions to finalize the commercial cut.</t>
  </si>
  <si>
    <t>Ensured the final edit maintained alignment with the original creative concept.</t>
  </si>
  <si>
    <t>Approved the completed commercial for final delivery and distribution.</t>
  </si>
  <si>
    <t>Reviewed the client brief and clarified project objectives, deliverables, and success criteria with internal teams.</t>
  </si>
  <si>
    <t>Established the project scope, timeline, and key milestones for the commercial development process.</t>
  </si>
  <si>
    <t>Coordinated internal planning sessions with creative, strategy, and production teams to align on project direction.</t>
  </si>
  <si>
    <t>Managed client communications related to concept development and production planning.</t>
  </si>
  <si>
    <t>Facilitated the presentation of creative concepts and production approaches to client stakeholders.</t>
  </si>
  <si>
    <t>Consolidated client feedback on proposed concepts and communicated revisions to the creative team.</t>
  </si>
  <si>
    <t>Oversaw the development and approval of the production budget and associated cost estimates.</t>
  </si>
  <si>
    <t>Coordinated the approval process for scripts, storyboards, and production plans.</t>
  </si>
  <si>
    <t>Confirmed project timelines and deliverables with production partners and internal departments.</t>
  </si>
  <si>
    <t>Documented client approvals and ensured all pre-production requirements were completed prior to filming.</t>
  </si>
  <si>
    <t>Maintained regular communication with the client regarding filming progress and production updates.</t>
  </si>
  <si>
    <t>Monitored adherence to the approved production schedule and budget.</t>
  </si>
  <si>
    <t>Coordinated with the production team to ensure client expectations were reflected during filming.</t>
  </si>
  <si>
    <t>Addressed client inquiries and provided timely updates on key production developments.</t>
  </si>
  <si>
    <t>Managed any scope adjustments or timeline changes that arose during filming.</t>
  </si>
  <si>
    <t>Facilitated communication between the client, creative leadership, and production teams during the shoot.</t>
  </si>
  <si>
    <t>Ensured required approvals were obtained for significant production decisions.</t>
  </si>
  <si>
    <t>Documented production updates and shared status reports with internal stakeholders.</t>
  </si>
  <si>
    <t>Monitored deliverables captured during filming to ensure alignment with agreed project scope.</t>
  </si>
  <si>
    <t>Resolved operational issues impacting timelines, budget, or deliverables during production.</t>
  </si>
  <si>
    <t>Coordinated the delivery of rough cuts and edited versions of the commercial to the client for review.</t>
  </si>
  <si>
    <t>Consolidated client feedback from review sessions and communicated required revisions to post-production teams.</t>
  </si>
  <si>
    <t>Monitored post-production schedules to ensure editing and finishing milestones were achieved.</t>
  </si>
  <si>
    <t>Facilitated review meetings between the client and internal creative leadership for edit approvals.</t>
  </si>
  <si>
    <t>Managed version control and documentation of client feedback across edit iterations.</t>
  </si>
  <si>
    <t>Ensured all revisions were completed in accordance with client feedback and project scope.</t>
  </si>
  <si>
    <t>Confirmed that final deliverables met the technical specifications required for distribution.</t>
  </si>
  <si>
    <t>Coordinated final approval from client stakeholders on the completed commercial.</t>
  </si>
  <si>
    <t>Oversaw the final delivery of assets and supporting materials to the client.</t>
  </si>
  <si>
    <t>Documented project completion and confirmed that all contractual deliverables were fulfilled.</t>
  </si>
  <si>
    <t>Chief Creative Officer</t>
  </si>
  <si>
    <t>Approved the overall creative concept for the commercial.</t>
  </si>
  <si>
    <t>Provided strategic creative direction to the creative and production teams.</t>
  </si>
  <si>
    <t>Reviewed and approved the final script and storyboard.</t>
  </si>
  <si>
    <t>Guided the development of the visual and narrative style for the commercial.</t>
  </si>
  <si>
    <t>Evaluated and approved key creative elements presented by the creative directors.</t>
  </si>
  <si>
    <t>Participated in high-level concept review meetings with internal teams.</t>
  </si>
  <si>
    <t>Ensured the creative approach aligned with the campaign objectives.</t>
  </si>
  <si>
    <t>Approved the final creative treatment prior to production.</t>
  </si>
  <si>
    <t>Reviewed proposed casting, locations, and visual references from a creative perspective.</t>
  </si>
  <si>
    <t>Provided final creative sign-off on pre-production deliverables.</t>
  </si>
  <si>
    <t>Monitored the execution of the creative vision during the shoot.</t>
  </si>
  <si>
    <t>Provided high-level creative guidance to the director and production team.</t>
  </si>
  <si>
    <t>Reviewed key shots and scenes to ensure alignment with the approved concept.</t>
  </si>
  <si>
    <t>Addressed creative concerns that arose during filming.</t>
  </si>
  <si>
    <t>Confirmed that the visual style and storytelling matched the approved treatment.</t>
  </si>
  <si>
    <t>Coordinated with senior creative staff regarding on-set creative decisions.</t>
  </si>
  <si>
    <t>Evaluated performance and delivery of key scenes from a creative standpoint.</t>
  </si>
  <si>
    <t>Approved necessary creative adjustments made during filming.</t>
  </si>
  <si>
    <t>Ensured consistency between the planned creative concept and the captured footage.</t>
  </si>
  <si>
    <t>Provided executive-level creative oversight throughout the production process</t>
  </si>
  <si>
    <t>Reviewed initial edits of the commercial.</t>
  </si>
  <si>
    <t>Provided creative feedback on pacing, tone, and storytelling.</t>
  </si>
  <si>
    <t>Approved revisions to the edit based on creative direction.</t>
  </si>
  <si>
    <t>Reviewed visual effects, graphics, and motion design elements.</t>
  </si>
  <si>
    <t>Evaluated the integration of music, sound design, and voice-over.</t>
  </si>
  <si>
    <t>Ensured the final cut aligned with the original creative concept.</t>
  </si>
  <si>
    <t>Participated in internal review sessions for the edited commercial.</t>
  </si>
  <si>
    <t>Approved the final creative version of the commercial.</t>
  </si>
  <si>
    <t>Provided final creative sign-off on post-production deliverables.</t>
  </si>
  <si>
    <t>Confirmed that the completed commercial met the established creative standards.</t>
  </si>
  <si>
    <t>EVP, Production</t>
  </si>
  <si>
    <t>Reviewed the production plan and provided executive-level direction.</t>
  </si>
  <si>
    <t>Approved the preliminary production schedule and timeline.</t>
  </si>
  <si>
    <t>Evaluated and approved the proposed production budget.</t>
  </si>
  <si>
    <t>Coordinated with senior creative and account leadership regarding production requirements.</t>
  </si>
  <si>
    <t>Oversaw the selection of key production personnel.</t>
  </si>
  <si>
    <t>Reviewed proposed locations, vendors, and production resources.</t>
  </si>
  <si>
    <t>Provided guidance on production logistics and operational planning.</t>
  </si>
  <si>
    <t>Approved major production expenditures and contractual commitments.</t>
  </si>
  <si>
    <t>Participated in internal planning meetings related to production readiness.</t>
  </si>
  <si>
    <t>Provided final production approval prior to the start of filming.</t>
  </si>
  <si>
    <t>Monitored overall production progress and operational execution.</t>
  </si>
  <si>
    <t>Ensured the production team adhered to the approved schedule and budget.</t>
  </si>
  <si>
    <t>Provided executive oversight for on-set production operations.</t>
  </si>
  <si>
    <t>Addressed high-level production challenges during filming.</t>
  </si>
  <si>
    <t>Coordinated with senior staff regarding production updates and adjustments.</t>
  </si>
  <si>
    <t>Reviewed daily production reports and status updates.</t>
  </si>
  <si>
    <t>Confirmed that production activities followed the approved production plan.</t>
  </si>
  <si>
    <t>Evaluated the effectiveness of production processes during filming.</t>
  </si>
  <si>
    <t>Authorized necessary production adjustments when required.</t>
  </si>
  <si>
    <t>Maintained executive supervision of production operations throughout the shoot</t>
  </si>
  <si>
    <t>Reviewed the post-production schedule and workflow.</t>
  </si>
  <si>
    <t>Monitored post-production progress against the approved timeline.</t>
  </si>
  <si>
    <t>Ensured post-production resources were allocated appropriately.</t>
  </si>
  <si>
    <t>Coordinated with post-production supervisors regarding deliverables.</t>
  </si>
  <si>
    <t>Reviewed updates on editing, visual effects, and finishing processes.</t>
  </si>
  <si>
    <t>Addressed operational issues affecting post-production timelines.</t>
  </si>
  <si>
    <t>Evaluated the efficiency of post-production workflows.</t>
  </si>
  <si>
    <t>Approved major post-production expenditures when required.</t>
  </si>
  <si>
    <t>Confirmed completion of post-production milestones.</t>
  </si>
  <si>
    <t>Provided final production oversight until all deliverables were completed.</t>
  </si>
  <si>
    <t>SVP, Dir of Pro</t>
  </si>
  <si>
    <t>Oversaw the development of the production schedule and coordinated timelines with internal teams and external partners.</t>
  </si>
  <si>
    <t>Reviewed and approved creative concepts and scripts to ensure feasibility within production parameters.</t>
  </si>
  <si>
    <t>Led production planning meetings with agency leadership and creative stakeholders.</t>
  </si>
  <si>
    <t>Evaluated and selected production partners, including directors and production companies.</t>
  </si>
  <si>
    <t>Managed preliminary production budgets and approved cost estimates.</t>
  </si>
  <si>
    <t>Coordinated the planning of locations, casting, and key production logistics.</t>
  </si>
  <si>
    <t>Supervised the development of storyboards and visual references for production alignment.</t>
  </si>
  <si>
    <t>Reviewed production plans to ensure compliance with project scope and timelines.</t>
  </si>
  <si>
    <t>Approved final production schedules and pre-production deliverables.</t>
  </si>
  <si>
    <t>Communicated production plans and expectations to internal teams and external collaborators.</t>
  </si>
  <si>
    <t>Oversaw principal photography and monitored adherence to the production schedule.</t>
  </si>
  <si>
    <t>Supervised production teams to ensure execution aligned with the approved creative direction.</t>
  </si>
  <si>
    <t>Reviewed daily production reports and monitored progress against planned milestones.</t>
  </si>
  <si>
    <t>Coordinated with creative leadership regarding on-set production decisions.</t>
  </si>
  <si>
    <t>Approved adjustments to production plans as required during filming.</t>
  </si>
  <si>
    <t>Monitored production budgets and authorized necessary expenditures.</t>
  </si>
  <si>
    <t>Managed communication between agency leadership and the production team during filming.</t>
  </si>
  <si>
    <t>Ensured production activities adhered to established operational and safety standards.</t>
  </si>
  <si>
    <t>Evaluated captured footage with creative leadership to confirm coverage requirements.</t>
  </si>
  <si>
    <t>Documented production outcomes and coordinated wrap-up activities.</t>
  </si>
  <si>
    <t>Oversaw the post-production schedule and coordinated timelines with editorial teams.</t>
  </si>
  <si>
    <t>Reviewed initial edits and provided feedback aligned with creative direction.</t>
  </si>
  <si>
    <t>Supervised the development of graphics, visual effects, and finishing elements.</t>
  </si>
  <si>
    <t>Managed post-production budgets and approved associated costs.</t>
  </si>
  <si>
    <t>Coordinated review sessions with agency leadership and creative stakeholders.</t>
  </si>
  <si>
    <t>Approved revisions to editorial cuts and post-production deliverables.</t>
  </si>
  <si>
    <t>Oversaw color grading, sound design, and final finishing processes.</t>
  </si>
  <si>
    <t>Ensured all deliverables met technical and quality standards.</t>
  </si>
  <si>
    <t>Approved final versions of the commercial for distribution.</t>
  </si>
  <si>
    <t>Documented final production outcomes and coordinated project closure.</t>
  </si>
  <si>
    <t>Assoc Proj Mngr</t>
  </si>
  <si>
    <t>Coordinated project timelines and tracked key pre-production milestones.</t>
  </si>
  <si>
    <t>Organized internal meetings and distributed agendas and follow-up notes.</t>
  </si>
  <si>
    <t>Maintained project documentation, including schedules, briefs, and production plans.</t>
  </si>
  <si>
    <t>Assisted in the preparation and tracking of preliminary production budgets.</t>
  </si>
  <si>
    <t>Communicated project updates between internal teams and production partners.</t>
  </si>
  <si>
    <t>Managed the collection and organization of pre-production deliverables.</t>
  </si>
  <si>
    <t>Coordinated approvals for scripts, storyboards, and production materials.</t>
  </si>
  <si>
    <t>Monitored project timelines and updated schedules as planning progressed.</t>
  </si>
  <si>
    <t>Supported the scheduling of casting sessions, location scouts, and technical meetings.</t>
  </si>
  <si>
    <t>Tracked action items and ensured completion of assigned pre-production tasks.</t>
  </si>
  <si>
    <t>Monitored daily production schedules and tracked progress against planned timelines.</t>
  </si>
  <si>
    <t>Coordinated communication between the agency team and production personnel during filming.</t>
  </si>
  <si>
    <t>Maintained records of production updates and distributed status reports.</t>
  </si>
  <si>
    <t>Tracked production deliverables and ensured proper documentation of completed work.</t>
  </si>
  <si>
    <t>Assisted in resolving scheduling conflicts and coordinating adjustments.</t>
  </si>
  <si>
    <t>Documented production activities and maintained updated project records.</t>
  </si>
  <si>
    <t>Coordinated logistics for agency team members involved in production activities.</t>
  </si>
  <si>
    <t>Monitored budget tracking reports and recorded production expenses.</t>
  </si>
  <si>
    <t>Facilitated communication regarding changes to production timelines or requirements.</t>
  </si>
  <si>
    <t>Organized production documentation and maintained project files.</t>
  </si>
  <si>
    <t>Coordinated post-production schedules and tracked editorial milestones.</t>
  </si>
  <si>
    <t>Organized review sessions and distributed materials for internal feedback.</t>
  </si>
  <si>
    <t>Collected and consolidated feedback from stakeholders during edit reviews.</t>
  </si>
  <si>
    <t>Maintained version control for editorial cuts and production assets.</t>
  </si>
  <si>
    <t>Updated project schedules to reflect post-production progress.</t>
  </si>
  <si>
    <t>Tracked completion of post-production deliverables and milestones.</t>
  </si>
  <si>
    <t>Coordinated communication between editorial teams and agency stakeholders.</t>
  </si>
  <si>
    <t>Documented revisions and distributed updated production materials.</t>
  </si>
  <si>
    <t>Maintained records of approvals for final edits and deliverables.</t>
  </si>
  <si>
    <t>Compiled final project documentation and organized project closure materials.</t>
  </si>
  <si>
    <t>Reviewed and approved production plans to ensure alignment with broadcast requirements.</t>
  </si>
  <si>
    <t>Evaluated scripts and creative materials to confirm suitability for broadcast distribution.</t>
  </si>
  <si>
    <t>Coordinated with agency leadership and production teams to finalize broadcast production strategies.</t>
  </si>
  <si>
    <t>Approved production budgets and monitored cost allocations for broadcast deliverables.</t>
  </si>
  <si>
    <t>Supervised the selection of directors, production vendors, and key broadcast partners.</t>
  </si>
  <si>
    <t>Reviewed storyboards and production outlines to confirm broadcast feasibility.</t>
  </si>
  <si>
    <t>Established broadcast timelines and coordinated scheduling expectations.</t>
  </si>
  <si>
    <t>Oversaw compliance with broadcast technical standards during production planning.</t>
  </si>
  <si>
    <t>Approved final pre-production deliverables related to broadcast execution.</t>
  </si>
  <si>
    <t>Communicated broadcast production guidelines to internal teams and production partners.</t>
  </si>
  <si>
    <t>Oversaw broadcast-related aspects of principal photography.</t>
  </si>
  <si>
    <t>Monitored production progress to ensure alignment with broadcast specifications.</t>
  </si>
  <si>
    <t>Coordinated with production leadership regarding broadcast considerations during filming.</t>
  </si>
  <si>
    <t>Reviewed daily production reports and monitored key production milestones.</t>
  </si>
  <si>
    <t>Evaluated captured footage to confirm broadcast usability.</t>
  </si>
  <si>
    <t>Approved necessary production adjustments affecting broadcast deliverables.</t>
  </si>
  <si>
    <t>Maintained communication with agency leadership regarding production status.</t>
  </si>
  <si>
    <t>Monitored production costs related to broadcast execution.</t>
  </si>
  <si>
    <t>Ensured production activities adhered to established broadcast standards.</t>
  </si>
  <si>
    <t>Documented production outcomes relevant to broadcast deliverables.</t>
  </si>
  <si>
    <t>Oversaw the post-production process for broadcast deliverables.</t>
  </si>
  <si>
    <t>Reviewed editorial cuts to ensure compliance with broadcast standards.</t>
  </si>
  <si>
    <t>Coordinated review sessions with internal stakeholders for broadcast approvals.</t>
  </si>
  <si>
    <t>Approved revisions to edits, graphics, and finishing elements intended for broadcast.</t>
  </si>
  <si>
    <t>Monitored post-production schedules to ensure timely completion of broadcast assets.</t>
  </si>
  <si>
    <t>Supervised color grading and audio finishing to meet broadcast specifications.</t>
  </si>
  <si>
    <t>Verified that final deliverables met required broadcast technical standards.</t>
  </si>
  <si>
    <t>Approved final broadcast versions of the commercial.</t>
  </si>
  <si>
    <t>Coordinated delivery of completed assets for broadcast distribution.</t>
  </si>
  <si>
    <t>Documented final approvals and completed broadcast production records.</t>
  </si>
  <si>
    <t>Dir Tal Mgt Bcast</t>
  </si>
  <si>
    <t>Reviewed casting requirements and aligned talent needs with production plans.</t>
  </si>
  <si>
    <t>Coordinated the sourcing and evaluation of on-camera and voice talent.</t>
  </si>
  <si>
    <t>Managed communication with talent representatives regarding availability and scheduling.</t>
  </si>
  <si>
    <t>Negotiated preliminary talent terms and confirmed engagement details.</t>
  </si>
  <si>
    <t>Organized casting sessions and coordinated logistics for talent evaluations.</t>
  </si>
  <si>
    <t>Reviewed talent submissions and prepared recommendations for internal stakeholders.</t>
  </si>
  <si>
    <t>Coordinated the development and execution of talent agreements.</t>
  </si>
  <si>
    <t>Confirmed talent participation and finalized scheduling for production activities.</t>
  </si>
  <si>
    <t>Maintained records of talent documentation and contractual materials.</t>
  </si>
  <si>
    <t>Communicated finalized talent arrangements to production and agency teams.</t>
  </si>
  <si>
    <t>Coordinated talent arrival schedules and on-set participation.</t>
  </si>
  <si>
    <t>Managed communication between talent representatives and production teams during filming.</t>
  </si>
  <si>
    <t>Ensured talent agreements and participation terms were followed during production.</t>
  </si>
  <si>
    <t>Addressed scheduling adjustments related to talent availability.</t>
  </si>
  <si>
    <t>Monitored talent participation throughout principal photography.</t>
  </si>
  <si>
    <t>Coordinated approvals related to talent appearances and performance requirements.</t>
  </si>
  <si>
    <t>Maintained documentation of talent activity during production.</t>
  </si>
  <si>
    <t>Facilitated communication between agency leadership and talent representatives.</t>
  </si>
  <si>
    <t>Confirmed completion of contracted talent obligations during filming.</t>
  </si>
  <si>
    <t>Documented talent-related outcomes at the conclusion of production activities.</t>
  </si>
  <si>
    <t>Reviewed edited footage to confirm proper use of contracted talent appearances.</t>
  </si>
  <si>
    <t>Verified compliance with talent agreements in post-production materials.</t>
  </si>
  <si>
    <t>Coordinated approvals related to talent usage in final edits.</t>
  </si>
  <si>
    <t>Managed communication with talent representatives regarding post-production updates.</t>
  </si>
  <si>
    <t>Oversaw documentation related to talent usage and rights management.</t>
  </si>
  <si>
    <t>Confirmed completion of talent deliverables required for broadcast distribution.</t>
  </si>
  <si>
    <t>Addressed talent-related revisions requested during post-production reviews.</t>
  </si>
  <si>
    <t>Maintained records of talent approvals for final deliverables.</t>
  </si>
  <si>
    <t>Coordinated final confirmations related to talent rights and usage terms.</t>
  </si>
  <si>
    <t>Documented completion of talent management responsibilities for project closure.</t>
  </si>
  <si>
    <t>Art Dir - Jr</t>
  </si>
  <si>
    <t>Developed initial visual concepts based on the creative brief.</t>
  </si>
  <si>
    <t>Created mood boards to establish visual direction for the campaign.</t>
  </si>
  <si>
    <t>Sketched layout ideas and storyboards for review by the creative team.</t>
  </si>
  <si>
    <t>Collaborated with the creative director to refine visual concepts.</t>
  </si>
  <si>
    <t>Selected typefaces, color palettes, and visual styles for the project.</t>
  </si>
  <si>
    <t>Coordinated with designers and illustrators to produce draft assets.</t>
  </si>
  <si>
    <t>Prepared visual presentations for client approval.</t>
  </si>
  <si>
    <t>Assisted in location scouting by providing visual references.</t>
  </si>
  <si>
    <t>Reviewed reference materials and competitor visuals to inform design decisions.</t>
  </si>
  <si>
    <t>Documented design specifications for production teams.</t>
  </si>
  <si>
    <t>Oversaw on-set execution of visual concepts during filming.</t>
  </si>
  <si>
    <t>Directed props, set dressing, and visual elements to align with storyboards.</t>
  </si>
  <si>
    <t>Provided guidance to photographers and videographers on composition and framing.</t>
  </si>
  <si>
    <t>Adjusted lighting and set visuals to maintain the intended aesthetic.</t>
  </si>
  <si>
    <t>Monitored wardrobe and makeup to ensure visual consistency.</t>
  </si>
  <si>
    <t>Reviewed live shots and suggested visual improvements on set.</t>
  </si>
  <si>
    <t>Coordinated with the director and producer to resolve visual challenges.</t>
  </si>
  <si>
    <t>Captured reference images for post-production use.</t>
  </si>
  <si>
    <t>Approved practical effects and set details before filming scenes.</t>
  </si>
  <si>
    <t>Documented on-set design changes for the post-production team.</t>
  </si>
  <si>
    <t>Reviewed raw footage to identify shots requiring visual adjustments.</t>
  </si>
  <si>
    <t>Collaborated with editors to implement visual corrections and enhancements.</t>
  </si>
  <si>
    <t>Provided feedback on color grading and compositing to maintain aesthetic consistency.</t>
  </si>
  <si>
    <t>Selected and approved graphic elements for integration into the commercial.</t>
  </si>
  <si>
    <t>Reviewed motion graphics and visual effects for accuracy and style adherence.</t>
  </si>
  <si>
    <t>Coordinated with the sound and editing team to ensure visual harmony.</t>
  </si>
  <si>
    <t>Annotated changes and revisions for final visual approval.</t>
  </si>
  <si>
    <t>Conducted quality checks on final renders and proofs.</t>
  </si>
  <si>
    <t>Prepared visual assets for delivery to clients or broadcasting platforms.</t>
  </si>
  <si>
    <t>Archived final visual files and documentation for future reference.</t>
  </si>
  <si>
    <t>Strategy - Dir</t>
  </si>
  <si>
    <t>Analyzed market research and consumer insights to define campaign direction.</t>
  </si>
  <si>
    <t>Developed overarching brand and communication strategies for the commercial.</t>
  </si>
  <si>
    <t>Defined target audience segments and messaging priorities.</t>
  </si>
  <si>
    <t>Collaborated with creative teams to translate strategic objectives into concepts.</t>
  </si>
  <si>
    <t>Conducted competitor benchmarking to inform positioning.</t>
  </si>
  <si>
    <t>Prepared strategic briefs for internal teams and external partners.</t>
  </si>
  <si>
    <t>Presented strategy recommendations to senior leadership for approval.</t>
  </si>
  <si>
    <t>Identified key performance indicators (KPIs) for campaign success.</t>
  </si>
  <si>
    <t>Reviewed client objectives and aligned them with creative proposals.</t>
  </si>
  <si>
    <t>Facilitated strategy workshops with cross-functional teams.</t>
  </si>
  <si>
    <t>Monitored on-set execution to ensure alignment with strategic objectives.</t>
  </si>
  <si>
    <t>Provided guidance on messaging consistency during filming.</t>
  </si>
  <si>
    <t>Advised creative and production teams on tone and brand voice.</t>
  </si>
  <si>
    <t>Evaluated scene content for audience relevance and impact.</t>
  </si>
  <si>
    <t>Coordinated with the producer and director to maintain strategic focus.</t>
  </si>
  <si>
    <t>Addressed potential risks to brand perception during production.</t>
  </si>
  <si>
    <t>Tracked production progress against strategic timelines and milestones.</t>
  </si>
  <si>
    <t>Provided real-time feedback to ensure campaign objectives were met.</t>
  </si>
  <si>
    <t>Documented production insights for post-campaign analysis.</t>
  </si>
  <si>
    <t>Validated that all strategic considerations were incorporated on set.</t>
  </si>
  <si>
    <t>Reviewed edits and rough cuts to ensure messaging alignment.</t>
  </si>
  <si>
    <t>Assessed final content against strategic objectives and KPIs.</t>
  </si>
  <si>
    <t>Coordinated with the analytics team to define tracking mechanisms.</t>
  </si>
  <si>
    <t>Provided feedback on story sequencing to optimize audience engagement.</t>
  </si>
  <si>
    <t>Evaluated the commercial for brand consistency and compliance.</t>
  </si>
  <si>
    <t>Recommended adjustments for pacing, tone, or messaging if needed.</t>
  </si>
  <si>
    <t>Prepared strategic reports for internal teams and clients.</t>
  </si>
  <si>
    <t>Collaborated with media teams to ensure proper distribution strategy.</t>
  </si>
  <si>
    <t>Documented lessons learned and strategic insights for future campaigns.</t>
  </si>
  <si>
    <t>Presented post-campaign evaluation highlighting performance versus objectives.</t>
  </si>
  <si>
    <t>Copywriter - Jr</t>
  </si>
  <si>
    <t>Drafted initial script ideas based on the creative brief.</t>
  </si>
  <si>
    <t>Researched target audience, brand tone, and product messaging.</t>
  </si>
  <si>
    <t>Assisted in brainstorming sessions to generate campaign concepts.</t>
  </si>
  <si>
    <t>Developed taglines, headlines, and supporting copy for scripts.</t>
  </si>
  <si>
    <t>Edited and refined copy under guidance from senior copywriters.</t>
  </si>
  <si>
    <t>Created variations of scripts for internal review and testing.</t>
  </si>
  <si>
    <t>Collaborated with art directors to align copy with visual concepts.</t>
  </si>
  <si>
    <t>Prepared written content for client presentations.</t>
  </si>
  <si>
    <t>Incorporated feedback from creative directors into script revisions.</t>
  </si>
  <si>
    <t>Maintained organized versions of all draft materials for reference.</t>
  </si>
  <si>
    <t>Reviewed on-set delivery of dialogue and voiceover for accuracy.</t>
  </si>
  <si>
    <t>Provided on-the-spot script adjustments to match production needs.</t>
  </si>
  <si>
    <t>Ensured that actors’ lines adhered to approved copy and tone.</t>
  </si>
  <si>
    <t>Worked with the director to clarify wordings during takes.</t>
  </si>
  <si>
    <t>Coordinated with production teams to update copy in real time.</t>
  </si>
  <si>
    <t>Annotated changes required for post-production edits.</t>
  </si>
  <si>
    <t>Verified captions, subtitles, and on-screen text for consistency.</t>
  </si>
  <si>
    <t>Monitored brand voice across all live-recorded elements.</t>
  </si>
  <si>
    <t>Assisted with ad-libs or alternative phrasing as needed on set.</t>
  </si>
  <si>
    <t>Documented final on-set copy for handoff to post-production.</t>
  </si>
  <si>
    <t>Reviewed edited footage to ensure copy matched approved scripts.</t>
  </si>
  <si>
    <t>Provided corrections for voiceover, on-screen text, and captions.</t>
  </si>
  <si>
    <t>Collaborated with editors and motion graphics teams on text integration.</t>
  </si>
  <si>
    <t>Refined copy for timing, pacing, and readability in the final cut.</t>
  </si>
  <si>
    <t>Proofread all written elements for grammar, style, and brand consistency.</t>
  </si>
  <si>
    <t>Approved final taglines and messaging before client submission.</t>
  </si>
  <si>
    <t>Coordinated with sound and effects teams to synchronize copy with visuals.</t>
  </si>
  <si>
    <t>Updated scripts to reflect any last-minute creative changes.</t>
  </si>
  <si>
    <t>Maintained a record of all copy versions for client and internal archives.</t>
  </si>
  <si>
    <t>Assisted in post-campaign reporting by documenting messaging outcomes.</t>
  </si>
  <si>
    <t>Assoc Creative Dir/ Art Dir</t>
  </si>
  <si>
    <t>Developed visual concepts and mood boards for the commercial.</t>
  </si>
  <si>
    <t>Reviewed scripts and provided creative input on visual storytelling.</t>
  </si>
  <si>
    <t>Collaborated with copywriters to refine messaging and tone.</t>
  </si>
  <si>
    <t>Approved storyboard sketches and animatics.</t>
  </si>
  <si>
    <t>Selected key visual styles, color palettes, and design elements.</t>
  </si>
  <si>
    <t>Coordinated with production designers on set and location requirements.</t>
  </si>
  <si>
    <t>Provided feedback on casting and talent choices.</t>
  </si>
  <si>
    <t>Ensured visual consistency across all creative materials.</t>
  </si>
  <si>
    <t>Reviewed and approved pre-visualization materials, including concept art.</t>
  </si>
  <si>
    <t>Conducted creative presentations for internal and client review.</t>
  </si>
  <si>
    <t>Oversaw on-set art direction to ensure visual integrity.</t>
  </si>
  <si>
    <t>Guided camera angles, framing, and composition with the director.</t>
  </si>
  <si>
    <t>Reviewed set dressing and props for adherence to the concept.</t>
  </si>
  <si>
    <t>Directed lighting and color schemes in collaboration with cinematographers.</t>
  </si>
  <si>
    <t>Monitored wardrobe, makeup, and styling to maintain brand consistency.</t>
  </si>
  <si>
    <t>Coordinated with the production team to solve creative challenges.</t>
  </si>
  <si>
    <t>Approved key frames and shots during filming.</t>
  </si>
  <si>
    <t>Provided real-time feedback on performances from a visual perspective.</t>
  </si>
  <si>
    <t>Ensured adherence to the storyboard and shot list.</t>
  </si>
  <si>
    <t>Maintained visual continuity across multiple shooting locations</t>
  </si>
  <si>
    <t>Reviewed and approved rough edits for pacing and composition.</t>
  </si>
  <si>
    <t>Directed color grading to align with the creative vision.</t>
  </si>
  <si>
    <t>Provided feedback on visual effects and motion graphics.</t>
  </si>
  <si>
    <t>Coordinated with editors to refine transitions and scene flow.</t>
  </si>
  <si>
    <t>Approved final visual assets, including titles and overlays.</t>
  </si>
  <si>
    <t>Ensured consistency of branding elements across the commercial.</t>
  </si>
  <si>
    <t>Reviewed audio-visual integration for overall impact.</t>
  </si>
  <si>
    <t>Provided notes on final cut revisions.</t>
  </si>
  <si>
    <t>Collaborated with post-production vendors to finalize deliverables.</t>
  </si>
  <si>
    <t>Signed off on the completed commercial before distribution</t>
  </si>
  <si>
    <t>VP, Acct Dir</t>
  </si>
  <si>
    <t>Developed client briefs and ensured alignment with marketing objectives.</t>
  </si>
  <si>
    <t>Reviewed creative proposals and provided strategic guidance.</t>
  </si>
  <si>
    <t>Coordinated budget planning and resource allocation for the project.</t>
  </si>
  <si>
    <t>Scheduled pre-production meetings and approved timelines.</t>
  </si>
  <si>
    <t>Negotiated contracts with vendors, talent, and production partners.</t>
  </si>
  <si>
    <t>Presented campaign strategy and creative direction to clients.</t>
  </si>
  <si>
    <t>Identified potential risks and devised mitigation plans.</t>
  </si>
  <si>
    <t>Approved overall project scope and deliverables.</t>
  </si>
  <si>
    <t>Facilitated internal alignment between creative, production, and media teams.</t>
  </si>
  <si>
    <t>Monitored adherence to brand guidelines and compliance requirements</t>
  </si>
  <si>
    <t>Oversaw production schedules to ensure timely execution.</t>
  </si>
  <si>
    <t>Monitored project budget and controlled costs during filming.</t>
  </si>
  <si>
    <t>Communicated between clients and production teams for approvals.</t>
  </si>
  <si>
    <t>Addressed operational or logistical challenges on set.</t>
  </si>
  <si>
    <t>Ensured contract compliance with talent, crew, and vendors.</t>
  </si>
  <si>
    <t>Approved key production milestones, including location and set decisions.</t>
  </si>
  <si>
    <t>Maintained client satisfaction through proactive updates.</t>
  </si>
  <si>
    <t>Reviewed adherence to creative brief and brand standards on set.</t>
  </si>
  <si>
    <t>Coordinated with legal and compliance teams on production requirements.</t>
  </si>
  <si>
    <t>Documented production progress and reported status to senior leadership.</t>
  </si>
  <si>
    <t>Reviewed final cuts and ensured alignment with client objectives.</t>
  </si>
  <si>
    <t>Approved post-production budgets and managed additional costs.</t>
  </si>
  <si>
    <t>Facilitated client feedback sessions and incorporated revisions.</t>
  </si>
  <si>
    <t>Coordinated delivery schedules for multiple formats and channels.</t>
  </si>
  <si>
    <t>Ensured quality control across all visual and audio outputs.</t>
  </si>
  <si>
    <t>Managed vendor relationships for editing, VFX, and sound design.</t>
  </si>
  <si>
    <t>Monitored performance metrics and projected campaign impact.</t>
  </si>
  <si>
    <t>Provided strategic sign-off on final deliverables.</t>
  </si>
  <si>
    <t>Conducted post-campaign evaluations and shared insights with clients.</t>
  </si>
  <si>
    <t>Documented lessons learned and recommended process improvements for future projects.</t>
  </si>
  <si>
    <t>Strategist</t>
  </si>
  <si>
    <t>Conducted audience research and synthesized key consumer insights.</t>
  </si>
  <si>
    <t>Developed the strategic brief outlining campaign objectives and communication direction.</t>
  </si>
  <si>
    <t>Collaborated with account and creative teams to align on the core messaging framework.</t>
  </si>
  <si>
    <t>Defined target audience segments based on behavioral and demographic data.</t>
  </si>
  <si>
    <t>Evaluated market trends and competitive positioning to inform strategy.</t>
  </si>
  <si>
    <t>Translated client objectives into clear strategic territories for creative exploration.</t>
  </si>
  <si>
    <t>Facilitated briefing sessions with internal stakeholders to ensure alignment.</t>
  </si>
  <si>
    <t>Reviewed initial creative concepts against the approved strategy.</t>
  </si>
  <si>
    <t>Provided strategic input on script direction and narrative structure.</t>
  </si>
  <si>
    <t>Approved pre-production materials to ensure consistency with the strategic brief.</t>
  </si>
  <si>
    <t>Attended shoot days to ensure alignment between execution and strategic intent.</t>
  </si>
  <si>
    <t>Monitored content capture to verify adherence to key messaging priorities.</t>
  </si>
  <si>
    <t>Provided real-time feedback on scene execution relative to audience strategy.</t>
  </si>
  <si>
    <t>Coordinated with directors and producers to maintain strategic consistency.</t>
  </si>
  <si>
    <t>Evaluated rough footage to assess alignment with communication objectives.</t>
  </si>
  <si>
    <t>Advised on adjustments to performance or scene composition when necessary.</t>
  </si>
  <si>
    <t>Reviewed on-set content to ensure relevance to defined audience insights.</t>
  </si>
  <si>
    <t>Supported decision-making during production based on strategic priorities.</t>
  </si>
  <si>
    <t>Documented key observations to guide post-production refinement.</t>
  </si>
  <si>
    <t>Ensured that brand positioning was consistently represented throughout filming.</t>
  </si>
  <si>
    <t>Reviewed edited cuts to evaluate alignment with the strategic brief.</t>
  </si>
  <si>
    <t>Provided feedback on pacing, tone, and messaging clarity in rough edits.</t>
  </si>
  <si>
    <t>Assessed final versions against defined audience insights and objectives.</t>
  </si>
  <si>
    <t>Collaborated with editors to refine narrative structure and message delivery.</t>
  </si>
  <si>
    <t>Ensured consistency between visual storytelling and strategic positioning.</t>
  </si>
  <si>
    <t>Evaluated color grading, sound design, and music choices for brand fit.</t>
  </si>
  <si>
    <t>Approved final commercial outputs for strategic accuracy.</t>
  </si>
  <si>
    <t>Analyzed audience resonance of final cuts based on pre-defined metrics.</t>
  </si>
  <si>
    <t>Presented strategic rationale behind the final version to stakeholders.</t>
  </si>
  <si>
    <t>Confirmed that the final deliverables met campaign communication goals</t>
  </si>
  <si>
    <t>Analytics Dir</t>
  </si>
  <si>
    <t>Developed audience segmentation frameworks for the commercial campaign.</t>
  </si>
  <si>
    <t>Analyzed historical campaign performance data to inform creative direction.</t>
  </si>
  <si>
    <t>Prepared forecasting models for projected campaign reach and engagement.</t>
  </si>
  <si>
    <t>Consolidated consumer insights into strategic briefing documents.</t>
  </si>
  <si>
    <t>Evaluated media consumption trends relevant to the target demographic.</t>
  </si>
  <si>
    <t>Collaborated with creative and strategy teams to align messaging objectives.</t>
  </si>
  <si>
    <t>Assessed competitive advertising activity and summarized market findings.</t>
  </si>
  <si>
    <t>Defined measurement criteria and key performance indicators for the campaign.</t>
  </si>
  <si>
    <t>Reviewed budget allocation scenarios based on projected media performance.</t>
  </si>
  <si>
    <t>Presented analytical recommendations during pre-production planning meetings.</t>
  </si>
  <si>
    <t>Monitored production deliverables against approved campaign objectives.</t>
  </si>
  <si>
    <t>Reviewed live production updates to ensure alignment with audience strategy.</t>
  </si>
  <si>
    <t>Coordinated with cross-functional teams to validate data-driven creative adjustments.</t>
  </si>
  <si>
    <t>Tracked production timelines and reported status updates to stakeholders.</t>
  </si>
  <si>
    <t>Evaluated on-set content variations for anticipated performance effectiveness.</t>
  </si>
  <si>
    <t>Verified that campaign assets adhered to approved targeting requirements.</t>
  </si>
  <si>
    <t>Conducted interim reporting on projected media and audience outcomes.</t>
  </si>
  <si>
    <t>Maintained documentation of production-related analytical observations.</t>
  </si>
  <si>
    <t>Reviewed performance assumptions related to placement and distribution plans.</t>
  </si>
  <si>
    <t>Supported decision-making processes with real-time campaign data assessments.</t>
  </si>
  <si>
    <t>Analyzed campaign performance metrics across multiple distribution channels.</t>
  </si>
  <si>
    <t>Prepared post-campaign reporting presentations for internal stakeholders.</t>
  </si>
  <si>
    <t>Evaluated audience engagement data against established benchmarks.</t>
  </si>
  <si>
    <t>Compiled insights from campaign analytics into summary reports.</t>
  </si>
  <si>
    <t>Assessed return on investment using finalized campaign performance data.</t>
  </si>
  <si>
    <t>Identified trends and performance patterns within audience response metrics.</t>
  </si>
  <si>
    <t>Compared campaign outcomes against initial forecasting projections.</t>
  </si>
  <si>
    <t>Delivered recommendations for optimization based on post-campaign findings.</t>
  </si>
  <si>
    <t>Archived analytical reports and campaign measurement documentation.</t>
  </si>
  <si>
    <t>Presented final performance evaluations during campaign review sessions.</t>
  </si>
  <si>
    <t>Broadcast Assoc Prod</t>
  </si>
  <si>
    <t>Reviewed the creative brief and assisted in translating requirements into actionable production plans.</t>
  </si>
  <si>
    <t>Coordinated with internal teams to develop production schedules and key milestone timelines.</t>
  </si>
  <si>
    <t>Assisted in preparing and organizing production documents, including call sheets and shot lists.</t>
  </si>
  <si>
    <t>Supported the coordination of talent, crew availability, and logistical requirements for the shoot.</t>
  </si>
  <si>
    <t>Participated in production meetings to align on scope, budget considerations, and execution details.</t>
  </si>
  <si>
    <t>Managed on-set coordination to ensure scheduled activities were executed efficiently.</t>
  </si>
  <si>
    <t>Monitored shoot progress and communicated updates between production teams and stakeholders.</t>
  </si>
  <si>
    <t>Assisted in maintaining continuity by tracking takes, shots, and production notes.</t>
  </si>
  <si>
    <t>Supported real-time problem-solving for scheduling or logistical adjustments during filming.</t>
  </si>
  <si>
    <t>Documented production progress and ensured alignment with planned deliverables.</t>
  </si>
  <si>
    <t>Coordinated the delivery and organization of raw footage and production materials to the post team.</t>
  </si>
  <si>
    <t>Assisted in managing edit review cycles and tracking revision feedback from stakeholders.</t>
  </si>
  <si>
    <t>Ensured adherence to broadcast specifications and technical delivery requirements.</t>
  </si>
  <si>
    <t>Supported the consolidation and finalization of approved commercial versions.</t>
  </si>
  <si>
    <t>Organized and archived completed project assets for future reference and compliance.</t>
  </si>
  <si>
    <t>Sr Mgr, Bus Affairs</t>
  </si>
  <si>
    <t>Reviewed and finalized production-related contracts and agreements.</t>
  </si>
  <si>
    <t>Negotiated terms for talent, crew, and key service providers.</t>
  </si>
  <si>
    <t>Ensured rights clearance for all proposed scripts, concepts, and materials.</t>
  </si>
  <si>
    <t>Verified budget allocations aligned with contractual obligations and approvals.</t>
  </si>
  <si>
    <t>Coordinated insurance requirements and ensured appropriate coverage was secured.</t>
  </si>
  <si>
    <t>Conducted legal and compliance reviews for all production documentation.</t>
  </si>
  <si>
    <t>Approved vendor contracts and service agreements for pre-production activities.</t>
  </si>
  <si>
    <t>Managed licensing requirements for music, stock assets, and third-party materials.</t>
  </si>
  <si>
    <t>Confirmed execution of release forms and related documentation templates.</t>
  </si>
  <si>
    <t>Aligned payment terms and schedules with finance and production stakeholders.</t>
  </si>
  <si>
    <t>Monitored on-set compliance with contractual and legal obligations.</t>
  </si>
  <si>
    <t>Reviewed and approved production changes impacting scope or cost.</t>
  </si>
  <si>
    <t>Authorized issuance of additional work orders and contract amendments.</t>
  </si>
  <si>
    <t>Verified accurate completion of timesheets and labor classifications.</t>
  </si>
  <si>
    <t>Ensured proper execution and collection of talent and location releases.</t>
  </si>
  <si>
    <t>Coordinated resolution of legal or insurance issues arising during shoot.</t>
  </si>
  <si>
    <t>Oversaw correct usage of licensed materials during production activities.</t>
  </si>
  <si>
    <t>Documented real-time contractual adjustments and production variances.</t>
  </si>
  <si>
    <t>Confirmed vendor deliverables aligned with agreed contractual terms.</t>
  </si>
  <si>
    <t>Tracked and recorded production-related financial and legal updates.</t>
  </si>
  <si>
    <t>Reviewed post-production agreements and finalized contractual amendments.</t>
  </si>
  <si>
    <t>Approved final usage rights for all delivered creative assets.</t>
  </si>
  <si>
    <t>Verified clearance of music, footage, and third-party materials.</t>
  </si>
  <si>
    <t>Audited final invoices against contracted terms and approved budgets.</t>
  </si>
  <si>
    <t>Processed completion of payments and contract closeout requirements.</t>
  </si>
  <si>
    <t>Confirmed compliance with delivery specifications and usage terms.</t>
  </si>
  <si>
    <t>Reviewed and reconciled talent residuals and usage obligations.</t>
  </si>
  <si>
    <t>Archived all legal, licensing, and contractual documentation.</t>
  </si>
  <si>
    <t>Resolved outstanding claims, disputes, or contractual issues.</t>
  </si>
  <si>
    <t>Completed final compliance and production closeout review.</t>
  </si>
  <si>
    <t>Assoc Strategy Dir</t>
  </si>
  <si>
    <t>Conducted background research on market, audience, and category trends.</t>
  </si>
  <si>
    <t>Developed the core communication strategy for the commercial.</t>
  </si>
  <si>
    <t>Defined target audience segments and behavioral insights.</t>
  </si>
  <si>
    <t>Translated client objectives into strategic campaign direction.</t>
  </si>
  <si>
    <t>Collaborated on writing the creative and strategic brief.</t>
  </si>
  <si>
    <t>Identified key consumer tensions and opportunity areas.</t>
  </si>
  <si>
    <t>Established positioning and messaging frameworks for the campaign.</t>
  </si>
  <si>
    <t>Reviewed early creative routes against strategic intent.</t>
  </si>
  <si>
    <t>Aligned stakeholders on strategic direction and success metrics.</t>
  </si>
  <si>
    <t>Supported development of research inputs for concept validation.</t>
  </si>
  <si>
    <t>Ensured ongoing alignment of execution with approved strategy.</t>
  </si>
  <si>
    <t>Provided strategic input on script, storyboard, and concept refinements.</t>
  </si>
  <si>
    <t>Evaluated production decisions against audience relevance and messaging.</t>
  </si>
  <si>
    <t>Participated in shoot reviews to ensure strategic consistency.</t>
  </si>
  <si>
    <t>Assessed on-set adjustments for alignment with brand positioning.</t>
  </si>
  <si>
    <t>Advised on narrative clarity and communication effectiveness during production.</t>
  </si>
  <si>
    <t>Reviewed real-time content captures for strategic fidelity.</t>
  </si>
  <si>
    <t>Coordinated with creative and production teams on message integrity.</t>
  </si>
  <si>
    <t>Flagged deviations from strategic intent for corrective action.</t>
  </si>
  <si>
    <t>Supported decision-making on content variations during filming.</t>
  </si>
  <si>
    <t>Evaluated rough cuts against the original strategic brief.</t>
  </si>
  <si>
    <t>Provided feedback on narrative structure and message delivery.</t>
  </si>
  <si>
    <t>Ensured final edits aligned with defined positioning and audience insight.</t>
  </si>
  <si>
    <t>Reviewed versions of the commercial for strategic effectiveness.</t>
  </si>
  <si>
    <t>Assessed whether final output met communication objectives.</t>
  </si>
  <si>
    <t>Contributed to refinement of voiceover, captions, and messaging clarity.</t>
  </si>
  <si>
    <t>Validated consistency of final assets with campaign strategy.</t>
  </si>
  <si>
    <t>Participated in stakeholder reviews of final deliverables.</t>
  </si>
  <si>
    <t>Documented strategic learnings from campaign execution.</t>
  </si>
  <si>
    <t>Supported post-campaign analysis and effectiveness review inputs</t>
  </si>
  <si>
    <t>Design &amp; Creative Services</t>
  </si>
  <si>
    <t>Reviewed the creative brief and aligned design direction with campaign objectives.</t>
  </si>
  <si>
    <t>Developed initial visual concepts and design routes for client and internal review.</t>
  </si>
  <si>
    <t>Created storyboards and visual frames to support the commercial narrative.</t>
  </si>
  <si>
    <t>Produced mood boards to establish the visual tone and style of the production.</t>
  </si>
  <si>
    <t>Collaborated with copywriters to integrate visuals with key messaging.</t>
  </si>
  <si>
    <t>Refined key art and design elements based on internal feedback.</t>
  </si>
  <si>
    <t>Prepared presentation decks for client approval of creative direction.</t>
  </si>
  <si>
    <t>Coordinated with production teams to ensure design feasibility for shoot execution.</t>
  </si>
  <si>
    <t>Selected reference materials and visual inspirations for the production team.</t>
  </si>
  <si>
    <t>Finalized approved design assets for use during filming preparation.</t>
  </si>
  <si>
    <t>Supported the production team in executing approved visual designs on set.</t>
  </si>
  <si>
    <t>Provided real-time design adjustments based on on-set requirements.</t>
  </si>
  <si>
    <t>Ensured consistency of branding and visual identity during filming.</t>
  </si>
  <si>
    <t>Assisted in reviewing set design and props for alignment with creative direction.</t>
  </si>
  <si>
    <t>Collaborated with art directors to maintain visual continuity across scenes.</t>
  </si>
  <si>
    <t>Supplied updated design references to guide production execution.</t>
  </si>
  <si>
    <t>Monitored visual elements captured on camera for accuracy and quality.</t>
  </si>
  <si>
    <t>Addressed design-related issues raised during shoot implementation.</t>
  </si>
  <si>
    <t>Coordinated with styling and set teams to align visual details.</t>
  </si>
  <si>
    <t>Documented design executions for reference in post-production.</t>
  </si>
  <si>
    <t>Reviewed edited footage to ensure alignment with approved visual direction.</t>
  </si>
  <si>
    <t>Provided feedback on color grading and visual tone adjustments.</t>
  </si>
  <si>
    <t>Supervised integration of motion graphics and design overlays.</t>
  </si>
  <si>
    <t>Refined visual assets for final composition and consistency.</t>
  </si>
  <si>
    <t>Collaborated with editors to ensure design accuracy in final cuts.</t>
  </si>
  <si>
    <t>Approved typography and layout treatments in video sequences.</t>
  </si>
  <si>
    <t>Ensured brand identity consistency across all post-production outputs.</t>
  </si>
  <si>
    <t>Reviewed and validated final deliverables prior to client submission.</t>
  </si>
  <si>
    <t>Coordinated revisions based on internal and client feedback.</t>
  </si>
  <si>
    <t>Finalized design assets for distribution across media formats.</t>
  </si>
  <si>
    <t>Production Bus Coord</t>
  </si>
  <si>
    <t>Reviewed production requirements and coordinated initial business documentation.</t>
  </si>
  <si>
    <t>Assisted in preparing budgets and cost estimates for the commercial shoot.</t>
  </si>
  <si>
    <t>Organized and tracked vendor quotations and service agreements.</t>
  </si>
  <si>
    <t>Coordinated contract preparation for crew, talent, and suppliers.</t>
  </si>
  <si>
    <t>Monitored approval workflows for production-related expenditures.</t>
  </si>
  <si>
    <t>Assisted in securing permits and compliance requirements for filming.</t>
  </si>
  <si>
    <t>Maintained updated records of production schedules and cost breakdowns.</t>
  </si>
  <si>
    <t>Coordinated with finance teams regarding billing procedures and payment terms.</t>
  </si>
  <si>
    <t>Verified insurance requirements for production activities and vendors.</t>
  </si>
  <si>
    <t>Supported pre-production meetings by documenting business-related action points.</t>
  </si>
  <si>
    <t>Monitored daily production expenses and tracked actual spend against budget.</t>
  </si>
  <si>
    <t>Processed on-set payments and petty cash allocations.</t>
  </si>
  <si>
    <t>Coordinated purchase orders and urgent vendor requests during shoot execution.</t>
  </si>
  <si>
    <t>Verified timesheets and attendance records for production crew.</t>
  </si>
  <si>
    <t>Addressed billing issues and discrepancies with suppliers in real time.</t>
  </si>
  <si>
    <t>Ensured compliance with approved budget allocations during production activities.</t>
  </si>
  <si>
    <t>Maintained communication with finance teams regarding updated cost reports.</t>
  </si>
  <si>
    <t>Organized documentation for production-related transactions on set.</t>
  </si>
  <si>
    <t>Assisted in resolving logistics and cost-related concerns during filming.</t>
  </si>
  <si>
    <t>Recorded financial adjustments based on production changes or extensions.</t>
  </si>
  <si>
    <t>Consolidated all production expenses for final cost reporting.</t>
  </si>
  <si>
    <t>Reviewed and verified supplier invoices for accuracy and completeness.</t>
  </si>
  <si>
    <t>Coordinated payment processing for outstanding production obligations.</t>
  </si>
  <si>
    <t>Reconciled actual spend against approved production budget.</t>
  </si>
  <si>
    <t>Prepared financial summaries and wrap reports for project closure.</t>
  </si>
  <si>
    <t>Organized and archived all production financial documents.</t>
  </si>
  <si>
    <t>Assisted in resolving pending billing issues with vendors and freelancers.</t>
  </si>
  <si>
    <t>Ensured final cost tracking aligned with internal accounting systems.</t>
  </si>
  <si>
    <t>Supported audit requirements by providing complete financial records.</t>
  </si>
  <si>
    <t>Finalized production cost reports for management review and approval.</t>
  </si>
  <si>
    <t>Content Bus Mgr</t>
  </si>
  <si>
    <t>Reviewed content strategy and aligned business objectives with production plans.</t>
  </si>
  <si>
    <t>Developed content budgets and financial forecasts for campaign execution.</t>
  </si>
  <si>
    <t>Coordinated contract preparation for content creators, vendors, and partners.</t>
  </si>
  <si>
    <t>Evaluated licensing requirements for music, footage, and creative assets.</t>
  </si>
  <si>
    <t>Organized approval workflows for content-related expenditures and deliverables.</t>
  </si>
  <si>
    <t>Collaborated with creative and strategy teams to define content scope and timelines.</t>
  </si>
  <si>
    <t>Managed procurement planning for content production resources and services.</t>
  </si>
  <si>
    <t>Verified compliance requirements for content usage and distribution rights.</t>
  </si>
  <si>
    <t>Maintained documentation of content production schedules and cost structures.</t>
  </si>
  <si>
    <t>Supported stakeholder alignment meetings on content business priorities</t>
  </si>
  <si>
    <t>Monitored production spend against approved content budgets.</t>
  </si>
  <si>
    <t>Coordinated licensing confirmations for assets used during production.</t>
  </si>
  <si>
    <t>Processed vendor invoices and tracked on-set content-related expenses.</t>
  </si>
  <si>
    <t>Managed approvals for content adjustments during active production.</t>
  </si>
  <si>
    <t>Ensured proper documentation of all content assets captured during shoot.</t>
  </si>
  <si>
    <t>Addressed rights and usage queries from production teams in real time.</t>
  </si>
  <si>
    <t>Coordinated with legal and finance teams on content-related requirements.</t>
  </si>
  <si>
    <t>Verified deliverables against contractual content obligations.</t>
  </si>
  <si>
    <t>Supported resolution of budget variances during production execution.</t>
  </si>
  <si>
    <t>Maintained updated cost tracking reports for ongoing content production.</t>
  </si>
  <si>
    <t>Reviewed final content outputs for compliance with licensing and usage rights.</t>
  </si>
  <si>
    <t>Approved final content deliverables prior to distribution and publication.</t>
  </si>
  <si>
    <t>Consolidated production costs and prepared final content budget reports.</t>
  </si>
  <si>
    <t>Verified clearance of all assets used in the final commercial edit.</t>
  </si>
  <si>
    <t>Coordinated final invoice processing and vendor settlements.</t>
  </si>
  <si>
    <t>Documented rights management details for completed content assets.</t>
  </si>
  <si>
    <t>Reconciled projected versus actual content production expenses.</t>
  </si>
  <si>
    <t>Prepared wrap reports summarizing content performance and cost efficiency.</t>
  </si>
  <si>
    <t>Archived all content contracts, licenses, and production documentation.</t>
  </si>
  <si>
    <t>Supported post-campaign financial audits and compliance reviews</t>
  </si>
  <si>
    <t>Residency - Callsheet</t>
  </si>
  <si>
    <t>XLookUP Name</t>
  </si>
  <si>
    <t>Document Name</t>
  </si>
  <si>
    <t>Call Sheet Name</t>
  </si>
  <si>
    <t>Call Sheet Postion</t>
  </si>
  <si>
    <t>Signatory Fee</t>
  </si>
  <si>
    <t>Automation_Check</t>
  </si>
  <si>
    <t>Withholdings Amount</t>
  </si>
  <si>
    <t>Withholdings Needed</t>
  </si>
  <si>
    <t>Automation_Total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</si>
</sst>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7" formatCode="&quot;$&quot;#,##0.00_);\(&quot;$&quot;#,##0.00\)"/>
    <numFmt numFmtId="8" formatCode="&quot;$&quot;#,##0.00_);[Red]\(&quot;$&quot;#,##0.00\)"/>
    <numFmt numFmtId="44" formatCode="_(&quot;$&quot;* #,##0.00_);_(&quot;$&quot;* \(#,##0.00\);_(&quot;$&quot;* &quot;-&quot;??_);_(@_)"/>
    <numFmt numFmtId="43" formatCode="_(* #,##0.00_);_(* \(#,##0.00\);_(* &quot;-&quot;??_);_(@_)"/>
    <numFmt numFmtId="164" formatCode="_-* #,##0.00_-;\-* #,##0.00_-;_-* &quot;-&quot;??_-;_-@_-"/>
    <numFmt numFmtId="165" formatCode="[&lt;=9999999]###\-####;\(###\)\ ###\-####"/>
    <numFmt numFmtId="166" formatCode="0000"/>
    <numFmt numFmtId="167" formatCode="0.0"/>
    <numFmt numFmtId="168" formatCode="m/dd/yy"/>
    <numFmt numFmtId="169" formatCode="m/dd/yy;@"/>
    <numFmt numFmtId="170" formatCode="mm/dd/yy;@"/>
    <numFmt numFmtId="171" formatCode="m/d/yy;@"/>
  </numFmts>
  <fonts count="71" x14ac:knownFonts="1">
    <font>
      <sz val="11"/>
      <color theme="1"/>
      <name val="Calibri"/>
      <family val="2"/>
      <scheme val="minor"/>
    </font>
    <font>
      <b/>
      <sz val="11"/>
      <color theme="1"/>
      <name val="Calibri"/>
      <family val="2"/>
      <scheme val="minor"/>
    </font>
    <font>
      <sz val="11"/>
      <name val="Calibri"/>
      <family val="2"/>
      <scheme val="minor"/>
    </font>
    <font>
      <b/>
      <sz val="14"/>
      <color theme="1"/>
      <name val="Calibri"/>
      <family val="2"/>
      <scheme val="minor"/>
    </font>
    <font>
      <sz val="11"/>
      <color theme="1"/>
      <name val="Calibri"/>
      <family val="2"/>
      <scheme val="minor"/>
    </font>
    <font>
      <b/>
      <sz val="12"/>
      <color theme="1"/>
      <name val="Calibri"/>
      <family val="2"/>
      <scheme val="minor"/>
    </font>
    <font>
      <sz val="9"/>
      <color indexed="81"/>
      <name val="Tahoma"/>
      <family val="2"/>
    </font>
    <font>
      <b/>
      <sz val="9"/>
      <color indexed="81"/>
      <name val="Tahoma"/>
      <family val="2"/>
    </font>
    <font>
      <u/>
      <sz val="11"/>
      <color theme="10"/>
      <name val="Calibri"/>
      <family val="2"/>
      <scheme val="minor"/>
    </font>
    <font>
      <sz val="10"/>
      <name val="Arial"/>
      <family val="2"/>
    </font>
    <font>
      <b/>
      <sz val="10"/>
      <name val="Arial"/>
      <family val="2"/>
    </font>
    <font>
      <sz val="11"/>
      <color rgb="FFFF0000"/>
      <name val="Calibri"/>
      <family val="2"/>
      <scheme val="minor"/>
    </font>
    <font>
      <sz val="11"/>
      <color indexed="8"/>
      <name val="Calibri"/>
      <family val="2"/>
      <scheme val="minor"/>
    </font>
    <font>
      <b/>
      <sz val="11"/>
      <name val="Calibri"/>
      <family val="2"/>
      <scheme val="minor"/>
    </font>
    <font>
      <b/>
      <sz val="11"/>
      <color rgb="FFFF0000"/>
      <name val="Calibri"/>
      <family val="2"/>
      <scheme val="minor"/>
    </font>
    <font>
      <sz val="11"/>
      <color rgb="FF0000FF"/>
      <name val="Calibri"/>
      <family val="2"/>
      <scheme val="minor"/>
    </font>
    <font>
      <b/>
      <sz val="11"/>
      <color rgb="FF0000FF"/>
      <name val="Calibri"/>
      <family val="2"/>
      <scheme val="minor"/>
    </font>
    <font>
      <sz val="14"/>
      <color theme="1"/>
      <name val="Calibri"/>
      <family val="2"/>
      <scheme val="minor"/>
    </font>
    <font>
      <sz val="11"/>
      <color theme="1"/>
      <name val="Calibri"/>
      <family val="2"/>
      <scheme val="minor"/>
    </font>
    <font>
      <u val="singleAccounting"/>
      <sz val="11"/>
      <color rgb="FF0000FF"/>
      <name val="Calibri"/>
      <family val="2"/>
      <scheme val="minor"/>
    </font>
    <font>
      <sz val="11"/>
      <color theme="10"/>
      <name val="Calibri"/>
      <family val="2"/>
      <scheme val="minor"/>
    </font>
    <font>
      <b/>
      <sz val="11"/>
      <color indexed="8"/>
      <name val="Calibri"/>
      <family val="2"/>
      <scheme val="minor"/>
    </font>
    <font>
      <sz val="12"/>
      <name val="Arial"/>
      <family val="2"/>
    </font>
    <font>
      <i/>
      <sz val="11"/>
      <color theme="1"/>
      <name val="Calibri"/>
      <family val="2"/>
      <scheme val="minor"/>
    </font>
    <font>
      <b/>
      <i/>
      <sz val="11"/>
      <color theme="1"/>
      <name val="Calibri"/>
      <family val="2"/>
      <scheme val="minor"/>
    </font>
    <font>
      <sz val="12"/>
      <color theme="1"/>
      <name val="Calibri"/>
      <family val="2"/>
      <scheme val="minor"/>
    </font>
    <font>
      <sz val="11"/>
      <color theme="5"/>
      <name val="Calibri"/>
      <family val="2"/>
      <scheme val="minor"/>
    </font>
    <font>
      <i/>
      <sz val="11"/>
      <name val="Calibri"/>
      <family val="2"/>
      <scheme val="minor"/>
    </font>
    <font>
      <b/>
      <sz val="16"/>
      <color theme="1"/>
      <name val="Calibri"/>
      <family val="2"/>
      <scheme val="minor"/>
    </font>
    <font>
      <sz val="16"/>
      <color theme="1"/>
      <name val="Calibri"/>
      <family val="2"/>
      <scheme val="minor"/>
    </font>
    <font>
      <b/>
      <u/>
      <sz val="11"/>
      <color theme="1"/>
      <name val="Calibri"/>
      <family val="2"/>
      <scheme val="minor"/>
    </font>
    <font>
      <b/>
      <sz val="12"/>
      <name val="Arial"/>
      <family val="2"/>
    </font>
    <font>
      <b/>
      <u/>
      <sz val="12"/>
      <name val="Arial"/>
      <family val="2"/>
    </font>
    <font>
      <sz val="12"/>
      <color indexed="8"/>
      <name val="Arial"/>
      <family val="2"/>
    </font>
    <font>
      <b/>
      <sz val="12"/>
      <color theme="1"/>
      <name val="Arial"/>
      <family val="2"/>
    </font>
    <font>
      <b/>
      <u/>
      <sz val="12"/>
      <color indexed="8"/>
      <name val="Arial"/>
      <family val="2"/>
    </font>
    <font>
      <i/>
      <sz val="12"/>
      <color theme="1"/>
      <name val="Calibri"/>
      <family val="2"/>
      <scheme val="minor"/>
    </font>
    <font>
      <b/>
      <sz val="11"/>
      <color rgb="FF000000"/>
      <name val="Calibri"/>
      <family val="2"/>
    </font>
    <font>
      <b/>
      <sz val="11"/>
      <color theme="1"/>
      <name val="Calibri"/>
      <family val="2"/>
    </font>
    <font>
      <b/>
      <strike/>
      <sz val="11"/>
      <color rgb="FF000000"/>
      <name val="Calibri"/>
      <family val="2"/>
    </font>
    <font>
      <strike/>
      <sz val="11"/>
      <color theme="1"/>
      <name val="Wingdings"/>
      <charset val="2"/>
    </font>
    <font>
      <b/>
      <strike/>
      <sz val="11"/>
      <color theme="1"/>
      <name val="Calibri"/>
      <family val="2"/>
      <scheme val="minor"/>
    </font>
    <font>
      <i/>
      <strike/>
      <sz val="11"/>
      <color theme="1"/>
      <name val="Calibri"/>
      <family val="2"/>
      <scheme val="minor"/>
    </font>
    <font>
      <b/>
      <strike/>
      <sz val="11"/>
      <color rgb="FF000000"/>
      <name val="Wingdings"/>
      <charset val="2"/>
    </font>
    <font>
      <sz val="11"/>
      <color theme="1"/>
      <name val="Wingdings"/>
      <charset val="2"/>
    </font>
    <font>
      <b/>
      <sz val="11"/>
      <color rgb="FF000000"/>
      <name val="Wingdings"/>
      <charset val="2"/>
    </font>
    <font>
      <b/>
      <sz val="11"/>
      <color indexed="81"/>
      <name val="Tahoma"/>
      <family val="2"/>
    </font>
    <font>
      <sz val="11"/>
      <color indexed="81"/>
      <name val="Tahoma"/>
      <family val="2"/>
    </font>
    <font>
      <b/>
      <sz val="12"/>
      <color rgb="FF00B0F0"/>
      <name val="Calibri"/>
      <family val="2"/>
      <scheme val="minor"/>
    </font>
    <font>
      <b/>
      <sz val="11"/>
      <color rgb="FF00B0F0"/>
      <name val="Calibri"/>
      <family val="2"/>
      <scheme val="minor"/>
    </font>
    <font>
      <b/>
      <u/>
      <sz val="11"/>
      <color rgb="FFFF0000"/>
      <name val="Calibri"/>
      <family val="2"/>
      <scheme val="minor"/>
    </font>
    <font>
      <i/>
      <sz val="11"/>
      <color rgb="FFFF0000"/>
      <name val="Calibri"/>
      <family val="2"/>
      <scheme val="minor"/>
    </font>
    <font>
      <b/>
      <i/>
      <sz val="11"/>
      <color rgb="FFFF0000"/>
      <name val="Calibri"/>
      <family val="2"/>
      <scheme val="minor"/>
    </font>
    <font>
      <i/>
      <u/>
      <sz val="11"/>
      <color theme="1"/>
      <name val="Calibri"/>
      <family val="2"/>
      <scheme val="minor"/>
    </font>
    <font>
      <b/>
      <sz val="16"/>
      <name val="Calibri"/>
      <family val="2"/>
      <scheme val="minor"/>
    </font>
    <font>
      <b/>
      <sz val="12"/>
      <name val="Calibri"/>
      <family val="2"/>
      <scheme val="minor"/>
    </font>
    <font>
      <i/>
      <u/>
      <sz val="11"/>
      <color rgb="FF66CCFF"/>
      <name val="Calibri"/>
      <family val="2"/>
      <scheme val="minor"/>
    </font>
    <font>
      <b/>
      <sz val="11"/>
      <color theme="0"/>
      <name val="Calibri"/>
      <family val="2"/>
      <scheme val="minor"/>
    </font>
    <font>
      <b/>
      <sz val="10"/>
      <color theme="0"/>
      <name val="Arial"/>
      <family val="2"/>
    </font>
    <font>
      <sz val="8"/>
      <name val="Calibri"/>
      <family val="2"/>
      <scheme val="minor"/>
    </font>
    <font>
      <sz val="10"/>
      <color rgb="FFFF0000"/>
      <name val="Calibri"/>
      <family val="2"/>
      <scheme val="minor"/>
    </font>
    <font>
      <sz val="9"/>
      <color rgb="FFFF0000"/>
      <name val="Calibri"/>
      <family val="2"/>
      <scheme val="minor"/>
    </font>
    <font>
      <sz val="10"/>
      <color theme="1"/>
      <name val="Calibri"/>
      <family val="2"/>
      <scheme val="minor"/>
    </font>
    <font>
      <b/>
      <sz val="10"/>
      <color rgb="FFFF0000"/>
      <name val="Calibri"/>
      <family val="2"/>
      <scheme val="minor"/>
    </font>
    <font>
      <b/>
      <sz val="10"/>
      <color theme="1"/>
      <name val="Calibri"/>
      <family val="2"/>
      <scheme val="minor"/>
    </font>
    <font>
      <b/>
      <sz val="22"/>
      <color theme="1"/>
      <name val="Calibri"/>
      <family val="2"/>
      <scheme val="minor"/>
    </font>
    <font>
      <b/>
      <sz val="12"/>
      <color rgb="FF000000"/>
      <name val="Arial"/>
      <family val="2"/>
    </font>
    <font>
      <sz val="12"/>
      <color rgb="FF000000"/>
      <name val="Arial"/>
      <family val="2"/>
    </font>
    <font>
      <b/>
      <sz val="11"/>
      <color rgb="FF000000"/>
      <name val="Calibri"/>
      <family val="2"/>
      <scheme val="minor"/>
    </font>
    <font>
      <sz val="11"/>
      <color rgb="FF000000"/>
      <name val="Calibri"/>
      <family val="2"/>
      <scheme val="minor"/>
    </font>
    <font>
      <sz val="12"/>
      <color rgb="FF000000"/>
      <name val="Segoe UI"/>
      <family val="2"/>
    </font>
  </fonts>
  <fills count="39">
    <fill>
      <patternFill patternType="none"/>
    </fill>
    <fill>
      <patternFill patternType="gray125"/>
    </fill>
    <fill>
      <patternFill patternType="solid">
        <fgColor rgb="FF99FF33"/>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FCF305"/>
        <bgColor rgb="FFFCF305"/>
      </patternFill>
    </fill>
    <fill>
      <patternFill patternType="solid">
        <fgColor rgb="FFFCF305"/>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theme="2"/>
        <bgColor indexed="64"/>
      </patternFill>
    </fill>
    <fill>
      <patternFill patternType="solid">
        <fgColor theme="6" tint="0.59999389629810485"/>
        <bgColor indexed="64"/>
      </patternFill>
    </fill>
    <fill>
      <patternFill patternType="solid">
        <fgColor rgb="FFFF66CC"/>
        <bgColor indexed="64"/>
      </patternFill>
    </fill>
    <fill>
      <patternFill patternType="solid">
        <fgColor rgb="FFFFFFD9"/>
        <bgColor indexed="64"/>
      </patternFill>
    </fill>
    <fill>
      <patternFill patternType="solid">
        <fgColor rgb="FFFFE9A3"/>
        <bgColor indexed="64"/>
      </patternFill>
    </fill>
    <fill>
      <patternFill patternType="solid">
        <fgColor theme="9" tint="0.39997558519241921"/>
        <bgColor indexed="64"/>
      </patternFill>
    </fill>
    <fill>
      <patternFill patternType="solid">
        <fgColor rgb="FFFFFF99"/>
        <bgColor indexed="64"/>
      </patternFill>
    </fill>
    <fill>
      <patternFill patternType="solid">
        <fgColor rgb="FFFFC000"/>
        <bgColor indexed="64"/>
      </patternFill>
    </fill>
    <fill>
      <patternFill patternType="solid">
        <fgColor rgb="FFFFFF00"/>
        <bgColor rgb="FF000000"/>
      </patternFill>
    </fill>
    <fill>
      <patternFill patternType="solid">
        <fgColor rgb="FFF8CBAD"/>
        <bgColor rgb="FF000000"/>
      </patternFill>
    </fill>
    <fill>
      <patternFill patternType="solid">
        <fgColor rgb="FFBDD7EE"/>
        <bgColor rgb="FF000000"/>
      </patternFill>
    </fill>
    <fill>
      <patternFill patternType="solid">
        <fgColor rgb="FFA9D08E"/>
        <bgColor rgb="FF000000"/>
      </patternFill>
    </fill>
    <fill>
      <patternFill patternType="solid">
        <fgColor rgb="FFEBF1DE"/>
        <bgColor rgb="FF000000"/>
      </patternFill>
    </fill>
    <fill>
      <patternFill patternType="solid">
        <fgColor rgb="FFFDE9D9"/>
        <bgColor rgb="FF000000"/>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double">
        <color indexed="64"/>
      </bottom>
      <diagonal/>
    </border>
    <border>
      <left/>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style="thin">
        <color indexed="64"/>
      </right>
      <top/>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diagonal/>
    </border>
    <border>
      <left style="thin">
        <color rgb="FF000000"/>
      </left>
      <right style="thin">
        <color indexed="64"/>
      </right>
      <top style="thin">
        <color rgb="FF000000"/>
      </top>
      <bottom style="thin">
        <color rgb="FF000000"/>
      </bottom>
      <diagonal/>
    </border>
    <border>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s>
  <cellStyleXfs count="8">
    <xf numFmtId="0" fontId="0" fillId="0" borderId="0"/>
    <xf numFmtId="43" fontId="4" fillId="0" borderId="0" applyFont="0" applyFill="0" applyBorder="0" applyAlignment="0" applyProtection="0"/>
    <xf numFmtId="44" fontId="4" fillId="0" borderId="0" applyFont="0" applyFill="0" applyBorder="0" applyAlignment="0" applyProtection="0"/>
    <xf numFmtId="0" fontId="8" fillId="0" borderId="0" applyNumberFormat="0" applyFill="0" applyBorder="0" applyAlignment="0" applyProtection="0"/>
    <xf numFmtId="0" fontId="9" fillId="0" borderId="0"/>
    <xf numFmtId="44" fontId="9" fillId="0" borderId="0" applyFont="0" applyFill="0" applyBorder="0" applyAlignment="0" applyProtection="0"/>
    <xf numFmtId="9" fontId="4" fillId="0" borderId="0" applyFont="0" applyFill="0" applyBorder="0" applyAlignment="0" applyProtection="0"/>
    <xf numFmtId="44" fontId="9" fillId="0" borderId="0" applyFont="0" applyFill="0" applyBorder="0" applyAlignment="0" applyProtection="0"/>
  </cellStyleXfs>
  <cellXfs count="765">
    <xf numFmtId="0" fontId="0" fillId="0" borderId="0" xfId="0"/>
    <xf numFmtId="44" fontId="0" fillId="0" borderId="1" xfId="0" applyNumberFormat="1" applyBorder="1"/>
    <xf numFmtId="0" fontId="0" fillId="0" borderId="1" xfId="0" applyBorder="1"/>
    <xf numFmtId="44" fontId="1" fillId="0" borderId="1" xfId="0" applyNumberFormat="1" applyFont="1" applyBorder="1"/>
    <xf numFmtId="8" fontId="0" fillId="0" borderId="0" xfId="0" applyNumberFormat="1"/>
    <xf numFmtId="0" fontId="1" fillId="0" borderId="0" xfId="0" applyFont="1" applyAlignment="1">
      <alignment horizontal="left"/>
    </xf>
    <xf numFmtId="0" fontId="3" fillId="0" borderId="0" xfId="0" applyFont="1" applyAlignment="1">
      <alignment horizontal="left"/>
    </xf>
    <xf numFmtId="0" fontId="1" fillId="0" borderId="0" xfId="0" applyFont="1"/>
    <xf numFmtId="0" fontId="0" fillId="0" borderId="0" xfId="0" applyAlignment="1">
      <alignment horizontal="center"/>
    </xf>
    <xf numFmtId="1" fontId="0" fillId="0" borderId="0" xfId="0" applyNumberFormat="1" applyAlignment="1">
      <alignment horizontal="center"/>
    </xf>
    <xf numFmtId="1" fontId="1" fillId="2" borderId="1" xfId="0" applyNumberFormat="1" applyFont="1" applyFill="1" applyBorder="1" applyAlignment="1">
      <alignment horizontal="center"/>
    </xf>
    <xf numFmtId="1" fontId="0" fillId="0" borderId="1" xfId="0" applyNumberFormat="1" applyBorder="1" applyAlignment="1">
      <alignment horizontal="center"/>
    </xf>
    <xf numFmtId="1" fontId="1" fillId="0" borderId="1" xfId="0" applyNumberFormat="1" applyFont="1" applyBorder="1" applyAlignment="1">
      <alignment horizontal="center"/>
    </xf>
    <xf numFmtId="0" fontId="1" fillId="2" borderId="1" xfId="0" applyFont="1" applyFill="1" applyBorder="1" applyAlignment="1">
      <alignment horizontal="center"/>
    </xf>
    <xf numFmtId="44" fontId="0" fillId="0" borderId="1" xfId="0" applyNumberFormat="1" applyBorder="1" applyAlignment="1">
      <alignment horizontal="center"/>
    </xf>
    <xf numFmtId="8" fontId="0" fillId="0" borderId="0" xfId="0" applyNumberFormat="1" applyAlignment="1">
      <alignment horizontal="center"/>
    </xf>
    <xf numFmtId="1" fontId="0" fillId="0" borderId="1" xfId="1" applyNumberFormat="1" applyFont="1" applyBorder="1" applyAlignment="1">
      <alignment horizontal="center"/>
    </xf>
    <xf numFmtId="44" fontId="1" fillId="0" borderId="3" xfId="0" applyNumberFormat="1" applyFont="1" applyBorder="1" applyAlignment="1">
      <alignment horizontal="center"/>
    </xf>
    <xf numFmtId="44" fontId="1" fillId="0" borderId="2" xfId="0" applyNumberFormat="1" applyFont="1" applyBorder="1" applyAlignment="1">
      <alignment horizontal="center"/>
    </xf>
    <xf numFmtId="44" fontId="1" fillId="0" borderId="4" xfId="0" applyNumberFormat="1" applyFont="1" applyBorder="1" applyAlignment="1">
      <alignment horizontal="center"/>
    </xf>
    <xf numFmtId="8" fontId="1" fillId="0" borderId="0" xfId="0" applyNumberFormat="1" applyFont="1" applyAlignment="1">
      <alignment horizontal="right"/>
    </xf>
    <xf numFmtId="0" fontId="1" fillId="0" borderId="6" xfId="0" applyFont="1" applyBorder="1"/>
    <xf numFmtId="44" fontId="1" fillId="0" borderId="4" xfId="0" applyNumberFormat="1" applyFont="1" applyBorder="1"/>
    <xf numFmtId="0" fontId="8" fillId="0" borderId="0" xfId="3" applyAlignment="1">
      <alignment horizontal="left"/>
    </xf>
    <xf numFmtId="44" fontId="8" fillId="0" borderId="5" xfId="3" applyNumberFormat="1" applyBorder="1"/>
    <xf numFmtId="14" fontId="5" fillId="0" borderId="0" xfId="0" applyNumberFormat="1" applyFont="1" applyAlignment="1">
      <alignment horizontal="center"/>
    </xf>
    <xf numFmtId="14" fontId="1" fillId="2" borderId="1" xfId="0" applyNumberFormat="1" applyFont="1" applyFill="1" applyBorder="1" applyAlignment="1">
      <alignment horizontal="center"/>
    </xf>
    <xf numFmtId="14" fontId="0" fillId="0" borderId="0" xfId="0" applyNumberFormat="1" applyAlignment="1">
      <alignment horizontal="center"/>
    </xf>
    <xf numFmtId="14" fontId="1" fillId="0" borderId="0" xfId="0" applyNumberFormat="1" applyFont="1" applyAlignment="1">
      <alignment horizontal="right"/>
    </xf>
    <xf numFmtId="0" fontId="0" fillId="0" borderId="1" xfId="0" applyBorder="1" applyAlignment="1">
      <alignment horizontal="center"/>
    </xf>
    <xf numFmtId="0" fontId="1" fillId="0" borderId="1" xfId="0" applyFont="1" applyBorder="1" applyAlignment="1">
      <alignment horizontal="center"/>
    </xf>
    <xf numFmtId="1" fontId="5" fillId="0" borderId="0" xfId="0" applyNumberFormat="1" applyFont="1" applyAlignment="1">
      <alignment horizontal="left"/>
    </xf>
    <xf numFmtId="0" fontId="0" fillId="0" borderId="0" xfId="0" applyAlignment="1">
      <alignment horizontal="left"/>
    </xf>
    <xf numFmtId="44" fontId="1" fillId="0" borderId="4" xfId="0" applyNumberFormat="1" applyFont="1" applyBorder="1" applyAlignment="1">
      <alignment horizontal="left"/>
    </xf>
    <xf numFmtId="8" fontId="0" fillId="0" borderId="0" xfId="0" applyNumberFormat="1" applyAlignment="1">
      <alignment horizontal="left"/>
    </xf>
    <xf numFmtId="0" fontId="0" fillId="0" borderId="1" xfId="0" applyBorder="1" applyAlignment="1">
      <alignment horizontal="left"/>
    </xf>
    <xf numFmtId="0" fontId="1" fillId="0" borderId="4" xfId="0" applyFont="1" applyBorder="1" applyAlignment="1">
      <alignment horizontal="left"/>
    </xf>
    <xf numFmtId="44" fontId="1" fillId="0" borderId="0" xfId="0" applyNumberFormat="1" applyFont="1"/>
    <xf numFmtId="0" fontId="1" fillId="0" borderId="6" xfId="0" applyFont="1" applyBorder="1" applyAlignment="1">
      <alignment horizontal="center"/>
    </xf>
    <xf numFmtId="44" fontId="0" fillId="0" borderId="0" xfId="0" applyNumberFormat="1"/>
    <xf numFmtId="0" fontId="12" fillId="0" borderId="1" xfId="0" applyFont="1" applyBorder="1" applyAlignment="1" applyProtection="1">
      <alignment horizontal="center" vertical="top" wrapText="1" readingOrder="1"/>
      <protection locked="0"/>
    </xf>
    <xf numFmtId="1" fontId="0" fillId="0" borderId="0" xfId="1" applyNumberFormat="1" applyFont="1" applyAlignment="1">
      <alignment horizontal="center"/>
    </xf>
    <xf numFmtId="44" fontId="0" fillId="0" borderId="1" xfId="1" applyNumberFormat="1" applyFont="1" applyBorder="1"/>
    <xf numFmtId="44" fontId="0" fillId="0" borderId="0" xfId="1" applyNumberFormat="1" applyFont="1"/>
    <xf numFmtId="14" fontId="1" fillId="0" borderId="3" xfId="0" applyNumberFormat="1" applyFont="1" applyBorder="1" applyAlignment="1">
      <alignment horizontal="center"/>
    </xf>
    <xf numFmtId="14" fontId="1" fillId="0" borderId="0" xfId="0" applyNumberFormat="1" applyFont="1" applyAlignment="1">
      <alignment horizontal="center"/>
    </xf>
    <xf numFmtId="44" fontId="1" fillId="0" borderId="1" xfId="2" applyFont="1" applyBorder="1"/>
    <xf numFmtId="44" fontId="0" fillId="0" borderId="0" xfId="2" applyFont="1"/>
    <xf numFmtId="0" fontId="0" fillId="0" borderId="0" xfId="0" applyAlignment="1">
      <alignment vertical="center"/>
    </xf>
    <xf numFmtId="0" fontId="1" fillId="2" borderId="1" xfId="0" applyFont="1" applyFill="1" applyBorder="1" applyAlignment="1">
      <alignment horizontal="center" vertical="center"/>
    </xf>
    <xf numFmtId="0" fontId="1" fillId="2" borderId="1" xfId="0" applyFont="1" applyFill="1" applyBorder="1" applyAlignment="1">
      <alignment horizontal="center" wrapText="1"/>
    </xf>
    <xf numFmtId="44" fontId="11" fillId="0" borderId="1" xfId="1" applyNumberFormat="1" applyFont="1" applyBorder="1"/>
    <xf numFmtId="44" fontId="1" fillId="0" borderId="11" xfId="1" applyNumberFormat="1" applyFont="1" applyBorder="1"/>
    <xf numFmtId="44" fontId="0" fillId="0" borderId="0" xfId="0" applyNumberFormat="1" applyAlignment="1">
      <alignment horizontal="center"/>
    </xf>
    <xf numFmtId="44" fontId="0" fillId="0" borderId="4" xfId="0" applyNumberFormat="1" applyBorder="1"/>
    <xf numFmtId="44" fontId="1" fillId="0" borderId="2" xfId="0" applyNumberFormat="1" applyFont="1" applyBorder="1"/>
    <xf numFmtId="1" fontId="0" fillId="0" borderId="4" xfId="1" applyNumberFormat="1" applyFont="1" applyBorder="1" applyAlignment="1">
      <alignment horizontal="center"/>
    </xf>
    <xf numFmtId="0" fontId="0" fillId="0" borderId="4" xfId="0" applyBorder="1"/>
    <xf numFmtId="1" fontId="0" fillId="0" borderId="4" xfId="0" applyNumberFormat="1" applyBorder="1" applyAlignment="1">
      <alignment horizontal="center"/>
    </xf>
    <xf numFmtId="1" fontId="1" fillId="0" borderId="4" xfId="0" applyNumberFormat="1" applyFont="1" applyBorder="1" applyAlignment="1">
      <alignment horizontal="right"/>
    </xf>
    <xf numFmtId="1" fontId="13" fillId="0" borderId="1" xfId="0" applyNumberFormat="1" applyFont="1" applyBorder="1" applyAlignment="1">
      <alignment horizontal="center"/>
    </xf>
    <xf numFmtId="1" fontId="2" fillId="0" borderId="1" xfId="3" applyNumberFormat="1" applyFont="1" applyBorder="1" applyAlignment="1">
      <alignment horizontal="center"/>
    </xf>
    <xf numFmtId="0" fontId="2" fillId="0" borderId="0" xfId="0" applyFont="1"/>
    <xf numFmtId="0" fontId="0" fillId="0" borderId="4" xfId="0" applyBorder="1" applyAlignment="1">
      <alignment horizontal="left"/>
    </xf>
    <xf numFmtId="44" fontId="1" fillId="0" borderId="0" xfId="0" applyNumberFormat="1" applyFont="1" applyAlignment="1">
      <alignment horizontal="left"/>
    </xf>
    <xf numFmtId="1" fontId="2" fillId="0" borderId="1" xfId="1" applyNumberFormat="1" applyFont="1" applyBorder="1" applyAlignment="1">
      <alignment horizontal="center"/>
    </xf>
    <xf numFmtId="2" fontId="0" fillId="0" borderId="0" xfId="0" applyNumberFormat="1"/>
    <xf numFmtId="2" fontId="1" fillId="0" borderId="2" xfId="0" applyNumberFormat="1" applyFont="1" applyBorder="1" applyAlignment="1">
      <alignment horizontal="center"/>
    </xf>
    <xf numFmtId="167" fontId="0" fillId="0" borderId="1" xfId="0" applyNumberFormat="1" applyBorder="1" applyAlignment="1">
      <alignment horizontal="center"/>
    </xf>
    <xf numFmtId="0" fontId="2" fillId="0" borderId="0" xfId="3" applyFont="1" applyAlignment="1">
      <alignment horizontal="center"/>
    </xf>
    <xf numFmtId="0" fontId="0" fillId="0" borderId="1" xfId="0" quotePrefix="1" applyBorder="1" applyAlignment="1">
      <alignment horizontal="center"/>
    </xf>
    <xf numFmtId="44" fontId="15" fillId="0" borderId="5" xfId="2" applyFont="1" applyBorder="1"/>
    <xf numFmtId="2" fontId="15" fillId="0" borderId="0" xfId="0" applyNumberFormat="1" applyFont="1"/>
    <xf numFmtId="1" fontId="0" fillId="0" borderId="15" xfId="1" applyNumberFormat="1" applyFont="1" applyBorder="1" applyAlignment="1">
      <alignment horizontal="center"/>
    </xf>
    <xf numFmtId="44" fontId="0" fillId="0" borderId="4" xfId="0" applyNumberFormat="1" applyBorder="1" applyAlignment="1">
      <alignment horizontal="left"/>
    </xf>
    <xf numFmtId="0" fontId="0" fillId="0" borderId="4" xfId="0" applyBorder="1" applyAlignment="1">
      <alignment horizontal="center"/>
    </xf>
    <xf numFmtId="44" fontId="1" fillId="0" borderId="14" xfId="2" applyFont="1" applyBorder="1"/>
    <xf numFmtId="14" fontId="1" fillId="0" borderId="4" xfId="0" applyNumberFormat="1" applyFont="1" applyBorder="1" applyAlignment="1">
      <alignment horizontal="right"/>
    </xf>
    <xf numFmtId="0" fontId="13" fillId="2" borderId="1" xfId="0" applyFont="1" applyFill="1" applyBorder="1" applyAlignment="1">
      <alignment horizontal="center"/>
    </xf>
    <xf numFmtId="8" fontId="2" fillId="0" borderId="0" xfId="0" applyNumberFormat="1" applyFont="1"/>
    <xf numFmtId="44" fontId="13" fillId="0" borderId="0" xfId="0" applyNumberFormat="1" applyFont="1"/>
    <xf numFmtId="43" fontId="11" fillId="0" borderId="0" xfId="0" applyNumberFormat="1" applyFont="1"/>
    <xf numFmtId="1" fontId="2" fillId="0" borderId="14" xfId="3" applyNumberFormat="1" applyFont="1" applyBorder="1" applyAlignment="1">
      <alignment horizontal="center"/>
    </xf>
    <xf numFmtId="0" fontId="2" fillId="0" borderId="14" xfId="3" applyFont="1" applyBorder="1" applyAlignment="1">
      <alignment horizontal="center"/>
    </xf>
    <xf numFmtId="1" fontId="2" fillId="0" borderId="14" xfId="3" quotePrefix="1" applyNumberFormat="1" applyFont="1" applyBorder="1" applyAlignment="1">
      <alignment horizontal="center"/>
    </xf>
    <xf numFmtId="166" fontId="2" fillId="0" borderId="14" xfId="0" applyNumberFormat="1" applyFont="1" applyBorder="1" applyAlignment="1">
      <alignment horizontal="center"/>
    </xf>
    <xf numFmtId="49" fontId="0" fillId="0" borderId="1" xfId="0" applyNumberFormat="1" applyBorder="1" applyAlignment="1">
      <alignment horizontal="center"/>
    </xf>
    <xf numFmtId="44" fontId="0" fillId="3" borderId="1" xfId="0" applyNumberFormat="1" applyFill="1" applyBorder="1"/>
    <xf numFmtId="0" fontId="0" fillId="3" borderId="1" xfId="0" applyFill="1" applyBorder="1" applyAlignment="1">
      <alignment horizontal="left"/>
    </xf>
    <xf numFmtId="0" fontId="0" fillId="3" borderId="1" xfId="0" applyFill="1" applyBorder="1" applyAlignment="1">
      <alignment horizontal="center"/>
    </xf>
    <xf numFmtId="1" fontId="0" fillId="3" borderId="1" xfId="1" applyNumberFormat="1" applyFont="1" applyFill="1" applyBorder="1" applyAlignment="1">
      <alignment horizontal="center"/>
    </xf>
    <xf numFmtId="44" fontId="11" fillId="0" borderId="1" xfId="0" applyNumberFormat="1" applyFont="1" applyBorder="1"/>
    <xf numFmtId="44" fontId="0" fillId="0" borderId="0" xfId="2" applyFont="1" applyAlignment="1">
      <alignment horizontal="center"/>
    </xf>
    <xf numFmtId="0" fontId="0" fillId="4" borderId="1" xfId="0" applyFill="1" applyBorder="1" applyAlignment="1">
      <alignment horizontal="center"/>
    </xf>
    <xf numFmtId="0" fontId="0" fillId="5" borderId="14" xfId="0" applyFill="1" applyBorder="1" applyAlignment="1">
      <alignment horizontal="center"/>
    </xf>
    <xf numFmtId="44" fontId="0" fillId="0" borderId="16" xfId="2" applyFont="1" applyBorder="1" applyAlignment="1">
      <alignment horizontal="center"/>
    </xf>
    <xf numFmtId="44" fontId="1" fillId="0" borderId="0" xfId="1" applyNumberFormat="1" applyFont="1"/>
    <xf numFmtId="43" fontId="11" fillId="0" borderId="0" xfId="2" applyNumberFormat="1" applyFont="1" applyAlignment="1">
      <alignment horizontal="center"/>
    </xf>
    <xf numFmtId="43" fontId="11" fillId="0" borderId="0" xfId="0" applyNumberFormat="1" applyFont="1" applyAlignment="1">
      <alignment horizontal="center"/>
    </xf>
    <xf numFmtId="44" fontId="11" fillId="0" borderId="0" xfId="0" applyNumberFormat="1" applyFont="1" applyAlignment="1">
      <alignment horizontal="left"/>
    </xf>
    <xf numFmtId="44" fontId="0" fillId="0" borderId="17" xfId="1" applyNumberFormat="1" applyFont="1" applyBorder="1"/>
    <xf numFmtId="0" fontId="14" fillId="0" borderId="0" xfId="0" applyFont="1" applyAlignment="1">
      <alignment horizontal="center"/>
    </xf>
    <xf numFmtId="0" fontId="0" fillId="5" borderId="1" xfId="0" applyFill="1" applyBorder="1" applyAlignment="1">
      <alignment horizontal="center"/>
    </xf>
    <xf numFmtId="43" fontId="15" fillId="0" borderId="5" xfId="1" applyFont="1" applyBorder="1"/>
    <xf numFmtId="44" fontId="16" fillId="0" borderId="5" xfId="0" applyNumberFormat="1" applyFont="1" applyBorder="1"/>
    <xf numFmtId="44" fontId="11" fillId="0" borderId="0" xfId="0" applyNumberFormat="1" applyFont="1"/>
    <xf numFmtId="44" fontId="15" fillId="0" borderId="0" xfId="0" applyNumberFormat="1" applyFont="1"/>
    <xf numFmtId="0" fontId="2" fillId="0" borderId="0" xfId="0" applyFont="1" applyAlignment="1">
      <alignment horizontal="center"/>
    </xf>
    <xf numFmtId="1" fontId="13" fillId="0" borderId="4" xfId="0" applyNumberFormat="1" applyFont="1" applyBorder="1" applyAlignment="1">
      <alignment horizontal="right"/>
    </xf>
    <xf numFmtId="8" fontId="13" fillId="0" borderId="0" xfId="0" applyNumberFormat="1" applyFont="1" applyAlignment="1">
      <alignment horizontal="right"/>
    </xf>
    <xf numFmtId="0" fontId="2" fillId="0" borderId="1" xfId="3" applyFont="1" applyBorder="1" applyAlignment="1">
      <alignment horizontal="center"/>
    </xf>
    <xf numFmtId="0" fontId="2" fillId="0" borderId="0" xfId="1" applyNumberFormat="1" applyFont="1" applyAlignment="1">
      <alignment horizontal="center"/>
    </xf>
    <xf numFmtId="1" fontId="13" fillId="0" borderId="1" xfId="1" applyNumberFormat="1" applyFont="1" applyBorder="1" applyAlignment="1">
      <alignment horizontal="center"/>
    </xf>
    <xf numFmtId="0" fontId="13" fillId="0" borderId="0" xfId="0" applyFont="1" applyAlignment="1">
      <alignment horizontal="center"/>
    </xf>
    <xf numFmtId="1" fontId="13" fillId="0" borderId="4" xfId="0" applyNumberFormat="1" applyFont="1" applyBorder="1" applyAlignment="1">
      <alignment horizontal="center"/>
    </xf>
    <xf numFmtId="8" fontId="13" fillId="0" borderId="0" xfId="0" applyNumberFormat="1" applyFont="1" applyAlignment="1">
      <alignment horizontal="center"/>
    </xf>
    <xf numFmtId="0" fontId="1" fillId="0" borderId="0" xfId="0" applyFont="1" applyAlignment="1">
      <alignment horizontal="center"/>
    </xf>
    <xf numFmtId="1" fontId="5" fillId="0" borderId="0" xfId="0" applyNumberFormat="1" applyFont="1" applyAlignment="1">
      <alignment horizontal="center"/>
    </xf>
    <xf numFmtId="44" fontId="1" fillId="0" borderId="0" xfId="1" applyNumberFormat="1" applyFont="1" applyAlignment="1">
      <alignment horizontal="center"/>
    </xf>
    <xf numFmtId="2" fontId="0" fillId="0" borderId="0" xfId="0" applyNumberFormat="1" applyAlignment="1">
      <alignment horizontal="center"/>
    </xf>
    <xf numFmtId="168" fontId="0" fillId="0" borderId="1" xfId="1" applyNumberFormat="1" applyFont="1" applyBorder="1" applyAlignment="1">
      <alignment horizontal="center"/>
    </xf>
    <xf numFmtId="168" fontId="0" fillId="0" borderId="1" xfId="0" applyNumberFormat="1" applyBorder="1" applyAlignment="1">
      <alignment horizontal="center"/>
    </xf>
    <xf numFmtId="44" fontId="0" fillId="0" borderId="0" xfId="1" applyNumberFormat="1" applyFont="1" applyAlignment="1">
      <alignment horizontal="center"/>
    </xf>
    <xf numFmtId="44" fontId="1" fillId="0" borderId="0" xfId="0" applyNumberFormat="1" applyFont="1" applyAlignment="1">
      <alignment horizontal="center"/>
    </xf>
    <xf numFmtId="44" fontId="0" fillId="0" borderId="17" xfId="2" applyFont="1" applyBorder="1"/>
    <xf numFmtId="44" fontId="0" fillId="0" borderId="18" xfId="2" applyFont="1" applyBorder="1" applyAlignment="1">
      <alignment horizontal="center"/>
    </xf>
    <xf numFmtId="44" fontId="0" fillId="0" borderId="17" xfId="2" applyFont="1" applyBorder="1" applyAlignment="1">
      <alignment horizontal="left"/>
    </xf>
    <xf numFmtId="44" fontId="0" fillId="0" borderId="20" xfId="2" applyFont="1" applyBorder="1" applyAlignment="1">
      <alignment horizontal="center"/>
    </xf>
    <xf numFmtId="44" fontId="0" fillId="0" borderId="6" xfId="0" applyNumberFormat="1" applyBorder="1" applyAlignment="1">
      <alignment horizontal="left"/>
    </xf>
    <xf numFmtId="44" fontId="0" fillId="0" borderId="22" xfId="2" applyFont="1" applyBorder="1" applyAlignment="1">
      <alignment horizontal="left"/>
    </xf>
    <xf numFmtId="43" fontId="11" fillId="0" borderId="0" xfId="0" applyNumberFormat="1" applyFont="1" applyAlignment="1">
      <alignment horizontal="left"/>
    </xf>
    <xf numFmtId="0" fontId="17" fillId="0" borderId="0" xfId="0" applyFont="1"/>
    <xf numFmtId="0" fontId="18" fillId="0" borderId="0" xfId="0" applyFont="1"/>
    <xf numFmtId="43" fontId="19" fillId="0" borderId="0" xfId="1" applyFont="1" applyProtection="1">
      <protection locked="0"/>
    </xf>
    <xf numFmtId="43" fontId="19" fillId="0" borderId="0" xfId="1" applyFont="1"/>
    <xf numFmtId="43" fontId="20" fillId="0" borderId="0" xfId="1" applyFont="1" applyProtection="1">
      <protection locked="0"/>
    </xf>
    <xf numFmtId="43" fontId="20" fillId="0" borderId="5" xfId="1" applyFont="1" applyBorder="1"/>
    <xf numFmtId="0" fontId="0" fillId="0" borderId="15" xfId="0" applyBorder="1" applyAlignment="1">
      <alignment horizontal="left"/>
    </xf>
    <xf numFmtId="0" fontId="0" fillId="0" borderId="15" xfId="0" applyBorder="1"/>
    <xf numFmtId="0" fontId="0" fillId="0" borderId="15" xfId="0" applyBorder="1" applyAlignment="1">
      <alignment horizontal="center"/>
    </xf>
    <xf numFmtId="0" fontId="0" fillId="0" borderId="1" xfId="1" applyNumberFormat="1" applyFont="1" applyBorder="1" applyAlignment="1">
      <alignment horizontal="left"/>
    </xf>
    <xf numFmtId="0" fontId="12" fillId="0" borderId="1" xfId="0" applyFont="1" applyBorder="1" applyAlignment="1" applyProtection="1">
      <alignment horizontal="left" vertical="top"/>
      <protection locked="0"/>
    </xf>
    <xf numFmtId="0" fontId="0" fillId="0" borderId="0" xfId="0" applyAlignment="1">
      <alignment horizontal="right"/>
    </xf>
    <xf numFmtId="44" fontId="0" fillId="0" borderId="1" xfId="2" applyFont="1" applyBorder="1" applyAlignment="1">
      <alignment horizontal="center"/>
    </xf>
    <xf numFmtId="44" fontId="11" fillId="0" borderId="0" xfId="0" applyNumberFormat="1" applyFont="1" applyAlignment="1">
      <alignment horizontal="center"/>
    </xf>
    <xf numFmtId="43" fontId="11" fillId="0" borderId="0" xfId="1" applyFont="1"/>
    <xf numFmtId="0" fontId="0" fillId="0" borderId="6" xfId="0" applyBorder="1" applyAlignment="1">
      <alignment horizontal="center"/>
    </xf>
    <xf numFmtId="0" fontId="0" fillId="0" borderId="17" xfId="0" applyBorder="1" applyAlignment="1">
      <alignment horizontal="right"/>
    </xf>
    <xf numFmtId="44" fontId="0" fillId="0" borderId="17" xfId="0" applyNumberFormat="1" applyBorder="1"/>
    <xf numFmtId="0" fontId="3" fillId="0" borderId="0" xfId="0" applyFont="1" applyAlignment="1">
      <alignment horizontal="center"/>
    </xf>
    <xf numFmtId="0" fontId="0" fillId="0" borderId="1" xfId="1" applyNumberFormat="1" applyFont="1" applyBorder="1" applyAlignment="1">
      <alignment horizontal="center"/>
    </xf>
    <xf numFmtId="14" fontId="0" fillId="0" borderId="4" xfId="1" applyNumberFormat="1" applyFont="1" applyBorder="1" applyAlignment="1">
      <alignment horizontal="center"/>
    </xf>
    <xf numFmtId="44" fontId="0" fillId="0" borderId="17" xfId="2" applyFont="1" applyBorder="1" applyAlignment="1">
      <alignment horizontal="center"/>
    </xf>
    <xf numFmtId="0" fontId="13" fillId="0" borderId="6" xfId="0" applyFont="1" applyBorder="1" applyAlignment="1">
      <alignment horizontal="center"/>
    </xf>
    <xf numFmtId="14" fontId="1" fillId="0" borderId="6" xfId="0" applyNumberFormat="1" applyFont="1" applyBorder="1" applyAlignment="1">
      <alignment horizontal="center"/>
    </xf>
    <xf numFmtId="44" fontId="0" fillId="0" borderId="4" xfId="2" applyFont="1" applyBorder="1" applyAlignment="1">
      <alignment horizontal="center"/>
    </xf>
    <xf numFmtId="0" fontId="5" fillId="3" borderId="0" xfId="0" quotePrefix="1" applyFont="1" applyFill="1" applyAlignment="1" applyProtection="1">
      <alignment horizontal="left"/>
      <protection locked="0"/>
    </xf>
    <xf numFmtId="0" fontId="0" fillId="3" borderId="0" xfId="0" applyFill="1" applyProtection="1">
      <protection locked="0"/>
    </xf>
    <xf numFmtId="14" fontId="0" fillId="3" borderId="0" xfId="0" applyNumberFormat="1" applyFill="1" applyAlignment="1">
      <alignment horizontal="left"/>
    </xf>
    <xf numFmtId="165" fontId="0" fillId="0" borderId="1" xfId="0" applyNumberFormat="1" applyBorder="1" applyAlignment="1">
      <alignment horizontal="center"/>
    </xf>
    <xf numFmtId="0" fontId="8" fillId="0" borderId="1" xfId="3" applyBorder="1" applyAlignment="1">
      <alignment horizontal="center"/>
    </xf>
    <xf numFmtId="14" fontId="0" fillId="0" borderId="1" xfId="0" applyNumberFormat="1" applyBorder="1" applyAlignment="1">
      <alignment horizontal="center"/>
    </xf>
    <xf numFmtId="1" fontId="0" fillId="0" borderId="16" xfId="1" applyNumberFormat="1" applyFont="1" applyBorder="1" applyAlignment="1">
      <alignment horizontal="center"/>
    </xf>
    <xf numFmtId="44" fontId="0" fillId="0" borderId="0" xfId="0" applyNumberFormat="1" applyAlignment="1">
      <alignment wrapText="1"/>
    </xf>
    <xf numFmtId="44" fontId="1" fillId="6" borderId="6" xfId="0" applyNumberFormat="1" applyFont="1" applyFill="1" applyBorder="1" applyAlignment="1">
      <alignment horizontal="center" wrapText="1"/>
    </xf>
    <xf numFmtId="44" fontId="0" fillId="6" borderId="0" xfId="2" applyFont="1" applyFill="1" applyAlignment="1">
      <alignment horizontal="center"/>
    </xf>
    <xf numFmtId="44" fontId="0" fillId="6" borderId="17" xfId="2" applyFont="1" applyFill="1" applyBorder="1" applyAlignment="1">
      <alignment horizontal="center"/>
    </xf>
    <xf numFmtId="44" fontId="0" fillId="0" borderId="17" xfId="0" applyNumberFormat="1" applyBorder="1" applyAlignment="1">
      <alignment horizontal="center"/>
    </xf>
    <xf numFmtId="49" fontId="0" fillId="3" borderId="1" xfId="0" applyNumberFormat="1" applyFill="1" applyBorder="1" applyAlignment="1">
      <alignment horizontal="center"/>
    </xf>
    <xf numFmtId="49" fontId="2" fillId="0" borderId="1" xfId="0" applyNumberFormat="1" applyFont="1" applyBorder="1" applyAlignment="1">
      <alignment horizontal="center"/>
    </xf>
    <xf numFmtId="44" fontId="0" fillId="0" borderId="1" xfId="2" applyFont="1" applyBorder="1"/>
    <xf numFmtId="0" fontId="0" fillId="0" borderId="2" xfId="0" applyBorder="1" applyAlignment="1">
      <alignment horizontal="center"/>
    </xf>
    <xf numFmtId="0" fontId="4" fillId="0" borderId="4" xfId="0" applyFont="1" applyBorder="1"/>
    <xf numFmtId="0" fontId="4" fillId="0" borderId="4" xfId="0" applyFont="1" applyBorder="1" applyAlignment="1">
      <alignment horizontal="center"/>
    </xf>
    <xf numFmtId="0" fontId="4" fillId="0" borderId="3" xfId="0" applyFont="1" applyBorder="1"/>
    <xf numFmtId="44" fontId="4" fillId="0" borderId="18" xfId="2" applyBorder="1"/>
    <xf numFmtId="0" fontId="0" fillId="0" borderId="12" xfId="0" applyBorder="1"/>
    <xf numFmtId="44" fontId="4" fillId="0" borderId="20" xfId="2" applyBorder="1"/>
    <xf numFmtId="0" fontId="0" fillId="0" borderId="21" xfId="0" applyBorder="1"/>
    <xf numFmtId="0" fontId="4" fillId="0" borderId="6" xfId="0" applyFont="1" applyBorder="1"/>
    <xf numFmtId="0" fontId="0" fillId="0" borderId="6" xfId="0" applyBorder="1" applyAlignment="1">
      <alignment horizontal="right"/>
    </xf>
    <xf numFmtId="44" fontId="11" fillId="0" borderId="22" xfId="2" applyFont="1" applyBorder="1"/>
    <xf numFmtId="0" fontId="2" fillId="0" borderId="12" xfId="0" applyFont="1" applyBorder="1" applyAlignment="1">
      <alignment horizontal="center"/>
    </xf>
    <xf numFmtId="0" fontId="1" fillId="7" borderId="0" xfId="0" applyFont="1" applyFill="1"/>
    <xf numFmtId="0" fontId="1" fillId="8" borderId="11" xfId="0" applyFont="1" applyFill="1" applyBorder="1" applyAlignment="1">
      <alignment horizontal="center"/>
    </xf>
    <xf numFmtId="0" fontId="1" fillId="9" borderId="11" xfId="0" applyFont="1" applyFill="1" applyBorder="1" applyAlignment="1">
      <alignment horizontal="center"/>
    </xf>
    <xf numFmtId="1" fontId="0" fillId="0" borderId="21" xfId="0" applyNumberFormat="1" applyBorder="1" applyAlignment="1">
      <alignment horizontal="center"/>
    </xf>
    <xf numFmtId="1" fontId="0" fillId="0" borderId="17" xfId="0" applyNumberFormat="1" applyBorder="1" applyAlignment="1">
      <alignment horizontal="center"/>
    </xf>
    <xf numFmtId="44" fontId="0" fillId="0" borderId="4" xfId="0" applyNumberFormat="1" applyBorder="1" applyAlignment="1">
      <alignment horizontal="center"/>
    </xf>
    <xf numFmtId="44" fontId="0" fillId="6" borderId="4" xfId="2" applyFont="1" applyFill="1" applyBorder="1" applyAlignment="1">
      <alignment horizontal="center"/>
    </xf>
    <xf numFmtId="0" fontId="2" fillId="0" borderId="17" xfId="0" applyFont="1" applyBorder="1" applyAlignment="1">
      <alignment horizontal="center"/>
    </xf>
    <xf numFmtId="44" fontId="0" fillId="6" borderId="0" xfId="0" applyNumberFormat="1" applyFill="1"/>
    <xf numFmtId="0" fontId="13" fillId="0" borderId="6" xfId="0" applyFont="1" applyBorder="1" applyAlignment="1">
      <alignment horizontal="center" wrapText="1"/>
    </xf>
    <xf numFmtId="14" fontId="1" fillId="0" borderId="6" xfId="0" applyNumberFormat="1" applyFont="1" applyBorder="1" applyAlignment="1">
      <alignment horizontal="center" wrapText="1"/>
    </xf>
    <xf numFmtId="44" fontId="1" fillId="0" borderId="6" xfId="0" applyNumberFormat="1" applyFont="1" applyBorder="1" applyAlignment="1">
      <alignment wrapText="1"/>
    </xf>
    <xf numFmtId="14" fontId="5" fillId="0" borderId="0" xfId="0" applyNumberFormat="1" applyFont="1"/>
    <xf numFmtId="14" fontId="0" fillId="0" borderId="0" xfId="0" applyNumberFormat="1"/>
    <xf numFmtId="14" fontId="1" fillId="0" borderId="0" xfId="0" applyNumberFormat="1" applyFont="1"/>
    <xf numFmtId="44" fontId="0" fillId="6" borderId="0" xfId="2" applyFont="1" applyFill="1"/>
    <xf numFmtId="44" fontId="0" fillId="6" borderId="17" xfId="2" applyFont="1" applyFill="1" applyBorder="1"/>
    <xf numFmtId="0" fontId="0" fillId="0" borderId="0" xfId="0" applyAlignment="1">
      <alignment horizontal="center" vertical="center"/>
    </xf>
    <xf numFmtId="44" fontId="1" fillId="0" borderId="6" xfId="2" applyFont="1" applyBorder="1"/>
    <xf numFmtId="14" fontId="1" fillId="0" borderId="6" xfId="0" applyNumberFormat="1" applyFont="1" applyBorder="1" applyAlignment="1">
      <alignment horizontal="left"/>
    </xf>
    <xf numFmtId="0" fontId="2" fillId="0" borderId="0" xfId="0" applyFont="1" applyAlignment="1">
      <alignment horizontal="left"/>
    </xf>
    <xf numFmtId="1" fontId="0" fillId="0" borderId="0" xfId="2" applyNumberFormat="1" applyFont="1" applyAlignment="1">
      <alignment horizontal="center"/>
    </xf>
    <xf numFmtId="44" fontId="2" fillId="0" borderId="0" xfId="0" applyNumberFormat="1" applyFont="1" applyAlignment="1">
      <alignment horizontal="center"/>
    </xf>
    <xf numFmtId="44" fontId="16" fillId="0" borderId="0" xfId="0" applyNumberFormat="1" applyFont="1"/>
    <xf numFmtId="44" fontId="0" fillId="0" borderId="0" xfId="1" applyNumberFormat="1" applyFont="1" applyBorder="1"/>
    <xf numFmtId="0" fontId="4" fillId="0" borderId="0" xfId="0" applyFont="1"/>
    <xf numFmtId="0" fontId="2" fillId="0" borderId="1" xfId="0" applyFont="1" applyBorder="1" applyAlignment="1">
      <alignment horizontal="center"/>
    </xf>
    <xf numFmtId="1" fontId="5" fillId="0" borderId="0" xfId="0" applyNumberFormat="1" applyFont="1"/>
    <xf numFmtId="0" fontId="0" fillId="0" borderId="17" xfId="0"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44" fontId="0" fillId="0" borderId="15" xfId="0" applyNumberFormat="1" applyBorder="1" applyAlignment="1">
      <alignment horizontal="center"/>
    </xf>
    <xf numFmtId="10" fontId="0" fillId="0" borderId="0" xfId="6" applyNumberFormat="1" applyFont="1"/>
    <xf numFmtId="0" fontId="0" fillId="0" borderId="0" xfId="0" applyAlignment="1" applyProtection="1">
      <alignment horizontal="right"/>
      <protection locked="0"/>
    </xf>
    <xf numFmtId="44" fontId="0" fillId="6" borderId="0" xfId="2" applyFont="1" applyFill="1" applyBorder="1" applyAlignment="1">
      <alignment horizontal="center"/>
    </xf>
    <xf numFmtId="44" fontId="2" fillId="0" borderId="1" xfId="1" applyNumberFormat="1" applyFont="1" applyBorder="1"/>
    <xf numFmtId="44" fontId="11" fillId="0" borderId="1" xfId="1" applyNumberFormat="1" applyFont="1" applyFill="1" applyBorder="1"/>
    <xf numFmtId="0" fontId="0" fillId="3" borderId="0" xfId="0" applyFill="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3" borderId="1" xfId="0" applyFill="1" applyBorder="1"/>
    <xf numFmtId="0" fontId="1" fillId="3" borderId="1" xfId="0" applyFont="1" applyFill="1" applyBorder="1" applyAlignment="1">
      <alignment horizontal="left"/>
    </xf>
    <xf numFmtId="0" fontId="2" fillId="0" borderId="1" xfId="3" applyNumberFormat="1" applyFont="1" applyBorder="1" applyAlignment="1">
      <alignment horizontal="center"/>
    </xf>
    <xf numFmtId="0" fontId="2" fillId="0" borderId="1" xfId="1" applyNumberFormat="1" applyFont="1" applyBorder="1" applyAlignment="1">
      <alignment horizontal="center"/>
    </xf>
    <xf numFmtId="14" fontId="1" fillId="0" borderId="0" xfId="0" applyNumberFormat="1" applyFont="1" applyAlignment="1">
      <alignment horizontal="left"/>
    </xf>
    <xf numFmtId="1" fontId="21" fillId="0" borderId="0" xfId="0" applyNumberFormat="1" applyFont="1" applyAlignment="1">
      <alignment horizontal="left"/>
    </xf>
    <xf numFmtId="14" fontId="21" fillId="0" borderId="0" xfId="0" applyNumberFormat="1" applyFont="1" applyAlignment="1">
      <alignment horizontal="left"/>
    </xf>
    <xf numFmtId="44" fontId="4" fillId="0" borderId="0" xfId="2" applyFont="1" applyBorder="1"/>
    <xf numFmtId="168" fontId="0" fillId="3" borderId="0" xfId="0" applyNumberFormat="1" applyFill="1" applyAlignment="1">
      <alignment horizontal="left"/>
    </xf>
    <xf numFmtId="1" fontId="1" fillId="0" borderId="0" xfId="0" applyNumberFormat="1" applyFont="1" applyAlignment="1">
      <alignment horizontal="left"/>
    </xf>
    <xf numFmtId="2" fontId="1" fillId="0" borderId="4" xfId="0" applyNumberFormat="1" applyFont="1" applyBorder="1" applyAlignment="1">
      <alignment horizontal="center"/>
    </xf>
    <xf numFmtId="0" fontId="1" fillId="3" borderId="29" xfId="0" applyFont="1" applyFill="1" applyBorder="1" applyAlignment="1">
      <alignment horizontal="center" vertical="center"/>
    </xf>
    <xf numFmtId="168" fontId="0" fillId="3" borderId="8" xfId="1" applyNumberFormat="1" applyFont="1" applyFill="1" applyBorder="1" applyAlignment="1">
      <alignment horizontal="center"/>
    </xf>
    <xf numFmtId="170" fontId="1" fillId="3" borderId="31" xfId="0" applyNumberFormat="1" applyFont="1" applyFill="1" applyBorder="1" applyAlignment="1">
      <alignment horizontal="center" vertical="center"/>
    </xf>
    <xf numFmtId="44" fontId="2" fillId="0" borderId="1" xfId="2" applyFont="1" applyBorder="1" applyAlignment="1">
      <alignment horizontal="center"/>
    </xf>
    <xf numFmtId="44" fontId="0" fillId="0" borderId="1" xfId="2" applyFont="1" applyBorder="1" applyAlignment="1">
      <alignment horizontal="left"/>
    </xf>
    <xf numFmtId="0" fontId="2" fillId="0" borderId="1" xfId="0" applyFont="1" applyBorder="1" applyAlignment="1">
      <alignment horizontal="left"/>
    </xf>
    <xf numFmtId="14" fontId="1" fillId="6" borderId="6" xfId="0" applyNumberFormat="1" applyFont="1" applyFill="1" applyBorder="1" applyAlignment="1">
      <alignment horizontal="center" wrapText="1"/>
    </xf>
    <xf numFmtId="0" fontId="1" fillId="2" borderId="15" xfId="0" applyFont="1" applyFill="1" applyBorder="1" applyAlignment="1">
      <alignment horizontal="center"/>
    </xf>
    <xf numFmtId="0" fontId="22" fillId="0" borderId="1" xfId="0" applyFont="1" applyBorder="1" applyAlignment="1">
      <alignment horizontal="center"/>
    </xf>
    <xf numFmtId="44" fontId="0" fillId="0" borderId="0" xfId="2" applyFont="1" applyBorder="1"/>
    <xf numFmtId="44" fontId="0" fillId="0" borderId="27" xfId="2" applyFont="1" applyBorder="1"/>
    <xf numFmtId="0" fontId="1" fillId="7" borderId="6" xfId="0" applyFont="1" applyFill="1" applyBorder="1" applyAlignment="1">
      <alignment horizontal="center"/>
    </xf>
    <xf numFmtId="44" fontId="0" fillId="0" borderId="18" xfId="0" applyNumberFormat="1" applyBorder="1"/>
    <xf numFmtId="0" fontId="0" fillId="0" borderId="13" xfId="0" applyBorder="1"/>
    <xf numFmtId="0" fontId="0" fillId="0" borderId="11" xfId="0" applyBorder="1"/>
    <xf numFmtId="0" fontId="0" fillId="0" borderId="14" xfId="0" applyBorder="1"/>
    <xf numFmtId="0" fontId="0" fillId="12" borderId="1" xfId="0" applyFill="1" applyBorder="1" applyAlignment="1">
      <alignment horizontal="center"/>
    </xf>
    <xf numFmtId="44" fontId="0" fillId="0" borderId="0" xfId="1" applyNumberFormat="1" applyFont="1" applyAlignment="1">
      <alignment horizontal="right"/>
    </xf>
    <xf numFmtId="0" fontId="0" fillId="6" borderId="0" xfId="0" applyFill="1" applyAlignment="1">
      <alignment horizontal="right"/>
    </xf>
    <xf numFmtId="43" fontId="19" fillId="6" borderId="0" xfId="1" applyFont="1" applyFill="1"/>
    <xf numFmtId="0" fontId="1" fillId="7" borderId="6" xfId="0" applyFont="1" applyFill="1" applyBorder="1" applyAlignment="1">
      <alignment horizontal="center" wrapText="1"/>
    </xf>
    <xf numFmtId="43" fontId="19" fillId="6" borderId="0" xfId="1" applyFont="1" applyFill="1" applyProtection="1">
      <protection locked="0"/>
    </xf>
    <xf numFmtId="0" fontId="0" fillId="0" borderId="16" xfId="0" applyBorder="1" applyAlignment="1">
      <alignment horizontal="center"/>
    </xf>
    <xf numFmtId="168" fontId="0" fillId="0" borderId="16" xfId="1" applyNumberFormat="1" applyFont="1" applyBorder="1" applyAlignment="1">
      <alignment horizontal="center"/>
    </xf>
    <xf numFmtId="1" fontId="1" fillId="2" borderId="1" xfId="0" applyNumberFormat="1" applyFont="1" applyFill="1" applyBorder="1" applyAlignment="1">
      <alignment horizontal="center" vertical="center" wrapText="1"/>
    </xf>
    <xf numFmtId="0" fontId="13" fillId="2" borderId="1" xfId="0" applyFont="1" applyFill="1" applyBorder="1" applyAlignment="1">
      <alignment horizontal="center" vertical="center"/>
    </xf>
    <xf numFmtId="44" fontId="1" fillId="2" borderId="1" xfId="1" applyNumberFormat="1" applyFont="1" applyFill="1" applyBorder="1" applyAlignment="1">
      <alignment horizontal="center" vertical="center" wrapText="1"/>
    </xf>
    <xf numFmtId="44" fontId="14" fillId="2" borderId="1" xfId="1" applyNumberFormat="1" applyFont="1" applyFill="1" applyBorder="1" applyAlignment="1">
      <alignment horizontal="center" vertical="center" wrapText="1"/>
    </xf>
    <xf numFmtId="0" fontId="1" fillId="0" borderId="0" xfId="0" applyFont="1" applyAlignment="1">
      <alignment vertical="center" wrapText="1"/>
    </xf>
    <xf numFmtId="44" fontId="1" fillId="0" borderId="0" xfId="1" applyNumberFormat="1" applyFont="1" applyFill="1" applyBorder="1"/>
    <xf numFmtId="44" fontId="0" fillId="0" borderId="13" xfId="0" applyNumberFormat="1" applyBorder="1"/>
    <xf numFmtId="1" fontId="0" fillId="0" borderId="14" xfId="1" applyNumberFormat="1" applyFont="1" applyBorder="1" applyAlignment="1">
      <alignment horizontal="center"/>
    </xf>
    <xf numFmtId="1" fontId="1" fillId="11" borderId="0" xfId="0" applyNumberFormat="1" applyFont="1" applyFill="1" applyAlignment="1">
      <alignment horizontal="center"/>
    </xf>
    <xf numFmtId="0" fontId="0" fillId="15" borderId="0" xfId="0" applyFill="1"/>
    <xf numFmtId="0" fontId="0" fillId="15" borderId="0" xfId="0" applyFill="1" applyProtection="1">
      <protection locked="0"/>
    </xf>
    <xf numFmtId="0" fontId="23" fillId="0" borderId="0" xfId="0" applyFont="1"/>
    <xf numFmtId="0" fontId="1" fillId="3" borderId="1" xfId="0" applyFont="1" applyFill="1" applyBorder="1" applyAlignment="1">
      <alignment horizontal="center" vertical="center" wrapText="1"/>
    </xf>
    <xf numFmtId="14"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xf>
    <xf numFmtId="14" fontId="1" fillId="2" borderId="1" xfId="0" applyNumberFormat="1" applyFont="1" applyFill="1" applyBorder="1" applyAlignment="1">
      <alignment horizontal="center" vertical="center"/>
    </xf>
    <xf numFmtId="0" fontId="1" fillId="0" borderId="0" xfId="0" applyFont="1" applyAlignment="1">
      <alignment vertical="center"/>
    </xf>
    <xf numFmtId="44" fontId="10" fillId="3" borderId="16" xfId="5" applyFont="1" applyFill="1" applyBorder="1" applyAlignment="1">
      <alignment horizontal="center" vertical="center" wrapText="1"/>
    </xf>
    <xf numFmtId="44" fontId="10" fillId="3" borderId="16" xfId="5" applyFont="1" applyFill="1" applyBorder="1" applyAlignment="1">
      <alignment horizontal="center" vertical="center"/>
    </xf>
    <xf numFmtId="0" fontId="10" fillId="3" borderId="21" xfId="0" applyFont="1" applyFill="1" applyBorder="1" applyAlignment="1">
      <alignment horizontal="center" vertical="center"/>
    </xf>
    <xf numFmtId="0" fontId="14" fillId="0" borderId="0" xfId="0" applyFont="1" applyAlignment="1">
      <alignment vertical="center"/>
    </xf>
    <xf numFmtId="44" fontId="1" fillId="2" borderId="14" xfId="0" applyNumberFormat="1" applyFont="1" applyFill="1" applyBorder="1" applyAlignment="1">
      <alignment horizontal="center" vertical="center"/>
    </xf>
    <xf numFmtId="44" fontId="1" fillId="2" borderId="1" xfId="0" applyNumberFormat="1" applyFont="1" applyFill="1" applyBorder="1" applyAlignment="1">
      <alignment horizontal="center" vertical="center"/>
    </xf>
    <xf numFmtId="44" fontId="14" fillId="2" borderId="1" xfId="0" applyNumberFormat="1" applyFont="1" applyFill="1" applyBorder="1" applyAlignment="1">
      <alignment horizontal="center" vertical="center"/>
    </xf>
    <xf numFmtId="0" fontId="1" fillId="0" borderId="0" xfId="0" applyFont="1" applyAlignment="1">
      <alignment horizontal="center" vertical="center"/>
    </xf>
    <xf numFmtId="1" fontId="25" fillId="0" borderId="1" xfId="0" applyNumberFormat="1" applyFont="1" applyBorder="1" applyAlignment="1">
      <alignment horizontal="center"/>
    </xf>
    <xf numFmtId="0" fontId="0" fillId="16" borderId="0" xfId="0" applyFill="1" applyAlignment="1">
      <alignment horizontal="center"/>
    </xf>
    <xf numFmtId="171" fontId="0" fillId="0" borderId="1" xfId="1" applyNumberFormat="1" applyFont="1" applyBorder="1" applyAlignment="1">
      <alignment horizontal="center"/>
    </xf>
    <xf numFmtId="171" fontId="26" fillId="0" borderId="1" xfId="1" applyNumberFormat="1" applyFont="1" applyBorder="1" applyAlignment="1">
      <alignment horizontal="center"/>
    </xf>
    <xf numFmtId="168" fontId="0" fillId="0" borderId="12" xfId="1" applyNumberFormat="1" applyFont="1" applyFill="1" applyBorder="1" applyAlignment="1">
      <alignment horizontal="center"/>
    </xf>
    <xf numFmtId="0" fontId="24" fillId="15" borderId="0" xfId="0" applyFont="1" applyFill="1" applyAlignment="1">
      <alignment horizontal="left"/>
    </xf>
    <xf numFmtId="0" fontId="27" fillId="15" borderId="0" xfId="0" applyFont="1" applyFill="1" applyAlignment="1">
      <alignment horizontal="left"/>
    </xf>
    <xf numFmtId="168" fontId="0" fillId="0" borderId="0" xfId="1" applyNumberFormat="1" applyFont="1" applyFill="1" applyBorder="1" applyAlignment="1">
      <alignment horizontal="center"/>
    </xf>
    <xf numFmtId="0" fontId="1" fillId="14" borderId="29" xfId="0" applyFont="1" applyFill="1" applyBorder="1" applyAlignment="1">
      <alignment horizontal="centerContinuous"/>
    </xf>
    <xf numFmtId="2" fontId="1" fillId="2" borderId="16" xfId="0" applyNumberFormat="1" applyFont="1" applyFill="1" applyBorder="1" applyAlignment="1">
      <alignment horizontal="center" vertical="center" wrapText="1"/>
    </xf>
    <xf numFmtId="2" fontId="1" fillId="14" borderId="31" xfId="0" applyNumberFormat="1" applyFont="1" applyFill="1" applyBorder="1" applyAlignment="1">
      <alignment horizontal="centerContinuous"/>
    </xf>
    <xf numFmtId="44" fontId="0" fillId="3" borderId="13" xfId="0" applyNumberFormat="1" applyFill="1" applyBorder="1"/>
    <xf numFmtId="1" fontId="1" fillId="11" borderId="0" xfId="0" applyNumberFormat="1" applyFont="1" applyFill="1"/>
    <xf numFmtId="44" fontId="8" fillId="0" borderId="0" xfId="3" applyNumberFormat="1" applyBorder="1"/>
    <xf numFmtId="44" fontId="1" fillId="6" borderId="0" xfId="0" applyNumberFormat="1" applyFont="1" applyFill="1" applyAlignment="1">
      <alignment horizontal="center" wrapText="1"/>
    </xf>
    <xf numFmtId="44" fontId="0" fillId="0" borderId="15" xfId="0" applyNumberFormat="1" applyBorder="1"/>
    <xf numFmtId="1" fontId="0" fillId="0" borderId="14" xfId="0" applyNumberFormat="1" applyBorder="1" applyAlignment="1">
      <alignment horizontal="center"/>
    </xf>
    <xf numFmtId="1" fontId="1" fillId="0" borderId="14" xfId="0" applyNumberFormat="1" applyFont="1" applyBorder="1" applyAlignment="1">
      <alignment horizontal="center"/>
    </xf>
    <xf numFmtId="168" fontId="26" fillId="0" borderId="1" xfId="1" applyNumberFormat="1" applyFont="1" applyBorder="1" applyAlignment="1">
      <alignment horizontal="center"/>
    </xf>
    <xf numFmtId="0" fontId="26" fillId="0" borderId="16" xfId="0" applyFont="1" applyBorder="1" applyAlignment="1">
      <alignment horizontal="center"/>
    </xf>
    <xf numFmtId="168" fontId="0" fillId="0" borderId="15" xfId="1" applyNumberFormat="1" applyFont="1" applyBorder="1" applyAlignment="1">
      <alignment horizontal="center"/>
    </xf>
    <xf numFmtId="49" fontId="0" fillId="0" borderId="15" xfId="0" applyNumberFormat="1" applyBorder="1" applyAlignment="1">
      <alignment horizontal="center"/>
    </xf>
    <xf numFmtId="168" fontId="0" fillId="0" borderId="4" xfId="1" applyNumberFormat="1" applyFont="1" applyBorder="1" applyAlignment="1">
      <alignment horizontal="center"/>
    </xf>
    <xf numFmtId="0" fontId="2" fillId="0" borderId="4" xfId="3" applyFont="1" applyBorder="1" applyAlignment="1">
      <alignment horizontal="center"/>
    </xf>
    <xf numFmtId="1" fontId="28" fillId="0" borderId="0" xfId="0" applyNumberFormat="1" applyFont="1" applyAlignment="1">
      <alignment horizontal="center" vertical="center" wrapText="1"/>
    </xf>
    <xf numFmtId="0" fontId="29" fillId="0" borderId="0" xfId="0" applyFont="1"/>
    <xf numFmtId="1" fontId="28" fillId="0" borderId="0" xfId="0" applyNumberFormat="1" applyFont="1"/>
    <xf numFmtId="1" fontId="28" fillId="0" borderId="0" xfId="0" applyNumberFormat="1" applyFont="1" applyAlignment="1">
      <alignment vertical="center" wrapText="1"/>
    </xf>
    <xf numFmtId="10" fontId="0" fillId="0" borderId="0" xfId="6" applyNumberFormat="1" applyFont="1" applyFill="1"/>
    <xf numFmtId="10" fontId="0" fillId="17" borderId="0" xfId="6" applyNumberFormat="1" applyFont="1" applyFill="1"/>
    <xf numFmtId="2" fontId="23" fillId="15" borderId="0" xfId="0" applyNumberFormat="1" applyFont="1" applyFill="1"/>
    <xf numFmtId="1" fontId="1" fillId="2"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wrapText="1"/>
    </xf>
    <xf numFmtId="44"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vertical="center"/>
    </xf>
    <xf numFmtId="0" fontId="1" fillId="0" borderId="0" xfId="0" applyFont="1" applyAlignment="1">
      <alignment horizontal="centerContinuous"/>
    </xf>
    <xf numFmtId="1" fontId="1" fillId="3" borderId="13" xfId="0" applyNumberFormat="1" applyFont="1" applyFill="1" applyBorder="1" applyAlignment="1">
      <alignment horizontal="center" vertical="center" wrapText="1"/>
    </xf>
    <xf numFmtId="44" fontId="1" fillId="0" borderId="13" xfId="0" applyNumberFormat="1" applyFont="1" applyBorder="1"/>
    <xf numFmtId="49" fontId="2" fillId="0" borderId="14" xfId="3" applyNumberFormat="1" applyFont="1" applyBorder="1" applyAlignment="1">
      <alignment horizontal="center"/>
    </xf>
    <xf numFmtId="0" fontId="0" fillId="0" borderId="13" xfId="0" applyBorder="1" applyAlignment="1">
      <alignment horizontal="left"/>
    </xf>
    <xf numFmtId="14" fontId="1" fillId="2" borderId="14" xfId="0" applyNumberFormat="1" applyFont="1" applyFill="1" applyBorder="1" applyAlignment="1">
      <alignment horizontal="center" vertical="center"/>
    </xf>
    <xf numFmtId="44" fontId="0" fillId="0" borderId="0" xfId="2" applyFont="1" applyBorder="1" applyAlignment="1">
      <alignment horizontal="left"/>
    </xf>
    <xf numFmtId="0" fontId="1" fillId="2" borderId="16" xfId="0" applyFont="1" applyFill="1" applyBorder="1" applyAlignment="1">
      <alignment horizontal="center" vertical="center"/>
    </xf>
    <xf numFmtId="0" fontId="1" fillId="2" borderId="13" xfId="0" applyFont="1" applyFill="1" applyBorder="1" applyAlignment="1">
      <alignment horizontal="center" vertical="center" wrapText="1"/>
    </xf>
    <xf numFmtId="0" fontId="2" fillId="0" borderId="13" xfId="0" applyFont="1" applyBorder="1" applyAlignment="1">
      <alignment horizontal="left"/>
    </xf>
    <xf numFmtId="1" fontId="0" fillId="3" borderId="14" xfId="0" applyNumberFormat="1" applyFill="1" applyBorder="1" applyAlignment="1">
      <alignment horizontal="center"/>
    </xf>
    <xf numFmtId="44" fontId="0" fillId="0" borderId="0" xfId="2" applyFont="1" applyBorder="1" applyAlignment="1">
      <alignment horizontal="center"/>
    </xf>
    <xf numFmtId="168" fontId="0" fillId="0" borderId="0" xfId="0" applyNumberFormat="1"/>
    <xf numFmtId="168" fontId="1" fillId="0" borderId="0" xfId="0" applyNumberFormat="1" applyFont="1" applyAlignment="1">
      <alignment horizontal="left"/>
    </xf>
    <xf numFmtId="168" fontId="1" fillId="0" borderId="0" xfId="0" applyNumberFormat="1" applyFont="1" applyAlignment="1">
      <alignment horizontal="centerContinuous"/>
    </xf>
    <xf numFmtId="168" fontId="0" fillId="0" borderId="1" xfId="0" applyNumberFormat="1" applyBorder="1"/>
    <xf numFmtId="168" fontId="1" fillId="0" borderId="1" xfId="0" applyNumberFormat="1" applyFont="1" applyBorder="1"/>
    <xf numFmtId="168" fontId="16" fillId="0" borderId="0" xfId="0" applyNumberFormat="1" applyFont="1"/>
    <xf numFmtId="168" fontId="2" fillId="0" borderId="0" xfId="0" applyNumberFormat="1" applyFont="1"/>
    <xf numFmtId="2" fontId="23" fillId="0" borderId="0" xfId="0" applyNumberFormat="1" applyFont="1"/>
    <xf numFmtId="43" fontId="15" fillId="0" borderId="0" xfId="1" applyFont="1" applyBorder="1"/>
    <xf numFmtId="14" fontId="1" fillId="2" borderId="1" xfId="0" applyNumberFormat="1" applyFont="1" applyFill="1" applyBorder="1" applyAlignment="1">
      <alignment horizontal="center" vertical="center" wrapText="1"/>
    </xf>
    <xf numFmtId="2" fontId="1" fillId="2"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1" fillId="0" borderId="32" xfId="0" applyFont="1" applyBorder="1" applyAlignment="1">
      <alignment horizontal="center" vertical="center" wrapText="1"/>
    </xf>
    <xf numFmtId="165" fontId="0" fillId="0" borderId="32" xfId="0" applyNumberFormat="1" applyBorder="1" applyAlignment="1">
      <alignment horizontal="center"/>
    </xf>
    <xf numFmtId="165" fontId="0" fillId="0" borderId="32" xfId="0" applyNumberFormat="1" applyBorder="1" applyAlignment="1">
      <alignment horizontal="left"/>
    </xf>
    <xf numFmtId="43" fontId="11" fillId="0" borderId="6" xfId="0" applyNumberFormat="1" applyFont="1" applyBorder="1" applyAlignment="1">
      <alignment horizontal="left"/>
    </xf>
    <xf numFmtId="43" fontId="11" fillId="0" borderId="22" xfId="0" applyNumberFormat="1" applyFont="1" applyBorder="1" applyAlignment="1">
      <alignment horizontal="left"/>
    </xf>
    <xf numFmtId="0" fontId="30" fillId="0" borderId="0" xfId="0" applyFont="1" applyAlignment="1">
      <alignment horizontal="center"/>
    </xf>
    <xf numFmtId="1" fontId="28" fillId="0" borderId="0" xfId="0" applyNumberFormat="1" applyFont="1" applyAlignment="1">
      <alignment horizontal="centerContinuous" vertical="center" wrapText="1"/>
    </xf>
    <xf numFmtId="14" fontId="0" fillId="0" borderId="1" xfId="0" applyNumberFormat="1" applyBorder="1"/>
    <xf numFmtId="0" fontId="23" fillId="18" borderId="0" xfId="0" applyFont="1" applyFill="1"/>
    <xf numFmtId="44" fontId="10" fillId="3" borderId="1" xfId="5" applyFont="1" applyFill="1" applyBorder="1" applyAlignment="1">
      <alignment horizontal="center" vertical="center"/>
    </xf>
    <xf numFmtId="44" fontId="10" fillId="3" borderId="1" xfId="5" applyFont="1" applyFill="1" applyBorder="1" applyAlignment="1">
      <alignment horizontal="center" vertical="center" wrapText="1"/>
    </xf>
    <xf numFmtId="0" fontId="10" fillId="3" borderId="1" xfId="0" applyFont="1" applyFill="1" applyBorder="1" applyAlignment="1">
      <alignment horizontal="center" vertical="center"/>
    </xf>
    <xf numFmtId="1" fontId="0" fillId="0" borderId="1" xfId="0" applyNumberFormat="1" applyBorder="1"/>
    <xf numFmtId="0" fontId="1" fillId="0" borderId="29" xfId="0" applyFont="1" applyBorder="1" applyAlignment="1">
      <alignment horizontal="centerContinuous"/>
    </xf>
    <xf numFmtId="0" fontId="1" fillId="0" borderId="30" xfId="0" applyFont="1" applyBorder="1" applyAlignment="1">
      <alignment horizontal="centerContinuous"/>
    </xf>
    <xf numFmtId="0" fontId="18" fillId="0" borderId="0" xfId="0" applyFont="1" applyAlignment="1">
      <alignment horizontal="left"/>
    </xf>
    <xf numFmtId="0" fontId="4" fillId="0" borderId="0" xfId="0" applyFont="1" applyAlignment="1">
      <alignment horizontal="left"/>
    </xf>
    <xf numFmtId="0" fontId="23" fillId="0" borderId="0" xfId="0" applyFont="1" applyAlignment="1">
      <alignment horizontal="left" vertical="center" wrapText="1"/>
    </xf>
    <xf numFmtId="0" fontId="4" fillId="0" borderId="25" xfId="0" applyFont="1" applyBorder="1"/>
    <xf numFmtId="44" fontId="11" fillId="0" borderId="25" xfId="0" applyNumberFormat="1" applyFont="1" applyBorder="1"/>
    <xf numFmtId="1" fontId="1" fillId="2" borderId="16" xfId="0" applyNumberFormat="1" applyFont="1" applyFill="1" applyBorder="1" applyAlignment="1">
      <alignment horizontal="center" vertical="center" wrapText="1"/>
    </xf>
    <xf numFmtId="1" fontId="1" fillId="2" borderId="21" xfId="0" applyNumberFormat="1" applyFont="1" applyFill="1" applyBorder="1" applyAlignment="1">
      <alignment horizontal="center" vertical="center" wrapText="1"/>
    </xf>
    <xf numFmtId="0" fontId="1" fillId="14" borderId="31" xfId="0" applyFont="1" applyFill="1" applyBorder="1" applyAlignment="1">
      <alignment horizontal="centerContinuous"/>
    </xf>
    <xf numFmtId="0" fontId="31" fillId="19" borderId="36" xfId="0" applyFont="1" applyFill="1" applyBorder="1" applyAlignment="1">
      <alignment horizontal="center" vertical="center" wrapText="1"/>
    </xf>
    <xf numFmtId="171" fontId="31" fillId="19" borderId="36" xfId="0" applyNumberFormat="1" applyFont="1" applyFill="1" applyBorder="1" applyAlignment="1">
      <alignment horizontal="center" vertical="center" wrapText="1"/>
    </xf>
    <xf numFmtId="0" fontId="32" fillId="0" borderId="37" xfId="0" applyFont="1" applyBorder="1" applyAlignment="1">
      <alignment horizontal="center"/>
    </xf>
    <xf numFmtId="0" fontId="33" fillId="0" borderId="1" xfId="0" applyFont="1" applyBorder="1" applyAlignment="1">
      <alignment horizontal="center" vertical="center"/>
    </xf>
    <xf numFmtId="169"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44" fontId="22" fillId="0" borderId="1" xfId="5" applyFont="1" applyBorder="1" applyAlignment="1">
      <alignment vertical="center"/>
    </xf>
    <xf numFmtId="0" fontId="33" fillId="0" borderId="1" xfId="0" applyFont="1" applyBorder="1" applyAlignment="1">
      <alignment horizontal="center"/>
    </xf>
    <xf numFmtId="1" fontId="22" fillId="0" borderId="1" xfId="0" applyNumberFormat="1" applyFont="1" applyBorder="1" applyAlignment="1">
      <alignment horizontal="center"/>
    </xf>
    <xf numFmtId="0" fontId="22" fillId="0" borderId="1" xfId="0" applyFont="1" applyBorder="1" applyAlignment="1">
      <alignment horizontal="left"/>
    </xf>
    <xf numFmtId="0" fontId="35" fillId="0" borderId="1" xfId="0" applyFont="1" applyBorder="1"/>
    <xf numFmtId="0" fontId="22" fillId="10" borderId="1" xfId="0" applyFont="1" applyFill="1" applyBorder="1" applyAlignment="1">
      <alignment horizontal="center" vertical="center"/>
    </xf>
    <xf numFmtId="44" fontId="33" fillId="0" borderId="1" xfId="5" applyFont="1" applyBorder="1" applyAlignment="1">
      <alignment vertical="center"/>
    </xf>
    <xf numFmtId="0" fontId="33" fillId="0" borderId="1" xfId="0" applyFont="1" applyBorder="1" applyAlignment="1">
      <alignment vertical="center"/>
    </xf>
    <xf numFmtId="0" fontId="34" fillId="20" borderId="16" xfId="0" applyFont="1" applyFill="1" applyBorder="1" applyAlignment="1">
      <alignment horizontal="center" vertical="center"/>
    </xf>
    <xf numFmtId="40" fontId="34" fillId="20" borderId="16" xfId="0" applyNumberFormat="1" applyFont="1" applyFill="1" applyBorder="1" applyAlignment="1">
      <alignment horizontal="center" vertical="center"/>
    </xf>
    <xf numFmtId="44" fontId="34" fillId="20" borderId="16" xfId="5" applyFont="1" applyFill="1" applyBorder="1" applyAlignment="1">
      <alignment horizontal="center" vertical="center"/>
    </xf>
    <xf numFmtId="0" fontId="3" fillId="3" borderId="29" xfId="0" applyFont="1" applyFill="1" applyBorder="1" applyAlignment="1">
      <alignment horizontal="centerContinuous"/>
    </xf>
    <xf numFmtId="0" fontId="17" fillId="3" borderId="30" xfId="0" applyFont="1" applyFill="1" applyBorder="1" applyAlignment="1">
      <alignment horizontal="centerContinuous"/>
    </xf>
    <xf numFmtId="0" fontId="17" fillId="3" borderId="31" xfId="0" applyFont="1" applyFill="1" applyBorder="1" applyAlignment="1">
      <alignment horizontal="centerContinuous"/>
    </xf>
    <xf numFmtId="0" fontId="36" fillId="0" borderId="0" xfId="0" applyFont="1"/>
    <xf numFmtId="0" fontId="0" fillId="18" borderId="0" xfId="0" applyFill="1"/>
    <xf numFmtId="164" fontId="11" fillId="0" borderId="0" xfId="0" applyNumberFormat="1" applyFont="1" applyAlignment="1">
      <alignment horizontal="center"/>
    </xf>
    <xf numFmtId="0" fontId="13" fillId="3" borderId="1" xfId="0" applyFont="1" applyFill="1" applyBorder="1" applyAlignment="1">
      <alignment horizontal="center" vertical="center"/>
    </xf>
    <xf numFmtId="168" fontId="4" fillId="3" borderId="0" xfId="2" applyNumberFormat="1" applyFill="1" applyAlignment="1">
      <alignment horizontal="center"/>
    </xf>
    <xf numFmtId="168" fontId="2" fillId="3" borderId="0" xfId="2" applyNumberFormat="1" applyFont="1" applyFill="1" applyAlignment="1">
      <alignment horizontal="center"/>
    </xf>
    <xf numFmtId="10" fontId="4" fillId="3" borderId="0" xfId="6" applyNumberFormat="1" applyFill="1" applyAlignment="1">
      <alignment horizontal="center"/>
    </xf>
    <xf numFmtId="7" fontId="4" fillId="3" borderId="23" xfId="2" applyNumberFormat="1" applyFill="1" applyBorder="1" applyAlignment="1">
      <alignment horizontal="center"/>
    </xf>
    <xf numFmtId="0" fontId="1" fillId="21" borderId="27" xfId="0" applyFont="1" applyFill="1" applyBorder="1" applyAlignment="1">
      <alignment horizontal="left"/>
    </xf>
    <xf numFmtId="0" fontId="1" fillId="21" borderId="27" xfId="0" applyFont="1" applyFill="1" applyBorder="1" applyAlignment="1">
      <alignment horizontal="center"/>
    </xf>
    <xf numFmtId="0" fontId="1" fillId="21" borderId="0" xfId="0" applyFont="1" applyFill="1" applyAlignment="1">
      <alignment horizontal="center"/>
    </xf>
    <xf numFmtId="0" fontId="0" fillId="21" borderId="0" xfId="0" applyFill="1"/>
    <xf numFmtId="0" fontId="0" fillId="21" borderId="18" xfId="0" applyFill="1" applyBorder="1"/>
    <xf numFmtId="0" fontId="30" fillId="21" borderId="0" xfId="0" applyFont="1" applyFill="1" applyAlignment="1">
      <alignment horizontal="center"/>
    </xf>
    <xf numFmtId="0" fontId="30" fillId="21" borderId="18" xfId="0" applyFont="1" applyFill="1" applyBorder="1" applyAlignment="1">
      <alignment horizontal="center"/>
    </xf>
    <xf numFmtId="44" fontId="0" fillId="21" borderId="0" xfId="2" applyFont="1" applyFill="1" applyBorder="1"/>
    <xf numFmtId="44" fontId="0" fillId="21" borderId="18" xfId="2" applyFont="1" applyFill="1" applyBorder="1"/>
    <xf numFmtId="0" fontId="0" fillId="21" borderId="0" xfId="0" applyFill="1" applyAlignment="1">
      <alignment horizontal="left" vertical="center"/>
    </xf>
    <xf numFmtId="44" fontId="1" fillId="21" borderId="5" xfId="2" applyFont="1" applyFill="1" applyBorder="1" applyAlignment="1">
      <alignment horizontal="left" vertical="center"/>
    </xf>
    <xf numFmtId="0" fontId="2" fillId="21" borderId="0" xfId="0" applyFont="1" applyFill="1" applyAlignment="1">
      <alignment horizontal="left"/>
    </xf>
    <xf numFmtId="0" fontId="2" fillId="21" borderId="0" xfId="0" applyFont="1" applyFill="1" applyAlignment="1">
      <alignment horizontal="right"/>
    </xf>
    <xf numFmtId="44" fontId="4" fillId="21" borderId="0" xfId="0" applyNumberFormat="1" applyFont="1" applyFill="1"/>
    <xf numFmtId="44" fontId="4" fillId="21" borderId="18" xfId="0" applyNumberFormat="1" applyFont="1" applyFill="1" applyBorder="1"/>
    <xf numFmtId="44" fontId="4" fillId="21" borderId="0" xfId="2" applyFill="1" applyBorder="1"/>
    <xf numFmtId="44" fontId="4" fillId="21" borderId="18" xfId="2" applyFill="1" applyBorder="1"/>
    <xf numFmtId="168" fontId="0" fillId="0" borderId="0" xfId="0" applyNumberFormat="1" applyAlignment="1">
      <alignment horizontal="centerContinuous"/>
    </xf>
    <xf numFmtId="1" fontId="5" fillId="0" borderId="0" xfId="0" applyNumberFormat="1" applyFont="1" applyAlignment="1">
      <alignment horizontal="centerContinuous"/>
    </xf>
    <xf numFmtId="44" fontId="25" fillId="0" borderId="1" xfId="2" applyFont="1" applyBorder="1" applyAlignment="1">
      <alignment horizontal="center"/>
    </xf>
    <xf numFmtId="7" fontId="4" fillId="0" borderId="23" xfId="2" applyNumberFormat="1" applyFill="1" applyBorder="1" applyAlignment="1">
      <alignment horizontal="center"/>
    </xf>
    <xf numFmtId="49" fontId="33" fillId="0" borderId="1" xfId="0" applyNumberFormat="1" applyFont="1" applyBorder="1" applyAlignment="1">
      <alignment horizontal="center" vertical="center"/>
    </xf>
    <xf numFmtId="49" fontId="22" fillId="0" borderId="37" xfId="0" applyNumberFormat="1" applyFont="1" applyBorder="1" applyAlignment="1">
      <alignment horizontal="left"/>
    </xf>
    <xf numFmtId="49" fontId="33" fillId="0" borderId="1" xfId="0" applyNumberFormat="1" applyFont="1" applyBorder="1" applyAlignment="1">
      <alignment horizontal="left" vertical="center"/>
    </xf>
    <xf numFmtId="0" fontId="1" fillId="0" borderId="38" xfId="0" applyFont="1" applyBorder="1" applyAlignment="1">
      <alignment horizontal="center"/>
    </xf>
    <xf numFmtId="7" fontId="1" fillId="0" borderId="38" xfId="2" applyNumberFormat="1" applyFont="1" applyBorder="1" applyAlignment="1">
      <alignment horizontal="center"/>
    </xf>
    <xf numFmtId="44" fontId="0" fillId="21" borderId="0" xfId="2" applyFont="1" applyFill="1"/>
    <xf numFmtId="0" fontId="1" fillId="21" borderId="0" xfId="0" applyFont="1" applyFill="1"/>
    <xf numFmtId="44" fontId="1" fillId="21" borderId="5" xfId="2" applyFont="1" applyFill="1" applyBorder="1"/>
    <xf numFmtId="0" fontId="0" fillId="0" borderId="13" xfId="0" applyBorder="1" applyAlignment="1">
      <alignment horizontal="centerContinuous"/>
    </xf>
    <xf numFmtId="0" fontId="0" fillId="0" borderId="11" xfId="0" applyBorder="1" applyAlignment="1">
      <alignment horizontal="centerContinuous"/>
    </xf>
    <xf numFmtId="44" fontId="0" fillId="0" borderId="5" xfId="2" applyFont="1" applyBorder="1" applyAlignment="1">
      <alignment horizontal="center"/>
    </xf>
    <xf numFmtId="0" fontId="23" fillId="0" borderId="0" xfId="0" applyFont="1" applyAlignment="1">
      <alignment horizontal="left" vertical="center"/>
    </xf>
    <xf numFmtId="44" fontId="1" fillId="21" borderId="0" xfId="2" applyFont="1" applyFill="1" applyBorder="1"/>
    <xf numFmtId="0" fontId="0" fillId="0" borderId="14" xfId="0" applyBorder="1" applyAlignment="1">
      <alignment horizontal="centerContinuous"/>
    </xf>
    <xf numFmtId="0" fontId="1" fillId="3" borderId="29" xfId="0" applyFont="1" applyFill="1" applyBorder="1" applyAlignment="1">
      <alignment horizontal="centerContinuous"/>
    </xf>
    <xf numFmtId="0" fontId="1" fillId="22" borderId="0" xfId="0" applyFont="1" applyFill="1"/>
    <xf numFmtId="44" fontId="1" fillId="0" borderId="0" xfId="2" applyFont="1"/>
    <xf numFmtId="44" fontId="4" fillId="3" borderId="0" xfId="2" applyFill="1" applyAlignment="1">
      <alignment horizontal="center"/>
    </xf>
    <xf numFmtId="44" fontId="0" fillId="0" borderId="1" xfId="1" applyNumberFormat="1" applyFont="1" applyFill="1" applyBorder="1"/>
    <xf numFmtId="0" fontId="37" fillId="3" borderId="39" xfId="0" applyFont="1" applyFill="1" applyBorder="1" applyAlignment="1">
      <alignment horizontal="center" vertical="center" wrapText="1"/>
    </xf>
    <xf numFmtId="0" fontId="37" fillId="3" borderId="40" xfId="0" applyFont="1" applyFill="1" applyBorder="1" applyAlignment="1">
      <alignment horizontal="center" vertical="center" wrapText="1"/>
    </xf>
    <xf numFmtId="0" fontId="37" fillId="3" borderId="10" xfId="0" applyFont="1" applyFill="1" applyBorder="1" applyAlignment="1">
      <alignment horizontal="center" vertical="center" wrapText="1"/>
    </xf>
    <xf numFmtId="0" fontId="37" fillId="3" borderId="41" xfId="0" applyFont="1" applyFill="1" applyBorder="1" applyAlignment="1">
      <alignment horizontal="center" vertical="center" wrapText="1"/>
    </xf>
    <xf numFmtId="0" fontId="37" fillId="3" borderId="42" xfId="0" applyFont="1" applyFill="1" applyBorder="1" applyAlignment="1">
      <alignment horizontal="center" vertical="center" wrapText="1"/>
    </xf>
    <xf numFmtId="0" fontId="37" fillId="3" borderId="9" xfId="0" applyFont="1" applyFill="1" applyBorder="1" applyAlignment="1">
      <alignment horizontal="center" vertical="center" wrapText="1"/>
    </xf>
    <xf numFmtId="0" fontId="37" fillId="23" borderId="43" xfId="0" applyFont="1" applyFill="1" applyBorder="1" applyAlignment="1">
      <alignment vertical="center" wrapText="1"/>
    </xf>
    <xf numFmtId="0" fontId="37" fillId="8" borderId="41" xfId="0" applyFont="1" applyFill="1" applyBorder="1" applyAlignment="1">
      <alignment horizontal="center" vertical="center" wrapText="1"/>
    </xf>
    <xf numFmtId="0" fontId="37" fillId="8" borderId="9" xfId="0" applyFont="1" applyFill="1" applyBorder="1" applyAlignment="1">
      <alignment horizontal="center" vertical="center" wrapText="1"/>
    </xf>
    <xf numFmtId="0" fontId="37" fillId="8" borderId="42" xfId="0" applyFont="1" applyFill="1" applyBorder="1" applyAlignment="1">
      <alignment horizontal="center" vertical="center" wrapText="1"/>
    </xf>
    <xf numFmtId="0" fontId="37" fillId="23" borderId="7" xfId="0" applyFont="1" applyFill="1" applyBorder="1" applyAlignment="1">
      <alignment vertical="center" wrapText="1"/>
    </xf>
    <xf numFmtId="0" fontId="1" fillId="8" borderId="44" xfId="0" applyFont="1" applyFill="1" applyBorder="1" applyAlignment="1">
      <alignment horizontal="center" vertical="center"/>
    </xf>
    <xf numFmtId="0" fontId="37" fillId="8" borderId="16" xfId="0" applyFont="1" applyFill="1" applyBorder="1" applyAlignment="1">
      <alignment horizontal="center" vertical="center" wrapText="1"/>
    </xf>
    <xf numFmtId="0" fontId="37" fillId="8" borderId="45" xfId="0" applyFont="1" applyFill="1" applyBorder="1" applyAlignment="1">
      <alignment horizontal="center" vertical="center" wrapText="1"/>
    </xf>
    <xf numFmtId="0" fontId="37" fillId="8" borderId="44" xfId="0" applyFont="1" applyFill="1" applyBorder="1" applyAlignment="1">
      <alignment horizontal="center" vertical="center" wrapText="1"/>
    </xf>
    <xf numFmtId="0" fontId="1" fillId="8" borderId="40" xfId="0" applyFont="1" applyFill="1" applyBorder="1" applyAlignment="1">
      <alignment horizontal="center" vertical="center" wrapText="1"/>
    </xf>
    <xf numFmtId="0" fontId="1" fillId="8" borderId="39" xfId="0" applyFont="1" applyFill="1" applyBorder="1" applyAlignment="1">
      <alignment horizontal="center" vertical="center"/>
    </xf>
    <xf numFmtId="0" fontId="37" fillId="8" borderId="46" xfId="0" applyFont="1" applyFill="1" applyBorder="1" applyAlignment="1">
      <alignment horizontal="center" vertical="center" wrapText="1"/>
    </xf>
    <xf numFmtId="0" fontId="37" fillId="8" borderId="47" xfId="0" applyFont="1" applyFill="1" applyBorder="1" applyAlignment="1">
      <alignment horizontal="center" vertical="center" wrapText="1"/>
    </xf>
    <xf numFmtId="0" fontId="37" fillId="23" borderId="39" xfId="0" applyFont="1" applyFill="1" applyBorder="1" applyAlignment="1">
      <alignment vertical="center" wrapText="1"/>
    </xf>
    <xf numFmtId="0" fontId="1" fillId="24" borderId="46" xfId="0" applyFont="1" applyFill="1" applyBorder="1" applyAlignment="1">
      <alignment horizontal="center" vertical="center"/>
    </xf>
    <xf numFmtId="0" fontId="1" fillId="24" borderId="47" xfId="0" applyFont="1" applyFill="1" applyBorder="1" applyAlignment="1">
      <alignment horizontal="center" vertical="center"/>
    </xf>
    <xf numFmtId="0" fontId="39" fillId="23" borderId="0" xfId="0" applyFont="1" applyFill="1" applyAlignment="1">
      <alignment vertical="center" wrapText="1"/>
    </xf>
    <xf numFmtId="0" fontId="40" fillId="25" borderId="0" xfId="0" applyFont="1" applyFill="1" applyAlignment="1">
      <alignment horizontal="center" vertical="center"/>
    </xf>
    <xf numFmtId="0" fontId="41" fillId="25" borderId="0" xfId="0" applyFont="1" applyFill="1" applyAlignment="1">
      <alignment horizontal="center" vertical="center"/>
    </xf>
    <xf numFmtId="0" fontId="42" fillId="25" borderId="0" xfId="0" applyFont="1" applyFill="1" applyAlignment="1">
      <alignment horizontal="center" vertical="center" wrapText="1"/>
    </xf>
    <xf numFmtId="0" fontId="43" fillId="25" borderId="0" xfId="0" applyFont="1" applyFill="1" applyAlignment="1">
      <alignment horizontal="center" vertical="center" wrapText="1"/>
    </xf>
    <xf numFmtId="0" fontId="37" fillId="23" borderId="0" xfId="0" applyFont="1" applyFill="1" applyAlignment="1">
      <alignment vertical="center" wrapText="1"/>
    </xf>
    <xf numFmtId="0" fontId="44" fillId="25" borderId="0" xfId="0" applyFont="1" applyFill="1" applyAlignment="1">
      <alignment horizontal="center" vertical="center"/>
    </xf>
    <xf numFmtId="0" fontId="45" fillId="25" borderId="0" xfId="0" applyFont="1" applyFill="1" applyAlignment="1">
      <alignment horizontal="center" vertical="center" wrapText="1"/>
    </xf>
    <xf numFmtId="0" fontId="23" fillId="25" borderId="0" xfId="0" applyFont="1" applyFill="1" applyAlignment="1">
      <alignment horizontal="center" vertical="center" wrapText="1"/>
    </xf>
    <xf numFmtId="0" fontId="1" fillId="3" borderId="0" xfId="0" applyFont="1" applyFill="1" applyAlignment="1">
      <alignment vertical="center"/>
    </xf>
    <xf numFmtId="0" fontId="0" fillId="3" borderId="0" xfId="0" applyFill="1" applyAlignment="1">
      <alignment vertical="center"/>
    </xf>
    <xf numFmtId="0" fontId="30" fillId="0" borderId="0" xfId="0" applyFont="1"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xf>
    <xf numFmtId="0" fontId="23" fillId="0" borderId="0" xfId="0" applyFont="1" applyAlignment="1">
      <alignment horizontal="center" vertical="center" wrapText="1"/>
    </xf>
    <xf numFmtId="1" fontId="48" fillId="0" borderId="0" xfId="0" applyNumberFormat="1" applyFont="1"/>
    <xf numFmtId="0" fontId="50" fillId="3" borderId="0" xfId="0" applyFont="1" applyFill="1"/>
    <xf numFmtId="0" fontId="49" fillId="3" borderId="0" xfId="0" applyFont="1" applyFill="1"/>
    <xf numFmtId="1" fontId="48" fillId="3" borderId="0" xfId="0" applyNumberFormat="1" applyFont="1" applyFill="1"/>
    <xf numFmtId="0" fontId="14" fillId="3" borderId="0" xfId="0" applyFont="1" applyFill="1" applyAlignment="1">
      <alignment horizontal="left"/>
    </xf>
    <xf numFmtId="0" fontId="14" fillId="3" borderId="0" xfId="0" applyFont="1" applyFill="1" applyAlignment="1">
      <alignment horizontal="center"/>
    </xf>
    <xf numFmtId="1" fontId="11" fillId="3" borderId="0" xfId="0" applyNumberFormat="1" applyFont="1" applyFill="1" applyAlignment="1">
      <alignment horizontal="center"/>
    </xf>
    <xf numFmtId="0" fontId="11" fillId="3" borderId="0" xfId="0" applyFont="1" applyFill="1" applyAlignment="1">
      <alignment horizontal="center"/>
    </xf>
    <xf numFmtId="0" fontId="11" fillId="3" borderId="0" xfId="0" applyFont="1" applyFill="1"/>
    <xf numFmtId="0" fontId="11" fillId="3" borderId="0" xfId="0" applyFont="1" applyFill="1" applyAlignment="1">
      <alignment horizontal="left"/>
    </xf>
    <xf numFmtId="0" fontId="51" fillId="0" borderId="0" xfId="0" applyFont="1"/>
    <xf numFmtId="44" fontId="4" fillId="0" borderId="4" xfId="0" applyNumberFormat="1" applyFont="1" applyBorder="1"/>
    <xf numFmtId="44" fontId="2" fillId="0" borderId="0" xfId="0" applyNumberFormat="1" applyFont="1"/>
    <xf numFmtId="44" fontId="4" fillId="0" borderId="4" xfId="2" applyFont="1" applyBorder="1"/>
    <xf numFmtId="44" fontId="1" fillId="26" borderId="5" xfId="2" applyFont="1" applyFill="1" applyBorder="1"/>
    <xf numFmtId="0" fontId="0" fillId="0" borderId="0" xfId="0" quotePrefix="1"/>
    <xf numFmtId="1" fontId="54" fillId="0" borderId="0" xfId="0" applyNumberFormat="1" applyFont="1" applyAlignment="1">
      <alignment horizontal="centerContinuous" vertical="center" wrapText="1"/>
    </xf>
    <xf numFmtId="14" fontId="55" fillId="0" borderId="0" xfId="0" applyNumberFormat="1" applyFont="1" applyAlignment="1">
      <alignment horizontal="center"/>
    </xf>
    <xf numFmtId="14" fontId="2" fillId="0" borderId="0" xfId="0" applyNumberFormat="1" applyFont="1" applyAlignment="1">
      <alignment horizontal="center"/>
    </xf>
    <xf numFmtId="0" fontId="13" fillId="0" borderId="0" xfId="0" applyFont="1" applyAlignment="1">
      <alignment horizontal="left"/>
    </xf>
    <xf numFmtId="1" fontId="13" fillId="2" borderId="1" xfId="0" applyNumberFormat="1" applyFont="1" applyFill="1" applyBorder="1" applyAlignment="1">
      <alignment horizontal="center" vertical="center" wrapText="1"/>
    </xf>
    <xf numFmtId="171" fontId="2" fillId="0" borderId="1" xfId="1" applyNumberFormat="1" applyFont="1" applyBorder="1" applyAlignment="1">
      <alignment horizontal="center"/>
    </xf>
    <xf numFmtId="14" fontId="13" fillId="0" borderId="0" xfId="0" applyNumberFormat="1" applyFont="1" applyAlignment="1">
      <alignment horizontal="right"/>
    </xf>
    <xf numFmtId="0" fontId="0" fillId="0" borderId="1" xfId="0" applyBorder="1" applyAlignment="1">
      <alignment horizontal="center" vertical="center"/>
    </xf>
    <xf numFmtId="0" fontId="56" fillId="0" borderId="0" xfId="3" applyFont="1"/>
    <xf numFmtId="9" fontId="4" fillId="21" borderId="18" xfId="6" applyFill="1" applyBorder="1"/>
    <xf numFmtId="0" fontId="58" fillId="0" borderId="0" xfId="0" applyFont="1" applyAlignment="1">
      <alignment horizontal="center" vertical="center"/>
    </xf>
    <xf numFmtId="1" fontId="0" fillId="27" borderId="1" xfId="1" applyNumberFormat="1" applyFont="1" applyFill="1" applyBorder="1" applyAlignment="1">
      <alignment horizontal="center"/>
    </xf>
    <xf numFmtId="0" fontId="3" fillId="0" borderId="0" xfId="0" applyFont="1" applyAlignment="1">
      <alignment horizontal="centerContinuous"/>
    </xf>
    <xf numFmtId="44" fontId="0" fillId="0" borderId="27" xfId="1" applyNumberFormat="1" applyFont="1" applyBorder="1"/>
    <xf numFmtId="0" fontId="0" fillId="0" borderId="0" xfId="1" applyNumberFormat="1" applyFont="1" applyAlignment="1">
      <alignment horizontal="center"/>
    </xf>
    <xf numFmtId="14" fontId="1" fillId="21" borderId="6" xfId="0" applyNumberFormat="1" applyFont="1" applyFill="1" applyBorder="1" applyAlignment="1">
      <alignment horizontal="center" wrapText="1"/>
    </xf>
    <xf numFmtId="44" fontId="0" fillId="21" borderId="17" xfId="2" applyFont="1" applyFill="1" applyBorder="1"/>
    <xf numFmtId="44" fontId="0" fillId="21" borderId="0" xfId="0" applyNumberFormat="1" applyFill="1"/>
    <xf numFmtId="0" fontId="0" fillId="0" borderId="2" xfId="0" applyBorder="1"/>
    <xf numFmtId="0" fontId="0" fillId="0" borderId="3" xfId="0" applyBorder="1"/>
    <xf numFmtId="0" fontId="0" fillId="0" borderId="3" xfId="0" applyBorder="1" applyAlignment="1">
      <alignment horizontal="center"/>
    </xf>
    <xf numFmtId="1" fontId="0" fillId="0" borderId="2" xfId="0" applyNumberFormat="1" applyBorder="1" applyAlignment="1">
      <alignment horizontal="center"/>
    </xf>
    <xf numFmtId="0" fontId="0" fillId="12" borderId="16" xfId="0" applyFill="1" applyBorder="1" applyAlignment="1">
      <alignment horizontal="center"/>
    </xf>
    <xf numFmtId="0" fontId="0" fillId="0" borderId="4" xfId="0" applyBorder="1" applyAlignment="1">
      <alignment horizontal="centerContinuous"/>
    </xf>
    <xf numFmtId="44" fontId="0" fillId="0" borderId="3" xfId="0" applyNumberFormat="1" applyBorder="1" applyAlignment="1">
      <alignment horizontal="centerContinuous"/>
    </xf>
    <xf numFmtId="14" fontId="0" fillId="27" borderId="1" xfId="0" applyNumberFormat="1" applyFill="1" applyBorder="1" applyAlignment="1">
      <alignment horizontal="center"/>
    </xf>
    <xf numFmtId="0" fontId="0" fillId="0" borderId="4" xfId="0" applyBorder="1" applyAlignment="1">
      <alignment horizontal="centerContinuous" wrapText="1"/>
    </xf>
    <xf numFmtId="0" fontId="0" fillId="0" borderId="3" xfId="0" applyBorder="1" applyAlignment="1">
      <alignment horizontal="centerContinuous" wrapText="1"/>
    </xf>
    <xf numFmtId="1" fontId="57" fillId="0" borderId="32" xfId="0" applyNumberFormat="1" applyFont="1" applyBorder="1" applyAlignment="1">
      <alignment horizontal="center" vertical="center" wrapText="1"/>
    </xf>
    <xf numFmtId="43" fontId="2" fillId="0" borderId="0" xfId="0" applyNumberFormat="1" applyFont="1" applyAlignment="1">
      <alignment horizontal="center"/>
    </xf>
    <xf numFmtId="43" fontId="0" fillId="0" borderId="0" xfId="0" applyNumberFormat="1"/>
    <xf numFmtId="0" fontId="0" fillId="0" borderId="2" xfId="0" applyBorder="1" applyAlignment="1">
      <alignment horizontal="centerContinuous"/>
    </xf>
    <xf numFmtId="0" fontId="0" fillId="0" borderId="2" xfId="0" applyBorder="1" applyAlignment="1">
      <alignment horizontal="centerContinuous" wrapText="1"/>
    </xf>
    <xf numFmtId="0" fontId="0" fillId="0" borderId="0" xfId="0" applyAlignment="1">
      <alignment horizontal="centerContinuous" wrapText="1"/>
    </xf>
    <xf numFmtId="44" fontId="0" fillId="0" borderId="4" xfId="0" applyNumberFormat="1" applyBorder="1" applyAlignment="1">
      <alignment horizontal="centerContinuous"/>
    </xf>
    <xf numFmtId="14" fontId="0" fillId="0" borderId="27" xfId="0" applyNumberFormat="1" applyBorder="1" applyAlignment="1">
      <alignment horizontal="center"/>
    </xf>
    <xf numFmtId="44" fontId="0" fillId="0" borderId="27" xfId="1" applyNumberFormat="1" applyFont="1" applyBorder="1" applyAlignment="1">
      <alignment horizontal="center"/>
    </xf>
    <xf numFmtId="0" fontId="0" fillId="0" borderId="27" xfId="0" applyBorder="1" applyAlignment="1">
      <alignment horizontal="center"/>
    </xf>
    <xf numFmtId="44" fontId="0" fillId="0" borderId="27" xfId="0" applyNumberFormat="1" applyBorder="1"/>
    <xf numFmtId="0" fontId="2" fillId="0" borderId="14" xfId="3" applyNumberFormat="1" applyFont="1" applyFill="1" applyBorder="1" applyAlignment="1">
      <alignment horizontal="center"/>
    </xf>
    <xf numFmtId="0" fontId="2" fillId="0" borderId="14" xfId="3" applyNumberFormat="1" applyFont="1" applyBorder="1" applyAlignment="1">
      <alignment horizontal="center"/>
    </xf>
    <xf numFmtId="0" fontId="0" fillId="15" borderId="0" xfId="0" applyFill="1" applyAlignment="1">
      <alignment horizontal="center"/>
    </xf>
    <xf numFmtId="0" fontId="2" fillId="17" borderId="0" xfId="0" applyFont="1" applyFill="1" applyAlignment="1">
      <alignment horizontal="centerContinuous"/>
    </xf>
    <xf numFmtId="44" fontId="11" fillId="0" borderId="17" xfId="0" applyNumberFormat="1" applyFont="1" applyBorder="1"/>
    <xf numFmtId="0" fontId="0" fillId="0" borderId="3" xfId="0" applyBorder="1" applyAlignment="1">
      <alignment horizontal="centerContinuous"/>
    </xf>
    <xf numFmtId="44" fontId="0" fillId="0" borderId="0" xfId="1" applyNumberFormat="1" applyFont="1" applyAlignment="1"/>
    <xf numFmtId="44" fontId="0" fillId="8" borderId="27" xfId="0" applyNumberFormat="1" applyFill="1" applyBorder="1"/>
    <xf numFmtId="44" fontId="0" fillId="8" borderId="0" xfId="0" applyNumberFormat="1" applyFill="1"/>
    <xf numFmtId="0" fontId="0" fillId="11" borderId="0" xfId="0" applyFill="1" applyAlignment="1">
      <alignment horizontal="right"/>
    </xf>
    <xf numFmtId="43" fontId="19" fillId="11" borderId="0" xfId="1" applyFont="1" applyFill="1" applyProtection="1">
      <protection locked="0"/>
    </xf>
    <xf numFmtId="44" fontId="11" fillId="0" borderId="0" xfId="1" applyNumberFormat="1" applyFont="1"/>
    <xf numFmtId="44" fontId="0" fillId="0" borderId="0" xfId="1" applyNumberFormat="1" applyFont="1" applyAlignment="1">
      <alignment horizontal="left"/>
    </xf>
    <xf numFmtId="44" fontId="0" fillId="0" borderId="17" xfId="1" applyNumberFormat="1" applyFont="1" applyBorder="1" applyAlignment="1">
      <alignment horizontal="left"/>
    </xf>
    <xf numFmtId="14" fontId="0" fillId="0" borderId="14" xfId="0" applyNumberFormat="1" applyBorder="1" applyAlignment="1">
      <alignment horizontal="center"/>
    </xf>
    <xf numFmtId="14" fontId="1" fillId="3" borderId="14" xfId="0" applyNumberFormat="1" applyFont="1" applyFill="1" applyBorder="1" applyAlignment="1">
      <alignment horizontal="center"/>
    </xf>
    <xf numFmtId="44" fontId="0" fillId="0" borderId="13" xfId="2" applyFont="1" applyBorder="1"/>
    <xf numFmtId="44" fontId="0" fillId="3" borderId="13" xfId="2" applyFont="1" applyFill="1" applyBorder="1"/>
    <xf numFmtId="0" fontId="1" fillId="5" borderId="0" xfId="0" applyFont="1" applyFill="1" applyAlignment="1">
      <alignment horizontal="centerContinuous"/>
    </xf>
    <xf numFmtId="0" fontId="0" fillId="0" borderId="5" xfId="0" applyBorder="1"/>
    <xf numFmtId="0" fontId="2" fillId="0" borderId="5" xfId="0" applyFont="1" applyBorder="1" applyAlignment="1">
      <alignment horizontal="center"/>
    </xf>
    <xf numFmtId="0" fontId="2" fillId="0" borderId="24" xfId="0" applyFont="1" applyBorder="1" applyAlignment="1">
      <alignment horizontal="left"/>
    </xf>
    <xf numFmtId="44" fontId="4" fillId="0" borderId="25" xfId="2" applyBorder="1"/>
    <xf numFmtId="44" fontId="4" fillId="0" borderId="28" xfId="2" applyBorder="1"/>
    <xf numFmtId="44" fontId="0" fillId="0" borderId="25" xfId="2" applyFont="1" applyBorder="1"/>
    <xf numFmtId="0" fontId="2" fillId="0" borderId="48" xfId="0" applyFont="1" applyBorder="1" applyAlignment="1">
      <alignment horizontal="left"/>
    </xf>
    <xf numFmtId="44" fontId="4" fillId="0" borderId="49" xfId="2" applyBorder="1"/>
    <xf numFmtId="0" fontId="4" fillId="0" borderId="27" xfId="0" applyFont="1" applyBorder="1"/>
    <xf numFmtId="0" fontId="0" fillId="0" borderId="27" xfId="0" applyBorder="1" applyAlignment="1">
      <alignment horizontal="right"/>
    </xf>
    <xf numFmtId="0" fontId="1" fillId="8" borderId="34" xfId="0" applyFont="1" applyFill="1" applyBorder="1" applyAlignment="1">
      <alignment horizontal="center"/>
    </xf>
    <xf numFmtId="0" fontId="0" fillId="0" borderId="29" xfId="0" applyBorder="1" applyAlignment="1">
      <alignment horizontal="center"/>
    </xf>
    <xf numFmtId="0" fontId="4" fillId="0" borderId="30" xfId="0" applyFont="1" applyBorder="1"/>
    <xf numFmtId="0" fontId="4" fillId="0" borderId="30" xfId="0" applyFont="1" applyBorder="1" applyAlignment="1">
      <alignment horizontal="center"/>
    </xf>
    <xf numFmtId="0" fontId="0" fillId="28" borderId="1" xfId="0" applyFill="1" applyBorder="1"/>
    <xf numFmtId="14" fontId="0" fillId="28" borderId="14" xfId="0" applyNumberFormat="1" applyFill="1" applyBorder="1" applyAlignment="1">
      <alignment horizontal="center"/>
    </xf>
    <xf numFmtId="1" fontId="0" fillId="28" borderId="14" xfId="0" applyNumberFormat="1" applyFill="1" applyBorder="1" applyAlignment="1">
      <alignment horizontal="center"/>
    </xf>
    <xf numFmtId="1" fontId="0" fillId="28" borderId="1" xfId="1" applyNumberFormat="1" applyFont="1" applyFill="1" applyBorder="1" applyAlignment="1">
      <alignment horizontal="center"/>
    </xf>
    <xf numFmtId="0" fontId="0" fillId="28" borderId="1" xfId="0" applyFill="1" applyBorder="1" applyAlignment="1">
      <alignment horizontal="left"/>
    </xf>
    <xf numFmtId="0" fontId="0" fillId="28" borderId="1" xfId="0" applyFill="1" applyBorder="1" applyAlignment="1">
      <alignment horizontal="center"/>
    </xf>
    <xf numFmtId="1" fontId="0" fillId="28" borderId="1" xfId="0" applyNumberFormat="1" applyFill="1" applyBorder="1" applyAlignment="1">
      <alignment horizontal="center"/>
    </xf>
    <xf numFmtId="44" fontId="0" fillId="28" borderId="13" xfId="0" applyNumberFormat="1" applyFill="1" applyBorder="1"/>
    <xf numFmtId="44" fontId="0" fillId="28" borderId="13" xfId="2" applyFont="1" applyFill="1" applyBorder="1"/>
    <xf numFmtId="1" fontId="1" fillId="28" borderId="14" xfId="0" applyNumberFormat="1" applyFont="1" applyFill="1" applyBorder="1" applyAlignment="1">
      <alignment horizontal="center"/>
    </xf>
    <xf numFmtId="1" fontId="1" fillId="28" borderId="1" xfId="0" applyNumberFormat="1" applyFont="1" applyFill="1" applyBorder="1" applyAlignment="1">
      <alignment horizontal="center"/>
    </xf>
    <xf numFmtId="44" fontId="0" fillId="28" borderId="15" xfId="0" applyNumberFormat="1" applyFill="1" applyBorder="1"/>
    <xf numFmtId="0" fontId="0" fillId="28" borderId="15" xfId="0" applyFill="1" applyBorder="1"/>
    <xf numFmtId="0" fontId="0" fillId="28" borderId="15" xfId="0" applyFill="1" applyBorder="1" applyAlignment="1">
      <alignment horizontal="left"/>
    </xf>
    <xf numFmtId="44" fontId="2" fillId="0" borderId="5" xfId="2" applyFont="1" applyBorder="1" applyAlignment="1">
      <alignment horizontal="center"/>
    </xf>
    <xf numFmtId="0" fontId="0" fillId="0" borderId="24" xfId="0" applyBorder="1" applyAlignment="1">
      <alignment horizontal="left"/>
    </xf>
    <xf numFmtId="0" fontId="0" fillId="0" borderId="26" xfId="0" applyBorder="1" applyAlignment="1">
      <alignment horizontal="left"/>
    </xf>
    <xf numFmtId="0" fontId="0" fillId="0" borderId="27" xfId="0" applyBorder="1" applyAlignment="1">
      <alignment horizontal="left"/>
    </xf>
    <xf numFmtId="0" fontId="0" fillId="28" borderId="13" xfId="0" applyFill="1" applyBorder="1" applyAlignment="1">
      <alignment horizontal="centerContinuous"/>
    </xf>
    <xf numFmtId="0" fontId="0" fillId="28" borderId="11" xfId="0" applyFill="1" applyBorder="1" applyAlignment="1">
      <alignment horizontal="centerContinuous"/>
    </xf>
    <xf numFmtId="0" fontId="0" fillId="28" borderId="14" xfId="0" applyFill="1" applyBorder="1" applyAlignment="1">
      <alignment horizontal="centerContinuous"/>
    </xf>
    <xf numFmtId="44" fontId="0" fillId="28" borderId="16" xfId="2" applyFont="1" applyFill="1" applyBorder="1" applyAlignment="1">
      <alignment horizontal="center"/>
    </xf>
    <xf numFmtId="44" fontId="1" fillId="0" borderId="31" xfId="2" applyFont="1" applyBorder="1" applyAlignment="1">
      <alignment horizontal="center" wrapText="1"/>
    </xf>
    <xf numFmtId="43" fontId="19" fillId="29" borderId="0" xfId="1" applyFont="1" applyFill="1"/>
    <xf numFmtId="43" fontId="19" fillId="29" borderId="0" xfId="1" applyFont="1" applyFill="1" applyProtection="1">
      <protection locked="0"/>
    </xf>
    <xf numFmtId="43" fontId="2" fillId="0" borderId="5" xfId="1" applyFont="1" applyBorder="1"/>
    <xf numFmtId="44" fontId="5" fillId="0" borderId="1" xfId="2" applyFont="1" applyBorder="1" applyAlignment="1">
      <alignment horizontal="center"/>
    </xf>
    <xf numFmtId="0" fontId="1" fillId="0" borderId="50" xfId="0" applyFont="1" applyBorder="1" applyAlignment="1">
      <alignment horizontal="centerContinuous"/>
    </xf>
    <xf numFmtId="168" fontId="1" fillId="3" borderId="1" xfId="0" applyNumberFormat="1" applyFont="1" applyFill="1" applyBorder="1" applyAlignment="1">
      <alignment horizontal="center" vertical="center" wrapText="1"/>
    </xf>
    <xf numFmtId="0" fontId="1" fillId="9" borderId="0" xfId="0" applyFont="1" applyFill="1" applyAlignment="1">
      <alignment horizontal="right"/>
    </xf>
    <xf numFmtId="0" fontId="0" fillId="9" borderId="17" xfId="0" applyFill="1" applyBorder="1"/>
    <xf numFmtId="44" fontId="14" fillId="9" borderId="0" xfId="0" applyNumberFormat="1" applyFont="1" applyFill="1" applyAlignment="1">
      <alignment horizontal="center"/>
    </xf>
    <xf numFmtId="0" fontId="5" fillId="30" borderId="27" xfId="0" applyFont="1" applyFill="1" applyBorder="1"/>
    <xf numFmtId="0" fontId="5" fillId="30" borderId="27" xfId="0" applyFont="1" applyFill="1" applyBorder="1" applyAlignment="1">
      <alignment horizontal="left"/>
    </xf>
    <xf numFmtId="0" fontId="5" fillId="30" borderId="27" xfId="0" applyFont="1" applyFill="1" applyBorder="1" applyAlignment="1">
      <alignment horizontal="center"/>
    </xf>
    <xf numFmtId="0" fontId="0" fillId="9" borderId="30" xfId="0" applyFill="1" applyBorder="1" applyAlignment="1">
      <alignment horizontal="left"/>
    </xf>
    <xf numFmtId="44" fontId="1" fillId="0" borderId="5" xfId="2" applyFont="1" applyFill="1" applyBorder="1"/>
    <xf numFmtId="44" fontId="1" fillId="0" borderId="5" xfId="0" applyNumberFormat="1" applyFont="1" applyBorder="1"/>
    <xf numFmtId="44" fontId="0" fillId="31" borderId="0" xfId="2" applyFont="1" applyFill="1" applyBorder="1"/>
    <xf numFmtId="44" fontId="4" fillId="31" borderId="0" xfId="2" applyFont="1" applyFill="1" applyBorder="1"/>
    <xf numFmtId="44" fontId="14" fillId="0" borderId="0" xfId="2" applyFont="1" applyFill="1" applyBorder="1"/>
    <xf numFmtId="44" fontId="11" fillId="31" borderId="0" xfId="2" applyFont="1" applyFill="1" applyBorder="1"/>
    <xf numFmtId="44" fontId="11" fillId="0" borderId="0" xfId="2" applyFont="1" applyBorder="1"/>
    <xf numFmtId="0" fontId="53" fillId="0" borderId="0" xfId="0" applyFont="1" applyAlignment="1">
      <alignment horizontal="center"/>
    </xf>
    <xf numFmtId="0" fontId="24" fillId="31" borderId="0" xfId="0" applyFont="1" applyFill="1" applyAlignment="1">
      <alignment horizontal="center" vertical="top"/>
    </xf>
    <xf numFmtId="44" fontId="0" fillId="0" borderId="25" xfId="0" applyNumberFormat="1" applyBorder="1"/>
    <xf numFmtId="44" fontId="1" fillId="13" borderId="5" xfId="2" applyFont="1" applyFill="1" applyBorder="1"/>
    <xf numFmtId="0" fontId="1" fillId="0" borderId="0" xfId="0" applyFont="1" applyAlignment="1">
      <alignment horizontal="right"/>
    </xf>
    <xf numFmtId="0" fontId="0" fillId="0" borderId="6" xfId="0" applyBorder="1" applyAlignment="1">
      <alignment horizontal="left"/>
    </xf>
    <xf numFmtId="44" fontId="4" fillId="31" borderId="6" xfId="2" applyFont="1" applyFill="1" applyBorder="1"/>
    <xf numFmtId="44" fontId="4" fillId="0" borderId="6" xfId="2" applyFont="1" applyBorder="1"/>
    <xf numFmtId="43" fontId="61" fillId="0" borderId="0" xfId="1" applyFont="1"/>
    <xf numFmtId="43" fontId="63" fillId="0" borderId="0" xfId="1" applyFont="1" applyFill="1" applyBorder="1"/>
    <xf numFmtId="43" fontId="63" fillId="0" borderId="0" xfId="1" applyFont="1" applyFill="1" applyBorder="1" applyAlignment="1">
      <alignment horizontal="center"/>
    </xf>
    <xf numFmtId="43" fontId="60" fillId="0" borderId="0" xfId="1" applyFont="1" applyFill="1" applyBorder="1"/>
    <xf numFmtId="0" fontId="62" fillId="0" borderId="0" xfId="0" applyFont="1"/>
    <xf numFmtId="164" fontId="62" fillId="0" borderId="0" xfId="0" applyNumberFormat="1" applyFont="1"/>
    <xf numFmtId="0" fontId="2" fillId="31" borderId="30" xfId="0" applyFont="1" applyFill="1" applyBorder="1"/>
    <xf numFmtId="0" fontId="55" fillId="31" borderId="30" xfId="0" applyFont="1" applyFill="1" applyBorder="1" applyAlignment="1">
      <alignment horizontal="center"/>
    </xf>
    <xf numFmtId="44" fontId="55" fillId="31" borderId="30" xfId="2" applyFont="1" applyFill="1" applyBorder="1" applyAlignment="1">
      <alignment horizontal="center"/>
    </xf>
    <xf numFmtId="43" fontId="63" fillId="9" borderId="0" xfId="1" applyFont="1" applyFill="1" applyAlignment="1">
      <alignment horizontal="center"/>
    </xf>
    <xf numFmtId="44" fontId="11" fillId="0" borderId="0" xfId="2" applyFont="1" applyFill="1" applyBorder="1"/>
    <xf numFmtId="0" fontId="23" fillId="0" borderId="0" xfId="0" applyFont="1" applyAlignment="1">
      <alignment horizontal="right"/>
    </xf>
    <xf numFmtId="0" fontId="24" fillId="31" borderId="29" xfId="0" applyFont="1" applyFill="1" applyBorder="1"/>
    <xf numFmtId="0" fontId="0" fillId="31" borderId="30" xfId="0" applyFill="1" applyBorder="1"/>
    <xf numFmtId="0" fontId="0" fillId="31" borderId="31" xfId="0" applyFill="1" applyBorder="1"/>
    <xf numFmtId="44" fontId="4" fillId="21" borderId="38" xfId="0" applyNumberFormat="1" applyFont="1" applyFill="1" applyBorder="1"/>
    <xf numFmtId="44" fontId="1" fillId="13" borderId="38" xfId="2" applyFont="1" applyFill="1" applyBorder="1"/>
    <xf numFmtId="44" fontId="1" fillId="26" borderId="38" xfId="2" applyFont="1" applyFill="1" applyBorder="1"/>
    <xf numFmtId="44" fontId="1" fillId="13" borderId="38" xfId="2" applyFont="1" applyFill="1" applyBorder="1" applyAlignment="1">
      <alignment horizontal="left" vertical="center"/>
    </xf>
    <xf numFmtId="14" fontId="22" fillId="0" borderId="1" xfId="0" applyNumberFormat="1" applyFont="1" applyBorder="1" applyAlignment="1">
      <alignment horizontal="center"/>
    </xf>
    <xf numFmtId="0" fontId="4" fillId="0" borderId="0" xfId="0" applyFont="1" applyAlignment="1">
      <alignment horizontal="right"/>
    </xf>
    <xf numFmtId="0" fontId="5" fillId="3" borderId="0" xfId="0" applyFont="1" applyFill="1"/>
    <xf numFmtId="0" fontId="3" fillId="0" borderId="0" xfId="0" applyFont="1" applyAlignment="1" applyProtection="1">
      <alignment horizontal="left"/>
      <protection locked="0"/>
    </xf>
    <xf numFmtId="0" fontId="4" fillId="3" borderId="30" xfId="0" applyFont="1" applyFill="1" applyBorder="1" applyAlignment="1">
      <alignment horizontal="centerContinuous"/>
    </xf>
    <xf numFmtId="0" fontId="4" fillId="3" borderId="31" xfId="0" applyFont="1" applyFill="1" applyBorder="1" applyAlignment="1">
      <alignment horizontal="centerContinuous"/>
    </xf>
    <xf numFmtId="0" fontId="4" fillId="0" borderId="31" xfId="0" applyFont="1" applyBorder="1" applyAlignment="1">
      <alignment horizontal="centerContinuous"/>
    </xf>
    <xf numFmtId="0" fontId="4" fillId="0" borderId="31" xfId="0" applyFont="1" applyBorder="1"/>
    <xf numFmtId="44" fontId="4" fillId="0" borderId="0" xfId="2" applyFont="1"/>
    <xf numFmtId="43" fontId="4" fillId="0" borderId="0" xfId="1" applyFont="1"/>
    <xf numFmtId="0" fontId="4" fillId="3" borderId="0" xfId="0" applyFont="1" applyFill="1" applyProtection="1">
      <protection locked="0"/>
    </xf>
    <xf numFmtId="0" fontId="4" fillId="6" borderId="0" xfId="0" applyFont="1" applyFill="1" applyAlignment="1">
      <alignment horizontal="right"/>
    </xf>
    <xf numFmtId="0" fontId="4" fillId="0" borderId="0" xfId="0" applyFont="1" applyAlignment="1" applyProtection="1">
      <alignment horizontal="right"/>
      <protection locked="0"/>
    </xf>
    <xf numFmtId="0" fontId="4" fillId="0" borderId="0" xfId="0" applyFont="1" applyProtection="1">
      <protection locked="0"/>
    </xf>
    <xf numFmtId="0" fontId="4" fillId="0" borderId="0" xfId="0" applyFont="1" applyAlignment="1">
      <alignment horizontal="center"/>
    </xf>
    <xf numFmtId="0" fontId="4" fillId="29" borderId="0" xfId="0" applyFont="1" applyFill="1" applyAlignment="1">
      <alignment horizontal="right"/>
    </xf>
    <xf numFmtId="0" fontId="4" fillId="3" borderId="0" xfId="0" applyFont="1" applyFill="1"/>
    <xf numFmtId="43" fontId="4" fillId="0" borderId="0" xfId="0" applyNumberFormat="1" applyFont="1"/>
    <xf numFmtId="44" fontId="4" fillId="0" borderId="0" xfId="0" applyNumberFormat="1" applyFont="1"/>
    <xf numFmtId="43" fontId="4" fillId="0" borderId="0" xfId="1" applyFont="1" applyProtection="1">
      <protection locked="0"/>
    </xf>
    <xf numFmtId="44" fontId="4" fillId="3" borderId="0" xfId="2" applyFont="1" applyFill="1"/>
    <xf numFmtId="0" fontId="4" fillId="0" borderId="33" xfId="0" applyFont="1" applyBorder="1"/>
    <xf numFmtId="0" fontId="4" fillId="0" borderId="34" xfId="0" applyFont="1" applyBorder="1"/>
    <xf numFmtId="0" fontId="4" fillId="0" borderId="34" xfId="0" applyFont="1" applyBorder="1" applyAlignment="1">
      <alignment horizontal="left"/>
    </xf>
    <xf numFmtId="0" fontId="4" fillId="0" borderId="35" xfId="0" applyFont="1" applyBorder="1"/>
    <xf numFmtId="0" fontId="4" fillId="0" borderId="24" xfId="0" applyFont="1" applyBorder="1"/>
    <xf numFmtId="0" fontId="4" fillId="21" borderId="2" xfId="0" applyFont="1" applyFill="1" applyBorder="1"/>
    <xf numFmtId="0" fontId="4" fillId="21" borderId="4" xfId="0" applyFont="1" applyFill="1" applyBorder="1"/>
    <xf numFmtId="0" fontId="4" fillId="21" borderId="3" xfId="0" applyFont="1" applyFill="1" applyBorder="1"/>
    <xf numFmtId="0" fontId="4" fillId="21" borderId="12" xfId="0" applyFont="1" applyFill="1" applyBorder="1"/>
    <xf numFmtId="0" fontId="1" fillId="21" borderId="18" xfId="0" applyFont="1" applyFill="1" applyBorder="1" applyAlignment="1">
      <alignment horizontal="center"/>
    </xf>
    <xf numFmtId="43" fontId="4" fillId="0" borderId="0" xfId="1" applyFont="1" applyFill="1" applyBorder="1"/>
    <xf numFmtId="0" fontId="4" fillId="0" borderId="24" xfId="0" applyFont="1" applyBorder="1" applyAlignment="1">
      <alignment horizontal="right"/>
    </xf>
    <xf numFmtId="0" fontId="4" fillId="21" borderId="12" xfId="0" applyFont="1" applyFill="1" applyBorder="1" applyAlignment="1">
      <alignment horizontal="right"/>
    </xf>
    <xf numFmtId="44" fontId="4" fillId="13" borderId="0" xfId="2" applyFont="1" applyFill="1"/>
    <xf numFmtId="44" fontId="4" fillId="26" borderId="0" xfId="2" applyFont="1" applyFill="1"/>
    <xf numFmtId="9" fontId="4" fillId="0" borderId="0" xfId="6" applyFont="1"/>
    <xf numFmtId="164" fontId="4" fillId="0" borderId="0" xfId="0" applyNumberFormat="1" applyFont="1"/>
    <xf numFmtId="0" fontId="4" fillId="0" borderId="0" xfId="6" applyNumberFormat="1" applyFont="1"/>
    <xf numFmtId="0" fontId="4" fillId="21" borderId="18" xfId="0" applyFont="1" applyFill="1" applyBorder="1"/>
    <xf numFmtId="44" fontId="4" fillId="13" borderId="0" xfId="2" applyFont="1" applyFill="1" applyAlignment="1">
      <alignment horizontal="left" vertical="center"/>
    </xf>
    <xf numFmtId="44" fontId="4" fillId="0" borderId="0" xfId="2" applyFont="1" applyFill="1" applyAlignment="1">
      <alignment horizontal="left" vertical="center"/>
    </xf>
    <xf numFmtId="44" fontId="4" fillId="0" borderId="0" xfId="2" applyFont="1" applyFill="1"/>
    <xf numFmtId="0" fontId="4" fillId="21" borderId="21" xfId="0" applyFont="1" applyFill="1" applyBorder="1"/>
    <xf numFmtId="0" fontId="4" fillId="21" borderId="6" xfId="0" applyFont="1" applyFill="1" applyBorder="1"/>
    <xf numFmtId="0" fontId="4" fillId="21" borderId="22" xfId="0" applyFont="1" applyFill="1" applyBorder="1"/>
    <xf numFmtId="44" fontId="4" fillId="31" borderId="0" xfId="2" applyFont="1" applyFill="1"/>
    <xf numFmtId="0" fontId="4" fillId="0" borderId="6" xfId="0" applyFont="1" applyBorder="1" applyAlignment="1">
      <alignment horizontal="center"/>
    </xf>
    <xf numFmtId="44" fontId="1" fillId="31" borderId="0" xfId="0" applyNumberFormat="1" applyFont="1" applyFill="1" applyAlignment="1">
      <alignment horizontal="center"/>
    </xf>
    <xf numFmtId="0" fontId="4" fillId="9" borderId="0" xfId="0" applyFont="1" applyFill="1"/>
    <xf numFmtId="0" fontId="4" fillId="9" borderId="0" xfId="0" applyFont="1" applyFill="1" applyAlignment="1">
      <alignment horizontal="left"/>
    </xf>
    <xf numFmtId="44" fontId="4" fillId="9" borderId="0" xfId="0" applyNumberFormat="1" applyFont="1" applyFill="1"/>
    <xf numFmtId="0" fontId="4" fillId="9" borderId="17" xfId="0" applyFont="1" applyFill="1" applyBorder="1"/>
    <xf numFmtId="9" fontId="4" fillId="9" borderId="17" xfId="6" applyFont="1" applyFill="1" applyBorder="1"/>
    <xf numFmtId="0" fontId="1" fillId="9" borderId="17" xfId="0" applyFont="1" applyFill="1" applyBorder="1" applyAlignment="1">
      <alignment horizontal="left"/>
    </xf>
    <xf numFmtId="44" fontId="4" fillId="9" borderId="17" xfId="0" applyNumberFormat="1" applyFont="1" applyFill="1" applyBorder="1"/>
    <xf numFmtId="0" fontId="1" fillId="9" borderId="0" xfId="0" applyFont="1" applyFill="1" applyAlignment="1">
      <alignment horizontal="left"/>
    </xf>
    <xf numFmtId="0" fontId="1" fillId="9" borderId="0" xfId="0" applyFont="1" applyFill="1" applyAlignment="1">
      <alignment horizontal="center"/>
    </xf>
    <xf numFmtId="44" fontId="1" fillId="9" borderId="0" xfId="0" applyNumberFormat="1" applyFont="1" applyFill="1" applyAlignment="1">
      <alignment horizontal="center"/>
    </xf>
    <xf numFmtId="0" fontId="4" fillId="9" borderId="17" xfId="0" applyFont="1" applyFill="1" applyBorder="1" applyAlignment="1">
      <alignment horizontal="left"/>
    </xf>
    <xf numFmtId="44" fontId="4" fillId="0" borderId="25" xfId="2" applyFont="1" applyFill="1" applyBorder="1"/>
    <xf numFmtId="0" fontId="4" fillId="9" borderId="29" xfId="0" applyFont="1" applyFill="1" applyBorder="1"/>
    <xf numFmtId="44" fontId="1" fillId="9" borderId="30" xfId="0" applyNumberFormat="1" applyFont="1" applyFill="1" applyBorder="1" applyAlignment="1">
      <alignment horizontal="center"/>
    </xf>
    <xf numFmtId="0" fontId="4" fillId="9" borderId="31" xfId="0" applyFont="1" applyFill="1" applyBorder="1"/>
    <xf numFmtId="0" fontId="4" fillId="0" borderId="26" xfId="0" applyFont="1" applyBorder="1"/>
    <xf numFmtId="44" fontId="4" fillId="22" borderId="0" xfId="0" applyNumberFormat="1" applyFont="1" applyFill="1"/>
    <xf numFmtId="9" fontId="4" fillId="8" borderId="18" xfId="6" applyFont="1" applyFill="1" applyBorder="1" applyAlignment="1">
      <alignment horizontal="center" vertical="center"/>
    </xf>
    <xf numFmtId="44" fontId="4" fillId="0" borderId="0" xfId="2" applyFont="1" applyAlignment="1">
      <alignment horizontal="center"/>
    </xf>
    <xf numFmtId="0" fontId="4" fillId="21" borderId="0" xfId="0" applyFont="1" applyFill="1"/>
    <xf numFmtId="0" fontId="4" fillId="8" borderId="13" xfId="0" applyFont="1" applyFill="1" applyBorder="1"/>
    <xf numFmtId="0" fontId="4" fillId="8" borderId="11" xfId="0" applyFont="1" applyFill="1" applyBorder="1"/>
    <xf numFmtId="0" fontId="4" fillId="8" borderId="14" xfId="0" applyFont="1" applyFill="1" applyBorder="1"/>
    <xf numFmtId="0" fontId="4" fillId="9" borderId="13" xfId="0" applyFont="1" applyFill="1" applyBorder="1"/>
    <xf numFmtId="0" fontId="4" fillId="9" borderId="11" xfId="0" applyFont="1" applyFill="1" applyBorder="1"/>
    <xf numFmtId="0" fontId="4" fillId="9" borderId="14" xfId="0" applyFont="1" applyFill="1" applyBorder="1"/>
    <xf numFmtId="0" fontId="4" fillId="8" borderId="33" xfId="0" applyFont="1" applyFill="1" applyBorder="1"/>
    <xf numFmtId="0" fontId="4" fillId="8" borderId="34" xfId="0" applyFont="1" applyFill="1" applyBorder="1"/>
    <xf numFmtId="0" fontId="4" fillId="8" borderId="35" xfId="0" applyFont="1" applyFill="1" applyBorder="1"/>
    <xf numFmtId="0" fontId="0" fillId="0" borderId="0" xfId="0">
      <extLst>
        <ext xmlns:xfpb="http://schemas.microsoft.com/office/spreadsheetml/2022/featurepropertybag" uri="{C7286773-470A-42A8-94C5-96B5CB345126}">
          <xfpb:xfComplement i="0"/>
        </ext>
      </extLst>
    </xf>
    <xf numFmtId="14" fontId="28" fillId="0" borderId="0" xfId="0" applyNumberFormat="1" applyFont="1" applyAlignment="1">
      <alignment horizontal="left"/>
    </xf>
    <xf numFmtId="0" fontId="1" fillId="0" borderId="33" xfId="0" applyFont="1" applyBorder="1"/>
    <xf numFmtId="0" fontId="4" fillId="0" borderId="25" xfId="0" applyFont="1" applyBorder="1">
      <extLst>
        <ext xmlns:xfpb="http://schemas.microsoft.com/office/spreadsheetml/2022/featurepropertybag" uri="{C7286773-470A-42A8-94C5-96B5CB345126}">
          <xfpb:xfComplement i="0"/>
        </ext>
      </extLst>
    </xf>
    <xf numFmtId="0" fontId="4" fillId="0" borderId="28" xfId="0" applyFont="1" applyBorder="1">
      <extLst>
        <ext xmlns:xfpb="http://schemas.microsoft.com/office/spreadsheetml/2022/featurepropertybag" uri="{C7286773-470A-42A8-94C5-96B5CB345126}">
          <xfpb:xfComplement i="0"/>
        </ext>
      </extLst>
    </xf>
    <xf numFmtId="0" fontId="65" fillId="0" borderId="0" xfId="0" applyFont="1"/>
    <xf numFmtId="0" fontId="28" fillId="0" borderId="0" xfId="0" applyFont="1"/>
    <xf numFmtId="1" fontId="0" fillId="0" borderId="0" xfId="0" applyNumberFormat="1" applyAlignment="1">
      <alignment horizontal="right"/>
    </xf>
    <xf numFmtId="14" fontId="10" fillId="32" borderId="0" xfId="0" applyNumberFormat="1" applyFont="1" applyFill="1" applyAlignment="1">
      <alignment horizontal="left" vertical="center"/>
    </xf>
    <xf numFmtId="0" fontId="10" fillId="32" borderId="0" xfId="0" applyFont="1" applyFill="1" applyAlignment="1">
      <alignment horizontal="left" vertical="center"/>
    </xf>
    <xf numFmtId="0" fontId="64" fillId="32" borderId="0" xfId="0" applyFont="1" applyFill="1" applyAlignment="1">
      <alignment horizontal="left" vertical="center"/>
    </xf>
    <xf numFmtId="0" fontId="64" fillId="32" borderId="0" xfId="0" applyFont="1" applyFill="1"/>
    <xf numFmtId="0" fontId="64" fillId="32" borderId="0" xfId="0" applyFont="1" applyFill="1" applyAlignment="1">
      <alignment horizontal="center"/>
    </xf>
    <xf numFmtId="0" fontId="3" fillId="3" borderId="0" xfId="0" applyFont="1" applyFill="1" applyAlignment="1" applyProtection="1">
      <alignment horizontal="left"/>
      <protection locked="0"/>
    </xf>
    <xf numFmtId="168" fontId="0" fillId="10" borderId="0" xfId="0" applyNumberFormat="1" applyFill="1" applyAlignment="1">
      <alignment horizontal="left"/>
    </xf>
    <xf numFmtId="0" fontId="31" fillId="0" borderId="1" xfId="0" applyFont="1" applyBorder="1" applyAlignment="1">
      <alignment horizontal="center" vertical="top"/>
    </xf>
    <xf numFmtId="0" fontId="31" fillId="0" borderId="1" xfId="0" applyFont="1" applyBorder="1" applyAlignment="1">
      <alignment horizontal="center" vertical="top" wrapText="1"/>
    </xf>
    <xf numFmtId="0" fontId="22" fillId="0" borderId="15" xfId="0" applyFont="1" applyBorder="1" applyAlignment="1">
      <alignment horizontal="left" vertical="top" wrapText="1"/>
    </xf>
    <xf numFmtId="0" fontId="22" fillId="0" borderId="32" xfId="0" applyFont="1" applyBorder="1" applyAlignment="1">
      <alignment horizontal="left" vertical="top" wrapText="1"/>
    </xf>
    <xf numFmtId="0" fontId="22" fillId="0" borderId="16" xfId="0" applyFont="1" applyBorder="1" applyAlignment="1">
      <alignment horizontal="left" vertical="top" wrapText="1"/>
    </xf>
    <xf numFmtId="0" fontId="68" fillId="0" borderId="1" xfId="0" applyFont="1" applyBorder="1" applyAlignment="1">
      <alignment horizontal="center" vertical="top"/>
    </xf>
    <xf numFmtId="10" fontId="69" fillId="0" borderId="0" xfId="0" applyNumberFormat="1" applyFont="1"/>
    <xf numFmtId="0" fontId="69" fillId="0" borderId="0" xfId="0" applyFont="1"/>
    <xf numFmtId="0" fontId="69" fillId="37" borderId="0" xfId="0" applyFont="1" applyFill="1"/>
    <xf numFmtId="0" fontId="69" fillId="38" borderId="0" xfId="0" applyFont="1" applyFill="1"/>
    <xf numFmtId="0" fontId="70" fillId="0" borderId="0" xfId="0" applyFont="1"/>
    <xf numFmtId="0" fontId="69" fillId="0" borderId="0" xfId="0" applyFont="1" applyAlignment="1">
      <alignment horizontal="left" vertical="center" indent="1"/>
    </xf>
    <xf numFmtId="0" fontId="69" fillId="0" borderId="0" xfId="0" applyFont="1" applyAlignment="1">
      <alignment wrapText="1"/>
    </xf>
    <xf numFmtId="0" fontId="69" fillId="0" borderId="0" xfId="0" applyFont="1" applyAlignment="1">
      <alignment horizontal="left" vertical="center"/>
    </xf>
    <xf numFmtId="0" fontId="66" fillId="33" borderId="1" xfId="0" applyFont="1" applyFill="1" applyBorder="1" applyAlignment="1">
      <alignment horizontal="center" vertical="top" wrapText="1"/>
    </xf>
    <xf numFmtId="0" fontId="66" fillId="34" borderId="1" xfId="0" applyFont="1" applyFill="1" applyBorder="1" applyAlignment="1">
      <alignment horizontal="center" vertical="top" wrapText="1"/>
    </xf>
    <xf numFmtId="0" fontId="31" fillId="35" borderId="1" xfId="0" applyFont="1" applyFill="1" applyBorder="1" applyAlignment="1">
      <alignment horizontal="center" vertical="top" wrapText="1"/>
    </xf>
    <xf numFmtId="0" fontId="66" fillId="36" borderId="1" xfId="0" applyFont="1" applyFill="1" applyBorder="1" applyAlignment="1">
      <alignment horizontal="center" vertical="top" wrapText="1"/>
    </xf>
    <xf numFmtId="0" fontId="67" fillId="0" borderId="1" xfId="0" applyFont="1" applyBorder="1" applyAlignment="1">
      <alignment horizontal="center" vertical="top"/>
    </xf>
    <xf numFmtId="44" fontId="2" fillId="0" borderId="14" xfId="1" applyNumberFormat="1" applyFont="1" applyBorder="1"/>
    <xf numFmtId="44" fontId="1" fillId="0" borderId="0" xfId="1" applyNumberFormat="1" applyFont="1" applyBorder="1"/>
    <xf numFmtId="44" fontId="0" fillId="0" borderId="0" xfId="0" applyNumberFormat="1" applyAlignment="1">
      <alignment horizontal="centerContinuous"/>
    </xf>
    <xf numFmtId="0" fontId="0" fillId="12" borderId="0" xfId="0" applyFill="1" applyAlignment="1">
      <alignment horizontal="center"/>
    </xf>
    <xf numFmtId="0" fontId="1" fillId="14" borderId="29" xfId="0" applyFont="1" applyFill="1" applyBorder="1" applyAlignment="1">
      <alignment horizontal="center"/>
    </xf>
    <xf numFmtId="0" fontId="1" fillId="14" borderId="30" xfId="0" applyFont="1" applyFill="1" applyBorder="1" applyAlignment="1">
      <alignment horizontal="center"/>
    </xf>
    <xf numFmtId="0" fontId="1" fillId="14" borderId="31" xfId="0" applyFont="1" applyFill="1" applyBorder="1" applyAlignment="1">
      <alignment horizontal="center"/>
    </xf>
    <xf numFmtId="1" fontId="28" fillId="0" borderId="0" xfId="0" applyNumberFormat="1" applyFont="1" applyAlignment="1">
      <alignment horizontal="center" vertical="center" wrapText="1"/>
    </xf>
    <xf numFmtId="14" fontId="1" fillId="0" borderId="0" xfId="0" applyNumberFormat="1" applyFont="1" applyAlignment="1">
      <alignment horizontal="center"/>
    </xf>
    <xf numFmtId="14" fontId="52" fillId="0" borderId="0" xfId="0" applyNumberFormat="1" applyFont="1" applyAlignment="1">
      <alignment horizontal="left"/>
    </xf>
    <xf numFmtId="0" fontId="22" fillId="0" borderId="15" xfId="0" applyFont="1" applyBorder="1" applyAlignment="1">
      <alignment horizontal="left" vertical="top"/>
    </xf>
    <xf numFmtId="0" fontId="22" fillId="0" borderId="32" xfId="0" applyFont="1" applyBorder="1" applyAlignment="1">
      <alignment horizontal="left" vertical="top"/>
    </xf>
    <xf numFmtId="0" fontId="22" fillId="0" borderId="16" xfId="0" applyFont="1" applyBorder="1" applyAlignment="1">
      <alignment horizontal="left" vertical="top"/>
    </xf>
    <xf numFmtId="0" fontId="22" fillId="0" borderId="15" xfId="0" applyFont="1" applyBorder="1" applyAlignment="1">
      <alignment horizontal="left" vertical="top" wrapText="1"/>
    </xf>
    <xf numFmtId="0" fontId="22" fillId="0" borderId="32" xfId="0" applyFont="1" applyBorder="1" applyAlignment="1">
      <alignment horizontal="left" vertical="top" wrapText="1"/>
    </xf>
    <xf numFmtId="0" fontId="22" fillId="0" borderId="16" xfId="0" applyFont="1" applyBorder="1" applyAlignment="1">
      <alignment horizontal="left" vertical="top" wrapText="1"/>
    </xf>
    <xf numFmtId="0" fontId="69" fillId="0" borderId="0" xfId="0" applyFont="1"/>
    <xf numFmtId="0" fontId="69" fillId="38" borderId="0" xfId="0" applyFont="1" applyFill="1"/>
    <xf numFmtId="0" fontId="70" fillId="0" borderId="0" xfId="0" applyFont="1"/>
    <xf numFmtId="0" fontId="69" fillId="37" borderId="0" xfId="0" applyFont="1" applyFill="1"/>
  </cellXfs>
  <cellStyles count="8">
    <cellStyle name="Comma" xfId="1" builtinId="3"/>
    <cellStyle name="Currency" xfId="2" builtinId="4"/>
    <cellStyle name="Currency 2" xfId="5" xr:uid="{00000000-0005-0000-0000-000002000000}"/>
    <cellStyle name="Currency 4" xfId="7" xr:uid="{00000000-0005-0000-0000-000003000000}"/>
    <cellStyle name="Hyperlink" xfId="3" builtinId="8"/>
    <cellStyle name="Normal" xfId="0" builtinId="0"/>
    <cellStyle name="Normal 2" xfId="4" xr:uid="{00000000-0005-0000-0000-000007000000}"/>
    <cellStyle name="Percent" xfId="6" builtinId="5"/>
  </cellStyles>
  <dxfs count="225">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92D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66CC"/>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00B050"/>
        </patternFill>
      </fill>
    </dxf>
    <dxf>
      <fill>
        <patternFill>
          <bgColor rgb="FF92D050"/>
        </patternFill>
      </fill>
    </dxf>
    <dxf>
      <fill>
        <patternFill>
          <bgColor rgb="FF00B050"/>
        </patternFill>
      </fill>
    </dxf>
    <dxf>
      <fill>
        <patternFill>
          <bgColor theme="9" tint="-0.24994659260841701"/>
        </patternFill>
      </fill>
    </dxf>
    <dxf>
      <fill>
        <patternFill>
          <bgColor rgb="FFFFC000"/>
        </patternFill>
      </fill>
    </dxf>
    <dxf>
      <fill>
        <patternFill>
          <bgColor rgb="FFFF0000"/>
        </patternFill>
      </fill>
    </dxf>
    <dxf>
      <fill>
        <patternFill>
          <bgColor theme="4" tint="0.39994506668294322"/>
        </patternFill>
      </fill>
    </dxf>
    <dxf>
      <fill>
        <patternFill>
          <bgColor rgb="FF92D050"/>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C0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0000"/>
        </patternFill>
      </fill>
    </dxf>
    <dxf>
      <fill>
        <patternFill>
          <bgColor rgb="FFFF66CC"/>
        </patternFill>
      </fill>
    </dxf>
    <dxf>
      <fill>
        <patternFill>
          <bgColor rgb="FFFF8585"/>
        </patternFill>
      </fill>
    </dxf>
    <dxf>
      <fill>
        <patternFill>
          <bgColor rgb="FF00B050"/>
        </patternFill>
      </fill>
    </dxf>
    <dxf>
      <fill>
        <patternFill>
          <bgColor rgb="FFFF0000"/>
        </patternFill>
      </fill>
    </dxf>
    <dxf>
      <fill>
        <patternFill>
          <bgColor theme="3" tint="0.39994506668294322"/>
        </patternFill>
      </fill>
    </dxf>
    <dxf>
      <fill>
        <patternFill>
          <bgColor rgb="FFFF66CC"/>
        </patternFill>
      </fill>
    </dxf>
    <dxf>
      <fill>
        <patternFill>
          <bgColor rgb="FF92D050"/>
        </patternFill>
      </fill>
    </dxf>
    <dxf>
      <fill>
        <patternFill>
          <bgColor rgb="FF00B050"/>
        </patternFill>
      </fill>
    </dxf>
    <dxf>
      <fill>
        <patternFill>
          <bgColor theme="9" tint="-0.24994659260841701"/>
        </patternFill>
      </fill>
    </dxf>
    <dxf>
      <fill>
        <patternFill>
          <bgColor theme="9" tint="0.59996337778862885"/>
        </patternFill>
      </fill>
    </dxf>
    <dxf>
      <fill>
        <patternFill>
          <bgColor rgb="FFFFC000"/>
        </patternFill>
      </fill>
    </dxf>
    <dxf>
      <fill>
        <patternFill>
          <bgColor rgb="FFFF0000"/>
        </patternFill>
      </fill>
    </dxf>
    <dxf>
      <fill>
        <patternFill>
          <bgColor theme="4" tint="0.39994506668294322"/>
        </patternFill>
      </fill>
    </dxf>
    <dxf>
      <fill>
        <patternFill>
          <bgColor rgb="FF92D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66CC"/>
        </patternFill>
      </fill>
    </dxf>
    <dxf>
      <fill>
        <patternFill>
          <bgColor rgb="FF92D050"/>
        </patternFill>
      </fill>
    </dxf>
    <dxf>
      <fill>
        <patternFill patternType="none">
          <bgColor auto="1"/>
        </patternFill>
      </fill>
    </dxf>
    <dxf>
      <fill>
        <patternFill>
          <bgColor rgb="FFFF0000"/>
        </patternFill>
      </fill>
    </dxf>
    <dxf>
      <fill>
        <patternFill>
          <bgColor rgb="FF00B050"/>
        </patternFill>
      </fill>
    </dxf>
    <dxf>
      <fill>
        <patternFill>
          <bgColor rgb="FFFFC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0000"/>
        </patternFill>
      </fill>
    </dxf>
    <dxf>
      <fill>
        <patternFill>
          <bgColor rgb="FFFF66CC"/>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66CC"/>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00B050"/>
        </patternFill>
      </fill>
    </dxf>
    <dxf>
      <fill>
        <patternFill>
          <bgColor theme="3" tint="0.39994506668294322"/>
        </patternFill>
      </fill>
    </dxf>
    <dxf>
      <fill>
        <patternFill>
          <bgColor rgb="FFFF0000"/>
        </patternFill>
      </fill>
    </dxf>
    <dxf>
      <fill>
        <patternFill>
          <bgColor rgb="FFFF66CC"/>
        </patternFill>
      </fill>
    </dxf>
    <dxf>
      <fill>
        <patternFill>
          <bgColor rgb="FFFF0000"/>
        </patternFill>
      </fill>
    </dxf>
    <dxf>
      <fill>
        <patternFill>
          <bgColor rgb="FFFF66CC"/>
        </patternFill>
      </fill>
    </dxf>
    <dxf>
      <fill>
        <patternFill>
          <bgColor rgb="FFFF66CC"/>
        </patternFill>
      </fill>
    </dxf>
    <dxf>
      <fill>
        <patternFill>
          <bgColor rgb="FF00B050"/>
        </patternFill>
      </fill>
    </dxf>
    <dxf>
      <fill>
        <patternFill>
          <bgColor rgb="FFFF0000"/>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00B0F0"/>
        </patternFill>
      </fill>
    </dxf>
    <dxf>
      <fill>
        <patternFill>
          <bgColor rgb="FFFF0000"/>
        </patternFill>
      </fill>
    </dxf>
    <dxf>
      <fill>
        <patternFill>
          <bgColor rgb="FFFF0000"/>
        </patternFill>
      </fill>
    </dxf>
    <dxf>
      <fill>
        <patternFill>
          <bgColor theme="3" tint="0.39994506668294322"/>
        </patternFill>
      </fill>
    </dxf>
    <dxf>
      <fill>
        <patternFill>
          <bgColor rgb="FF92D050"/>
        </patternFill>
      </fill>
    </dxf>
    <dxf>
      <fill>
        <patternFill>
          <bgColor rgb="FFFF0000"/>
        </patternFill>
      </fill>
    </dxf>
    <dxf>
      <fill>
        <patternFill>
          <bgColor rgb="FF00B050"/>
        </patternFill>
      </fill>
    </dxf>
    <dxf>
      <fill>
        <patternFill>
          <bgColor rgb="FF92D050"/>
        </patternFill>
      </fill>
    </dxf>
    <dxf>
      <font>
        <color rgb="FF9C0006"/>
      </font>
      <fill>
        <patternFill>
          <bgColor rgb="FFFFC7CE"/>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theme="3" tint="0.39994506668294322"/>
        </patternFill>
      </fill>
    </dxf>
    <dxf>
      <fill>
        <patternFill patternType="none">
          <bgColor auto="1"/>
        </patternFill>
      </fill>
    </dxf>
    <dxf>
      <fill>
        <patternFill>
          <bgColor rgb="FFFF0000"/>
        </patternFill>
      </fill>
    </dxf>
    <dxf>
      <fill>
        <patternFill>
          <bgColor rgb="FF00B050"/>
        </patternFill>
      </fill>
    </dxf>
    <dxf>
      <fill>
        <patternFill>
          <bgColor rgb="FFFFC000"/>
        </patternFill>
      </fill>
    </dxf>
    <dxf>
      <fill>
        <patternFill>
          <bgColor rgb="FF00B0F0"/>
        </patternFill>
      </fill>
    </dxf>
    <dxf>
      <fill>
        <patternFill>
          <bgColor rgb="FFFF0000"/>
        </patternFill>
      </fill>
    </dxf>
    <dxf>
      <fill>
        <patternFill>
          <bgColor theme="3" tint="0.39994506668294322"/>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00B050"/>
        </patternFill>
      </fill>
    </dxf>
    <dxf>
      <fill>
        <patternFill>
          <bgColor theme="9" tint="-0.24994659260841701"/>
        </patternFill>
      </fill>
    </dxf>
    <dxf>
      <fill>
        <patternFill>
          <bgColor rgb="FFFFC000"/>
        </patternFill>
      </fill>
    </dxf>
    <dxf>
      <fill>
        <patternFill>
          <bgColor rgb="FFFF0000"/>
        </patternFill>
      </fill>
    </dxf>
    <dxf>
      <fill>
        <patternFill>
          <bgColor theme="4" tint="0.39994506668294322"/>
        </patternFill>
      </fill>
    </dxf>
    <dxf>
      <fill>
        <patternFill>
          <bgColor rgb="FFFFC000"/>
        </patternFill>
      </fill>
    </dxf>
    <dxf>
      <fill>
        <patternFill>
          <bgColor rgb="FFC00000"/>
        </patternFill>
      </fill>
    </dxf>
    <dxf>
      <fill>
        <patternFill>
          <bgColor rgb="FF00B050"/>
        </patternFill>
      </fill>
    </dxf>
    <dxf>
      <fill>
        <patternFill>
          <bgColor rgb="FFFF0000"/>
        </patternFill>
      </fill>
    </dxf>
    <dxf>
      <fill>
        <patternFill>
          <bgColor rgb="FFFF0000"/>
        </patternFill>
      </fill>
    </dxf>
    <dxf>
      <fill>
        <patternFill>
          <bgColor rgb="FF92D05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66CC"/>
        </patternFill>
      </fill>
    </dxf>
    <dxf>
      <fill>
        <patternFill>
          <bgColor rgb="FF92D050"/>
        </patternFill>
      </fill>
    </dxf>
    <dxf>
      <font>
        <color rgb="FF9C0006"/>
      </font>
      <fill>
        <patternFill>
          <bgColor rgb="FFFFC7CE"/>
        </patternFill>
      </fill>
    </dxf>
    <dxf>
      <fill>
        <patternFill>
          <bgColor rgb="FF00B050"/>
        </patternFill>
      </fill>
    </dxf>
    <dxf>
      <fill>
        <patternFill>
          <bgColor rgb="FFFF0000"/>
        </patternFill>
      </fill>
    </dxf>
    <dxf>
      <font>
        <b/>
        <i val="0"/>
      </font>
    </dxf>
    <dxf>
      <fill>
        <patternFill>
          <bgColor rgb="FF0070C0"/>
        </patternFill>
      </fill>
    </dxf>
    <dxf>
      <fill>
        <patternFill>
          <bgColor rgb="FFFF66CC"/>
        </patternFill>
      </fill>
    </dxf>
    <dxf>
      <font>
        <color rgb="FF9C0006"/>
      </font>
      <fill>
        <patternFill>
          <bgColor rgb="FFFFC7CE"/>
        </patternFill>
      </fill>
    </dxf>
  </dxfs>
  <tableStyles count="0" defaultTableStyle="TableStyleMedium9" defaultPivotStyle="PivotStyleLight16"/>
  <colors>
    <mruColors>
      <color rgb="FFFF99FF"/>
      <color rgb="FFFFFF99"/>
      <color rgb="FFFF66CC"/>
      <color rgb="FFFFE9A3"/>
      <color rgb="FFFFFFD9"/>
      <color rgb="FFFF8585"/>
      <color rgb="FF66CCFF"/>
      <color rgb="FFB1A0C7"/>
      <color rgb="FFF2DCDB"/>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Reeva Calapatia" id="{7C999C9A-6907-41E7-B83B-DFAFDA11ADEB}" userId="S::rcalapatia@tpc.us::21333dd8-f019-4fee-a72f-cda49ec52286" providerId="AD"/>
  <person displayName="Reeva A. Calapatia" id="{ADF84240-20EE-4C51-B398-3C536FC93DC0}" userId="S::r.calapatia@dvphilippines.com::a2074b8e-5c0b-4348-a6af-39963a4ea56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2" dT="2023-09-06T19:49:29.03" personId="{7C999C9A-6907-41E7-B83B-DFAFDA11ADEB}" id="{D20DFC33-8949-4961-964D-1B4F42A3D753}">
    <text>Animation/ Live Action/ Still</text>
  </threadedComment>
  <threadedComment ref="B13" dT="2023-09-06T19:50:09.08" personId="{7C999C9A-6907-41E7-B83B-DFAFDA11ADEB}" id="{A42ACE27-921F-41FF-93C2-5BCB3C8B37B9}">
    <text>Copy here any notes from SF or other notes related to the job</text>
  </threadedComment>
  <threadedComment ref="B14" dT="2023-09-06T19:50:48.06" personId="{7C999C9A-6907-41E7-B83B-DFAFDA11ADEB}" id="{103C1B1A-BAF0-428D-9B0C-01D5D06EDBA7}">
    <text>Other locations (e.g. part of the shoot will be done in TX or CT)</text>
  </threadedComment>
  <threadedComment ref="O14" dT="2023-09-07T19:55:19.52" personId="{7C999C9A-6907-41E7-B83B-DFAFDA11ADEB}" id="{A9780493-5B7A-44CE-A53D-735BA0DD88FC}">
    <text xml:space="preserve">Max of 9 qualified
Writer, Director, Director of Photography, Production Designer, Costume Designer, Production Accountant, VFX Supervisor, Editor, Composer </text>
  </threadedComment>
  <threadedComment ref="O23" dT="2023-09-07T19:56:04.46" personId="{7C999C9A-6907-41E7-B83B-DFAFDA11ADEB}" id="{F8807AAA-6605-4744-B4E8-F4CE6EDCB15F}">
    <text>Max 2 non-resident actors (Extras don't qualify)</text>
  </threadedComment>
  <threadedComment ref="O29" dT="2023-09-07T19:56:57.08" personId="{7C999C9A-6907-41E7-B83B-DFAFDA11ADEB}" id="{821CBCB2-35A5-41C0-91D3-DE67603A54C6}">
    <text>Included in counting the max 9 OOS crew</text>
  </threadedComment>
  <threadedComment ref="C38" dT="2023-10-04T19:54:00.76" personId="{7C999C9A-6907-41E7-B83B-DFAFDA11ADEB}" id="{6A01452C-A779-4BFD-B280-6FE7B96C6354}">
    <text>1) Award Date from Agency's Calendar
2) Approval Date of Agency Estimate</text>
  </threadedComment>
  <threadedComment ref="C39" dT="2023-10-04T19:55:58.25" personId="{7C999C9A-6907-41E7-B83B-DFAFDA11ADEB}" id="{3A900496-4511-4E17-AC7C-415C917CB6C1}">
    <text>Application Date</text>
  </threadedComment>
  <threadedComment ref="C41" dT="2023-10-04T19:56:50.38" personId="{7C999C9A-6907-41E7-B83B-DFAFDA11ADEB}" id="{9DA28518-547B-4051-A1EE-551D81A690B5}">
    <text>Shoot Date</text>
  </threadedComment>
  <threadedComment ref="C45" dT="2023-10-04T19:57:28.80" personId="{7C999C9A-6907-41E7-B83B-DFAFDA11ADEB}" id="{3A9DC2BA-5F78-4379-8A61-EC724CFBC54B}">
    <text>Alphabetic order, include business/residence name</text>
  </threadedComment>
  <threadedComment ref="C49" dT="2023-09-07T00:06:34.82" personId="{7C999C9A-6907-41E7-B83B-DFAFDA11ADEB}" id="{3ADB552D-8BE2-4ABE-BFA5-F033B8F84BE2}">
    <text>Link to PO Log</text>
  </threadedComment>
  <threadedComment ref="J49" dT="2023-09-05T19:59:53.43" personId="{7C999C9A-6907-41E7-B83B-DFAFDA11ADEB}" id="{7E0E1E6D-CCCB-4390-8F0E-DC0267179760}">
    <text>Use appropriate formula based on classification of Agency-ProdCo (Refer to Qualifying Amounts Tab)</text>
  </threadedComment>
  <threadedComment ref="O52" dT="2023-09-05T17:28:17.18" personId="{7C999C9A-6907-41E7-B83B-DFAFDA11ADEB}" id="{A3F4A563-A247-4E15-9D0C-2050D65C59E6}">
    <text>Link to CPA Workbook Amounts</text>
  </threadedComment>
  <threadedComment ref="C59" dT="2023-09-06T23:58:56.75" personId="{7C999C9A-6907-41E7-B83B-DFAFDA11ADEB}" id="{F234B473-CC8B-43B7-8539-6FBE78380D30}">
    <text>ProdCo Vendors, Petty Cash, Prod CC, etc</text>
  </threadedComment>
  <threadedComment ref="E62" dT="2023-09-07T23:56:23.24" personId="{7C999C9A-6907-41E7-B83B-DFAFDA11ADEB}" id="{8C77637D-D824-47AB-8961-A1110570AD61}">
    <text xml:space="preserve">Should be at least 50% for Local-OOS
</text>
  </threadedComment>
  <threadedComment ref="C63" dT="2023-09-07T00:00:12.01" personId="{7C999C9A-6907-41E7-B83B-DFAFDA11ADEB}" id="{C698FA4D-C33B-4E61-81C7-360F18D98D18}">
    <text xml:space="preserve"> ProdCo Invoice, Agency Vendors, Project Fee, Talent, Agency Exp Report</text>
  </threadedComment>
  <threadedComment ref="O67" dT="2024-01-26T07:43:27.23" personId="{7C999C9A-6907-41E7-B83B-DFAFDA11ADEB}" id="{DBCB91A1-0777-474E-82BE-0E8C54DB35AB}">
    <text>Link amount to total amount from CPA workbook; do not use SUM formula</text>
  </threadedComment>
  <threadedComment ref="Q67" dT="2024-01-26T07:47:54.59" personId="{7C999C9A-6907-41E7-B83B-DFAFDA11ADEB}" id="{BFD9A5CC-FB4C-42A7-8888-48A452D93C93}">
    <text>Link amount to total amount from Tax Credit file; do not use SUM formula</text>
  </threadedComment>
  <threadedComment ref="R67" dT="2024-01-26T07:47:54.59" personId="{7C999C9A-6907-41E7-B83B-DFAFDA11ADEB}" id="{DFE7E341-B77F-43AB-8F16-BF58EE3D6D0B}">
    <text>Link amount to total amount from Tax Credit file; do not use SUM formula</text>
  </threadedComment>
  <threadedComment ref="J75" dT="2023-12-22T21:05:39.66" personId="{7C999C9A-6907-41E7-B83B-DFAFDA11ADEB}" id="{D8DE3642-5290-40DB-9887-9BB0D548E99F}">
    <text>Link the rebate estimate file here, and the amounts from the rebate est. file</text>
  </threadedComment>
  <threadedComment ref="J83" dT="2024-01-26T07:41:01.70" personId="{7C999C9A-6907-41E7-B83B-DFAFDA11ADEB}" id="{FF383728-FF16-4AB9-B96A-51A7E72BA576}">
    <text>Link amount to Rebate Est. file; do not use SUM formula</text>
  </threadedComment>
  <threadedComment ref="I88" dT="2023-12-05T02:18:32.13" personId="{7C999C9A-6907-41E7-B83B-DFAFDA11ADEB}" id="{1CC7A76C-8C85-49A6-B48C-7D8BE1EE7DD0}">
    <text>Check the % from the rebate estimate</text>
  </threadedComment>
  <threadedComment ref="I95" dT="2023-12-05T02:18:04.22" personId="{7C999C9A-6907-41E7-B83B-DFAFDA11ADEB}" id="{1912198D-7837-47E1-9A55-7F3EF6904036}">
    <text>Check the % from the rebate estimate</text>
  </threadedComment>
</ThreadedComments>
</file>

<file path=xl/threadedComments/threadedComment2.xml><?xml version="1.0" encoding="utf-8"?>
<ThreadedComments xmlns="http://schemas.microsoft.com/office/spreadsheetml/2018/threadedcomments" xmlns:x="http://schemas.openxmlformats.org/spreadsheetml/2006/main">
  <threadedComment ref="B13" dT="2023-09-06T19:49:29.03" personId="{7C999C9A-6907-41E7-B83B-DFAFDA11ADEB}" id="{8C96B776-B6D5-4019-869B-037354529BF3}">
    <text>Animation/ Live Action/ Still</text>
  </threadedComment>
  <threadedComment ref="B14" dT="2023-09-06T19:50:09.08" personId="{7C999C9A-6907-41E7-B83B-DFAFDA11ADEB}" id="{2F7D2E13-CF42-4114-8C4A-31F0233788B2}">
    <text>Copy here any notes from SF or other notes related to the job</text>
  </threadedComment>
  <threadedComment ref="O14" dT="2023-09-07T19:55:19.52" personId="{7C999C9A-6907-41E7-B83B-DFAFDA11ADEB}" id="{4D84F97A-C899-4B11-BBEC-37F98FE54CC7}">
    <text xml:space="preserve">Max of 9 qualified
Writer, Director, Director of Photography, Production Designer, Costume Designer, Production Accountant, VFX Supervisor, Editor, Composer </text>
  </threadedComment>
  <threadedComment ref="B15" dT="2023-09-06T19:50:48.06" personId="{7C999C9A-6907-41E7-B83B-DFAFDA11ADEB}" id="{07C16DC3-51F9-4F34-85AE-BBB791EB1EA3}">
    <text>Other locations (e.g. part of the shoot will be done in TX or CT)</text>
  </threadedComment>
  <threadedComment ref="O23" dT="2023-09-07T19:56:04.46" personId="{7C999C9A-6907-41E7-B83B-DFAFDA11ADEB}" id="{07E92FE5-E9DE-40F0-9949-33C76F0ED2D8}">
    <text>Max 2 non-resident actors (Extras don't qualify)</text>
  </threadedComment>
  <threadedComment ref="O29" dT="2023-09-07T19:56:57.08" personId="{7C999C9A-6907-41E7-B83B-DFAFDA11ADEB}" id="{6D37EC71-C38E-432E-90F9-DD7C343549FA}">
    <text>Included in counting the max 9 OOS crew</text>
  </threadedComment>
  <threadedComment ref="C39" dT="2023-10-04T19:54:00.76" personId="{7C999C9A-6907-41E7-B83B-DFAFDA11ADEB}" id="{FFA06469-5BF4-48E4-A925-B6A53AF45830}">
    <text>1) Award Date from Agency's Calendar
2) Approval Date of Agency Estimate</text>
  </threadedComment>
  <threadedComment ref="C40" dT="2023-10-04T19:55:58.25" personId="{7C999C9A-6907-41E7-B83B-DFAFDA11ADEB}" id="{C2B2BFBA-5287-41FC-B292-379E00DF5D75}">
    <text>Application Date</text>
  </threadedComment>
  <threadedComment ref="C42" dT="2023-10-04T19:56:50.38" personId="{7C999C9A-6907-41E7-B83B-DFAFDA11ADEB}" id="{CC7B99DF-D4F6-455D-9C11-4C1A17FC51E2}">
    <text>Shoot Date</text>
  </threadedComment>
  <threadedComment ref="C46" dT="2023-10-04T19:57:28.80" personId="{7C999C9A-6907-41E7-B83B-DFAFDA11ADEB}" id="{F7595213-DE7A-41AA-9F7E-594FEEE112BF}">
    <text>Alphabetic order, include business/residence name</text>
  </threadedComment>
  <threadedComment ref="J49" dT="2023-09-05T19:59:53.43" personId="{7C999C9A-6907-41E7-B83B-DFAFDA11ADEB}" id="{522AF04B-8E49-49E0-8D50-8DCF5BEB7493}">
    <text>Use appropriate formula based on classification of Agency-ProdCo (Refer to Qualifying Amounts Tab)</text>
  </threadedComment>
  <threadedComment ref="C50" dT="2023-09-07T00:06:34.82" personId="{7C999C9A-6907-41E7-B83B-DFAFDA11ADEB}" id="{026DF94C-94AD-41C2-A802-D76D49003816}">
    <text>Link to PO Log</text>
  </threadedComment>
  <threadedComment ref="O52" dT="2023-09-05T17:28:17.18" personId="{7C999C9A-6907-41E7-B83B-DFAFDA11ADEB}" id="{1378F990-B2F8-4174-8A3A-D603B4CA775A}">
    <text>Link to CPA Workbook Amounts</text>
  </threadedComment>
  <threadedComment ref="C60" dT="2023-09-06T23:58:56.75" personId="{7C999C9A-6907-41E7-B83B-DFAFDA11ADEB}" id="{2C107E02-2594-44D3-90EA-24F9332AF2EB}">
    <text>ProdCo Vendors, Petty Cash, Prod CC, etc</text>
  </threadedComment>
  <threadedComment ref="E62" dT="2023-09-07T23:54:00.14" personId="{7C999C9A-6907-41E7-B83B-DFAFDA11ADEB}" id="{A5892C02-6141-451B-B2DE-3CA95C3E1F90}">
    <text>Should be at least 50% for Local-OOS</text>
  </threadedComment>
  <threadedComment ref="C64" dT="2023-09-07T00:00:12.01" personId="{7C999C9A-6907-41E7-B83B-DFAFDA11ADEB}" id="{EEBC74DD-F1A5-421E-99D2-60E6336A7664}">
    <text xml:space="preserve"> ProdCo Invoice, Agency Vendors, Project Fee, Talent, Agency Exp Report</text>
  </threadedComment>
  <threadedComment ref="O68" dT="2024-01-26T07:43:27.23" personId="{7C999C9A-6907-41E7-B83B-DFAFDA11ADEB}" id="{477058A0-0067-4479-900B-0A99AC841D96}">
    <text>Link amount to total amount from CPA workbook; do not use SUM formula</text>
  </threadedComment>
  <threadedComment ref="Q68" dT="2024-01-26T07:47:54.59" personId="{7C999C9A-6907-41E7-B83B-DFAFDA11ADEB}" id="{B5D98C4F-C8D0-4D9C-8CAA-5D2C0922B260}">
    <text>Link amount to total amount from Tax Credit file; do not use SUM formula</text>
  </threadedComment>
  <threadedComment ref="R68" dT="2024-01-26T07:47:54.59" personId="{7C999C9A-6907-41E7-B83B-DFAFDA11ADEB}" id="{59F469E5-3359-42E6-95EF-5386C08C7427}">
    <text>Link amount to total amount from Tax Credit file; do not use SUM formula</text>
  </threadedComment>
  <threadedComment ref="J77" dT="2023-12-22T21:05:39.66" personId="{7C999C9A-6907-41E7-B83B-DFAFDA11ADEB}" id="{6AEFD4A6-B9B9-4848-B3F4-519469254FCB}">
    <text>Link the rebate estimate file here, and the amounts from the rebate est. file</text>
  </threadedComment>
  <threadedComment ref="J85" dT="2024-01-26T07:41:01.70" personId="{7C999C9A-6907-41E7-B83B-DFAFDA11ADEB}" id="{C62615BB-8A9C-48FA-9CE7-49010E4C270B}">
    <text>Link amount to Rebate Est. file; do not use SUM formula</text>
  </threadedComment>
  <threadedComment ref="I90" dT="2023-12-05T02:18:32.13" personId="{7C999C9A-6907-41E7-B83B-DFAFDA11ADEB}" id="{2FA4B1A7-DB73-425C-B248-DE0D8BF31884}">
    <text>Check the % from the rebate estimate</text>
  </threadedComment>
  <threadedComment ref="I97" dT="2023-12-05T02:18:04.22" personId="{7C999C9A-6907-41E7-B83B-DFAFDA11ADEB}" id="{8C71B734-4568-4FD1-8C51-26929ADF2E9A}">
    <text>Check the % from the rebate estimate</text>
  </threadedComment>
</ThreadedComments>
</file>

<file path=xl/threadedComments/threadedComment3.xml><?xml version="1.0" encoding="utf-8"?>
<ThreadedComments xmlns="http://schemas.microsoft.com/office/spreadsheetml/2018/threadedcomments" xmlns:x="http://schemas.openxmlformats.org/spreadsheetml/2006/main">
  <threadedComment ref="B13" dT="2023-09-06T19:49:29.03" personId="{7C999C9A-6907-41E7-B83B-DFAFDA11ADEB}" id="{F8C1013C-6E64-441F-BD9A-055A53A82030}">
    <text>Animation/ Live Action/ Still</text>
  </threadedComment>
  <threadedComment ref="B14" dT="2023-09-06T19:50:09.08" personId="{7C999C9A-6907-41E7-B83B-DFAFDA11ADEB}" id="{0C1CAF40-08D3-434A-9A74-9483399CE794}">
    <text>Copy here any notes from SF or other notes related to the job</text>
  </threadedComment>
  <threadedComment ref="O14" dT="2023-09-07T19:55:19.52" personId="{7C999C9A-6907-41E7-B83B-DFAFDA11ADEB}" id="{0FC7C391-8755-448B-A7C5-203CCD949109}">
    <text xml:space="preserve">Max of 9 qualified
Writer, Director, Director of Photography, Production Designer, Costume Designer, Production Accountant, VFX Supervisor, Editor, Composer </text>
  </threadedComment>
  <threadedComment ref="B15" dT="2023-09-06T19:50:48.06" personId="{7C999C9A-6907-41E7-B83B-DFAFDA11ADEB}" id="{17D1A1B6-3D0A-4106-99A4-10A800035484}">
    <text>Other locations (e.g. part of the shoot will be done in TX or CT)</text>
  </threadedComment>
  <threadedComment ref="O23" dT="2023-09-07T19:56:04.46" personId="{7C999C9A-6907-41E7-B83B-DFAFDA11ADEB}" id="{1AE9FF04-7398-4C22-B36E-9FE2F77C02A6}">
    <text>Max 2 non-resident actors (Extras don't qualify)</text>
  </threadedComment>
  <threadedComment ref="O29" dT="2023-09-07T19:56:57.08" personId="{7C999C9A-6907-41E7-B83B-DFAFDA11ADEB}" id="{13AD4272-4697-4F9B-B10D-FE62FD54FF91}">
    <text>Included in counting the max 9 OOS crew</text>
  </threadedComment>
  <threadedComment ref="C39" dT="2023-10-04T19:54:00.76" personId="{7C999C9A-6907-41E7-B83B-DFAFDA11ADEB}" id="{A632DA2F-87DC-4466-9E54-0E8D035A1142}">
    <text>1) Award Date from Agency's Calendar
2) Approval Date of Agency Estimate</text>
  </threadedComment>
  <threadedComment ref="C40" dT="2023-10-04T19:55:58.25" personId="{7C999C9A-6907-41E7-B83B-DFAFDA11ADEB}" id="{B6B0A08D-47A7-4463-9E91-745D80636278}">
    <text>Application Date</text>
  </threadedComment>
  <threadedComment ref="C42" dT="2023-10-04T19:56:50.38" personId="{7C999C9A-6907-41E7-B83B-DFAFDA11ADEB}" id="{518D238B-73E6-4743-96F0-6D77FD5A4E18}">
    <text>Shoot Date</text>
  </threadedComment>
  <threadedComment ref="C46" dT="2023-10-04T19:57:28.80" personId="{7C999C9A-6907-41E7-B83B-DFAFDA11ADEB}" id="{F03D0A3F-4133-4065-B44A-E71D31E18969}">
    <text>Alphabetic order, include business/residence name</text>
  </threadedComment>
  <threadedComment ref="C50" dT="2023-09-07T00:06:34.82" personId="{7C999C9A-6907-41E7-B83B-DFAFDA11ADEB}" id="{566137DB-B37A-4D13-BAC4-DF38C50E9971}">
    <text>Link to PO Log</text>
  </threadedComment>
  <threadedComment ref="J50" dT="2023-09-05T19:59:53.43" personId="{7C999C9A-6907-41E7-B83B-DFAFDA11ADEB}" id="{12C81AFC-2FFE-4B55-87E8-79BEAB6EAA0A}">
    <text>Use appropriate formula based on classification of Agency-ProdCo (Refer to Qualifying Amounts Tab)</text>
  </threadedComment>
  <threadedComment ref="O52" dT="2023-09-05T17:28:17.18" personId="{7C999C9A-6907-41E7-B83B-DFAFDA11ADEB}" id="{89D6C10A-5C81-4ECE-A087-22677A7039FB}">
    <text>Link to CPA Workbook Amounts</text>
  </threadedComment>
  <threadedComment ref="J55" dT="2023-09-05T16:50:00.23" personId="{7C999C9A-6907-41E7-B83B-DFAFDA11ADEB}" id="{0CBA4ABC-EA58-4F36-86FD-46D97EE368B5}">
    <text>Ineligible agency expenses itemized in client billings/ Zero if summary billing</text>
  </threadedComment>
  <threadedComment ref="J56" dT="2023-09-05T16:51:05.46" personId="{7C999C9A-6907-41E7-B83B-DFAFDA11ADEB}" id="{98556962-46EB-40AF-810B-EDE7B6287774}">
    <text>Add hours only if with separate retainer fee with POP</text>
  </threadedComment>
  <threadedComment ref="Q59" dT="2024-01-26T07:47:54.59" personId="{7C999C9A-6907-41E7-B83B-DFAFDA11ADEB}" id="{3AE1A0DA-40F8-4F8F-B7EC-F8B0C6EFE40A}">
    <text>Link amount to total amount from Tax Credit file; do not use SUM formula</text>
  </threadedComment>
  <threadedComment ref="R59" dT="2024-01-26T07:47:54.59" personId="{7C999C9A-6907-41E7-B83B-DFAFDA11ADEB}" id="{527BBB50-FDC0-4AA1-8027-AEA32F35627B}">
    <text>Link amount to total amount from Tax Credit file; do not use SUM formula</text>
  </threadedComment>
  <threadedComment ref="C60" dT="2023-09-06T23:58:56.75" personId="{7C999C9A-6907-41E7-B83B-DFAFDA11ADEB}" id="{A2602AA6-CF20-4F74-8CBB-E1B2EB499175}">
    <text>ProdCo Vendors, Petty Cash, Prod CC, etc</text>
  </threadedComment>
  <threadedComment ref="E62" dT="2023-09-07T23:56:34.72" personId="{7C999C9A-6907-41E7-B83B-DFAFDA11ADEB}" id="{8F7C1C1A-F8C1-48F9-ACB6-464491D0034C}">
    <text xml:space="preserve">Should be at least 50% for Local-OOS
</text>
  </threadedComment>
  <threadedComment ref="C64" dT="2023-09-07T00:00:12.01" personId="{7C999C9A-6907-41E7-B83B-DFAFDA11ADEB}" id="{74F3357B-AFE0-4C25-8364-EC61D5F7280E}">
    <text xml:space="preserve"> ProdCo Invoice, Agency Vendors, Project Fee, Talent, Agency Exp Report</text>
  </threadedComment>
  <threadedComment ref="J66" dT="2023-12-22T21:05:39.66" personId="{7C999C9A-6907-41E7-B83B-DFAFDA11ADEB}" id="{F99C3D4F-5254-489C-8DBB-3144A2958D9C}">
    <text>Link the rebate estimate file here, and the amounts from the rebate est. file</text>
  </threadedComment>
  <threadedComment ref="J74" dT="2024-01-26T07:41:01.70" personId="{7C999C9A-6907-41E7-B83B-DFAFDA11ADEB}" id="{2C6C0AB4-99FC-4ED9-8453-F8B2FCA2645C}">
    <text>Link amount to Rebate Est. file; do not use SUM formula</text>
  </threadedComment>
  <threadedComment ref="I79" dT="2023-12-05T02:18:32.13" personId="{7C999C9A-6907-41E7-B83B-DFAFDA11ADEB}" id="{695761AE-AF22-4C16-A209-91C9B2D54004}">
    <text>Check the % from the rebate estimate</text>
  </threadedComment>
  <threadedComment ref="I86" dT="2023-12-05T02:18:04.22" personId="{7C999C9A-6907-41E7-B83B-DFAFDA11ADEB}" id="{DF55C068-7CB7-4864-B0D9-9A5542CC872A}">
    <text>Check the % from the rebate estimate</text>
  </threadedComment>
</ThreadedComments>
</file>

<file path=xl/threadedComments/threadedComment4.xml><?xml version="1.0" encoding="utf-8"?>
<ThreadedComments xmlns="http://schemas.microsoft.com/office/spreadsheetml/2018/threadedcomments" xmlns:x="http://schemas.openxmlformats.org/spreadsheetml/2006/main">
  <threadedComment ref="T7" dT="2024-10-09T20:39:19.82" personId="{ADF84240-20EE-4C51-B398-3C536FC93DC0}" id="{A454412B-1354-4768-92FD-4C0950039CE2}">
    <text>Process Date, not when the payment is cleared</text>
  </threadedComment>
  <threadedComment ref="V7" dT="2023-09-07T19:17:35.82" personId="{7C999C9A-6907-41E7-B83B-DFAFDA11ADEB}" id="{36811332-9FAF-42B7-A6B1-213B75D11895}">
    <text>If IL and no address on the invoice</text>
  </threadedComment>
  <threadedComment ref="E49" dT="2023-09-07T00:06:47.97" personId="{7C999C9A-6907-41E7-B83B-DFAFDA11ADEB}" id="{4F1329AC-57A0-4699-85FC-676F38C5DF89}">
    <text>Link to JCD</text>
  </threadedComment>
</ThreadedComments>
</file>

<file path=xl/threadedComments/threadedComment5.xml><?xml version="1.0" encoding="utf-8"?>
<ThreadedComments xmlns="http://schemas.microsoft.com/office/spreadsheetml/2018/threadedcomments" xmlns:x="http://schemas.openxmlformats.org/spreadsheetml/2006/main">
  <threadedComment ref="G8" dT="2023-08-25T18:31:52.01" personId="{7C999C9A-6907-41E7-B83B-DFAFDA11ADEB}" id="{2B81FB1A-39E1-4B06-B5FE-60D9009D9EFE}">
    <text>PA - Entry Level
Manager/ Supervisor/ Coordinator/ Designer - Management
Edit/Coloring-related - Post-Production
All Others - commonly Production</text>
  </threadedComment>
  <threadedComment ref="I8" dT="2024-07-26T00:15:55.47" personId="{ADF84240-20EE-4C51-B398-3C536FC93DC0}" id="{0C9AAE4A-0C14-4BB6-B74B-C43F7E3D09AC}">
    <text>To encode if exact work dates are not on the fringe recap; can use date range only for continuous dates (not needed for freelance)</text>
  </threadedComment>
  <threadedComment ref="AS8" dT="2023-09-08T21:21:48.98" personId="{7C999C9A-6907-41E7-B83B-DFAFDA11ADEB}" id="{939AFA79-01EE-4256-A80F-0DDE982980A4}">
    <text>Check/ update data from "Legend" tab for the dropdown menu</text>
  </threadedComment>
  <threadedComment ref="BI8" dT="2023-08-25T18:31:52.01" personId="{7C999C9A-6907-41E7-B83B-DFAFDA11ADEB}" id="{8A3B5E84-CF86-4918-9FD3-8A285364E6CE}">
    <text>PA - Entry Level
Manager/ Supervisor/ Coordinator/ Designer - Management
Edit/Coloring-related - Post-Production
All Others - commonly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L7" dT="2023-08-25T19:56:04.84" personId="{7C999C9A-6907-41E7-B83B-DFAFDA11ADEB}" id="{AC0A2DD6-9D6A-4536-B81D-5F551C095FFB}">
    <text>Enter ref # for easy tracing of returns to original receipt</text>
  </threadedComment>
  <threadedComment ref="Q7" dT="2023-08-25T19:57:25.91" personId="{7C999C9A-6907-41E7-B83B-DFAFDA11ADEB}" id="{5430671E-2C76-4CBD-A179-BDC09B11A235}">
    <text>Compute for net qualified amount for receipts with returns; put related receipts next to each other</text>
  </threadedComment>
</ThreadedComments>
</file>

<file path=xl/threadedComments/threadedComment7.xml><?xml version="1.0" encoding="utf-8"?>
<ThreadedComments xmlns="http://schemas.microsoft.com/office/spreadsheetml/2018/threadedcomments" xmlns:x="http://schemas.openxmlformats.org/spreadsheetml/2006/main">
  <threadedComment ref="J8" dT="2023-08-25T19:42:19.27" personId="{7C999C9A-6907-41E7-B83B-DFAFDA11ADEB}" id="{44FE74CE-047A-4707-A417-C2E033BEBA63}">
    <text>Actual dates worked</text>
  </threadedComment>
  <threadedComment ref="AH8" dT="2023-09-07T19:26:08.01" personId="{7C999C9A-6907-41E7-B83B-DFAFDA11ADEB}" id="{C520CE7C-8260-48AC-964D-41348EF87B27}">
    <text>For Agent, and when only loan out name is shown in the invoice</text>
  </threadedComment>
  <threadedComment ref="BC8" dT="2023-08-25T19:48:05.76" personId="{7C999C9A-6907-41E7-B83B-DFAFDA11ADEB}" id="{DB449FC3-5605-4751-966F-BD5676222590}">
    <text>Enter data in Column AD</text>
  </threadedComment>
  <threadedComment ref="BD8" dT="2023-08-25T19:42:19.27" personId="{7C999C9A-6907-41E7-B83B-DFAFDA11ADEB}" id="{1BBBCAAB-04F9-4A01-BDC2-5FEAB9040273}">
    <text>Actual dates worked</text>
  </threadedComment>
</ThreadedComments>
</file>

<file path=xl/threadedComments/threadedComment8.xml><?xml version="1.0" encoding="utf-8"?>
<ThreadedComments xmlns="http://schemas.microsoft.com/office/spreadsheetml/2018/threadedcomments" xmlns:x="http://schemas.openxmlformats.org/spreadsheetml/2006/main">
  <threadedComment ref="H8" dT="2023-08-25T18:32:26.50" personId="{7C999C9A-6907-41E7-B83B-DFAFDA11ADEB}" id="{F4EC2FF6-2A0A-48F0-A849-467847CC358C}">
    <text>PA - Entry Level
Manager/ Supervisor/ Coordinator/ Designer - Management
Edit/Coloring-related - Post-Production
All Others - commonly Production</text>
  </threadedComment>
  <threadedComment ref="AH8" dT="2023-08-25T18:31:52.01" personId="{7C999C9A-6907-41E7-B83B-DFAFDA11ADEB}" id="{D6EA9958-06F6-4FE6-9723-19A99C8C0A78}">
    <text>PA - Entry Level
Manager/ Supervisor/ Coordinator/ Designer - Management
Edit/Coloring-related - Post-Production
All Others - commonly Production</text>
  </threadedComment>
  <threadedComment ref="B9" dT="2023-08-14T06:25:22.97" personId="{7C999C9A-6907-41E7-B83B-DFAFDA11ADEB}" id="{F2A2F95D-CAA1-41AC-BFED-1C0A413A7034}">
    <text>Link to Hours Letter</text>
  </threadedComment>
  <threadedComment ref="G43" dT="2023-08-14T06:47:02.08" personId="{7C999C9A-6907-41E7-B83B-DFAFDA11ADEB}" id="{41E0744D-CE56-4B04-996D-9C1471E69A85}">
    <text>Should be higher than total Agency Hours submitted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6.bin"/><Relationship Id="rId1" Type="http://schemas.openxmlformats.org/officeDocument/2006/relationships/hyperlink" Target="..\..\..\(Residency%20Library)\(Crew%20Diversity%20-%20Master%20List).xlsx" TargetMode="Externa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6" Type="http://schemas.microsoft.com/office/2017/10/relationships/threadedComment" Target="../threadedComments/threadedComment6.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3.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4.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4799C-2ECC-4102-B07A-9FF53C0CDC40}">
  <dimension ref="A1:I35"/>
  <sheetViews>
    <sheetView zoomScale="145" zoomScaleNormal="145" workbookViewId="0">
      <pane xSplit="1" ySplit="2" topLeftCell="G3" activePane="bottomRight" state="frozen"/>
      <selection pane="topRight" activeCell="B1" sqref="B1"/>
      <selection pane="bottomLeft" activeCell="A3" sqref="A3"/>
      <selection pane="bottomRight" activeCell="G8" sqref="G8"/>
    </sheetView>
  </sheetViews>
  <sheetFormatPr defaultColWidth="8.88671875" defaultRowHeight="14.4" x14ac:dyDescent="0.3"/>
  <cols>
    <col min="1" max="1" width="32.109375" style="48" customWidth="1"/>
    <col min="2" max="2" width="36.5546875" style="48" hidden="1" customWidth="1"/>
    <col min="3" max="3" width="24.88671875" style="48" hidden="1" customWidth="1"/>
    <col min="4" max="4" width="27.5546875" style="48" hidden="1" customWidth="1"/>
    <col min="5" max="5" width="26" style="48" hidden="1" customWidth="1"/>
    <col min="6" max="6" width="30.88671875" style="48" hidden="1" customWidth="1"/>
    <col min="7" max="8" width="29.88671875" style="48" customWidth="1"/>
    <col min="9" max="9" width="27.33203125" style="48" customWidth="1"/>
    <col min="10" max="10" width="2.88671875" style="48" customWidth="1"/>
    <col min="11" max="16384" width="8.88671875" style="48"/>
  </cols>
  <sheetData>
    <row r="1" spans="1:9" ht="15" thickBot="1" x14ac:dyDescent="0.35">
      <c r="A1" s="437" t="s">
        <v>0</v>
      </c>
      <c r="B1" s="438" t="s">
        <v>1</v>
      </c>
      <c r="C1" s="439" t="s">
        <v>2</v>
      </c>
      <c r="D1" s="439" t="s">
        <v>3</v>
      </c>
      <c r="E1" s="439" t="s">
        <v>4</v>
      </c>
      <c r="F1" s="438" t="s">
        <v>1</v>
      </c>
      <c r="G1" s="439" t="s">
        <v>5</v>
      </c>
      <c r="H1" s="439" t="s">
        <v>3</v>
      </c>
      <c r="I1" s="438" t="s">
        <v>4</v>
      </c>
    </row>
    <row r="2" spans="1:9" ht="15" thickBot="1" x14ac:dyDescent="0.35">
      <c r="A2" s="440" t="s">
        <v>6</v>
      </c>
      <c r="B2" s="441" t="s">
        <v>7</v>
      </c>
      <c r="C2" s="442" t="s">
        <v>1</v>
      </c>
      <c r="D2" s="442" t="s">
        <v>1</v>
      </c>
      <c r="E2" s="442" t="s">
        <v>1</v>
      </c>
      <c r="F2" s="441" t="s">
        <v>5</v>
      </c>
      <c r="G2" s="442" t="s">
        <v>5</v>
      </c>
      <c r="H2" s="442" t="s">
        <v>5</v>
      </c>
      <c r="I2" s="441" t="s">
        <v>5</v>
      </c>
    </row>
    <row r="3" spans="1:9" ht="24.6" customHeight="1" x14ac:dyDescent="0.3">
      <c r="A3" s="443" t="s">
        <v>8</v>
      </c>
      <c r="B3" s="444" t="s">
        <v>9</v>
      </c>
      <c r="C3" s="445" t="s">
        <v>9</v>
      </c>
      <c r="D3" s="445" t="s">
        <v>9</v>
      </c>
      <c r="E3" s="445" t="s">
        <v>9</v>
      </c>
      <c r="F3" s="446" t="s">
        <v>9</v>
      </c>
      <c r="G3" s="445" t="s">
        <v>9</v>
      </c>
      <c r="H3" s="445" t="s">
        <v>9</v>
      </c>
      <c r="I3" s="446" t="s">
        <v>9</v>
      </c>
    </row>
    <row r="4" spans="1:9" ht="43.8" thickBot="1" x14ac:dyDescent="0.35">
      <c r="A4" s="447" t="s">
        <v>10</v>
      </c>
      <c r="B4" s="448" t="s">
        <v>11</v>
      </c>
      <c r="C4" s="448" t="s">
        <v>11</v>
      </c>
      <c r="D4" s="448" t="s">
        <v>11</v>
      </c>
      <c r="E4" s="448" t="s">
        <v>11</v>
      </c>
      <c r="F4" s="452" t="s">
        <v>12</v>
      </c>
      <c r="G4" s="450" t="s">
        <v>9</v>
      </c>
      <c r="H4" s="450" t="s">
        <v>9</v>
      </c>
      <c r="I4" s="449" t="s">
        <v>9</v>
      </c>
    </row>
    <row r="5" spans="1:9" ht="43.2" x14ac:dyDescent="0.3">
      <c r="A5" s="447" t="s">
        <v>13</v>
      </c>
      <c r="B5" s="451" t="s">
        <v>14</v>
      </c>
      <c r="C5" s="451" t="s">
        <v>14</v>
      </c>
      <c r="D5" s="451" t="s">
        <v>14</v>
      </c>
      <c r="E5" s="451" t="s">
        <v>14</v>
      </c>
      <c r="F5" s="449" t="s">
        <v>9</v>
      </c>
      <c r="G5" s="450" t="s">
        <v>9</v>
      </c>
      <c r="H5" s="450" t="s">
        <v>9</v>
      </c>
      <c r="I5" s="449" t="s">
        <v>9</v>
      </c>
    </row>
    <row r="6" spans="1:9" ht="43.8" thickBot="1" x14ac:dyDescent="0.35">
      <c r="A6" s="447" t="s">
        <v>15</v>
      </c>
      <c r="B6" s="448" t="s">
        <v>11</v>
      </c>
      <c r="C6" s="448" t="s">
        <v>11</v>
      </c>
      <c r="D6" s="448" t="s">
        <v>11</v>
      </c>
      <c r="E6" s="448" t="s">
        <v>11</v>
      </c>
      <c r="F6" s="452" t="s">
        <v>12</v>
      </c>
      <c r="G6" s="450" t="s">
        <v>9</v>
      </c>
      <c r="H6" s="450" t="s">
        <v>9</v>
      </c>
      <c r="I6" s="449" t="s">
        <v>9</v>
      </c>
    </row>
    <row r="7" spans="1:9" ht="45.6" customHeight="1" thickBot="1" x14ac:dyDescent="0.35">
      <c r="A7" s="447" t="s">
        <v>16</v>
      </c>
      <c r="B7" s="453" t="s">
        <v>11</v>
      </c>
      <c r="C7" s="453" t="s">
        <v>11</v>
      </c>
      <c r="D7" s="453" t="s">
        <v>11</v>
      </c>
      <c r="E7" s="453" t="s">
        <v>11</v>
      </c>
      <c r="F7" s="452" t="s">
        <v>12</v>
      </c>
      <c r="G7" s="455" t="s">
        <v>9</v>
      </c>
      <c r="H7" s="455" t="s">
        <v>9</v>
      </c>
      <c r="I7" s="454" t="s">
        <v>9</v>
      </c>
    </row>
    <row r="8" spans="1:9" ht="29.4" thickBot="1" x14ac:dyDescent="0.35">
      <c r="A8" s="456" t="s">
        <v>17</v>
      </c>
      <c r="B8" s="457" t="s">
        <v>18</v>
      </c>
      <c r="C8" s="457" t="s">
        <v>18</v>
      </c>
      <c r="D8" s="457" t="s">
        <v>18</v>
      </c>
      <c r="E8" s="457" t="s">
        <v>18</v>
      </c>
      <c r="F8" s="457" t="s">
        <v>18</v>
      </c>
      <c r="G8" s="458" t="s">
        <v>18</v>
      </c>
      <c r="H8" s="458" t="s">
        <v>18</v>
      </c>
      <c r="I8" s="457" t="s">
        <v>18</v>
      </c>
    </row>
    <row r="10" spans="1:9" ht="28.8" x14ac:dyDescent="0.3">
      <c r="A10" s="459" t="s">
        <v>19</v>
      </c>
      <c r="B10" s="460" t="s">
        <v>20</v>
      </c>
      <c r="C10" s="461" t="s">
        <v>21</v>
      </c>
      <c r="D10" s="461" t="s">
        <v>21</v>
      </c>
      <c r="E10" s="461" t="s">
        <v>21</v>
      </c>
      <c r="F10" s="462" t="s">
        <v>22</v>
      </c>
      <c r="G10" s="463" t="s">
        <v>23</v>
      </c>
      <c r="H10" s="463" t="s">
        <v>23</v>
      </c>
      <c r="I10" s="463" t="s">
        <v>23</v>
      </c>
    </row>
    <row r="11" spans="1:9" ht="30.6" customHeight="1" x14ac:dyDescent="0.3">
      <c r="A11" s="464" t="s">
        <v>24</v>
      </c>
      <c r="B11" s="465" t="s">
        <v>20</v>
      </c>
      <c r="C11" s="465" t="s">
        <v>20</v>
      </c>
      <c r="D11" s="465" t="s">
        <v>20</v>
      </c>
      <c r="E11" s="465" t="s">
        <v>20</v>
      </c>
      <c r="F11" s="466" t="s">
        <v>23</v>
      </c>
      <c r="G11" s="466" t="s">
        <v>23</v>
      </c>
      <c r="H11" s="466" t="s">
        <v>23</v>
      </c>
      <c r="I11" s="466" t="s">
        <v>23</v>
      </c>
    </row>
    <row r="12" spans="1:9" ht="44.1" customHeight="1" x14ac:dyDescent="0.3">
      <c r="A12" s="464" t="s">
        <v>25</v>
      </c>
      <c r="B12" s="465" t="s">
        <v>20</v>
      </c>
      <c r="C12" s="465" t="s">
        <v>20</v>
      </c>
      <c r="D12" s="465" t="s">
        <v>20</v>
      </c>
      <c r="E12" s="465" t="s">
        <v>20</v>
      </c>
      <c r="F12" s="467" t="s">
        <v>26</v>
      </c>
      <c r="G12" s="467" t="s">
        <v>27</v>
      </c>
      <c r="H12" s="467" t="s">
        <v>27</v>
      </c>
      <c r="I12" s="467" t="s">
        <v>27</v>
      </c>
    </row>
    <row r="14" spans="1:9" ht="15" customHeight="1" x14ac:dyDescent="0.3">
      <c r="A14" s="277" t="s">
        <v>28</v>
      </c>
    </row>
    <row r="15" spans="1:9" x14ac:dyDescent="0.3">
      <c r="A15" s="277" t="s">
        <v>29</v>
      </c>
    </row>
    <row r="16" spans="1:9" x14ac:dyDescent="0.3">
      <c r="A16" s="277" t="s">
        <v>30</v>
      </c>
    </row>
    <row r="17" spans="1:9" x14ac:dyDescent="0.3">
      <c r="A17" s="277"/>
    </row>
    <row r="18" spans="1:9" x14ac:dyDescent="0.3">
      <c r="A18" s="468" t="s">
        <v>31</v>
      </c>
      <c r="B18" s="469"/>
      <c r="C18" s="469"/>
      <c r="D18" s="469"/>
      <c r="E18" s="469"/>
      <c r="F18" s="469"/>
      <c r="G18" s="469"/>
      <c r="H18" s="469"/>
      <c r="I18" s="469"/>
    </row>
    <row r="19" spans="1:9" x14ac:dyDescent="0.3">
      <c r="A19" s="470" t="s">
        <v>0</v>
      </c>
      <c r="B19" s="200"/>
      <c r="F19" s="200"/>
      <c r="G19" s="200"/>
      <c r="H19" s="200"/>
      <c r="I19" s="200"/>
    </row>
    <row r="20" spans="1:9" s="471" customFormat="1" ht="28.8" x14ac:dyDescent="0.3">
      <c r="A20" s="471" t="s">
        <v>32</v>
      </c>
      <c r="B20" s="472" t="s">
        <v>33</v>
      </c>
      <c r="C20" s="472" t="s">
        <v>34</v>
      </c>
      <c r="D20" s="472" t="s">
        <v>35</v>
      </c>
      <c r="E20" s="472" t="s">
        <v>36</v>
      </c>
      <c r="F20" s="472" t="s">
        <v>33</v>
      </c>
      <c r="G20" s="472" t="s">
        <v>34</v>
      </c>
      <c r="H20" s="472" t="s">
        <v>35</v>
      </c>
      <c r="I20" s="472" t="s">
        <v>36</v>
      </c>
    </row>
    <row r="21" spans="1:9" x14ac:dyDescent="0.3">
      <c r="A21" s="48" t="s">
        <v>37</v>
      </c>
      <c r="B21" s="200" t="s">
        <v>38</v>
      </c>
      <c r="C21" s="200" t="s">
        <v>38</v>
      </c>
      <c r="D21" s="200" t="s">
        <v>38</v>
      </c>
      <c r="E21" s="472" t="s">
        <v>36</v>
      </c>
      <c r="F21" s="200" t="s">
        <v>38</v>
      </c>
      <c r="G21" s="200" t="s">
        <v>38</v>
      </c>
      <c r="H21" s="200" t="s">
        <v>38</v>
      </c>
      <c r="I21" s="200" t="s">
        <v>36</v>
      </c>
    </row>
    <row r="22" spans="1:9" ht="28.8" x14ac:dyDescent="0.3">
      <c r="A22" s="48" t="s">
        <v>39</v>
      </c>
      <c r="B22" s="472" t="s">
        <v>40</v>
      </c>
      <c r="C22" s="200" t="s">
        <v>36</v>
      </c>
      <c r="D22" s="472" t="s">
        <v>40</v>
      </c>
      <c r="E22" s="472" t="s">
        <v>36</v>
      </c>
      <c r="F22" s="472" t="s">
        <v>40</v>
      </c>
      <c r="G22" s="200" t="s">
        <v>36</v>
      </c>
      <c r="H22" s="472" t="s">
        <v>40</v>
      </c>
      <c r="I22" s="200" t="s">
        <v>36</v>
      </c>
    </row>
    <row r="23" spans="1:9" s="473" customFormat="1" ht="105" customHeight="1" x14ac:dyDescent="0.3">
      <c r="A23" s="473" t="s">
        <v>41</v>
      </c>
      <c r="B23" s="472" t="s">
        <v>42</v>
      </c>
      <c r="C23" s="472" t="s">
        <v>43</v>
      </c>
      <c r="D23" s="472" t="s">
        <v>43</v>
      </c>
      <c r="E23" s="472" t="s">
        <v>36</v>
      </c>
      <c r="F23" s="472" t="s">
        <v>44</v>
      </c>
      <c r="G23" s="472" t="s">
        <v>45</v>
      </c>
      <c r="H23" s="472" t="s">
        <v>45</v>
      </c>
      <c r="I23" s="200" t="s">
        <v>36</v>
      </c>
    </row>
    <row r="24" spans="1:9" ht="28.8" x14ac:dyDescent="0.3">
      <c r="A24" s="48" t="s">
        <v>46</v>
      </c>
      <c r="B24" s="472" t="s">
        <v>47</v>
      </c>
      <c r="C24" s="472" t="s">
        <v>38</v>
      </c>
      <c r="D24" s="472" t="s">
        <v>38</v>
      </c>
      <c r="E24" s="472" t="s">
        <v>36</v>
      </c>
      <c r="F24" s="472" t="s">
        <v>47</v>
      </c>
      <c r="G24" s="200" t="s">
        <v>38</v>
      </c>
      <c r="H24" s="200" t="s">
        <v>38</v>
      </c>
      <c r="I24" s="200" t="s">
        <v>36</v>
      </c>
    </row>
    <row r="25" spans="1:9" ht="43.2" x14ac:dyDescent="0.3">
      <c r="A25" s="48" t="s">
        <v>48</v>
      </c>
      <c r="B25" s="472" t="s">
        <v>49</v>
      </c>
      <c r="C25" s="200" t="s">
        <v>38</v>
      </c>
      <c r="D25" s="200" t="s">
        <v>38</v>
      </c>
      <c r="E25" s="472" t="s">
        <v>49</v>
      </c>
      <c r="F25" s="200" t="s">
        <v>35</v>
      </c>
      <c r="G25" s="200" t="s">
        <v>38</v>
      </c>
      <c r="H25" s="200" t="s">
        <v>38</v>
      </c>
      <c r="I25" s="200" t="s">
        <v>36</v>
      </c>
    </row>
    <row r="26" spans="1:9" x14ac:dyDescent="0.3">
      <c r="B26" s="200"/>
      <c r="F26" s="200"/>
      <c r="G26" s="200"/>
      <c r="H26" s="200"/>
      <c r="I26" s="200"/>
    </row>
    <row r="27" spans="1:9" x14ac:dyDescent="0.3">
      <c r="A27" s="470" t="s">
        <v>6</v>
      </c>
      <c r="B27" s="200"/>
      <c r="F27" s="200"/>
      <c r="G27" s="200"/>
      <c r="H27" s="200"/>
      <c r="I27" s="200"/>
    </row>
    <row r="28" spans="1:9" s="471" customFormat="1" ht="28.8" x14ac:dyDescent="0.3">
      <c r="A28" s="471" t="s">
        <v>50</v>
      </c>
      <c r="B28" s="472" t="s">
        <v>38</v>
      </c>
      <c r="C28" s="472" t="s">
        <v>38</v>
      </c>
      <c r="D28" s="472" t="s">
        <v>38</v>
      </c>
      <c r="E28" s="472" t="s">
        <v>38</v>
      </c>
      <c r="F28" s="472" t="s">
        <v>51</v>
      </c>
      <c r="G28" s="472" t="s">
        <v>34</v>
      </c>
      <c r="H28" s="472" t="s">
        <v>34</v>
      </c>
      <c r="I28" s="472" t="s">
        <v>36</v>
      </c>
    </row>
    <row r="29" spans="1:9" x14ac:dyDescent="0.3">
      <c r="A29" s="48" t="s">
        <v>52</v>
      </c>
      <c r="B29" s="200" t="s">
        <v>35</v>
      </c>
      <c r="C29" s="200" t="s">
        <v>35</v>
      </c>
      <c r="D29" s="200" t="s">
        <v>35</v>
      </c>
      <c r="E29" s="200" t="s">
        <v>35</v>
      </c>
      <c r="F29" s="200" t="s">
        <v>38</v>
      </c>
      <c r="G29" s="200" t="s">
        <v>38</v>
      </c>
      <c r="H29" s="200" t="s">
        <v>38</v>
      </c>
      <c r="I29" s="200" t="s">
        <v>38</v>
      </c>
    </row>
    <row r="30" spans="1:9" ht="43.2" x14ac:dyDescent="0.3">
      <c r="A30" s="48" t="s">
        <v>53</v>
      </c>
      <c r="B30" s="472" t="s">
        <v>54</v>
      </c>
      <c r="C30" s="472" t="s">
        <v>54</v>
      </c>
      <c r="D30" s="472" t="s">
        <v>54</v>
      </c>
      <c r="E30" s="472" t="s">
        <v>54</v>
      </c>
      <c r="F30" s="472" t="s">
        <v>54</v>
      </c>
      <c r="G30" s="472" t="s">
        <v>55</v>
      </c>
      <c r="H30" s="472" t="s">
        <v>55</v>
      </c>
      <c r="I30" s="472" t="s">
        <v>54</v>
      </c>
    </row>
    <row r="31" spans="1:9" ht="28.8" x14ac:dyDescent="0.3">
      <c r="A31" s="48" t="s">
        <v>56</v>
      </c>
      <c r="B31" s="200" t="s">
        <v>35</v>
      </c>
      <c r="C31" s="200" t="s">
        <v>35</v>
      </c>
      <c r="D31" s="200" t="s">
        <v>35</v>
      </c>
      <c r="E31" s="200" t="s">
        <v>35</v>
      </c>
      <c r="F31" s="474" t="s">
        <v>22</v>
      </c>
      <c r="G31" s="200" t="s">
        <v>38</v>
      </c>
      <c r="H31" s="200" t="s">
        <v>38</v>
      </c>
      <c r="I31" s="200" t="s">
        <v>38</v>
      </c>
    </row>
    <row r="32" spans="1:9" ht="28.8" x14ac:dyDescent="0.3">
      <c r="A32" s="48" t="s">
        <v>57</v>
      </c>
      <c r="B32" s="200" t="s">
        <v>35</v>
      </c>
      <c r="C32" s="200" t="s">
        <v>35</v>
      </c>
      <c r="D32" s="200" t="s">
        <v>35</v>
      </c>
      <c r="E32" s="200" t="s">
        <v>35</v>
      </c>
      <c r="F32" s="474" t="s">
        <v>22</v>
      </c>
      <c r="G32" s="200" t="s">
        <v>38</v>
      </c>
      <c r="H32" s="200" t="s">
        <v>38</v>
      </c>
      <c r="I32" s="200" t="s">
        <v>38</v>
      </c>
    </row>
    <row r="33" spans="1:9" ht="33.6" customHeight="1" x14ac:dyDescent="0.3">
      <c r="A33" s="48" t="s">
        <v>58</v>
      </c>
      <c r="B33" s="200" t="s">
        <v>35</v>
      </c>
      <c r="C33" s="200" t="s">
        <v>35</v>
      </c>
      <c r="D33" s="200" t="s">
        <v>35</v>
      </c>
      <c r="E33" s="200" t="s">
        <v>35</v>
      </c>
      <c r="F33" s="474" t="s">
        <v>22</v>
      </c>
      <c r="G33" s="200" t="s">
        <v>38</v>
      </c>
      <c r="H33" s="200" t="s">
        <v>38</v>
      </c>
      <c r="I33" s="472" t="s">
        <v>38</v>
      </c>
    </row>
    <row r="34" spans="1:9" ht="33.6" customHeight="1" x14ac:dyDescent="0.3">
      <c r="A34" s="48" t="s">
        <v>41</v>
      </c>
      <c r="B34" s="472" t="s">
        <v>59</v>
      </c>
      <c r="C34" s="472" t="s">
        <v>59</v>
      </c>
      <c r="D34" s="200" t="s">
        <v>38</v>
      </c>
      <c r="E34" s="472" t="s">
        <v>59</v>
      </c>
      <c r="F34" s="200" t="s">
        <v>38</v>
      </c>
      <c r="G34" s="200" t="s">
        <v>38</v>
      </c>
      <c r="H34" s="200" t="s">
        <v>38</v>
      </c>
      <c r="I34" s="200" t="s">
        <v>38</v>
      </c>
    </row>
    <row r="35" spans="1:9" ht="28.8" x14ac:dyDescent="0.3">
      <c r="A35" s="48" t="s">
        <v>60</v>
      </c>
      <c r="B35" s="200" t="s">
        <v>35</v>
      </c>
      <c r="C35" s="200" t="s">
        <v>35</v>
      </c>
      <c r="D35" s="200" t="s">
        <v>35</v>
      </c>
      <c r="E35" s="200" t="s">
        <v>35</v>
      </c>
      <c r="F35" s="474" t="s">
        <v>22</v>
      </c>
      <c r="G35" s="200" t="s">
        <v>38</v>
      </c>
      <c r="H35" s="200" t="s">
        <v>38</v>
      </c>
      <c r="I35" s="200" t="s">
        <v>38</v>
      </c>
    </row>
  </sheetData>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42BD6-5918-497C-AB87-FB2D8FF0270D}">
  <sheetPr>
    <tabColor rgb="FFFF0000"/>
    <pageSetUpPr fitToPage="1"/>
  </sheetPr>
  <dimension ref="A1:AK109"/>
  <sheetViews>
    <sheetView zoomScale="70" zoomScaleNormal="70" workbookViewId="0">
      <selection activeCell="B7" sqref="B7:C11"/>
    </sheetView>
  </sheetViews>
  <sheetFormatPr defaultColWidth="9.109375" defaultRowHeight="14.4" x14ac:dyDescent="0.3"/>
  <cols>
    <col min="1" max="1" width="2.88671875" style="132" customWidth="1"/>
    <col min="2" max="2" width="25.5546875" style="132" bestFit="1" customWidth="1"/>
    <col min="3" max="3" width="51.88671875" style="132" customWidth="1"/>
    <col min="4" max="4" width="16.88671875" style="132" customWidth="1"/>
    <col min="5" max="5" width="10.88671875" style="132" customWidth="1"/>
    <col min="6" max="7" width="4.88671875" style="132" customWidth="1"/>
    <col min="8" max="8" width="15.109375" style="132" customWidth="1"/>
    <col min="9" max="9" width="21.5546875" style="132" customWidth="1"/>
    <col min="10" max="10" width="24.5546875" style="132" customWidth="1"/>
    <col min="11" max="11" width="21.109375" style="132" customWidth="1"/>
    <col min="12" max="12" width="20.109375" style="132" customWidth="1"/>
    <col min="13" max="13" width="17" style="132" customWidth="1"/>
    <col min="14" max="14" width="15.88671875" style="361" customWidth="1"/>
    <col min="15" max="15" width="17.88671875" style="132" customWidth="1"/>
    <col min="16" max="16" width="14.109375" style="132" customWidth="1"/>
    <col min="17" max="17" width="18.109375" style="132" customWidth="1"/>
    <col min="18" max="18" width="12.88671875" style="132" customWidth="1"/>
    <col min="19" max="19" width="8.109375" style="132" customWidth="1"/>
    <col min="20" max="20" width="13.88671875" style="132" customWidth="1"/>
    <col min="21" max="21" width="14.109375" style="132" bestFit="1" customWidth="1"/>
    <col min="22" max="22" width="18.44140625" style="132" bestFit="1" customWidth="1"/>
    <col min="23" max="23" width="14.5546875" style="132" customWidth="1"/>
    <col min="24" max="16384" width="9.109375" style="132"/>
  </cols>
  <sheetData>
    <row r="1" spans="1:37" s="131" customFormat="1" ht="18" x14ac:dyDescent="0.35">
      <c r="A1" s="503" t="s">
        <v>61</v>
      </c>
      <c r="B1" s="503"/>
      <c r="C1" s="503"/>
      <c r="D1" s="503"/>
      <c r="E1" s="503"/>
      <c r="F1" s="503"/>
      <c r="G1" s="503"/>
      <c r="H1" s="503"/>
      <c r="I1" s="503"/>
      <c r="J1" s="503"/>
      <c r="K1" s="503"/>
      <c r="L1" s="503"/>
      <c r="M1" s="503"/>
      <c r="N1" s="503"/>
      <c r="O1" s="503"/>
      <c r="P1" s="503"/>
      <c r="Q1" s="503"/>
      <c r="R1" s="503"/>
      <c r="S1" s="503"/>
      <c r="T1" s="503"/>
      <c r="U1" s="503"/>
      <c r="V1" s="503"/>
      <c r="W1" s="503"/>
    </row>
    <row r="2" spans="1:37" s="131" customFormat="1" ht="18" x14ac:dyDescent="0.35">
      <c r="A2" s="503" t="s">
        <v>62</v>
      </c>
      <c r="B2" s="503"/>
      <c r="C2" s="503"/>
      <c r="D2" s="503"/>
      <c r="E2" s="503"/>
      <c r="F2" s="503"/>
      <c r="G2" s="503"/>
      <c r="H2" s="503"/>
      <c r="I2" s="503"/>
      <c r="J2" s="503"/>
      <c r="K2" s="503"/>
      <c r="L2" s="503"/>
      <c r="M2" s="503"/>
      <c r="N2" s="503"/>
      <c r="O2" s="503"/>
      <c r="P2" s="503"/>
      <c r="Q2" s="503"/>
      <c r="R2" s="503"/>
      <c r="S2" s="503"/>
      <c r="T2" s="503"/>
      <c r="U2" s="503"/>
      <c r="V2" s="503"/>
      <c r="W2" s="503"/>
    </row>
    <row r="4" spans="1:37" ht="15.6" x14ac:dyDescent="0.3">
      <c r="A4" s="208"/>
      <c r="B4" s="634" t="s">
        <v>63</v>
      </c>
      <c r="C4" s="635" t="str">
        <f>CONCATENATE(C17, " ",C18, " ",C5)</f>
        <v>Kellogg Company  "2022 Q3 Eggo Liege TV"</v>
      </c>
      <c r="D4" s="208"/>
      <c r="E4" s="208"/>
      <c r="F4" s="634" t="s">
        <v>64</v>
      </c>
      <c r="G4" s="634"/>
      <c r="H4" s="220" t="s">
        <v>65</v>
      </c>
      <c r="I4"/>
      <c r="J4"/>
      <c r="K4"/>
      <c r="L4" s="208"/>
      <c r="M4" s="208"/>
      <c r="N4" s="362"/>
      <c r="O4" s="208"/>
      <c r="P4" s="208"/>
      <c r="Q4" s="208"/>
      <c r="R4" s="208"/>
      <c r="S4" s="208"/>
      <c r="T4" s="208"/>
      <c r="U4" s="208"/>
      <c r="V4" s="208"/>
      <c r="W4" s="208"/>
      <c r="X4" s="208"/>
      <c r="Y4" s="208"/>
      <c r="Z4" s="208"/>
      <c r="AA4" s="208"/>
      <c r="AB4" s="610" t="s">
        <v>66</v>
      </c>
      <c r="AC4" s="271" t="s">
        <v>67</v>
      </c>
      <c r="AD4" s="208"/>
      <c r="AE4" s="208"/>
      <c r="AF4" s="208"/>
      <c r="AG4" s="208"/>
      <c r="AH4" s="208"/>
      <c r="AI4" s="208"/>
      <c r="AJ4" s="208"/>
      <c r="AK4" s="208"/>
    </row>
    <row r="5" spans="1:37" ht="15.6" x14ac:dyDescent="0.3">
      <c r="A5" s="208"/>
      <c r="B5" s="634" t="s">
        <v>68</v>
      </c>
      <c r="C5" s="156" t="s">
        <v>200</v>
      </c>
      <c r="D5" s="208"/>
      <c r="E5" s="208"/>
      <c r="F5" s="208"/>
      <c r="G5" s="208"/>
      <c r="H5" s="208"/>
      <c r="I5" s="208"/>
      <c r="J5" s="208"/>
      <c r="K5" s="208"/>
      <c r="L5" s="208"/>
      <c r="M5" s="208"/>
      <c r="N5" s="362"/>
      <c r="O5" s="208"/>
      <c r="P5" s="208"/>
      <c r="Q5" s="208"/>
      <c r="R5" s="208"/>
      <c r="S5" s="208"/>
      <c r="T5" s="208"/>
      <c r="U5" s="208"/>
      <c r="V5" s="208"/>
      <c r="W5" s="208"/>
      <c r="X5" s="208"/>
      <c r="Y5" s="208"/>
      <c r="Z5" s="208"/>
      <c r="AA5" s="208"/>
      <c r="AB5" s="208"/>
      <c r="AC5" s="208"/>
      <c r="AD5" s="208"/>
      <c r="AE5" s="208"/>
      <c r="AF5" s="208"/>
      <c r="AG5" s="208"/>
      <c r="AH5" s="208"/>
      <c r="AI5" s="208"/>
      <c r="AJ5" s="208"/>
      <c r="AK5" s="208"/>
    </row>
    <row r="6" spans="1:37" ht="18" x14ac:dyDescent="0.35">
      <c r="A6" s="208"/>
      <c r="B6" s="634"/>
      <c r="C6" s="636"/>
      <c r="D6" s="208"/>
      <c r="E6" s="208"/>
      <c r="F6" s="208"/>
      <c r="G6" s="208"/>
      <c r="H6" s="208"/>
      <c r="I6" s="208"/>
      <c r="J6" s="208"/>
      <c r="K6" s="208"/>
      <c r="L6" s="208"/>
      <c r="M6" s="208"/>
      <c r="N6" s="362"/>
      <c r="O6" s="208"/>
      <c r="P6" s="208"/>
      <c r="Q6" s="208"/>
      <c r="R6" s="208"/>
      <c r="S6" s="208"/>
      <c r="T6" s="208"/>
      <c r="U6" s="208"/>
      <c r="V6" s="208"/>
      <c r="W6" s="208"/>
      <c r="X6" s="208"/>
      <c r="Y6" s="208"/>
      <c r="Z6" s="208"/>
      <c r="AA6" s="208"/>
      <c r="AB6" s="208"/>
      <c r="AC6" s="208"/>
      <c r="AD6" s="208"/>
      <c r="AE6" s="208"/>
      <c r="AF6" s="208"/>
      <c r="AG6" s="208"/>
      <c r="AH6" s="208"/>
      <c r="AI6" s="208"/>
      <c r="AJ6" s="208"/>
      <c r="AK6" s="208"/>
    </row>
    <row r="7" spans="1:37" ht="18.600000000000001" thickBot="1" x14ac:dyDescent="0.4">
      <c r="A7" s="208"/>
      <c r="B7" s="634" t="s">
        <v>590</v>
      </c>
      <c r="C7" s="724"/>
      <c r="D7" s="208"/>
      <c r="E7" s="208"/>
      <c r="F7" s="208"/>
      <c r="G7" s="208"/>
      <c r="H7" s="208"/>
      <c r="I7" s="208"/>
      <c r="J7" s="208"/>
      <c r="K7" s="208"/>
      <c r="L7" s="208"/>
      <c r="M7" s="208"/>
      <c r="N7" s="362"/>
      <c r="O7" s="208"/>
      <c r="P7" s="208"/>
      <c r="Q7" s="208"/>
      <c r="R7" s="208"/>
      <c r="S7" s="208"/>
      <c r="T7" s="208"/>
      <c r="U7" s="208"/>
      <c r="V7" s="208"/>
      <c r="W7" s="208"/>
      <c r="X7" s="208"/>
      <c r="Y7" s="208"/>
      <c r="Z7" s="208"/>
      <c r="AA7" s="208"/>
      <c r="AB7" s="208"/>
      <c r="AC7" s="208"/>
      <c r="AD7" s="208"/>
      <c r="AE7" s="208"/>
      <c r="AF7" s="208"/>
      <c r="AG7" s="208"/>
      <c r="AH7" s="208"/>
      <c r="AI7" s="208"/>
      <c r="AJ7" s="208"/>
      <c r="AK7" s="208"/>
    </row>
    <row r="8" spans="1:37" ht="18.600000000000001" thickBot="1" x14ac:dyDescent="0.4">
      <c r="A8" s="208"/>
      <c r="B8" s="634" t="s">
        <v>591</v>
      </c>
      <c r="C8" s="724"/>
      <c r="D8" s="208"/>
      <c r="E8" s="208"/>
      <c r="F8" s="208"/>
      <c r="G8" s="208"/>
      <c r="H8" s="432" t="s">
        <v>70</v>
      </c>
      <c r="I8" s="637"/>
      <c r="J8" s="637"/>
      <c r="K8" s="637"/>
      <c r="L8" s="637"/>
      <c r="M8" s="637"/>
      <c r="N8" s="637"/>
      <c r="O8" s="637"/>
      <c r="P8" s="637"/>
      <c r="Q8" s="637"/>
      <c r="R8" s="637"/>
      <c r="S8" s="637"/>
      <c r="T8" s="637"/>
      <c r="U8" s="637"/>
      <c r="V8" s="638"/>
      <c r="W8" s="208"/>
      <c r="X8" s="433" t="s">
        <v>71</v>
      </c>
      <c r="Y8" s="433"/>
      <c r="Z8" s="208"/>
      <c r="AA8" s="208"/>
      <c r="AB8" s="432" t="s">
        <v>72</v>
      </c>
      <c r="AC8" s="637"/>
      <c r="AD8" s="637"/>
      <c r="AE8" s="637"/>
      <c r="AF8" s="637"/>
      <c r="AG8" s="637"/>
      <c r="AH8" s="637"/>
      <c r="AI8" s="637"/>
      <c r="AJ8" s="637"/>
      <c r="AK8" s="638"/>
    </row>
    <row r="9" spans="1:37" ht="18.600000000000001" thickBot="1" x14ac:dyDescent="0.4">
      <c r="A9" s="208"/>
      <c r="B9" s="634" t="s">
        <v>559</v>
      </c>
      <c r="C9" s="724"/>
      <c r="D9" s="208"/>
      <c r="E9" s="208"/>
      <c r="F9" s="208"/>
      <c r="G9" s="208"/>
      <c r="H9" s="208"/>
      <c r="I9" s="208"/>
      <c r="J9" s="208"/>
      <c r="K9" s="208"/>
      <c r="L9" s="208"/>
      <c r="M9" s="208"/>
      <c r="N9" s="362"/>
      <c r="O9" s="208"/>
      <c r="P9" s="208"/>
      <c r="Q9" s="208"/>
      <c r="R9" s="208"/>
      <c r="S9" s="208"/>
      <c r="T9" s="208"/>
      <c r="U9" s="208"/>
      <c r="V9" s="208"/>
      <c r="W9" s="208"/>
      <c r="X9" s="208"/>
      <c r="Y9" s="208"/>
      <c r="Z9" s="208"/>
      <c r="AA9" s="208"/>
      <c r="AB9" s="208"/>
      <c r="AC9" s="208"/>
      <c r="AD9" s="208"/>
      <c r="AE9" s="208"/>
      <c r="AF9" s="208"/>
      <c r="AG9" s="208"/>
      <c r="AH9" s="208"/>
      <c r="AI9" s="208"/>
      <c r="AJ9" s="208"/>
      <c r="AK9" s="208"/>
    </row>
    <row r="10" spans="1:37" ht="18.600000000000001" thickBot="1" x14ac:dyDescent="0.4">
      <c r="A10" s="208"/>
      <c r="B10" s="634" t="s">
        <v>592</v>
      </c>
      <c r="C10" s="724"/>
      <c r="D10" s="208"/>
      <c r="E10" s="208"/>
      <c r="F10" s="208"/>
      <c r="G10" s="208"/>
      <c r="H10" s="359" t="s">
        <v>75</v>
      </c>
      <c r="I10" s="360"/>
      <c r="J10" s="360"/>
      <c r="K10" s="360"/>
      <c r="L10" s="639"/>
      <c r="M10" s="208"/>
      <c r="N10" s="359" t="s">
        <v>76</v>
      </c>
      <c r="O10" s="360"/>
      <c r="P10" s="360"/>
      <c r="Q10" s="360"/>
      <c r="R10" s="640"/>
      <c r="S10" s="208"/>
      <c r="T10" s="590" t="s">
        <v>77</v>
      </c>
      <c r="U10" s="208"/>
      <c r="V10" s="590" t="s">
        <v>78</v>
      </c>
      <c r="W10" s="208"/>
      <c r="X10" s="116" t="s">
        <v>79</v>
      </c>
      <c r="Y10" s="116" t="s">
        <v>80</v>
      </c>
      <c r="Z10" s="208"/>
      <c r="AA10" s="208"/>
      <c r="AB10" s="208"/>
      <c r="AC10" s="208"/>
      <c r="AD10" s="208"/>
      <c r="AE10" s="208"/>
      <c r="AF10" s="208"/>
      <c r="AG10" s="208"/>
      <c r="AH10" s="208"/>
      <c r="AI10" s="208"/>
      <c r="AJ10" s="208"/>
      <c r="AK10" s="208"/>
    </row>
    <row r="11" spans="1:37" ht="18" x14ac:dyDescent="0.35">
      <c r="A11" s="208"/>
      <c r="B11" s="634" t="s">
        <v>593</v>
      </c>
      <c r="C11" s="724"/>
      <c r="D11" s="208"/>
      <c r="E11" s="208"/>
      <c r="F11" s="208"/>
      <c r="G11" s="208"/>
      <c r="H11" s="5" t="s">
        <v>82</v>
      </c>
      <c r="I11" s="5"/>
      <c r="J11" s="5"/>
      <c r="K11" s="5"/>
      <c r="L11" s="208"/>
      <c r="M11" s="208"/>
      <c r="N11" s="362"/>
      <c r="O11" s="208"/>
      <c r="P11" s="208"/>
      <c r="Q11" s="208"/>
      <c r="R11" s="208"/>
      <c r="S11" s="208"/>
      <c r="T11" s="208"/>
      <c r="U11" s="208"/>
      <c r="V11" s="208"/>
      <c r="W11" s="208"/>
      <c r="X11" s="208"/>
      <c r="Y11" s="641"/>
      <c r="Z11" s="208"/>
      <c r="AA11" s="208"/>
      <c r="AB11" t="s">
        <v>83</v>
      </c>
      <c r="AC11" s="208"/>
      <c r="AD11" s="208"/>
      <c r="AE11" s="208"/>
      <c r="AF11" s="208"/>
      <c r="AG11" s="208"/>
      <c r="AH11" s="208"/>
      <c r="AI11" s="208"/>
      <c r="AJ11" s="208"/>
      <c r="AK11" s="208"/>
    </row>
    <row r="12" spans="1:37" ht="16.2" x14ac:dyDescent="0.45">
      <c r="A12" s="208"/>
      <c r="B12" s="142" t="s">
        <v>73</v>
      </c>
      <c r="C12" s="157"/>
      <c r="D12" s="208"/>
      <c r="E12" s="208"/>
      <c r="F12" s="208"/>
      <c r="G12" s="208"/>
      <c r="H12" s="362" t="s">
        <v>85</v>
      </c>
      <c r="I12" s="634"/>
      <c r="J12" s="634"/>
      <c r="K12" s="133">
        <f>'Crew Payroll'!AE45</f>
        <v>0</v>
      </c>
      <c r="L12" s="208"/>
      <c r="M12" s="208"/>
      <c r="N12" s="32" t="s">
        <v>86</v>
      </c>
      <c r="O12" s="142"/>
      <c r="P12" s="142"/>
      <c r="Q12" s="134">
        <f>P13+P14</f>
        <v>0</v>
      </c>
      <c r="R12" s="642"/>
      <c r="S12" s="642"/>
      <c r="T12" s="134">
        <f>'Crew Payroll'!U53</f>
        <v>0</v>
      </c>
      <c r="U12" s="642"/>
      <c r="V12" s="642">
        <f>K12-(Q12+T12)</f>
        <v>0</v>
      </c>
      <c r="W12" s="208"/>
      <c r="X12" s="641"/>
      <c r="Y12" s="641"/>
      <c r="Z12" s="208"/>
      <c r="AA12" s="208"/>
      <c r="AB12" s="272" t="s">
        <v>87</v>
      </c>
      <c r="AC12" s="208"/>
      <c r="AD12" s="208"/>
      <c r="AE12" s="208"/>
      <c r="AF12" s="208"/>
      <c r="AG12" s="208"/>
      <c r="AH12" s="208"/>
      <c r="AI12" s="208"/>
      <c r="AJ12" s="208"/>
      <c r="AK12" s="208"/>
    </row>
    <row r="13" spans="1:37" ht="16.2" x14ac:dyDescent="0.45">
      <c r="A13" s="208"/>
      <c r="B13" s="142" t="s">
        <v>74</v>
      </c>
      <c r="C13" s="157"/>
      <c r="D13" s="208"/>
      <c r="E13" s="208"/>
      <c r="F13" s="208"/>
      <c r="G13" s="208"/>
      <c r="H13" s="208"/>
      <c r="I13" s="208"/>
      <c r="J13" s="208"/>
      <c r="K13" s="208"/>
      <c r="L13" s="208"/>
      <c r="M13" s="208"/>
      <c r="N13" s="362"/>
      <c r="O13" s="255" t="s">
        <v>88</v>
      </c>
      <c r="P13" s="256">
        <f>'Crew Payroll'!S53</f>
        <v>0</v>
      </c>
      <c r="Q13" s="208"/>
      <c r="R13" s="208"/>
      <c r="S13" s="208"/>
      <c r="T13" s="208"/>
      <c r="U13" s="208"/>
      <c r="V13" s="642"/>
      <c r="W13" s="208"/>
      <c r="X13" s="641"/>
      <c r="Y13" s="641"/>
      <c r="Z13" s="208"/>
      <c r="AA13" s="208"/>
      <c r="AB13" s="208"/>
      <c r="AC13" s="208"/>
      <c r="AD13" s="208"/>
      <c r="AE13" s="208"/>
      <c r="AF13" s="208"/>
      <c r="AG13" s="208"/>
      <c r="AH13" s="208"/>
      <c r="AI13" s="208"/>
      <c r="AJ13" s="208"/>
      <c r="AK13" s="208"/>
    </row>
    <row r="14" spans="1:37" ht="16.2" x14ac:dyDescent="0.45">
      <c r="A14" s="208"/>
      <c r="B14" s="142" t="s">
        <v>81</v>
      </c>
      <c r="C14" s="158"/>
      <c r="D14" s="208"/>
      <c r="E14" s="208"/>
      <c r="F14" s="208"/>
      <c r="G14" s="208"/>
      <c r="H14" s="208"/>
      <c r="I14" s="208"/>
      <c r="J14" s="208"/>
      <c r="K14" s="208"/>
      <c r="L14" s="208"/>
      <c r="M14" s="208"/>
      <c r="N14" s="362"/>
      <c r="O14" s="255" t="s">
        <v>90</v>
      </c>
      <c r="P14" s="256">
        <f>'Crew Payroll'!S54</f>
        <v>0</v>
      </c>
      <c r="Q14" s="208"/>
      <c r="R14" s="208"/>
      <c r="S14" s="208"/>
      <c r="T14" s="208"/>
      <c r="U14" s="208"/>
      <c r="V14" s="642"/>
      <c r="W14" s="208"/>
      <c r="X14" s="641"/>
      <c r="Y14" s="641"/>
      <c r="Z14" s="208"/>
      <c r="AA14" s="208"/>
      <c r="AB14" s="208"/>
      <c r="AC14" s="208"/>
      <c r="AD14" s="208"/>
      <c r="AE14" s="208"/>
      <c r="AF14" s="208"/>
      <c r="AG14" s="208"/>
      <c r="AH14" s="208"/>
      <c r="AI14" s="208"/>
      <c r="AJ14" s="208"/>
      <c r="AK14" s="208"/>
    </row>
    <row r="15" spans="1:37" ht="16.2" x14ac:dyDescent="0.45">
      <c r="A15" s="208"/>
      <c r="B15" s="142" t="s">
        <v>84</v>
      </c>
      <c r="C15" s="158"/>
      <c r="D15" s="208"/>
      <c r="E15" s="208"/>
      <c r="F15" s="208"/>
      <c r="G15" s="208"/>
      <c r="H15" s="32" t="s">
        <v>92</v>
      </c>
      <c r="I15" s="634"/>
      <c r="J15" s="634"/>
      <c r="K15" s="133">
        <f>'ProdCo Sub-Vendors'!M44</f>
        <v>0</v>
      </c>
      <c r="L15" s="208"/>
      <c r="M15" s="208"/>
      <c r="N15" s="32" t="s">
        <v>92</v>
      </c>
      <c r="O15" s="634"/>
      <c r="P15" s="634"/>
      <c r="Q15" s="134">
        <f>'ProdCo Sub-Vendors'!N57</f>
        <v>0</v>
      </c>
      <c r="R15" s="208"/>
      <c r="S15" s="208"/>
      <c r="T15" s="134">
        <f>'ProdCo Sub-Vendors'!N58</f>
        <v>0</v>
      </c>
      <c r="U15" s="208"/>
      <c r="V15" s="642">
        <f t="shared" ref="V15:V18" si="0">K15-(Q15+T15)</f>
        <v>0</v>
      </c>
      <c r="W15" s="208"/>
      <c r="X15" s="641"/>
      <c r="Y15" s="641"/>
      <c r="Z15" s="208"/>
      <c r="AA15" s="208"/>
      <c r="AB15" s="208"/>
      <c r="AC15" s="208"/>
      <c r="AD15" s="208"/>
      <c r="AE15" s="208"/>
      <c r="AF15" s="208"/>
      <c r="AG15" s="208"/>
      <c r="AH15" s="208"/>
      <c r="AI15" s="208"/>
      <c r="AJ15" s="208"/>
      <c r="AK15" s="208"/>
    </row>
    <row r="16" spans="1:37" ht="16.2" x14ac:dyDescent="0.45">
      <c r="A16" s="208"/>
      <c r="B16" s="634"/>
      <c r="C16" s="208"/>
      <c r="D16" s="208"/>
      <c r="E16" s="208"/>
      <c r="F16" s="208"/>
      <c r="G16" s="208"/>
      <c r="H16" s="32" t="s">
        <v>95</v>
      </c>
      <c r="I16" s="634"/>
      <c r="J16" s="634"/>
      <c r="K16" s="133">
        <f>'Prod - Petty Cash'!N34</f>
        <v>0</v>
      </c>
      <c r="L16" s="208"/>
      <c r="M16" s="208"/>
      <c r="N16" s="32" t="s">
        <v>95</v>
      </c>
      <c r="O16" s="634"/>
      <c r="P16" s="634"/>
      <c r="Q16" s="134">
        <f>'Prod - Petty Cash'!O49</f>
        <v>0</v>
      </c>
      <c r="R16" s="208"/>
      <c r="S16" s="208"/>
      <c r="T16" s="134">
        <f>'Prod - Petty Cash'!N40</f>
        <v>0</v>
      </c>
      <c r="U16" s="208"/>
      <c r="V16" s="642">
        <f t="shared" si="0"/>
        <v>0</v>
      </c>
      <c r="W16" s="208"/>
      <c r="X16" s="641"/>
      <c r="Y16" s="641"/>
      <c r="Z16" s="208"/>
      <c r="AA16" s="208"/>
      <c r="AB16" s="208"/>
      <c r="AC16" s="208"/>
      <c r="AD16" s="208"/>
      <c r="AE16" s="208"/>
      <c r="AF16" s="208"/>
      <c r="AG16" s="208"/>
      <c r="AH16" s="208"/>
      <c r="AI16" s="208"/>
      <c r="AJ16" s="208"/>
      <c r="AK16" s="208"/>
    </row>
    <row r="17" spans="2:26" ht="16.2" x14ac:dyDescent="0.45">
      <c r="B17" s="634" t="s">
        <v>89</v>
      </c>
      <c r="C17" s="157" t="s">
        <v>201</v>
      </c>
      <c r="D17" s="208"/>
      <c r="E17" s="208"/>
      <c r="F17" s="208"/>
      <c r="G17" s="208"/>
      <c r="H17" s="32" t="s">
        <v>97</v>
      </c>
      <c r="I17" s="142"/>
      <c r="J17" s="142"/>
      <c r="K17" s="133" t="e">
        <f>#REF!</f>
        <v>#REF!</v>
      </c>
      <c r="L17" s="208"/>
      <c r="M17" s="208"/>
      <c r="N17" s="32" t="s">
        <v>97</v>
      </c>
      <c r="O17" s="142"/>
      <c r="P17" s="142"/>
      <c r="Q17" s="134" t="e">
        <f>#REF!</f>
        <v>#REF!</v>
      </c>
      <c r="R17" s="208"/>
      <c r="S17" s="208"/>
      <c r="T17" s="134" t="e">
        <f>#REF!</f>
        <v>#REF!</v>
      </c>
      <c r="U17" s="208"/>
      <c r="V17" s="642" t="e">
        <f t="shared" si="0"/>
        <v>#REF!</v>
      </c>
      <c r="W17" s="208"/>
      <c r="X17" s="641"/>
      <c r="Y17" s="641"/>
      <c r="Z17" s="208"/>
    </row>
    <row r="18" spans="2:26" ht="16.2" x14ac:dyDescent="0.45">
      <c r="B18" s="142" t="s">
        <v>91</v>
      </c>
      <c r="C18" s="157"/>
      <c r="D18" s="208"/>
      <c r="E18" s="208"/>
      <c r="F18" s="208"/>
      <c r="G18" s="208"/>
      <c r="H18" s="32" t="s">
        <v>99</v>
      </c>
      <c r="I18" s="142"/>
      <c r="J18" s="142"/>
      <c r="K18" s="133" t="e">
        <f>#REF!</f>
        <v>#REF!</v>
      </c>
      <c r="L18" s="208"/>
      <c r="M18" s="208"/>
      <c r="N18" s="32" t="s">
        <v>99</v>
      </c>
      <c r="O18" s="142"/>
      <c r="P18" s="142"/>
      <c r="Q18" s="134" t="e">
        <f>#REF!</f>
        <v>#REF!</v>
      </c>
      <c r="R18" s="642"/>
      <c r="S18" s="642"/>
      <c r="T18" s="134" t="e">
        <f>#REF!</f>
        <v>#REF!</v>
      </c>
      <c r="U18" s="642"/>
      <c r="V18" s="642" t="e">
        <f t="shared" si="0"/>
        <v>#REF!</v>
      </c>
      <c r="W18" s="208"/>
      <c r="X18" s="641"/>
      <c r="Y18" s="641"/>
      <c r="Z18" s="208"/>
    </row>
    <row r="19" spans="2:26" x14ac:dyDescent="0.3">
      <c r="B19" s="634" t="s">
        <v>93</v>
      </c>
      <c r="C19" s="157" t="s">
        <v>202</v>
      </c>
      <c r="D19" t="s">
        <v>94</v>
      </c>
      <c r="E19" s="208"/>
      <c r="F19" s="208"/>
      <c r="G19" s="208"/>
      <c r="H19" s="208"/>
      <c r="I19" s="208"/>
      <c r="J19" s="208"/>
      <c r="K19" s="208"/>
      <c r="L19" s="208"/>
      <c r="M19" s="208"/>
      <c r="N19" s="362"/>
      <c r="O19" s="208"/>
      <c r="P19" s="208"/>
      <c r="Q19" s="208"/>
      <c r="R19" s="208"/>
      <c r="S19" s="208"/>
      <c r="T19" s="208"/>
      <c r="U19" s="208"/>
      <c r="V19" s="642"/>
      <c r="W19" s="208"/>
      <c r="X19" s="434"/>
      <c r="Y19" s="641"/>
      <c r="Z19" t="s">
        <v>207</v>
      </c>
    </row>
    <row r="20" spans="2:26" ht="16.2" x14ac:dyDescent="0.45">
      <c r="B20" s="634" t="s">
        <v>96</v>
      </c>
      <c r="C20" s="157" t="s">
        <v>203</v>
      </c>
      <c r="D20" t="s">
        <v>204</v>
      </c>
      <c r="E20" s="208"/>
      <c r="F20" s="208"/>
      <c r="G20" s="208"/>
      <c r="H20" s="32" t="s">
        <v>102</v>
      </c>
      <c r="I20" s="142"/>
      <c r="J20" s="142"/>
      <c r="K20" s="133">
        <f>SUM('Talent &amp; Extras'!T63)</f>
        <v>0</v>
      </c>
      <c r="L20" s="208"/>
      <c r="M20" s="208"/>
      <c r="N20" s="32" t="s">
        <v>102</v>
      </c>
      <c r="O20" s="142"/>
      <c r="P20" s="142"/>
      <c r="Q20" s="133">
        <f>'Talent &amp; Extras'!N81</f>
        <v>0</v>
      </c>
      <c r="R20" s="208"/>
      <c r="S20" s="208"/>
      <c r="T20" s="133">
        <f>'Talent &amp; Extras'!M69</f>
        <v>0</v>
      </c>
      <c r="U20" s="208"/>
      <c r="V20" s="642">
        <f>K20-(Q20+T20)</f>
        <v>0</v>
      </c>
      <c r="W20" s="208"/>
      <c r="X20" s="641"/>
      <c r="Y20" s="641"/>
      <c r="Z20" s="208"/>
    </row>
    <row r="21" spans="2:26" ht="16.2" x14ac:dyDescent="0.45">
      <c r="B21" s="142" t="s">
        <v>98</v>
      </c>
      <c r="C21" s="157" t="s">
        <v>205</v>
      </c>
      <c r="D21" t="s">
        <v>206</v>
      </c>
      <c r="E21" s="208"/>
      <c r="F21" s="208"/>
      <c r="G21" s="208"/>
      <c r="H21" s="362"/>
      <c r="I21" s="644" t="s">
        <v>104</v>
      </c>
      <c r="J21" s="258">
        <f>'Talent &amp; Extras'!Q69</f>
        <v>0</v>
      </c>
      <c r="K21" s="208"/>
      <c r="L21" s="208"/>
      <c r="M21" s="208"/>
      <c r="N21" s="362"/>
      <c r="O21" s="644" t="s">
        <v>104</v>
      </c>
      <c r="P21" s="258">
        <f>'Talent &amp; Extras'!D69</f>
        <v>0</v>
      </c>
      <c r="Q21" s="208"/>
      <c r="R21" s="208"/>
      <c r="S21" s="208"/>
      <c r="T21" s="208"/>
      <c r="U21" s="208"/>
      <c r="V21" s="642"/>
      <c r="W21" s="208"/>
      <c r="X21" s="641"/>
      <c r="Y21" s="641"/>
      <c r="Z21" s="208"/>
    </row>
    <row r="22" spans="2:26" ht="16.2" x14ac:dyDescent="0.45">
      <c r="B22" s="142" t="s">
        <v>100</v>
      </c>
      <c r="C22" s="157"/>
      <c r="D22" s="208"/>
      <c r="E22" s="208"/>
      <c r="F22" s="208"/>
      <c r="G22" s="208"/>
      <c r="H22" s="362"/>
      <c r="I22" s="255" t="s">
        <v>106</v>
      </c>
      <c r="J22" s="258">
        <f>'Talent &amp; Extras'!C71</f>
        <v>0</v>
      </c>
      <c r="K22" s="208"/>
      <c r="L22" s="208"/>
      <c r="M22" s="208"/>
      <c r="N22" s="362"/>
      <c r="O22" s="255" t="s">
        <v>106</v>
      </c>
      <c r="P22" s="258">
        <f>'Talent &amp; Extras'!D70</f>
        <v>0</v>
      </c>
      <c r="Q22" s="208"/>
      <c r="R22" s="135"/>
      <c r="S22" s="135"/>
      <c r="T22" s="208"/>
      <c r="U22" s="135"/>
      <c r="V22" s="642"/>
      <c r="W22" s="208"/>
      <c r="X22" s="641"/>
      <c r="Y22" s="641"/>
      <c r="Z22" s="208"/>
    </row>
    <row r="23" spans="2:26" ht="16.2" x14ac:dyDescent="0.45">
      <c r="B23" s="634" t="s">
        <v>101</v>
      </c>
      <c r="C23" s="643" t="s">
        <v>208</v>
      </c>
      <c r="D23" s="208"/>
      <c r="E23" s="208"/>
      <c r="F23" s="208"/>
      <c r="G23" s="208"/>
      <c r="H23" s="208"/>
      <c r="I23" s="208"/>
      <c r="J23" s="208"/>
      <c r="K23" s="208"/>
      <c r="L23" s="208"/>
      <c r="M23" s="208"/>
      <c r="N23" s="362"/>
      <c r="O23" s="255" t="s">
        <v>108</v>
      </c>
      <c r="P23" s="258">
        <f>'Talent &amp; Extras'!R69</f>
        <v>0</v>
      </c>
      <c r="Q23" s="208"/>
      <c r="R23" s="135"/>
      <c r="S23" s="135"/>
      <c r="T23" s="208"/>
      <c r="U23" s="135"/>
      <c r="V23" s="642"/>
      <c r="W23" s="208"/>
      <c r="X23" s="641"/>
      <c r="Y23" s="641"/>
      <c r="Z23" s="208"/>
    </row>
    <row r="24" spans="2:26" ht="16.2" x14ac:dyDescent="0.45">
      <c r="B24" s="634" t="s">
        <v>103</v>
      </c>
      <c r="C24" s="643"/>
      <c r="D24" s="208"/>
      <c r="E24" s="208"/>
      <c r="F24" s="208"/>
      <c r="G24" s="208"/>
      <c r="H24" s="208"/>
      <c r="I24" s="208"/>
      <c r="J24" s="208"/>
      <c r="K24" s="208"/>
      <c r="L24" s="208"/>
      <c r="M24" s="208"/>
      <c r="N24" s="362"/>
      <c r="O24" s="539" t="s">
        <v>110</v>
      </c>
      <c r="P24" s="540">
        <f>'Agency Sub-Vendors'!M69</f>
        <v>0</v>
      </c>
      <c r="Q24" s="208"/>
      <c r="R24" s="208"/>
      <c r="S24" s="208"/>
      <c r="T24" s="208"/>
      <c r="U24" s="208"/>
      <c r="V24" s="642"/>
      <c r="W24" s="208"/>
      <c r="X24" s="641"/>
      <c r="Y24" s="641"/>
      <c r="Z24" s="208"/>
    </row>
    <row r="25" spans="2:26" ht="16.2" x14ac:dyDescent="0.45">
      <c r="B25" s="634" t="s">
        <v>105</v>
      </c>
      <c r="C25" s="643" t="s">
        <v>209</v>
      </c>
      <c r="D25" s="208"/>
      <c r="E25" s="208"/>
      <c r="F25" s="208"/>
      <c r="G25" s="208"/>
      <c r="H25" s="208"/>
      <c r="I25" s="208"/>
      <c r="J25" s="208"/>
      <c r="K25" s="208"/>
      <c r="L25" s="208"/>
      <c r="M25" s="208"/>
      <c r="N25" s="362"/>
      <c r="O25" s="539" t="s">
        <v>112</v>
      </c>
      <c r="P25" s="540">
        <f>'Agency Sub-Vendors'!M68</f>
        <v>0</v>
      </c>
      <c r="Q25" s="208"/>
      <c r="R25" s="208"/>
      <c r="S25" s="208"/>
      <c r="T25" s="208"/>
      <c r="U25" s="135"/>
      <c r="V25" s="642"/>
      <c r="W25" s="208"/>
      <c r="X25" s="208"/>
      <c r="Y25" s="208"/>
      <c r="Z25" s="208"/>
    </row>
    <row r="26" spans="2:26" ht="16.2" x14ac:dyDescent="0.45">
      <c r="B26" s="645" t="s">
        <v>107</v>
      </c>
      <c r="C26" s="643"/>
      <c r="D26" s="208"/>
      <c r="E26" s="208"/>
      <c r="F26" s="208"/>
      <c r="G26" s="208"/>
      <c r="H26" s="32" t="s">
        <v>113</v>
      </c>
      <c r="I26" s="634"/>
      <c r="J26" s="634"/>
      <c r="K26" s="133">
        <f>'Agency Sub-Vendors'!M63</f>
        <v>0</v>
      </c>
      <c r="L26" s="208"/>
      <c r="M26" s="208"/>
      <c r="N26" s="32" t="s">
        <v>114</v>
      </c>
      <c r="O26" s="634"/>
      <c r="P26" s="634"/>
      <c r="Q26" s="133">
        <f>'Agency Sub-Vendors'!M60</f>
        <v>0</v>
      </c>
      <c r="R26" s="135"/>
      <c r="S26" s="135"/>
      <c r="T26" s="133">
        <f>'Agency Sub-Vendors'!M61</f>
        <v>0</v>
      </c>
      <c r="U26" s="208"/>
      <c r="V26" s="642">
        <f t="shared" ref="V26:V27" si="1">K26-(Q26+T26)</f>
        <v>0</v>
      </c>
      <c r="W26" s="208"/>
      <c r="X26" s="208"/>
      <c r="Y26" s="208"/>
      <c r="Z26" s="208"/>
    </row>
    <row r="27" spans="2:26" ht="16.2" x14ac:dyDescent="0.45">
      <c r="B27" s="645" t="s">
        <v>109</v>
      </c>
      <c r="C27" s="643"/>
      <c r="D27" s="208"/>
      <c r="E27" s="208"/>
      <c r="F27" s="208"/>
      <c r="G27" s="208"/>
      <c r="H27" s="362" t="s">
        <v>116</v>
      </c>
      <c r="I27" s="634"/>
      <c r="J27" s="634"/>
      <c r="K27" s="133">
        <f>'Agency Hours'!T43</f>
        <v>0</v>
      </c>
      <c r="L27" s="208"/>
      <c r="M27" s="208"/>
      <c r="N27" s="32" t="s">
        <v>117</v>
      </c>
      <c r="O27" s="634"/>
      <c r="P27" s="634"/>
      <c r="Q27" s="133">
        <f>'Agency Hours'!Q71</f>
        <v>0</v>
      </c>
      <c r="R27" s="208"/>
      <c r="S27" s="208"/>
      <c r="T27" s="133">
        <f>'Agency Hours'!O43</f>
        <v>0</v>
      </c>
      <c r="U27" s="208"/>
      <c r="V27" s="642">
        <f t="shared" si="1"/>
        <v>0</v>
      </c>
      <c r="W27" s="208"/>
      <c r="X27" s="208"/>
      <c r="Y27" s="208"/>
      <c r="Z27" s="208"/>
    </row>
    <row r="28" spans="2:26" ht="16.2" x14ac:dyDescent="0.45">
      <c r="B28" s="216" t="s">
        <v>111</v>
      </c>
      <c r="C28" s="643"/>
      <c r="D28" s="208"/>
      <c r="E28" s="208"/>
      <c r="F28" s="208"/>
      <c r="G28" s="208"/>
      <c r="H28" s="208"/>
      <c r="I28" s="208"/>
      <c r="J28" s="208"/>
      <c r="K28" s="208"/>
      <c r="L28" s="208"/>
      <c r="M28" s="208"/>
      <c r="N28" s="362"/>
      <c r="O28" s="255" t="s">
        <v>118</v>
      </c>
      <c r="P28" s="256">
        <f>'Agency Hours'!Q58</f>
        <v>0</v>
      </c>
      <c r="Q28" s="208"/>
      <c r="R28" s="208"/>
      <c r="S28" s="208"/>
      <c r="T28" s="208"/>
      <c r="U28" s="208"/>
      <c r="V28" s="642"/>
      <c r="W28" s="208"/>
      <c r="X28" s="208"/>
      <c r="Y28" s="208"/>
      <c r="Z28" s="208"/>
    </row>
    <row r="29" spans="2:26" ht="16.2" x14ac:dyDescent="0.45">
      <c r="B29" s="645"/>
      <c r="C29" s="646"/>
      <c r="D29" s="208"/>
      <c r="E29" s="208"/>
      <c r="F29" s="208"/>
      <c r="G29" s="208"/>
      <c r="H29" s="208"/>
      <c r="I29" s="208"/>
      <c r="J29" s="208"/>
      <c r="K29" s="208"/>
      <c r="L29" s="208"/>
      <c r="M29" s="208"/>
      <c r="N29" s="362"/>
      <c r="O29" s="255" t="s">
        <v>90</v>
      </c>
      <c r="P29" s="256">
        <f>'Agency Hours'!R43</f>
        <v>0</v>
      </c>
      <c r="Q29" s="208"/>
      <c r="R29" s="208"/>
      <c r="S29" s="208"/>
      <c r="T29" s="208"/>
      <c r="U29" s="208"/>
      <c r="V29" s="642"/>
      <c r="W29" s="208"/>
      <c r="X29" s="208"/>
      <c r="Y29" s="641"/>
      <c r="Z29" s="208"/>
    </row>
    <row r="30" spans="2:26" x14ac:dyDescent="0.3">
      <c r="B30" s="634" t="s">
        <v>115</v>
      </c>
      <c r="C30" s="643"/>
      <c r="D30" s="208"/>
      <c r="E30" s="208"/>
      <c r="F30" s="208"/>
      <c r="G30" s="208"/>
      <c r="H30" s="208"/>
      <c r="I30" s="208"/>
      <c r="J30" s="208"/>
      <c r="K30" s="208"/>
      <c r="L30" s="208"/>
      <c r="M30" s="208"/>
      <c r="N30" s="362"/>
      <c r="O30" s="208"/>
      <c r="P30" s="208"/>
      <c r="Q30" s="208"/>
      <c r="R30" s="208"/>
      <c r="S30" s="208"/>
      <c r="T30" s="208"/>
      <c r="U30" s="208"/>
      <c r="V30" s="642"/>
      <c r="W30" s="208"/>
      <c r="X30" s="208"/>
      <c r="Y30" s="208"/>
      <c r="Z30" s="208"/>
    </row>
    <row r="31" spans="2:26" ht="16.2" x14ac:dyDescent="0.45">
      <c r="B31" s="646"/>
      <c r="C31" s="646"/>
      <c r="D31" s="208"/>
      <c r="E31" s="208"/>
      <c r="F31" s="208"/>
      <c r="G31" s="208"/>
      <c r="H31" s="208"/>
      <c r="I31" s="648" t="s">
        <v>122</v>
      </c>
      <c r="J31" s="587">
        <f>'Agency Hours'!J49</f>
        <v>0</v>
      </c>
      <c r="K31" s="208"/>
      <c r="L31" s="208"/>
      <c r="M31" s="208"/>
      <c r="N31" s="362"/>
      <c r="O31" s="648" t="s">
        <v>122</v>
      </c>
      <c r="P31" s="586">
        <f>'Agency Hours'!S49</f>
        <v>0</v>
      </c>
      <c r="Q31" s="208"/>
      <c r="R31" s="208"/>
      <c r="S31" s="208"/>
      <c r="T31" s="208"/>
      <c r="U31" s="586">
        <f>'Agency Hours'!O49</f>
        <v>0</v>
      </c>
      <c r="V31" s="642">
        <f>J31-(P31+U31)</f>
        <v>0</v>
      </c>
      <c r="W31" s="208"/>
      <c r="X31" s="208"/>
      <c r="Y31" s="208"/>
      <c r="Z31" s="208"/>
    </row>
    <row r="32" spans="2:26" x14ac:dyDescent="0.3">
      <c r="B32" s="142" t="s">
        <v>119</v>
      </c>
      <c r="C32" s="643"/>
      <c r="D32" s="208"/>
      <c r="E32" s="208"/>
      <c r="F32" s="208"/>
      <c r="G32" s="208"/>
      <c r="H32" s="208"/>
      <c r="I32" s="208"/>
      <c r="J32" s="208"/>
      <c r="K32" s="208"/>
      <c r="L32" s="208"/>
      <c r="M32" s="208"/>
      <c r="N32" s="362"/>
      <c r="O32" s="208"/>
      <c r="P32" s="208"/>
      <c r="Q32" s="208"/>
      <c r="R32" s="208"/>
      <c r="S32" s="208"/>
      <c r="T32" s="208"/>
      <c r="U32" s="208"/>
      <c r="V32" s="642"/>
      <c r="W32" s="208"/>
      <c r="X32" s="208"/>
      <c r="Y32" s="208"/>
      <c r="Z32" s="208"/>
    </row>
    <row r="33" spans="2:25" ht="16.2" x14ac:dyDescent="0.45">
      <c r="B33" s="634" t="s">
        <v>120</v>
      </c>
      <c r="C33" s="157"/>
      <c r="D33" s="647"/>
      <c r="E33" s="208"/>
      <c r="F33" s="208"/>
      <c r="G33" s="208"/>
      <c r="H33" s="32" t="s">
        <v>124</v>
      </c>
      <c r="I33" s="142"/>
      <c r="J33" s="142"/>
      <c r="K33" s="133">
        <f>'Agency Hours'!Q68</f>
        <v>0</v>
      </c>
      <c r="L33" s="208"/>
      <c r="M33" s="208"/>
      <c r="N33" s="32" t="s">
        <v>125</v>
      </c>
      <c r="O33" s="142"/>
      <c r="P33" s="142"/>
      <c r="Q33" s="133">
        <f>'Agency Hours'!Q64+'Agency Hours'!Q65</f>
        <v>0</v>
      </c>
      <c r="R33" s="208"/>
      <c r="S33" s="208"/>
      <c r="T33" s="133">
        <f>'Agency Hours'!O55</f>
        <v>0</v>
      </c>
      <c r="U33" s="208"/>
      <c r="V33" s="642">
        <f>K33-(Q33+T33)</f>
        <v>0</v>
      </c>
      <c r="W33" s="208"/>
      <c r="X33" s="641"/>
      <c r="Y33" s="641"/>
    </row>
    <row r="34" spans="2:25" ht="16.2" x14ac:dyDescent="0.45">
      <c r="B34" s="634" t="s">
        <v>121</v>
      </c>
      <c r="C34" s="157"/>
      <c r="D34" s="647"/>
      <c r="E34" s="208"/>
      <c r="F34" s="208"/>
      <c r="G34" s="208"/>
      <c r="H34" s="208"/>
      <c r="I34" s="208"/>
      <c r="J34" s="208"/>
      <c r="K34" s="208"/>
      <c r="L34" s="208"/>
      <c r="M34" s="208"/>
      <c r="N34" s="362"/>
      <c r="O34" s="255" t="s">
        <v>118</v>
      </c>
      <c r="P34" s="256">
        <f>'Agency Hours'!S55</f>
        <v>0</v>
      </c>
      <c r="Q34" s="208"/>
      <c r="R34" s="135"/>
      <c r="S34" s="135"/>
      <c r="T34" s="208"/>
      <c r="U34" s="135"/>
      <c r="V34" s="642"/>
      <c r="W34" s="208"/>
      <c r="X34" s="641"/>
      <c r="Y34" s="641"/>
    </row>
    <row r="35" spans="2:25" ht="16.2" x14ac:dyDescent="0.45">
      <c r="B35" s="208"/>
      <c r="C35" s="208"/>
      <c r="D35" s="647"/>
      <c r="E35" s="208"/>
      <c r="F35" s="208"/>
      <c r="G35" s="208"/>
      <c r="H35" s="208"/>
      <c r="I35" s="208"/>
      <c r="J35" s="208"/>
      <c r="K35" s="208"/>
      <c r="L35" s="208"/>
      <c r="M35" s="208"/>
      <c r="N35" s="362"/>
      <c r="O35" s="255" t="s">
        <v>90</v>
      </c>
      <c r="P35" s="256">
        <f>'Agency Hours'!R55</f>
        <v>0</v>
      </c>
      <c r="Q35" s="208"/>
      <c r="R35" s="135"/>
      <c r="S35" s="135"/>
      <c r="T35" s="208"/>
      <c r="U35" s="135"/>
      <c r="V35" s="642"/>
      <c r="W35" s="208"/>
      <c r="X35" s="641"/>
      <c r="Y35" s="641"/>
    </row>
    <row r="36" spans="2:25" x14ac:dyDescent="0.3">
      <c r="B36" s="208"/>
      <c r="C36" t="s">
        <v>123</v>
      </c>
      <c r="D36" s="435">
        <v>300358</v>
      </c>
      <c r="E36" s="208"/>
      <c r="F36" s="208"/>
      <c r="G36" s="208"/>
      <c r="H36" s="208"/>
      <c r="I36" s="208"/>
      <c r="J36" s="208"/>
      <c r="K36" s="208"/>
      <c r="L36" s="208"/>
      <c r="M36" s="208"/>
      <c r="N36" s="362"/>
      <c r="O36" s="208"/>
      <c r="P36" s="208"/>
      <c r="Q36" s="208"/>
      <c r="R36" s="135"/>
      <c r="S36" s="135"/>
      <c r="T36" s="208"/>
      <c r="U36" s="135"/>
      <c r="V36" s="642"/>
      <c r="W36" s="208"/>
      <c r="X36" s="641"/>
      <c r="Y36" s="641"/>
    </row>
    <row r="37" spans="2:25" ht="16.2" x14ac:dyDescent="0.45">
      <c r="B37" s="208"/>
      <c r="C37" t="s">
        <v>126</v>
      </c>
      <c r="D37" s="649"/>
      <c r="E37" s="208"/>
      <c r="F37" s="208"/>
      <c r="G37" s="208"/>
      <c r="H37" s="362" t="s">
        <v>130</v>
      </c>
      <c r="I37" s="634"/>
      <c r="J37" s="634"/>
      <c r="K37" s="133" t="e">
        <f>#REF!</f>
        <v>#REF!</v>
      </c>
      <c r="L37" s="208"/>
      <c r="M37" s="208"/>
      <c r="N37" s="362" t="s">
        <v>130</v>
      </c>
      <c r="O37" s="634"/>
      <c r="P37" s="634"/>
      <c r="Q37" s="133" t="e">
        <f>#REF!</f>
        <v>#REF!</v>
      </c>
      <c r="R37" s="135"/>
      <c r="S37" s="135"/>
      <c r="T37" s="133" t="e">
        <f>#REF!</f>
        <v>#REF!</v>
      </c>
      <c r="U37" s="135"/>
      <c r="V37" s="642" t="e">
        <f t="shared" ref="V37:V39" si="2">K37-(Q37+T37)</f>
        <v>#REF!</v>
      </c>
      <c r="W37" s="208"/>
      <c r="X37" s="641"/>
      <c r="Y37" s="641"/>
    </row>
    <row r="38" spans="2:25" ht="16.2" x14ac:dyDescent="0.45">
      <c r="B38" s="208"/>
      <c r="C38" t="s">
        <v>127</v>
      </c>
      <c r="D38" s="394"/>
      <c r="E38" s="208"/>
      <c r="F38" s="208"/>
      <c r="G38" s="208"/>
      <c r="H38" s="362" t="s">
        <v>132</v>
      </c>
      <c r="I38" s="634"/>
      <c r="J38" s="634"/>
      <c r="K38" s="133" t="e">
        <f>#REF!</f>
        <v>#REF!</v>
      </c>
      <c r="L38" s="208"/>
      <c r="M38" s="208"/>
      <c r="N38" s="362" t="s">
        <v>133</v>
      </c>
      <c r="O38" s="634"/>
      <c r="P38" s="634"/>
      <c r="Q38" s="133" t="e">
        <f>#REF!+#REF!</f>
        <v>#REF!</v>
      </c>
      <c r="R38" s="135"/>
      <c r="S38" s="135"/>
      <c r="T38" s="133" t="e">
        <f>#REF!</f>
        <v>#REF!</v>
      </c>
      <c r="U38" s="135"/>
      <c r="V38" s="642" t="e">
        <f t="shared" si="2"/>
        <v>#REF!</v>
      </c>
      <c r="W38" s="208"/>
      <c r="X38" s="641"/>
      <c r="Y38" s="641"/>
    </row>
    <row r="39" spans="2:25" ht="16.2" x14ac:dyDescent="0.45">
      <c r="B39" s="208"/>
      <c r="C39" t="s">
        <v>128</v>
      </c>
      <c r="D39" s="395"/>
      <c r="E39" s="208"/>
      <c r="F39" s="208"/>
      <c r="G39" s="208"/>
      <c r="H39" s="362" t="s">
        <v>135</v>
      </c>
      <c r="I39" s="634"/>
      <c r="J39" s="634"/>
      <c r="K39" s="133" t="e">
        <f>#REF!</f>
        <v>#REF!</v>
      </c>
      <c r="L39" s="208"/>
      <c r="M39" s="208"/>
      <c r="N39" s="362" t="s">
        <v>135</v>
      </c>
      <c r="O39" s="634"/>
      <c r="P39" s="634"/>
      <c r="Q39" s="133" t="e">
        <f>#REF!</f>
        <v>#REF!</v>
      </c>
      <c r="R39" s="135"/>
      <c r="S39" s="135"/>
      <c r="T39" s="133" t="e">
        <f>#REF!</f>
        <v>#REF!</v>
      </c>
      <c r="U39" s="135"/>
      <c r="V39" s="642" t="e">
        <f t="shared" si="2"/>
        <v>#REF!</v>
      </c>
      <c r="W39" s="650"/>
      <c r="X39" s="641"/>
      <c r="Y39" s="641"/>
    </row>
    <row r="40" spans="2:25" ht="16.2" x14ac:dyDescent="0.45">
      <c r="B40" s="208"/>
      <c r="C40" s="208" t="s">
        <v>129</v>
      </c>
      <c r="D40" s="649"/>
      <c r="E40" s="208"/>
      <c r="F40" s="208"/>
      <c r="G40" s="208"/>
      <c r="H40" s="362" t="s">
        <v>137</v>
      </c>
      <c r="I40" s="634"/>
      <c r="J40" s="634"/>
      <c r="K40" s="133" t="e">
        <f>#REF!</f>
        <v>#REF!</v>
      </c>
      <c r="L40" s="208"/>
      <c r="M40" s="208"/>
      <c r="N40" s="362" t="s">
        <v>137</v>
      </c>
      <c r="O40" s="634"/>
      <c r="P40" s="634"/>
      <c r="Q40" s="133" t="e">
        <f>#REF!</f>
        <v>#REF!</v>
      </c>
      <c r="R40" s="135"/>
      <c r="S40" s="135"/>
      <c r="T40" s="133" t="e">
        <f>SUM(T12,T15:T18,T20,T26:T27,T34:T37)</f>
        <v>#REF!</v>
      </c>
      <c r="U40" s="135"/>
      <c r="V40" s="642" t="e">
        <f>K40-(Q40+T40)</f>
        <v>#REF!</v>
      </c>
      <c r="W40" s="208"/>
      <c r="X40" s="641"/>
      <c r="Y40" s="641"/>
    </row>
    <row r="41" spans="2:25" ht="16.2" x14ac:dyDescent="0.45">
      <c r="B41" s="208"/>
      <c r="C41" t="s">
        <v>131</v>
      </c>
      <c r="D41" s="649"/>
      <c r="E41" s="208"/>
      <c r="F41" s="208"/>
      <c r="G41" s="208"/>
      <c r="H41" s="208"/>
      <c r="I41" s="648" t="s">
        <v>139</v>
      </c>
      <c r="J41" s="587" t="e">
        <f>#REF!</f>
        <v>#REF!</v>
      </c>
      <c r="K41" s="208"/>
      <c r="L41" s="208"/>
      <c r="M41" s="208"/>
      <c r="N41" s="362"/>
      <c r="O41" s="648" t="s">
        <v>139</v>
      </c>
      <c r="P41" s="586" t="e">
        <f>#REF!</f>
        <v>#REF!</v>
      </c>
      <c r="Q41" s="208"/>
      <c r="R41" s="208"/>
      <c r="S41" s="208"/>
      <c r="T41" s="208"/>
      <c r="U41" s="586" t="e">
        <f>#REF!</f>
        <v>#REF!</v>
      </c>
      <c r="V41" s="642" t="e">
        <f>J41-(P41+U41)</f>
        <v>#REF!</v>
      </c>
      <c r="W41" s="208"/>
      <c r="X41" s="698"/>
      <c r="Y41" s="641"/>
    </row>
    <row r="42" spans="2:25" ht="16.2" x14ac:dyDescent="0.45">
      <c r="B42" s="647"/>
      <c r="C42" t="s">
        <v>134</v>
      </c>
      <c r="D42" s="395"/>
      <c r="E42" s="208"/>
      <c r="F42" s="208"/>
      <c r="G42" s="208"/>
      <c r="H42" s="362" t="s">
        <v>141</v>
      </c>
      <c r="I42" s="634"/>
      <c r="J42" s="634"/>
      <c r="K42" s="133">
        <v>0</v>
      </c>
      <c r="L42" s="208"/>
      <c r="M42" s="208"/>
      <c r="N42" s="362" t="s">
        <v>141</v>
      </c>
      <c r="O42" s="634"/>
      <c r="P42" s="634"/>
      <c r="Q42" s="133">
        <v>0</v>
      </c>
      <c r="R42" s="135"/>
      <c r="S42" s="135"/>
      <c r="T42" s="133"/>
      <c r="U42" s="135"/>
      <c r="V42" s="642">
        <f>K42-(Q42+T42)</f>
        <v>0</v>
      </c>
      <c r="W42" s="652"/>
      <c r="X42" s="208"/>
      <c r="Y42" s="208"/>
    </row>
    <row r="43" spans="2:25" ht="15" thickBot="1" x14ac:dyDescent="0.35">
      <c r="B43" s="647"/>
      <c r="C43" s="208" t="s">
        <v>136</v>
      </c>
      <c r="D43" s="393"/>
      <c r="E43" s="208"/>
      <c r="F43" s="208"/>
      <c r="G43" s="208"/>
      <c r="H43" s="362" t="s">
        <v>142</v>
      </c>
      <c r="I43" s="634"/>
      <c r="J43" s="634"/>
      <c r="K43" s="136" t="e">
        <f>SUM(K12:K42)</f>
        <v>#REF!</v>
      </c>
      <c r="L43" s="208"/>
      <c r="M43" s="208"/>
      <c r="N43" s="32" t="s">
        <v>143</v>
      </c>
      <c r="O43" s="634"/>
      <c r="P43" s="634"/>
      <c r="Q43" s="136" t="e">
        <f>SUM(Q12:Q42)+P24+P25</f>
        <v>#REF!</v>
      </c>
      <c r="R43" s="208"/>
      <c r="S43" s="208"/>
      <c r="T43" s="136" t="e">
        <f>SUM(T12:T42)</f>
        <v>#REF!</v>
      </c>
      <c r="U43" s="208"/>
      <c r="V43" s="588" t="e">
        <f>SUM(V12:V30,V32:V42)</f>
        <v>#REF!</v>
      </c>
      <c r="W43" s="208"/>
      <c r="X43" s="208"/>
      <c r="Y43" s="208"/>
    </row>
    <row r="44" spans="2:25" ht="15" thickTop="1" x14ac:dyDescent="0.3">
      <c r="B44" s="208"/>
      <c r="C44" t="s">
        <v>138</v>
      </c>
      <c r="D44" s="396"/>
      <c r="E44" s="208"/>
      <c r="F44" s="208"/>
      <c r="G44" s="208"/>
      <c r="H44" s="208"/>
      <c r="I44" s="208"/>
      <c r="J44" s="208"/>
      <c r="K44" s="208"/>
      <c r="L44" s="208"/>
      <c r="M44" s="208"/>
      <c r="N44" s="362"/>
      <c r="O44" s="208"/>
      <c r="P44" s="208"/>
      <c r="Q44" s="208"/>
      <c r="R44" s="208"/>
      <c r="S44" s="208"/>
      <c r="T44" s="208"/>
      <c r="U44" s="208"/>
      <c r="V44" s="208"/>
      <c r="W44" s="208"/>
      <c r="X44" s="208"/>
      <c r="Y44" s="208"/>
    </row>
    <row r="45" spans="2:25" ht="16.2" x14ac:dyDescent="0.45">
      <c r="B45" s="647"/>
      <c r="C45" t="s">
        <v>140</v>
      </c>
      <c r="D45" s="393"/>
      <c r="E45" s="208"/>
      <c r="F45" s="208"/>
      <c r="G45" s="208"/>
      <c r="H45" s="208"/>
      <c r="I45" s="208"/>
      <c r="J45" s="208"/>
      <c r="K45" s="208"/>
      <c r="L45" s="208"/>
      <c r="M45" s="208"/>
      <c r="N45" s="362"/>
      <c r="O45" s="255" t="s">
        <v>145</v>
      </c>
      <c r="P45" s="256">
        <f>P14+P23+P29+P35</f>
        <v>0</v>
      </c>
      <c r="Q45" s="208"/>
      <c r="R45" s="208"/>
      <c r="S45" s="208"/>
      <c r="T45" s="208"/>
      <c r="U45" s="208"/>
      <c r="V45" s="208"/>
      <c r="W45" s="208"/>
      <c r="X45" s="208"/>
      <c r="Y45" s="208"/>
    </row>
    <row r="46" spans="2:25" ht="15" thickBot="1" x14ac:dyDescent="0.35">
      <c r="B46" s="647"/>
      <c r="C46" s="208"/>
      <c r="D46" s="647"/>
      <c r="E46" s="208"/>
      <c r="F46" s="208"/>
      <c r="G46" s="208"/>
      <c r="H46" s="208"/>
      <c r="I46" s="208"/>
      <c r="J46" s="208"/>
      <c r="K46" s="208"/>
      <c r="L46" s="208"/>
      <c r="M46" s="208"/>
      <c r="N46" s="362"/>
      <c r="O46" s="208"/>
      <c r="P46" s="208"/>
      <c r="Q46" s="208"/>
      <c r="R46" s="208"/>
      <c r="S46" s="208"/>
      <c r="T46" s="208"/>
      <c r="U46" s="208"/>
      <c r="V46" s="208"/>
      <c r="W46" s="208"/>
      <c r="X46" s="208"/>
      <c r="Y46" s="208"/>
    </row>
    <row r="47" spans="2:25" x14ac:dyDescent="0.3">
      <c r="B47" s="610" t="s">
        <v>144</v>
      </c>
      <c r="C47" s="208"/>
      <c r="D47" s="208"/>
      <c r="E47" s="208"/>
      <c r="F47" s="208"/>
      <c r="G47" s="208"/>
      <c r="H47" s="654"/>
      <c r="I47" s="655"/>
      <c r="J47" s="655"/>
      <c r="K47" s="655"/>
      <c r="L47" s="655"/>
      <c r="M47" s="655"/>
      <c r="N47" s="655"/>
      <c r="O47" s="656"/>
      <c r="P47" s="655"/>
      <c r="Q47" s="655"/>
      <c r="R47" s="655"/>
      <c r="S47" s="655"/>
      <c r="T47" s="657"/>
      <c r="U47" s="208"/>
      <c r="V47" s="208"/>
      <c r="W47" s="208"/>
      <c r="X47" s="208"/>
      <c r="Y47" s="208"/>
    </row>
    <row r="48" spans="2:25" ht="17.850000000000001" customHeight="1" x14ac:dyDescent="0.3">
      <c r="B48" s="208"/>
      <c r="C48" s="208"/>
      <c r="D48" s="208"/>
      <c r="E48" s="208"/>
      <c r="F48" s="208"/>
      <c r="G48" s="208"/>
      <c r="H48" s="658"/>
      <c r="I48" s="659"/>
      <c r="J48" s="660"/>
      <c r="K48" s="660"/>
      <c r="L48" s="660"/>
      <c r="M48" s="661"/>
      <c r="N48" s="208"/>
      <c r="O48" s="208"/>
      <c r="P48" s="208"/>
      <c r="Q48" s="208"/>
      <c r="R48" s="208"/>
      <c r="S48" s="208"/>
      <c r="T48" s="364"/>
      <c r="U48" s="208"/>
      <c r="V48" s="208"/>
      <c r="W48" s="208"/>
      <c r="X48" s="208"/>
      <c r="Y48" s="208"/>
    </row>
    <row r="49" spans="2:20" ht="15" thickBot="1" x14ac:dyDescent="0.35">
      <c r="B49" s="208"/>
      <c r="C49" t="s">
        <v>146</v>
      </c>
      <c r="D49" s="653">
        <v>0</v>
      </c>
      <c r="E49" s="208"/>
      <c r="F49" s="208"/>
      <c r="G49" s="208"/>
      <c r="H49" s="658"/>
      <c r="I49" s="662"/>
      <c r="J49" s="397" t="s">
        <v>151</v>
      </c>
      <c r="K49" s="398"/>
      <c r="L49" s="398"/>
      <c r="M49" s="663"/>
      <c r="N49" s="116"/>
      <c r="O49" s="208"/>
      <c r="P49" s="208"/>
      <c r="Q49" s="208"/>
      <c r="R49" s="208"/>
      <c r="S49" s="208"/>
      <c r="T49" s="364"/>
    </row>
    <row r="50" spans="2:20" ht="15" thickBot="1" x14ac:dyDescent="0.35">
      <c r="B50" s="208"/>
      <c r="C50" t="s">
        <v>147</v>
      </c>
      <c r="D50" s="653">
        <f>Billings!H49</f>
        <v>0</v>
      </c>
      <c r="E50" s="208"/>
      <c r="F50" s="7"/>
      <c r="G50" s="7"/>
      <c r="H50" s="658"/>
      <c r="I50" s="662"/>
      <c r="J50" s="399"/>
      <c r="K50" s="399"/>
      <c r="L50" s="399"/>
      <c r="M50" s="663"/>
      <c r="N50" s="116"/>
      <c r="O50" s="208"/>
      <c r="P50" s="208"/>
      <c r="Q50" s="208"/>
      <c r="R50" s="208"/>
      <c r="S50" s="208"/>
      <c r="T50" s="364"/>
    </row>
    <row r="51" spans="2:20" ht="15" thickBot="1" x14ac:dyDescent="0.35">
      <c r="B51" s="208"/>
      <c r="C51" t="s">
        <v>148</v>
      </c>
      <c r="D51" s="653">
        <f>Billings!F27</f>
        <v>0</v>
      </c>
      <c r="E51" s="208"/>
      <c r="F51" s="208"/>
      <c r="G51" s="208"/>
      <c r="H51" s="658"/>
      <c r="I51" s="662"/>
      <c r="J51" s="626" t="s">
        <v>210</v>
      </c>
      <c r="K51" s="627"/>
      <c r="L51" s="628"/>
      <c r="M51" s="401"/>
      <c r="N51" s="116"/>
      <c r="O51" s="208"/>
      <c r="P51" s="610"/>
      <c r="Q51" s="208"/>
      <c r="R51" s="208"/>
      <c r="S51" s="208"/>
      <c r="T51" s="364"/>
    </row>
    <row r="52" spans="2:20" x14ac:dyDescent="0.3">
      <c r="C52" t="s">
        <v>149</v>
      </c>
      <c r="D52" s="653">
        <f>SUM(Billings!F28:F29)</f>
        <v>0</v>
      </c>
      <c r="E52" s="208"/>
      <c r="F52" s="208"/>
      <c r="G52" s="208"/>
      <c r="H52" s="658"/>
      <c r="I52" s="662"/>
      <c r="J52" s="400"/>
      <c r="K52" s="400"/>
      <c r="L52" s="402" t="s">
        <v>79</v>
      </c>
      <c r="M52" s="403"/>
      <c r="N52" s="664"/>
      <c r="O52" s="116" t="s">
        <v>152</v>
      </c>
      <c r="P52" s="616"/>
      <c r="Q52" s="116" t="s">
        <v>153</v>
      </c>
      <c r="R52" s="116" t="s">
        <v>154</v>
      </c>
      <c r="S52" s="208"/>
      <c r="T52" s="364"/>
    </row>
    <row r="53" spans="2:20" x14ac:dyDescent="0.3">
      <c r="C53" t="s">
        <v>150</v>
      </c>
      <c r="D53" s="653">
        <f>SUM(Billings!F29:F30)</f>
        <v>0</v>
      </c>
      <c r="E53" s="208"/>
      <c r="F53" s="208"/>
      <c r="G53" s="208"/>
      <c r="H53" s="665"/>
      <c r="I53" s="666"/>
      <c r="J53" s="400" t="s">
        <v>211</v>
      </c>
      <c r="K53" s="400"/>
      <c r="L53" s="423"/>
      <c r="M53" s="405"/>
      <c r="N53" s="116"/>
      <c r="O53" s="208"/>
      <c r="P53" s="617"/>
      <c r="Q53" s="208"/>
      <c r="R53" s="208"/>
      <c r="S53" s="208"/>
      <c r="T53" s="364"/>
    </row>
    <row r="54" spans="2:20" x14ac:dyDescent="0.3">
      <c r="C54" s="208"/>
      <c r="D54" s="208"/>
      <c r="E54" s="208"/>
      <c r="F54" s="208"/>
      <c r="G54" s="208"/>
      <c r="H54" s="658"/>
      <c r="I54" s="662"/>
      <c r="J54" s="400"/>
      <c r="K54" s="400" t="s">
        <v>118</v>
      </c>
      <c r="L54" s="423">
        <f>P13</f>
        <v>0</v>
      </c>
      <c r="M54" s="405"/>
      <c r="N54" s="664"/>
      <c r="O54" s="667"/>
      <c r="P54" s="617">
        <f>O54-L54</f>
        <v>0</v>
      </c>
      <c r="Q54" s="668"/>
      <c r="R54" s="668">
        <f>O54+Q54</f>
        <v>0</v>
      </c>
      <c r="S54" s="208"/>
      <c r="T54" s="364"/>
    </row>
    <row r="55" spans="2:20" x14ac:dyDescent="0.3">
      <c r="C55" s="208"/>
      <c r="D55" s="208"/>
      <c r="E55" s="208"/>
      <c r="F55" s="208"/>
      <c r="G55" s="208"/>
      <c r="H55" s="658"/>
      <c r="I55" s="662"/>
      <c r="J55" s="400"/>
      <c r="K55" s="400" t="s">
        <v>159</v>
      </c>
      <c r="L55" s="423">
        <f>P14</f>
        <v>0</v>
      </c>
      <c r="M55" s="405"/>
      <c r="N55" s="116"/>
      <c r="O55" s="667"/>
      <c r="P55" s="617">
        <f>O55-L55</f>
        <v>0</v>
      </c>
      <c r="Q55" s="668"/>
      <c r="R55" s="668">
        <f t="shared" ref="R55:R58" si="3">O55+Q55</f>
        <v>0</v>
      </c>
      <c r="S55" s="208"/>
      <c r="T55" s="364"/>
    </row>
    <row r="56" spans="2:20" ht="15" thickBot="1" x14ac:dyDescent="0.35">
      <c r="C56" s="208"/>
      <c r="D56" s="421" t="s">
        <v>80</v>
      </c>
      <c r="E56" s="208"/>
      <c r="F56" s="208"/>
      <c r="G56" s="208"/>
      <c r="H56" s="658"/>
      <c r="I56" s="662"/>
      <c r="J56" s="400"/>
      <c r="K56" s="400" t="s">
        <v>92</v>
      </c>
      <c r="L56" s="423">
        <f>Q15</f>
        <v>0</v>
      </c>
      <c r="M56" s="405"/>
      <c r="N56" s="116"/>
      <c r="O56" s="667"/>
      <c r="P56" s="617">
        <f>O56-L56</f>
        <v>0</v>
      </c>
      <c r="Q56" s="668"/>
      <c r="R56" s="668">
        <f t="shared" si="3"/>
        <v>0</v>
      </c>
      <c r="S56" s="208"/>
      <c r="T56" s="364"/>
    </row>
    <row r="57" spans="2:20" ht="15" thickBot="1" x14ac:dyDescent="0.35">
      <c r="C57" s="208"/>
      <c r="D57" s="208"/>
      <c r="E57" s="422" t="s">
        <v>155</v>
      </c>
      <c r="F57" s="208"/>
      <c r="G57" s="208"/>
      <c r="H57" s="658"/>
      <c r="I57" s="662"/>
      <c r="J57" s="400"/>
      <c r="K57" s="400" t="s">
        <v>212</v>
      </c>
      <c r="L57" s="423">
        <f>Q16</f>
        <v>0</v>
      </c>
      <c r="M57" s="405"/>
      <c r="N57" s="116"/>
      <c r="O57" s="667"/>
      <c r="P57" s="617">
        <f>O57-L57</f>
        <v>0</v>
      </c>
      <c r="Q57" s="668"/>
      <c r="R57" s="668">
        <f t="shared" si="3"/>
        <v>0</v>
      </c>
      <c r="S57" s="208"/>
      <c r="T57" s="364"/>
    </row>
    <row r="58" spans="2:20" x14ac:dyDescent="0.3">
      <c r="C58" t="s">
        <v>156</v>
      </c>
      <c r="D58" s="650" t="e">
        <f>SUM(K12:K19)-D36</f>
        <v>#REF!</v>
      </c>
      <c r="E58" s="208"/>
      <c r="F58" s="208"/>
      <c r="G58" s="208"/>
      <c r="H58" s="658"/>
      <c r="I58" s="662"/>
      <c r="J58" s="400"/>
      <c r="K58" s="400" t="s">
        <v>213</v>
      </c>
      <c r="L58" s="423" t="e">
        <f>Q18</f>
        <v>#REF!</v>
      </c>
      <c r="M58" s="405"/>
      <c r="N58" s="116"/>
      <c r="O58" s="667"/>
      <c r="P58" s="617" t="e">
        <f>O58-L58</f>
        <v>#REF!</v>
      </c>
      <c r="Q58" s="668"/>
      <c r="R58" s="668">
        <f t="shared" si="3"/>
        <v>0</v>
      </c>
      <c r="S58" s="208"/>
      <c r="T58" s="364"/>
    </row>
    <row r="59" spans="2:20" x14ac:dyDescent="0.3">
      <c r="C59" t="s">
        <v>158</v>
      </c>
      <c r="D59" s="670" t="e">
        <f>SUM(K12:K18)-D49</f>
        <v>#REF!</v>
      </c>
      <c r="E59" s="669" t="e">
        <f>SUM(K12:K18)/D36</f>
        <v>#REF!</v>
      </c>
      <c r="F59" s="208"/>
      <c r="G59" s="208"/>
      <c r="H59" s="658"/>
      <c r="I59" s="662"/>
      <c r="J59" s="400" t="s">
        <v>157</v>
      </c>
      <c r="K59" s="400"/>
      <c r="L59" s="423"/>
      <c r="M59" s="405"/>
      <c r="N59" s="116"/>
      <c r="O59" s="641"/>
      <c r="P59" s="617"/>
      <c r="Q59" s="641"/>
      <c r="R59" s="641"/>
      <c r="S59" s="208"/>
      <c r="T59" s="364"/>
    </row>
    <row r="60" spans="2:20" x14ac:dyDescent="0.3">
      <c r="C60" t="s">
        <v>160</v>
      </c>
      <c r="D60" s="670" t="e">
        <f>SUM(K12:K18)-D51</f>
        <v>#REF!</v>
      </c>
      <c r="E60" s="671" t="e">
        <f>SUM(K12:K19)/D49</f>
        <v>#REF!</v>
      </c>
      <c r="F60" s="208"/>
      <c r="G60" s="208"/>
      <c r="H60" s="658"/>
      <c r="I60" s="662"/>
      <c r="J60" s="400"/>
      <c r="K60" s="400" t="s">
        <v>159</v>
      </c>
      <c r="L60" s="423">
        <f>P23+P28</f>
        <v>0</v>
      </c>
      <c r="M60" s="405"/>
      <c r="N60" s="664"/>
      <c r="O60" s="667"/>
      <c r="P60" s="617">
        <f t="shared" ref="P60:P67" si="4">O60-L60</f>
        <v>0</v>
      </c>
      <c r="Q60" s="668"/>
      <c r="R60" s="668">
        <f t="shared" ref="R60:R64" si="5">O60+Q60</f>
        <v>0</v>
      </c>
      <c r="S60" s="208"/>
      <c r="T60" s="364"/>
    </row>
    <row r="61" spans="2:20" x14ac:dyDescent="0.3">
      <c r="C61" t="s">
        <v>161</v>
      </c>
      <c r="D61" s="670" t="e">
        <f>SUM(Q12:Q18)-D51</f>
        <v>#REF!</v>
      </c>
      <c r="E61" s="669" t="e" cm="1">
        <f t="array" ref="E61">SUM(K12:K18/D51)</f>
        <v>#DIV/0!</v>
      </c>
      <c r="F61" s="208"/>
      <c r="G61" s="208"/>
      <c r="H61" s="658"/>
      <c r="I61" s="662"/>
      <c r="J61" s="400"/>
      <c r="K61" s="400" t="s">
        <v>41</v>
      </c>
      <c r="L61" s="423">
        <f>P21</f>
        <v>0</v>
      </c>
      <c r="M61" s="405"/>
      <c r="N61" s="116"/>
      <c r="O61" s="667"/>
      <c r="P61" s="617">
        <f t="shared" si="4"/>
        <v>0</v>
      </c>
      <c r="Q61" s="668"/>
      <c r="R61" s="668">
        <f t="shared" si="5"/>
        <v>0</v>
      </c>
      <c r="S61" s="208"/>
      <c r="T61" s="364"/>
    </row>
    <row r="62" spans="2:20" x14ac:dyDescent="0.3">
      <c r="C62" s="208"/>
      <c r="D62" s="208"/>
      <c r="E62" s="671" t="e">
        <f>SUM(Q11:Q19)/D51</f>
        <v>#REF!</v>
      </c>
      <c r="F62" s="208"/>
      <c r="G62" s="208"/>
      <c r="H62" s="658"/>
      <c r="I62" s="662"/>
      <c r="J62" s="400"/>
      <c r="K62" s="400" t="s">
        <v>162</v>
      </c>
      <c r="L62" s="423">
        <f>P22</f>
        <v>0</v>
      </c>
      <c r="M62" s="405"/>
      <c r="N62" s="116"/>
      <c r="O62" s="667"/>
      <c r="P62" s="617">
        <f>O62-L62</f>
        <v>0</v>
      </c>
      <c r="Q62" s="668"/>
      <c r="R62" s="668">
        <f t="shared" si="5"/>
        <v>0</v>
      </c>
      <c r="S62" s="208"/>
      <c r="T62" s="364"/>
    </row>
    <row r="63" spans="2:20" x14ac:dyDescent="0.3">
      <c r="C63" t="s">
        <v>163</v>
      </c>
      <c r="D63" s="670">
        <f>SUM(K20:K24)-D50</f>
        <v>0</v>
      </c>
      <c r="E63" s="669"/>
      <c r="F63" s="208"/>
      <c r="G63" s="208"/>
      <c r="H63" s="658"/>
      <c r="I63" s="662"/>
      <c r="J63" s="400"/>
      <c r="K63" s="400" t="s">
        <v>113</v>
      </c>
      <c r="L63" s="423">
        <f>Q24</f>
        <v>0</v>
      </c>
      <c r="M63" s="405"/>
      <c r="N63" s="429"/>
      <c r="O63" s="667"/>
      <c r="P63" s="615">
        <f t="shared" si="4"/>
        <v>0</v>
      </c>
      <c r="Q63" s="668"/>
      <c r="R63" s="668">
        <f t="shared" si="5"/>
        <v>0</v>
      </c>
      <c r="S63" s="208"/>
      <c r="T63" s="364"/>
    </row>
    <row r="64" spans="2:20" x14ac:dyDescent="0.3">
      <c r="C64" t="s">
        <v>165</v>
      </c>
      <c r="D64" s="670">
        <f>D52-D37</f>
        <v>0</v>
      </c>
      <c r="E64" s="669" t="e">
        <f>SUM(K23:K28)/D50</f>
        <v>#DIV/0!</v>
      </c>
      <c r="F64" s="208"/>
      <c r="G64" s="208"/>
      <c r="H64" s="658"/>
      <c r="I64" s="662"/>
      <c r="J64" s="400"/>
      <c r="K64" s="400" t="s">
        <v>164</v>
      </c>
      <c r="L64" s="423">
        <f>Q29</f>
        <v>0</v>
      </c>
      <c r="M64" s="405"/>
      <c r="N64" s="208"/>
      <c r="O64" s="667"/>
      <c r="P64" s="617">
        <f t="shared" si="4"/>
        <v>0</v>
      </c>
      <c r="Q64" s="668"/>
      <c r="R64" s="668">
        <f t="shared" si="5"/>
        <v>0</v>
      </c>
      <c r="S64" s="208"/>
      <c r="T64" s="364"/>
    </row>
    <row r="65" spans="2:20" ht="15" thickBot="1" x14ac:dyDescent="0.35">
      <c r="C65" s="208"/>
      <c r="D65" s="208"/>
      <c r="E65" s="671" t="e">
        <f>D52/D37</f>
        <v>#DIV/0!</v>
      </c>
      <c r="F65" s="208"/>
      <c r="G65" s="208"/>
      <c r="H65" s="658"/>
      <c r="I65" s="662"/>
      <c r="J65" s="400" t="s">
        <v>166</v>
      </c>
      <c r="K65" s="400"/>
      <c r="L65" s="423"/>
      <c r="M65" s="405"/>
      <c r="N65" s="208"/>
      <c r="O65" s="667"/>
      <c r="P65" s="617">
        <f t="shared" si="4"/>
        <v>0</v>
      </c>
      <c r="Q65" s="668"/>
      <c r="R65" s="668">
        <f t="shared" ref="R65:R66" si="6">O65+Q65</f>
        <v>0</v>
      </c>
      <c r="S65" s="208"/>
      <c r="T65" s="364"/>
    </row>
    <row r="66" spans="2:20" ht="15" customHeight="1" x14ac:dyDescent="0.3">
      <c r="C66" s="713" t="s">
        <v>554</v>
      </c>
      <c r="D66" s="657"/>
      <c r="E66" s="208"/>
      <c r="F66" s="208"/>
      <c r="G66" s="208"/>
      <c r="H66" s="658"/>
      <c r="I66" s="662"/>
      <c r="J66" s="400" t="s">
        <v>141</v>
      </c>
      <c r="K66" s="400"/>
      <c r="L66" s="423">
        <f>Q42</f>
        <v>0</v>
      </c>
      <c r="M66" s="413"/>
      <c r="N66" s="208"/>
      <c r="O66" s="667"/>
      <c r="P66" s="617">
        <f t="shared" si="4"/>
        <v>0</v>
      </c>
      <c r="Q66" s="668"/>
      <c r="R66" s="668">
        <f t="shared" si="6"/>
        <v>0</v>
      </c>
      <c r="S66" s="208"/>
      <c r="T66" s="364"/>
    </row>
    <row r="67" spans="2:20" ht="15" thickBot="1" x14ac:dyDescent="0.35">
      <c r="C67" s="221" t="s">
        <v>555</v>
      </c>
      <c r="D67" s="714" t="b">
        <v>0</v>
      </c>
      <c r="E67" s="208"/>
      <c r="F67" s="208"/>
      <c r="G67" s="208"/>
      <c r="H67" s="658"/>
      <c r="I67" s="662"/>
      <c r="J67" s="424" t="s">
        <v>167</v>
      </c>
      <c r="K67" s="400"/>
      <c r="L67" s="425" t="e">
        <f>SUM(L53:L66)</f>
        <v>#REF!</v>
      </c>
      <c r="M67" s="500" t="e">
        <f>L67/J83</f>
        <v>#REF!</v>
      </c>
      <c r="N67" s="429" t="s">
        <v>168</v>
      </c>
      <c r="O67" s="609"/>
      <c r="P67" s="615" t="e">
        <f t="shared" si="4"/>
        <v>#REF!</v>
      </c>
      <c r="Q67" s="489"/>
      <c r="R67" s="489"/>
      <c r="S67" s="208"/>
      <c r="T67" s="364"/>
    </row>
    <row r="68" spans="2:20" ht="15.6" thickTop="1" thickBot="1" x14ac:dyDescent="0.35">
      <c r="B68" s="208"/>
      <c r="C68" s="223" t="s">
        <v>556</v>
      </c>
      <c r="D68" s="715" t="b">
        <v>0</v>
      </c>
      <c r="E68" s="208"/>
      <c r="F68" s="208"/>
      <c r="G68" s="208"/>
      <c r="H68" s="658"/>
      <c r="I68" s="662"/>
      <c r="J68" s="424"/>
      <c r="K68" s="400"/>
      <c r="L68" s="430"/>
      <c r="M68" s="413"/>
      <c r="N68" s="208"/>
      <c r="O68" s="617">
        <f>O67-SUM(O54:O66)</f>
        <v>0</v>
      </c>
      <c r="P68" s="615"/>
      <c r="Q68" s="617">
        <f>Q67-SUM(Q54:Q66)</f>
        <v>0</v>
      </c>
      <c r="R68" s="617">
        <f>R67-SUM(R54:R66)</f>
        <v>0</v>
      </c>
      <c r="S68" s="208"/>
      <c r="T68" s="364"/>
    </row>
    <row r="69" spans="2:20" x14ac:dyDescent="0.3">
      <c r="B69" s="208"/>
      <c r="C69" s="208"/>
      <c r="D69" s="208"/>
      <c r="E69" s="208"/>
      <c r="F69" s="208"/>
      <c r="G69" s="208"/>
      <c r="H69" s="658"/>
      <c r="I69" s="662"/>
      <c r="J69" s="408" t="s">
        <v>169</v>
      </c>
      <c r="K69" s="409"/>
      <c r="L69" s="410">
        <f>L66*0.3</f>
        <v>0</v>
      </c>
      <c r="M69" s="413"/>
      <c r="N69" s="208"/>
      <c r="O69" s="673"/>
      <c r="P69" s="617">
        <f>O69-L69</f>
        <v>0</v>
      </c>
      <c r="Q69" s="668"/>
      <c r="R69" s="668">
        <f t="shared" ref="R69:R71" si="7">O69+Q69</f>
        <v>0</v>
      </c>
      <c r="S69" s="208"/>
      <c r="T69" s="364"/>
    </row>
    <row r="70" spans="2:20" x14ac:dyDescent="0.3">
      <c r="B70" s="208"/>
      <c r="C70" s="208"/>
      <c r="D70" s="208"/>
      <c r="E70" s="208"/>
      <c r="F70" s="208"/>
      <c r="G70" s="208"/>
      <c r="H70" s="658"/>
      <c r="I70" s="662"/>
      <c r="J70" s="408" t="s">
        <v>170</v>
      </c>
      <c r="K70" s="409"/>
      <c r="L70" s="412">
        <f>(0)*0.15</f>
        <v>0</v>
      </c>
      <c r="M70" s="413"/>
      <c r="N70" s="208"/>
      <c r="O70" s="667"/>
      <c r="P70" s="617">
        <f>O70-L70</f>
        <v>0</v>
      </c>
      <c r="Q70" s="668"/>
      <c r="R70" s="668">
        <f t="shared" si="7"/>
        <v>0</v>
      </c>
      <c r="S70" s="208"/>
      <c r="T70" s="364"/>
    </row>
    <row r="71" spans="2:20" ht="15" thickBot="1" x14ac:dyDescent="0.35">
      <c r="B71" s="208"/>
      <c r="C71" s="208"/>
      <c r="D71" s="208"/>
      <c r="E71" s="208"/>
      <c r="F71" s="208"/>
      <c r="G71" s="208"/>
      <c r="H71" s="658"/>
      <c r="I71" s="662"/>
      <c r="J71" s="408" t="s">
        <v>172</v>
      </c>
      <c r="K71" s="409"/>
      <c r="L71" s="629">
        <f>SUM(L69:L70)</f>
        <v>0</v>
      </c>
      <c r="M71" s="413"/>
      <c r="N71" s="208"/>
      <c r="O71" s="632"/>
      <c r="P71" s="617">
        <f>O71-L71</f>
        <v>0</v>
      </c>
      <c r="Q71" s="631"/>
      <c r="R71" s="631">
        <f t="shared" si="7"/>
        <v>0</v>
      </c>
      <c r="S71" s="208"/>
      <c r="T71" s="364"/>
    </row>
    <row r="72" spans="2:20" x14ac:dyDescent="0.3">
      <c r="B72" s="208"/>
      <c r="C72" s="208"/>
      <c r="D72" s="208"/>
      <c r="E72" s="208"/>
      <c r="F72" s="208"/>
      <c r="G72" s="208"/>
      <c r="H72" s="658"/>
      <c r="I72" s="662"/>
      <c r="J72" s="408"/>
      <c r="K72" s="409"/>
      <c r="L72" s="410"/>
      <c r="M72" s="411"/>
      <c r="N72" s="208"/>
      <c r="O72" s="674"/>
      <c r="P72" s="615"/>
      <c r="Q72" s="675"/>
      <c r="R72" s="675"/>
      <c r="S72" s="208"/>
      <c r="T72" s="364"/>
    </row>
    <row r="73" spans="2:20" x14ac:dyDescent="0.3">
      <c r="B73" s="208"/>
      <c r="C73" s="208"/>
      <c r="D73" s="208"/>
      <c r="E73" s="208"/>
      <c r="F73" s="208"/>
      <c r="G73" s="208"/>
      <c r="H73" s="658"/>
      <c r="I73" s="676"/>
      <c r="J73" s="677"/>
      <c r="K73" s="677"/>
      <c r="L73" s="677"/>
      <c r="M73" s="678"/>
      <c r="N73" s="208"/>
      <c r="O73" s="674"/>
      <c r="P73" s="619"/>
      <c r="Q73" s="208"/>
      <c r="R73" s="208"/>
      <c r="S73" s="208"/>
      <c r="T73" s="364"/>
    </row>
    <row r="74" spans="2:20" ht="15" thickBot="1" x14ac:dyDescent="0.35">
      <c r="B74" s="208"/>
      <c r="C74" s="208"/>
      <c r="D74" s="208"/>
      <c r="E74" s="208"/>
      <c r="F74" s="208"/>
      <c r="G74" s="208"/>
      <c r="H74" s="658"/>
      <c r="I74" s="208"/>
      <c r="J74" s="208"/>
      <c r="K74" s="208"/>
      <c r="L74" s="208"/>
      <c r="M74" s="208"/>
      <c r="N74" s="208"/>
      <c r="O74" s="362"/>
      <c r="P74" s="208"/>
      <c r="Q74" s="208"/>
      <c r="R74" s="208"/>
      <c r="S74" s="208"/>
      <c r="T74" s="364"/>
    </row>
    <row r="75" spans="2:20" ht="16.2" thickBot="1" x14ac:dyDescent="0.35">
      <c r="B75" s="208"/>
      <c r="C75" s="208"/>
      <c r="D75" s="208"/>
      <c r="E75" s="208"/>
      <c r="F75" s="208"/>
      <c r="G75" s="208"/>
      <c r="H75" s="658"/>
      <c r="I75" s="620"/>
      <c r="J75" s="621" t="s">
        <v>175</v>
      </c>
      <c r="K75" s="621" t="s">
        <v>176</v>
      </c>
      <c r="L75" s="622"/>
      <c r="M75" s="620"/>
      <c r="N75" s="362"/>
      <c r="O75" s="208"/>
      <c r="P75" s="208"/>
      <c r="Q75" s="208"/>
      <c r="R75" s="208"/>
      <c r="S75" s="208"/>
      <c r="T75" s="364"/>
    </row>
    <row r="76" spans="2:20" x14ac:dyDescent="0.3">
      <c r="B76" s="208"/>
      <c r="C76" s="208"/>
      <c r="D76" s="208"/>
      <c r="E76" s="208"/>
      <c r="F76" s="208"/>
      <c r="G76" s="208"/>
      <c r="H76" s="658"/>
      <c r="I76" s="208"/>
      <c r="J76" s="208"/>
      <c r="K76" s="208"/>
      <c r="L76" s="208"/>
      <c r="M76" s="362"/>
      <c r="N76" s="362"/>
      <c r="O76" s="208"/>
      <c r="P76" s="208"/>
      <c r="Q76" s="208"/>
      <c r="R76" s="208"/>
      <c r="S76" s="208"/>
      <c r="T76" s="364"/>
    </row>
    <row r="77" spans="2:20" x14ac:dyDescent="0.3">
      <c r="B77" s="208"/>
      <c r="C77" s="208"/>
      <c r="D77" s="208"/>
      <c r="E77" s="208"/>
      <c r="F77" s="208"/>
      <c r="G77" s="208"/>
      <c r="H77" s="658"/>
      <c r="I77" s="32" t="s">
        <v>177</v>
      </c>
      <c r="J77" s="601">
        <v>0</v>
      </c>
      <c r="K77" s="246" t="e">
        <f>SUM(L54:L58)</f>
        <v>#REF!</v>
      </c>
      <c r="L77" s="233" t="e">
        <f t="shared" ref="L77:L78" si="8">K77-J77</f>
        <v>#REF!</v>
      </c>
      <c r="M77" s="647" t="e" cm="1">
        <f t="array" ref="M77">_xlfn.IFS(L77&gt;0,"Over Budget",L77&lt;0,"Under Budget",L77=0,"-")</f>
        <v>#REF!</v>
      </c>
      <c r="N77" s="362"/>
      <c r="O77" s="208"/>
      <c r="P77" s="208"/>
      <c r="Q77" s="208"/>
      <c r="R77" s="208"/>
      <c r="S77" s="208"/>
      <c r="T77" s="222"/>
    </row>
    <row r="78" spans="2:20" x14ac:dyDescent="0.3">
      <c r="B78" s="208"/>
      <c r="C78" s="208"/>
      <c r="D78" s="208"/>
      <c r="E78" s="208"/>
      <c r="F78" s="208"/>
      <c r="G78" s="208"/>
      <c r="H78" s="658"/>
      <c r="I78" s="32" t="s">
        <v>164</v>
      </c>
      <c r="J78" s="601">
        <v>0</v>
      </c>
      <c r="K78" s="246">
        <f>SUM(L60:L64)</f>
        <v>0</v>
      </c>
      <c r="L78" s="233">
        <f t="shared" si="8"/>
        <v>0</v>
      </c>
      <c r="M78" s="647" t="str" cm="1">
        <f t="array" ref="M78">_xlfn.IFS(L78&gt;0,"Over Budget",L78&lt;0,"Under Budget",L78=0,"-")</f>
        <v>-</v>
      </c>
      <c r="N78" s="362"/>
      <c r="O78" s="208"/>
      <c r="P78" s="208"/>
      <c r="Q78" s="208"/>
      <c r="R78" s="208"/>
      <c r="S78" s="208"/>
      <c r="T78" s="364"/>
    </row>
    <row r="79" spans="2:20" x14ac:dyDescent="0.3">
      <c r="B79" s="208"/>
      <c r="C79" s="208"/>
      <c r="D79" s="208"/>
      <c r="E79" s="208"/>
      <c r="F79" s="208"/>
      <c r="G79" s="208"/>
      <c r="H79" s="658"/>
      <c r="I79" s="32" t="s">
        <v>116</v>
      </c>
      <c r="J79" s="679">
        <v>0</v>
      </c>
      <c r="K79" s="641">
        <v>0</v>
      </c>
      <c r="L79" s="233">
        <f>K79-J79</f>
        <v>0</v>
      </c>
      <c r="M79" s="647" t="str" cm="1">
        <f t="array" ref="M79">_xlfn.IFS(L79&gt;0,"Over Budget",L79&lt;0,"Under Budget",L79=0,"-")</f>
        <v>-</v>
      </c>
      <c r="N79" s="362"/>
      <c r="O79" s="208"/>
      <c r="P79" s="208"/>
      <c r="Q79" s="208"/>
      <c r="R79" s="208"/>
      <c r="S79" s="208"/>
      <c r="T79" s="364"/>
    </row>
    <row r="80" spans="2:20" x14ac:dyDescent="0.3">
      <c r="B80" s="208"/>
      <c r="C80" s="208"/>
      <c r="D80" s="208"/>
      <c r="E80" s="208"/>
      <c r="F80" s="208"/>
      <c r="G80" s="208"/>
      <c r="H80" s="658"/>
      <c r="I80" s="32" t="s">
        <v>180</v>
      </c>
      <c r="J80" s="602">
        <v>0</v>
      </c>
      <c r="K80" s="233">
        <v>0</v>
      </c>
      <c r="L80" s="233">
        <f>K80-J80</f>
        <v>0</v>
      </c>
      <c r="M80" s="647" t="str" cm="1">
        <f t="array" ref="M80">_xlfn.IFS(L80&gt;0,"Over Budget",L80&lt;0,"Under Budget",L80=0,"-")</f>
        <v>-</v>
      </c>
      <c r="N80" s="362"/>
      <c r="O80" s="208"/>
      <c r="P80" s="208"/>
      <c r="Q80" s="208"/>
      <c r="R80" s="208"/>
      <c r="S80" s="208"/>
      <c r="T80" s="364"/>
    </row>
    <row r="81" spans="2:23" x14ac:dyDescent="0.3">
      <c r="B81" s="7" t="s">
        <v>171</v>
      </c>
      <c r="C81" s="208"/>
      <c r="D81" s="208"/>
      <c r="E81" s="208"/>
      <c r="F81" s="208"/>
      <c r="G81" s="208"/>
      <c r="H81" s="658"/>
      <c r="I81" s="32" t="s">
        <v>137</v>
      </c>
      <c r="J81" s="602">
        <v>0</v>
      </c>
      <c r="K81" s="233">
        <f>L64</f>
        <v>0</v>
      </c>
      <c r="L81" s="233">
        <f>K81-J81</f>
        <v>0</v>
      </c>
      <c r="M81" s="647" t="str" cm="1">
        <f t="array" ref="M81">_xlfn.IFS(L81&gt;0,"Over Budget",L81&lt;0,"Under Budget",L81=0,"-")</f>
        <v>-</v>
      </c>
      <c r="N81" s="362"/>
      <c r="O81" s="208"/>
      <c r="P81" s="208"/>
      <c r="Q81" s="208"/>
      <c r="R81" s="208"/>
      <c r="S81" s="208"/>
      <c r="T81" s="364"/>
      <c r="U81" s="208"/>
      <c r="V81" s="208"/>
      <c r="W81" s="208"/>
    </row>
    <row r="82" spans="2:23" x14ac:dyDescent="0.3">
      <c r="B82" s="7" t="s">
        <v>173</v>
      </c>
      <c r="C82" s="208"/>
      <c r="D82" s="208"/>
      <c r="E82" s="208"/>
      <c r="F82" s="208"/>
      <c r="G82" s="208"/>
      <c r="H82" s="658"/>
      <c r="I82" s="611" t="s">
        <v>181</v>
      </c>
      <c r="J82" s="612">
        <v>3000</v>
      </c>
      <c r="K82" s="613">
        <f>L66</f>
        <v>0</v>
      </c>
      <c r="L82" s="613">
        <f t="shared" ref="L82" si="9">K82-J82</f>
        <v>-3000</v>
      </c>
      <c r="M82" s="680" t="str" cm="1">
        <f t="array" ref="M82">_xlfn.IFS(L82&gt;0,"Over Budget",L82&lt;0,"Under Budget",L82=0,"-")</f>
        <v>Under Budget</v>
      </c>
      <c r="N82" s="362"/>
      <c r="O82" s="208"/>
      <c r="P82" s="208"/>
      <c r="Q82" s="208"/>
      <c r="R82" s="208"/>
      <c r="S82" s="208"/>
      <c r="T82" s="365"/>
      <c r="U82" s="208"/>
      <c r="V82" s="208"/>
      <c r="W82" s="208"/>
    </row>
    <row r="83" spans="2:23" x14ac:dyDescent="0.3">
      <c r="B83" s="208"/>
      <c r="C83" s="208"/>
      <c r="D83" s="208"/>
      <c r="E83" s="208"/>
      <c r="F83" s="208"/>
      <c r="G83" s="208"/>
      <c r="H83" s="658"/>
      <c r="I83" s="7" t="s">
        <v>182</v>
      </c>
      <c r="J83" s="681"/>
      <c r="K83" s="651" t="e">
        <f>SUM(K77:K82)</f>
        <v>#REF!</v>
      </c>
      <c r="L83" s="670" t="e">
        <f>K83-J83</f>
        <v>#REF!</v>
      </c>
      <c r="M83" s="647" t="e" cm="1">
        <f t="array" ref="M83">_xlfn.IFS(L83&gt;0,"Over Budget",L83&lt;0,"Under Budget",L83=0,"-")</f>
        <v>#REF!</v>
      </c>
      <c r="N83" s="362"/>
      <c r="O83" s="208"/>
      <c r="P83" s="208"/>
      <c r="Q83" s="208"/>
      <c r="R83" s="208"/>
      <c r="S83" s="208"/>
      <c r="T83" s="364"/>
      <c r="U83" s="208"/>
      <c r="V83"/>
      <c r="W83" s="208"/>
    </row>
    <row r="84" spans="2:23" ht="16.2" thickBot="1" x14ac:dyDescent="0.35">
      <c r="B84" s="208"/>
      <c r="C84" s="208"/>
      <c r="D84" s="208"/>
      <c r="E84" s="208"/>
      <c r="F84" s="208"/>
      <c r="G84" s="208"/>
      <c r="H84" s="658"/>
      <c r="I84" s="208"/>
      <c r="J84" s="614">
        <f>J83-SUM(J77:J82)</f>
        <v>-3000</v>
      </c>
      <c r="K84" s="614" t="e">
        <f>O67-K83</f>
        <v>#REF!</v>
      </c>
      <c r="L84" s="670"/>
      <c r="M84" s="208"/>
      <c r="N84" s="362"/>
      <c r="O84" s="208"/>
      <c r="P84" s="595"/>
      <c r="Q84" s="596" t="s">
        <v>183</v>
      </c>
      <c r="R84" s="597"/>
      <c r="S84" s="595"/>
      <c r="T84" s="364"/>
      <c r="U84" s="208"/>
      <c r="V84"/>
      <c r="W84" s="208"/>
    </row>
    <row r="85" spans="2:23" x14ac:dyDescent="0.3">
      <c r="B85" s="7" t="s">
        <v>174</v>
      </c>
      <c r="C85" s="208"/>
      <c r="D85" s="208"/>
      <c r="E85" s="208"/>
      <c r="F85" s="208"/>
      <c r="G85" s="208"/>
      <c r="H85" s="658"/>
      <c r="I85" s="208"/>
      <c r="J85" s="208"/>
      <c r="K85" s="208"/>
      <c r="L85" s="208"/>
      <c r="M85" s="362"/>
      <c r="N85" s="362"/>
      <c r="O85" s="208"/>
      <c r="P85" s="682"/>
      <c r="Q85" s="682"/>
      <c r="R85" s="682"/>
      <c r="S85" s="682"/>
      <c r="T85" s="364"/>
      <c r="U85" s="145"/>
      <c r="V85"/>
      <c r="W85" s="208"/>
    </row>
    <row r="86" spans="2:23" x14ac:dyDescent="0.3">
      <c r="B86" s="7" t="s">
        <v>173</v>
      </c>
      <c r="C86" s="208"/>
      <c r="D86" s="208"/>
      <c r="E86" s="208"/>
      <c r="F86" s="208"/>
      <c r="G86" s="208"/>
      <c r="H86" s="658"/>
      <c r="I86" s="7" t="s">
        <v>185</v>
      </c>
      <c r="J86" s="208"/>
      <c r="K86" s="208"/>
      <c r="L86" s="208"/>
      <c r="M86" s="208"/>
      <c r="N86" s="362"/>
      <c r="O86" s="208"/>
      <c r="P86" s="683"/>
      <c r="Q86" s="592" t="s">
        <v>186</v>
      </c>
      <c r="R86" s="684" t="e">
        <f>L67-P45</f>
        <v>#REF!</v>
      </c>
      <c r="S86" s="682"/>
      <c r="T86" s="364"/>
      <c r="U86" s="490" t="s">
        <v>184</v>
      </c>
      <c r="V86"/>
      <c r="W86" s="208"/>
    </row>
    <row r="87" spans="2:23" ht="15" thickBot="1" x14ac:dyDescent="0.35">
      <c r="B87" s="208"/>
      <c r="C87" s="208"/>
      <c r="D87" s="208"/>
      <c r="E87" s="208"/>
      <c r="F87" s="208"/>
      <c r="G87" s="208"/>
      <c r="H87" s="658"/>
      <c r="I87" t="s">
        <v>187</v>
      </c>
      <c r="J87" s="602">
        <f>J83*0.3</f>
        <v>0</v>
      </c>
      <c r="K87" s="487">
        <f>L71</f>
        <v>0</v>
      </c>
      <c r="L87"/>
      <c r="M87"/>
      <c r="N87" s="208"/>
      <c r="O87" s="208"/>
      <c r="P87" s="685"/>
      <c r="Q87" s="593" t="s">
        <v>188</v>
      </c>
      <c r="R87" s="686">
        <v>0.3</v>
      </c>
      <c r="S87" s="682"/>
      <c r="T87" s="364"/>
      <c r="U87"/>
      <c r="V87"/>
      <c r="W87" s="208"/>
    </row>
    <row r="88" spans="2:23" ht="15" thickTop="1" x14ac:dyDescent="0.3">
      <c r="B88" s="208"/>
      <c r="C88" s="208"/>
      <c r="D88" s="208"/>
      <c r="E88" s="208"/>
      <c r="F88" s="208"/>
      <c r="G88" s="208"/>
      <c r="H88" s="658"/>
      <c r="I88" t="s">
        <v>189</v>
      </c>
      <c r="J88" s="604">
        <f>-(J87*0.11)</f>
        <v>0</v>
      </c>
      <c r="K88" s="605">
        <f>-K87*0.11</f>
        <v>0</v>
      </c>
      <c r="L88"/>
      <c r="M88"/>
      <c r="N88" s="647" t="str" cm="1">
        <f t="array" ref="N88">_xlfn.IFS(M88&gt;0,"Over Budget",M88&lt;0,"Under Budget",M88=0,"-")</f>
        <v>-</v>
      </c>
      <c r="O88" s="208"/>
      <c r="P88" s="682"/>
      <c r="Q88" s="682"/>
      <c r="R88" s="684" t="e">
        <f>R86*R87</f>
        <v>#REF!</v>
      </c>
      <c r="S88" s="682"/>
      <c r="T88" s="364"/>
      <c r="U88"/>
      <c r="V88"/>
      <c r="W88" s="208"/>
    </row>
    <row r="89" spans="2:23" ht="15" thickBot="1" x14ac:dyDescent="0.35">
      <c r="B89" s="7" t="s">
        <v>178</v>
      </c>
      <c r="C89" s="208"/>
      <c r="D89" s="208"/>
      <c r="E89" s="208"/>
      <c r="F89" s="208"/>
      <c r="G89" s="208"/>
      <c r="H89" s="658"/>
      <c r="I89" s="7" t="s">
        <v>190</v>
      </c>
      <c r="J89" s="488">
        <f>SUM(J87:J88)</f>
        <v>0</v>
      </c>
      <c r="K89" s="486">
        <f>SUM(K87:K88)</f>
        <v>0</v>
      </c>
      <c r="L89" s="208"/>
      <c r="M89" s="208"/>
      <c r="N89" s="208"/>
      <c r="O89" s="208"/>
      <c r="P89" s="687"/>
      <c r="Q89" s="593" t="s">
        <v>191</v>
      </c>
      <c r="R89" s="688">
        <f>L69</f>
        <v>0</v>
      </c>
      <c r="S89" s="682"/>
      <c r="T89" s="364"/>
      <c r="U89"/>
      <c r="V89"/>
      <c r="W89" s="208"/>
    </row>
    <row r="90" spans="2:23" ht="15" thickTop="1" x14ac:dyDescent="0.3">
      <c r="B90" s="7" t="s">
        <v>179</v>
      </c>
      <c r="C90" s="208"/>
      <c r="D90" s="208"/>
      <c r="E90" s="208"/>
      <c r="F90" s="208"/>
      <c r="G90" s="208"/>
      <c r="H90" s="658"/>
      <c r="I90" s="606" t="s">
        <v>192</v>
      </c>
      <c r="J90" s="233"/>
      <c r="K90" s="208"/>
      <c r="L90" s="208"/>
      <c r="M90" s="208"/>
      <c r="N90" s="208"/>
      <c r="O90" s="208"/>
      <c r="P90" s="689"/>
      <c r="Q90" s="690"/>
      <c r="R90" s="691" t="e">
        <f>R88+R89</f>
        <v>#REF!</v>
      </c>
      <c r="S90" s="682"/>
      <c r="T90" s="364"/>
      <c r="U90"/>
      <c r="V90"/>
      <c r="W90" s="208"/>
    </row>
    <row r="91" spans="2:23" ht="15" thickBot="1" x14ac:dyDescent="0.35">
      <c r="B91" s="208"/>
      <c r="C91" s="208"/>
      <c r="D91" s="208"/>
      <c r="E91" s="208"/>
      <c r="F91" s="208"/>
      <c r="G91" s="208"/>
      <c r="H91" s="658"/>
      <c r="I91" s="625" t="s">
        <v>193</v>
      </c>
      <c r="J91" s="604">
        <v>0</v>
      </c>
      <c r="K91" s="605">
        <f>J91</f>
        <v>0</v>
      </c>
      <c r="L91" s="208"/>
      <c r="M91" s="208"/>
      <c r="N91"/>
      <c r="O91" s="208"/>
      <c r="P91" s="685"/>
      <c r="Q91" s="685"/>
      <c r="R91" s="685">
        <v>2.5000000000000001E-3</v>
      </c>
      <c r="S91" s="682"/>
      <c r="T91" s="364"/>
      <c r="U91"/>
      <c r="V91"/>
      <c r="W91" s="208"/>
    </row>
    <row r="92" spans="2:23" ht="15" thickTop="1" x14ac:dyDescent="0.3">
      <c r="B92" s="208"/>
      <c r="C92" s="208"/>
      <c r="D92" s="208"/>
      <c r="E92" s="208"/>
      <c r="F92" s="208"/>
      <c r="G92" s="208"/>
      <c r="H92" s="658"/>
      <c r="I92" s="625" t="s">
        <v>183</v>
      </c>
      <c r="J92" s="604">
        <v>0</v>
      </c>
      <c r="K92" s="624" t="e">
        <f>-R100</f>
        <v>#REF!</v>
      </c>
      <c r="L92" s="362"/>
      <c r="M92" s="208"/>
      <c r="N92"/>
      <c r="O92" s="208"/>
      <c r="P92" s="682"/>
      <c r="Q92" s="682"/>
      <c r="R92" s="684" t="e">
        <f>R91*R90</f>
        <v>#REF!</v>
      </c>
      <c r="S92" s="682"/>
      <c r="T92" s="364"/>
      <c r="U92"/>
      <c r="V92"/>
      <c r="W92" s="651"/>
    </row>
    <row r="93" spans="2:23" x14ac:dyDescent="0.3">
      <c r="B93" s="208"/>
      <c r="C93" s="208"/>
      <c r="D93" s="208"/>
      <c r="E93" s="208"/>
      <c r="F93" s="208"/>
      <c r="G93" s="208"/>
      <c r="H93" s="658"/>
      <c r="I93" s="625" t="s">
        <v>141</v>
      </c>
      <c r="J93" s="604">
        <v>0</v>
      </c>
      <c r="K93" s="605">
        <f>J93</f>
        <v>0</v>
      </c>
      <c r="L93" s="208"/>
      <c r="M93" s="208"/>
      <c r="N93" s="208"/>
      <c r="O93" s="208"/>
      <c r="P93" s="682"/>
      <c r="Q93" s="682"/>
      <c r="R93" s="682"/>
      <c r="S93" s="682"/>
      <c r="T93" s="364"/>
      <c r="U93"/>
      <c r="V93"/>
      <c r="W93" s="651"/>
    </row>
    <row r="94" spans="2:23" x14ac:dyDescent="0.3">
      <c r="B94" s="208"/>
      <c r="C94" s="208"/>
      <c r="D94" s="208"/>
      <c r="E94" s="208"/>
      <c r="F94" s="208"/>
      <c r="G94" s="208"/>
      <c r="H94" s="658"/>
      <c r="I94" s="7" t="s">
        <v>194</v>
      </c>
      <c r="J94" s="486">
        <f>SUM(J89:J93)</f>
        <v>0</v>
      </c>
      <c r="K94" s="486" t="e">
        <f>SUM(K89:K93)</f>
        <v>#REF!</v>
      </c>
      <c r="L94" s="208"/>
      <c r="M94" s="208"/>
      <c r="N94" s="208"/>
      <c r="O94" s="208"/>
      <c r="P94" s="682"/>
      <c r="Q94" s="592" t="s">
        <v>195</v>
      </c>
      <c r="R94" s="684">
        <f>P45</f>
        <v>0</v>
      </c>
      <c r="S94" s="682"/>
      <c r="T94" s="364"/>
      <c r="U94"/>
      <c r="V94" s="208"/>
      <c r="W94" s="651"/>
    </row>
    <row r="95" spans="2:23" ht="15" thickBot="1" x14ac:dyDescent="0.35">
      <c r="B95" s="208"/>
      <c r="C95" s="208"/>
      <c r="D95" s="208"/>
      <c r="E95" s="208"/>
      <c r="F95" s="208"/>
      <c r="G95" s="208"/>
      <c r="H95" s="658"/>
      <c r="I95" t="s">
        <v>196</v>
      </c>
      <c r="J95" s="604">
        <f>-(J94*0.225)</f>
        <v>0</v>
      </c>
      <c r="K95" s="605" t="e">
        <f>-K94*0.225</f>
        <v>#REF!</v>
      </c>
      <c r="L95" s="208"/>
      <c r="M95" s="208"/>
      <c r="N95" s="208"/>
      <c r="O95" s="208"/>
      <c r="P95" s="692"/>
      <c r="Q95" s="593" t="s">
        <v>188</v>
      </c>
      <c r="R95" s="686">
        <v>0.3</v>
      </c>
      <c r="S95" s="682"/>
      <c r="T95" s="608"/>
      <c r="U95"/>
      <c r="V95"/>
      <c r="W95" s="208"/>
    </row>
    <row r="96" spans="2:23" ht="15.6" thickTop="1" thickBot="1" x14ac:dyDescent="0.35">
      <c r="B96" s="208"/>
      <c r="C96" s="208"/>
      <c r="D96" s="208"/>
      <c r="E96" s="208"/>
      <c r="F96" s="208"/>
      <c r="G96" s="208"/>
      <c r="H96" s="658"/>
      <c r="I96" s="7" t="s">
        <v>197</v>
      </c>
      <c r="J96" s="599">
        <f>SUM(J94:J95)</f>
        <v>0</v>
      </c>
      <c r="K96" s="600" t="e">
        <f>SUM(K94:K95)</f>
        <v>#REF!</v>
      </c>
      <c r="L96" s="603" t="e">
        <f>K96-J96</f>
        <v>#REF!</v>
      </c>
      <c r="M96" s="647" t="e" cm="1">
        <f t="array" ref="M96">_xlfn.IFS(L96&gt;0,"Over Budget",L96&lt;0,"Under Budget",L96=0,"-")</f>
        <v>#REF!</v>
      </c>
      <c r="N96" s="208"/>
      <c r="O96" s="208"/>
      <c r="P96" s="682"/>
      <c r="Q96" s="682"/>
      <c r="R96" s="684">
        <f>R94*R95</f>
        <v>0</v>
      </c>
      <c r="S96" s="682"/>
      <c r="T96" s="693"/>
      <c r="U96"/>
      <c r="V96"/>
      <c r="W96" s="208"/>
    </row>
    <row r="97" spans="2:25" ht="15.6" thickTop="1" thickBot="1" x14ac:dyDescent="0.35">
      <c r="B97" s="208"/>
      <c r="C97" s="208"/>
      <c r="D97" s="208"/>
      <c r="E97" s="208"/>
      <c r="H97" s="658"/>
      <c r="I97" s="272" t="s">
        <v>198</v>
      </c>
      <c r="J97" s="607"/>
      <c r="K97" s="208"/>
      <c r="L97" s="208"/>
      <c r="M97" s="362"/>
      <c r="N97" s="208"/>
      <c r="O97" s="208"/>
      <c r="P97" s="685"/>
      <c r="Q97" s="685"/>
      <c r="R97" s="685">
        <v>2.5000000000000001E-2</v>
      </c>
      <c r="S97" s="682"/>
      <c r="T97" s="222"/>
      <c r="U97" s="208"/>
      <c r="V97"/>
      <c r="W97" s="208"/>
      <c r="X97" s="208"/>
      <c r="Y97" s="208"/>
    </row>
    <row r="98" spans="2:25" ht="15" thickTop="1" x14ac:dyDescent="0.3">
      <c r="B98" s="208"/>
      <c r="C98" s="208"/>
      <c r="D98" s="208"/>
      <c r="E98" s="208"/>
      <c r="H98" s="658"/>
      <c r="I98" s="208"/>
      <c r="J98" s="208"/>
      <c r="K98" s="208"/>
      <c r="L98" s="208"/>
      <c r="M98" s="208"/>
      <c r="N98" s="208"/>
      <c r="O98" s="208"/>
      <c r="P98" s="682"/>
      <c r="Q98" s="682"/>
      <c r="R98" s="684">
        <f>R96*R97</f>
        <v>0</v>
      </c>
      <c r="S98" s="594" t="e">
        <f>(R94+R86)-L66</f>
        <v>#REF!</v>
      </c>
      <c r="T98" s="222"/>
      <c r="U98"/>
      <c r="V98" s="208"/>
      <c r="W98" s="208"/>
      <c r="X98" s="208"/>
      <c r="Y98" s="208"/>
    </row>
    <row r="99" spans="2:25" ht="15" thickBot="1" x14ac:dyDescent="0.35">
      <c r="B99" s="208"/>
      <c r="C99" s="208"/>
      <c r="D99" s="208"/>
      <c r="E99" s="208"/>
      <c r="H99" s="658"/>
      <c r="I99" s="208"/>
      <c r="J99" s="208"/>
      <c r="K99" s="208"/>
      <c r="L99" s="208"/>
      <c r="M99" s="208"/>
      <c r="N99" s="208"/>
      <c r="O99" s="208"/>
      <c r="P99" s="682"/>
      <c r="Q99" s="682"/>
      <c r="R99" s="682"/>
      <c r="S99" s="682"/>
      <c r="T99" s="364"/>
      <c r="U99"/>
      <c r="V99"/>
      <c r="W99" s="208"/>
      <c r="X99" s="208"/>
      <c r="Y99" s="208"/>
    </row>
    <row r="100" spans="2:25" ht="15" thickBot="1" x14ac:dyDescent="0.35">
      <c r="E100" s="208"/>
      <c r="H100" s="658"/>
      <c r="I100" s="208"/>
      <c r="J100" s="208"/>
      <c r="K100" s="208"/>
      <c r="L100" s="208"/>
      <c r="M100" s="208"/>
      <c r="N100" s="647" t="str" cm="1">
        <f t="array" ref="N100">_xlfn.IFS(M100&gt;0,"Over Budget",M100&lt;0,"Under Budget",M100=0,"-")</f>
        <v>-</v>
      </c>
      <c r="O100" s="208"/>
      <c r="P100" s="694"/>
      <c r="Q100" s="598" t="s">
        <v>199</v>
      </c>
      <c r="R100" s="695" t="e">
        <f>R92+R98</f>
        <v>#REF!</v>
      </c>
      <c r="S100" s="696"/>
      <c r="T100" s="364"/>
      <c r="U100" s="208"/>
      <c r="V100"/>
      <c r="W100" s="208"/>
      <c r="X100" s="208"/>
      <c r="Y100" s="208"/>
    </row>
    <row r="101" spans="2:25" x14ac:dyDescent="0.3">
      <c r="H101" s="658"/>
      <c r="I101" s="208"/>
      <c r="J101" s="208"/>
      <c r="K101" s="208"/>
      <c r="L101" s="208"/>
      <c r="M101" s="208"/>
      <c r="N101" s="362"/>
      <c r="O101" s="208"/>
      <c r="P101" s="208"/>
      <c r="Q101" s="208"/>
      <c r="R101" s="208"/>
      <c r="S101" s="208"/>
      <c r="T101" s="364"/>
      <c r="U101"/>
      <c r="V101" s="208"/>
      <c r="W101" s="208"/>
      <c r="X101" s="208"/>
      <c r="Y101" s="208"/>
    </row>
    <row r="102" spans="2:25" ht="15" thickBot="1" x14ac:dyDescent="0.35">
      <c r="H102" s="697"/>
      <c r="I102" s="557"/>
      <c r="J102" s="557"/>
      <c r="K102" s="557"/>
      <c r="L102" s="557"/>
      <c r="M102" s="224"/>
      <c r="N102" s="580"/>
      <c r="O102" s="224"/>
      <c r="P102" s="224"/>
      <c r="Q102" s="224"/>
      <c r="R102" s="224"/>
      <c r="S102" s="224"/>
      <c r="T102" s="225"/>
      <c r="U102"/>
      <c r="V102" s="208"/>
      <c r="W102" s="208"/>
      <c r="X102" s="208"/>
      <c r="Y102" s="208"/>
    </row>
    <row r="103" spans="2:25" x14ac:dyDescent="0.3">
      <c r="H103" s="208"/>
      <c r="I103" s="208"/>
      <c r="J103" s="208"/>
      <c r="K103" s="208"/>
      <c r="L103" s="208"/>
      <c r="M103" s="208"/>
      <c r="N103" s="362"/>
      <c r="O103" s="208"/>
      <c r="P103" s="208"/>
      <c r="Q103" s="208"/>
      <c r="R103" s="208"/>
      <c r="S103" s="208"/>
      <c r="T103" s="208"/>
      <c r="U103" s="208"/>
      <c r="V103" s="208"/>
      <c r="W103" s="208"/>
      <c r="X103" s="208"/>
      <c r="Y103" s="208"/>
    </row>
    <row r="104" spans="2:25" x14ac:dyDescent="0.3">
      <c r="H104" s="208"/>
      <c r="I104" s="208"/>
      <c r="J104" s="208"/>
      <c r="K104" s="208"/>
      <c r="L104" s="208"/>
      <c r="M104" s="208"/>
      <c r="N104" s="362"/>
      <c r="O104" s="208"/>
      <c r="P104" s="208"/>
      <c r="Q104" s="208"/>
      <c r="R104" s="208"/>
      <c r="S104" s="208"/>
      <c r="T104" s="208"/>
      <c r="U104" s="208"/>
      <c r="V104" s="208"/>
      <c r="W104" s="208"/>
      <c r="X104" s="208"/>
      <c r="Y104" s="208"/>
    </row>
    <row r="105" spans="2:25" x14ac:dyDescent="0.3">
      <c r="H105" s="208"/>
      <c r="I105" s="208"/>
      <c r="J105" s="208"/>
      <c r="K105" s="208"/>
      <c r="L105" s="208"/>
      <c r="M105" s="208"/>
      <c r="N105" s="208"/>
      <c r="O105" s="208"/>
      <c r="P105" s="208"/>
      <c r="Q105" s="208"/>
      <c r="R105" s="208"/>
      <c r="S105" s="208"/>
      <c r="T105" s="208"/>
      <c r="U105" s="208"/>
      <c r="V105" s="208"/>
      <c r="W105" s="208"/>
      <c r="X105" s="208"/>
      <c r="Y105" s="208"/>
    </row>
    <row r="106" spans="2:25" x14ac:dyDescent="0.3">
      <c r="H106" s="208"/>
      <c r="I106" s="208"/>
      <c r="J106" s="208"/>
      <c r="K106" s="208"/>
      <c r="L106" s="208"/>
      <c r="M106" s="208"/>
      <c r="N106" s="362"/>
      <c r="O106"/>
      <c r="P106"/>
      <c r="Q106"/>
      <c r="R106"/>
      <c r="S106"/>
      <c r="T106"/>
      <c r="U106" s="208"/>
      <c r="V106" s="208"/>
      <c r="W106" s="208"/>
      <c r="X106" s="208"/>
      <c r="Y106" s="208"/>
    </row>
    <row r="107" spans="2:25" x14ac:dyDescent="0.3">
      <c r="H107" s="208"/>
      <c r="I107" s="208"/>
      <c r="J107" s="208"/>
      <c r="K107" s="208"/>
      <c r="L107" s="208"/>
      <c r="M107" s="208"/>
      <c r="N107" s="362"/>
      <c r="O107"/>
      <c r="P107"/>
      <c r="Q107"/>
      <c r="R107"/>
      <c r="S107"/>
      <c r="T107"/>
      <c r="U107"/>
      <c r="V107" s="208"/>
      <c r="W107" s="208"/>
      <c r="X107" s="208"/>
      <c r="Y107" s="208"/>
    </row>
    <row r="108" spans="2:25" x14ac:dyDescent="0.3">
      <c r="H108" s="208"/>
      <c r="I108" s="208"/>
      <c r="J108" s="208"/>
      <c r="K108" s="208"/>
      <c r="L108" s="208"/>
      <c r="M108" s="208"/>
      <c r="N108" s="32"/>
      <c r="O108" s="208"/>
      <c r="P108" s="208"/>
      <c r="Q108" s="208"/>
      <c r="R108" s="208"/>
      <c r="S108" s="208"/>
      <c r="T108" s="208"/>
      <c r="U108" s="208"/>
      <c r="V108" s="208"/>
      <c r="W108" s="208"/>
      <c r="X108" s="208"/>
      <c r="Y108" s="208"/>
    </row>
    <row r="109" spans="2:25" x14ac:dyDescent="0.3">
      <c r="H109" s="208"/>
      <c r="I109" s="208"/>
      <c r="J109" s="208"/>
      <c r="K109" s="208"/>
      <c r="L109" s="208"/>
      <c r="M109" s="208"/>
      <c r="N109" s="32"/>
      <c r="O109" s="208"/>
      <c r="P109" s="208"/>
      <c r="Q109" s="208"/>
      <c r="R109" s="208"/>
      <c r="S109" s="208"/>
      <c r="T109" s="208"/>
      <c r="U109" s="208"/>
      <c r="V109" s="208"/>
      <c r="W109" s="208"/>
      <c r="X109" s="208"/>
      <c r="Y109" s="208"/>
    </row>
  </sheetData>
  <conditionalFormatting sqref="I90:I93">
    <cfRule type="duplicateValues" dxfId="224" priority="1"/>
  </conditionalFormatting>
  <dataValidations disablePrompts="1" count="1">
    <dataValidation type="list" allowBlank="1" showInputMessage="1" showErrorMessage="1" sqref="AC4" xr:uid="{9D3DE211-0627-452E-8FB3-5FB34816957C}">
      <formula1>#REF!</formula1>
    </dataValidation>
  </dataValidations>
  <pageMargins left="0.7" right="0.7" top="0.75" bottom="0.75" header="0.3" footer="0.3"/>
  <pageSetup scale="51" orientation="landscape" r:id="rId1"/>
  <headerFooter>
    <oddFooter>&amp;R&amp;A
&amp;Z&amp;F</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A12D8-A79A-4437-9F52-6F953812E526}">
  <sheetPr>
    <tabColor rgb="FFFF0000"/>
    <pageSetUpPr fitToPage="1"/>
  </sheetPr>
  <dimension ref="A1:AK113"/>
  <sheetViews>
    <sheetView zoomScale="70" zoomScaleNormal="70" workbookViewId="0">
      <selection activeCell="D9" sqref="D9"/>
    </sheetView>
  </sheetViews>
  <sheetFormatPr defaultColWidth="9.109375" defaultRowHeight="14.4" x14ac:dyDescent="0.3"/>
  <cols>
    <col min="1" max="1" width="2.88671875" style="132" customWidth="1"/>
    <col min="2" max="2" width="25.5546875" style="132" bestFit="1" customWidth="1"/>
    <col min="3" max="3" width="51.88671875" style="132" customWidth="1"/>
    <col min="4" max="4" width="16.88671875" style="132" customWidth="1"/>
    <col min="5" max="5" width="10.88671875" style="132" customWidth="1"/>
    <col min="6" max="7" width="4.88671875" style="132" customWidth="1"/>
    <col min="8" max="8" width="15.109375" style="132" customWidth="1"/>
    <col min="9" max="9" width="25.5546875" style="132" customWidth="1"/>
    <col min="10" max="10" width="20.88671875" style="132" customWidth="1"/>
    <col min="11" max="11" width="22.88671875" style="132" customWidth="1"/>
    <col min="12" max="12" width="19.88671875" style="132" customWidth="1"/>
    <col min="13" max="13" width="17" style="132" customWidth="1"/>
    <col min="14" max="14" width="19.88671875" style="361" bestFit="1" customWidth="1"/>
    <col min="15" max="15" width="16.88671875" style="132" customWidth="1"/>
    <col min="16" max="16" width="13.109375" style="132" customWidth="1"/>
    <col min="17" max="17" width="15.88671875" style="132" customWidth="1"/>
    <col min="18" max="18" width="15.5546875" style="132" customWidth="1"/>
    <col min="19" max="19" width="6.109375" style="132" customWidth="1"/>
    <col min="20" max="20" width="13.88671875" style="132" customWidth="1"/>
    <col min="21" max="21" width="14.109375" style="132" bestFit="1" customWidth="1"/>
    <col min="22" max="22" width="18.44140625" style="132" bestFit="1" customWidth="1"/>
    <col min="23" max="23" width="14.5546875" style="132" customWidth="1"/>
    <col min="24" max="16384" width="9.109375" style="132"/>
  </cols>
  <sheetData>
    <row r="1" spans="1:37" s="131" customFormat="1" ht="18" x14ac:dyDescent="0.35">
      <c r="A1" s="503" t="s">
        <v>61</v>
      </c>
      <c r="B1" s="503"/>
      <c r="C1" s="503"/>
      <c r="D1" s="503"/>
      <c r="E1" s="503"/>
      <c r="F1" s="503"/>
      <c r="G1" s="503"/>
      <c r="H1" s="503"/>
      <c r="I1" s="503"/>
      <c r="J1" s="503"/>
      <c r="K1" s="503"/>
      <c r="L1" s="503"/>
      <c r="M1" s="503"/>
      <c r="N1" s="503"/>
      <c r="O1" s="503"/>
      <c r="P1" s="503"/>
      <c r="Q1" s="503"/>
      <c r="R1" s="503"/>
      <c r="S1" s="503"/>
      <c r="T1" s="503"/>
      <c r="U1" s="503"/>
      <c r="V1" s="503"/>
      <c r="W1" s="503"/>
    </row>
    <row r="2" spans="1:37" s="131" customFormat="1" ht="18" x14ac:dyDescent="0.35">
      <c r="A2" s="503" t="s">
        <v>62</v>
      </c>
      <c r="B2" s="503"/>
      <c r="C2" s="503"/>
      <c r="D2" s="503"/>
      <c r="E2" s="503"/>
      <c r="F2" s="503"/>
      <c r="G2" s="503"/>
      <c r="H2" s="503"/>
      <c r="I2" s="503"/>
      <c r="J2" s="503"/>
      <c r="K2" s="503"/>
      <c r="L2" s="503"/>
      <c r="M2" s="503"/>
      <c r="N2" s="503"/>
      <c r="O2" s="503"/>
      <c r="P2" s="503"/>
      <c r="Q2" s="503"/>
      <c r="R2" s="503"/>
      <c r="S2" s="503"/>
      <c r="T2" s="503"/>
      <c r="U2" s="503"/>
      <c r="V2" s="503"/>
      <c r="W2" s="503"/>
    </row>
    <row r="4" spans="1:37" ht="15.6" x14ac:dyDescent="0.3">
      <c r="A4" s="208"/>
      <c r="B4" s="634" t="s">
        <v>63</v>
      </c>
      <c r="C4" s="635" t="str">
        <f>CONCATENATE(C18, " ",C19, " ",C5)</f>
        <v>Kellogg Company  "2022 Q3 Eggo Liege TV"</v>
      </c>
      <c r="D4" s="208"/>
      <c r="E4" s="208"/>
      <c r="F4" s="634" t="s">
        <v>64</v>
      </c>
      <c r="G4" s="634"/>
      <c r="H4" s="220" t="s">
        <v>65</v>
      </c>
      <c r="I4"/>
      <c r="J4"/>
      <c r="K4"/>
      <c r="L4" s="208"/>
      <c r="M4" s="208"/>
      <c r="N4" s="362"/>
      <c r="O4" s="208"/>
      <c r="P4" s="208"/>
      <c r="Q4" s="208"/>
      <c r="R4" s="208"/>
      <c r="S4" s="208"/>
      <c r="T4" s="208"/>
      <c r="U4" s="208"/>
      <c r="V4" s="610" t="s">
        <v>66</v>
      </c>
      <c r="W4" s="271" t="s">
        <v>67</v>
      </c>
      <c r="X4" s="208"/>
      <c r="Y4" s="208"/>
      <c r="Z4" s="208"/>
      <c r="AA4" s="208"/>
      <c r="AB4" s="208"/>
      <c r="AC4" s="208"/>
      <c r="AD4" s="208"/>
      <c r="AE4" s="208"/>
      <c r="AF4" s="208"/>
      <c r="AG4" s="208"/>
      <c r="AH4" s="208"/>
      <c r="AI4" s="208"/>
      <c r="AJ4" s="208"/>
      <c r="AK4" s="208"/>
    </row>
    <row r="5" spans="1:37" ht="15.6" x14ac:dyDescent="0.3">
      <c r="A5" s="208"/>
      <c r="B5" s="634" t="s">
        <v>68</v>
      </c>
      <c r="C5" s="156" t="s">
        <v>200</v>
      </c>
      <c r="D5" s="208"/>
      <c r="E5" s="208"/>
      <c r="F5" s="208"/>
      <c r="G5" s="208"/>
      <c r="H5" s="208"/>
      <c r="I5" s="208"/>
      <c r="J5" s="208"/>
      <c r="K5" s="208"/>
      <c r="L5" s="208"/>
      <c r="M5" s="208"/>
      <c r="N5" s="362"/>
      <c r="O5" s="208"/>
      <c r="P5" s="208"/>
      <c r="Q5" s="208"/>
      <c r="R5" s="208"/>
      <c r="S5" s="208"/>
      <c r="T5" s="208"/>
      <c r="U5" s="208"/>
      <c r="V5" s="208"/>
      <c r="W5" s="208"/>
      <c r="X5" s="208"/>
      <c r="Y5" s="208"/>
      <c r="Z5" s="208"/>
      <c r="AA5" s="208"/>
      <c r="AB5" s="208"/>
      <c r="AC5" s="208"/>
      <c r="AD5" s="208"/>
      <c r="AE5" s="208"/>
      <c r="AF5" s="208"/>
      <c r="AG5" s="208"/>
      <c r="AH5" s="208"/>
      <c r="AI5" s="208"/>
      <c r="AJ5" s="208"/>
      <c r="AK5" s="208"/>
    </row>
    <row r="6" spans="1:37" ht="18" x14ac:dyDescent="0.35">
      <c r="A6" s="208"/>
      <c r="B6" s="634"/>
      <c r="C6" s="636"/>
      <c r="D6" s="208"/>
      <c r="E6" s="208"/>
      <c r="F6" s="208"/>
      <c r="G6" s="208"/>
      <c r="H6" s="208"/>
      <c r="I6" s="208"/>
      <c r="J6" s="208"/>
      <c r="K6" s="208"/>
      <c r="L6" s="208"/>
      <c r="M6" s="208"/>
      <c r="N6" s="362"/>
      <c r="O6" s="208"/>
      <c r="P6" s="208"/>
      <c r="Q6" s="208"/>
      <c r="R6" s="208"/>
      <c r="S6" s="208"/>
      <c r="T6" s="208"/>
      <c r="U6" s="208"/>
      <c r="V6" s="208"/>
      <c r="W6" s="208"/>
      <c r="X6" s="208"/>
      <c r="Y6" s="208"/>
      <c r="Z6" s="208"/>
      <c r="AA6" s="208"/>
      <c r="AB6" s="208"/>
      <c r="AC6" s="208"/>
      <c r="AD6" s="208"/>
      <c r="AE6" s="208"/>
      <c r="AF6" s="208"/>
      <c r="AG6" s="208"/>
      <c r="AH6" s="208"/>
      <c r="AI6" s="208"/>
      <c r="AJ6" s="208"/>
      <c r="AK6" s="208"/>
    </row>
    <row r="7" spans="1:37" ht="18.600000000000001" thickBot="1" x14ac:dyDescent="0.4">
      <c r="A7" s="208"/>
      <c r="B7" s="634" t="s">
        <v>590</v>
      </c>
      <c r="C7" s="724"/>
      <c r="D7" s="208"/>
      <c r="E7" s="208"/>
      <c r="F7" s="208"/>
      <c r="G7" s="208"/>
      <c r="H7" s="208"/>
      <c r="I7" s="208"/>
      <c r="J7" s="208"/>
      <c r="K7" s="208"/>
      <c r="L7" s="208"/>
      <c r="M7" s="208"/>
      <c r="N7" s="362"/>
      <c r="O7" s="208"/>
      <c r="P7" s="208"/>
      <c r="Q7" s="208"/>
      <c r="R7" s="208"/>
      <c r="S7" s="208"/>
      <c r="T7" s="208"/>
      <c r="U7" s="208"/>
      <c r="V7" s="208"/>
      <c r="W7" s="208"/>
      <c r="X7" s="208"/>
      <c r="Y7" s="208"/>
      <c r="Z7" s="208"/>
      <c r="AA7" s="208"/>
      <c r="AB7" s="208"/>
      <c r="AC7" s="208"/>
      <c r="AD7" s="208"/>
      <c r="AE7" s="208"/>
      <c r="AF7" s="208"/>
      <c r="AG7" s="208"/>
      <c r="AH7" s="208"/>
      <c r="AI7" s="208"/>
      <c r="AJ7" s="208"/>
      <c r="AK7" s="208"/>
    </row>
    <row r="8" spans="1:37" ht="18.600000000000001" thickBot="1" x14ac:dyDescent="0.4">
      <c r="A8" s="208"/>
      <c r="B8" s="634" t="s">
        <v>594</v>
      </c>
      <c r="C8" s="724"/>
      <c r="D8" s="208"/>
      <c r="E8" s="208"/>
      <c r="F8" s="208"/>
      <c r="G8" s="208"/>
      <c r="H8" s="432" t="s">
        <v>70</v>
      </c>
      <c r="I8" s="637"/>
      <c r="J8" s="637"/>
      <c r="K8" s="637"/>
      <c r="L8" s="637"/>
      <c r="M8" s="637"/>
      <c r="N8" s="637"/>
      <c r="O8" s="637"/>
      <c r="P8" s="637"/>
      <c r="Q8" s="637"/>
      <c r="R8" s="637"/>
      <c r="S8" s="637"/>
      <c r="T8" s="637"/>
      <c r="U8" s="637"/>
      <c r="V8" s="638"/>
      <c r="W8" s="208"/>
      <c r="X8" s="433" t="s">
        <v>71</v>
      </c>
      <c r="Y8" s="433"/>
      <c r="Z8" s="208"/>
      <c r="AA8" s="208"/>
      <c r="AB8" s="432" t="s">
        <v>72</v>
      </c>
      <c r="AC8" s="637"/>
      <c r="AD8" s="637"/>
      <c r="AE8" s="637"/>
      <c r="AF8" s="637"/>
      <c r="AG8" s="637"/>
      <c r="AH8" s="637"/>
      <c r="AI8" s="637"/>
      <c r="AJ8" s="637"/>
      <c r="AK8" s="638"/>
    </row>
    <row r="9" spans="1:37" ht="18.600000000000001" thickBot="1" x14ac:dyDescent="0.4">
      <c r="A9" s="208"/>
      <c r="B9" s="634" t="s">
        <v>559</v>
      </c>
      <c r="C9" s="724"/>
      <c r="D9" s="208"/>
      <c r="E9" s="208"/>
      <c r="F9" s="208"/>
      <c r="G9" s="208"/>
      <c r="H9" s="208"/>
      <c r="I9" s="208"/>
      <c r="J9" s="208"/>
      <c r="K9" s="208"/>
      <c r="L9" s="208"/>
      <c r="M9" s="208"/>
      <c r="N9" s="362"/>
      <c r="O9" s="208"/>
      <c r="P9" s="208"/>
      <c r="Q9" s="208"/>
      <c r="R9" s="208"/>
      <c r="S9" s="208"/>
      <c r="T9" s="208"/>
      <c r="U9" s="208"/>
      <c r="V9" s="208"/>
      <c r="W9" s="208"/>
      <c r="X9" s="208"/>
      <c r="Y9" s="208"/>
      <c r="Z9" s="208"/>
      <c r="AA9" s="208"/>
      <c r="AB9" s="208"/>
      <c r="AC9" s="208"/>
      <c r="AD9" s="208"/>
      <c r="AE9" s="208"/>
      <c r="AF9" s="208"/>
      <c r="AG9" s="208"/>
      <c r="AH9" s="208"/>
      <c r="AI9" s="208"/>
      <c r="AJ9" s="208"/>
      <c r="AK9" s="208"/>
    </row>
    <row r="10" spans="1:37" ht="18.600000000000001" thickBot="1" x14ac:dyDescent="0.4">
      <c r="A10" s="208"/>
      <c r="B10" s="634" t="s">
        <v>592</v>
      </c>
      <c r="C10" s="724"/>
      <c r="D10" s="208"/>
      <c r="E10" s="208"/>
      <c r="F10" s="208"/>
      <c r="G10" s="208"/>
      <c r="H10" s="359" t="s">
        <v>75</v>
      </c>
      <c r="I10" s="360"/>
      <c r="J10" s="360"/>
      <c r="K10" s="360"/>
      <c r="L10" s="639"/>
      <c r="M10" s="208"/>
      <c r="N10" s="359" t="s">
        <v>76</v>
      </c>
      <c r="O10" s="360"/>
      <c r="P10" s="360"/>
      <c r="Q10" s="360"/>
      <c r="R10" s="640"/>
      <c r="S10" s="208"/>
      <c r="T10" s="590" t="s">
        <v>77</v>
      </c>
      <c r="U10" s="208"/>
      <c r="V10" s="590" t="s">
        <v>78</v>
      </c>
      <c r="W10" s="208"/>
      <c r="X10" s="116" t="s">
        <v>79</v>
      </c>
      <c r="Y10" s="116" t="s">
        <v>80</v>
      </c>
      <c r="Z10" s="208"/>
      <c r="AA10" s="208"/>
      <c r="AB10" s="208"/>
      <c r="AC10" s="208"/>
      <c r="AD10" s="208"/>
      <c r="AE10" s="208"/>
      <c r="AF10" s="208"/>
      <c r="AG10" s="208"/>
      <c r="AH10" s="208"/>
      <c r="AI10" s="208"/>
      <c r="AJ10" s="208"/>
      <c r="AK10" s="208"/>
    </row>
    <row r="11" spans="1:37" ht="18" x14ac:dyDescent="0.35">
      <c r="A11" s="208"/>
      <c r="B11" s="634" t="s">
        <v>593</v>
      </c>
      <c r="C11" s="724"/>
      <c r="D11" s="208"/>
      <c r="E11" s="208"/>
      <c r="F11" s="208"/>
      <c r="G11" s="208"/>
      <c r="H11" s="5" t="s">
        <v>82</v>
      </c>
      <c r="I11" s="5"/>
      <c r="J11" s="5"/>
      <c r="K11" s="5"/>
      <c r="L11" s="208"/>
      <c r="M11" s="208"/>
      <c r="N11" s="362"/>
      <c r="O11" s="208"/>
      <c r="P11" s="208"/>
      <c r="Q11" s="208"/>
      <c r="R11" s="208"/>
      <c r="S11" s="208"/>
      <c r="T11" s="208"/>
      <c r="U11" s="208"/>
      <c r="V11" s="208"/>
      <c r="W11" s="208"/>
      <c r="X11" s="208"/>
      <c r="Y11" s="641"/>
      <c r="Z11" s="208"/>
      <c r="AA11" s="208"/>
      <c r="AB11" t="s">
        <v>83</v>
      </c>
      <c r="AC11" s="208"/>
      <c r="AD11" s="208"/>
      <c r="AE11" s="208"/>
      <c r="AF11" s="208"/>
      <c r="AG11" s="208"/>
      <c r="AH11" s="208"/>
      <c r="AI11" s="208"/>
      <c r="AJ11" s="208"/>
      <c r="AK11" s="208"/>
    </row>
    <row r="12" spans="1:37" ht="16.2" x14ac:dyDescent="0.45">
      <c r="A12" s="208"/>
      <c r="B12" s="634"/>
      <c r="C12" s="234"/>
      <c r="D12" s="208"/>
      <c r="E12" s="208"/>
      <c r="F12" s="208"/>
      <c r="G12" s="208"/>
      <c r="H12" s="362" t="s">
        <v>85</v>
      </c>
      <c r="I12" s="634"/>
      <c r="J12" s="634"/>
      <c r="K12" s="133">
        <f>'Crew Payroll'!AE45</f>
        <v>0</v>
      </c>
      <c r="L12" s="208"/>
      <c r="M12" s="208"/>
      <c r="N12" s="32" t="s">
        <v>86</v>
      </c>
      <c r="O12" s="142"/>
      <c r="P12" s="142"/>
      <c r="Q12" s="134">
        <f>P13+P14</f>
        <v>0</v>
      </c>
      <c r="R12" s="642"/>
      <c r="S12" s="642"/>
      <c r="T12" s="134">
        <f>'Crew Payroll'!U53</f>
        <v>0</v>
      </c>
      <c r="U12" s="642"/>
      <c r="V12" s="642">
        <f>K12-(Q12+T12)</f>
        <v>0</v>
      </c>
      <c r="W12" s="208"/>
      <c r="X12" s="641"/>
      <c r="Y12" s="641"/>
      <c r="Z12" s="208"/>
      <c r="AA12" s="208"/>
      <c r="AB12" s="272" t="s">
        <v>87</v>
      </c>
      <c r="AC12" s="208"/>
      <c r="AD12" s="208"/>
      <c r="AE12" s="208"/>
      <c r="AF12" s="208"/>
      <c r="AG12" s="208"/>
      <c r="AH12" s="208"/>
      <c r="AI12" s="208"/>
      <c r="AJ12" s="208"/>
      <c r="AK12" s="208"/>
    </row>
    <row r="13" spans="1:37" ht="16.2" x14ac:dyDescent="0.45">
      <c r="A13" s="208"/>
      <c r="B13" s="142" t="s">
        <v>73</v>
      </c>
      <c r="C13" s="157"/>
      <c r="D13" s="208"/>
      <c r="E13" s="208"/>
      <c r="F13" s="208"/>
      <c r="G13" s="208"/>
      <c r="H13" s="208"/>
      <c r="I13" s="208"/>
      <c r="J13" s="208"/>
      <c r="K13" s="208"/>
      <c r="L13" s="208"/>
      <c r="M13" s="208"/>
      <c r="N13" s="362"/>
      <c r="O13" s="255" t="s">
        <v>88</v>
      </c>
      <c r="P13" s="256">
        <f>'Crew Payroll'!S53</f>
        <v>0</v>
      </c>
      <c r="Q13" s="208"/>
      <c r="R13" s="208"/>
      <c r="S13" s="208"/>
      <c r="T13" s="208"/>
      <c r="U13" s="208"/>
      <c r="V13" s="642"/>
      <c r="W13" s="208"/>
      <c r="X13" s="641"/>
      <c r="Y13" s="641"/>
      <c r="Z13" s="208"/>
      <c r="AA13" s="208"/>
      <c r="AB13" s="208"/>
      <c r="AC13" s="208"/>
      <c r="AD13" s="208"/>
      <c r="AE13" s="208"/>
      <c r="AF13" s="208"/>
      <c r="AG13" s="208"/>
      <c r="AH13" s="208"/>
      <c r="AI13" s="208"/>
      <c r="AJ13" s="208"/>
      <c r="AK13" s="208"/>
    </row>
    <row r="14" spans="1:37" ht="16.2" x14ac:dyDescent="0.45">
      <c r="A14" s="208"/>
      <c r="B14" s="142" t="s">
        <v>74</v>
      </c>
      <c r="C14" s="157"/>
      <c r="D14" s="208"/>
      <c r="E14" s="208"/>
      <c r="F14" s="208"/>
      <c r="G14" s="208"/>
      <c r="H14" s="208"/>
      <c r="I14" s="208"/>
      <c r="J14" s="208"/>
      <c r="K14" s="208"/>
      <c r="L14" s="208"/>
      <c r="M14" s="208"/>
      <c r="N14" s="362"/>
      <c r="O14" s="255" t="s">
        <v>90</v>
      </c>
      <c r="P14" s="256">
        <f>'Crew Payroll'!S54</f>
        <v>0</v>
      </c>
      <c r="Q14" s="208"/>
      <c r="R14" s="208"/>
      <c r="S14" s="208"/>
      <c r="T14" s="208"/>
      <c r="U14" s="208"/>
      <c r="V14" s="642"/>
      <c r="W14" s="208"/>
      <c r="X14" s="641"/>
      <c r="Y14" s="641"/>
      <c r="Z14" s="208"/>
      <c r="AA14" s="208"/>
      <c r="AB14" s="208"/>
      <c r="AC14" s="208"/>
      <c r="AD14" s="208"/>
      <c r="AE14" s="208"/>
      <c r="AF14" s="208"/>
      <c r="AG14" s="208"/>
      <c r="AH14" s="208"/>
      <c r="AI14" s="208"/>
      <c r="AJ14" s="208"/>
      <c r="AK14" s="208"/>
    </row>
    <row r="15" spans="1:37" ht="16.2" x14ac:dyDescent="0.45">
      <c r="A15" s="208"/>
      <c r="B15" s="142" t="s">
        <v>81</v>
      </c>
      <c r="C15" s="158"/>
      <c r="D15" s="208"/>
      <c r="E15" s="208"/>
      <c r="F15" s="208"/>
      <c r="G15" s="208"/>
      <c r="H15" s="32" t="s">
        <v>92</v>
      </c>
      <c r="I15" s="634"/>
      <c r="J15" s="634"/>
      <c r="K15" s="133">
        <f>'ProdCo Sub-Vendors'!M44</f>
        <v>0</v>
      </c>
      <c r="L15" s="208"/>
      <c r="M15" s="208"/>
      <c r="N15" s="32" t="s">
        <v>92</v>
      </c>
      <c r="O15" s="634"/>
      <c r="P15" s="634"/>
      <c r="Q15" s="134">
        <f>'ProdCo Sub-Vendors'!N57</f>
        <v>0</v>
      </c>
      <c r="R15" s="208"/>
      <c r="S15" s="208"/>
      <c r="T15" s="134">
        <f>'ProdCo Sub-Vendors'!N58</f>
        <v>0</v>
      </c>
      <c r="U15" s="208"/>
      <c r="V15" s="642">
        <f t="shared" ref="V15:V18" si="0">K15-(Q15+T15)</f>
        <v>0</v>
      </c>
      <c r="W15" s="208"/>
      <c r="X15" s="641"/>
      <c r="Y15" s="641"/>
      <c r="Z15" s="208"/>
      <c r="AA15" s="208"/>
      <c r="AB15" s="208"/>
      <c r="AC15" s="208"/>
      <c r="AD15" s="208"/>
      <c r="AE15" s="208"/>
      <c r="AF15" s="208"/>
      <c r="AG15" s="208"/>
      <c r="AH15" s="208"/>
      <c r="AI15" s="208"/>
      <c r="AJ15" s="208"/>
      <c r="AK15" s="208"/>
    </row>
    <row r="16" spans="1:37" ht="16.2" x14ac:dyDescent="0.45">
      <c r="A16" s="208"/>
      <c r="B16" s="142" t="s">
        <v>84</v>
      </c>
      <c r="C16" s="158"/>
      <c r="D16" s="208"/>
      <c r="E16" s="208"/>
      <c r="F16" s="208"/>
      <c r="G16" s="208"/>
      <c r="H16" s="32" t="s">
        <v>95</v>
      </c>
      <c r="I16" s="634"/>
      <c r="J16" s="634"/>
      <c r="K16" s="133">
        <f>'Prod - Petty Cash'!N34</f>
        <v>0</v>
      </c>
      <c r="L16" s="208"/>
      <c r="M16" s="208"/>
      <c r="N16" s="32" t="s">
        <v>95</v>
      </c>
      <c r="O16" s="634"/>
      <c r="P16" s="634"/>
      <c r="Q16" s="134">
        <f>'Prod - Petty Cash'!O49</f>
        <v>0</v>
      </c>
      <c r="R16" s="208"/>
      <c r="S16" s="208"/>
      <c r="T16" s="134">
        <f>'Prod - Petty Cash'!N40</f>
        <v>0</v>
      </c>
      <c r="U16" s="208"/>
      <c r="V16" s="642">
        <f t="shared" si="0"/>
        <v>0</v>
      </c>
      <c r="W16" s="208"/>
      <c r="X16" s="641"/>
      <c r="Y16" s="641"/>
      <c r="Z16" s="208"/>
      <c r="AA16" s="208"/>
      <c r="AB16" s="208"/>
      <c r="AC16" s="208"/>
      <c r="AD16" s="208"/>
      <c r="AE16" s="208"/>
      <c r="AF16" s="208"/>
      <c r="AG16" s="208"/>
      <c r="AH16" s="208"/>
      <c r="AI16" s="208"/>
      <c r="AJ16" s="208"/>
      <c r="AK16" s="208"/>
    </row>
    <row r="17" spans="2:26" ht="16.2" x14ac:dyDescent="0.45">
      <c r="B17" s="634"/>
      <c r="C17" s="208"/>
      <c r="D17" s="208"/>
      <c r="E17" s="208"/>
      <c r="F17" s="208"/>
      <c r="G17" s="208"/>
      <c r="H17" s="32" t="s">
        <v>97</v>
      </c>
      <c r="I17" s="142"/>
      <c r="J17" s="142"/>
      <c r="K17" s="133" t="e">
        <f>#REF!</f>
        <v>#REF!</v>
      </c>
      <c r="L17" s="208"/>
      <c r="M17" s="208"/>
      <c r="N17" s="32" t="s">
        <v>97</v>
      </c>
      <c r="O17" s="142"/>
      <c r="P17" s="142"/>
      <c r="Q17" s="134" t="e">
        <f>#REF!</f>
        <v>#REF!</v>
      </c>
      <c r="R17" s="208"/>
      <c r="S17" s="208"/>
      <c r="T17" s="134" t="e">
        <f>#REF!</f>
        <v>#REF!</v>
      </c>
      <c r="U17" s="208"/>
      <c r="V17" s="642" t="e">
        <f t="shared" si="0"/>
        <v>#REF!</v>
      </c>
      <c r="W17" s="208"/>
      <c r="X17" s="641"/>
      <c r="Y17" s="641"/>
      <c r="Z17" s="208"/>
    </row>
    <row r="18" spans="2:26" ht="16.2" x14ac:dyDescent="0.45">
      <c r="B18" s="634" t="s">
        <v>89</v>
      </c>
      <c r="C18" s="157" t="s">
        <v>201</v>
      </c>
      <c r="D18" s="208"/>
      <c r="E18" s="208"/>
      <c r="F18" s="208"/>
      <c r="G18" s="208"/>
      <c r="H18" s="32" t="s">
        <v>99</v>
      </c>
      <c r="I18" s="142"/>
      <c r="J18" s="142"/>
      <c r="K18" s="133" t="e">
        <f>#REF!</f>
        <v>#REF!</v>
      </c>
      <c r="L18" s="208"/>
      <c r="M18" s="208"/>
      <c r="N18" s="32" t="s">
        <v>99</v>
      </c>
      <c r="O18" s="142"/>
      <c r="P18" s="142"/>
      <c r="Q18" s="134" t="e">
        <f>#REF!</f>
        <v>#REF!</v>
      </c>
      <c r="R18" s="642"/>
      <c r="S18" s="642"/>
      <c r="T18" s="134" t="e">
        <f>#REF!</f>
        <v>#REF!</v>
      </c>
      <c r="U18" s="642"/>
      <c r="V18" s="642" t="e">
        <f t="shared" si="0"/>
        <v>#REF!</v>
      </c>
      <c r="W18" s="208"/>
      <c r="X18" s="641"/>
      <c r="Y18" s="641"/>
      <c r="Z18" s="208"/>
    </row>
    <row r="19" spans="2:26" x14ac:dyDescent="0.3">
      <c r="B19" s="142" t="s">
        <v>91</v>
      </c>
      <c r="C19" s="157"/>
      <c r="D19" s="208"/>
      <c r="E19" s="208"/>
      <c r="F19" s="208"/>
      <c r="G19" s="208"/>
      <c r="H19" s="208"/>
      <c r="I19" s="208"/>
      <c r="J19" s="208"/>
      <c r="K19" s="208"/>
      <c r="L19" s="208"/>
      <c r="M19" s="208"/>
      <c r="N19" s="362"/>
      <c r="O19" s="208"/>
      <c r="P19" s="208"/>
      <c r="Q19" s="208"/>
      <c r="R19" s="208"/>
      <c r="S19" s="208"/>
      <c r="T19" s="208"/>
      <c r="U19" s="208"/>
      <c r="V19" s="642"/>
      <c r="W19" s="208"/>
      <c r="X19" s="434"/>
      <c r="Y19" s="641"/>
      <c r="Z19" t="s">
        <v>207</v>
      </c>
    </row>
    <row r="20" spans="2:26" ht="16.2" x14ac:dyDescent="0.45">
      <c r="B20" s="634" t="s">
        <v>93</v>
      </c>
      <c r="C20" s="157" t="s">
        <v>202</v>
      </c>
      <c r="D20" t="s">
        <v>216</v>
      </c>
      <c r="E20" s="208"/>
      <c r="F20" s="208"/>
      <c r="G20" s="208"/>
      <c r="H20" s="32" t="s">
        <v>102</v>
      </c>
      <c r="I20" s="142"/>
      <c r="J20" s="142"/>
      <c r="K20" s="133">
        <f>SUM('Talent &amp; Extras'!T63)</f>
        <v>0</v>
      </c>
      <c r="L20" s="208"/>
      <c r="M20" s="208"/>
      <c r="N20" s="32" t="s">
        <v>102</v>
      </c>
      <c r="O20" s="142"/>
      <c r="P20" s="142"/>
      <c r="Q20" s="133">
        <f>'Talent &amp; Extras'!N81</f>
        <v>0</v>
      </c>
      <c r="R20" s="208"/>
      <c r="S20" s="208"/>
      <c r="T20" s="133">
        <f>'Talent &amp; Extras'!M69</f>
        <v>0</v>
      </c>
      <c r="U20" s="208"/>
      <c r="V20" s="642">
        <f>K20-(Q20+T20)</f>
        <v>0</v>
      </c>
      <c r="W20" s="208"/>
      <c r="X20" s="641"/>
      <c r="Y20" s="641"/>
      <c r="Z20" s="208"/>
    </row>
    <row r="21" spans="2:26" ht="16.2" x14ac:dyDescent="0.45">
      <c r="B21" s="634" t="s">
        <v>96</v>
      </c>
      <c r="C21" s="157" t="s">
        <v>203</v>
      </c>
      <c r="D21" t="s">
        <v>204</v>
      </c>
      <c r="E21" s="208"/>
      <c r="F21" s="208"/>
      <c r="G21" s="208"/>
      <c r="H21" s="362"/>
      <c r="I21" s="644" t="s">
        <v>104</v>
      </c>
      <c r="J21" s="258">
        <f>'Talent &amp; Extras'!Q69</f>
        <v>0</v>
      </c>
      <c r="K21" s="208"/>
      <c r="L21" s="208"/>
      <c r="M21" s="208"/>
      <c r="N21" s="362"/>
      <c r="O21" s="644" t="s">
        <v>104</v>
      </c>
      <c r="P21" s="258">
        <f>'Talent &amp; Extras'!D69</f>
        <v>0</v>
      </c>
      <c r="Q21" s="208"/>
      <c r="R21" s="208"/>
      <c r="S21" s="208"/>
      <c r="T21" s="208"/>
      <c r="U21" s="208"/>
      <c r="V21" s="642"/>
      <c r="W21" s="208"/>
      <c r="X21" s="641"/>
      <c r="Y21" s="641"/>
      <c r="Z21" s="208"/>
    </row>
    <row r="22" spans="2:26" ht="16.2" x14ac:dyDescent="0.45">
      <c r="B22" s="142" t="s">
        <v>98</v>
      </c>
      <c r="C22" s="157" t="s">
        <v>205</v>
      </c>
      <c r="D22" t="s">
        <v>206</v>
      </c>
      <c r="E22" s="208"/>
      <c r="F22" s="208"/>
      <c r="G22" s="208"/>
      <c r="H22" s="362"/>
      <c r="I22" s="255" t="s">
        <v>106</v>
      </c>
      <c r="J22" s="258">
        <f>'Talent &amp; Extras'!C71</f>
        <v>0</v>
      </c>
      <c r="K22" s="208"/>
      <c r="L22" s="208"/>
      <c r="M22" s="208"/>
      <c r="N22" s="362"/>
      <c r="O22" s="255" t="s">
        <v>106</v>
      </c>
      <c r="P22" s="258">
        <f>'Talent &amp; Extras'!D70</f>
        <v>0</v>
      </c>
      <c r="Q22" s="208"/>
      <c r="R22" s="135"/>
      <c r="S22" s="135"/>
      <c r="T22" s="208"/>
      <c r="U22" s="135"/>
      <c r="V22" s="642"/>
      <c r="W22" s="208"/>
      <c r="X22" s="641"/>
      <c r="Y22" s="641"/>
      <c r="Z22" s="208"/>
    </row>
    <row r="23" spans="2:26" ht="16.2" x14ac:dyDescent="0.45">
      <c r="B23" s="142" t="s">
        <v>100</v>
      </c>
      <c r="C23" s="157"/>
      <c r="D23" s="208"/>
      <c r="E23" s="208"/>
      <c r="F23" s="208"/>
      <c r="G23" s="208"/>
      <c r="H23" s="208"/>
      <c r="I23" s="208"/>
      <c r="J23" s="208"/>
      <c r="K23" s="208"/>
      <c r="L23" s="208"/>
      <c r="M23" s="208"/>
      <c r="N23" s="362"/>
      <c r="O23" s="255" t="s">
        <v>108</v>
      </c>
      <c r="P23" s="258">
        <f>'Talent &amp; Extras'!R69</f>
        <v>0</v>
      </c>
      <c r="Q23" s="208"/>
      <c r="R23" s="135"/>
      <c r="S23" s="135"/>
      <c r="T23" s="208"/>
      <c r="U23" s="135"/>
      <c r="V23" s="642"/>
      <c r="W23" s="208"/>
      <c r="X23" s="641"/>
      <c r="Y23" s="641"/>
      <c r="Z23" s="208"/>
    </row>
    <row r="24" spans="2:26" ht="16.2" x14ac:dyDescent="0.45">
      <c r="B24" s="634" t="s">
        <v>101</v>
      </c>
      <c r="C24" s="643" t="s">
        <v>208</v>
      </c>
      <c r="D24" s="208"/>
      <c r="E24" s="208"/>
      <c r="F24" s="208"/>
      <c r="G24" s="208"/>
      <c r="H24" s="208"/>
      <c r="I24" s="208"/>
      <c r="J24" s="208"/>
      <c r="K24" s="208"/>
      <c r="L24" s="208"/>
      <c r="M24" s="208"/>
      <c r="N24" s="362"/>
      <c r="O24" s="539" t="s">
        <v>110</v>
      </c>
      <c r="P24" s="540">
        <f>'Agency Sub-Vendors'!M69</f>
        <v>0</v>
      </c>
      <c r="Q24" s="208"/>
      <c r="R24" s="208"/>
      <c r="S24" s="208"/>
      <c r="T24" s="208"/>
      <c r="U24" s="208"/>
      <c r="V24" s="642"/>
      <c r="W24" s="208"/>
      <c r="X24" s="641"/>
      <c r="Y24" s="641"/>
      <c r="Z24" s="208"/>
    </row>
    <row r="25" spans="2:26" ht="16.2" x14ac:dyDescent="0.45">
      <c r="B25" s="634" t="s">
        <v>103</v>
      </c>
      <c r="C25" s="643"/>
      <c r="D25" s="208"/>
      <c r="E25" s="208"/>
      <c r="F25" s="208"/>
      <c r="G25" s="208"/>
      <c r="H25" s="208"/>
      <c r="I25" s="208"/>
      <c r="J25" s="208"/>
      <c r="K25" s="208"/>
      <c r="L25" s="208"/>
      <c r="M25" s="208"/>
      <c r="N25" s="362"/>
      <c r="O25" s="539" t="s">
        <v>112</v>
      </c>
      <c r="P25" s="540">
        <f>'Agency Sub-Vendors'!M68</f>
        <v>0</v>
      </c>
      <c r="Q25" s="208"/>
      <c r="R25" s="208"/>
      <c r="S25" s="208"/>
      <c r="T25" s="208"/>
      <c r="U25" s="135"/>
      <c r="V25" s="642"/>
      <c r="W25" s="208"/>
      <c r="X25" s="208"/>
      <c r="Y25" s="208"/>
      <c r="Z25" s="208"/>
    </row>
    <row r="26" spans="2:26" ht="16.2" x14ac:dyDescent="0.45">
      <c r="B26" s="634" t="s">
        <v>105</v>
      </c>
      <c r="C26" s="643" t="s">
        <v>209</v>
      </c>
      <c r="D26" s="208"/>
      <c r="E26" s="208"/>
      <c r="F26" s="208"/>
      <c r="G26" s="208"/>
      <c r="H26" s="32" t="s">
        <v>113</v>
      </c>
      <c r="I26" s="634"/>
      <c r="J26" s="634"/>
      <c r="K26" s="133">
        <f>'Agency Sub-Vendors'!M63</f>
        <v>0</v>
      </c>
      <c r="L26" s="208"/>
      <c r="M26" s="208"/>
      <c r="N26" s="32" t="s">
        <v>114</v>
      </c>
      <c r="O26" s="634"/>
      <c r="P26" s="634"/>
      <c r="Q26" s="133">
        <f>'Agency Sub-Vendors'!M60</f>
        <v>0</v>
      </c>
      <c r="R26" s="135"/>
      <c r="S26" s="135"/>
      <c r="T26" s="133">
        <f>'Agency Sub-Vendors'!M61</f>
        <v>0</v>
      </c>
      <c r="U26" s="208"/>
      <c r="V26" s="642">
        <f t="shared" ref="V26:V27" si="1">K26-(Q26+T26)</f>
        <v>0</v>
      </c>
      <c r="W26" s="208"/>
      <c r="X26" s="208"/>
      <c r="Y26" s="208"/>
      <c r="Z26" s="208"/>
    </row>
    <row r="27" spans="2:26" ht="16.2" x14ac:dyDescent="0.45">
      <c r="B27" s="645" t="s">
        <v>107</v>
      </c>
      <c r="C27" s="643"/>
      <c r="D27" s="208"/>
      <c r="E27" s="208"/>
      <c r="F27" s="208"/>
      <c r="G27" s="208"/>
      <c r="H27" s="362" t="s">
        <v>116</v>
      </c>
      <c r="I27" s="634"/>
      <c r="J27" s="634"/>
      <c r="K27" s="133">
        <f>'Agency Hours'!T43</f>
        <v>0</v>
      </c>
      <c r="L27" s="208"/>
      <c r="M27" s="208"/>
      <c r="N27" s="32" t="s">
        <v>117</v>
      </c>
      <c r="O27" s="634"/>
      <c r="P27" s="634"/>
      <c r="Q27" s="133">
        <f>'Agency Hours'!Q71</f>
        <v>0</v>
      </c>
      <c r="R27" s="208"/>
      <c r="S27" s="208"/>
      <c r="T27" s="133">
        <f>'Agency Hours'!O43</f>
        <v>0</v>
      </c>
      <c r="U27" s="208"/>
      <c r="V27" s="642">
        <f t="shared" si="1"/>
        <v>0</v>
      </c>
      <c r="W27" s="208"/>
      <c r="X27" s="208"/>
      <c r="Y27" s="208"/>
      <c r="Z27" s="208"/>
    </row>
    <row r="28" spans="2:26" ht="16.2" x14ac:dyDescent="0.45">
      <c r="B28" s="645" t="s">
        <v>109</v>
      </c>
      <c r="C28" s="643"/>
      <c r="D28" s="208"/>
      <c r="E28" s="208"/>
      <c r="F28" s="208"/>
      <c r="G28" s="208"/>
      <c r="H28" s="208"/>
      <c r="I28" s="208"/>
      <c r="J28" s="208"/>
      <c r="K28" s="208"/>
      <c r="L28" s="208"/>
      <c r="M28" s="208"/>
      <c r="N28" s="362"/>
      <c r="O28" s="255" t="s">
        <v>118</v>
      </c>
      <c r="P28" s="256">
        <f>'Agency Hours'!Q58</f>
        <v>0</v>
      </c>
      <c r="Q28" s="208"/>
      <c r="R28" s="208"/>
      <c r="S28" s="208"/>
      <c r="T28" s="208"/>
      <c r="U28" s="208"/>
      <c r="V28" s="642"/>
      <c r="W28" s="208"/>
      <c r="X28" s="208"/>
      <c r="Y28" s="208"/>
      <c r="Z28" s="208"/>
    </row>
    <row r="29" spans="2:26" ht="16.2" x14ac:dyDescent="0.45">
      <c r="B29" s="216" t="s">
        <v>111</v>
      </c>
      <c r="C29" s="643"/>
      <c r="D29" s="208"/>
      <c r="E29" s="208"/>
      <c r="F29" s="208"/>
      <c r="G29" s="208"/>
      <c r="H29" s="208"/>
      <c r="I29" s="208"/>
      <c r="J29" s="208"/>
      <c r="K29" s="208"/>
      <c r="L29" s="208"/>
      <c r="M29" s="208"/>
      <c r="N29" s="362"/>
      <c r="O29" s="255" t="s">
        <v>90</v>
      </c>
      <c r="P29" s="256">
        <f>'Agency Hours'!R43</f>
        <v>0</v>
      </c>
      <c r="Q29" s="208"/>
      <c r="R29" s="208"/>
      <c r="S29" s="208"/>
      <c r="T29" s="208"/>
      <c r="U29" s="208"/>
      <c r="V29" s="642"/>
      <c r="W29" s="208"/>
      <c r="X29" s="208"/>
      <c r="Y29" s="641"/>
      <c r="Z29" s="208"/>
    </row>
    <row r="30" spans="2:26" x14ac:dyDescent="0.3">
      <c r="B30" s="645"/>
      <c r="C30" s="646"/>
      <c r="D30" s="208"/>
      <c r="E30" s="208"/>
      <c r="F30" s="208"/>
      <c r="G30" s="208"/>
      <c r="H30" s="208"/>
      <c r="I30" s="208"/>
      <c r="J30" s="208"/>
      <c r="K30" s="208"/>
      <c r="L30" s="208"/>
      <c r="M30" s="208"/>
      <c r="N30" s="362"/>
      <c r="O30" s="208"/>
      <c r="P30" s="208"/>
      <c r="Q30" s="208"/>
      <c r="R30" s="208"/>
      <c r="S30" s="208"/>
      <c r="T30" s="208"/>
      <c r="U30" s="208"/>
      <c r="V30" s="642"/>
      <c r="W30" s="208"/>
      <c r="X30" s="208"/>
      <c r="Y30" s="208"/>
      <c r="Z30" s="208"/>
    </row>
    <row r="31" spans="2:26" ht="16.2" x14ac:dyDescent="0.45">
      <c r="B31" s="634" t="s">
        <v>115</v>
      </c>
      <c r="C31" s="643"/>
      <c r="D31" s="208"/>
      <c r="E31" s="208"/>
      <c r="F31" s="208"/>
      <c r="G31" s="208"/>
      <c r="H31" s="208"/>
      <c r="I31" s="648" t="s">
        <v>122</v>
      </c>
      <c r="J31" s="587">
        <f>'Agency Hours'!J49</f>
        <v>0</v>
      </c>
      <c r="K31" s="208"/>
      <c r="L31" s="208"/>
      <c r="M31" s="208"/>
      <c r="N31" s="362"/>
      <c r="O31" s="648" t="s">
        <v>122</v>
      </c>
      <c r="P31" s="586">
        <f>'Agency Hours'!S49</f>
        <v>0</v>
      </c>
      <c r="Q31" s="208"/>
      <c r="R31" s="208"/>
      <c r="S31" s="208"/>
      <c r="T31" s="208"/>
      <c r="U31" s="586">
        <f>'Agency Hours'!O49</f>
        <v>0</v>
      </c>
      <c r="V31" s="642">
        <f>J31-(P31+U31)</f>
        <v>0</v>
      </c>
      <c r="W31" s="208"/>
      <c r="X31" s="208"/>
      <c r="Y31" s="208"/>
      <c r="Z31" s="208"/>
    </row>
    <row r="32" spans="2:26" x14ac:dyDescent="0.3">
      <c r="B32" s="646"/>
      <c r="C32" s="646"/>
      <c r="D32" s="208"/>
      <c r="E32" s="208"/>
      <c r="F32" s="208"/>
      <c r="G32" s="208"/>
      <c r="H32" s="208"/>
      <c r="I32" s="208"/>
      <c r="J32" s="208"/>
      <c r="K32" s="208"/>
      <c r="L32" s="208"/>
      <c r="M32" s="208"/>
      <c r="N32" s="362"/>
      <c r="O32" s="208"/>
      <c r="P32" s="208"/>
      <c r="Q32" s="208"/>
      <c r="R32" s="208"/>
      <c r="S32" s="208"/>
      <c r="T32" s="208"/>
      <c r="U32" s="208"/>
      <c r="V32" s="642"/>
      <c r="W32" s="208"/>
      <c r="X32" s="208"/>
      <c r="Y32" s="208"/>
      <c r="Z32" s="208"/>
    </row>
    <row r="33" spans="2:25" ht="16.2" x14ac:dyDescent="0.45">
      <c r="B33" s="142" t="s">
        <v>119</v>
      </c>
      <c r="C33" s="643"/>
      <c r="D33" s="208"/>
      <c r="E33" s="208"/>
      <c r="F33" s="208"/>
      <c r="G33" s="208"/>
      <c r="H33" s="32" t="s">
        <v>124</v>
      </c>
      <c r="I33" s="142"/>
      <c r="J33" s="142"/>
      <c r="K33" s="133">
        <f>'Agency Hours'!Q68</f>
        <v>0</v>
      </c>
      <c r="L33" s="208"/>
      <c r="M33" s="208"/>
      <c r="N33" s="32" t="s">
        <v>125</v>
      </c>
      <c r="O33" s="142"/>
      <c r="P33" s="142"/>
      <c r="Q33" s="133">
        <f>'Agency Hours'!Q64+'Agency Hours'!Q65</f>
        <v>0</v>
      </c>
      <c r="R33" s="208"/>
      <c r="S33" s="208"/>
      <c r="T33" s="133">
        <f>'Agency Hours'!O55</f>
        <v>0</v>
      </c>
      <c r="U33" s="208"/>
      <c r="V33" s="642">
        <f>K33-(Q33+T33)</f>
        <v>0</v>
      </c>
      <c r="W33" s="208"/>
      <c r="X33" s="641"/>
      <c r="Y33" s="641"/>
    </row>
    <row r="34" spans="2:25" ht="16.2" x14ac:dyDescent="0.45">
      <c r="B34" s="634" t="s">
        <v>120</v>
      </c>
      <c r="C34" s="157"/>
      <c r="D34" s="647"/>
      <c r="E34" s="208"/>
      <c r="F34" s="208"/>
      <c r="G34" s="208"/>
      <c r="H34" s="208"/>
      <c r="I34" s="208"/>
      <c r="J34" s="208"/>
      <c r="K34" s="208"/>
      <c r="L34" s="208"/>
      <c r="M34" s="208"/>
      <c r="N34" s="362"/>
      <c r="O34" s="255" t="s">
        <v>118</v>
      </c>
      <c r="P34" s="256">
        <f>'Agency Hours'!S55</f>
        <v>0</v>
      </c>
      <c r="Q34" s="208"/>
      <c r="R34" s="135"/>
      <c r="S34" s="135"/>
      <c r="T34" s="208"/>
      <c r="U34" s="135"/>
      <c r="V34" s="642"/>
      <c r="W34" s="208"/>
      <c r="X34" s="641"/>
      <c r="Y34" s="641"/>
    </row>
    <row r="35" spans="2:25" ht="16.2" x14ac:dyDescent="0.45">
      <c r="B35" s="634" t="s">
        <v>121</v>
      </c>
      <c r="C35" s="157"/>
      <c r="D35" s="647"/>
      <c r="E35" s="208"/>
      <c r="F35" s="208"/>
      <c r="G35" s="208"/>
      <c r="H35" s="208"/>
      <c r="I35" s="208"/>
      <c r="J35" s="208"/>
      <c r="K35" s="208"/>
      <c r="L35" s="208"/>
      <c r="M35" s="208"/>
      <c r="N35" s="362"/>
      <c r="O35" s="255" t="s">
        <v>90</v>
      </c>
      <c r="P35" s="256">
        <f>'Agency Hours'!R55</f>
        <v>0</v>
      </c>
      <c r="Q35" s="208"/>
      <c r="R35" s="135"/>
      <c r="S35" s="135"/>
      <c r="T35" s="208"/>
      <c r="U35" s="135"/>
      <c r="V35" s="642"/>
      <c r="W35" s="208"/>
      <c r="X35" s="641"/>
      <c r="Y35" s="641"/>
    </row>
    <row r="36" spans="2:25" x14ac:dyDescent="0.3">
      <c r="B36" s="208"/>
      <c r="C36" s="208"/>
      <c r="D36" s="647"/>
      <c r="E36" s="208"/>
      <c r="F36" s="208"/>
      <c r="G36" s="208"/>
      <c r="H36" s="208"/>
      <c r="I36" s="208"/>
      <c r="J36" s="208"/>
      <c r="K36" s="208"/>
      <c r="L36" s="208"/>
      <c r="M36" s="208"/>
      <c r="N36" s="362"/>
      <c r="O36" s="208"/>
      <c r="P36" s="208"/>
      <c r="Q36" s="208"/>
      <c r="R36" s="135"/>
      <c r="S36" s="135"/>
      <c r="T36" s="208"/>
      <c r="U36" s="135"/>
      <c r="V36" s="642"/>
      <c r="W36" s="208"/>
      <c r="X36" s="641"/>
      <c r="Y36" s="641"/>
    </row>
    <row r="37" spans="2:25" ht="16.2" x14ac:dyDescent="0.45">
      <c r="B37" s="208"/>
      <c r="C37" t="s">
        <v>123</v>
      </c>
      <c r="D37" s="435">
        <v>300358</v>
      </c>
      <c r="E37" s="208"/>
      <c r="F37" s="208"/>
      <c r="G37" s="208"/>
      <c r="H37" s="362" t="s">
        <v>130</v>
      </c>
      <c r="I37" s="634"/>
      <c r="J37" s="634"/>
      <c r="K37" s="133" t="e">
        <f>#REF!</f>
        <v>#REF!</v>
      </c>
      <c r="L37" s="208"/>
      <c r="M37" s="208"/>
      <c r="N37" s="362" t="s">
        <v>130</v>
      </c>
      <c r="O37" s="634"/>
      <c r="P37" s="634"/>
      <c r="Q37" s="133" t="e">
        <f>#REF!</f>
        <v>#REF!</v>
      </c>
      <c r="R37" s="135"/>
      <c r="S37" s="135"/>
      <c r="T37" s="133" t="e">
        <f>#REF!</f>
        <v>#REF!</v>
      </c>
      <c r="U37" s="135"/>
      <c r="V37" s="642" t="e">
        <f t="shared" ref="V37:V39" si="2">K37-(Q37+T37)</f>
        <v>#REF!</v>
      </c>
      <c r="W37" s="208"/>
      <c r="X37" s="641"/>
      <c r="Y37" s="641"/>
    </row>
    <row r="38" spans="2:25" ht="16.2" x14ac:dyDescent="0.45">
      <c r="B38" s="208"/>
      <c r="C38" t="s">
        <v>126</v>
      </c>
      <c r="D38" s="649"/>
      <c r="E38" s="208"/>
      <c r="F38" s="208"/>
      <c r="G38" s="208"/>
      <c r="H38" s="362" t="s">
        <v>132</v>
      </c>
      <c r="I38" s="634"/>
      <c r="J38" s="634"/>
      <c r="K38" s="133" t="e">
        <f>#REF!</f>
        <v>#REF!</v>
      </c>
      <c r="L38" s="208"/>
      <c r="M38" s="208"/>
      <c r="N38" s="362" t="s">
        <v>133</v>
      </c>
      <c r="O38" s="634"/>
      <c r="P38" s="634"/>
      <c r="Q38" s="133" t="e">
        <f>#REF!+#REF!</f>
        <v>#REF!</v>
      </c>
      <c r="R38" s="135"/>
      <c r="S38" s="135"/>
      <c r="T38" s="133" t="e">
        <f>#REF!</f>
        <v>#REF!</v>
      </c>
      <c r="U38" s="135"/>
      <c r="V38" s="642" t="e">
        <f t="shared" si="2"/>
        <v>#REF!</v>
      </c>
      <c r="W38" s="208"/>
      <c r="X38" s="641"/>
      <c r="Y38" s="641"/>
    </row>
    <row r="39" spans="2:25" ht="16.2" x14ac:dyDescent="0.45">
      <c r="B39" s="208"/>
      <c r="C39" t="s">
        <v>127</v>
      </c>
      <c r="D39" s="394"/>
      <c r="E39" s="208"/>
      <c r="F39" s="208"/>
      <c r="G39" s="208"/>
      <c r="H39" s="362" t="s">
        <v>135</v>
      </c>
      <c r="I39" s="634"/>
      <c r="J39" s="634"/>
      <c r="K39" s="133" t="e">
        <f>#REF!</f>
        <v>#REF!</v>
      </c>
      <c r="L39" s="208"/>
      <c r="M39" s="208"/>
      <c r="N39" s="362" t="s">
        <v>135</v>
      </c>
      <c r="O39" s="634"/>
      <c r="P39" s="634"/>
      <c r="Q39" s="133" t="e">
        <f>#REF!</f>
        <v>#REF!</v>
      </c>
      <c r="R39" s="135"/>
      <c r="S39" s="135"/>
      <c r="T39" s="133" t="e">
        <f>#REF!</f>
        <v>#REF!</v>
      </c>
      <c r="U39" s="135"/>
      <c r="V39" s="642" t="e">
        <f t="shared" si="2"/>
        <v>#REF!</v>
      </c>
      <c r="W39" s="650"/>
      <c r="X39" s="641"/>
      <c r="Y39" s="641"/>
    </row>
    <row r="40" spans="2:25" ht="16.2" x14ac:dyDescent="0.45">
      <c r="B40" s="208"/>
      <c r="C40" t="s">
        <v>128</v>
      </c>
      <c r="D40" s="395"/>
      <c r="E40" s="208"/>
      <c r="F40" s="208"/>
      <c r="G40" s="208"/>
      <c r="H40" s="362" t="s">
        <v>137</v>
      </c>
      <c r="I40" s="634"/>
      <c r="J40" s="634"/>
      <c r="K40" s="133" t="e">
        <f>#REF!</f>
        <v>#REF!</v>
      </c>
      <c r="L40" s="208"/>
      <c r="M40" s="208"/>
      <c r="N40" s="362" t="s">
        <v>137</v>
      </c>
      <c r="O40" s="634"/>
      <c r="P40" s="634"/>
      <c r="Q40" s="133" t="e">
        <f>#REF!</f>
        <v>#REF!</v>
      </c>
      <c r="R40" s="135"/>
      <c r="S40" s="135"/>
      <c r="T40" s="133" t="e">
        <f>SUM(T12,T15:T18,T20,T26:T27,T34:T37)</f>
        <v>#REF!</v>
      </c>
      <c r="U40" s="135"/>
      <c r="V40" s="642" t="e">
        <f>K40-(Q40+T40)</f>
        <v>#REF!</v>
      </c>
      <c r="W40" s="208"/>
      <c r="X40" s="641"/>
      <c r="Y40" s="641"/>
    </row>
    <row r="41" spans="2:25" ht="16.2" x14ac:dyDescent="0.45">
      <c r="B41" s="208"/>
      <c r="C41" s="208" t="s">
        <v>129</v>
      </c>
      <c r="D41" s="649"/>
      <c r="E41" s="208"/>
      <c r="F41" s="208"/>
      <c r="G41" s="208"/>
      <c r="H41" s="208"/>
      <c r="I41" s="648" t="s">
        <v>139</v>
      </c>
      <c r="J41" s="587" t="e">
        <f>#REF!</f>
        <v>#REF!</v>
      </c>
      <c r="K41" s="208"/>
      <c r="L41" s="208"/>
      <c r="M41" s="208"/>
      <c r="N41" s="362"/>
      <c r="O41" s="648" t="s">
        <v>139</v>
      </c>
      <c r="P41" s="586" t="e">
        <f>#REF!</f>
        <v>#REF!</v>
      </c>
      <c r="Q41" s="208"/>
      <c r="R41" s="208"/>
      <c r="S41" s="208"/>
      <c r="T41" s="208"/>
      <c r="U41" s="586" t="e">
        <f>#REF!</f>
        <v>#REF!</v>
      </c>
      <c r="V41" s="642" t="e">
        <f>J41-(P41+U41)</f>
        <v>#REF!</v>
      </c>
      <c r="W41" s="208"/>
      <c r="X41" s="698"/>
      <c r="Y41" s="641"/>
    </row>
    <row r="42" spans="2:25" ht="16.2" x14ac:dyDescent="0.45">
      <c r="B42" s="208"/>
      <c r="C42" t="s">
        <v>131</v>
      </c>
      <c r="D42" s="649"/>
      <c r="E42" s="208"/>
      <c r="F42" s="208"/>
      <c r="G42" s="208"/>
      <c r="H42" s="362" t="s">
        <v>141</v>
      </c>
      <c r="I42" s="634"/>
      <c r="J42" s="634"/>
      <c r="K42" s="133">
        <v>0</v>
      </c>
      <c r="L42" s="208"/>
      <c r="M42" s="208"/>
      <c r="N42" s="362" t="s">
        <v>141</v>
      </c>
      <c r="O42" s="634"/>
      <c r="P42" s="634"/>
      <c r="Q42" s="133">
        <v>0</v>
      </c>
      <c r="R42" s="135"/>
      <c r="S42" s="135"/>
      <c r="T42" s="133"/>
      <c r="U42" s="135"/>
      <c r="V42" s="642">
        <f>K42-(Q42+T42)</f>
        <v>0</v>
      </c>
      <c r="W42" s="652"/>
      <c r="X42" s="208"/>
      <c r="Y42" s="208"/>
    </row>
    <row r="43" spans="2:25" ht="15" thickBot="1" x14ac:dyDescent="0.35">
      <c r="B43" s="647"/>
      <c r="C43" t="s">
        <v>134</v>
      </c>
      <c r="D43" s="395"/>
      <c r="E43" s="208"/>
      <c r="F43" s="208"/>
      <c r="G43" s="208"/>
      <c r="H43" s="362" t="s">
        <v>142</v>
      </c>
      <c r="I43" s="634"/>
      <c r="J43" s="634"/>
      <c r="K43" s="136" t="e">
        <f>SUM(K12:K42)</f>
        <v>#REF!</v>
      </c>
      <c r="L43" s="208"/>
      <c r="M43" s="208"/>
      <c r="N43" s="32" t="s">
        <v>143</v>
      </c>
      <c r="O43" s="634"/>
      <c r="P43" s="634"/>
      <c r="Q43" s="136" t="e">
        <f>SUM(Q12:Q42)+P24+P25</f>
        <v>#REF!</v>
      </c>
      <c r="R43" s="208"/>
      <c r="S43" s="208"/>
      <c r="T43" s="136" t="e">
        <f>SUM(T12:T42)</f>
        <v>#REF!</v>
      </c>
      <c r="U43" s="208"/>
      <c r="V43" s="588" t="e">
        <f>SUM(V12:V30,V32:V42)</f>
        <v>#REF!</v>
      </c>
      <c r="W43" s="208"/>
      <c r="X43" s="208"/>
      <c r="Y43" s="208"/>
    </row>
    <row r="44" spans="2:25" ht="15" thickTop="1" x14ac:dyDescent="0.3">
      <c r="B44" s="647"/>
      <c r="C44" s="208" t="s">
        <v>136</v>
      </c>
      <c r="D44" s="393"/>
      <c r="E44" s="208"/>
      <c r="F44" s="208"/>
      <c r="G44" s="208"/>
      <c r="H44" s="208"/>
      <c r="I44" s="208"/>
      <c r="J44" s="208"/>
      <c r="K44" s="208"/>
      <c r="L44" s="208"/>
      <c r="M44" s="208"/>
      <c r="N44" s="362"/>
      <c r="O44" s="208"/>
      <c r="P44" s="208"/>
      <c r="Q44" s="208"/>
      <c r="R44" s="208"/>
      <c r="S44" s="208"/>
      <c r="T44" s="208"/>
      <c r="U44" s="208"/>
      <c r="V44" s="208"/>
      <c r="W44" s="208"/>
      <c r="X44" s="208"/>
      <c r="Y44" s="208"/>
    </row>
    <row r="45" spans="2:25" ht="16.2" x14ac:dyDescent="0.45">
      <c r="B45" s="208"/>
      <c r="C45" t="s">
        <v>138</v>
      </c>
      <c r="D45" s="396"/>
      <c r="E45" s="208"/>
      <c r="F45" s="208"/>
      <c r="G45" s="208"/>
      <c r="H45" s="208"/>
      <c r="I45" s="208"/>
      <c r="J45" s="208"/>
      <c r="K45" s="208"/>
      <c r="L45" s="208"/>
      <c r="M45" s="208"/>
      <c r="N45" s="362"/>
      <c r="O45" s="255" t="s">
        <v>145</v>
      </c>
      <c r="P45" s="256">
        <f>P14+P23+P29+P35</f>
        <v>0</v>
      </c>
      <c r="Q45" s="208"/>
      <c r="R45" s="208"/>
      <c r="S45" s="208"/>
      <c r="T45" s="208"/>
      <c r="U45" s="208"/>
      <c r="V45" s="208"/>
      <c r="W45" s="208"/>
      <c r="X45" s="208"/>
      <c r="Y45" s="208"/>
    </row>
    <row r="46" spans="2:25" ht="15" thickBot="1" x14ac:dyDescent="0.35">
      <c r="B46" s="647"/>
      <c r="C46" t="s">
        <v>140</v>
      </c>
      <c r="D46" s="393"/>
      <c r="E46" s="208"/>
      <c r="F46" s="208"/>
      <c r="G46" s="208"/>
      <c r="H46" s="208"/>
      <c r="I46" s="208"/>
      <c r="J46" s="208"/>
      <c r="K46" s="208"/>
      <c r="L46" s="208"/>
      <c r="M46" s="208"/>
      <c r="N46" s="362"/>
      <c r="O46" s="208"/>
      <c r="P46" s="208"/>
      <c r="Q46" s="208"/>
      <c r="R46" s="208"/>
      <c r="S46" s="208"/>
      <c r="T46" s="208"/>
      <c r="U46" s="208"/>
      <c r="V46" s="208"/>
      <c r="W46" s="208"/>
      <c r="X46" s="208"/>
      <c r="Y46" s="208"/>
    </row>
    <row r="47" spans="2:25" x14ac:dyDescent="0.3">
      <c r="B47" s="647"/>
      <c r="C47" s="208"/>
      <c r="D47" s="647"/>
      <c r="E47" s="208"/>
      <c r="F47" s="208"/>
      <c r="G47" s="208"/>
      <c r="H47" s="654"/>
      <c r="I47" s="655"/>
      <c r="J47" s="655"/>
      <c r="K47" s="655"/>
      <c r="L47" s="655"/>
      <c r="M47" s="655"/>
      <c r="N47" s="655"/>
      <c r="O47" s="656"/>
      <c r="P47" s="655"/>
      <c r="Q47" s="655"/>
      <c r="R47" s="655"/>
      <c r="S47" s="655"/>
      <c r="T47" s="657"/>
      <c r="U47" s="208"/>
      <c r="V47" s="208"/>
      <c r="W47" s="208"/>
      <c r="X47" s="208"/>
      <c r="Y47" s="208"/>
    </row>
    <row r="48" spans="2:25" ht="17.850000000000001" customHeight="1" x14ac:dyDescent="0.3">
      <c r="B48" s="610" t="s">
        <v>144</v>
      </c>
      <c r="C48" s="208"/>
      <c r="D48" s="208"/>
      <c r="E48" s="208"/>
      <c r="F48" s="208"/>
      <c r="G48" s="208"/>
      <c r="H48" s="658"/>
      <c r="I48" s="659"/>
      <c r="J48" s="660"/>
      <c r="K48" s="660"/>
      <c r="L48" s="660"/>
      <c r="M48" s="661"/>
      <c r="N48" s="208"/>
      <c r="O48" s="362"/>
      <c r="P48" s="208"/>
      <c r="Q48" s="208"/>
      <c r="R48" s="208"/>
      <c r="S48" s="208"/>
      <c r="T48" s="364"/>
      <c r="U48" s="208"/>
      <c r="V48" s="208"/>
      <c r="W48" s="208"/>
      <c r="X48" s="208"/>
      <c r="Y48" s="208"/>
    </row>
    <row r="49" spans="2:20" ht="15" thickBot="1" x14ac:dyDescent="0.35">
      <c r="B49" s="208"/>
      <c r="C49" s="208"/>
      <c r="D49" s="208"/>
      <c r="E49" s="208"/>
      <c r="F49" s="208"/>
      <c r="G49" s="208"/>
      <c r="H49" s="658"/>
      <c r="I49" s="662"/>
      <c r="J49" s="397" t="s">
        <v>151</v>
      </c>
      <c r="K49" s="398"/>
      <c r="L49" s="398"/>
      <c r="M49" s="663"/>
      <c r="N49" s="116"/>
      <c r="O49" s="116"/>
      <c r="P49" s="116"/>
      <c r="Q49" s="116"/>
      <c r="R49" s="116"/>
      <c r="S49" s="208"/>
      <c r="T49" s="364"/>
    </row>
    <row r="50" spans="2:20" ht="15" thickBot="1" x14ac:dyDescent="0.35">
      <c r="B50" s="208"/>
      <c r="C50" t="s">
        <v>146</v>
      </c>
      <c r="D50" s="653">
        <v>0</v>
      </c>
      <c r="E50" s="208"/>
      <c r="F50" s="208"/>
      <c r="G50" s="208"/>
      <c r="H50" s="658"/>
      <c r="I50" s="662"/>
      <c r="J50" s="399"/>
      <c r="K50" s="399"/>
      <c r="L50" s="399"/>
      <c r="M50" s="663"/>
      <c r="N50" s="116"/>
      <c r="O50" s="116"/>
      <c r="P50" s="116"/>
      <c r="Q50" s="116"/>
      <c r="R50" s="116"/>
      <c r="S50" s="208"/>
      <c r="T50" s="364"/>
    </row>
    <row r="51" spans="2:20" ht="15" thickBot="1" x14ac:dyDescent="0.35">
      <c r="B51" s="208"/>
      <c r="C51" t="s">
        <v>147</v>
      </c>
      <c r="D51" s="653">
        <f>Billings!H49</f>
        <v>0</v>
      </c>
      <c r="E51" s="208"/>
      <c r="F51" s="208"/>
      <c r="G51" s="208"/>
      <c r="H51" s="658"/>
      <c r="I51" s="662"/>
      <c r="J51" s="626" t="s">
        <v>217</v>
      </c>
      <c r="K51" s="627"/>
      <c r="L51" s="628"/>
      <c r="M51" s="401"/>
      <c r="N51" s="116"/>
      <c r="O51" s="208"/>
      <c r="P51" s="618"/>
      <c r="Q51" s="208"/>
      <c r="R51" s="208"/>
      <c r="S51" s="208"/>
      <c r="T51" s="364"/>
    </row>
    <row r="52" spans="2:20" x14ac:dyDescent="0.3">
      <c r="B52" s="208"/>
      <c r="C52" t="s">
        <v>148</v>
      </c>
      <c r="D52" s="653">
        <f>Billings!F27</f>
        <v>0</v>
      </c>
      <c r="E52" s="208"/>
      <c r="F52" s="208"/>
      <c r="G52" s="208"/>
      <c r="H52" s="658"/>
      <c r="I52" s="662"/>
      <c r="J52" s="400"/>
      <c r="K52" s="400"/>
      <c r="L52" s="402" t="s">
        <v>79</v>
      </c>
      <c r="M52" s="403"/>
      <c r="N52" s="664"/>
      <c r="O52" s="116" t="s">
        <v>152</v>
      </c>
      <c r="P52" s="616"/>
      <c r="Q52" s="116" t="s">
        <v>153</v>
      </c>
      <c r="R52" s="116" t="s">
        <v>154</v>
      </c>
      <c r="S52" s="208"/>
      <c r="T52" s="364"/>
    </row>
    <row r="53" spans="2:20" x14ac:dyDescent="0.3">
      <c r="C53" t="s">
        <v>149</v>
      </c>
      <c r="D53" s="653">
        <f>SUM(Billings!F28:F29)</f>
        <v>0</v>
      </c>
      <c r="E53" s="208"/>
      <c r="F53" s="208"/>
      <c r="G53" s="208"/>
      <c r="H53" s="665"/>
      <c r="I53" s="666"/>
      <c r="J53" s="400" t="s">
        <v>211</v>
      </c>
      <c r="K53" s="400"/>
      <c r="L53" s="423"/>
      <c r="M53" s="405"/>
      <c r="N53" s="116"/>
      <c r="O53" s="208"/>
      <c r="P53" s="617"/>
      <c r="Q53" s="208"/>
      <c r="R53" s="208"/>
      <c r="S53" s="208"/>
      <c r="T53" s="364"/>
    </row>
    <row r="54" spans="2:20" x14ac:dyDescent="0.3">
      <c r="C54" t="s">
        <v>150</v>
      </c>
      <c r="D54" s="653">
        <f>SUM(Billings!F29:F30)</f>
        <v>0</v>
      </c>
      <c r="E54" s="208"/>
      <c r="F54" s="208"/>
      <c r="G54" s="208"/>
      <c r="H54" s="665"/>
      <c r="I54" s="666"/>
      <c r="J54" s="400"/>
      <c r="K54" s="400" t="s">
        <v>118</v>
      </c>
      <c r="L54" s="423">
        <f>P13</f>
        <v>0</v>
      </c>
      <c r="M54" s="405"/>
      <c r="N54" s="116"/>
      <c r="O54" s="667"/>
      <c r="P54" s="617">
        <f>O54-L54</f>
        <v>0</v>
      </c>
      <c r="Q54" s="668"/>
      <c r="R54" s="668">
        <f>O54+Q54</f>
        <v>0</v>
      </c>
      <c r="S54" s="208"/>
      <c r="T54" s="364"/>
    </row>
    <row r="55" spans="2:20" x14ac:dyDescent="0.3">
      <c r="C55" s="208"/>
      <c r="D55" s="208"/>
      <c r="E55" s="208"/>
      <c r="F55" s="208"/>
      <c r="G55" s="208"/>
      <c r="H55" s="665"/>
      <c r="I55" s="666"/>
      <c r="J55" s="400"/>
      <c r="K55" s="400" t="s">
        <v>159</v>
      </c>
      <c r="L55" s="423">
        <f>P14</f>
        <v>0</v>
      </c>
      <c r="M55" s="405"/>
      <c r="N55" s="116"/>
      <c r="O55" s="667"/>
      <c r="P55" s="617">
        <f>O55-L55</f>
        <v>0</v>
      </c>
      <c r="Q55" s="668"/>
      <c r="R55" s="668">
        <f>O55+Q55</f>
        <v>0</v>
      </c>
      <c r="S55" s="208"/>
      <c r="T55" s="364"/>
    </row>
    <row r="56" spans="2:20" x14ac:dyDescent="0.3">
      <c r="C56" s="208"/>
      <c r="D56" s="208"/>
      <c r="E56" s="208"/>
      <c r="F56" s="208"/>
      <c r="G56" s="208"/>
      <c r="H56" s="665"/>
      <c r="I56" s="666"/>
      <c r="J56" s="400"/>
      <c r="K56" s="400" t="s">
        <v>92</v>
      </c>
      <c r="L56" s="423">
        <f>Q15</f>
        <v>0</v>
      </c>
      <c r="M56" s="405"/>
      <c r="N56" s="116"/>
      <c r="O56" s="667"/>
      <c r="P56" s="617">
        <f>O56-L56</f>
        <v>0</v>
      </c>
      <c r="Q56" s="668"/>
      <c r="R56" s="668">
        <f>O56+Q56</f>
        <v>0</v>
      </c>
      <c r="S56" s="208"/>
      <c r="T56" s="364"/>
    </row>
    <row r="57" spans="2:20" ht="15" thickBot="1" x14ac:dyDescent="0.35">
      <c r="C57" s="208"/>
      <c r="D57" s="421" t="s">
        <v>80</v>
      </c>
      <c r="E57" s="422" t="s">
        <v>155</v>
      </c>
      <c r="F57" s="208"/>
      <c r="G57" s="208"/>
      <c r="H57" s="665"/>
      <c r="I57" s="666"/>
      <c r="J57" s="400"/>
      <c r="K57" s="400" t="s">
        <v>212</v>
      </c>
      <c r="L57" s="423">
        <f>Q16</f>
        <v>0</v>
      </c>
      <c r="M57" s="405"/>
      <c r="N57" s="116"/>
      <c r="O57" s="667"/>
      <c r="P57" s="617">
        <f>O57-L57</f>
        <v>0</v>
      </c>
      <c r="Q57" s="668"/>
      <c r="R57" s="668">
        <f t="shared" ref="R57:R58" si="3">O57+Q57</f>
        <v>0</v>
      </c>
      <c r="S57" s="208"/>
      <c r="T57" s="364"/>
    </row>
    <row r="58" spans="2:20" x14ac:dyDescent="0.3">
      <c r="C58" s="208"/>
      <c r="D58" s="208"/>
      <c r="E58" s="208"/>
      <c r="F58" s="208"/>
      <c r="G58" s="7"/>
      <c r="H58" s="665"/>
      <c r="I58" s="666"/>
      <c r="J58" s="400"/>
      <c r="K58" s="400" t="s">
        <v>213</v>
      </c>
      <c r="L58" s="423" t="e">
        <f>Q18</f>
        <v>#REF!</v>
      </c>
      <c r="M58" s="405"/>
      <c r="N58" s="116"/>
      <c r="O58" s="667"/>
      <c r="P58" s="617" t="e">
        <f t="shared" ref="P58:P66" si="4">O58-L58</f>
        <v>#REF!</v>
      </c>
      <c r="Q58" s="668"/>
      <c r="R58" s="668">
        <f t="shared" si="3"/>
        <v>0</v>
      </c>
      <c r="S58" s="208"/>
      <c r="T58" s="364"/>
    </row>
    <row r="59" spans="2:20" x14ac:dyDescent="0.3">
      <c r="C59" t="s">
        <v>156</v>
      </c>
      <c r="D59" s="650" t="e">
        <f>SUM(K12:K19)-D37</f>
        <v>#REF!</v>
      </c>
      <c r="E59" s="669" t="e">
        <f>SUM(K12:K18)/D37</f>
        <v>#REF!</v>
      </c>
      <c r="F59" s="208"/>
      <c r="G59" s="208"/>
      <c r="H59" s="658"/>
      <c r="I59" s="662"/>
      <c r="J59" s="400" t="s">
        <v>157</v>
      </c>
      <c r="K59" s="400"/>
      <c r="L59" s="423"/>
      <c r="M59" s="405"/>
      <c r="N59" s="664"/>
      <c r="O59" s="675"/>
      <c r="P59" s="617"/>
      <c r="Q59" s="675"/>
      <c r="R59" s="675"/>
      <c r="S59" s="208"/>
      <c r="T59" s="364"/>
    </row>
    <row r="60" spans="2:20" x14ac:dyDescent="0.3">
      <c r="C60" t="s">
        <v>158</v>
      </c>
      <c r="D60" s="670" t="e">
        <f>SUM(K12:K18)-D50</f>
        <v>#REF!</v>
      </c>
      <c r="E60" s="669" t="e">
        <f>SUM(K12:K19)/D50</f>
        <v>#REF!</v>
      </c>
      <c r="F60" s="7"/>
      <c r="G60" s="208"/>
      <c r="H60" s="658"/>
      <c r="I60" s="662"/>
      <c r="J60" s="400"/>
      <c r="K60" s="400" t="s">
        <v>214</v>
      </c>
      <c r="L60" s="423">
        <f>P26</f>
        <v>0</v>
      </c>
      <c r="M60" s="405"/>
      <c r="N60" s="116"/>
      <c r="O60" s="667"/>
      <c r="P60" s="617">
        <f>O60-L60</f>
        <v>0</v>
      </c>
      <c r="Q60" s="668"/>
      <c r="R60" s="668">
        <f t="shared" ref="R60" si="5">O60+Q60</f>
        <v>0</v>
      </c>
      <c r="S60" s="208"/>
      <c r="T60" s="364"/>
    </row>
    <row r="61" spans="2:20" x14ac:dyDescent="0.3">
      <c r="C61" t="s">
        <v>160</v>
      </c>
      <c r="D61" s="670" t="e">
        <f>SUM(K12:K18)-D52</f>
        <v>#REF!</v>
      </c>
      <c r="E61" s="669" t="e" cm="1">
        <f t="array" ref="E61">SUM(K12:K18/D52)</f>
        <v>#DIV/0!</v>
      </c>
      <c r="F61" s="208"/>
      <c r="G61" s="208"/>
      <c r="H61" s="658"/>
      <c r="I61" s="662"/>
      <c r="J61" s="400"/>
      <c r="K61" s="400" t="s">
        <v>159</v>
      </c>
      <c r="L61" s="423">
        <f>P23+P27+P30</f>
        <v>0</v>
      </c>
      <c r="M61" s="405"/>
      <c r="N61" s="116"/>
      <c r="O61" s="667"/>
      <c r="P61" s="617">
        <f t="shared" si="4"/>
        <v>0</v>
      </c>
      <c r="Q61" s="668"/>
      <c r="R61" s="668">
        <f t="shared" ref="R61:R63" si="6">O61+Q61</f>
        <v>0</v>
      </c>
      <c r="S61" s="208"/>
      <c r="T61" s="364"/>
    </row>
    <row r="62" spans="2:20" x14ac:dyDescent="0.3">
      <c r="C62" t="s">
        <v>161</v>
      </c>
      <c r="D62" s="670" t="e">
        <f>SUM(Q12:Q18)-D52</f>
        <v>#REF!</v>
      </c>
      <c r="E62" s="671" t="e">
        <f>SUM(Q11:Q19)/D52</f>
        <v>#REF!</v>
      </c>
      <c r="F62" s="208"/>
      <c r="G62" s="208"/>
      <c r="H62" s="658"/>
      <c r="I62" s="662"/>
      <c r="J62" s="400"/>
      <c r="K62" s="400" t="s">
        <v>41</v>
      </c>
      <c r="L62" s="423">
        <f>P21</f>
        <v>0</v>
      </c>
      <c r="M62" s="405"/>
      <c r="N62" s="116"/>
      <c r="O62" s="667"/>
      <c r="P62" s="617">
        <f>O62-L62</f>
        <v>0</v>
      </c>
      <c r="Q62" s="668"/>
      <c r="R62" s="668">
        <f t="shared" si="6"/>
        <v>0</v>
      </c>
      <c r="S62" s="208"/>
      <c r="T62" s="364"/>
    </row>
    <row r="63" spans="2:20" x14ac:dyDescent="0.3">
      <c r="C63" s="208"/>
      <c r="D63" s="208"/>
      <c r="E63" s="669"/>
      <c r="F63" s="208"/>
      <c r="G63" s="208"/>
      <c r="H63" s="658"/>
      <c r="I63" s="662"/>
      <c r="J63" s="400"/>
      <c r="K63" s="400" t="s">
        <v>162</v>
      </c>
      <c r="L63" s="423">
        <f>P22</f>
        <v>0</v>
      </c>
      <c r="M63" s="405"/>
      <c r="N63" s="116"/>
      <c r="O63" s="667"/>
      <c r="P63" s="617">
        <f>O63-L63</f>
        <v>0</v>
      </c>
      <c r="Q63" s="668"/>
      <c r="R63" s="668">
        <f t="shared" si="6"/>
        <v>0</v>
      </c>
      <c r="S63" s="208"/>
      <c r="T63" s="364"/>
    </row>
    <row r="64" spans="2:20" x14ac:dyDescent="0.3">
      <c r="C64" t="s">
        <v>163</v>
      </c>
      <c r="D64" s="670">
        <f>SUM(Q20:Q24)-D51</f>
        <v>0</v>
      </c>
      <c r="E64" s="669" t="e">
        <f>SUM(K23:K30)/D51</f>
        <v>#DIV/0!</v>
      </c>
      <c r="F64" s="208"/>
      <c r="G64" s="208"/>
      <c r="H64" s="658"/>
      <c r="I64" s="662"/>
      <c r="J64" s="400"/>
      <c r="K64" s="400" t="s">
        <v>113</v>
      </c>
      <c r="L64" s="423">
        <f>Q24</f>
        <v>0</v>
      </c>
      <c r="M64" s="405"/>
      <c r="N64" s="116"/>
      <c r="O64" s="667"/>
      <c r="P64" s="617"/>
      <c r="Q64" s="668"/>
      <c r="R64" s="668">
        <v>0</v>
      </c>
      <c r="S64" s="208"/>
      <c r="T64" s="364"/>
    </row>
    <row r="65" spans="3:20" x14ac:dyDescent="0.3">
      <c r="C65" t="s">
        <v>165</v>
      </c>
      <c r="D65" s="670">
        <f>D53-D38</f>
        <v>0</v>
      </c>
      <c r="E65" s="671" t="e">
        <f>D53/D38</f>
        <v>#DIV/0!</v>
      </c>
      <c r="F65" s="208"/>
      <c r="H65" s="658"/>
      <c r="I65" s="662"/>
      <c r="J65" s="400"/>
      <c r="K65" s="400" t="s">
        <v>164</v>
      </c>
      <c r="L65" s="423">
        <f>Q31</f>
        <v>0</v>
      </c>
      <c r="M65" s="405"/>
      <c r="N65" s="116"/>
      <c r="O65" s="667"/>
      <c r="P65" s="617">
        <f t="shared" si="4"/>
        <v>0</v>
      </c>
      <c r="Q65" s="668"/>
      <c r="R65" s="668">
        <f>O65+Q65</f>
        <v>0</v>
      </c>
      <c r="S65" s="208"/>
      <c r="T65" s="364"/>
    </row>
    <row r="66" spans="3:20" ht="15" customHeight="1" x14ac:dyDescent="0.3">
      <c r="C66" s="208"/>
      <c r="D66" s="208"/>
      <c r="E66" s="208"/>
      <c r="F66" s="208"/>
      <c r="H66" s="658"/>
      <c r="I66" s="662"/>
      <c r="J66" s="400" t="s">
        <v>166</v>
      </c>
      <c r="K66" s="400"/>
      <c r="L66" s="423">
        <f>Q33</f>
        <v>0</v>
      </c>
      <c r="M66" s="405"/>
      <c r="N66" s="664"/>
      <c r="O66" s="667"/>
      <c r="P66" s="617">
        <f t="shared" si="4"/>
        <v>0</v>
      </c>
      <c r="Q66" s="668"/>
      <c r="R66" s="668">
        <f t="shared" ref="R66" si="7">O66+Q66</f>
        <v>0</v>
      </c>
      <c r="S66" s="208"/>
      <c r="T66" s="364"/>
    </row>
    <row r="67" spans="3:20" ht="15" thickBot="1" x14ac:dyDescent="0.35">
      <c r="C67" s="208"/>
      <c r="D67" s="669"/>
      <c r="E67" s="208"/>
      <c r="F67" s="208"/>
      <c r="H67" s="658"/>
      <c r="I67" s="662"/>
      <c r="J67" s="400" t="s">
        <v>141</v>
      </c>
      <c r="K67" s="400"/>
      <c r="L67" s="423">
        <f>Q42</f>
        <v>0</v>
      </c>
      <c r="M67" s="405"/>
      <c r="N67" s="116"/>
      <c r="O67" s="667"/>
      <c r="P67" s="617">
        <f t="shared" ref="P67" si="8">O67-L67</f>
        <v>0</v>
      </c>
      <c r="Q67" s="668"/>
      <c r="R67" s="668">
        <f t="shared" ref="R67" si="9">O67+Q67</f>
        <v>0</v>
      </c>
      <c r="S67" s="208"/>
      <c r="T67" s="364"/>
    </row>
    <row r="68" spans="3:20" ht="15" thickBot="1" x14ac:dyDescent="0.35">
      <c r="C68" s="713" t="s">
        <v>554</v>
      </c>
      <c r="D68" s="657"/>
      <c r="E68" s="208"/>
      <c r="F68" s="208"/>
      <c r="H68" s="658"/>
      <c r="I68" s="662"/>
      <c r="J68" s="424" t="s">
        <v>167</v>
      </c>
      <c r="K68" s="400"/>
      <c r="L68" s="425" t="e">
        <f>SUM(L53:L67)</f>
        <v>#REF!</v>
      </c>
      <c r="M68" s="699" t="e">
        <f>L68/J85</f>
        <v>#REF!</v>
      </c>
      <c r="N68" s="429" t="s">
        <v>168</v>
      </c>
      <c r="O68" s="609"/>
      <c r="P68" s="617">
        <f>O68-L67</f>
        <v>0</v>
      </c>
      <c r="Q68" s="489"/>
      <c r="R68" s="489"/>
      <c r="S68" s="208"/>
      <c r="T68" s="364"/>
    </row>
    <row r="69" spans="3:20" ht="15" thickTop="1" x14ac:dyDescent="0.3">
      <c r="C69" s="221" t="s">
        <v>555</v>
      </c>
      <c r="D69" s="714" t="b">
        <v>0</v>
      </c>
      <c r="H69" s="658"/>
      <c r="I69" s="662"/>
      <c r="J69" s="400"/>
      <c r="K69" s="400"/>
      <c r="L69" s="423"/>
      <c r="M69" s="672"/>
      <c r="N69" s="362"/>
      <c r="O69" s="617">
        <f>O68-SUM(O54:O67)</f>
        <v>0</v>
      </c>
      <c r="P69" s="617"/>
      <c r="Q69" s="617">
        <f>Q68-SUM(Q54:Q67)</f>
        <v>0</v>
      </c>
      <c r="R69" s="617">
        <f>R68-SUM(R54:R67)</f>
        <v>0</v>
      </c>
      <c r="S69" s="208"/>
      <c r="T69" s="364"/>
    </row>
    <row r="70" spans="3:20" ht="15" thickBot="1" x14ac:dyDescent="0.35">
      <c r="C70" s="223" t="s">
        <v>556</v>
      </c>
      <c r="D70" s="715" t="b">
        <v>0</v>
      </c>
      <c r="H70" s="658"/>
      <c r="I70" s="662"/>
      <c r="J70" s="408" t="s">
        <v>169</v>
      </c>
      <c r="K70" s="409"/>
      <c r="L70" s="410" t="e">
        <f>L68*0.3</f>
        <v>#REF!</v>
      </c>
      <c r="M70" s="413"/>
      <c r="N70" s="208"/>
      <c r="O70" s="667"/>
      <c r="P70" s="617" t="e">
        <f>O70-L70</f>
        <v>#REF!</v>
      </c>
      <c r="Q70" s="668"/>
      <c r="R70" s="668">
        <f>O70+Q70</f>
        <v>0</v>
      </c>
      <c r="S70" s="208"/>
      <c r="T70" s="364"/>
    </row>
    <row r="71" spans="3:20" x14ac:dyDescent="0.3">
      <c r="H71" s="658"/>
      <c r="I71" s="662"/>
      <c r="J71" s="408" t="s">
        <v>170</v>
      </c>
      <c r="K71" s="409"/>
      <c r="L71" s="412">
        <f>(0)*0.15</f>
        <v>0</v>
      </c>
      <c r="M71" s="413"/>
      <c r="N71" s="208"/>
      <c r="O71" s="667"/>
      <c r="P71" s="617">
        <f>O71-L71</f>
        <v>0</v>
      </c>
      <c r="Q71" s="668"/>
      <c r="R71" s="668">
        <f>O71+Q71</f>
        <v>0</v>
      </c>
      <c r="S71" s="208"/>
      <c r="T71" s="364"/>
    </row>
    <row r="72" spans="3:20" ht="15" thickBot="1" x14ac:dyDescent="0.35">
      <c r="H72" s="658"/>
      <c r="I72" s="662"/>
      <c r="J72" s="408" t="s">
        <v>172</v>
      </c>
      <c r="K72" s="409"/>
      <c r="L72" s="629" t="e">
        <f>SUM(L70:L71)</f>
        <v>#REF!</v>
      </c>
      <c r="M72" s="413"/>
      <c r="N72" s="208"/>
      <c r="O72" s="630"/>
      <c r="P72" s="617" t="e">
        <f>O72-L72</f>
        <v>#REF!</v>
      </c>
      <c r="Q72" s="631"/>
      <c r="R72" s="631">
        <f t="shared" ref="R72" si="10">O72+Q72</f>
        <v>0</v>
      </c>
      <c r="S72" s="208"/>
      <c r="T72" s="364"/>
    </row>
    <row r="73" spans="3:20" x14ac:dyDescent="0.3">
      <c r="H73" s="658"/>
      <c r="I73" s="662"/>
      <c r="J73" s="408"/>
      <c r="K73" s="409"/>
      <c r="L73" s="410"/>
      <c r="M73" s="411"/>
      <c r="N73" s="208"/>
      <c r="O73" s="208"/>
      <c r="P73" s="208"/>
      <c r="Q73" s="208"/>
      <c r="R73" s="208"/>
      <c r="S73" s="208"/>
      <c r="T73" s="364"/>
    </row>
    <row r="74" spans="3:20" x14ac:dyDescent="0.3">
      <c r="H74" s="658"/>
      <c r="I74" s="676"/>
      <c r="J74" s="677"/>
      <c r="K74" s="677"/>
      <c r="L74" s="677"/>
      <c r="M74" s="678"/>
      <c r="N74" s="208"/>
      <c r="O74" s="674"/>
      <c r="P74" s="670"/>
      <c r="Q74" s="208"/>
      <c r="R74" s="208"/>
      <c r="S74" s="208"/>
      <c r="T74" s="364"/>
    </row>
    <row r="75" spans="3:20" x14ac:dyDescent="0.3">
      <c r="H75" s="658"/>
      <c r="I75" s="208"/>
      <c r="J75" s="208"/>
      <c r="K75" s="208"/>
      <c r="L75" s="208"/>
      <c r="M75" s="208"/>
      <c r="N75" s="208"/>
      <c r="O75" s="208"/>
      <c r="P75" s="208"/>
      <c r="Q75" s="208"/>
      <c r="R75" s="208"/>
      <c r="S75" s="208"/>
      <c r="T75" s="364"/>
    </row>
    <row r="76" spans="3:20" ht="15" thickBot="1" x14ac:dyDescent="0.35">
      <c r="H76" s="658"/>
      <c r="I76" s="208"/>
      <c r="J76" s="208"/>
      <c r="K76" s="208"/>
      <c r="L76" s="208"/>
      <c r="M76" s="208"/>
      <c r="N76" s="362"/>
      <c r="O76" s="362"/>
      <c r="P76" s="208"/>
      <c r="Q76" s="208"/>
      <c r="R76" s="208"/>
      <c r="S76" s="208"/>
      <c r="T76" s="364"/>
    </row>
    <row r="77" spans="3:20" ht="16.2" thickBot="1" x14ac:dyDescent="0.35">
      <c r="H77" s="658"/>
      <c r="I77" s="620"/>
      <c r="J77" s="621" t="s">
        <v>175</v>
      </c>
      <c r="K77" s="621" t="s">
        <v>176</v>
      </c>
      <c r="L77" s="622"/>
      <c r="M77" s="620"/>
      <c r="N77" s="362"/>
      <c r="O77" s="362"/>
      <c r="P77" s="208"/>
      <c r="Q77" s="208"/>
      <c r="R77" s="208"/>
      <c r="S77" s="208"/>
      <c r="T77" s="364"/>
    </row>
    <row r="78" spans="3:20" x14ac:dyDescent="0.3">
      <c r="H78" s="658"/>
      <c r="I78" s="208"/>
      <c r="J78" s="208"/>
      <c r="K78" s="208"/>
      <c r="L78" s="208"/>
      <c r="M78" s="362"/>
      <c r="N78" s="362"/>
      <c r="O78" s="208"/>
      <c r="P78"/>
      <c r="Q78" s="208"/>
      <c r="R78" s="208"/>
      <c r="S78" s="208"/>
      <c r="T78" s="222"/>
    </row>
    <row r="79" spans="3:20" x14ac:dyDescent="0.3">
      <c r="H79" s="658"/>
      <c r="I79" s="32" t="s">
        <v>177</v>
      </c>
      <c r="J79" s="601">
        <v>0</v>
      </c>
      <c r="K79" s="246" t="e">
        <f>SUM(L54:L58)</f>
        <v>#REF!</v>
      </c>
      <c r="L79" s="233" t="e">
        <f t="shared" ref="L79:L80" si="11">K79-J79</f>
        <v>#REF!</v>
      </c>
      <c r="M79" s="647" t="e" cm="1">
        <f t="array" ref="M79">_xlfn.IFS(L79&gt;0,"Over Budget",L79&lt;0,"Under Budget",L79=0,"-")</f>
        <v>#REF!</v>
      </c>
      <c r="N79" s="362"/>
      <c r="O79" s="208"/>
      <c r="P79" s="208"/>
      <c r="Q79" s="208"/>
      <c r="R79" s="208"/>
      <c r="S79" s="208"/>
      <c r="T79" s="364"/>
    </row>
    <row r="80" spans="3:20" x14ac:dyDescent="0.3">
      <c r="H80" s="658"/>
      <c r="I80" s="32" t="s">
        <v>164</v>
      </c>
      <c r="J80" s="601">
        <v>0</v>
      </c>
      <c r="K80" s="246">
        <f>SUM(L60:L65)</f>
        <v>0</v>
      </c>
      <c r="L80" s="233">
        <f t="shared" si="11"/>
        <v>0</v>
      </c>
      <c r="M80" s="647" t="str" cm="1">
        <f t="array" ref="M80">_xlfn.IFS(L80&gt;0,"Over Budget",L80&lt;0,"Under Budget",L80=0,"-")</f>
        <v>-</v>
      </c>
      <c r="N80" s="362"/>
      <c r="O80" s="208"/>
      <c r="P80" s="208"/>
      <c r="Q80" s="208"/>
      <c r="R80" s="208"/>
      <c r="S80" s="208"/>
      <c r="T80" s="364"/>
    </row>
    <row r="81" spans="2:26" x14ac:dyDescent="0.3">
      <c r="G81" s="208"/>
      <c r="H81" s="658"/>
      <c r="I81" s="32" t="s">
        <v>116</v>
      </c>
      <c r="J81" s="679">
        <v>0</v>
      </c>
      <c r="K81" s="641">
        <v>0</v>
      </c>
      <c r="L81" s="233">
        <f>K81-J81</f>
        <v>0</v>
      </c>
      <c r="M81" s="647" t="str" cm="1">
        <f t="array" ref="M81">_xlfn.IFS(L81&gt;0,"Over Budget",L81&lt;0,"Under Budget",L81=0,"-")</f>
        <v>-</v>
      </c>
      <c r="N81" s="362"/>
      <c r="O81" s="208"/>
      <c r="P81" s="208"/>
      <c r="Q81" s="208"/>
      <c r="R81" s="208"/>
      <c r="S81" s="208"/>
      <c r="T81" s="364"/>
      <c r="U81" s="208"/>
      <c r="V81" s="208"/>
      <c r="W81" s="208"/>
      <c r="X81" s="208"/>
      <c r="Y81" s="208"/>
      <c r="Z81" s="208"/>
    </row>
    <row r="82" spans="2:26" x14ac:dyDescent="0.3">
      <c r="G82" s="208"/>
      <c r="H82" s="658"/>
      <c r="I82" s="32" t="s">
        <v>180</v>
      </c>
      <c r="J82" s="602">
        <v>0</v>
      </c>
      <c r="K82" s="233">
        <v>0</v>
      </c>
      <c r="L82" s="233">
        <f>K82-J82</f>
        <v>0</v>
      </c>
      <c r="M82" s="647" t="str" cm="1">
        <f t="array" ref="M82">_xlfn.IFS(L82&gt;0,"Over Budget",L82&lt;0,"Under Budget",L82=0,"-")</f>
        <v>-</v>
      </c>
      <c r="N82" s="362"/>
      <c r="O82" s="208"/>
      <c r="P82" s="208"/>
      <c r="Q82" s="208"/>
      <c r="R82" s="208"/>
      <c r="S82" s="208"/>
      <c r="T82" s="364"/>
      <c r="U82" s="208"/>
      <c r="V82"/>
      <c r="W82" s="208"/>
      <c r="X82" s="208"/>
      <c r="Y82" s="208"/>
      <c r="Z82" s="208"/>
    </row>
    <row r="83" spans="2:26" x14ac:dyDescent="0.3">
      <c r="G83" s="208"/>
      <c r="H83" s="658"/>
      <c r="I83" s="32" t="s">
        <v>137</v>
      </c>
      <c r="J83" s="602">
        <v>0</v>
      </c>
      <c r="K83" s="233">
        <f>L66</f>
        <v>0</v>
      </c>
      <c r="L83" s="233">
        <f>K83-J83</f>
        <v>0</v>
      </c>
      <c r="M83" s="647" t="str" cm="1">
        <f t="array" ref="M83">_xlfn.IFS(L83&gt;0,"Over Budget",L83&lt;0,"Under Budget",L83=0,"-")</f>
        <v>-</v>
      </c>
      <c r="N83" s="362"/>
      <c r="O83" s="208"/>
      <c r="P83" s="208"/>
      <c r="Q83" s="208"/>
      <c r="R83" s="208"/>
      <c r="S83" s="208"/>
      <c r="T83" s="365"/>
      <c r="U83" s="208"/>
      <c r="V83"/>
      <c r="W83" s="208"/>
      <c r="X83" s="208"/>
      <c r="Y83" s="208"/>
      <c r="Z83" s="208"/>
    </row>
    <row r="84" spans="2:26" x14ac:dyDescent="0.3">
      <c r="G84" s="208"/>
      <c r="H84" s="658"/>
      <c r="I84" s="611" t="s">
        <v>181</v>
      </c>
      <c r="J84" s="612">
        <v>3000</v>
      </c>
      <c r="K84" s="613">
        <f>L67</f>
        <v>0</v>
      </c>
      <c r="L84" s="613">
        <f t="shared" ref="L84" si="12">K84-J84</f>
        <v>-3000</v>
      </c>
      <c r="M84" s="680" t="str" cm="1">
        <f t="array" ref="M84">_xlfn.IFS(L84&gt;0,"Over Budget",L84&lt;0,"Under Budget",L84=0,"-")</f>
        <v>Under Budget</v>
      </c>
      <c r="N84" s="362"/>
      <c r="O84" s="208"/>
      <c r="P84" s="208"/>
      <c r="Q84" s="208"/>
      <c r="R84" s="208"/>
      <c r="S84" s="208"/>
      <c r="T84" s="364"/>
      <c r="U84" s="208"/>
      <c r="V84"/>
      <c r="W84" s="208"/>
      <c r="X84" s="208"/>
      <c r="Y84" s="208"/>
      <c r="Z84" s="208"/>
    </row>
    <row r="85" spans="2:26" x14ac:dyDescent="0.3">
      <c r="B85" s="208"/>
      <c r="C85" s="208"/>
      <c r="D85" s="208"/>
      <c r="E85" s="208"/>
      <c r="F85" s="208"/>
      <c r="G85" s="208"/>
      <c r="H85" s="658"/>
      <c r="I85" s="7" t="s">
        <v>182</v>
      </c>
      <c r="J85" s="681"/>
      <c r="K85" s="641" t="e">
        <f>SUM(K79:K84)</f>
        <v>#REF!</v>
      </c>
      <c r="L85" s="641" t="e">
        <f>K85-J85</f>
        <v>#REF!</v>
      </c>
      <c r="M85" s="700" t="e" cm="1">
        <f t="array" ref="M85">_xlfn.IFS(L85&gt;0,"Over Budget",L85&lt;0,"Under Budget",L85=0,"-")</f>
        <v>#REF!</v>
      </c>
      <c r="N85" s="362"/>
      <c r="O85" s="208"/>
      <c r="P85" s="208"/>
      <c r="Q85" s="208"/>
      <c r="R85" s="208"/>
      <c r="S85" s="208"/>
      <c r="T85" s="364"/>
      <c r="U85" s="208"/>
      <c r="V85"/>
      <c r="W85" s="208"/>
      <c r="X85" s="208"/>
      <c r="Y85" s="208"/>
      <c r="Z85" s="208"/>
    </row>
    <row r="86" spans="2:26" ht="16.2" thickBot="1" x14ac:dyDescent="0.35">
      <c r="B86" s="7" t="s">
        <v>171</v>
      </c>
      <c r="C86" s="208"/>
      <c r="D86" s="208"/>
      <c r="E86" s="208"/>
      <c r="F86" s="208"/>
      <c r="G86" s="208"/>
      <c r="H86" s="658"/>
      <c r="I86" s="208"/>
      <c r="J86" s="614">
        <f>J85-SUM(J79:J84)</f>
        <v>-3000</v>
      </c>
      <c r="K86" s="614" t="e">
        <f>O68-K85</f>
        <v>#REF!</v>
      </c>
      <c r="L86" s="670"/>
      <c r="M86" s="208"/>
      <c r="N86" s="362"/>
      <c r="O86" s="362"/>
      <c r="P86" s="595"/>
      <c r="Q86" s="596" t="s">
        <v>183</v>
      </c>
      <c r="R86" s="597"/>
      <c r="S86" s="595"/>
      <c r="T86" s="364"/>
      <c r="U86" s="145"/>
      <c r="V86"/>
      <c r="W86" s="651"/>
      <c r="X86" s="208"/>
      <c r="Y86" s="208"/>
      <c r="Z86" s="208"/>
    </row>
    <row r="87" spans="2:26" x14ac:dyDescent="0.3">
      <c r="B87" s="7" t="s">
        <v>173</v>
      </c>
      <c r="C87" s="208"/>
      <c r="D87" s="208"/>
      <c r="E87" s="208"/>
      <c r="F87" s="208"/>
      <c r="G87" s="208"/>
      <c r="H87" s="658"/>
      <c r="I87" s="208"/>
      <c r="J87" s="208"/>
      <c r="K87" s="208"/>
      <c r="L87" s="208"/>
      <c r="M87" s="362"/>
      <c r="N87" s="362"/>
      <c r="O87" s="208"/>
      <c r="P87" s="682"/>
      <c r="Q87" s="682"/>
      <c r="R87" s="682"/>
      <c r="S87" s="682"/>
      <c r="T87" s="364"/>
      <c r="U87" s="208"/>
      <c r="V87" s="208"/>
      <c r="W87"/>
      <c r="X87" s="651"/>
      <c r="Y87" s="208"/>
      <c r="Z87" s="208"/>
    </row>
    <row r="88" spans="2:26" x14ac:dyDescent="0.3">
      <c r="B88" s="208"/>
      <c r="C88" s="208"/>
      <c r="D88" s="208"/>
      <c r="E88" s="208"/>
      <c r="F88" s="208"/>
      <c r="G88" s="208"/>
      <c r="H88" s="658"/>
      <c r="I88" s="7" t="s">
        <v>185</v>
      </c>
      <c r="J88" s="208"/>
      <c r="K88" s="208"/>
      <c r="L88" s="208"/>
      <c r="M88" s="208"/>
      <c r="N88" s="362"/>
      <c r="O88" s="208"/>
      <c r="P88" s="683"/>
      <c r="Q88" s="592" t="s">
        <v>186</v>
      </c>
      <c r="R88" s="684" t="e">
        <f>L68-P45</f>
        <v>#REF!</v>
      </c>
      <c r="S88" s="682"/>
      <c r="T88" s="364"/>
      <c r="U88" s="208"/>
      <c r="V88"/>
      <c r="W88"/>
      <c r="X88" s="651"/>
      <c r="Y88" s="208"/>
      <c r="Z88" s="208"/>
    </row>
    <row r="89" spans="2:26" ht="15" thickBot="1" x14ac:dyDescent="0.35">
      <c r="B89" s="208"/>
      <c r="C89" s="208"/>
      <c r="D89" s="208"/>
      <c r="E89" s="208"/>
      <c r="F89" s="208"/>
      <c r="G89" s="208"/>
      <c r="H89" s="658"/>
      <c r="I89" t="s">
        <v>187</v>
      </c>
      <c r="J89" s="602">
        <f>J85*0.3</f>
        <v>0</v>
      </c>
      <c r="K89" s="487" t="e">
        <f>L72</f>
        <v>#REF!</v>
      </c>
      <c r="L89"/>
      <c r="M89"/>
      <c r="N89" s="362"/>
      <c r="O89" s="208"/>
      <c r="P89" s="685"/>
      <c r="Q89" s="593" t="s">
        <v>188</v>
      </c>
      <c r="R89" s="686">
        <v>0.3</v>
      </c>
      <c r="S89" s="682"/>
      <c r="T89" s="364"/>
      <c r="U89" s="208"/>
      <c r="V89"/>
      <c r="W89"/>
      <c r="X89" s="208"/>
      <c r="Y89" s="208"/>
      <c r="Z89" s="208"/>
    </row>
    <row r="90" spans="2:26" ht="15" thickTop="1" x14ac:dyDescent="0.3">
      <c r="B90" s="7" t="s">
        <v>174</v>
      </c>
      <c r="C90" s="208"/>
      <c r="D90" s="208"/>
      <c r="E90" s="208"/>
      <c r="F90" s="208"/>
      <c r="G90" s="208"/>
      <c r="H90" s="658"/>
      <c r="I90" t="s">
        <v>215</v>
      </c>
      <c r="J90" s="604">
        <f>-(J89*0.11)</f>
        <v>0</v>
      </c>
      <c r="K90" s="605" t="e">
        <f>-K89*0.11</f>
        <v>#REF!</v>
      </c>
      <c r="L90"/>
      <c r="M90"/>
      <c r="N90" s="362"/>
      <c r="O90" s="208"/>
      <c r="P90" s="682"/>
      <c r="Q90" s="682"/>
      <c r="R90" s="684" t="e">
        <f>R88*R89</f>
        <v>#REF!</v>
      </c>
      <c r="S90" s="682"/>
      <c r="T90" s="364"/>
      <c r="U90" s="208"/>
      <c r="V90"/>
      <c r="W90"/>
      <c r="X90" s="208"/>
      <c r="Y90" s="208"/>
      <c r="Z90" s="208"/>
    </row>
    <row r="91" spans="2:26" ht="15" thickBot="1" x14ac:dyDescent="0.35">
      <c r="B91" s="7" t="s">
        <v>173</v>
      </c>
      <c r="C91" s="208"/>
      <c r="D91" s="208"/>
      <c r="E91" s="208"/>
      <c r="F91" s="208"/>
      <c r="G91" s="208"/>
      <c r="H91" s="658"/>
      <c r="I91" s="7" t="s">
        <v>190</v>
      </c>
      <c r="J91" s="488">
        <f>SUM(J89:J90)</f>
        <v>0</v>
      </c>
      <c r="K91" s="486" t="e">
        <f>SUM(K89:K90)</f>
        <v>#REF!</v>
      </c>
      <c r="L91" s="208"/>
      <c r="M91" s="208"/>
      <c r="N91" s="362"/>
      <c r="O91" s="208"/>
      <c r="P91" s="687"/>
      <c r="Q91" s="593" t="s">
        <v>191</v>
      </c>
      <c r="R91" s="688">
        <f>L71</f>
        <v>0</v>
      </c>
      <c r="S91" s="682"/>
      <c r="T91" s="364"/>
      <c r="U91" s="208"/>
      <c r="V91" s="490" t="s">
        <v>184</v>
      </c>
      <c r="W91"/>
      <c r="X91" s="208"/>
      <c r="Y91" s="208"/>
      <c r="Z91" s="208"/>
    </row>
    <row r="92" spans="2:26" ht="15" thickTop="1" x14ac:dyDescent="0.3">
      <c r="B92" s="208"/>
      <c r="C92" s="208"/>
      <c r="D92" s="208"/>
      <c r="E92" s="208"/>
      <c r="F92" s="208"/>
      <c r="G92" s="208"/>
      <c r="H92" s="658"/>
      <c r="I92" s="606" t="s">
        <v>192</v>
      </c>
      <c r="J92" s="233"/>
      <c r="K92" s="208"/>
      <c r="L92" s="208"/>
      <c r="M92" s="208"/>
      <c r="N92" s="362"/>
      <c r="O92" s="208"/>
      <c r="P92" s="689"/>
      <c r="Q92" s="690"/>
      <c r="R92" s="691" t="e">
        <f>R90+R91</f>
        <v>#REF!</v>
      </c>
      <c r="S92" s="682"/>
      <c r="T92" s="364"/>
      <c r="U92" s="208"/>
      <c r="V92"/>
      <c r="W92"/>
      <c r="X92" s="208"/>
      <c r="Y92" s="208"/>
      <c r="Z92" s="208"/>
    </row>
    <row r="93" spans="2:26" ht="15" thickBot="1" x14ac:dyDescent="0.35">
      <c r="B93" s="208"/>
      <c r="C93" s="208"/>
      <c r="D93" s="208"/>
      <c r="E93" s="208"/>
      <c r="F93" s="208"/>
      <c r="G93" s="208"/>
      <c r="H93" s="658"/>
      <c r="I93" s="625" t="s">
        <v>193</v>
      </c>
      <c r="J93" s="604">
        <v>0</v>
      </c>
      <c r="K93" s="605">
        <f>J93</f>
        <v>0</v>
      </c>
      <c r="L93" s="208"/>
      <c r="M93" s="208"/>
      <c r="N93" s="362"/>
      <c r="O93" s="208"/>
      <c r="P93" s="685"/>
      <c r="Q93" s="685"/>
      <c r="R93" s="685">
        <v>2.5000000000000001E-3</v>
      </c>
      <c r="S93" s="682"/>
      <c r="T93" s="364"/>
      <c r="U93" s="208"/>
      <c r="V93"/>
      <c r="W93"/>
      <c r="X93" s="208"/>
      <c r="Y93" s="208"/>
      <c r="Z93" s="208"/>
    </row>
    <row r="94" spans="2:26" ht="15" thickTop="1" x14ac:dyDescent="0.3">
      <c r="B94" s="7" t="s">
        <v>178</v>
      </c>
      <c r="C94" s="208"/>
      <c r="D94" s="208"/>
      <c r="E94" s="208"/>
      <c r="F94" s="208"/>
      <c r="G94" s="208"/>
      <c r="H94" s="658"/>
      <c r="I94" s="625" t="s">
        <v>183</v>
      </c>
      <c r="J94" s="604">
        <v>0</v>
      </c>
      <c r="K94" s="624" t="e">
        <f>-R102</f>
        <v>#REF!</v>
      </c>
      <c r="L94" s="362"/>
      <c r="M94" s="208"/>
      <c r="N94" s="362"/>
      <c r="O94" s="208"/>
      <c r="P94" s="682"/>
      <c r="Q94" s="682"/>
      <c r="R94" s="684" t="e">
        <f>R93*R92</f>
        <v>#REF!</v>
      </c>
      <c r="S94" s="682"/>
      <c r="T94" s="364"/>
      <c r="U94" s="208"/>
      <c r="V94"/>
      <c r="W94" s="208"/>
      <c r="X94" s="208"/>
      <c r="Y94" s="208"/>
      <c r="Z94" s="208"/>
    </row>
    <row r="95" spans="2:26" x14ac:dyDescent="0.3">
      <c r="B95" s="7" t="s">
        <v>179</v>
      </c>
      <c r="C95" s="208"/>
      <c r="D95" s="208"/>
      <c r="E95" s="208"/>
      <c r="F95" s="208"/>
      <c r="G95" s="208"/>
      <c r="H95" s="658"/>
      <c r="I95" s="625" t="s">
        <v>141</v>
      </c>
      <c r="J95" s="604">
        <v>0</v>
      </c>
      <c r="K95" s="605">
        <f>J95</f>
        <v>0</v>
      </c>
      <c r="L95" s="208"/>
      <c r="M95" s="208"/>
      <c r="N95" s="362"/>
      <c r="O95" s="208"/>
      <c r="P95" s="682"/>
      <c r="Q95" s="682"/>
      <c r="R95" s="682"/>
      <c r="S95" s="682"/>
      <c r="T95" s="364"/>
      <c r="U95" s="208"/>
      <c r="V95"/>
      <c r="W95"/>
      <c r="X95" s="208"/>
      <c r="Y95" s="208"/>
      <c r="Z95" s="208"/>
    </row>
    <row r="96" spans="2:26" x14ac:dyDescent="0.3">
      <c r="B96" s="208"/>
      <c r="C96" s="208"/>
      <c r="D96" s="208"/>
      <c r="E96" s="208"/>
      <c r="F96" s="208"/>
      <c r="G96" s="208"/>
      <c r="H96" s="658"/>
      <c r="I96" s="7" t="s">
        <v>194</v>
      </c>
      <c r="J96" s="486">
        <f>SUM(J91:J95)</f>
        <v>0</v>
      </c>
      <c r="K96" s="486" t="e">
        <f>SUM(K91:K95)</f>
        <v>#REF!</v>
      </c>
      <c r="L96" s="208"/>
      <c r="M96" s="208"/>
      <c r="N96" s="362"/>
      <c r="O96" s="208"/>
      <c r="P96" s="682"/>
      <c r="Q96" s="592" t="s">
        <v>195</v>
      </c>
      <c r="R96" s="684">
        <f>P45</f>
        <v>0</v>
      </c>
      <c r="S96" s="682"/>
      <c r="T96" s="608"/>
      <c r="U96" s="208"/>
      <c r="V96"/>
      <c r="W96"/>
      <c r="X96" s="208"/>
      <c r="Y96" s="208"/>
      <c r="Z96" s="208"/>
    </row>
    <row r="97" spans="2:23" ht="15" thickBot="1" x14ac:dyDescent="0.35">
      <c r="B97" s="208"/>
      <c r="C97" s="208"/>
      <c r="D97" s="208"/>
      <c r="E97" s="208"/>
      <c r="F97" s="208"/>
      <c r="H97" s="658"/>
      <c r="I97" t="s">
        <v>196</v>
      </c>
      <c r="J97" s="604">
        <f>-(J96*0.225)</f>
        <v>0</v>
      </c>
      <c r="K97" s="605" t="e">
        <f>-K96*0.225</f>
        <v>#REF!</v>
      </c>
      <c r="L97" s="208"/>
      <c r="M97" s="208"/>
      <c r="N97" s="362"/>
      <c r="O97" s="208"/>
      <c r="P97" s="692"/>
      <c r="Q97" s="593" t="s">
        <v>188</v>
      </c>
      <c r="R97" s="686">
        <v>0.3</v>
      </c>
      <c r="S97" s="682"/>
      <c r="T97" s="693"/>
      <c r="U97" s="208"/>
      <c r="V97"/>
      <c r="W97"/>
    </row>
    <row r="98" spans="2:23" ht="15.6" thickTop="1" thickBot="1" x14ac:dyDescent="0.35">
      <c r="B98" s="208"/>
      <c r="C98" s="208"/>
      <c r="D98" s="208"/>
      <c r="E98" s="208"/>
      <c r="F98" s="208"/>
      <c r="H98" s="658"/>
      <c r="I98" s="7" t="s">
        <v>197</v>
      </c>
      <c r="J98" s="599">
        <f>SUM(J96:J97)</f>
        <v>0</v>
      </c>
      <c r="K98" s="600" t="e">
        <f>SUM(K96:K97)</f>
        <v>#REF!</v>
      </c>
      <c r="L98" s="603" t="e">
        <f>K98-J98</f>
        <v>#REF!</v>
      </c>
      <c r="M98" s="647" t="e" cm="1">
        <f t="array" ref="M98">_xlfn.IFS(L98&gt;0,"Over Budget",L98&lt;0,"Under Budget",L98=0,"-")</f>
        <v>#REF!</v>
      </c>
      <c r="N98" s="362"/>
      <c r="O98" s="208"/>
      <c r="P98" s="682"/>
      <c r="Q98" s="682"/>
      <c r="R98" s="684">
        <f>R96*R97</f>
        <v>0</v>
      </c>
      <c r="S98" s="682"/>
      <c r="T98" s="222"/>
      <c r="U98" s="208"/>
      <c r="V98" s="208"/>
      <c r="W98" s="208"/>
    </row>
    <row r="99" spans="2:23" ht="15.6" thickTop="1" thickBot="1" x14ac:dyDescent="0.35">
      <c r="B99" s="208"/>
      <c r="C99" s="208"/>
      <c r="D99" s="208"/>
      <c r="E99" s="208"/>
      <c r="F99" s="208"/>
      <c r="H99" s="658"/>
      <c r="I99" s="272" t="s">
        <v>198</v>
      </c>
      <c r="J99" s="607"/>
      <c r="K99" s="208"/>
      <c r="L99" s="208"/>
      <c r="M99" s="362"/>
      <c r="N99" s="362"/>
      <c r="O99" s="208"/>
      <c r="P99" s="685"/>
      <c r="Q99" s="685"/>
      <c r="R99" s="685">
        <v>2.5000000000000001E-2</v>
      </c>
      <c r="S99" s="682"/>
      <c r="T99" s="222"/>
      <c r="U99" s="208"/>
      <c r="V99"/>
      <c r="W99"/>
    </row>
    <row r="100" spans="2:23" ht="15" thickTop="1" x14ac:dyDescent="0.3">
      <c r="B100" s="208"/>
      <c r="C100" s="208"/>
      <c r="D100" s="208"/>
      <c r="E100" s="208"/>
      <c r="F100" s="208"/>
      <c r="H100" s="658"/>
      <c r="I100" s="208"/>
      <c r="J100" s="208"/>
      <c r="K100" s="208"/>
      <c r="L100" s="208"/>
      <c r="M100" s="208"/>
      <c r="N100" s="362"/>
      <c r="O100" s="208"/>
      <c r="P100" s="682"/>
      <c r="Q100" s="682"/>
      <c r="R100" s="684">
        <f>R98*R99</f>
        <v>0</v>
      </c>
      <c r="S100" s="594" t="e">
        <f>(R96+R88)-L68</f>
        <v>#REF!</v>
      </c>
      <c r="T100" s="364"/>
      <c r="U100" s="208"/>
      <c r="V100"/>
      <c r="W100"/>
    </row>
    <row r="101" spans="2:23" ht="15" thickBot="1" x14ac:dyDescent="0.35">
      <c r="H101" s="658"/>
      <c r="I101" s="208"/>
      <c r="J101" s="208"/>
      <c r="K101" s="208"/>
      <c r="L101" s="208"/>
      <c r="M101" s="208"/>
      <c r="N101" s="362"/>
      <c r="O101" s="208"/>
      <c r="P101" s="682"/>
      <c r="Q101" s="682"/>
      <c r="R101" s="682"/>
      <c r="S101" s="682"/>
      <c r="T101" s="364"/>
      <c r="U101" s="208"/>
      <c r="V101" s="208"/>
      <c r="W101" s="208"/>
    </row>
    <row r="102" spans="2:23" ht="15" thickBot="1" x14ac:dyDescent="0.35">
      <c r="H102" s="658"/>
      <c r="I102" s="208"/>
      <c r="J102" s="208"/>
      <c r="K102" s="208"/>
      <c r="L102" s="208"/>
      <c r="M102" s="208"/>
      <c r="N102" s="362"/>
      <c r="O102" s="208"/>
      <c r="P102" s="694"/>
      <c r="Q102" s="598" t="s">
        <v>199</v>
      </c>
      <c r="R102" s="695" t="e">
        <f>R94+R100</f>
        <v>#REF!</v>
      </c>
      <c r="S102" s="696"/>
      <c r="T102" s="364"/>
      <c r="U102" s="208"/>
      <c r="V102"/>
      <c r="W102" s="208"/>
    </row>
    <row r="103" spans="2:23" x14ac:dyDescent="0.3">
      <c r="H103" s="658"/>
      <c r="I103" s="208"/>
      <c r="J103" s="208"/>
      <c r="K103" s="208"/>
      <c r="L103" s="208"/>
      <c r="M103" s="208"/>
      <c r="N103" s="362"/>
      <c r="O103" s="208"/>
      <c r="P103" s="208"/>
      <c r="Q103" s="208"/>
      <c r="R103" s="208"/>
      <c r="S103" s="208"/>
      <c r="T103" s="365"/>
      <c r="U103" s="208"/>
      <c r="V103"/>
      <c r="W103" s="208"/>
    </row>
    <row r="104" spans="2:23" ht="15" thickBot="1" x14ac:dyDescent="0.35">
      <c r="H104" s="697"/>
      <c r="I104" s="557"/>
      <c r="J104" s="557"/>
      <c r="K104" s="557"/>
      <c r="L104" s="557"/>
      <c r="M104" s="224"/>
      <c r="N104" s="580"/>
      <c r="O104" s="224"/>
      <c r="P104" s="224"/>
      <c r="Q104" s="224"/>
      <c r="R104" s="224"/>
      <c r="S104" s="224"/>
      <c r="T104" s="225"/>
      <c r="U104" s="208"/>
      <c r="V104" s="208"/>
      <c r="W104" s="208"/>
    </row>
    <row r="105" spans="2:23" x14ac:dyDescent="0.3">
      <c r="H105" s="208"/>
      <c r="I105" s="208"/>
      <c r="J105" s="208"/>
      <c r="K105" s="208"/>
      <c r="L105" s="208"/>
      <c r="M105"/>
      <c r="N105" s="362"/>
      <c r="O105" s="208"/>
      <c r="P105" s="208"/>
      <c r="Q105" s="208"/>
      <c r="R105" s="208"/>
      <c r="S105" s="208"/>
      <c r="T105" s="208"/>
      <c r="U105" s="208"/>
      <c r="V105" s="208"/>
      <c r="W105" s="208"/>
    </row>
    <row r="106" spans="2:23" x14ac:dyDescent="0.3">
      <c r="H106" s="208"/>
      <c r="I106" s="208"/>
      <c r="J106" s="208"/>
      <c r="K106" s="208"/>
      <c r="L106" s="208"/>
      <c r="M106"/>
      <c r="N106" s="362"/>
      <c r="O106" s="208"/>
      <c r="P106" s="208"/>
      <c r="Q106" s="208"/>
      <c r="R106" s="208"/>
      <c r="S106" s="208"/>
      <c r="T106" s="208"/>
      <c r="U106" s="208"/>
      <c r="V106"/>
      <c r="W106" s="208"/>
    </row>
    <row r="107" spans="2:23" x14ac:dyDescent="0.3">
      <c r="H107" s="208"/>
      <c r="I107" s="208"/>
      <c r="J107" s="208"/>
      <c r="K107" s="208"/>
      <c r="L107" s="208"/>
      <c r="M107"/>
      <c r="N107" s="362"/>
      <c r="O107" s="208"/>
      <c r="P107" s="208"/>
      <c r="Q107" s="208"/>
      <c r="R107" s="208"/>
      <c r="S107" s="208"/>
      <c r="T107" s="208"/>
      <c r="U107" s="208"/>
      <c r="V107"/>
      <c r="W107" s="208"/>
    </row>
    <row r="108" spans="2:23" x14ac:dyDescent="0.3">
      <c r="H108" s="208"/>
      <c r="I108" s="208"/>
      <c r="J108" s="208"/>
      <c r="K108" s="208"/>
      <c r="L108" s="208"/>
      <c r="M108"/>
      <c r="N108" s="362"/>
      <c r="O108" s="208"/>
      <c r="P108" s="208"/>
      <c r="Q108" s="105"/>
      <c r="R108" s="208"/>
      <c r="S108" s="208"/>
      <c r="T108" s="208"/>
      <c r="U108"/>
      <c r="V108"/>
      <c r="W108" s="208"/>
    </row>
    <row r="109" spans="2:23" x14ac:dyDescent="0.3">
      <c r="H109" s="208"/>
      <c r="I109" s="208"/>
      <c r="J109" s="208"/>
      <c r="K109" s="208"/>
      <c r="L109" s="208"/>
      <c r="M109"/>
      <c r="N109" s="32"/>
      <c r="O109"/>
      <c r="P109"/>
      <c r="Q109"/>
      <c r="R109"/>
      <c r="S109"/>
      <c r="T109"/>
      <c r="U109"/>
      <c r="V109"/>
      <c r="W109" s="208"/>
    </row>
    <row r="110" spans="2:23" x14ac:dyDescent="0.3">
      <c r="H110" s="208"/>
      <c r="I110" s="208"/>
      <c r="J110" s="208"/>
      <c r="K110" s="208"/>
      <c r="L110" s="208"/>
      <c r="M110"/>
      <c r="N110" s="32"/>
      <c r="O110"/>
      <c r="P110"/>
      <c r="Q110"/>
      <c r="R110"/>
      <c r="S110"/>
      <c r="T110"/>
      <c r="U110"/>
      <c r="V110"/>
      <c r="W110" s="208"/>
    </row>
    <row r="111" spans="2:23" x14ac:dyDescent="0.3">
      <c r="H111" s="208"/>
      <c r="I111" s="208"/>
      <c r="J111" s="208"/>
      <c r="K111" s="208"/>
      <c r="L111" s="208"/>
      <c r="M111"/>
      <c r="N111" s="32"/>
      <c r="O111"/>
      <c r="P111"/>
      <c r="Q111"/>
      <c r="R111"/>
      <c r="S111"/>
      <c r="T111"/>
      <c r="U111"/>
      <c r="V111" s="208"/>
      <c r="W111" s="208"/>
    </row>
    <row r="112" spans="2:23" x14ac:dyDescent="0.3">
      <c r="H112" s="208"/>
      <c r="I112" s="208"/>
      <c r="J112" s="208"/>
      <c r="K112" s="208"/>
      <c r="L112" s="208"/>
      <c r="M112"/>
      <c r="N112" s="32"/>
      <c r="O112"/>
      <c r="P112"/>
      <c r="Q112"/>
      <c r="R112"/>
      <c r="S112"/>
      <c r="T112"/>
      <c r="U112"/>
      <c r="V112" s="208"/>
      <c r="W112" s="208"/>
    </row>
    <row r="113" spans="13:20" x14ac:dyDescent="0.3">
      <c r="M113"/>
      <c r="N113" s="32"/>
      <c r="O113"/>
      <c r="P113"/>
      <c r="Q113"/>
      <c r="R113"/>
      <c r="S113"/>
      <c r="T113"/>
    </row>
  </sheetData>
  <dataValidations disablePrompts="1" count="1">
    <dataValidation type="list" allowBlank="1" showInputMessage="1" showErrorMessage="1" sqref="W4" xr:uid="{2E49AEFD-1F04-4B73-BCF5-DB1A5F090931}">
      <formula1>#REF!</formula1>
    </dataValidation>
  </dataValidations>
  <pageMargins left="0.7" right="0.7" top="0.75" bottom="0.75" header="0.3" footer="0.3"/>
  <pageSetup scale="51" orientation="landscape" r:id="rId1"/>
  <headerFooter>
    <oddFooter>&amp;R&amp;A
&amp;Z&amp;F</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E8258-57FA-4218-BFCB-AB7EE22FEE43}">
  <sheetPr>
    <tabColor rgb="FFFF0000"/>
    <pageSetUpPr fitToPage="1"/>
  </sheetPr>
  <dimension ref="A1:AK100"/>
  <sheetViews>
    <sheetView zoomScale="55" zoomScaleNormal="55" workbookViewId="0">
      <selection activeCell="E32" sqref="E32"/>
    </sheetView>
  </sheetViews>
  <sheetFormatPr defaultColWidth="9.109375" defaultRowHeight="14.4" x14ac:dyDescent="0.3"/>
  <cols>
    <col min="1" max="1" width="2.88671875" style="132" customWidth="1"/>
    <col min="2" max="2" width="26.44140625" style="132" customWidth="1"/>
    <col min="3" max="3" width="51.88671875" style="132" customWidth="1"/>
    <col min="4" max="4" width="16.88671875" style="132" customWidth="1"/>
    <col min="5" max="5" width="10.88671875" style="132" customWidth="1"/>
    <col min="6" max="7" width="4.88671875" style="132" customWidth="1"/>
    <col min="8" max="8" width="21.88671875" style="132" customWidth="1"/>
    <col min="9" max="9" width="23.88671875" style="132" customWidth="1"/>
    <col min="10" max="10" width="27.109375" style="132" customWidth="1"/>
    <col min="11" max="11" width="22.88671875" style="132" bestFit="1" customWidth="1"/>
    <col min="12" max="12" width="18.109375" style="132" customWidth="1"/>
    <col min="13" max="13" width="17" style="132" customWidth="1"/>
    <col min="14" max="14" width="21.88671875" style="361" bestFit="1" customWidth="1"/>
    <col min="15" max="15" width="17.88671875" style="132" customWidth="1"/>
    <col min="16" max="16" width="12.88671875" style="132" customWidth="1"/>
    <col min="17" max="17" width="16.5546875" style="132" customWidth="1"/>
    <col min="18" max="18" width="14.88671875" style="132" customWidth="1"/>
    <col min="19" max="19" width="9.88671875" style="132" customWidth="1"/>
    <col min="20" max="20" width="13.88671875" style="132" customWidth="1"/>
    <col min="21" max="21" width="12.44140625" style="132" bestFit="1" customWidth="1"/>
    <col min="22" max="22" width="13.88671875" style="132" customWidth="1"/>
    <col min="23" max="23" width="14.109375" style="132" bestFit="1" customWidth="1"/>
    <col min="24" max="24" width="21" style="132" customWidth="1"/>
    <col min="25" max="25" width="14.5546875" style="132" customWidth="1"/>
    <col min="26" max="16384" width="9.109375" style="132"/>
  </cols>
  <sheetData>
    <row r="1" spans="1:37" s="131" customFormat="1" ht="18" x14ac:dyDescent="0.35">
      <c r="A1" s="503" t="s">
        <v>61</v>
      </c>
      <c r="B1" s="503"/>
      <c r="C1" s="503"/>
      <c r="D1" s="503"/>
      <c r="E1" s="503"/>
      <c r="F1" s="503"/>
      <c r="G1" s="503"/>
      <c r="H1" s="503"/>
      <c r="I1" s="503"/>
      <c r="J1" s="503"/>
      <c r="K1" s="503"/>
      <c r="L1" s="503"/>
      <c r="M1" s="503"/>
      <c r="N1" s="503"/>
      <c r="O1" s="503"/>
      <c r="P1" s="503"/>
      <c r="Q1" s="503"/>
      <c r="R1" s="503"/>
      <c r="S1" s="503"/>
      <c r="T1" s="503"/>
      <c r="U1" s="503"/>
      <c r="V1" s="503"/>
      <c r="W1" s="503"/>
      <c r="X1" s="503"/>
      <c r="Y1" s="503"/>
    </row>
    <row r="2" spans="1:37" s="131" customFormat="1" ht="18" x14ac:dyDescent="0.35">
      <c r="A2" s="503" t="s">
        <v>62</v>
      </c>
      <c r="B2" s="503"/>
      <c r="C2" s="503"/>
      <c r="D2" s="503"/>
      <c r="E2" s="503"/>
      <c r="F2" s="503"/>
      <c r="G2" s="503"/>
      <c r="H2" s="503"/>
      <c r="I2" s="503"/>
      <c r="J2" s="503"/>
      <c r="K2" s="503"/>
      <c r="L2" s="503"/>
      <c r="M2" s="503"/>
      <c r="N2" s="503"/>
      <c r="O2" s="503"/>
      <c r="P2" s="503"/>
      <c r="Q2" s="503"/>
      <c r="R2" s="503"/>
      <c r="S2" s="503"/>
      <c r="T2" s="503"/>
      <c r="U2" s="503"/>
      <c r="V2" s="503"/>
      <c r="W2" s="503"/>
      <c r="X2" s="503"/>
      <c r="Y2" s="503"/>
    </row>
    <row r="4" spans="1:37" ht="15.6" x14ac:dyDescent="0.3">
      <c r="A4" s="208"/>
      <c r="B4" s="634" t="s">
        <v>63</v>
      </c>
      <c r="C4" s="635" t="str">
        <f>CONCATENATE(C18, " ",C19, " ",C5)</f>
        <v xml:space="preserve">  "2022 Q3 Eggo Liege TV"</v>
      </c>
      <c r="D4" s="208"/>
      <c r="E4" s="208"/>
      <c r="F4" s="634" t="s">
        <v>64</v>
      </c>
      <c r="G4" s="634"/>
      <c r="H4" s="220" t="s">
        <v>65</v>
      </c>
      <c r="I4"/>
      <c r="J4"/>
      <c r="K4"/>
      <c r="L4" s="208"/>
      <c r="M4" s="208"/>
      <c r="N4" s="362"/>
      <c r="O4" s="208"/>
      <c r="P4" s="208"/>
      <c r="Q4" s="208"/>
      <c r="R4" s="208"/>
      <c r="S4" s="208"/>
      <c r="T4" s="208"/>
      <c r="U4" s="208"/>
      <c r="V4" s="208"/>
      <c r="W4" s="208"/>
      <c r="X4" s="610" t="s">
        <v>66</v>
      </c>
      <c r="Y4" s="271" t="s">
        <v>67</v>
      </c>
      <c r="Z4" s="208"/>
      <c r="AA4" s="208"/>
      <c r="AB4" s="208"/>
      <c r="AC4" s="208"/>
      <c r="AD4" s="208"/>
      <c r="AE4" s="208"/>
      <c r="AF4" s="208"/>
      <c r="AG4" s="208"/>
      <c r="AH4" s="208"/>
      <c r="AI4" s="208"/>
      <c r="AJ4" s="208"/>
      <c r="AK4" s="208"/>
    </row>
    <row r="5" spans="1:37" ht="15.6" x14ac:dyDescent="0.3">
      <c r="A5" s="208"/>
      <c r="B5" s="634" t="s">
        <v>68</v>
      </c>
      <c r="C5" s="156" t="s">
        <v>200</v>
      </c>
      <c r="D5" s="208"/>
      <c r="E5" s="208"/>
      <c r="F5" s="208"/>
      <c r="G5" s="208"/>
      <c r="H5" s="208"/>
      <c r="I5" s="208"/>
      <c r="J5" s="208"/>
      <c r="K5" s="208"/>
      <c r="L5" s="208"/>
      <c r="M5" s="208"/>
      <c r="N5" s="362"/>
      <c r="O5" s="208"/>
      <c r="P5" s="208"/>
      <c r="Q5" s="208"/>
      <c r="R5" s="208"/>
      <c r="S5" s="208"/>
      <c r="T5" s="208"/>
      <c r="U5" s="208"/>
      <c r="V5" s="208"/>
      <c r="W5" s="208"/>
      <c r="X5" s="208"/>
      <c r="Y5" s="208"/>
      <c r="Z5" s="208"/>
      <c r="AA5" s="208"/>
      <c r="AB5" s="208"/>
      <c r="AC5" s="208"/>
      <c r="AD5" s="208"/>
      <c r="AE5" s="208"/>
      <c r="AF5" s="208"/>
      <c r="AG5" s="208"/>
      <c r="AH5" s="208"/>
      <c r="AI5" s="208"/>
      <c r="AJ5" s="208"/>
      <c r="AK5" s="208"/>
    </row>
    <row r="6" spans="1:37" ht="18" x14ac:dyDescent="0.35">
      <c r="A6" s="208"/>
      <c r="B6" s="634"/>
      <c r="C6" s="636"/>
      <c r="D6" s="208"/>
      <c r="E6" s="208"/>
      <c r="F6" s="208"/>
      <c r="G6" s="208"/>
      <c r="H6" s="208"/>
      <c r="I6" s="208"/>
      <c r="J6" s="208"/>
      <c r="K6" s="208"/>
      <c r="L6" s="208"/>
      <c r="M6" s="208"/>
      <c r="N6" s="362"/>
      <c r="O6" s="208"/>
      <c r="P6" s="208"/>
      <c r="Q6" s="208"/>
      <c r="R6" s="208"/>
      <c r="S6" s="208"/>
      <c r="T6" s="208"/>
      <c r="U6" s="208"/>
      <c r="V6" s="208"/>
      <c r="W6" s="208"/>
      <c r="X6" s="208"/>
      <c r="Y6" s="208"/>
      <c r="Z6" s="208"/>
      <c r="AA6" s="208"/>
      <c r="AB6" s="208"/>
      <c r="AC6" s="208"/>
      <c r="AD6" s="208"/>
      <c r="AE6" s="208"/>
      <c r="AF6" s="208"/>
      <c r="AG6" s="208"/>
      <c r="AH6" s="208"/>
      <c r="AI6" s="208"/>
      <c r="AJ6" s="208"/>
      <c r="AK6" s="208"/>
    </row>
    <row r="7" spans="1:37" ht="18.600000000000001" thickBot="1" x14ac:dyDescent="0.4">
      <c r="A7" s="208"/>
      <c r="B7" s="634" t="s">
        <v>590</v>
      </c>
      <c r="C7" s="724"/>
      <c r="D7" s="208"/>
      <c r="E7" s="208"/>
      <c r="F7" s="208"/>
      <c r="G7" s="208"/>
      <c r="H7" s="208"/>
      <c r="I7" s="208"/>
      <c r="J7" s="208"/>
      <c r="K7" s="208"/>
      <c r="L7" s="208"/>
      <c r="M7" s="208"/>
      <c r="N7" s="362"/>
      <c r="O7" s="208"/>
      <c r="P7" s="208"/>
      <c r="Q7" s="208"/>
      <c r="R7" s="208"/>
      <c r="S7" s="208"/>
      <c r="T7" s="208"/>
      <c r="U7" s="208"/>
      <c r="V7" s="208"/>
      <c r="W7" s="208"/>
      <c r="X7" s="208"/>
      <c r="Y7" s="208"/>
      <c r="Z7" s="208"/>
      <c r="AA7" s="208"/>
      <c r="AB7" s="208"/>
      <c r="AC7" s="208"/>
      <c r="AD7" s="208"/>
      <c r="AE7" s="208"/>
      <c r="AF7" s="208"/>
      <c r="AG7" s="208"/>
      <c r="AH7" s="208"/>
      <c r="AI7" s="208"/>
      <c r="AJ7" s="208"/>
      <c r="AK7" s="208"/>
    </row>
    <row r="8" spans="1:37" ht="18.600000000000001" thickBot="1" x14ac:dyDescent="0.4">
      <c r="A8" s="208"/>
      <c r="B8" s="634" t="s">
        <v>591</v>
      </c>
      <c r="C8" s="724"/>
      <c r="D8" s="208"/>
      <c r="E8" s="208"/>
      <c r="F8" s="208"/>
      <c r="G8" s="208"/>
      <c r="H8" s="432" t="s">
        <v>70</v>
      </c>
      <c r="I8" s="637"/>
      <c r="J8" s="637"/>
      <c r="K8" s="637"/>
      <c r="L8" s="637"/>
      <c r="M8" s="637"/>
      <c r="N8" s="637"/>
      <c r="O8" s="637"/>
      <c r="P8" s="637"/>
      <c r="Q8" s="637"/>
      <c r="R8" s="637"/>
      <c r="S8" s="637"/>
      <c r="T8" s="637"/>
      <c r="U8" s="637"/>
      <c r="V8" s="638"/>
      <c r="W8" s="208"/>
      <c r="X8" s="433" t="s">
        <v>71</v>
      </c>
      <c r="Y8" s="433"/>
      <c r="Z8" s="208"/>
      <c r="AA8" s="208"/>
      <c r="AB8" s="432" t="s">
        <v>72</v>
      </c>
      <c r="AC8" s="637"/>
      <c r="AD8" s="637"/>
      <c r="AE8" s="637"/>
      <c r="AF8" s="637"/>
      <c r="AG8" s="637"/>
      <c r="AH8" s="637"/>
      <c r="AI8" s="637"/>
      <c r="AJ8" s="637"/>
      <c r="AK8" s="638"/>
    </row>
    <row r="9" spans="1:37" ht="18.600000000000001" thickBot="1" x14ac:dyDescent="0.4">
      <c r="A9" s="208"/>
      <c r="B9" s="634" t="s">
        <v>559</v>
      </c>
      <c r="C9" s="724"/>
      <c r="D9" s="208"/>
      <c r="E9" s="208"/>
      <c r="F9" s="208"/>
      <c r="G9" s="208"/>
      <c r="H9" s="208"/>
      <c r="I9" s="208"/>
      <c r="J9" s="208"/>
      <c r="K9" s="208"/>
      <c r="L9" s="208"/>
      <c r="M9" s="208"/>
      <c r="N9" s="362"/>
      <c r="O9" s="208"/>
      <c r="P9" s="208"/>
      <c r="Q9" s="208"/>
      <c r="R9" s="208"/>
      <c r="S9" s="208"/>
      <c r="T9" s="208"/>
      <c r="U9" s="208"/>
      <c r="V9" s="208"/>
      <c r="W9" s="208"/>
      <c r="X9" s="208"/>
      <c r="Y9" s="208"/>
      <c r="Z9" s="208"/>
      <c r="AA9" s="208"/>
      <c r="AB9" s="208"/>
      <c r="AC9" s="208"/>
      <c r="AD9" s="208"/>
      <c r="AE9" s="208"/>
      <c r="AF9" s="208"/>
      <c r="AG9" s="208"/>
      <c r="AH9" s="208"/>
      <c r="AI9" s="208"/>
      <c r="AJ9" s="208"/>
      <c r="AK9" s="208"/>
    </row>
    <row r="10" spans="1:37" ht="18.600000000000001" thickBot="1" x14ac:dyDescent="0.4">
      <c r="A10" s="208"/>
      <c r="B10" s="634" t="s">
        <v>592</v>
      </c>
      <c r="C10" s="724"/>
      <c r="D10" s="208"/>
      <c r="E10" s="208"/>
      <c r="F10" s="208"/>
      <c r="G10" s="208"/>
      <c r="H10" s="359" t="s">
        <v>75</v>
      </c>
      <c r="I10" s="360"/>
      <c r="J10" s="360"/>
      <c r="K10" s="360"/>
      <c r="L10" s="639"/>
      <c r="M10" s="208"/>
      <c r="N10" s="359" t="s">
        <v>76</v>
      </c>
      <c r="O10" s="360"/>
      <c r="P10" s="360"/>
      <c r="Q10" s="360"/>
      <c r="R10" s="640"/>
      <c r="S10" s="208"/>
      <c r="T10" s="590" t="s">
        <v>77</v>
      </c>
      <c r="U10" s="208"/>
      <c r="V10" s="590" t="s">
        <v>78</v>
      </c>
      <c r="W10" s="208"/>
      <c r="X10" s="116" t="s">
        <v>79</v>
      </c>
      <c r="Y10" s="116" t="s">
        <v>80</v>
      </c>
      <c r="Z10" s="208"/>
      <c r="AA10" s="208"/>
      <c r="AB10" s="208"/>
      <c r="AC10" s="208"/>
      <c r="AD10" s="208"/>
      <c r="AE10" s="208"/>
      <c r="AF10" s="208"/>
      <c r="AG10" s="208"/>
      <c r="AH10" s="208"/>
      <c r="AI10" s="208"/>
      <c r="AJ10" s="208"/>
      <c r="AK10" s="208"/>
    </row>
    <row r="11" spans="1:37" ht="18" x14ac:dyDescent="0.35">
      <c r="A11" s="208"/>
      <c r="B11" s="634" t="s">
        <v>593</v>
      </c>
      <c r="C11" s="724"/>
      <c r="D11" s="208"/>
      <c r="E11" s="208"/>
      <c r="F11" s="208"/>
      <c r="G11" s="208"/>
      <c r="H11" s="5" t="s">
        <v>82</v>
      </c>
      <c r="I11" s="5"/>
      <c r="J11" s="5"/>
      <c r="K11" s="5"/>
      <c r="L11" s="208"/>
      <c r="M11" s="208"/>
      <c r="N11" s="362"/>
      <c r="O11" s="208"/>
      <c r="P11" s="208"/>
      <c r="Q11" s="208"/>
      <c r="R11" s="208"/>
      <c r="S11" s="208"/>
      <c r="T11" s="208"/>
      <c r="U11" s="208"/>
      <c r="V11" s="208"/>
      <c r="W11" s="208"/>
      <c r="X11" s="208"/>
      <c r="Y11" s="641"/>
      <c r="Z11" s="208"/>
      <c r="AA11" s="208"/>
      <c r="AB11" t="s">
        <v>83</v>
      </c>
      <c r="AC11" s="208"/>
      <c r="AD11" s="208"/>
      <c r="AE11" s="208"/>
      <c r="AF11" s="208"/>
      <c r="AG11" s="208"/>
      <c r="AH11" s="208"/>
      <c r="AI11" s="208"/>
      <c r="AJ11" s="208"/>
      <c r="AK11" s="208"/>
    </row>
    <row r="12" spans="1:37" ht="16.2" x14ac:dyDescent="0.45">
      <c r="A12" s="208"/>
      <c r="B12" s="634"/>
      <c r="C12" s="725"/>
      <c r="D12" s="208"/>
      <c r="E12" s="208"/>
      <c r="F12" s="208"/>
      <c r="G12" s="208"/>
      <c r="H12" s="362" t="s">
        <v>85</v>
      </c>
      <c r="I12" s="634"/>
      <c r="J12" s="634"/>
      <c r="K12" s="133">
        <f>'Crew Payroll'!AE45</f>
        <v>0</v>
      </c>
      <c r="L12" s="208"/>
      <c r="M12" s="208"/>
      <c r="N12" s="32" t="s">
        <v>86</v>
      </c>
      <c r="O12" s="142"/>
      <c r="P12" s="142"/>
      <c r="Q12" s="134">
        <f>P13+P14</f>
        <v>0</v>
      </c>
      <c r="R12" s="642"/>
      <c r="S12" s="642"/>
      <c r="T12" s="134">
        <f>'Crew Payroll'!U53</f>
        <v>0</v>
      </c>
      <c r="U12" s="642"/>
      <c r="V12" s="642">
        <f>K12-(Q12+T12)</f>
        <v>0</v>
      </c>
      <c r="W12" s="208"/>
      <c r="X12" s="641"/>
      <c r="Y12" s="641"/>
      <c r="Z12" s="208"/>
      <c r="AA12" s="208"/>
      <c r="AB12" s="272" t="s">
        <v>87</v>
      </c>
      <c r="AC12" s="208"/>
      <c r="AD12" s="208"/>
      <c r="AE12" s="208"/>
      <c r="AF12" s="208"/>
      <c r="AG12" s="208"/>
      <c r="AH12" s="208"/>
      <c r="AI12" s="208"/>
      <c r="AJ12" s="208"/>
      <c r="AK12" s="208"/>
    </row>
    <row r="13" spans="1:37" ht="16.2" x14ac:dyDescent="0.45">
      <c r="A13" s="208"/>
      <c r="B13" s="142" t="s">
        <v>73</v>
      </c>
      <c r="C13" s="157"/>
      <c r="D13" s="208"/>
      <c r="E13" s="208"/>
      <c r="F13" s="208"/>
      <c r="G13" s="208"/>
      <c r="H13" s="208"/>
      <c r="I13" s="208"/>
      <c r="J13" s="208"/>
      <c r="K13" s="208"/>
      <c r="L13" s="208"/>
      <c r="M13" s="208"/>
      <c r="N13" s="362"/>
      <c r="O13" s="255" t="s">
        <v>88</v>
      </c>
      <c r="P13" s="256">
        <f>'Crew Payroll'!S53</f>
        <v>0</v>
      </c>
      <c r="Q13" s="208"/>
      <c r="R13" s="208"/>
      <c r="S13" s="208"/>
      <c r="T13" s="208"/>
      <c r="U13" s="208"/>
      <c r="V13" s="642"/>
      <c r="W13" s="208"/>
      <c r="X13" s="641"/>
      <c r="Y13" s="641"/>
      <c r="Z13" s="208"/>
      <c r="AA13" s="208"/>
      <c r="AB13" s="208"/>
      <c r="AC13" s="208"/>
      <c r="AD13" s="208"/>
      <c r="AE13" s="208"/>
      <c r="AF13" s="208"/>
      <c r="AG13" s="208"/>
      <c r="AH13" s="208"/>
      <c r="AI13" s="208"/>
      <c r="AJ13" s="208"/>
      <c r="AK13" s="208"/>
    </row>
    <row r="14" spans="1:37" ht="16.2" x14ac:dyDescent="0.45">
      <c r="A14" s="208"/>
      <c r="B14" s="142" t="s">
        <v>74</v>
      </c>
      <c r="C14" s="157"/>
      <c r="D14" s="208"/>
      <c r="E14" s="208"/>
      <c r="F14" s="208"/>
      <c r="G14" s="208"/>
      <c r="H14" s="208"/>
      <c r="I14" s="208"/>
      <c r="J14" s="208"/>
      <c r="K14" s="208"/>
      <c r="L14" s="208"/>
      <c r="M14" s="208"/>
      <c r="N14" s="362"/>
      <c r="O14" s="255" t="s">
        <v>90</v>
      </c>
      <c r="P14" s="256">
        <f>'Crew Payroll'!S54</f>
        <v>0</v>
      </c>
      <c r="Q14" s="208"/>
      <c r="R14" s="208"/>
      <c r="S14" s="208"/>
      <c r="T14" s="208"/>
      <c r="U14" s="208"/>
      <c r="V14" s="642"/>
      <c r="W14" s="208"/>
      <c r="X14" s="641"/>
      <c r="Y14" s="641"/>
      <c r="Z14" s="208"/>
      <c r="AA14" s="208"/>
      <c r="AB14" s="208"/>
      <c r="AC14" s="208"/>
      <c r="AD14" s="208"/>
      <c r="AE14" s="208"/>
      <c r="AF14" s="208"/>
      <c r="AG14" s="208"/>
      <c r="AH14" s="208"/>
      <c r="AI14" s="208"/>
      <c r="AJ14" s="208"/>
      <c r="AK14" s="208"/>
    </row>
    <row r="15" spans="1:37" ht="16.2" x14ac:dyDescent="0.45">
      <c r="A15" s="208"/>
      <c r="B15" s="142" t="s">
        <v>81</v>
      </c>
      <c r="C15" s="158"/>
      <c r="D15" s="208"/>
      <c r="E15" s="208"/>
      <c r="F15" s="208"/>
      <c r="G15" s="208"/>
      <c r="H15" s="32" t="s">
        <v>92</v>
      </c>
      <c r="I15" s="634"/>
      <c r="J15" s="634"/>
      <c r="K15" s="133">
        <f>'ProdCo Sub-Vendors'!M44</f>
        <v>0</v>
      </c>
      <c r="L15" s="208"/>
      <c r="M15" s="208"/>
      <c r="N15" s="32" t="s">
        <v>92</v>
      </c>
      <c r="O15" s="634"/>
      <c r="P15" s="634"/>
      <c r="Q15" s="134">
        <f>'ProdCo Sub-Vendors'!N57</f>
        <v>0</v>
      </c>
      <c r="R15" s="208"/>
      <c r="S15" s="208"/>
      <c r="T15" s="134">
        <f>'ProdCo Sub-Vendors'!N58</f>
        <v>0</v>
      </c>
      <c r="U15" s="208"/>
      <c r="V15" s="642">
        <f t="shared" ref="V15:V18" si="0">K15-(Q15+T15)</f>
        <v>0</v>
      </c>
      <c r="W15" s="208"/>
      <c r="X15" s="641"/>
      <c r="Y15" s="641"/>
      <c r="Z15" s="208"/>
      <c r="AA15" s="208"/>
      <c r="AB15" s="208"/>
      <c r="AC15" s="208"/>
      <c r="AD15" s="208"/>
      <c r="AE15" s="208"/>
      <c r="AF15" s="208"/>
      <c r="AG15" s="208"/>
      <c r="AH15" s="208"/>
      <c r="AI15" s="208"/>
      <c r="AJ15" s="208"/>
      <c r="AK15" s="208"/>
    </row>
    <row r="16" spans="1:37" ht="16.2" x14ac:dyDescent="0.45">
      <c r="A16" s="208"/>
      <c r="B16" s="142" t="s">
        <v>84</v>
      </c>
      <c r="C16" s="158"/>
      <c r="D16" s="208"/>
      <c r="E16" s="208"/>
      <c r="F16" s="208"/>
      <c r="G16" s="208"/>
      <c r="H16" s="32" t="s">
        <v>95</v>
      </c>
      <c r="I16" s="634"/>
      <c r="J16" s="634"/>
      <c r="K16" s="133">
        <f>'Prod - Petty Cash'!N34</f>
        <v>0</v>
      </c>
      <c r="L16" s="208"/>
      <c r="M16" s="208"/>
      <c r="N16" s="32" t="s">
        <v>95</v>
      </c>
      <c r="O16" s="634"/>
      <c r="P16" s="634"/>
      <c r="Q16" s="134">
        <f>'Prod - Petty Cash'!O49</f>
        <v>0</v>
      </c>
      <c r="R16" s="208"/>
      <c r="S16" s="208"/>
      <c r="T16" s="134">
        <f>'Prod - Petty Cash'!N40</f>
        <v>0</v>
      </c>
      <c r="U16" s="208"/>
      <c r="V16" s="642">
        <f t="shared" si="0"/>
        <v>0</v>
      </c>
      <c r="W16" s="208"/>
      <c r="X16" s="641"/>
      <c r="Y16" s="641"/>
      <c r="Z16" s="208"/>
      <c r="AA16" s="208"/>
      <c r="AB16" s="208"/>
      <c r="AC16" s="208"/>
      <c r="AD16" s="208"/>
      <c r="AE16" s="208"/>
      <c r="AF16" s="208"/>
      <c r="AG16" s="208"/>
      <c r="AH16" s="208"/>
      <c r="AI16" s="208"/>
      <c r="AJ16" s="208"/>
      <c r="AK16" s="208"/>
    </row>
    <row r="17" spans="2:26" ht="16.2" x14ac:dyDescent="0.45">
      <c r="B17" s="634"/>
      <c r="C17" s="208"/>
      <c r="D17" s="208"/>
      <c r="E17" s="208"/>
      <c r="F17" s="208"/>
      <c r="G17" s="208"/>
      <c r="H17" s="32" t="s">
        <v>97</v>
      </c>
      <c r="I17" s="142"/>
      <c r="J17" s="142"/>
      <c r="K17" s="133" t="e">
        <f>#REF!</f>
        <v>#REF!</v>
      </c>
      <c r="L17" s="208"/>
      <c r="M17" s="208"/>
      <c r="N17" s="32" t="s">
        <v>97</v>
      </c>
      <c r="O17" s="142"/>
      <c r="P17" s="142"/>
      <c r="Q17" s="134" t="e">
        <f>#REF!</f>
        <v>#REF!</v>
      </c>
      <c r="R17" s="208"/>
      <c r="S17" s="208"/>
      <c r="T17" s="134" t="e">
        <f>#REF!</f>
        <v>#REF!</v>
      </c>
      <c r="U17" s="208"/>
      <c r="V17" s="642" t="e">
        <f t="shared" si="0"/>
        <v>#REF!</v>
      </c>
      <c r="W17" s="208"/>
      <c r="X17" s="641"/>
      <c r="Y17" s="641"/>
      <c r="Z17" s="208"/>
    </row>
    <row r="18" spans="2:26" ht="16.2" x14ac:dyDescent="0.45">
      <c r="B18" s="634" t="s">
        <v>89</v>
      </c>
      <c r="C18" s="157"/>
      <c r="D18" s="208"/>
      <c r="E18" s="208"/>
      <c r="F18" s="208"/>
      <c r="G18" s="208"/>
      <c r="H18" s="32" t="s">
        <v>99</v>
      </c>
      <c r="I18" s="142"/>
      <c r="J18" s="142"/>
      <c r="K18" s="133" t="e">
        <f>#REF!</f>
        <v>#REF!</v>
      </c>
      <c r="L18" s="208"/>
      <c r="M18" s="208"/>
      <c r="N18" s="32" t="s">
        <v>99</v>
      </c>
      <c r="O18" s="142"/>
      <c r="P18" s="142"/>
      <c r="Q18" s="134" t="e">
        <f>#REF!</f>
        <v>#REF!</v>
      </c>
      <c r="R18" s="642"/>
      <c r="S18" s="642"/>
      <c r="T18" s="134" t="e">
        <f>#REF!</f>
        <v>#REF!</v>
      </c>
      <c r="U18" s="642"/>
      <c r="V18" s="642" t="e">
        <f t="shared" si="0"/>
        <v>#REF!</v>
      </c>
      <c r="W18" s="208"/>
      <c r="X18" s="641"/>
      <c r="Y18" s="641"/>
      <c r="Z18" s="208"/>
    </row>
    <row r="19" spans="2:26" x14ac:dyDescent="0.3">
      <c r="B19" s="142" t="s">
        <v>91</v>
      </c>
      <c r="C19" s="157"/>
      <c r="D19" s="208"/>
      <c r="E19" s="208"/>
      <c r="F19" s="208"/>
      <c r="G19" s="208"/>
      <c r="H19" s="208"/>
      <c r="I19" s="208"/>
      <c r="J19" s="208"/>
      <c r="K19" s="208"/>
      <c r="L19" s="208"/>
      <c r="M19" s="208"/>
      <c r="N19" s="362"/>
      <c r="O19" s="208"/>
      <c r="P19" s="208"/>
      <c r="Q19" s="208"/>
      <c r="R19" s="208"/>
      <c r="S19" s="208"/>
      <c r="T19" s="208"/>
      <c r="U19" s="208"/>
      <c r="V19" s="642"/>
      <c r="W19" s="208"/>
      <c r="X19" s="434"/>
      <c r="Y19" s="641"/>
      <c r="Z19" t="s">
        <v>207</v>
      </c>
    </row>
    <row r="20" spans="2:26" ht="16.2" x14ac:dyDescent="0.45">
      <c r="B20" s="634" t="s">
        <v>93</v>
      </c>
      <c r="C20" s="157"/>
      <c r="D20" s="272" t="s">
        <v>218</v>
      </c>
      <c r="E20" s="208"/>
      <c r="F20" s="208"/>
      <c r="G20" s="208"/>
      <c r="H20" s="32" t="s">
        <v>102</v>
      </c>
      <c r="I20" s="142"/>
      <c r="J20" s="142"/>
      <c r="K20" s="133">
        <f>SUM('Talent &amp; Extras'!T63)</f>
        <v>0</v>
      </c>
      <c r="L20" s="208"/>
      <c r="M20" s="208"/>
      <c r="N20" s="32" t="s">
        <v>102</v>
      </c>
      <c r="O20" s="142"/>
      <c r="P20" s="142"/>
      <c r="Q20" s="133">
        <f>'Talent &amp; Extras'!N81</f>
        <v>0</v>
      </c>
      <c r="R20" s="208"/>
      <c r="S20" s="208"/>
      <c r="T20" s="133">
        <f>'Talent &amp; Extras'!M69</f>
        <v>0</v>
      </c>
      <c r="U20" s="208"/>
      <c r="V20" s="642">
        <f>K20-(Q20+T20)</f>
        <v>0</v>
      </c>
      <c r="W20" s="208"/>
      <c r="X20" s="641"/>
      <c r="Y20" s="641"/>
      <c r="Z20" s="208"/>
    </row>
    <row r="21" spans="2:26" ht="16.2" x14ac:dyDescent="0.45">
      <c r="B21" s="634" t="s">
        <v>96</v>
      </c>
      <c r="C21" s="157"/>
      <c r="D21" s="272" t="s">
        <v>219</v>
      </c>
      <c r="E21" s="208"/>
      <c r="F21" s="208"/>
      <c r="G21" s="208"/>
      <c r="H21" s="362"/>
      <c r="I21" s="644" t="s">
        <v>104</v>
      </c>
      <c r="J21" s="258">
        <f>'Talent &amp; Extras'!Q69</f>
        <v>0</v>
      </c>
      <c r="K21" s="208"/>
      <c r="L21" s="208"/>
      <c r="M21" s="208"/>
      <c r="N21" s="362"/>
      <c r="O21" s="644" t="s">
        <v>104</v>
      </c>
      <c r="P21" s="258">
        <f>'Talent &amp; Extras'!D69</f>
        <v>0</v>
      </c>
      <c r="Q21" s="208"/>
      <c r="R21" s="208"/>
      <c r="S21" s="208"/>
      <c r="T21" s="208"/>
      <c r="U21" s="208"/>
      <c r="V21" s="642"/>
      <c r="W21" s="208"/>
      <c r="X21" s="641"/>
      <c r="Y21" s="641"/>
      <c r="Z21" s="208"/>
    </row>
    <row r="22" spans="2:26" ht="16.2" x14ac:dyDescent="0.45">
      <c r="B22" s="142" t="s">
        <v>98</v>
      </c>
      <c r="C22" s="157"/>
      <c r="D22" s="272" t="s">
        <v>219</v>
      </c>
      <c r="E22" s="208"/>
      <c r="F22" s="208"/>
      <c r="G22" s="208"/>
      <c r="H22" s="362"/>
      <c r="I22" s="255" t="s">
        <v>106</v>
      </c>
      <c r="J22" s="258">
        <f>'Talent &amp; Extras'!C71</f>
        <v>0</v>
      </c>
      <c r="K22" s="208"/>
      <c r="L22" s="208"/>
      <c r="M22" s="208"/>
      <c r="N22" s="362"/>
      <c r="O22" s="255" t="s">
        <v>106</v>
      </c>
      <c r="P22" s="258">
        <f>'Talent &amp; Extras'!D70</f>
        <v>0</v>
      </c>
      <c r="Q22" s="208"/>
      <c r="R22" s="135"/>
      <c r="S22" s="135"/>
      <c r="T22" s="208"/>
      <c r="U22" s="135"/>
      <c r="V22" s="642"/>
      <c r="W22" s="208"/>
      <c r="X22" s="641"/>
      <c r="Y22" s="641"/>
      <c r="Z22" s="208"/>
    </row>
    <row r="23" spans="2:26" ht="16.2" x14ac:dyDescent="0.45">
      <c r="B23" s="142" t="s">
        <v>100</v>
      </c>
      <c r="C23" s="157"/>
      <c r="D23" s="208"/>
      <c r="E23" s="208"/>
      <c r="F23" s="208"/>
      <c r="G23" s="208"/>
      <c r="H23" s="208"/>
      <c r="I23" s="208"/>
      <c r="J23" s="208"/>
      <c r="K23" s="208"/>
      <c r="L23" s="208"/>
      <c r="M23" s="208"/>
      <c r="N23" s="362"/>
      <c r="O23" s="255" t="s">
        <v>108</v>
      </c>
      <c r="P23" s="258">
        <f>'Talent &amp; Extras'!R69</f>
        <v>0</v>
      </c>
      <c r="Q23" s="208"/>
      <c r="R23" s="135"/>
      <c r="S23" s="135"/>
      <c r="T23" s="208"/>
      <c r="U23" s="135"/>
      <c r="V23" s="642"/>
      <c r="W23" s="208"/>
      <c r="X23" s="641"/>
      <c r="Y23" s="641"/>
      <c r="Z23" s="208"/>
    </row>
    <row r="24" spans="2:26" ht="16.2" x14ac:dyDescent="0.45">
      <c r="B24" s="634" t="s">
        <v>101</v>
      </c>
      <c r="C24" s="643"/>
      <c r="D24" s="208"/>
      <c r="E24" s="208"/>
      <c r="F24" s="208"/>
      <c r="G24" s="208"/>
      <c r="H24" s="208"/>
      <c r="I24" s="208"/>
      <c r="J24" s="208"/>
      <c r="K24" s="208"/>
      <c r="L24" s="208"/>
      <c r="M24" s="208"/>
      <c r="N24" s="362"/>
      <c r="O24" s="539" t="s">
        <v>110</v>
      </c>
      <c r="P24" s="540">
        <f>'Agency Sub-Vendors'!M69</f>
        <v>0</v>
      </c>
      <c r="Q24" s="208"/>
      <c r="R24" s="208"/>
      <c r="S24" s="208"/>
      <c r="T24" s="208"/>
      <c r="U24" s="208"/>
      <c r="V24" s="642"/>
      <c r="W24" s="208"/>
      <c r="X24" s="641"/>
      <c r="Y24" s="641"/>
      <c r="Z24" s="208"/>
    </row>
    <row r="25" spans="2:26" ht="16.2" x14ac:dyDescent="0.45">
      <c r="B25" s="634" t="s">
        <v>103</v>
      </c>
      <c r="C25" s="643"/>
      <c r="D25" s="208"/>
      <c r="E25" s="208"/>
      <c r="F25" s="208"/>
      <c r="G25" s="208"/>
      <c r="H25" s="208"/>
      <c r="I25" s="208"/>
      <c r="J25" s="208"/>
      <c r="K25" s="208"/>
      <c r="L25" s="208"/>
      <c r="M25" s="208"/>
      <c r="N25" s="362"/>
      <c r="O25" s="539" t="s">
        <v>112</v>
      </c>
      <c r="P25" s="540">
        <f>'Agency Sub-Vendors'!M68</f>
        <v>0</v>
      </c>
      <c r="Q25" s="208"/>
      <c r="R25" s="208"/>
      <c r="S25" s="208"/>
      <c r="T25" s="208"/>
      <c r="U25" s="135"/>
      <c r="V25" s="642"/>
      <c r="W25" s="208"/>
      <c r="X25" s="208"/>
      <c r="Y25" s="208"/>
      <c r="Z25" s="208"/>
    </row>
    <row r="26" spans="2:26" ht="16.2" x14ac:dyDescent="0.45">
      <c r="B26" s="634" t="s">
        <v>105</v>
      </c>
      <c r="C26" s="643"/>
      <c r="D26" s="208"/>
      <c r="E26" s="208"/>
      <c r="F26" s="208"/>
      <c r="G26" s="208"/>
      <c r="H26" s="32" t="s">
        <v>113</v>
      </c>
      <c r="I26" s="634"/>
      <c r="J26" s="634"/>
      <c r="K26" s="133">
        <f>'Agency Sub-Vendors'!M63</f>
        <v>0</v>
      </c>
      <c r="L26" s="208"/>
      <c r="M26" s="208"/>
      <c r="N26" s="32" t="s">
        <v>114</v>
      </c>
      <c r="O26" s="634"/>
      <c r="P26" s="634"/>
      <c r="Q26" s="133">
        <f>'Agency Sub-Vendors'!M60</f>
        <v>0</v>
      </c>
      <c r="R26" s="135"/>
      <c r="S26" s="135"/>
      <c r="T26" s="133">
        <f>'Agency Sub-Vendors'!M61</f>
        <v>0</v>
      </c>
      <c r="U26" s="208"/>
      <c r="V26" s="642">
        <f t="shared" ref="V26:V27" si="1">K26-(Q26+T26)</f>
        <v>0</v>
      </c>
      <c r="W26" s="208"/>
      <c r="X26" s="208"/>
      <c r="Y26" s="208"/>
      <c r="Z26" s="208"/>
    </row>
    <row r="27" spans="2:26" ht="16.2" x14ac:dyDescent="0.45">
      <c r="B27" s="645" t="s">
        <v>107</v>
      </c>
      <c r="C27" s="643"/>
      <c r="D27" s="208"/>
      <c r="E27" s="208"/>
      <c r="F27" s="208"/>
      <c r="G27" s="208"/>
      <c r="H27" s="362" t="s">
        <v>116</v>
      </c>
      <c r="I27" s="634"/>
      <c r="J27" s="634"/>
      <c r="K27" s="133">
        <f>'Agency Hours'!T43</f>
        <v>0</v>
      </c>
      <c r="L27" s="208"/>
      <c r="M27" s="208"/>
      <c r="N27" s="32" t="s">
        <v>117</v>
      </c>
      <c r="O27" s="634"/>
      <c r="P27" s="634"/>
      <c r="Q27" s="133">
        <f>'Agency Hours'!Q71</f>
        <v>0</v>
      </c>
      <c r="R27" s="208"/>
      <c r="S27" s="208"/>
      <c r="T27" s="133">
        <f>'Agency Hours'!O43</f>
        <v>0</v>
      </c>
      <c r="U27" s="208"/>
      <c r="V27" s="642">
        <f t="shared" si="1"/>
        <v>0</v>
      </c>
      <c r="W27" s="208"/>
      <c r="X27" s="208"/>
      <c r="Y27" s="208"/>
      <c r="Z27" s="208"/>
    </row>
    <row r="28" spans="2:26" ht="16.2" x14ac:dyDescent="0.45">
      <c r="B28" s="645" t="s">
        <v>109</v>
      </c>
      <c r="C28" s="643"/>
      <c r="D28" s="208"/>
      <c r="E28" s="208"/>
      <c r="F28" s="208"/>
      <c r="G28" s="208"/>
      <c r="H28" s="208"/>
      <c r="I28" s="208"/>
      <c r="J28" s="208"/>
      <c r="K28" s="208"/>
      <c r="L28" s="208"/>
      <c r="M28" s="208"/>
      <c r="N28" s="362"/>
      <c r="O28" s="255" t="s">
        <v>118</v>
      </c>
      <c r="P28" s="256">
        <f>'Agency Hours'!Q58</f>
        <v>0</v>
      </c>
      <c r="Q28" s="208"/>
      <c r="R28" s="208"/>
      <c r="S28" s="208"/>
      <c r="T28" s="208"/>
      <c r="U28" s="208"/>
      <c r="V28" s="642"/>
      <c r="W28" s="208"/>
      <c r="X28" s="208"/>
      <c r="Y28" s="208"/>
      <c r="Z28" s="208"/>
    </row>
    <row r="29" spans="2:26" ht="16.2" x14ac:dyDescent="0.45">
      <c r="B29" s="216" t="s">
        <v>111</v>
      </c>
      <c r="C29" s="643"/>
      <c r="D29" s="208"/>
      <c r="E29" s="208"/>
      <c r="F29" s="208"/>
      <c r="G29" s="208"/>
      <c r="H29" s="208"/>
      <c r="I29" s="208"/>
      <c r="J29" s="208"/>
      <c r="K29" s="208"/>
      <c r="L29" s="208"/>
      <c r="M29" s="208"/>
      <c r="N29" s="362"/>
      <c r="O29" s="255" t="s">
        <v>90</v>
      </c>
      <c r="P29" s="256">
        <f>'Agency Hours'!R43</f>
        <v>0</v>
      </c>
      <c r="Q29" s="208"/>
      <c r="R29" s="208"/>
      <c r="S29" s="208"/>
      <c r="T29" s="208"/>
      <c r="U29" s="208"/>
      <c r="V29" s="642"/>
      <c r="W29" s="208"/>
      <c r="X29" s="208"/>
      <c r="Y29" s="641"/>
      <c r="Z29" s="208"/>
    </row>
    <row r="30" spans="2:26" x14ac:dyDescent="0.3">
      <c r="B30" s="645"/>
      <c r="C30" s="646"/>
      <c r="D30" s="208"/>
      <c r="E30" s="208"/>
      <c r="F30" s="208"/>
      <c r="G30" s="208"/>
      <c r="H30" s="208"/>
      <c r="I30" s="208"/>
      <c r="J30" s="208"/>
      <c r="K30" s="208"/>
      <c r="L30" s="208"/>
      <c r="M30" s="208"/>
      <c r="N30" s="362"/>
      <c r="O30" s="208"/>
      <c r="P30" s="208"/>
      <c r="Q30" s="208"/>
      <c r="R30" s="208"/>
      <c r="S30" s="208"/>
      <c r="T30" s="208"/>
      <c r="U30" s="208"/>
      <c r="V30" s="642"/>
      <c r="W30" s="208"/>
      <c r="X30" s="208"/>
      <c r="Y30" s="208"/>
      <c r="Z30" s="208"/>
    </row>
    <row r="31" spans="2:26" ht="16.2" x14ac:dyDescent="0.45">
      <c r="B31" s="634" t="s">
        <v>115</v>
      </c>
      <c r="C31" s="643"/>
      <c r="D31" s="208"/>
      <c r="E31" s="208"/>
      <c r="F31" s="208"/>
      <c r="G31" s="208"/>
      <c r="H31" s="208"/>
      <c r="I31" s="648" t="s">
        <v>122</v>
      </c>
      <c r="J31" s="587">
        <f>'Agency Hours'!J49</f>
        <v>0</v>
      </c>
      <c r="K31" s="208"/>
      <c r="L31" s="208"/>
      <c r="M31" s="208"/>
      <c r="N31" s="362"/>
      <c r="O31" s="648" t="s">
        <v>122</v>
      </c>
      <c r="P31" s="586">
        <f>'Agency Hours'!S49</f>
        <v>0</v>
      </c>
      <c r="Q31" s="208"/>
      <c r="R31" s="208"/>
      <c r="S31" s="208"/>
      <c r="T31" s="208"/>
      <c r="U31" s="586">
        <f>'Agency Hours'!O49</f>
        <v>0</v>
      </c>
      <c r="V31" s="642">
        <f>J31-(P31+U31)</f>
        <v>0</v>
      </c>
      <c r="W31" s="208"/>
      <c r="X31" s="208"/>
      <c r="Y31" s="208"/>
      <c r="Z31" s="208"/>
    </row>
    <row r="32" spans="2:26" x14ac:dyDescent="0.3">
      <c r="B32" s="646"/>
      <c r="C32" s="646"/>
      <c r="D32" s="208"/>
      <c r="E32" s="208"/>
      <c r="F32" s="208"/>
      <c r="G32" s="208"/>
      <c r="H32" s="208"/>
      <c r="I32" s="208"/>
      <c r="J32" s="208"/>
      <c r="K32" s="208"/>
      <c r="L32" s="208"/>
      <c r="M32" s="208"/>
      <c r="N32" s="362"/>
      <c r="O32" s="208"/>
      <c r="P32" s="208"/>
      <c r="Q32" s="208"/>
      <c r="R32" s="208"/>
      <c r="S32" s="208"/>
      <c r="T32" s="208"/>
      <c r="U32" s="208"/>
      <c r="V32" s="642"/>
      <c r="W32" s="208"/>
      <c r="X32" s="208"/>
      <c r="Y32" s="208"/>
      <c r="Z32" s="208"/>
    </row>
    <row r="33" spans="2:31" ht="16.2" x14ac:dyDescent="0.45">
      <c r="B33" s="142" t="s">
        <v>119</v>
      </c>
      <c r="C33" s="643"/>
      <c r="D33" s="208"/>
      <c r="E33" s="208"/>
      <c r="F33" s="208"/>
      <c r="G33" s="208"/>
      <c r="H33" s="32" t="s">
        <v>124</v>
      </c>
      <c r="I33" s="142"/>
      <c r="J33" s="142"/>
      <c r="K33" s="133">
        <f>'Agency Hours'!Q68</f>
        <v>0</v>
      </c>
      <c r="L33" s="208"/>
      <c r="M33" s="208"/>
      <c r="N33" s="32" t="s">
        <v>125</v>
      </c>
      <c r="O33" s="142"/>
      <c r="P33" s="142"/>
      <c r="Q33" s="133">
        <f>'Agency Hours'!Q64+'Agency Hours'!Q65</f>
        <v>0</v>
      </c>
      <c r="R33" s="208"/>
      <c r="S33" s="208"/>
      <c r="T33" s="133">
        <f>'Agency Hours'!O55</f>
        <v>0</v>
      </c>
      <c r="U33" s="208"/>
      <c r="V33" s="642">
        <f>K33-(Q33+T33)</f>
        <v>0</v>
      </c>
      <c r="W33" s="208"/>
      <c r="X33" s="641"/>
      <c r="Y33" s="641"/>
      <c r="Z33" s="208"/>
      <c r="AA33" s="208"/>
      <c r="AB33" s="208"/>
      <c r="AC33" s="208"/>
      <c r="AD33" s="208"/>
      <c r="AE33" s="208"/>
    </row>
    <row r="34" spans="2:31" ht="16.2" x14ac:dyDescent="0.45">
      <c r="B34" s="634" t="s">
        <v>120</v>
      </c>
      <c r="C34" s="157"/>
      <c r="D34" s="647"/>
      <c r="E34" s="208"/>
      <c r="F34" s="208"/>
      <c r="G34" s="208"/>
      <c r="H34" s="208"/>
      <c r="I34" s="208"/>
      <c r="J34" s="208"/>
      <c r="K34" s="208"/>
      <c r="L34" s="208"/>
      <c r="M34" s="208"/>
      <c r="N34" s="362"/>
      <c r="O34" s="255" t="s">
        <v>118</v>
      </c>
      <c r="P34" s="256">
        <f>'Agency Hours'!S55</f>
        <v>0</v>
      </c>
      <c r="Q34" s="208"/>
      <c r="R34" s="135"/>
      <c r="S34" s="135"/>
      <c r="T34" s="208"/>
      <c r="U34" s="135"/>
      <c r="V34" s="642"/>
      <c r="W34" s="208"/>
      <c r="X34" s="641"/>
      <c r="Y34" s="641"/>
      <c r="Z34" s="208"/>
      <c r="AA34" s="208"/>
      <c r="AB34" s="208"/>
      <c r="AC34" s="208"/>
      <c r="AD34" s="208"/>
      <c r="AE34" s="208"/>
    </row>
    <row r="35" spans="2:31" ht="16.2" x14ac:dyDescent="0.45">
      <c r="B35" s="634" t="s">
        <v>121</v>
      </c>
      <c r="C35" s="157"/>
      <c r="D35" s="647"/>
      <c r="E35" s="208"/>
      <c r="F35" s="208"/>
      <c r="G35" s="208"/>
      <c r="H35" s="208"/>
      <c r="I35" s="208"/>
      <c r="J35" s="208"/>
      <c r="K35" s="208"/>
      <c r="L35" s="208"/>
      <c r="M35" s="208"/>
      <c r="N35" s="362"/>
      <c r="O35" s="255" t="s">
        <v>90</v>
      </c>
      <c r="P35" s="256">
        <f>'Agency Hours'!R55</f>
        <v>0</v>
      </c>
      <c r="Q35" s="208"/>
      <c r="R35" s="135"/>
      <c r="S35" s="135"/>
      <c r="T35" s="208"/>
      <c r="U35" s="135"/>
      <c r="V35" s="642"/>
      <c r="W35" s="208"/>
      <c r="X35" s="641"/>
      <c r="Y35" s="641"/>
      <c r="Z35" s="208"/>
      <c r="AA35" s="208"/>
      <c r="AB35" s="208"/>
      <c r="AC35" s="208"/>
      <c r="AD35" s="208"/>
      <c r="AE35" s="208"/>
    </row>
    <row r="36" spans="2:31" x14ac:dyDescent="0.3">
      <c r="B36" s="208"/>
      <c r="C36" s="208"/>
      <c r="D36" s="647"/>
      <c r="E36" s="208"/>
      <c r="F36" s="208"/>
      <c r="G36" s="208"/>
      <c r="H36" s="208"/>
      <c r="I36" s="208"/>
      <c r="J36" s="208"/>
      <c r="K36" s="208"/>
      <c r="L36" s="208"/>
      <c r="M36" s="208"/>
      <c r="N36" s="362"/>
      <c r="O36" s="208"/>
      <c r="P36" s="208"/>
      <c r="Q36" s="208"/>
      <c r="R36" s="135"/>
      <c r="S36" s="135"/>
      <c r="T36" s="208"/>
      <c r="U36" s="135"/>
      <c r="V36" s="642"/>
      <c r="W36" s="208"/>
      <c r="X36" s="641"/>
      <c r="Y36" s="641"/>
      <c r="Z36" s="208"/>
      <c r="AA36" s="208"/>
      <c r="AB36" s="208"/>
      <c r="AC36" s="208"/>
      <c r="AD36" s="208"/>
      <c r="AE36" s="208"/>
    </row>
    <row r="37" spans="2:31" ht="16.2" x14ac:dyDescent="0.45">
      <c r="B37" s="208"/>
      <c r="C37" t="s">
        <v>123</v>
      </c>
      <c r="D37" s="435"/>
      <c r="E37" s="208"/>
      <c r="F37" s="208"/>
      <c r="G37" s="208"/>
      <c r="H37" s="362" t="s">
        <v>130</v>
      </c>
      <c r="I37" s="634"/>
      <c r="J37" s="634"/>
      <c r="K37" s="133" t="e">
        <f>#REF!</f>
        <v>#REF!</v>
      </c>
      <c r="L37" s="208"/>
      <c r="M37" s="208"/>
      <c r="N37" s="362" t="s">
        <v>130</v>
      </c>
      <c r="O37" s="634"/>
      <c r="P37" s="634"/>
      <c r="Q37" s="133" t="e">
        <f>#REF!</f>
        <v>#REF!</v>
      </c>
      <c r="R37" s="135"/>
      <c r="S37" s="135"/>
      <c r="T37" s="133" t="e">
        <f>#REF!</f>
        <v>#REF!</v>
      </c>
      <c r="U37" s="135"/>
      <c r="V37" s="642" t="e">
        <f t="shared" ref="V37:V39" si="2">K37-(Q37+T37)</f>
        <v>#REF!</v>
      </c>
      <c r="W37" s="208"/>
      <c r="X37" s="641"/>
      <c r="Y37" s="641"/>
      <c r="Z37" s="208"/>
      <c r="AA37" s="208"/>
      <c r="AB37" s="208"/>
      <c r="AC37" s="208"/>
      <c r="AD37" s="208"/>
      <c r="AE37" s="208"/>
    </row>
    <row r="38" spans="2:31" ht="16.2" x14ac:dyDescent="0.45">
      <c r="B38" s="208"/>
      <c r="C38" t="s">
        <v>126</v>
      </c>
      <c r="D38" s="649"/>
      <c r="E38" s="208"/>
      <c r="F38" s="208"/>
      <c r="G38" s="208"/>
      <c r="H38" s="362" t="s">
        <v>132</v>
      </c>
      <c r="I38" s="634"/>
      <c r="J38" s="634"/>
      <c r="K38" s="133" t="e">
        <f>#REF!</f>
        <v>#REF!</v>
      </c>
      <c r="L38" s="208"/>
      <c r="M38" s="208"/>
      <c r="N38" s="362" t="s">
        <v>133</v>
      </c>
      <c r="O38" s="634"/>
      <c r="P38" s="634"/>
      <c r="Q38" s="133" t="e">
        <f>#REF!+#REF!</f>
        <v>#REF!</v>
      </c>
      <c r="R38" s="135"/>
      <c r="S38" s="135"/>
      <c r="T38" s="133" t="e">
        <f>#REF!</f>
        <v>#REF!</v>
      </c>
      <c r="U38" s="135"/>
      <c r="V38" s="642" t="e">
        <f t="shared" si="2"/>
        <v>#REF!</v>
      </c>
      <c r="W38" s="208"/>
      <c r="X38" s="641"/>
      <c r="Y38" s="641"/>
      <c r="Z38" s="208"/>
      <c r="AA38" s="208"/>
      <c r="AB38" s="208"/>
      <c r="AC38" s="208"/>
      <c r="AD38" s="208"/>
      <c r="AE38" s="208"/>
    </row>
    <row r="39" spans="2:31" ht="16.2" x14ac:dyDescent="0.45">
      <c r="B39" s="208"/>
      <c r="C39" t="s">
        <v>127</v>
      </c>
      <c r="D39" s="394"/>
      <c r="E39" s="208"/>
      <c r="F39" s="208"/>
      <c r="G39" s="208"/>
      <c r="H39" s="362" t="s">
        <v>135</v>
      </c>
      <c r="I39" s="634"/>
      <c r="J39" s="634"/>
      <c r="K39" s="133" t="e">
        <f>#REF!</f>
        <v>#REF!</v>
      </c>
      <c r="L39" s="208"/>
      <c r="M39" s="208"/>
      <c r="N39" s="362" t="s">
        <v>135</v>
      </c>
      <c r="O39" s="634"/>
      <c r="P39" s="634"/>
      <c r="Q39" s="133" t="e">
        <f>#REF!</f>
        <v>#REF!</v>
      </c>
      <c r="R39" s="135"/>
      <c r="S39" s="135"/>
      <c r="T39" s="133" t="e">
        <f>#REF!</f>
        <v>#REF!</v>
      </c>
      <c r="U39" s="135"/>
      <c r="V39" s="642" t="e">
        <f t="shared" si="2"/>
        <v>#REF!</v>
      </c>
      <c r="W39" s="650"/>
      <c r="X39" s="641"/>
      <c r="Y39" s="641"/>
      <c r="Z39" s="208"/>
      <c r="AA39" s="208"/>
      <c r="AB39" s="208"/>
      <c r="AC39" s="208"/>
      <c r="AD39" s="208"/>
      <c r="AE39" s="208"/>
    </row>
    <row r="40" spans="2:31" ht="16.2" x14ac:dyDescent="0.45">
      <c r="B40" s="208"/>
      <c r="C40" t="s">
        <v>128</v>
      </c>
      <c r="D40" s="395"/>
      <c r="E40" s="208"/>
      <c r="F40" s="208"/>
      <c r="G40" s="208"/>
      <c r="H40" s="362" t="s">
        <v>137</v>
      </c>
      <c r="I40" s="634"/>
      <c r="J40" s="634"/>
      <c r="K40" s="133" t="e">
        <f>#REF!</f>
        <v>#REF!</v>
      </c>
      <c r="L40" s="208"/>
      <c r="M40" s="208"/>
      <c r="N40" s="362" t="s">
        <v>137</v>
      </c>
      <c r="O40" s="634"/>
      <c r="P40" s="634"/>
      <c r="Q40" s="133" t="e">
        <f>#REF!</f>
        <v>#REF!</v>
      </c>
      <c r="R40" s="135"/>
      <c r="S40" s="135"/>
      <c r="T40" s="133" t="e">
        <f>SUM(T12,T15:T18,T20,T26:T27,T34:T37)</f>
        <v>#REF!</v>
      </c>
      <c r="U40" s="135"/>
      <c r="V40" s="642" t="e">
        <f>K40-(Q40+T40)</f>
        <v>#REF!</v>
      </c>
      <c r="W40" s="208"/>
      <c r="X40" s="641"/>
      <c r="Y40" s="641"/>
      <c r="Z40" s="208"/>
      <c r="AA40" s="208"/>
      <c r="AB40" s="208"/>
      <c r="AC40" s="208"/>
      <c r="AD40" s="208"/>
      <c r="AE40" s="208"/>
    </row>
    <row r="41" spans="2:31" ht="16.2" x14ac:dyDescent="0.45">
      <c r="B41" s="208"/>
      <c r="C41" s="208" t="s">
        <v>129</v>
      </c>
      <c r="D41" s="649"/>
      <c r="E41" s="208"/>
      <c r="F41" s="208"/>
      <c r="G41" s="208"/>
      <c r="H41" s="208"/>
      <c r="I41" s="648" t="s">
        <v>139</v>
      </c>
      <c r="J41" s="587" t="e">
        <f>#REF!</f>
        <v>#REF!</v>
      </c>
      <c r="K41" s="208"/>
      <c r="L41" s="208"/>
      <c r="M41" s="208"/>
      <c r="N41" s="362"/>
      <c r="O41" s="648" t="s">
        <v>139</v>
      </c>
      <c r="P41" s="586" t="e">
        <f>#REF!</f>
        <v>#REF!</v>
      </c>
      <c r="Q41" s="208"/>
      <c r="R41" s="208"/>
      <c r="S41" s="208"/>
      <c r="T41" s="208"/>
      <c r="U41" s="586" t="e">
        <f>#REF!</f>
        <v>#REF!</v>
      </c>
      <c r="V41" s="642" t="e">
        <f>J41-(P41+U41)</f>
        <v>#REF!</v>
      </c>
      <c r="W41" s="208"/>
      <c r="X41" s="698"/>
      <c r="Y41" s="641"/>
      <c r="Z41" s="208"/>
      <c r="AA41" s="208"/>
      <c r="AB41" s="208"/>
      <c r="AC41" s="208"/>
      <c r="AD41" s="208"/>
      <c r="AE41" s="208"/>
    </row>
    <row r="42" spans="2:31" ht="16.2" x14ac:dyDescent="0.45">
      <c r="B42" s="208"/>
      <c r="C42" t="s">
        <v>131</v>
      </c>
      <c r="D42" s="649"/>
      <c r="E42" s="208"/>
      <c r="F42" s="208"/>
      <c r="G42" s="208"/>
      <c r="H42" s="362" t="s">
        <v>141</v>
      </c>
      <c r="I42" s="634"/>
      <c r="J42" s="634"/>
      <c r="K42" s="133">
        <v>0</v>
      </c>
      <c r="L42" s="208"/>
      <c r="M42" s="208"/>
      <c r="N42" s="362" t="s">
        <v>141</v>
      </c>
      <c r="O42" s="634"/>
      <c r="P42" s="634"/>
      <c r="Q42" s="133">
        <v>0</v>
      </c>
      <c r="R42" s="135"/>
      <c r="S42" s="135"/>
      <c r="T42" s="133"/>
      <c r="U42" s="135"/>
      <c r="V42" s="642">
        <f>K42-(Q42+T42)</f>
        <v>0</v>
      </c>
      <c r="W42" s="652"/>
      <c r="X42" s="208"/>
      <c r="Y42" s="208"/>
      <c r="Z42" s="208"/>
      <c r="AA42" s="208"/>
      <c r="AB42" s="208"/>
      <c r="AC42" s="208"/>
      <c r="AD42" s="208"/>
      <c r="AE42" s="208"/>
    </row>
    <row r="43" spans="2:31" ht="15" thickBot="1" x14ac:dyDescent="0.35">
      <c r="B43" s="647"/>
      <c r="C43" t="s">
        <v>134</v>
      </c>
      <c r="D43" s="395"/>
      <c r="E43" s="208"/>
      <c r="F43" s="208"/>
      <c r="G43" s="208"/>
      <c r="H43" s="362" t="s">
        <v>142</v>
      </c>
      <c r="I43" s="634"/>
      <c r="J43" s="634"/>
      <c r="K43" s="136" t="e">
        <f>SUM(K12:K42)</f>
        <v>#REF!</v>
      </c>
      <c r="L43" s="208"/>
      <c r="M43" s="208"/>
      <c r="N43" s="32" t="s">
        <v>143</v>
      </c>
      <c r="O43" s="634"/>
      <c r="P43" s="634"/>
      <c r="Q43" s="136" t="e">
        <f>SUM(Q12:Q42)+P24+P25</f>
        <v>#REF!</v>
      </c>
      <c r="R43" s="208"/>
      <c r="S43" s="208"/>
      <c r="T43" s="136" t="e">
        <f>SUM(T12:T42)</f>
        <v>#REF!</v>
      </c>
      <c r="U43" s="208"/>
      <c r="V43" s="588" t="e">
        <f>SUM(V12:V30,V32:V42)</f>
        <v>#REF!</v>
      </c>
      <c r="W43" s="208"/>
      <c r="X43" s="208"/>
      <c r="Y43" s="208"/>
      <c r="Z43" s="208"/>
      <c r="AA43" s="208"/>
      <c r="AB43" s="208"/>
      <c r="AC43" s="208"/>
      <c r="AD43" s="208"/>
      <c r="AE43" s="208"/>
    </row>
    <row r="44" spans="2:31" ht="15" thickTop="1" x14ac:dyDescent="0.3">
      <c r="B44" s="647"/>
      <c r="C44" s="208" t="s">
        <v>136</v>
      </c>
      <c r="D44" s="393"/>
      <c r="E44" s="208"/>
      <c r="F44" s="208"/>
      <c r="G44" s="208"/>
      <c r="H44" s="208"/>
      <c r="I44" s="208"/>
      <c r="J44" s="208"/>
      <c r="K44" s="208"/>
      <c r="L44" s="208"/>
      <c r="M44" s="208"/>
      <c r="N44" s="362"/>
      <c r="O44" s="208"/>
      <c r="P44" s="208"/>
      <c r="Q44" s="208"/>
      <c r="R44" s="208"/>
      <c r="S44" s="208"/>
      <c r="T44" s="208"/>
      <c r="U44" s="208"/>
      <c r="V44" s="208"/>
      <c r="W44" s="208"/>
      <c r="X44" s="208"/>
      <c r="Y44" s="208"/>
      <c r="Z44" s="208"/>
      <c r="AA44" s="208"/>
      <c r="AB44" s="208"/>
      <c r="AC44" s="208"/>
      <c r="AD44" s="208"/>
      <c r="AE44" s="208"/>
    </row>
    <row r="45" spans="2:31" ht="16.2" x14ac:dyDescent="0.45">
      <c r="B45" s="208"/>
      <c r="C45" t="s">
        <v>138</v>
      </c>
      <c r="D45" s="396"/>
      <c r="E45" s="208"/>
      <c r="F45" s="208"/>
      <c r="G45" s="208"/>
      <c r="H45" s="208"/>
      <c r="I45" s="208"/>
      <c r="J45" s="208"/>
      <c r="K45" s="208"/>
      <c r="L45" s="208"/>
      <c r="M45" s="208"/>
      <c r="N45" s="362"/>
      <c r="O45" s="255" t="s">
        <v>145</v>
      </c>
      <c r="P45" s="256">
        <f>P14+P23+P29+P35</f>
        <v>0</v>
      </c>
      <c r="Q45" s="208"/>
      <c r="R45" s="208"/>
      <c r="S45" s="208"/>
      <c r="T45" s="208"/>
      <c r="U45" s="208"/>
      <c r="V45" s="208"/>
      <c r="W45" s="208"/>
      <c r="X45" s="208"/>
      <c r="Y45" s="208"/>
      <c r="Z45" s="208"/>
      <c r="AA45" s="208"/>
      <c r="AB45" s="208"/>
      <c r="AC45" s="208"/>
      <c r="AD45" s="208"/>
      <c r="AE45" s="208"/>
    </row>
    <row r="46" spans="2:31" x14ac:dyDescent="0.3">
      <c r="B46" s="647"/>
      <c r="C46" t="s">
        <v>140</v>
      </c>
      <c r="D46" s="393"/>
      <c r="E46" s="208"/>
      <c r="F46" s="7"/>
      <c r="G46" s="7"/>
      <c r="H46" s="208"/>
      <c r="I46" s="208"/>
      <c r="J46" s="208"/>
      <c r="K46" s="208"/>
      <c r="L46" s="208"/>
      <c r="M46" s="208"/>
      <c r="N46" s="362"/>
      <c r="O46" s="208"/>
      <c r="P46" s="208"/>
      <c r="Q46" s="208"/>
      <c r="R46" s="208"/>
      <c r="S46" s="208"/>
      <c r="T46" s="208"/>
      <c r="U46" s="208"/>
      <c r="V46" s="208"/>
      <c r="W46" s="208"/>
      <c r="X46" s="208"/>
      <c r="Y46" s="208"/>
      <c r="Z46" s="208"/>
      <c r="AA46" s="208"/>
      <c r="AB46" s="208"/>
      <c r="AC46" s="208"/>
      <c r="AD46" s="208"/>
      <c r="AE46" s="208"/>
    </row>
    <row r="47" spans="2:31" ht="16.8" thickBot="1" x14ac:dyDescent="0.5">
      <c r="B47" s="647"/>
      <c r="C47" s="208"/>
      <c r="D47" s="208"/>
      <c r="E47" s="208"/>
      <c r="F47" s="208"/>
      <c r="G47" s="208"/>
      <c r="H47" s="208"/>
      <c r="I47" s="208"/>
      <c r="J47" s="208"/>
      <c r="K47" s="208"/>
      <c r="L47" s="208"/>
      <c r="M47" s="208"/>
      <c r="N47" s="362"/>
      <c r="O47" s="208"/>
      <c r="P47" s="208"/>
      <c r="Q47" s="208"/>
      <c r="R47" s="208"/>
      <c r="S47" s="208"/>
      <c r="T47" s="208"/>
      <c r="U47" s="208"/>
      <c r="V47" s="208"/>
      <c r="W47" s="208"/>
      <c r="X47" s="208"/>
      <c r="Y47" s="208"/>
      <c r="Z47" s="208"/>
      <c r="AA47" s="208"/>
      <c r="AB47" s="208"/>
      <c r="AC47" s="208"/>
      <c r="AD47" s="208"/>
      <c r="AE47" s="133"/>
    </row>
    <row r="48" spans="2:31" x14ac:dyDescent="0.3">
      <c r="B48" s="610" t="s">
        <v>144</v>
      </c>
      <c r="C48" s="208"/>
      <c r="D48" s="208"/>
      <c r="E48" s="208"/>
      <c r="F48" s="208"/>
      <c r="G48" s="208"/>
      <c r="H48" s="654"/>
      <c r="I48" s="655"/>
      <c r="J48" s="655"/>
      <c r="K48" s="655"/>
      <c r="L48" s="655"/>
      <c r="M48" s="655"/>
      <c r="N48" s="655"/>
      <c r="O48" s="656"/>
      <c r="P48" s="655"/>
      <c r="Q48" s="655"/>
      <c r="R48" s="655"/>
      <c r="S48" s="655"/>
      <c r="T48" s="657"/>
      <c r="U48" s="208"/>
      <c r="V48" s="208"/>
      <c r="W48" s="208"/>
      <c r="X48" s="208"/>
      <c r="Y48" s="208"/>
      <c r="Z48" s="208"/>
      <c r="AA48" s="208"/>
      <c r="AB48" s="208"/>
      <c r="AC48" s="208"/>
      <c r="AD48" s="208"/>
      <c r="AE48" s="208"/>
    </row>
    <row r="49" spans="2:20" x14ac:dyDescent="0.3">
      <c r="B49" s="208"/>
      <c r="C49" s="208"/>
      <c r="D49" s="208"/>
      <c r="E49" s="208"/>
      <c r="F49" s="208"/>
      <c r="G49" s="208"/>
      <c r="H49" s="658"/>
      <c r="I49" s="659"/>
      <c r="J49" s="660"/>
      <c r="K49" s="660"/>
      <c r="L49" s="660"/>
      <c r="M49" s="661"/>
      <c r="N49" s="208"/>
      <c r="O49" s="208"/>
      <c r="P49" s="208"/>
      <c r="Q49" s="208"/>
      <c r="R49" s="208"/>
      <c r="S49" s="208"/>
      <c r="T49" s="364"/>
    </row>
    <row r="50" spans="2:20" ht="15" thickBot="1" x14ac:dyDescent="0.35">
      <c r="B50" s="208"/>
      <c r="C50" t="s">
        <v>146</v>
      </c>
      <c r="D50" s="653">
        <v>0</v>
      </c>
      <c r="E50" s="208"/>
      <c r="F50" s="208"/>
      <c r="G50" s="208"/>
      <c r="H50" s="658"/>
      <c r="I50" s="662"/>
      <c r="J50" s="397" t="s">
        <v>151</v>
      </c>
      <c r="K50" s="398"/>
      <c r="L50" s="398"/>
      <c r="M50" s="663"/>
      <c r="N50" s="208"/>
      <c r="O50" s="208"/>
      <c r="P50" s="208"/>
      <c r="Q50" s="208"/>
      <c r="R50" s="208"/>
      <c r="S50" s="208"/>
      <c r="T50" s="364"/>
    </row>
    <row r="51" spans="2:20" ht="15" thickBot="1" x14ac:dyDescent="0.35">
      <c r="B51" s="208"/>
      <c r="C51" t="s">
        <v>147</v>
      </c>
      <c r="D51" s="653">
        <f>Billings!H49</f>
        <v>0</v>
      </c>
      <c r="E51" s="208"/>
      <c r="F51" s="208"/>
      <c r="G51" s="208"/>
      <c r="H51" s="658"/>
      <c r="I51" s="662"/>
      <c r="J51" s="399"/>
      <c r="K51" s="399"/>
      <c r="L51" s="399"/>
      <c r="M51" s="663"/>
      <c r="N51" s="116"/>
      <c r="O51" s="208"/>
      <c r="P51" s="208"/>
      <c r="Q51" s="208"/>
      <c r="R51" s="208"/>
      <c r="S51" s="208"/>
      <c r="T51" s="364"/>
    </row>
    <row r="52" spans="2:20" ht="15" thickBot="1" x14ac:dyDescent="0.35">
      <c r="B52" s="208"/>
      <c r="C52" t="s">
        <v>148</v>
      </c>
      <c r="D52" s="679">
        <f>Billings!F27</f>
        <v>0</v>
      </c>
      <c r="E52" s="208"/>
      <c r="F52" s="208"/>
      <c r="G52" s="208"/>
      <c r="H52" s="658"/>
      <c r="I52" s="662"/>
      <c r="J52" s="626" t="s">
        <v>220</v>
      </c>
      <c r="K52" s="627"/>
      <c r="L52" s="628"/>
      <c r="M52" s="401"/>
      <c r="N52" s="116"/>
      <c r="O52" s="116" t="s">
        <v>152</v>
      </c>
      <c r="P52" s="617"/>
      <c r="Q52" s="116" t="s">
        <v>153</v>
      </c>
      <c r="R52" s="116" t="s">
        <v>154</v>
      </c>
      <c r="S52" s="208"/>
      <c r="T52" s="364"/>
    </row>
    <row r="53" spans="2:20" x14ac:dyDescent="0.3">
      <c r="C53" t="s">
        <v>149</v>
      </c>
      <c r="D53" s="653">
        <f>SUM(Billings!F28:F29)</f>
        <v>0</v>
      </c>
      <c r="E53" s="208"/>
      <c r="F53" s="208"/>
      <c r="G53" s="208"/>
      <c r="H53" s="658"/>
      <c r="I53" s="662"/>
      <c r="J53" s="400"/>
      <c r="K53" s="400"/>
      <c r="L53" s="402" t="s">
        <v>79</v>
      </c>
      <c r="M53" s="403"/>
      <c r="N53" s="664"/>
      <c r="O53" s="208"/>
      <c r="P53" s="617"/>
      <c r="Q53" s="208"/>
      <c r="R53" s="208"/>
      <c r="S53" s="208"/>
      <c r="T53" s="364"/>
    </row>
    <row r="54" spans="2:20" x14ac:dyDescent="0.3">
      <c r="C54" t="s">
        <v>150</v>
      </c>
      <c r="D54" s="653">
        <f>SUM(Billings!F29:F30)</f>
        <v>0</v>
      </c>
      <c r="E54" s="208"/>
      <c r="F54" s="208"/>
      <c r="G54" s="208"/>
      <c r="H54" s="665"/>
      <c r="I54" s="666"/>
      <c r="J54" s="400" t="s">
        <v>221</v>
      </c>
      <c r="K54" s="400"/>
      <c r="L54" s="404">
        <f>D53</f>
        <v>0</v>
      </c>
      <c r="M54" s="405"/>
      <c r="N54" s="116"/>
      <c r="O54" s="667"/>
      <c r="P54" s="617">
        <f>O54-L54</f>
        <v>0</v>
      </c>
      <c r="Q54" s="668"/>
      <c r="R54" s="668">
        <f>O54+Q54</f>
        <v>0</v>
      </c>
      <c r="S54" s="208"/>
      <c r="T54" s="364"/>
    </row>
    <row r="55" spans="2:20" x14ac:dyDescent="0.3">
      <c r="C55" s="208"/>
      <c r="D55" s="208"/>
      <c r="E55" s="208"/>
      <c r="F55" s="208"/>
      <c r="G55" s="208"/>
      <c r="H55" s="658"/>
      <c r="I55" s="662"/>
      <c r="J55" s="400" t="s">
        <v>222</v>
      </c>
      <c r="K55" s="400"/>
      <c r="L55" s="601"/>
      <c r="M55" s="405"/>
      <c r="N55" s="664"/>
      <c r="O55" s="667"/>
      <c r="P55" s="617">
        <f t="shared" ref="P55:P58" si="3">O55-L55</f>
        <v>0</v>
      </c>
      <c r="Q55" s="668"/>
      <c r="R55" s="668">
        <f>O55+Q55</f>
        <v>0</v>
      </c>
      <c r="S55" s="208"/>
      <c r="T55" s="364"/>
    </row>
    <row r="56" spans="2:20" x14ac:dyDescent="0.3">
      <c r="C56" s="208"/>
      <c r="D56" s="208"/>
      <c r="E56" s="208"/>
      <c r="F56" s="208"/>
      <c r="G56" s="208"/>
      <c r="H56" s="658"/>
      <c r="I56" s="662"/>
      <c r="J56" s="400" t="s">
        <v>116</v>
      </c>
      <c r="K56" s="400"/>
      <c r="L56" s="404">
        <f>Q27</f>
        <v>0</v>
      </c>
      <c r="M56" s="405"/>
      <c r="N56" s="116"/>
      <c r="O56" s="667"/>
      <c r="P56" s="617">
        <f>O56-L56</f>
        <v>0</v>
      </c>
      <c r="Q56" s="668"/>
      <c r="R56" s="668">
        <f>O56+Q56</f>
        <v>0</v>
      </c>
      <c r="S56" s="208"/>
      <c r="T56" s="364"/>
    </row>
    <row r="57" spans="2:20" ht="15" thickBot="1" x14ac:dyDescent="0.35">
      <c r="C57" s="208"/>
      <c r="D57" s="421" t="s">
        <v>80</v>
      </c>
      <c r="E57" s="422" t="s">
        <v>155</v>
      </c>
      <c r="F57" s="208"/>
      <c r="G57" s="208"/>
      <c r="H57" s="658"/>
      <c r="I57" s="662"/>
      <c r="J57" s="400" t="s">
        <v>166</v>
      </c>
      <c r="K57" s="400"/>
      <c r="L57" s="404" t="e">
        <f>#REF!</f>
        <v>#REF!</v>
      </c>
      <c r="M57" s="405"/>
      <c r="N57" s="664"/>
      <c r="O57" s="667"/>
      <c r="P57" s="617" t="e">
        <f t="shared" si="3"/>
        <v>#REF!</v>
      </c>
      <c r="Q57" s="668"/>
      <c r="R57" s="668">
        <f t="shared" ref="R57:R62" si="4">O57+Q57</f>
        <v>0</v>
      </c>
      <c r="S57" s="208"/>
      <c r="T57" s="364"/>
    </row>
    <row r="58" spans="2:20" x14ac:dyDescent="0.3">
      <c r="C58" s="208"/>
      <c r="D58" s="208"/>
      <c r="E58" s="208"/>
      <c r="F58" s="208"/>
      <c r="G58" s="208"/>
      <c r="H58" s="658"/>
      <c r="I58" s="662"/>
      <c r="J58" s="400" t="s">
        <v>141</v>
      </c>
      <c r="K58" s="400"/>
      <c r="L58" s="404">
        <f>Q42</f>
        <v>0</v>
      </c>
      <c r="M58" s="405"/>
      <c r="N58" s="116"/>
      <c r="O58" s="667"/>
      <c r="P58" s="617">
        <f t="shared" si="3"/>
        <v>0</v>
      </c>
      <c r="Q58" s="668"/>
      <c r="R58" s="668">
        <f t="shared" si="4"/>
        <v>0</v>
      </c>
      <c r="S58" s="208"/>
      <c r="T58" s="364"/>
    </row>
    <row r="59" spans="2:20" ht="15" thickBot="1" x14ac:dyDescent="0.35">
      <c r="C59" t="s">
        <v>156</v>
      </c>
      <c r="D59" s="650" t="e">
        <f>SUM(K12:K19)-D37</f>
        <v>#REF!</v>
      </c>
      <c r="E59" s="669" t="e">
        <f>SUM(K12:K18)/D37</f>
        <v>#REF!</v>
      </c>
      <c r="F59" s="208"/>
      <c r="G59" s="208"/>
      <c r="H59" s="658"/>
      <c r="I59" s="662"/>
      <c r="J59" s="424" t="s">
        <v>167</v>
      </c>
      <c r="K59" s="406"/>
      <c r="L59" s="407" t="e">
        <f>SUM(L54:L58)</f>
        <v>#REF!</v>
      </c>
      <c r="M59" s="699" t="e">
        <f>L59/J74</f>
        <v>#REF!</v>
      </c>
      <c r="N59" s="363" t="s">
        <v>168</v>
      </c>
      <c r="O59" s="609"/>
      <c r="P59" s="617" t="e">
        <f>O59-L59</f>
        <v>#REF!</v>
      </c>
      <c r="Q59" s="489"/>
      <c r="R59" s="489"/>
      <c r="S59" s="208"/>
      <c r="T59" s="364"/>
    </row>
    <row r="60" spans="2:20" ht="15" thickTop="1" x14ac:dyDescent="0.3">
      <c r="C60" t="s">
        <v>158</v>
      </c>
      <c r="D60" s="670" t="e">
        <f>SUM(K12:K18)-D50</f>
        <v>#REF!</v>
      </c>
      <c r="E60" s="669" t="e">
        <f>SUM(K12:K19)/D50</f>
        <v>#REF!</v>
      </c>
      <c r="F60" s="208"/>
      <c r="G60" s="208"/>
      <c r="H60" s="658"/>
      <c r="I60" s="662"/>
      <c r="J60" s="701"/>
      <c r="K60" s="701"/>
      <c r="L60" s="701"/>
      <c r="M60" s="672"/>
      <c r="N60" s="208"/>
      <c r="O60" s="614">
        <f>O59-SUM(O54:O58)</f>
        <v>0</v>
      </c>
      <c r="P60" s="617"/>
      <c r="Q60" s="617">
        <f>Q59-SUM(Q54:Q58)</f>
        <v>0</v>
      </c>
      <c r="R60" s="617">
        <f>R59-SUM(R54:R58)</f>
        <v>0</v>
      </c>
      <c r="S60" s="208"/>
      <c r="T60" s="364"/>
    </row>
    <row r="61" spans="2:20" x14ac:dyDescent="0.3">
      <c r="C61" t="s">
        <v>160</v>
      </c>
      <c r="D61" s="670" t="e">
        <f>SUM(K12:K18)-D52</f>
        <v>#REF!</v>
      </c>
      <c r="E61" s="669" t="e" cm="1">
        <f t="array" ref="E61">SUM(K12:K18/D52)</f>
        <v>#DIV/0!</v>
      </c>
      <c r="F61" s="208"/>
      <c r="G61" s="208"/>
      <c r="H61" s="658"/>
      <c r="I61" s="662"/>
      <c r="J61" s="408" t="s">
        <v>169</v>
      </c>
      <c r="K61" s="409"/>
      <c r="L61" s="410" t="e">
        <f>L59*0.3</f>
        <v>#REF!</v>
      </c>
      <c r="M61" s="411"/>
      <c r="N61" s="208"/>
      <c r="O61" s="667"/>
      <c r="P61" s="617" t="e">
        <f>O61-L61</f>
        <v>#REF!</v>
      </c>
      <c r="Q61" s="668"/>
      <c r="R61" s="668">
        <f t="shared" si="4"/>
        <v>0</v>
      </c>
      <c r="S61" s="208"/>
      <c r="T61" s="364"/>
    </row>
    <row r="62" spans="2:20" x14ac:dyDescent="0.3">
      <c r="C62" t="s">
        <v>161</v>
      </c>
      <c r="D62" s="670" t="e">
        <f>SUM(Q12:Q18)-D52</f>
        <v>#REF!</v>
      </c>
      <c r="E62" s="671" t="e">
        <f>SUM(Q11:Q19)/D52</f>
        <v>#REF!</v>
      </c>
      <c r="F62" s="208"/>
      <c r="G62" s="208"/>
      <c r="H62" s="658"/>
      <c r="I62" s="662"/>
      <c r="J62" s="408" t="s">
        <v>170</v>
      </c>
      <c r="K62" s="409"/>
      <c r="L62" s="412">
        <f>(0)*0.15</f>
        <v>0</v>
      </c>
      <c r="M62" s="413"/>
      <c r="N62" s="208"/>
      <c r="O62" s="667"/>
      <c r="P62" s="615">
        <f>O62-L62</f>
        <v>0</v>
      </c>
      <c r="Q62" s="668"/>
      <c r="R62" s="668">
        <f t="shared" si="4"/>
        <v>0</v>
      </c>
      <c r="S62" s="208"/>
      <c r="T62" s="364"/>
    </row>
    <row r="63" spans="2:20" ht="15" thickBot="1" x14ac:dyDescent="0.35">
      <c r="C63" s="208"/>
      <c r="D63" s="208"/>
      <c r="E63" s="669"/>
      <c r="F63" s="208"/>
      <c r="G63" s="208"/>
      <c r="H63" s="658"/>
      <c r="I63" s="662"/>
      <c r="J63" s="408" t="s">
        <v>172</v>
      </c>
      <c r="K63" s="409"/>
      <c r="L63" s="410" t="e">
        <f>SUM(L61:L62)</f>
        <v>#REF!</v>
      </c>
      <c r="M63" s="411"/>
      <c r="N63" s="208"/>
      <c r="O63" s="599"/>
      <c r="P63" s="617" t="e">
        <f>O63-L63</f>
        <v>#REF!</v>
      </c>
      <c r="Q63" s="599"/>
      <c r="R63" s="599">
        <f>O63+Q63</f>
        <v>0</v>
      </c>
      <c r="S63" s="208"/>
      <c r="T63" s="364"/>
    </row>
    <row r="64" spans="2:20" ht="15" thickTop="1" x14ac:dyDescent="0.3">
      <c r="C64" t="s">
        <v>163</v>
      </c>
      <c r="D64" s="670">
        <f>SUM(K20:K26)-D51</f>
        <v>0</v>
      </c>
      <c r="E64" s="669" t="e">
        <f>SUM(K26:K40)/D51</f>
        <v>#REF!</v>
      </c>
      <c r="F64" s="208"/>
      <c r="G64" s="208"/>
      <c r="H64" s="658"/>
      <c r="I64" s="676"/>
      <c r="J64" s="677"/>
      <c r="K64" s="677"/>
      <c r="L64" s="677"/>
      <c r="M64" s="678"/>
      <c r="N64" s="208"/>
      <c r="O64" s="208"/>
      <c r="P64" s="617"/>
      <c r="Q64" s="208"/>
      <c r="R64" s="208"/>
      <c r="S64" s="208"/>
      <c r="T64" s="364"/>
    </row>
    <row r="65" spans="2:22" ht="15" thickBot="1" x14ac:dyDescent="0.35">
      <c r="C65" t="s">
        <v>165</v>
      </c>
      <c r="D65" s="670">
        <f>D53-D38</f>
        <v>0</v>
      </c>
      <c r="E65" s="671" t="e">
        <f>D53/D38</f>
        <v>#DIV/0!</v>
      </c>
      <c r="F65" s="208"/>
      <c r="G65" s="208"/>
      <c r="H65" s="658"/>
      <c r="I65" s="208"/>
      <c r="J65" s="208"/>
      <c r="K65" s="208"/>
      <c r="L65" s="208"/>
      <c r="M65" s="208"/>
      <c r="N65" s="208"/>
      <c r="O65" s="674"/>
      <c r="P65" s="617"/>
      <c r="Q65" s="675"/>
      <c r="R65" s="675"/>
      <c r="S65" s="208"/>
      <c r="T65" s="364"/>
      <c r="U65" s="208"/>
      <c r="V65" s="208"/>
    </row>
    <row r="66" spans="2:22" ht="15" customHeight="1" thickBot="1" x14ac:dyDescent="0.35">
      <c r="C66" t="s">
        <v>223</v>
      </c>
      <c r="D66" s="208" t="e">
        <f>SUM(K20:K33)/D53</f>
        <v>#DIV/0!</v>
      </c>
      <c r="E66" s="208"/>
      <c r="F66" s="208"/>
      <c r="G66" s="208"/>
      <c r="H66" s="658"/>
      <c r="I66" s="620"/>
      <c r="J66" s="621" t="s">
        <v>175</v>
      </c>
      <c r="K66" s="621" t="s">
        <v>176</v>
      </c>
      <c r="L66" s="622"/>
      <c r="M66" s="620"/>
      <c r="N66" s="362"/>
      <c r="O66" s="362"/>
      <c r="P66" s="615"/>
      <c r="Q66" s="208"/>
      <c r="R66" s="208"/>
      <c r="S66" s="208"/>
      <c r="T66" s="364"/>
      <c r="U66" s="208"/>
      <c r="V66" s="208"/>
    </row>
    <row r="67" spans="2:22" ht="15" thickBot="1" x14ac:dyDescent="0.35">
      <c r="C67" s="208"/>
      <c r="D67" s="669"/>
      <c r="E67" s="208"/>
      <c r="F67" s="208"/>
      <c r="G67" s="208"/>
      <c r="H67" s="658"/>
      <c r="I67" s="208"/>
      <c r="J67" s="208"/>
      <c r="K67" s="208"/>
      <c r="L67" s="208"/>
      <c r="M67" s="362"/>
      <c r="N67" s="362"/>
      <c r="O67" s="208"/>
      <c r="P67" s="615"/>
      <c r="Q67" s="208"/>
      <c r="R67" s="208"/>
      <c r="S67" s="208"/>
      <c r="T67" s="364"/>
      <c r="U67" s="208"/>
      <c r="V67" s="208"/>
    </row>
    <row r="68" spans="2:22" x14ac:dyDescent="0.3">
      <c r="C68" s="713" t="s">
        <v>554</v>
      </c>
      <c r="D68" s="657"/>
      <c r="E68" s="208"/>
      <c r="F68" s="208"/>
      <c r="G68" s="208"/>
      <c r="H68" s="658"/>
      <c r="I68" s="32" t="s">
        <v>177</v>
      </c>
      <c r="J68" s="601">
        <v>0</v>
      </c>
      <c r="K68" s="246">
        <f>D52</f>
        <v>0</v>
      </c>
      <c r="L68" s="233">
        <f t="shared" ref="L68:L69" si="5">K68-J68</f>
        <v>0</v>
      </c>
      <c r="M68" s="647" t="str" cm="1">
        <f t="array" ref="M68">_xlfn.IFS(L68&gt;0,"Over Budget",L68&lt;0,"Under Budget",L68=0,"-")</f>
        <v>-</v>
      </c>
      <c r="N68" s="362"/>
      <c r="O68" s="208"/>
      <c r="P68" s="617"/>
      <c r="Q68" s="208"/>
      <c r="R68" s="208"/>
      <c r="S68" s="208"/>
      <c r="T68" s="222"/>
      <c r="U68" s="208"/>
      <c r="V68" s="208"/>
    </row>
    <row r="69" spans="2:22" x14ac:dyDescent="0.3">
      <c r="B69" s="208"/>
      <c r="C69" s="221" t="s">
        <v>555</v>
      </c>
      <c r="D69" s="714" t="b">
        <v>0</v>
      </c>
      <c r="E69" s="208"/>
      <c r="F69" s="208"/>
      <c r="G69" s="208"/>
      <c r="H69" s="658"/>
      <c r="I69" s="32" t="s">
        <v>164</v>
      </c>
      <c r="J69" s="601">
        <v>0</v>
      </c>
      <c r="K69" s="246">
        <f>SUM(L54:L55)-D52</f>
        <v>0</v>
      </c>
      <c r="L69" s="233">
        <f t="shared" si="5"/>
        <v>0</v>
      </c>
      <c r="M69" s="647" t="str" cm="1">
        <f t="array" ref="M69">_xlfn.IFS(L69&gt;0,"Over Budget",L69&lt;0,"Under Budget",L69=0,"-")</f>
        <v>-</v>
      </c>
      <c r="N69" s="362"/>
      <c r="O69" s="208"/>
      <c r="P69" s="617"/>
      <c r="Q69" s="208"/>
      <c r="R69" s="208"/>
      <c r="S69" s="208"/>
      <c r="T69" s="364"/>
      <c r="U69" s="208"/>
      <c r="V69" s="208"/>
    </row>
    <row r="70" spans="2:22" ht="15" thickBot="1" x14ac:dyDescent="0.35">
      <c r="B70" s="208"/>
      <c r="C70" s="223" t="s">
        <v>556</v>
      </c>
      <c r="D70" s="715" t="b">
        <v>0</v>
      </c>
      <c r="E70" s="208"/>
      <c r="F70" s="208"/>
      <c r="G70" s="208"/>
      <c r="H70" s="658"/>
      <c r="I70" s="32" t="s">
        <v>116</v>
      </c>
      <c r="J70" s="679">
        <v>0</v>
      </c>
      <c r="K70" s="641">
        <f>L56</f>
        <v>0</v>
      </c>
      <c r="L70" s="233">
        <f>K70-J70</f>
        <v>0</v>
      </c>
      <c r="M70" s="647" t="str" cm="1">
        <f t="array" ref="M70">_xlfn.IFS(L70&gt;0,"Over Budget",L70&lt;0,"Under Budget",L70=0,"-")</f>
        <v>-</v>
      </c>
      <c r="N70" s="362"/>
      <c r="O70" s="208"/>
      <c r="P70" s="617"/>
      <c r="Q70" s="208"/>
      <c r="R70" s="208"/>
      <c r="S70" s="208"/>
      <c r="T70" s="364"/>
      <c r="U70" s="208"/>
      <c r="V70"/>
    </row>
    <row r="71" spans="2:22" x14ac:dyDescent="0.3">
      <c r="B71" s="208"/>
      <c r="C71" s="208"/>
      <c r="D71" s="208"/>
      <c r="E71" s="208"/>
      <c r="F71" s="208"/>
      <c r="G71" s="208"/>
      <c r="H71" s="658"/>
      <c r="I71" s="32" t="s">
        <v>180</v>
      </c>
      <c r="J71" s="602">
        <v>0</v>
      </c>
      <c r="K71" s="233">
        <v>0</v>
      </c>
      <c r="L71" s="233">
        <f>K71-J71</f>
        <v>0</v>
      </c>
      <c r="M71" s="647" t="str" cm="1">
        <f t="array" ref="M71">_xlfn.IFS(L71&gt;0,"Over Budget",L71&lt;0,"Under Budget",L71=0,"-")</f>
        <v>-</v>
      </c>
      <c r="N71" s="362"/>
      <c r="O71" s="208"/>
      <c r="P71" s="615"/>
      <c r="Q71" s="208"/>
      <c r="R71" s="208"/>
      <c r="S71" s="208"/>
      <c r="T71" s="364"/>
      <c r="U71" s="208"/>
      <c r="V71"/>
    </row>
    <row r="72" spans="2:22" x14ac:dyDescent="0.3">
      <c r="B72" s="7" t="s">
        <v>171</v>
      </c>
      <c r="C72" s="208"/>
      <c r="D72" s="208"/>
      <c r="E72" s="208"/>
      <c r="F72" s="208"/>
      <c r="G72" s="208"/>
      <c r="H72" s="658"/>
      <c r="I72" s="32" t="s">
        <v>137</v>
      </c>
      <c r="J72" s="602">
        <v>0</v>
      </c>
      <c r="K72" s="233">
        <f>L55</f>
        <v>0</v>
      </c>
      <c r="L72" s="233">
        <f>K72-J72</f>
        <v>0</v>
      </c>
      <c r="M72" s="647" t="str" cm="1">
        <f t="array" ref="M72">_xlfn.IFS(L72&gt;0,"Over Budget",L72&lt;0,"Under Budget",L72=0,"-")</f>
        <v>-</v>
      </c>
      <c r="N72" s="362"/>
      <c r="O72" s="208"/>
      <c r="P72" s="208"/>
      <c r="Q72" s="208"/>
      <c r="R72" s="208"/>
      <c r="S72" s="208"/>
      <c r="T72" s="364"/>
      <c r="U72" s="208"/>
      <c r="V72"/>
    </row>
    <row r="73" spans="2:22" x14ac:dyDescent="0.3">
      <c r="B73" s="7" t="s">
        <v>173</v>
      </c>
      <c r="C73" s="208"/>
      <c r="D73" s="208"/>
      <c r="E73" s="208"/>
      <c r="F73" s="208"/>
      <c r="G73" s="208"/>
      <c r="H73" s="658"/>
      <c r="I73" s="611" t="s">
        <v>181</v>
      </c>
      <c r="J73" s="612">
        <v>3000</v>
      </c>
      <c r="K73" s="613">
        <f>L58</f>
        <v>0</v>
      </c>
      <c r="L73" s="613">
        <f t="shared" ref="L73" si="6">K73-J73</f>
        <v>-3000</v>
      </c>
      <c r="M73" s="680" t="str" cm="1">
        <f t="array" ref="M73">_xlfn.IFS(L73&gt;0,"Over Budget",L73&lt;0,"Under Budget",L73=0,"-")</f>
        <v>Under Budget</v>
      </c>
      <c r="N73" s="362"/>
      <c r="O73" s="208"/>
      <c r="P73" s="208"/>
      <c r="Q73" s="208"/>
      <c r="R73" s="208"/>
      <c r="S73" s="208"/>
      <c r="T73" s="365"/>
      <c r="U73" s="145"/>
      <c r="V73"/>
    </row>
    <row r="74" spans="2:22" x14ac:dyDescent="0.3">
      <c r="B74" s="208"/>
      <c r="C74" s="208"/>
      <c r="D74" s="208"/>
      <c r="E74" s="208"/>
      <c r="F74" s="208"/>
      <c r="G74" s="208"/>
      <c r="H74" s="658"/>
      <c r="I74" s="7" t="s">
        <v>182</v>
      </c>
      <c r="J74" s="681"/>
      <c r="K74" s="651">
        <f>SUM(K68:K73)</f>
        <v>0</v>
      </c>
      <c r="L74" s="670">
        <f>K74-J74</f>
        <v>0</v>
      </c>
      <c r="M74" s="647" t="str" cm="1">
        <f t="array" ref="M74">_xlfn.IFS(L74&gt;0,"Over Budget",L74&lt;0,"Under Budget",L74=0,"-")</f>
        <v>-</v>
      </c>
      <c r="N74" s="362"/>
      <c r="O74" s="208"/>
      <c r="P74" s="208"/>
      <c r="Q74" s="208"/>
      <c r="R74" s="208"/>
      <c r="S74" s="208"/>
      <c r="T74" s="364"/>
      <c r="U74" s="490"/>
      <c r="V74"/>
    </row>
    <row r="75" spans="2:22" ht="16.2" thickBot="1" x14ac:dyDescent="0.35">
      <c r="B75" s="208"/>
      <c r="C75" s="208"/>
      <c r="D75" s="208"/>
      <c r="E75" s="208"/>
      <c r="F75" s="208"/>
      <c r="G75" s="208"/>
      <c r="H75" s="658"/>
      <c r="I75" s="208"/>
      <c r="J75" s="614">
        <f>J74-SUM(J68:J73)</f>
        <v>-3000</v>
      </c>
      <c r="K75" s="614">
        <f>O59-K74</f>
        <v>0</v>
      </c>
      <c r="L75" s="670"/>
      <c r="M75" s="208"/>
      <c r="N75" s="362"/>
      <c r="O75" s="362"/>
      <c r="P75" s="595"/>
      <c r="Q75" s="596" t="s">
        <v>183</v>
      </c>
      <c r="R75" s="597"/>
      <c r="S75" s="595"/>
      <c r="T75" s="364"/>
      <c r="U75"/>
      <c r="V75"/>
    </row>
    <row r="76" spans="2:22" x14ac:dyDescent="0.3">
      <c r="B76" s="7" t="s">
        <v>174</v>
      </c>
      <c r="C76" s="208"/>
      <c r="D76" s="208"/>
      <c r="E76" s="208"/>
      <c r="F76" s="208"/>
      <c r="G76" s="208"/>
      <c r="H76" s="658"/>
      <c r="I76" s="208"/>
      <c r="J76" s="208"/>
      <c r="K76" s="208"/>
      <c r="L76" s="208"/>
      <c r="M76" s="362"/>
      <c r="N76" s="362"/>
      <c r="O76" s="208"/>
      <c r="P76" s="682"/>
      <c r="Q76" s="682"/>
      <c r="R76" s="682"/>
      <c r="S76" s="682"/>
      <c r="T76" s="364"/>
      <c r="U76"/>
      <c r="V76"/>
    </row>
    <row r="77" spans="2:22" x14ac:dyDescent="0.3">
      <c r="B77" s="7" t="s">
        <v>173</v>
      </c>
      <c r="C77" s="208"/>
      <c r="D77" s="208"/>
      <c r="E77" s="208"/>
      <c r="F77" s="208"/>
      <c r="G77" s="208"/>
      <c r="H77" s="658"/>
      <c r="I77" s="7" t="s">
        <v>185</v>
      </c>
      <c r="J77" s="208"/>
      <c r="K77" s="208"/>
      <c r="L77" s="208"/>
      <c r="M77" s="208"/>
      <c r="N77" s="362"/>
      <c r="O77" s="208"/>
      <c r="P77" s="683"/>
      <c r="Q77" s="592" t="s">
        <v>186</v>
      </c>
      <c r="R77" s="684" t="e">
        <f>L59-P45</f>
        <v>#REF!</v>
      </c>
      <c r="S77" s="682"/>
      <c r="T77" s="364"/>
      <c r="U77"/>
      <c r="V77"/>
    </row>
    <row r="78" spans="2:22" ht="15" thickBot="1" x14ac:dyDescent="0.35">
      <c r="B78" s="208"/>
      <c r="C78" s="208"/>
      <c r="D78" s="208"/>
      <c r="E78" s="208"/>
      <c r="F78" s="208"/>
      <c r="G78" s="208"/>
      <c r="H78" s="658"/>
      <c r="I78" t="s">
        <v>187</v>
      </c>
      <c r="J78" s="602">
        <f>J74*0.3</f>
        <v>0</v>
      </c>
      <c r="K78" s="487">
        <f>L64</f>
        <v>0</v>
      </c>
      <c r="L78"/>
      <c r="M78"/>
      <c r="N78" s="362"/>
      <c r="O78" s="208"/>
      <c r="P78" s="685"/>
      <c r="Q78" s="593" t="s">
        <v>188</v>
      </c>
      <c r="R78" s="686">
        <v>0.3</v>
      </c>
      <c r="S78" s="682"/>
      <c r="T78" s="364"/>
      <c r="U78"/>
      <c r="V78"/>
    </row>
    <row r="79" spans="2:22" ht="15" thickTop="1" x14ac:dyDescent="0.3">
      <c r="B79" s="208"/>
      <c r="C79" s="208"/>
      <c r="D79" s="208"/>
      <c r="E79" s="208"/>
      <c r="F79" s="208"/>
      <c r="G79" s="208"/>
      <c r="H79" s="658"/>
      <c r="I79" t="s">
        <v>189</v>
      </c>
      <c r="J79" s="604">
        <f>-(J78*0.11)</f>
        <v>0</v>
      </c>
      <c r="K79" s="605">
        <f>-K78*0.11</f>
        <v>0</v>
      </c>
      <c r="L79"/>
      <c r="M79"/>
      <c r="N79" s="362"/>
      <c r="O79" s="208"/>
      <c r="P79" s="682"/>
      <c r="Q79" s="682"/>
      <c r="R79" s="684" t="e">
        <f>R77*R78</f>
        <v>#REF!</v>
      </c>
      <c r="S79" s="682"/>
      <c r="T79" s="364"/>
      <c r="U79"/>
      <c r="V79"/>
    </row>
    <row r="80" spans="2:22" ht="15" thickBot="1" x14ac:dyDescent="0.35">
      <c r="B80" s="7" t="s">
        <v>178</v>
      </c>
      <c r="C80" s="208"/>
      <c r="D80" s="208"/>
      <c r="E80" s="208"/>
      <c r="F80" s="208"/>
      <c r="G80" s="208"/>
      <c r="H80" s="658"/>
      <c r="I80" s="7" t="s">
        <v>190</v>
      </c>
      <c r="J80" s="488">
        <f>SUM(J78:J79)</f>
        <v>0</v>
      </c>
      <c r="K80" s="486">
        <f>SUM(K78:K79)</f>
        <v>0</v>
      </c>
      <c r="L80" s="208"/>
      <c r="M80" s="208"/>
      <c r="N80" s="362"/>
      <c r="O80" s="208"/>
      <c r="P80" s="687"/>
      <c r="Q80" s="593" t="s">
        <v>191</v>
      </c>
      <c r="R80" s="688">
        <f>L60</f>
        <v>0</v>
      </c>
      <c r="S80" s="682"/>
      <c r="T80" s="364"/>
      <c r="U80"/>
      <c r="V80"/>
    </row>
    <row r="81" spans="2:27" ht="15" thickTop="1" x14ac:dyDescent="0.3">
      <c r="B81" s="7" t="s">
        <v>179</v>
      </c>
      <c r="C81" s="208"/>
      <c r="D81" s="208"/>
      <c r="E81" s="208"/>
      <c r="H81" s="658"/>
      <c r="I81" s="606" t="s">
        <v>192</v>
      </c>
      <c r="J81" s="233"/>
      <c r="K81" s="208"/>
      <c r="L81" s="208"/>
      <c r="M81" s="208"/>
      <c r="N81" s="362"/>
      <c r="O81" s="208"/>
      <c r="P81" s="689"/>
      <c r="Q81" s="690"/>
      <c r="R81" s="691" t="e">
        <f>R79+R80</f>
        <v>#REF!</v>
      </c>
      <c r="S81" s="682"/>
      <c r="T81" s="364"/>
      <c r="U81"/>
      <c r="V81"/>
      <c r="W81" s="208"/>
      <c r="X81" s="208"/>
      <c r="Y81" s="208"/>
      <c r="Z81" s="208"/>
      <c r="AA81" s="208"/>
    </row>
    <row r="82" spans="2:27" ht="15" thickBot="1" x14ac:dyDescent="0.35">
      <c r="B82" s="208"/>
      <c r="C82" s="208"/>
      <c r="D82" s="208"/>
      <c r="E82" s="208"/>
      <c r="H82" s="658"/>
      <c r="I82" s="625" t="s">
        <v>193</v>
      </c>
      <c r="J82" s="604">
        <v>0</v>
      </c>
      <c r="K82" s="605">
        <f>J82</f>
        <v>0</v>
      </c>
      <c r="L82" s="208"/>
      <c r="M82" s="208"/>
      <c r="N82" s="362"/>
      <c r="O82" s="208"/>
      <c r="P82" s="685"/>
      <c r="Q82" s="685"/>
      <c r="R82" s="685">
        <v>2.5000000000000001E-3</v>
      </c>
      <c r="S82" s="682"/>
      <c r="T82" s="364"/>
      <c r="U82" s="490" t="s">
        <v>184</v>
      </c>
      <c r="V82" s="208"/>
      <c r="W82" s="651"/>
      <c r="X82" s="208"/>
      <c r="Y82" s="208"/>
      <c r="Z82" s="208"/>
      <c r="AA82" s="208"/>
    </row>
    <row r="83" spans="2:27" ht="15" thickTop="1" x14ac:dyDescent="0.3">
      <c r="B83" s="208"/>
      <c r="C83" s="208"/>
      <c r="D83" s="208"/>
      <c r="E83" s="208"/>
      <c r="H83" s="658"/>
      <c r="I83" s="625" t="s">
        <v>183</v>
      </c>
      <c r="J83" s="604">
        <v>0</v>
      </c>
      <c r="K83" s="605" t="e">
        <f>-R91</f>
        <v>#REF!</v>
      </c>
      <c r="L83" s="362"/>
      <c r="M83" s="208"/>
      <c r="N83" s="362"/>
      <c r="O83" s="208"/>
      <c r="P83" s="682"/>
      <c r="Q83" s="682"/>
      <c r="R83" s="684" t="e">
        <f>R82*R81</f>
        <v>#REF!</v>
      </c>
      <c r="S83" s="682"/>
      <c r="T83" s="364"/>
      <c r="U83"/>
      <c r="V83"/>
      <c r="W83" s="651"/>
      <c r="X83" s="208"/>
      <c r="Y83" s="208"/>
      <c r="Z83" s="208"/>
      <c r="AA83" s="208"/>
    </row>
    <row r="84" spans="2:27" x14ac:dyDescent="0.3">
      <c r="B84" s="208"/>
      <c r="C84" s="208"/>
      <c r="D84" s="208"/>
      <c r="E84" s="208"/>
      <c r="H84" s="658"/>
      <c r="I84" s="625" t="s">
        <v>141</v>
      </c>
      <c r="J84" s="604">
        <v>0</v>
      </c>
      <c r="K84" s="605">
        <f>J84</f>
        <v>0</v>
      </c>
      <c r="L84" s="208"/>
      <c r="M84" s="208"/>
      <c r="N84" s="362"/>
      <c r="O84" s="208"/>
      <c r="P84" s="682"/>
      <c r="Q84" s="682"/>
      <c r="R84" s="682"/>
      <c r="S84" s="682"/>
      <c r="T84" s="364"/>
      <c r="U84"/>
      <c r="V84"/>
      <c r="W84" s="651"/>
      <c r="X84" s="208"/>
      <c r="Y84" s="208"/>
      <c r="Z84" s="208"/>
      <c r="AA84" s="208"/>
    </row>
    <row r="85" spans="2:27" x14ac:dyDescent="0.3">
      <c r="H85" s="658"/>
      <c r="I85" s="7" t="s">
        <v>194</v>
      </c>
      <c r="J85" s="486">
        <f>SUM(J80:J84)</f>
        <v>0</v>
      </c>
      <c r="K85" s="486" t="e">
        <f>SUM(K80:K84)</f>
        <v>#REF!</v>
      </c>
      <c r="L85" s="208"/>
      <c r="M85" s="208"/>
      <c r="N85" s="362"/>
      <c r="O85" s="208"/>
      <c r="P85" s="682"/>
      <c r="Q85" s="592" t="s">
        <v>195</v>
      </c>
      <c r="R85" s="684">
        <f>P45</f>
        <v>0</v>
      </c>
      <c r="S85" s="682"/>
      <c r="T85" s="364"/>
      <c r="U85"/>
      <c r="V85"/>
      <c r="W85" s="208"/>
      <c r="X85" s="208"/>
      <c r="Y85" s="208"/>
      <c r="Z85" s="208"/>
      <c r="AA85" s="208"/>
    </row>
    <row r="86" spans="2:27" ht="15" thickBot="1" x14ac:dyDescent="0.35">
      <c r="H86" s="658"/>
      <c r="I86" t="s">
        <v>196</v>
      </c>
      <c r="J86" s="604">
        <f>-(J85*0.225)</f>
        <v>0</v>
      </c>
      <c r="K86" s="605" t="e">
        <f>-K85*0.225</f>
        <v>#REF!</v>
      </c>
      <c r="L86" s="208"/>
      <c r="M86" s="208"/>
      <c r="N86" s="362"/>
      <c r="O86" s="208"/>
      <c r="P86" s="692"/>
      <c r="Q86" s="593" t="s">
        <v>188</v>
      </c>
      <c r="R86" s="686">
        <v>0.3</v>
      </c>
      <c r="S86" s="682"/>
      <c r="T86" s="364"/>
      <c r="U86" s="208"/>
      <c r="V86" s="208"/>
      <c r="W86" s="208"/>
      <c r="X86" s="208"/>
      <c r="Y86" s="208"/>
      <c r="Z86" s="208"/>
      <c r="AA86" s="208"/>
    </row>
    <row r="87" spans="2:27" ht="15.6" thickTop="1" thickBot="1" x14ac:dyDescent="0.35">
      <c r="H87" s="658"/>
      <c r="I87" s="7" t="s">
        <v>197</v>
      </c>
      <c r="J87" s="599">
        <f>SUM(J85:J86)</f>
        <v>0</v>
      </c>
      <c r="K87" s="600" t="e">
        <f>SUM(K85:K86)</f>
        <v>#REF!</v>
      </c>
      <c r="L87" s="603" t="e">
        <f>K87-J87</f>
        <v>#REF!</v>
      </c>
      <c r="M87" s="647" t="e" cm="1">
        <f t="array" ref="M87">_xlfn.IFS(L87&gt;0,"Over Budget",L87&lt;0,"Under Budget",L87=0,"-")</f>
        <v>#REF!</v>
      </c>
      <c r="N87" s="362"/>
      <c r="O87" s="208"/>
      <c r="P87" s="682"/>
      <c r="Q87" s="682"/>
      <c r="R87" s="684">
        <f>R85*R86</f>
        <v>0</v>
      </c>
      <c r="S87" s="682"/>
      <c r="T87" s="608"/>
      <c r="U87"/>
      <c r="V87"/>
      <c r="W87" s="208"/>
      <c r="X87" s="208"/>
      <c r="Y87" s="208"/>
      <c r="Z87" s="208"/>
      <c r="AA87" s="208"/>
    </row>
    <row r="88" spans="2:27" ht="15.6" thickTop="1" thickBot="1" x14ac:dyDescent="0.35">
      <c r="H88" s="658"/>
      <c r="I88" s="272" t="s">
        <v>198</v>
      </c>
      <c r="J88" s="607"/>
      <c r="K88" s="208"/>
      <c r="L88" s="208"/>
      <c r="M88" s="362"/>
      <c r="N88" s="362"/>
      <c r="O88" s="208"/>
      <c r="P88" s="685"/>
      <c r="Q88" s="685"/>
      <c r="R88" s="685">
        <v>2.5000000000000001E-2</v>
      </c>
      <c r="S88" s="682"/>
      <c r="T88" s="693"/>
      <c r="U88"/>
      <c r="V88"/>
      <c r="W88" s="208"/>
      <c r="X88" s="208"/>
      <c r="Y88" s="208"/>
      <c r="Z88" s="208"/>
      <c r="AA88" s="208"/>
    </row>
    <row r="89" spans="2:27" ht="15" thickTop="1" x14ac:dyDescent="0.3">
      <c r="H89" s="658"/>
      <c r="I89" s="208"/>
      <c r="J89" s="208"/>
      <c r="K89" s="208"/>
      <c r="L89" s="208"/>
      <c r="M89" s="208"/>
      <c r="N89" s="362"/>
      <c r="O89" s="208"/>
      <c r="P89" s="682"/>
      <c r="Q89" s="682"/>
      <c r="R89" s="684">
        <f>R87*R88</f>
        <v>0</v>
      </c>
      <c r="S89" s="623" t="e">
        <f>(R85+R77)-L57</f>
        <v>#REF!</v>
      </c>
      <c r="T89" s="222"/>
      <c r="U89" s="208"/>
      <c r="V89" s="208"/>
      <c r="W89" s="208"/>
      <c r="X89" s="208"/>
      <c r="Y89" s="208"/>
      <c r="Z89" s="208"/>
      <c r="AA89" s="208"/>
    </row>
    <row r="90" spans="2:27" ht="15" thickBot="1" x14ac:dyDescent="0.35">
      <c r="H90" s="658"/>
      <c r="I90" s="208"/>
      <c r="J90" s="208"/>
      <c r="K90" s="208"/>
      <c r="L90" s="208"/>
      <c r="M90" s="208"/>
      <c r="N90" s="362"/>
      <c r="O90" s="208"/>
      <c r="P90" s="682"/>
      <c r="Q90" s="682"/>
      <c r="R90" s="682"/>
      <c r="S90" s="682"/>
      <c r="T90" s="222"/>
      <c r="U90"/>
      <c r="V90" s="208"/>
      <c r="W90" s="208"/>
      <c r="X90" s="208"/>
      <c r="Y90" s="208"/>
      <c r="Z90" s="208"/>
      <c r="AA90" s="208"/>
    </row>
    <row r="91" spans="2:27" ht="15" thickBot="1" x14ac:dyDescent="0.35">
      <c r="H91" s="658"/>
      <c r="I91" s="208"/>
      <c r="J91" s="208"/>
      <c r="K91" s="208"/>
      <c r="L91" s="208"/>
      <c r="M91" s="208"/>
      <c r="N91" s="362"/>
      <c r="O91" s="208"/>
      <c r="P91" s="694"/>
      <c r="Q91" s="598" t="s">
        <v>199</v>
      </c>
      <c r="R91" s="695" t="e">
        <f>R83+R89</f>
        <v>#REF!</v>
      </c>
      <c r="S91" s="696"/>
      <c r="T91" s="364"/>
      <c r="U91"/>
      <c r="V91" s="208"/>
      <c r="W91" s="208"/>
      <c r="X91" s="208"/>
      <c r="Y91" s="208"/>
      <c r="Z91" s="208"/>
      <c r="AA91" s="208"/>
    </row>
    <row r="92" spans="2:27" x14ac:dyDescent="0.3">
      <c r="H92" s="658"/>
      <c r="I92" s="208"/>
      <c r="J92" s="208"/>
      <c r="K92" s="208"/>
      <c r="L92" s="208"/>
      <c r="M92" s="208"/>
      <c r="N92" s="362"/>
      <c r="O92" s="208"/>
      <c r="P92" s="208"/>
      <c r="Q92" s="208"/>
      <c r="R92" s="208"/>
      <c r="S92" s="208"/>
      <c r="T92" s="364"/>
      <c r="U92" s="208"/>
      <c r="V92" s="208"/>
      <c r="W92" s="208"/>
      <c r="X92" s="208"/>
      <c r="Y92" s="208"/>
      <c r="Z92" s="208"/>
      <c r="AA92" s="208"/>
    </row>
    <row r="93" spans="2:27" ht="15" thickBot="1" x14ac:dyDescent="0.35">
      <c r="H93" s="697"/>
      <c r="I93" s="557"/>
      <c r="J93" s="557"/>
      <c r="K93" s="557"/>
      <c r="L93" s="557"/>
      <c r="M93" s="224"/>
      <c r="N93" s="580"/>
      <c r="O93" s="224"/>
      <c r="P93" s="224"/>
      <c r="Q93" s="224"/>
      <c r="R93" s="224"/>
      <c r="S93" s="557"/>
      <c r="T93" s="225"/>
      <c r="U93" s="208"/>
      <c r="V93" s="208"/>
      <c r="W93" s="208"/>
      <c r="X93" s="208"/>
      <c r="Y93" s="208"/>
      <c r="Z93" s="208"/>
      <c r="AA93" s="208"/>
    </row>
    <row r="94" spans="2:27" x14ac:dyDescent="0.3">
      <c r="H94" s="208"/>
      <c r="I94" s="208"/>
      <c r="J94" s="208"/>
      <c r="K94" s="208"/>
      <c r="L94" s="208"/>
      <c r="M94"/>
      <c r="N94" s="362"/>
      <c r="O94" s="208"/>
      <c r="P94" s="208"/>
      <c r="Q94" s="208"/>
      <c r="R94" s="208"/>
      <c r="S94" s="208"/>
      <c r="T94" s="208"/>
      <c r="U94" s="208"/>
      <c r="V94" s="208"/>
      <c r="W94" s="208"/>
      <c r="X94" s="208"/>
      <c r="Y94" s="208"/>
      <c r="Z94" s="208"/>
      <c r="AA94" s="208"/>
    </row>
    <row r="95" spans="2:27" x14ac:dyDescent="0.3">
      <c r="H95" s="208"/>
      <c r="I95" s="208"/>
      <c r="J95" s="208"/>
      <c r="K95" s="208"/>
      <c r="L95" s="208"/>
      <c r="M95"/>
      <c r="N95" s="362"/>
      <c r="O95" s="208"/>
      <c r="P95" s="208"/>
      <c r="Q95" s="208"/>
      <c r="R95" s="208"/>
      <c r="S95" s="208"/>
      <c r="T95" s="208"/>
      <c r="U95" s="208"/>
      <c r="V95" s="208"/>
      <c r="W95" s="208"/>
      <c r="X95" s="208"/>
      <c r="Y95" s="208"/>
      <c r="Z95" s="208"/>
      <c r="AA95" s="208"/>
    </row>
    <row r="96" spans="2:27" x14ac:dyDescent="0.3">
      <c r="H96" s="208"/>
      <c r="I96" s="208"/>
      <c r="J96" s="208"/>
      <c r="K96" s="208"/>
      <c r="L96" s="208"/>
      <c r="M96" s="208"/>
      <c r="N96" s="362"/>
      <c r="O96" s="208"/>
      <c r="P96" s="208"/>
      <c r="Q96" s="208"/>
      <c r="R96" s="208"/>
      <c r="S96" s="208"/>
      <c r="T96" s="208"/>
      <c r="U96" s="208"/>
      <c r="V96" s="208"/>
      <c r="W96"/>
      <c r="X96"/>
      <c r="Y96" s="208"/>
      <c r="Z96" s="208"/>
      <c r="AA96" s="208"/>
    </row>
    <row r="97" spans="13:24" x14ac:dyDescent="0.3">
      <c r="M97"/>
      <c r="N97" s="32"/>
      <c r="O97"/>
      <c r="P97"/>
      <c r="Q97"/>
      <c r="R97"/>
      <c r="S97"/>
      <c r="T97"/>
      <c r="U97" s="208"/>
      <c r="V97" s="208"/>
      <c r="W97" s="208"/>
      <c r="X97" s="208"/>
    </row>
    <row r="98" spans="13:24" x14ac:dyDescent="0.3">
      <c r="M98"/>
      <c r="N98" s="32"/>
      <c r="O98"/>
      <c r="P98"/>
      <c r="Q98"/>
      <c r="R98"/>
      <c r="S98"/>
      <c r="T98"/>
      <c r="U98"/>
      <c r="V98"/>
      <c r="W98"/>
      <c r="X98"/>
    </row>
    <row r="99" spans="13:24" x14ac:dyDescent="0.3">
      <c r="M99"/>
      <c r="N99" s="32"/>
      <c r="O99"/>
      <c r="P99"/>
      <c r="Q99"/>
      <c r="R99"/>
      <c r="S99"/>
      <c r="T99"/>
      <c r="U99"/>
      <c r="V99"/>
      <c r="W99"/>
      <c r="X99"/>
    </row>
    <row r="100" spans="13:24" x14ac:dyDescent="0.3">
      <c r="M100" s="208"/>
      <c r="N100" s="362"/>
      <c r="O100" s="208"/>
      <c r="P100" s="208"/>
      <c r="Q100" s="208"/>
      <c r="R100" s="208"/>
      <c r="S100" s="208"/>
      <c r="T100" s="208"/>
      <c r="U100"/>
      <c r="V100"/>
      <c r="W100"/>
      <c r="X100"/>
    </row>
  </sheetData>
  <dataValidations disablePrompts="1" count="1">
    <dataValidation type="list" allowBlank="1" showInputMessage="1" showErrorMessage="1" sqref="Y4" xr:uid="{F38AE3F2-85FC-4804-ACCA-8E69294AAC17}">
      <formula1>#REF!</formula1>
    </dataValidation>
  </dataValidations>
  <pageMargins left="0.7" right="0.7" top="0.75" bottom="0.75" header="0.3" footer="0.3"/>
  <pageSetup scale="51" orientation="landscape" r:id="rId1"/>
  <headerFooter>
    <oddFooter>&amp;R&amp;A
&amp;Z&amp;F</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11DE-BF1E-4F69-8D89-17754F097732}">
  <sheetPr>
    <tabColor rgb="FF00B050"/>
  </sheetPr>
  <dimension ref="A1:AK63"/>
  <sheetViews>
    <sheetView zoomScale="85" zoomScaleNormal="85" workbookViewId="0">
      <selection activeCell="V17" sqref="V17"/>
    </sheetView>
  </sheetViews>
  <sheetFormatPr defaultRowHeight="14.4" x14ac:dyDescent="0.3"/>
  <cols>
    <col min="2" max="2" width="10.88671875" bestFit="1" customWidth="1"/>
    <col min="3" max="3" width="9.88671875" bestFit="1" customWidth="1"/>
    <col min="4" max="4" width="20" customWidth="1"/>
    <col min="5" max="6" width="19.5546875" customWidth="1"/>
    <col min="7" max="7" width="24.88671875" style="8" customWidth="1"/>
    <col min="8" max="8" width="20.44140625" bestFit="1" customWidth="1"/>
    <col min="9" max="9" width="25.88671875" customWidth="1"/>
    <col min="10" max="10" width="22.88671875" customWidth="1"/>
    <col min="11" max="11" width="15.88671875" customWidth="1"/>
    <col min="12" max="12" width="17.109375" bestFit="1" customWidth="1"/>
    <col min="13" max="13" width="16.109375" bestFit="1" customWidth="1"/>
    <col min="14" max="17" width="16.109375" customWidth="1"/>
    <col min="18" max="18" width="16.44140625" customWidth="1"/>
    <col min="19" max="20" width="15.109375" customWidth="1"/>
    <col min="21" max="21" width="17.44140625" customWidth="1"/>
    <col min="22" max="22" width="15.109375" customWidth="1"/>
    <col min="23" max="23" width="16" bestFit="1" customWidth="1"/>
    <col min="24" max="24" width="26.109375" customWidth="1"/>
    <col min="25" max="25" width="7.88671875" bestFit="1" customWidth="1"/>
    <col min="26" max="26" width="27.109375" bestFit="1" customWidth="1"/>
    <col min="27" max="27" width="24.109375" customWidth="1"/>
    <col min="28" max="28" width="17.5546875" customWidth="1"/>
    <col min="29" max="29" width="11.44140625" bestFit="1" customWidth="1"/>
    <col min="30" max="30" width="14.109375" bestFit="1" customWidth="1"/>
    <col min="31" max="31" width="18.109375" customWidth="1"/>
    <col min="32" max="32" width="15.109375" customWidth="1"/>
    <col min="33" max="33" width="15.44140625" customWidth="1"/>
    <col min="34" max="34" width="11.109375" bestFit="1" customWidth="1"/>
    <col min="35" max="35" width="11.109375" customWidth="1"/>
    <col min="36" max="36" width="16.88671875" customWidth="1"/>
    <col min="37" max="37" width="6" bestFit="1" customWidth="1"/>
    <col min="38" max="38" width="20.44140625" bestFit="1" customWidth="1"/>
    <col min="39" max="39" width="11.44140625" bestFit="1" customWidth="1"/>
    <col min="40" max="40" width="5.88671875" bestFit="1" customWidth="1"/>
  </cols>
  <sheetData>
    <row r="1" spans="1:37" ht="18" x14ac:dyDescent="0.35">
      <c r="A1" s="503" t="s">
        <v>61</v>
      </c>
      <c r="B1" s="503"/>
      <c r="C1" s="503"/>
      <c r="D1" s="503"/>
      <c r="E1" s="503"/>
      <c r="F1" s="503"/>
      <c r="G1" s="503"/>
      <c r="H1" s="503"/>
      <c r="I1" s="503"/>
      <c r="J1" s="503"/>
      <c r="K1" s="503"/>
      <c r="L1" s="503"/>
      <c r="M1" s="503"/>
      <c r="N1" s="503"/>
      <c r="O1" s="503"/>
      <c r="P1" s="503"/>
      <c r="Q1" s="503"/>
      <c r="R1" s="503"/>
      <c r="S1" s="503"/>
      <c r="T1" s="503"/>
      <c r="U1" s="503"/>
      <c r="V1" s="503"/>
      <c r="W1" s="503"/>
      <c r="X1" s="503"/>
      <c r="Y1" s="503"/>
      <c r="Z1" s="503"/>
      <c r="AH1" s="210"/>
      <c r="AI1" s="210"/>
      <c r="AJ1" s="210"/>
      <c r="AK1" s="210"/>
    </row>
    <row r="2" spans="1:37" ht="18" x14ac:dyDescent="0.35">
      <c r="A2" s="503" t="s">
        <v>224</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H2" s="117"/>
      <c r="AI2" s="117"/>
    </row>
    <row r="3" spans="1:37" ht="15.6" x14ac:dyDescent="0.3">
      <c r="B3" s="9"/>
      <c r="C3" s="117"/>
      <c r="M3" s="117"/>
      <c r="N3" s="117"/>
      <c r="O3" s="117"/>
      <c r="P3" s="117"/>
      <c r="Q3" s="117"/>
      <c r="R3" s="117"/>
      <c r="W3" s="117"/>
      <c r="X3" s="117"/>
      <c r="AH3" s="8"/>
      <c r="AI3" s="8"/>
    </row>
    <row r="4" spans="1:37" ht="15.6" x14ac:dyDescent="0.3">
      <c r="B4" s="9"/>
      <c r="C4" s="117"/>
      <c r="M4" s="117"/>
      <c r="N4" s="117"/>
      <c r="O4" s="117"/>
      <c r="P4" s="117"/>
      <c r="Q4" s="117"/>
      <c r="R4" s="117"/>
      <c r="W4" s="117"/>
      <c r="X4" s="117"/>
      <c r="Z4" s="5"/>
      <c r="AA4" s="5"/>
      <c r="AB4" s="5"/>
      <c r="AF4" s="5"/>
      <c r="AG4" s="116"/>
      <c r="AH4" s="116"/>
      <c r="AI4" s="116"/>
    </row>
    <row r="5" spans="1:37" ht="15.6" x14ac:dyDescent="0.3">
      <c r="B5" s="9"/>
      <c r="C5" s="117"/>
      <c r="D5" s="117"/>
      <c r="E5" s="117"/>
      <c r="F5" s="117"/>
      <c r="G5" s="117"/>
      <c r="H5" s="117"/>
      <c r="I5" s="117"/>
      <c r="J5" s="417"/>
      <c r="K5" s="9"/>
      <c r="L5" s="117"/>
      <c r="M5" s="117"/>
      <c r="N5" s="117"/>
      <c r="O5" s="117"/>
      <c r="P5" s="117"/>
      <c r="Q5" s="117"/>
      <c r="R5" s="117"/>
      <c r="S5" s="117"/>
      <c r="T5" s="117"/>
      <c r="U5" s="117"/>
      <c r="V5" s="117"/>
      <c r="W5" s="117"/>
      <c r="X5" s="117"/>
      <c r="Y5" s="8"/>
      <c r="Z5" s="5"/>
      <c r="AA5" s="5"/>
      <c r="AB5" s="5"/>
      <c r="AF5" s="5"/>
      <c r="AG5" s="116"/>
      <c r="AH5" s="116"/>
      <c r="AI5" s="116"/>
      <c r="AJ5" s="116"/>
      <c r="AK5" s="5"/>
    </row>
    <row r="6" spans="1:37" x14ac:dyDescent="0.3">
      <c r="B6" s="9"/>
      <c r="C6" s="8"/>
      <c r="I6" s="27"/>
      <c r="J6" s="27"/>
      <c r="K6" s="107"/>
      <c r="R6" s="8"/>
      <c r="S6" s="8"/>
      <c r="T6" s="8"/>
      <c r="U6" s="8"/>
      <c r="V6" s="8"/>
      <c r="X6" s="8"/>
      <c r="Y6" s="8"/>
      <c r="Z6" s="8"/>
      <c r="AA6" s="8"/>
      <c r="AB6" s="8"/>
      <c r="AG6" s="8"/>
      <c r="AH6" s="8"/>
      <c r="AI6" s="8"/>
      <c r="AJ6" s="8"/>
    </row>
    <row r="7" spans="1:37" s="7" customFormat="1" ht="31.2" x14ac:dyDescent="0.3">
      <c r="B7" s="10" t="s">
        <v>225</v>
      </c>
      <c r="C7" s="13" t="s">
        <v>226</v>
      </c>
      <c r="D7" s="13" t="s">
        <v>227</v>
      </c>
      <c r="E7" s="50" t="s">
        <v>228</v>
      </c>
      <c r="F7" s="50" t="s">
        <v>229</v>
      </c>
      <c r="G7" s="13" t="s">
        <v>230</v>
      </c>
      <c r="H7" s="13" t="s">
        <v>231</v>
      </c>
      <c r="I7" s="26" t="s">
        <v>232</v>
      </c>
      <c r="J7" s="26" t="s">
        <v>233</v>
      </c>
      <c r="K7" s="78" t="s">
        <v>234</v>
      </c>
      <c r="L7" s="13" t="s">
        <v>235</v>
      </c>
      <c r="M7" s="13" t="s">
        <v>180</v>
      </c>
      <c r="N7" s="13" t="s">
        <v>236</v>
      </c>
      <c r="O7" s="13" t="s">
        <v>237</v>
      </c>
      <c r="P7" s="13" t="s">
        <v>230</v>
      </c>
      <c r="Q7" s="13" t="s">
        <v>238</v>
      </c>
      <c r="R7" s="50" t="s">
        <v>239</v>
      </c>
      <c r="S7" s="13" t="s">
        <v>240</v>
      </c>
      <c r="T7" s="13" t="s">
        <v>241</v>
      </c>
      <c r="U7" s="13" t="s">
        <v>242</v>
      </c>
      <c r="V7" s="13" t="s">
        <v>243</v>
      </c>
      <c r="W7" s="13" t="s">
        <v>244</v>
      </c>
      <c r="X7" s="13" t="s">
        <v>245</v>
      </c>
      <c r="Y7" s="8"/>
      <c r="Z7" s="369" t="s">
        <v>246</v>
      </c>
      <c r="AA7" s="369" t="s">
        <v>247</v>
      </c>
      <c r="AB7" s="369" t="s">
        <v>248</v>
      </c>
      <c r="AC7" s="369" t="s">
        <v>249</v>
      </c>
      <c r="AD7" s="369" t="s">
        <v>250</v>
      </c>
      <c r="AE7" s="370" t="s">
        <v>251</v>
      </c>
      <c r="AF7" s="369" t="s">
        <v>252</v>
      </c>
      <c r="AG7" s="369" t="s">
        <v>253</v>
      </c>
      <c r="AH7" s="8"/>
      <c r="AI7" s="369" t="s">
        <v>254</v>
      </c>
      <c r="AJ7" s="369" t="s">
        <v>255</v>
      </c>
    </row>
    <row r="8" spans="1:37" ht="15.6" x14ac:dyDescent="0.3">
      <c r="B8" s="11">
        <v>1</v>
      </c>
      <c r="C8" s="16"/>
      <c r="D8" s="14"/>
      <c r="E8" s="14"/>
      <c r="F8" s="14"/>
      <c r="G8" s="14"/>
      <c r="H8" s="1"/>
      <c r="I8" s="14"/>
      <c r="J8" s="120"/>
      <c r="K8" s="160"/>
      <c r="L8" s="1">
        <v>0</v>
      </c>
      <c r="M8" s="2"/>
      <c r="N8" s="2"/>
      <c r="O8" s="2"/>
      <c r="P8" s="2"/>
      <c r="Q8" s="2"/>
      <c r="R8" s="245"/>
      <c r="S8" s="245"/>
      <c r="T8" s="633"/>
      <c r="U8" s="245"/>
      <c r="V8" s="245"/>
      <c r="W8" s="2"/>
      <c r="X8" s="1"/>
      <c r="Z8" s="419">
        <f>D8</f>
        <v>0</v>
      </c>
      <c r="AA8" s="420">
        <f>H8</f>
        <v>0</v>
      </c>
      <c r="AB8" s="418">
        <f>N8</f>
        <v>0</v>
      </c>
      <c r="AC8" s="418" t="str">
        <f>O7</f>
        <v xml:space="preserve">City </v>
      </c>
      <c r="AD8" s="418">
        <f>Q8</f>
        <v>0</v>
      </c>
      <c r="AE8" s="373">
        <f>J8</f>
        <v>0</v>
      </c>
      <c r="AF8" s="374">
        <f>K8</f>
        <v>0</v>
      </c>
      <c r="AG8" s="375">
        <f>L8</f>
        <v>0</v>
      </c>
      <c r="AI8" s="353">
        <f>T8</f>
        <v>0</v>
      </c>
      <c r="AJ8" s="2">
        <f>U8</f>
        <v>0</v>
      </c>
    </row>
    <row r="9" spans="1:37" ht="15.6" x14ac:dyDescent="0.3">
      <c r="B9" s="11">
        <v>2</v>
      </c>
      <c r="C9" s="16"/>
      <c r="D9" s="14"/>
      <c r="E9" s="14"/>
      <c r="F9" s="14"/>
      <c r="G9" s="14"/>
      <c r="H9" s="1"/>
      <c r="I9" s="14"/>
      <c r="J9" s="120"/>
      <c r="K9" s="160"/>
      <c r="L9" s="1">
        <v>0</v>
      </c>
      <c r="M9" s="1"/>
      <c r="N9" s="1"/>
      <c r="O9" s="1"/>
      <c r="P9" s="1"/>
      <c r="Q9" s="1"/>
      <c r="R9" s="245"/>
      <c r="S9" s="245"/>
      <c r="T9" s="633"/>
      <c r="U9" s="245"/>
      <c r="V9" s="245"/>
      <c r="W9" s="2"/>
      <c r="X9" s="1"/>
      <c r="Z9" s="419">
        <f t="shared" ref="Z9:Z23" si="0">D9</f>
        <v>0</v>
      </c>
      <c r="AA9" s="420">
        <f t="shared" ref="AA9:AA23" si="1">H9</f>
        <v>0</v>
      </c>
      <c r="AB9" s="418">
        <f t="shared" ref="AB9:AB23" si="2">N9</f>
        <v>0</v>
      </c>
      <c r="AC9" s="418">
        <f t="shared" ref="AC9:AC23" si="3">O8</f>
        <v>0</v>
      </c>
      <c r="AD9" s="418">
        <f t="shared" ref="AD9:AD23" si="4">Q9</f>
        <v>0</v>
      </c>
      <c r="AE9" s="373">
        <f t="shared" ref="AE9:AE23" si="5">J9</f>
        <v>0</v>
      </c>
      <c r="AF9" s="374">
        <f t="shared" ref="AF9:AF23" si="6">K9</f>
        <v>0</v>
      </c>
      <c r="AG9" s="375">
        <f t="shared" ref="AG9:AG23" si="7">L9</f>
        <v>0</v>
      </c>
      <c r="AI9" s="353">
        <f t="shared" ref="AI9:AI23" si="8">T9</f>
        <v>0</v>
      </c>
      <c r="AJ9" s="2">
        <f t="shared" ref="AJ9:AJ23" si="9">U9</f>
        <v>0</v>
      </c>
    </row>
    <row r="10" spans="1:37" ht="15.6" x14ac:dyDescent="0.3">
      <c r="B10" s="11">
        <v>3</v>
      </c>
      <c r="C10" s="16"/>
      <c r="D10" s="14"/>
      <c r="E10" s="14"/>
      <c r="F10" s="14"/>
      <c r="G10" s="14"/>
      <c r="H10" s="1"/>
      <c r="I10" s="14"/>
      <c r="J10" s="120"/>
      <c r="K10" s="160"/>
      <c r="L10" s="1">
        <v>0</v>
      </c>
      <c r="M10" s="1"/>
      <c r="N10" s="1"/>
      <c r="O10" s="1"/>
      <c r="P10" s="1"/>
      <c r="Q10" s="1"/>
      <c r="R10" s="245"/>
      <c r="S10" s="245"/>
      <c r="T10" s="633"/>
      <c r="U10" s="245"/>
      <c r="V10" s="245"/>
      <c r="W10" s="2"/>
      <c r="X10" s="1"/>
      <c r="Z10" s="419">
        <f t="shared" si="0"/>
        <v>0</v>
      </c>
      <c r="AA10" s="420">
        <f t="shared" si="1"/>
        <v>0</v>
      </c>
      <c r="AB10" s="418">
        <f t="shared" si="2"/>
        <v>0</v>
      </c>
      <c r="AC10" s="418">
        <f t="shared" si="3"/>
        <v>0</v>
      </c>
      <c r="AD10" s="418">
        <f t="shared" si="4"/>
        <v>0</v>
      </c>
      <c r="AE10" s="373">
        <f t="shared" si="5"/>
        <v>0</v>
      </c>
      <c r="AF10" s="374">
        <f t="shared" si="6"/>
        <v>0</v>
      </c>
      <c r="AG10" s="375">
        <f t="shared" si="7"/>
        <v>0</v>
      </c>
      <c r="AI10" s="353">
        <f t="shared" si="8"/>
        <v>0</v>
      </c>
      <c r="AJ10" s="2">
        <f t="shared" si="9"/>
        <v>0</v>
      </c>
    </row>
    <row r="11" spans="1:37" ht="15.6" x14ac:dyDescent="0.3">
      <c r="B11" s="11">
        <v>4</v>
      </c>
      <c r="C11" s="16"/>
      <c r="D11" s="14"/>
      <c r="E11" s="14"/>
      <c r="F11" s="14"/>
      <c r="G11" s="14"/>
      <c r="H11" s="1"/>
      <c r="I11" s="14"/>
      <c r="J11" s="120"/>
      <c r="K11" s="160"/>
      <c r="L11" s="1">
        <v>0</v>
      </c>
      <c r="M11" s="1"/>
      <c r="N11" s="1"/>
      <c r="O11" s="1"/>
      <c r="P11" s="1"/>
      <c r="Q11" s="1"/>
      <c r="R11" s="245"/>
      <c r="S11" s="245"/>
      <c r="T11" s="633"/>
      <c r="U11" s="245"/>
      <c r="V11" s="245"/>
      <c r="W11" s="2"/>
      <c r="X11" s="1"/>
      <c r="Z11" s="419">
        <f t="shared" si="0"/>
        <v>0</v>
      </c>
      <c r="AA11" s="420">
        <f t="shared" si="1"/>
        <v>0</v>
      </c>
      <c r="AB11" s="418">
        <f t="shared" si="2"/>
        <v>0</v>
      </c>
      <c r="AC11" s="418">
        <f t="shared" si="3"/>
        <v>0</v>
      </c>
      <c r="AD11" s="418">
        <f t="shared" si="4"/>
        <v>0</v>
      </c>
      <c r="AE11" s="373">
        <f t="shared" si="5"/>
        <v>0</v>
      </c>
      <c r="AF11" s="374">
        <f t="shared" si="6"/>
        <v>0</v>
      </c>
      <c r="AG11" s="375">
        <f t="shared" si="7"/>
        <v>0</v>
      </c>
      <c r="AI11" s="353">
        <f t="shared" si="8"/>
        <v>0</v>
      </c>
      <c r="AJ11" s="2">
        <f t="shared" si="9"/>
        <v>0</v>
      </c>
    </row>
    <row r="12" spans="1:37" ht="15.6" x14ac:dyDescent="0.3">
      <c r="B12" s="11">
        <v>5</v>
      </c>
      <c r="C12" s="16"/>
      <c r="D12" s="14"/>
      <c r="E12" s="14"/>
      <c r="F12" s="14"/>
      <c r="G12" s="14"/>
      <c r="H12" s="1"/>
      <c r="I12" s="14"/>
      <c r="J12" s="120"/>
      <c r="K12" s="160"/>
      <c r="L12" s="1">
        <v>0</v>
      </c>
      <c r="M12" s="1"/>
      <c r="N12" s="1"/>
      <c r="O12" s="1"/>
      <c r="P12" s="1"/>
      <c r="Q12" s="1"/>
      <c r="R12" s="245"/>
      <c r="S12" s="245"/>
      <c r="T12" s="633"/>
      <c r="U12" s="245"/>
      <c r="V12" s="245"/>
      <c r="W12" s="2"/>
      <c r="X12" s="1"/>
      <c r="Z12" s="419">
        <f t="shared" si="0"/>
        <v>0</v>
      </c>
      <c r="AA12" s="420">
        <f t="shared" si="1"/>
        <v>0</v>
      </c>
      <c r="AB12" s="418">
        <f t="shared" si="2"/>
        <v>0</v>
      </c>
      <c r="AC12" s="418">
        <f t="shared" si="3"/>
        <v>0</v>
      </c>
      <c r="AD12" s="418">
        <f t="shared" si="4"/>
        <v>0</v>
      </c>
      <c r="AE12" s="373">
        <f t="shared" si="5"/>
        <v>0</v>
      </c>
      <c r="AF12" s="374">
        <f t="shared" si="6"/>
        <v>0</v>
      </c>
      <c r="AG12" s="375">
        <f t="shared" si="7"/>
        <v>0</v>
      </c>
      <c r="AI12" s="353">
        <f t="shared" si="8"/>
        <v>0</v>
      </c>
      <c r="AJ12" s="2">
        <f t="shared" si="9"/>
        <v>0</v>
      </c>
    </row>
    <row r="13" spans="1:37" ht="15.6" x14ac:dyDescent="0.3">
      <c r="B13" s="11">
        <v>6</v>
      </c>
      <c r="C13" s="16"/>
      <c r="D13" s="14"/>
      <c r="E13" s="14"/>
      <c r="F13" s="14"/>
      <c r="G13" s="14"/>
      <c r="H13" s="1"/>
      <c r="I13" s="14"/>
      <c r="J13" s="120"/>
      <c r="K13" s="160"/>
      <c r="L13" s="1">
        <v>0</v>
      </c>
      <c r="M13" s="1"/>
      <c r="N13" s="1"/>
      <c r="O13" s="1"/>
      <c r="P13" s="1"/>
      <c r="Q13" s="1"/>
      <c r="R13" s="245"/>
      <c r="S13" s="245"/>
      <c r="T13" s="633"/>
      <c r="U13" s="245"/>
      <c r="V13" s="245"/>
      <c r="W13" s="2"/>
      <c r="X13" s="1"/>
      <c r="Z13" s="419">
        <f t="shared" si="0"/>
        <v>0</v>
      </c>
      <c r="AA13" s="420">
        <f t="shared" si="1"/>
        <v>0</v>
      </c>
      <c r="AB13" s="418">
        <f t="shared" si="2"/>
        <v>0</v>
      </c>
      <c r="AC13" s="418">
        <f t="shared" si="3"/>
        <v>0</v>
      </c>
      <c r="AD13" s="418">
        <f t="shared" si="4"/>
        <v>0</v>
      </c>
      <c r="AE13" s="373">
        <f t="shared" si="5"/>
        <v>0</v>
      </c>
      <c r="AF13" s="374">
        <f t="shared" si="6"/>
        <v>0</v>
      </c>
      <c r="AG13" s="375">
        <f t="shared" si="7"/>
        <v>0</v>
      </c>
      <c r="AI13" s="353">
        <f t="shared" si="8"/>
        <v>0</v>
      </c>
      <c r="AJ13" s="2">
        <f t="shared" si="9"/>
        <v>0</v>
      </c>
    </row>
    <row r="14" spans="1:37" ht="15.6" x14ac:dyDescent="0.3">
      <c r="B14" s="11">
        <v>7</v>
      </c>
      <c r="C14" s="16"/>
      <c r="D14" s="14"/>
      <c r="E14" s="14"/>
      <c r="F14" s="14"/>
      <c r="G14" s="14"/>
      <c r="H14" s="1"/>
      <c r="I14" s="14"/>
      <c r="J14" s="120"/>
      <c r="K14" s="160"/>
      <c r="L14" s="1">
        <v>0</v>
      </c>
      <c r="M14" s="1"/>
      <c r="N14" s="1"/>
      <c r="O14" s="1"/>
      <c r="P14" s="1"/>
      <c r="Q14" s="1"/>
      <c r="R14" s="245"/>
      <c r="S14" s="245"/>
      <c r="T14" s="633"/>
      <c r="U14" s="245"/>
      <c r="V14" s="245"/>
      <c r="W14" s="2"/>
      <c r="X14" s="1"/>
      <c r="Z14" s="419">
        <f t="shared" si="0"/>
        <v>0</v>
      </c>
      <c r="AA14" s="420">
        <f t="shared" si="1"/>
        <v>0</v>
      </c>
      <c r="AB14" s="418">
        <f t="shared" si="2"/>
        <v>0</v>
      </c>
      <c r="AC14" s="418">
        <f t="shared" si="3"/>
        <v>0</v>
      </c>
      <c r="AD14" s="418">
        <f t="shared" si="4"/>
        <v>0</v>
      </c>
      <c r="AE14" s="373">
        <f t="shared" si="5"/>
        <v>0</v>
      </c>
      <c r="AF14" s="374">
        <f t="shared" si="6"/>
        <v>0</v>
      </c>
      <c r="AG14" s="375">
        <f t="shared" si="7"/>
        <v>0</v>
      </c>
      <c r="AI14" s="353">
        <f t="shared" si="8"/>
        <v>0</v>
      </c>
      <c r="AJ14" s="2">
        <f t="shared" si="9"/>
        <v>0</v>
      </c>
    </row>
    <row r="15" spans="1:37" ht="15.6" x14ac:dyDescent="0.3">
      <c r="B15" s="11">
        <v>8</v>
      </c>
      <c r="C15" s="16"/>
      <c r="D15" s="14"/>
      <c r="E15" s="14"/>
      <c r="F15" s="14"/>
      <c r="G15" s="14"/>
      <c r="H15" s="1"/>
      <c r="I15" s="14"/>
      <c r="J15" s="120"/>
      <c r="K15" s="160"/>
      <c r="L15" s="1">
        <v>0</v>
      </c>
      <c r="M15" s="1"/>
      <c r="N15" s="1"/>
      <c r="O15" s="1"/>
      <c r="P15" s="1"/>
      <c r="Q15" s="1"/>
      <c r="R15" s="245"/>
      <c r="S15" s="245"/>
      <c r="T15" s="633"/>
      <c r="U15" s="245"/>
      <c r="V15" s="245"/>
      <c r="W15" s="2"/>
      <c r="X15" s="1"/>
      <c r="Z15" s="419">
        <f t="shared" si="0"/>
        <v>0</v>
      </c>
      <c r="AA15" s="420">
        <f t="shared" si="1"/>
        <v>0</v>
      </c>
      <c r="AB15" s="418">
        <f t="shared" si="2"/>
        <v>0</v>
      </c>
      <c r="AC15" s="418">
        <f t="shared" si="3"/>
        <v>0</v>
      </c>
      <c r="AD15" s="418">
        <f t="shared" si="4"/>
        <v>0</v>
      </c>
      <c r="AE15" s="373">
        <f t="shared" si="5"/>
        <v>0</v>
      </c>
      <c r="AF15" s="374">
        <f t="shared" si="6"/>
        <v>0</v>
      </c>
      <c r="AG15" s="375">
        <f t="shared" si="7"/>
        <v>0</v>
      </c>
      <c r="AI15" s="353">
        <f t="shared" si="8"/>
        <v>0</v>
      </c>
      <c r="AJ15" s="2">
        <f t="shared" si="9"/>
        <v>0</v>
      </c>
    </row>
    <row r="16" spans="1:37" ht="15.6" x14ac:dyDescent="0.3">
      <c r="B16" s="11">
        <v>9</v>
      </c>
      <c r="C16" s="16"/>
      <c r="D16" s="14"/>
      <c r="E16" s="14"/>
      <c r="F16" s="14"/>
      <c r="G16" s="14"/>
      <c r="H16" s="1"/>
      <c r="I16" s="14"/>
      <c r="J16" s="120"/>
      <c r="K16" s="160"/>
      <c r="L16" s="1">
        <v>0</v>
      </c>
      <c r="M16" s="1"/>
      <c r="N16" s="1"/>
      <c r="O16" s="1"/>
      <c r="P16" s="1"/>
      <c r="Q16" s="1"/>
      <c r="R16" s="245"/>
      <c r="S16" s="245"/>
      <c r="T16" s="633"/>
      <c r="U16" s="245"/>
      <c r="V16" s="245"/>
      <c r="W16" s="2"/>
      <c r="X16" s="1"/>
      <c r="Z16" s="419">
        <f t="shared" ref="Z16:Z19" si="10">D16</f>
        <v>0</v>
      </c>
      <c r="AA16" s="420">
        <f t="shared" ref="AA16:AA19" si="11">H16</f>
        <v>0</v>
      </c>
      <c r="AB16" s="418">
        <f t="shared" ref="AB16:AB19" si="12">N16</f>
        <v>0</v>
      </c>
      <c r="AC16" s="418">
        <f>O11</f>
        <v>0</v>
      </c>
      <c r="AD16" s="418">
        <f t="shared" ref="AD16:AD19" si="13">Q16</f>
        <v>0</v>
      </c>
      <c r="AE16" s="373">
        <f t="shared" ref="AE16:AE19" si="14">J16</f>
        <v>0</v>
      </c>
      <c r="AF16" s="374">
        <f t="shared" ref="AF16:AF19" si="15">K16</f>
        <v>0</v>
      </c>
      <c r="AG16" s="375">
        <f t="shared" ref="AG16:AG19" si="16">L16</f>
        <v>0</v>
      </c>
      <c r="AI16" s="353">
        <f t="shared" si="8"/>
        <v>0</v>
      </c>
      <c r="AJ16" s="2">
        <f t="shared" ref="AJ16:AJ19" si="17">U16</f>
        <v>0</v>
      </c>
    </row>
    <row r="17" spans="2:36" ht="15.6" x14ac:dyDescent="0.3">
      <c r="B17" s="11">
        <v>10</v>
      </c>
      <c r="C17" s="16"/>
      <c r="D17" s="14"/>
      <c r="E17" s="14"/>
      <c r="F17" s="14"/>
      <c r="G17" s="14"/>
      <c r="H17" s="1"/>
      <c r="I17" s="14"/>
      <c r="J17" s="120"/>
      <c r="K17" s="160"/>
      <c r="L17" s="1">
        <v>0</v>
      </c>
      <c r="M17" s="1"/>
      <c r="N17" s="1"/>
      <c r="O17" s="1"/>
      <c r="P17" s="1"/>
      <c r="Q17" s="1"/>
      <c r="R17" s="245"/>
      <c r="S17" s="245"/>
      <c r="T17" s="633"/>
      <c r="U17" s="245"/>
      <c r="V17" s="245"/>
      <c r="W17" s="2"/>
      <c r="X17" s="1"/>
      <c r="Z17" s="419">
        <f t="shared" si="10"/>
        <v>0</v>
      </c>
      <c r="AA17" s="420">
        <f t="shared" si="11"/>
        <v>0</v>
      </c>
      <c r="AB17" s="418">
        <f t="shared" si="12"/>
        <v>0</v>
      </c>
      <c r="AC17" s="418">
        <f t="shared" ref="AC17:AC19" si="18">O16</f>
        <v>0</v>
      </c>
      <c r="AD17" s="418">
        <f t="shared" si="13"/>
        <v>0</v>
      </c>
      <c r="AE17" s="373">
        <f t="shared" si="14"/>
        <v>0</v>
      </c>
      <c r="AF17" s="374">
        <f t="shared" si="15"/>
        <v>0</v>
      </c>
      <c r="AG17" s="375">
        <f t="shared" si="16"/>
        <v>0</v>
      </c>
      <c r="AI17" s="353">
        <f t="shared" si="8"/>
        <v>0</v>
      </c>
      <c r="AJ17" s="2">
        <f t="shared" si="17"/>
        <v>0</v>
      </c>
    </row>
    <row r="18" spans="2:36" ht="15.6" x14ac:dyDescent="0.3">
      <c r="B18" s="11">
        <v>11</v>
      </c>
      <c r="C18" s="16"/>
      <c r="D18" s="14"/>
      <c r="E18" s="14"/>
      <c r="F18" s="14"/>
      <c r="G18" s="14"/>
      <c r="H18" s="1"/>
      <c r="I18" s="14"/>
      <c r="J18" s="120"/>
      <c r="K18" s="160"/>
      <c r="L18" s="1">
        <v>0</v>
      </c>
      <c r="M18" s="1"/>
      <c r="N18" s="1"/>
      <c r="O18" s="1"/>
      <c r="P18" s="1"/>
      <c r="Q18" s="1"/>
      <c r="R18" s="245"/>
      <c r="S18" s="245"/>
      <c r="T18" s="633"/>
      <c r="U18" s="245"/>
      <c r="V18" s="245"/>
      <c r="W18" s="2"/>
      <c r="X18" s="1"/>
      <c r="Z18" s="419">
        <f t="shared" si="10"/>
        <v>0</v>
      </c>
      <c r="AA18" s="420">
        <f t="shared" si="11"/>
        <v>0</v>
      </c>
      <c r="AB18" s="418">
        <f t="shared" si="12"/>
        <v>0</v>
      </c>
      <c r="AC18" s="418">
        <f t="shared" si="18"/>
        <v>0</v>
      </c>
      <c r="AD18" s="418">
        <f t="shared" si="13"/>
        <v>0</v>
      </c>
      <c r="AE18" s="373">
        <f t="shared" si="14"/>
        <v>0</v>
      </c>
      <c r="AF18" s="374">
        <f t="shared" si="15"/>
        <v>0</v>
      </c>
      <c r="AG18" s="375">
        <f t="shared" si="16"/>
        <v>0</v>
      </c>
      <c r="AI18" s="353">
        <f t="shared" si="8"/>
        <v>0</v>
      </c>
      <c r="AJ18" s="2">
        <f t="shared" si="17"/>
        <v>0</v>
      </c>
    </row>
    <row r="19" spans="2:36" ht="15.6" x14ac:dyDescent="0.3">
      <c r="B19" s="11">
        <v>12</v>
      </c>
      <c r="C19" s="16"/>
      <c r="D19" s="14"/>
      <c r="E19" s="14"/>
      <c r="F19" s="14"/>
      <c r="G19" s="14"/>
      <c r="H19" s="1"/>
      <c r="I19" s="14"/>
      <c r="J19" s="120"/>
      <c r="K19" s="160"/>
      <c r="L19" s="1">
        <v>0</v>
      </c>
      <c r="M19" s="1"/>
      <c r="N19" s="1"/>
      <c r="O19" s="1"/>
      <c r="P19" s="1"/>
      <c r="Q19" s="1"/>
      <c r="R19" s="245"/>
      <c r="S19" s="245"/>
      <c r="T19" s="633"/>
      <c r="U19" s="245"/>
      <c r="V19" s="245"/>
      <c r="W19" s="2"/>
      <c r="X19" s="1"/>
      <c r="Z19" s="419">
        <f t="shared" si="10"/>
        <v>0</v>
      </c>
      <c r="AA19" s="420">
        <f t="shared" si="11"/>
        <v>0</v>
      </c>
      <c r="AB19" s="418">
        <f t="shared" si="12"/>
        <v>0</v>
      </c>
      <c r="AC19" s="418">
        <f t="shared" si="18"/>
        <v>0</v>
      </c>
      <c r="AD19" s="418">
        <f t="shared" si="13"/>
        <v>0</v>
      </c>
      <c r="AE19" s="373">
        <f t="shared" si="14"/>
        <v>0</v>
      </c>
      <c r="AF19" s="374">
        <f t="shared" si="15"/>
        <v>0</v>
      </c>
      <c r="AG19" s="375">
        <f t="shared" si="16"/>
        <v>0</v>
      </c>
      <c r="AI19" s="353">
        <f t="shared" si="8"/>
        <v>0</v>
      </c>
      <c r="AJ19" s="2">
        <f t="shared" si="17"/>
        <v>0</v>
      </c>
    </row>
    <row r="20" spans="2:36" ht="15.6" x14ac:dyDescent="0.3">
      <c r="B20" s="11">
        <v>9</v>
      </c>
      <c r="C20" s="16"/>
      <c r="D20" s="14"/>
      <c r="E20" s="14"/>
      <c r="F20" s="14"/>
      <c r="G20" s="14"/>
      <c r="H20" s="1"/>
      <c r="I20" s="14"/>
      <c r="J20" s="120"/>
      <c r="K20" s="160"/>
      <c r="L20" s="1">
        <v>0</v>
      </c>
      <c r="M20" s="1"/>
      <c r="N20" s="1"/>
      <c r="O20" s="1"/>
      <c r="P20" s="1"/>
      <c r="Q20" s="1"/>
      <c r="R20" s="245"/>
      <c r="S20" s="245"/>
      <c r="T20" s="633"/>
      <c r="U20" s="245"/>
      <c r="V20" s="245"/>
      <c r="W20" s="2"/>
      <c r="X20" s="1"/>
      <c r="Z20" s="419">
        <f t="shared" si="0"/>
        <v>0</v>
      </c>
      <c r="AA20" s="420">
        <f t="shared" si="1"/>
        <v>0</v>
      </c>
      <c r="AB20" s="418">
        <f t="shared" si="2"/>
        <v>0</v>
      </c>
      <c r="AC20" s="418">
        <f>O15</f>
        <v>0</v>
      </c>
      <c r="AD20" s="418">
        <f t="shared" si="4"/>
        <v>0</v>
      </c>
      <c r="AE20" s="373">
        <f t="shared" si="5"/>
        <v>0</v>
      </c>
      <c r="AF20" s="374">
        <f t="shared" si="6"/>
        <v>0</v>
      </c>
      <c r="AG20" s="375">
        <f t="shared" si="7"/>
        <v>0</v>
      </c>
      <c r="AI20" s="353">
        <f t="shared" si="8"/>
        <v>0</v>
      </c>
      <c r="AJ20" s="2">
        <f t="shared" si="9"/>
        <v>0</v>
      </c>
    </row>
    <row r="21" spans="2:36" ht="15.6" x14ac:dyDescent="0.3">
      <c r="B21" s="11">
        <v>10</v>
      </c>
      <c r="C21" s="16"/>
      <c r="D21" s="14"/>
      <c r="E21" s="14"/>
      <c r="F21" s="14"/>
      <c r="G21" s="14"/>
      <c r="H21" s="1"/>
      <c r="I21" s="14"/>
      <c r="J21" s="120"/>
      <c r="K21" s="160"/>
      <c r="L21" s="1">
        <v>0</v>
      </c>
      <c r="M21" s="1"/>
      <c r="N21" s="1"/>
      <c r="O21" s="1"/>
      <c r="P21" s="1"/>
      <c r="Q21" s="1"/>
      <c r="R21" s="245"/>
      <c r="S21" s="245"/>
      <c r="T21" s="633"/>
      <c r="U21" s="245"/>
      <c r="V21" s="245"/>
      <c r="W21" s="2"/>
      <c r="X21" s="1"/>
      <c r="Z21" s="419">
        <f t="shared" si="0"/>
        <v>0</v>
      </c>
      <c r="AA21" s="420">
        <f t="shared" si="1"/>
        <v>0</v>
      </c>
      <c r="AB21" s="418">
        <f t="shared" si="2"/>
        <v>0</v>
      </c>
      <c r="AC21" s="418">
        <f t="shared" si="3"/>
        <v>0</v>
      </c>
      <c r="AD21" s="418">
        <f t="shared" si="4"/>
        <v>0</v>
      </c>
      <c r="AE21" s="373">
        <f t="shared" si="5"/>
        <v>0</v>
      </c>
      <c r="AF21" s="374">
        <f t="shared" si="6"/>
        <v>0</v>
      </c>
      <c r="AG21" s="375">
        <f t="shared" si="7"/>
        <v>0</v>
      </c>
      <c r="AI21" s="353">
        <f t="shared" si="8"/>
        <v>0</v>
      </c>
      <c r="AJ21" s="2">
        <f t="shared" si="9"/>
        <v>0</v>
      </c>
    </row>
    <row r="22" spans="2:36" ht="15.6" x14ac:dyDescent="0.3">
      <c r="B22" s="11">
        <v>11</v>
      </c>
      <c r="C22" s="16"/>
      <c r="D22" s="14"/>
      <c r="E22" s="14"/>
      <c r="F22" s="14"/>
      <c r="G22" s="14"/>
      <c r="H22" s="1"/>
      <c r="I22" s="14"/>
      <c r="J22" s="120"/>
      <c r="K22" s="160"/>
      <c r="L22" s="1">
        <v>0</v>
      </c>
      <c r="M22" s="1"/>
      <c r="N22" s="1"/>
      <c r="O22" s="1"/>
      <c r="P22" s="1"/>
      <c r="Q22" s="1"/>
      <c r="R22" s="245"/>
      <c r="S22" s="245"/>
      <c r="T22" s="633"/>
      <c r="U22" s="245"/>
      <c r="V22" s="245"/>
      <c r="W22" s="2"/>
      <c r="X22" s="1"/>
      <c r="Z22" s="419">
        <f t="shared" si="0"/>
        <v>0</v>
      </c>
      <c r="AA22" s="420">
        <f t="shared" si="1"/>
        <v>0</v>
      </c>
      <c r="AB22" s="418">
        <f t="shared" si="2"/>
        <v>0</v>
      </c>
      <c r="AC22" s="418">
        <f t="shared" si="3"/>
        <v>0</v>
      </c>
      <c r="AD22" s="418">
        <f t="shared" si="4"/>
        <v>0</v>
      </c>
      <c r="AE22" s="373">
        <f t="shared" si="5"/>
        <v>0</v>
      </c>
      <c r="AF22" s="374">
        <f t="shared" si="6"/>
        <v>0</v>
      </c>
      <c r="AG22" s="375">
        <f t="shared" si="7"/>
        <v>0</v>
      </c>
      <c r="AI22" s="353">
        <f t="shared" si="8"/>
        <v>0</v>
      </c>
      <c r="AJ22" s="2">
        <f t="shared" si="9"/>
        <v>0</v>
      </c>
    </row>
    <row r="23" spans="2:36" ht="15.6" x14ac:dyDescent="0.3">
      <c r="B23" s="11">
        <v>12</v>
      </c>
      <c r="C23" s="16"/>
      <c r="D23" s="14"/>
      <c r="E23" s="14"/>
      <c r="F23" s="14"/>
      <c r="G23" s="14"/>
      <c r="H23" s="1"/>
      <c r="I23" s="14"/>
      <c r="J23" s="120"/>
      <c r="K23" s="160"/>
      <c r="L23" s="1">
        <v>0</v>
      </c>
      <c r="M23" s="1"/>
      <c r="N23" s="1"/>
      <c r="O23" s="1"/>
      <c r="P23" s="1"/>
      <c r="Q23" s="1"/>
      <c r="R23" s="245"/>
      <c r="S23" s="245"/>
      <c r="T23" s="633"/>
      <c r="U23" s="245"/>
      <c r="V23" s="245"/>
      <c r="W23" s="2"/>
      <c r="X23" s="1"/>
      <c r="Z23" s="419">
        <f t="shared" si="0"/>
        <v>0</v>
      </c>
      <c r="AA23" s="420">
        <f t="shared" si="1"/>
        <v>0</v>
      </c>
      <c r="AB23" s="418">
        <f t="shared" si="2"/>
        <v>0</v>
      </c>
      <c r="AC23" s="418">
        <f t="shared" si="3"/>
        <v>0</v>
      </c>
      <c r="AD23" s="418">
        <f t="shared" si="4"/>
        <v>0</v>
      </c>
      <c r="AE23" s="373">
        <f t="shared" si="5"/>
        <v>0</v>
      </c>
      <c r="AF23" s="374">
        <f t="shared" si="6"/>
        <v>0</v>
      </c>
      <c r="AG23" s="375">
        <f t="shared" si="7"/>
        <v>0</v>
      </c>
      <c r="AI23" s="353">
        <f t="shared" si="8"/>
        <v>0</v>
      </c>
      <c r="AJ23" s="2">
        <f t="shared" si="9"/>
        <v>0</v>
      </c>
    </row>
    <row r="25" spans="2:36" x14ac:dyDescent="0.3">
      <c r="L25" s="52">
        <f>SUBTOTAL(9,$L$8:$L$23)</f>
        <v>0</v>
      </c>
      <c r="M25" s="52">
        <f>SUBTOTAL(9,$M$8:$M$23)</f>
        <v>0</v>
      </c>
    </row>
    <row r="26" spans="2:36" x14ac:dyDescent="0.3">
      <c r="D26" s="244" t="s">
        <v>227</v>
      </c>
      <c r="E26" s="50" t="s">
        <v>229</v>
      </c>
      <c r="F26" s="244" t="s">
        <v>256</v>
      </c>
      <c r="G26" s="244" t="s">
        <v>257</v>
      </c>
      <c r="H26" s="244" t="s">
        <v>228</v>
      </c>
    </row>
    <row r="27" spans="2:36" ht="15.6" x14ac:dyDescent="0.3">
      <c r="D27" s="14"/>
      <c r="E27" s="14"/>
      <c r="F27" s="416">
        <f>SUMIFS($L$8:$L$23,$D$8:$D$23,$D27,$F$8:$F$23,$E27)</f>
        <v>0</v>
      </c>
      <c r="G27" s="286">
        <f>_xlfn.XLOOKUP($D27,$D$8:$D$23,$W$8:$W$23)</f>
        <v>0</v>
      </c>
      <c r="H27" s="286">
        <f>_xlfn.XLOOKUP($D27,$D$8:$D$23,$E$8:$E$23)</f>
        <v>0</v>
      </c>
    </row>
    <row r="28" spans="2:36" ht="15.6" x14ac:dyDescent="0.3">
      <c r="D28" s="14"/>
      <c r="E28" s="14"/>
      <c r="F28" s="416">
        <f t="shared" ref="F28:F33" si="19">SUMIFS($L$8:$L$23,$D$8:$D$23,$D28,$F$8:$F$23,$E28)</f>
        <v>0</v>
      </c>
      <c r="G28" s="286">
        <f t="shared" ref="G28:G33" si="20">_xlfn.XLOOKUP($D28,$D$8:$D$23,$W$8:$W$23)</f>
        <v>0</v>
      </c>
      <c r="H28" s="286">
        <f t="shared" ref="H28:H33" si="21">_xlfn.XLOOKUP($D28,$D$8:$D$23,$E$8:$E$23)</f>
        <v>0</v>
      </c>
    </row>
    <row r="29" spans="2:36" ht="15.6" x14ac:dyDescent="0.3">
      <c r="D29" s="14"/>
      <c r="E29" s="14"/>
      <c r="F29" s="416">
        <f t="shared" si="19"/>
        <v>0</v>
      </c>
      <c r="G29" s="286">
        <f t="shared" si="20"/>
        <v>0</v>
      </c>
      <c r="H29" s="286">
        <f t="shared" si="21"/>
        <v>0</v>
      </c>
    </row>
    <row r="30" spans="2:36" ht="15.6" x14ac:dyDescent="0.3">
      <c r="D30" s="14"/>
      <c r="E30" s="14"/>
      <c r="F30" s="416">
        <f t="shared" si="19"/>
        <v>0</v>
      </c>
      <c r="G30" s="29">
        <f t="shared" si="20"/>
        <v>0</v>
      </c>
      <c r="H30" s="29">
        <f t="shared" si="21"/>
        <v>0</v>
      </c>
    </row>
    <row r="31" spans="2:36" ht="15.6" x14ac:dyDescent="0.3">
      <c r="D31" s="14"/>
      <c r="E31" s="14"/>
      <c r="F31" s="416">
        <f t="shared" si="19"/>
        <v>0</v>
      </c>
      <c r="G31" s="29">
        <f t="shared" si="20"/>
        <v>0</v>
      </c>
      <c r="H31" s="29">
        <f t="shared" si="21"/>
        <v>0</v>
      </c>
    </row>
    <row r="32" spans="2:36" ht="15.6" x14ac:dyDescent="0.3">
      <c r="D32" s="14"/>
      <c r="E32" s="14"/>
      <c r="F32" s="416">
        <f t="shared" si="19"/>
        <v>0</v>
      </c>
      <c r="G32" s="29">
        <f t="shared" si="20"/>
        <v>0</v>
      </c>
      <c r="H32" s="29">
        <f t="shared" si="21"/>
        <v>0</v>
      </c>
    </row>
    <row r="33" spans="4:8" ht="15.6" x14ac:dyDescent="0.3">
      <c r="D33" s="14"/>
      <c r="E33" s="14"/>
      <c r="F33" s="416">
        <f t="shared" si="19"/>
        <v>0</v>
      </c>
      <c r="G33" s="29">
        <f t="shared" si="20"/>
        <v>0</v>
      </c>
      <c r="H33" s="29">
        <f t="shared" si="21"/>
        <v>0</v>
      </c>
    </row>
    <row r="34" spans="4:8" ht="15.6" x14ac:dyDescent="0.3">
      <c r="F34" s="589">
        <f>SUM(F27:F33)</f>
        <v>0</v>
      </c>
    </row>
    <row r="39" spans="4:8" x14ac:dyDescent="0.3">
      <c r="E39" s="351" t="s">
        <v>235</v>
      </c>
      <c r="F39" s="351" t="s">
        <v>258</v>
      </c>
      <c r="G39" s="351" t="s">
        <v>259</v>
      </c>
      <c r="H39" s="351" t="s">
        <v>78</v>
      </c>
    </row>
    <row r="40" spans="4:8" x14ac:dyDescent="0.3">
      <c r="D40" t="s">
        <v>260</v>
      </c>
      <c r="E40" s="246">
        <f>SUMIFS($L$8:$L$23,$E$8:$E$23,$D40)</f>
        <v>0</v>
      </c>
      <c r="F40" s="246">
        <f>SUMIFS($L$8:$L$23,$E$8:$E$23,$D40,$C$8:$C$23,"YES")</f>
        <v>0</v>
      </c>
      <c r="G40" s="246">
        <f>SUMIFS($L$8:$L$23,$C$8:$C$23,"PENDING",$E$8:$E$23,$D40)</f>
        <v>0</v>
      </c>
      <c r="H40" s="246">
        <f>E40-(F40+G40)</f>
        <v>0</v>
      </c>
    </row>
    <row r="41" spans="4:8" x14ac:dyDescent="0.3">
      <c r="D41" t="s">
        <v>177</v>
      </c>
      <c r="E41" s="233">
        <f>SUMIFS($L$8:$L$23,$E$8:$E$23,$D41)</f>
        <v>0</v>
      </c>
      <c r="F41" s="246">
        <f>SUMIFS($L$8:$L$23,$E$8:$E$23,$D41,$C$8:$C$23,"YES")</f>
        <v>0</v>
      </c>
      <c r="G41" s="246">
        <f>SUMIFS($L$8:$L$23,$C$8:$C$23,"PENDING",$E$8:$E$23,$D41)</f>
        <v>0</v>
      </c>
      <c r="H41" s="246">
        <f>E41-(F41+G41)</f>
        <v>0</v>
      </c>
    </row>
    <row r="42" spans="4:8" ht="15" thickBot="1" x14ac:dyDescent="0.35">
      <c r="D42" s="224" t="s">
        <v>261</v>
      </c>
      <c r="E42" s="247">
        <f>SUMIFS($L$8:$L$23,$E$8:$E$23,$D42)</f>
        <v>0</v>
      </c>
      <c r="F42" s="247">
        <f>SUMIFS($L$8:$L$23,$E$8:$E$23,$D42,$C$8:$C$23,"YES")</f>
        <v>0</v>
      </c>
      <c r="G42" s="247">
        <f>SUMIFS($L$8:$L$23,$C$8:$C$23,"PENDING",$E$8:$E$23,$D42)</f>
        <v>0</v>
      </c>
      <c r="H42" s="247">
        <f>E42-(F42+G42)</f>
        <v>0</v>
      </c>
    </row>
    <row r="43" spans="4:8" x14ac:dyDescent="0.3">
      <c r="E43" s="246">
        <f>SUM(E40:E42)</f>
        <v>0</v>
      </c>
      <c r="F43" s="246">
        <f t="shared" ref="F43:G43" si="22">SUM(F40:F42)</f>
        <v>0</v>
      </c>
      <c r="G43" s="246">
        <f t="shared" si="22"/>
        <v>0</v>
      </c>
      <c r="H43" s="246">
        <f>E43-(F43+G43)</f>
        <v>0</v>
      </c>
    </row>
    <row r="47" spans="4:8" x14ac:dyDescent="0.3">
      <c r="D47" s="702"/>
      <c r="E47" s="184" t="s">
        <v>262</v>
      </c>
      <c r="F47" s="184"/>
      <c r="G47" s="703"/>
      <c r="H47" s="704"/>
    </row>
    <row r="48" spans="4:8" x14ac:dyDescent="0.3">
      <c r="D48" s="171"/>
      <c r="E48" s="172"/>
      <c r="F48" s="172"/>
      <c r="G48" s="173"/>
      <c r="H48" s="174"/>
    </row>
    <row r="49" spans="4:8" x14ac:dyDescent="0.3">
      <c r="D49" s="182" t="s">
        <v>263</v>
      </c>
      <c r="E49" s="107" t="s">
        <v>147</v>
      </c>
      <c r="F49" s="107"/>
      <c r="G49" s="142" t="s">
        <v>79</v>
      </c>
      <c r="H49" s="175">
        <v>0</v>
      </c>
    </row>
    <row r="50" spans="4:8" ht="15" thickBot="1" x14ac:dyDescent="0.35">
      <c r="D50" s="176"/>
      <c r="E50" s="8"/>
      <c r="F50" s="8"/>
      <c r="G50" s="147" t="s">
        <v>264</v>
      </c>
      <c r="H50" s="177" t="e">
        <f>SUM('Comm Summary (L-L, L-O)'!K20:K40)</f>
        <v>#REF!</v>
      </c>
    </row>
    <row r="51" spans="4:8" ht="15" thickTop="1" x14ac:dyDescent="0.3">
      <c r="D51" s="178"/>
      <c r="E51" s="179"/>
      <c r="F51" s="179"/>
      <c r="G51" s="180" t="s">
        <v>80</v>
      </c>
      <c r="H51" s="181" t="e">
        <f>SUM(H49:H50)</f>
        <v>#REF!</v>
      </c>
    </row>
    <row r="52" spans="4:8" x14ac:dyDescent="0.3">
      <c r="D52" s="208"/>
      <c r="E52" s="208"/>
      <c r="F52" s="208"/>
      <c r="G52" s="208"/>
      <c r="H52" s="208"/>
    </row>
    <row r="53" spans="4:8" x14ac:dyDescent="0.3">
      <c r="D53" s="208"/>
      <c r="E53" s="208"/>
      <c r="F53" s="208"/>
      <c r="G53" s="208"/>
      <c r="H53" s="208"/>
    </row>
    <row r="54" spans="4:8" x14ac:dyDescent="0.3">
      <c r="D54" s="705"/>
      <c r="E54" s="185" t="s">
        <v>262</v>
      </c>
      <c r="F54" s="185"/>
      <c r="G54" s="706"/>
      <c r="H54" s="707"/>
    </row>
    <row r="55" spans="4:8" x14ac:dyDescent="0.3">
      <c r="D55" s="171"/>
      <c r="E55" s="172"/>
      <c r="F55" s="172"/>
      <c r="G55" s="173"/>
      <c r="H55" s="174"/>
    </row>
    <row r="56" spans="4:8" x14ac:dyDescent="0.3">
      <c r="D56" s="182" t="s">
        <v>265</v>
      </c>
      <c r="E56" s="107" t="s">
        <v>147</v>
      </c>
      <c r="F56" s="107"/>
      <c r="G56" s="142" t="s">
        <v>79</v>
      </c>
      <c r="H56" s="175">
        <f>G40</f>
        <v>0</v>
      </c>
    </row>
    <row r="57" spans="4:8" ht="15" thickBot="1" x14ac:dyDescent="0.35">
      <c r="D57" s="176"/>
      <c r="E57" s="8"/>
      <c r="F57" s="8"/>
      <c r="G57" s="147" t="s">
        <v>264</v>
      </c>
      <c r="H57" s="177">
        <v>0</v>
      </c>
    </row>
    <row r="58" spans="4:8" ht="15" thickTop="1" x14ac:dyDescent="0.3">
      <c r="D58" s="178"/>
      <c r="E58" s="179"/>
      <c r="F58" s="179"/>
      <c r="G58" s="180" t="s">
        <v>80</v>
      </c>
      <c r="H58" s="181">
        <f>SUM(H56:H57)</f>
        <v>0</v>
      </c>
    </row>
    <row r="59" spans="4:8" x14ac:dyDescent="0.3">
      <c r="D59" s="208"/>
      <c r="E59" s="208"/>
      <c r="F59" s="208"/>
      <c r="G59" s="208"/>
      <c r="H59" s="208"/>
    </row>
    <row r="60" spans="4:8" x14ac:dyDescent="0.3">
      <c r="D60" s="208"/>
      <c r="E60" s="208"/>
      <c r="F60" s="208"/>
      <c r="G60" s="208"/>
      <c r="H60" s="208"/>
    </row>
    <row r="61" spans="4:8" x14ac:dyDescent="0.3">
      <c r="D61" s="208"/>
      <c r="G61" s="142" t="s">
        <v>266</v>
      </c>
      <c r="H61" s="39">
        <f>H49+H56</f>
        <v>0</v>
      </c>
    </row>
    <row r="62" spans="4:8" ht="15" thickBot="1" x14ac:dyDescent="0.35">
      <c r="D62" s="208"/>
      <c r="G62" s="147" t="s">
        <v>267</v>
      </c>
      <c r="H62" s="148" t="e">
        <f>SUM(H50,H57)</f>
        <v>#REF!</v>
      </c>
    </row>
    <row r="63" spans="4:8" ht="15" thickTop="1" x14ac:dyDescent="0.3">
      <c r="D63" s="208"/>
      <c r="G63" s="142" t="s">
        <v>80</v>
      </c>
      <c r="H63" s="105" t="e">
        <f>SUM(H61:H62)</f>
        <v>#REF!</v>
      </c>
    </row>
  </sheetData>
  <autoFilter ref="B7:S22" xr:uid="{8850604E-9853-416E-99EE-5198C32E36ED}"/>
  <conditionalFormatting sqref="C8:C23">
    <cfRule type="cellIs" dxfId="223" priority="1" operator="equal">
      <formula>"PENDING"</formula>
    </cfRule>
    <cfRule type="cellIs" dxfId="222" priority="2" operator="equal">
      <formula>"NO-OOS"</formula>
    </cfRule>
    <cfRule type="cellIs" dxfId="221" priority="3" operator="equal">
      <formula>"PROJECT FEE"</formula>
    </cfRule>
    <cfRule type="cellIs" dxfId="220" priority="4" operator="equal">
      <formula>"NO-IL"</formula>
    </cfRule>
    <cfRule type="cellIs" dxfId="219" priority="5" operator="equal">
      <formula>"YES"</formula>
    </cfRule>
  </conditionalFormatting>
  <dataValidations count="1">
    <dataValidation type="list" allowBlank="1" showInputMessage="1" showErrorMessage="1" sqref="C8:C23 E27:E30 U8:V23 R8:S23 G8:G11 D40:D42 E8:F23 H8:H23" xr:uid="{A19B175A-6911-43B2-B3C8-C16EA2DAA8F4}">
      <formula1>#REF!</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E9A9E-03B5-441C-9D70-5C1BF2CAADA2}">
  <dimension ref="A1:P30"/>
  <sheetViews>
    <sheetView workbookViewId="0">
      <selection activeCell="H7" sqref="H7:J7"/>
    </sheetView>
  </sheetViews>
  <sheetFormatPr defaultRowHeight="14.4" x14ac:dyDescent="0.3"/>
  <cols>
    <col min="1" max="1" width="3.88671875" customWidth="1"/>
    <col min="2" max="2" width="10.109375" customWidth="1"/>
    <col min="3" max="3" width="22.6640625" customWidth="1"/>
    <col min="4" max="4" width="27" customWidth="1"/>
    <col min="5" max="5" width="19.6640625" customWidth="1"/>
    <col min="6" max="6" width="14.109375" customWidth="1"/>
    <col min="7" max="7" width="15.88671875" customWidth="1"/>
    <col min="8" max="8" width="19.44140625" customWidth="1"/>
    <col min="15" max="15" width="16" customWidth="1"/>
    <col min="16" max="16" width="17" customWidth="1"/>
  </cols>
  <sheetData>
    <row r="1" spans="1:16" ht="18" x14ac:dyDescent="0.35">
      <c r="A1" s="503" t="s">
        <v>61</v>
      </c>
      <c r="B1" s="503"/>
      <c r="C1" s="503"/>
      <c r="D1" s="503"/>
      <c r="E1" s="503"/>
      <c r="F1" s="503"/>
      <c r="G1" s="503"/>
      <c r="H1" s="503"/>
      <c r="I1" s="503"/>
      <c r="J1" s="503"/>
      <c r="K1" s="503"/>
      <c r="L1" s="503"/>
      <c r="M1" s="503"/>
      <c r="N1" s="503"/>
    </row>
    <row r="2" spans="1:16" ht="18" x14ac:dyDescent="0.35">
      <c r="A2" s="503" t="s">
        <v>8301</v>
      </c>
      <c r="B2" s="503"/>
      <c r="C2" s="503"/>
      <c r="D2" s="503"/>
      <c r="E2" s="503"/>
      <c r="F2" s="503"/>
      <c r="G2" s="503"/>
      <c r="H2" s="503"/>
      <c r="I2" s="503"/>
      <c r="J2" s="503"/>
      <c r="K2" s="503"/>
      <c r="L2" s="503"/>
      <c r="M2" s="503"/>
      <c r="N2" s="503"/>
    </row>
    <row r="3" spans="1:16" ht="15.6" x14ac:dyDescent="0.3">
      <c r="D3" s="9"/>
      <c r="E3" s="117"/>
      <c r="F3" s="8"/>
      <c r="G3" s="8"/>
      <c r="K3" s="8"/>
      <c r="L3" s="8"/>
      <c r="M3" s="8"/>
      <c r="N3" s="8"/>
    </row>
    <row r="4" spans="1:16" ht="15.6" x14ac:dyDescent="0.3">
      <c r="D4" s="9"/>
      <c r="E4" s="117"/>
      <c r="F4" s="8"/>
      <c r="G4" s="8"/>
      <c r="K4" s="8"/>
      <c r="L4" s="8"/>
      <c r="M4" s="8"/>
      <c r="N4" s="8"/>
    </row>
    <row r="5" spans="1:16" ht="15.6" x14ac:dyDescent="0.3">
      <c r="D5" s="9"/>
      <c r="E5" s="117"/>
      <c r="F5" s="117"/>
      <c r="G5" s="117"/>
      <c r="H5" s="117"/>
      <c r="I5" s="117"/>
      <c r="J5" s="117"/>
      <c r="K5" s="117"/>
      <c r="L5" s="117"/>
      <c r="M5" s="117"/>
      <c r="N5" s="117"/>
    </row>
    <row r="6" spans="1:16" x14ac:dyDescent="0.3">
      <c r="D6" s="9"/>
      <c r="E6" s="8"/>
      <c r="F6" s="8"/>
      <c r="G6" s="8"/>
      <c r="K6" s="8"/>
      <c r="L6" s="8"/>
      <c r="M6" s="8"/>
      <c r="N6" s="8"/>
    </row>
    <row r="7" spans="1:16" x14ac:dyDescent="0.3">
      <c r="A7" s="7"/>
      <c r="B7" s="261" t="s">
        <v>286</v>
      </c>
      <c r="C7" s="261" t="s">
        <v>8302</v>
      </c>
      <c r="D7" s="261" t="s">
        <v>8303</v>
      </c>
      <c r="E7" s="261" t="s">
        <v>429</v>
      </c>
      <c r="F7" s="261" t="s">
        <v>325</v>
      </c>
      <c r="G7" s="261" t="s">
        <v>326</v>
      </c>
      <c r="H7" s="261" t="s">
        <v>328</v>
      </c>
      <c r="I7" s="261" t="s">
        <v>329</v>
      </c>
      <c r="J7" s="261" t="s">
        <v>238</v>
      </c>
      <c r="K7" s="261" t="s">
        <v>230</v>
      </c>
      <c r="L7" s="261" t="s">
        <v>330</v>
      </c>
      <c r="M7" s="261" t="s">
        <v>331</v>
      </c>
      <c r="N7" s="261" t="s">
        <v>245</v>
      </c>
      <c r="O7" s="261" t="s">
        <v>8304</v>
      </c>
      <c r="P7" s="261" t="s">
        <v>8305</v>
      </c>
    </row>
    <row r="8" spans="1:16" x14ac:dyDescent="0.3">
      <c r="B8" s="2"/>
      <c r="C8" s="2"/>
      <c r="D8" s="2"/>
      <c r="E8" s="2"/>
      <c r="F8" s="2"/>
      <c r="G8" s="2"/>
      <c r="H8" s="2"/>
      <c r="I8" s="2"/>
      <c r="J8" s="2"/>
      <c r="K8" s="2"/>
      <c r="L8" s="2"/>
      <c r="M8" s="2"/>
      <c r="N8" s="2"/>
      <c r="O8" s="2"/>
      <c r="P8" s="2"/>
    </row>
    <row r="9" spans="1:16" x14ac:dyDescent="0.3">
      <c r="B9" s="2"/>
      <c r="C9" s="2"/>
      <c r="D9" s="2"/>
      <c r="E9" s="2"/>
      <c r="F9" s="2"/>
      <c r="G9" s="2"/>
      <c r="H9" s="2"/>
      <c r="I9" s="2"/>
      <c r="J9" s="2"/>
      <c r="K9" s="2"/>
      <c r="L9" s="2"/>
      <c r="M9" s="2"/>
      <c r="N9" s="2"/>
      <c r="O9" s="2"/>
      <c r="P9" s="2"/>
    </row>
    <row r="10" spans="1:16" x14ac:dyDescent="0.3">
      <c r="B10" s="2"/>
      <c r="C10" s="2"/>
      <c r="D10" s="2"/>
      <c r="E10" s="2"/>
      <c r="F10" s="2"/>
      <c r="G10" s="2"/>
      <c r="H10" s="2"/>
      <c r="I10" s="2"/>
      <c r="J10" s="2"/>
      <c r="K10" s="2"/>
      <c r="L10" s="2"/>
      <c r="M10" s="2"/>
      <c r="N10" s="2"/>
      <c r="O10" s="2"/>
      <c r="P10" s="2"/>
    </row>
    <row r="11" spans="1:16" x14ac:dyDescent="0.3">
      <c r="B11" s="2"/>
      <c r="C11" s="2"/>
      <c r="D11" s="2"/>
      <c r="E11" s="2"/>
      <c r="F11" s="2"/>
      <c r="G11" s="2"/>
      <c r="H11" s="2"/>
      <c r="I11" s="2"/>
      <c r="J11" s="2"/>
      <c r="K11" s="2"/>
      <c r="L11" s="2"/>
      <c r="M11" s="2"/>
      <c r="N11" s="2"/>
      <c r="O11" s="2"/>
      <c r="P11" s="2"/>
    </row>
    <row r="12" spans="1:16" x14ac:dyDescent="0.3">
      <c r="B12" s="2"/>
      <c r="C12" s="2"/>
      <c r="D12" s="2"/>
      <c r="E12" s="2"/>
      <c r="F12" s="2"/>
      <c r="G12" s="2"/>
      <c r="H12" s="2"/>
      <c r="I12" s="2"/>
      <c r="J12" s="2"/>
      <c r="K12" s="2"/>
      <c r="L12" s="2"/>
      <c r="M12" s="2"/>
      <c r="N12" s="2"/>
      <c r="O12" s="2"/>
      <c r="P12" s="2"/>
    </row>
    <row r="13" spans="1:16" x14ac:dyDescent="0.3">
      <c r="B13" s="2"/>
      <c r="C13" s="2"/>
      <c r="D13" s="2"/>
      <c r="E13" s="2"/>
      <c r="F13" s="2"/>
      <c r="G13" s="2"/>
      <c r="H13" s="2"/>
      <c r="I13" s="2"/>
      <c r="J13" s="2"/>
      <c r="K13" s="2"/>
      <c r="L13" s="2"/>
      <c r="M13" s="2"/>
      <c r="N13" s="2"/>
      <c r="O13" s="2"/>
      <c r="P13" s="2"/>
    </row>
    <row r="14" spans="1:16" x14ac:dyDescent="0.3">
      <c r="B14" s="2"/>
      <c r="C14" s="2"/>
      <c r="D14" s="2"/>
      <c r="E14" s="2"/>
      <c r="F14" s="2"/>
      <c r="G14" s="2"/>
      <c r="H14" s="2"/>
      <c r="I14" s="2"/>
      <c r="J14" s="2"/>
      <c r="K14" s="2"/>
      <c r="L14" s="2"/>
      <c r="M14" s="2"/>
      <c r="N14" s="2"/>
      <c r="O14" s="2"/>
      <c r="P14" s="2"/>
    </row>
    <row r="15" spans="1:16" x14ac:dyDescent="0.3">
      <c r="B15" s="2"/>
      <c r="C15" s="2"/>
      <c r="D15" s="2"/>
      <c r="E15" s="2"/>
      <c r="F15" s="2"/>
      <c r="G15" s="2"/>
      <c r="H15" s="2"/>
      <c r="I15" s="2"/>
      <c r="J15" s="2"/>
      <c r="K15" s="2"/>
      <c r="L15" s="2"/>
      <c r="M15" s="2"/>
      <c r="N15" s="2"/>
      <c r="O15" s="2"/>
      <c r="P15" s="2"/>
    </row>
    <row r="16" spans="1:16" x14ac:dyDescent="0.3">
      <c r="B16" s="2"/>
      <c r="C16" s="2"/>
      <c r="D16" s="2"/>
      <c r="E16" s="2"/>
      <c r="F16" s="2"/>
      <c r="G16" s="2"/>
      <c r="H16" s="2"/>
      <c r="I16" s="2"/>
      <c r="J16" s="2"/>
      <c r="K16" s="2"/>
      <c r="L16" s="2"/>
      <c r="M16" s="2"/>
      <c r="N16" s="2"/>
      <c r="O16" s="2"/>
      <c r="P16" s="2"/>
    </row>
    <row r="17" spans="2:16" x14ac:dyDescent="0.3">
      <c r="B17" s="2"/>
      <c r="C17" s="2"/>
      <c r="D17" s="2"/>
      <c r="E17" s="2"/>
      <c r="F17" s="2"/>
      <c r="G17" s="2"/>
      <c r="H17" s="2"/>
      <c r="I17" s="2"/>
      <c r="J17" s="2"/>
      <c r="K17" s="2"/>
      <c r="L17" s="2"/>
      <c r="M17" s="2"/>
      <c r="N17" s="2"/>
      <c r="O17" s="2"/>
      <c r="P17" s="2"/>
    </row>
    <row r="18" spans="2:16" x14ac:dyDescent="0.3">
      <c r="B18" s="2"/>
      <c r="C18" s="2"/>
      <c r="D18" s="2"/>
      <c r="E18" s="2"/>
      <c r="F18" s="2"/>
      <c r="G18" s="2"/>
      <c r="H18" s="2"/>
      <c r="I18" s="2"/>
      <c r="J18" s="2"/>
      <c r="K18" s="2"/>
      <c r="L18" s="2"/>
      <c r="M18" s="2"/>
      <c r="N18" s="2"/>
      <c r="O18" s="2"/>
      <c r="P18" s="2"/>
    </row>
    <row r="19" spans="2:16" x14ac:dyDescent="0.3">
      <c r="B19" s="2"/>
      <c r="C19" s="2"/>
      <c r="D19" s="2"/>
      <c r="E19" s="2"/>
      <c r="F19" s="2"/>
      <c r="G19" s="2"/>
      <c r="H19" s="2"/>
      <c r="I19" s="2"/>
      <c r="J19" s="2"/>
      <c r="K19" s="2"/>
      <c r="L19" s="2"/>
      <c r="M19" s="2"/>
      <c r="N19" s="2"/>
      <c r="O19" s="2"/>
      <c r="P19" s="2"/>
    </row>
    <row r="20" spans="2:16" x14ac:dyDescent="0.3">
      <c r="B20" s="2"/>
      <c r="C20" s="2"/>
      <c r="D20" s="2"/>
      <c r="E20" s="2"/>
      <c r="F20" s="2"/>
      <c r="G20" s="2"/>
      <c r="H20" s="2"/>
      <c r="I20" s="2"/>
      <c r="J20" s="2"/>
      <c r="K20" s="2"/>
      <c r="L20" s="2"/>
      <c r="M20" s="2"/>
      <c r="N20" s="2"/>
      <c r="O20" s="2"/>
      <c r="P20" s="2"/>
    </row>
    <row r="21" spans="2:16" x14ac:dyDescent="0.3">
      <c r="B21" s="2"/>
      <c r="C21" s="2"/>
      <c r="D21" s="2"/>
      <c r="E21" s="2"/>
      <c r="F21" s="2"/>
      <c r="G21" s="2"/>
      <c r="H21" s="2"/>
      <c r="I21" s="2"/>
      <c r="J21" s="2"/>
      <c r="K21" s="2"/>
      <c r="L21" s="2"/>
      <c r="M21" s="2"/>
      <c r="N21" s="2"/>
      <c r="O21" s="2"/>
      <c r="P21" s="2"/>
    </row>
    <row r="22" spans="2:16" x14ac:dyDescent="0.3">
      <c r="B22" s="2"/>
      <c r="C22" s="2"/>
      <c r="D22" s="2"/>
      <c r="E22" s="2"/>
      <c r="F22" s="2"/>
      <c r="G22" s="2"/>
      <c r="H22" s="2"/>
      <c r="I22" s="2"/>
      <c r="J22" s="2"/>
      <c r="K22" s="2"/>
      <c r="L22" s="2"/>
      <c r="M22" s="2"/>
      <c r="N22" s="2"/>
      <c r="O22" s="2"/>
      <c r="P22" s="2"/>
    </row>
    <row r="23" spans="2:16" x14ac:dyDescent="0.3">
      <c r="B23" s="2"/>
      <c r="C23" s="2"/>
      <c r="D23" s="2"/>
      <c r="E23" s="2"/>
      <c r="F23" s="2"/>
      <c r="G23" s="2"/>
      <c r="H23" s="2"/>
      <c r="I23" s="2"/>
      <c r="J23" s="2"/>
      <c r="K23" s="2"/>
      <c r="L23" s="2"/>
      <c r="M23" s="2"/>
      <c r="N23" s="2"/>
      <c r="O23" s="2"/>
      <c r="P23" s="2"/>
    </row>
    <row r="24" spans="2:16" x14ac:dyDescent="0.3">
      <c r="B24" s="2"/>
      <c r="C24" s="2"/>
      <c r="D24" s="2"/>
      <c r="E24" s="2"/>
      <c r="F24" s="2"/>
      <c r="G24" s="2"/>
      <c r="H24" s="2"/>
      <c r="I24" s="2"/>
      <c r="J24" s="2"/>
      <c r="K24" s="2"/>
      <c r="L24" s="2"/>
      <c r="M24" s="2"/>
      <c r="N24" s="2"/>
      <c r="O24" s="2"/>
      <c r="P24" s="2"/>
    </row>
    <row r="25" spans="2:16" x14ac:dyDescent="0.3">
      <c r="B25" s="2"/>
      <c r="C25" s="2"/>
      <c r="D25" s="2"/>
      <c r="E25" s="2"/>
      <c r="F25" s="2"/>
      <c r="G25" s="2"/>
      <c r="H25" s="2"/>
      <c r="I25" s="2"/>
      <c r="J25" s="2"/>
      <c r="K25" s="2"/>
      <c r="L25" s="2"/>
      <c r="M25" s="2"/>
      <c r="N25" s="2"/>
      <c r="O25" s="2"/>
      <c r="P25" s="2"/>
    </row>
    <row r="26" spans="2:16" x14ac:dyDescent="0.3">
      <c r="B26" s="2"/>
      <c r="C26" s="2"/>
      <c r="D26" s="2"/>
      <c r="E26" s="2"/>
      <c r="F26" s="2"/>
      <c r="G26" s="2"/>
      <c r="H26" s="2"/>
      <c r="I26" s="2"/>
      <c r="J26" s="2"/>
      <c r="K26" s="2"/>
      <c r="L26" s="2"/>
      <c r="M26" s="2"/>
      <c r="N26" s="2"/>
      <c r="O26" s="2"/>
      <c r="P26" s="2"/>
    </row>
    <row r="27" spans="2:16" x14ac:dyDescent="0.3">
      <c r="B27" s="2"/>
      <c r="C27" s="2"/>
      <c r="D27" s="2"/>
      <c r="E27" s="2"/>
      <c r="F27" s="2"/>
      <c r="G27" s="2"/>
      <c r="H27" s="2"/>
      <c r="I27" s="2"/>
      <c r="J27" s="2"/>
      <c r="K27" s="2"/>
      <c r="L27" s="2"/>
      <c r="M27" s="2"/>
      <c r="N27" s="2"/>
      <c r="O27" s="2"/>
      <c r="P27" s="2"/>
    </row>
    <row r="28" spans="2:16" x14ac:dyDescent="0.3">
      <c r="B28" s="2"/>
      <c r="C28" s="2"/>
      <c r="D28" s="2"/>
      <c r="E28" s="2"/>
      <c r="F28" s="2"/>
      <c r="G28" s="2"/>
      <c r="H28" s="2"/>
      <c r="I28" s="2"/>
      <c r="J28" s="2"/>
      <c r="K28" s="2"/>
      <c r="L28" s="2"/>
      <c r="M28" s="2"/>
      <c r="N28" s="2"/>
      <c r="O28" s="2"/>
      <c r="P28" s="2"/>
    </row>
    <row r="29" spans="2:16" x14ac:dyDescent="0.3">
      <c r="B29" s="2"/>
      <c r="C29" s="2"/>
      <c r="D29" s="2"/>
      <c r="E29" s="2"/>
      <c r="F29" s="2"/>
      <c r="G29" s="2"/>
      <c r="H29" s="2"/>
      <c r="I29" s="2"/>
      <c r="J29" s="2"/>
      <c r="K29" s="2"/>
      <c r="L29" s="2"/>
      <c r="M29" s="2"/>
      <c r="N29" s="2"/>
      <c r="O29" s="2"/>
      <c r="P29" s="2"/>
    </row>
    <row r="30" spans="2:16" x14ac:dyDescent="0.3">
      <c r="B30" s="2"/>
      <c r="C30" s="2"/>
      <c r="D30" s="2"/>
      <c r="E30" s="2"/>
      <c r="F30" s="2"/>
      <c r="G30" s="2"/>
      <c r="H30" s="2"/>
      <c r="I30" s="2"/>
      <c r="J30" s="2"/>
      <c r="K30" s="2"/>
      <c r="L30" s="2"/>
      <c r="M30" s="2"/>
      <c r="N30" s="2"/>
      <c r="O30" s="2"/>
      <c r="P30" s="2"/>
    </row>
  </sheetData>
  <conditionalFormatting sqref="L7:N7">
    <cfRule type="containsText" dxfId="218" priority="1" operator="containsText" text="Check Masterlist">
      <formula>NOT(ISERROR(SEARCH("Check Masterlist",L7)))</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pageSetUpPr fitToPage="1"/>
  </sheetPr>
  <dimension ref="A1:BT317"/>
  <sheetViews>
    <sheetView tabSelected="1" zoomScale="70" zoomScaleNormal="70" workbookViewId="0">
      <pane xSplit="5" ySplit="8" topLeftCell="AB10" activePane="bottomRight" state="frozen"/>
      <selection pane="topRight" activeCell="J36" sqref="J36"/>
      <selection pane="bottomLeft" activeCell="J36" sqref="J36"/>
      <selection pane="bottomRight" activeCell="AH1" sqref="AH1"/>
    </sheetView>
  </sheetViews>
  <sheetFormatPr defaultColWidth="9.109375" defaultRowHeight="14.4" x14ac:dyDescent="0.3"/>
  <cols>
    <col min="1" max="1" width="2" customWidth="1"/>
    <col min="2" max="2" width="7.44140625" style="9" customWidth="1"/>
    <col min="3" max="3" width="14.109375" style="8" bestFit="1" customWidth="1"/>
    <col min="4" max="4" width="13.109375" style="27" customWidth="1"/>
    <col min="5" max="5" width="26.109375" style="8" customWidth="1"/>
    <col min="6" max="7" width="19.5546875" style="8" customWidth="1"/>
    <col min="8" max="9" width="13.88671875" style="196" customWidth="1"/>
    <col min="10" max="10" width="16.5546875" style="493" customWidth="1"/>
    <col min="11" max="11" width="16.109375" customWidth="1"/>
    <col min="12" max="12" width="23.109375" style="196" bestFit="1" customWidth="1"/>
    <col min="13" max="13" width="23.109375" style="196" customWidth="1"/>
    <col min="14" max="14" width="18.5546875" style="107" bestFit="1" customWidth="1"/>
    <col min="15" max="17" width="29.109375" style="39" bestFit="1" customWidth="1"/>
    <col min="18" max="18" width="24.109375" style="39" bestFit="1" customWidth="1"/>
    <col min="19" max="19" width="17.109375" style="39" bestFit="1" customWidth="1"/>
    <col min="20" max="20" width="23.109375" style="39" bestFit="1" customWidth="1"/>
    <col min="21" max="22" width="15.44140625" style="39" bestFit="1" customWidth="1"/>
    <col min="23" max="23" width="13.88671875" style="39" bestFit="1" customWidth="1"/>
    <col min="24" max="24" width="14" style="39" bestFit="1" customWidth="1"/>
    <col min="25" max="25" width="14.5546875" style="39" bestFit="1" customWidth="1"/>
    <col min="26" max="26" width="16.88671875" style="39" bestFit="1" customWidth="1"/>
    <col min="27" max="27" width="19" style="39" bestFit="1" customWidth="1"/>
    <col min="28" max="28" width="19" style="39" customWidth="1"/>
    <col min="29" max="29" width="16" style="39" bestFit="1" customWidth="1"/>
    <col min="30" max="30" width="16" style="39" customWidth="1"/>
    <col min="31" max="31" width="15.88671875" style="39" bestFit="1" customWidth="1"/>
    <col min="32" max="32" width="25.109375" style="39" bestFit="1" customWidth="1"/>
    <col min="33" max="33" width="24.5546875" style="8" bestFit="1" customWidth="1"/>
    <col min="34" max="37" width="24.5546875" style="8" customWidth="1"/>
    <col min="38" max="38" width="21.109375" customWidth="1"/>
    <col min="39" max="39" width="13" customWidth="1"/>
    <col min="40" max="40" width="20.88671875" customWidth="1"/>
    <col min="41" max="41" width="19.5546875" style="8" customWidth="1"/>
    <col min="42" max="42" width="19.109375" style="8" customWidth="1"/>
    <col min="43" max="43" width="13.5546875" style="8" customWidth="1"/>
    <col min="44" max="44" width="22.88671875" style="8" customWidth="1"/>
    <col min="45" max="45" width="20.88671875" style="8" customWidth="1"/>
    <col min="46" max="46" width="18.5546875" style="8" customWidth="1"/>
    <col min="47" max="47" width="14.5546875" style="8" customWidth="1"/>
    <col min="48" max="48" width="18" style="8" customWidth="1"/>
    <col min="49" max="49" width="18.5546875" style="8" bestFit="1" customWidth="1"/>
    <col min="50" max="50" width="25.5546875" style="8" customWidth="1"/>
    <col min="51" max="51" width="12.44140625" style="8" customWidth="1"/>
    <col min="52" max="52" width="11.109375" style="200" customWidth="1"/>
    <col min="53" max="53" width="11.88671875" style="8" customWidth="1"/>
    <col min="54" max="55" width="21.88671875" style="8" customWidth="1"/>
    <col min="56" max="56" width="46.109375" style="8" customWidth="1"/>
    <col min="57" max="57" width="11.5546875" style="8" bestFit="1" customWidth="1"/>
    <col min="58" max="58" width="11.5546875" style="8" customWidth="1"/>
    <col min="59" max="59" width="19.5546875" style="8" bestFit="1" customWidth="1"/>
    <col min="60" max="60" width="20.44140625" style="8" bestFit="1" customWidth="1"/>
    <col min="61" max="61" width="21.5546875" style="8" bestFit="1" customWidth="1"/>
    <col min="62" max="65" width="11.5546875" style="8" customWidth="1"/>
    <col min="66" max="66" width="15.5546875" bestFit="1" customWidth="1"/>
    <col min="67" max="67" width="18" customWidth="1"/>
    <col min="68" max="68" width="20.109375" customWidth="1"/>
    <col min="69" max="69" width="17.88671875" customWidth="1"/>
    <col min="70" max="70" width="12.88671875" bestFit="1" customWidth="1"/>
    <col min="71" max="71" width="13" bestFit="1" customWidth="1"/>
    <col min="72" max="72" width="14.109375" customWidth="1"/>
  </cols>
  <sheetData>
    <row r="1" spans="1:72" s="311" customFormat="1" ht="44.85" customHeight="1" thickBot="1" x14ac:dyDescent="0.45">
      <c r="B1" s="352" t="s">
        <v>268</v>
      </c>
      <c r="C1" s="352"/>
      <c r="D1" s="352"/>
      <c r="E1" s="352"/>
      <c r="F1" s="352"/>
      <c r="G1" s="352"/>
      <c r="H1" s="352"/>
      <c r="I1" s="352"/>
      <c r="J1" s="491" t="s">
        <v>269</v>
      </c>
      <c r="L1" s="312"/>
      <c r="M1" s="312"/>
      <c r="N1" s="312"/>
      <c r="O1" s="312"/>
      <c r="P1" s="312"/>
      <c r="Q1" s="312"/>
      <c r="R1" s="312"/>
      <c r="S1" s="312"/>
      <c r="T1" s="312"/>
      <c r="U1" s="312"/>
      <c r="V1" s="312"/>
      <c r="W1" s="312"/>
      <c r="X1" s="312"/>
      <c r="Y1" s="312"/>
      <c r="Z1" s="312"/>
      <c r="AA1" s="312"/>
      <c r="AB1" s="312"/>
      <c r="AC1" s="312"/>
      <c r="AD1" s="312"/>
      <c r="AE1" s="312"/>
      <c r="AF1" s="312"/>
      <c r="AG1" s="312"/>
      <c r="AH1" s="312"/>
      <c r="AI1" s="312"/>
      <c r="AJ1" s="312"/>
      <c r="AK1" s="312"/>
      <c r="AL1" s="312"/>
      <c r="AM1" s="312"/>
      <c r="AN1" s="312"/>
      <c r="AO1" s="312"/>
      <c r="AP1" s="312"/>
      <c r="AQ1" s="312"/>
      <c r="AR1" s="312"/>
      <c r="AS1" s="312"/>
      <c r="AT1" s="312"/>
      <c r="AU1" s="312"/>
      <c r="AV1" s="312"/>
      <c r="AW1" s="312"/>
      <c r="AX1" s="352"/>
      <c r="AY1" s="352"/>
      <c r="AZ1" s="352"/>
      <c r="BA1" s="352"/>
      <c r="BB1" s="312"/>
      <c r="BC1" s="312"/>
      <c r="BN1" s="352"/>
      <c r="BO1" s="352"/>
      <c r="BP1" s="352"/>
      <c r="BQ1" s="352"/>
    </row>
    <row r="2" spans="1:72" ht="16.2" thickBot="1" x14ac:dyDescent="0.35">
      <c r="B2" s="117"/>
      <c r="C2" s="31"/>
      <c r="D2" s="25"/>
      <c r="E2" s="31"/>
      <c r="F2" s="117"/>
      <c r="G2" s="117"/>
      <c r="H2" s="195"/>
      <c r="I2" s="195"/>
      <c r="J2" s="492"/>
      <c r="N2" s="117"/>
      <c r="O2" s="117"/>
      <c r="P2" s="117"/>
      <c r="Q2" s="117"/>
      <c r="R2" s="117"/>
      <c r="S2" s="117"/>
      <c r="T2" s="117"/>
      <c r="U2" s="117" t="s">
        <v>269</v>
      </c>
      <c r="V2" s="117"/>
      <c r="W2" s="117"/>
      <c r="X2" s="117"/>
      <c r="Y2" s="117"/>
      <c r="Z2" s="117"/>
      <c r="AA2" s="117"/>
      <c r="AB2" s="117"/>
      <c r="AC2" s="117"/>
      <c r="AD2" s="117"/>
      <c r="AE2" s="117"/>
      <c r="AF2" s="117"/>
      <c r="AG2" s="31"/>
      <c r="AH2" s="31"/>
      <c r="AI2" s="31"/>
      <c r="AJ2" s="31"/>
      <c r="AK2" s="31"/>
      <c r="AL2" s="31"/>
      <c r="AM2" s="31"/>
      <c r="AN2" s="31"/>
      <c r="AO2" s="117"/>
      <c r="AP2" s="117"/>
      <c r="AQ2" s="117"/>
      <c r="AR2" s="117"/>
      <c r="AS2" s="117"/>
      <c r="AT2" s="117"/>
      <c r="AV2" s="237" t="s">
        <v>270</v>
      </c>
      <c r="AW2" s="238">
        <v>44831</v>
      </c>
      <c r="AX2" s="117"/>
      <c r="AY2" s="117"/>
      <c r="AZ2" s="8"/>
      <c r="BB2"/>
      <c r="BC2"/>
      <c r="BD2"/>
      <c r="BE2"/>
      <c r="BF2"/>
      <c r="BG2"/>
      <c r="BH2"/>
      <c r="BI2"/>
      <c r="BJ2"/>
      <c r="BK2"/>
      <c r="BL2"/>
      <c r="BM2"/>
    </row>
    <row r="3" spans="1:72" ht="15" thickBot="1" x14ac:dyDescent="0.35">
      <c r="C3" s="5" t="s">
        <v>68</v>
      </c>
      <c r="D3" s="5" t="s">
        <v>271</v>
      </c>
      <c r="E3"/>
      <c r="H3" s="23"/>
      <c r="I3" s="23"/>
      <c r="O3"/>
      <c r="P3"/>
      <c r="Q3"/>
      <c r="R3"/>
      <c r="S3"/>
      <c r="T3"/>
      <c r="U3"/>
      <c r="V3"/>
      <c r="W3"/>
      <c r="X3"/>
      <c r="Y3"/>
      <c r="Z3"/>
      <c r="AA3" s="8"/>
      <c r="AB3" s="8"/>
      <c r="AC3" s="8"/>
      <c r="AD3" s="8"/>
      <c r="AE3" s="8"/>
      <c r="AF3"/>
      <c r="AG3" s="32"/>
      <c r="AH3" s="32"/>
      <c r="AI3" s="32"/>
      <c r="AJ3" s="32"/>
      <c r="AK3" s="32"/>
      <c r="AL3" s="32"/>
      <c r="AM3" s="32"/>
      <c r="AN3" s="8"/>
      <c r="AV3" s="237" t="s">
        <v>272</v>
      </c>
      <c r="AW3" s="238">
        <v>44834</v>
      </c>
      <c r="AZ3" s="8"/>
      <c r="BB3"/>
      <c r="BC3"/>
      <c r="BD3"/>
      <c r="BE3"/>
      <c r="BF3"/>
      <c r="BG3"/>
      <c r="BH3"/>
      <c r="BI3"/>
      <c r="BJ3"/>
      <c r="BK3"/>
      <c r="BL3"/>
      <c r="BM3"/>
    </row>
    <row r="4" spans="1:72" ht="18.600000000000001" thickBot="1" x14ac:dyDescent="0.4">
      <c r="C4" s="235" t="s">
        <v>69</v>
      </c>
      <c r="D4" s="230">
        <v>44741</v>
      </c>
      <c r="E4"/>
      <c r="F4" s="116"/>
      <c r="H4" s="7"/>
      <c r="I4" s="7"/>
      <c r="J4" s="494"/>
      <c r="O4"/>
      <c r="P4"/>
      <c r="Q4"/>
      <c r="R4"/>
      <c r="S4"/>
      <c r="T4"/>
      <c r="U4"/>
      <c r="V4"/>
      <c r="W4"/>
      <c r="X4" s="5"/>
      <c r="Y4" s="5"/>
      <c r="Z4" s="5"/>
      <c r="AA4" s="6"/>
      <c r="AB4" s="6"/>
      <c r="AC4" s="6"/>
      <c r="AD4" s="6"/>
      <c r="AE4" s="8"/>
      <c r="AF4" s="5"/>
      <c r="AG4" s="5"/>
      <c r="AH4" s="5"/>
      <c r="AI4" s="5"/>
      <c r="AJ4" s="5"/>
      <c r="AK4" s="5"/>
      <c r="AL4" s="479" t="s">
        <v>273</v>
      </c>
      <c r="AM4" s="480"/>
      <c r="AN4" s="479"/>
      <c r="AO4" s="481"/>
      <c r="AP4" s="481"/>
      <c r="AQ4" s="482"/>
      <c r="AR4" s="481"/>
      <c r="AS4" s="116"/>
      <c r="AT4" s="116"/>
      <c r="AV4" s="237" t="s">
        <v>274</v>
      </c>
      <c r="AW4" s="238">
        <v>44896</v>
      </c>
      <c r="AY4" s="116"/>
      <c r="AZ4" s="8"/>
      <c r="BA4" s="116"/>
      <c r="BB4"/>
      <c r="BC4"/>
      <c r="BD4"/>
      <c r="BE4"/>
      <c r="BF4"/>
      <c r="BG4"/>
      <c r="BH4"/>
      <c r="BI4"/>
      <c r="BJ4"/>
      <c r="BK4"/>
      <c r="BL4"/>
      <c r="BM4"/>
    </row>
    <row r="5" spans="1:72" ht="18.600000000000001" thickBot="1" x14ac:dyDescent="0.4">
      <c r="C5" s="235" t="s">
        <v>275</v>
      </c>
      <c r="D5" s="232" t="s">
        <v>65</v>
      </c>
      <c r="E5"/>
      <c r="F5" s="116"/>
      <c r="J5" s="494"/>
      <c r="O5"/>
      <c r="P5"/>
      <c r="Q5"/>
      <c r="R5"/>
      <c r="S5"/>
      <c r="T5"/>
      <c r="U5" s="315">
        <v>6.2E-2</v>
      </c>
      <c r="V5" s="315">
        <v>1.4500000000000001E-2</v>
      </c>
      <c r="W5" s="314"/>
      <c r="X5" s="314"/>
      <c r="Y5" s="314"/>
      <c r="Z5" s="6"/>
      <c r="AA5" s="6"/>
      <c r="AB5" s="6"/>
      <c r="AC5" s="8"/>
      <c r="AD5" s="8"/>
      <c r="AP5" s="116"/>
      <c r="AQ5" s="116"/>
      <c r="AR5" s="116"/>
      <c r="AS5" s="116"/>
      <c r="AT5" s="116"/>
      <c r="AY5" s="116"/>
      <c r="AZ5" s="8"/>
      <c r="BA5" s="116"/>
      <c r="BB5"/>
      <c r="BC5"/>
      <c r="BD5"/>
      <c r="BE5"/>
      <c r="BF5"/>
      <c r="BG5"/>
      <c r="BH5"/>
      <c r="BI5"/>
      <c r="BJ5"/>
      <c r="BK5"/>
      <c r="BL5"/>
      <c r="BM5"/>
    </row>
    <row r="6" spans="1:72" ht="18.600000000000001" thickBot="1" x14ac:dyDescent="0.4">
      <c r="C6" s="235"/>
      <c r="D6" s="232"/>
      <c r="E6"/>
      <c r="F6" s="116"/>
      <c r="G6" s="285"/>
      <c r="J6" s="494"/>
      <c r="O6"/>
      <c r="P6"/>
      <c r="Q6"/>
      <c r="R6"/>
      <c r="S6"/>
      <c r="T6"/>
      <c r="U6" s="215"/>
      <c r="V6" s="215"/>
      <c r="W6" s="314"/>
      <c r="X6" s="314"/>
      <c r="Y6" s="314"/>
      <c r="Z6" s="6"/>
      <c r="AA6" s="6"/>
      <c r="AB6" s="6"/>
      <c r="AC6" s="8"/>
      <c r="AD6" s="8"/>
      <c r="AL6" s="5"/>
      <c r="AM6" s="5"/>
      <c r="AN6" s="116"/>
      <c r="AO6" s="116"/>
      <c r="AP6" s="116"/>
      <c r="AR6" s="116"/>
      <c r="AS6" s="116"/>
      <c r="AT6" s="116"/>
      <c r="AW6" s="116"/>
      <c r="AX6" s="293"/>
      <c r="AY6" s="116"/>
      <c r="AZ6" s="8"/>
      <c r="BA6" s="116"/>
      <c r="BB6" s="499" t="s">
        <v>276</v>
      </c>
      <c r="BC6"/>
      <c r="BD6"/>
      <c r="BE6"/>
      <c r="BF6"/>
      <c r="BG6" s="354" t="s">
        <v>277</v>
      </c>
      <c r="BH6" s="390"/>
      <c r="BI6"/>
      <c r="BJ6"/>
      <c r="BK6"/>
      <c r="BL6"/>
      <c r="BM6"/>
      <c r="BO6" s="237" t="s">
        <v>278</v>
      </c>
      <c r="BP6" s="239" t="s">
        <v>279</v>
      </c>
    </row>
    <row r="7" spans="1:72" ht="15" thickBot="1" x14ac:dyDescent="0.35">
      <c r="C7" s="5"/>
      <c r="E7" s="287" t="s">
        <v>280</v>
      </c>
      <c r="F7" s="292" t="s">
        <v>281</v>
      </c>
      <c r="K7" s="116"/>
      <c r="Y7" s="53" t="s">
        <v>78</v>
      </c>
      <c r="Z7" s="53"/>
      <c r="AA7" s="53"/>
      <c r="AB7" s="53"/>
      <c r="AC7" s="53" t="s">
        <v>78</v>
      </c>
      <c r="AD7" s="53"/>
      <c r="AE7" s="53"/>
      <c r="AL7" s="749" t="s">
        <v>282</v>
      </c>
      <c r="AM7" s="750"/>
      <c r="AN7" s="750"/>
      <c r="AO7" s="751"/>
      <c r="AP7" s="749" t="s">
        <v>283</v>
      </c>
      <c r="AQ7" s="750"/>
      <c r="AR7" s="750"/>
      <c r="AS7" s="751"/>
      <c r="AT7" s="749" t="s">
        <v>284</v>
      </c>
      <c r="AU7" s="750"/>
      <c r="AV7" s="750"/>
      <c r="AW7" s="750"/>
      <c r="AX7" s="750"/>
      <c r="AY7" s="750"/>
      <c r="AZ7" s="750"/>
      <c r="BA7" s="750"/>
      <c r="BB7" s="294" t="s">
        <v>285</v>
      </c>
      <c r="BC7" s="368"/>
      <c r="BN7" s="21"/>
      <c r="BO7" s="21"/>
      <c r="BP7" s="21"/>
      <c r="BQ7" s="21"/>
      <c r="BR7" s="21"/>
      <c r="BS7" s="21"/>
      <c r="BT7" s="21"/>
    </row>
    <row r="8" spans="1:72" s="277" customFormat="1" ht="47.1" customHeight="1" x14ac:dyDescent="0.3">
      <c r="B8" s="261" t="s">
        <v>286</v>
      </c>
      <c r="C8" s="261" t="s">
        <v>226</v>
      </c>
      <c r="D8" s="261" t="s">
        <v>287</v>
      </c>
      <c r="E8" s="261" t="s">
        <v>288</v>
      </c>
      <c r="F8" s="261" t="s">
        <v>289</v>
      </c>
      <c r="G8" s="261" t="s">
        <v>290</v>
      </c>
      <c r="H8" s="261" t="s">
        <v>291</v>
      </c>
      <c r="I8" s="261" t="s">
        <v>292</v>
      </c>
      <c r="J8" s="495" t="s">
        <v>293</v>
      </c>
      <c r="K8" s="501" t="s">
        <v>294</v>
      </c>
      <c r="L8" s="276" t="s">
        <v>295</v>
      </c>
      <c r="M8" s="327" t="s">
        <v>296</v>
      </c>
      <c r="N8" s="262" t="s">
        <v>297</v>
      </c>
      <c r="O8" s="282" t="s">
        <v>298</v>
      </c>
      <c r="P8" s="282" t="s">
        <v>299</v>
      </c>
      <c r="Q8" s="282" t="s">
        <v>300</v>
      </c>
      <c r="R8" s="283" t="s">
        <v>301</v>
      </c>
      <c r="S8" s="283" t="s">
        <v>302</v>
      </c>
      <c r="T8" s="283" t="s">
        <v>303</v>
      </c>
      <c r="U8" s="283" t="s">
        <v>304</v>
      </c>
      <c r="V8" s="283" t="s">
        <v>305</v>
      </c>
      <c r="W8" s="283" t="s">
        <v>306</v>
      </c>
      <c r="X8" s="283" t="s">
        <v>307</v>
      </c>
      <c r="Y8" s="283" t="s">
        <v>308</v>
      </c>
      <c r="Z8" s="283" t="s">
        <v>309</v>
      </c>
      <c r="AA8" s="283" t="s">
        <v>310</v>
      </c>
      <c r="AB8" s="283" t="s">
        <v>311</v>
      </c>
      <c r="AC8" s="283" t="s">
        <v>312</v>
      </c>
      <c r="AD8" s="283" t="s">
        <v>8306</v>
      </c>
      <c r="AE8" s="283" t="s">
        <v>313</v>
      </c>
      <c r="AF8" s="284" t="s">
        <v>314</v>
      </c>
      <c r="AG8" s="283" t="s">
        <v>315</v>
      </c>
      <c r="AH8" s="283" t="s">
        <v>8310</v>
      </c>
      <c r="AI8" s="283" t="s">
        <v>8307</v>
      </c>
      <c r="AJ8" s="283" t="s">
        <v>8308</v>
      </c>
      <c r="AK8" s="283" t="s">
        <v>8309</v>
      </c>
      <c r="AL8" s="261" t="s">
        <v>316</v>
      </c>
      <c r="AM8" s="261" t="s">
        <v>317</v>
      </c>
      <c r="AN8" s="261" t="s">
        <v>318</v>
      </c>
      <c r="AO8" s="261" t="s">
        <v>319</v>
      </c>
      <c r="AP8" s="261" t="s">
        <v>320</v>
      </c>
      <c r="AQ8" s="261" t="s">
        <v>321</v>
      </c>
      <c r="AR8" s="261" t="s">
        <v>322</v>
      </c>
      <c r="AS8" s="261" t="s">
        <v>323</v>
      </c>
      <c r="AT8" s="366" t="s">
        <v>324</v>
      </c>
      <c r="AU8" s="366" t="s">
        <v>325</v>
      </c>
      <c r="AV8" s="366" t="s">
        <v>326</v>
      </c>
      <c r="AW8" s="366" t="s">
        <v>327</v>
      </c>
      <c r="AX8" s="366" t="s">
        <v>328</v>
      </c>
      <c r="AY8" s="366" t="s">
        <v>329</v>
      </c>
      <c r="AZ8" s="366" t="s">
        <v>238</v>
      </c>
      <c r="BA8" s="366" t="s">
        <v>230</v>
      </c>
      <c r="BB8" s="367" t="s">
        <v>330</v>
      </c>
      <c r="BC8" s="367" t="s">
        <v>331</v>
      </c>
      <c r="BD8" s="283" t="s">
        <v>245</v>
      </c>
      <c r="BE8" s="285"/>
      <c r="BF8" s="285" t="s">
        <v>332</v>
      </c>
      <c r="BG8" s="275" t="s">
        <v>333</v>
      </c>
      <c r="BH8" s="275" t="s">
        <v>334</v>
      </c>
      <c r="BI8" s="275" t="s">
        <v>335</v>
      </c>
      <c r="BJ8" s="275" t="s">
        <v>336</v>
      </c>
      <c r="BK8" s="275" t="s">
        <v>337</v>
      </c>
      <c r="BL8" s="275" t="s">
        <v>338</v>
      </c>
      <c r="BM8" s="274" t="s">
        <v>339</v>
      </c>
      <c r="BN8" s="278" t="s">
        <v>340</v>
      </c>
      <c r="BO8" s="279" t="s">
        <v>341</v>
      </c>
      <c r="BP8" s="278" t="s">
        <v>342</v>
      </c>
      <c r="BQ8" s="280" t="s">
        <v>343</v>
      </c>
      <c r="BR8" s="101" t="s">
        <v>344</v>
      </c>
      <c r="BS8" s="101" t="s">
        <v>345</v>
      </c>
    </row>
    <row r="9" spans="1:72" ht="15.6" x14ac:dyDescent="0.3">
      <c r="A9" s="39"/>
      <c r="B9" s="11"/>
      <c r="C9" s="16"/>
      <c r="D9" s="16"/>
      <c r="E9" s="35"/>
      <c r="F9" s="35"/>
      <c r="G9" s="29"/>
      <c r="H9" s="16"/>
      <c r="I9" s="16"/>
      <c r="J9" s="65"/>
      <c r="K9" s="39"/>
      <c r="L9" s="120"/>
      <c r="M9" s="120"/>
      <c r="N9" s="110"/>
      <c r="O9" s="42"/>
      <c r="P9" s="42"/>
      <c r="Q9" s="42"/>
      <c r="R9" s="42"/>
      <c r="S9" s="42"/>
      <c r="T9" s="42"/>
      <c r="U9" s="42"/>
      <c r="V9" s="42"/>
      <c r="W9" s="42"/>
      <c r="X9" s="42"/>
      <c r="Y9" s="42"/>
      <c r="Z9" s="42"/>
      <c r="AA9" s="42"/>
      <c r="AB9" s="42"/>
      <c r="AC9" s="436"/>
      <c r="AD9" s="436"/>
      <c r="AE9" s="42"/>
      <c r="AF9" s="219"/>
      <c r="AG9" s="218"/>
      <c r="AH9" s="745"/>
      <c r="AI9" s="745"/>
      <c r="AJ9" s="745"/>
      <c r="AK9" s="745"/>
      <c r="AL9" s="268"/>
      <c r="AM9" s="16"/>
      <c r="AN9" s="286"/>
      <c r="AO9" s="29"/>
      <c r="AP9" s="29"/>
      <c r="AQ9" s="29"/>
      <c r="AR9" s="29"/>
      <c r="AS9" s="29"/>
      <c r="AT9" s="259"/>
      <c r="AU9" s="260"/>
      <c r="AV9" s="260"/>
      <c r="AW9" s="110" t="str">
        <f t="shared" ref="AW9:AW39" si="0">IF(C9="NO-OOS","N/A",IF(AT9="Driver's License",IF(AU9&gt;$AW$3,"SOS",IF(AV9&gt;=$AW$3,"Valid",IF(AND(AU9&lt;$AW$3,$AW$4&gt;$AW$3,AU9&gt;AW2),"Covid","Expired"))),IF(AT9="I9",IF(AV9&gt;=$AW$2,"Valid",IF(AND(AT9&lt;$AW$3,$AW$4&gt;$AW$3,AV9&gt;AW2),"Covid","Expired")),IF(AT9="Work Permit",IF(AND(AU9&lt;=$AW$2,(AV9+365)&gt;=$AW$3),"Valid","Expired"),IF(AT9="Missing Residency","Missing",IF(AT9="","","Other"))))))</f>
        <v/>
      </c>
      <c r="AX9" s="140"/>
      <c r="AY9" s="16"/>
      <c r="AZ9" s="16"/>
      <c r="BA9" s="16"/>
      <c r="BB9" s="110"/>
      <c r="BC9" s="29"/>
      <c r="BD9" s="141"/>
      <c r="BE9"/>
      <c r="BF9"/>
      <c r="BG9" s="2"/>
      <c r="BH9" s="2"/>
      <c r="BI9" s="2"/>
      <c r="BJ9" s="2"/>
      <c r="BK9" s="2"/>
      <c r="BL9" s="2"/>
      <c r="BM9" s="2"/>
      <c r="BN9" s="1">
        <f>IF($BP$6="GROSS WAGES",(Q9+R9+S9+T9+AA9)-AF9,(Q9+R9+S9+T9)-AF9)</f>
        <v>0</v>
      </c>
      <c r="BO9" s="1">
        <f t="shared" ref="BO9:BO41" si="1">U9+V9+W9+X9</f>
        <v>0</v>
      </c>
      <c r="BP9" s="1">
        <f t="shared" ref="BP9:BP41" si="2">IF($BP$6="ER BENEFITS / PH&amp;W",(Z9+AA9),(Z9))</f>
        <v>0</v>
      </c>
      <c r="BQ9" s="267">
        <f t="shared" ref="BQ9" si="3">SUM(BN9:BP9)</f>
        <v>0</v>
      </c>
      <c r="BR9" s="105">
        <f t="shared" ref="BR9:BR41" si="4">AE9-BQ9</f>
        <v>0</v>
      </c>
      <c r="BS9" s="81">
        <f t="shared" ref="BS9:BS42" si="5">BQ9-AE9+Y9+AC9+AF9</f>
        <v>0</v>
      </c>
    </row>
    <row r="10" spans="1:72" ht="15.6" x14ac:dyDescent="0.3">
      <c r="B10" s="11">
        <v>1</v>
      </c>
      <c r="C10" s="16"/>
      <c r="D10" s="16"/>
      <c r="E10" s="35"/>
      <c r="F10" s="35"/>
      <c r="G10" s="29"/>
      <c r="H10" s="16"/>
      <c r="I10" s="16"/>
      <c r="J10" s="496"/>
      <c r="K10" s="39"/>
      <c r="L10" s="289"/>
      <c r="M10" s="289"/>
      <c r="N10" s="160"/>
      <c r="O10" s="436">
        <v>0</v>
      </c>
      <c r="P10" s="436">
        <v>0</v>
      </c>
      <c r="Q10" s="436">
        <v>0</v>
      </c>
      <c r="R10" s="436">
        <v>0</v>
      </c>
      <c r="S10" s="436">
        <v>0</v>
      </c>
      <c r="T10" s="436">
        <v>0</v>
      </c>
      <c r="U10" s="436">
        <v>0</v>
      </c>
      <c r="V10" s="436">
        <v>0</v>
      </c>
      <c r="W10" s="436">
        <v>0</v>
      </c>
      <c r="X10" s="436">
        <v>0</v>
      </c>
      <c r="Y10" s="436">
        <v>0</v>
      </c>
      <c r="Z10" s="436">
        <v>0</v>
      </c>
      <c r="AA10" s="436">
        <v>0</v>
      </c>
      <c r="AB10" s="436">
        <v>0</v>
      </c>
      <c r="AC10" s="436">
        <v>0</v>
      </c>
      <c r="AD10" s="436">
        <v>0</v>
      </c>
      <c r="AE10" s="42">
        <f>SUM(O10:AD10)</f>
        <v>0</v>
      </c>
      <c r="AF10" s="51">
        <v>0</v>
      </c>
      <c r="AG10" s="218">
        <f t="shared" ref="AG10:AG19" si="6">AE10-AF10</f>
        <v>0</v>
      </c>
      <c r="AH10" s="745">
        <v>0</v>
      </c>
      <c r="AI10" s="745">
        <f>AE10-AG10</f>
        <v>0</v>
      </c>
      <c r="AJ10" s="745"/>
      <c r="AK10" s="745"/>
      <c r="AL10" s="268"/>
      <c r="AM10" s="16"/>
      <c r="AN10" s="286"/>
      <c r="AO10" s="29"/>
      <c r="AP10" s="29"/>
      <c r="AQ10" s="29"/>
      <c r="AR10" s="29"/>
      <c r="AS10" s="29"/>
      <c r="AT10" s="259"/>
      <c r="AU10" s="120"/>
      <c r="AV10" s="120"/>
      <c r="AW10" s="110" t="str">
        <f t="shared" si="0"/>
        <v/>
      </c>
      <c r="AX10" s="140"/>
      <c r="AY10" s="16"/>
      <c r="AZ10" s="16"/>
      <c r="BA10" s="16"/>
      <c r="BB10" s="498" t="s">
        <v>589</v>
      </c>
      <c r="BC10" s="498" t="s">
        <v>589</v>
      </c>
      <c r="BD10" s="141"/>
      <c r="BF10" s="8">
        <f t="shared" ref="BF10:BF41" si="7">N10</f>
        <v>0</v>
      </c>
      <c r="BG10" s="29">
        <f t="shared" ref="BG10:BG41" si="8">E10</f>
        <v>0</v>
      </c>
      <c r="BH10" s="29">
        <f t="shared" ref="BH10:BH41" si="9">F10</f>
        <v>0</v>
      </c>
      <c r="BI10" s="29">
        <f t="shared" ref="BI10:BI41" si="10">G10</f>
        <v>0</v>
      </c>
      <c r="BJ10" s="29">
        <f>AX10</f>
        <v>0</v>
      </c>
      <c r="BK10" s="11">
        <f>AY10</f>
        <v>0</v>
      </c>
      <c r="BL10" s="11">
        <f>AZ10</f>
        <v>0</v>
      </c>
      <c r="BM10" s="11">
        <f t="shared" ref="BM10:BM41" si="11">H10</f>
        <v>0</v>
      </c>
      <c r="BN10" s="1">
        <f>IF($BP$6="GROSS WAGES",(O10+P10+Q10+R10+S10+T10+AA10)-AF10,(O10+P10+Q10+R10+S10+T10)-AF10)</f>
        <v>0</v>
      </c>
      <c r="BO10" s="1">
        <f t="shared" si="1"/>
        <v>0</v>
      </c>
      <c r="BP10" s="1">
        <f t="shared" si="2"/>
        <v>0</v>
      </c>
      <c r="BQ10" s="267">
        <f t="shared" ref="BQ10:BQ41" si="12">SUM(BN10:BP10)</f>
        <v>0</v>
      </c>
      <c r="BR10" s="105">
        <f t="shared" si="4"/>
        <v>0</v>
      </c>
      <c r="BS10" s="81">
        <f t="shared" si="5"/>
        <v>0</v>
      </c>
    </row>
    <row r="11" spans="1:72" ht="15.6" x14ac:dyDescent="0.3">
      <c r="A11" s="39"/>
      <c r="B11" s="11">
        <v>2</v>
      </c>
      <c r="C11" s="16"/>
      <c r="D11" s="16"/>
      <c r="E11" s="35"/>
      <c r="F11" s="35"/>
      <c r="G11" s="29"/>
      <c r="H11" s="16"/>
      <c r="I11" s="16"/>
      <c r="J11" s="496"/>
      <c r="K11" s="39"/>
      <c r="L11" s="289"/>
      <c r="M11" s="289"/>
      <c r="N11" s="160"/>
      <c r="O11" s="436">
        <v>0</v>
      </c>
      <c r="P11" s="436">
        <v>0</v>
      </c>
      <c r="Q11" s="436">
        <v>0</v>
      </c>
      <c r="R11" s="436">
        <v>0</v>
      </c>
      <c r="S11" s="436">
        <v>0</v>
      </c>
      <c r="T11" s="436">
        <v>0</v>
      </c>
      <c r="U11" s="436">
        <v>0</v>
      </c>
      <c r="V11" s="436">
        <v>0</v>
      </c>
      <c r="W11" s="436">
        <v>0</v>
      </c>
      <c r="X11" s="436">
        <v>0</v>
      </c>
      <c r="Y11" s="436">
        <v>0</v>
      </c>
      <c r="Z11" s="436">
        <v>0</v>
      </c>
      <c r="AA11" s="436">
        <v>0</v>
      </c>
      <c r="AB11" s="436">
        <v>0</v>
      </c>
      <c r="AC11" s="436">
        <v>0</v>
      </c>
      <c r="AD11" s="436">
        <v>0</v>
      </c>
      <c r="AE11" s="42">
        <f t="shared" ref="AE11:AE39" si="13">SUM(O11:AD11)</f>
        <v>0</v>
      </c>
      <c r="AF11" s="51">
        <v>0</v>
      </c>
      <c r="AG11" s="218">
        <f t="shared" si="6"/>
        <v>0</v>
      </c>
      <c r="AH11" s="745">
        <v>0</v>
      </c>
      <c r="AI11" s="745">
        <f t="shared" ref="AI11:AI39" si="14">AE11-AG11</f>
        <v>0</v>
      </c>
      <c r="AJ11" s="745"/>
      <c r="AK11" s="745"/>
      <c r="AL11" s="268"/>
      <c r="AM11" s="16"/>
      <c r="AN11" s="286"/>
      <c r="AO11" s="29"/>
      <c r="AP11" s="29"/>
      <c r="AQ11" s="29"/>
      <c r="AR11" s="29"/>
      <c r="AS11" s="29"/>
      <c r="AT11" s="29"/>
      <c r="AU11" s="120"/>
      <c r="AV11" s="120"/>
      <c r="AW11" s="110" t="str">
        <f t="shared" si="0"/>
        <v/>
      </c>
      <c r="AX11" s="140"/>
      <c r="AY11" s="16"/>
      <c r="AZ11" s="16"/>
      <c r="BA11" s="16"/>
      <c r="BB11" s="498" t="s">
        <v>589</v>
      </c>
      <c r="BC11" s="498" t="s">
        <v>589</v>
      </c>
      <c r="BD11" s="141"/>
      <c r="BE11"/>
      <c r="BF11" s="8">
        <f t="shared" si="7"/>
        <v>0</v>
      </c>
      <c r="BG11" s="29">
        <f t="shared" si="8"/>
        <v>0</v>
      </c>
      <c r="BH11" s="29">
        <f t="shared" si="9"/>
        <v>0</v>
      </c>
      <c r="BI11" s="29">
        <f t="shared" si="10"/>
        <v>0</v>
      </c>
      <c r="BJ11" s="29">
        <f t="shared" ref="BJ11:BJ41" si="15">AX11</f>
        <v>0</v>
      </c>
      <c r="BK11" s="11">
        <f t="shared" ref="BK11:BK41" si="16">AY11</f>
        <v>0</v>
      </c>
      <c r="BL11" s="11">
        <f>AZ11</f>
        <v>0</v>
      </c>
      <c r="BM11" s="11">
        <f t="shared" si="11"/>
        <v>0</v>
      </c>
      <c r="BN11" s="1">
        <f t="shared" ref="BN11:BN41" si="17">IF($BP$6="GROSS WAGES",(O11+P11+Q11+R11+S11+T11+AA11)-AF11,(O11+P11+Q11+R11+S11+T11)-AF11)</f>
        <v>0</v>
      </c>
      <c r="BO11" s="1">
        <f t="shared" si="1"/>
        <v>0</v>
      </c>
      <c r="BP11" s="1">
        <f t="shared" si="2"/>
        <v>0</v>
      </c>
      <c r="BQ11" s="267">
        <f t="shared" si="12"/>
        <v>0</v>
      </c>
      <c r="BR11" s="105">
        <f t="shared" si="4"/>
        <v>0</v>
      </c>
      <c r="BS11" s="81">
        <f t="shared" si="5"/>
        <v>0</v>
      </c>
    </row>
    <row r="12" spans="1:72" ht="15.6" x14ac:dyDescent="0.3">
      <c r="A12" s="39"/>
      <c r="B12" s="11">
        <v>3</v>
      </c>
      <c r="C12" s="16"/>
      <c r="D12" s="16"/>
      <c r="E12" s="35"/>
      <c r="F12" s="35"/>
      <c r="G12" s="29"/>
      <c r="H12" s="16"/>
      <c r="I12" s="16"/>
      <c r="J12" s="496"/>
      <c r="K12" s="39"/>
      <c r="L12" s="289"/>
      <c r="M12" s="289"/>
      <c r="N12" s="160"/>
      <c r="O12" s="436">
        <v>0</v>
      </c>
      <c r="P12" s="436">
        <v>0</v>
      </c>
      <c r="Q12" s="436">
        <v>0</v>
      </c>
      <c r="R12" s="436">
        <v>0</v>
      </c>
      <c r="S12" s="436">
        <v>0</v>
      </c>
      <c r="T12" s="436">
        <v>0</v>
      </c>
      <c r="U12" s="436">
        <v>0</v>
      </c>
      <c r="V12" s="436">
        <v>0</v>
      </c>
      <c r="W12" s="436">
        <v>0</v>
      </c>
      <c r="X12" s="436">
        <v>0</v>
      </c>
      <c r="Y12" s="436">
        <v>0</v>
      </c>
      <c r="Z12" s="436">
        <v>0</v>
      </c>
      <c r="AA12" s="436">
        <v>0</v>
      </c>
      <c r="AB12" s="436">
        <v>0</v>
      </c>
      <c r="AC12" s="436">
        <v>0</v>
      </c>
      <c r="AD12" s="436">
        <v>0</v>
      </c>
      <c r="AE12" s="42">
        <f t="shared" si="13"/>
        <v>0</v>
      </c>
      <c r="AF12" s="51">
        <v>0</v>
      </c>
      <c r="AG12" s="218">
        <f t="shared" si="6"/>
        <v>0</v>
      </c>
      <c r="AH12" s="745">
        <v>0</v>
      </c>
      <c r="AI12" s="745">
        <f t="shared" si="14"/>
        <v>0</v>
      </c>
      <c r="AJ12" s="745"/>
      <c r="AK12" s="745"/>
      <c r="AL12" s="268"/>
      <c r="AM12" s="16"/>
      <c r="AN12" s="286"/>
      <c r="AO12" s="29"/>
      <c r="AP12" s="29"/>
      <c r="AQ12" s="29"/>
      <c r="AR12" s="29"/>
      <c r="AS12" s="29"/>
      <c r="AT12" s="29"/>
      <c r="AU12" s="120"/>
      <c r="AV12" s="120"/>
      <c r="AW12" s="110" t="str">
        <f t="shared" si="0"/>
        <v/>
      </c>
      <c r="AX12" s="140"/>
      <c r="AY12" s="16"/>
      <c r="AZ12" s="16"/>
      <c r="BA12" s="16"/>
      <c r="BB12" s="498" t="s">
        <v>589</v>
      </c>
      <c r="BC12" s="498" t="s">
        <v>589</v>
      </c>
      <c r="BD12" s="141"/>
      <c r="BE12"/>
      <c r="BF12" s="8">
        <f t="shared" si="7"/>
        <v>0</v>
      </c>
      <c r="BG12" s="29">
        <f t="shared" si="8"/>
        <v>0</v>
      </c>
      <c r="BH12" s="29">
        <f t="shared" si="9"/>
        <v>0</v>
      </c>
      <c r="BI12" s="29">
        <f t="shared" si="10"/>
        <v>0</v>
      </c>
      <c r="BJ12" s="29">
        <f t="shared" si="15"/>
        <v>0</v>
      </c>
      <c r="BK12" s="11">
        <f t="shared" si="16"/>
        <v>0</v>
      </c>
      <c r="BL12" s="11">
        <f>AZ12</f>
        <v>0</v>
      </c>
      <c r="BM12" s="11">
        <f t="shared" si="11"/>
        <v>0</v>
      </c>
      <c r="BN12" s="1">
        <f t="shared" si="17"/>
        <v>0</v>
      </c>
      <c r="BO12" s="1">
        <f t="shared" si="1"/>
        <v>0</v>
      </c>
      <c r="BP12" s="1">
        <f t="shared" si="2"/>
        <v>0</v>
      </c>
      <c r="BQ12" s="267">
        <f t="shared" si="12"/>
        <v>0</v>
      </c>
      <c r="BR12" s="105">
        <f t="shared" si="4"/>
        <v>0</v>
      </c>
      <c r="BS12" s="81">
        <f t="shared" si="5"/>
        <v>0</v>
      </c>
    </row>
    <row r="13" spans="1:72" ht="15.6" x14ac:dyDescent="0.3">
      <c r="A13" s="39"/>
      <c r="B13" s="11">
        <v>4</v>
      </c>
      <c r="C13" s="16"/>
      <c r="D13" s="16"/>
      <c r="E13" s="35"/>
      <c r="F13" s="35"/>
      <c r="G13" s="29"/>
      <c r="H13" s="16"/>
      <c r="I13" s="16"/>
      <c r="J13" s="496"/>
      <c r="K13" s="39"/>
      <c r="L13" s="289"/>
      <c r="M13" s="289"/>
      <c r="N13" s="160"/>
      <c r="O13" s="436">
        <v>0</v>
      </c>
      <c r="P13" s="436">
        <v>0</v>
      </c>
      <c r="Q13" s="436">
        <v>0</v>
      </c>
      <c r="R13" s="436">
        <v>0</v>
      </c>
      <c r="S13" s="436">
        <v>0</v>
      </c>
      <c r="T13" s="436">
        <v>0</v>
      </c>
      <c r="U13" s="436">
        <v>0</v>
      </c>
      <c r="V13" s="436">
        <v>0</v>
      </c>
      <c r="W13" s="436">
        <v>0</v>
      </c>
      <c r="X13" s="436">
        <v>0</v>
      </c>
      <c r="Y13" s="436">
        <v>0</v>
      </c>
      <c r="Z13" s="436">
        <v>0</v>
      </c>
      <c r="AA13" s="436">
        <v>0</v>
      </c>
      <c r="AB13" s="436">
        <v>0</v>
      </c>
      <c r="AC13" s="436">
        <v>0</v>
      </c>
      <c r="AD13" s="436">
        <v>0</v>
      </c>
      <c r="AE13" s="42">
        <f t="shared" si="13"/>
        <v>0</v>
      </c>
      <c r="AF13" s="51">
        <v>0</v>
      </c>
      <c r="AG13" s="218">
        <f t="shared" si="6"/>
        <v>0</v>
      </c>
      <c r="AH13" s="745">
        <v>0</v>
      </c>
      <c r="AI13" s="745">
        <f t="shared" si="14"/>
        <v>0</v>
      </c>
      <c r="AJ13" s="745"/>
      <c r="AK13" s="745"/>
      <c r="AL13" s="268"/>
      <c r="AM13" s="16"/>
      <c r="AN13" s="286"/>
      <c r="AO13" s="29"/>
      <c r="AP13" s="29"/>
      <c r="AQ13" s="29"/>
      <c r="AR13" s="29"/>
      <c r="AS13" s="29"/>
      <c r="AT13" s="29"/>
      <c r="AU13" s="120"/>
      <c r="AV13" s="120"/>
      <c r="AW13" s="110" t="str">
        <f t="shared" si="0"/>
        <v/>
      </c>
      <c r="AX13" s="141"/>
      <c r="AY13" s="16"/>
      <c r="AZ13" s="16"/>
      <c r="BA13" s="16"/>
      <c r="BB13" s="498" t="s">
        <v>589</v>
      </c>
      <c r="BC13" s="498" t="s">
        <v>589</v>
      </c>
      <c r="BD13" s="141"/>
      <c r="BE13"/>
      <c r="BF13" s="8">
        <f t="shared" si="7"/>
        <v>0</v>
      </c>
      <c r="BG13" s="29">
        <f t="shared" si="8"/>
        <v>0</v>
      </c>
      <c r="BH13" s="29">
        <f t="shared" si="9"/>
        <v>0</v>
      </c>
      <c r="BI13" s="29">
        <f t="shared" si="10"/>
        <v>0</v>
      </c>
      <c r="BJ13" s="29">
        <f t="shared" si="15"/>
        <v>0</v>
      </c>
      <c r="BK13" s="11">
        <f t="shared" si="16"/>
        <v>0</v>
      </c>
      <c r="BL13" s="11">
        <f t="shared" ref="BL13:BL41" si="18">AZ13</f>
        <v>0</v>
      </c>
      <c r="BM13" s="11">
        <f t="shared" si="11"/>
        <v>0</v>
      </c>
      <c r="BN13" s="1">
        <f t="shared" si="17"/>
        <v>0</v>
      </c>
      <c r="BO13" s="1">
        <f t="shared" si="1"/>
        <v>0</v>
      </c>
      <c r="BP13" s="1">
        <f t="shared" si="2"/>
        <v>0</v>
      </c>
      <c r="BQ13" s="267">
        <f t="shared" si="12"/>
        <v>0</v>
      </c>
      <c r="BR13" s="105">
        <f t="shared" si="4"/>
        <v>0</v>
      </c>
      <c r="BS13" s="81">
        <f t="shared" si="5"/>
        <v>0</v>
      </c>
    </row>
    <row r="14" spans="1:72" ht="15.6" x14ac:dyDescent="0.3">
      <c r="A14" s="39"/>
      <c r="B14" s="11">
        <v>5</v>
      </c>
      <c r="C14" s="16"/>
      <c r="E14" s="35"/>
      <c r="F14" s="35"/>
      <c r="G14" s="29"/>
      <c r="H14" s="16"/>
      <c r="I14" s="16"/>
      <c r="J14" s="496"/>
      <c r="K14" s="39"/>
      <c r="L14" s="289"/>
      <c r="M14" s="289"/>
      <c r="N14" s="160"/>
      <c r="O14" s="436">
        <v>0</v>
      </c>
      <c r="P14" s="436">
        <v>0</v>
      </c>
      <c r="Q14" s="436">
        <v>0</v>
      </c>
      <c r="R14" s="436">
        <v>0</v>
      </c>
      <c r="S14" s="436">
        <v>0</v>
      </c>
      <c r="T14" s="436">
        <v>0</v>
      </c>
      <c r="U14" s="436">
        <v>0</v>
      </c>
      <c r="V14" s="436">
        <v>0</v>
      </c>
      <c r="W14" s="436">
        <v>0</v>
      </c>
      <c r="X14" s="436">
        <v>0</v>
      </c>
      <c r="Y14" s="436">
        <v>0</v>
      </c>
      <c r="Z14" s="436">
        <v>0</v>
      </c>
      <c r="AA14" s="436">
        <v>0</v>
      </c>
      <c r="AB14" s="436">
        <v>0</v>
      </c>
      <c r="AC14" s="436">
        <v>0</v>
      </c>
      <c r="AD14" s="436">
        <v>0</v>
      </c>
      <c r="AE14" s="42">
        <f t="shared" si="13"/>
        <v>0</v>
      </c>
      <c r="AF14" s="51">
        <v>0</v>
      </c>
      <c r="AG14" s="218">
        <f t="shared" si="6"/>
        <v>0</v>
      </c>
      <c r="AH14" s="745">
        <v>0</v>
      </c>
      <c r="AI14" s="745">
        <f t="shared" si="14"/>
        <v>0</v>
      </c>
      <c r="AJ14" s="745"/>
      <c r="AK14" s="745"/>
      <c r="AL14" s="268"/>
      <c r="AM14" s="16"/>
      <c r="AN14" s="286"/>
      <c r="AO14" s="29"/>
      <c r="AP14" s="29"/>
      <c r="AQ14" s="29"/>
      <c r="AR14" s="29"/>
      <c r="AS14" s="29"/>
      <c r="AT14" s="29"/>
      <c r="AU14" s="120"/>
      <c r="AV14" s="120"/>
      <c r="AW14" s="110" t="str">
        <f t="shared" si="0"/>
        <v/>
      </c>
      <c r="AX14" s="141"/>
      <c r="AY14" s="16"/>
      <c r="AZ14" s="16"/>
      <c r="BA14" s="16"/>
      <c r="BB14" s="498" t="s">
        <v>589</v>
      </c>
      <c r="BC14" s="498" t="s">
        <v>589</v>
      </c>
      <c r="BD14" s="141"/>
      <c r="BE14"/>
      <c r="BF14" s="8">
        <f t="shared" si="7"/>
        <v>0</v>
      </c>
      <c r="BG14" s="29">
        <f t="shared" si="8"/>
        <v>0</v>
      </c>
      <c r="BH14" s="29">
        <f t="shared" si="9"/>
        <v>0</v>
      </c>
      <c r="BI14" s="29">
        <f t="shared" si="10"/>
        <v>0</v>
      </c>
      <c r="BJ14" s="29">
        <f t="shared" si="15"/>
        <v>0</v>
      </c>
      <c r="BK14" s="11">
        <f t="shared" si="16"/>
        <v>0</v>
      </c>
      <c r="BL14" s="11">
        <f t="shared" si="18"/>
        <v>0</v>
      </c>
      <c r="BM14" s="11">
        <f t="shared" si="11"/>
        <v>0</v>
      </c>
      <c r="BN14" s="1">
        <f t="shared" si="17"/>
        <v>0</v>
      </c>
      <c r="BO14" s="1">
        <f t="shared" si="1"/>
        <v>0</v>
      </c>
      <c r="BP14" s="1">
        <f t="shared" si="2"/>
        <v>0</v>
      </c>
      <c r="BQ14" s="267">
        <f t="shared" si="12"/>
        <v>0</v>
      </c>
      <c r="BR14" s="105">
        <f t="shared" si="4"/>
        <v>0</v>
      </c>
      <c r="BS14" s="81">
        <f t="shared" si="5"/>
        <v>0</v>
      </c>
    </row>
    <row r="15" spans="1:72" ht="15.6" x14ac:dyDescent="0.3">
      <c r="A15" s="39"/>
      <c r="B15" s="11">
        <v>6</v>
      </c>
      <c r="C15" s="16"/>
      <c r="D15" s="16"/>
      <c r="E15" s="35"/>
      <c r="F15" s="35"/>
      <c r="G15" s="29"/>
      <c r="H15" s="16"/>
      <c r="I15" s="16"/>
      <c r="J15" s="496"/>
      <c r="K15" s="39"/>
      <c r="L15" s="289"/>
      <c r="M15" s="289"/>
      <c r="N15" s="160"/>
      <c r="O15" s="436">
        <v>0</v>
      </c>
      <c r="P15" s="436">
        <v>0</v>
      </c>
      <c r="Q15" s="436">
        <v>0</v>
      </c>
      <c r="R15" s="436">
        <v>0</v>
      </c>
      <c r="S15" s="436">
        <v>0</v>
      </c>
      <c r="T15" s="436">
        <v>0</v>
      </c>
      <c r="U15" s="436">
        <v>0</v>
      </c>
      <c r="V15" s="436">
        <v>0</v>
      </c>
      <c r="W15" s="436">
        <v>0</v>
      </c>
      <c r="X15" s="436">
        <v>0</v>
      </c>
      <c r="Y15" s="436">
        <v>0</v>
      </c>
      <c r="Z15" s="436">
        <v>0</v>
      </c>
      <c r="AA15" s="436">
        <v>0</v>
      </c>
      <c r="AB15" s="436">
        <v>0</v>
      </c>
      <c r="AC15" s="436">
        <v>0</v>
      </c>
      <c r="AD15" s="436">
        <v>0</v>
      </c>
      <c r="AE15" s="42">
        <f t="shared" si="13"/>
        <v>0</v>
      </c>
      <c r="AF15" s="51">
        <v>0</v>
      </c>
      <c r="AG15" s="218">
        <f t="shared" si="6"/>
        <v>0</v>
      </c>
      <c r="AH15" s="745">
        <v>0</v>
      </c>
      <c r="AI15" s="745">
        <f t="shared" si="14"/>
        <v>0</v>
      </c>
      <c r="AJ15" s="745"/>
      <c r="AK15" s="745"/>
      <c r="AL15" s="268"/>
      <c r="AM15" s="16"/>
      <c r="AN15" s="286"/>
      <c r="AO15" s="29"/>
      <c r="AP15" s="29"/>
      <c r="AQ15" s="29"/>
      <c r="AR15" s="29"/>
      <c r="AS15" s="29"/>
      <c r="AT15" s="29"/>
      <c r="AU15" s="120"/>
      <c r="AV15" s="120"/>
      <c r="AW15" s="110" t="str">
        <f t="shared" si="0"/>
        <v/>
      </c>
      <c r="AX15" s="141"/>
      <c r="AY15" s="16"/>
      <c r="AZ15" s="16"/>
      <c r="BA15" s="16"/>
      <c r="BB15" s="498" t="s">
        <v>589</v>
      </c>
      <c r="BC15" s="498" t="s">
        <v>589</v>
      </c>
      <c r="BD15" s="141"/>
      <c r="BF15" s="8">
        <f t="shared" si="7"/>
        <v>0</v>
      </c>
      <c r="BG15" s="29">
        <f t="shared" si="8"/>
        <v>0</v>
      </c>
      <c r="BH15" s="29">
        <f t="shared" si="9"/>
        <v>0</v>
      </c>
      <c r="BI15" s="29">
        <f t="shared" si="10"/>
        <v>0</v>
      </c>
      <c r="BJ15" s="29">
        <f t="shared" si="15"/>
        <v>0</v>
      </c>
      <c r="BK15" s="11">
        <f t="shared" si="16"/>
        <v>0</v>
      </c>
      <c r="BL15" s="11">
        <f t="shared" si="18"/>
        <v>0</v>
      </c>
      <c r="BM15" s="11">
        <f t="shared" si="11"/>
        <v>0</v>
      </c>
      <c r="BN15" s="1">
        <f t="shared" si="17"/>
        <v>0</v>
      </c>
      <c r="BO15" s="1">
        <f t="shared" si="1"/>
        <v>0</v>
      </c>
      <c r="BP15" s="1">
        <f t="shared" si="2"/>
        <v>0</v>
      </c>
      <c r="BQ15" s="267">
        <f t="shared" si="12"/>
        <v>0</v>
      </c>
      <c r="BR15" s="105">
        <f t="shared" si="4"/>
        <v>0</v>
      </c>
      <c r="BS15" s="81">
        <f t="shared" si="5"/>
        <v>0</v>
      </c>
    </row>
    <row r="16" spans="1:72" ht="15.6" x14ac:dyDescent="0.3">
      <c r="B16" s="11">
        <v>7</v>
      </c>
      <c r="C16" s="16"/>
      <c r="D16" s="16"/>
      <c r="E16" s="35"/>
      <c r="F16" s="35"/>
      <c r="G16" s="29"/>
      <c r="H16" s="16"/>
      <c r="I16" s="16"/>
      <c r="J16" s="496"/>
      <c r="K16" s="39"/>
      <c r="L16" s="289"/>
      <c r="M16" s="289"/>
      <c r="N16" s="160"/>
      <c r="O16" s="436">
        <v>0</v>
      </c>
      <c r="P16" s="436">
        <v>0</v>
      </c>
      <c r="Q16" s="436">
        <v>0</v>
      </c>
      <c r="R16" s="436">
        <v>0</v>
      </c>
      <c r="S16" s="436">
        <v>0</v>
      </c>
      <c r="T16" s="436">
        <v>0</v>
      </c>
      <c r="U16" s="436">
        <v>0</v>
      </c>
      <c r="V16" s="436">
        <v>0</v>
      </c>
      <c r="W16" s="436">
        <v>0</v>
      </c>
      <c r="X16" s="436">
        <v>0</v>
      </c>
      <c r="Y16" s="436">
        <v>0</v>
      </c>
      <c r="Z16" s="436">
        <v>0</v>
      </c>
      <c r="AA16" s="436">
        <v>0</v>
      </c>
      <c r="AB16" s="436">
        <v>0</v>
      </c>
      <c r="AC16" s="436">
        <v>0</v>
      </c>
      <c r="AD16" s="436">
        <v>0</v>
      </c>
      <c r="AE16" s="42">
        <f t="shared" si="13"/>
        <v>0</v>
      </c>
      <c r="AF16" s="51">
        <v>0</v>
      </c>
      <c r="AG16" s="218">
        <f t="shared" si="6"/>
        <v>0</v>
      </c>
      <c r="AH16" s="745">
        <v>0</v>
      </c>
      <c r="AI16" s="745">
        <f t="shared" si="14"/>
        <v>0</v>
      </c>
      <c r="AJ16" s="745"/>
      <c r="AK16" s="745"/>
      <c r="AL16" s="268"/>
      <c r="AM16" s="16"/>
      <c r="AN16" s="286"/>
      <c r="AO16" s="29"/>
      <c r="AP16" s="29"/>
      <c r="AQ16" s="29"/>
      <c r="AR16" s="29"/>
      <c r="AS16" s="29"/>
      <c r="AT16" s="29"/>
      <c r="AU16" s="120"/>
      <c r="AV16" s="120"/>
      <c r="AW16" s="110" t="str">
        <f t="shared" si="0"/>
        <v/>
      </c>
      <c r="AX16" s="141"/>
      <c r="AY16" s="16"/>
      <c r="AZ16" s="16"/>
      <c r="BA16" s="16"/>
      <c r="BB16" s="498" t="s">
        <v>589</v>
      </c>
      <c r="BC16" s="498" t="s">
        <v>589</v>
      </c>
      <c r="BD16" s="141"/>
      <c r="BF16" s="8">
        <f t="shared" si="7"/>
        <v>0</v>
      </c>
      <c r="BG16" s="29">
        <f t="shared" si="8"/>
        <v>0</v>
      </c>
      <c r="BH16" s="29">
        <f t="shared" si="9"/>
        <v>0</v>
      </c>
      <c r="BI16" s="29">
        <f t="shared" si="10"/>
        <v>0</v>
      </c>
      <c r="BJ16" s="29">
        <f t="shared" si="15"/>
        <v>0</v>
      </c>
      <c r="BK16" s="11">
        <f t="shared" si="16"/>
        <v>0</v>
      </c>
      <c r="BL16" s="11">
        <f t="shared" si="18"/>
        <v>0</v>
      </c>
      <c r="BM16" s="11">
        <f t="shared" si="11"/>
        <v>0</v>
      </c>
      <c r="BN16" s="1">
        <f t="shared" si="17"/>
        <v>0</v>
      </c>
      <c r="BO16" s="1">
        <f t="shared" si="1"/>
        <v>0</v>
      </c>
      <c r="BP16" s="1">
        <f t="shared" si="2"/>
        <v>0</v>
      </c>
      <c r="BQ16" s="267">
        <f t="shared" si="12"/>
        <v>0</v>
      </c>
      <c r="BR16" s="105">
        <f t="shared" si="4"/>
        <v>0</v>
      </c>
      <c r="BS16" s="81">
        <f t="shared" si="5"/>
        <v>0</v>
      </c>
    </row>
    <row r="17" spans="1:71" ht="15.6" x14ac:dyDescent="0.3">
      <c r="A17" s="39"/>
      <c r="B17" s="11">
        <v>8</v>
      </c>
      <c r="C17" s="16"/>
      <c r="D17" s="16"/>
      <c r="E17" s="35"/>
      <c r="F17" s="35"/>
      <c r="G17" s="29"/>
      <c r="H17" s="16"/>
      <c r="I17" s="16"/>
      <c r="J17" s="496"/>
      <c r="K17" s="39"/>
      <c r="L17" s="289"/>
      <c r="M17" s="289"/>
      <c r="N17" s="160"/>
      <c r="O17" s="436">
        <v>0</v>
      </c>
      <c r="P17" s="436">
        <v>0</v>
      </c>
      <c r="Q17" s="436">
        <v>0</v>
      </c>
      <c r="R17" s="436">
        <v>0</v>
      </c>
      <c r="S17" s="436">
        <v>0</v>
      </c>
      <c r="T17" s="436">
        <v>0</v>
      </c>
      <c r="U17" s="436">
        <v>0</v>
      </c>
      <c r="V17" s="436">
        <v>0</v>
      </c>
      <c r="W17" s="436">
        <v>0</v>
      </c>
      <c r="X17" s="436">
        <v>0</v>
      </c>
      <c r="Y17" s="436">
        <v>0</v>
      </c>
      <c r="Z17" s="436">
        <v>0</v>
      </c>
      <c r="AA17" s="436">
        <v>0</v>
      </c>
      <c r="AB17" s="436">
        <v>0</v>
      </c>
      <c r="AC17" s="436">
        <v>0</v>
      </c>
      <c r="AD17" s="436">
        <v>0</v>
      </c>
      <c r="AE17" s="42">
        <f t="shared" si="13"/>
        <v>0</v>
      </c>
      <c r="AF17" s="51">
        <v>0</v>
      </c>
      <c r="AG17" s="218">
        <f t="shared" si="6"/>
        <v>0</v>
      </c>
      <c r="AH17" s="745">
        <v>0</v>
      </c>
      <c r="AI17" s="745">
        <f t="shared" si="14"/>
        <v>0</v>
      </c>
      <c r="AJ17" s="745"/>
      <c r="AK17" s="745"/>
      <c r="AL17" s="268"/>
      <c r="AM17" s="16"/>
      <c r="AN17" s="286"/>
      <c r="AO17" s="29"/>
      <c r="AP17" s="29"/>
      <c r="AQ17" s="29"/>
      <c r="AR17" s="29"/>
      <c r="AS17" s="29"/>
      <c r="AT17" s="29"/>
      <c r="AU17" s="120"/>
      <c r="AV17" s="120"/>
      <c r="AW17" s="110" t="str">
        <f t="shared" si="0"/>
        <v/>
      </c>
      <c r="AX17" s="141"/>
      <c r="AY17" s="16"/>
      <c r="AZ17" s="16"/>
      <c r="BA17" s="16"/>
      <c r="BB17" s="498" t="s">
        <v>589</v>
      </c>
      <c r="BC17" s="498" t="s">
        <v>589</v>
      </c>
      <c r="BD17" s="141"/>
      <c r="BE17"/>
      <c r="BF17" s="8">
        <f t="shared" si="7"/>
        <v>0</v>
      </c>
      <c r="BG17" s="29">
        <f t="shared" si="8"/>
        <v>0</v>
      </c>
      <c r="BH17" s="29">
        <f t="shared" si="9"/>
        <v>0</v>
      </c>
      <c r="BI17" s="29">
        <f t="shared" si="10"/>
        <v>0</v>
      </c>
      <c r="BJ17" s="29">
        <f t="shared" si="15"/>
        <v>0</v>
      </c>
      <c r="BK17" s="11">
        <f t="shared" si="16"/>
        <v>0</v>
      </c>
      <c r="BL17" s="11">
        <f t="shared" si="18"/>
        <v>0</v>
      </c>
      <c r="BM17" s="11">
        <f t="shared" si="11"/>
        <v>0</v>
      </c>
      <c r="BN17" s="1">
        <f t="shared" si="17"/>
        <v>0</v>
      </c>
      <c r="BO17" s="1">
        <f t="shared" si="1"/>
        <v>0</v>
      </c>
      <c r="BP17" s="1">
        <f t="shared" si="2"/>
        <v>0</v>
      </c>
      <c r="BQ17" s="267">
        <f t="shared" si="12"/>
        <v>0</v>
      </c>
      <c r="BR17" s="105">
        <f t="shared" si="4"/>
        <v>0</v>
      </c>
      <c r="BS17" s="81">
        <f t="shared" si="5"/>
        <v>0</v>
      </c>
    </row>
    <row r="18" spans="1:71" ht="15.6" x14ac:dyDescent="0.3">
      <c r="B18" s="11">
        <v>9</v>
      </c>
      <c r="C18" s="16"/>
      <c r="D18" s="16"/>
      <c r="E18" s="35"/>
      <c r="F18" s="35"/>
      <c r="G18" s="29"/>
      <c r="H18" s="16"/>
      <c r="I18" s="16"/>
      <c r="J18" s="496"/>
      <c r="K18" s="39"/>
      <c r="L18" s="289"/>
      <c r="M18" s="289"/>
      <c r="N18" s="160"/>
      <c r="O18" s="436">
        <v>0</v>
      </c>
      <c r="P18" s="436">
        <v>0</v>
      </c>
      <c r="Q18" s="436">
        <v>0</v>
      </c>
      <c r="R18" s="436">
        <v>0</v>
      </c>
      <c r="S18" s="436">
        <v>0</v>
      </c>
      <c r="T18" s="436">
        <v>0</v>
      </c>
      <c r="U18" s="436">
        <v>0</v>
      </c>
      <c r="V18" s="436">
        <v>0</v>
      </c>
      <c r="W18" s="436">
        <v>0</v>
      </c>
      <c r="X18" s="436">
        <v>0</v>
      </c>
      <c r="Y18" s="436">
        <v>0</v>
      </c>
      <c r="Z18" s="436">
        <v>0</v>
      </c>
      <c r="AA18" s="436">
        <v>0</v>
      </c>
      <c r="AB18" s="436">
        <v>0</v>
      </c>
      <c r="AC18" s="436">
        <v>0</v>
      </c>
      <c r="AD18" s="436">
        <v>0</v>
      </c>
      <c r="AE18" s="42">
        <f t="shared" si="13"/>
        <v>0</v>
      </c>
      <c r="AF18" s="51">
        <v>0</v>
      </c>
      <c r="AG18" s="218">
        <f t="shared" si="6"/>
        <v>0</v>
      </c>
      <c r="AH18" s="745">
        <v>0</v>
      </c>
      <c r="AI18" s="745">
        <f t="shared" si="14"/>
        <v>0</v>
      </c>
      <c r="AJ18" s="745"/>
      <c r="AK18" s="745"/>
      <c r="AL18" s="268"/>
      <c r="AM18" s="16"/>
      <c r="AN18" s="286"/>
      <c r="AO18" s="29"/>
      <c r="AP18" s="29"/>
      <c r="AQ18" s="29"/>
      <c r="AR18" s="29"/>
      <c r="AS18" s="29"/>
      <c r="AT18" s="29"/>
      <c r="AU18" s="120"/>
      <c r="AV18" s="120"/>
      <c r="AW18" s="110" t="str">
        <f t="shared" si="0"/>
        <v/>
      </c>
      <c r="AX18" s="141"/>
      <c r="AY18" s="16"/>
      <c r="AZ18" s="16"/>
      <c r="BA18" s="16"/>
      <c r="BB18" s="498" t="s">
        <v>589</v>
      </c>
      <c r="BC18" s="498" t="s">
        <v>589</v>
      </c>
      <c r="BD18" s="141"/>
      <c r="BF18" s="8">
        <f t="shared" si="7"/>
        <v>0</v>
      </c>
      <c r="BG18" s="29">
        <f t="shared" si="8"/>
        <v>0</v>
      </c>
      <c r="BH18" s="29">
        <f t="shared" si="9"/>
        <v>0</v>
      </c>
      <c r="BI18" s="29">
        <f t="shared" si="10"/>
        <v>0</v>
      </c>
      <c r="BJ18" s="29">
        <f t="shared" si="15"/>
        <v>0</v>
      </c>
      <c r="BK18" s="11">
        <f t="shared" si="16"/>
        <v>0</v>
      </c>
      <c r="BL18" s="11">
        <f t="shared" si="18"/>
        <v>0</v>
      </c>
      <c r="BM18" s="11">
        <f t="shared" si="11"/>
        <v>0</v>
      </c>
      <c r="BN18" s="1">
        <f t="shared" si="17"/>
        <v>0</v>
      </c>
      <c r="BO18" s="1">
        <f t="shared" si="1"/>
        <v>0</v>
      </c>
      <c r="BP18" s="1">
        <f t="shared" si="2"/>
        <v>0</v>
      </c>
      <c r="BQ18" s="267">
        <f t="shared" si="12"/>
        <v>0</v>
      </c>
      <c r="BR18" s="105">
        <f t="shared" si="4"/>
        <v>0</v>
      </c>
      <c r="BS18" s="81">
        <f t="shared" si="5"/>
        <v>0</v>
      </c>
    </row>
    <row r="19" spans="1:71" ht="15.6" x14ac:dyDescent="0.3">
      <c r="B19" s="11">
        <v>10</v>
      </c>
      <c r="C19" s="16"/>
      <c r="D19" s="16"/>
      <c r="E19" s="35"/>
      <c r="F19" s="35"/>
      <c r="G19" s="29"/>
      <c r="H19" s="16"/>
      <c r="I19" s="16"/>
      <c r="J19" s="496"/>
      <c r="K19" s="39"/>
      <c r="L19" s="288"/>
      <c r="M19" s="288"/>
      <c r="N19" s="110"/>
      <c r="O19" s="436">
        <v>0</v>
      </c>
      <c r="P19" s="436">
        <v>0</v>
      </c>
      <c r="Q19" s="436">
        <v>0</v>
      </c>
      <c r="R19" s="436">
        <v>0</v>
      </c>
      <c r="S19" s="436">
        <v>0</v>
      </c>
      <c r="T19" s="436">
        <v>0</v>
      </c>
      <c r="U19" s="436">
        <v>0</v>
      </c>
      <c r="V19" s="436">
        <v>0</v>
      </c>
      <c r="W19" s="436">
        <v>0</v>
      </c>
      <c r="X19" s="436">
        <v>0</v>
      </c>
      <c r="Y19" s="436">
        <v>0</v>
      </c>
      <c r="Z19" s="436">
        <v>0</v>
      </c>
      <c r="AA19" s="436">
        <v>0</v>
      </c>
      <c r="AB19" s="436">
        <v>0</v>
      </c>
      <c r="AC19" s="436">
        <v>0</v>
      </c>
      <c r="AD19" s="436">
        <v>0</v>
      </c>
      <c r="AE19" s="42">
        <f t="shared" si="13"/>
        <v>0</v>
      </c>
      <c r="AF19" s="51">
        <v>0</v>
      </c>
      <c r="AG19" s="218">
        <f t="shared" si="6"/>
        <v>0</v>
      </c>
      <c r="AH19" s="745">
        <v>0</v>
      </c>
      <c r="AI19" s="745">
        <f t="shared" si="14"/>
        <v>0</v>
      </c>
      <c r="AJ19" s="745"/>
      <c r="AK19" s="745"/>
      <c r="AL19" s="268"/>
      <c r="AM19" s="16"/>
      <c r="AN19" s="286"/>
      <c r="AO19" s="29"/>
      <c r="AP19" s="29"/>
      <c r="AQ19" s="29"/>
      <c r="AR19" s="29"/>
      <c r="AS19" s="29"/>
      <c r="AT19" s="29"/>
      <c r="AU19" s="120"/>
      <c r="AV19" s="120"/>
      <c r="AW19" s="110" t="str">
        <f t="shared" si="0"/>
        <v/>
      </c>
      <c r="AX19" s="141"/>
      <c r="AY19" s="16"/>
      <c r="AZ19" s="40"/>
      <c r="BA19" s="16"/>
      <c r="BB19" s="498" t="s">
        <v>589</v>
      </c>
      <c r="BC19" s="498" t="s">
        <v>589</v>
      </c>
      <c r="BD19" s="141"/>
      <c r="BF19" s="8">
        <f t="shared" si="7"/>
        <v>0</v>
      </c>
      <c r="BG19" s="29">
        <f t="shared" si="8"/>
        <v>0</v>
      </c>
      <c r="BH19" s="29">
        <f t="shared" si="9"/>
        <v>0</v>
      </c>
      <c r="BI19" s="29">
        <f t="shared" si="10"/>
        <v>0</v>
      </c>
      <c r="BJ19" s="29">
        <f t="shared" si="15"/>
        <v>0</v>
      </c>
      <c r="BK19" s="11">
        <f t="shared" si="16"/>
        <v>0</v>
      </c>
      <c r="BL19" s="11">
        <f t="shared" si="18"/>
        <v>0</v>
      </c>
      <c r="BM19" s="11">
        <f t="shared" si="11"/>
        <v>0</v>
      </c>
      <c r="BN19" s="1">
        <f t="shared" si="17"/>
        <v>0</v>
      </c>
      <c r="BO19" s="1">
        <f t="shared" si="1"/>
        <v>0</v>
      </c>
      <c r="BP19" s="1">
        <f t="shared" si="2"/>
        <v>0</v>
      </c>
      <c r="BQ19" s="267">
        <f t="shared" si="12"/>
        <v>0</v>
      </c>
      <c r="BR19" s="105">
        <f t="shared" si="4"/>
        <v>0</v>
      </c>
      <c r="BS19" s="81">
        <f t="shared" si="5"/>
        <v>0</v>
      </c>
    </row>
    <row r="20" spans="1:71" ht="15.6" x14ac:dyDescent="0.3">
      <c r="A20" s="39"/>
      <c r="B20" s="11">
        <v>11</v>
      </c>
      <c r="C20" s="16"/>
      <c r="D20" s="16"/>
      <c r="E20" s="35"/>
      <c r="F20" s="35"/>
      <c r="G20" s="29"/>
      <c r="H20" s="16"/>
      <c r="I20" s="16"/>
      <c r="J20" s="496"/>
      <c r="K20" s="39"/>
      <c r="L20" s="288"/>
      <c r="M20" s="288"/>
      <c r="N20" s="110"/>
      <c r="O20" s="436">
        <v>0</v>
      </c>
      <c r="P20" s="436">
        <v>0</v>
      </c>
      <c r="Q20" s="436">
        <v>0</v>
      </c>
      <c r="R20" s="436">
        <v>0</v>
      </c>
      <c r="S20" s="436">
        <v>0</v>
      </c>
      <c r="T20" s="436">
        <v>0</v>
      </c>
      <c r="U20" s="436">
        <v>0</v>
      </c>
      <c r="V20" s="436">
        <v>0</v>
      </c>
      <c r="W20" s="436">
        <v>0</v>
      </c>
      <c r="X20" s="436">
        <v>0</v>
      </c>
      <c r="Y20" s="436">
        <v>0</v>
      </c>
      <c r="Z20" s="436">
        <v>0</v>
      </c>
      <c r="AA20" s="436">
        <v>0</v>
      </c>
      <c r="AB20" s="436">
        <v>0</v>
      </c>
      <c r="AC20" s="436">
        <v>0</v>
      </c>
      <c r="AD20" s="436">
        <v>0</v>
      </c>
      <c r="AE20" s="42">
        <f t="shared" si="13"/>
        <v>0</v>
      </c>
      <c r="AF20" s="51">
        <v>0</v>
      </c>
      <c r="AG20" s="218">
        <f t="shared" ref="AG20:AG39" si="19">AE20-AF20</f>
        <v>0</v>
      </c>
      <c r="AH20" s="745">
        <v>0</v>
      </c>
      <c r="AI20" s="745">
        <f t="shared" si="14"/>
        <v>0</v>
      </c>
      <c r="AJ20" s="745"/>
      <c r="AK20" s="745"/>
      <c r="AL20" s="268"/>
      <c r="AM20" s="16"/>
      <c r="AN20" s="286"/>
      <c r="AO20" s="29"/>
      <c r="AP20" s="29"/>
      <c r="AQ20" s="29"/>
      <c r="AR20" s="29"/>
      <c r="AS20" s="29"/>
      <c r="AT20" s="29"/>
      <c r="AU20" s="120"/>
      <c r="AV20" s="120"/>
      <c r="AW20" s="110" t="str">
        <f t="shared" si="0"/>
        <v/>
      </c>
      <c r="AX20" s="141"/>
      <c r="AY20" s="16"/>
      <c r="AZ20" s="40"/>
      <c r="BA20" s="16"/>
      <c r="BB20" s="498" t="s">
        <v>589</v>
      </c>
      <c r="BC20" s="498" t="s">
        <v>589</v>
      </c>
      <c r="BD20" s="141"/>
      <c r="BE20"/>
      <c r="BF20" s="8">
        <f t="shared" si="7"/>
        <v>0</v>
      </c>
      <c r="BG20" s="29">
        <f t="shared" si="8"/>
        <v>0</v>
      </c>
      <c r="BH20" s="29">
        <f t="shared" si="9"/>
        <v>0</v>
      </c>
      <c r="BI20" s="29">
        <f t="shared" si="10"/>
        <v>0</v>
      </c>
      <c r="BJ20" s="29">
        <f t="shared" si="15"/>
        <v>0</v>
      </c>
      <c r="BK20" s="11">
        <f t="shared" si="16"/>
        <v>0</v>
      </c>
      <c r="BL20" s="11">
        <f t="shared" si="18"/>
        <v>0</v>
      </c>
      <c r="BM20" s="11">
        <f t="shared" si="11"/>
        <v>0</v>
      </c>
      <c r="BN20" s="1">
        <f t="shared" si="17"/>
        <v>0</v>
      </c>
      <c r="BO20" s="1">
        <f t="shared" si="1"/>
        <v>0</v>
      </c>
      <c r="BP20" s="1">
        <f t="shared" si="2"/>
        <v>0</v>
      </c>
      <c r="BQ20" s="267">
        <f t="shared" si="12"/>
        <v>0</v>
      </c>
      <c r="BR20" s="105">
        <f t="shared" si="4"/>
        <v>0</v>
      </c>
      <c r="BS20" s="81">
        <f t="shared" si="5"/>
        <v>0</v>
      </c>
    </row>
    <row r="21" spans="1:71" ht="15.6" x14ac:dyDescent="0.3">
      <c r="A21" s="39"/>
      <c r="B21" s="11">
        <v>12</v>
      </c>
      <c r="C21" s="16"/>
      <c r="D21" s="16"/>
      <c r="E21" s="35"/>
      <c r="F21" s="35"/>
      <c r="G21" s="29"/>
      <c r="H21" s="16"/>
      <c r="I21" s="16"/>
      <c r="J21" s="496"/>
      <c r="K21" s="39"/>
      <c r="L21" s="288"/>
      <c r="M21" s="288"/>
      <c r="N21" s="110"/>
      <c r="O21" s="436">
        <v>0</v>
      </c>
      <c r="P21" s="436">
        <v>0</v>
      </c>
      <c r="Q21" s="436">
        <v>0</v>
      </c>
      <c r="R21" s="436">
        <v>0</v>
      </c>
      <c r="S21" s="436">
        <v>0</v>
      </c>
      <c r="T21" s="436">
        <v>0</v>
      </c>
      <c r="U21" s="436">
        <v>0</v>
      </c>
      <c r="V21" s="436">
        <v>0</v>
      </c>
      <c r="W21" s="436">
        <v>0</v>
      </c>
      <c r="X21" s="436">
        <v>0</v>
      </c>
      <c r="Y21" s="436">
        <v>0</v>
      </c>
      <c r="Z21" s="436">
        <v>0</v>
      </c>
      <c r="AA21" s="436">
        <v>0</v>
      </c>
      <c r="AB21" s="436">
        <v>0</v>
      </c>
      <c r="AC21" s="436">
        <v>0</v>
      </c>
      <c r="AD21" s="436">
        <v>0</v>
      </c>
      <c r="AE21" s="42">
        <f t="shared" si="13"/>
        <v>0</v>
      </c>
      <c r="AF21" s="51">
        <v>0</v>
      </c>
      <c r="AG21" s="218">
        <f t="shared" si="19"/>
        <v>0</v>
      </c>
      <c r="AH21" s="745">
        <v>0</v>
      </c>
      <c r="AI21" s="745">
        <f t="shared" si="14"/>
        <v>0</v>
      </c>
      <c r="AJ21" s="745"/>
      <c r="AK21" s="745"/>
      <c r="AL21" s="268"/>
      <c r="AM21" s="16"/>
      <c r="AN21" s="286"/>
      <c r="AO21" s="29"/>
      <c r="AP21" s="29"/>
      <c r="AQ21" s="29"/>
      <c r="AR21" s="29"/>
      <c r="AS21" s="29"/>
      <c r="AT21" s="29"/>
      <c r="AU21" s="120"/>
      <c r="AV21" s="120"/>
      <c r="AW21" s="110" t="str">
        <f t="shared" si="0"/>
        <v/>
      </c>
      <c r="AX21" s="141"/>
      <c r="AY21" s="16"/>
      <c r="AZ21" s="40"/>
      <c r="BA21" s="16"/>
      <c r="BB21" s="498" t="s">
        <v>589</v>
      </c>
      <c r="BC21" s="498" t="s">
        <v>589</v>
      </c>
      <c r="BD21" s="141"/>
      <c r="BE21"/>
      <c r="BF21" s="8">
        <f t="shared" si="7"/>
        <v>0</v>
      </c>
      <c r="BG21" s="29">
        <f t="shared" si="8"/>
        <v>0</v>
      </c>
      <c r="BH21" s="29">
        <f t="shared" si="9"/>
        <v>0</v>
      </c>
      <c r="BI21" s="29">
        <f t="shared" si="10"/>
        <v>0</v>
      </c>
      <c r="BJ21" s="29">
        <f t="shared" si="15"/>
        <v>0</v>
      </c>
      <c r="BK21" s="11">
        <f t="shared" si="16"/>
        <v>0</v>
      </c>
      <c r="BL21" s="11">
        <f t="shared" si="18"/>
        <v>0</v>
      </c>
      <c r="BM21" s="11">
        <f t="shared" si="11"/>
        <v>0</v>
      </c>
      <c r="BN21" s="1">
        <f t="shared" si="17"/>
        <v>0</v>
      </c>
      <c r="BO21" s="1">
        <f t="shared" si="1"/>
        <v>0</v>
      </c>
      <c r="BP21" s="1">
        <f t="shared" si="2"/>
        <v>0</v>
      </c>
      <c r="BQ21" s="267">
        <f t="shared" si="12"/>
        <v>0</v>
      </c>
      <c r="BR21" s="105">
        <f t="shared" si="4"/>
        <v>0</v>
      </c>
      <c r="BS21" s="81">
        <f t="shared" si="5"/>
        <v>0</v>
      </c>
    </row>
    <row r="22" spans="1:71" ht="15.6" x14ac:dyDescent="0.3">
      <c r="A22" s="39"/>
      <c r="B22" s="11">
        <v>13</v>
      </c>
      <c r="C22" s="16"/>
      <c r="D22" s="16"/>
      <c r="E22" s="35"/>
      <c r="F22" s="35"/>
      <c r="G22" s="29"/>
      <c r="H22" s="16"/>
      <c r="I22" s="16"/>
      <c r="J22" s="496"/>
      <c r="K22" s="39"/>
      <c r="L22" s="288"/>
      <c r="M22" s="288"/>
      <c r="N22" s="110"/>
      <c r="O22" s="436">
        <v>0</v>
      </c>
      <c r="P22" s="436">
        <v>0</v>
      </c>
      <c r="Q22" s="436">
        <v>0</v>
      </c>
      <c r="R22" s="436">
        <v>0</v>
      </c>
      <c r="S22" s="436">
        <v>0</v>
      </c>
      <c r="T22" s="436">
        <v>0</v>
      </c>
      <c r="U22" s="436">
        <v>0</v>
      </c>
      <c r="V22" s="436">
        <v>0</v>
      </c>
      <c r="W22" s="436">
        <v>0</v>
      </c>
      <c r="X22" s="436">
        <v>0</v>
      </c>
      <c r="Y22" s="436">
        <v>0</v>
      </c>
      <c r="Z22" s="436">
        <v>0</v>
      </c>
      <c r="AA22" s="436">
        <v>0</v>
      </c>
      <c r="AB22" s="436">
        <v>0</v>
      </c>
      <c r="AC22" s="436">
        <v>0</v>
      </c>
      <c r="AD22" s="436">
        <v>0</v>
      </c>
      <c r="AE22" s="42">
        <f t="shared" si="13"/>
        <v>0</v>
      </c>
      <c r="AF22" s="51">
        <v>0</v>
      </c>
      <c r="AG22" s="218">
        <f t="shared" si="19"/>
        <v>0</v>
      </c>
      <c r="AH22" s="745">
        <v>0</v>
      </c>
      <c r="AI22" s="745">
        <f t="shared" si="14"/>
        <v>0</v>
      </c>
      <c r="AJ22" s="745"/>
      <c r="AK22" s="745"/>
      <c r="AL22" s="268"/>
      <c r="AM22" s="16"/>
      <c r="AN22" s="286"/>
      <c r="AO22" s="29"/>
      <c r="AP22" s="29"/>
      <c r="AQ22" s="29"/>
      <c r="AR22" s="29"/>
      <c r="AS22" s="29"/>
      <c r="AT22" s="29"/>
      <c r="AU22" s="120"/>
      <c r="AV22" s="120"/>
      <c r="AW22" s="110" t="str">
        <f t="shared" si="0"/>
        <v/>
      </c>
      <c r="AX22" s="141"/>
      <c r="AY22" s="16"/>
      <c r="AZ22" s="40"/>
      <c r="BA22" s="16"/>
      <c r="BB22" s="498" t="s">
        <v>589</v>
      </c>
      <c r="BC22" s="498" t="s">
        <v>589</v>
      </c>
      <c r="BD22" s="141"/>
      <c r="BE22"/>
      <c r="BF22" s="8">
        <f t="shared" si="7"/>
        <v>0</v>
      </c>
      <c r="BG22" s="29">
        <f t="shared" si="8"/>
        <v>0</v>
      </c>
      <c r="BH22" s="29">
        <f t="shared" si="9"/>
        <v>0</v>
      </c>
      <c r="BI22" s="29">
        <f t="shared" si="10"/>
        <v>0</v>
      </c>
      <c r="BJ22" s="29">
        <f t="shared" si="15"/>
        <v>0</v>
      </c>
      <c r="BK22" s="11">
        <f t="shared" si="16"/>
        <v>0</v>
      </c>
      <c r="BL22" s="11">
        <f t="shared" si="18"/>
        <v>0</v>
      </c>
      <c r="BM22" s="11">
        <f t="shared" si="11"/>
        <v>0</v>
      </c>
      <c r="BN22" s="1">
        <f t="shared" si="17"/>
        <v>0</v>
      </c>
      <c r="BO22" s="1">
        <f t="shared" si="1"/>
        <v>0</v>
      </c>
      <c r="BP22" s="1">
        <f t="shared" si="2"/>
        <v>0</v>
      </c>
      <c r="BQ22" s="267">
        <f t="shared" si="12"/>
        <v>0</v>
      </c>
      <c r="BR22" s="105">
        <f t="shared" si="4"/>
        <v>0</v>
      </c>
      <c r="BS22" s="81">
        <f t="shared" si="5"/>
        <v>0</v>
      </c>
    </row>
    <row r="23" spans="1:71" ht="15.6" x14ac:dyDescent="0.3">
      <c r="A23" s="39"/>
      <c r="B23" s="11">
        <v>14</v>
      </c>
      <c r="C23" s="16"/>
      <c r="D23" s="16"/>
      <c r="E23" s="35"/>
      <c r="F23" s="35"/>
      <c r="G23" s="29"/>
      <c r="H23" s="16"/>
      <c r="I23" s="16"/>
      <c r="J23" s="496"/>
      <c r="K23" s="39"/>
      <c r="L23" s="288"/>
      <c r="M23" s="288"/>
      <c r="N23" s="110"/>
      <c r="O23" s="436">
        <v>0</v>
      </c>
      <c r="P23" s="436">
        <v>0</v>
      </c>
      <c r="Q23" s="436">
        <v>0</v>
      </c>
      <c r="R23" s="436">
        <v>0</v>
      </c>
      <c r="S23" s="436">
        <v>0</v>
      </c>
      <c r="T23" s="436">
        <v>0</v>
      </c>
      <c r="U23" s="436">
        <v>0</v>
      </c>
      <c r="V23" s="436">
        <v>0</v>
      </c>
      <c r="W23" s="436">
        <v>0</v>
      </c>
      <c r="X23" s="436">
        <v>0</v>
      </c>
      <c r="Y23" s="436">
        <v>0</v>
      </c>
      <c r="Z23" s="436">
        <v>0</v>
      </c>
      <c r="AA23" s="436">
        <v>0</v>
      </c>
      <c r="AB23" s="436">
        <v>0</v>
      </c>
      <c r="AC23" s="436">
        <v>0</v>
      </c>
      <c r="AD23" s="436">
        <v>0</v>
      </c>
      <c r="AE23" s="42">
        <f t="shared" si="13"/>
        <v>0</v>
      </c>
      <c r="AF23" s="51">
        <v>0</v>
      </c>
      <c r="AG23" s="218">
        <f t="shared" si="19"/>
        <v>0</v>
      </c>
      <c r="AH23" s="745">
        <v>0</v>
      </c>
      <c r="AI23" s="745">
        <f t="shared" si="14"/>
        <v>0</v>
      </c>
      <c r="AJ23" s="745"/>
      <c r="AK23" s="745"/>
      <c r="AL23" s="268"/>
      <c r="AM23" s="16"/>
      <c r="AN23" s="286"/>
      <c r="AO23" s="29"/>
      <c r="AP23" s="29"/>
      <c r="AQ23" s="29"/>
      <c r="AR23" s="29"/>
      <c r="AS23" s="29"/>
      <c r="AT23" s="29"/>
      <c r="AU23" s="120"/>
      <c r="AV23" s="120"/>
      <c r="AW23" s="110" t="str">
        <f t="shared" si="0"/>
        <v/>
      </c>
      <c r="AX23" s="141"/>
      <c r="AY23" s="16"/>
      <c r="AZ23" s="40"/>
      <c r="BA23" s="16"/>
      <c r="BB23" s="498" t="s">
        <v>589</v>
      </c>
      <c r="BC23" s="498" t="s">
        <v>589</v>
      </c>
      <c r="BD23" s="141"/>
      <c r="BF23" s="8">
        <f t="shared" si="7"/>
        <v>0</v>
      </c>
      <c r="BG23" s="29">
        <f t="shared" si="8"/>
        <v>0</v>
      </c>
      <c r="BH23" s="29">
        <f t="shared" si="9"/>
        <v>0</v>
      </c>
      <c r="BI23" s="29">
        <f t="shared" si="10"/>
        <v>0</v>
      </c>
      <c r="BJ23" s="29">
        <f t="shared" si="15"/>
        <v>0</v>
      </c>
      <c r="BK23" s="11">
        <f t="shared" si="16"/>
        <v>0</v>
      </c>
      <c r="BL23" s="11">
        <f t="shared" si="18"/>
        <v>0</v>
      </c>
      <c r="BM23" s="11">
        <f t="shared" si="11"/>
        <v>0</v>
      </c>
      <c r="BN23" s="1">
        <f t="shared" si="17"/>
        <v>0</v>
      </c>
      <c r="BO23" s="1">
        <f t="shared" si="1"/>
        <v>0</v>
      </c>
      <c r="BP23" s="1">
        <f t="shared" si="2"/>
        <v>0</v>
      </c>
      <c r="BQ23" s="267">
        <f t="shared" si="12"/>
        <v>0</v>
      </c>
      <c r="BR23" s="105">
        <f t="shared" si="4"/>
        <v>0</v>
      </c>
      <c r="BS23" s="81">
        <f t="shared" si="5"/>
        <v>0</v>
      </c>
    </row>
    <row r="24" spans="1:71" ht="15.6" x14ac:dyDescent="0.3">
      <c r="A24" s="39"/>
      <c r="B24" s="11">
        <v>15</v>
      </c>
      <c r="C24" s="16"/>
      <c r="D24" s="16"/>
      <c r="E24" s="35"/>
      <c r="F24" s="35"/>
      <c r="G24" s="29"/>
      <c r="H24" s="16"/>
      <c r="I24" s="16"/>
      <c r="J24" s="496"/>
      <c r="K24" s="39"/>
      <c r="L24" s="288"/>
      <c r="M24" s="288"/>
      <c r="N24" s="110"/>
      <c r="O24" s="436">
        <v>0</v>
      </c>
      <c r="P24" s="436">
        <v>0</v>
      </c>
      <c r="Q24" s="436">
        <v>0</v>
      </c>
      <c r="R24" s="436">
        <v>0</v>
      </c>
      <c r="S24" s="436">
        <v>0</v>
      </c>
      <c r="T24" s="436">
        <v>0</v>
      </c>
      <c r="U24" s="436">
        <v>0</v>
      </c>
      <c r="V24" s="436">
        <v>0</v>
      </c>
      <c r="W24" s="436">
        <v>0</v>
      </c>
      <c r="X24" s="436">
        <v>0</v>
      </c>
      <c r="Y24" s="436">
        <v>0</v>
      </c>
      <c r="Z24" s="436">
        <v>0</v>
      </c>
      <c r="AA24" s="436">
        <v>0</v>
      </c>
      <c r="AB24" s="436">
        <v>0</v>
      </c>
      <c r="AC24" s="436">
        <v>0</v>
      </c>
      <c r="AD24" s="436">
        <v>0</v>
      </c>
      <c r="AE24" s="42">
        <f t="shared" si="13"/>
        <v>0</v>
      </c>
      <c r="AF24" s="51">
        <v>0</v>
      </c>
      <c r="AG24" s="218">
        <f t="shared" si="19"/>
        <v>0</v>
      </c>
      <c r="AH24" s="745">
        <v>0</v>
      </c>
      <c r="AI24" s="745">
        <f t="shared" si="14"/>
        <v>0</v>
      </c>
      <c r="AJ24" s="745"/>
      <c r="AK24" s="745"/>
      <c r="AL24" s="268"/>
      <c r="AM24" s="16"/>
      <c r="AN24" s="286"/>
      <c r="AO24" s="29"/>
      <c r="AP24" s="29"/>
      <c r="AQ24" s="29"/>
      <c r="AR24" s="29"/>
      <c r="AS24" s="29"/>
      <c r="AT24" s="29"/>
      <c r="AU24" s="120"/>
      <c r="AV24" s="120"/>
      <c r="AW24" s="110" t="str">
        <f t="shared" si="0"/>
        <v/>
      </c>
      <c r="AX24" s="141"/>
      <c r="AY24" s="16"/>
      <c r="AZ24" s="40"/>
      <c r="BA24" s="16"/>
      <c r="BB24" s="498" t="s">
        <v>589</v>
      </c>
      <c r="BC24" s="498" t="s">
        <v>589</v>
      </c>
      <c r="BD24" s="141"/>
      <c r="BE24"/>
      <c r="BF24" s="8">
        <f t="shared" si="7"/>
        <v>0</v>
      </c>
      <c r="BG24" s="29">
        <f t="shared" si="8"/>
        <v>0</v>
      </c>
      <c r="BH24" s="29">
        <f t="shared" si="9"/>
        <v>0</v>
      </c>
      <c r="BI24" s="29">
        <f t="shared" si="10"/>
        <v>0</v>
      </c>
      <c r="BJ24" s="29">
        <f t="shared" si="15"/>
        <v>0</v>
      </c>
      <c r="BK24" s="11">
        <f t="shared" si="16"/>
        <v>0</v>
      </c>
      <c r="BL24" s="11">
        <f t="shared" si="18"/>
        <v>0</v>
      </c>
      <c r="BM24" s="11">
        <f t="shared" si="11"/>
        <v>0</v>
      </c>
      <c r="BN24" s="1">
        <f t="shared" si="17"/>
        <v>0</v>
      </c>
      <c r="BO24" s="1">
        <f t="shared" si="1"/>
        <v>0</v>
      </c>
      <c r="BP24" s="1">
        <f t="shared" si="2"/>
        <v>0</v>
      </c>
      <c r="BQ24" s="267">
        <f t="shared" si="12"/>
        <v>0</v>
      </c>
      <c r="BR24" s="105">
        <f t="shared" si="4"/>
        <v>0</v>
      </c>
      <c r="BS24" s="81">
        <f t="shared" si="5"/>
        <v>0</v>
      </c>
    </row>
    <row r="25" spans="1:71" ht="15.6" x14ac:dyDescent="0.3">
      <c r="B25" s="11">
        <v>16</v>
      </c>
      <c r="C25" s="16"/>
      <c r="D25" s="16"/>
      <c r="E25" s="35"/>
      <c r="F25" s="35"/>
      <c r="G25" s="29"/>
      <c r="H25" s="16"/>
      <c r="I25" s="16"/>
      <c r="J25" s="496"/>
      <c r="K25" s="39"/>
      <c r="L25" s="288"/>
      <c r="M25" s="288"/>
      <c r="N25" s="110"/>
      <c r="O25" s="436">
        <v>0</v>
      </c>
      <c r="P25" s="436">
        <v>0</v>
      </c>
      <c r="Q25" s="436">
        <v>0</v>
      </c>
      <c r="R25" s="436">
        <v>0</v>
      </c>
      <c r="S25" s="436">
        <v>0</v>
      </c>
      <c r="T25" s="436">
        <v>0</v>
      </c>
      <c r="U25" s="436">
        <v>0</v>
      </c>
      <c r="V25" s="436">
        <v>0</v>
      </c>
      <c r="W25" s="436">
        <v>0</v>
      </c>
      <c r="X25" s="436">
        <v>0</v>
      </c>
      <c r="Y25" s="436">
        <v>0</v>
      </c>
      <c r="Z25" s="436">
        <v>0</v>
      </c>
      <c r="AA25" s="436">
        <v>0</v>
      </c>
      <c r="AB25" s="436">
        <v>0</v>
      </c>
      <c r="AC25" s="436">
        <v>0</v>
      </c>
      <c r="AD25" s="436">
        <v>0</v>
      </c>
      <c r="AE25" s="42">
        <f t="shared" si="13"/>
        <v>0</v>
      </c>
      <c r="AF25" s="51">
        <v>0</v>
      </c>
      <c r="AG25" s="218">
        <f t="shared" si="19"/>
        <v>0</v>
      </c>
      <c r="AH25" s="745">
        <v>0</v>
      </c>
      <c r="AI25" s="745">
        <f t="shared" si="14"/>
        <v>0</v>
      </c>
      <c r="AJ25" s="745"/>
      <c r="AK25" s="745"/>
      <c r="AL25" s="268"/>
      <c r="AM25" s="16"/>
      <c r="AN25" s="286"/>
      <c r="AO25" s="29"/>
      <c r="AP25" s="29"/>
      <c r="AQ25" s="29"/>
      <c r="AR25" s="29"/>
      <c r="AS25" s="29"/>
      <c r="AT25" s="29"/>
      <c r="AU25" s="120"/>
      <c r="AV25" s="120"/>
      <c r="AW25" s="110" t="str">
        <f t="shared" si="0"/>
        <v/>
      </c>
      <c r="AX25" s="141"/>
      <c r="AY25" s="16"/>
      <c r="AZ25" s="40"/>
      <c r="BA25" s="16"/>
      <c r="BB25" s="498" t="s">
        <v>589</v>
      </c>
      <c r="BC25" s="498" t="s">
        <v>589</v>
      </c>
      <c r="BD25" s="141"/>
      <c r="BF25" s="8">
        <f t="shared" si="7"/>
        <v>0</v>
      </c>
      <c r="BG25" s="29">
        <f t="shared" si="8"/>
        <v>0</v>
      </c>
      <c r="BH25" s="29">
        <f t="shared" si="9"/>
        <v>0</v>
      </c>
      <c r="BI25" s="29">
        <f t="shared" si="10"/>
        <v>0</v>
      </c>
      <c r="BJ25" s="29">
        <f t="shared" si="15"/>
        <v>0</v>
      </c>
      <c r="BK25" s="11">
        <f t="shared" si="16"/>
        <v>0</v>
      </c>
      <c r="BL25" s="11">
        <f t="shared" si="18"/>
        <v>0</v>
      </c>
      <c r="BM25" s="11">
        <f t="shared" si="11"/>
        <v>0</v>
      </c>
      <c r="BN25" s="1">
        <f t="shared" si="17"/>
        <v>0</v>
      </c>
      <c r="BO25" s="1">
        <f t="shared" si="1"/>
        <v>0</v>
      </c>
      <c r="BP25" s="1">
        <f t="shared" si="2"/>
        <v>0</v>
      </c>
      <c r="BQ25" s="267">
        <f t="shared" si="12"/>
        <v>0</v>
      </c>
      <c r="BR25" s="105">
        <f t="shared" si="4"/>
        <v>0</v>
      </c>
      <c r="BS25" s="81">
        <f t="shared" si="5"/>
        <v>0</v>
      </c>
    </row>
    <row r="26" spans="1:71" ht="15.6" x14ac:dyDescent="0.3">
      <c r="B26" s="11">
        <v>17</v>
      </c>
      <c r="C26" s="16"/>
      <c r="D26" s="16"/>
      <c r="E26" s="35"/>
      <c r="F26" s="35"/>
      <c r="G26" s="29"/>
      <c r="H26" s="16"/>
      <c r="I26" s="16"/>
      <c r="J26" s="496"/>
      <c r="K26" s="39"/>
      <c r="L26" s="288"/>
      <c r="M26" s="288"/>
      <c r="N26" s="110"/>
      <c r="O26" s="436">
        <v>0</v>
      </c>
      <c r="P26" s="436">
        <v>0</v>
      </c>
      <c r="Q26" s="436">
        <v>0</v>
      </c>
      <c r="R26" s="436">
        <v>0</v>
      </c>
      <c r="S26" s="436">
        <v>0</v>
      </c>
      <c r="T26" s="436">
        <v>0</v>
      </c>
      <c r="U26" s="436">
        <v>0</v>
      </c>
      <c r="V26" s="436">
        <v>0</v>
      </c>
      <c r="W26" s="436">
        <v>0</v>
      </c>
      <c r="X26" s="436">
        <v>0</v>
      </c>
      <c r="Y26" s="436">
        <v>0</v>
      </c>
      <c r="Z26" s="436">
        <v>0</v>
      </c>
      <c r="AA26" s="436">
        <v>0</v>
      </c>
      <c r="AB26" s="436">
        <v>0</v>
      </c>
      <c r="AC26" s="436">
        <v>0</v>
      </c>
      <c r="AD26" s="436">
        <v>0</v>
      </c>
      <c r="AE26" s="42">
        <f t="shared" si="13"/>
        <v>0</v>
      </c>
      <c r="AF26" s="51">
        <v>0</v>
      </c>
      <c r="AG26" s="218">
        <f t="shared" si="19"/>
        <v>0</v>
      </c>
      <c r="AH26" s="745">
        <v>0</v>
      </c>
      <c r="AI26" s="745">
        <f t="shared" si="14"/>
        <v>0</v>
      </c>
      <c r="AJ26" s="745"/>
      <c r="AK26" s="745"/>
      <c r="AL26" s="268"/>
      <c r="AM26" s="16"/>
      <c r="AN26" s="286"/>
      <c r="AO26" s="29"/>
      <c r="AP26" s="29"/>
      <c r="AQ26" s="29"/>
      <c r="AR26" s="29"/>
      <c r="AS26" s="29"/>
      <c r="AT26" s="29"/>
      <c r="AU26" s="120"/>
      <c r="AV26" s="120"/>
      <c r="AW26" s="110" t="str">
        <f t="shared" si="0"/>
        <v/>
      </c>
      <c r="AX26" s="141"/>
      <c r="AY26" s="16"/>
      <c r="AZ26" s="40"/>
      <c r="BA26" s="16"/>
      <c r="BB26" s="498" t="s">
        <v>589</v>
      </c>
      <c r="BC26" s="498" t="s">
        <v>589</v>
      </c>
      <c r="BD26" s="141"/>
      <c r="BF26" s="8">
        <f t="shared" si="7"/>
        <v>0</v>
      </c>
      <c r="BG26" s="29">
        <f t="shared" si="8"/>
        <v>0</v>
      </c>
      <c r="BH26" s="29">
        <f t="shared" si="9"/>
        <v>0</v>
      </c>
      <c r="BI26" s="29">
        <f t="shared" si="10"/>
        <v>0</v>
      </c>
      <c r="BJ26" s="29">
        <f t="shared" si="15"/>
        <v>0</v>
      </c>
      <c r="BK26" s="11">
        <f t="shared" si="16"/>
        <v>0</v>
      </c>
      <c r="BL26" s="11">
        <f t="shared" si="18"/>
        <v>0</v>
      </c>
      <c r="BM26" s="11">
        <f t="shared" si="11"/>
        <v>0</v>
      </c>
      <c r="BN26" s="1">
        <f t="shared" si="17"/>
        <v>0</v>
      </c>
      <c r="BO26" s="1">
        <f t="shared" si="1"/>
        <v>0</v>
      </c>
      <c r="BP26" s="1">
        <f t="shared" si="2"/>
        <v>0</v>
      </c>
      <c r="BQ26" s="267">
        <f t="shared" si="12"/>
        <v>0</v>
      </c>
      <c r="BR26" s="105">
        <f t="shared" si="4"/>
        <v>0</v>
      </c>
      <c r="BS26" s="81">
        <f t="shared" si="5"/>
        <v>0</v>
      </c>
    </row>
    <row r="27" spans="1:71" ht="15.6" x14ac:dyDescent="0.3">
      <c r="A27" s="39"/>
      <c r="B27" s="11">
        <v>18</v>
      </c>
      <c r="C27" s="16"/>
      <c r="D27" s="16"/>
      <c r="E27" s="35"/>
      <c r="F27" s="35"/>
      <c r="G27" s="29"/>
      <c r="H27" s="16"/>
      <c r="I27" s="16"/>
      <c r="J27" s="496"/>
      <c r="K27" s="39"/>
      <c r="L27" s="288"/>
      <c r="M27" s="288"/>
      <c r="N27" s="110"/>
      <c r="O27" s="436">
        <v>0</v>
      </c>
      <c r="P27" s="436">
        <v>0</v>
      </c>
      <c r="Q27" s="436">
        <v>0</v>
      </c>
      <c r="R27" s="436">
        <v>0</v>
      </c>
      <c r="S27" s="436">
        <v>0</v>
      </c>
      <c r="T27" s="436">
        <v>0</v>
      </c>
      <c r="U27" s="436">
        <v>0</v>
      </c>
      <c r="V27" s="436">
        <v>0</v>
      </c>
      <c r="W27" s="436">
        <v>0</v>
      </c>
      <c r="X27" s="436">
        <v>0</v>
      </c>
      <c r="Y27" s="436">
        <v>0</v>
      </c>
      <c r="Z27" s="436">
        <v>0</v>
      </c>
      <c r="AA27" s="436">
        <v>0</v>
      </c>
      <c r="AB27" s="436">
        <v>0</v>
      </c>
      <c r="AC27" s="436">
        <v>0</v>
      </c>
      <c r="AD27" s="436">
        <v>0</v>
      </c>
      <c r="AE27" s="42">
        <f t="shared" si="13"/>
        <v>0</v>
      </c>
      <c r="AF27" s="51">
        <v>0</v>
      </c>
      <c r="AG27" s="218">
        <f t="shared" si="19"/>
        <v>0</v>
      </c>
      <c r="AH27" s="745">
        <v>0</v>
      </c>
      <c r="AI27" s="745">
        <f t="shared" si="14"/>
        <v>0</v>
      </c>
      <c r="AJ27" s="745"/>
      <c r="AK27" s="745"/>
      <c r="AL27" s="268"/>
      <c r="AM27" s="16"/>
      <c r="AN27" s="286"/>
      <c r="AO27" s="29"/>
      <c r="AP27" s="29"/>
      <c r="AQ27" s="29"/>
      <c r="AR27" s="29"/>
      <c r="AS27" s="29"/>
      <c r="AT27" s="29"/>
      <c r="AU27" s="120"/>
      <c r="AV27" s="120"/>
      <c r="AW27" s="110" t="str">
        <f t="shared" si="0"/>
        <v/>
      </c>
      <c r="AX27" s="140"/>
      <c r="AY27" s="16"/>
      <c r="AZ27" s="16"/>
      <c r="BA27" s="16"/>
      <c r="BB27" s="498" t="s">
        <v>589</v>
      </c>
      <c r="BC27" s="498" t="s">
        <v>589</v>
      </c>
      <c r="BD27" s="141"/>
      <c r="BE27"/>
      <c r="BF27" s="8">
        <f t="shared" si="7"/>
        <v>0</v>
      </c>
      <c r="BG27" s="29">
        <f t="shared" si="8"/>
        <v>0</v>
      </c>
      <c r="BH27" s="29">
        <f t="shared" si="9"/>
        <v>0</v>
      </c>
      <c r="BI27" s="29">
        <f t="shared" si="10"/>
        <v>0</v>
      </c>
      <c r="BJ27" s="29">
        <f t="shared" si="15"/>
        <v>0</v>
      </c>
      <c r="BK27" s="11">
        <f t="shared" si="16"/>
        <v>0</v>
      </c>
      <c r="BL27" s="11">
        <f t="shared" si="18"/>
        <v>0</v>
      </c>
      <c r="BM27" s="11">
        <f t="shared" si="11"/>
        <v>0</v>
      </c>
      <c r="BN27" s="1">
        <f t="shared" si="17"/>
        <v>0</v>
      </c>
      <c r="BO27" s="1">
        <f t="shared" si="1"/>
        <v>0</v>
      </c>
      <c r="BP27" s="1">
        <f t="shared" si="2"/>
        <v>0</v>
      </c>
      <c r="BQ27" s="267">
        <f t="shared" si="12"/>
        <v>0</v>
      </c>
      <c r="BR27" s="105">
        <f t="shared" si="4"/>
        <v>0</v>
      </c>
      <c r="BS27" s="81">
        <f t="shared" si="5"/>
        <v>0</v>
      </c>
    </row>
    <row r="28" spans="1:71" ht="15.6" x14ac:dyDescent="0.3">
      <c r="A28" s="39"/>
      <c r="B28" s="11">
        <v>19</v>
      </c>
      <c r="C28" s="16"/>
      <c r="D28" s="16"/>
      <c r="E28" s="35"/>
      <c r="F28" s="35"/>
      <c r="G28" s="29"/>
      <c r="H28" s="16"/>
      <c r="I28" s="16"/>
      <c r="J28" s="496"/>
      <c r="K28" s="39"/>
      <c r="L28" s="288"/>
      <c r="M28" s="288"/>
      <c r="N28" s="110"/>
      <c r="O28" s="436">
        <v>0</v>
      </c>
      <c r="P28" s="436">
        <v>0</v>
      </c>
      <c r="Q28" s="436">
        <v>0</v>
      </c>
      <c r="R28" s="436">
        <v>0</v>
      </c>
      <c r="S28" s="436">
        <v>0</v>
      </c>
      <c r="T28" s="436">
        <v>0</v>
      </c>
      <c r="U28" s="436">
        <v>0</v>
      </c>
      <c r="V28" s="436">
        <v>0</v>
      </c>
      <c r="W28" s="436">
        <v>0</v>
      </c>
      <c r="X28" s="436">
        <v>0</v>
      </c>
      <c r="Y28" s="436">
        <v>0</v>
      </c>
      <c r="Z28" s="436">
        <v>0</v>
      </c>
      <c r="AA28" s="436">
        <v>0</v>
      </c>
      <c r="AB28" s="436">
        <v>0</v>
      </c>
      <c r="AC28" s="436">
        <v>0</v>
      </c>
      <c r="AD28" s="436">
        <v>0</v>
      </c>
      <c r="AE28" s="42">
        <f t="shared" si="13"/>
        <v>0</v>
      </c>
      <c r="AF28" s="51">
        <v>0</v>
      </c>
      <c r="AG28" s="218">
        <f t="shared" si="19"/>
        <v>0</v>
      </c>
      <c r="AH28" s="745">
        <v>0</v>
      </c>
      <c r="AI28" s="745">
        <f t="shared" si="14"/>
        <v>0</v>
      </c>
      <c r="AJ28" s="745"/>
      <c r="AK28" s="745"/>
      <c r="AL28" s="268"/>
      <c r="AM28" s="16"/>
      <c r="AN28" s="286"/>
      <c r="AO28" s="29"/>
      <c r="AP28" s="29"/>
      <c r="AQ28" s="29"/>
      <c r="AR28" s="29"/>
      <c r="AS28" s="29"/>
      <c r="AT28" s="29"/>
      <c r="AU28" s="120"/>
      <c r="AV28" s="120"/>
      <c r="AW28" s="110" t="str">
        <f t="shared" si="0"/>
        <v/>
      </c>
      <c r="AX28" s="141"/>
      <c r="AY28" s="16"/>
      <c r="AZ28" s="40"/>
      <c r="BA28" s="16"/>
      <c r="BB28" s="498" t="s">
        <v>589</v>
      </c>
      <c r="BC28" s="498" t="s">
        <v>589</v>
      </c>
      <c r="BD28" s="141"/>
      <c r="BE28"/>
      <c r="BF28" s="8">
        <f t="shared" si="7"/>
        <v>0</v>
      </c>
      <c r="BG28" s="29">
        <f t="shared" si="8"/>
        <v>0</v>
      </c>
      <c r="BH28" s="29">
        <f t="shared" si="9"/>
        <v>0</v>
      </c>
      <c r="BI28" s="29">
        <f t="shared" si="10"/>
        <v>0</v>
      </c>
      <c r="BJ28" s="29">
        <f t="shared" si="15"/>
        <v>0</v>
      </c>
      <c r="BK28" s="11">
        <f t="shared" si="16"/>
        <v>0</v>
      </c>
      <c r="BL28" s="11">
        <f t="shared" si="18"/>
        <v>0</v>
      </c>
      <c r="BM28" s="11">
        <f t="shared" si="11"/>
        <v>0</v>
      </c>
      <c r="BN28" s="1">
        <f t="shared" si="17"/>
        <v>0</v>
      </c>
      <c r="BO28" s="1">
        <f t="shared" si="1"/>
        <v>0</v>
      </c>
      <c r="BP28" s="1">
        <f t="shared" si="2"/>
        <v>0</v>
      </c>
      <c r="BQ28" s="267">
        <f t="shared" si="12"/>
        <v>0</v>
      </c>
      <c r="BR28" s="105">
        <f t="shared" si="4"/>
        <v>0</v>
      </c>
      <c r="BS28" s="81">
        <f t="shared" si="5"/>
        <v>0</v>
      </c>
    </row>
    <row r="29" spans="1:71" ht="15.6" x14ac:dyDescent="0.3">
      <c r="A29" s="39"/>
      <c r="B29" s="11">
        <v>20</v>
      </c>
      <c r="C29" s="16"/>
      <c r="D29" s="16"/>
      <c r="E29" s="35"/>
      <c r="F29" s="35"/>
      <c r="G29" s="29"/>
      <c r="H29" s="16"/>
      <c r="I29" s="16"/>
      <c r="J29" s="496"/>
      <c r="K29" s="39"/>
      <c r="L29" s="288"/>
      <c r="M29" s="288"/>
      <c r="N29" s="110"/>
      <c r="O29" s="436">
        <v>0</v>
      </c>
      <c r="P29" s="436">
        <v>0</v>
      </c>
      <c r="Q29" s="436">
        <v>0</v>
      </c>
      <c r="R29" s="436">
        <v>0</v>
      </c>
      <c r="S29" s="436">
        <v>0</v>
      </c>
      <c r="T29" s="436">
        <v>0</v>
      </c>
      <c r="U29" s="436">
        <v>0</v>
      </c>
      <c r="V29" s="436">
        <v>0</v>
      </c>
      <c r="W29" s="436">
        <v>0</v>
      </c>
      <c r="X29" s="436">
        <v>0</v>
      </c>
      <c r="Y29" s="436">
        <v>0</v>
      </c>
      <c r="Z29" s="436">
        <v>0</v>
      </c>
      <c r="AA29" s="436">
        <v>0</v>
      </c>
      <c r="AB29" s="436">
        <v>0</v>
      </c>
      <c r="AC29" s="436">
        <v>0</v>
      </c>
      <c r="AD29" s="436">
        <v>0</v>
      </c>
      <c r="AE29" s="42">
        <f t="shared" si="13"/>
        <v>0</v>
      </c>
      <c r="AF29" s="51">
        <v>0</v>
      </c>
      <c r="AG29" s="218">
        <f t="shared" si="19"/>
        <v>0</v>
      </c>
      <c r="AH29" s="745">
        <v>0</v>
      </c>
      <c r="AI29" s="745">
        <f t="shared" si="14"/>
        <v>0</v>
      </c>
      <c r="AJ29" s="745"/>
      <c r="AK29" s="745"/>
      <c r="AL29" s="268"/>
      <c r="AM29" s="16"/>
      <c r="AN29" s="286"/>
      <c r="AO29" s="29"/>
      <c r="AP29" s="29"/>
      <c r="AQ29" s="29"/>
      <c r="AR29" s="29"/>
      <c r="AS29" s="29"/>
      <c r="AT29" s="29"/>
      <c r="AU29" s="120"/>
      <c r="AV29" s="120"/>
      <c r="AW29" s="110" t="str">
        <f t="shared" si="0"/>
        <v/>
      </c>
      <c r="AX29" s="141"/>
      <c r="AY29" s="16"/>
      <c r="AZ29" s="40"/>
      <c r="BA29" s="16"/>
      <c r="BB29" s="498" t="s">
        <v>589</v>
      </c>
      <c r="BC29" s="498" t="s">
        <v>589</v>
      </c>
      <c r="BD29" s="141"/>
      <c r="BE29"/>
      <c r="BF29" s="8">
        <f t="shared" si="7"/>
        <v>0</v>
      </c>
      <c r="BG29" s="29">
        <f t="shared" si="8"/>
        <v>0</v>
      </c>
      <c r="BH29" s="29">
        <f t="shared" si="9"/>
        <v>0</v>
      </c>
      <c r="BI29" s="29">
        <f t="shared" si="10"/>
        <v>0</v>
      </c>
      <c r="BJ29" s="29">
        <f t="shared" si="15"/>
        <v>0</v>
      </c>
      <c r="BK29" s="11">
        <f t="shared" si="16"/>
        <v>0</v>
      </c>
      <c r="BL29" s="11">
        <f t="shared" si="18"/>
        <v>0</v>
      </c>
      <c r="BM29" s="11">
        <f t="shared" si="11"/>
        <v>0</v>
      </c>
      <c r="BN29" s="1">
        <f t="shared" si="17"/>
        <v>0</v>
      </c>
      <c r="BO29" s="1">
        <f t="shared" si="1"/>
        <v>0</v>
      </c>
      <c r="BP29" s="1">
        <f t="shared" si="2"/>
        <v>0</v>
      </c>
      <c r="BQ29" s="267">
        <f t="shared" si="12"/>
        <v>0</v>
      </c>
      <c r="BR29" s="105">
        <f t="shared" si="4"/>
        <v>0</v>
      </c>
      <c r="BS29" s="81">
        <f t="shared" si="5"/>
        <v>0</v>
      </c>
    </row>
    <row r="30" spans="1:71" ht="15.6" x14ac:dyDescent="0.3">
      <c r="A30" s="39"/>
      <c r="B30" s="11">
        <v>21</v>
      </c>
      <c r="C30" s="16"/>
      <c r="D30" s="16"/>
      <c r="E30" s="35"/>
      <c r="F30" s="35"/>
      <c r="G30" s="29"/>
      <c r="H30" s="16"/>
      <c r="I30" s="16"/>
      <c r="J30" s="496"/>
      <c r="K30" s="39"/>
      <c r="L30" s="288"/>
      <c r="M30" s="288"/>
      <c r="N30" s="110"/>
      <c r="O30" s="436">
        <v>0</v>
      </c>
      <c r="P30" s="436">
        <v>0</v>
      </c>
      <c r="Q30" s="436">
        <v>0</v>
      </c>
      <c r="R30" s="436">
        <v>0</v>
      </c>
      <c r="S30" s="436">
        <v>0</v>
      </c>
      <c r="T30" s="436">
        <v>0</v>
      </c>
      <c r="U30" s="436">
        <v>0</v>
      </c>
      <c r="V30" s="436">
        <v>0</v>
      </c>
      <c r="W30" s="436">
        <v>0</v>
      </c>
      <c r="X30" s="436">
        <v>0</v>
      </c>
      <c r="Y30" s="436">
        <v>0</v>
      </c>
      <c r="Z30" s="436">
        <v>0</v>
      </c>
      <c r="AA30" s="436">
        <v>0</v>
      </c>
      <c r="AB30" s="436">
        <v>0</v>
      </c>
      <c r="AC30" s="436">
        <v>0</v>
      </c>
      <c r="AD30" s="436">
        <v>0</v>
      </c>
      <c r="AE30" s="42">
        <f t="shared" si="13"/>
        <v>0</v>
      </c>
      <c r="AF30" s="51">
        <v>0</v>
      </c>
      <c r="AG30" s="218">
        <f t="shared" si="19"/>
        <v>0</v>
      </c>
      <c r="AH30" s="745">
        <v>0</v>
      </c>
      <c r="AI30" s="745">
        <f t="shared" si="14"/>
        <v>0</v>
      </c>
      <c r="AJ30" s="745"/>
      <c r="AK30" s="745"/>
      <c r="AL30" s="268"/>
      <c r="AM30" s="16"/>
      <c r="AN30" s="286"/>
      <c r="AO30" s="29"/>
      <c r="AP30" s="29"/>
      <c r="AQ30" s="29"/>
      <c r="AR30" s="29"/>
      <c r="AS30" s="29"/>
      <c r="AT30" s="29"/>
      <c r="AU30" s="120"/>
      <c r="AV30" s="120"/>
      <c r="AW30" s="110" t="str">
        <f t="shared" si="0"/>
        <v/>
      </c>
      <c r="AX30" s="141"/>
      <c r="AY30" s="16"/>
      <c r="AZ30" s="40"/>
      <c r="BA30" s="16"/>
      <c r="BB30" s="498" t="s">
        <v>589</v>
      </c>
      <c r="BC30" s="498" t="s">
        <v>589</v>
      </c>
      <c r="BD30" s="141"/>
      <c r="BE30"/>
      <c r="BF30" s="8">
        <f t="shared" si="7"/>
        <v>0</v>
      </c>
      <c r="BG30" s="29">
        <f t="shared" si="8"/>
        <v>0</v>
      </c>
      <c r="BH30" s="29">
        <f t="shared" si="9"/>
        <v>0</v>
      </c>
      <c r="BI30" s="29">
        <f t="shared" si="10"/>
        <v>0</v>
      </c>
      <c r="BJ30" s="29">
        <f t="shared" si="15"/>
        <v>0</v>
      </c>
      <c r="BK30" s="11">
        <f t="shared" si="16"/>
        <v>0</v>
      </c>
      <c r="BL30" s="11">
        <f t="shared" si="18"/>
        <v>0</v>
      </c>
      <c r="BM30" s="11">
        <f t="shared" si="11"/>
        <v>0</v>
      </c>
      <c r="BN30" s="1">
        <f t="shared" si="17"/>
        <v>0</v>
      </c>
      <c r="BO30" s="1">
        <f t="shared" si="1"/>
        <v>0</v>
      </c>
      <c r="BP30" s="1">
        <f t="shared" si="2"/>
        <v>0</v>
      </c>
      <c r="BQ30" s="267">
        <f t="shared" si="12"/>
        <v>0</v>
      </c>
      <c r="BR30" s="105">
        <f t="shared" si="4"/>
        <v>0</v>
      </c>
      <c r="BS30" s="81">
        <f t="shared" si="5"/>
        <v>0</v>
      </c>
    </row>
    <row r="31" spans="1:71" ht="15.6" x14ac:dyDescent="0.3">
      <c r="A31" s="39"/>
      <c r="B31" s="11">
        <v>22</v>
      </c>
      <c r="C31" s="16"/>
      <c r="D31" s="16"/>
      <c r="E31" s="35"/>
      <c r="F31" s="35"/>
      <c r="G31" s="29"/>
      <c r="H31" s="16"/>
      <c r="I31" s="16"/>
      <c r="J31" s="496"/>
      <c r="K31" s="39"/>
      <c r="L31" s="288"/>
      <c r="M31" s="288"/>
      <c r="N31" s="110"/>
      <c r="O31" s="436">
        <v>0</v>
      </c>
      <c r="P31" s="436">
        <v>0</v>
      </c>
      <c r="Q31" s="436">
        <v>0</v>
      </c>
      <c r="R31" s="436">
        <v>0</v>
      </c>
      <c r="S31" s="436">
        <v>0</v>
      </c>
      <c r="T31" s="436">
        <v>0</v>
      </c>
      <c r="U31" s="436">
        <v>0</v>
      </c>
      <c r="V31" s="436">
        <v>0</v>
      </c>
      <c r="W31" s="436">
        <v>0</v>
      </c>
      <c r="X31" s="436">
        <v>0</v>
      </c>
      <c r="Y31" s="436">
        <v>0</v>
      </c>
      <c r="Z31" s="436">
        <v>0</v>
      </c>
      <c r="AA31" s="436">
        <v>0</v>
      </c>
      <c r="AB31" s="436">
        <v>0</v>
      </c>
      <c r="AC31" s="436">
        <v>0</v>
      </c>
      <c r="AD31" s="436">
        <v>0</v>
      </c>
      <c r="AE31" s="42">
        <f t="shared" si="13"/>
        <v>0</v>
      </c>
      <c r="AF31" s="51">
        <v>0</v>
      </c>
      <c r="AG31" s="218">
        <f t="shared" si="19"/>
        <v>0</v>
      </c>
      <c r="AH31" s="745">
        <v>0</v>
      </c>
      <c r="AI31" s="745">
        <f t="shared" si="14"/>
        <v>0</v>
      </c>
      <c r="AJ31" s="745"/>
      <c r="AK31" s="745"/>
      <c r="AL31" s="268"/>
      <c r="AM31" s="16"/>
      <c r="AN31" s="286"/>
      <c r="AO31" s="29"/>
      <c r="AP31" s="29"/>
      <c r="AQ31" s="29"/>
      <c r="AR31" s="29"/>
      <c r="AS31" s="29"/>
      <c r="AT31" s="29"/>
      <c r="AU31" s="120"/>
      <c r="AV31" s="120"/>
      <c r="AW31" s="110" t="str">
        <f t="shared" si="0"/>
        <v/>
      </c>
      <c r="AX31" s="141"/>
      <c r="AY31" s="16"/>
      <c r="AZ31" s="40"/>
      <c r="BA31" s="16"/>
      <c r="BB31" s="498" t="s">
        <v>589</v>
      </c>
      <c r="BC31" s="498" t="s">
        <v>589</v>
      </c>
      <c r="BD31" s="141"/>
      <c r="BF31" s="8">
        <f t="shared" si="7"/>
        <v>0</v>
      </c>
      <c r="BG31" s="29">
        <f t="shared" si="8"/>
        <v>0</v>
      </c>
      <c r="BH31" s="29">
        <f t="shared" si="9"/>
        <v>0</v>
      </c>
      <c r="BI31" s="29">
        <f t="shared" si="10"/>
        <v>0</v>
      </c>
      <c r="BJ31" s="29">
        <f t="shared" si="15"/>
        <v>0</v>
      </c>
      <c r="BK31" s="11">
        <f t="shared" si="16"/>
        <v>0</v>
      </c>
      <c r="BL31" s="11">
        <f t="shared" si="18"/>
        <v>0</v>
      </c>
      <c r="BM31" s="11">
        <f t="shared" si="11"/>
        <v>0</v>
      </c>
      <c r="BN31" s="1">
        <f t="shared" si="17"/>
        <v>0</v>
      </c>
      <c r="BO31" s="1">
        <f t="shared" si="1"/>
        <v>0</v>
      </c>
      <c r="BP31" s="1">
        <f t="shared" si="2"/>
        <v>0</v>
      </c>
      <c r="BQ31" s="267">
        <f t="shared" si="12"/>
        <v>0</v>
      </c>
      <c r="BR31" s="105">
        <f t="shared" si="4"/>
        <v>0</v>
      </c>
      <c r="BS31" s="81">
        <f t="shared" si="5"/>
        <v>0</v>
      </c>
    </row>
    <row r="32" spans="1:71" ht="15.6" x14ac:dyDescent="0.3">
      <c r="A32" s="39"/>
      <c r="B32" s="11">
        <v>23</v>
      </c>
      <c r="C32" s="16"/>
      <c r="D32" s="16"/>
      <c r="E32" s="35"/>
      <c r="F32" s="35"/>
      <c r="G32" s="29"/>
      <c r="H32" s="16"/>
      <c r="I32" s="16"/>
      <c r="J32" s="496"/>
      <c r="K32" s="39"/>
      <c r="L32" s="288"/>
      <c r="M32" s="288"/>
      <c r="N32" s="110"/>
      <c r="O32" s="436">
        <v>0</v>
      </c>
      <c r="P32" s="436">
        <v>0</v>
      </c>
      <c r="Q32" s="436">
        <v>0</v>
      </c>
      <c r="R32" s="436">
        <v>0</v>
      </c>
      <c r="S32" s="436">
        <v>0</v>
      </c>
      <c r="T32" s="436">
        <v>0</v>
      </c>
      <c r="U32" s="436">
        <v>0</v>
      </c>
      <c r="V32" s="436">
        <v>0</v>
      </c>
      <c r="W32" s="436">
        <v>0</v>
      </c>
      <c r="X32" s="436">
        <v>0</v>
      </c>
      <c r="Y32" s="436">
        <v>0</v>
      </c>
      <c r="Z32" s="436">
        <v>0</v>
      </c>
      <c r="AA32" s="436">
        <v>0</v>
      </c>
      <c r="AB32" s="436">
        <v>0</v>
      </c>
      <c r="AC32" s="436">
        <v>0</v>
      </c>
      <c r="AD32" s="436">
        <v>0</v>
      </c>
      <c r="AE32" s="42">
        <f t="shared" si="13"/>
        <v>0</v>
      </c>
      <c r="AF32" s="51">
        <v>0</v>
      </c>
      <c r="AG32" s="218">
        <f t="shared" si="19"/>
        <v>0</v>
      </c>
      <c r="AH32" s="745">
        <v>0</v>
      </c>
      <c r="AI32" s="745">
        <f t="shared" si="14"/>
        <v>0</v>
      </c>
      <c r="AJ32" s="745"/>
      <c r="AK32" s="745"/>
      <c r="AL32" s="268"/>
      <c r="AM32" s="16"/>
      <c r="AN32" s="286"/>
      <c r="AO32" s="29"/>
      <c r="AP32" s="29"/>
      <c r="AQ32" s="29"/>
      <c r="AR32" s="29"/>
      <c r="AS32" s="29"/>
      <c r="AT32" s="29"/>
      <c r="AU32" s="120"/>
      <c r="AV32" s="120"/>
      <c r="AW32" s="110" t="str">
        <f t="shared" si="0"/>
        <v/>
      </c>
      <c r="AX32" s="141"/>
      <c r="AY32" s="16"/>
      <c r="AZ32" s="40"/>
      <c r="BA32" s="16"/>
      <c r="BB32" s="498" t="s">
        <v>589</v>
      </c>
      <c r="BC32" s="498" t="s">
        <v>589</v>
      </c>
      <c r="BD32" s="141"/>
      <c r="BE32"/>
      <c r="BF32" s="8">
        <f t="shared" si="7"/>
        <v>0</v>
      </c>
      <c r="BG32" s="29">
        <f t="shared" si="8"/>
        <v>0</v>
      </c>
      <c r="BH32" s="29">
        <f t="shared" si="9"/>
        <v>0</v>
      </c>
      <c r="BI32" s="29">
        <f t="shared" si="10"/>
        <v>0</v>
      </c>
      <c r="BJ32" s="29">
        <f t="shared" si="15"/>
        <v>0</v>
      </c>
      <c r="BK32" s="11">
        <f t="shared" si="16"/>
        <v>0</v>
      </c>
      <c r="BL32" s="11">
        <f t="shared" si="18"/>
        <v>0</v>
      </c>
      <c r="BM32" s="11">
        <f t="shared" si="11"/>
        <v>0</v>
      </c>
      <c r="BN32" s="1">
        <f t="shared" si="17"/>
        <v>0</v>
      </c>
      <c r="BO32" s="1">
        <f t="shared" si="1"/>
        <v>0</v>
      </c>
      <c r="BP32" s="1">
        <f t="shared" si="2"/>
        <v>0</v>
      </c>
      <c r="BQ32" s="267">
        <f t="shared" si="12"/>
        <v>0</v>
      </c>
      <c r="BR32" s="105">
        <f t="shared" si="4"/>
        <v>0</v>
      </c>
      <c r="BS32" s="81">
        <f t="shared" si="5"/>
        <v>0</v>
      </c>
    </row>
    <row r="33" spans="1:72" ht="15.6" x14ac:dyDescent="0.3">
      <c r="A33" s="39"/>
      <c r="B33" s="11">
        <v>24</v>
      </c>
      <c r="C33" s="16"/>
      <c r="D33" s="16"/>
      <c r="E33" s="35"/>
      <c r="F33" s="35"/>
      <c r="G33" s="29"/>
      <c r="H33" s="16"/>
      <c r="I33" s="16"/>
      <c r="J33" s="496"/>
      <c r="K33" s="39"/>
      <c r="L33" s="288"/>
      <c r="M33" s="288"/>
      <c r="N33" s="110"/>
      <c r="O33" s="436">
        <v>0</v>
      </c>
      <c r="P33" s="436">
        <v>0</v>
      </c>
      <c r="Q33" s="436">
        <v>0</v>
      </c>
      <c r="R33" s="436">
        <v>0</v>
      </c>
      <c r="S33" s="436">
        <v>0</v>
      </c>
      <c r="T33" s="436">
        <v>0</v>
      </c>
      <c r="U33" s="436">
        <v>0</v>
      </c>
      <c r="V33" s="436">
        <v>0</v>
      </c>
      <c r="W33" s="436">
        <v>0</v>
      </c>
      <c r="X33" s="436">
        <v>0</v>
      </c>
      <c r="Y33" s="436">
        <v>0</v>
      </c>
      <c r="Z33" s="436">
        <v>0</v>
      </c>
      <c r="AA33" s="436">
        <v>0</v>
      </c>
      <c r="AB33" s="436">
        <v>0</v>
      </c>
      <c r="AC33" s="436">
        <v>0</v>
      </c>
      <c r="AD33" s="436">
        <v>0</v>
      </c>
      <c r="AE33" s="42">
        <f t="shared" si="13"/>
        <v>0</v>
      </c>
      <c r="AF33" s="51">
        <v>0</v>
      </c>
      <c r="AG33" s="218">
        <f t="shared" si="19"/>
        <v>0</v>
      </c>
      <c r="AH33" s="745">
        <v>0</v>
      </c>
      <c r="AI33" s="745">
        <f t="shared" si="14"/>
        <v>0</v>
      </c>
      <c r="AJ33" s="745"/>
      <c r="AK33" s="745"/>
      <c r="AL33" s="268"/>
      <c r="AM33" s="16"/>
      <c r="AN33" s="286"/>
      <c r="AO33" s="29"/>
      <c r="AP33" s="29"/>
      <c r="AQ33" s="29"/>
      <c r="AR33" s="29"/>
      <c r="AS33" s="29"/>
      <c r="AT33" s="29"/>
      <c r="AU33" s="120"/>
      <c r="AV33" s="120"/>
      <c r="AW33" s="110" t="str">
        <f t="shared" si="0"/>
        <v/>
      </c>
      <c r="AX33" s="141"/>
      <c r="AY33" s="16"/>
      <c r="AZ33" s="40"/>
      <c r="BA33" s="16"/>
      <c r="BB33" s="498" t="s">
        <v>589</v>
      </c>
      <c r="BC33" s="498" t="s">
        <v>589</v>
      </c>
      <c r="BD33" s="141"/>
      <c r="BE33"/>
      <c r="BF33" s="8">
        <f t="shared" si="7"/>
        <v>0</v>
      </c>
      <c r="BG33" s="29">
        <f t="shared" si="8"/>
        <v>0</v>
      </c>
      <c r="BH33" s="29">
        <f t="shared" si="9"/>
        <v>0</v>
      </c>
      <c r="BI33" s="29">
        <f t="shared" si="10"/>
        <v>0</v>
      </c>
      <c r="BJ33" s="29">
        <f t="shared" si="15"/>
        <v>0</v>
      </c>
      <c r="BK33" s="11">
        <f t="shared" si="16"/>
        <v>0</v>
      </c>
      <c r="BL33" s="11">
        <f t="shared" si="18"/>
        <v>0</v>
      </c>
      <c r="BM33" s="11">
        <f t="shared" si="11"/>
        <v>0</v>
      </c>
      <c r="BN33" s="1">
        <f t="shared" si="17"/>
        <v>0</v>
      </c>
      <c r="BO33" s="1">
        <f t="shared" si="1"/>
        <v>0</v>
      </c>
      <c r="BP33" s="1">
        <f t="shared" si="2"/>
        <v>0</v>
      </c>
      <c r="BQ33" s="267">
        <f t="shared" si="12"/>
        <v>0</v>
      </c>
      <c r="BR33" s="105">
        <f t="shared" si="4"/>
        <v>0</v>
      </c>
      <c r="BS33" s="81">
        <f t="shared" si="5"/>
        <v>0</v>
      </c>
    </row>
    <row r="34" spans="1:72" ht="15.6" x14ac:dyDescent="0.3">
      <c r="A34" s="39"/>
      <c r="B34" s="11">
        <v>25</v>
      </c>
      <c r="C34" s="16"/>
      <c r="D34" s="16"/>
      <c r="E34" s="35"/>
      <c r="F34" s="35"/>
      <c r="G34" s="29"/>
      <c r="H34" s="16"/>
      <c r="I34" s="16"/>
      <c r="J34" s="496"/>
      <c r="K34" s="39"/>
      <c r="L34" s="288"/>
      <c r="M34" s="288"/>
      <c r="N34" s="110"/>
      <c r="O34" s="436">
        <v>0</v>
      </c>
      <c r="P34" s="436">
        <v>0</v>
      </c>
      <c r="Q34" s="436">
        <v>0</v>
      </c>
      <c r="R34" s="436">
        <v>0</v>
      </c>
      <c r="S34" s="436">
        <v>0</v>
      </c>
      <c r="T34" s="436">
        <v>0</v>
      </c>
      <c r="U34" s="436">
        <v>0</v>
      </c>
      <c r="V34" s="436">
        <v>0</v>
      </c>
      <c r="W34" s="436">
        <v>0</v>
      </c>
      <c r="X34" s="436">
        <v>0</v>
      </c>
      <c r="Y34" s="436">
        <v>0</v>
      </c>
      <c r="Z34" s="436">
        <v>0</v>
      </c>
      <c r="AA34" s="436">
        <v>0</v>
      </c>
      <c r="AB34" s="436">
        <v>0</v>
      </c>
      <c r="AC34" s="436">
        <v>0</v>
      </c>
      <c r="AD34" s="436">
        <v>0</v>
      </c>
      <c r="AE34" s="42">
        <f t="shared" si="13"/>
        <v>0</v>
      </c>
      <c r="AF34" s="51">
        <v>0</v>
      </c>
      <c r="AG34" s="218">
        <f t="shared" si="19"/>
        <v>0</v>
      </c>
      <c r="AH34" s="745">
        <v>0</v>
      </c>
      <c r="AI34" s="745">
        <f t="shared" si="14"/>
        <v>0</v>
      </c>
      <c r="AJ34" s="745"/>
      <c r="AK34" s="745"/>
      <c r="AL34" s="268"/>
      <c r="AM34" s="16"/>
      <c r="AN34" s="286"/>
      <c r="AO34" s="29"/>
      <c r="AP34" s="29"/>
      <c r="AQ34" s="29"/>
      <c r="AR34" s="29"/>
      <c r="AS34" s="29"/>
      <c r="AT34" s="29"/>
      <c r="AU34" s="120"/>
      <c r="AV34" s="120"/>
      <c r="AW34" s="110" t="str">
        <f t="shared" si="0"/>
        <v/>
      </c>
      <c r="AX34" s="141"/>
      <c r="AY34" s="16"/>
      <c r="AZ34" s="40"/>
      <c r="BA34" s="16"/>
      <c r="BB34" s="498" t="s">
        <v>589</v>
      </c>
      <c r="BC34" s="498" t="s">
        <v>589</v>
      </c>
      <c r="BD34" s="141"/>
      <c r="BE34"/>
      <c r="BF34" s="8">
        <f t="shared" si="7"/>
        <v>0</v>
      </c>
      <c r="BG34" s="29">
        <f t="shared" si="8"/>
        <v>0</v>
      </c>
      <c r="BH34" s="29">
        <f t="shared" si="9"/>
        <v>0</v>
      </c>
      <c r="BI34" s="29">
        <f t="shared" si="10"/>
        <v>0</v>
      </c>
      <c r="BJ34" s="29">
        <f t="shared" si="15"/>
        <v>0</v>
      </c>
      <c r="BK34" s="11">
        <f t="shared" si="16"/>
        <v>0</v>
      </c>
      <c r="BL34" s="11">
        <f t="shared" si="18"/>
        <v>0</v>
      </c>
      <c r="BM34" s="11">
        <f t="shared" si="11"/>
        <v>0</v>
      </c>
      <c r="BN34" s="1">
        <f t="shared" si="17"/>
        <v>0</v>
      </c>
      <c r="BO34" s="1">
        <f t="shared" si="1"/>
        <v>0</v>
      </c>
      <c r="BP34" s="1">
        <f t="shared" si="2"/>
        <v>0</v>
      </c>
      <c r="BQ34" s="267">
        <f t="shared" si="12"/>
        <v>0</v>
      </c>
      <c r="BR34" s="105">
        <f t="shared" si="4"/>
        <v>0</v>
      </c>
      <c r="BS34" s="81">
        <f t="shared" si="5"/>
        <v>0</v>
      </c>
    </row>
    <row r="35" spans="1:72" ht="15.6" x14ac:dyDescent="0.3">
      <c r="A35" s="39"/>
      <c r="B35" s="11">
        <v>26</v>
      </c>
      <c r="C35" s="16"/>
      <c r="D35" s="16"/>
      <c r="E35" s="35"/>
      <c r="F35" s="35"/>
      <c r="G35" s="29"/>
      <c r="H35" s="16"/>
      <c r="I35" s="16"/>
      <c r="J35" s="496"/>
      <c r="K35" s="39"/>
      <c r="L35" s="288"/>
      <c r="M35" s="288"/>
      <c r="N35" s="110"/>
      <c r="O35" s="436">
        <v>0</v>
      </c>
      <c r="P35" s="436">
        <v>0</v>
      </c>
      <c r="Q35" s="436">
        <v>0</v>
      </c>
      <c r="R35" s="436">
        <v>0</v>
      </c>
      <c r="S35" s="436">
        <v>0</v>
      </c>
      <c r="T35" s="436">
        <v>0</v>
      </c>
      <c r="U35" s="436">
        <v>0</v>
      </c>
      <c r="V35" s="436">
        <v>0</v>
      </c>
      <c r="W35" s="436">
        <v>0</v>
      </c>
      <c r="X35" s="436">
        <v>0</v>
      </c>
      <c r="Y35" s="436">
        <v>0</v>
      </c>
      <c r="Z35" s="436">
        <v>0</v>
      </c>
      <c r="AA35" s="436">
        <v>0</v>
      </c>
      <c r="AB35" s="436">
        <v>0</v>
      </c>
      <c r="AC35" s="436">
        <v>0</v>
      </c>
      <c r="AD35" s="436">
        <v>0</v>
      </c>
      <c r="AE35" s="42">
        <f t="shared" si="13"/>
        <v>0</v>
      </c>
      <c r="AF35" s="51">
        <v>0</v>
      </c>
      <c r="AG35" s="218">
        <f t="shared" si="19"/>
        <v>0</v>
      </c>
      <c r="AH35" s="745">
        <v>0</v>
      </c>
      <c r="AI35" s="745">
        <f t="shared" si="14"/>
        <v>0</v>
      </c>
      <c r="AJ35" s="745"/>
      <c r="AK35" s="745"/>
      <c r="AL35" s="268"/>
      <c r="AM35" s="16"/>
      <c r="AN35" s="286"/>
      <c r="AO35" s="29"/>
      <c r="AP35" s="29"/>
      <c r="AQ35" s="29"/>
      <c r="AR35" s="29"/>
      <c r="AS35" s="29"/>
      <c r="AT35" s="29"/>
      <c r="AU35" s="120"/>
      <c r="AV35" s="120"/>
      <c r="AW35" s="110" t="str">
        <f t="shared" si="0"/>
        <v/>
      </c>
      <c r="AX35" s="141"/>
      <c r="AY35" s="16"/>
      <c r="AZ35" s="40"/>
      <c r="BA35" s="16"/>
      <c r="BB35" s="498" t="s">
        <v>589</v>
      </c>
      <c r="BC35" s="498" t="s">
        <v>589</v>
      </c>
      <c r="BD35" s="141"/>
      <c r="BF35" s="8">
        <f t="shared" si="7"/>
        <v>0</v>
      </c>
      <c r="BG35" s="29">
        <f t="shared" si="8"/>
        <v>0</v>
      </c>
      <c r="BH35" s="29">
        <f t="shared" si="9"/>
        <v>0</v>
      </c>
      <c r="BI35" s="29">
        <f t="shared" si="10"/>
        <v>0</v>
      </c>
      <c r="BJ35" s="29">
        <f t="shared" si="15"/>
        <v>0</v>
      </c>
      <c r="BK35" s="11">
        <f t="shared" si="16"/>
        <v>0</v>
      </c>
      <c r="BL35" s="11">
        <f t="shared" si="18"/>
        <v>0</v>
      </c>
      <c r="BM35" s="11">
        <f t="shared" si="11"/>
        <v>0</v>
      </c>
      <c r="BN35" s="1">
        <f t="shared" si="17"/>
        <v>0</v>
      </c>
      <c r="BO35" s="1">
        <f t="shared" si="1"/>
        <v>0</v>
      </c>
      <c r="BP35" s="1">
        <f t="shared" si="2"/>
        <v>0</v>
      </c>
      <c r="BQ35" s="267">
        <f t="shared" si="12"/>
        <v>0</v>
      </c>
      <c r="BR35" s="105">
        <f t="shared" si="4"/>
        <v>0</v>
      </c>
      <c r="BS35" s="81">
        <f t="shared" si="5"/>
        <v>0</v>
      </c>
    </row>
    <row r="36" spans="1:72" ht="15.6" x14ac:dyDescent="0.3">
      <c r="B36" s="11">
        <v>27</v>
      </c>
      <c r="C36" s="16"/>
      <c r="D36" s="16"/>
      <c r="E36" s="35"/>
      <c r="F36" s="35"/>
      <c r="G36" s="29"/>
      <c r="H36" s="16"/>
      <c r="I36" s="16"/>
      <c r="J36" s="496"/>
      <c r="K36" s="39"/>
      <c r="L36" s="288"/>
      <c r="M36" s="288"/>
      <c r="N36" s="110"/>
      <c r="O36" s="436">
        <v>0</v>
      </c>
      <c r="P36" s="436">
        <v>0</v>
      </c>
      <c r="Q36" s="436">
        <v>0</v>
      </c>
      <c r="R36" s="436">
        <v>0</v>
      </c>
      <c r="S36" s="436">
        <v>0</v>
      </c>
      <c r="T36" s="436">
        <v>0</v>
      </c>
      <c r="U36" s="436">
        <v>0</v>
      </c>
      <c r="V36" s="436">
        <v>0</v>
      </c>
      <c r="W36" s="436">
        <v>0</v>
      </c>
      <c r="X36" s="436">
        <v>0</v>
      </c>
      <c r="Y36" s="436">
        <v>0</v>
      </c>
      <c r="Z36" s="436">
        <v>0</v>
      </c>
      <c r="AA36" s="436">
        <v>0</v>
      </c>
      <c r="AB36" s="436">
        <v>0</v>
      </c>
      <c r="AC36" s="436">
        <v>0</v>
      </c>
      <c r="AD36" s="436">
        <v>0</v>
      </c>
      <c r="AE36" s="42">
        <f t="shared" si="13"/>
        <v>0</v>
      </c>
      <c r="AF36" s="51">
        <v>0</v>
      </c>
      <c r="AG36" s="218">
        <f t="shared" si="19"/>
        <v>0</v>
      </c>
      <c r="AH36" s="745">
        <v>0</v>
      </c>
      <c r="AI36" s="745">
        <f t="shared" si="14"/>
        <v>0</v>
      </c>
      <c r="AJ36" s="745"/>
      <c r="AK36" s="745"/>
      <c r="AL36" s="268"/>
      <c r="AM36" s="16"/>
      <c r="AN36" s="286"/>
      <c r="AO36" s="29"/>
      <c r="AP36" s="29"/>
      <c r="AQ36" s="29"/>
      <c r="AR36" s="29"/>
      <c r="AS36" s="29"/>
      <c r="AT36" s="29"/>
      <c r="AU36" s="120"/>
      <c r="AV36" s="120"/>
      <c r="AW36" s="110" t="str">
        <f t="shared" si="0"/>
        <v/>
      </c>
      <c r="AX36" s="141"/>
      <c r="AY36" s="16"/>
      <c r="AZ36" s="40"/>
      <c r="BA36" s="16"/>
      <c r="BB36" s="498" t="s">
        <v>589</v>
      </c>
      <c r="BC36" s="498" t="s">
        <v>589</v>
      </c>
      <c r="BD36" s="141"/>
      <c r="BF36" s="8">
        <f t="shared" si="7"/>
        <v>0</v>
      </c>
      <c r="BG36" s="29">
        <f t="shared" si="8"/>
        <v>0</v>
      </c>
      <c r="BH36" s="29">
        <f t="shared" si="9"/>
        <v>0</v>
      </c>
      <c r="BI36" s="29">
        <f t="shared" si="10"/>
        <v>0</v>
      </c>
      <c r="BJ36" s="29">
        <f t="shared" si="15"/>
        <v>0</v>
      </c>
      <c r="BK36" s="11">
        <f t="shared" si="16"/>
        <v>0</v>
      </c>
      <c r="BL36" s="11">
        <f t="shared" si="18"/>
        <v>0</v>
      </c>
      <c r="BM36" s="11">
        <f t="shared" si="11"/>
        <v>0</v>
      </c>
      <c r="BN36" s="1">
        <f t="shared" si="17"/>
        <v>0</v>
      </c>
      <c r="BO36" s="1">
        <f t="shared" si="1"/>
        <v>0</v>
      </c>
      <c r="BP36" s="1">
        <f t="shared" si="2"/>
        <v>0</v>
      </c>
      <c r="BQ36" s="267">
        <f t="shared" si="12"/>
        <v>0</v>
      </c>
      <c r="BR36" s="105">
        <f t="shared" si="4"/>
        <v>0</v>
      </c>
      <c r="BS36" s="81">
        <f t="shared" si="5"/>
        <v>0</v>
      </c>
    </row>
    <row r="37" spans="1:72" ht="15.6" x14ac:dyDescent="0.3">
      <c r="B37" s="11">
        <v>28</v>
      </c>
      <c r="C37" s="16"/>
      <c r="D37" s="16"/>
      <c r="E37" s="35"/>
      <c r="F37" s="35"/>
      <c r="G37" s="29"/>
      <c r="H37" s="16"/>
      <c r="I37" s="16"/>
      <c r="J37" s="496"/>
      <c r="K37" s="39"/>
      <c r="L37" s="288"/>
      <c r="M37" s="288"/>
      <c r="N37" s="110"/>
      <c r="O37" s="436">
        <v>0</v>
      </c>
      <c r="P37" s="436">
        <v>0</v>
      </c>
      <c r="Q37" s="436">
        <v>0</v>
      </c>
      <c r="R37" s="436">
        <v>0</v>
      </c>
      <c r="S37" s="436">
        <v>0</v>
      </c>
      <c r="T37" s="436">
        <v>0</v>
      </c>
      <c r="U37" s="436">
        <v>0</v>
      </c>
      <c r="V37" s="436">
        <v>0</v>
      </c>
      <c r="W37" s="436">
        <v>0</v>
      </c>
      <c r="X37" s="436">
        <v>0</v>
      </c>
      <c r="Y37" s="436">
        <v>0</v>
      </c>
      <c r="Z37" s="436">
        <v>0</v>
      </c>
      <c r="AA37" s="436">
        <v>0</v>
      </c>
      <c r="AB37" s="436">
        <v>0</v>
      </c>
      <c r="AC37" s="436">
        <v>0</v>
      </c>
      <c r="AD37" s="436">
        <v>0</v>
      </c>
      <c r="AE37" s="42">
        <f t="shared" si="13"/>
        <v>0</v>
      </c>
      <c r="AF37" s="51">
        <v>0</v>
      </c>
      <c r="AG37" s="218">
        <f t="shared" si="19"/>
        <v>0</v>
      </c>
      <c r="AH37" s="745">
        <v>0</v>
      </c>
      <c r="AI37" s="745">
        <f t="shared" si="14"/>
        <v>0</v>
      </c>
      <c r="AJ37" s="745"/>
      <c r="AK37" s="745"/>
      <c r="AL37" s="268"/>
      <c r="AM37" s="16"/>
      <c r="AN37" s="286"/>
      <c r="AO37" s="29"/>
      <c r="AP37" s="29"/>
      <c r="AQ37" s="29"/>
      <c r="AR37" s="29"/>
      <c r="AS37" s="29"/>
      <c r="AT37" s="29"/>
      <c r="AU37" s="120"/>
      <c r="AV37" s="120"/>
      <c r="AW37" s="110" t="str">
        <f t="shared" si="0"/>
        <v/>
      </c>
      <c r="AX37" s="141"/>
      <c r="AY37" s="16"/>
      <c r="AZ37" s="40"/>
      <c r="BA37" s="16"/>
      <c r="BB37" s="498" t="s">
        <v>589</v>
      </c>
      <c r="BC37" s="498" t="s">
        <v>589</v>
      </c>
      <c r="BD37" s="141"/>
      <c r="BF37" s="8">
        <f t="shared" si="7"/>
        <v>0</v>
      </c>
      <c r="BG37" s="29">
        <f t="shared" si="8"/>
        <v>0</v>
      </c>
      <c r="BH37" s="29">
        <f t="shared" si="9"/>
        <v>0</v>
      </c>
      <c r="BI37" s="29">
        <f t="shared" si="10"/>
        <v>0</v>
      </c>
      <c r="BJ37" s="29">
        <f t="shared" si="15"/>
        <v>0</v>
      </c>
      <c r="BK37" s="11">
        <f t="shared" si="16"/>
        <v>0</v>
      </c>
      <c r="BL37" s="11">
        <f t="shared" si="18"/>
        <v>0</v>
      </c>
      <c r="BM37" s="11">
        <f t="shared" si="11"/>
        <v>0</v>
      </c>
      <c r="BN37" s="1">
        <f t="shared" si="17"/>
        <v>0</v>
      </c>
      <c r="BO37" s="1">
        <f t="shared" si="1"/>
        <v>0</v>
      </c>
      <c r="BP37" s="1">
        <f t="shared" si="2"/>
        <v>0</v>
      </c>
      <c r="BQ37" s="267">
        <f t="shared" si="12"/>
        <v>0</v>
      </c>
      <c r="BR37" s="105">
        <f t="shared" si="4"/>
        <v>0</v>
      </c>
      <c r="BS37" s="81">
        <f t="shared" si="5"/>
        <v>0</v>
      </c>
    </row>
    <row r="38" spans="1:72" ht="15.6" x14ac:dyDescent="0.3">
      <c r="B38" s="11">
        <v>29</v>
      </c>
      <c r="C38" s="16"/>
      <c r="D38" s="16"/>
      <c r="E38" s="35"/>
      <c r="F38" s="35"/>
      <c r="G38" s="29"/>
      <c r="H38" s="16"/>
      <c r="I38" s="16"/>
      <c r="J38" s="496"/>
      <c r="K38" s="39"/>
      <c r="L38" s="288"/>
      <c r="M38" s="288"/>
      <c r="N38" s="110"/>
      <c r="O38" s="436">
        <v>0</v>
      </c>
      <c r="P38" s="436">
        <v>0</v>
      </c>
      <c r="Q38" s="436">
        <v>0</v>
      </c>
      <c r="R38" s="436">
        <v>0</v>
      </c>
      <c r="S38" s="436">
        <v>0</v>
      </c>
      <c r="T38" s="436">
        <v>0</v>
      </c>
      <c r="U38" s="436">
        <v>0</v>
      </c>
      <c r="V38" s="436">
        <v>0</v>
      </c>
      <c r="W38" s="436">
        <v>0</v>
      </c>
      <c r="X38" s="436">
        <v>0</v>
      </c>
      <c r="Y38" s="436">
        <v>0</v>
      </c>
      <c r="Z38" s="436">
        <v>0</v>
      </c>
      <c r="AA38" s="436">
        <v>0</v>
      </c>
      <c r="AB38" s="436">
        <v>0</v>
      </c>
      <c r="AC38" s="436">
        <v>0</v>
      </c>
      <c r="AD38" s="436">
        <v>0</v>
      </c>
      <c r="AE38" s="42">
        <f t="shared" si="13"/>
        <v>0</v>
      </c>
      <c r="AF38" s="51">
        <v>0</v>
      </c>
      <c r="AG38" s="218">
        <f t="shared" si="19"/>
        <v>0</v>
      </c>
      <c r="AH38" s="745">
        <v>0</v>
      </c>
      <c r="AI38" s="745">
        <f t="shared" si="14"/>
        <v>0</v>
      </c>
      <c r="AJ38" s="745"/>
      <c r="AK38" s="745"/>
      <c r="AL38" s="268"/>
      <c r="AM38" s="16"/>
      <c r="AN38" s="286"/>
      <c r="AO38" s="29"/>
      <c r="AP38" s="29"/>
      <c r="AQ38" s="29"/>
      <c r="AR38" s="29"/>
      <c r="AS38" s="29"/>
      <c r="AT38" s="29"/>
      <c r="AU38" s="120"/>
      <c r="AV38" s="120"/>
      <c r="AW38" s="110" t="str">
        <f t="shared" si="0"/>
        <v/>
      </c>
      <c r="AX38" s="141"/>
      <c r="AY38" s="16"/>
      <c r="AZ38" s="40"/>
      <c r="BA38" s="16"/>
      <c r="BB38" s="498" t="s">
        <v>589</v>
      </c>
      <c r="BC38" s="498" t="s">
        <v>589</v>
      </c>
      <c r="BD38" s="141"/>
      <c r="BF38" s="8">
        <f t="shared" si="7"/>
        <v>0</v>
      </c>
      <c r="BG38" s="29">
        <f t="shared" si="8"/>
        <v>0</v>
      </c>
      <c r="BH38" s="29">
        <f t="shared" si="9"/>
        <v>0</v>
      </c>
      <c r="BI38" s="29">
        <f t="shared" si="10"/>
        <v>0</v>
      </c>
      <c r="BJ38" s="29">
        <f t="shared" si="15"/>
        <v>0</v>
      </c>
      <c r="BK38" s="11">
        <f t="shared" si="16"/>
        <v>0</v>
      </c>
      <c r="BL38" s="11">
        <f t="shared" si="18"/>
        <v>0</v>
      </c>
      <c r="BM38" s="11">
        <f t="shared" si="11"/>
        <v>0</v>
      </c>
      <c r="BN38" s="1">
        <f t="shared" si="17"/>
        <v>0</v>
      </c>
      <c r="BO38" s="1">
        <f t="shared" si="1"/>
        <v>0</v>
      </c>
      <c r="BP38" s="1">
        <f t="shared" si="2"/>
        <v>0</v>
      </c>
      <c r="BQ38" s="267">
        <f t="shared" si="12"/>
        <v>0</v>
      </c>
      <c r="BR38" s="105">
        <f t="shared" si="4"/>
        <v>0</v>
      </c>
      <c r="BS38" s="81">
        <f t="shared" si="5"/>
        <v>0</v>
      </c>
    </row>
    <row r="39" spans="1:72" ht="15.6" x14ac:dyDescent="0.3">
      <c r="B39" s="11">
        <v>30</v>
      </c>
      <c r="C39" s="16"/>
      <c r="D39" s="16"/>
      <c r="E39" s="35"/>
      <c r="F39" s="35"/>
      <c r="G39" s="29"/>
      <c r="H39" s="16"/>
      <c r="I39" s="16"/>
      <c r="J39" s="496"/>
      <c r="K39" s="39"/>
      <c r="L39" s="288"/>
      <c r="M39" s="288"/>
      <c r="N39" s="110"/>
      <c r="O39" s="42">
        <v>0</v>
      </c>
      <c r="P39" s="42">
        <v>0</v>
      </c>
      <c r="Q39" s="42">
        <v>0</v>
      </c>
      <c r="R39" s="42">
        <v>0</v>
      </c>
      <c r="S39" s="42">
        <v>0</v>
      </c>
      <c r="T39" s="42">
        <v>0</v>
      </c>
      <c r="U39" s="42">
        <v>0</v>
      </c>
      <c r="V39" s="42">
        <v>0</v>
      </c>
      <c r="W39" s="42">
        <v>0</v>
      </c>
      <c r="X39" s="42">
        <v>0</v>
      </c>
      <c r="Y39" s="42">
        <v>0</v>
      </c>
      <c r="Z39" s="42">
        <v>0</v>
      </c>
      <c r="AA39" s="42">
        <v>0</v>
      </c>
      <c r="AB39" s="42">
        <v>0</v>
      </c>
      <c r="AC39" s="42">
        <v>0</v>
      </c>
      <c r="AD39" s="42">
        <v>0</v>
      </c>
      <c r="AE39" s="42">
        <f t="shared" si="13"/>
        <v>0</v>
      </c>
      <c r="AF39" s="51">
        <v>0</v>
      </c>
      <c r="AG39" s="218">
        <f t="shared" si="19"/>
        <v>0</v>
      </c>
      <c r="AH39" s="745">
        <v>0</v>
      </c>
      <c r="AI39" s="745">
        <f t="shared" si="14"/>
        <v>0</v>
      </c>
      <c r="AJ39" s="745"/>
      <c r="AK39" s="745"/>
      <c r="AL39" s="268"/>
      <c r="AM39" s="16"/>
      <c r="AN39" s="286"/>
      <c r="AO39" s="29"/>
      <c r="AP39" s="29"/>
      <c r="AQ39" s="29"/>
      <c r="AR39" s="29"/>
      <c r="AS39" s="29"/>
      <c r="AT39" s="29"/>
      <c r="AU39" s="120"/>
      <c r="AV39" s="120"/>
      <c r="AW39" s="110" t="str">
        <f t="shared" si="0"/>
        <v/>
      </c>
      <c r="AX39" s="141"/>
      <c r="AY39" s="16"/>
      <c r="AZ39" s="40"/>
      <c r="BA39" s="16"/>
      <c r="BB39" s="498" t="s">
        <v>589</v>
      </c>
      <c r="BC39" s="498" t="s">
        <v>589</v>
      </c>
      <c r="BD39" s="141"/>
      <c r="BF39" s="8">
        <f t="shared" si="7"/>
        <v>0</v>
      </c>
      <c r="BG39" s="29">
        <f t="shared" si="8"/>
        <v>0</v>
      </c>
      <c r="BH39" s="29">
        <f t="shared" si="9"/>
        <v>0</v>
      </c>
      <c r="BI39" s="29">
        <f t="shared" si="10"/>
        <v>0</v>
      </c>
      <c r="BJ39" s="29">
        <f t="shared" si="15"/>
        <v>0</v>
      </c>
      <c r="BK39" s="11">
        <f t="shared" si="16"/>
        <v>0</v>
      </c>
      <c r="BL39" s="11">
        <f t="shared" si="18"/>
        <v>0</v>
      </c>
      <c r="BM39" s="11">
        <f t="shared" si="11"/>
        <v>0</v>
      </c>
      <c r="BN39" s="1">
        <f t="shared" si="17"/>
        <v>0</v>
      </c>
      <c r="BO39" s="1">
        <f t="shared" si="1"/>
        <v>0</v>
      </c>
      <c r="BP39" s="1">
        <f t="shared" si="2"/>
        <v>0</v>
      </c>
      <c r="BQ39" s="267">
        <f t="shared" si="12"/>
        <v>0</v>
      </c>
      <c r="BR39" s="105">
        <f t="shared" si="4"/>
        <v>0</v>
      </c>
      <c r="BS39" s="81">
        <f t="shared" si="5"/>
        <v>0</v>
      </c>
    </row>
    <row r="40" spans="1:72" ht="15.6" x14ac:dyDescent="0.3">
      <c r="B40" s="11"/>
      <c r="C40" s="16"/>
      <c r="D40" s="16"/>
      <c r="E40" s="35"/>
      <c r="F40" s="35"/>
      <c r="G40" s="29"/>
      <c r="H40" s="16"/>
      <c r="I40" s="16"/>
      <c r="J40" s="65"/>
      <c r="K40" s="39"/>
      <c r="L40" s="16"/>
      <c r="M40" s="16"/>
      <c r="N40" s="110"/>
      <c r="O40" s="42">
        <v>0</v>
      </c>
      <c r="P40" s="42">
        <v>0</v>
      </c>
      <c r="Q40" s="42">
        <v>0</v>
      </c>
      <c r="R40" s="42">
        <v>0</v>
      </c>
      <c r="S40" s="42">
        <v>0</v>
      </c>
      <c r="T40" s="42">
        <v>0</v>
      </c>
      <c r="U40" s="42">
        <v>0</v>
      </c>
      <c r="V40" s="42">
        <v>0</v>
      </c>
      <c r="W40" s="42">
        <v>0</v>
      </c>
      <c r="X40" s="42">
        <v>0</v>
      </c>
      <c r="Y40" s="42">
        <v>0</v>
      </c>
      <c r="Z40" s="42"/>
      <c r="AA40" s="42"/>
      <c r="AB40" s="42"/>
      <c r="AC40" s="42"/>
      <c r="AD40" s="42"/>
      <c r="AE40" s="42"/>
      <c r="AF40" s="42"/>
      <c r="AG40" s="218"/>
      <c r="AH40" s="745"/>
      <c r="AI40" s="745"/>
      <c r="AJ40" s="745"/>
      <c r="AK40" s="745"/>
      <c r="AL40" s="268"/>
      <c r="AM40" s="16"/>
      <c r="AN40" s="286"/>
      <c r="AO40" s="29"/>
      <c r="AP40" s="29"/>
      <c r="AQ40" s="29"/>
      <c r="AR40" s="29"/>
      <c r="AS40" s="29"/>
      <c r="AT40" s="29"/>
      <c r="AU40" s="120"/>
      <c r="AV40" s="120"/>
      <c r="AW40" s="110" t="str">
        <f>IF(C40="NO-OOS","N/A",IF(AT40="Driver's License",IF(AU40&gt;$AW$3,"SOS",IF(AV40&gt;=$AW$3,"Valid",IF(AND(AU40&lt;$AW$3,$AW$4&gt;$AW$3,AU40&gt;43831),"Covid","Expired"))),IF(AT40="I9",IF(AU40&gt;=$AW$3,"Valid",IF(AND(AT40&lt;$AW$3,$AW$4&gt;$AW$3,AU40&gt;43831),"Covid","Expired")),IF(AT40="Work Permit",IF(AND(AU40&lt;=$AW$2,(AV40+365)&gt;=$AW$3),"Valid","Expired"),IF(AT40="Missing Residency","Missing",IF(AT40="","","Other"))))))</f>
        <v/>
      </c>
      <c r="AX40" s="141"/>
      <c r="AY40" s="16"/>
      <c r="AZ40" s="40"/>
      <c r="BA40" s="16"/>
      <c r="BB40" s="110"/>
      <c r="BC40" s="29"/>
      <c r="BD40" s="141"/>
      <c r="BF40" s="8">
        <f t="shared" si="7"/>
        <v>0</v>
      </c>
      <c r="BG40" s="29">
        <f t="shared" si="8"/>
        <v>0</v>
      </c>
      <c r="BH40" s="29">
        <f t="shared" si="9"/>
        <v>0</v>
      </c>
      <c r="BI40" s="29">
        <f t="shared" si="10"/>
        <v>0</v>
      </c>
      <c r="BJ40" s="29">
        <f t="shared" si="15"/>
        <v>0</v>
      </c>
      <c r="BK40" s="11">
        <f t="shared" si="16"/>
        <v>0</v>
      </c>
      <c r="BL40" s="11">
        <f t="shared" si="18"/>
        <v>0</v>
      </c>
      <c r="BM40" s="11">
        <f t="shared" si="11"/>
        <v>0</v>
      </c>
      <c r="BN40" s="1">
        <f t="shared" si="17"/>
        <v>0</v>
      </c>
      <c r="BO40" s="1">
        <f t="shared" si="1"/>
        <v>0</v>
      </c>
      <c r="BP40" s="1">
        <f t="shared" si="2"/>
        <v>0</v>
      </c>
      <c r="BQ40" s="267">
        <f t="shared" si="12"/>
        <v>0</v>
      </c>
      <c r="BR40" s="105">
        <f t="shared" si="4"/>
        <v>0</v>
      </c>
      <c r="BS40" s="81">
        <f t="shared" si="5"/>
        <v>0</v>
      </c>
    </row>
    <row r="41" spans="1:72" ht="15.6" x14ac:dyDescent="0.3">
      <c r="A41" s="39"/>
      <c r="B41" s="11"/>
      <c r="C41" s="16"/>
      <c r="D41" s="16"/>
      <c r="E41" s="35"/>
      <c r="F41" s="35"/>
      <c r="G41" s="29"/>
      <c r="H41" s="16"/>
      <c r="I41" s="16"/>
      <c r="J41" s="65"/>
      <c r="K41" s="39"/>
      <c r="L41" s="16"/>
      <c r="M41" s="16"/>
      <c r="N41" s="110"/>
      <c r="O41" s="42">
        <v>0</v>
      </c>
      <c r="P41" s="42">
        <v>0</v>
      </c>
      <c r="Q41" s="42">
        <v>0</v>
      </c>
      <c r="R41" s="42">
        <v>0</v>
      </c>
      <c r="S41" s="42">
        <v>0</v>
      </c>
      <c r="T41" s="42">
        <v>0</v>
      </c>
      <c r="U41" s="42">
        <v>0</v>
      </c>
      <c r="V41" s="42">
        <v>0</v>
      </c>
      <c r="W41" s="42">
        <v>0</v>
      </c>
      <c r="X41" s="42">
        <v>0</v>
      </c>
      <c r="Y41" s="42"/>
      <c r="Z41" s="42"/>
      <c r="AA41" s="42"/>
      <c r="AB41" s="42"/>
      <c r="AC41" s="42"/>
      <c r="AD41" s="42"/>
      <c r="AE41" s="42"/>
      <c r="AF41" s="42"/>
      <c r="AG41" s="218"/>
      <c r="AH41" s="745"/>
      <c r="AI41" s="745"/>
      <c r="AJ41" s="745"/>
      <c r="AK41" s="745"/>
      <c r="AL41" s="268"/>
      <c r="AM41" s="16"/>
      <c r="AN41" s="286"/>
      <c r="AO41" s="29"/>
      <c r="AP41" s="29"/>
      <c r="AQ41" s="29"/>
      <c r="AR41" s="29"/>
      <c r="AS41" s="29"/>
      <c r="AT41" s="29"/>
      <c r="AU41" s="120"/>
      <c r="AV41" s="120"/>
      <c r="AW41" s="110" t="str">
        <f>IF(C41="NO-OOS","N/A",IF(AT41="Driver's License",IF(AU41&gt;$AW$3,"SOS",IF(AV41&gt;=$AW$4,"Valid",IF(AND(AV41&lt;$AW$4,$AW$5&gt;$AW$4,AV41&gt;43831),"Covid","Expired"))),IF(AT41="I9",IF(AV41&gt;=$AW$4,"Valid",IF(AND(AV41&lt;$AW$4,$AW$5&gt;$AW$4,AV41&gt;43831),"Covid","Expired")),IF(AT41="Work Permit",IF(AND(AU41&lt;=$AW$3,(AU41+365)&gt;=$AW$4),"Valid","Expired"),IF(AT41="Missing Residency","Missing",IF(AT41="","","Other"))))))</f>
        <v/>
      </c>
      <c r="AX41" s="141"/>
      <c r="AY41" s="16"/>
      <c r="AZ41" s="40"/>
      <c r="BA41" s="16"/>
      <c r="BB41" s="110"/>
      <c r="BC41" s="29"/>
      <c r="BD41" s="141"/>
      <c r="BE41"/>
      <c r="BF41" s="8">
        <f t="shared" si="7"/>
        <v>0</v>
      </c>
      <c r="BG41" s="29">
        <f t="shared" si="8"/>
        <v>0</v>
      </c>
      <c r="BH41" s="29">
        <f t="shared" si="9"/>
        <v>0</v>
      </c>
      <c r="BI41" s="29">
        <f t="shared" si="10"/>
        <v>0</v>
      </c>
      <c r="BJ41" s="29">
        <f t="shared" si="15"/>
        <v>0</v>
      </c>
      <c r="BK41" s="11">
        <f t="shared" si="16"/>
        <v>0</v>
      </c>
      <c r="BL41" s="11">
        <f t="shared" si="18"/>
        <v>0</v>
      </c>
      <c r="BM41" s="11">
        <f t="shared" si="11"/>
        <v>0</v>
      </c>
      <c r="BN41" s="1">
        <f t="shared" si="17"/>
        <v>0</v>
      </c>
      <c r="BO41" s="1">
        <f t="shared" si="1"/>
        <v>0</v>
      </c>
      <c r="BP41" s="1">
        <f t="shared" si="2"/>
        <v>0</v>
      </c>
      <c r="BQ41" s="267">
        <f t="shared" si="12"/>
        <v>0</v>
      </c>
      <c r="BR41" s="105">
        <f t="shared" si="4"/>
        <v>0</v>
      </c>
      <c r="BS41" s="81">
        <f t="shared" si="5"/>
        <v>0</v>
      </c>
    </row>
    <row r="42" spans="1:72" x14ac:dyDescent="0.3">
      <c r="B42" s="41"/>
      <c r="C42" s="4"/>
      <c r="D42" s="28"/>
      <c r="E42" s="32"/>
      <c r="H42" s="197"/>
      <c r="I42" s="197"/>
      <c r="J42" s="497"/>
      <c r="K42" s="266"/>
      <c r="L42" s="197"/>
      <c r="M42" s="197"/>
      <c r="N42" s="111"/>
      <c r="O42" s="52">
        <f t="shared" ref="O42:P42" si="20">SUBTOTAL(9,O9:O41)</f>
        <v>0</v>
      </c>
      <c r="P42" s="52">
        <f t="shared" si="20"/>
        <v>0</v>
      </c>
      <c r="Q42" s="52">
        <f t="shared" ref="Q42:AE42" si="21">SUBTOTAL(9,Q9:Q41)</f>
        <v>0</v>
      </c>
      <c r="R42" s="52">
        <f t="shared" si="21"/>
        <v>0</v>
      </c>
      <c r="S42" s="52">
        <f t="shared" si="21"/>
        <v>0</v>
      </c>
      <c r="T42" s="52">
        <f>SUBTOTAL(9,T9:T41)</f>
        <v>0</v>
      </c>
      <c r="U42" s="52">
        <f t="shared" si="21"/>
        <v>0</v>
      </c>
      <c r="V42" s="52">
        <f t="shared" si="21"/>
        <v>0</v>
      </c>
      <c r="W42" s="52">
        <f t="shared" si="21"/>
        <v>0</v>
      </c>
      <c r="X42" s="52">
        <f t="shared" si="21"/>
        <v>0</v>
      </c>
      <c r="Y42" s="52">
        <f t="shared" si="21"/>
        <v>0</v>
      </c>
      <c r="Z42" s="52">
        <f t="shared" si="21"/>
        <v>0</v>
      </c>
      <c r="AA42" s="52">
        <f t="shared" si="21"/>
        <v>0</v>
      </c>
      <c r="AB42" s="52">
        <f t="shared" ref="AB42" si="22">SUBTOTAL(9,AB9:AB41)</f>
        <v>0</v>
      </c>
      <c r="AC42" s="52">
        <f t="shared" si="21"/>
        <v>0</v>
      </c>
      <c r="AD42" s="52">
        <f t="shared" ref="AD42" si="23">SUBTOTAL(9,AD9:AD41)</f>
        <v>0</v>
      </c>
      <c r="AE42" s="52">
        <f t="shared" si="21"/>
        <v>0</v>
      </c>
      <c r="AF42" s="52">
        <f t="shared" ref="AF42" si="24">SUBTOTAL(9,AF9:AF41)</f>
        <v>0</v>
      </c>
      <c r="AG42" s="52">
        <f>SUBTOTAL(9,AG9:AG41)</f>
        <v>0</v>
      </c>
      <c r="AH42" s="52">
        <f t="shared" ref="AH42" si="25">SUBTOTAL(9,AH9:AH41)</f>
        <v>0</v>
      </c>
      <c r="AI42" s="52">
        <f t="shared" ref="AI42:AJ42" si="26">SUBTOTAL(9,AI9:AI41)</f>
        <v>0</v>
      </c>
      <c r="AJ42" s="52">
        <f t="shared" si="26"/>
        <v>0</v>
      </c>
      <c r="AK42" s="746"/>
      <c r="AL42" s="15"/>
      <c r="AM42" s="15"/>
      <c r="AN42" s="15"/>
      <c r="AR42" s="15"/>
      <c r="AS42" s="15"/>
      <c r="AT42" s="15"/>
      <c r="AU42" s="15"/>
      <c r="AV42" s="15"/>
      <c r="AW42" s="15"/>
      <c r="AX42" s="15"/>
      <c r="AY42" s="15"/>
      <c r="AZ42" s="15"/>
      <c r="BA42" s="15"/>
      <c r="BB42"/>
      <c r="BC42"/>
      <c r="BD42"/>
      <c r="BE42"/>
      <c r="BF42"/>
      <c r="BG42"/>
      <c r="BH42"/>
      <c r="BI42"/>
      <c r="BJ42"/>
      <c r="BK42"/>
      <c r="BL42"/>
      <c r="BM42"/>
      <c r="BN42" s="52">
        <f>SUBTOTAL(9,BN9:BN41)</f>
        <v>0</v>
      </c>
      <c r="BO42" s="52">
        <f>SUBTOTAL(9,BO9:BO41)</f>
        <v>0</v>
      </c>
      <c r="BP42" s="52">
        <f>SUBTOTAL(9,BP9:BP41)</f>
        <v>0</v>
      </c>
      <c r="BQ42" s="52">
        <f>SUBTOTAL(9,BQ9:BQ41)</f>
        <v>0</v>
      </c>
      <c r="BR42" s="105">
        <f>SUM(BR9:BR41)</f>
        <v>0</v>
      </c>
      <c r="BS42" s="81">
        <f t="shared" si="5"/>
        <v>0</v>
      </c>
    </row>
    <row r="43" spans="1:72" x14ac:dyDescent="0.3">
      <c r="C43" s="4"/>
      <c r="D43" s="28"/>
      <c r="E43"/>
      <c r="F43"/>
      <c r="H43" s="197"/>
      <c r="I43" s="197"/>
      <c r="J43" s="497"/>
      <c r="L43" s="197"/>
      <c r="M43" s="197"/>
      <c r="O43" s="43"/>
      <c r="P43" s="43"/>
      <c r="Q43" s="43"/>
      <c r="R43" s="43"/>
      <c r="S43" s="43"/>
      <c r="T43" s="43"/>
      <c r="U43" s="43"/>
      <c r="V43" s="43"/>
      <c r="W43" s="43"/>
      <c r="X43" s="43"/>
      <c r="Y43" s="43"/>
      <c r="Z43" s="43"/>
      <c r="AA43" s="43"/>
      <c r="AB43" s="43"/>
      <c r="AC43" s="43"/>
      <c r="AD43" s="43"/>
      <c r="AE43"/>
      <c r="AF43"/>
      <c r="AG43"/>
      <c r="AH43"/>
      <c r="AI43"/>
      <c r="AJ43"/>
      <c r="AK43"/>
      <c r="AL43" s="15"/>
      <c r="AM43" s="15"/>
      <c r="AN43" s="15"/>
      <c r="AO43"/>
      <c r="AR43" s="15"/>
      <c r="AS43" s="15"/>
      <c r="AT43" s="15"/>
      <c r="AU43" s="15"/>
      <c r="AV43" s="15"/>
      <c r="AW43" s="15"/>
      <c r="AX43" s="15"/>
      <c r="AY43" s="15"/>
      <c r="AZ43" s="15"/>
      <c r="BA43" s="15"/>
      <c r="BB43"/>
      <c r="BC43"/>
      <c r="BD43"/>
      <c r="BE43"/>
      <c r="BF43"/>
      <c r="BG43"/>
      <c r="BH43"/>
      <c r="BI43"/>
      <c r="BJ43"/>
      <c r="BK43"/>
      <c r="BL43"/>
      <c r="BM43"/>
      <c r="BN43" s="8"/>
      <c r="BR43" s="105"/>
    </row>
    <row r="44" spans="1:72" x14ac:dyDescent="0.3">
      <c r="C44"/>
      <c r="AG44" s="39"/>
      <c r="AH44" s="39"/>
      <c r="AI44" s="39"/>
      <c r="AJ44" s="39"/>
      <c r="AK44" s="39"/>
      <c r="AL44" s="8"/>
      <c r="AM44" s="8"/>
      <c r="AN44" s="8"/>
      <c r="AZ44" s="8"/>
      <c r="BB44"/>
      <c r="BC44"/>
      <c r="BD44"/>
      <c r="BN44" s="8"/>
    </row>
    <row r="45" spans="1:72" ht="15" thickBot="1" x14ac:dyDescent="0.35">
      <c r="A45" s="47"/>
      <c r="O45" s="104">
        <f t="shared" ref="O45:P45" si="27">SUM(O9:O41)</f>
        <v>0</v>
      </c>
      <c r="P45" s="104">
        <f t="shared" si="27"/>
        <v>0</v>
      </c>
      <c r="Q45" s="104">
        <f t="shared" ref="Q45:AE45" si="28">SUM(Q9:Q41)</f>
        <v>0</v>
      </c>
      <c r="R45" s="104">
        <f t="shared" si="28"/>
        <v>0</v>
      </c>
      <c r="S45" s="104">
        <f t="shared" si="28"/>
        <v>0</v>
      </c>
      <c r="T45" s="104">
        <f>SUM(T9:T41)</f>
        <v>0</v>
      </c>
      <c r="U45" s="104">
        <f t="shared" si="28"/>
        <v>0</v>
      </c>
      <c r="V45" s="104">
        <f t="shared" si="28"/>
        <v>0</v>
      </c>
      <c r="W45" s="104">
        <f t="shared" si="28"/>
        <v>0</v>
      </c>
      <c r="X45" s="104">
        <f t="shared" si="28"/>
        <v>0</v>
      </c>
      <c r="Y45" s="104">
        <f t="shared" si="28"/>
        <v>0</v>
      </c>
      <c r="Z45" s="104">
        <f t="shared" si="28"/>
        <v>0</v>
      </c>
      <c r="AA45" s="104">
        <f t="shared" si="28"/>
        <v>0</v>
      </c>
      <c r="AB45" s="104">
        <f t="shared" ref="AB45" si="29">SUM(AB9:AB41)</f>
        <v>0</v>
      </c>
      <c r="AC45" s="104">
        <f t="shared" si="28"/>
        <v>0</v>
      </c>
      <c r="AD45" s="104">
        <f t="shared" ref="AD45" si="30">SUM(AD9:AD41)</f>
        <v>0</v>
      </c>
      <c r="AE45" s="104">
        <f t="shared" si="28"/>
        <v>0</v>
      </c>
      <c r="AF45" s="104">
        <f t="shared" ref="AF45:AH45" si="31">SUM(AF9:AF41)</f>
        <v>0</v>
      </c>
      <c r="AG45" s="104">
        <f t="shared" si="31"/>
        <v>0</v>
      </c>
      <c r="AH45" s="104">
        <f t="shared" si="31"/>
        <v>0</v>
      </c>
      <c r="AI45" s="104">
        <f t="shared" ref="AI45:AJ45" si="32">SUM(AI9:AI41)</f>
        <v>0</v>
      </c>
      <c r="AJ45" s="104">
        <f t="shared" si="32"/>
        <v>0</v>
      </c>
      <c r="AK45" s="206"/>
      <c r="AM45" s="27"/>
      <c r="AN45" s="8"/>
      <c r="AQ45" s="196"/>
      <c r="AR45" s="27"/>
      <c r="AS45" s="196"/>
      <c r="AT45"/>
      <c r="AU45"/>
      <c r="AV45"/>
      <c r="AW45"/>
      <c r="AZ45" s="8"/>
      <c r="BB45"/>
      <c r="BC45"/>
      <c r="BD45"/>
      <c r="BN45" s="104">
        <f>SUM(BN9:BN41)</f>
        <v>0</v>
      </c>
      <c r="BO45" s="104">
        <f>SUM(BO9:BO41)</f>
        <v>0</v>
      </c>
      <c r="BP45" s="104">
        <f>SUM(BP9:BP41)</f>
        <v>0</v>
      </c>
      <c r="BQ45" s="104">
        <f>SUM(BQ9:BQ41)</f>
        <v>0</v>
      </c>
      <c r="BR45" s="104">
        <f>SUM(BR9:BR41)</f>
        <v>0</v>
      </c>
    </row>
    <row r="46" spans="1:72" ht="15" thickTop="1" x14ac:dyDescent="0.3">
      <c r="AG46" s="39"/>
      <c r="AH46" s="39"/>
      <c r="AI46" s="39"/>
      <c r="AJ46" s="39"/>
      <c r="AK46" s="39"/>
      <c r="AL46" s="8"/>
      <c r="AM46" s="27"/>
      <c r="AN46" s="8"/>
      <c r="AQ46" s="196"/>
      <c r="AR46" s="27"/>
      <c r="AS46" s="196"/>
      <c r="AT46"/>
      <c r="AU46"/>
      <c r="AV46"/>
      <c r="AW46"/>
      <c r="BT46" s="105"/>
    </row>
    <row r="47" spans="1:72" x14ac:dyDescent="0.3">
      <c r="AR47"/>
      <c r="BT47" s="105"/>
    </row>
    <row r="48" spans="1:72" x14ac:dyDescent="0.3">
      <c r="AR48"/>
      <c r="BT48" s="105"/>
    </row>
    <row r="49" spans="15:72" x14ac:dyDescent="0.3">
      <c r="O49" s="43"/>
      <c r="P49" s="43"/>
      <c r="Q49" s="43"/>
      <c r="R49" s="43"/>
      <c r="S49" s="43"/>
      <c r="T49" s="43"/>
      <c r="AR49"/>
      <c r="BT49" s="105"/>
    </row>
    <row r="50" spans="15:72" x14ac:dyDescent="0.3">
      <c r="O50" s="43"/>
      <c r="P50" s="43"/>
      <c r="Q50" s="43"/>
      <c r="R50" s="43"/>
      <c r="S50" s="43"/>
      <c r="T50" s="43"/>
      <c r="AR50"/>
      <c r="BT50" s="105"/>
    </row>
    <row r="51" spans="15:72" x14ac:dyDescent="0.3">
      <c r="R51" s="254" t="s">
        <v>346</v>
      </c>
      <c r="S51" s="8">
        <f>COUNTIFS($C$9:$C$41,"YES-OOS")</f>
        <v>0</v>
      </c>
      <c r="U51" s="250"/>
      <c r="V51" s="250"/>
      <c r="W51" s="250" t="s">
        <v>347</v>
      </c>
      <c r="X51" s="251"/>
      <c r="Y51" s="252"/>
      <c r="Z51" s="43"/>
      <c r="AQ51" s="92"/>
      <c r="AR51" s="105"/>
      <c r="AS51" s="39"/>
      <c r="AT51" s="39"/>
      <c r="AU51" s="39"/>
      <c r="AV51" s="43"/>
      <c r="AW51" s="66"/>
      <c r="BT51" s="105"/>
    </row>
    <row r="52" spans="15:72" x14ac:dyDescent="0.3">
      <c r="S52" s="8"/>
      <c r="U52" s="502" t="s">
        <v>348</v>
      </c>
      <c r="V52" s="16" t="s">
        <v>349</v>
      </c>
      <c r="W52" s="93" t="s">
        <v>350</v>
      </c>
      <c r="X52" s="253" t="s">
        <v>351</v>
      </c>
      <c r="Y52" s="102" t="s">
        <v>352</v>
      </c>
      <c r="Z52" s="43"/>
      <c r="AQ52" s="97"/>
      <c r="AR52" s="105"/>
      <c r="AW52" s="196"/>
      <c r="BB52" s="32"/>
      <c r="BC52" s="32"/>
      <c r="BT52" s="105"/>
    </row>
    <row r="53" spans="15:72" x14ac:dyDescent="0.3">
      <c r="R53" s="207" t="s">
        <v>353</v>
      </c>
      <c r="S53" s="207">
        <f>(Y53)-S57</f>
        <v>0</v>
      </c>
      <c r="U53" s="95">
        <f>SUMIF($C$9:$C$41,U52,$BQ$9:$BQ$41)</f>
        <v>0</v>
      </c>
      <c r="V53" s="95">
        <f>SUMIF($C$9:$C$41,V52,$BQ$9:$BQ$41)</f>
        <v>0</v>
      </c>
      <c r="W53" s="95">
        <f>SUMIF($C$9:$C$41,W52,$BQ$9:$BQ$41)</f>
        <v>0</v>
      </c>
      <c r="X53" s="95">
        <f>SUMIF($C$9:$C$41,X52,$BQ$9:$BQ$41)</f>
        <v>0</v>
      </c>
      <c r="Y53" s="95">
        <f>SUMIF($C$9:$C$41,Y52,$BQ$9:$BQ$41)</f>
        <v>0</v>
      </c>
      <c r="Z53" s="96">
        <f>SUM(U53:Y53)</f>
        <v>0</v>
      </c>
      <c r="AQ53" s="92"/>
      <c r="AR53" s="105"/>
      <c r="AW53" s="196"/>
      <c r="BD53"/>
    </row>
    <row r="54" spans="15:72" x14ac:dyDescent="0.3">
      <c r="R54" s="207" t="s">
        <v>354</v>
      </c>
      <c r="S54" s="207">
        <f>X53</f>
        <v>0</v>
      </c>
      <c r="U54" s="8"/>
      <c r="Z54" s="98">
        <f>Z53-BQ45</f>
        <v>0</v>
      </c>
      <c r="AQ54" s="39"/>
      <c r="AR54" s="105"/>
      <c r="AW54" s="196"/>
      <c r="BD54"/>
    </row>
    <row r="55" spans="15:72" x14ac:dyDescent="0.3">
      <c r="R55" s="207" t="s">
        <v>77</v>
      </c>
      <c r="S55" s="207">
        <f>U53</f>
        <v>0</v>
      </c>
      <c r="U55" s="8"/>
      <c r="AQ55" s="39"/>
      <c r="AR55" s="105"/>
      <c r="AW55" s="196"/>
      <c r="BD55"/>
    </row>
    <row r="56" spans="15:72" x14ac:dyDescent="0.3">
      <c r="R56" s="207" t="s">
        <v>355</v>
      </c>
      <c r="S56" s="207">
        <f>V53+W53+V58+W58+Y58+X58+U58</f>
        <v>0</v>
      </c>
      <c r="U56" s="250"/>
      <c r="V56" s="250"/>
      <c r="W56" s="251" t="s">
        <v>356</v>
      </c>
      <c r="X56" s="251"/>
      <c r="Y56" s="252"/>
      <c r="Z56" s="8"/>
      <c r="AQ56" s="39"/>
      <c r="AR56" s="105"/>
      <c r="AW56" s="196"/>
      <c r="BD56"/>
    </row>
    <row r="57" spans="15:72" ht="15" thickBot="1" x14ac:dyDescent="0.35">
      <c r="R57" s="504" t="s">
        <v>357</v>
      </c>
      <c r="S57" s="504">
        <f>SUMIF(AS9:AS41,"Elite CIS",AE9:AE41)</f>
        <v>0</v>
      </c>
      <c r="U57" s="502" t="s">
        <v>348</v>
      </c>
      <c r="V57" s="162" t="s">
        <v>349</v>
      </c>
      <c r="W57" s="93" t="s">
        <v>350</v>
      </c>
      <c r="X57" s="253" t="s">
        <v>351</v>
      </c>
      <c r="Y57" s="94" t="s">
        <v>352</v>
      </c>
      <c r="Z57" s="8"/>
      <c r="AQ57" s="39"/>
      <c r="AR57" s="105"/>
      <c r="AW57" s="196"/>
      <c r="BD57"/>
    </row>
    <row r="58" spans="15:72" x14ac:dyDescent="0.3">
      <c r="R58" s="43" t="s">
        <v>358</v>
      </c>
      <c r="S58" s="43">
        <f>SUM(S53:S57)</f>
        <v>0</v>
      </c>
      <c r="U58" s="95">
        <f>SUMIF($C$9:$C$41,U57,$BR$9:$BR$41)</f>
        <v>0</v>
      </c>
      <c r="V58" s="95">
        <f>SUMIF($C$9:$C$41,V57,$BR$9:$BR$41)</f>
        <v>0</v>
      </c>
      <c r="W58" s="95">
        <f>SUMIF($C$9:$C$41,W57,$BR$9:$BR$41)</f>
        <v>0</v>
      </c>
      <c r="X58" s="95">
        <f>SUMIF($C$9:$C$41,X57,$BR$9:$BR$41)</f>
        <v>0</v>
      </c>
      <c r="Y58" s="95">
        <f>SUMIF($C$9:$C$41,Y57,$BR$9:$BR$41)</f>
        <v>0</v>
      </c>
      <c r="Z58" s="118">
        <f>SUM(U58:Y58)</f>
        <v>0</v>
      </c>
      <c r="AQ58" s="39"/>
      <c r="AR58" s="105"/>
      <c r="AW58" s="196"/>
      <c r="BD58"/>
    </row>
    <row r="59" spans="15:72" x14ac:dyDescent="0.3">
      <c r="R59" s="43"/>
      <c r="S59" s="98">
        <f>S58-AE45</f>
        <v>0</v>
      </c>
      <c r="U59" s="8"/>
      <c r="V59" s="8"/>
      <c r="W59" s="32"/>
      <c r="X59" s="144"/>
      <c r="Y59" s="144"/>
      <c r="Z59" s="98">
        <f>Z58-BR45</f>
        <v>0</v>
      </c>
      <c r="AQ59" s="39"/>
      <c r="AR59"/>
      <c r="AW59" s="196"/>
      <c r="BD59"/>
    </row>
    <row r="60" spans="15:72" x14ac:dyDescent="0.3">
      <c r="U60" s="8"/>
      <c r="V60"/>
      <c r="W60"/>
      <c r="X60" s="43"/>
      <c r="AQ60" s="39"/>
      <c r="AR60"/>
      <c r="AW60" s="196"/>
      <c r="BD60"/>
    </row>
    <row r="61" spans="15:72" x14ac:dyDescent="0.3">
      <c r="U61" s="8"/>
      <c r="V61"/>
      <c r="W61"/>
      <c r="X61" s="43"/>
      <c r="AQ61" s="39"/>
      <c r="AR61"/>
      <c r="AU61" s="200"/>
      <c r="AW61" s="196"/>
      <c r="BT61" s="105"/>
    </row>
    <row r="62" spans="15:72" ht="28.8" x14ac:dyDescent="0.3">
      <c r="R62" s="192" t="s">
        <v>359</v>
      </c>
      <c r="S62" s="193" t="s">
        <v>360</v>
      </c>
      <c r="T62" s="243" t="s">
        <v>361</v>
      </c>
      <c r="U62" s="506" t="s">
        <v>77</v>
      </c>
      <c r="V62" s="193" t="s">
        <v>362</v>
      </c>
      <c r="W62" s="164" t="s">
        <v>363</v>
      </c>
      <c r="X62" s="164" t="s">
        <v>364</v>
      </c>
      <c r="Y62" s="164" t="s">
        <v>365</v>
      </c>
      <c r="Z62" s="194" t="s">
        <v>366</v>
      </c>
      <c r="AQ62" s="163"/>
      <c r="AW62" s="196"/>
      <c r="BT62" s="105"/>
    </row>
    <row r="63" spans="15:72" x14ac:dyDescent="0.3">
      <c r="R63" s="505">
        <v>1</v>
      </c>
      <c r="S63" s="47">
        <f t="shared" ref="S63:S76" si="33">SUMIF($N$9:$N$41,R63,$AE$9:$AE$41)</f>
        <v>0</v>
      </c>
      <c r="T63" s="198">
        <f t="shared" ref="T63:T76" si="34">SUMIFS($BQ$9:$BQ$41,$N$9:$N$41,R63,$C$9:$C$41,"YES")+SUMIFS($BQ$9:$BQ$41,$N$9:$N$41,R63,$C$9:$C$41,"YES-OOS")</f>
        <v>0</v>
      </c>
      <c r="U63" s="423">
        <f t="shared" ref="U63:U76" si="35">SUMIFS($BQ$9:$BQ$41,$N$9:$N$41,R63,$C$9:$C$41,"PENDING")</f>
        <v>0</v>
      </c>
      <c r="V63" s="188">
        <f>S63-(T63+U63)</f>
        <v>0</v>
      </c>
      <c r="W63" s="189">
        <f t="shared" ref="W63:W73" si="36">SUMIFS($BN$9:$BN$41,$N$9:$N$41,R63,$C$9:$C$41,"YES")+SUMIFS($BN$9:$BN$41,$N$9:$N$41,R63,$C$9:$C$41,"YES-OOS")</f>
        <v>0</v>
      </c>
      <c r="X63" s="217">
        <f t="shared" ref="X63:X73" si="37">SUMIFS($BO$9:$BO$41,$N$9:$N$41,R63,$C$9:$C$41,"YES")+SUMIFS($BO$9:$BO$41,$N$9:$N$41,R63,$C$9:$C$41,"YES-OOS")</f>
        <v>0</v>
      </c>
      <c r="Y63" s="217">
        <f t="shared" ref="Y63:Y76" si="38">SUMIFS($BP$9:$BP$41,$N$9:$N$41,R63,$C$9:$C$41,"YES")+SUMIFS($BP$9:$BP$41,$N$9:$N$41,R63,$C$9:$C$41,"YES-OOS")</f>
        <v>0</v>
      </c>
      <c r="Z63" s="54">
        <f t="shared" ref="Z63:Z76" si="39">SUM(W63:Y63)</f>
        <v>0</v>
      </c>
      <c r="AQ63" s="98">
        <f t="shared" ref="AQ63:AQ77" si="40">Z63-T63</f>
        <v>0</v>
      </c>
      <c r="AW63" s="196"/>
      <c r="BT63" s="105"/>
    </row>
    <row r="64" spans="15:72" x14ac:dyDescent="0.3">
      <c r="R64" s="505">
        <v>2</v>
      </c>
      <c r="S64" s="47">
        <f t="shared" si="33"/>
        <v>0</v>
      </c>
      <c r="T64" s="198">
        <f t="shared" si="34"/>
        <v>0</v>
      </c>
      <c r="U64" s="423">
        <f t="shared" si="35"/>
        <v>0</v>
      </c>
      <c r="V64" s="53">
        <f t="shared" ref="V64:V76" si="41">S64-(T64+U64)</f>
        <v>0</v>
      </c>
      <c r="W64" s="217">
        <f t="shared" si="36"/>
        <v>0</v>
      </c>
      <c r="X64" s="217">
        <f t="shared" si="37"/>
        <v>0</v>
      </c>
      <c r="Y64" s="217">
        <f t="shared" si="38"/>
        <v>0</v>
      </c>
      <c r="Z64" s="39">
        <f t="shared" si="39"/>
        <v>0</v>
      </c>
      <c r="AQ64" s="98">
        <f t="shared" si="40"/>
        <v>0</v>
      </c>
      <c r="AW64" s="196"/>
      <c r="BT64" s="105"/>
    </row>
    <row r="65" spans="18:72" x14ac:dyDescent="0.3">
      <c r="R65" s="505">
        <v>3</v>
      </c>
      <c r="S65" s="47">
        <f t="shared" si="33"/>
        <v>0</v>
      </c>
      <c r="T65" s="198">
        <f t="shared" si="34"/>
        <v>0</v>
      </c>
      <c r="U65" s="423">
        <f t="shared" si="35"/>
        <v>0</v>
      </c>
      <c r="V65" s="53">
        <f t="shared" si="41"/>
        <v>0</v>
      </c>
      <c r="W65" s="217">
        <f t="shared" si="36"/>
        <v>0</v>
      </c>
      <c r="X65" s="217">
        <f t="shared" si="37"/>
        <v>0</v>
      </c>
      <c r="Y65" s="217">
        <f t="shared" si="38"/>
        <v>0</v>
      </c>
      <c r="Z65" s="39">
        <f t="shared" si="39"/>
        <v>0</v>
      </c>
      <c r="AQ65" s="98">
        <f t="shared" si="40"/>
        <v>0</v>
      </c>
      <c r="AW65" s="196"/>
      <c r="BT65" s="105"/>
    </row>
    <row r="66" spans="18:72" x14ac:dyDescent="0.3">
      <c r="R66" s="505">
        <v>4</v>
      </c>
      <c r="S66" s="47">
        <f t="shared" si="33"/>
        <v>0</v>
      </c>
      <c r="T66" s="198">
        <f t="shared" si="34"/>
        <v>0</v>
      </c>
      <c r="U66" s="423">
        <f t="shared" si="35"/>
        <v>0</v>
      </c>
      <c r="V66" s="53">
        <f t="shared" si="41"/>
        <v>0</v>
      </c>
      <c r="W66" s="217">
        <f t="shared" si="36"/>
        <v>0</v>
      </c>
      <c r="X66" s="217">
        <f t="shared" si="37"/>
        <v>0</v>
      </c>
      <c r="Y66" s="217">
        <f t="shared" si="38"/>
        <v>0</v>
      </c>
      <c r="Z66" s="39">
        <f t="shared" si="39"/>
        <v>0</v>
      </c>
      <c r="AQ66" s="98">
        <f t="shared" si="40"/>
        <v>0</v>
      </c>
      <c r="AW66" s="196"/>
      <c r="BT66" s="105"/>
    </row>
    <row r="67" spans="18:72" x14ac:dyDescent="0.3">
      <c r="R67" s="505">
        <v>5</v>
      </c>
      <c r="S67" s="47">
        <f t="shared" si="33"/>
        <v>0</v>
      </c>
      <c r="T67" s="198">
        <f t="shared" si="34"/>
        <v>0</v>
      </c>
      <c r="U67" s="423">
        <f t="shared" si="35"/>
        <v>0</v>
      </c>
      <c r="V67" s="53">
        <f t="shared" si="41"/>
        <v>0</v>
      </c>
      <c r="W67" s="217">
        <f t="shared" si="36"/>
        <v>0</v>
      </c>
      <c r="X67" s="217">
        <f t="shared" si="37"/>
        <v>0</v>
      </c>
      <c r="Y67" s="217">
        <f t="shared" si="38"/>
        <v>0</v>
      </c>
      <c r="Z67" s="39">
        <f t="shared" si="39"/>
        <v>0</v>
      </c>
      <c r="AQ67" s="98">
        <f t="shared" si="40"/>
        <v>0</v>
      </c>
      <c r="AW67" s="196"/>
      <c r="BT67" s="105"/>
    </row>
    <row r="68" spans="18:72" x14ac:dyDescent="0.3">
      <c r="R68" s="8"/>
      <c r="S68" s="47">
        <f t="shared" si="33"/>
        <v>0</v>
      </c>
      <c r="T68" s="198">
        <f t="shared" si="34"/>
        <v>0</v>
      </c>
      <c r="U68" s="423">
        <f t="shared" si="35"/>
        <v>0</v>
      </c>
      <c r="V68" s="53">
        <f t="shared" si="41"/>
        <v>0</v>
      </c>
      <c r="W68" s="217">
        <f t="shared" si="36"/>
        <v>0</v>
      </c>
      <c r="X68" s="217">
        <f t="shared" si="37"/>
        <v>0</v>
      </c>
      <c r="Y68" s="217">
        <f t="shared" si="38"/>
        <v>0</v>
      </c>
      <c r="Z68" s="39">
        <f t="shared" si="39"/>
        <v>0</v>
      </c>
      <c r="AQ68" s="98">
        <f t="shared" si="40"/>
        <v>0</v>
      </c>
      <c r="AW68" s="196"/>
      <c r="BT68" s="105"/>
    </row>
    <row r="69" spans="18:72" x14ac:dyDescent="0.3">
      <c r="R69" s="8"/>
      <c r="S69" s="47">
        <f t="shared" si="33"/>
        <v>0</v>
      </c>
      <c r="T69" s="198">
        <f t="shared" si="34"/>
        <v>0</v>
      </c>
      <c r="U69" s="423">
        <f t="shared" si="35"/>
        <v>0</v>
      </c>
      <c r="V69" s="53">
        <f t="shared" si="41"/>
        <v>0</v>
      </c>
      <c r="W69" s="217">
        <f t="shared" si="36"/>
        <v>0</v>
      </c>
      <c r="X69" s="217">
        <f t="shared" si="37"/>
        <v>0</v>
      </c>
      <c r="Y69" s="217">
        <f t="shared" si="38"/>
        <v>0</v>
      </c>
      <c r="Z69" s="39">
        <f t="shared" si="39"/>
        <v>0</v>
      </c>
      <c r="AQ69" s="98">
        <f t="shared" si="40"/>
        <v>0</v>
      </c>
      <c r="AW69" s="196"/>
      <c r="BT69" s="105"/>
    </row>
    <row r="70" spans="18:72" x14ac:dyDescent="0.3">
      <c r="R70" s="8"/>
      <c r="S70" s="47">
        <f t="shared" si="33"/>
        <v>0</v>
      </c>
      <c r="T70" s="198">
        <f t="shared" si="34"/>
        <v>0</v>
      </c>
      <c r="U70" s="423">
        <f t="shared" si="35"/>
        <v>0</v>
      </c>
      <c r="V70" s="53">
        <f t="shared" si="41"/>
        <v>0</v>
      </c>
      <c r="W70" s="217">
        <f t="shared" si="36"/>
        <v>0</v>
      </c>
      <c r="X70" s="217">
        <f t="shared" si="37"/>
        <v>0</v>
      </c>
      <c r="Y70" s="217">
        <f t="shared" si="38"/>
        <v>0</v>
      </c>
      <c r="Z70" s="39">
        <f t="shared" si="39"/>
        <v>0</v>
      </c>
      <c r="AQ70" s="98">
        <f t="shared" si="40"/>
        <v>0</v>
      </c>
      <c r="AW70" s="196"/>
      <c r="BT70" s="105"/>
    </row>
    <row r="71" spans="18:72" x14ac:dyDescent="0.3">
      <c r="R71" s="8"/>
      <c r="S71" s="47">
        <f t="shared" si="33"/>
        <v>0</v>
      </c>
      <c r="T71" s="198">
        <f t="shared" si="34"/>
        <v>0</v>
      </c>
      <c r="U71" s="423">
        <f t="shared" si="35"/>
        <v>0</v>
      </c>
      <c r="V71" s="53">
        <f t="shared" si="41"/>
        <v>0</v>
      </c>
      <c r="W71" s="217">
        <f t="shared" si="36"/>
        <v>0</v>
      </c>
      <c r="X71" s="217">
        <f t="shared" si="37"/>
        <v>0</v>
      </c>
      <c r="Y71" s="217">
        <f t="shared" si="38"/>
        <v>0</v>
      </c>
      <c r="Z71" s="39">
        <f t="shared" si="39"/>
        <v>0</v>
      </c>
      <c r="AQ71" s="98">
        <f t="shared" si="40"/>
        <v>0</v>
      </c>
      <c r="AW71" s="196"/>
      <c r="BT71" s="105"/>
    </row>
    <row r="72" spans="18:72" x14ac:dyDescent="0.3">
      <c r="R72" s="8"/>
      <c r="S72" s="47">
        <f t="shared" si="33"/>
        <v>0</v>
      </c>
      <c r="T72" s="198">
        <f t="shared" si="34"/>
        <v>0</v>
      </c>
      <c r="U72" s="423">
        <f t="shared" si="35"/>
        <v>0</v>
      </c>
      <c r="V72" s="53">
        <f t="shared" si="41"/>
        <v>0</v>
      </c>
      <c r="W72" s="217">
        <f t="shared" si="36"/>
        <v>0</v>
      </c>
      <c r="X72" s="217">
        <f t="shared" si="37"/>
        <v>0</v>
      </c>
      <c r="Y72" s="217">
        <f t="shared" si="38"/>
        <v>0</v>
      </c>
      <c r="Z72" s="39">
        <f t="shared" si="39"/>
        <v>0</v>
      </c>
      <c r="AQ72" s="98">
        <f t="shared" si="40"/>
        <v>0</v>
      </c>
      <c r="AW72" s="196"/>
      <c r="BT72" s="105"/>
    </row>
    <row r="73" spans="18:72" x14ac:dyDescent="0.3">
      <c r="R73" s="8"/>
      <c r="S73" s="47">
        <f t="shared" si="33"/>
        <v>0</v>
      </c>
      <c r="T73" s="198">
        <f t="shared" si="34"/>
        <v>0</v>
      </c>
      <c r="U73" s="423">
        <f t="shared" si="35"/>
        <v>0</v>
      </c>
      <c r="V73" s="53">
        <f t="shared" si="41"/>
        <v>0</v>
      </c>
      <c r="W73" s="217">
        <f t="shared" si="36"/>
        <v>0</v>
      </c>
      <c r="X73" s="217">
        <f t="shared" si="37"/>
        <v>0</v>
      </c>
      <c r="Y73" s="217">
        <f t="shared" si="38"/>
        <v>0</v>
      </c>
      <c r="Z73" s="39">
        <f t="shared" si="39"/>
        <v>0</v>
      </c>
      <c r="AQ73" s="98">
        <f t="shared" si="40"/>
        <v>0</v>
      </c>
      <c r="AW73" s="196"/>
      <c r="BT73" s="105"/>
    </row>
    <row r="74" spans="18:72" x14ac:dyDescent="0.3">
      <c r="R74" s="8"/>
      <c r="S74" s="47">
        <f t="shared" si="33"/>
        <v>0</v>
      </c>
      <c r="T74" s="198">
        <f t="shared" si="34"/>
        <v>0</v>
      </c>
      <c r="U74" s="423">
        <f t="shared" si="35"/>
        <v>0</v>
      </c>
      <c r="V74" s="53">
        <f t="shared" si="41"/>
        <v>0</v>
      </c>
      <c r="W74" s="217">
        <f>SUMIFS($BN$9:$BN$41,$N$9:$N$41,#REF!,$C$9:$C$41,"YES")+SUMIFS($BN$9:$BN$41,$N$9:$N$41,#REF!,$C$9:$C$41,"YES-OOS")</f>
        <v>0</v>
      </c>
      <c r="X74" s="217">
        <f>SUMIFS($BO$9:$BO$41,$N$9:$N$41,#REF!,$C$9:$C$41,"YES")+SUMIFS($BO$9:$BO$41,$N$9:$N$41,#REF!,$C$9:$C$41,"YES-OOS")</f>
        <v>0</v>
      </c>
      <c r="Y74" s="217">
        <f t="shared" si="38"/>
        <v>0</v>
      </c>
      <c r="Z74" s="39">
        <f t="shared" si="39"/>
        <v>0</v>
      </c>
      <c r="AQ74" s="98">
        <f t="shared" si="40"/>
        <v>0</v>
      </c>
      <c r="AW74" s="196"/>
      <c r="BT74" s="105"/>
    </row>
    <row r="75" spans="18:72" x14ac:dyDescent="0.3">
      <c r="R75" s="8"/>
      <c r="S75" s="47">
        <f t="shared" si="33"/>
        <v>0</v>
      </c>
      <c r="T75" s="198">
        <f t="shared" si="34"/>
        <v>0</v>
      </c>
      <c r="U75" s="423">
        <f t="shared" si="35"/>
        <v>0</v>
      </c>
      <c r="V75" s="53">
        <f t="shared" si="41"/>
        <v>0</v>
      </c>
      <c r="W75" s="217">
        <f>SUMIFS($BN$9:$BN$41,$N$9:$N$41,#REF!,$C$9:$C$41,"YES")+SUMIFS($BN$9:$BN$41,$N$9:$N$41,#REF!,$C$9:$C$41,"YES-OOS")</f>
        <v>0</v>
      </c>
      <c r="X75" s="217">
        <f>SUMIFS($BO$9:$BO$41,$N$9:$N$41,#REF!,$C$9:$C$41,"YES")+SUMIFS($BO$9:$BO$41,$N$9:$N$41,#REF!,$C$9:$C$41,"YES-OOS")</f>
        <v>0</v>
      </c>
      <c r="Y75" s="217">
        <f t="shared" si="38"/>
        <v>0</v>
      </c>
      <c r="Z75" s="39">
        <f t="shared" si="39"/>
        <v>0</v>
      </c>
      <c r="AQ75" s="98">
        <f t="shared" si="40"/>
        <v>0</v>
      </c>
      <c r="AW75" s="196"/>
      <c r="BT75" s="105"/>
    </row>
    <row r="76" spans="18:72" ht="15" thickBot="1" x14ac:dyDescent="0.35">
      <c r="R76" s="190" t="s">
        <v>367</v>
      </c>
      <c r="S76" s="124">
        <f t="shared" si="33"/>
        <v>0</v>
      </c>
      <c r="T76" s="199">
        <f t="shared" si="34"/>
        <v>0</v>
      </c>
      <c r="U76" s="507">
        <f t="shared" si="35"/>
        <v>0</v>
      </c>
      <c r="V76" s="167">
        <f t="shared" si="41"/>
        <v>0</v>
      </c>
      <c r="W76" s="166">
        <f>SUMIFS($BN$9:$BN$41,$N$9:$N$41,R76,$C$9:$C$41,"YES")+SUMIFS($BN$9:$BN$41,$N$9:$N$41,R76,$C$9:$C$41,"YES-OOS")</f>
        <v>0</v>
      </c>
      <c r="X76" s="166">
        <f>SUMIFS($BO$9:$BO$41,$N$9:$N$41,R76,$C$9:$C$41,"YES")+SUMIFS($BO$9:$BO$41,$N$9:$N$41,R76,$C$9:$C$41,"YES-OOS")</f>
        <v>0</v>
      </c>
      <c r="Y76" s="166">
        <f t="shared" si="38"/>
        <v>0</v>
      </c>
      <c r="Z76" s="148">
        <f t="shared" si="39"/>
        <v>0</v>
      </c>
      <c r="AQ76" s="98">
        <f t="shared" si="40"/>
        <v>0</v>
      </c>
      <c r="AW76" s="196"/>
      <c r="BT76" s="105"/>
    </row>
    <row r="77" spans="18:72" ht="15" thickTop="1" x14ac:dyDescent="0.3">
      <c r="R77" s="107" t="s">
        <v>368</v>
      </c>
      <c r="S77" s="39">
        <f>SUM(S63:S76)</f>
        <v>0</v>
      </c>
      <c r="T77" s="191">
        <f t="shared" ref="T77" si="42">SUM(T63:T76)</f>
        <v>0</v>
      </c>
      <c r="U77" s="508">
        <f t="shared" ref="U77:Z77" si="43">SUM(U63:U76)</f>
        <v>0</v>
      </c>
      <c r="V77" s="53">
        <f t="shared" si="43"/>
        <v>0</v>
      </c>
      <c r="W77" s="191">
        <f t="shared" si="43"/>
        <v>0</v>
      </c>
      <c r="X77" s="191">
        <f t="shared" si="43"/>
        <v>0</v>
      </c>
      <c r="Y77" s="191">
        <f t="shared" si="43"/>
        <v>0</v>
      </c>
      <c r="Z77" s="39">
        <f t="shared" si="43"/>
        <v>0</v>
      </c>
      <c r="AQ77" s="98">
        <f t="shared" si="40"/>
        <v>0</v>
      </c>
      <c r="AW77" s="196"/>
      <c r="BT77" s="105"/>
    </row>
    <row r="78" spans="18:72" x14ac:dyDescent="0.3">
      <c r="R78" s="8"/>
      <c r="S78" s="81">
        <f>S77-AE45</f>
        <v>0</v>
      </c>
      <c r="T78" s="81">
        <f>T77-(S53+S54)</f>
        <v>0</v>
      </c>
      <c r="U78" s="81">
        <f>U77-U53</f>
        <v>0</v>
      </c>
      <c r="V78" s="98">
        <f>V77-S56</f>
        <v>0</v>
      </c>
      <c r="W78" s="8"/>
      <c r="X78" s="8"/>
      <c r="Y78"/>
      <c r="Z78" s="8"/>
      <c r="AV78"/>
      <c r="AW78" s="196"/>
      <c r="BT78" s="105"/>
    </row>
    <row r="79" spans="18:72" x14ac:dyDescent="0.3">
      <c r="R79" s="107"/>
      <c r="S79" s="196"/>
      <c r="T79" s="196"/>
      <c r="U79" s="27"/>
      <c r="V79" s="8"/>
      <c r="W79" s="8"/>
      <c r="X79"/>
      <c r="Y79" s="8"/>
      <c r="Z79" s="8"/>
      <c r="AV79"/>
      <c r="AW79" s="196"/>
      <c r="BT79" s="105"/>
    </row>
    <row r="80" spans="18:72" x14ac:dyDescent="0.3">
      <c r="R80" s="107" t="s">
        <v>369</v>
      </c>
      <c r="S80" s="39">
        <v>0</v>
      </c>
      <c r="T80" s="39">
        <v>0</v>
      </c>
      <c r="U80" s="39">
        <v>0</v>
      </c>
      <c r="V80" s="8"/>
      <c r="W80" s="8"/>
      <c r="X80"/>
      <c r="Y80" s="8"/>
      <c r="Z80" s="8"/>
      <c r="AV80"/>
      <c r="AW80" s="196"/>
      <c r="BT80" s="105"/>
    </row>
    <row r="81" spans="38:72" x14ac:dyDescent="0.3">
      <c r="BT81" s="105"/>
    </row>
    <row r="82" spans="38:72" x14ac:dyDescent="0.3">
      <c r="BT82" s="105"/>
    </row>
    <row r="83" spans="38:72" x14ac:dyDescent="0.3">
      <c r="BN83" s="8"/>
      <c r="BO83" s="8"/>
      <c r="BP83" s="8"/>
      <c r="BQ83" s="8"/>
      <c r="BT83" s="105"/>
    </row>
    <row r="84" spans="38:72" x14ac:dyDescent="0.3">
      <c r="AV84" s="196"/>
      <c r="AW84"/>
      <c r="BN84" s="8"/>
      <c r="BO84" s="8"/>
      <c r="BP84" s="8"/>
      <c r="BQ84" s="8"/>
      <c r="BT84" s="105"/>
    </row>
    <row r="85" spans="38:72" x14ac:dyDescent="0.3">
      <c r="AL85" s="8"/>
      <c r="AM85" s="27"/>
      <c r="AN85" s="8"/>
      <c r="AQ85" s="196"/>
      <c r="AR85" s="27"/>
      <c r="AT85" s="200"/>
      <c r="AV85" s="196"/>
      <c r="AW85"/>
      <c r="BN85" s="27"/>
      <c r="BO85" s="8"/>
      <c r="BP85" s="8"/>
      <c r="BQ85" s="8"/>
      <c r="BT85" s="105"/>
    </row>
    <row r="86" spans="38:72" x14ac:dyDescent="0.3">
      <c r="AL86" s="8"/>
      <c r="AM86" s="27"/>
      <c r="AN86" s="8"/>
      <c r="AQ86" s="196"/>
      <c r="AR86" s="27"/>
      <c r="AT86" s="200"/>
      <c r="AV86" s="196"/>
      <c r="AW86"/>
      <c r="BN86" s="27"/>
      <c r="BO86" s="8"/>
      <c r="BP86" s="8"/>
      <c r="BQ86" s="8"/>
      <c r="BT86" s="105"/>
    </row>
    <row r="87" spans="38:72" x14ac:dyDescent="0.3">
      <c r="AL87" s="8"/>
      <c r="AM87" s="27"/>
      <c r="AN87" s="8"/>
      <c r="AQ87" s="196"/>
      <c r="AR87" s="27"/>
      <c r="AT87" s="200"/>
      <c r="AV87" s="196"/>
      <c r="AW87"/>
      <c r="BN87" s="27"/>
      <c r="BO87" s="8"/>
      <c r="BP87" s="8"/>
      <c r="BQ87" s="8"/>
      <c r="BT87" s="105"/>
    </row>
    <row r="88" spans="38:72" x14ac:dyDescent="0.3">
      <c r="AL88" s="8"/>
      <c r="AM88" s="27"/>
      <c r="AN88" s="8"/>
      <c r="AQ88" s="196"/>
      <c r="AR88" s="27"/>
      <c r="AT88" s="200"/>
      <c r="AV88" s="196"/>
      <c r="AW88"/>
      <c r="BN88" s="27"/>
      <c r="BO88" s="8"/>
      <c r="BP88" s="8"/>
      <c r="BQ88" s="8"/>
      <c r="BT88" s="105"/>
    </row>
    <row r="89" spans="38:72" x14ac:dyDescent="0.3">
      <c r="AL89" s="8"/>
      <c r="AM89" s="27"/>
      <c r="AN89" s="8"/>
      <c r="AQ89" s="196"/>
      <c r="AR89" s="27"/>
      <c r="AT89" s="200"/>
      <c r="AV89" s="196"/>
      <c r="AW89"/>
      <c r="BN89" s="27"/>
      <c r="BO89" s="8"/>
      <c r="BP89" s="8"/>
      <c r="BQ89" s="8"/>
      <c r="BT89" s="105"/>
    </row>
    <row r="90" spans="38:72" x14ac:dyDescent="0.3">
      <c r="AL90" s="8"/>
      <c r="AM90" s="27"/>
      <c r="AN90" s="8"/>
      <c r="AQ90" s="196"/>
      <c r="AR90" s="27"/>
      <c r="AT90" s="200"/>
      <c r="AV90" s="196"/>
      <c r="AW90"/>
      <c r="BN90" s="27"/>
      <c r="BO90" s="8"/>
      <c r="BP90" s="8"/>
      <c r="BQ90" s="8"/>
      <c r="BT90" s="105"/>
    </row>
    <row r="91" spans="38:72" x14ac:dyDescent="0.3">
      <c r="AL91" s="8"/>
      <c r="AM91" s="27"/>
      <c r="AN91" s="8"/>
      <c r="AQ91" s="196"/>
      <c r="AR91" s="27"/>
      <c r="AT91" s="200"/>
      <c r="AV91" s="196"/>
      <c r="AW91"/>
      <c r="BN91" s="27"/>
      <c r="BO91" s="8"/>
      <c r="BP91" s="8"/>
      <c r="BQ91" s="8"/>
      <c r="BT91" s="105"/>
    </row>
    <row r="92" spans="38:72" x14ac:dyDescent="0.3">
      <c r="AL92" s="8"/>
      <c r="AM92" s="27"/>
      <c r="AN92" s="8"/>
      <c r="AQ92" s="196"/>
      <c r="AR92" s="27"/>
      <c r="AT92" s="200"/>
      <c r="AV92" s="196"/>
      <c r="AW92"/>
      <c r="BN92" s="27"/>
      <c r="BO92" s="8"/>
      <c r="BP92" s="8"/>
      <c r="BQ92" s="8"/>
      <c r="BT92" s="105"/>
    </row>
    <row r="93" spans="38:72" x14ac:dyDescent="0.3">
      <c r="AL93" s="8"/>
      <c r="AM93" s="27"/>
      <c r="AN93" s="8"/>
      <c r="AQ93" s="196"/>
      <c r="AR93" s="27"/>
      <c r="AT93" s="200"/>
      <c r="AV93" s="196"/>
      <c r="AW93"/>
      <c r="BN93" s="27"/>
      <c r="BO93" s="8"/>
      <c r="BP93" s="8"/>
      <c r="BQ93" s="8"/>
      <c r="BT93" s="105"/>
    </row>
    <row r="94" spans="38:72" x14ac:dyDescent="0.3">
      <c r="AL94" s="8"/>
      <c r="AM94" s="27"/>
      <c r="AN94" s="8"/>
      <c r="AQ94" s="196"/>
      <c r="AR94" s="27"/>
      <c r="AT94" s="200"/>
      <c r="AV94" s="196"/>
      <c r="AW94"/>
      <c r="BN94" s="27"/>
      <c r="BO94" s="8"/>
      <c r="BP94" s="8"/>
      <c r="BQ94" s="8"/>
      <c r="BT94" s="105"/>
    </row>
    <row r="95" spans="38:72" x14ac:dyDescent="0.3">
      <c r="AL95" s="8"/>
      <c r="AM95" s="27"/>
      <c r="AN95" s="8"/>
      <c r="AQ95" s="196"/>
      <c r="AR95" s="27"/>
      <c r="AT95" s="200"/>
      <c r="AV95" s="196"/>
      <c r="AW95"/>
      <c r="BN95" s="27"/>
      <c r="BO95" s="8"/>
      <c r="BP95" s="8"/>
      <c r="BQ95" s="8"/>
      <c r="BT95" s="105"/>
    </row>
    <row r="96" spans="38:72" x14ac:dyDescent="0.3">
      <c r="AL96" s="8"/>
      <c r="AM96" s="27"/>
      <c r="AN96" s="8"/>
      <c r="AQ96" s="196"/>
      <c r="AR96" s="27"/>
      <c r="AT96" s="200"/>
      <c r="AV96" s="196"/>
      <c r="AW96"/>
      <c r="BN96" s="27"/>
      <c r="BO96" s="8"/>
      <c r="BP96" s="8"/>
      <c r="BQ96" s="8"/>
      <c r="BT96" s="105"/>
    </row>
    <row r="97" spans="11:72" x14ac:dyDescent="0.3">
      <c r="AL97" s="8"/>
      <c r="AM97" s="27"/>
      <c r="AN97" s="8"/>
      <c r="AQ97" s="196"/>
      <c r="AR97" s="27"/>
      <c r="AT97" s="200"/>
      <c r="AV97" s="196"/>
      <c r="AW97"/>
      <c r="BN97" s="27"/>
      <c r="BO97" s="8"/>
      <c r="BP97" s="8"/>
      <c r="BQ97" s="8"/>
      <c r="BT97" s="105"/>
    </row>
    <row r="98" spans="11:72" x14ac:dyDescent="0.3">
      <c r="AL98" s="8"/>
      <c r="AM98" s="27"/>
      <c r="AN98" s="8"/>
      <c r="AQ98" s="196"/>
      <c r="AR98" s="27"/>
      <c r="AT98" s="200"/>
      <c r="AV98" s="196"/>
      <c r="AW98"/>
      <c r="BN98" s="27"/>
      <c r="BO98" s="8"/>
      <c r="BP98" s="8"/>
      <c r="BQ98" s="8"/>
      <c r="BT98" s="105"/>
    </row>
    <row r="99" spans="11:72" x14ac:dyDescent="0.3">
      <c r="AL99" s="8"/>
      <c r="AM99" s="27"/>
      <c r="AN99" s="8"/>
      <c r="AQ99" s="196"/>
      <c r="AR99" s="27"/>
      <c r="AT99" s="200"/>
      <c r="AV99" s="196"/>
      <c r="AW99"/>
      <c r="BN99" s="27"/>
      <c r="BO99" s="8"/>
      <c r="BP99" s="8"/>
      <c r="BQ99" s="8"/>
      <c r="BT99" s="105"/>
    </row>
    <row r="100" spans="11:72" x14ac:dyDescent="0.3">
      <c r="AL100" s="8"/>
      <c r="AM100" s="27"/>
      <c r="AN100" s="8"/>
      <c r="AQ100" s="196"/>
      <c r="AR100" s="27"/>
      <c r="AT100" s="200"/>
      <c r="AV100" s="196"/>
      <c r="AW100"/>
      <c r="BN100" s="27"/>
      <c r="BO100" s="8"/>
      <c r="BP100" s="8"/>
      <c r="BQ100" s="8"/>
      <c r="BT100" s="105"/>
    </row>
    <row r="101" spans="11:72" x14ac:dyDescent="0.3">
      <c r="AL101" s="8"/>
      <c r="AM101" s="27"/>
      <c r="AN101" s="8"/>
      <c r="AQ101" s="196"/>
      <c r="AR101" s="27"/>
      <c r="AT101" s="200"/>
      <c r="AV101" s="196"/>
      <c r="AW101"/>
      <c r="BN101" s="27"/>
      <c r="BO101" s="8"/>
      <c r="BP101" s="8"/>
      <c r="BQ101" s="8"/>
      <c r="BT101" s="105"/>
    </row>
    <row r="102" spans="11:72" x14ac:dyDescent="0.3">
      <c r="AL102" s="8"/>
      <c r="AM102" s="27"/>
      <c r="AN102" s="8"/>
      <c r="AQ102" s="196"/>
      <c r="AR102" s="27"/>
      <c r="AT102" s="200"/>
      <c r="AV102" s="196"/>
      <c r="AW102"/>
      <c r="BN102" s="27"/>
      <c r="BO102" s="8"/>
      <c r="BP102" s="8"/>
      <c r="BQ102" s="8"/>
      <c r="BT102" s="105"/>
    </row>
    <row r="103" spans="11:72" x14ac:dyDescent="0.3">
      <c r="K103" s="8"/>
      <c r="AL103" s="200"/>
      <c r="AM103" s="8"/>
      <c r="AN103" s="196"/>
      <c r="AO103"/>
      <c r="BN103" s="27"/>
      <c r="BO103" s="8"/>
      <c r="BP103" s="8"/>
      <c r="BQ103" s="8"/>
      <c r="BT103" s="105"/>
    </row>
    <row r="104" spans="11:72" x14ac:dyDescent="0.3">
      <c r="K104" s="8"/>
      <c r="AL104" s="200"/>
      <c r="AM104" s="8"/>
      <c r="AN104" s="196"/>
      <c r="AO104"/>
      <c r="BN104" s="27"/>
      <c r="BO104" s="8"/>
      <c r="BP104" s="8"/>
      <c r="BQ104" s="8"/>
      <c r="BT104" s="105"/>
    </row>
    <row r="105" spans="11:72" x14ac:dyDescent="0.3">
      <c r="K105" s="8"/>
      <c r="AL105" s="200"/>
      <c r="AM105" s="8"/>
      <c r="AN105" s="196"/>
      <c r="AO105"/>
      <c r="BN105" s="27"/>
      <c r="BO105" s="8"/>
      <c r="BP105" s="8"/>
      <c r="BQ105" s="8"/>
      <c r="BT105" s="105"/>
    </row>
    <row r="106" spans="11:72" x14ac:dyDescent="0.3">
      <c r="AL106" s="200"/>
      <c r="AO106"/>
      <c r="BQ106" s="200"/>
      <c r="BT106" s="105"/>
    </row>
    <row r="107" spans="11:72" x14ac:dyDescent="0.3">
      <c r="AL107" s="200"/>
      <c r="AO107"/>
      <c r="BQ107" s="200"/>
      <c r="BT107" s="105"/>
    </row>
    <row r="108" spans="11:72" x14ac:dyDescent="0.3">
      <c r="AL108" s="200"/>
      <c r="AO108"/>
      <c r="BQ108" s="200"/>
      <c r="BT108" s="105"/>
    </row>
    <row r="109" spans="11:72" x14ac:dyDescent="0.3">
      <c r="AL109" s="200"/>
      <c r="AO109"/>
      <c r="BQ109" s="200"/>
      <c r="BT109" s="105"/>
    </row>
    <row r="110" spans="11:72" x14ac:dyDescent="0.3">
      <c r="AL110" s="200"/>
      <c r="AO110"/>
      <c r="BQ110" s="200"/>
      <c r="BT110" s="105"/>
    </row>
    <row r="111" spans="11:72" x14ac:dyDescent="0.3">
      <c r="AL111" s="200"/>
      <c r="AO111"/>
      <c r="BQ111" s="200"/>
      <c r="BT111" s="105"/>
    </row>
    <row r="112" spans="11:72" x14ac:dyDescent="0.3">
      <c r="AL112" s="200"/>
      <c r="AO112"/>
      <c r="BQ112" s="200"/>
      <c r="BT112" s="105"/>
    </row>
    <row r="113" spans="11:72" x14ac:dyDescent="0.3">
      <c r="AL113" s="200"/>
      <c r="AO113"/>
      <c r="BQ113" s="200"/>
      <c r="BT113" s="105"/>
    </row>
    <row r="114" spans="11:72" x14ac:dyDescent="0.3">
      <c r="K114" s="200"/>
      <c r="BQ114" s="200"/>
      <c r="BT114" s="105"/>
    </row>
    <row r="115" spans="11:72" x14ac:dyDescent="0.3">
      <c r="K115" s="8"/>
      <c r="BA115" s="200"/>
      <c r="BQ115" s="8"/>
      <c r="BT115" s="105"/>
    </row>
    <row r="116" spans="11:72" x14ac:dyDescent="0.3">
      <c r="K116" s="8"/>
      <c r="BA116" s="200"/>
      <c r="BQ116" s="8"/>
      <c r="BT116" s="105"/>
    </row>
    <row r="117" spans="11:72" x14ac:dyDescent="0.3">
      <c r="K117" s="8"/>
      <c r="BA117" s="200"/>
      <c r="BQ117" s="8"/>
      <c r="BT117" s="105"/>
    </row>
    <row r="118" spans="11:72" x14ac:dyDescent="0.3">
      <c r="K118" s="8"/>
      <c r="BA118" s="200"/>
      <c r="BQ118" s="8"/>
      <c r="BT118" s="105"/>
    </row>
    <row r="119" spans="11:72" x14ac:dyDescent="0.3">
      <c r="K119" s="8"/>
      <c r="BA119" s="200"/>
      <c r="BQ119" s="8"/>
      <c r="BT119" s="105"/>
    </row>
    <row r="120" spans="11:72" x14ac:dyDescent="0.3">
      <c r="K120" s="8"/>
      <c r="BA120" s="200"/>
      <c r="BQ120" s="8"/>
      <c r="BT120" s="105"/>
    </row>
    <row r="121" spans="11:72" x14ac:dyDescent="0.3">
      <c r="K121" s="8"/>
      <c r="BA121" s="200"/>
      <c r="BQ121" s="8"/>
      <c r="BT121" s="105"/>
    </row>
    <row r="122" spans="11:72" x14ac:dyDescent="0.3">
      <c r="K122" s="8"/>
      <c r="BA122" s="200"/>
      <c r="BQ122" s="8"/>
      <c r="BT122" s="105"/>
    </row>
    <row r="123" spans="11:72" x14ac:dyDescent="0.3">
      <c r="K123" s="8"/>
      <c r="BA123" s="200"/>
      <c r="BQ123" s="8"/>
      <c r="BT123" s="105"/>
    </row>
    <row r="124" spans="11:72" x14ac:dyDescent="0.3">
      <c r="K124" s="8"/>
      <c r="BA124" s="200"/>
      <c r="BQ124" s="8"/>
      <c r="BT124" s="105"/>
    </row>
    <row r="125" spans="11:72" x14ac:dyDescent="0.3">
      <c r="K125" s="8"/>
      <c r="BA125" s="200"/>
      <c r="BQ125" s="8"/>
      <c r="BT125" s="105"/>
    </row>
    <row r="126" spans="11:72" x14ac:dyDescent="0.3">
      <c r="K126" s="8"/>
      <c r="BA126" s="200"/>
      <c r="BQ126" s="8"/>
      <c r="BT126" s="105"/>
    </row>
    <row r="127" spans="11:72" x14ac:dyDescent="0.3">
      <c r="K127" s="8"/>
      <c r="BA127" s="200"/>
      <c r="BQ127" s="8"/>
      <c r="BT127" s="105"/>
    </row>
    <row r="128" spans="11:72" x14ac:dyDescent="0.3">
      <c r="K128" s="8"/>
      <c r="BA128" s="200"/>
      <c r="BQ128" s="8"/>
      <c r="BT128" s="105"/>
    </row>
    <row r="129" spans="11:72" x14ac:dyDescent="0.3">
      <c r="K129" s="8"/>
      <c r="BA129" s="200"/>
      <c r="BQ129" s="8"/>
      <c r="BT129" s="105"/>
    </row>
    <row r="130" spans="11:72" x14ac:dyDescent="0.3">
      <c r="K130" s="8"/>
      <c r="BA130" s="200"/>
      <c r="BQ130" s="8"/>
      <c r="BT130" s="105"/>
    </row>
    <row r="131" spans="11:72" x14ac:dyDescent="0.3">
      <c r="K131" s="8"/>
      <c r="BA131" s="200"/>
      <c r="BQ131" s="8"/>
      <c r="BT131" s="105"/>
    </row>
    <row r="132" spans="11:72" x14ac:dyDescent="0.3">
      <c r="K132" s="8"/>
      <c r="BA132" s="200"/>
      <c r="BQ132" s="8"/>
      <c r="BT132" s="105"/>
    </row>
    <row r="133" spans="11:72" x14ac:dyDescent="0.3">
      <c r="K133" s="8"/>
      <c r="BA133" s="200"/>
      <c r="BQ133" s="8"/>
      <c r="BT133" s="105"/>
    </row>
    <row r="134" spans="11:72" x14ac:dyDescent="0.3">
      <c r="BT134" s="105"/>
    </row>
    <row r="135" spans="11:72" x14ac:dyDescent="0.3">
      <c r="BT135" s="105"/>
    </row>
    <row r="136" spans="11:72" x14ac:dyDescent="0.3">
      <c r="BT136" s="105"/>
    </row>
    <row r="137" spans="11:72" x14ac:dyDescent="0.3">
      <c r="BT137" s="105"/>
    </row>
    <row r="138" spans="11:72" x14ac:dyDescent="0.3">
      <c r="BT138" s="105"/>
    </row>
    <row r="139" spans="11:72" x14ac:dyDescent="0.3">
      <c r="BT139" s="105"/>
    </row>
    <row r="140" spans="11:72" x14ac:dyDescent="0.3">
      <c r="BT140" s="105"/>
    </row>
    <row r="141" spans="11:72" x14ac:dyDescent="0.3">
      <c r="BT141" s="105"/>
    </row>
    <row r="142" spans="11:72" x14ac:dyDescent="0.3">
      <c r="BT142" s="105"/>
    </row>
    <row r="143" spans="11:72" x14ac:dyDescent="0.3">
      <c r="BT143" s="105"/>
    </row>
    <row r="144" spans="11:72" x14ac:dyDescent="0.3">
      <c r="BT144" s="105"/>
    </row>
    <row r="145" spans="72:72" x14ac:dyDescent="0.3">
      <c r="BT145" s="105"/>
    </row>
    <row r="146" spans="72:72" x14ac:dyDescent="0.3">
      <c r="BT146" s="105"/>
    </row>
    <row r="147" spans="72:72" x14ac:dyDescent="0.3">
      <c r="BT147" s="105"/>
    </row>
    <row r="148" spans="72:72" x14ac:dyDescent="0.3">
      <c r="BT148" s="105"/>
    </row>
    <row r="149" spans="72:72" x14ac:dyDescent="0.3">
      <c r="BT149" s="105"/>
    </row>
    <row r="150" spans="72:72" x14ac:dyDescent="0.3">
      <c r="BT150" s="105"/>
    </row>
    <row r="151" spans="72:72" x14ac:dyDescent="0.3">
      <c r="BT151" s="105"/>
    </row>
    <row r="152" spans="72:72" x14ac:dyDescent="0.3">
      <c r="BT152" s="105"/>
    </row>
    <row r="153" spans="72:72" x14ac:dyDescent="0.3">
      <c r="BT153" s="105"/>
    </row>
    <row r="154" spans="72:72" x14ac:dyDescent="0.3">
      <c r="BT154" s="105"/>
    </row>
    <row r="155" spans="72:72" x14ac:dyDescent="0.3">
      <c r="BT155" s="105"/>
    </row>
    <row r="156" spans="72:72" x14ac:dyDescent="0.3">
      <c r="BT156" s="105"/>
    </row>
    <row r="157" spans="72:72" x14ac:dyDescent="0.3">
      <c r="BT157" s="105"/>
    </row>
    <row r="158" spans="72:72" x14ac:dyDescent="0.3">
      <c r="BT158" s="105"/>
    </row>
    <row r="159" spans="72:72" x14ac:dyDescent="0.3">
      <c r="BT159" s="105"/>
    </row>
    <row r="160" spans="72:72" x14ac:dyDescent="0.3">
      <c r="BT160" s="105"/>
    </row>
    <row r="161" spans="72:72" x14ac:dyDescent="0.3">
      <c r="BT161" s="105"/>
    </row>
    <row r="162" spans="72:72" x14ac:dyDescent="0.3">
      <c r="BT162" s="105"/>
    </row>
    <row r="163" spans="72:72" x14ac:dyDescent="0.3">
      <c r="BT163" s="105"/>
    </row>
    <row r="164" spans="72:72" x14ac:dyDescent="0.3">
      <c r="BT164" s="105"/>
    </row>
    <row r="165" spans="72:72" x14ac:dyDescent="0.3">
      <c r="BT165" s="105"/>
    </row>
    <row r="166" spans="72:72" x14ac:dyDescent="0.3">
      <c r="BT166" s="105"/>
    </row>
    <row r="167" spans="72:72" x14ac:dyDescent="0.3">
      <c r="BT167" s="105"/>
    </row>
    <row r="168" spans="72:72" x14ac:dyDescent="0.3">
      <c r="BT168" s="105"/>
    </row>
    <row r="169" spans="72:72" x14ac:dyDescent="0.3">
      <c r="BT169" s="105"/>
    </row>
    <row r="170" spans="72:72" x14ac:dyDescent="0.3">
      <c r="BT170" s="105"/>
    </row>
    <row r="171" spans="72:72" x14ac:dyDescent="0.3">
      <c r="BT171" s="105"/>
    </row>
    <row r="172" spans="72:72" x14ac:dyDescent="0.3">
      <c r="BT172" s="105"/>
    </row>
    <row r="173" spans="72:72" x14ac:dyDescent="0.3">
      <c r="BT173" s="105"/>
    </row>
    <row r="174" spans="72:72" x14ac:dyDescent="0.3">
      <c r="BT174" s="105"/>
    </row>
    <row r="175" spans="72:72" x14ac:dyDescent="0.3">
      <c r="BT175" s="105"/>
    </row>
    <row r="176" spans="72:72" x14ac:dyDescent="0.3">
      <c r="BT176" s="105"/>
    </row>
    <row r="177" spans="72:72" x14ac:dyDescent="0.3">
      <c r="BT177" s="105"/>
    </row>
    <row r="178" spans="72:72" x14ac:dyDescent="0.3">
      <c r="BT178" s="105"/>
    </row>
    <row r="179" spans="72:72" x14ac:dyDescent="0.3">
      <c r="BT179" s="105"/>
    </row>
    <row r="180" spans="72:72" x14ac:dyDescent="0.3">
      <c r="BT180" s="105"/>
    </row>
    <row r="181" spans="72:72" x14ac:dyDescent="0.3">
      <c r="BT181" s="105"/>
    </row>
    <row r="182" spans="72:72" x14ac:dyDescent="0.3">
      <c r="BT182" s="105"/>
    </row>
    <row r="183" spans="72:72" x14ac:dyDescent="0.3">
      <c r="BT183" s="105"/>
    </row>
    <row r="184" spans="72:72" x14ac:dyDescent="0.3">
      <c r="BT184" s="105"/>
    </row>
    <row r="185" spans="72:72" x14ac:dyDescent="0.3">
      <c r="BT185" s="105"/>
    </row>
    <row r="186" spans="72:72" x14ac:dyDescent="0.3">
      <c r="BT186" s="105"/>
    </row>
    <row r="187" spans="72:72" x14ac:dyDescent="0.3">
      <c r="BT187" s="105"/>
    </row>
    <row r="188" spans="72:72" x14ac:dyDescent="0.3">
      <c r="BT188" s="105"/>
    </row>
    <row r="189" spans="72:72" x14ac:dyDescent="0.3">
      <c r="BT189" s="105"/>
    </row>
    <row r="190" spans="72:72" x14ac:dyDescent="0.3">
      <c r="BT190" s="105"/>
    </row>
    <row r="191" spans="72:72" x14ac:dyDescent="0.3">
      <c r="BT191" s="105"/>
    </row>
    <row r="192" spans="72:72" x14ac:dyDescent="0.3">
      <c r="BT192" s="105"/>
    </row>
    <row r="193" spans="72:72" x14ac:dyDescent="0.3">
      <c r="BT193" s="105"/>
    </row>
    <row r="194" spans="72:72" x14ac:dyDescent="0.3">
      <c r="BT194" s="105"/>
    </row>
    <row r="195" spans="72:72" x14ac:dyDescent="0.3">
      <c r="BT195" s="105"/>
    </row>
    <row r="196" spans="72:72" x14ac:dyDescent="0.3">
      <c r="BT196" s="105"/>
    </row>
    <row r="197" spans="72:72" x14ac:dyDescent="0.3">
      <c r="BT197" s="105"/>
    </row>
    <row r="198" spans="72:72" x14ac:dyDescent="0.3">
      <c r="BT198" s="105"/>
    </row>
    <row r="199" spans="72:72" x14ac:dyDescent="0.3">
      <c r="BT199" s="105"/>
    </row>
    <row r="200" spans="72:72" x14ac:dyDescent="0.3">
      <c r="BT200" s="105"/>
    </row>
    <row r="201" spans="72:72" x14ac:dyDescent="0.3">
      <c r="BT201" s="105"/>
    </row>
    <row r="202" spans="72:72" x14ac:dyDescent="0.3">
      <c r="BT202" s="105"/>
    </row>
    <row r="203" spans="72:72" x14ac:dyDescent="0.3">
      <c r="BT203" s="105"/>
    </row>
    <row r="204" spans="72:72" x14ac:dyDescent="0.3">
      <c r="BT204" s="105"/>
    </row>
    <row r="205" spans="72:72" x14ac:dyDescent="0.3">
      <c r="BT205" s="105"/>
    </row>
    <row r="206" spans="72:72" x14ac:dyDescent="0.3">
      <c r="BT206" s="105"/>
    </row>
    <row r="207" spans="72:72" x14ac:dyDescent="0.3">
      <c r="BT207" s="105"/>
    </row>
    <row r="208" spans="72:72" x14ac:dyDescent="0.3">
      <c r="BT208" s="105"/>
    </row>
    <row r="209" spans="72:72" x14ac:dyDescent="0.3">
      <c r="BT209" s="105"/>
    </row>
    <row r="210" spans="72:72" x14ac:dyDescent="0.3">
      <c r="BT210" s="105"/>
    </row>
    <row r="211" spans="72:72" x14ac:dyDescent="0.3">
      <c r="BT211" s="105"/>
    </row>
    <row r="212" spans="72:72" x14ac:dyDescent="0.3">
      <c r="BT212" s="105"/>
    </row>
    <row r="213" spans="72:72" x14ac:dyDescent="0.3">
      <c r="BT213" s="105"/>
    </row>
    <row r="214" spans="72:72" x14ac:dyDescent="0.3">
      <c r="BT214" s="105"/>
    </row>
    <row r="215" spans="72:72" x14ac:dyDescent="0.3">
      <c r="BT215" s="105"/>
    </row>
    <row r="216" spans="72:72" x14ac:dyDescent="0.3">
      <c r="BT216" s="105"/>
    </row>
    <row r="217" spans="72:72" x14ac:dyDescent="0.3">
      <c r="BT217" s="105"/>
    </row>
    <row r="218" spans="72:72" x14ac:dyDescent="0.3">
      <c r="BT218" s="105"/>
    </row>
    <row r="219" spans="72:72" x14ac:dyDescent="0.3">
      <c r="BT219" s="105"/>
    </row>
    <row r="220" spans="72:72" x14ac:dyDescent="0.3">
      <c r="BT220" s="105"/>
    </row>
    <row r="221" spans="72:72" x14ac:dyDescent="0.3">
      <c r="BT221" s="105"/>
    </row>
    <row r="222" spans="72:72" x14ac:dyDescent="0.3">
      <c r="BT222" s="105"/>
    </row>
    <row r="223" spans="72:72" x14ac:dyDescent="0.3">
      <c r="BT223" s="105"/>
    </row>
    <row r="224" spans="72:72" x14ac:dyDescent="0.3">
      <c r="BT224" s="105"/>
    </row>
    <row r="225" spans="72:72" x14ac:dyDescent="0.3">
      <c r="BT225" s="105"/>
    </row>
    <row r="226" spans="72:72" x14ac:dyDescent="0.3">
      <c r="BT226" s="105"/>
    </row>
    <row r="227" spans="72:72" x14ac:dyDescent="0.3">
      <c r="BT227" s="105"/>
    </row>
    <row r="228" spans="72:72" x14ac:dyDescent="0.3">
      <c r="BT228" s="105"/>
    </row>
    <row r="229" spans="72:72" x14ac:dyDescent="0.3">
      <c r="BT229" s="105"/>
    </row>
    <row r="230" spans="72:72" x14ac:dyDescent="0.3">
      <c r="BT230" s="105"/>
    </row>
    <row r="231" spans="72:72" x14ac:dyDescent="0.3">
      <c r="BT231" s="105"/>
    </row>
    <row r="232" spans="72:72" x14ac:dyDescent="0.3">
      <c r="BT232" s="105"/>
    </row>
    <row r="233" spans="72:72" x14ac:dyDescent="0.3">
      <c r="BT233" s="105"/>
    </row>
    <row r="234" spans="72:72" x14ac:dyDescent="0.3">
      <c r="BT234" s="105"/>
    </row>
    <row r="235" spans="72:72" x14ac:dyDescent="0.3">
      <c r="BT235" s="105"/>
    </row>
    <row r="236" spans="72:72" x14ac:dyDescent="0.3">
      <c r="BT236" s="105"/>
    </row>
    <row r="237" spans="72:72" x14ac:dyDescent="0.3">
      <c r="BT237" s="105"/>
    </row>
    <row r="238" spans="72:72" x14ac:dyDescent="0.3">
      <c r="BT238" s="105"/>
    </row>
    <row r="239" spans="72:72" x14ac:dyDescent="0.3">
      <c r="BT239" s="105"/>
    </row>
    <row r="240" spans="72:72" x14ac:dyDescent="0.3">
      <c r="BT240" s="105"/>
    </row>
    <row r="241" spans="72:72" x14ac:dyDescent="0.3">
      <c r="BT241" s="105"/>
    </row>
    <row r="242" spans="72:72" x14ac:dyDescent="0.3">
      <c r="BT242" s="105"/>
    </row>
    <row r="243" spans="72:72" x14ac:dyDescent="0.3">
      <c r="BT243" s="105"/>
    </row>
    <row r="244" spans="72:72" x14ac:dyDescent="0.3">
      <c r="BT244" s="105"/>
    </row>
    <row r="245" spans="72:72" x14ac:dyDescent="0.3">
      <c r="BT245" s="105"/>
    </row>
    <row r="246" spans="72:72" x14ac:dyDescent="0.3">
      <c r="BT246" s="105"/>
    </row>
    <row r="247" spans="72:72" x14ac:dyDescent="0.3">
      <c r="BT247" s="105"/>
    </row>
    <row r="248" spans="72:72" x14ac:dyDescent="0.3">
      <c r="BT248" s="105"/>
    </row>
    <row r="249" spans="72:72" x14ac:dyDescent="0.3">
      <c r="BT249" s="105"/>
    </row>
    <row r="250" spans="72:72" x14ac:dyDescent="0.3">
      <c r="BT250" s="105"/>
    </row>
    <row r="251" spans="72:72" x14ac:dyDescent="0.3">
      <c r="BT251" s="105"/>
    </row>
    <row r="252" spans="72:72" x14ac:dyDescent="0.3">
      <c r="BT252" s="105"/>
    </row>
    <row r="253" spans="72:72" x14ac:dyDescent="0.3">
      <c r="BT253" s="105"/>
    </row>
    <row r="254" spans="72:72" x14ac:dyDescent="0.3">
      <c r="BT254" s="105"/>
    </row>
    <row r="255" spans="72:72" x14ac:dyDescent="0.3">
      <c r="BT255" s="105"/>
    </row>
    <row r="256" spans="72:72" x14ac:dyDescent="0.3">
      <c r="BT256" s="105"/>
    </row>
    <row r="257" spans="72:72" x14ac:dyDescent="0.3">
      <c r="BT257" s="105"/>
    </row>
    <row r="258" spans="72:72" x14ac:dyDescent="0.3">
      <c r="BT258" s="105"/>
    </row>
    <row r="259" spans="72:72" x14ac:dyDescent="0.3">
      <c r="BT259" s="105"/>
    </row>
    <row r="260" spans="72:72" x14ac:dyDescent="0.3">
      <c r="BT260" s="105"/>
    </row>
    <row r="261" spans="72:72" x14ac:dyDescent="0.3">
      <c r="BT261" s="105"/>
    </row>
    <row r="262" spans="72:72" x14ac:dyDescent="0.3">
      <c r="BT262" s="105"/>
    </row>
    <row r="263" spans="72:72" x14ac:dyDescent="0.3">
      <c r="BT263" s="105"/>
    </row>
    <row r="264" spans="72:72" x14ac:dyDescent="0.3">
      <c r="BT264" s="105"/>
    </row>
    <row r="265" spans="72:72" x14ac:dyDescent="0.3">
      <c r="BT265" s="105"/>
    </row>
    <row r="266" spans="72:72" x14ac:dyDescent="0.3">
      <c r="BT266" s="105"/>
    </row>
    <row r="267" spans="72:72" x14ac:dyDescent="0.3">
      <c r="BT267" s="105"/>
    </row>
    <row r="268" spans="72:72" x14ac:dyDescent="0.3">
      <c r="BT268" s="105"/>
    </row>
    <row r="269" spans="72:72" x14ac:dyDescent="0.3">
      <c r="BT269" s="105"/>
    </row>
    <row r="270" spans="72:72" x14ac:dyDescent="0.3">
      <c r="BT270" s="105"/>
    </row>
    <row r="271" spans="72:72" x14ac:dyDescent="0.3">
      <c r="BT271" s="105"/>
    </row>
    <row r="272" spans="72:72" x14ac:dyDescent="0.3">
      <c r="BT272" s="105"/>
    </row>
    <row r="273" spans="72:72" x14ac:dyDescent="0.3">
      <c r="BT273" s="105"/>
    </row>
    <row r="274" spans="72:72" x14ac:dyDescent="0.3">
      <c r="BT274" s="105"/>
    </row>
    <row r="275" spans="72:72" x14ac:dyDescent="0.3">
      <c r="BT275" s="105"/>
    </row>
    <row r="276" spans="72:72" x14ac:dyDescent="0.3">
      <c r="BT276" s="105"/>
    </row>
    <row r="277" spans="72:72" x14ac:dyDescent="0.3">
      <c r="BT277" s="105"/>
    </row>
    <row r="278" spans="72:72" x14ac:dyDescent="0.3">
      <c r="BT278" s="105"/>
    </row>
    <row r="279" spans="72:72" x14ac:dyDescent="0.3">
      <c r="BT279" s="105"/>
    </row>
    <row r="280" spans="72:72" x14ac:dyDescent="0.3">
      <c r="BT280" s="105"/>
    </row>
    <row r="281" spans="72:72" x14ac:dyDescent="0.3">
      <c r="BT281" s="105"/>
    </row>
    <row r="282" spans="72:72" x14ac:dyDescent="0.3">
      <c r="BT282" s="105"/>
    </row>
    <row r="283" spans="72:72" x14ac:dyDescent="0.3">
      <c r="BT283" s="105"/>
    </row>
    <row r="284" spans="72:72" x14ac:dyDescent="0.3">
      <c r="BT284" s="105"/>
    </row>
    <row r="285" spans="72:72" x14ac:dyDescent="0.3">
      <c r="BT285" s="105"/>
    </row>
    <row r="286" spans="72:72" x14ac:dyDescent="0.3">
      <c r="BT286" s="105"/>
    </row>
    <row r="287" spans="72:72" x14ac:dyDescent="0.3">
      <c r="BT287" s="105"/>
    </row>
    <row r="288" spans="72:72" x14ac:dyDescent="0.3">
      <c r="BT288" s="105"/>
    </row>
    <row r="289" spans="72:72" x14ac:dyDescent="0.3">
      <c r="BT289" s="105"/>
    </row>
    <row r="290" spans="72:72" x14ac:dyDescent="0.3">
      <c r="BT290" s="105"/>
    </row>
    <row r="291" spans="72:72" x14ac:dyDescent="0.3">
      <c r="BT291" s="105"/>
    </row>
    <row r="292" spans="72:72" x14ac:dyDescent="0.3">
      <c r="BT292" s="105"/>
    </row>
    <row r="293" spans="72:72" x14ac:dyDescent="0.3">
      <c r="BT293" s="105"/>
    </row>
    <row r="294" spans="72:72" x14ac:dyDescent="0.3">
      <c r="BT294" s="105"/>
    </row>
    <row r="295" spans="72:72" x14ac:dyDescent="0.3">
      <c r="BT295" s="105"/>
    </row>
    <row r="296" spans="72:72" x14ac:dyDescent="0.3">
      <c r="BT296" s="105"/>
    </row>
    <row r="297" spans="72:72" x14ac:dyDescent="0.3">
      <c r="BT297" s="105"/>
    </row>
    <row r="298" spans="72:72" x14ac:dyDescent="0.3">
      <c r="BT298" s="105"/>
    </row>
    <row r="299" spans="72:72" x14ac:dyDescent="0.3">
      <c r="BT299" s="105"/>
    </row>
    <row r="300" spans="72:72" x14ac:dyDescent="0.3">
      <c r="BT300" s="105"/>
    </row>
    <row r="301" spans="72:72" x14ac:dyDescent="0.3">
      <c r="BT301" s="105"/>
    </row>
    <row r="302" spans="72:72" x14ac:dyDescent="0.3">
      <c r="BT302" s="105"/>
    </row>
    <row r="303" spans="72:72" x14ac:dyDescent="0.3">
      <c r="BT303" s="105"/>
    </row>
    <row r="304" spans="72:72" x14ac:dyDescent="0.3">
      <c r="BT304" s="105"/>
    </row>
    <row r="305" spans="72:72" x14ac:dyDescent="0.3">
      <c r="BT305" s="105"/>
    </row>
    <row r="306" spans="72:72" x14ac:dyDescent="0.3">
      <c r="BT306" s="105"/>
    </row>
    <row r="307" spans="72:72" x14ac:dyDescent="0.3">
      <c r="BT307" s="105"/>
    </row>
    <row r="308" spans="72:72" x14ac:dyDescent="0.3">
      <c r="BT308" s="105"/>
    </row>
    <row r="309" spans="72:72" x14ac:dyDescent="0.3">
      <c r="BT309" s="105"/>
    </row>
    <row r="310" spans="72:72" x14ac:dyDescent="0.3">
      <c r="BT310" s="105"/>
    </row>
    <row r="311" spans="72:72" x14ac:dyDescent="0.3">
      <c r="BT311" s="105"/>
    </row>
    <row r="312" spans="72:72" x14ac:dyDescent="0.3">
      <c r="BT312" s="105"/>
    </row>
    <row r="313" spans="72:72" x14ac:dyDescent="0.3">
      <c r="BT313" s="105"/>
    </row>
    <row r="314" spans="72:72" x14ac:dyDescent="0.3">
      <c r="BT314" s="105"/>
    </row>
    <row r="315" spans="72:72" x14ac:dyDescent="0.3">
      <c r="BT315" s="105"/>
    </row>
    <row r="316" spans="72:72" x14ac:dyDescent="0.3">
      <c r="BT316" s="39"/>
    </row>
    <row r="317" spans="72:72" x14ac:dyDescent="0.3">
      <c r="BT317" s="106"/>
    </row>
  </sheetData>
  <autoFilter ref="B8:BQ41" xr:uid="{00000000-0001-0000-0500-000000000000}"/>
  <dataConsolidate/>
  <mergeCells count="3">
    <mergeCell ref="AL7:AO7"/>
    <mergeCell ref="AP7:AS7"/>
    <mergeCell ref="AT7:BA7"/>
  </mergeCells>
  <conditionalFormatting sqref="C9:C41 AO9:AS41 BN9:BR41">
    <cfRule type="cellIs" dxfId="217" priority="32" operator="equal">
      <formula>"YES-OOS"</formula>
    </cfRule>
  </conditionalFormatting>
  <conditionalFormatting sqref="C9:C42 J9:J42 AL9:AM42 AO9:AO42 AR9:AR42">
    <cfRule type="cellIs" dxfId="216" priority="15" operator="equal">
      <formula>"PENDING"</formula>
    </cfRule>
  </conditionalFormatting>
  <conditionalFormatting sqref="AX9:BA11 AO9:AS41 AJ10:AM10 H9:AG41 AX12:AY12 AZ12:BA18 AY13:AY18 AY19:BA41 B42:C42 N42 AH9:AM9 AH11:AM41">
    <cfRule type="cellIs" dxfId="215" priority="128" operator="equal">
      <formula>"YES"</formula>
    </cfRule>
  </conditionalFormatting>
  <conditionalFormatting sqref="H9:AM9 H11:AM41 H10:AH10 AJ10:AM10">
    <cfRule type="cellIs" dxfId="214" priority="7" operator="equal">
      <formula>"NO"</formula>
    </cfRule>
  </conditionalFormatting>
  <conditionalFormatting sqref="AO9:AS41 AJ10:AM10 K9:AG41 C9:C41 BN9:BR41 AH9:AM9 AH11:AM41">
    <cfRule type="cellIs" dxfId="213" priority="76" operator="equal">
      <formula>"NO-OOS"</formula>
    </cfRule>
    <cfRule type="cellIs" dxfId="212" priority="77" operator="equal">
      <formula>"NO-IL"</formula>
    </cfRule>
  </conditionalFormatting>
  <conditionalFormatting sqref="AO9:BD9 AJ10:AM10 AO10:BA39 K9:AG41 AO40:BD41 AW9:AW11 BN9:BR41 C9:C42 AH9:AM9 AH11:AM41">
    <cfRule type="cellIs" dxfId="211" priority="47" operator="equal">
      <formula>"YES"</formula>
    </cfRule>
  </conditionalFormatting>
  <conditionalFormatting sqref="K9:AM9 K11:AM41 K10:AH10 AJ10:AM10">
    <cfRule type="cellIs" dxfId="210" priority="6" operator="equal">
      <formula>"YES-OOS"</formula>
    </cfRule>
  </conditionalFormatting>
  <conditionalFormatting sqref="L9:N9 AO9:BC9 AL9:AM41 L10:M18 AO10:BA39 L19:N41 AO40:BC41">
    <cfRule type="cellIs" dxfId="209" priority="46" operator="equal">
      <formula>"NO"</formula>
    </cfRule>
  </conditionalFormatting>
  <conditionalFormatting sqref="L9:N9 AW9:BC9 AW9:AW11 AL9:AM41 AO9:AS41 L10:M18 AW10:BA39 L19:N41 AW40:BC41">
    <cfRule type="containsText" dxfId="208" priority="56" operator="containsText" text="Missing">
      <formula>NOT(ISERROR(SEARCH("Missing",L9)))</formula>
    </cfRule>
    <cfRule type="containsText" dxfId="207" priority="57" operator="containsText" text="Valid">
      <formula>NOT(ISERROR(SEARCH("Valid",L9)))</formula>
    </cfRule>
    <cfRule type="containsText" dxfId="206" priority="58" operator="containsText" text="Expired">
      <formula>NOT(ISERROR(SEARCH("Expired",L9)))</formula>
    </cfRule>
    <cfRule type="containsText" dxfId="205" priority="59" operator="containsText" text="Covid">
      <formula>NOT(ISERROR(SEARCH("Covid",L9)))</formula>
    </cfRule>
  </conditionalFormatting>
  <conditionalFormatting sqref="L9:N9 BB9:BC9 AL9:AM41 AO9:AS41 L10:M18 L19:N41 BB40:BC41">
    <cfRule type="containsText" dxfId="204" priority="35" operator="containsText" text="Sig">
      <formula>NOT(ISERROR(SEARCH("Sig",L9)))</formula>
    </cfRule>
    <cfRule type="containsText" dxfId="203" priority="36" operator="containsText" text="WNR">
      <formula>NOT(ISERROR(SEARCH("WNR",L9)))</formula>
    </cfRule>
    <cfRule type="containsText" dxfId="202" priority="37" operator="containsText" text="Missing">
      <formula>NOT(ISERROR(SEARCH("Missing",L9)))</formula>
    </cfRule>
    <cfRule type="containsText" dxfId="201" priority="38" operator="containsText" text="Expired">
      <formula>NOT(ISERROR(SEARCH("Expired",L9)))</formula>
    </cfRule>
    <cfRule type="containsText" dxfId="200" priority="39" operator="containsText" text="sent">
      <formula>NOT(ISERROR(SEARCH("sent",L9)))</formula>
    </cfRule>
  </conditionalFormatting>
  <conditionalFormatting sqref="R54:S54">
    <cfRule type="expression" dxfId="199" priority="31">
      <formula>$S$51&gt;2</formula>
    </cfRule>
  </conditionalFormatting>
  <conditionalFormatting sqref="S51">
    <cfRule type="expression" dxfId="198" priority="33">
      <formula>$S$51&gt;2</formula>
    </cfRule>
  </conditionalFormatting>
  <conditionalFormatting sqref="U52:V52">
    <cfRule type="cellIs" dxfId="197" priority="89" operator="equal">
      <formula>"NO-OOS"</formula>
    </cfRule>
    <cfRule type="cellIs" dxfId="196" priority="90" operator="equal">
      <formula>"NO-CO"</formula>
    </cfRule>
    <cfRule type="cellIs" dxfId="195" priority="91" operator="equal">
      <formula>"YES"</formula>
    </cfRule>
    <cfRule type="cellIs" dxfId="194" priority="92" operator="equal">
      <formula>"NO"</formula>
    </cfRule>
  </conditionalFormatting>
  <conditionalFormatting sqref="U57:V57">
    <cfRule type="cellIs" dxfId="193" priority="11" operator="equal">
      <formula>"NO-OOS"</formula>
    </cfRule>
    <cfRule type="cellIs" dxfId="192" priority="12" operator="equal">
      <formula>"NO-CO"</formula>
    </cfRule>
    <cfRule type="cellIs" dxfId="191" priority="13" operator="equal">
      <formula>"YES"</formula>
    </cfRule>
    <cfRule type="cellIs" dxfId="190" priority="14" operator="equal">
      <formula>"NO"</formula>
    </cfRule>
  </conditionalFormatting>
  <conditionalFormatting sqref="AH10">
    <cfRule type="cellIs" dxfId="189" priority="8" operator="equal">
      <formula>"YES"</formula>
    </cfRule>
    <cfRule type="cellIs" dxfId="188" priority="9" operator="equal">
      <formula>"NO-OOS"</formula>
    </cfRule>
    <cfRule type="cellIs" dxfId="187" priority="10" operator="equal">
      <formula>"NO-IL"</formula>
    </cfRule>
  </conditionalFormatting>
  <conditionalFormatting sqref="AO9:AS41 L9:N9 AW9:BC9 AW9:AW11 AL9:AM41 L10:M18 AW10:BA39 L19:N41 AW40:BC41">
    <cfRule type="containsText" dxfId="186" priority="55" operator="containsText" text="SOS">
      <formula>NOT(ISERROR(SEARCH("SOS",L9)))</formula>
    </cfRule>
  </conditionalFormatting>
  <conditionalFormatting sqref="AO9:AS41">
    <cfRule type="containsText" dxfId="185" priority="51" operator="containsText" text="Invalid">
      <formula>NOT(ISERROR(SEARCH("Invalid",AO9)))</formula>
    </cfRule>
    <cfRule type="containsText" dxfId="184" priority="52" operator="containsText" text="Valid">
      <formula>NOT(ISERROR(SEARCH("Valid",AO9)))</formula>
    </cfRule>
    <cfRule type="containsText" dxfId="183" priority="53" operator="containsText" text="Missing">
      <formula>NOT(ISERROR(SEARCH("Missing",AO9)))</formula>
    </cfRule>
    <cfRule type="containsText" dxfId="182" priority="54" operator="containsText" text="N/A">
      <formula>NOT(ISERROR(SEARCH("N/A",AO9)))</formula>
    </cfRule>
  </conditionalFormatting>
  <conditionalFormatting sqref="AR9:AR41">
    <cfRule type="cellIs" dxfId="181" priority="60" operator="equal">
      <formula>"N/A - (OOS)"</formula>
    </cfRule>
  </conditionalFormatting>
  <conditionalFormatting sqref="AW9:BA11 AO9:AS41 BN9:BR41 C9:C42 AX12:AY12 AZ12:BA18 AY13:AY18 AY19:BA41 AX27 B42:C42 N42">
    <cfRule type="cellIs" dxfId="180" priority="25" operator="equal">
      <formula>"NO"</formula>
    </cfRule>
  </conditionalFormatting>
  <conditionalFormatting sqref="AX14:AX19 AZ19">
    <cfRule type="cellIs" dxfId="179" priority="98" operator="equal">
      <formula>"NO"</formula>
    </cfRule>
    <cfRule type="cellIs" dxfId="178" priority="99" operator="equal">
      <formula>"YES"</formula>
    </cfRule>
  </conditionalFormatting>
  <conditionalFormatting sqref="AX24 AZ24">
    <cfRule type="cellIs" dxfId="177" priority="122" operator="equal">
      <formula>"NO"</formula>
    </cfRule>
    <cfRule type="cellIs" dxfId="176" priority="123" operator="equal">
      <formula>"YES"</formula>
    </cfRule>
  </conditionalFormatting>
  <conditionalFormatting sqref="AX26 AZ26">
    <cfRule type="cellIs" dxfId="175" priority="120" operator="equal">
      <formula>"NO"</formula>
    </cfRule>
  </conditionalFormatting>
  <conditionalFormatting sqref="AX29 AZ29">
    <cfRule type="cellIs" dxfId="174" priority="126" operator="equal">
      <formula>"NO"</formula>
    </cfRule>
    <cfRule type="cellIs" dxfId="173" priority="127" operator="equal">
      <formula>"YES"</formula>
    </cfRule>
  </conditionalFormatting>
  <conditionalFormatting sqref="AX35:AX41 AZ35:AZ41">
    <cfRule type="cellIs" dxfId="172" priority="94" operator="equal">
      <formula>"NO"</formula>
    </cfRule>
    <cfRule type="cellIs" dxfId="171" priority="95" operator="equal">
      <formula>"YES"</formula>
    </cfRule>
  </conditionalFormatting>
  <conditionalFormatting sqref="AZ26 AX26:AX27">
    <cfRule type="cellIs" dxfId="170" priority="121" operator="equal">
      <formula>"YES"</formula>
    </cfRule>
  </conditionalFormatting>
  <conditionalFormatting sqref="BB1:BC1048576">
    <cfRule type="containsText" dxfId="169" priority="16" operator="containsText" text="Check Masterlist">
      <formula>NOT(ISERROR(SEARCH("Check Masterlist",BB1)))</formula>
    </cfRule>
  </conditionalFormatting>
  <conditionalFormatting sqref="BB9:BC9 BB40:BC41 AO9:AS41 AL9:AM41 L9:N9 L10:M18 L19:N41">
    <cfRule type="containsText" dxfId="168" priority="34" operator="containsText" text="Covid">
      <formula>NOT(ISERROR(SEARCH("Covid",L9)))</formula>
    </cfRule>
  </conditionalFormatting>
  <conditionalFormatting sqref="BB9:BC9 BB40:BC41">
    <cfRule type="cellIs" dxfId="167" priority="29" operator="equal">
      <formula>"NO"</formula>
    </cfRule>
    <cfRule type="cellIs" dxfId="166" priority="30" operator="equal">
      <formula>"YES"</formula>
    </cfRule>
  </conditionalFormatting>
  <conditionalFormatting sqref="BB9:BD9 BD10:BD39 BB40:BD41">
    <cfRule type="cellIs" dxfId="165" priority="26" operator="equal">
      <formula>"YES-OOS"</formula>
    </cfRule>
    <cfRule type="cellIs" dxfId="164" priority="27" operator="equal">
      <formula>"NO-OOS"</formula>
    </cfRule>
    <cfRule type="cellIs" dxfId="163" priority="28" operator="equal">
      <formula>"NO-IL"</formula>
    </cfRule>
  </conditionalFormatting>
  <conditionalFormatting sqref="BD9:BD41">
    <cfRule type="cellIs" dxfId="162" priority="17" operator="equal">
      <formula>"NO"</formula>
    </cfRule>
    <cfRule type="containsText" dxfId="161" priority="18" operator="containsText" text="SOS">
      <formula>NOT(ISERROR(SEARCH("SOS",BD9)))</formula>
    </cfRule>
    <cfRule type="containsText" dxfId="160" priority="19" operator="containsText" text="Missing">
      <formula>NOT(ISERROR(SEARCH("Missing",BD9)))</formula>
    </cfRule>
    <cfRule type="containsText" dxfId="159" priority="20" operator="containsText" text="Valid">
      <formula>NOT(ISERROR(SEARCH("Valid",BD9)))</formula>
    </cfRule>
    <cfRule type="containsText" dxfId="158" priority="21" operator="containsText" text="Expired">
      <formula>NOT(ISERROR(SEARCH("Expired",BD9)))</formula>
    </cfRule>
    <cfRule type="containsText" dxfId="157" priority="22" operator="containsText" text="Covid">
      <formula>NOT(ISERROR(SEARCH("Covid",BD9)))</formula>
    </cfRule>
  </conditionalFormatting>
  <conditionalFormatting sqref="BD9:BD42">
    <cfRule type="cellIs" dxfId="156" priority="23" operator="equal">
      <formula>"NO"</formula>
    </cfRule>
    <cfRule type="cellIs" dxfId="155" priority="24" operator="equal">
      <formula>"YES"</formula>
    </cfRule>
  </conditionalFormatting>
  <conditionalFormatting sqref="AI10:AI39">
    <cfRule type="cellIs" dxfId="4" priority="1" operator="equal">
      <formula>"YES-OOS"</formula>
    </cfRule>
  </conditionalFormatting>
  <conditionalFormatting sqref="AI10:AI39">
    <cfRule type="cellIs" dxfId="2" priority="4" operator="equal">
      <formula>"NO-OOS"</formula>
    </cfRule>
    <cfRule type="cellIs" dxfId="3" priority="5" operator="equal">
      <formula>"NO-IL"</formula>
    </cfRule>
  </conditionalFormatting>
  <conditionalFormatting sqref="AI10:AI39">
    <cfRule type="cellIs" dxfId="1" priority="2" operator="equal">
      <formula>"NO"</formula>
    </cfRule>
  </conditionalFormatting>
  <conditionalFormatting sqref="AI10:AI39">
    <cfRule type="cellIs" dxfId="0" priority="3" operator="equal">
      <formula>"YES"</formula>
    </cfRule>
  </conditionalFormatting>
  <dataValidations count="3">
    <dataValidation type="list" allowBlank="1" showInputMessage="1" showErrorMessage="1" sqref="V56:V58 W59:Z59 L52:M52 BD42:BD45 V54:W54 BN42:BR45 BN84:BR84 BP83:BR83 AW73:AW77 AL114:AS1048576 BA51 AM103:AT113 AS45:AW45 R71 Y56:Z57 L73:M73 AQ70:AQ80 U58 AV78:AW80 AU85:AW102 AV84:AW84 Z79:Z80 Z70:Z77 F9:F38 C9:C44 J9:J41 BA52:BC52 Y41 BR9:BR41 BN9:BQ9 BO41:BQ41 AL9:AM41 AO9:AP41 BP6 W56:W59 BB9:BC9 AL40:AL45 AR9:AT41 BB40:BC41 BA73:BC73 L42:AS44 Z40:AK41" xr:uid="{00000000-0002-0000-0500-000001000000}">
      <formula1>#REF!</formula1>
    </dataValidation>
    <dataValidation type="list" allowBlank="1" showInputMessage="1" showErrorMessage="1" error="Please select a valid option from the 3 below" promptTitle="Payment Method" prompt="Select a payment method" sqref="AP9:AP41" xr:uid="{095408B9-F77C-452A-9BB5-35CA29AC68ED}">
      <formula1>#REF!</formula1>
    </dataValidation>
    <dataValidation type="list" allowBlank="1" showInputMessage="1" showErrorMessage="1" sqref="V52 V57 AX2 AX6" xr:uid="{00000000-0002-0000-0500-000002000000}"/>
  </dataValidations>
  <hyperlinks>
    <hyperlink ref="BB6" r:id="rId1" display="Automated: in case data is not reflected add it to out masterfile" xr:uid="{D11FE859-6ED8-4B6E-AD2C-73E9E6FB1529}"/>
  </hyperlinks>
  <pageMargins left="0.7" right="0.7" top="0.75" bottom="0.75" header="0.3" footer="0.3"/>
  <pageSetup scale="17" orientation="portrait"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968B5-39E0-4614-8A18-66DD28C386B2}">
  <dimension ref="A1"/>
  <sheetViews>
    <sheetView workbookViewId="0">
      <selection activeCell="M32" sqref="M32"/>
    </sheetView>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101BF-890C-44E5-BE35-33E264D9CC04}">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B1:AE71"/>
  <sheetViews>
    <sheetView zoomScale="70" zoomScaleNormal="70" workbookViewId="0">
      <pane xSplit="2" ySplit="7" topLeftCell="C8" activePane="bottomRight" state="frozen"/>
      <selection activeCell="F31" sqref="F31"/>
      <selection pane="topRight" activeCell="F31" sqref="F31"/>
      <selection pane="bottomLeft" activeCell="F31" sqref="F31"/>
      <selection pane="bottomRight" activeCell="J28" sqref="J28"/>
    </sheetView>
  </sheetViews>
  <sheetFormatPr defaultRowHeight="14.4" x14ac:dyDescent="0.3"/>
  <cols>
    <col min="1" max="1" width="2.5546875" customWidth="1"/>
    <col min="2" max="2" width="6.88671875" style="9" customWidth="1"/>
    <col min="3" max="3" width="14.109375" bestFit="1" customWidth="1"/>
    <col min="4" max="4" width="12.44140625" style="113" customWidth="1"/>
    <col min="5" max="5" width="22.88671875" style="66" customWidth="1"/>
    <col min="6" max="6" width="29.109375" style="32" customWidth="1"/>
    <col min="7" max="7" width="22.109375" style="8" customWidth="1"/>
    <col min="8" max="8" width="15.88671875" style="8" customWidth="1"/>
    <col min="9" max="9" width="9.109375" style="8" customWidth="1"/>
    <col min="10" max="10" width="8.109375" style="8" customWidth="1"/>
    <col min="11" max="11" width="18" style="27" customWidth="1"/>
    <col min="12" max="12" width="18" style="8" bestFit="1" customWidth="1"/>
    <col min="13" max="13" width="18.88671875" style="43" bestFit="1" customWidth="1"/>
    <col min="14" max="14" width="23.88671875" style="43" bestFit="1" customWidth="1"/>
    <col min="15" max="15" width="22.109375" style="43" bestFit="1" customWidth="1"/>
    <col min="16" max="16" width="21" style="8" bestFit="1" customWidth="1"/>
    <col min="17" max="17" width="22.109375" style="66" bestFit="1" customWidth="1"/>
    <col min="18" max="18" width="19.5546875" style="8" customWidth="1"/>
    <col min="19" max="19" width="17.109375" style="8" customWidth="1"/>
    <col min="20" max="20" width="13.5546875" style="8" bestFit="1" customWidth="1"/>
    <col min="21" max="21" width="19.109375" style="8" customWidth="1"/>
    <col min="22" max="22" width="43.109375" style="32" customWidth="1"/>
    <col min="23" max="23" width="10.109375" bestFit="1" customWidth="1"/>
    <col min="24" max="24" width="27.109375" bestFit="1" customWidth="1"/>
    <col min="25" max="25" width="15.5546875" customWidth="1"/>
    <col min="26" max="26" width="13.88671875" customWidth="1"/>
    <col min="29" max="29" width="10.109375" customWidth="1"/>
    <col min="30" max="30" width="13.109375" customWidth="1"/>
    <col min="31" max="31" width="13.5546875" customWidth="1"/>
  </cols>
  <sheetData>
    <row r="1" spans="2:31" ht="40.35" customHeight="1" x14ac:dyDescent="0.3">
      <c r="B1" s="352" t="s">
        <v>370</v>
      </c>
      <c r="C1" s="352"/>
      <c r="D1" s="352"/>
      <c r="E1" s="352"/>
      <c r="F1" s="352"/>
      <c r="G1" s="352"/>
      <c r="H1" s="352"/>
      <c r="I1" s="352"/>
      <c r="J1" s="352"/>
      <c r="K1" s="352"/>
      <c r="L1" s="352"/>
      <c r="M1" s="352"/>
      <c r="N1" s="352"/>
      <c r="O1" s="352"/>
      <c r="P1" s="313"/>
      <c r="Q1" s="313"/>
      <c r="R1" s="210"/>
      <c r="S1" s="210"/>
      <c r="T1" s="210"/>
      <c r="U1" s="210"/>
      <c r="V1" s="210"/>
      <c r="W1" s="210"/>
      <c r="X1" s="210"/>
    </row>
    <row r="2" spans="2:31" ht="15.6" x14ac:dyDescent="0.3">
      <c r="B2" s="117"/>
      <c r="C2" s="31"/>
      <c r="D2" s="117"/>
      <c r="E2" s="117"/>
      <c r="F2" s="117"/>
      <c r="G2" s="31"/>
      <c r="H2" s="117"/>
      <c r="I2" s="117"/>
      <c r="J2" s="117"/>
      <c r="K2" s="25"/>
      <c r="L2" s="117"/>
      <c r="M2" s="117"/>
      <c r="N2" s="117"/>
      <c r="O2" s="117"/>
      <c r="P2" s="117"/>
      <c r="Q2" s="117"/>
      <c r="R2" s="117"/>
      <c r="S2" s="117"/>
      <c r="T2" s="117"/>
      <c r="U2" s="117"/>
      <c r="V2" s="31"/>
      <c r="W2" s="117"/>
      <c r="X2" s="31"/>
    </row>
    <row r="3" spans="2:31" x14ac:dyDescent="0.3">
      <c r="C3" s="5" t="s">
        <v>68</v>
      </c>
      <c r="D3" s="5" t="e">
        <f>#REF!</f>
        <v>#REF!</v>
      </c>
      <c r="F3"/>
      <c r="G3" s="32"/>
      <c r="M3"/>
      <c r="N3"/>
      <c r="O3"/>
      <c r="Q3"/>
      <c r="X3" s="32"/>
    </row>
    <row r="4" spans="2:31" ht="18" x14ac:dyDescent="0.35">
      <c r="C4" s="5" t="s">
        <v>69</v>
      </c>
      <c r="D4" s="230" t="e">
        <f>#REF!</f>
        <v>#REF!</v>
      </c>
      <c r="F4" s="479" t="s">
        <v>273</v>
      </c>
      <c r="G4" s="480"/>
      <c r="H4" s="479"/>
      <c r="I4" s="481"/>
      <c r="J4" s="481"/>
      <c r="K4" s="482"/>
      <c r="L4" s="481"/>
      <c r="M4"/>
      <c r="N4"/>
      <c r="O4"/>
      <c r="P4" s="116"/>
      <c r="Q4" s="5"/>
      <c r="R4" s="149"/>
      <c r="S4" s="116"/>
      <c r="T4" s="116"/>
      <c r="U4" s="149"/>
      <c r="V4" s="5"/>
      <c r="W4" s="5"/>
      <c r="Y4" s="5"/>
    </row>
    <row r="5" spans="2:31" ht="18.600000000000001" thickBot="1" x14ac:dyDescent="0.4">
      <c r="C5" s="5" t="s">
        <v>275</v>
      </c>
      <c r="D5" s="230" t="e">
        <f>#REF!</f>
        <v>#REF!</v>
      </c>
      <c r="F5" s="5"/>
      <c r="G5" s="5"/>
      <c r="H5" s="116"/>
      <c r="I5" s="116"/>
      <c r="J5" s="116"/>
      <c r="N5"/>
      <c r="O5"/>
      <c r="P5" s="116"/>
      <c r="Q5" s="5"/>
      <c r="R5" s="149"/>
      <c r="S5" s="116"/>
      <c r="T5" s="116"/>
      <c r="U5" s="149"/>
      <c r="V5" s="5"/>
      <c r="W5" s="5"/>
      <c r="X5" s="354" t="s">
        <v>277</v>
      </c>
      <c r="Y5" s="390"/>
    </row>
    <row r="6" spans="2:31" ht="15" thickBot="1" x14ac:dyDescent="0.35">
      <c r="E6" s="316" t="s">
        <v>371</v>
      </c>
      <c r="P6" s="294" t="s">
        <v>282</v>
      </c>
      <c r="Q6" s="296"/>
      <c r="R6" s="749" t="s">
        <v>283</v>
      </c>
      <c r="S6" s="750"/>
      <c r="T6" s="750"/>
      <c r="U6" s="751"/>
    </row>
    <row r="7" spans="2:31" s="265" customFormat="1" ht="31.2" x14ac:dyDescent="0.3">
      <c r="B7" s="261" t="s">
        <v>372</v>
      </c>
      <c r="C7" s="261" t="s">
        <v>373</v>
      </c>
      <c r="D7" s="261" t="s">
        <v>374</v>
      </c>
      <c r="E7" s="261" t="s">
        <v>227</v>
      </c>
      <c r="F7" s="261" t="s">
        <v>231</v>
      </c>
      <c r="G7" s="261" t="s">
        <v>236</v>
      </c>
      <c r="H7" s="261" t="s">
        <v>237</v>
      </c>
      <c r="I7" s="261" t="s">
        <v>230</v>
      </c>
      <c r="J7" s="261" t="s">
        <v>238</v>
      </c>
      <c r="K7" s="261" t="s">
        <v>375</v>
      </c>
      <c r="L7" s="261" t="s">
        <v>234</v>
      </c>
      <c r="M7" s="261" t="s">
        <v>376</v>
      </c>
      <c r="N7" s="261" t="s">
        <v>377</v>
      </c>
      <c r="O7" s="261" t="s">
        <v>378</v>
      </c>
      <c r="P7" s="263" t="s">
        <v>379</v>
      </c>
      <c r="Q7" s="295" t="s">
        <v>380</v>
      </c>
      <c r="R7" s="263" t="s">
        <v>381</v>
      </c>
      <c r="S7" s="263" t="s">
        <v>382</v>
      </c>
      <c r="T7" s="263" t="s">
        <v>383</v>
      </c>
      <c r="U7" s="263" t="s">
        <v>384</v>
      </c>
      <c r="V7" s="263" t="s">
        <v>385</v>
      </c>
      <c r="X7" s="369" t="s">
        <v>246</v>
      </c>
      <c r="Y7" s="369" t="s">
        <v>247</v>
      </c>
      <c r="Z7" s="369" t="s">
        <v>248</v>
      </c>
      <c r="AA7" s="369" t="s">
        <v>249</v>
      </c>
      <c r="AB7" s="369" t="s">
        <v>250</v>
      </c>
      <c r="AC7" s="370" t="s">
        <v>251</v>
      </c>
      <c r="AD7" s="369" t="s">
        <v>252</v>
      </c>
      <c r="AE7" s="369" t="s">
        <v>253</v>
      </c>
    </row>
    <row r="8" spans="2:31" ht="15.6" x14ac:dyDescent="0.3">
      <c r="B8" s="11"/>
      <c r="C8" s="16"/>
      <c r="D8" s="209"/>
      <c r="E8" s="35"/>
      <c r="F8" s="35"/>
      <c r="G8" s="35"/>
      <c r="H8" s="29"/>
      <c r="I8" s="29"/>
      <c r="J8" s="70"/>
      <c r="K8" s="120"/>
      <c r="L8" s="82"/>
      <c r="M8" s="42"/>
      <c r="N8" s="51"/>
      <c r="O8" s="42"/>
      <c r="P8" s="70"/>
      <c r="Q8" s="29"/>
      <c r="R8" s="150"/>
      <c r="S8" s="29"/>
      <c r="T8" s="29"/>
      <c r="U8" s="29"/>
      <c r="V8" s="29"/>
      <c r="X8" s="371" t="s">
        <v>386</v>
      </c>
      <c r="Y8" s="372"/>
      <c r="Z8" s="372"/>
      <c r="AA8" s="372"/>
      <c r="AB8" s="372"/>
      <c r="AC8" s="373"/>
      <c r="AD8" s="374"/>
      <c r="AE8" s="375"/>
    </row>
    <row r="9" spans="2:31" ht="15" customHeight="1" x14ac:dyDescent="0.3">
      <c r="B9" s="11">
        <v>1</v>
      </c>
      <c r="C9" s="16"/>
      <c r="D9" s="110"/>
      <c r="E9" s="35"/>
      <c r="F9" s="35"/>
      <c r="G9" s="35"/>
      <c r="H9" s="29"/>
      <c r="I9" s="29"/>
      <c r="J9" s="29"/>
      <c r="K9" s="120"/>
      <c r="L9" s="82"/>
      <c r="M9" s="170">
        <v>0</v>
      </c>
      <c r="N9" s="51">
        <v>0</v>
      </c>
      <c r="O9" s="42">
        <f>M9-N9</f>
        <v>0</v>
      </c>
      <c r="P9" s="29"/>
      <c r="Q9" s="29"/>
      <c r="R9" s="150"/>
      <c r="S9" s="29"/>
      <c r="T9" s="29"/>
      <c r="U9" s="29"/>
      <c r="V9" s="29"/>
      <c r="X9" s="378">
        <f>E9</f>
        <v>0</v>
      </c>
      <c r="Y9" s="376">
        <f>F9</f>
        <v>0</v>
      </c>
      <c r="Z9" s="376">
        <f>G9</f>
        <v>0</v>
      </c>
      <c r="AA9" s="376">
        <f>H9</f>
        <v>0</v>
      </c>
      <c r="AB9" s="376">
        <f>J9</f>
        <v>0</v>
      </c>
      <c r="AC9" s="373">
        <f>K9</f>
        <v>0</v>
      </c>
      <c r="AD9" s="377">
        <f>L9</f>
        <v>0</v>
      </c>
      <c r="AE9" s="375">
        <f>O9</f>
        <v>0</v>
      </c>
    </row>
    <row r="10" spans="2:31" ht="15" customHeight="1" x14ac:dyDescent="0.3">
      <c r="B10" s="11">
        <v>2</v>
      </c>
      <c r="C10" s="16"/>
      <c r="D10" s="110"/>
      <c r="E10" s="35"/>
      <c r="F10" s="35"/>
      <c r="G10" s="35"/>
      <c r="H10" s="29"/>
      <c r="I10" s="29"/>
      <c r="J10" s="29"/>
      <c r="K10" s="120"/>
      <c r="L10" s="83"/>
      <c r="M10" s="170">
        <v>0</v>
      </c>
      <c r="N10" s="51">
        <v>0</v>
      </c>
      <c r="O10" s="42">
        <f t="shared" ref="O10:O39" si="0">M10-N10</f>
        <v>0</v>
      </c>
      <c r="P10" s="29"/>
      <c r="Q10" s="29"/>
      <c r="R10" s="150"/>
      <c r="S10" s="29"/>
      <c r="T10" s="29"/>
      <c r="U10" s="29"/>
      <c r="V10" s="29"/>
      <c r="X10" s="378">
        <f t="shared" ref="X10:X40" si="1">E10</f>
        <v>0</v>
      </c>
      <c r="Y10" s="376">
        <f t="shared" ref="Y10:Y40" si="2">F10</f>
        <v>0</v>
      </c>
      <c r="Z10" s="376">
        <f t="shared" ref="Z10:Z40" si="3">G10</f>
        <v>0</v>
      </c>
      <c r="AA10" s="376">
        <f t="shared" ref="AA10:AA40" si="4">H10</f>
        <v>0</v>
      </c>
      <c r="AB10" s="376">
        <f t="shared" ref="AB10:AB40" si="5">J10</f>
        <v>0</v>
      </c>
      <c r="AC10" s="373">
        <f t="shared" ref="AC10:AC40" si="6">K10</f>
        <v>0</v>
      </c>
      <c r="AD10" s="377">
        <f t="shared" ref="AD10:AD40" si="7">L10</f>
        <v>0</v>
      </c>
      <c r="AE10" s="375">
        <f t="shared" ref="AE10:AE40" si="8">O10</f>
        <v>0</v>
      </c>
    </row>
    <row r="11" spans="2:31" ht="15.6" x14ac:dyDescent="0.3">
      <c r="B11" s="11">
        <v>3</v>
      </c>
      <c r="C11" s="16"/>
      <c r="D11" s="110"/>
      <c r="E11" s="35"/>
      <c r="F11" s="35"/>
      <c r="G11" s="35"/>
      <c r="H11" s="29"/>
      <c r="I11" s="29"/>
      <c r="J11" s="29"/>
      <c r="K11" s="120"/>
      <c r="L11" s="83"/>
      <c r="M11" s="170">
        <v>0</v>
      </c>
      <c r="N11" s="51">
        <v>0</v>
      </c>
      <c r="O11" s="42">
        <f t="shared" si="0"/>
        <v>0</v>
      </c>
      <c r="P11" s="29"/>
      <c r="Q11" s="29"/>
      <c r="R11" s="150"/>
      <c r="S11" s="29"/>
      <c r="T11" s="29"/>
      <c r="U11" s="29"/>
      <c r="V11" s="29"/>
      <c r="X11" s="378">
        <f t="shared" si="1"/>
        <v>0</v>
      </c>
      <c r="Y11" s="376">
        <f t="shared" si="2"/>
        <v>0</v>
      </c>
      <c r="Z11" s="376">
        <f t="shared" si="3"/>
        <v>0</v>
      </c>
      <c r="AA11" s="376">
        <f t="shared" si="4"/>
        <v>0</v>
      </c>
      <c r="AB11" s="376">
        <f t="shared" si="5"/>
        <v>0</v>
      </c>
      <c r="AC11" s="373">
        <f t="shared" si="6"/>
        <v>0</v>
      </c>
      <c r="AD11" s="377">
        <f t="shared" si="7"/>
        <v>0</v>
      </c>
      <c r="AE11" s="375">
        <f t="shared" si="8"/>
        <v>0</v>
      </c>
    </row>
    <row r="12" spans="2:31" ht="15" customHeight="1" x14ac:dyDescent="0.3">
      <c r="B12" s="11">
        <v>4</v>
      </c>
      <c r="C12" s="16"/>
      <c r="D12" s="110"/>
      <c r="E12" s="35"/>
      <c r="F12" s="35"/>
      <c r="G12" s="35"/>
      <c r="H12" s="29"/>
      <c r="I12" s="29"/>
      <c r="J12" s="29"/>
      <c r="K12" s="120"/>
      <c r="L12" s="84"/>
      <c r="M12" s="170">
        <v>0</v>
      </c>
      <c r="N12" s="51">
        <v>0</v>
      </c>
      <c r="O12" s="42">
        <f t="shared" si="0"/>
        <v>0</v>
      </c>
      <c r="P12" s="29"/>
      <c r="Q12" s="29"/>
      <c r="R12" s="150"/>
      <c r="S12" s="29"/>
      <c r="T12" s="29"/>
      <c r="U12" s="29"/>
      <c r="V12" s="29"/>
      <c r="X12" s="378">
        <f t="shared" si="1"/>
        <v>0</v>
      </c>
      <c r="Y12" s="376">
        <f t="shared" si="2"/>
        <v>0</v>
      </c>
      <c r="Z12" s="376">
        <f t="shared" si="3"/>
        <v>0</v>
      </c>
      <c r="AA12" s="376">
        <f t="shared" si="4"/>
        <v>0</v>
      </c>
      <c r="AB12" s="376">
        <f t="shared" si="5"/>
        <v>0</v>
      </c>
      <c r="AC12" s="373">
        <f t="shared" si="6"/>
        <v>0</v>
      </c>
      <c r="AD12" s="377">
        <f t="shared" si="7"/>
        <v>0</v>
      </c>
      <c r="AE12" s="375">
        <f t="shared" si="8"/>
        <v>0</v>
      </c>
    </row>
    <row r="13" spans="2:31" ht="15.6" x14ac:dyDescent="0.3">
      <c r="B13" s="11">
        <v>5</v>
      </c>
      <c r="C13" s="16"/>
      <c r="D13" s="110"/>
      <c r="E13" s="35"/>
      <c r="G13" s="35"/>
      <c r="H13" s="29"/>
      <c r="I13" s="29"/>
      <c r="J13" s="29"/>
      <c r="K13" s="120"/>
      <c r="L13" s="82"/>
      <c r="M13" s="170">
        <v>0</v>
      </c>
      <c r="N13" s="51">
        <v>0</v>
      </c>
      <c r="O13" s="42">
        <f t="shared" si="0"/>
        <v>0</v>
      </c>
      <c r="P13" s="29"/>
      <c r="Q13" s="29"/>
      <c r="R13" s="150"/>
      <c r="S13" s="29"/>
      <c r="T13" s="29"/>
      <c r="U13" s="29"/>
      <c r="V13" s="29"/>
      <c r="X13" s="378">
        <f t="shared" si="1"/>
        <v>0</v>
      </c>
      <c r="Y13" s="376">
        <f t="shared" si="2"/>
        <v>0</v>
      </c>
      <c r="Z13" s="376">
        <f t="shared" si="3"/>
        <v>0</v>
      </c>
      <c r="AA13" s="376">
        <f t="shared" si="4"/>
        <v>0</v>
      </c>
      <c r="AB13" s="376">
        <f t="shared" si="5"/>
        <v>0</v>
      </c>
      <c r="AC13" s="373">
        <f t="shared" si="6"/>
        <v>0</v>
      </c>
      <c r="AD13" s="377">
        <f t="shared" si="7"/>
        <v>0</v>
      </c>
      <c r="AE13" s="375">
        <f t="shared" si="8"/>
        <v>0</v>
      </c>
    </row>
    <row r="14" spans="2:31" ht="15.6" x14ac:dyDescent="0.3">
      <c r="B14" s="11">
        <v>6</v>
      </c>
      <c r="C14" s="16"/>
      <c r="D14" s="110"/>
      <c r="E14" s="35"/>
      <c r="F14" s="35"/>
      <c r="G14" s="35"/>
      <c r="H14" s="29"/>
      <c r="I14" s="29"/>
      <c r="J14" s="29"/>
      <c r="K14" s="120"/>
      <c r="L14" s="82"/>
      <c r="M14" s="170">
        <v>0</v>
      </c>
      <c r="N14" s="51">
        <v>0</v>
      </c>
      <c r="O14" s="42">
        <f t="shared" si="0"/>
        <v>0</v>
      </c>
      <c r="P14" s="29"/>
      <c r="Q14" s="29"/>
      <c r="R14" s="150"/>
      <c r="S14" s="29"/>
      <c r="T14" s="29"/>
      <c r="U14" s="29"/>
      <c r="V14" s="29"/>
      <c r="X14" s="378">
        <f t="shared" si="1"/>
        <v>0</v>
      </c>
      <c r="Y14" s="376">
        <f t="shared" si="2"/>
        <v>0</v>
      </c>
      <c r="Z14" s="376">
        <f t="shared" si="3"/>
        <v>0</v>
      </c>
      <c r="AA14" s="376">
        <f t="shared" si="4"/>
        <v>0</v>
      </c>
      <c r="AB14" s="376">
        <f t="shared" si="5"/>
        <v>0</v>
      </c>
      <c r="AC14" s="373">
        <f t="shared" si="6"/>
        <v>0</v>
      </c>
      <c r="AD14" s="377">
        <f t="shared" si="7"/>
        <v>0</v>
      </c>
      <c r="AE14" s="375">
        <f t="shared" si="8"/>
        <v>0</v>
      </c>
    </row>
    <row r="15" spans="2:31" ht="15" customHeight="1" x14ac:dyDescent="0.3">
      <c r="B15" s="11">
        <v>7</v>
      </c>
      <c r="C15" s="16"/>
      <c r="D15" s="110"/>
      <c r="E15" s="35"/>
      <c r="F15" s="35"/>
      <c r="G15" s="35"/>
      <c r="H15" s="29"/>
      <c r="I15" s="29"/>
      <c r="J15" s="70"/>
      <c r="K15" s="120"/>
      <c r="L15" s="83"/>
      <c r="M15" s="170">
        <v>0</v>
      </c>
      <c r="N15" s="51">
        <v>0</v>
      </c>
      <c r="O15" s="42">
        <f t="shared" si="0"/>
        <v>0</v>
      </c>
      <c r="P15" s="70"/>
      <c r="Q15" s="29"/>
      <c r="R15" s="150"/>
      <c r="S15" s="29"/>
      <c r="T15" s="29"/>
      <c r="U15" s="29"/>
      <c r="V15" s="29"/>
      <c r="X15" s="378">
        <f t="shared" si="1"/>
        <v>0</v>
      </c>
      <c r="Y15" s="376">
        <f t="shared" si="2"/>
        <v>0</v>
      </c>
      <c r="Z15" s="376">
        <f t="shared" si="3"/>
        <v>0</v>
      </c>
      <c r="AA15" s="376">
        <f t="shared" si="4"/>
        <v>0</v>
      </c>
      <c r="AB15" s="376">
        <f t="shared" si="5"/>
        <v>0</v>
      </c>
      <c r="AC15" s="373">
        <f t="shared" si="6"/>
        <v>0</v>
      </c>
      <c r="AD15" s="377">
        <f t="shared" si="7"/>
        <v>0</v>
      </c>
      <c r="AE15" s="375">
        <f t="shared" si="8"/>
        <v>0</v>
      </c>
    </row>
    <row r="16" spans="2:31" ht="15.6" x14ac:dyDescent="0.3">
      <c r="B16" s="11">
        <v>8</v>
      </c>
      <c r="C16" s="16"/>
      <c r="D16" s="110"/>
      <c r="E16" s="35"/>
      <c r="F16" s="35"/>
      <c r="G16" s="35"/>
      <c r="H16" s="29"/>
      <c r="I16" s="29"/>
      <c r="J16" s="70"/>
      <c r="K16" s="120"/>
      <c r="L16" s="83"/>
      <c r="M16" s="170">
        <v>0</v>
      </c>
      <c r="N16" s="51">
        <v>0</v>
      </c>
      <c r="O16" s="42">
        <f t="shared" si="0"/>
        <v>0</v>
      </c>
      <c r="P16" s="70"/>
      <c r="Q16" s="29"/>
      <c r="R16" s="150"/>
      <c r="S16" s="29"/>
      <c r="T16" s="29"/>
      <c r="U16" s="29"/>
      <c r="V16" s="29"/>
      <c r="X16" s="378">
        <f t="shared" si="1"/>
        <v>0</v>
      </c>
      <c r="Y16" s="376">
        <f t="shared" si="2"/>
        <v>0</v>
      </c>
      <c r="Z16" s="376">
        <f t="shared" si="3"/>
        <v>0</v>
      </c>
      <c r="AA16" s="376">
        <f t="shared" si="4"/>
        <v>0</v>
      </c>
      <c r="AB16" s="376">
        <f t="shared" si="5"/>
        <v>0</v>
      </c>
      <c r="AC16" s="373">
        <f t="shared" si="6"/>
        <v>0</v>
      </c>
      <c r="AD16" s="377">
        <f t="shared" si="7"/>
        <v>0</v>
      </c>
      <c r="AE16" s="375">
        <f t="shared" si="8"/>
        <v>0</v>
      </c>
    </row>
    <row r="17" spans="2:31" ht="15.6" x14ac:dyDescent="0.3">
      <c r="B17" s="11">
        <v>9</v>
      </c>
      <c r="C17" s="16"/>
      <c r="D17" s="110"/>
      <c r="E17" s="35"/>
      <c r="F17" s="35"/>
      <c r="G17" s="35"/>
      <c r="H17" s="29"/>
      <c r="I17" s="29"/>
      <c r="J17" s="70"/>
      <c r="K17" s="120"/>
      <c r="L17" s="83"/>
      <c r="M17" s="170">
        <v>0</v>
      </c>
      <c r="N17" s="51">
        <v>0</v>
      </c>
      <c r="O17" s="42">
        <f t="shared" si="0"/>
        <v>0</v>
      </c>
      <c r="P17" s="70"/>
      <c r="Q17" s="29"/>
      <c r="R17" s="150"/>
      <c r="S17" s="29"/>
      <c r="T17" s="29"/>
      <c r="U17" s="29"/>
      <c r="V17" s="29"/>
      <c r="X17" s="378">
        <f t="shared" si="1"/>
        <v>0</v>
      </c>
      <c r="Y17" s="376">
        <f t="shared" si="2"/>
        <v>0</v>
      </c>
      <c r="Z17" s="376">
        <f t="shared" si="3"/>
        <v>0</v>
      </c>
      <c r="AA17" s="376">
        <f t="shared" si="4"/>
        <v>0</v>
      </c>
      <c r="AB17" s="376">
        <f t="shared" si="5"/>
        <v>0</v>
      </c>
      <c r="AC17" s="373">
        <f t="shared" si="6"/>
        <v>0</v>
      </c>
      <c r="AD17" s="377">
        <f t="shared" si="7"/>
        <v>0</v>
      </c>
      <c r="AE17" s="375">
        <f t="shared" si="8"/>
        <v>0</v>
      </c>
    </row>
    <row r="18" spans="2:31" ht="15" customHeight="1" x14ac:dyDescent="0.3">
      <c r="B18" s="11">
        <v>10</v>
      </c>
      <c r="C18" s="16"/>
      <c r="D18" s="110"/>
      <c r="E18" s="35"/>
      <c r="F18" s="35"/>
      <c r="G18" s="35"/>
      <c r="H18" s="29"/>
      <c r="I18" s="29"/>
      <c r="J18" s="29"/>
      <c r="K18" s="120"/>
      <c r="L18" s="83"/>
      <c r="M18" s="170">
        <v>0</v>
      </c>
      <c r="N18" s="51">
        <v>0</v>
      </c>
      <c r="O18" s="42">
        <f t="shared" si="0"/>
        <v>0</v>
      </c>
      <c r="P18" s="29"/>
      <c r="Q18" s="29"/>
      <c r="R18" s="150"/>
      <c r="S18" s="29"/>
      <c r="T18" s="29"/>
      <c r="U18" s="29"/>
      <c r="V18" s="29"/>
      <c r="X18" s="378">
        <f t="shared" si="1"/>
        <v>0</v>
      </c>
      <c r="Y18" s="376">
        <f t="shared" si="2"/>
        <v>0</v>
      </c>
      <c r="Z18" s="376">
        <f t="shared" si="3"/>
        <v>0</v>
      </c>
      <c r="AA18" s="376">
        <f t="shared" si="4"/>
        <v>0</v>
      </c>
      <c r="AB18" s="376">
        <f t="shared" si="5"/>
        <v>0</v>
      </c>
      <c r="AC18" s="373">
        <f t="shared" si="6"/>
        <v>0</v>
      </c>
      <c r="AD18" s="377">
        <f t="shared" si="7"/>
        <v>0</v>
      </c>
      <c r="AE18" s="375">
        <f t="shared" si="8"/>
        <v>0</v>
      </c>
    </row>
    <row r="19" spans="2:31" ht="15" customHeight="1" x14ac:dyDescent="0.3">
      <c r="B19" s="11">
        <v>11</v>
      </c>
      <c r="C19" s="16"/>
      <c r="D19" s="110"/>
      <c r="E19" s="35"/>
      <c r="F19" s="35"/>
      <c r="G19" s="35"/>
      <c r="H19" s="29"/>
      <c r="I19" s="29"/>
      <c r="J19" s="70"/>
      <c r="K19" s="120"/>
      <c r="L19" s="69"/>
      <c r="M19" s="170">
        <v>0</v>
      </c>
      <c r="N19" s="51">
        <v>0</v>
      </c>
      <c r="O19" s="42">
        <f t="shared" si="0"/>
        <v>0</v>
      </c>
      <c r="P19" s="70"/>
      <c r="Q19" s="29"/>
      <c r="R19" s="150"/>
      <c r="S19" s="29"/>
      <c r="T19" s="29"/>
      <c r="U19" s="29"/>
      <c r="V19" s="29"/>
      <c r="X19" s="378">
        <f t="shared" si="1"/>
        <v>0</v>
      </c>
      <c r="Y19" s="376">
        <f t="shared" si="2"/>
        <v>0</v>
      </c>
      <c r="Z19" s="376">
        <f t="shared" si="3"/>
        <v>0</v>
      </c>
      <c r="AA19" s="376">
        <f t="shared" si="4"/>
        <v>0</v>
      </c>
      <c r="AB19" s="376">
        <f t="shared" si="5"/>
        <v>0</v>
      </c>
      <c r="AC19" s="373">
        <f t="shared" si="6"/>
        <v>0</v>
      </c>
      <c r="AD19" s="377">
        <f t="shared" si="7"/>
        <v>0</v>
      </c>
      <c r="AE19" s="375">
        <f t="shared" si="8"/>
        <v>0</v>
      </c>
    </row>
    <row r="20" spans="2:31" ht="15" customHeight="1" x14ac:dyDescent="0.3">
      <c r="B20" s="11">
        <v>12</v>
      </c>
      <c r="C20" s="16"/>
      <c r="D20" s="110"/>
      <c r="E20" s="35"/>
      <c r="F20" s="35"/>
      <c r="G20" s="35"/>
      <c r="H20" s="29"/>
      <c r="I20" s="29"/>
      <c r="J20" s="70"/>
      <c r="K20" s="120"/>
      <c r="L20" s="83"/>
      <c r="M20" s="170">
        <v>0</v>
      </c>
      <c r="N20" s="51">
        <v>0</v>
      </c>
      <c r="O20" s="42">
        <f t="shared" si="0"/>
        <v>0</v>
      </c>
      <c r="P20" s="70"/>
      <c r="Q20" s="29"/>
      <c r="R20" s="150"/>
      <c r="S20" s="29"/>
      <c r="T20" s="29"/>
      <c r="U20" s="29"/>
      <c r="V20" s="29"/>
      <c r="X20" s="378">
        <f t="shared" si="1"/>
        <v>0</v>
      </c>
      <c r="Y20" s="376">
        <f t="shared" si="2"/>
        <v>0</v>
      </c>
      <c r="Z20" s="376">
        <f t="shared" si="3"/>
        <v>0</v>
      </c>
      <c r="AA20" s="376">
        <f t="shared" si="4"/>
        <v>0</v>
      </c>
      <c r="AB20" s="376">
        <f t="shared" si="5"/>
        <v>0</v>
      </c>
      <c r="AC20" s="373">
        <f t="shared" si="6"/>
        <v>0</v>
      </c>
      <c r="AD20" s="377">
        <f t="shared" si="7"/>
        <v>0</v>
      </c>
      <c r="AE20" s="375">
        <f t="shared" si="8"/>
        <v>0</v>
      </c>
    </row>
    <row r="21" spans="2:31" ht="15" customHeight="1" x14ac:dyDescent="0.3">
      <c r="B21" s="11">
        <v>13</v>
      </c>
      <c r="C21" s="16"/>
      <c r="D21" s="110"/>
      <c r="E21" s="35"/>
      <c r="F21" s="35"/>
      <c r="G21" s="35"/>
      <c r="H21" s="29"/>
      <c r="I21" s="29"/>
      <c r="J21" s="70"/>
      <c r="K21" s="120"/>
      <c r="L21" s="83"/>
      <c r="M21" s="170">
        <v>0</v>
      </c>
      <c r="N21" s="51">
        <v>0</v>
      </c>
      <c r="O21" s="42">
        <f t="shared" si="0"/>
        <v>0</v>
      </c>
      <c r="P21" s="70"/>
      <c r="Q21" s="29"/>
      <c r="R21" s="150"/>
      <c r="S21" s="29"/>
      <c r="T21" s="29"/>
      <c r="U21" s="29"/>
      <c r="V21" s="29"/>
      <c r="X21" s="378">
        <f t="shared" si="1"/>
        <v>0</v>
      </c>
      <c r="Y21" s="376">
        <f t="shared" si="2"/>
        <v>0</v>
      </c>
      <c r="Z21" s="376">
        <f t="shared" si="3"/>
        <v>0</v>
      </c>
      <c r="AA21" s="376">
        <f t="shared" si="4"/>
        <v>0</v>
      </c>
      <c r="AB21" s="376">
        <f t="shared" si="5"/>
        <v>0</v>
      </c>
      <c r="AC21" s="373">
        <f t="shared" si="6"/>
        <v>0</v>
      </c>
      <c r="AD21" s="377">
        <f t="shared" si="7"/>
        <v>0</v>
      </c>
      <c r="AE21" s="375">
        <f t="shared" si="8"/>
        <v>0</v>
      </c>
    </row>
    <row r="22" spans="2:31" ht="15" customHeight="1" x14ac:dyDescent="0.3">
      <c r="B22" s="11">
        <v>14</v>
      </c>
      <c r="C22" s="16"/>
      <c r="D22" s="110"/>
      <c r="E22" s="35"/>
      <c r="F22" s="35"/>
      <c r="G22" s="35"/>
      <c r="H22" s="29"/>
      <c r="I22" s="29"/>
      <c r="J22" s="70"/>
      <c r="K22" s="120"/>
      <c r="L22" s="83"/>
      <c r="M22" s="170">
        <v>0</v>
      </c>
      <c r="N22" s="51">
        <v>0</v>
      </c>
      <c r="O22" s="42">
        <f t="shared" si="0"/>
        <v>0</v>
      </c>
      <c r="P22" s="70"/>
      <c r="Q22" s="29"/>
      <c r="R22" s="150"/>
      <c r="S22" s="29"/>
      <c r="T22" s="29"/>
      <c r="U22" s="29"/>
      <c r="V22" s="29"/>
      <c r="X22" s="378">
        <f t="shared" si="1"/>
        <v>0</v>
      </c>
      <c r="Y22" s="376">
        <f t="shared" si="2"/>
        <v>0</v>
      </c>
      <c r="Z22" s="376">
        <f t="shared" si="3"/>
        <v>0</v>
      </c>
      <c r="AA22" s="376">
        <f t="shared" si="4"/>
        <v>0</v>
      </c>
      <c r="AB22" s="376">
        <f t="shared" si="5"/>
        <v>0</v>
      </c>
      <c r="AC22" s="373">
        <f t="shared" si="6"/>
        <v>0</v>
      </c>
      <c r="AD22" s="377">
        <f t="shared" si="7"/>
        <v>0</v>
      </c>
      <c r="AE22" s="375">
        <f t="shared" si="8"/>
        <v>0</v>
      </c>
    </row>
    <row r="23" spans="2:31" ht="15" customHeight="1" x14ac:dyDescent="0.3">
      <c r="B23" s="11">
        <v>15</v>
      </c>
      <c r="C23" s="16"/>
      <c r="D23" s="110"/>
      <c r="E23" s="35"/>
      <c r="F23" s="35"/>
      <c r="G23" s="35"/>
      <c r="H23" s="29"/>
      <c r="I23" s="29"/>
      <c r="J23" s="70"/>
      <c r="K23" s="120"/>
      <c r="L23" s="83"/>
      <c r="M23" s="170">
        <v>0</v>
      </c>
      <c r="N23" s="51">
        <v>0</v>
      </c>
      <c r="O23" s="42">
        <f t="shared" si="0"/>
        <v>0</v>
      </c>
      <c r="P23" s="70"/>
      <c r="Q23" s="29"/>
      <c r="R23" s="150"/>
      <c r="S23" s="29"/>
      <c r="T23" s="29"/>
      <c r="U23" s="29"/>
      <c r="V23" s="29"/>
      <c r="X23" s="378">
        <f t="shared" si="1"/>
        <v>0</v>
      </c>
      <c r="Y23" s="376">
        <f t="shared" si="2"/>
        <v>0</v>
      </c>
      <c r="Z23" s="376">
        <f t="shared" si="3"/>
        <v>0</v>
      </c>
      <c r="AA23" s="376">
        <f t="shared" si="4"/>
        <v>0</v>
      </c>
      <c r="AB23" s="376">
        <f t="shared" si="5"/>
        <v>0</v>
      </c>
      <c r="AC23" s="373">
        <f t="shared" si="6"/>
        <v>0</v>
      </c>
      <c r="AD23" s="377">
        <f t="shared" si="7"/>
        <v>0</v>
      </c>
      <c r="AE23" s="375">
        <f t="shared" si="8"/>
        <v>0</v>
      </c>
    </row>
    <row r="24" spans="2:31" ht="15" customHeight="1" x14ac:dyDescent="0.3">
      <c r="B24" s="11">
        <v>16</v>
      </c>
      <c r="C24" s="16"/>
      <c r="D24" s="110"/>
      <c r="E24" s="35"/>
      <c r="F24" s="35"/>
      <c r="G24" s="35"/>
      <c r="H24" s="29"/>
      <c r="I24" s="29"/>
      <c r="J24" s="70"/>
      <c r="K24" s="120"/>
      <c r="L24" s="83"/>
      <c r="M24" s="170">
        <v>0</v>
      </c>
      <c r="N24" s="51">
        <v>0</v>
      </c>
      <c r="O24" s="42">
        <f t="shared" si="0"/>
        <v>0</v>
      </c>
      <c r="P24" s="70"/>
      <c r="Q24" s="29"/>
      <c r="R24" s="150"/>
      <c r="S24" s="29"/>
      <c r="T24" s="29"/>
      <c r="U24" s="29"/>
      <c r="V24" s="29"/>
      <c r="X24" s="378">
        <f t="shared" si="1"/>
        <v>0</v>
      </c>
      <c r="Y24" s="376">
        <f t="shared" si="2"/>
        <v>0</v>
      </c>
      <c r="Z24" s="376">
        <f t="shared" si="3"/>
        <v>0</v>
      </c>
      <c r="AA24" s="376">
        <f t="shared" si="4"/>
        <v>0</v>
      </c>
      <c r="AB24" s="376">
        <f t="shared" si="5"/>
        <v>0</v>
      </c>
      <c r="AC24" s="373">
        <f t="shared" si="6"/>
        <v>0</v>
      </c>
      <c r="AD24" s="377">
        <f t="shared" si="7"/>
        <v>0</v>
      </c>
      <c r="AE24" s="375">
        <f t="shared" si="8"/>
        <v>0</v>
      </c>
    </row>
    <row r="25" spans="2:31" ht="15" customHeight="1" x14ac:dyDescent="0.3">
      <c r="B25" s="11">
        <v>17</v>
      </c>
      <c r="C25" s="16"/>
      <c r="D25" s="110"/>
      <c r="E25" s="35"/>
      <c r="F25" s="35"/>
      <c r="G25" s="35"/>
      <c r="H25" s="29"/>
      <c r="I25" s="29"/>
      <c r="J25" s="70"/>
      <c r="K25" s="120"/>
      <c r="L25" s="83"/>
      <c r="M25" s="170">
        <v>0</v>
      </c>
      <c r="N25" s="51">
        <v>0</v>
      </c>
      <c r="O25" s="42">
        <f t="shared" si="0"/>
        <v>0</v>
      </c>
      <c r="P25" s="70"/>
      <c r="Q25" s="29"/>
      <c r="R25" s="150"/>
      <c r="S25" s="29"/>
      <c r="T25" s="29"/>
      <c r="U25" s="29"/>
      <c r="V25" s="29"/>
      <c r="X25" s="378">
        <f t="shared" si="1"/>
        <v>0</v>
      </c>
      <c r="Y25" s="376">
        <f t="shared" si="2"/>
        <v>0</v>
      </c>
      <c r="Z25" s="376">
        <f t="shared" si="3"/>
        <v>0</v>
      </c>
      <c r="AA25" s="376">
        <f t="shared" si="4"/>
        <v>0</v>
      </c>
      <c r="AB25" s="376">
        <f t="shared" si="5"/>
        <v>0</v>
      </c>
      <c r="AC25" s="373">
        <f t="shared" si="6"/>
        <v>0</v>
      </c>
      <c r="AD25" s="377">
        <f t="shared" si="7"/>
        <v>0</v>
      </c>
      <c r="AE25" s="375">
        <f t="shared" si="8"/>
        <v>0</v>
      </c>
    </row>
    <row r="26" spans="2:31" ht="15" customHeight="1" x14ac:dyDescent="0.3">
      <c r="B26" s="11">
        <v>18</v>
      </c>
      <c r="C26" s="16"/>
      <c r="D26" s="110"/>
      <c r="E26" s="35"/>
      <c r="F26" s="35"/>
      <c r="G26" s="35"/>
      <c r="H26" s="29"/>
      <c r="I26" s="29"/>
      <c r="J26" s="70"/>
      <c r="K26" s="120"/>
      <c r="L26" s="83"/>
      <c r="M26" s="170">
        <v>0</v>
      </c>
      <c r="N26" s="51">
        <v>0</v>
      </c>
      <c r="O26" s="42">
        <f t="shared" si="0"/>
        <v>0</v>
      </c>
      <c r="P26" s="70"/>
      <c r="Q26" s="29"/>
      <c r="R26" s="150"/>
      <c r="S26" s="29"/>
      <c r="T26" s="29"/>
      <c r="U26" s="29"/>
      <c r="V26" s="29"/>
      <c r="X26" s="378">
        <f t="shared" si="1"/>
        <v>0</v>
      </c>
      <c r="Y26" s="376">
        <f t="shared" si="2"/>
        <v>0</v>
      </c>
      <c r="Z26" s="376">
        <f t="shared" si="3"/>
        <v>0</v>
      </c>
      <c r="AA26" s="376">
        <f t="shared" si="4"/>
        <v>0</v>
      </c>
      <c r="AB26" s="376">
        <f t="shared" si="5"/>
        <v>0</v>
      </c>
      <c r="AC26" s="373">
        <f t="shared" si="6"/>
        <v>0</v>
      </c>
      <c r="AD26" s="377">
        <f t="shared" si="7"/>
        <v>0</v>
      </c>
      <c r="AE26" s="375">
        <f t="shared" si="8"/>
        <v>0</v>
      </c>
    </row>
    <row r="27" spans="2:31" ht="15" customHeight="1" x14ac:dyDescent="0.3">
      <c r="B27" s="11">
        <v>19</v>
      </c>
      <c r="C27" s="16"/>
      <c r="D27" s="110"/>
      <c r="E27" s="35"/>
      <c r="F27" s="35"/>
      <c r="G27" s="35"/>
      <c r="H27" s="29"/>
      <c r="I27" s="29"/>
      <c r="J27" s="70"/>
      <c r="K27" s="120"/>
      <c r="L27" s="83"/>
      <c r="M27" s="170">
        <v>0</v>
      </c>
      <c r="N27" s="51">
        <v>0</v>
      </c>
      <c r="O27" s="42">
        <f t="shared" si="0"/>
        <v>0</v>
      </c>
      <c r="P27" s="70"/>
      <c r="Q27" s="29"/>
      <c r="R27" s="150"/>
      <c r="S27" s="29"/>
      <c r="T27" s="29"/>
      <c r="U27" s="29"/>
      <c r="V27" s="29"/>
      <c r="X27" s="378">
        <f t="shared" si="1"/>
        <v>0</v>
      </c>
      <c r="Y27" s="376">
        <f t="shared" si="2"/>
        <v>0</v>
      </c>
      <c r="Z27" s="376">
        <f t="shared" si="3"/>
        <v>0</v>
      </c>
      <c r="AA27" s="376">
        <f t="shared" si="4"/>
        <v>0</v>
      </c>
      <c r="AB27" s="376">
        <f t="shared" si="5"/>
        <v>0</v>
      </c>
      <c r="AC27" s="373">
        <f t="shared" si="6"/>
        <v>0</v>
      </c>
      <c r="AD27" s="377">
        <f t="shared" si="7"/>
        <v>0</v>
      </c>
      <c r="AE27" s="375">
        <f t="shared" si="8"/>
        <v>0</v>
      </c>
    </row>
    <row r="28" spans="2:31" ht="15" customHeight="1" x14ac:dyDescent="0.3">
      <c r="B28" s="11">
        <v>20</v>
      </c>
      <c r="C28" s="16"/>
      <c r="D28" s="110"/>
      <c r="E28" s="35"/>
      <c r="F28" s="35"/>
      <c r="G28" s="35"/>
      <c r="H28" s="29"/>
      <c r="I28" s="29"/>
      <c r="J28" s="70"/>
      <c r="K28" s="120"/>
      <c r="L28" s="83"/>
      <c r="M28" s="170">
        <v>0</v>
      </c>
      <c r="N28" s="51">
        <v>0</v>
      </c>
      <c r="O28" s="42">
        <f t="shared" si="0"/>
        <v>0</v>
      </c>
      <c r="P28" s="70"/>
      <c r="Q28" s="29"/>
      <c r="R28" s="150"/>
      <c r="S28" s="29"/>
      <c r="T28" s="29"/>
      <c r="U28" s="29"/>
      <c r="V28" s="29"/>
      <c r="X28" s="378">
        <f t="shared" si="1"/>
        <v>0</v>
      </c>
      <c r="Y28" s="376">
        <f t="shared" si="2"/>
        <v>0</v>
      </c>
      <c r="Z28" s="376">
        <f t="shared" si="3"/>
        <v>0</v>
      </c>
      <c r="AA28" s="376">
        <f t="shared" si="4"/>
        <v>0</v>
      </c>
      <c r="AB28" s="376">
        <f t="shared" si="5"/>
        <v>0</v>
      </c>
      <c r="AC28" s="373">
        <f t="shared" si="6"/>
        <v>0</v>
      </c>
      <c r="AD28" s="377">
        <f t="shared" si="7"/>
        <v>0</v>
      </c>
      <c r="AE28" s="375">
        <f t="shared" si="8"/>
        <v>0</v>
      </c>
    </row>
    <row r="29" spans="2:31" ht="15" customHeight="1" x14ac:dyDescent="0.3">
      <c r="B29" s="11">
        <v>21</v>
      </c>
      <c r="C29" s="16"/>
      <c r="D29" s="110"/>
      <c r="E29" s="35"/>
      <c r="F29" s="35"/>
      <c r="G29" s="35"/>
      <c r="H29" s="29"/>
      <c r="I29" s="29"/>
      <c r="J29" s="70"/>
      <c r="K29" s="120"/>
      <c r="L29" s="83"/>
      <c r="M29" s="170">
        <v>0</v>
      </c>
      <c r="N29" s="51">
        <v>0</v>
      </c>
      <c r="O29" s="42">
        <f t="shared" si="0"/>
        <v>0</v>
      </c>
      <c r="P29" s="70"/>
      <c r="Q29" s="29"/>
      <c r="R29" s="150"/>
      <c r="S29" s="29"/>
      <c r="T29" s="29"/>
      <c r="U29" s="29"/>
      <c r="V29" s="29"/>
      <c r="X29" s="378">
        <f t="shared" si="1"/>
        <v>0</v>
      </c>
      <c r="Y29" s="376">
        <f t="shared" si="2"/>
        <v>0</v>
      </c>
      <c r="Z29" s="376">
        <f t="shared" si="3"/>
        <v>0</v>
      </c>
      <c r="AA29" s="376">
        <f t="shared" si="4"/>
        <v>0</v>
      </c>
      <c r="AB29" s="376">
        <f t="shared" si="5"/>
        <v>0</v>
      </c>
      <c r="AC29" s="373">
        <f t="shared" si="6"/>
        <v>0</v>
      </c>
      <c r="AD29" s="377">
        <f t="shared" si="7"/>
        <v>0</v>
      </c>
      <c r="AE29" s="375">
        <f t="shared" si="8"/>
        <v>0</v>
      </c>
    </row>
    <row r="30" spans="2:31" ht="15" customHeight="1" x14ac:dyDescent="0.3">
      <c r="B30" s="11">
        <v>22</v>
      </c>
      <c r="C30" s="16"/>
      <c r="D30" s="110"/>
      <c r="E30" s="35"/>
      <c r="F30" s="35"/>
      <c r="G30" s="35"/>
      <c r="H30" s="29"/>
      <c r="I30" s="29"/>
      <c r="J30" s="70"/>
      <c r="K30" s="120"/>
      <c r="L30" s="83"/>
      <c r="M30" s="170">
        <v>0</v>
      </c>
      <c r="N30" s="51">
        <v>0</v>
      </c>
      <c r="O30" s="42">
        <f t="shared" si="0"/>
        <v>0</v>
      </c>
      <c r="P30" s="70"/>
      <c r="Q30" s="29"/>
      <c r="R30" s="150"/>
      <c r="S30" s="29"/>
      <c r="T30" s="29"/>
      <c r="U30" s="29"/>
      <c r="V30" s="29"/>
      <c r="X30" s="378">
        <f t="shared" si="1"/>
        <v>0</v>
      </c>
      <c r="Y30" s="376">
        <f t="shared" si="2"/>
        <v>0</v>
      </c>
      <c r="Z30" s="376">
        <f t="shared" si="3"/>
        <v>0</v>
      </c>
      <c r="AA30" s="376">
        <f t="shared" si="4"/>
        <v>0</v>
      </c>
      <c r="AB30" s="376">
        <f t="shared" si="5"/>
        <v>0</v>
      </c>
      <c r="AC30" s="373">
        <f t="shared" si="6"/>
        <v>0</v>
      </c>
      <c r="AD30" s="377">
        <f t="shared" si="7"/>
        <v>0</v>
      </c>
      <c r="AE30" s="375">
        <f t="shared" si="8"/>
        <v>0</v>
      </c>
    </row>
    <row r="31" spans="2:31" ht="15" customHeight="1" x14ac:dyDescent="0.3">
      <c r="B31" s="11">
        <v>23</v>
      </c>
      <c r="C31" s="16"/>
      <c r="D31" s="110"/>
      <c r="E31" s="35"/>
      <c r="F31" s="35"/>
      <c r="G31" s="35"/>
      <c r="H31" s="29"/>
      <c r="I31" s="29"/>
      <c r="J31" s="70"/>
      <c r="K31" s="120"/>
      <c r="L31" s="83"/>
      <c r="M31" s="170">
        <v>0</v>
      </c>
      <c r="N31" s="51">
        <v>0</v>
      </c>
      <c r="O31" s="42">
        <f t="shared" si="0"/>
        <v>0</v>
      </c>
      <c r="P31" s="70"/>
      <c r="Q31" s="29"/>
      <c r="R31" s="150"/>
      <c r="S31" s="29"/>
      <c r="T31" s="29"/>
      <c r="U31" s="29"/>
      <c r="V31" s="29"/>
      <c r="X31" s="378">
        <f t="shared" si="1"/>
        <v>0</v>
      </c>
      <c r="Y31" s="376">
        <f t="shared" si="2"/>
        <v>0</v>
      </c>
      <c r="Z31" s="376">
        <f t="shared" si="3"/>
        <v>0</v>
      </c>
      <c r="AA31" s="376">
        <f t="shared" si="4"/>
        <v>0</v>
      </c>
      <c r="AB31" s="376">
        <f t="shared" si="5"/>
        <v>0</v>
      </c>
      <c r="AC31" s="373">
        <f t="shared" si="6"/>
        <v>0</v>
      </c>
      <c r="AD31" s="377">
        <f t="shared" si="7"/>
        <v>0</v>
      </c>
      <c r="AE31" s="375">
        <f t="shared" si="8"/>
        <v>0</v>
      </c>
    </row>
    <row r="32" spans="2:31" ht="15" customHeight="1" x14ac:dyDescent="0.3">
      <c r="B32" s="11">
        <v>24</v>
      </c>
      <c r="C32" s="16"/>
      <c r="D32" s="110"/>
      <c r="E32" s="35"/>
      <c r="F32" s="35"/>
      <c r="G32" s="35"/>
      <c r="H32" s="29"/>
      <c r="I32" s="29"/>
      <c r="J32" s="70"/>
      <c r="K32" s="120"/>
      <c r="L32" s="83"/>
      <c r="M32" s="170">
        <v>0</v>
      </c>
      <c r="N32" s="51">
        <v>0</v>
      </c>
      <c r="O32" s="42">
        <f t="shared" si="0"/>
        <v>0</v>
      </c>
      <c r="P32" s="70"/>
      <c r="Q32" s="29"/>
      <c r="R32" s="150"/>
      <c r="S32" s="29"/>
      <c r="T32" s="29"/>
      <c r="U32" s="29"/>
      <c r="V32" s="29"/>
      <c r="X32" s="378">
        <f t="shared" si="1"/>
        <v>0</v>
      </c>
      <c r="Y32" s="376">
        <f t="shared" si="2"/>
        <v>0</v>
      </c>
      <c r="Z32" s="376">
        <f t="shared" si="3"/>
        <v>0</v>
      </c>
      <c r="AA32" s="376">
        <f t="shared" si="4"/>
        <v>0</v>
      </c>
      <c r="AB32" s="376">
        <f t="shared" si="5"/>
        <v>0</v>
      </c>
      <c r="AC32" s="373">
        <f t="shared" si="6"/>
        <v>0</v>
      </c>
      <c r="AD32" s="377">
        <f t="shared" si="7"/>
        <v>0</v>
      </c>
      <c r="AE32" s="375">
        <f t="shared" si="8"/>
        <v>0</v>
      </c>
    </row>
    <row r="33" spans="2:31" ht="15" customHeight="1" x14ac:dyDescent="0.3">
      <c r="B33" s="11">
        <v>25</v>
      </c>
      <c r="C33" s="16"/>
      <c r="D33" s="110"/>
      <c r="E33" s="35"/>
      <c r="F33" s="35"/>
      <c r="G33" s="35"/>
      <c r="H33" s="29"/>
      <c r="I33" s="29"/>
      <c r="J33" s="70"/>
      <c r="K33" s="120"/>
      <c r="L33" s="83"/>
      <c r="M33" s="170">
        <v>0</v>
      </c>
      <c r="N33" s="51">
        <v>0</v>
      </c>
      <c r="O33" s="42">
        <f t="shared" si="0"/>
        <v>0</v>
      </c>
      <c r="P33" s="70"/>
      <c r="Q33" s="29"/>
      <c r="R33" s="150"/>
      <c r="S33" s="29"/>
      <c r="T33" s="29"/>
      <c r="U33" s="29"/>
      <c r="V33" s="29"/>
      <c r="X33" s="378">
        <f t="shared" si="1"/>
        <v>0</v>
      </c>
      <c r="Y33" s="376">
        <f t="shared" si="2"/>
        <v>0</v>
      </c>
      <c r="Z33" s="376">
        <f t="shared" si="3"/>
        <v>0</v>
      </c>
      <c r="AA33" s="376">
        <f t="shared" si="4"/>
        <v>0</v>
      </c>
      <c r="AB33" s="376">
        <f t="shared" si="5"/>
        <v>0</v>
      </c>
      <c r="AC33" s="373">
        <f t="shared" si="6"/>
        <v>0</v>
      </c>
      <c r="AD33" s="377">
        <f t="shared" si="7"/>
        <v>0</v>
      </c>
      <c r="AE33" s="375">
        <f t="shared" si="8"/>
        <v>0</v>
      </c>
    </row>
    <row r="34" spans="2:31" ht="15" customHeight="1" x14ac:dyDescent="0.3">
      <c r="B34" s="11">
        <v>26</v>
      </c>
      <c r="C34" s="16"/>
      <c r="D34" s="110"/>
      <c r="E34" s="35"/>
      <c r="F34" s="35"/>
      <c r="G34" s="35"/>
      <c r="H34" s="29"/>
      <c r="I34" s="29"/>
      <c r="J34" s="29"/>
      <c r="K34" s="120"/>
      <c r="L34" s="85"/>
      <c r="M34" s="170">
        <v>0</v>
      </c>
      <c r="N34" s="51">
        <v>0</v>
      </c>
      <c r="O34" s="42">
        <f t="shared" si="0"/>
        <v>0</v>
      </c>
      <c r="P34" s="29"/>
      <c r="Q34" s="29"/>
      <c r="R34" s="150"/>
      <c r="S34" s="29"/>
      <c r="T34" s="29"/>
      <c r="U34" s="29"/>
      <c r="V34" s="29"/>
      <c r="X34" s="378">
        <f t="shared" si="1"/>
        <v>0</v>
      </c>
      <c r="Y34" s="376">
        <f t="shared" si="2"/>
        <v>0</v>
      </c>
      <c r="Z34" s="376">
        <f t="shared" si="3"/>
        <v>0</v>
      </c>
      <c r="AA34" s="376">
        <f t="shared" si="4"/>
        <v>0</v>
      </c>
      <c r="AB34" s="376">
        <f t="shared" si="5"/>
        <v>0</v>
      </c>
      <c r="AC34" s="373">
        <f t="shared" si="6"/>
        <v>0</v>
      </c>
      <c r="AD34" s="377">
        <f t="shared" si="7"/>
        <v>0</v>
      </c>
      <c r="AE34" s="375">
        <f t="shared" si="8"/>
        <v>0</v>
      </c>
    </row>
    <row r="35" spans="2:31" ht="15" customHeight="1" x14ac:dyDescent="0.3">
      <c r="B35" s="11">
        <v>27</v>
      </c>
      <c r="C35" s="16"/>
      <c r="D35" s="110"/>
      <c r="E35" s="35"/>
      <c r="F35" s="35"/>
      <c r="G35" s="35"/>
      <c r="H35" s="29"/>
      <c r="I35" s="29"/>
      <c r="J35" s="70"/>
      <c r="K35" s="120"/>
      <c r="L35" s="83"/>
      <c r="M35" s="170">
        <v>0</v>
      </c>
      <c r="N35" s="51">
        <v>0</v>
      </c>
      <c r="O35" s="42">
        <f t="shared" si="0"/>
        <v>0</v>
      </c>
      <c r="P35" s="70"/>
      <c r="Q35" s="29"/>
      <c r="R35" s="150"/>
      <c r="S35" s="29"/>
      <c r="T35" s="29"/>
      <c r="U35" s="29"/>
      <c r="V35" s="29"/>
      <c r="X35" s="378">
        <f t="shared" si="1"/>
        <v>0</v>
      </c>
      <c r="Y35" s="376">
        <f t="shared" si="2"/>
        <v>0</v>
      </c>
      <c r="Z35" s="376">
        <f t="shared" si="3"/>
        <v>0</v>
      </c>
      <c r="AA35" s="376">
        <f t="shared" si="4"/>
        <v>0</v>
      </c>
      <c r="AB35" s="376">
        <f t="shared" si="5"/>
        <v>0</v>
      </c>
      <c r="AC35" s="373">
        <f t="shared" si="6"/>
        <v>0</v>
      </c>
      <c r="AD35" s="377">
        <f t="shared" si="7"/>
        <v>0</v>
      </c>
      <c r="AE35" s="375">
        <f t="shared" si="8"/>
        <v>0</v>
      </c>
    </row>
    <row r="36" spans="2:31" ht="15" customHeight="1" x14ac:dyDescent="0.3">
      <c r="B36" s="11">
        <v>28</v>
      </c>
      <c r="C36" s="16"/>
      <c r="D36" s="110"/>
      <c r="E36" s="35"/>
      <c r="F36" s="35"/>
      <c r="G36" s="35"/>
      <c r="H36" s="29"/>
      <c r="I36" s="29"/>
      <c r="J36" s="29"/>
      <c r="K36" s="120"/>
      <c r="L36" s="85"/>
      <c r="M36" s="170">
        <v>0</v>
      </c>
      <c r="N36" s="51">
        <v>0</v>
      </c>
      <c r="O36" s="42">
        <f t="shared" si="0"/>
        <v>0</v>
      </c>
      <c r="P36" s="29"/>
      <c r="Q36" s="29"/>
      <c r="R36" s="150"/>
      <c r="S36" s="29"/>
      <c r="T36" s="29"/>
      <c r="U36" s="29"/>
      <c r="V36" s="29"/>
      <c r="X36" s="378">
        <f t="shared" si="1"/>
        <v>0</v>
      </c>
      <c r="Y36" s="376">
        <f t="shared" si="2"/>
        <v>0</v>
      </c>
      <c r="Z36" s="376">
        <f t="shared" si="3"/>
        <v>0</v>
      </c>
      <c r="AA36" s="376">
        <f t="shared" si="4"/>
        <v>0</v>
      </c>
      <c r="AB36" s="376">
        <f t="shared" si="5"/>
        <v>0</v>
      </c>
      <c r="AC36" s="373">
        <f t="shared" si="6"/>
        <v>0</v>
      </c>
      <c r="AD36" s="377">
        <f t="shared" si="7"/>
        <v>0</v>
      </c>
      <c r="AE36" s="375">
        <f t="shared" si="8"/>
        <v>0</v>
      </c>
    </row>
    <row r="37" spans="2:31" ht="15" customHeight="1" x14ac:dyDescent="0.3">
      <c r="B37" s="11">
        <v>29</v>
      </c>
      <c r="C37" s="16"/>
      <c r="D37" s="110"/>
      <c r="E37" s="35"/>
      <c r="F37" s="35"/>
      <c r="G37" s="35"/>
      <c r="H37" s="29"/>
      <c r="I37" s="29"/>
      <c r="J37" s="29"/>
      <c r="K37" s="120"/>
      <c r="L37" s="85"/>
      <c r="M37" s="170">
        <v>0</v>
      </c>
      <c r="N37" s="51">
        <v>0</v>
      </c>
      <c r="O37" s="42">
        <f t="shared" si="0"/>
        <v>0</v>
      </c>
      <c r="P37" s="29"/>
      <c r="Q37" s="29"/>
      <c r="R37" s="150"/>
      <c r="S37" s="29"/>
      <c r="T37" s="29"/>
      <c r="U37" s="29"/>
      <c r="V37" s="29"/>
      <c r="X37" s="378">
        <f t="shared" si="1"/>
        <v>0</v>
      </c>
      <c r="Y37" s="376">
        <f t="shared" si="2"/>
        <v>0</v>
      </c>
      <c r="Z37" s="376">
        <f t="shared" si="3"/>
        <v>0</v>
      </c>
      <c r="AA37" s="376">
        <f t="shared" si="4"/>
        <v>0</v>
      </c>
      <c r="AB37" s="376">
        <f t="shared" si="5"/>
        <v>0</v>
      </c>
      <c r="AC37" s="373">
        <f t="shared" si="6"/>
        <v>0</v>
      </c>
      <c r="AD37" s="377">
        <f t="shared" si="7"/>
        <v>0</v>
      </c>
      <c r="AE37" s="375">
        <f t="shared" si="8"/>
        <v>0</v>
      </c>
    </row>
    <row r="38" spans="2:31" ht="15" customHeight="1" x14ac:dyDescent="0.3">
      <c r="B38" s="11">
        <v>30</v>
      </c>
      <c r="C38" s="16"/>
      <c r="D38" s="110"/>
      <c r="E38" s="35"/>
      <c r="F38" s="35"/>
      <c r="G38" s="35"/>
      <c r="H38" s="29"/>
      <c r="I38" s="29"/>
      <c r="J38" s="29"/>
      <c r="K38" s="120"/>
      <c r="L38" s="85"/>
      <c r="M38" s="170">
        <v>0</v>
      </c>
      <c r="N38" s="51">
        <v>0</v>
      </c>
      <c r="O38" s="42">
        <f t="shared" si="0"/>
        <v>0</v>
      </c>
      <c r="P38" s="29"/>
      <c r="Q38" s="29"/>
      <c r="R38" s="150"/>
      <c r="S38" s="29"/>
      <c r="T38" s="29"/>
      <c r="U38" s="29"/>
      <c r="V38" s="29"/>
      <c r="X38" s="378">
        <f t="shared" si="1"/>
        <v>0</v>
      </c>
      <c r="Y38" s="376">
        <f t="shared" si="2"/>
        <v>0</v>
      </c>
      <c r="Z38" s="376">
        <f t="shared" si="3"/>
        <v>0</v>
      </c>
      <c r="AA38" s="376">
        <f t="shared" si="4"/>
        <v>0</v>
      </c>
      <c r="AB38" s="376">
        <f t="shared" si="5"/>
        <v>0</v>
      </c>
      <c r="AC38" s="373">
        <f t="shared" si="6"/>
        <v>0</v>
      </c>
      <c r="AD38" s="377">
        <f t="shared" si="7"/>
        <v>0</v>
      </c>
      <c r="AE38" s="375">
        <f t="shared" si="8"/>
        <v>0</v>
      </c>
    </row>
    <row r="39" spans="2:31" ht="15" customHeight="1" x14ac:dyDescent="0.3">
      <c r="B39" s="11"/>
      <c r="C39" s="16"/>
      <c r="D39" s="110"/>
      <c r="E39" s="35"/>
      <c r="F39" s="35"/>
      <c r="G39" s="35"/>
      <c r="H39" s="29"/>
      <c r="I39" s="29"/>
      <c r="J39" s="29"/>
      <c r="K39" s="120"/>
      <c r="L39" s="85"/>
      <c r="M39" s="170">
        <v>0</v>
      </c>
      <c r="N39" s="51">
        <v>0</v>
      </c>
      <c r="O39" s="42">
        <f t="shared" si="0"/>
        <v>0</v>
      </c>
      <c r="P39" s="29"/>
      <c r="Q39" s="29"/>
      <c r="R39" s="150"/>
      <c r="S39" s="29"/>
      <c r="T39" s="29"/>
      <c r="U39" s="29"/>
      <c r="V39" s="29"/>
      <c r="X39" s="378">
        <f t="shared" si="1"/>
        <v>0</v>
      </c>
      <c r="Y39" s="376">
        <f t="shared" si="2"/>
        <v>0</v>
      </c>
      <c r="Z39" s="376">
        <f t="shared" si="3"/>
        <v>0</v>
      </c>
      <c r="AA39" s="376">
        <f t="shared" si="4"/>
        <v>0</v>
      </c>
      <c r="AB39" s="376">
        <f t="shared" si="5"/>
        <v>0</v>
      </c>
      <c r="AC39" s="373">
        <f t="shared" si="6"/>
        <v>0</v>
      </c>
      <c r="AD39" s="377">
        <f t="shared" si="7"/>
        <v>0</v>
      </c>
      <c r="AE39" s="375">
        <f t="shared" si="8"/>
        <v>0</v>
      </c>
    </row>
    <row r="40" spans="2:31" ht="15.6" x14ac:dyDescent="0.3">
      <c r="B40" s="11"/>
      <c r="C40" s="16"/>
      <c r="D40" s="112"/>
      <c r="E40" s="35"/>
      <c r="F40" s="35"/>
      <c r="G40" s="35"/>
      <c r="H40" s="29"/>
      <c r="I40" s="29"/>
      <c r="J40" s="29"/>
      <c r="K40" s="120"/>
      <c r="L40" s="16"/>
      <c r="M40" s="42"/>
      <c r="N40" s="51"/>
      <c r="O40" s="42"/>
      <c r="P40" s="29"/>
      <c r="Q40" s="29"/>
      <c r="R40" s="150"/>
      <c r="S40" s="29"/>
      <c r="T40" s="29"/>
      <c r="U40" s="29"/>
      <c r="V40" s="29"/>
      <c r="X40" s="378">
        <f t="shared" si="1"/>
        <v>0</v>
      </c>
      <c r="Y40" s="376">
        <f t="shared" si="2"/>
        <v>0</v>
      </c>
      <c r="Z40" s="376">
        <f t="shared" si="3"/>
        <v>0</v>
      </c>
      <c r="AA40" s="376">
        <f t="shared" si="4"/>
        <v>0</v>
      </c>
      <c r="AB40" s="376">
        <f t="shared" si="5"/>
        <v>0</v>
      </c>
      <c r="AC40" s="373">
        <f t="shared" si="6"/>
        <v>0</v>
      </c>
      <c r="AD40" s="377">
        <f t="shared" si="7"/>
        <v>0</v>
      </c>
      <c r="AE40" s="375">
        <f t="shared" si="8"/>
        <v>0</v>
      </c>
    </row>
    <row r="41" spans="2:31" x14ac:dyDescent="0.3">
      <c r="C41" s="22"/>
      <c r="D41" s="108"/>
      <c r="E41" s="67"/>
      <c r="F41" s="33"/>
      <c r="G41" s="19"/>
      <c r="H41" s="19"/>
      <c r="I41" s="19"/>
      <c r="J41" s="19"/>
      <c r="K41" s="77"/>
      <c r="L41" s="59"/>
      <c r="M41" s="76">
        <f>SUBTOTAL(9,M8:M40)</f>
        <v>0</v>
      </c>
      <c r="N41" s="46">
        <f>SUBTOTAL(9,N8:N40)</f>
        <v>0</v>
      </c>
      <c r="O41" s="46">
        <f>SUBTOTAL(9,O8:O40)</f>
        <v>0</v>
      </c>
      <c r="P41" s="19"/>
      <c r="Q41" s="236"/>
      <c r="R41" s="18"/>
      <c r="S41" s="17"/>
      <c r="T41" s="30">
        <f>SUBTOTAL(2,T8:T40)</f>
        <v>0</v>
      </c>
      <c r="U41" s="19"/>
      <c r="V41" s="36"/>
    </row>
    <row r="42" spans="2:31" x14ac:dyDescent="0.3">
      <c r="M42" s="47"/>
      <c r="N42" s="47"/>
      <c r="O42" s="47"/>
    </row>
    <row r="43" spans="2:31" x14ac:dyDescent="0.3">
      <c r="M43" s="47"/>
      <c r="N43" s="47"/>
      <c r="O43" s="47"/>
    </row>
    <row r="44" spans="2:31" ht="15" thickBot="1" x14ac:dyDescent="0.35">
      <c r="C44" s="4"/>
      <c r="D44" s="109"/>
      <c r="E44" s="72"/>
      <c r="F44" s="34"/>
      <c r="G44" s="15"/>
      <c r="H44" s="15"/>
      <c r="I44" s="15"/>
      <c r="J44" s="15"/>
      <c r="K44" s="28"/>
      <c r="L44" s="20"/>
      <c r="M44" s="71">
        <f>SUM(M8:M40)</f>
        <v>0</v>
      </c>
      <c r="N44" s="71">
        <f>SUM(N8:N40)</f>
        <v>0</v>
      </c>
      <c r="O44" s="71">
        <f>SUM(O8:O40)</f>
        <v>0</v>
      </c>
      <c r="P44" s="15"/>
      <c r="Q44" s="72"/>
      <c r="R44" s="15"/>
      <c r="S44" s="15"/>
      <c r="U44" s="15"/>
    </row>
    <row r="45" spans="2:31" ht="15" thickTop="1" x14ac:dyDescent="0.3">
      <c r="R45" s="15"/>
    </row>
    <row r="46" spans="2:31" x14ac:dyDescent="0.3">
      <c r="W46" s="113"/>
      <c r="X46" s="8"/>
      <c r="Y46" s="27"/>
    </row>
    <row r="47" spans="2:31" x14ac:dyDescent="0.3">
      <c r="E47" s="8"/>
      <c r="L47" s="509"/>
      <c r="M47" s="75" t="s">
        <v>347</v>
      </c>
      <c r="N47" s="75"/>
      <c r="O47" s="511"/>
    </row>
    <row r="48" spans="2:31" x14ac:dyDescent="0.3">
      <c r="E48" s="8"/>
      <c r="L48" s="16" t="s">
        <v>348</v>
      </c>
      <c r="M48" s="16" t="s">
        <v>349</v>
      </c>
      <c r="N48" s="93" t="s">
        <v>350</v>
      </c>
      <c r="O48" s="102" t="s">
        <v>352</v>
      </c>
      <c r="P48" s="92"/>
    </row>
    <row r="49" spans="4:22" x14ac:dyDescent="0.3">
      <c r="E49" s="8"/>
      <c r="L49" s="143">
        <f>SUMIF($C$8:$C$40,L48,$O$8:$O$40)</f>
        <v>0</v>
      </c>
      <c r="M49" s="143">
        <f>SUMIF($C$8:$C$40,M48,$O$8:$O$40)</f>
        <v>0</v>
      </c>
      <c r="N49" s="143">
        <f>SUMIF($C$8:$C$40,N48,$O$8:$O$40)</f>
        <v>0</v>
      </c>
      <c r="O49" s="143">
        <f>SUMIF($C$8:$C$39,O48,$O$8:$O$40)</f>
        <v>0</v>
      </c>
      <c r="P49" s="96">
        <f>SUM(L49:O49)</f>
        <v>0</v>
      </c>
    </row>
    <row r="50" spans="4:22" x14ac:dyDescent="0.3">
      <c r="E50" s="8"/>
      <c r="M50" s="8"/>
      <c r="N50"/>
      <c r="O50"/>
      <c r="P50" s="98">
        <f>O44-P49</f>
        <v>0</v>
      </c>
    </row>
    <row r="51" spans="4:22" x14ac:dyDescent="0.3">
      <c r="D51"/>
      <c r="E51" s="8"/>
      <c r="L51" s="43"/>
      <c r="M51" s="8"/>
      <c r="P51" s="43"/>
      <c r="Q51" s="8"/>
      <c r="R51" s="43"/>
      <c r="S51" s="43"/>
      <c r="V51" s="8"/>
    </row>
    <row r="52" spans="4:22" x14ac:dyDescent="0.3">
      <c r="D52"/>
      <c r="E52" s="8"/>
      <c r="L52" s="509"/>
      <c r="M52" s="57" t="s">
        <v>356</v>
      </c>
      <c r="N52" s="57"/>
      <c r="O52" s="510"/>
      <c r="Q52" s="8"/>
      <c r="R52" s="43"/>
      <c r="S52" s="43"/>
      <c r="V52" s="8"/>
    </row>
    <row r="53" spans="4:22" x14ac:dyDescent="0.3">
      <c r="D53"/>
      <c r="E53" s="8"/>
      <c r="F53" s="8"/>
      <c r="G53" s="43"/>
      <c r="H53" s="43"/>
      <c r="L53" s="16" t="s">
        <v>348</v>
      </c>
      <c r="M53" s="16" t="s">
        <v>349</v>
      </c>
      <c r="N53" s="93" t="s">
        <v>350</v>
      </c>
      <c r="O53" s="102" t="s">
        <v>352</v>
      </c>
      <c r="Q53" s="43"/>
      <c r="S53" s="43"/>
      <c r="T53" s="119"/>
      <c r="V53" s="8"/>
    </row>
    <row r="54" spans="4:22" x14ac:dyDescent="0.3">
      <c r="E54" s="8"/>
      <c r="F54" s="8"/>
      <c r="G54" s="43"/>
      <c r="H54" s="43"/>
      <c r="L54" s="143">
        <f>SUMIF($C$8:$C$40,L53,$N$8:$N$40)</f>
        <v>0</v>
      </c>
      <c r="M54" s="143">
        <f>SUMIF($C$8:$C$40,M53,$N$8:$N$40)</f>
        <v>0</v>
      </c>
      <c r="N54" s="143">
        <f>SUMIF($C$8:$C$40,N53,$N$8:$N$40)</f>
        <v>0</v>
      </c>
      <c r="O54" s="143">
        <f>SUMIF($C$8:$C$40,O53,$N$8:$N$40)</f>
        <v>0</v>
      </c>
      <c r="P54" s="118">
        <f>SUM(L54:O54)</f>
        <v>0</v>
      </c>
      <c r="Q54" s="43"/>
      <c r="S54" s="43"/>
      <c r="T54" s="119"/>
    </row>
    <row r="55" spans="4:22" x14ac:dyDescent="0.3">
      <c r="E55" s="8"/>
      <c r="F55" s="8"/>
      <c r="G55" s="43"/>
      <c r="H55" s="43"/>
      <c r="M55" s="32"/>
      <c r="N55" s="32"/>
      <c r="O55" s="144"/>
      <c r="P55" s="98">
        <f>N44-P54</f>
        <v>0</v>
      </c>
      <c r="Q55" s="43"/>
      <c r="S55" s="43"/>
      <c r="T55" s="119"/>
    </row>
    <row r="56" spans="4:22" x14ac:dyDescent="0.3">
      <c r="E56" s="8"/>
      <c r="F56" s="8"/>
      <c r="G56" s="43"/>
      <c r="H56" s="43"/>
      <c r="L56" s="92"/>
      <c r="M56" s="27"/>
      <c r="N56" s="8"/>
      <c r="P56" s="43"/>
      <c r="Q56" s="43"/>
      <c r="S56" s="66"/>
    </row>
    <row r="57" spans="4:22" x14ac:dyDescent="0.3">
      <c r="L57" s="97"/>
      <c r="M57" s="43" t="s">
        <v>353</v>
      </c>
      <c r="N57" s="43">
        <f>O49</f>
        <v>0</v>
      </c>
      <c r="P57" s="43"/>
    </row>
    <row r="58" spans="4:22" x14ac:dyDescent="0.3">
      <c r="L58" s="92"/>
      <c r="M58" s="43" t="s">
        <v>387</v>
      </c>
      <c r="N58" s="43">
        <f>L49</f>
        <v>0</v>
      </c>
      <c r="O58"/>
      <c r="P58" s="43"/>
    </row>
    <row r="59" spans="4:22" ht="15" thickBot="1" x14ac:dyDescent="0.35">
      <c r="L59" s="66"/>
      <c r="M59" s="100" t="s">
        <v>355</v>
      </c>
      <c r="N59" s="100">
        <f>M49+N49+M54+N54+O54+L54</f>
        <v>0</v>
      </c>
      <c r="P59" s="43"/>
    </row>
    <row r="60" spans="4:22" ht="15" thickTop="1" x14ac:dyDescent="0.3">
      <c r="M60" s="43" t="s">
        <v>358</v>
      </c>
      <c r="N60" s="43">
        <f>SUM(N57:N59)</f>
        <v>0</v>
      </c>
      <c r="O60" s="98">
        <f>M44-N60</f>
        <v>0</v>
      </c>
      <c r="P60" s="43"/>
    </row>
    <row r="67" spans="4:12" x14ac:dyDescent="0.3">
      <c r="D67" s="205"/>
      <c r="E67" s="43"/>
      <c r="L67" s="53"/>
    </row>
    <row r="68" spans="4:12" x14ac:dyDescent="0.3">
      <c r="D68" s="205"/>
      <c r="L68" s="53"/>
    </row>
    <row r="69" spans="4:12" x14ac:dyDescent="0.3">
      <c r="D69" s="205"/>
      <c r="L69" s="53"/>
    </row>
    <row r="70" spans="4:12" x14ac:dyDescent="0.3">
      <c r="D70" s="205"/>
      <c r="L70" s="53"/>
    </row>
    <row r="71" spans="4:12" x14ac:dyDescent="0.3">
      <c r="D71" s="205"/>
      <c r="L71" s="53"/>
    </row>
  </sheetData>
  <autoFilter ref="B7:U40" xr:uid="{00000000-0009-0000-0000-000001000000}"/>
  <dataConsolidate/>
  <customSheetViews>
    <customSheetView guid="{064F1E00-4E44-40D8-9D84-C13C3FC17883}" scale="80" fitToPage="1" filter="1" showAutoFilter="1">
      <pane xSplit="3" ySplit="6" topLeftCell="D34" activePane="bottomRight" state="frozen"/>
      <selection pane="bottomRight" activeCell="R44" sqref="R44"/>
      <pageMargins left="0" right="0" top="0" bottom="0" header="0" footer="0"/>
      <pageSetup scale="57" orientation="portrait" r:id="rId1"/>
      <autoFilter ref="C6:W58" xr:uid="{0A7E7495-AE02-46BA-938A-6AD6252F56BD}">
        <filterColumn colId="19">
          <filters>
            <filter val="YES"/>
          </filters>
        </filterColumn>
      </autoFilter>
    </customSheetView>
    <customSheetView guid="{14C8854E-48EC-4FF0-8495-678A66A79974}" scale="80" fitToPage="1" filter="1" showAutoFilter="1">
      <pane xSplit="3" ySplit="6" topLeftCell="D34" activePane="bottomRight" state="frozen"/>
      <selection pane="bottomRight" activeCell="R44" sqref="R44"/>
      <pageMargins left="0" right="0" top="0" bottom="0" header="0" footer="0"/>
      <pageSetup scale="57" orientation="portrait" r:id="rId2"/>
      <autoFilter ref="C6:W58" xr:uid="{C826952D-35D6-44EF-B2AA-9FD9E33050E0}">
        <filterColumn colId="19">
          <filters>
            <filter val="YES"/>
          </filters>
        </filterColumn>
      </autoFilter>
    </customSheetView>
  </customSheetViews>
  <mergeCells count="1">
    <mergeCell ref="R6:U6"/>
  </mergeCells>
  <conditionalFormatting sqref="C8:C40 P8:P40">
    <cfRule type="cellIs" dxfId="154" priority="13" operator="equal">
      <formula>"PENDING"</formula>
    </cfRule>
  </conditionalFormatting>
  <conditionalFormatting sqref="L48">
    <cfRule type="cellIs" dxfId="153" priority="1" operator="equal">
      <formula>"PENDING"</formula>
    </cfRule>
    <cfRule type="cellIs" dxfId="152" priority="3" operator="equal">
      <formula>"NO-IL"</formula>
    </cfRule>
  </conditionalFormatting>
  <conditionalFormatting sqref="L53">
    <cfRule type="cellIs" dxfId="151" priority="5" operator="equal">
      <formula>"PENDING"</formula>
    </cfRule>
    <cfRule type="cellIs" dxfId="150" priority="7" operator="equal">
      <formula>"NO-IL"</formula>
    </cfRule>
  </conditionalFormatting>
  <conditionalFormatting sqref="L48:M48">
    <cfRule type="cellIs" dxfId="149" priority="2" operator="equal">
      <formula>"NO-OOS"</formula>
    </cfRule>
    <cfRule type="cellIs" dxfId="148" priority="4" operator="equal">
      <formula>"YES"</formula>
    </cfRule>
  </conditionalFormatting>
  <conditionalFormatting sqref="L53:M53">
    <cfRule type="cellIs" dxfId="147" priority="6" operator="equal">
      <formula>"NO-OOS"</formula>
    </cfRule>
    <cfRule type="cellIs" dxfId="146" priority="8" operator="equal">
      <formula>"YES"</formula>
    </cfRule>
  </conditionalFormatting>
  <conditionalFormatting sqref="M48">
    <cfRule type="cellIs" dxfId="145" priority="35" operator="equal">
      <formula>"NO-CO"</formula>
    </cfRule>
    <cfRule type="cellIs" dxfId="144" priority="37" operator="equal">
      <formula>"NO"</formula>
    </cfRule>
  </conditionalFormatting>
  <conditionalFormatting sqref="M53">
    <cfRule type="cellIs" dxfId="143" priority="30" operator="equal">
      <formula>"NO-CO"</formula>
    </cfRule>
    <cfRule type="cellIs" dxfId="142" priority="32" operator="equal">
      <formula>"NO"</formula>
    </cfRule>
  </conditionalFormatting>
  <conditionalFormatting sqref="P8:P40 C8:C40">
    <cfRule type="cellIs" dxfId="141" priority="22" operator="equal">
      <formula>"NO-OOS"</formula>
    </cfRule>
    <cfRule type="cellIs" dxfId="140" priority="23" operator="equal">
      <formula>"NO-IL"</formula>
    </cfRule>
    <cfRule type="cellIs" dxfId="139" priority="24" operator="equal">
      <formula>"YES"</formula>
    </cfRule>
  </conditionalFormatting>
  <conditionalFormatting sqref="P8:P40">
    <cfRule type="containsText" dxfId="138" priority="15" operator="containsText" text="NO">
      <formula>NOT(ISERROR(SEARCH("NO",P8)))</formula>
    </cfRule>
    <cfRule type="containsText" dxfId="137" priority="16" operator="containsText" text="YES">
      <formula>NOT(ISERROR(SEARCH("YES",P8)))</formula>
    </cfRule>
  </conditionalFormatting>
  <conditionalFormatting sqref="Q8:R40">
    <cfRule type="containsText" dxfId="136" priority="17" operator="containsText" text="Invalid">
      <formula>NOT(ISERROR(SEARCH("Invalid",Q8)))</formula>
    </cfRule>
    <cfRule type="containsText" dxfId="135" priority="18" operator="containsText" text="Missing">
      <formula>NOT(ISERROR(SEARCH("Missing",Q8)))</formula>
    </cfRule>
    <cfRule type="containsText" dxfId="134" priority="19" operator="containsText" text="Valid">
      <formula>NOT(ISERROR(SEARCH("Valid",Q8)))</formula>
    </cfRule>
  </conditionalFormatting>
  <conditionalFormatting sqref="R8:R40">
    <cfRule type="cellIs" dxfId="133" priority="20" operator="equal">
      <formula>"YES"</formula>
    </cfRule>
    <cfRule type="cellIs" dxfId="132" priority="21" operator="equal">
      <formula>"NO"</formula>
    </cfRule>
  </conditionalFormatting>
  <dataValidations xWindow="781" yWindow="325" count="3">
    <dataValidation type="list" allowBlank="1" showInputMessage="1" showErrorMessage="1" sqref="C8:C40 F9:F38 P8:S40 U8:U39" xr:uid="{00000000-0002-0000-0100-000000000000}">
      <formula1>#REF!</formula1>
    </dataValidation>
    <dataValidation type="list" allowBlank="1" showInputMessage="1" showErrorMessage="1" error="Please select a valid option from the 3 below" promptTitle="Payment Method" prompt="Select a payment method" sqref="O53:P53 S41:S46 S57:S1048576 S7 O55:P55 T53:T56" xr:uid="{00000000-0002-0000-0100-000002000000}">
      <formula1>#REF!</formula1>
    </dataValidation>
    <dataValidation type="list" allowBlank="1" showInputMessage="1" showErrorMessage="1" sqref="M48 M53 W2:W5" xr:uid="{00000000-0002-0000-0100-000005000000}"/>
  </dataValidations>
  <hyperlinks>
    <hyperlink ref="M44" location="'Comm Summary'!A1" display="'Comm Summary'!A1" xr:uid="{00000000-0004-0000-0100-000000000000}"/>
  </hyperlinks>
  <pageMargins left="0.45" right="0.45" top="0.75" bottom="0.75" header="0.3" footer="0.3"/>
  <pageSetup scale="20" fitToHeight="0" orientation="portrait"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AA76"/>
  <sheetViews>
    <sheetView zoomScale="85" zoomScaleNormal="85" workbookViewId="0">
      <pane xSplit="2" ySplit="7" topLeftCell="C8" activePane="bottomRight" state="frozen"/>
      <selection activeCell="F31" sqref="F31"/>
      <selection pane="topRight" activeCell="F31" sqref="F31"/>
      <selection pane="bottomLeft" activeCell="F31" sqref="F31"/>
      <selection pane="bottomRight" activeCell="F31" sqref="F31"/>
    </sheetView>
  </sheetViews>
  <sheetFormatPr defaultRowHeight="14.4" x14ac:dyDescent="0.3"/>
  <cols>
    <col min="1" max="1" width="2.109375" customWidth="1"/>
    <col min="2" max="2" width="9.109375" style="9"/>
    <col min="3" max="3" width="13" bestFit="1" customWidth="1"/>
    <col min="4" max="4" width="27.109375" customWidth="1"/>
    <col min="5" max="5" width="27.88671875" style="8" bestFit="1" customWidth="1"/>
    <col min="6" max="6" width="32.44140625" style="32" customWidth="1"/>
    <col min="7" max="7" width="24.109375" style="32" customWidth="1"/>
    <col min="8" max="8" width="12.88671875" style="32" customWidth="1"/>
    <col min="9" max="9" width="10.109375" style="8" bestFit="1" customWidth="1"/>
    <col min="10" max="10" width="8.109375" style="32" bestFit="1" customWidth="1"/>
    <col min="11" max="11" width="16.44140625" style="32" customWidth="1"/>
    <col min="12" max="12" width="12.109375" style="32" customWidth="1"/>
    <col min="13" max="13" width="8.88671875" style="9"/>
    <col min="14" max="14" width="16.5546875" style="9" bestFit="1" customWidth="1"/>
    <col min="15" max="15" width="11.109375" style="107" customWidth="1"/>
    <col min="16" max="16" width="13.44140625" style="9" customWidth="1"/>
    <col min="17" max="17" width="19.88671875" style="27" customWidth="1"/>
    <col min="18" max="18" width="16.44140625" customWidth="1"/>
    <col min="19" max="19" width="18.44140625" customWidth="1"/>
    <col min="20" max="20" width="15.5546875" bestFit="1" customWidth="1"/>
    <col min="21" max="21" width="15.5546875" customWidth="1"/>
    <col min="22" max="22" width="16.44140625" style="32" customWidth="1"/>
    <col min="23" max="23" width="22.109375" style="8" bestFit="1" customWidth="1"/>
    <col min="24" max="25" width="17.88671875" style="8" customWidth="1"/>
    <col min="26" max="26" width="45" style="32" customWidth="1"/>
  </cols>
  <sheetData>
    <row r="1" spans="2:27" ht="43.35" customHeight="1" x14ac:dyDescent="0.3">
      <c r="B1" s="752" t="s">
        <v>388</v>
      </c>
      <c r="C1" s="752"/>
      <c r="D1" s="752"/>
      <c r="E1" s="752"/>
      <c r="F1" s="752"/>
      <c r="G1" s="752"/>
      <c r="H1" s="752"/>
      <c r="I1" s="752"/>
      <c r="J1" s="752"/>
      <c r="K1" s="752"/>
      <c r="L1" s="752"/>
      <c r="M1" s="752"/>
      <c r="N1" s="752"/>
      <c r="O1" s="313"/>
      <c r="P1" s="313"/>
      <c r="Q1" s="313"/>
      <c r="R1" s="313"/>
      <c r="S1" s="313"/>
      <c r="T1" s="313"/>
      <c r="U1" s="313"/>
      <c r="V1" s="210"/>
      <c r="W1" s="210"/>
      <c r="X1" s="313"/>
      <c r="Y1" s="313"/>
      <c r="Z1" s="210"/>
      <c r="AA1" s="210"/>
    </row>
    <row r="2" spans="2:27" ht="15.6" x14ac:dyDescent="0.3">
      <c r="B2" s="117"/>
      <c r="C2" s="31"/>
      <c r="D2" s="117"/>
      <c r="E2" s="117"/>
      <c r="F2" s="117"/>
      <c r="G2" s="117"/>
      <c r="H2" s="31"/>
      <c r="I2" s="117"/>
      <c r="J2" s="9"/>
      <c r="K2" s="25"/>
      <c r="L2" s="117"/>
      <c r="M2" s="117"/>
      <c r="N2" s="117"/>
      <c r="O2" s="117"/>
      <c r="P2" s="117"/>
      <c r="Q2" s="117"/>
      <c r="R2" s="31"/>
      <c r="S2" s="117"/>
      <c r="T2" s="117"/>
      <c r="U2" s="117"/>
      <c r="V2" s="117"/>
      <c r="W2" s="31"/>
      <c r="X2"/>
      <c r="Y2"/>
      <c r="Z2"/>
    </row>
    <row r="3" spans="2:27" ht="15.6" x14ac:dyDescent="0.3">
      <c r="C3" s="5" t="s">
        <v>68</v>
      </c>
      <c r="D3" s="5" t="e">
        <f>#REF!</f>
        <v>#REF!</v>
      </c>
      <c r="F3"/>
      <c r="G3" s="8"/>
      <c r="I3" s="9"/>
      <c r="J3" s="117"/>
      <c r="K3" s="107"/>
      <c r="L3" s="9"/>
      <c r="M3" s="27"/>
      <c r="N3"/>
      <c r="O3"/>
      <c r="P3"/>
      <c r="Q3"/>
      <c r="R3" s="32"/>
      <c r="S3" s="8"/>
      <c r="T3" s="8"/>
      <c r="U3" s="8"/>
      <c r="V3"/>
      <c r="W3" s="32"/>
      <c r="X3"/>
      <c r="Y3"/>
      <c r="Z3"/>
    </row>
    <row r="4" spans="2:27" ht="18" x14ac:dyDescent="0.35">
      <c r="C4" s="235" t="s">
        <v>69</v>
      </c>
      <c r="D4" s="230" t="e">
        <f>#REF!</f>
        <v>#REF!</v>
      </c>
      <c r="E4" s="479" t="s">
        <v>273</v>
      </c>
      <c r="F4" s="480"/>
      <c r="G4" s="479"/>
      <c r="H4" s="481"/>
      <c r="I4" s="481"/>
      <c r="J4" s="482"/>
      <c r="K4" s="481"/>
      <c r="L4" s="9"/>
      <c r="M4" s="27"/>
      <c r="N4"/>
      <c r="O4" s="5"/>
      <c r="P4" s="5"/>
      <c r="Q4" s="5"/>
      <c r="R4" s="5"/>
      <c r="S4" s="6"/>
      <c r="T4" s="116"/>
      <c r="U4" s="149"/>
      <c r="V4" s="5"/>
      <c r="W4" s="5"/>
      <c r="X4" s="5"/>
      <c r="Y4"/>
      <c r="Z4"/>
    </row>
    <row r="5" spans="2:27" ht="18.600000000000001" thickBot="1" x14ac:dyDescent="0.4">
      <c r="C5" s="235" t="s">
        <v>275</v>
      </c>
      <c r="D5" s="231" t="e">
        <f>#REF!</f>
        <v>#REF!</v>
      </c>
      <c r="E5" s="6"/>
      <c r="F5" s="5"/>
      <c r="G5" s="116"/>
      <c r="H5" s="5"/>
      <c r="I5" s="9"/>
      <c r="J5" s="9"/>
      <c r="K5" s="107"/>
      <c r="L5" s="9"/>
      <c r="M5" s="27"/>
      <c r="N5"/>
      <c r="P5" s="5"/>
      <c r="Q5" s="5"/>
      <c r="R5" s="5"/>
      <c r="S5" s="6"/>
      <c r="T5" s="116"/>
      <c r="U5" s="149"/>
      <c r="V5" s="5"/>
      <c r="W5" s="5"/>
      <c r="X5" s="5"/>
      <c r="Y5"/>
      <c r="Z5"/>
    </row>
    <row r="6" spans="2:27" ht="15" thickBot="1" x14ac:dyDescent="0.35">
      <c r="G6" s="8"/>
      <c r="I6" s="9"/>
      <c r="J6" s="9"/>
      <c r="K6" s="107"/>
      <c r="L6" s="9"/>
      <c r="M6" s="27"/>
      <c r="N6"/>
      <c r="O6"/>
      <c r="P6"/>
      <c r="Q6"/>
      <c r="R6" s="294" t="s">
        <v>282</v>
      </c>
      <c r="S6" s="296"/>
      <c r="T6" s="294" t="s">
        <v>283</v>
      </c>
      <c r="U6" s="296"/>
      <c r="W6"/>
      <c r="X6"/>
      <c r="Y6"/>
      <c r="Z6"/>
    </row>
    <row r="7" spans="2:27" s="345" customFormat="1" ht="34.35" customHeight="1" x14ac:dyDescent="0.3">
      <c r="B7" s="261" t="s">
        <v>372</v>
      </c>
      <c r="C7" s="320" t="s">
        <v>373</v>
      </c>
      <c r="D7" s="320" t="s">
        <v>389</v>
      </c>
      <c r="E7" s="320" t="s">
        <v>390</v>
      </c>
      <c r="F7" s="320" t="s">
        <v>231</v>
      </c>
      <c r="G7" s="320" t="s">
        <v>230</v>
      </c>
      <c r="H7" s="346"/>
      <c r="I7" s="330" t="s">
        <v>374</v>
      </c>
      <c r="J7" s="330" t="s">
        <v>391</v>
      </c>
      <c r="K7" s="330" t="s">
        <v>392</v>
      </c>
      <c r="L7" s="261" t="s">
        <v>393</v>
      </c>
      <c r="M7" s="343" t="s">
        <v>394</v>
      </c>
      <c r="N7" s="320" t="s">
        <v>395</v>
      </c>
      <c r="O7" s="264" t="s">
        <v>355</v>
      </c>
      <c r="P7" s="261" t="s">
        <v>396</v>
      </c>
      <c r="Q7" s="261" t="s">
        <v>397</v>
      </c>
      <c r="R7" s="320" t="s">
        <v>379</v>
      </c>
      <c r="S7" s="344" t="s">
        <v>380</v>
      </c>
      <c r="T7" s="320" t="s">
        <v>382</v>
      </c>
      <c r="U7" s="320" t="s">
        <v>384</v>
      </c>
      <c r="V7" s="320" t="s">
        <v>245</v>
      </c>
    </row>
    <row r="8" spans="2:27" x14ac:dyDescent="0.3">
      <c r="B8" s="11"/>
      <c r="C8" s="16"/>
      <c r="D8" s="35"/>
      <c r="E8" s="2"/>
      <c r="F8" s="2"/>
      <c r="G8" s="29"/>
      <c r="H8" s="347"/>
      <c r="I8" s="302"/>
      <c r="J8" s="29"/>
      <c r="K8" s="61"/>
      <c r="L8" s="11"/>
      <c r="M8" s="121"/>
      <c r="N8" s="1"/>
      <c r="O8" s="91"/>
      <c r="P8" s="1"/>
      <c r="Q8" s="1"/>
      <c r="R8" s="159"/>
      <c r="S8" s="29"/>
      <c r="T8" s="29"/>
      <c r="U8" s="29"/>
      <c r="V8" s="2"/>
      <c r="W8"/>
      <c r="X8"/>
      <c r="Y8"/>
      <c r="Z8"/>
    </row>
    <row r="9" spans="2:27" x14ac:dyDescent="0.3">
      <c r="B9" s="11">
        <v>1</v>
      </c>
      <c r="C9" s="16"/>
      <c r="D9" s="35"/>
      <c r="E9" s="2"/>
      <c r="G9" s="29"/>
      <c r="H9" s="347"/>
      <c r="I9" s="302"/>
      <c r="J9" s="29"/>
      <c r="K9" s="61"/>
      <c r="L9" s="11"/>
      <c r="M9" s="121"/>
      <c r="N9" s="1">
        <v>0</v>
      </c>
      <c r="O9" s="91">
        <v>0</v>
      </c>
      <c r="P9" s="1">
        <f t="shared" ref="P9:P30" si="0">N9-O9</f>
        <v>0</v>
      </c>
      <c r="Q9" s="1"/>
      <c r="R9" s="159"/>
      <c r="S9" s="29"/>
      <c r="T9" s="29"/>
      <c r="U9" s="29"/>
      <c r="V9" s="2"/>
      <c r="W9"/>
      <c r="X9"/>
      <c r="Y9"/>
      <c r="Z9"/>
    </row>
    <row r="10" spans="2:27" x14ac:dyDescent="0.3">
      <c r="B10" s="11">
        <v>2</v>
      </c>
      <c r="C10" s="16"/>
      <c r="D10" s="35"/>
      <c r="E10" s="2"/>
      <c r="F10" s="2"/>
      <c r="G10" s="29"/>
      <c r="H10" s="347"/>
      <c r="I10" s="302"/>
      <c r="J10" s="29"/>
      <c r="K10" s="61"/>
      <c r="L10" s="11"/>
      <c r="M10" s="121"/>
      <c r="N10" s="1">
        <v>0</v>
      </c>
      <c r="O10" s="91">
        <v>0</v>
      </c>
      <c r="P10" s="1">
        <f t="shared" si="0"/>
        <v>0</v>
      </c>
      <c r="Q10" s="1"/>
      <c r="R10" s="159"/>
      <c r="S10" s="29"/>
      <c r="T10" s="29"/>
      <c r="U10" s="29"/>
      <c r="V10" s="2"/>
      <c r="W10"/>
      <c r="X10"/>
      <c r="Y10"/>
      <c r="Z10"/>
    </row>
    <row r="11" spans="2:27" x14ac:dyDescent="0.3">
      <c r="B11" s="11">
        <v>3</v>
      </c>
      <c r="C11" s="16"/>
      <c r="D11" s="35"/>
      <c r="E11" s="2"/>
      <c r="F11" s="2"/>
      <c r="G11" s="29"/>
      <c r="H11" s="347"/>
      <c r="I11" s="302"/>
      <c r="J11" s="29"/>
      <c r="K11" s="61"/>
      <c r="L11" s="11"/>
      <c r="M11" s="121"/>
      <c r="N11" s="1">
        <v>0</v>
      </c>
      <c r="O11" s="91">
        <v>0</v>
      </c>
      <c r="P11" s="1">
        <f t="shared" si="0"/>
        <v>0</v>
      </c>
      <c r="Q11" s="1"/>
      <c r="R11" s="159"/>
      <c r="S11" s="29"/>
      <c r="T11" s="29"/>
      <c r="U11" s="29"/>
      <c r="V11" s="2"/>
      <c r="W11"/>
      <c r="X11"/>
      <c r="Y11"/>
      <c r="Z11"/>
    </row>
    <row r="12" spans="2:27" x14ac:dyDescent="0.3">
      <c r="B12" s="11">
        <v>4</v>
      </c>
      <c r="C12" s="16"/>
      <c r="D12" s="35"/>
      <c r="E12" s="2"/>
      <c r="F12" s="2"/>
      <c r="G12" s="29"/>
      <c r="H12" s="347"/>
      <c r="I12" s="302"/>
      <c r="J12" s="29"/>
      <c r="K12" s="61"/>
      <c r="L12" s="11"/>
      <c r="M12" s="121"/>
      <c r="N12" s="1">
        <v>0</v>
      </c>
      <c r="O12" s="91">
        <v>0</v>
      </c>
      <c r="P12" s="1">
        <f t="shared" si="0"/>
        <v>0</v>
      </c>
      <c r="Q12" s="1"/>
      <c r="R12" s="159"/>
      <c r="S12" s="29"/>
      <c r="T12" s="29"/>
      <c r="U12" s="29"/>
      <c r="V12" s="2"/>
      <c r="W12"/>
      <c r="X12"/>
      <c r="Y12"/>
      <c r="Z12"/>
    </row>
    <row r="13" spans="2:27" x14ac:dyDescent="0.3">
      <c r="B13" s="11">
        <v>5</v>
      </c>
      <c r="C13" s="16"/>
      <c r="D13" s="35"/>
      <c r="E13" s="2"/>
      <c r="F13" s="2"/>
      <c r="G13" s="29"/>
      <c r="H13" s="347"/>
      <c r="I13" s="302"/>
      <c r="J13" s="29"/>
      <c r="K13" s="61"/>
      <c r="L13" s="11"/>
      <c r="M13" s="121"/>
      <c r="N13" s="1"/>
      <c r="O13" s="91">
        <v>0</v>
      </c>
      <c r="P13" s="1">
        <f t="shared" si="0"/>
        <v>0</v>
      </c>
      <c r="Q13" s="1"/>
      <c r="R13" s="159"/>
      <c r="S13" s="29"/>
      <c r="T13" s="29"/>
      <c r="U13" s="29"/>
      <c r="V13" s="2"/>
      <c r="W13"/>
      <c r="X13"/>
      <c r="Y13"/>
      <c r="Z13"/>
    </row>
    <row r="14" spans="2:27" x14ac:dyDescent="0.3">
      <c r="B14" s="11">
        <v>6</v>
      </c>
      <c r="C14" s="16"/>
      <c r="D14" s="35"/>
      <c r="E14" s="2"/>
      <c r="F14" s="2"/>
      <c r="G14" s="29"/>
      <c r="H14" s="347"/>
      <c r="I14" s="302"/>
      <c r="J14" s="29"/>
      <c r="K14" s="61"/>
      <c r="L14" s="11"/>
      <c r="M14" s="121"/>
      <c r="N14" s="1"/>
      <c r="O14" s="91">
        <v>0</v>
      </c>
      <c r="P14" s="1">
        <f t="shared" si="0"/>
        <v>0</v>
      </c>
      <c r="Q14" s="1"/>
      <c r="R14" s="159"/>
      <c r="S14" s="29"/>
      <c r="T14" s="29"/>
      <c r="U14" s="29"/>
      <c r="V14" s="2"/>
      <c r="W14"/>
      <c r="X14"/>
      <c r="Y14"/>
      <c r="Z14"/>
    </row>
    <row r="15" spans="2:27" x14ac:dyDescent="0.3">
      <c r="B15" s="11">
        <v>7</v>
      </c>
      <c r="C15" s="16"/>
      <c r="D15" s="35"/>
      <c r="E15" s="2"/>
      <c r="F15" s="2"/>
      <c r="G15" s="29"/>
      <c r="H15" s="347"/>
      <c r="I15" s="302"/>
      <c r="J15" s="29"/>
      <c r="K15" s="61"/>
      <c r="L15" s="11"/>
      <c r="M15" s="121"/>
      <c r="N15" s="1"/>
      <c r="O15" s="91">
        <v>0</v>
      </c>
      <c r="P15" s="1">
        <f t="shared" si="0"/>
        <v>0</v>
      </c>
      <c r="Q15" s="1"/>
      <c r="R15" s="159"/>
      <c r="S15" s="29"/>
      <c r="T15" s="29"/>
      <c r="U15" s="29"/>
      <c r="V15" s="2"/>
      <c r="W15"/>
      <c r="X15"/>
      <c r="Y15"/>
      <c r="Z15"/>
    </row>
    <row r="16" spans="2:27" x14ac:dyDescent="0.3">
      <c r="B16" s="11">
        <v>8</v>
      </c>
      <c r="C16" s="16"/>
      <c r="D16" s="35"/>
      <c r="E16" s="2"/>
      <c r="F16" s="2"/>
      <c r="G16" s="29"/>
      <c r="H16" s="347"/>
      <c r="I16" s="302"/>
      <c r="J16" s="29"/>
      <c r="K16" s="61"/>
      <c r="L16" s="11"/>
      <c r="M16" s="121"/>
      <c r="N16" s="1"/>
      <c r="O16" s="91">
        <v>0</v>
      </c>
      <c r="P16" s="1">
        <f t="shared" si="0"/>
        <v>0</v>
      </c>
      <c r="Q16" s="1"/>
      <c r="R16" s="159"/>
      <c r="S16" s="29"/>
      <c r="T16" s="29"/>
      <c r="U16" s="29"/>
      <c r="V16" s="2"/>
      <c r="W16"/>
      <c r="X16"/>
      <c r="Y16"/>
      <c r="Z16"/>
    </row>
    <row r="17" spans="2:26" x14ac:dyDescent="0.3">
      <c r="B17" s="11">
        <v>9</v>
      </c>
      <c r="C17" s="16"/>
      <c r="D17" s="35"/>
      <c r="E17" s="2"/>
      <c r="F17" s="2"/>
      <c r="G17" s="29"/>
      <c r="H17" s="347"/>
      <c r="I17" s="302"/>
      <c r="J17" s="29"/>
      <c r="K17" s="61"/>
      <c r="L17" s="11"/>
      <c r="M17" s="121"/>
      <c r="N17" s="1"/>
      <c r="O17" s="91">
        <v>0</v>
      </c>
      <c r="P17" s="1">
        <f t="shared" si="0"/>
        <v>0</v>
      </c>
      <c r="Q17" s="1"/>
      <c r="R17" s="159"/>
      <c r="S17" s="29"/>
      <c r="T17" s="29"/>
      <c r="U17" s="29"/>
      <c r="V17" s="2"/>
      <c r="W17"/>
      <c r="X17"/>
      <c r="Y17"/>
      <c r="Z17"/>
    </row>
    <row r="18" spans="2:26" x14ac:dyDescent="0.3">
      <c r="B18" s="11">
        <v>10</v>
      </c>
      <c r="C18" s="16"/>
      <c r="D18" s="35"/>
      <c r="E18" s="2"/>
      <c r="F18" s="2"/>
      <c r="G18" s="29"/>
      <c r="H18" s="347"/>
      <c r="I18" s="302"/>
      <c r="J18" s="29"/>
      <c r="K18" s="61"/>
      <c r="L18" s="11"/>
      <c r="M18" s="121"/>
      <c r="N18" s="1"/>
      <c r="O18" s="91">
        <v>0</v>
      </c>
      <c r="P18" s="1">
        <f t="shared" si="0"/>
        <v>0</v>
      </c>
      <c r="Q18" s="1"/>
      <c r="R18" s="159"/>
      <c r="S18" s="29"/>
      <c r="T18" s="29"/>
      <c r="U18" s="29"/>
      <c r="V18" s="2"/>
      <c r="W18"/>
      <c r="X18"/>
      <c r="Y18"/>
      <c r="Z18"/>
    </row>
    <row r="19" spans="2:26" x14ac:dyDescent="0.3">
      <c r="B19" s="11">
        <v>11</v>
      </c>
      <c r="C19" s="16"/>
      <c r="D19" s="35"/>
      <c r="E19" s="2"/>
      <c r="F19" s="2"/>
      <c r="G19" s="29"/>
      <c r="H19" s="347"/>
      <c r="I19" s="302"/>
      <c r="J19" s="29"/>
      <c r="K19" s="61"/>
      <c r="L19" s="11"/>
      <c r="M19" s="121"/>
      <c r="N19" s="1"/>
      <c r="O19" s="91">
        <v>0</v>
      </c>
      <c r="P19" s="1">
        <f t="shared" si="0"/>
        <v>0</v>
      </c>
      <c r="Q19" s="1"/>
      <c r="R19" s="159"/>
      <c r="S19" s="29"/>
      <c r="T19" s="29"/>
      <c r="U19" s="29"/>
      <c r="V19" s="2"/>
      <c r="W19"/>
      <c r="X19"/>
      <c r="Y19"/>
      <c r="Z19"/>
    </row>
    <row r="20" spans="2:26" x14ac:dyDescent="0.3">
      <c r="B20" s="11">
        <v>12</v>
      </c>
      <c r="C20" s="16"/>
      <c r="D20" s="35"/>
      <c r="E20" s="2"/>
      <c r="F20" s="2"/>
      <c r="G20" s="29"/>
      <c r="H20" s="347"/>
      <c r="I20" s="302"/>
      <c r="J20" s="29"/>
      <c r="K20" s="61"/>
      <c r="L20" s="11"/>
      <c r="M20" s="121"/>
      <c r="N20" s="1"/>
      <c r="O20" s="91">
        <v>0</v>
      </c>
      <c r="P20" s="1">
        <f t="shared" si="0"/>
        <v>0</v>
      </c>
      <c r="Q20" s="1"/>
      <c r="R20" s="159"/>
      <c r="S20" s="29"/>
      <c r="T20" s="29"/>
      <c r="U20" s="29"/>
      <c r="V20" s="2"/>
      <c r="W20"/>
      <c r="X20"/>
      <c r="Y20"/>
      <c r="Z20"/>
    </row>
    <row r="21" spans="2:26" x14ac:dyDescent="0.3">
      <c r="B21" s="11">
        <v>13</v>
      </c>
      <c r="C21" s="16"/>
      <c r="D21" s="35"/>
      <c r="E21" s="2"/>
      <c r="F21" s="2"/>
      <c r="G21" s="29"/>
      <c r="H21" s="347"/>
      <c r="I21" s="302"/>
      <c r="J21" s="29"/>
      <c r="K21" s="61"/>
      <c r="L21" s="11"/>
      <c r="M21" s="121"/>
      <c r="N21" s="1"/>
      <c r="O21" s="91">
        <v>0</v>
      </c>
      <c r="P21" s="1">
        <f t="shared" si="0"/>
        <v>0</v>
      </c>
      <c r="Q21" s="1"/>
      <c r="R21" s="159"/>
      <c r="S21" s="29"/>
      <c r="T21" s="29"/>
      <c r="U21" s="29"/>
      <c r="V21" s="2"/>
      <c r="W21"/>
      <c r="X21"/>
      <c r="Y21"/>
      <c r="Z21"/>
    </row>
    <row r="22" spans="2:26" x14ac:dyDescent="0.3">
      <c r="B22" s="11">
        <v>14</v>
      </c>
      <c r="C22" s="16"/>
      <c r="D22" s="35"/>
      <c r="E22" s="2"/>
      <c r="F22" s="2"/>
      <c r="G22" s="29"/>
      <c r="H22" s="347"/>
      <c r="I22" s="302"/>
      <c r="J22" s="29"/>
      <c r="K22" s="61"/>
      <c r="L22" s="11"/>
      <c r="M22" s="121"/>
      <c r="N22" s="1"/>
      <c r="O22" s="91">
        <v>0</v>
      </c>
      <c r="P22" s="1">
        <f t="shared" si="0"/>
        <v>0</v>
      </c>
      <c r="Q22" s="1"/>
      <c r="R22" s="159"/>
      <c r="S22" s="29"/>
      <c r="T22" s="29"/>
      <c r="U22" s="29"/>
      <c r="V22" s="2"/>
      <c r="W22"/>
      <c r="X22"/>
      <c r="Y22"/>
      <c r="Z22"/>
    </row>
    <row r="23" spans="2:26" x14ac:dyDescent="0.3">
      <c r="B23" s="11">
        <v>15</v>
      </c>
      <c r="C23" s="16"/>
      <c r="D23" s="35"/>
      <c r="E23" s="2"/>
      <c r="F23" s="2"/>
      <c r="G23" s="29"/>
      <c r="H23" s="347"/>
      <c r="I23" s="302"/>
      <c r="J23" s="29"/>
      <c r="K23" s="61"/>
      <c r="L23" s="11"/>
      <c r="M23" s="121"/>
      <c r="N23" s="1"/>
      <c r="O23" s="91">
        <v>0</v>
      </c>
      <c r="P23" s="1">
        <f t="shared" si="0"/>
        <v>0</v>
      </c>
      <c r="Q23" s="1"/>
      <c r="R23" s="159"/>
      <c r="S23" s="29"/>
      <c r="T23" s="29"/>
      <c r="U23" s="29"/>
      <c r="V23" s="2"/>
      <c r="W23"/>
      <c r="X23"/>
      <c r="Y23"/>
      <c r="Z23"/>
    </row>
    <row r="24" spans="2:26" x14ac:dyDescent="0.3">
      <c r="B24" s="11">
        <v>16</v>
      </c>
      <c r="C24" s="16"/>
      <c r="D24" s="35"/>
      <c r="E24" s="2"/>
      <c r="F24" s="2"/>
      <c r="G24" s="29"/>
      <c r="H24" s="347"/>
      <c r="I24" s="302"/>
      <c r="J24" s="29"/>
      <c r="K24" s="61"/>
      <c r="L24" s="11"/>
      <c r="M24" s="121"/>
      <c r="N24" s="1"/>
      <c r="O24" s="91">
        <v>0</v>
      </c>
      <c r="P24" s="1">
        <f t="shared" si="0"/>
        <v>0</v>
      </c>
      <c r="Q24" s="1"/>
      <c r="R24" s="159"/>
      <c r="S24" s="29"/>
      <c r="T24" s="29"/>
      <c r="U24" s="29"/>
      <c r="V24" s="2"/>
      <c r="W24"/>
      <c r="X24"/>
      <c r="Y24"/>
      <c r="Z24"/>
    </row>
    <row r="25" spans="2:26" x14ac:dyDescent="0.3">
      <c r="B25" s="11">
        <v>17</v>
      </c>
      <c r="C25" s="16"/>
      <c r="D25" s="35"/>
      <c r="E25" s="2"/>
      <c r="F25" s="2"/>
      <c r="G25" s="29"/>
      <c r="H25" s="347"/>
      <c r="I25" s="302"/>
      <c r="J25" s="29"/>
      <c r="K25" s="61"/>
      <c r="L25" s="11"/>
      <c r="M25" s="121"/>
      <c r="N25" s="1"/>
      <c r="O25" s="91">
        <v>0</v>
      </c>
      <c r="P25" s="1">
        <f t="shared" si="0"/>
        <v>0</v>
      </c>
      <c r="Q25" s="1"/>
      <c r="R25" s="159"/>
      <c r="S25" s="29"/>
      <c r="T25" s="29"/>
      <c r="U25" s="29"/>
      <c r="V25" s="2"/>
      <c r="W25"/>
      <c r="X25"/>
      <c r="Y25"/>
      <c r="Z25"/>
    </row>
    <row r="26" spans="2:26" x14ac:dyDescent="0.3">
      <c r="B26" s="11">
        <v>18</v>
      </c>
      <c r="C26" s="16"/>
      <c r="D26" s="35"/>
      <c r="E26" s="2"/>
      <c r="F26" s="2"/>
      <c r="G26" s="29"/>
      <c r="H26" s="347"/>
      <c r="I26" s="302"/>
      <c r="J26" s="29"/>
      <c r="K26" s="61"/>
      <c r="L26" s="11"/>
      <c r="M26" s="121"/>
      <c r="N26" s="1"/>
      <c r="O26" s="91">
        <v>0</v>
      </c>
      <c r="P26" s="1">
        <f t="shared" si="0"/>
        <v>0</v>
      </c>
      <c r="Q26" s="1"/>
      <c r="R26" s="159"/>
      <c r="S26" s="29"/>
      <c r="T26" s="29"/>
      <c r="U26" s="29"/>
      <c r="V26" s="2"/>
      <c r="W26"/>
      <c r="X26"/>
      <c r="Y26"/>
      <c r="Z26"/>
    </row>
    <row r="27" spans="2:26" x14ac:dyDescent="0.3">
      <c r="B27" s="11">
        <v>19</v>
      </c>
      <c r="C27" s="16"/>
      <c r="D27" s="35"/>
      <c r="E27" s="2"/>
      <c r="F27" s="2"/>
      <c r="G27" s="29"/>
      <c r="H27" s="347"/>
      <c r="I27" s="302"/>
      <c r="J27" s="29"/>
      <c r="K27" s="61"/>
      <c r="L27" s="11"/>
      <c r="M27" s="121"/>
      <c r="N27" s="1"/>
      <c r="O27" s="91">
        <v>0</v>
      </c>
      <c r="P27" s="1">
        <f t="shared" si="0"/>
        <v>0</v>
      </c>
      <c r="Q27" s="1"/>
      <c r="R27" s="159"/>
      <c r="S27" s="29"/>
      <c r="T27" s="29"/>
      <c r="U27" s="29"/>
      <c r="V27" s="2"/>
      <c r="W27"/>
      <c r="X27"/>
      <c r="Y27"/>
      <c r="Z27"/>
    </row>
    <row r="28" spans="2:26" x14ac:dyDescent="0.3">
      <c r="B28" s="11">
        <v>20</v>
      </c>
      <c r="C28" s="16"/>
      <c r="D28" s="35"/>
      <c r="E28" s="2"/>
      <c r="F28" s="2"/>
      <c r="G28" s="29"/>
      <c r="H28" s="347"/>
      <c r="I28" s="302"/>
      <c r="J28" s="29"/>
      <c r="K28" s="61"/>
      <c r="L28" s="11"/>
      <c r="M28" s="121"/>
      <c r="N28" s="1"/>
      <c r="O28" s="91">
        <v>0</v>
      </c>
      <c r="P28" s="1">
        <f t="shared" si="0"/>
        <v>0</v>
      </c>
      <c r="Q28" s="1"/>
      <c r="R28" s="159"/>
      <c r="S28" s="29"/>
      <c r="T28" s="29"/>
      <c r="U28" s="29"/>
      <c r="V28" s="2"/>
      <c r="W28"/>
      <c r="X28"/>
      <c r="Y28"/>
      <c r="Z28"/>
    </row>
    <row r="29" spans="2:26" x14ac:dyDescent="0.3">
      <c r="B29" s="11"/>
      <c r="C29" s="16"/>
      <c r="D29" s="35"/>
      <c r="E29" s="2"/>
      <c r="F29" s="2"/>
      <c r="G29" s="29"/>
      <c r="H29" s="347"/>
      <c r="I29" s="302"/>
      <c r="J29" s="29"/>
      <c r="K29" s="61"/>
      <c r="L29" s="11"/>
      <c r="M29" s="121"/>
      <c r="N29" s="1"/>
      <c r="O29" s="91">
        <v>0</v>
      </c>
      <c r="P29" s="1">
        <f t="shared" si="0"/>
        <v>0</v>
      </c>
      <c r="Q29" s="1"/>
      <c r="R29" s="159"/>
      <c r="S29" s="29"/>
      <c r="T29" s="29"/>
      <c r="U29" s="29"/>
      <c r="V29" s="2"/>
      <c r="W29"/>
      <c r="X29"/>
      <c r="Y29"/>
      <c r="Z29"/>
    </row>
    <row r="30" spans="2:26" x14ac:dyDescent="0.3">
      <c r="B30" s="12"/>
      <c r="C30" s="73"/>
      <c r="D30" s="137"/>
      <c r="E30" s="138"/>
      <c r="F30" s="138"/>
      <c r="G30" s="139"/>
      <c r="H30" s="348"/>
      <c r="I30" s="303"/>
      <c r="J30" s="60"/>
      <c r="K30" s="65"/>
      <c r="L30" s="12"/>
      <c r="M30" s="120"/>
      <c r="N30" s="1"/>
      <c r="O30" s="91">
        <v>0</v>
      </c>
      <c r="P30" s="1">
        <f t="shared" si="0"/>
        <v>0</v>
      </c>
      <c r="Q30" s="301"/>
      <c r="R30" s="159"/>
      <c r="S30" s="139"/>
      <c r="T30" s="214"/>
      <c r="U30" s="214"/>
      <c r="V30" s="2"/>
      <c r="W30"/>
      <c r="X30"/>
      <c r="Y30"/>
      <c r="Z30"/>
    </row>
    <row r="31" spans="2:26" x14ac:dyDescent="0.3">
      <c r="C31" s="56"/>
      <c r="D31" s="19"/>
      <c r="E31" s="19"/>
      <c r="F31" s="74"/>
      <c r="G31" s="63"/>
      <c r="H31" s="63"/>
      <c r="I31" s="75"/>
      <c r="J31" s="63"/>
      <c r="K31" s="114" t="s">
        <v>398</v>
      </c>
      <c r="L31" s="9"/>
      <c r="M31" s="44"/>
      <c r="N31" s="3">
        <f>SUBTOTAL(9,N8:N30)</f>
        <v>0</v>
      </c>
      <c r="O31" s="3">
        <f>SUBTOTAL(9,O8:O30)</f>
        <v>0</v>
      </c>
      <c r="P31" s="3">
        <f>SUBTOTAL(9,P8:P30)</f>
        <v>0</v>
      </c>
      <c r="U31" s="22"/>
      <c r="V31" s="63"/>
      <c r="W31" s="123"/>
      <c r="X31" s="123"/>
      <c r="Y31" s="123"/>
    </row>
    <row r="32" spans="2:26" x14ac:dyDescent="0.3">
      <c r="C32" s="37"/>
      <c r="F32" s="64"/>
      <c r="K32" s="107"/>
      <c r="L32" s="9"/>
      <c r="M32" s="45"/>
      <c r="N32" s="57"/>
      <c r="O32"/>
      <c r="P32"/>
    </row>
    <row r="33" spans="3:23" x14ac:dyDescent="0.3">
      <c r="C33" s="37"/>
      <c r="F33" s="64"/>
      <c r="K33" s="107"/>
      <c r="L33" s="9"/>
      <c r="M33" s="27"/>
      <c r="N33"/>
      <c r="O33"/>
      <c r="P33"/>
    </row>
    <row r="34" spans="3:23" ht="15" thickBot="1" x14ac:dyDescent="0.35">
      <c r="C34" s="37"/>
      <c r="D34" s="754" t="s">
        <v>399</v>
      </c>
      <c r="E34" s="754"/>
      <c r="F34" s="754"/>
      <c r="G34" s="754"/>
      <c r="K34" s="107"/>
      <c r="L34" s="9"/>
      <c r="M34" s="115" t="s">
        <v>400</v>
      </c>
      <c r="N34" s="103">
        <f>SUM(N8:N30)</f>
        <v>0</v>
      </c>
      <c r="O34" s="103">
        <f>SUM(O8:O30)</f>
        <v>0</v>
      </c>
      <c r="P34" s="103">
        <f>SUM(P8:P30)</f>
        <v>0</v>
      </c>
      <c r="U34" s="342"/>
    </row>
    <row r="35" spans="3:23" ht="15" thickTop="1" x14ac:dyDescent="0.3">
      <c r="C35" s="37"/>
      <c r="D35" s="483" t="s">
        <v>401</v>
      </c>
      <c r="E35" s="482"/>
      <c r="F35" s="484"/>
      <c r="G35" s="484"/>
      <c r="Q35" s="45"/>
    </row>
    <row r="36" spans="3:23" x14ac:dyDescent="0.3">
      <c r="C36" s="9"/>
      <c r="D36" s="753"/>
      <c r="E36" s="753"/>
      <c r="F36" s="753"/>
      <c r="G36" s="753"/>
      <c r="V36" s="107"/>
    </row>
    <row r="37" spans="3:23" ht="28.8" x14ac:dyDescent="0.3">
      <c r="C37" s="9"/>
      <c r="D37" s="320" t="s">
        <v>391</v>
      </c>
      <c r="E37" s="320" t="s">
        <v>389</v>
      </c>
      <c r="F37" s="320" t="s">
        <v>266</v>
      </c>
      <c r="G37" s="320" t="s">
        <v>361</v>
      </c>
      <c r="H37" s="320" t="s">
        <v>77</v>
      </c>
      <c r="I37" s="320" t="s">
        <v>402</v>
      </c>
      <c r="J37" s="8"/>
      <c r="V37" s="107"/>
    </row>
    <row r="38" spans="3:23" x14ac:dyDescent="0.3">
      <c r="C38" s="9"/>
      <c r="D38" s="182"/>
      <c r="F38" s="328">
        <f t="shared" ref="F38:F55" si="1">SUMIFS($N$8:$N$30,$D$8:$D$30,$E38,$J$8:$J$30,$D38)</f>
        <v>0</v>
      </c>
      <c r="G38" s="328">
        <f t="shared" ref="G38:G55" si="2">SUMIFS($P$8:$P$30,$D$8:$D$30,$E38,$C$8:$C$30,"YES",$J$8:$J$30,$D38)</f>
        <v>0</v>
      </c>
      <c r="H38" s="125">
        <f>SUMIFS($P$8:$P$30,$D$8:$D$30,$E38,$C$8:$C$30,"PENDING",$J$8:$J$30,$D38)</f>
        <v>0</v>
      </c>
      <c r="I38" s="125">
        <f>F38-(G38+H38)</f>
        <v>0</v>
      </c>
      <c r="J38" s="8"/>
      <c r="N38" s="512"/>
      <c r="O38" s="75" t="s">
        <v>347</v>
      </c>
      <c r="P38" s="75"/>
      <c r="Q38" s="511"/>
      <c r="R38" s="43"/>
    </row>
    <row r="39" spans="3:23" x14ac:dyDescent="0.3">
      <c r="C39" s="9"/>
      <c r="D39" s="182"/>
      <c r="F39" s="328">
        <f t="shared" si="1"/>
        <v>0</v>
      </c>
      <c r="G39" s="328">
        <f t="shared" si="2"/>
        <v>0</v>
      </c>
      <c r="H39" s="125">
        <f t="shared" ref="H39:H55" si="3">SUMIFS($P$8:$P$30,$D$8:$D$30,$E39,$C$8:$C$30,"PENDING",$J$8:$J$30,$D39)</f>
        <v>0</v>
      </c>
      <c r="I39" s="125">
        <f t="shared" ref="I39:I55" si="4">F39-(G39+H39)</f>
        <v>0</v>
      </c>
      <c r="J39" s="8"/>
      <c r="N39" s="16" t="s">
        <v>348</v>
      </c>
      <c r="O39" s="65" t="s">
        <v>349</v>
      </c>
      <c r="P39" s="93" t="s">
        <v>350</v>
      </c>
      <c r="Q39" s="102" t="s">
        <v>352</v>
      </c>
      <c r="R39" s="43"/>
    </row>
    <row r="40" spans="3:23" x14ac:dyDescent="0.3">
      <c r="C40" s="9"/>
      <c r="D40" s="182"/>
      <c r="F40" s="328">
        <f t="shared" si="1"/>
        <v>0</v>
      </c>
      <c r="G40" s="328">
        <f t="shared" si="2"/>
        <v>0</v>
      </c>
      <c r="H40" s="125">
        <f t="shared" si="3"/>
        <v>0</v>
      </c>
      <c r="I40" s="125">
        <f t="shared" si="4"/>
        <v>0</v>
      </c>
      <c r="J40" s="8"/>
      <c r="N40" s="143">
        <f>SUMIF($C$8:$C$30,N39,$P$8:$P$30)</f>
        <v>0</v>
      </c>
      <c r="O40" s="240">
        <f>SUMIF($C$8:$C$30,O39,$P$8:$P$30)</f>
        <v>0</v>
      </c>
      <c r="P40" s="143">
        <f>SUMIF($C$8:$C$30,P39,$P$8:$P$30)</f>
        <v>0</v>
      </c>
      <c r="Q40" s="143">
        <f>SUMIF($C$8:$C$30,Q39,$P$8:$P$30)</f>
        <v>0</v>
      </c>
      <c r="R40" s="96">
        <f>SUM(N40:Q40)</f>
        <v>0</v>
      </c>
    </row>
    <row r="41" spans="3:23" x14ac:dyDescent="0.3">
      <c r="C41" s="9"/>
      <c r="D41" s="182"/>
      <c r="F41" s="328">
        <f t="shared" si="1"/>
        <v>0</v>
      </c>
      <c r="G41" s="328">
        <f t="shared" si="2"/>
        <v>0</v>
      </c>
      <c r="H41" s="125">
        <f t="shared" si="3"/>
        <v>0</v>
      </c>
      <c r="I41" s="125">
        <f t="shared" si="4"/>
        <v>0</v>
      </c>
      <c r="J41" s="8"/>
      <c r="O41" s="9"/>
      <c r="P41"/>
      <c r="Q41"/>
      <c r="R41" s="98">
        <f>P34-R40</f>
        <v>0</v>
      </c>
      <c r="S41" s="92"/>
      <c r="T41" s="32"/>
      <c r="U41" s="32"/>
      <c r="V41" s="99"/>
    </row>
    <row r="42" spans="3:23" x14ac:dyDescent="0.3">
      <c r="C42" s="9"/>
      <c r="D42" s="182"/>
      <c r="F42" s="328">
        <f t="shared" si="1"/>
        <v>0</v>
      </c>
      <c r="G42" s="328">
        <f t="shared" si="2"/>
        <v>0</v>
      </c>
      <c r="H42" s="125">
        <f t="shared" si="3"/>
        <v>0</v>
      </c>
      <c r="I42" s="125">
        <f t="shared" si="4"/>
        <v>0</v>
      </c>
      <c r="J42" s="8"/>
      <c r="O42" s="9"/>
      <c r="P42" s="43"/>
      <c r="Q42" s="43"/>
      <c r="R42" s="43"/>
      <c r="S42" s="66"/>
      <c r="U42" s="32"/>
      <c r="V42"/>
    </row>
    <row r="43" spans="3:23" x14ac:dyDescent="0.3">
      <c r="C43" s="9"/>
      <c r="D43" s="182"/>
      <c r="F43" s="328">
        <f t="shared" si="1"/>
        <v>0</v>
      </c>
      <c r="G43" s="328">
        <f t="shared" si="2"/>
        <v>0</v>
      </c>
      <c r="H43" s="125">
        <f t="shared" si="3"/>
        <v>0</v>
      </c>
      <c r="I43" s="125">
        <f t="shared" si="4"/>
        <v>0</v>
      </c>
      <c r="J43" s="8"/>
      <c r="N43" s="171"/>
      <c r="O43" s="57" t="s">
        <v>356</v>
      </c>
      <c r="P43" s="57"/>
      <c r="Q43" s="510"/>
      <c r="T43" s="43"/>
      <c r="U43" s="32"/>
      <c r="V43" s="66"/>
    </row>
    <row r="44" spans="3:23" x14ac:dyDescent="0.3">
      <c r="C44" s="9"/>
      <c r="D44" s="182"/>
      <c r="F44" s="328">
        <f t="shared" si="1"/>
        <v>0</v>
      </c>
      <c r="G44" s="328">
        <f t="shared" si="2"/>
        <v>0</v>
      </c>
      <c r="H44" s="125">
        <f t="shared" si="3"/>
        <v>0</v>
      </c>
      <c r="I44" s="125">
        <f t="shared" si="4"/>
        <v>0</v>
      </c>
      <c r="J44" s="8"/>
      <c r="N44" s="16" t="s">
        <v>348</v>
      </c>
      <c r="O44" s="16" t="s">
        <v>349</v>
      </c>
      <c r="P44" s="93" t="s">
        <v>350</v>
      </c>
      <c r="Q44" s="102" t="s">
        <v>352</v>
      </c>
      <c r="R44" s="96">
        <f>SUM(N45:Q45)</f>
        <v>0</v>
      </c>
      <c r="T44" s="207"/>
      <c r="U44" s="32"/>
      <c r="V44" s="8"/>
      <c r="W44" s="43"/>
    </row>
    <row r="45" spans="3:23" x14ac:dyDescent="0.3">
      <c r="C45" s="9"/>
      <c r="D45" s="182"/>
      <c r="F45" s="328">
        <f t="shared" si="1"/>
        <v>0</v>
      </c>
      <c r="G45" s="328">
        <f t="shared" si="2"/>
        <v>0</v>
      </c>
      <c r="H45" s="125">
        <f t="shared" si="3"/>
        <v>0</v>
      </c>
      <c r="I45" s="125">
        <f t="shared" si="4"/>
        <v>0</v>
      </c>
      <c r="J45" s="8"/>
      <c r="N45" s="143">
        <f>SUMIF($C$8:$C$30,N44,$O$8:$O$30)</f>
        <v>0</v>
      </c>
      <c r="O45" s="143">
        <f>SUMIF($C$8:$C$30,O44,$O$8:$O$30)</f>
        <v>0</v>
      </c>
      <c r="P45" s="143">
        <f>SUMIF($C$8:$C$30,P44,$O$8:$O$30)</f>
        <v>0</v>
      </c>
      <c r="Q45" s="143">
        <f>SUMIF($C$8:$C$30,Q44,$O$8:$O$30)</f>
        <v>0</v>
      </c>
      <c r="R45" s="98">
        <f>O34-R44</f>
        <v>0</v>
      </c>
      <c r="T45" s="43"/>
      <c r="U45" s="32"/>
      <c r="V45" s="8"/>
      <c r="W45" s="43"/>
    </row>
    <row r="46" spans="3:23" x14ac:dyDescent="0.3">
      <c r="C46" s="9"/>
      <c r="D46" s="182"/>
      <c r="F46" s="328">
        <f t="shared" si="1"/>
        <v>0</v>
      </c>
      <c r="G46" s="328">
        <f t="shared" si="2"/>
        <v>0</v>
      </c>
      <c r="H46" s="125">
        <f t="shared" si="3"/>
        <v>0</v>
      </c>
      <c r="I46" s="125">
        <f t="shared" si="4"/>
        <v>0</v>
      </c>
      <c r="J46" s="8"/>
      <c r="O46" s="9"/>
      <c r="P46" s="27"/>
      <c r="Q46" s="43"/>
      <c r="T46" s="98"/>
      <c r="U46" s="32"/>
      <c r="V46" s="8"/>
      <c r="W46" s="43"/>
    </row>
    <row r="47" spans="3:23" x14ac:dyDescent="0.3">
      <c r="C47" s="9"/>
      <c r="D47" s="182"/>
      <c r="F47" s="328">
        <f t="shared" si="1"/>
        <v>0</v>
      </c>
      <c r="G47" s="328">
        <f t="shared" si="2"/>
        <v>0</v>
      </c>
      <c r="H47" s="125">
        <f t="shared" si="3"/>
        <v>0</v>
      </c>
      <c r="I47" s="125">
        <f t="shared" si="4"/>
        <v>0</v>
      </c>
      <c r="J47" s="8"/>
      <c r="V47"/>
    </row>
    <row r="48" spans="3:23" x14ac:dyDescent="0.3">
      <c r="C48" s="9"/>
      <c r="D48" s="182"/>
      <c r="F48" s="328">
        <f t="shared" si="1"/>
        <v>0</v>
      </c>
      <c r="G48" s="328">
        <f t="shared" si="2"/>
        <v>0</v>
      </c>
      <c r="H48" s="125">
        <f t="shared" si="3"/>
        <v>0</v>
      </c>
      <c r="I48" s="125">
        <f t="shared" si="4"/>
        <v>0</v>
      </c>
      <c r="J48" s="8"/>
      <c r="V48"/>
    </row>
    <row r="49" spans="3:22" x14ac:dyDescent="0.3">
      <c r="C49" s="9"/>
      <c r="D49" s="182"/>
      <c r="F49" s="328">
        <f t="shared" si="1"/>
        <v>0</v>
      </c>
      <c r="G49" s="328">
        <f t="shared" si="2"/>
        <v>0</v>
      </c>
      <c r="H49" s="125">
        <f t="shared" si="3"/>
        <v>0</v>
      </c>
      <c r="I49" s="125">
        <f t="shared" si="4"/>
        <v>0</v>
      </c>
      <c r="J49" s="8"/>
      <c r="N49" s="43" t="s">
        <v>353</v>
      </c>
      <c r="O49" s="43">
        <f>Q40</f>
        <v>0</v>
      </c>
      <c r="V49"/>
    </row>
    <row r="50" spans="3:22" x14ac:dyDescent="0.3">
      <c r="C50" s="9"/>
      <c r="D50" s="182"/>
      <c r="F50" s="328">
        <f t="shared" si="1"/>
        <v>0</v>
      </c>
      <c r="G50" s="328">
        <f t="shared" si="2"/>
        <v>0</v>
      </c>
      <c r="H50" s="125">
        <f t="shared" si="3"/>
        <v>0</v>
      </c>
      <c r="I50" s="125">
        <f t="shared" si="4"/>
        <v>0</v>
      </c>
      <c r="N50" s="9" t="s">
        <v>387</v>
      </c>
      <c r="O50" s="205">
        <f>N40</f>
        <v>0</v>
      </c>
      <c r="V50"/>
    </row>
    <row r="51" spans="3:22" ht="15" thickBot="1" x14ac:dyDescent="0.35">
      <c r="C51" s="9"/>
      <c r="D51" s="182"/>
      <c r="F51" s="328">
        <f t="shared" si="1"/>
        <v>0</v>
      </c>
      <c r="G51" s="328">
        <f t="shared" si="2"/>
        <v>0</v>
      </c>
      <c r="H51" s="125">
        <f t="shared" si="3"/>
        <v>0</v>
      </c>
      <c r="I51" s="125">
        <f t="shared" si="4"/>
        <v>0</v>
      </c>
      <c r="N51" s="100" t="s">
        <v>355</v>
      </c>
      <c r="O51" s="100">
        <f>O40+P40+O45+P45+Q45+N45</f>
        <v>0</v>
      </c>
      <c r="V51"/>
    </row>
    <row r="52" spans="3:22" ht="15" thickTop="1" x14ac:dyDescent="0.3">
      <c r="C52" s="9"/>
      <c r="D52" s="182"/>
      <c r="F52" s="328">
        <f t="shared" si="1"/>
        <v>0</v>
      </c>
      <c r="G52" s="328">
        <f t="shared" si="2"/>
        <v>0</v>
      </c>
      <c r="H52" s="125">
        <f t="shared" si="3"/>
        <v>0</v>
      </c>
      <c r="I52" s="125">
        <f t="shared" si="4"/>
        <v>0</v>
      </c>
      <c r="N52" s="43" t="s">
        <v>358</v>
      </c>
      <c r="O52" s="43">
        <f>SUM(O49:O51)</f>
        <v>0</v>
      </c>
      <c r="V52"/>
    </row>
    <row r="53" spans="3:22" x14ac:dyDescent="0.3">
      <c r="C53" s="9"/>
      <c r="D53" s="182"/>
      <c r="F53" s="328">
        <f t="shared" si="1"/>
        <v>0</v>
      </c>
      <c r="G53" s="328">
        <f t="shared" si="2"/>
        <v>0</v>
      </c>
      <c r="H53" s="125">
        <f t="shared" si="3"/>
        <v>0</v>
      </c>
      <c r="I53" s="125">
        <f t="shared" si="4"/>
        <v>0</v>
      </c>
      <c r="N53" s="43"/>
      <c r="O53" s="98">
        <f>N34-O52</f>
        <v>0</v>
      </c>
      <c r="V53"/>
    </row>
    <row r="54" spans="3:22" x14ac:dyDescent="0.3">
      <c r="C54" s="9"/>
      <c r="D54" s="182"/>
      <c r="F54" s="328">
        <f t="shared" si="1"/>
        <v>0</v>
      </c>
      <c r="G54" s="328">
        <f t="shared" si="2"/>
        <v>0</v>
      </c>
      <c r="H54" s="125">
        <f t="shared" si="3"/>
        <v>0</v>
      </c>
      <c r="I54" s="125">
        <f t="shared" si="4"/>
        <v>0</v>
      </c>
      <c r="V54"/>
    </row>
    <row r="55" spans="3:22" ht="15" thickBot="1" x14ac:dyDescent="0.35">
      <c r="C55" s="9"/>
      <c r="D55" s="212"/>
      <c r="E55" s="211"/>
      <c r="F55" s="126">
        <f t="shared" si="1"/>
        <v>0</v>
      </c>
      <c r="G55" s="126">
        <f t="shared" si="2"/>
        <v>0</v>
      </c>
      <c r="H55" s="127">
        <f t="shared" si="3"/>
        <v>0</v>
      </c>
      <c r="I55" s="127">
        <f t="shared" si="4"/>
        <v>0</v>
      </c>
      <c r="V55"/>
    </row>
    <row r="56" spans="3:22" ht="15" thickTop="1" x14ac:dyDescent="0.3">
      <c r="C56" s="9"/>
      <c r="D56" s="213"/>
      <c r="E56" s="146" t="s">
        <v>403</v>
      </c>
      <c r="F56" s="128">
        <f>SUM(F38:F55)</f>
        <v>0</v>
      </c>
      <c r="G56" s="128">
        <f>SUM(G38:G55)</f>
        <v>0</v>
      </c>
      <c r="H56" s="128">
        <f>SUM(H38:H55)</f>
        <v>0</v>
      </c>
      <c r="I56" s="129">
        <f>SUM(I38:I55)</f>
        <v>0</v>
      </c>
      <c r="V56"/>
    </row>
    <row r="57" spans="3:22" x14ac:dyDescent="0.3">
      <c r="C57" s="9"/>
      <c r="D57" s="186"/>
      <c r="E57" s="146"/>
      <c r="F57" s="349">
        <f>F56-N34</f>
        <v>0</v>
      </c>
      <c r="G57" s="349">
        <f>G56-Q40</f>
        <v>0</v>
      </c>
      <c r="H57" s="350">
        <f>H56-N40</f>
        <v>0</v>
      </c>
      <c r="I57" s="350">
        <f>I56-(O40+P40+O45+P45+Q45+N45)</f>
        <v>0</v>
      </c>
      <c r="V57"/>
    </row>
    <row r="58" spans="3:22" x14ac:dyDescent="0.3">
      <c r="C58" s="9"/>
      <c r="E58"/>
      <c r="F58" s="8"/>
      <c r="I58" s="333"/>
      <c r="V58"/>
    </row>
    <row r="59" spans="3:22" x14ac:dyDescent="0.3">
      <c r="C59" s="9"/>
      <c r="V59"/>
    </row>
    <row r="60" spans="3:22" x14ac:dyDescent="0.3">
      <c r="C60" s="9"/>
      <c r="J60" s="8"/>
      <c r="V60"/>
    </row>
    <row r="61" spans="3:22" x14ac:dyDescent="0.3">
      <c r="C61" s="9"/>
      <c r="J61" s="8"/>
      <c r="K61"/>
      <c r="V61"/>
    </row>
    <row r="62" spans="3:22" x14ac:dyDescent="0.3">
      <c r="C62" s="9"/>
      <c r="D62" s="485" t="s">
        <v>399</v>
      </c>
      <c r="J62" s="8"/>
      <c r="K62"/>
      <c r="V62"/>
    </row>
    <row r="63" spans="3:22" x14ac:dyDescent="0.3">
      <c r="C63" s="9"/>
      <c r="D63" s="483" t="s">
        <v>404</v>
      </c>
      <c r="E63" s="482"/>
      <c r="F63" s="484"/>
      <c r="G63" s="484"/>
      <c r="H63" s="130"/>
      <c r="J63" s="8"/>
      <c r="K63"/>
      <c r="V63"/>
    </row>
    <row r="64" spans="3:22" x14ac:dyDescent="0.3">
      <c r="C64" s="9"/>
      <c r="J64" s="8"/>
      <c r="K64"/>
      <c r="V64"/>
    </row>
    <row r="65" spans="3:25" ht="16.2" thickBot="1" x14ac:dyDescent="0.35">
      <c r="C65" s="9"/>
      <c r="D65" s="389" t="s">
        <v>405</v>
      </c>
      <c r="J65" s="8"/>
      <c r="K65"/>
      <c r="V65"/>
    </row>
    <row r="66" spans="3:25" ht="18.600000000000001" thickBot="1" x14ac:dyDescent="0.4">
      <c r="C66" s="9"/>
      <c r="D66" s="386" t="s">
        <v>406</v>
      </c>
      <c r="E66" s="387"/>
      <c r="F66" s="387"/>
      <c r="G66" s="388"/>
      <c r="H66" s="32" t="s">
        <v>407</v>
      </c>
      <c r="J66" s="8"/>
      <c r="K66"/>
      <c r="V66"/>
    </row>
    <row r="67" spans="3:25" ht="15.6" x14ac:dyDescent="0.3">
      <c r="C67" s="9"/>
      <c r="D67" s="383" t="s">
        <v>408</v>
      </c>
      <c r="E67" s="383" t="s">
        <v>246</v>
      </c>
      <c r="F67" s="384" t="s">
        <v>247</v>
      </c>
      <c r="G67" s="385" t="s">
        <v>253</v>
      </c>
      <c r="J67" s="8"/>
      <c r="K67"/>
      <c r="V67"/>
    </row>
    <row r="68" spans="3:25" ht="15.6" x14ac:dyDescent="0.3">
      <c r="C68" s="9"/>
      <c r="D68" s="379" t="s">
        <v>409</v>
      </c>
      <c r="E68" s="380"/>
      <c r="F68" s="380"/>
      <c r="G68" s="381"/>
      <c r="J68" s="8"/>
      <c r="K68"/>
      <c r="V68"/>
    </row>
    <row r="69" spans="3:25" ht="15" x14ac:dyDescent="0.3">
      <c r="C69" s="9"/>
      <c r="D69" s="382"/>
      <c r="E69" s="380" t="s">
        <v>410</v>
      </c>
      <c r="F69" s="380" t="s">
        <v>411</v>
      </c>
      <c r="G69" s="381">
        <f t="shared" ref="G69:G76" si="5">_xlfn.XLOOKUP(D69,$E$38:$E$55,$G$38:$G$55)</f>
        <v>0</v>
      </c>
      <c r="J69" s="8"/>
      <c r="K69"/>
      <c r="V69"/>
      <c r="Y69"/>
    </row>
    <row r="70" spans="3:25" ht="15" x14ac:dyDescent="0.3">
      <c r="C70" s="9"/>
      <c r="D70" s="382"/>
      <c r="E70" s="380" t="s">
        <v>410</v>
      </c>
      <c r="F70" s="380" t="s">
        <v>411</v>
      </c>
      <c r="G70" s="381">
        <f t="shared" si="5"/>
        <v>0</v>
      </c>
      <c r="J70" s="8"/>
      <c r="K70"/>
      <c r="V70"/>
    </row>
    <row r="71" spans="3:25" ht="15" x14ac:dyDescent="0.3">
      <c r="C71" s="9"/>
      <c r="D71" s="382"/>
      <c r="E71" s="380" t="s">
        <v>410</v>
      </c>
      <c r="F71" s="380" t="s">
        <v>411</v>
      </c>
      <c r="G71" s="381">
        <f t="shared" si="5"/>
        <v>0</v>
      </c>
      <c r="J71" s="8"/>
      <c r="N71" s="27"/>
      <c r="O71"/>
      <c r="P71"/>
      <c r="Q71"/>
      <c r="S71" s="32"/>
      <c r="T71" s="8"/>
      <c r="V71"/>
    </row>
    <row r="72" spans="3:25" ht="15" x14ac:dyDescent="0.3">
      <c r="C72" s="9"/>
      <c r="D72" s="382"/>
      <c r="E72" s="380" t="s">
        <v>410</v>
      </c>
      <c r="F72" s="380" t="s">
        <v>411</v>
      </c>
      <c r="G72" s="381">
        <f t="shared" si="5"/>
        <v>0</v>
      </c>
      <c r="J72" s="8"/>
      <c r="N72" s="27"/>
      <c r="O72"/>
      <c r="P72"/>
      <c r="Q72"/>
      <c r="S72" s="32"/>
      <c r="T72" s="8"/>
      <c r="V72"/>
    </row>
    <row r="73" spans="3:25" ht="15" x14ac:dyDescent="0.3">
      <c r="D73" s="382"/>
      <c r="E73" s="380" t="s">
        <v>410</v>
      </c>
      <c r="F73" s="380" t="s">
        <v>411</v>
      </c>
      <c r="G73" s="381">
        <f t="shared" si="5"/>
        <v>0</v>
      </c>
    </row>
    <row r="74" spans="3:25" ht="15" x14ac:dyDescent="0.3">
      <c r="D74" s="382"/>
      <c r="E74" s="380" t="s">
        <v>410</v>
      </c>
      <c r="F74" s="380" t="s">
        <v>411</v>
      </c>
      <c r="G74" s="381">
        <f t="shared" si="5"/>
        <v>0</v>
      </c>
    </row>
    <row r="75" spans="3:25" ht="15" x14ac:dyDescent="0.3">
      <c r="D75" s="382"/>
      <c r="E75" s="380" t="s">
        <v>410</v>
      </c>
      <c r="F75" s="380" t="s">
        <v>411</v>
      </c>
      <c r="G75" s="381">
        <f t="shared" si="5"/>
        <v>0</v>
      </c>
    </row>
    <row r="76" spans="3:25" ht="15" x14ac:dyDescent="0.3">
      <c r="D76" s="382"/>
      <c r="E76" s="380" t="s">
        <v>410</v>
      </c>
      <c r="F76" s="380" t="s">
        <v>411</v>
      </c>
      <c r="G76" s="381">
        <f t="shared" si="5"/>
        <v>0</v>
      </c>
    </row>
  </sheetData>
  <autoFilter ref="B7:Z29" xr:uid="{00000000-0009-0000-0000-000004000000}"/>
  <dataConsolidate/>
  <customSheetViews>
    <customSheetView guid="{064F1E00-4E44-40D8-9D84-C13C3FC17883}" scale="80" fitToPage="1" filter="1" showAutoFilter="1" hiddenColumns="1">
      <pane xSplit="2" ySplit="6" topLeftCell="C414" activePane="bottomRight" state="frozen"/>
      <selection pane="bottomRight" activeCell="U221" sqref="U221"/>
      <pageMargins left="0" right="0" top="0" bottom="0" header="0" footer="0"/>
      <pageSetup scale="57" orientation="portrait" r:id="rId1"/>
      <autoFilter ref="B6:V439" xr:uid="{6F9C2EBF-337A-42F6-BB9E-85A7D13AFF34}">
        <filterColumn colId="8">
          <filters>
            <filter val="yes"/>
          </filters>
        </filterColumn>
        <filterColumn colId="19">
          <filters>
            <filter val="yes"/>
          </filters>
        </filterColumn>
      </autoFilter>
    </customSheetView>
    <customSheetView guid="{14C8854E-48EC-4FF0-8495-678A66A79974}" scale="80" fitToPage="1" filter="1" showAutoFilter="1" hiddenColumns="1">
      <pane xSplit="2" ySplit="6" topLeftCell="C414" activePane="bottomRight" state="frozen"/>
      <selection pane="bottomRight" activeCell="U221" sqref="U221"/>
      <pageMargins left="0" right="0" top="0" bottom="0" header="0" footer="0"/>
      <pageSetup scale="57" orientation="portrait" r:id="rId2"/>
      <autoFilter ref="B6:V439" xr:uid="{44F88094-6D39-4D19-A1B4-827821A28D41}">
        <filterColumn colId="8">
          <filters>
            <filter val="yes"/>
          </filters>
        </filterColumn>
        <filterColumn colId="19">
          <filters>
            <filter val="yes"/>
          </filters>
        </filterColumn>
      </autoFilter>
    </customSheetView>
  </customSheetViews>
  <mergeCells count="3">
    <mergeCell ref="B1:N1"/>
    <mergeCell ref="D36:G36"/>
    <mergeCell ref="D34:G34"/>
  </mergeCells>
  <conditionalFormatting sqref="C8:C30">
    <cfRule type="cellIs" dxfId="131" priority="1" operator="equal">
      <formula>"PENDING"</formula>
    </cfRule>
    <cfRule type="cellIs" dxfId="130" priority="27" operator="equal">
      <formula>"NO-OOS"</formula>
    </cfRule>
    <cfRule type="cellIs" dxfId="129" priority="28" operator="equal">
      <formula>"NO-IL"</formula>
    </cfRule>
  </conditionalFormatting>
  <conditionalFormatting sqref="C8:C31">
    <cfRule type="cellIs" dxfId="128" priority="29" operator="equal">
      <formula>"YES"</formula>
    </cfRule>
  </conditionalFormatting>
  <conditionalFormatting sqref="C31">
    <cfRule type="cellIs" dxfId="127" priority="548" operator="equal">
      <formula>"NO"</formula>
    </cfRule>
  </conditionalFormatting>
  <conditionalFormatting sqref="N39">
    <cfRule type="cellIs" dxfId="126" priority="6" operator="equal">
      <formula>"PENDING"</formula>
    </cfRule>
    <cfRule type="cellIs" dxfId="125" priority="8" operator="equal">
      <formula>"NO-IL"</formula>
    </cfRule>
  </conditionalFormatting>
  <conditionalFormatting sqref="N44">
    <cfRule type="cellIs" dxfId="124" priority="2" operator="equal">
      <formula>"PENDING"</formula>
    </cfRule>
    <cfRule type="cellIs" dxfId="123" priority="4" operator="equal">
      <formula>"NO-IL"</formula>
    </cfRule>
  </conditionalFormatting>
  <conditionalFormatting sqref="N39:O39">
    <cfRule type="cellIs" dxfId="122" priority="7" operator="equal">
      <formula>"NO-OOS"</formula>
    </cfRule>
    <cfRule type="cellIs" dxfId="121" priority="9" operator="equal">
      <formula>"YES"</formula>
    </cfRule>
  </conditionalFormatting>
  <conditionalFormatting sqref="N44:O44">
    <cfRule type="cellIs" dxfId="120" priority="3" operator="equal">
      <formula>"NO-OOS"</formula>
    </cfRule>
    <cfRule type="cellIs" dxfId="119" priority="5" operator="equal">
      <formula>"YES"</formula>
    </cfRule>
  </conditionalFormatting>
  <conditionalFormatting sqref="O39">
    <cfRule type="cellIs" dxfId="118" priority="23" operator="equal">
      <formula>"NO-CO"</formula>
    </cfRule>
    <cfRule type="cellIs" dxfId="117" priority="25" operator="equal">
      <formula>"NO"</formula>
    </cfRule>
  </conditionalFormatting>
  <conditionalFormatting sqref="O44">
    <cfRule type="cellIs" dxfId="116" priority="18" operator="equal">
      <formula>"NO-CO"</formula>
    </cfRule>
    <cfRule type="cellIs" dxfId="115" priority="20" operator="equal">
      <formula>"NO"</formula>
    </cfRule>
  </conditionalFormatting>
  <conditionalFormatting sqref="R8:S30">
    <cfRule type="containsText" dxfId="114" priority="10" operator="containsText" text="NO">
      <formula>NOT(ISERROR(SEARCH("NO",R8)))</formula>
    </cfRule>
    <cfRule type="containsText" dxfId="113" priority="11" operator="containsText" text="YES">
      <formula>NOT(ISERROR(SEARCH("YES",R8)))</formula>
    </cfRule>
  </conditionalFormatting>
  <conditionalFormatting sqref="S8:S30">
    <cfRule type="containsText" dxfId="112" priority="12" operator="containsText" text="Invalid">
      <formula>NOT(ISERROR(SEARCH("Invalid",S8)))</formula>
    </cfRule>
    <cfRule type="containsText" dxfId="111" priority="14" operator="containsText" text="Valid">
      <formula>NOT(ISERROR(SEARCH("Valid",S8)))</formula>
    </cfRule>
    <cfRule type="containsText" dxfId="110" priority="15" operator="containsText" text="Missing">
      <formula>NOT(ISERROR(SEARCH("Missing",S8)))</formula>
    </cfRule>
    <cfRule type="containsText" dxfId="109" priority="16" operator="containsText" text="N/A">
      <formula>NOT(ISERROR(SEARCH("N/A",S8)))</formula>
    </cfRule>
  </conditionalFormatting>
  <dataValidations xWindow="624" yWindow="305" count="2">
    <dataValidation type="list" allowBlank="1" showInputMessage="1" showErrorMessage="1" sqref="F9:F28 R8:S30 Y69:Y1048576 V41:V43 C8:C31 X70:X1048576 U41 T7:U30 X31:Y33 U71:U72 W44:W46 K61:K70" xr:uid="{00000000-0002-0000-0400-000000000000}">
      <formula1>#REF!</formula1>
    </dataValidation>
    <dataValidation type="list" allowBlank="1" showInputMessage="1" showErrorMessage="1" sqref="O39 V2:V5" xr:uid="{00000000-0002-0000-0400-000001000000}"/>
  </dataValidations>
  <pageMargins left="0.7" right="0.7" top="0.75" bottom="0.75" header="0.3" footer="0.3"/>
  <pageSetup scale="57" orientation="portrait"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09622-906E-4179-987D-6E7EB583E78A}">
  <sheetPr>
    <tabColor rgb="FFFF99FF"/>
    <pageSetUpPr fitToPage="1"/>
  </sheetPr>
  <dimension ref="A1:BM147"/>
  <sheetViews>
    <sheetView zoomScale="85" zoomScaleNormal="85" zoomScaleSheetLayoutView="86" workbookViewId="0">
      <pane xSplit="7" ySplit="8" topLeftCell="R9" activePane="bottomRight" state="frozen"/>
      <selection pane="topRight" activeCell="J29" sqref="J29"/>
      <selection pane="bottomLeft" activeCell="J29" sqref="J29"/>
      <selection pane="bottomRight" activeCell="T1" sqref="T1"/>
    </sheetView>
  </sheetViews>
  <sheetFormatPr defaultColWidth="9.109375" defaultRowHeight="14.4" x14ac:dyDescent="0.3"/>
  <cols>
    <col min="1" max="1" width="3.109375" customWidth="1"/>
    <col min="2" max="2" width="12.44140625" customWidth="1"/>
    <col min="3" max="3" width="15.109375" style="62" customWidth="1"/>
    <col min="4" max="5" width="18.88671875" customWidth="1"/>
    <col min="6" max="6" width="20.109375" style="8" bestFit="1" customWidth="1"/>
    <col min="7" max="7" width="26.109375" style="39" customWidth="1"/>
    <col min="8" max="8" width="17.44140625" bestFit="1" customWidth="1"/>
    <col min="9" max="9" width="12.44140625" customWidth="1"/>
    <col min="10" max="10" width="14.44140625" style="334" customWidth="1"/>
    <col min="11" max="11" width="15.88671875" style="9" bestFit="1" customWidth="1"/>
    <col min="12" max="12" width="18" style="107" customWidth="1"/>
    <col min="13" max="13" width="19.109375" style="27" customWidth="1"/>
    <col min="14" max="14" width="15.44140625" style="39" customWidth="1"/>
    <col min="15" max="16" width="19.109375" style="39" customWidth="1"/>
    <col min="17" max="17" width="21.88671875" style="39" customWidth="1"/>
    <col min="18" max="20" width="19.109375" style="39" customWidth="1"/>
    <col min="21" max="21" width="14.88671875" customWidth="1"/>
    <col min="22" max="22" width="17.109375" style="62" customWidth="1"/>
    <col min="23" max="23" width="16.109375" style="8" customWidth="1"/>
    <col min="24" max="24" width="19.109375" style="8" customWidth="1"/>
    <col min="25" max="25" width="15.109375" style="8" customWidth="1"/>
    <col min="26" max="26" width="17.44140625" style="8" customWidth="1"/>
    <col min="27" max="32" width="15.109375" style="8" customWidth="1"/>
    <col min="33" max="34" width="21.88671875" style="8" customWidth="1"/>
    <col min="35" max="35" width="4.5546875" customWidth="1"/>
    <col min="36" max="36" width="9.109375" customWidth="1"/>
    <col min="37" max="37" width="30.109375" style="8" customWidth="1"/>
    <col min="38" max="38" width="18.88671875" customWidth="1"/>
    <col min="39" max="42" width="20.5546875" customWidth="1"/>
    <col min="43" max="43" width="37.109375" customWidth="1"/>
    <col min="44" max="44" width="28.88671875" customWidth="1"/>
    <col min="45" max="45" width="16" customWidth="1"/>
    <col min="46" max="46" width="18.109375" customWidth="1"/>
    <col min="47" max="47" width="12.88671875" customWidth="1"/>
    <col min="48" max="48" width="15.88671875" customWidth="1"/>
    <col min="49" max="49" width="10.5546875" customWidth="1"/>
    <col min="50" max="53" width="28.88671875" customWidth="1"/>
    <col min="54" max="54" width="9.109375" customWidth="1"/>
    <col min="55" max="56" width="28.88671875" customWidth="1"/>
    <col min="57" max="57" width="12.88671875" customWidth="1"/>
    <col min="58" max="58" width="16.88671875" customWidth="1"/>
    <col min="59" max="59" width="14.88671875" customWidth="1"/>
    <col min="60" max="60" width="15" bestFit="1" customWidth="1"/>
  </cols>
  <sheetData>
    <row r="1" spans="2:60" ht="38.85" customHeight="1" x14ac:dyDescent="0.3">
      <c r="B1" s="352" t="s">
        <v>461</v>
      </c>
      <c r="C1" s="352"/>
      <c r="D1" s="352"/>
      <c r="E1" s="352"/>
      <c r="F1" s="352"/>
      <c r="G1" s="352"/>
      <c r="H1" s="352"/>
      <c r="I1" s="352"/>
      <c r="J1" s="414"/>
      <c r="K1" s="415"/>
      <c r="L1" s="415"/>
      <c r="M1" s="415"/>
      <c r="N1" s="31"/>
      <c r="O1" s="31"/>
      <c r="P1" s="31"/>
      <c r="Q1" s="31"/>
      <c r="R1" s="31"/>
      <c r="S1" s="31"/>
      <c r="T1" s="31"/>
      <c r="V1" s="31"/>
      <c r="W1" s="31"/>
      <c r="X1" s="31"/>
      <c r="Y1" s="31"/>
      <c r="Z1" s="31"/>
      <c r="AA1" s="31"/>
      <c r="AB1" s="31"/>
      <c r="AC1" s="31"/>
      <c r="AD1" s="31"/>
      <c r="AE1" s="31"/>
      <c r="AF1" s="31"/>
      <c r="AG1" s="31"/>
      <c r="AH1" s="31"/>
      <c r="AK1" s="31"/>
      <c r="AL1" s="31"/>
      <c r="AM1" s="31"/>
      <c r="AN1" s="117"/>
      <c r="AO1" s="117"/>
      <c r="AP1" s="117"/>
      <c r="AQ1" s="117"/>
      <c r="AR1" s="117"/>
      <c r="AS1" s="117"/>
      <c r="AT1" s="117"/>
      <c r="AU1" s="117"/>
      <c r="AV1" s="117"/>
      <c r="AW1" s="117"/>
      <c r="AX1" s="117"/>
      <c r="AY1" s="117"/>
      <c r="AZ1" s="117"/>
      <c r="BA1" s="117"/>
      <c r="BB1" s="117"/>
      <c r="BC1" s="117"/>
      <c r="BD1" s="117"/>
    </row>
    <row r="2" spans="2:60" ht="11.1" customHeight="1" thickBot="1" x14ac:dyDescent="0.35">
      <c r="B2" s="310"/>
      <c r="C2" s="310"/>
      <c r="D2" s="310"/>
      <c r="E2" s="310"/>
      <c r="F2" s="310"/>
      <c r="G2" s="310"/>
      <c r="H2" s="310"/>
      <c r="I2" s="310"/>
      <c r="K2" s="31"/>
      <c r="L2" s="31"/>
      <c r="M2" s="31"/>
      <c r="N2" s="31"/>
      <c r="O2" s="31"/>
      <c r="P2" s="31"/>
      <c r="Q2" s="31"/>
      <c r="R2" s="31"/>
      <c r="S2" s="31"/>
      <c r="T2" s="31"/>
      <c r="V2" s="31"/>
      <c r="W2" s="31"/>
      <c r="X2" s="31"/>
      <c r="Y2" s="31"/>
      <c r="Z2" s="31"/>
      <c r="AA2" s="31"/>
      <c r="AB2" s="31"/>
      <c r="AC2" s="31"/>
      <c r="AD2" s="31"/>
      <c r="AE2" s="31"/>
      <c r="AF2" s="31"/>
      <c r="AG2" s="31"/>
      <c r="AH2" s="31"/>
      <c r="AK2" s="31"/>
      <c r="AL2" s="31"/>
      <c r="AM2" s="31"/>
      <c r="AN2" s="117"/>
      <c r="AO2" s="117"/>
      <c r="AP2" s="117"/>
      <c r="AQ2" s="117"/>
      <c r="AR2" s="117"/>
      <c r="AS2" s="117"/>
      <c r="AT2" s="117"/>
      <c r="AU2" s="117"/>
      <c r="AV2" s="117"/>
      <c r="AW2" s="117"/>
      <c r="AX2" s="117"/>
      <c r="AY2" s="117"/>
      <c r="AZ2" s="117"/>
      <c r="BA2" s="117"/>
      <c r="BB2" s="117"/>
      <c r="BC2" s="117"/>
      <c r="BD2" s="117"/>
    </row>
    <row r="3" spans="2:60" ht="16.2" thickBot="1" x14ac:dyDescent="0.35">
      <c r="B3" s="117"/>
      <c r="C3" s="31"/>
      <c r="D3" s="31"/>
      <c r="E3" s="31"/>
      <c r="F3" s="117"/>
      <c r="G3" s="117"/>
      <c r="H3" s="117"/>
      <c r="I3" s="117"/>
      <c r="K3" s="117"/>
      <c r="L3" s="117"/>
      <c r="M3" s="25"/>
      <c r="N3" s="117"/>
      <c r="O3" s="117"/>
      <c r="P3" s="117"/>
      <c r="Q3" s="117"/>
      <c r="R3" s="117"/>
      <c r="S3" s="117"/>
      <c r="T3" s="117"/>
      <c r="V3" s="117"/>
      <c r="W3" s="117"/>
      <c r="X3" s="117"/>
      <c r="Y3" s="117"/>
      <c r="Z3" s="117"/>
      <c r="AA3" s="237" t="s">
        <v>270</v>
      </c>
      <c r="AB3" s="238">
        <v>44597</v>
      </c>
      <c r="AC3" s="293"/>
      <c r="AD3" s="293"/>
      <c r="AE3" s="293"/>
      <c r="AF3" s="293"/>
      <c r="AG3" s="31"/>
      <c r="AH3" s="31"/>
      <c r="AK3" s="31"/>
      <c r="AL3" s="31"/>
      <c r="AM3" s="31"/>
      <c r="AN3" s="31"/>
      <c r="AO3" s="31"/>
      <c r="AP3" s="31"/>
      <c r="AQ3" s="31"/>
      <c r="AR3" s="31"/>
      <c r="AS3" s="31"/>
      <c r="AT3" s="31"/>
      <c r="AU3" s="31"/>
      <c r="AV3" s="31"/>
      <c r="AW3" s="31"/>
      <c r="AX3" s="31"/>
      <c r="AY3" s="31"/>
      <c r="AZ3" s="31"/>
      <c r="BA3" s="31"/>
      <c r="BB3" s="31"/>
      <c r="BC3" s="31"/>
      <c r="BD3" s="31"/>
    </row>
    <row r="4" spans="2:60" ht="15" thickBot="1" x14ac:dyDescent="0.35">
      <c r="B4" s="5" t="s">
        <v>68</v>
      </c>
      <c r="C4" s="5" t="e">
        <f>#REF!</f>
        <v>#REF!</v>
      </c>
      <c r="D4" s="32"/>
      <c r="E4" s="32"/>
      <c r="G4"/>
      <c r="H4" s="8"/>
      <c r="I4" s="9"/>
      <c r="M4" s="39"/>
      <c r="N4"/>
      <c r="O4"/>
      <c r="P4"/>
      <c r="Q4"/>
      <c r="R4"/>
      <c r="S4"/>
      <c r="T4"/>
      <c r="V4"/>
      <c r="AA4" s="237" t="s">
        <v>272</v>
      </c>
      <c r="AB4" s="238">
        <v>44600</v>
      </c>
      <c r="AC4" s="293"/>
      <c r="AD4" s="293"/>
      <c r="AE4" s="293"/>
      <c r="AF4" s="293"/>
      <c r="AG4" s="32"/>
      <c r="AH4" s="32"/>
      <c r="AK4" s="32"/>
      <c r="AL4" s="32"/>
      <c r="AM4" s="32"/>
      <c r="AN4" s="32"/>
      <c r="AO4" s="32"/>
      <c r="AP4" s="32"/>
      <c r="AQ4" s="32"/>
      <c r="AR4" s="32"/>
      <c r="AS4" s="32"/>
      <c r="AT4" s="32"/>
      <c r="AU4" s="32"/>
      <c r="AV4" s="32"/>
      <c r="AW4" s="32"/>
      <c r="AX4" s="32"/>
      <c r="AY4" s="32"/>
      <c r="AZ4" s="32"/>
      <c r="BA4" s="32"/>
      <c r="BB4" s="32"/>
      <c r="BC4" s="32"/>
      <c r="BD4" s="32"/>
    </row>
    <row r="5" spans="2:60" ht="18.600000000000001" thickBot="1" x14ac:dyDescent="0.4">
      <c r="B5" s="5" t="s">
        <v>69</v>
      </c>
      <c r="C5" s="230" t="e">
        <f>#REF!</f>
        <v>#REF!</v>
      </c>
      <c r="D5" s="5"/>
      <c r="E5" s="5"/>
      <c r="F5" s="116"/>
      <c r="G5" s="476" t="s">
        <v>418</v>
      </c>
      <c r="H5" s="477"/>
      <c r="I5" s="477"/>
      <c r="J5" s="477"/>
      <c r="K5" s="478"/>
      <c r="L5" s="478"/>
      <c r="M5" s="478"/>
      <c r="N5"/>
      <c r="O5"/>
      <c r="P5"/>
      <c r="Q5"/>
      <c r="R5"/>
      <c r="S5"/>
      <c r="T5"/>
      <c r="U5" s="5"/>
      <c r="V5" s="5"/>
      <c r="W5" s="149"/>
      <c r="X5" s="149"/>
      <c r="AA5" s="237" t="s">
        <v>274</v>
      </c>
      <c r="AB5" s="238">
        <v>44896</v>
      </c>
      <c r="AC5" s="293"/>
      <c r="AD5" s="293"/>
      <c r="AE5" s="293"/>
      <c r="AF5" s="293"/>
      <c r="AG5" s="5"/>
      <c r="AH5" s="5"/>
      <c r="AK5" s="5"/>
      <c r="AL5" s="5"/>
      <c r="AM5" s="5"/>
      <c r="AN5" s="5"/>
      <c r="AO5" s="5"/>
      <c r="AP5" s="5"/>
      <c r="AQ5" s="5"/>
      <c r="AR5" s="5"/>
      <c r="AS5" s="5"/>
      <c r="AT5" s="5"/>
      <c r="AU5" s="5"/>
      <c r="AV5" s="5"/>
      <c r="AW5" s="5"/>
      <c r="AX5" s="5"/>
      <c r="AY5" s="5"/>
      <c r="AZ5" s="5"/>
      <c r="BA5" s="5"/>
      <c r="BB5" s="5"/>
      <c r="BC5" s="5"/>
      <c r="BD5" s="5"/>
    </row>
    <row r="6" spans="2:60" ht="18.600000000000001" thickBot="1" x14ac:dyDescent="0.4">
      <c r="B6" s="5" t="s">
        <v>275</v>
      </c>
      <c r="C6" s="232" t="e">
        <f>#REF!</f>
        <v>#REF!</v>
      </c>
      <c r="D6" s="5"/>
      <c r="E6" s="5"/>
      <c r="F6" s="116"/>
      <c r="G6" s="5"/>
      <c r="H6" s="116"/>
      <c r="I6" s="9"/>
      <c r="J6" s="335"/>
      <c r="M6" s="39"/>
      <c r="N6"/>
      <c r="O6"/>
      <c r="P6"/>
      <c r="Q6"/>
      <c r="R6"/>
      <c r="S6"/>
      <c r="T6"/>
      <c r="U6" s="5"/>
      <c r="V6" s="5"/>
      <c r="W6" s="149"/>
      <c r="X6" s="149"/>
      <c r="AG6" s="5"/>
      <c r="AH6" s="5"/>
      <c r="AK6" s="5"/>
      <c r="AL6" s="5"/>
      <c r="AM6" s="5"/>
      <c r="AN6" s="5"/>
      <c r="AO6" s="5"/>
      <c r="AP6" s="5"/>
      <c r="AQ6" s="5"/>
      <c r="AR6" s="354" t="s">
        <v>277</v>
      </c>
      <c r="AS6" s="390"/>
      <c r="AT6" s="5"/>
      <c r="AU6" s="5"/>
      <c r="AV6" s="5"/>
      <c r="AW6" s="5"/>
      <c r="AX6" s="5"/>
      <c r="AY6" s="5"/>
      <c r="AZ6" s="5"/>
      <c r="BA6" s="5"/>
      <c r="BB6" s="5"/>
      <c r="BC6" s="5"/>
      <c r="BD6" s="5"/>
      <c r="BG6" t="s">
        <v>462</v>
      </c>
    </row>
    <row r="7" spans="2:60" ht="15" thickBot="1" x14ac:dyDescent="0.35">
      <c r="B7" s="9"/>
      <c r="C7"/>
      <c r="G7"/>
      <c r="H7" s="8"/>
      <c r="I7" s="9"/>
      <c r="J7" s="336"/>
      <c r="K7" s="21"/>
      <c r="L7" s="27"/>
      <c r="M7" s="39"/>
      <c r="U7" s="322"/>
      <c r="V7" s="749" t="s">
        <v>463</v>
      </c>
      <c r="W7" s="750"/>
      <c r="X7" s="750"/>
      <c r="Y7" s="751"/>
      <c r="Z7" s="749" t="s">
        <v>284</v>
      </c>
      <c r="AA7" s="750"/>
      <c r="AB7" s="750"/>
      <c r="AC7" s="750"/>
      <c r="AD7" s="750"/>
      <c r="AE7" s="750"/>
      <c r="AF7" s="750"/>
      <c r="AG7" s="750"/>
      <c r="AH7" s="751"/>
      <c r="AK7"/>
      <c r="BB7" s="5"/>
      <c r="BG7" s="101" t="s">
        <v>464</v>
      </c>
    </row>
    <row r="8" spans="2:60" s="277" customFormat="1" ht="28.8" x14ac:dyDescent="0.3">
      <c r="B8" s="317" t="s">
        <v>372</v>
      </c>
      <c r="C8" s="49" t="s">
        <v>373</v>
      </c>
      <c r="D8" s="320" t="s">
        <v>465</v>
      </c>
      <c r="E8" s="320" t="s">
        <v>466</v>
      </c>
      <c r="F8" s="49" t="s">
        <v>467</v>
      </c>
      <c r="G8" s="49" t="s">
        <v>468</v>
      </c>
      <c r="H8" s="49" t="s">
        <v>469</v>
      </c>
      <c r="I8" s="320" t="s">
        <v>470</v>
      </c>
      <c r="J8" s="49" t="s">
        <v>292</v>
      </c>
      <c r="K8" s="49" t="s">
        <v>234</v>
      </c>
      <c r="L8" s="276" t="s">
        <v>233</v>
      </c>
      <c r="M8" s="283" t="s">
        <v>471</v>
      </c>
      <c r="N8" s="319" t="s">
        <v>472</v>
      </c>
      <c r="O8" s="283" t="s">
        <v>473</v>
      </c>
      <c r="P8" s="283" t="s">
        <v>474</v>
      </c>
      <c r="Q8" s="283" t="s">
        <v>475</v>
      </c>
      <c r="R8" s="283" t="s">
        <v>476</v>
      </c>
      <c r="S8" s="283" t="s">
        <v>8306</v>
      </c>
      <c r="T8" s="283" t="s">
        <v>368</v>
      </c>
      <c r="U8" s="519" t="s">
        <v>477</v>
      </c>
      <c r="V8" s="329" t="s">
        <v>316</v>
      </c>
      <c r="W8" s="329" t="s">
        <v>382</v>
      </c>
      <c r="X8" s="329" t="s">
        <v>384</v>
      </c>
      <c r="Y8" s="329" t="s">
        <v>478</v>
      </c>
      <c r="Z8" s="329" t="s">
        <v>429</v>
      </c>
      <c r="AA8" s="329" t="s">
        <v>430</v>
      </c>
      <c r="AB8" s="329" t="s">
        <v>431</v>
      </c>
      <c r="AC8" s="329" t="s">
        <v>479</v>
      </c>
      <c r="AD8" s="329" t="s">
        <v>329</v>
      </c>
      <c r="AE8" s="329" t="s">
        <v>230</v>
      </c>
      <c r="AF8" s="329" t="s">
        <v>238</v>
      </c>
      <c r="AG8" s="329" t="s">
        <v>432</v>
      </c>
      <c r="AH8" s="329" t="s">
        <v>243</v>
      </c>
      <c r="AK8" s="321" t="s">
        <v>385</v>
      </c>
      <c r="AL8" s="49" t="s">
        <v>414</v>
      </c>
      <c r="AM8" s="49" t="s">
        <v>415</v>
      </c>
      <c r="AN8" s="49" t="s">
        <v>480</v>
      </c>
      <c r="AO8" s="49" t="s">
        <v>481</v>
      </c>
      <c r="AP8" s="49" t="s">
        <v>482</v>
      </c>
      <c r="AR8" s="275" t="s">
        <v>468</v>
      </c>
      <c r="AS8" s="275" t="s">
        <v>469</v>
      </c>
      <c r="AT8" s="275" t="s">
        <v>479</v>
      </c>
      <c r="AU8" s="275" t="s">
        <v>329</v>
      </c>
      <c r="AV8" s="275" t="s">
        <v>238</v>
      </c>
      <c r="AW8" s="318" t="s">
        <v>470</v>
      </c>
      <c r="AX8" s="392" t="s">
        <v>483</v>
      </c>
      <c r="AY8" s="392" t="s">
        <v>484</v>
      </c>
      <c r="AZ8" s="392" t="s">
        <v>485</v>
      </c>
      <c r="BA8" s="323" t="s">
        <v>440</v>
      </c>
      <c r="BB8" s="5"/>
      <c r="BC8" s="275" t="s">
        <v>234</v>
      </c>
      <c r="BD8" s="591" t="s">
        <v>292</v>
      </c>
    </row>
    <row r="9" spans="2:60" ht="15" customHeight="1" x14ac:dyDescent="0.3">
      <c r="B9" s="11"/>
      <c r="C9" s="228"/>
      <c r="D9" s="169"/>
      <c r="E9" s="240"/>
      <c r="F9" s="29"/>
      <c r="G9" s="35"/>
      <c r="H9" s="29"/>
      <c r="I9" s="11"/>
      <c r="J9" s="337"/>
      <c r="K9" s="325"/>
      <c r="L9" s="120"/>
      <c r="M9" s="42"/>
      <c r="N9" s="42"/>
      <c r="O9" s="42"/>
      <c r="P9" s="42"/>
      <c r="Q9" s="42"/>
      <c r="R9" s="42"/>
      <c r="S9" s="42"/>
      <c r="T9" s="42"/>
      <c r="U9" s="249"/>
      <c r="V9" s="228"/>
      <c r="W9" s="29"/>
      <c r="X9" s="29"/>
      <c r="Y9" s="29"/>
      <c r="Z9" s="29"/>
      <c r="AA9" s="120"/>
      <c r="AB9" s="120"/>
      <c r="AC9" s="150"/>
      <c r="AD9" s="150"/>
      <c r="AE9" s="150"/>
      <c r="AF9" s="150"/>
      <c r="AG9" s="331"/>
      <c r="AH9" s="331"/>
      <c r="AK9" s="242"/>
      <c r="AL9" s="169"/>
      <c r="AM9" s="169"/>
      <c r="AN9" s="169"/>
      <c r="AO9" s="169"/>
      <c r="AP9" s="169"/>
      <c r="AR9" s="2"/>
      <c r="AS9" s="2"/>
      <c r="AT9" s="2"/>
      <c r="AU9" s="2"/>
      <c r="AV9" s="2"/>
      <c r="AW9" s="2"/>
      <c r="AX9" s="1">
        <f t="shared" ref="AX9:AX40" si="0">M9+N9</f>
        <v>0</v>
      </c>
      <c r="AY9" s="1">
        <f t="shared" ref="AY9:AY40" si="1">O9</f>
        <v>0</v>
      </c>
      <c r="AZ9" s="1">
        <f t="shared" ref="AZ9:AZ40" si="2">R9</f>
        <v>0</v>
      </c>
      <c r="BA9" s="267">
        <f t="shared" ref="BA9:BA40" si="3">SUM(AX9:AZ9)</f>
        <v>0</v>
      </c>
      <c r="BB9" s="5"/>
      <c r="BC9" s="2"/>
      <c r="BD9" s="2"/>
      <c r="BE9" s="81"/>
      <c r="BG9" s="39">
        <f t="shared" ref="BG9:BG40" si="4">T9-BA9</f>
        <v>0</v>
      </c>
      <c r="BH9" s="81">
        <f t="shared" ref="BH9:BH40" si="5">BG9-Q9-P9</f>
        <v>0</v>
      </c>
    </row>
    <row r="10" spans="2:60" ht="15" customHeight="1" x14ac:dyDescent="0.3">
      <c r="B10" s="11">
        <v>1</v>
      </c>
      <c r="C10" s="229"/>
      <c r="D10" s="169"/>
      <c r="E10" s="240"/>
      <c r="F10" s="29"/>
      <c r="G10" s="35"/>
      <c r="H10" s="29"/>
      <c r="I10" s="11"/>
      <c r="J10" s="337"/>
      <c r="K10" s="530"/>
      <c r="L10" s="120"/>
      <c r="M10" s="42">
        <v>0</v>
      </c>
      <c r="N10" s="42">
        <v>0</v>
      </c>
      <c r="O10" s="42">
        <v>0</v>
      </c>
      <c r="P10" s="42">
        <v>0</v>
      </c>
      <c r="Q10" s="42">
        <v>0</v>
      </c>
      <c r="R10" s="42">
        <v>0</v>
      </c>
      <c r="S10" s="42">
        <v>0</v>
      </c>
      <c r="T10" s="42">
        <f>SUM(M10:S10)</f>
        <v>0</v>
      </c>
      <c r="U10" s="249">
        <f t="shared" ref="U10:U41" si="6">E10-T10</f>
        <v>0</v>
      </c>
      <c r="V10" s="228"/>
      <c r="W10" s="29"/>
      <c r="X10" s="29"/>
      <c r="Y10" s="29"/>
      <c r="Z10" s="29"/>
      <c r="AA10" s="120"/>
      <c r="AB10" s="120"/>
      <c r="AC10" s="150"/>
      <c r="AD10" s="150"/>
      <c r="AE10" s="150"/>
      <c r="AF10" s="150"/>
      <c r="AG10" s="331"/>
      <c r="AH10" s="331"/>
      <c r="AK10" s="242"/>
      <c r="AL10" s="169"/>
      <c r="AM10" s="169"/>
      <c r="AN10" s="169"/>
      <c r="AO10" s="169"/>
      <c r="AP10" s="169"/>
      <c r="AR10" s="2">
        <f t="shared" ref="AR10:AR41" si="7">G10</f>
        <v>0</v>
      </c>
      <c r="AS10" s="2">
        <f t="shared" ref="AS10:AS41" si="8">H10</f>
        <v>0</v>
      </c>
      <c r="AT10" s="358">
        <f t="shared" ref="AT10:AT41" si="9">I10</f>
        <v>0</v>
      </c>
      <c r="AU10" s="2">
        <f t="shared" ref="AU10:AU41" si="10">AD10</f>
        <v>0</v>
      </c>
      <c r="AV10" s="2">
        <f t="shared" ref="AV10:AV41" si="11">AF10</f>
        <v>0</v>
      </c>
      <c r="AW10" s="358">
        <f t="shared" ref="AW10:AW41" si="12">I10</f>
        <v>0</v>
      </c>
      <c r="AX10" s="1">
        <f t="shared" si="0"/>
        <v>0</v>
      </c>
      <c r="AY10" s="1">
        <f t="shared" si="1"/>
        <v>0</v>
      </c>
      <c r="AZ10" s="1">
        <f t="shared" si="2"/>
        <v>0</v>
      </c>
      <c r="BA10" s="267">
        <f t="shared" si="3"/>
        <v>0</v>
      </c>
      <c r="BB10" s="5"/>
      <c r="BC10" s="2">
        <f t="shared" ref="BC10:BC41" si="13">K10</f>
        <v>0</v>
      </c>
      <c r="BD10" s="121">
        <f t="shared" ref="BD10:BD41" si="14">J10</f>
        <v>0</v>
      </c>
      <c r="BE10" s="81">
        <f t="shared" ref="BE10:BE41" si="15">BA10-T10+Q10+P10</f>
        <v>0</v>
      </c>
      <c r="BG10" s="39">
        <f t="shared" si="4"/>
        <v>0</v>
      </c>
      <c r="BH10" s="81">
        <f t="shared" si="5"/>
        <v>0</v>
      </c>
    </row>
    <row r="11" spans="2:60" ht="15" customHeight="1" x14ac:dyDescent="0.3">
      <c r="B11" s="11">
        <v>2</v>
      </c>
      <c r="C11" s="229"/>
      <c r="D11" s="169"/>
      <c r="E11" s="240"/>
      <c r="F11" s="29"/>
      <c r="G11" s="35"/>
      <c r="H11" s="29"/>
      <c r="I11" s="11"/>
      <c r="J11" s="337"/>
      <c r="K11" s="531"/>
      <c r="L11" s="120"/>
      <c r="M11" s="42">
        <v>0</v>
      </c>
      <c r="N11" s="42">
        <v>0</v>
      </c>
      <c r="O11" s="42">
        <v>0</v>
      </c>
      <c r="P11" s="42">
        <v>0</v>
      </c>
      <c r="Q11" s="42">
        <v>0</v>
      </c>
      <c r="R11" s="42">
        <v>0</v>
      </c>
      <c r="S11" s="42">
        <v>0</v>
      </c>
      <c r="T11" s="42">
        <f t="shared" ref="T11:T58" si="16">SUM(M11:S11)</f>
        <v>0</v>
      </c>
      <c r="U11" s="249">
        <f t="shared" si="6"/>
        <v>0</v>
      </c>
      <c r="V11" s="228"/>
      <c r="W11" s="29"/>
      <c r="X11" s="29"/>
      <c r="Y11" s="29"/>
      <c r="Z11" s="29"/>
      <c r="AA11" s="120"/>
      <c r="AB11" s="120"/>
      <c r="AC11" s="150"/>
      <c r="AD11" s="150"/>
      <c r="AE11" s="150"/>
      <c r="AF11" s="150"/>
      <c r="AG11" s="331"/>
      <c r="AH11" s="331"/>
      <c r="AK11" s="242"/>
      <c r="AL11" s="169"/>
      <c r="AM11" s="169"/>
      <c r="AN11" s="169"/>
      <c r="AO11" s="169"/>
      <c r="AP11" s="169"/>
      <c r="AR11" s="2">
        <f t="shared" si="7"/>
        <v>0</v>
      </c>
      <c r="AS11" s="2">
        <f t="shared" si="8"/>
        <v>0</v>
      </c>
      <c r="AT11" s="358">
        <f t="shared" si="9"/>
        <v>0</v>
      </c>
      <c r="AU11" s="2">
        <f t="shared" si="10"/>
        <v>0</v>
      </c>
      <c r="AV11" s="2">
        <f t="shared" si="11"/>
        <v>0</v>
      </c>
      <c r="AW11" s="358">
        <f t="shared" si="12"/>
        <v>0</v>
      </c>
      <c r="AX11" s="1">
        <f t="shared" si="0"/>
        <v>0</v>
      </c>
      <c r="AY11" s="1">
        <f t="shared" si="1"/>
        <v>0</v>
      </c>
      <c r="AZ11" s="1">
        <f t="shared" si="2"/>
        <v>0</v>
      </c>
      <c r="BA11" s="267">
        <f t="shared" si="3"/>
        <v>0</v>
      </c>
      <c r="BC11" s="2">
        <f t="shared" si="13"/>
        <v>0</v>
      </c>
      <c r="BD11" s="121">
        <f t="shared" si="14"/>
        <v>0</v>
      </c>
      <c r="BE11" s="81">
        <f t="shared" si="15"/>
        <v>0</v>
      </c>
      <c r="BG11" s="39">
        <f t="shared" si="4"/>
        <v>0</v>
      </c>
      <c r="BH11" s="81">
        <f t="shared" si="5"/>
        <v>0</v>
      </c>
    </row>
    <row r="12" spans="2:60" ht="15" customHeight="1" x14ac:dyDescent="0.3">
      <c r="B12" s="11">
        <v>3</v>
      </c>
      <c r="C12" s="229"/>
      <c r="D12" s="169"/>
      <c r="E12" s="240"/>
      <c r="F12" s="29"/>
      <c r="G12" s="35"/>
      <c r="H12" s="29"/>
      <c r="I12" s="11"/>
      <c r="J12" s="337"/>
      <c r="K12" s="531"/>
      <c r="L12" s="120"/>
      <c r="M12" s="42">
        <v>0</v>
      </c>
      <c r="N12" s="42">
        <v>0</v>
      </c>
      <c r="O12" s="42">
        <v>0</v>
      </c>
      <c r="P12" s="42">
        <v>0</v>
      </c>
      <c r="Q12" s="42">
        <v>0</v>
      </c>
      <c r="R12" s="42">
        <v>0</v>
      </c>
      <c r="S12" s="42">
        <v>0</v>
      </c>
      <c r="T12" s="42">
        <f t="shared" si="16"/>
        <v>0</v>
      </c>
      <c r="U12" s="249">
        <f t="shared" si="6"/>
        <v>0</v>
      </c>
      <c r="V12" s="228"/>
      <c r="W12" s="29"/>
      <c r="X12" s="29"/>
      <c r="Y12" s="29"/>
      <c r="Z12" s="29"/>
      <c r="AA12" s="120"/>
      <c r="AB12" s="120"/>
      <c r="AC12" s="150"/>
      <c r="AD12" s="150"/>
      <c r="AE12" s="150"/>
      <c r="AF12" s="150"/>
      <c r="AG12" s="331"/>
      <c r="AH12" s="331"/>
      <c r="AK12" s="242"/>
      <c r="AL12" s="169"/>
      <c r="AM12" s="169"/>
      <c r="AN12" s="169"/>
      <c r="AO12" s="169"/>
      <c r="AP12" s="169"/>
      <c r="AR12" s="2">
        <f t="shared" si="7"/>
        <v>0</v>
      </c>
      <c r="AS12" s="2">
        <f t="shared" si="8"/>
        <v>0</v>
      </c>
      <c r="AT12" s="358">
        <f t="shared" si="9"/>
        <v>0</v>
      </c>
      <c r="AU12" s="2">
        <f t="shared" si="10"/>
        <v>0</v>
      </c>
      <c r="AV12" s="2">
        <f t="shared" si="11"/>
        <v>0</v>
      </c>
      <c r="AW12" s="358">
        <f t="shared" si="12"/>
        <v>0</v>
      </c>
      <c r="AX12" s="1">
        <f t="shared" si="0"/>
        <v>0</v>
      </c>
      <c r="AY12" s="1">
        <f t="shared" si="1"/>
        <v>0</v>
      </c>
      <c r="AZ12" s="1">
        <f t="shared" si="2"/>
        <v>0</v>
      </c>
      <c r="BA12" s="267">
        <f t="shared" si="3"/>
        <v>0</v>
      </c>
      <c r="BC12" s="2">
        <f t="shared" si="13"/>
        <v>0</v>
      </c>
      <c r="BD12" s="121">
        <f t="shared" si="14"/>
        <v>0</v>
      </c>
      <c r="BE12" s="81">
        <f t="shared" si="15"/>
        <v>0</v>
      </c>
      <c r="BG12" s="39">
        <f t="shared" si="4"/>
        <v>0</v>
      </c>
      <c r="BH12" s="81">
        <f t="shared" si="5"/>
        <v>0</v>
      </c>
    </row>
    <row r="13" spans="2:60" ht="15" customHeight="1" x14ac:dyDescent="0.3">
      <c r="B13" s="11">
        <v>4</v>
      </c>
      <c r="C13" s="229"/>
      <c r="D13" s="169"/>
      <c r="E13" s="240"/>
      <c r="F13" s="29"/>
      <c r="G13" s="35"/>
      <c r="H13" s="29"/>
      <c r="I13" s="11"/>
      <c r="J13" s="337"/>
      <c r="K13" s="531"/>
      <c r="L13" s="120"/>
      <c r="M13" s="42">
        <v>0</v>
      </c>
      <c r="N13" s="42">
        <v>0</v>
      </c>
      <c r="O13" s="42">
        <v>0</v>
      </c>
      <c r="P13" s="42">
        <v>0</v>
      </c>
      <c r="Q13" s="42">
        <v>0</v>
      </c>
      <c r="R13" s="42">
        <v>0</v>
      </c>
      <c r="S13" s="42">
        <v>0</v>
      </c>
      <c r="T13" s="42">
        <f t="shared" si="16"/>
        <v>0</v>
      </c>
      <c r="U13" s="249">
        <f t="shared" si="6"/>
        <v>0</v>
      </c>
      <c r="V13" s="228"/>
      <c r="W13" s="29"/>
      <c r="X13" s="29"/>
      <c r="Y13" s="29"/>
      <c r="Z13" s="29"/>
      <c r="AA13" s="120"/>
      <c r="AB13" s="120"/>
      <c r="AC13" s="150"/>
      <c r="AD13" s="150"/>
      <c r="AE13" s="150"/>
      <c r="AF13" s="150"/>
      <c r="AG13" s="331"/>
      <c r="AH13" s="331"/>
      <c r="AK13" s="242"/>
      <c r="AL13" s="169"/>
      <c r="AM13" s="169"/>
      <c r="AN13" s="169"/>
      <c r="AO13" s="169"/>
      <c r="AP13" s="169"/>
      <c r="AR13" s="2">
        <f t="shared" si="7"/>
        <v>0</v>
      </c>
      <c r="AS13" s="2">
        <f t="shared" si="8"/>
        <v>0</v>
      </c>
      <c r="AT13" s="358">
        <f t="shared" si="9"/>
        <v>0</v>
      </c>
      <c r="AU13" s="2">
        <f t="shared" si="10"/>
        <v>0</v>
      </c>
      <c r="AV13" s="2">
        <f t="shared" si="11"/>
        <v>0</v>
      </c>
      <c r="AW13" s="358">
        <f t="shared" si="12"/>
        <v>0</v>
      </c>
      <c r="AX13" s="1">
        <f t="shared" si="0"/>
        <v>0</v>
      </c>
      <c r="AY13" s="1">
        <f t="shared" si="1"/>
        <v>0</v>
      </c>
      <c r="AZ13" s="1">
        <f t="shared" si="2"/>
        <v>0</v>
      </c>
      <c r="BA13" s="267">
        <f t="shared" si="3"/>
        <v>0</v>
      </c>
      <c r="BC13" s="2">
        <f t="shared" si="13"/>
        <v>0</v>
      </c>
      <c r="BD13" s="121">
        <f t="shared" si="14"/>
        <v>0</v>
      </c>
      <c r="BE13" s="81">
        <f t="shared" si="15"/>
        <v>0</v>
      </c>
      <c r="BG13" s="39">
        <f t="shared" si="4"/>
        <v>0</v>
      </c>
      <c r="BH13" s="81">
        <f t="shared" si="5"/>
        <v>0</v>
      </c>
    </row>
    <row r="14" spans="2:60" ht="15" customHeight="1" x14ac:dyDescent="0.3">
      <c r="B14" s="11">
        <v>5</v>
      </c>
      <c r="C14" s="150"/>
      <c r="D14" s="169"/>
      <c r="E14" s="240"/>
      <c r="F14" s="29"/>
      <c r="G14" s="35"/>
      <c r="H14" s="29"/>
      <c r="I14" s="11"/>
      <c r="J14" s="337"/>
      <c r="K14" s="531"/>
      <c r="L14" s="120"/>
      <c r="M14" s="42">
        <v>0</v>
      </c>
      <c r="N14" s="42">
        <v>0</v>
      </c>
      <c r="O14" s="42">
        <v>0</v>
      </c>
      <c r="P14" s="42">
        <v>0</v>
      </c>
      <c r="Q14" s="42">
        <v>0</v>
      </c>
      <c r="R14" s="42">
        <v>0</v>
      </c>
      <c r="S14" s="42">
        <v>0</v>
      </c>
      <c r="T14" s="42">
        <f t="shared" si="16"/>
        <v>0</v>
      </c>
      <c r="U14" s="249">
        <f t="shared" si="6"/>
        <v>0</v>
      </c>
      <c r="V14" s="228"/>
      <c r="W14" s="29"/>
      <c r="X14" s="29"/>
      <c r="Y14" s="29"/>
      <c r="Z14" s="29"/>
      <c r="AA14" s="120"/>
      <c r="AB14" s="120"/>
      <c r="AC14" s="150"/>
      <c r="AD14" s="150"/>
      <c r="AE14" s="150"/>
      <c r="AF14" s="150"/>
      <c r="AG14" s="331"/>
      <c r="AH14" s="331"/>
      <c r="AK14" s="242"/>
      <c r="AL14" s="169"/>
      <c r="AM14" s="169"/>
      <c r="AN14" s="169"/>
      <c r="AO14" s="169"/>
      <c r="AP14" s="169"/>
      <c r="AR14" s="2">
        <f t="shared" si="7"/>
        <v>0</v>
      </c>
      <c r="AS14" s="2">
        <f t="shared" si="8"/>
        <v>0</v>
      </c>
      <c r="AT14" s="358">
        <f t="shared" si="9"/>
        <v>0</v>
      </c>
      <c r="AU14" s="2">
        <f t="shared" si="10"/>
        <v>0</v>
      </c>
      <c r="AV14" s="2">
        <f t="shared" si="11"/>
        <v>0</v>
      </c>
      <c r="AW14" s="358">
        <f t="shared" si="12"/>
        <v>0</v>
      </c>
      <c r="AX14" s="1">
        <f t="shared" si="0"/>
        <v>0</v>
      </c>
      <c r="AY14" s="1">
        <f t="shared" si="1"/>
        <v>0</v>
      </c>
      <c r="AZ14" s="1">
        <f t="shared" si="2"/>
        <v>0</v>
      </c>
      <c r="BA14" s="267">
        <f t="shared" si="3"/>
        <v>0</v>
      </c>
      <c r="BC14" s="2">
        <f t="shared" si="13"/>
        <v>0</v>
      </c>
      <c r="BD14" s="121">
        <f t="shared" si="14"/>
        <v>0</v>
      </c>
      <c r="BE14" s="81">
        <f t="shared" si="15"/>
        <v>0</v>
      </c>
      <c r="BG14" s="39">
        <f t="shared" si="4"/>
        <v>0</v>
      </c>
      <c r="BH14" s="81">
        <f t="shared" si="5"/>
        <v>0</v>
      </c>
    </row>
    <row r="15" spans="2:60" ht="15" customHeight="1" x14ac:dyDescent="0.3">
      <c r="B15" s="11">
        <v>6</v>
      </c>
      <c r="C15" s="229"/>
      <c r="D15" s="169"/>
      <c r="E15" s="240"/>
      <c r="F15" s="29"/>
      <c r="G15" s="35"/>
      <c r="H15" s="29"/>
      <c r="I15" s="11"/>
      <c r="J15" s="337"/>
      <c r="K15" s="531"/>
      <c r="L15" s="120"/>
      <c r="M15" s="42">
        <v>0</v>
      </c>
      <c r="N15" s="42">
        <v>0</v>
      </c>
      <c r="O15" s="42">
        <v>0</v>
      </c>
      <c r="P15" s="42">
        <v>0</v>
      </c>
      <c r="Q15" s="42">
        <v>0</v>
      </c>
      <c r="R15" s="42">
        <v>0</v>
      </c>
      <c r="S15" s="42">
        <v>0</v>
      </c>
      <c r="T15" s="42">
        <f t="shared" si="16"/>
        <v>0</v>
      </c>
      <c r="U15" s="249">
        <f t="shared" si="6"/>
        <v>0</v>
      </c>
      <c r="V15" s="228"/>
      <c r="W15" s="29"/>
      <c r="X15" s="29"/>
      <c r="Y15" s="29"/>
      <c r="AA15" s="120"/>
      <c r="AB15" s="120"/>
      <c r="AC15" s="150"/>
      <c r="AD15" s="150"/>
      <c r="AE15" s="150"/>
      <c r="AF15" s="150"/>
      <c r="AG15" s="331"/>
      <c r="AH15" s="331"/>
      <c r="AK15" s="242"/>
      <c r="AL15" s="169"/>
      <c r="AM15" s="169"/>
      <c r="AN15" s="169"/>
      <c r="AO15" s="169"/>
      <c r="AP15" s="169"/>
      <c r="AR15" s="2">
        <f t="shared" si="7"/>
        <v>0</v>
      </c>
      <c r="AS15" s="2">
        <f t="shared" si="8"/>
        <v>0</v>
      </c>
      <c r="AT15" s="358">
        <f t="shared" si="9"/>
        <v>0</v>
      </c>
      <c r="AU15" s="2">
        <f t="shared" si="10"/>
        <v>0</v>
      </c>
      <c r="AV15" s="2">
        <f t="shared" si="11"/>
        <v>0</v>
      </c>
      <c r="AW15" s="358">
        <f t="shared" si="12"/>
        <v>0</v>
      </c>
      <c r="AX15" s="1">
        <f t="shared" si="0"/>
        <v>0</v>
      </c>
      <c r="AY15" s="1">
        <f t="shared" si="1"/>
        <v>0</v>
      </c>
      <c r="AZ15" s="1">
        <f t="shared" si="2"/>
        <v>0</v>
      </c>
      <c r="BA15" s="267">
        <f t="shared" si="3"/>
        <v>0</v>
      </c>
      <c r="BC15" s="2">
        <f t="shared" si="13"/>
        <v>0</v>
      </c>
      <c r="BD15" s="121">
        <f t="shared" si="14"/>
        <v>0</v>
      </c>
      <c r="BE15" s="81">
        <f t="shared" si="15"/>
        <v>0</v>
      </c>
      <c r="BG15" s="39">
        <f t="shared" si="4"/>
        <v>0</v>
      </c>
      <c r="BH15" s="81">
        <f t="shared" si="5"/>
        <v>0</v>
      </c>
    </row>
    <row r="16" spans="2:60" ht="15" customHeight="1" x14ac:dyDescent="0.3">
      <c r="B16" s="11">
        <v>7</v>
      </c>
      <c r="C16" s="229"/>
      <c r="D16" s="169"/>
      <c r="E16" s="240"/>
      <c r="F16" s="29"/>
      <c r="G16" s="35"/>
      <c r="H16" s="29"/>
      <c r="I16" s="11"/>
      <c r="J16" s="337"/>
      <c r="K16" s="531"/>
      <c r="L16" s="120"/>
      <c r="M16" s="42">
        <v>0</v>
      </c>
      <c r="N16" s="42">
        <v>0</v>
      </c>
      <c r="O16" s="42">
        <v>0</v>
      </c>
      <c r="P16" s="42">
        <v>0</v>
      </c>
      <c r="Q16" s="42">
        <v>0</v>
      </c>
      <c r="R16" s="42">
        <v>0</v>
      </c>
      <c r="S16" s="42">
        <v>0</v>
      </c>
      <c r="T16" s="42">
        <f t="shared" si="16"/>
        <v>0</v>
      </c>
      <c r="U16" s="249">
        <f t="shared" si="6"/>
        <v>0</v>
      </c>
      <c r="V16" s="228"/>
      <c r="W16" s="29"/>
      <c r="X16" s="29"/>
      <c r="Y16" s="29"/>
      <c r="Z16" s="29"/>
      <c r="AA16" s="120"/>
      <c r="AB16" s="120"/>
      <c r="AC16" s="150"/>
      <c r="AD16" s="150"/>
      <c r="AE16" s="150"/>
      <c r="AF16" s="150"/>
      <c r="AG16" s="331"/>
      <c r="AH16" s="331"/>
      <c r="AK16" s="242"/>
      <c r="AL16" s="169"/>
      <c r="AM16" s="169"/>
      <c r="AN16" s="169"/>
      <c r="AO16" s="169"/>
      <c r="AP16" s="169"/>
      <c r="AR16" s="2">
        <f t="shared" si="7"/>
        <v>0</v>
      </c>
      <c r="AS16" s="2">
        <f t="shared" si="8"/>
        <v>0</v>
      </c>
      <c r="AT16" s="358">
        <f t="shared" si="9"/>
        <v>0</v>
      </c>
      <c r="AU16" s="2">
        <f t="shared" si="10"/>
        <v>0</v>
      </c>
      <c r="AV16" s="2">
        <f t="shared" si="11"/>
        <v>0</v>
      </c>
      <c r="AW16" s="358">
        <f t="shared" si="12"/>
        <v>0</v>
      </c>
      <c r="AX16" s="1">
        <f t="shared" si="0"/>
        <v>0</v>
      </c>
      <c r="AY16" s="1">
        <f t="shared" si="1"/>
        <v>0</v>
      </c>
      <c r="AZ16" s="1">
        <f t="shared" si="2"/>
        <v>0</v>
      </c>
      <c r="BA16" s="267">
        <f t="shared" si="3"/>
        <v>0</v>
      </c>
      <c r="BC16" s="2">
        <f t="shared" si="13"/>
        <v>0</v>
      </c>
      <c r="BD16" s="121">
        <f t="shared" si="14"/>
        <v>0</v>
      </c>
      <c r="BE16" s="81">
        <f t="shared" si="15"/>
        <v>0</v>
      </c>
      <c r="BG16" s="39">
        <f t="shared" si="4"/>
        <v>0</v>
      </c>
      <c r="BH16" s="81">
        <f t="shared" si="5"/>
        <v>0</v>
      </c>
    </row>
    <row r="17" spans="2:60" ht="15" customHeight="1" x14ac:dyDescent="0.3">
      <c r="B17" s="11">
        <v>8</v>
      </c>
      <c r="C17" s="229"/>
      <c r="D17" s="169"/>
      <c r="E17" s="240"/>
      <c r="F17" s="29"/>
      <c r="G17" s="35"/>
      <c r="H17" s="29"/>
      <c r="I17" s="11"/>
      <c r="J17" s="337"/>
      <c r="K17" s="531"/>
      <c r="L17" s="120"/>
      <c r="M17" s="42">
        <v>0</v>
      </c>
      <c r="N17" s="42">
        <v>0</v>
      </c>
      <c r="O17" s="42">
        <v>0</v>
      </c>
      <c r="P17" s="42">
        <v>0</v>
      </c>
      <c r="Q17" s="42">
        <v>0</v>
      </c>
      <c r="R17" s="42">
        <v>0</v>
      </c>
      <c r="S17" s="42">
        <v>0</v>
      </c>
      <c r="T17" s="42">
        <f t="shared" si="16"/>
        <v>0</v>
      </c>
      <c r="U17" s="249">
        <f t="shared" si="6"/>
        <v>0</v>
      </c>
      <c r="V17" s="228"/>
      <c r="W17" s="29"/>
      <c r="X17" s="29"/>
      <c r="Y17" s="29"/>
      <c r="Z17" s="29"/>
      <c r="AA17" s="120"/>
      <c r="AB17" s="120"/>
      <c r="AC17" s="150"/>
      <c r="AD17" s="150"/>
      <c r="AE17" s="150"/>
      <c r="AF17" s="150"/>
      <c r="AG17" s="331"/>
      <c r="AH17" s="331"/>
      <c r="AK17" s="242"/>
      <c r="AL17" s="169"/>
      <c r="AM17" s="169"/>
      <c r="AN17" s="169"/>
      <c r="AO17" s="169"/>
      <c r="AP17" s="169"/>
      <c r="AR17" s="2">
        <f t="shared" si="7"/>
        <v>0</v>
      </c>
      <c r="AS17" s="2">
        <f t="shared" si="8"/>
        <v>0</v>
      </c>
      <c r="AT17" s="358">
        <f t="shared" si="9"/>
        <v>0</v>
      </c>
      <c r="AU17" s="2">
        <f t="shared" si="10"/>
        <v>0</v>
      </c>
      <c r="AV17" s="2">
        <f t="shared" si="11"/>
        <v>0</v>
      </c>
      <c r="AW17" s="358">
        <f t="shared" si="12"/>
        <v>0</v>
      </c>
      <c r="AX17" s="1">
        <f t="shared" si="0"/>
        <v>0</v>
      </c>
      <c r="AY17" s="1">
        <f t="shared" si="1"/>
        <v>0</v>
      </c>
      <c r="AZ17" s="1">
        <f t="shared" si="2"/>
        <v>0</v>
      </c>
      <c r="BA17" s="267">
        <f t="shared" si="3"/>
        <v>0</v>
      </c>
      <c r="BC17" s="2">
        <f t="shared" si="13"/>
        <v>0</v>
      </c>
      <c r="BD17" s="121">
        <f t="shared" si="14"/>
        <v>0</v>
      </c>
      <c r="BE17" s="81">
        <f t="shared" si="15"/>
        <v>0</v>
      </c>
      <c r="BG17" s="39">
        <f t="shared" si="4"/>
        <v>0</v>
      </c>
      <c r="BH17" s="81">
        <f t="shared" si="5"/>
        <v>0</v>
      </c>
    </row>
    <row r="18" spans="2:60" ht="15" customHeight="1" x14ac:dyDescent="0.3">
      <c r="B18" s="11">
        <v>9</v>
      </c>
      <c r="C18" s="229"/>
      <c r="D18" s="86"/>
      <c r="E18" s="240"/>
      <c r="F18" s="29"/>
      <c r="G18" s="35"/>
      <c r="H18" s="29"/>
      <c r="I18" s="11"/>
      <c r="J18" s="337"/>
      <c r="K18" s="531"/>
      <c r="L18" s="120"/>
      <c r="M18" s="42">
        <v>0</v>
      </c>
      <c r="N18" s="42">
        <v>0</v>
      </c>
      <c r="O18" s="42">
        <v>0</v>
      </c>
      <c r="P18" s="42">
        <v>0</v>
      </c>
      <c r="Q18" s="42">
        <v>0</v>
      </c>
      <c r="R18" s="42">
        <v>0</v>
      </c>
      <c r="S18" s="42">
        <v>0</v>
      </c>
      <c r="T18" s="42">
        <f t="shared" si="16"/>
        <v>0</v>
      </c>
      <c r="U18" s="249">
        <f t="shared" si="6"/>
        <v>0</v>
      </c>
      <c r="V18" s="228"/>
      <c r="W18" s="29"/>
      <c r="X18" s="29"/>
      <c r="Y18" s="29"/>
      <c r="Z18" s="29"/>
      <c r="AA18" s="120"/>
      <c r="AB18" s="120"/>
      <c r="AC18" s="150"/>
      <c r="AD18" s="150"/>
      <c r="AE18" s="150"/>
      <c r="AF18" s="150"/>
      <c r="AG18" s="331"/>
      <c r="AH18" s="331"/>
      <c r="AK18" s="35"/>
      <c r="AL18" s="169"/>
      <c r="AM18" s="169"/>
      <c r="AN18" s="86"/>
      <c r="AO18" s="86"/>
      <c r="AP18" s="169"/>
      <c r="AR18" s="2">
        <f t="shared" si="7"/>
        <v>0</v>
      </c>
      <c r="AS18" s="2">
        <f t="shared" si="8"/>
        <v>0</v>
      </c>
      <c r="AT18" s="358">
        <f t="shared" si="9"/>
        <v>0</v>
      </c>
      <c r="AU18" s="2">
        <f t="shared" si="10"/>
        <v>0</v>
      </c>
      <c r="AV18" s="2">
        <f t="shared" si="11"/>
        <v>0</v>
      </c>
      <c r="AW18" s="358">
        <f t="shared" si="12"/>
        <v>0</v>
      </c>
      <c r="AX18" s="1">
        <f t="shared" si="0"/>
        <v>0</v>
      </c>
      <c r="AY18" s="1">
        <f t="shared" si="1"/>
        <v>0</v>
      </c>
      <c r="AZ18" s="1">
        <f t="shared" si="2"/>
        <v>0</v>
      </c>
      <c r="BA18" s="267">
        <f t="shared" si="3"/>
        <v>0</v>
      </c>
      <c r="BC18" s="2">
        <f t="shared" si="13"/>
        <v>0</v>
      </c>
      <c r="BD18" s="121">
        <f t="shared" si="14"/>
        <v>0</v>
      </c>
      <c r="BE18" s="81">
        <f t="shared" si="15"/>
        <v>0</v>
      </c>
      <c r="BG18" s="39">
        <f t="shared" si="4"/>
        <v>0</v>
      </c>
      <c r="BH18" s="81">
        <f t="shared" si="5"/>
        <v>0</v>
      </c>
    </row>
    <row r="19" spans="2:60" x14ac:dyDescent="0.3">
      <c r="B19" s="11">
        <v>10</v>
      </c>
      <c r="C19" s="229"/>
      <c r="D19" s="169"/>
      <c r="E19" s="240"/>
      <c r="F19" s="29"/>
      <c r="G19" s="35"/>
      <c r="H19" s="29"/>
      <c r="I19" s="11"/>
      <c r="J19" s="337"/>
      <c r="K19" s="531"/>
      <c r="L19" s="120"/>
      <c r="M19" s="42">
        <v>0</v>
      </c>
      <c r="N19" s="42">
        <v>0</v>
      </c>
      <c r="O19" s="42">
        <v>0</v>
      </c>
      <c r="P19" s="42">
        <v>0</v>
      </c>
      <c r="Q19" s="42">
        <v>0</v>
      </c>
      <c r="R19" s="42">
        <v>0</v>
      </c>
      <c r="S19" s="42">
        <v>0</v>
      </c>
      <c r="T19" s="42">
        <f t="shared" si="16"/>
        <v>0</v>
      </c>
      <c r="U19" s="249">
        <f t="shared" si="6"/>
        <v>0</v>
      </c>
      <c r="V19" s="228"/>
      <c r="W19" s="29"/>
      <c r="X19" s="29"/>
      <c r="Y19" s="29"/>
      <c r="Z19" s="29"/>
      <c r="AA19" s="29"/>
      <c r="AB19" s="29"/>
      <c r="AC19" s="150"/>
      <c r="AD19" s="150"/>
      <c r="AE19" s="150"/>
      <c r="AF19" s="150"/>
      <c r="AG19" s="331"/>
      <c r="AH19" s="331"/>
      <c r="AK19" s="242"/>
      <c r="AL19" s="169"/>
      <c r="AM19" s="169"/>
      <c r="AN19" s="169"/>
      <c r="AO19" s="169"/>
      <c r="AP19" s="169"/>
      <c r="AR19" s="2">
        <f t="shared" si="7"/>
        <v>0</v>
      </c>
      <c r="AS19" s="2">
        <f t="shared" si="8"/>
        <v>0</v>
      </c>
      <c r="AT19" s="358">
        <f t="shared" si="9"/>
        <v>0</v>
      </c>
      <c r="AU19" s="2">
        <f t="shared" si="10"/>
        <v>0</v>
      </c>
      <c r="AV19" s="2">
        <f t="shared" si="11"/>
        <v>0</v>
      </c>
      <c r="AW19" s="358">
        <f t="shared" si="12"/>
        <v>0</v>
      </c>
      <c r="AX19" s="1">
        <f t="shared" si="0"/>
        <v>0</v>
      </c>
      <c r="AY19" s="1">
        <f t="shared" si="1"/>
        <v>0</v>
      </c>
      <c r="AZ19" s="1">
        <f t="shared" si="2"/>
        <v>0</v>
      </c>
      <c r="BA19" s="267">
        <f t="shared" si="3"/>
        <v>0</v>
      </c>
      <c r="BC19" s="2">
        <f t="shared" si="13"/>
        <v>0</v>
      </c>
      <c r="BD19" s="121">
        <f t="shared" si="14"/>
        <v>0</v>
      </c>
      <c r="BE19" s="81">
        <f t="shared" si="15"/>
        <v>0</v>
      </c>
      <c r="BG19" s="39">
        <f t="shared" si="4"/>
        <v>0</v>
      </c>
      <c r="BH19" s="81">
        <f t="shared" si="5"/>
        <v>0</v>
      </c>
    </row>
    <row r="20" spans="2:60" ht="15" customHeight="1" x14ac:dyDescent="0.3">
      <c r="B20" s="11">
        <v>11</v>
      </c>
      <c r="C20" s="150"/>
      <c r="D20" s="169"/>
      <c r="E20" s="240"/>
      <c r="F20" s="29"/>
      <c r="G20" s="35"/>
      <c r="H20" s="29"/>
      <c r="I20" s="11"/>
      <c r="J20" s="337"/>
      <c r="K20" s="83"/>
      <c r="L20" s="120"/>
      <c r="M20" s="42">
        <v>0</v>
      </c>
      <c r="N20" s="42">
        <v>0</v>
      </c>
      <c r="O20" s="42">
        <v>0</v>
      </c>
      <c r="P20" s="42">
        <v>0</v>
      </c>
      <c r="Q20" s="42">
        <v>0</v>
      </c>
      <c r="R20" s="42">
        <v>0</v>
      </c>
      <c r="S20" s="42">
        <v>0</v>
      </c>
      <c r="T20" s="42">
        <f t="shared" si="16"/>
        <v>0</v>
      </c>
      <c r="U20" s="249">
        <f t="shared" si="6"/>
        <v>0</v>
      </c>
      <c r="V20" s="228"/>
      <c r="W20" s="29"/>
      <c r="X20" s="29"/>
      <c r="Y20" s="29"/>
      <c r="Z20" s="29"/>
      <c r="AA20" s="29"/>
      <c r="AB20" s="29"/>
      <c r="AC20" s="150"/>
      <c r="AD20" s="150"/>
      <c r="AE20" s="150"/>
      <c r="AF20" s="150"/>
      <c r="AG20" s="331"/>
      <c r="AH20" s="331"/>
      <c r="AK20" s="242"/>
      <c r="AL20" s="169"/>
      <c r="AM20" s="169"/>
      <c r="AN20" s="169"/>
      <c r="AO20" s="169"/>
      <c r="AP20" s="169"/>
      <c r="AR20" s="2">
        <f t="shared" si="7"/>
        <v>0</v>
      </c>
      <c r="AS20" s="2">
        <f t="shared" si="8"/>
        <v>0</v>
      </c>
      <c r="AT20" s="358">
        <f t="shared" si="9"/>
        <v>0</v>
      </c>
      <c r="AU20" s="2">
        <f t="shared" si="10"/>
        <v>0</v>
      </c>
      <c r="AV20" s="2">
        <f t="shared" si="11"/>
        <v>0</v>
      </c>
      <c r="AW20" s="358">
        <f t="shared" si="12"/>
        <v>0</v>
      </c>
      <c r="AX20" s="1">
        <f t="shared" si="0"/>
        <v>0</v>
      </c>
      <c r="AY20" s="1">
        <f t="shared" si="1"/>
        <v>0</v>
      </c>
      <c r="AZ20" s="1">
        <f t="shared" si="2"/>
        <v>0</v>
      </c>
      <c r="BA20" s="267">
        <f t="shared" si="3"/>
        <v>0</v>
      </c>
      <c r="BC20" s="2">
        <f t="shared" si="13"/>
        <v>0</v>
      </c>
      <c r="BD20" s="121">
        <f t="shared" si="14"/>
        <v>0</v>
      </c>
      <c r="BE20" s="81">
        <f t="shared" si="15"/>
        <v>0</v>
      </c>
      <c r="BG20" s="39">
        <f t="shared" si="4"/>
        <v>0</v>
      </c>
      <c r="BH20" s="81">
        <f t="shared" si="5"/>
        <v>0</v>
      </c>
    </row>
    <row r="21" spans="2:60" ht="15" customHeight="1" x14ac:dyDescent="0.3">
      <c r="B21" s="11">
        <v>12</v>
      </c>
      <c r="C21" s="229"/>
      <c r="D21" s="169"/>
      <c r="E21" s="240"/>
      <c r="F21" s="29"/>
      <c r="G21" s="35"/>
      <c r="H21" s="29"/>
      <c r="I21" s="11"/>
      <c r="J21" s="337"/>
      <c r="K21" s="83"/>
      <c r="L21" s="120"/>
      <c r="M21" s="42">
        <v>0</v>
      </c>
      <c r="N21" s="42">
        <v>0</v>
      </c>
      <c r="O21" s="42">
        <v>0</v>
      </c>
      <c r="P21" s="42">
        <v>0</v>
      </c>
      <c r="Q21" s="42">
        <v>0</v>
      </c>
      <c r="R21" s="42">
        <v>0</v>
      </c>
      <c r="S21" s="42">
        <v>0</v>
      </c>
      <c r="T21" s="42">
        <f t="shared" si="16"/>
        <v>0</v>
      </c>
      <c r="U21" s="249">
        <f t="shared" si="6"/>
        <v>0</v>
      </c>
      <c r="V21" s="228"/>
      <c r="W21" s="29"/>
      <c r="X21" s="29"/>
      <c r="Y21" s="29"/>
      <c r="Z21" s="29"/>
      <c r="AA21" s="29"/>
      <c r="AB21" s="29"/>
      <c r="AC21" s="150"/>
      <c r="AD21" s="150"/>
      <c r="AE21" s="150"/>
      <c r="AF21" s="150"/>
      <c r="AG21" s="331"/>
      <c r="AH21" s="331"/>
      <c r="AK21" s="242"/>
      <c r="AL21" s="169"/>
      <c r="AM21" s="169"/>
      <c r="AN21" s="169"/>
      <c r="AO21" s="169"/>
      <c r="AP21" s="169"/>
      <c r="AR21" s="2">
        <f t="shared" si="7"/>
        <v>0</v>
      </c>
      <c r="AS21" s="2">
        <f t="shared" si="8"/>
        <v>0</v>
      </c>
      <c r="AT21" s="358">
        <f t="shared" si="9"/>
        <v>0</v>
      </c>
      <c r="AU21" s="2">
        <f t="shared" si="10"/>
        <v>0</v>
      </c>
      <c r="AV21" s="2">
        <f t="shared" si="11"/>
        <v>0</v>
      </c>
      <c r="AW21" s="358">
        <f t="shared" si="12"/>
        <v>0</v>
      </c>
      <c r="AX21" s="1">
        <f t="shared" si="0"/>
        <v>0</v>
      </c>
      <c r="AY21" s="1">
        <f t="shared" si="1"/>
        <v>0</v>
      </c>
      <c r="AZ21" s="1">
        <f t="shared" si="2"/>
        <v>0</v>
      </c>
      <c r="BA21" s="267">
        <f t="shared" si="3"/>
        <v>0</v>
      </c>
      <c r="BC21" s="2">
        <f t="shared" si="13"/>
        <v>0</v>
      </c>
      <c r="BD21" s="121">
        <f t="shared" si="14"/>
        <v>0</v>
      </c>
      <c r="BE21" s="81">
        <f t="shared" si="15"/>
        <v>0</v>
      </c>
      <c r="BG21" s="39">
        <f t="shared" si="4"/>
        <v>0</v>
      </c>
      <c r="BH21" s="81">
        <f t="shared" si="5"/>
        <v>0</v>
      </c>
    </row>
    <row r="22" spans="2:60" ht="15" customHeight="1" x14ac:dyDescent="0.3">
      <c r="B22" s="11">
        <v>13</v>
      </c>
      <c r="C22" s="229"/>
      <c r="D22" s="169"/>
      <c r="E22" s="240"/>
      <c r="F22" s="29"/>
      <c r="G22" s="35"/>
      <c r="H22" s="29"/>
      <c r="I22" s="11"/>
      <c r="J22" s="337"/>
      <c r="K22" s="83"/>
      <c r="L22" s="120"/>
      <c r="M22" s="42">
        <v>0</v>
      </c>
      <c r="N22" s="42">
        <v>0</v>
      </c>
      <c r="O22" s="42">
        <v>0</v>
      </c>
      <c r="P22" s="42">
        <v>0</v>
      </c>
      <c r="Q22" s="42">
        <v>0</v>
      </c>
      <c r="R22" s="42">
        <v>0</v>
      </c>
      <c r="S22" s="42">
        <v>0</v>
      </c>
      <c r="T22" s="42">
        <f t="shared" si="16"/>
        <v>0</v>
      </c>
      <c r="U22" s="249">
        <f t="shared" si="6"/>
        <v>0</v>
      </c>
      <c r="V22" s="228"/>
      <c r="W22" s="29"/>
      <c r="X22" s="29"/>
      <c r="Y22" s="29"/>
      <c r="Z22" s="29"/>
      <c r="AA22" s="29"/>
      <c r="AB22" s="29"/>
      <c r="AC22" s="150"/>
      <c r="AD22" s="150"/>
      <c r="AE22" s="150"/>
      <c r="AF22" s="150"/>
      <c r="AG22" s="331"/>
      <c r="AH22" s="331"/>
      <c r="AK22" s="242"/>
      <c r="AL22" s="169"/>
      <c r="AM22" s="169"/>
      <c r="AN22" s="169"/>
      <c r="AO22" s="169"/>
      <c r="AP22" s="169"/>
      <c r="AR22" s="2">
        <f t="shared" si="7"/>
        <v>0</v>
      </c>
      <c r="AS22" s="2">
        <f t="shared" si="8"/>
        <v>0</v>
      </c>
      <c r="AT22" s="358">
        <f t="shared" si="9"/>
        <v>0</v>
      </c>
      <c r="AU22" s="2">
        <f t="shared" si="10"/>
        <v>0</v>
      </c>
      <c r="AV22" s="2">
        <f t="shared" si="11"/>
        <v>0</v>
      </c>
      <c r="AW22" s="358">
        <f t="shared" si="12"/>
        <v>0</v>
      </c>
      <c r="AX22" s="1">
        <f t="shared" si="0"/>
        <v>0</v>
      </c>
      <c r="AY22" s="1">
        <f t="shared" si="1"/>
        <v>0</v>
      </c>
      <c r="AZ22" s="1">
        <f t="shared" si="2"/>
        <v>0</v>
      </c>
      <c r="BA22" s="267">
        <f t="shared" si="3"/>
        <v>0</v>
      </c>
      <c r="BC22" s="2">
        <f t="shared" si="13"/>
        <v>0</v>
      </c>
      <c r="BD22" s="121">
        <f t="shared" si="14"/>
        <v>0</v>
      </c>
      <c r="BE22" s="81">
        <f t="shared" si="15"/>
        <v>0</v>
      </c>
      <c r="BG22" s="39">
        <f t="shared" si="4"/>
        <v>0</v>
      </c>
      <c r="BH22" s="81">
        <f t="shared" si="5"/>
        <v>0</v>
      </c>
    </row>
    <row r="23" spans="2:60" ht="15" customHeight="1" x14ac:dyDescent="0.3">
      <c r="B23" s="11">
        <v>14</v>
      </c>
      <c r="C23" s="150"/>
      <c r="D23" s="169"/>
      <c r="E23" s="240"/>
      <c r="F23" s="29"/>
      <c r="G23" s="35"/>
      <c r="H23" s="29"/>
      <c r="I23" s="11"/>
      <c r="J23" s="337"/>
      <c r="K23" s="83"/>
      <c r="L23" s="120"/>
      <c r="M23" s="42">
        <v>0</v>
      </c>
      <c r="N23" s="42">
        <v>0</v>
      </c>
      <c r="O23" s="42">
        <v>0</v>
      </c>
      <c r="P23" s="42">
        <v>0</v>
      </c>
      <c r="Q23" s="42">
        <v>0</v>
      </c>
      <c r="R23" s="42">
        <v>0</v>
      </c>
      <c r="S23" s="42">
        <v>0</v>
      </c>
      <c r="T23" s="42">
        <f t="shared" si="16"/>
        <v>0</v>
      </c>
      <c r="U23" s="249">
        <f t="shared" si="6"/>
        <v>0</v>
      </c>
      <c r="V23" s="228"/>
      <c r="W23" s="29"/>
      <c r="X23" s="29"/>
      <c r="Y23" s="29"/>
      <c r="Z23" s="29"/>
      <c r="AA23" s="29"/>
      <c r="AB23" s="29"/>
      <c r="AC23" s="150"/>
      <c r="AD23" s="150"/>
      <c r="AE23" s="150"/>
      <c r="AF23" s="150"/>
      <c r="AG23" s="331"/>
      <c r="AH23" s="331"/>
      <c r="AK23" s="242"/>
      <c r="AL23" s="169"/>
      <c r="AM23" s="169"/>
      <c r="AN23" s="169"/>
      <c r="AO23" s="169"/>
      <c r="AP23" s="169"/>
      <c r="AR23" s="2">
        <f t="shared" si="7"/>
        <v>0</v>
      </c>
      <c r="AS23" s="2">
        <f t="shared" si="8"/>
        <v>0</v>
      </c>
      <c r="AT23" s="358">
        <f t="shared" si="9"/>
        <v>0</v>
      </c>
      <c r="AU23" s="2">
        <f t="shared" si="10"/>
        <v>0</v>
      </c>
      <c r="AV23" s="2">
        <f t="shared" si="11"/>
        <v>0</v>
      </c>
      <c r="AW23" s="358">
        <f t="shared" si="12"/>
        <v>0</v>
      </c>
      <c r="AX23" s="1">
        <f t="shared" si="0"/>
        <v>0</v>
      </c>
      <c r="AY23" s="1">
        <f t="shared" si="1"/>
        <v>0</v>
      </c>
      <c r="AZ23" s="1">
        <f t="shared" si="2"/>
        <v>0</v>
      </c>
      <c r="BA23" s="267">
        <f t="shared" si="3"/>
        <v>0</v>
      </c>
      <c r="BC23" s="2">
        <f t="shared" si="13"/>
        <v>0</v>
      </c>
      <c r="BD23" s="121">
        <f t="shared" si="14"/>
        <v>0</v>
      </c>
      <c r="BE23" s="81">
        <f t="shared" si="15"/>
        <v>0</v>
      </c>
      <c r="BG23" s="39">
        <f t="shared" si="4"/>
        <v>0</v>
      </c>
      <c r="BH23" s="81">
        <f t="shared" si="5"/>
        <v>0</v>
      </c>
    </row>
    <row r="24" spans="2:60" ht="15" customHeight="1" x14ac:dyDescent="0.3">
      <c r="B24" s="11">
        <v>15</v>
      </c>
      <c r="C24" s="229"/>
      <c r="D24" s="169"/>
      <c r="E24" s="240"/>
      <c r="F24" s="29"/>
      <c r="G24" s="35"/>
      <c r="H24" s="29"/>
      <c r="I24" s="11"/>
      <c r="J24" s="337"/>
      <c r="K24" s="83"/>
      <c r="L24" s="120"/>
      <c r="M24" s="42">
        <v>0</v>
      </c>
      <c r="N24" s="42">
        <v>0</v>
      </c>
      <c r="O24" s="42">
        <v>0</v>
      </c>
      <c r="P24" s="42">
        <v>0</v>
      </c>
      <c r="Q24" s="42">
        <v>0</v>
      </c>
      <c r="R24" s="42">
        <v>0</v>
      </c>
      <c r="S24" s="42">
        <v>0</v>
      </c>
      <c r="T24" s="42">
        <f t="shared" si="16"/>
        <v>0</v>
      </c>
      <c r="U24" s="249">
        <f t="shared" si="6"/>
        <v>0</v>
      </c>
      <c r="V24" s="228"/>
      <c r="W24" s="29"/>
      <c r="X24" s="29"/>
      <c r="Y24" s="29"/>
      <c r="Z24" s="29"/>
      <c r="AA24" s="29"/>
      <c r="AB24" s="29"/>
      <c r="AC24" s="150"/>
      <c r="AD24" s="150"/>
      <c r="AE24" s="150"/>
      <c r="AF24" s="150"/>
      <c r="AG24" s="331"/>
      <c r="AH24" s="331"/>
      <c r="AK24" s="242"/>
      <c r="AL24" s="169"/>
      <c r="AM24" s="169"/>
      <c r="AN24" s="169"/>
      <c r="AO24" s="169"/>
      <c r="AP24" s="169"/>
      <c r="AR24" s="2">
        <f t="shared" si="7"/>
        <v>0</v>
      </c>
      <c r="AS24" s="2">
        <f t="shared" si="8"/>
        <v>0</v>
      </c>
      <c r="AT24" s="358">
        <f t="shared" si="9"/>
        <v>0</v>
      </c>
      <c r="AU24" s="2">
        <f t="shared" si="10"/>
        <v>0</v>
      </c>
      <c r="AV24" s="2">
        <f t="shared" si="11"/>
        <v>0</v>
      </c>
      <c r="AW24" s="358">
        <f t="shared" si="12"/>
        <v>0</v>
      </c>
      <c r="AX24" s="1">
        <f t="shared" si="0"/>
        <v>0</v>
      </c>
      <c r="AY24" s="1">
        <f t="shared" si="1"/>
        <v>0</v>
      </c>
      <c r="AZ24" s="1">
        <f t="shared" si="2"/>
        <v>0</v>
      </c>
      <c r="BA24" s="267">
        <f t="shared" si="3"/>
        <v>0</v>
      </c>
      <c r="BC24" s="2">
        <f t="shared" si="13"/>
        <v>0</v>
      </c>
      <c r="BD24" s="121">
        <f t="shared" si="14"/>
        <v>0</v>
      </c>
      <c r="BE24" s="81">
        <f t="shared" si="15"/>
        <v>0</v>
      </c>
      <c r="BG24" s="39">
        <f t="shared" si="4"/>
        <v>0</v>
      </c>
      <c r="BH24" s="81">
        <f t="shared" si="5"/>
        <v>0</v>
      </c>
    </row>
    <row r="25" spans="2:60" ht="15" customHeight="1" x14ac:dyDescent="0.3">
      <c r="B25" s="11">
        <v>16</v>
      </c>
      <c r="C25" s="229"/>
      <c r="D25" s="169"/>
      <c r="E25" s="240"/>
      <c r="F25" s="29"/>
      <c r="G25" s="35"/>
      <c r="H25" s="29"/>
      <c r="I25" s="11"/>
      <c r="J25" s="337"/>
      <c r="K25" s="83"/>
      <c r="L25" s="120"/>
      <c r="M25" s="42">
        <v>0</v>
      </c>
      <c r="N25" s="42">
        <v>0</v>
      </c>
      <c r="O25" s="42">
        <v>0</v>
      </c>
      <c r="P25" s="42">
        <v>0</v>
      </c>
      <c r="Q25" s="42">
        <v>0</v>
      </c>
      <c r="R25" s="42">
        <v>0</v>
      </c>
      <c r="S25" s="42">
        <v>0</v>
      </c>
      <c r="T25" s="42">
        <f t="shared" si="16"/>
        <v>0</v>
      </c>
      <c r="U25" s="249">
        <f t="shared" si="6"/>
        <v>0</v>
      </c>
      <c r="V25" s="228"/>
      <c r="W25" s="29"/>
      <c r="X25" s="29"/>
      <c r="Y25" s="29"/>
      <c r="Z25" s="29"/>
      <c r="AA25" s="29"/>
      <c r="AB25" s="29"/>
      <c r="AC25" s="150"/>
      <c r="AD25" s="150"/>
      <c r="AE25" s="150"/>
      <c r="AF25" s="150"/>
      <c r="AG25" s="331"/>
      <c r="AH25" s="331"/>
      <c r="AK25" s="242"/>
      <c r="AL25" s="169"/>
      <c r="AM25" s="169"/>
      <c r="AN25" s="169"/>
      <c r="AO25" s="169"/>
      <c r="AP25" s="169"/>
      <c r="AR25" s="2">
        <f t="shared" si="7"/>
        <v>0</v>
      </c>
      <c r="AS25" s="2">
        <f t="shared" si="8"/>
        <v>0</v>
      </c>
      <c r="AT25" s="358">
        <f t="shared" si="9"/>
        <v>0</v>
      </c>
      <c r="AU25" s="2">
        <f t="shared" si="10"/>
        <v>0</v>
      </c>
      <c r="AV25" s="2">
        <f t="shared" si="11"/>
        <v>0</v>
      </c>
      <c r="AW25" s="358">
        <f t="shared" si="12"/>
        <v>0</v>
      </c>
      <c r="AX25" s="1">
        <f t="shared" si="0"/>
        <v>0</v>
      </c>
      <c r="AY25" s="1">
        <f t="shared" si="1"/>
        <v>0</v>
      </c>
      <c r="AZ25" s="1">
        <f t="shared" si="2"/>
        <v>0</v>
      </c>
      <c r="BA25" s="267">
        <f t="shared" si="3"/>
        <v>0</v>
      </c>
      <c r="BC25" s="2">
        <f t="shared" si="13"/>
        <v>0</v>
      </c>
      <c r="BD25" s="121">
        <f t="shared" si="14"/>
        <v>0</v>
      </c>
      <c r="BE25" s="81">
        <f t="shared" si="15"/>
        <v>0</v>
      </c>
      <c r="BG25" s="39">
        <f t="shared" si="4"/>
        <v>0</v>
      </c>
      <c r="BH25" s="81">
        <f t="shared" si="5"/>
        <v>0</v>
      </c>
    </row>
    <row r="26" spans="2:60" ht="15" customHeight="1" x14ac:dyDescent="0.3">
      <c r="B26" s="11">
        <v>17</v>
      </c>
      <c r="C26" s="150"/>
      <c r="D26" s="169"/>
      <c r="E26" s="240"/>
      <c r="F26" s="29"/>
      <c r="G26" s="35"/>
      <c r="H26" s="29"/>
      <c r="I26" s="11"/>
      <c r="J26" s="337"/>
      <c r="K26" s="83"/>
      <c r="L26" s="120"/>
      <c r="M26" s="42">
        <v>0</v>
      </c>
      <c r="N26" s="42">
        <v>0</v>
      </c>
      <c r="O26" s="42">
        <v>0</v>
      </c>
      <c r="P26" s="42">
        <v>0</v>
      </c>
      <c r="Q26" s="42">
        <v>0</v>
      </c>
      <c r="R26" s="42">
        <v>0</v>
      </c>
      <c r="S26" s="42">
        <v>0</v>
      </c>
      <c r="T26" s="42">
        <f t="shared" si="16"/>
        <v>0</v>
      </c>
      <c r="U26" s="249">
        <f t="shared" si="6"/>
        <v>0</v>
      </c>
      <c r="V26" s="228"/>
      <c r="W26" s="29"/>
      <c r="X26" s="29"/>
      <c r="Y26" s="29"/>
      <c r="Z26" s="29"/>
      <c r="AA26" s="29"/>
      <c r="AB26" s="29"/>
      <c r="AC26" s="150"/>
      <c r="AD26" s="150"/>
      <c r="AE26" s="150"/>
      <c r="AF26" s="150"/>
      <c r="AG26" s="331"/>
      <c r="AH26" s="331"/>
      <c r="AK26" s="242"/>
      <c r="AL26" s="169"/>
      <c r="AM26" s="169"/>
      <c r="AN26" s="169"/>
      <c r="AO26" s="169"/>
      <c r="AP26" s="169"/>
      <c r="AR26" s="2">
        <f t="shared" si="7"/>
        <v>0</v>
      </c>
      <c r="AS26" s="2">
        <f t="shared" si="8"/>
        <v>0</v>
      </c>
      <c r="AT26" s="358">
        <f t="shared" si="9"/>
        <v>0</v>
      </c>
      <c r="AU26" s="2">
        <f t="shared" si="10"/>
        <v>0</v>
      </c>
      <c r="AV26" s="2">
        <f t="shared" si="11"/>
        <v>0</v>
      </c>
      <c r="AW26" s="358">
        <f t="shared" si="12"/>
        <v>0</v>
      </c>
      <c r="AX26" s="1">
        <f t="shared" si="0"/>
        <v>0</v>
      </c>
      <c r="AY26" s="1">
        <f t="shared" si="1"/>
        <v>0</v>
      </c>
      <c r="AZ26" s="1">
        <f t="shared" si="2"/>
        <v>0</v>
      </c>
      <c r="BA26" s="267">
        <f t="shared" si="3"/>
        <v>0</v>
      </c>
      <c r="BC26" s="2">
        <f t="shared" si="13"/>
        <v>0</v>
      </c>
      <c r="BD26" s="121">
        <f t="shared" si="14"/>
        <v>0</v>
      </c>
      <c r="BE26" s="81">
        <f t="shared" si="15"/>
        <v>0</v>
      </c>
      <c r="BG26" s="39">
        <f t="shared" si="4"/>
        <v>0</v>
      </c>
      <c r="BH26" s="81">
        <f t="shared" si="5"/>
        <v>0</v>
      </c>
    </row>
    <row r="27" spans="2:60" ht="15" customHeight="1" x14ac:dyDescent="0.3">
      <c r="B27" s="11">
        <v>18</v>
      </c>
      <c r="C27" s="229"/>
      <c r="D27" s="169"/>
      <c r="E27" s="240"/>
      <c r="F27" s="29"/>
      <c r="G27" s="35"/>
      <c r="H27" s="29"/>
      <c r="I27" s="11"/>
      <c r="J27" s="337"/>
      <c r="K27" s="83"/>
      <c r="L27" s="120"/>
      <c r="M27" s="42">
        <v>0</v>
      </c>
      <c r="N27" s="42">
        <v>0</v>
      </c>
      <c r="O27" s="42">
        <v>0</v>
      </c>
      <c r="P27" s="42">
        <v>0</v>
      </c>
      <c r="Q27" s="42">
        <v>0</v>
      </c>
      <c r="R27" s="42">
        <v>0</v>
      </c>
      <c r="S27" s="42">
        <v>0</v>
      </c>
      <c r="T27" s="42">
        <f t="shared" si="16"/>
        <v>0</v>
      </c>
      <c r="U27" s="249">
        <f t="shared" si="6"/>
        <v>0</v>
      </c>
      <c r="V27" s="228"/>
      <c r="W27" s="29"/>
      <c r="X27" s="29"/>
      <c r="Y27" s="29"/>
      <c r="Z27" s="29"/>
      <c r="AA27" s="29"/>
      <c r="AB27" s="29"/>
      <c r="AC27" s="150"/>
      <c r="AD27" s="150"/>
      <c r="AE27" s="150"/>
      <c r="AF27" s="150"/>
      <c r="AG27" s="331"/>
      <c r="AH27" s="331"/>
      <c r="AK27" s="242"/>
      <c r="AL27" s="169"/>
      <c r="AM27" s="169"/>
      <c r="AN27" s="169"/>
      <c r="AO27" s="169"/>
      <c r="AP27" s="169"/>
      <c r="AR27" s="2">
        <f t="shared" si="7"/>
        <v>0</v>
      </c>
      <c r="AS27" s="2">
        <f t="shared" si="8"/>
        <v>0</v>
      </c>
      <c r="AT27" s="358">
        <f t="shared" si="9"/>
        <v>0</v>
      </c>
      <c r="AU27" s="2">
        <f t="shared" si="10"/>
        <v>0</v>
      </c>
      <c r="AV27" s="2">
        <f t="shared" si="11"/>
        <v>0</v>
      </c>
      <c r="AW27" s="358">
        <f t="shared" si="12"/>
        <v>0</v>
      </c>
      <c r="AX27" s="1">
        <f t="shared" si="0"/>
        <v>0</v>
      </c>
      <c r="AY27" s="1">
        <f t="shared" si="1"/>
        <v>0</v>
      </c>
      <c r="AZ27" s="1">
        <f t="shared" si="2"/>
        <v>0</v>
      </c>
      <c r="BA27" s="267">
        <f t="shared" si="3"/>
        <v>0</v>
      </c>
      <c r="BC27" s="2">
        <f t="shared" si="13"/>
        <v>0</v>
      </c>
      <c r="BD27" s="121">
        <f t="shared" si="14"/>
        <v>0</v>
      </c>
      <c r="BE27" s="81">
        <f t="shared" si="15"/>
        <v>0</v>
      </c>
      <c r="BG27" s="39">
        <f t="shared" si="4"/>
        <v>0</v>
      </c>
      <c r="BH27" s="81">
        <f t="shared" si="5"/>
        <v>0</v>
      </c>
    </row>
    <row r="28" spans="2:60" ht="15" customHeight="1" x14ac:dyDescent="0.3">
      <c r="B28" s="11">
        <v>19</v>
      </c>
      <c r="C28" s="229"/>
      <c r="D28" s="169"/>
      <c r="E28" s="240"/>
      <c r="F28" s="29"/>
      <c r="G28" s="35"/>
      <c r="H28" s="29"/>
      <c r="I28" s="11"/>
      <c r="J28" s="337"/>
      <c r="K28" s="83"/>
      <c r="L28" s="120"/>
      <c r="M28" s="42">
        <v>0</v>
      </c>
      <c r="N28" s="42">
        <v>0</v>
      </c>
      <c r="O28" s="42">
        <v>0</v>
      </c>
      <c r="P28" s="42">
        <v>0</v>
      </c>
      <c r="Q28" s="42">
        <v>0</v>
      </c>
      <c r="R28" s="42">
        <v>0</v>
      </c>
      <c r="S28" s="42">
        <v>0</v>
      </c>
      <c r="T28" s="42">
        <f t="shared" si="16"/>
        <v>0</v>
      </c>
      <c r="U28" s="249">
        <f t="shared" si="6"/>
        <v>0</v>
      </c>
      <c r="V28" s="228"/>
      <c r="W28" s="29"/>
      <c r="X28" s="29"/>
      <c r="Y28" s="29"/>
      <c r="Z28" s="29"/>
      <c r="AA28" s="29"/>
      <c r="AB28" s="29"/>
      <c r="AC28" s="150"/>
      <c r="AD28" s="150"/>
      <c r="AE28" s="150"/>
      <c r="AF28" s="150"/>
      <c r="AG28" s="331"/>
      <c r="AH28" s="331"/>
      <c r="AK28" s="242"/>
      <c r="AL28" s="169"/>
      <c r="AM28" s="169"/>
      <c r="AN28" s="169"/>
      <c r="AO28" s="169"/>
      <c r="AP28" s="169"/>
      <c r="AR28" s="2">
        <f t="shared" si="7"/>
        <v>0</v>
      </c>
      <c r="AS28" s="2">
        <f t="shared" si="8"/>
        <v>0</v>
      </c>
      <c r="AT28" s="358">
        <f t="shared" si="9"/>
        <v>0</v>
      </c>
      <c r="AU28" s="2">
        <f t="shared" si="10"/>
        <v>0</v>
      </c>
      <c r="AV28" s="2">
        <f t="shared" si="11"/>
        <v>0</v>
      </c>
      <c r="AW28" s="358">
        <f t="shared" si="12"/>
        <v>0</v>
      </c>
      <c r="AX28" s="1">
        <f t="shared" si="0"/>
        <v>0</v>
      </c>
      <c r="AY28" s="1">
        <f t="shared" si="1"/>
        <v>0</v>
      </c>
      <c r="AZ28" s="1">
        <f t="shared" si="2"/>
        <v>0</v>
      </c>
      <c r="BA28" s="267">
        <f t="shared" si="3"/>
        <v>0</v>
      </c>
      <c r="BC28" s="2">
        <f t="shared" si="13"/>
        <v>0</v>
      </c>
      <c r="BD28" s="121">
        <f t="shared" si="14"/>
        <v>0</v>
      </c>
      <c r="BE28" s="81">
        <f t="shared" si="15"/>
        <v>0</v>
      </c>
      <c r="BG28" s="39">
        <f t="shared" si="4"/>
        <v>0</v>
      </c>
      <c r="BH28" s="81">
        <f t="shared" si="5"/>
        <v>0</v>
      </c>
    </row>
    <row r="29" spans="2:60" ht="15" customHeight="1" x14ac:dyDescent="0.3">
      <c r="B29" s="11">
        <v>20</v>
      </c>
      <c r="C29" s="150"/>
      <c r="D29" s="86"/>
      <c r="E29" s="240"/>
      <c r="F29" s="29"/>
      <c r="G29" s="35"/>
      <c r="H29" s="29"/>
      <c r="I29" s="11"/>
      <c r="J29" s="337"/>
      <c r="K29" s="83"/>
      <c r="L29" s="120"/>
      <c r="M29" s="42">
        <v>0</v>
      </c>
      <c r="N29" s="42">
        <v>0</v>
      </c>
      <c r="O29" s="42">
        <v>0</v>
      </c>
      <c r="P29" s="42">
        <v>0</v>
      </c>
      <c r="Q29" s="42">
        <v>0</v>
      </c>
      <c r="R29" s="42">
        <v>0</v>
      </c>
      <c r="S29" s="42">
        <v>0</v>
      </c>
      <c r="T29" s="42">
        <f t="shared" si="16"/>
        <v>0</v>
      </c>
      <c r="U29" s="249">
        <f t="shared" si="6"/>
        <v>0</v>
      </c>
      <c r="V29" s="228"/>
      <c r="W29" s="29"/>
      <c r="X29" s="29"/>
      <c r="Y29" s="29"/>
      <c r="Z29" s="29"/>
      <c r="AA29" s="29"/>
      <c r="AB29" s="29"/>
      <c r="AC29" s="150"/>
      <c r="AD29" s="150"/>
      <c r="AE29" s="150"/>
      <c r="AF29" s="150"/>
      <c r="AG29" s="331"/>
      <c r="AH29" s="331"/>
      <c r="AK29" s="35"/>
      <c r="AL29" s="86"/>
      <c r="AM29" s="86"/>
      <c r="AN29" s="86"/>
      <c r="AO29" s="86"/>
      <c r="AP29" s="86"/>
      <c r="AR29" s="2">
        <f t="shared" si="7"/>
        <v>0</v>
      </c>
      <c r="AS29" s="2">
        <f t="shared" si="8"/>
        <v>0</v>
      </c>
      <c r="AT29" s="358">
        <f t="shared" si="9"/>
        <v>0</v>
      </c>
      <c r="AU29" s="2">
        <f t="shared" si="10"/>
        <v>0</v>
      </c>
      <c r="AV29" s="2">
        <f t="shared" si="11"/>
        <v>0</v>
      </c>
      <c r="AW29" s="358">
        <f t="shared" si="12"/>
        <v>0</v>
      </c>
      <c r="AX29" s="1">
        <f t="shared" si="0"/>
        <v>0</v>
      </c>
      <c r="AY29" s="1">
        <f t="shared" si="1"/>
        <v>0</v>
      </c>
      <c r="AZ29" s="1">
        <f t="shared" si="2"/>
        <v>0</v>
      </c>
      <c r="BA29" s="267">
        <f t="shared" si="3"/>
        <v>0</v>
      </c>
      <c r="BC29" s="2">
        <f t="shared" si="13"/>
        <v>0</v>
      </c>
      <c r="BD29" s="121">
        <f t="shared" si="14"/>
        <v>0</v>
      </c>
      <c r="BE29" s="81">
        <f t="shared" si="15"/>
        <v>0</v>
      </c>
      <c r="BG29" s="39">
        <f t="shared" si="4"/>
        <v>0</v>
      </c>
      <c r="BH29" s="81">
        <f t="shared" si="5"/>
        <v>0</v>
      </c>
    </row>
    <row r="30" spans="2:60" ht="15" customHeight="1" x14ac:dyDescent="0.3">
      <c r="B30" s="11">
        <v>21</v>
      </c>
      <c r="C30" s="150"/>
      <c r="D30" s="169"/>
      <c r="E30" s="240"/>
      <c r="F30" s="29"/>
      <c r="G30" s="35"/>
      <c r="H30" s="29"/>
      <c r="I30" s="11"/>
      <c r="J30" s="337"/>
      <c r="K30" s="83"/>
      <c r="L30" s="120"/>
      <c r="M30" s="42">
        <v>0</v>
      </c>
      <c r="N30" s="42">
        <v>0</v>
      </c>
      <c r="O30" s="42">
        <v>0</v>
      </c>
      <c r="P30" s="42">
        <v>0</v>
      </c>
      <c r="Q30" s="42">
        <v>0</v>
      </c>
      <c r="R30" s="42">
        <v>0</v>
      </c>
      <c r="S30" s="42">
        <v>0</v>
      </c>
      <c r="T30" s="42">
        <f t="shared" si="16"/>
        <v>0</v>
      </c>
      <c r="U30" s="249">
        <f t="shared" si="6"/>
        <v>0</v>
      </c>
      <c r="V30" s="228"/>
      <c r="W30" s="29"/>
      <c r="X30" s="29"/>
      <c r="Y30" s="29"/>
      <c r="Z30" s="29"/>
      <c r="AA30" s="29"/>
      <c r="AB30" s="29"/>
      <c r="AC30" s="150"/>
      <c r="AD30" s="150"/>
      <c r="AE30" s="150"/>
      <c r="AF30" s="150"/>
      <c r="AG30" s="331"/>
      <c r="AH30" s="331"/>
      <c r="AK30" s="242"/>
      <c r="AL30" s="169"/>
      <c r="AM30" s="169"/>
      <c r="AN30" s="169"/>
      <c r="AO30" s="169"/>
      <c r="AP30" s="169"/>
      <c r="AR30" s="2">
        <f t="shared" si="7"/>
        <v>0</v>
      </c>
      <c r="AS30" s="2">
        <f t="shared" si="8"/>
        <v>0</v>
      </c>
      <c r="AT30" s="358">
        <f t="shared" si="9"/>
        <v>0</v>
      </c>
      <c r="AU30" s="2">
        <f t="shared" si="10"/>
        <v>0</v>
      </c>
      <c r="AV30" s="2">
        <f t="shared" si="11"/>
        <v>0</v>
      </c>
      <c r="AW30" s="358">
        <f t="shared" si="12"/>
        <v>0</v>
      </c>
      <c r="AX30" s="1">
        <f t="shared" si="0"/>
        <v>0</v>
      </c>
      <c r="AY30" s="1">
        <f t="shared" si="1"/>
        <v>0</v>
      </c>
      <c r="AZ30" s="1">
        <f t="shared" si="2"/>
        <v>0</v>
      </c>
      <c r="BA30" s="267">
        <f t="shared" si="3"/>
        <v>0</v>
      </c>
      <c r="BC30" s="2">
        <f t="shared" si="13"/>
        <v>0</v>
      </c>
      <c r="BD30" s="121">
        <f t="shared" si="14"/>
        <v>0</v>
      </c>
      <c r="BE30" s="81">
        <f t="shared" si="15"/>
        <v>0</v>
      </c>
      <c r="BG30" s="39">
        <f t="shared" si="4"/>
        <v>0</v>
      </c>
      <c r="BH30" s="81">
        <f t="shared" si="5"/>
        <v>0</v>
      </c>
    </row>
    <row r="31" spans="2:60" ht="15" customHeight="1" x14ac:dyDescent="0.3">
      <c r="B31" s="11">
        <v>22</v>
      </c>
      <c r="C31" s="150"/>
      <c r="D31" s="86"/>
      <c r="E31" s="240"/>
      <c r="F31" s="29"/>
      <c r="G31" s="35"/>
      <c r="H31" s="29"/>
      <c r="I31" s="11"/>
      <c r="J31" s="337"/>
      <c r="K31" s="83"/>
      <c r="L31" s="120"/>
      <c r="M31" s="42">
        <v>0</v>
      </c>
      <c r="N31" s="42">
        <v>0</v>
      </c>
      <c r="O31" s="42">
        <v>0</v>
      </c>
      <c r="P31" s="42">
        <v>0</v>
      </c>
      <c r="Q31" s="42">
        <v>0</v>
      </c>
      <c r="R31" s="42">
        <v>0</v>
      </c>
      <c r="S31" s="42">
        <v>0</v>
      </c>
      <c r="T31" s="42">
        <f t="shared" si="16"/>
        <v>0</v>
      </c>
      <c r="U31" s="249">
        <f t="shared" si="6"/>
        <v>0</v>
      </c>
      <c r="V31" s="228"/>
      <c r="W31" s="29"/>
      <c r="X31" s="29"/>
      <c r="Y31" s="29"/>
      <c r="Z31" s="29"/>
      <c r="AA31" s="29"/>
      <c r="AB31" s="29"/>
      <c r="AC31" s="150"/>
      <c r="AD31" s="150"/>
      <c r="AE31" s="150"/>
      <c r="AF31" s="150"/>
      <c r="AG31" s="331"/>
      <c r="AH31" s="331"/>
      <c r="AK31" s="35"/>
      <c r="AL31" s="86"/>
      <c r="AM31" s="86"/>
      <c r="AN31" s="86"/>
      <c r="AO31" s="86"/>
      <c r="AP31" s="86"/>
      <c r="AR31" s="2">
        <f t="shared" si="7"/>
        <v>0</v>
      </c>
      <c r="AS31" s="2">
        <f t="shared" si="8"/>
        <v>0</v>
      </c>
      <c r="AT31" s="358">
        <f t="shared" si="9"/>
        <v>0</v>
      </c>
      <c r="AU31" s="2">
        <f t="shared" si="10"/>
        <v>0</v>
      </c>
      <c r="AV31" s="2">
        <f t="shared" si="11"/>
        <v>0</v>
      </c>
      <c r="AW31" s="358">
        <f t="shared" si="12"/>
        <v>0</v>
      </c>
      <c r="AX31" s="1">
        <f t="shared" si="0"/>
        <v>0</v>
      </c>
      <c r="AY31" s="1">
        <f t="shared" si="1"/>
        <v>0</v>
      </c>
      <c r="AZ31" s="1">
        <f t="shared" si="2"/>
        <v>0</v>
      </c>
      <c r="BA31" s="267">
        <f t="shared" si="3"/>
        <v>0</v>
      </c>
      <c r="BC31" s="2">
        <f t="shared" si="13"/>
        <v>0</v>
      </c>
      <c r="BD31" s="121">
        <f t="shared" si="14"/>
        <v>0</v>
      </c>
      <c r="BE31" s="81">
        <f t="shared" si="15"/>
        <v>0</v>
      </c>
      <c r="BG31" s="39">
        <f t="shared" si="4"/>
        <v>0</v>
      </c>
      <c r="BH31" s="81">
        <f t="shared" si="5"/>
        <v>0</v>
      </c>
    </row>
    <row r="32" spans="2:60" ht="15" customHeight="1" x14ac:dyDescent="0.3">
      <c r="B32" s="11">
        <v>23</v>
      </c>
      <c r="C32" s="150"/>
      <c r="D32" s="169"/>
      <c r="E32" s="240"/>
      <c r="F32" s="29"/>
      <c r="G32" s="35"/>
      <c r="H32" s="29"/>
      <c r="I32" s="11"/>
      <c r="J32" s="337"/>
      <c r="K32" s="83"/>
      <c r="L32" s="120"/>
      <c r="M32" s="42">
        <v>0</v>
      </c>
      <c r="N32" s="42">
        <v>0</v>
      </c>
      <c r="O32" s="42">
        <v>0</v>
      </c>
      <c r="P32" s="42">
        <v>0</v>
      </c>
      <c r="Q32" s="42">
        <v>0</v>
      </c>
      <c r="R32" s="42">
        <v>0</v>
      </c>
      <c r="S32" s="42">
        <v>0</v>
      </c>
      <c r="T32" s="42">
        <f t="shared" si="16"/>
        <v>0</v>
      </c>
      <c r="U32" s="249">
        <f t="shared" si="6"/>
        <v>0</v>
      </c>
      <c r="V32" s="228"/>
      <c r="W32" s="29"/>
      <c r="X32" s="29"/>
      <c r="Y32" s="29"/>
      <c r="Z32" s="29"/>
      <c r="AA32" s="29"/>
      <c r="AB32" s="29"/>
      <c r="AC32" s="150"/>
      <c r="AD32" s="150"/>
      <c r="AE32" s="150"/>
      <c r="AF32" s="150"/>
      <c r="AG32" s="331"/>
      <c r="AH32" s="331"/>
      <c r="AK32" s="242"/>
      <c r="AL32" s="169"/>
      <c r="AM32" s="169"/>
      <c r="AN32" s="169"/>
      <c r="AO32" s="169"/>
      <c r="AP32" s="169"/>
      <c r="AR32" s="2">
        <f t="shared" si="7"/>
        <v>0</v>
      </c>
      <c r="AS32" s="2">
        <f t="shared" si="8"/>
        <v>0</v>
      </c>
      <c r="AT32" s="358">
        <f t="shared" si="9"/>
        <v>0</v>
      </c>
      <c r="AU32" s="2">
        <f t="shared" si="10"/>
        <v>0</v>
      </c>
      <c r="AV32" s="2">
        <f t="shared" si="11"/>
        <v>0</v>
      </c>
      <c r="AW32" s="358">
        <f t="shared" si="12"/>
        <v>0</v>
      </c>
      <c r="AX32" s="1">
        <f t="shared" si="0"/>
        <v>0</v>
      </c>
      <c r="AY32" s="1">
        <f t="shared" si="1"/>
        <v>0</v>
      </c>
      <c r="AZ32" s="1">
        <f t="shared" si="2"/>
        <v>0</v>
      </c>
      <c r="BA32" s="267">
        <f t="shared" si="3"/>
        <v>0</v>
      </c>
      <c r="BC32" s="2">
        <f t="shared" si="13"/>
        <v>0</v>
      </c>
      <c r="BD32" s="121">
        <f t="shared" si="14"/>
        <v>0</v>
      </c>
      <c r="BE32" s="81">
        <f t="shared" si="15"/>
        <v>0</v>
      </c>
      <c r="BG32" s="39">
        <f t="shared" si="4"/>
        <v>0</v>
      </c>
      <c r="BH32" s="81">
        <f t="shared" si="5"/>
        <v>0</v>
      </c>
    </row>
    <row r="33" spans="1:60" ht="15.75" customHeight="1" x14ac:dyDescent="0.3">
      <c r="A33" s="7"/>
      <c r="B33" s="11">
        <v>24</v>
      </c>
      <c r="C33" s="150"/>
      <c r="D33" s="169"/>
      <c r="E33" s="240"/>
      <c r="F33" s="29"/>
      <c r="G33" s="35"/>
      <c r="H33" s="29"/>
      <c r="I33" s="11"/>
      <c r="J33" s="337"/>
      <c r="K33" s="83"/>
      <c r="L33" s="120"/>
      <c r="M33" s="42">
        <v>0</v>
      </c>
      <c r="N33" s="42">
        <v>0</v>
      </c>
      <c r="O33" s="42">
        <v>0</v>
      </c>
      <c r="P33" s="42">
        <v>0</v>
      </c>
      <c r="Q33" s="42">
        <v>0</v>
      </c>
      <c r="R33" s="42">
        <v>0</v>
      </c>
      <c r="S33" s="42">
        <v>0</v>
      </c>
      <c r="T33" s="42">
        <f t="shared" si="16"/>
        <v>0</v>
      </c>
      <c r="U33" s="249">
        <f t="shared" si="6"/>
        <v>0</v>
      </c>
      <c r="V33" s="228"/>
      <c r="W33" s="29"/>
      <c r="X33" s="29"/>
      <c r="Y33" s="29"/>
      <c r="Z33" s="29"/>
      <c r="AA33" s="29"/>
      <c r="AB33" s="29"/>
      <c r="AC33" s="150"/>
      <c r="AD33" s="150"/>
      <c r="AE33" s="150"/>
      <c r="AF33" s="150"/>
      <c r="AG33" s="331"/>
      <c r="AH33" s="331"/>
      <c r="AK33" s="242"/>
      <c r="AL33" s="169"/>
      <c r="AM33" s="169"/>
      <c r="AN33" s="169"/>
      <c r="AO33" s="169"/>
      <c r="AP33" s="169"/>
      <c r="AR33" s="2">
        <f t="shared" si="7"/>
        <v>0</v>
      </c>
      <c r="AS33" s="2">
        <f t="shared" si="8"/>
        <v>0</v>
      </c>
      <c r="AT33" s="358">
        <f t="shared" si="9"/>
        <v>0</v>
      </c>
      <c r="AU33" s="2">
        <f t="shared" si="10"/>
        <v>0</v>
      </c>
      <c r="AV33" s="2">
        <f t="shared" si="11"/>
        <v>0</v>
      </c>
      <c r="AW33" s="358">
        <f t="shared" si="12"/>
        <v>0</v>
      </c>
      <c r="AX33" s="1">
        <f t="shared" si="0"/>
        <v>0</v>
      </c>
      <c r="AY33" s="1">
        <f t="shared" si="1"/>
        <v>0</v>
      </c>
      <c r="AZ33" s="1">
        <f t="shared" si="2"/>
        <v>0</v>
      </c>
      <c r="BA33" s="267">
        <f t="shared" si="3"/>
        <v>0</v>
      </c>
      <c r="BC33" s="2">
        <f t="shared" si="13"/>
        <v>0</v>
      </c>
      <c r="BD33" s="121">
        <f t="shared" si="14"/>
        <v>0</v>
      </c>
      <c r="BE33" s="81">
        <f t="shared" si="15"/>
        <v>0</v>
      </c>
      <c r="BG33" s="39">
        <f t="shared" si="4"/>
        <v>0</v>
      </c>
      <c r="BH33" s="81">
        <f t="shared" si="5"/>
        <v>0</v>
      </c>
    </row>
    <row r="34" spans="1:60" ht="15" customHeight="1" x14ac:dyDescent="0.3">
      <c r="B34" s="11">
        <v>25</v>
      </c>
      <c r="C34" s="150"/>
      <c r="D34" s="169"/>
      <c r="E34" s="240"/>
      <c r="F34" s="29"/>
      <c r="G34" s="35"/>
      <c r="H34" s="29"/>
      <c r="I34" s="11"/>
      <c r="J34" s="337"/>
      <c r="K34" s="83"/>
      <c r="L34" s="120"/>
      <c r="M34" s="42">
        <v>0</v>
      </c>
      <c r="N34" s="42">
        <v>0</v>
      </c>
      <c r="O34" s="42">
        <v>0</v>
      </c>
      <c r="P34" s="42">
        <v>0</v>
      </c>
      <c r="Q34" s="42">
        <v>0</v>
      </c>
      <c r="R34" s="42">
        <v>0</v>
      </c>
      <c r="S34" s="42">
        <v>0</v>
      </c>
      <c r="T34" s="42">
        <f t="shared" si="16"/>
        <v>0</v>
      </c>
      <c r="U34" s="249">
        <f t="shared" si="6"/>
        <v>0</v>
      </c>
      <c r="V34" s="228"/>
      <c r="W34" s="29"/>
      <c r="X34" s="29"/>
      <c r="Y34" s="29"/>
      <c r="Z34" s="29"/>
      <c r="AA34" s="29"/>
      <c r="AB34" s="29"/>
      <c r="AC34" s="150"/>
      <c r="AD34" s="150"/>
      <c r="AE34" s="150"/>
      <c r="AF34" s="150"/>
      <c r="AG34" s="331"/>
      <c r="AH34" s="331"/>
      <c r="AK34" s="242"/>
      <c r="AL34" s="169"/>
      <c r="AM34" s="169"/>
      <c r="AN34" s="169"/>
      <c r="AO34" s="169"/>
      <c r="AP34" s="169"/>
      <c r="AR34" s="2">
        <f t="shared" si="7"/>
        <v>0</v>
      </c>
      <c r="AS34" s="2">
        <f t="shared" si="8"/>
        <v>0</v>
      </c>
      <c r="AT34" s="358">
        <f t="shared" si="9"/>
        <v>0</v>
      </c>
      <c r="AU34" s="2">
        <f t="shared" si="10"/>
        <v>0</v>
      </c>
      <c r="AV34" s="2">
        <f t="shared" si="11"/>
        <v>0</v>
      </c>
      <c r="AW34" s="358">
        <f t="shared" si="12"/>
        <v>0</v>
      </c>
      <c r="AX34" s="1">
        <f t="shared" si="0"/>
        <v>0</v>
      </c>
      <c r="AY34" s="1">
        <f t="shared" si="1"/>
        <v>0</v>
      </c>
      <c r="AZ34" s="1">
        <f t="shared" si="2"/>
        <v>0</v>
      </c>
      <c r="BA34" s="267">
        <f t="shared" si="3"/>
        <v>0</v>
      </c>
      <c r="BC34" s="2">
        <f t="shared" si="13"/>
        <v>0</v>
      </c>
      <c r="BD34" s="121">
        <f t="shared" si="14"/>
        <v>0</v>
      </c>
      <c r="BE34" s="81">
        <f t="shared" si="15"/>
        <v>0</v>
      </c>
      <c r="BG34" s="39">
        <f t="shared" si="4"/>
        <v>0</v>
      </c>
      <c r="BH34" s="81">
        <f t="shared" si="5"/>
        <v>0</v>
      </c>
    </row>
    <row r="35" spans="1:60" ht="15" customHeight="1" x14ac:dyDescent="0.3">
      <c r="B35" s="11">
        <v>26</v>
      </c>
      <c r="C35" s="150"/>
      <c r="D35" s="86"/>
      <c r="E35" s="240"/>
      <c r="F35" s="29"/>
      <c r="G35" s="35"/>
      <c r="H35" s="29"/>
      <c r="I35" s="11"/>
      <c r="J35" s="337"/>
      <c r="K35" s="83"/>
      <c r="L35" s="120"/>
      <c r="M35" s="42">
        <v>0</v>
      </c>
      <c r="N35" s="42">
        <v>0</v>
      </c>
      <c r="O35" s="42">
        <v>0</v>
      </c>
      <c r="P35" s="42">
        <v>0</v>
      </c>
      <c r="Q35" s="42">
        <v>0</v>
      </c>
      <c r="R35" s="42">
        <v>0</v>
      </c>
      <c r="S35" s="42">
        <v>0</v>
      </c>
      <c r="T35" s="42">
        <f t="shared" si="16"/>
        <v>0</v>
      </c>
      <c r="U35" s="249">
        <f t="shared" si="6"/>
        <v>0</v>
      </c>
      <c r="V35" s="228"/>
      <c r="W35" s="29"/>
      <c r="X35" s="29"/>
      <c r="Y35" s="29"/>
      <c r="Z35" s="29"/>
      <c r="AA35" s="29"/>
      <c r="AB35" s="29"/>
      <c r="AC35" s="150"/>
      <c r="AD35" s="150"/>
      <c r="AE35" s="150"/>
      <c r="AF35" s="150"/>
      <c r="AG35" s="331"/>
      <c r="AH35" s="331"/>
      <c r="AK35" s="35"/>
      <c r="AL35" s="86"/>
      <c r="AM35" s="86"/>
      <c r="AN35" s="86"/>
      <c r="AO35" s="86"/>
      <c r="AP35" s="86"/>
      <c r="AR35" s="2">
        <f t="shared" si="7"/>
        <v>0</v>
      </c>
      <c r="AS35" s="2">
        <f t="shared" si="8"/>
        <v>0</v>
      </c>
      <c r="AT35" s="358">
        <f t="shared" si="9"/>
        <v>0</v>
      </c>
      <c r="AU35" s="2">
        <f t="shared" si="10"/>
        <v>0</v>
      </c>
      <c r="AV35" s="2">
        <f t="shared" si="11"/>
        <v>0</v>
      </c>
      <c r="AW35" s="358">
        <f t="shared" si="12"/>
        <v>0</v>
      </c>
      <c r="AX35" s="1">
        <f t="shared" si="0"/>
        <v>0</v>
      </c>
      <c r="AY35" s="1">
        <f t="shared" si="1"/>
        <v>0</v>
      </c>
      <c r="AZ35" s="1">
        <f t="shared" si="2"/>
        <v>0</v>
      </c>
      <c r="BA35" s="267">
        <f t="shared" si="3"/>
        <v>0</v>
      </c>
      <c r="BC35" s="2">
        <f t="shared" si="13"/>
        <v>0</v>
      </c>
      <c r="BD35" s="121">
        <f t="shared" si="14"/>
        <v>0</v>
      </c>
      <c r="BE35" s="81">
        <f t="shared" si="15"/>
        <v>0</v>
      </c>
      <c r="BG35" s="39">
        <f t="shared" si="4"/>
        <v>0</v>
      </c>
      <c r="BH35" s="81">
        <f t="shared" si="5"/>
        <v>0</v>
      </c>
    </row>
    <row r="36" spans="1:60" ht="15" customHeight="1" x14ac:dyDescent="0.3">
      <c r="B36" s="11">
        <v>27</v>
      </c>
      <c r="C36" s="229"/>
      <c r="D36" s="169"/>
      <c r="E36" s="240"/>
      <c r="F36" s="29"/>
      <c r="G36" s="35"/>
      <c r="H36" s="29"/>
      <c r="I36" s="11"/>
      <c r="J36" s="337"/>
      <c r="K36" s="83"/>
      <c r="L36" s="120"/>
      <c r="M36" s="42">
        <v>0</v>
      </c>
      <c r="N36" s="42">
        <v>0</v>
      </c>
      <c r="O36" s="42">
        <v>0</v>
      </c>
      <c r="P36" s="42">
        <v>0</v>
      </c>
      <c r="Q36" s="42">
        <v>0</v>
      </c>
      <c r="R36" s="42">
        <v>0</v>
      </c>
      <c r="S36" s="42">
        <v>0</v>
      </c>
      <c r="T36" s="42">
        <f t="shared" si="16"/>
        <v>0</v>
      </c>
      <c r="U36" s="249">
        <f t="shared" si="6"/>
        <v>0</v>
      </c>
      <c r="V36" s="228"/>
      <c r="W36" s="29"/>
      <c r="X36" s="29"/>
      <c r="Y36" s="29"/>
      <c r="Z36" s="29"/>
      <c r="AA36" s="29"/>
      <c r="AB36" s="29"/>
      <c r="AC36" s="150"/>
      <c r="AD36" s="150"/>
      <c r="AE36" s="150"/>
      <c r="AF36" s="150"/>
      <c r="AG36" s="331"/>
      <c r="AH36" s="331"/>
      <c r="AK36" s="242"/>
      <c r="AL36" s="169"/>
      <c r="AM36" s="169"/>
      <c r="AN36" s="169"/>
      <c r="AO36" s="169"/>
      <c r="AP36" s="169"/>
      <c r="AR36" s="2">
        <f t="shared" si="7"/>
        <v>0</v>
      </c>
      <c r="AS36" s="2">
        <f t="shared" si="8"/>
        <v>0</v>
      </c>
      <c r="AT36" s="358">
        <f t="shared" si="9"/>
        <v>0</v>
      </c>
      <c r="AU36" s="2">
        <f t="shared" si="10"/>
        <v>0</v>
      </c>
      <c r="AV36" s="2">
        <f t="shared" si="11"/>
        <v>0</v>
      </c>
      <c r="AW36" s="358">
        <f t="shared" si="12"/>
        <v>0</v>
      </c>
      <c r="AX36" s="1">
        <f t="shared" si="0"/>
        <v>0</v>
      </c>
      <c r="AY36" s="1">
        <f t="shared" si="1"/>
        <v>0</v>
      </c>
      <c r="AZ36" s="1">
        <f t="shared" si="2"/>
        <v>0</v>
      </c>
      <c r="BA36" s="267">
        <f t="shared" si="3"/>
        <v>0</v>
      </c>
      <c r="BC36" s="2">
        <f t="shared" si="13"/>
        <v>0</v>
      </c>
      <c r="BD36" s="121">
        <f t="shared" si="14"/>
        <v>0</v>
      </c>
      <c r="BE36" s="81">
        <f t="shared" si="15"/>
        <v>0</v>
      </c>
      <c r="BG36" s="39">
        <f t="shared" si="4"/>
        <v>0</v>
      </c>
      <c r="BH36" s="81">
        <f t="shared" si="5"/>
        <v>0</v>
      </c>
    </row>
    <row r="37" spans="1:60" ht="15" customHeight="1" x14ac:dyDescent="0.3">
      <c r="B37" s="11">
        <v>28</v>
      </c>
      <c r="C37" s="150"/>
      <c r="D37" s="169"/>
      <c r="E37" s="240"/>
      <c r="F37" s="29"/>
      <c r="G37" s="35"/>
      <c r="H37" s="29"/>
      <c r="I37" s="11"/>
      <c r="J37" s="337"/>
      <c r="K37" s="83"/>
      <c r="L37" s="120"/>
      <c r="M37" s="42">
        <v>0</v>
      </c>
      <c r="N37" s="42">
        <v>0</v>
      </c>
      <c r="O37" s="42">
        <v>0</v>
      </c>
      <c r="P37" s="42">
        <v>0</v>
      </c>
      <c r="Q37" s="42">
        <v>0</v>
      </c>
      <c r="R37" s="42">
        <v>0</v>
      </c>
      <c r="S37" s="42">
        <v>0</v>
      </c>
      <c r="T37" s="42">
        <f t="shared" si="16"/>
        <v>0</v>
      </c>
      <c r="U37" s="249">
        <f t="shared" si="6"/>
        <v>0</v>
      </c>
      <c r="V37" s="228"/>
      <c r="W37" s="29"/>
      <c r="X37" s="29"/>
      <c r="Y37" s="29"/>
      <c r="Z37" s="29"/>
      <c r="AA37" s="29"/>
      <c r="AB37" s="29"/>
      <c r="AC37" s="150"/>
      <c r="AD37" s="150"/>
      <c r="AE37" s="150"/>
      <c r="AF37" s="150"/>
      <c r="AG37" s="331"/>
      <c r="AH37" s="331"/>
      <c r="AK37" s="242"/>
      <c r="AL37" s="169"/>
      <c r="AM37" s="169"/>
      <c r="AN37" s="169"/>
      <c r="AO37" s="169"/>
      <c r="AP37" s="169"/>
      <c r="AR37" s="2">
        <f t="shared" si="7"/>
        <v>0</v>
      </c>
      <c r="AS37" s="2">
        <f t="shared" si="8"/>
        <v>0</v>
      </c>
      <c r="AT37" s="358">
        <f t="shared" si="9"/>
        <v>0</v>
      </c>
      <c r="AU37" s="2">
        <f t="shared" si="10"/>
        <v>0</v>
      </c>
      <c r="AV37" s="2">
        <f t="shared" si="11"/>
        <v>0</v>
      </c>
      <c r="AW37" s="358">
        <f t="shared" si="12"/>
        <v>0</v>
      </c>
      <c r="AX37" s="1">
        <f t="shared" si="0"/>
        <v>0</v>
      </c>
      <c r="AY37" s="1">
        <f t="shared" si="1"/>
        <v>0</v>
      </c>
      <c r="AZ37" s="1">
        <f t="shared" si="2"/>
        <v>0</v>
      </c>
      <c r="BA37" s="267">
        <f t="shared" si="3"/>
        <v>0</v>
      </c>
      <c r="BC37" s="2">
        <f t="shared" si="13"/>
        <v>0</v>
      </c>
      <c r="BD37" s="121">
        <f t="shared" si="14"/>
        <v>0</v>
      </c>
      <c r="BE37" s="81">
        <f t="shared" si="15"/>
        <v>0</v>
      </c>
      <c r="BG37" s="39">
        <f t="shared" si="4"/>
        <v>0</v>
      </c>
      <c r="BH37" s="81">
        <f t="shared" si="5"/>
        <v>0</v>
      </c>
    </row>
    <row r="38" spans="1:60" ht="15" customHeight="1" x14ac:dyDescent="0.3">
      <c r="B38" s="11">
        <v>29</v>
      </c>
      <c r="C38" s="150"/>
      <c r="D38" s="169"/>
      <c r="E38" s="240"/>
      <c r="F38" s="29"/>
      <c r="G38" s="35"/>
      <c r="H38" s="29"/>
      <c r="I38" s="11"/>
      <c r="J38" s="337"/>
      <c r="K38" s="83"/>
      <c r="L38" s="120"/>
      <c r="M38" s="42">
        <v>0</v>
      </c>
      <c r="N38" s="42">
        <v>0</v>
      </c>
      <c r="O38" s="42">
        <v>0</v>
      </c>
      <c r="P38" s="42">
        <v>0</v>
      </c>
      <c r="Q38" s="42">
        <v>0</v>
      </c>
      <c r="R38" s="42">
        <v>0</v>
      </c>
      <c r="S38" s="42">
        <v>0</v>
      </c>
      <c r="T38" s="42">
        <f t="shared" si="16"/>
        <v>0</v>
      </c>
      <c r="U38" s="249">
        <f t="shared" si="6"/>
        <v>0</v>
      </c>
      <c r="V38" s="228"/>
      <c r="W38" s="29"/>
      <c r="X38" s="29"/>
      <c r="Y38" s="29"/>
      <c r="Z38" s="29"/>
      <c r="AA38" s="29"/>
      <c r="AB38" s="29"/>
      <c r="AC38" s="150"/>
      <c r="AD38" s="150"/>
      <c r="AE38" s="150"/>
      <c r="AF38" s="150"/>
      <c r="AG38" s="331"/>
      <c r="AH38" s="331"/>
      <c r="AK38" s="242"/>
      <c r="AL38" s="169"/>
      <c r="AM38" s="169"/>
      <c r="AN38" s="169"/>
      <c r="AO38" s="169"/>
      <c r="AP38" s="169"/>
      <c r="AR38" s="2">
        <f t="shared" si="7"/>
        <v>0</v>
      </c>
      <c r="AS38" s="2">
        <f t="shared" si="8"/>
        <v>0</v>
      </c>
      <c r="AT38" s="358">
        <f t="shared" si="9"/>
        <v>0</v>
      </c>
      <c r="AU38" s="2">
        <f t="shared" si="10"/>
        <v>0</v>
      </c>
      <c r="AV38" s="2">
        <f t="shared" si="11"/>
        <v>0</v>
      </c>
      <c r="AW38" s="358">
        <f t="shared" si="12"/>
        <v>0</v>
      </c>
      <c r="AX38" s="1">
        <f t="shared" si="0"/>
        <v>0</v>
      </c>
      <c r="AY38" s="1">
        <f t="shared" si="1"/>
        <v>0</v>
      </c>
      <c r="AZ38" s="1">
        <f t="shared" si="2"/>
        <v>0</v>
      </c>
      <c r="BA38" s="267">
        <f t="shared" si="3"/>
        <v>0</v>
      </c>
      <c r="BC38" s="2">
        <f t="shared" si="13"/>
        <v>0</v>
      </c>
      <c r="BD38" s="121">
        <f t="shared" si="14"/>
        <v>0</v>
      </c>
      <c r="BE38" s="81">
        <f t="shared" si="15"/>
        <v>0</v>
      </c>
      <c r="BG38" s="39">
        <f t="shared" si="4"/>
        <v>0</v>
      </c>
      <c r="BH38" s="81">
        <f t="shared" si="5"/>
        <v>0</v>
      </c>
    </row>
    <row r="39" spans="1:60" ht="15" customHeight="1" x14ac:dyDescent="0.3">
      <c r="B39" s="11">
        <v>30</v>
      </c>
      <c r="C39" s="229"/>
      <c r="D39" s="169"/>
      <c r="E39" s="240"/>
      <c r="F39" s="29"/>
      <c r="G39" s="35"/>
      <c r="H39" s="29"/>
      <c r="I39" s="11"/>
      <c r="J39" s="337"/>
      <c r="K39" s="83"/>
      <c r="L39" s="120"/>
      <c r="M39" s="42">
        <v>0</v>
      </c>
      <c r="N39" s="42">
        <v>0</v>
      </c>
      <c r="O39" s="42">
        <v>0</v>
      </c>
      <c r="P39" s="42">
        <v>0</v>
      </c>
      <c r="Q39" s="42">
        <v>0</v>
      </c>
      <c r="R39" s="42">
        <v>0</v>
      </c>
      <c r="S39" s="42">
        <v>0</v>
      </c>
      <c r="T39" s="42">
        <f t="shared" si="16"/>
        <v>0</v>
      </c>
      <c r="U39" s="249">
        <f t="shared" si="6"/>
        <v>0</v>
      </c>
      <c r="V39" s="228"/>
      <c r="W39" s="29"/>
      <c r="X39" s="29"/>
      <c r="Y39" s="29"/>
      <c r="Z39" s="29"/>
      <c r="AA39" s="29"/>
      <c r="AB39" s="29"/>
      <c r="AC39" s="150"/>
      <c r="AD39" s="150"/>
      <c r="AE39" s="150"/>
      <c r="AF39" s="150"/>
      <c r="AG39" s="331"/>
      <c r="AH39" s="331"/>
      <c r="AK39" s="242"/>
      <c r="AL39" s="169"/>
      <c r="AM39" s="169"/>
      <c r="AN39" s="169"/>
      <c r="AO39" s="169"/>
      <c r="AP39" s="169"/>
      <c r="AR39" s="2">
        <f t="shared" si="7"/>
        <v>0</v>
      </c>
      <c r="AS39" s="2">
        <f t="shared" si="8"/>
        <v>0</v>
      </c>
      <c r="AT39" s="358">
        <f t="shared" si="9"/>
        <v>0</v>
      </c>
      <c r="AU39" s="2">
        <f t="shared" si="10"/>
        <v>0</v>
      </c>
      <c r="AV39" s="2">
        <f t="shared" si="11"/>
        <v>0</v>
      </c>
      <c r="AW39" s="358">
        <f t="shared" si="12"/>
        <v>0</v>
      </c>
      <c r="AX39" s="1">
        <f t="shared" si="0"/>
        <v>0</v>
      </c>
      <c r="AY39" s="1">
        <f t="shared" si="1"/>
        <v>0</v>
      </c>
      <c r="AZ39" s="1">
        <f t="shared" si="2"/>
        <v>0</v>
      </c>
      <c r="BA39" s="267">
        <f t="shared" si="3"/>
        <v>0</v>
      </c>
      <c r="BC39" s="2">
        <f t="shared" si="13"/>
        <v>0</v>
      </c>
      <c r="BD39" s="121">
        <f t="shared" si="14"/>
        <v>0</v>
      </c>
      <c r="BE39" s="81">
        <f t="shared" si="15"/>
        <v>0</v>
      </c>
      <c r="BG39" s="39">
        <f t="shared" si="4"/>
        <v>0</v>
      </c>
      <c r="BH39" s="81">
        <f t="shared" si="5"/>
        <v>0</v>
      </c>
    </row>
    <row r="40" spans="1:60" ht="15" customHeight="1" x14ac:dyDescent="0.3">
      <c r="B40" s="11">
        <v>31</v>
      </c>
      <c r="C40" s="150"/>
      <c r="D40" s="169"/>
      <c r="E40" s="240"/>
      <c r="F40" s="29"/>
      <c r="G40" s="35"/>
      <c r="H40" s="29"/>
      <c r="I40" s="11"/>
      <c r="J40" s="337"/>
      <c r="K40" s="83"/>
      <c r="L40" s="120"/>
      <c r="M40" s="42">
        <v>0</v>
      </c>
      <c r="N40" s="42">
        <v>0</v>
      </c>
      <c r="O40" s="42">
        <v>0</v>
      </c>
      <c r="P40" s="42">
        <v>0</v>
      </c>
      <c r="Q40" s="42">
        <v>0</v>
      </c>
      <c r="R40" s="42">
        <v>0</v>
      </c>
      <c r="S40" s="42">
        <v>0</v>
      </c>
      <c r="T40" s="42">
        <f t="shared" si="16"/>
        <v>0</v>
      </c>
      <c r="U40" s="249">
        <f t="shared" si="6"/>
        <v>0</v>
      </c>
      <c r="V40" s="228"/>
      <c r="W40" s="29"/>
      <c r="X40" s="29"/>
      <c r="Y40" s="29"/>
      <c r="Z40" s="29"/>
      <c r="AA40" s="29"/>
      <c r="AB40" s="29"/>
      <c r="AC40" s="150"/>
      <c r="AD40" s="150"/>
      <c r="AE40" s="150"/>
      <c r="AF40" s="150"/>
      <c r="AG40" s="331"/>
      <c r="AH40" s="331"/>
      <c r="AK40" s="242"/>
      <c r="AL40" s="169"/>
      <c r="AM40" s="169"/>
      <c r="AN40" s="169"/>
      <c r="AO40" s="169"/>
      <c r="AP40" s="169"/>
      <c r="AR40" s="2">
        <f t="shared" si="7"/>
        <v>0</v>
      </c>
      <c r="AS40" s="2">
        <f t="shared" si="8"/>
        <v>0</v>
      </c>
      <c r="AT40" s="358">
        <f t="shared" si="9"/>
        <v>0</v>
      </c>
      <c r="AU40" s="2">
        <f t="shared" si="10"/>
        <v>0</v>
      </c>
      <c r="AV40" s="2">
        <f t="shared" si="11"/>
        <v>0</v>
      </c>
      <c r="AW40" s="358">
        <f t="shared" si="12"/>
        <v>0</v>
      </c>
      <c r="AX40" s="1">
        <f t="shared" si="0"/>
        <v>0</v>
      </c>
      <c r="AY40" s="1">
        <f t="shared" si="1"/>
        <v>0</v>
      </c>
      <c r="AZ40" s="1">
        <f t="shared" si="2"/>
        <v>0</v>
      </c>
      <c r="BA40" s="267">
        <f t="shared" si="3"/>
        <v>0</v>
      </c>
      <c r="BC40" s="2">
        <f t="shared" si="13"/>
        <v>0</v>
      </c>
      <c r="BD40" s="121">
        <f t="shared" si="14"/>
        <v>0</v>
      </c>
      <c r="BE40" s="81">
        <f t="shared" si="15"/>
        <v>0</v>
      </c>
      <c r="BG40" s="39">
        <f t="shared" si="4"/>
        <v>0</v>
      </c>
      <c r="BH40" s="81">
        <f t="shared" si="5"/>
        <v>0</v>
      </c>
    </row>
    <row r="41" spans="1:60" ht="15" customHeight="1" x14ac:dyDescent="0.3">
      <c r="B41" s="11">
        <v>32</v>
      </c>
      <c r="C41" s="150"/>
      <c r="D41" s="86"/>
      <c r="E41" s="240"/>
      <c r="F41" s="29"/>
      <c r="G41" s="35"/>
      <c r="H41" s="29"/>
      <c r="I41" s="11"/>
      <c r="J41" s="337"/>
      <c r="K41" s="83"/>
      <c r="L41" s="120"/>
      <c r="M41" s="42">
        <v>0</v>
      </c>
      <c r="N41" s="42">
        <v>0</v>
      </c>
      <c r="O41" s="42">
        <v>0</v>
      </c>
      <c r="P41" s="42">
        <v>0</v>
      </c>
      <c r="Q41" s="42">
        <v>0</v>
      </c>
      <c r="R41" s="42">
        <v>0</v>
      </c>
      <c r="S41" s="42">
        <v>0</v>
      </c>
      <c r="T41" s="42">
        <f t="shared" si="16"/>
        <v>0</v>
      </c>
      <c r="U41" s="249">
        <f t="shared" si="6"/>
        <v>0</v>
      </c>
      <c r="V41" s="228"/>
      <c r="W41" s="29"/>
      <c r="X41" s="29"/>
      <c r="Y41" s="29"/>
      <c r="Z41" s="29"/>
      <c r="AA41" s="29"/>
      <c r="AB41" s="29"/>
      <c r="AC41" s="150"/>
      <c r="AD41" s="150"/>
      <c r="AE41" s="150"/>
      <c r="AF41" s="150"/>
      <c r="AG41" s="331"/>
      <c r="AH41" s="331"/>
      <c r="AK41" s="35"/>
      <c r="AL41" s="86"/>
      <c r="AM41" s="86"/>
      <c r="AN41" s="86"/>
      <c r="AO41" s="86"/>
      <c r="AP41" s="86"/>
      <c r="AR41" s="2">
        <f t="shared" si="7"/>
        <v>0</v>
      </c>
      <c r="AS41" s="2">
        <f t="shared" si="8"/>
        <v>0</v>
      </c>
      <c r="AT41" s="358">
        <f t="shared" si="9"/>
        <v>0</v>
      </c>
      <c r="AU41" s="2">
        <f t="shared" si="10"/>
        <v>0</v>
      </c>
      <c r="AV41" s="2">
        <f t="shared" si="11"/>
        <v>0</v>
      </c>
      <c r="AW41" s="358">
        <f t="shared" si="12"/>
        <v>0</v>
      </c>
      <c r="AX41" s="1">
        <f t="shared" ref="AX41:AX59" si="17">M41+N41</f>
        <v>0</v>
      </c>
      <c r="AY41" s="1">
        <f t="shared" ref="AY41:AY59" si="18">O41</f>
        <v>0</v>
      </c>
      <c r="AZ41" s="1">
        <f t="shared" ref="AZ41:AZ59" si="19">R41</f>
        <v>0</v>
      </c>
      <c r="BA41" s="267">
        <f t="shared" ref="BA41:BA59" si="20">SUM(AX41:AZ41)</f>
        <v>0</v>
      </c>
      <c r="BC41" s="2">
        <f t="shared" si="13"/>
        <v>0</v>
      </c>
      <c r="BD41" s="121">
        <f t="shared" si="14"/>
        <v>0</v>
      </c>
      <c r="BE41" s="81">
        <f t="shared" si="15"/>
        <v>0</v>
      </c>
      <c r="BG41" s="39">
        <f t="shared" ref="BG41:BG59" si="21">T41-BA41</f>
        <v>0</v>
      </c>
      <c r="BH41" s="81">
        <f t="shared" ref="BH41:BH60" si="22">BG41-Q41-P41</f>
        <v>0</v>
      </c>
    </row>
    <row r="42" spans="1:60" ht="15" customHeight="1" x14ac:dyDescent="0.3">
      <c r="B42" s="11">
        <v>33</v>
      </c>
      <c r="C42" s="229"/>
      <c r="D42" s="169"/>
      <c r="E42" s="240"/>
      <c r="F42" s="29"/>
      <c r="G42" s="35"/>
      <c r="H42" s="29"/>
      <c r="I42" s="11"/>
      <c r="J42" s="337"/>
      <c r="K42" s="83"/>
      <c r="L42" s="120"/>
      <c r="M42" s="42">
        <v>0</v>
      </c>
      <c r="N42" s="42">
        <v>0</v>
      </c>
      <c r="O42" s="42">
        <v>0</v>
      </c>
      <c r="P42" s="42">
        <v>0</v>
      </c>
      <c r="Q42" s="42">
        <v>0</v>
      </c>
      <c r="R42" s="42">
        <v>0</v>
      </c>
      <c r="S42" s="42">
        <v>0</v>
      </c>
      <c r="T42" s="42">
        <f t="shared" si="16"/>
        <v>0</v>
      </c>
      <c r="U42" s="249">
        <f t="shared" ref="U42:U58" si="23">E42-T42</f>
        <v>0</v>
      </c>
      <c r="V42" s="228"/>
      <c r="W42" s="29"/>
      <c r="X42" s="29"/>
      <c r="Y42" s="29"/>
      <c r="Z42" s="29"/>
      <c r="AA42" s="29"/>
      <c r="AB42" s="29"/>
      <c r="AC42" s="150"/>
      <c r="AD42" s="150"/>
      <c r="AE42" s="150"/>
      <c r="AF42" s="150"/>
      <c r="AG42" s="331"/>
      <c r="AH42" s="331"/>
      <c r="AK42" s="242"/>
      <c r="AL42" s="169"/>
      <c r="AM42" s="169"/>
      <c r="AN42" s="169"/>
      <c r="AO42" s="169"/>
      <c r="AP42" s="169"/>
      <c r="AR42" s="2">
        <f t="shared" ref="AR42:AR59" si="24">G42</f>
        <v>0</v>
      </c>
      <c r="AS42" s="2">
        <f t="shared" ref="AS42:AS59" si="25">H42</f>
        <v>0</v>
      </c>
      <c r="AT42" s="358">
        <f t="shared" ref="AT42:AT59" si="26">I42</f>
        <v>0</v>
      </c>
      <c r="AU42" s="2">
        <f t="shared" ref="AU42:AU59" si="27">AD42</f>
        <v>0</v>
      </c>
      <c r="AV42" s="2">
        <f t="shared" ref="AV42:AV59" si="28">AF42</f>
        <v>0</v>
      </c>
      <c r="AW42" s="358">
        <f t="shared" ref="AW42:AW59" si="29">I42</f>
        <v>0</v>
      </c>
      <c r="AX42" s="1">
        <f t="shared" si="17"/>
        <v>0</v>
      </c>
      <c r="AY42" s="1">
        <f t="shared" si="18"/>
        <v>0</v>
      </c>
      <c r="AZ42" s="1">
        <f t="shared" si="19"/>
        <v>0</v>
      </c>
      <c r="BA42" s="267">
        <f t="shared" si="20"/>
        <v>0</v>
      </c>
      <c r="BC42" s="2">
        <f t="shared" ref="BC42:BC58" si="30">K42</f>
        <v>0</v>
      </c>
      <c r="BD42" s="121">
        <f t="shared" ref="BD42:BD58" si="31">J42</f>
        <v>0</v>
      </c>
      <c r="BE42" s="81">
        <f t="shared" ref="BE42:BE60" si="32">BA42-T42+Q42+P42</f>
        <v>0</v>
      </c>
      <c r="BG42" s="39">
        <f t="shared" si="21"/>
        <v>0</v>
      </c>
      <c r="BH42" s="81">
        <f t="shared" si="22"/>
        <v>0</v>
      </c>
    </row>
    <row r="43" spans="1:60" ht="15" customHeight="1" x14ac:dyDescent="0.3">
      <c r="B43" s="11">
        <v>34</v>
      </c>
      <c r="C43" s="150"/>
      <c r="D43" s="86"/>
      <c r="E43" s="240"/>
      <c r="F43" s="29"/>
      <c r="G43" s="35"/>
      <c r="H43" s="29"/>
      <c r="I43" s="11"/>
      <c r="J43" s="337"/>
      <c r="K43" s="83"/>
      <c r="L43" s="120"/>
      <c r="M43" s="42">
        <v>0</v>
      </c>
      <c r="N43" s="42">
        <v>0</v>
      </c>
      <c r="O43" s="42">
        <v>0</v>
      </c>
      <c r="P43" s="42">
        <v>0</v>
      </c>
      <c r="Q43" s="42">
        <v>0</v>
      </c>
      <c r="R43" s="42">
        <v>0</v>
      </c>
      <c r="S43" s="42">
        <v>0</v>
      </c>
      <c r="T43" s="42">
        <f t="shared" si="16"/>
        <v>0</v>
      </c>
      <c r="U43" s="249">
        <f t="shared" si="23"/>
        <v>0</v>
      </c>
      <c r="V43" s="228"/>
      <c r="W43" s="29"/>
      <c r="X43" s="29"/>
      <c r="Y43" s="29"/>
      <c r="Z43" s="29"/>
      <c r="AA43" s="29"/>
      <c r="AB43" s="29"/>
      <c r="AC43" s="150"/>
      <c r="AD43" s="150"/>
      <c r="AE43" s="150"/>
      <c r="AF43" s="150"/>
      <c r="AG43" s="331"/>
      <c r="AH43" s="331"/>
      <c r="AK43" s="35"/>
      <c r="AL43" s="86"/>
      <c r="AM43" s="86"/>
      <c r="AN43" s="86"/>
      <c r="AO43" s="86"/>
      <c r="AP43" s="86"/>
      <c r="AR43" s="2">
        <f t="shared" si="24"/>
        <v>0</v>
      </c>
      <c r="AS43" s="2">
        <f t="shared" si="25"/>
        <v>0</v>
      </c>
      <c r="AT43" s="358">
        <f t="shared" si="26"/>
        <v>0</v>
      </c>
      <c r="AU43" s="2">
        <f t="shared" si="27"/>
        <v>0</v>
      </c>
      <c r="AV43" s="2">
        <f t="shared" si="28"/>
        <v>0</v>
      </c>
      <c r="AW43" s="358">
        <f t="shared" si="29"/>
        <v>0</v>
      </c>
      <c r="AX43" s="1">
        <f t="shared" si="17"/>
        <v>0</v>
      </c>
      <c r="AY43" s="1">
        <f t="shared" si="18"/>
        <v>0</v>
      </c>
      <c r="AZ43" s="1">
        <f t="shared" si="19"/>
        <v>0</v>
      </c>
      <c r="BA43" s="267">
        <f t="shared" si="20"/>
        <v>0</v>
      </c>
      <c r="BC43" s="2">
        <f t="shared" si="30"/>
        <v>0</v>
      </c>
      <c r="BD43" s="121">
        <f t="shared" si="31"/>
        <v>0</v>
      </c>
      <c r="BE43" s="81">
        <f t="shared" si="32"/>
        <v>0</v>
      </c>
      <c r="BG43" s="39">
        <f t="shared" si="21"/>
        <v>0</v>
      </c>
      <c r="BH43" s="81">
        <f t="shared" si="22"/>
        <v>0</v>
      </c>
    </row>
    <row r="44" spans="1:60" ht="15" customHeight="1" x14ac:dyDescent="0.3">
      <c r="B44" s="11">
        <v>35</v>
      </c>
      <c r="C44" s="150"/>
      <c r="D44" s="169"/>
      <c r="E44" s="240"/>
      <c r="F44" s="29"/>
      <c r="G44" s="35"/>
      <c r="H44" s="29"/>
      <c r="I44" s="11"/>
      <c r="J44" s="337"/>
      <c r="K44" s="83"/>
      <c r="L44" s="120"/>
      <c r="M44" s="42">
        <v>0</v>
      </c>
      <c r="N44" s="42">
        <v>0</v>
      </c>
      <c r="O44" s="42">
        <v>0</v>
      </c>
      <c r="P44" s="42">
        <v>0</v>
      </c>
      <c r="Q44" s="42">
        <v>0</v>
      </c>
      <c r="R44" s="42">
        <v>0</v>
      </c>
      <c r="S44" s="42">
        <v>0</v>
      </c>
      <c r="T44" s="42">
        <f t="shared" si="16"/>
        <v>0</v>
      </c>
      <c r="U44" s="249">
        <f t="shared" si="23"/>
        <v>0</v>
      </c>
      <c r="V44" s="228"/>
      <c r="W44" s="29"/>
      <c r="X44" s="29"/>
      <c r="Y44" s="29"/>
      <c r="Z44" s="29"/>
      <c r="AA44" s="29"/>
      <c r="AB44" s="29"/>
      <c r="AC44" s="150"/>
      <c r="AD44" s="150"/>
      <c r="AE44" s="150"/>
      <c r="AF44" s="150"/>
      <c r="AG44" s="331"/>
      <c r="AH44" s="331"/>
      <c r="AK44" s="242"/>
      <c r="AL44" s="169"/>
      <c r="AM44" s="169"/>
      <c r="AN44" s="169"/>
      <c r="AO44" s="169"/>
      <c r="AP44" s="169"/>
      <c r="AR44" s="2">
        <f t="shared" si="24"/>
        <v>0</v>
      </c>
      <c r="AS44" s="2">
        <f t="shared" si="25"/>
        <v>0</v>
      </c>
      <c r="AT44" s="358">
        <f t="shared" si="26"/>
        <v>0</v>
      </c>
      <c r="AU44" s="2">
        <f t="shared" si="27"/>
        <v>0</v>
      </c>
      <c r="AV44" s="2">
        <f t="shared" si="28"/>
        <v>0</v>
      </c>
      <c r="AW44" s="358">
        <f t="shared" si="29"/>
        <v>0</v>
      </c>
      <c r="AX44" s="1">
        <f t="shared" si="17"/>
        <v>0</v>
      </c>
      <c r="AY44" s="1">
        <f t="shared" si="18"/>
        <v>0</v>
      </c>
      <c r="AZ44" s="1">
        <f t="shared" si="19"/>
        <v>0</v>
      </c>
      <c r="BA44" s="267">
        <f t="shared" si="20"/>
        <v>0</v>
      </c>
      <c r="BC44" s="2">
        <f t="shared" si="30"/>
        <v>0</v>
      </c>
      <c r="BD44" s="121">
        <f t="shared" si="31"/>
        <v>0</v>
      </c>
      <c r="BE44" s="81">
        <f t="shared" si="32"/>
        <v>0</v>
      </c>
      <c r="BG44" s="39">
        <f t="shared" si="21"/>
        <v>0</v>
      </c>
      <c r="BH44" s="81">
        <f t="shared" si="22"/>
        <v>0</v>
      </c>
    </row>
    <row r="45" spans="1:60" ht="15" customHeight="1" x14ac:dyDescent="0.3">
      <c r="B45" s="11">
        <v>36</v>
      </c>
      <c r="C45" s="229"/>
      <c r="D45" s="169"/>
      <c r="E45" s="240"/>
      <c r="F45" s="29"/>
      <c r="G45" s="35"/>
      <c r="H45" s="29"/>
      <c r="I45" s="11"/>
      <c r="J45" s="337"/>
      <c r="K45" s="83"/>
      <c r="L45" s="120"/>
      <c r="M45" s="42">
        <v>0</v>
      </c>
      <c r="N45" s="42">
        <v>0</v>
      </c>
      <c r="O45" s="42">
        <v>0</v>
      </c>
      <c r="P45" s="42">
        <v>0</v>
      </c>
      <c r="Q45" s="42">
        <v>0</v>
      </c>
      <c r="R45" s="42">
        <v>0</v>
      </c>
      <c r="S45" s="42">
        <v>0</v>
      </c>
      <c r="T45" s="42">
        <f t="shared" si="16"/>
        <v>0</v>
      </c>
      <c r="U45" s="249">
        <f t="shared" si="23"/>
        <v>0</v>
      </c>
      <c r="V45" s="228"/>
      <c r="W45" s="29"/>
      <c r="X45" s="29"/>
      <c r="Y45" s="29"/>
      <c r="Z45" s="29"/>
      <c r="AA45" s="29"/>
      <c r="AB45" s="29"/>
      <c r="AC45" s="150"/>
      <c r="AD45" s="150"/>
      <c r="AE45" s="150"/>
      <c r="AF45" s="150"/>
      <c r="AG45" s="331"/>
      <c r="AH45" s="331"/>
      <c r="AK45" s="242"/>
      <c r="AL45" s="169"/>
      <c r="AM45" s="169"/>
      <c r="AN45" s="169"/>
      <c r="AO45" s="169"/>
      <c r="AP45" s="169"/>
      <c r="AR45" s="2">
        <f t="shared" si="24"/>
        <v>0</v>
      </c>
      <c r="AS45" s="2">
        <f t="shared" si="25"/>
        <v>0</v>
      </c>
      <c r="AT45" s="358">
        <f t="shared" si="26"/>
        <v>0</v>
      </c>
      <c r="AU45" s="2">
        <f t="shared" si="27"/>
        <v>0</v>
      </c>
      <c r="AV45" s="2">
        <f t="shared" si="28"/>
        <v>0</v>
      </c>
      <c r="AW45" s="358">
        <f t="shared" si="29"/>
        <v>0</v>
      </c>
      <c r="AX45" s="1">
        <f t="shared" si="17"/>
        <v>0</v>
      </c>
      <c r="AY45" s="1">
        <f t="shared" si="18"/>
        <v>0</v>
      </c>
      <c r="AZ45" s="1">
        <f t="shared" si="19"/>
        <v>0</v>
      </c>
      <c r="BA45" s="267">
        <f t="shared" si="20"/>
        <v>0</v>
      </c>
      <c r="BC45" s="2">
        <f t="shared" si="30"/>
        <v>0</v>
      </c>
      <c r="BD45" s="121">
        <f t="shared" si="31"/>
        <v>0</v>
      </c>
      <c r="BE45" s="81">
        <f t="shared" si="32"/>
        <v>0</v>
      </c>
      <c r="BG45" s="39">
        <f t="shared" si="21"/>
        <v>0</v>
      </c>
      <c r="BH45" s="81">
        <f t="shared" si="22"/>
        <v>0</v>
      </c>
    </row>
    <row r="46" spans="1:60" ht="15" customHeight="1" x14ac:dyDescent="0.3">
      <c r="B46" s="11">
        <v>37</v>
      </c>
      <c r="C46" s="150"/>
      <c r="D46" s="169"/>
      <c r="E46" s="240"/>
      <c r="F46" s="29"/>
      <c r="G46" s="35"/>
      <c r="H46" s="29"/>
      <c r="I46" s="11"/>
      <c r="J46" s="337"/>
      <c r="K46" s="83"/>
      <c r="L46" s="120"/>
      <c r="M46" s="42">
        <v>0</v>
      </c>
      <c r="N46" s="42">
        <v>0</v>
      </c>
      <c r="O46" s="42">
        <v>0</v>
      </c>
      <c r="P46" s="42">
        <v>0</v>
      </c>
      <c r="Q46" s="42">
        <v>0</v>
      </c>
      <c r="R46" s="42">
        <v>0</v>
      </c>
      <c r="S46" s="42">
        <v>0</v>
      </c>
      <c r="T46" s="42">
        <f t="shared" si="16"/>
        <v>0</v>
      </c>
      <c r="U46" s="249">
        <f t="shared" si="23"/>
        <v>0</v>
      </c>
      <c r="V46" s="228"/>
      <c r="W46" s="29"/>
      <c r="X46" s="29"/>
      <c r="Y46" s="29"/>
      <c r="Z46" s="29"/>
      <c r="AA46" s="29"/>
      <c r="AB46" s="29"/>
      <c r="AC46" s="150"/>
      <c r="AD46" s="150"/>
      <c r="AE46" s="150"/>
      <c r="AF46" s="150"/>
      <c r="AG46" s="331"/>
      <c r="AH46" s="331"/>
      <c r="AK46" s="242"/>
      <c r="AL46" s="169"/>
      <c r="AM46" s="169"/>
      <c r="AN46" s="169"/>
      <c r="AO46" s="169"/>
      <c r="AP46" s="169"/>
      <c r="AR46" s="2">
        <f t="shared" si="24"/>
        <v>0</v>
      </c>
      <c r="AS46" s="2">
        <f t="shared" si="25"/>
        <v>0</v>
      </c>
      <c r="AT46" s="358">
        <f t="shared" si="26"/>
        <v>0</v>
      </c>
      <c r="AU46" s="2">
        <f t="shared" si="27"/>
        <v>0</v>
      </c>
      <c r="AV46" s="2">
        <f t="shared" si="28"/>
        <v>0</v>
      </c>
      <c r="AW46" s="358">
        <f t="shared" si="29"/>
        <v>0</v>
      </c>
      <c r="AX46" s="1">
        <f t="shared" si="17"/>
        <v>0</v>
      </c>
      <c r="AY46" s="1">
        <f t="shared" si="18"/>
        <v>0</v>
      </c>
      <c r="AZ46" s="1">
        <f t="shared" si="19"/>
        <v>0</v>
      </c>
      <c r="BA46" s="267">
        <f t="shared" si="20"/>
        <v>0</v>
      </c>
      <c r="BC46" s="2">
        <f t="shared" si="30"/>
        <v>0</v>
      </c>
      <c r="BD46" s="121">
        <f t="shared" si="31"/>
        <v>0</v>
      </c>
      <c r="BE46" s="81">
        <f t="shared" si="32"/>
        <v>0</v>
      </c>
      <c r="BG46" s="39">
        <f t="shared" si="21"/>
        <v>0</v>
      </c>
      <c r="BH46" s="81">
        <f t="shared" si="22"/>
        <v>0</v>
      </c>
    </row>
    <row r="47" spans="1:60" ht="15" customHeight="1" x14ac:dyDescent="0.3">
      <c r="B47" s="11">
        <v>38</v>
      </c>
      <c r="C47" s="150"/>
      <c r="D47" s="169"/>
      <c r="E47" s="240"/>
      <c r="F47" s="29"/>
      <c r="G47" s="35"/>
      <c r="H47" s="29"/>
      <c r="I47" s="11"/>
      <c r="J47" s="337"/>
      <c r="K47" s="83"/>
      <c r="L47" s="120"/>
      <c r="M47" s="42">
        <v>0</v>
      </c>
      <c r="N47" s="42">
        <v>0</v>
      </c>
      <c r="O47" s="42">
        <v>0</v>
      </c>
      <c r="P47" s="42">
        <v>0</v>
      </c>
      <c r="Q47" s="42">
        <v>0</v>
      </c>
      <c r="R47" s="42">
        <v>0</v>
      </c>
      <c r="S47" s="42">
        <v>0</v>
      </c>
      <c r="T47" s="42">
        <f t="shared" si="16"/>
        <v>0</v>
      </c>
      <c r="U47" s="249">
        <f t="shared" si="23"/>
        <v>0</v>
      </c>
      <c r="V47" s="228"/>
      <c r="W47" s="29"/>
      <c r="X47" s="29"/>
      <c r="Y47" s="29"/>
      <c r="Z47" s="29"/>
      <c r="AA47" s="29"/>
      <c r="AB47" s="29"/>
      <c r="AC47" s="150"/>
      <c r="AD47" s="150"/>
      <c r="AE47" s="150"/>
      <c r="AF47" s="150"/>
      <c r="AG47" s="331"/>
      <c r="AH47" s="331"/>
      <c r="AK47" s="242"/>
      <c r="AL47" s="169"/>
      <c r="AM47" s="169"/>
      <c r="AN47" s="169"/>
      <c r="AO47" s="169"/>
      <c r="AP47" s="169"/>
      <c r="AR47" s="2">
        <f t="shared" si="24"/>
        <v>0</v>
      </c>
      <c r="AS47" s="2">
        <f t="shared" si="25"/>
        <v>0</v>
      </c>
      <c r="AT47" s="358">
        <f t="shared" si="26"/>
        <v>0</v>
      </c>
      <c r="AU47" s="2">
        <f t="shared" si="27"/>
        <v>0</v>
      </c>
      <c r="AV47" s="2">
        <f t="shared" si="28"/>
        <v>0</v>
      </c>
      <c r="AW47" s="358">
        <f t="shared" si="29"/>
        <v>0</v>
      </c>
      <c r="AX47" s="1">
        <f t="shared" si="17"/>
        <v>0</v>
      </c>
      <c r="AY47" s="1">
        <f t="shared" si="18"/>
        <v>0</v>
      </c>
      <c r="AZ47" s="1">
        <f t="shared" si="19"/>
        <v>0</v>
      </c>
      <c r="BA47" s="267">
        <f t="shared" si="20"/>
        <v>0</v>
      </c>
      <c r="BC47" s="2">
        <f t="shared" si="30"/>
        <v>0</v>
      </c>
      <c r="BD47" s="121">
        <f t="shared" si="31"/>
        <v>0</v>
      </c>
      <c r="BE47" s="81">
        <f t="shared" si="32"/>
        <v>0</v>
      </c>
      <c r="BG47" s="39">
        <f t="shared" si="21"/>
        <v>0</v>
      </c>
      <c r="BH47" s="81">
        <f t="shared" si="22"/>
        <v>0</v>
      </c>
    </row>
    <row r="48" spans="1:60" ht="15" customHeight="1" x14ac:dyDescent="0.3">
      <c r="B48" s="11">
        <v>39</v>
      </c>
      <c r="C48" s="229"/>
      <c r="D48" s="169"/>
      <c r="E48" s="240"/>
      <c r="F48" s="29"/>
      <c r="G48" s="35"/>
      <c r="H48" s="29"/>
      <c r="I48" s="11"/>
      <c r="J48" s="337"/>
      <c r="K48" s="83"/>
      <c r="L48" s="120"/>
      <c r="M48" s="42">
        <v>0</v>
      </c>
      <c r="N48" s="42">
        <v>0</v>
      </c>
      <c r="O48" s="42">
        <v>0</v>
      </c>
      <c r="P48" s="42">
        <v>0</v>
      </c>
      <c r="Q48" s="42">
        <v>0</v>
      </c>
      <c r="R48" s="42">
        <v>0</v>
      </c>
      <c r="S48" s="42">
        <v>0</v>
      </c>
      <c r="T48" s="42">
        <f t="shared" si="16"/>
        <v>0</v>
      </c>
      <c r="U48" s="249">
        <f t="shared" si="23"/>
        <v>0</v>
      </c>
      <c r="V48" s="228"/>
      <c r="W48" s="29"/>
      <c r="X48" s="29"/>
      <c r="Y48" s="29"/>
      <c r="Z48" s="29"/>
      <c r="AA48" s="29"/>
      <c r="AB48" s="29"/>
      <c r="AC48" s="150"/>
      <c r="AD48" s="150"/>
      <c r="AE48" s="150"/>
      <c r="AF48" s="150"/>
      <c r="AG48" s="331"/>
      <c r="AH48" s="331"/>
      <c r="AK48" s="242"/>
      <c r="AL48" s="169"/>
      <c r="AM48" s="169"/>
      <c r="AN48" s="169"/>
      <c r="AO48" s="169"/>
      <c r="AP48" s="169"/>
      <c r="AR48" s="2">
        <f t="shared" si="24"/>
        <v>0</v>
      </c>
      <c r="AS48" s="2">
        <f t="shared" si="25"/>
        <v>0</v>
      </c>
      <c r="AT48" s="358">
        <f t="shared" si="26"/>
        <v>0</v>
      </c>
      <c r="AU48" s="2">
        <f t="shared" si="27"/>
        <v>0</v>
      </c>
      <c r="AV48" s="2">
        <f t="shared" si="28"/>
        <v>0</v>
      </c>
      <c r="AW48" s="358">
        <f t="shared" si="29"/>
        <v>0</v>
      </c>
      <c r="AX48" s="1">
        <f t="shared" si="17"/>
        <v>0</v>
      </c>
      <c r="AY48" s="1">
        <f t="shared" si="18"/>
        <v>0</v>
      </c>
      <c r="AZ48" s="1">
        <f t="shared" si="19"/>
        <v>0</v>
      </c>
      <c r="BA48" s="267">
        <f t="shared" si="20"/>
        <v>0</v>
      </c>
      <c r="BC48" s="2">
        <f t="shared" si="30"/>
        <v>0</v>
      </c>
      <c r="BD48" s="121">
        <f t="shared" si="31"/>
        <v>0</v>
      </c>
      <c r="BE48" s="81">
        <f t="shared" si="32"/>
        <v>0</v>
      </c>
      <c r="BG48" s="39">
        <f t="shared" si="21"/>
        <v>0</v>
      </c>
      <c r="BH48" s="81">
        <f t="shared" si="22"/>
        <v>0</v>
      </c>
    </row>
    <row r="49" spans="2:62" ht="15" customHeight="1" x14ac:dyDescent="0.3">
      <c r="B49" s="11">
        <v>40</v>
      </c>
      <c r="C49" s="150"/>
      <c r="D49" s="169"/>
      <c r="E49" s="240"/>
      <c r="F49" s="29"/>
      <c r="G49" s="35"/>
      <c r="H49" s="29"/>
      <c r="I49" s="11"/>
      <c r="J49" s="337"/>
      <c r="K49" s="83"/>
      <c r="L49" s="120"/>
      <c r="M49" s="42">
        <v>0</v>
      </c>
      <c r="N49" s="42">
        <v>0</v>
      </c>
      <c r="O49" s="42">
        <v>0</v>
      </c>
      <c r="P49" s="42">
        <v>0</v>
      </c>
      <c r="Q49" s="42">
        <v>0</v>
      </c>
      <c r="R49" s="42">
        <v>0</v>
      </c>
      <c r="S49" s="42">
        <v>0</v>
      </c>
      <c r="T49" s="42">
        <f t="shared" si="16"/>
        <v>0</v>
      </c>
      <c r="U49" s="249">
        <f t="shared" si="23"/>
        <v>0</v>
      </c>
      <c r="V49" s="228"/>
      <c r="W49" s="29"/>
      <c r="X49" s="29"/>
      <c r="Y49" s="29"/>
      <c r="Z49" s="29"/>
      <c r="AA49" s="29"/>
      <c r="AB49" s="29"/>
      <c r="AC49" s="150"/>
      <c r="AD49" s="150"/>
      <c r="AE49" s="150"/>
      <c r="AF49" s="150"/>
      <c r="AG49" s="331"/>
      <c r="AH49" s="331"/>
      <c r="AK49" s="242"/>
      <c r="AL49" s="169"/>
      <c r="AM49" s="169"/>
      <c r="AN49" s="169"/>
      <c r="AO49" s="169"/>
      <c r="AP49" s="169"/>
      <c r="AR49" s="2">
        <f t="shared" si="24"/>
        <v>0</v>
      </c>
      <c r="AS49" s="2">
        <f t="shared" si="25"/>
        <v>0</v>
      </c>
      <c r="AT49" s="358">
        <f t="shared" si="26"/>
        <v>0</v>
      </c>
      <c r="AU49" s="2">
        <f t="shared" si="27"/>
        <v>0</v>
      </c>
      <c r="AV49" s="2">
        <f t="shared" si="28"/>
        <v>0</v>
      </c>
      <c r="AW49" s="358">
        <f t="shared" si="29"/>
        <v>0</v>
      </c>
      <c r="AX49" s="1">
        <f t="shared" si="17"/>
        <v>0</v>
      </c>
      <c r="AY49" s="1">
        <f t="shared" si="18"/>
        <v>0</v>
      </c>
      <c r="AZ49" s="1">
        <f t="shared" si="19"/>
        <v>0</v>
      </c>
      <c r="BA49" s="267">
        <f t="shared" si="20"/>
        <v>0</v>
      </c>
      <c r="BC49" s="2">
        <f t="shared" si="30"/>
        <v>0</v>
      </c>
      <c r="BD49" s="121">
        <f t="shared" si="31"/>
        <v>0</v>
      </c>
      <c r="BE49" s="81">
        <f t="shared" si="32"/>
        <v>0</v>
      </c>
      <c r="BG49" s="39">
        <f t="shared" si="21"/>
        <v>0</v>
      </c>
      <c r="BH49" s="81">
        <f t="shared" si="22"/>
        <v>0</v>
      </c>
    </row>
    <row r="50" spans="2:62" ht="15" customHeight="1" x14ac:dyDescent="0.3">
      <c r="B50" s="11">
        <v>41</v>
      </c>
      <c r="C50" s="150"/>
      <c r="D50" s="169"/>
      <c r="E50" s="240"/>
      <c r="F50" s="29"/>
      <c r="G50" s="35"/>
      <c r="H50" s="29"/>
      <c r="I50" s="11"/>
      <c r="J50" s="337"/>
      <c r="K50" s="83"/>
      <c r="L50" s="120"/>
      <c r="M50" s="42">
        <v>0</v>
      </c>
      <c r="N50" s="42">
        <v>0</v>
      </c>
      <c r="O50" s="42">
        <v>0</v>
      </c>
      <c r="P50" s="42">
        <v>0</v>
      </c>
      <c r="Q50" s="42">
        <v>0</v>
      </c>
      <c r="R50" s="42">
        <v>0</v>
      </c>
      <c r="S50" s="42">
        <v>0</v>
      </c>
      <c r="T50" s="42">
        <f t="shared" si="16"/>
        <v>0</v>
      </c>
      <c r="U50" s="249">
        <f t="shared" si="23"/>
        <v>0</v>
      </c>
      <c r="V50" s="228"/>
      <c r="W50" s="29"/>
      <c r="X50" s="29"/>
      <c r="Y50" s="29"/>
      <c r="Z50" s="29"/>
      <c r="AA50" s="29"/>
      <c r="AB50" s="29"/>
      <c r="AC50" s="150"/>
      <c r="AD50" s="150"/>
      <c r="AE50" s="150"/>
      <c r="AF50" s="150"/>
      <c r="AG50" s="331"/>
      <c r="AH50" s="331"/>
      <c r="AK50" s="242"/>
      <c r="AL50" s="169"/>
      <c r="AM50" s="169"/>
      <c r="AN50" s="169"/>
      <c r="AO50" s="169"/>
      <c r="AP50" s="169"/>
      <c r="AR50" s="2">
        <f t="shared" si="24"/>
        <v>0</v>
      </c>
      <c r="AS50" s="2">
        <f t="shared" si="25"/>
        <v>0</v>
      </c>
      <c r="AT50" s="358">
        <f t="shared" si="26"/>
        <v>0</v>
      </c>
      <c r="AU50" s="2">
        <f t="shared" si="27"/>
        <v>0</v>
      </c>
      <c r="AV50" s="2">
        <f t="shared" si="28"/>
        <v>0</v>
      </c>
      <c r="AW50" s="358">
        <f t="shared" si="29"/>
        <v>0</v>
      </c>
      <c r="AX50" s="1">
        <f t="shared" si="17"/>
        <v>0</v>
      </c>
      <c r="AY50" s="1">
        <f t="shared" si="18"/>
        <v>0</v>
      </c>
      <c r="AZ50" s="1">
        <f t="shared" si="19"/>
        <v>0</v>
      </c>
      <c r="BA50" s="267">
        <f t="shared" si="20"/>
        <v>0</v>
      </c>
      <c r="BC50" s="2">
        <f t="shared" si="30"/>
        <v>0</v>
      </c>
      <c r="BD50" s="121">
        <f t="shared" si="31"/>
        <v>0</v>
      </c>
      <c r="BE50" s="81">
        <f t="shared" si="32"/>
        <v>0</v>
      </c>
      <c r="BG50" s="39">
        <f t="shared" si="21"/>
        <v>0</v>
      </c>
      <c r="BH50" s="81">
        <f t="shared" si="22"/>
        <v>0</v>
      </c>
    </row>
    <row r="51" spans="2:62" ht="15" customHeight="1" x14ac:dyDescent="0.3">
      <c r="B51" s="11">
        <v>42</v>
      </c>
      <c r="C51" s="229"/>
      <c r="D51" s="169"/>
      <c r="E51" s="240"/>
      <c r="F51" s="29"/>
      <c r="G51" s="35"/>
      <c r="H51" s="29"/>
      <c r="I51" s="11"/>
      <c r="J51" s="337"/>
      <c r="K51" s="83"/>
      <c r="L51" s="120"/>
      <c r="M51" s="42">
        <v>0</v>
      </c>
      <c r="N51" s="42">
        <v>0</v>
      </c>
      <c r="O51" s="42">
        <v>0</v>
      </c>
      <c r="P51" s="42">
        <v>0</v>
      </c>
      <c r="Q51" s="42">
        <v>0</v>
      </c>
      <c r="R51" s="42">
        <v>0</v>
      </c>
      <c r="S51" s="42">
        <v>0</v>
      </c>
      <c r="T51" s="42">
        <f t="shared" si="16"/>
        <v>0</v>
      </c>
      <c r="U51" s="249">
        <f t="shared" si="23"/>
        <v>0</v>
      </c>
      <c r="V51" s="228"/>
      <c r="W51" s="29"/>
      <c r="X51" s="29"/>
      <c r="Y51" s="29"/>
      <c r="Z51" s="29"/>
      <c r="AA51" s="29"/>
      <c r="AB51" s="29"/>
      <c r="AC51" s="150"/>
      <c r="AD51" s="150"/>
      <c r="AE51" s="150"/>
      <c r="AF51" s="150"/>
      <c r="AG51" s="331"/>
      <c r="AH51" s="331"/>
      <c r="AK51" s="242"/>
      <c r="AL51" s="169"/>
      <c r="AM51" s="169"/>
      <c r="AN51" s="169"/>
      <c r="AO51" s="169"/>
      <c r="AP51" s="169"/>
      <c r="AR51" s="2">
        <f t="shared" si="24"/>
        <v>0</v>
      </c>
      <c r="AS51" s="2">
        <f t="shared" si="25"/>
        <v>0</v>
      </c>
      <c r="AT51" s="358">
        <f t="shared" si="26"/>
        <v>0</v>
      </c>
      <c r="AU51" s="2">
        <f t="shared" si="27"/>
        <v>0</v>
      </c>
      <c r="AV51" s="2">
        <f t="shared" si="28"/>
        <v>0</v>
      </c>
      <c r="AW51" s="358">
        <f t="shared" si="29"/>
        <v>0</v>
      </c>
      <c r="AX51" s="1">
        <f t="shared" si="17"/>
        <v>0</v>
      </c>
      <c r="AY51" s="1">
        <f t="shared" si="18"/>
        <v>0</v>
      </c>
      <c r="AZ51" s="1">
        <f t="shared" si="19"/>
        <v>0</v>
      </c>
      <c r="BA51" s="267">
        <f t="shared" si="20"/>
        <v>0</v>
      </c>
      <c r="BC51" s="2">
        <f t="shared" si="30"/>
        <v>0</v>
      </c>
      <c r="BD51" s="121">
        <f t="shared" si="31"/>
        <v>0</v>
      </c>
      <c r="BE51" s="81">
        <f t="shared" si="32"/>
        <v>0</v>
      </c>
      <c r="BG51" s="39">
        <f t="shared" si="21"/>
        <v>0</v>
      </c>
      <c r="BH51" s="81">
        <f t="shared" si="22"/>
        <v>0</v>
      </c>
    </row>
    <row r="52" spans="2:62" ht="15" customHeight="1" x14ac:dyDescent="0.3">
      <c r="B52" s="11">
        <v>43</v>
      </c>
      <c r="C52" s="150"/>
      <c r="D52" s="169"/>
      <c r="E52" s="240"/>
      <c r="F52" s="29"/>
      <c r="G52" s="35"/>
      <c r="H52" s="29"/>
      <c r="I52" s="11"/>
      <c r="J52" s="337"/>
      <c r="K52" s="83"/>
      <c r="L52" s="120"/>
      <c r="M52" s="42">
        <v>0</v>
      </c>
      <c r="N52" s="42">
        <v>0</v>
      </c>
      <c r="O52" s="42">
        <v>0</v>
      </c>
      <c r="P52" s="42">
        <v>0</v>
      </c>
      <c r="Q52" s="42">
        <v>0</v>
      </c>
      <c r="R52" s="42">
        <v>0</v>
      </c>
      <c r="S52" s="42">
        <v>0</v>
      </c>
      <c r="T52" s="42">
        <f t="shared" si="16"/>
        <v>0</v>
      </c>
      <c r="U52" s="249">
        <f t="shared" si="23"/>
        <v>0</v>
      </c>
      <c r="V52" s="228"/>
      <c r="W52" s="29"/>
      <c r="X52" s="29"/>
      <c r="Y52" s="29"/>
      <c r="Z52" s="29"/>
      <c r="AA52" s="29"/>
      <c r="AB52" s="29"/>
      <c r="AC52" s="150"/>
      <c r="AD52" s="150"/>
      <c r="AE52" s="150"/>
      <c r="AF52" s="150"/>
      <c r="AG52" s="331"/>
      <c r="AH52" s="331"/>
      <c r="AK52" s="242"/>
      <c r="AL52" s="169"/>
      <c r="AM52" s="169"/>
      <c r="AN52" s="169"/>
      <c r="AO52" s="169"/>
      <c r="AP52" s="169"/>
      <c r="AR52" s="2">
        <f t="shared" si="24"/>
        <v>0</v>
      </c>
      <c r="AS52" s="2">
        <f t="shared" si="25"/>
        <v>0</v>
      </c>
      <c r="AT52" s="358">
        <f t="shared" si="26"/>
        <v>0</v>
      </c>
      <c r="AU52" s="2">
        <f t="shared" si="27"/>
        <v>0</v>
      </c>
      <c r="AV52" s="2">
        <f t="shared" si="28"/>
        <v>0</v>
      </c>
      <c r="AW52" s="358">
        <f t="shared" si="29"/>
        <v>0</v>
      </c>
      <c r="AX52" s="1">
        <f t="shared" si="17"/>
        <v>0</v>
      </c>
      <c r="AY52" s="1">
        <f t="shared" si="18"/>
        <v>0</v>
      </c>
      <c r="AZ52" s="1">
        <f t="shared" si="19"/>
        <v>0</v>
      </c>
      <c r="BA52" s="267">
        <f t="shared" si="20"/>
        <v>0</v>
      </c>
      <c r="BC52" s="2">
        <f t="shared" si="30"/>
        <v>0</v>
      </c>
      <c r="BD52" s="121">
        <f t="shared" si="31"/>
        <v>0</v>
      </c>
      <c r="BE52" s="81">
        <f t="shared" si="32"/>
        <v>0</v>
      </c>
      <c r="BG52" s="39">
        <f t="shared" si="21"/>
        <v>0</v>
      </c>
      <c r="BH52" s="81">
        <f t="shared" si="22"/>
        <v>0</v>
      </c>
    </row>
    <row r="53" spans="2:62" ht="15" customHeight="1" x14ac:dyDescent="0.3">
      <c r="B53" s="11">
        <v>44</v>
      </c>
      <c r="C53" s="150"/>
      <c r="D53" s="169"/>
      <c r="E53" s="240"/>
      <c r="F53" s="29"/>
      <c r="G53" s="35"/>
      <c r="H53" s="29"/>
      <c r="I53" s="11"/>
      <c r="J53" s="337"/>
      <c r="K53" s="325"/>
      <c r="L53" s="120"/>
      <c r="M53" s="42">
        <v>0</v>
      </c>
      <c r="N53" s="42">
        <v>0</v>
      </c>
      <c r="O53" s="42">
        <v>0</v>
      </c>
      <c r="P53" s="42">
        <v>0</v>
      </c>
      <c r="Q53" s="42">
        <v>0</v>
      </c>
      <c r="R53" s="42">
        <v>0</v>
      </c>
      <c r="S53" s="42">
        <v>0</v>
      </c>
      <c r="T53" s="42">
        <f t="shared" si="16"/>
        <v>0</v>
      </c>
      <c r="U53" s="249">
        <f t="shared" si="23"/>
        <v>0</v>
      </c>
      <c r="V53" s="228"/>
      <c r="W53" s="29"/>
      <c r="X53" s="29"/>
      <c r="Y53" s="29"/>
      <c r="Z53" s="29"/>
      <c r="AA53" s="29"/>
      <c r="AB53" s="29"/>
      <c r="AC53" s="150"/>
      <c r="AD53" s="150"/>
      <c r="AE53" s="150"/>
      <c r="AF53" s="150"/>
      <c r="AG53" s="331"/>
      <c r="AH53" s="331"/>
      <c r="AK53" s="242"/>
      <c r="AL53" s="169"/>
      <c r="AM53" s="169"/>
      <c r="AN53" s="169"/>
      <c r="AO53" s="169"/>
      <c r="AP53" s="169"/>
      <c r="AR53" s="2">
        <f t="shared" si="24"/>
        <v>0</v>
      </c>
      <c r="AS53" s="2">
        <f t="shared" si="25"/>
        <v>0</v>
      </c>
      <c r="AT53" s="358">
        <f t="shared" si="26"/>
        <v>0</v>
      </c>
      <c r="AU53" s="2">
        <f t="shared" si="27"/>
        <v>0</v>
      </c>
      <c r="AV53" s="2">
        <f t="shared" si="28"/>
        <v>0</v>
      </c>
      <c r="AW53" s="358">
        <f t="shared" si="29"/>
        <v>0</v>
      </c>
      <c r="AX53" s="1">
        <f t="shared" si="17"/>
        <v>0</v>
      </c>
      <c r="AY53" s="1">
        <f t="shared" si="18"/>
        <v>0</v>
      </c>
      <c r="AZ53" s="1">
        <f t="shared" si="19"/>
        <v>0</v>
      </c>
      <c r="BA53" s="267">
        <f t="shared" si="20"/>
        <v>0</v>
      </c>
      <c r="BC53" s="2">
        <f t="shared" si="30"/>
        <v>0</v>
      </c>
      <c r="BD53" s="121">
        <f t="shared" si="31"/>
        <v>0</v>
      </c>
      <c r="BE53" s="81">
        <f t="shared" si="32"/>
        <v>0</v>
      </c>
      <c r="BG53" s="39">
        <f t="shared" si="21"/>
        <v>0</v>
      </c>
      <c r="BH53" s="81">
        <f t="shared" si="22"/>
        <v>0</v>
      </c>
    </row>
    <row r="54" spans="2:62" ht="15" customHeight="1" x14ac:dyDescent="0.3">
      <c r="B54" s="11">
        <v>45</v>
      </c>
      <c r="C54" s="150"/>
      <c r="D54" s="169"/>
      <c r="E54" s="240"/>
      <c r="F54" s="29"/>
      <c r="G54" s="35"/>
      <c r="H54" s="29"/>
      <c r="I54" s="11"/>
      <c r="J54" s="337"/>
      <c r="K54" s="83"/>
      <c r="L54" s="120"/>
      <c r="M54" s="42">
        <v>0</v>
      </c>
      <c r="N54" s="42">
        <v>0</v>
      </c>
      <c r="O54" s="42">
        <v>0</v>
      </c>
      <c r="P54" s="42">
        <v>0</v>
      </c>
      <c r="Q54" s="42">
        <v>0</v>
      </c>
      <c r="R54" s="42">
        <v>0</v>
      </c>
      <c r="S54" s="42">
        <v>0</v>
      </c>
      <c r="T54" s="42">
        <f t="shared" si="16"/>
        <v>0</v>
      </c>
      <c r="U54" s="249">
        <f t="shared" si="23"/>
        <v>0</v>
      </c>
      <c r="V54" s="228"/>
      <c r="W54" s="29"/>
      <c r="X54" s="29"/>
      <c r="Y54" s="29"/>
      <c r="Z54" s="29"/>
      <c r="AA54" s="29"/>
      <c r="AB54" s="29"/>
      <c r="AC54" s="150"/>
      <c r="AD54" s="150"/>
      <c r="AE54" s="150"/>
      <c r="AF54" s="150"/>
      <c r="AG54" s="331"/>
      <c r="AH54" s="331"/>
      <c r="AK54" s="242"/>
      <c r="AL54" s="169"/>
      <c r="AM54" s="169"/>
      <c r="AN54" s="169"/>
      <c r="AO54" s="169"/>
      <c r="AP54" s="169"/>
      <c r="AR54" s="2">
        <f t="shared" si="24"/>
        <v>0</v>
      </c>
      <c r="AS54" s="2">
        <f t="shared" si="25"/>
        <v>0</v>
      </c>
      <c r="AT54" s="358">
        <f t="shared" si="26"/>
        <v>0</v>
      </c>
      <c r="AU54" s="2">
        <f t="shared" si="27"/>
        <v>0</v>
      </c>
      <c r="AV54" s="2">
        <f t="shared" si="28"/>
        <v>0</v>
      </c>
      <c r="AW54" s="358">
        <f t="shared" si="29"/>
        <v>0</v>
      </c>
      <c r="AX54" s="1">
        <f t="shared" si="17"/>
        <v>0</v>
      </c>
      <c r="AY54" s="1">
        <f t="shared" si="18"/>
        <v>0</v>
      </c>
      <c r="AZ54" s="1">
        <f t="shared" si="19"/>
        <v>0</v>
      </c>
      <c r="BA54" s="267">
        <f t="shared" si="20"/>
        <v>0</v>
      </c>
      <c r="BC54" s="2">
        <f t="shared" si="30"/>
        <v>0</v>
      </c>
      <c r="BD54" s="121">
        <f t="shared" si="31"/>
        <v>0</v>
      </c>
      <c r="BE54" s="81">
        <f t="shared" si="32"/>
        <v>0</v>
      </c>
      <c r="BG54" s="39">
        <f t="shared" si="21"/>
        <v>0</v>
      </c>
      <c r="BH54" s="81">
        <f t="shared" si="22"/>
        <v>0</v>
      </c>
    </row>
    <row r="55" spans="2:62" ht="15" customHeight="1" x14ac:dyDescent="0.3">
      <c r="B55" s="11">
        <v>46</v>
      </c>
      <c r="C55" s="150"/>
      <c r="D55" s="169"/>
      <c r="E55" s="240"/>
      <c r="F55" s="29"/>
      <c r="G55" s="35"/>
      <c r="H55" s="29"/>
      <c r="I55" s="11"/>
      <c r="J55" s="337"/>
      <c r="K55" s="83"/>
      <c r="L55" s="120"/>
      <c r="M55" s="42">
        <v>0</v>
      </c>
      <c r="N55" s="42">
        <v>0</v>
      </c>
      <c r="O55" s="42">
        <v>0</v>
      </c>
      <c r="P55" s="42">
        <v>0</v>
      </c>
      <c r="Q55" s="42">
        <v>0</v>
      </c>
      <c r="R55" s="42">
        <v>0</v>
      </c>
      <c r="S55" s="42">
        <v>0</v>
      </c>
      <c r="T55" s="42">
        <f t="shared" si="16"/>
        <v>0</v>
      </c>
      <c r="U55" s="249">
        <f t="shared" si="23"/>
        <v>0</v>
      </c>
      <c r="V55" s="228"/>
      <c r="W55" s="29"/>
      <c r="X55" s="29"/>
      <c r="Y55" s="29"/>
      <c r="Z55" s="29"/>
      <c r="AA55" s="29"/>
      <c r="AB55" s="29"/>
      <c r="AC55" s="150"/>
      <c r="AD55" s="150"/>
      <c r="AE55" s="150"/>
      <c r="AF55" s="150"/>
      <c r="AG55" s="331"/>
      <c r="AH55" s="331"/>
      <c r="AK55" s="242"/>
      <c r="AL55" s="169"/>
      <c r="AM55" s="169"/>
      <c r="AN55" s="169"/>
      <c r="AO55" s="169"/>
      <c r="AP55" s="169"/>
      <c r="AR55" s="2">
        <f t="shared" si="24"/>
        <v>0</v>
      </c>
      <c r="AS55" s="2">
        <f t="shared" si="25"/>
        <v>0</v>
      </c>
      <c r="AT55" s="358">
        <f t="shared" si="26"/>
        <v>0</v>
      </c>
      <c r="AU55" s="2">
        <f t="shared" si="27"/>
        <v>0</v>
      </c>
      <c r="AV55" s="2">
        <f t="shared" si="28"/>
        <v>0</v>
      </c>
      <c r="AW55" s="358">
        <f t="shared" si="29"/>
        <v>0</v>
      </c>
      <c r="AX55" s="1">
        <f t="shared" si="17"/>
        <v>0</v>
      </c>
      <c r="AY55" s="1">
        <f t="shared" si="18"/>
        <v>0</v>
      </c>
      <c r="AZ55" s="1">
        <f t="shared" si="19"/>
        <v>0</v>
      </c>
      <c r="BA55" s="267">
        <f t="shared" si="20"/>
        <v>0</v>
      </c>
      <c r="BC55" s="2">
        <f t="shared" si="30"/>
        <v>0</v>
      </c>
      <c r="BD55" s="121">
        <f t="shared" si="31"/>
        <v>0</v>
      </c>
      <c r="BE55" s="81">
        <f t="shared" si="32"/>
        <v>0</v>
      </c>
      <c r="BG55" s="39">
        <f t="shared" si="21"/>
        <v>0</v>
      </c>
      <c r="BH55" s="81">
        <f t="shared" si="22"/>
        <v>0</v>
      </c>
    </row>
    <row r="56" spans="2:62" ht="15" customHeight="1" x14ac:dyDescent="0.3">
      <c r="B56" s="11">
        <v>47</v>
      </c>
      <c r="C56" s="229"/>
      <c r="D56" s="169"/>
      <c r="E56" s="240"/>
      <c r="F56" s="29"/>
      <c r="G56" s="35"/>
      <c r="H56" s="29"/>
      <c r="I56" s="11"/>
      <c r="J56" s="337"/>
      <c r="K56" s="83"/>
      <c r="L56" s="120"/>
      <c r="M56" s="42">
        <v>0</v>
      </c>
      <c r="N56" s="42">
        <v>0</v>
      </c>
      <c r="O56" s="42">
        <v>0</v>
      </c>
      <c r="P56" s="42">
        <v>0</v>
      </c>
      <c r="Q56" s="42">
        <v>0</v>
      </c>
      <c r="R56" s="42">
        <v>0</v>
      </c>
      <c r="S56" s="42">
        <v>0</v>
      </c>
      <c r="T56" s="42">
        <f t="shared" si="16"/>
        <v>0</v>
      </c>
      <c r="U56" s="249">
        <f t="shared" si="23"/>
        <v>0</v>
      </c>
      <c r="V56" s="228"/>
      <c r="W56" s="29"/>
      <c r="X56" s="29"/>
      <c r="Y56" s="29"/>
      <c r="Z56" s="29"/>
      <c r="AA56" s="29"/>
      <c r="AB56" s="29"/>
      <c r="AC56" s="150"/>
      <c r="AD56" s="150"/>
      <c r="AE56" s="150"/>
      <c r="AF56" s="150"/>
      <c r="AG56" s="331"/>
      <c r="AH56" s="331"/>
      <c r="AK56" s="242"/>
      <c r="AL56" s="169"/>
      <c r="AM56" s="169"/>
      <c r="AN56" s="169"/>
      <c r="AO56" s="169"/>
      <c r="AP56" s="169"/>
      <c r="AR56" s="2">
        <f t="shared" si="24"/>
        <v>0</v>
      </c>
      <c r="AS56" s="2">
        <f t="shared" si="25"/>
        <v>0</v>
      </c>
      <c r="AT56" s="358">
        <f t="shared" si="26"/>
        <v>0</v>
      </c>
      <c r="AU56" s="2">
        <f t="shared" si="27"/>
        <v>0</v>
      </c>
      <c r="AV56" s="2">
        <f t="shared" si="28"/>
        <v>0</v>
      </c>
      <c r="AW56" s="358">
        <f t="shared" si="29"/>
        <v>0</v>
      </c>
      <c r="AX56" s="1">
        <f t="shared" si="17"/>
        <v>0</v>
      </c>
      <c r="AY56" s="1">
        <f t="shared" si="18"/>
        <v>0</v>
      </c>
      <c r="AZ56" s="1">
        <f t="shared" si="19"/>
        <v>0</v>
      </c>
      <c r="BA56" s="267">
        <f t="shared" si="20"/>
        <v>0</v>
      </c>
      <c r="BC56" s="2">
        <f t="shared" si="30"/>
        <v>0</v>
      </c>
      <c r="BD56" s="121">
        <f t="shared" si="31"/>
        <v>0</v>
      </c>
      <c r="BE56" s="81">
        <f t="shared" si="32"/>
        <v>0</v>
      </c>
      <c r="BG56" s="39">
        <f t="shared" si="21"/>
        <v>0</v>
      </c>
      <c r="BH56" s="81">
        <f t="shared" si="22"/>
        <v>0</v>
      </c>
    </row>
    <row r="57" spans="2:62" ht="15" customHeight="1" x14ac:dyDescent="0.3">
      <c r="B57" s="11">
        <v>48</v>
      </c>
      <c r="C57" s="150"/>
      <c r="D57" s="169"/>
      <c r="E57" s="240"/>
      <c r="F57" s="29"/>
      <c r="G57" s="35"/>
      <c r="H57" s="29"/>
      <c r="I57" s="11"/>
      <c r="J57" s="337"/>
      <c r="K57" s="83"/>
      <c r="L57" s="120"/>
      <c r="M57" s="42">
        <v>0</v>
      </c>
      <c r="N57" s="42">
        <v>0</v>
      </c>
      <c r="O57" s="42">
        <v>0</v>
      </c>
      <c r="P57" s="42">
        <v>0</v>
      </c>
      <c r="Q57" s="42">
        <v>0</v>
      </c>
      <c r="R57" s="42">
        <v>0</v>
      </c>
      <c r="S57" s="42">
        <v>0</v>
      </c>
      <c r="T57" s="42">
        <f t="shared" si="16"/>
        <v>0</v>
      </c>
      <c r="U57" s="249">
        <f t="shared" si="23"/>
        <v>0</v>
      </c>
      <c r="V57" s="228"/>
      <c r="W57" s="29"/>
      <c r="X57" s="29"/>
      <c r="Y57" s="29"/>
      <c r="Z57" s="29"/>
      <c r="AA57" s="29"/>
      <c r="AB57" s="29"/>
      <c r="AC57" s="150"/>
      <c r="AD57" s="150"/>
      <c r="AE57" s="150"/>
      <c r="AF57" s="150"/>
      <c r="AG57" s="331"/>
      <c r="AH57" s="331"/>
      <c r="AK57" s="242"/>
      <c r="AL57" s="169"/>
      <c r="AM57" s="169"/>
      <c r="AN57" s="169"/>
      <c r="AO57" s="169"/>
      <c r="AP57" s="169"/>
      <c r="AR57" s="2">
        <f t="shared" si="24"/>
        <v>0</v>
      </c>
      <c r="AS57" s="2">
        <f t="shared" si="25"/>
        <v>0</v>
      </c>
      <c r="AT57" s="358">
        <f t="shared" si="26"/>
        <v>0</v>
      </c>
      <c r="AU57" s="2">
        <f t="shared" si="27"/>
        <v>0</v>
      </c>
      <c r="AV57" s="2">
        <f t="shared" si="28"/>
        <v>0</v>
      </c>
      <c r="AW57" s="358">
        <f t="shared" si="29"/>
        <v>0</v>
      </c>
      <c r="AX57" s="1">
        <f t="shared" si="17"/>
        <v>0</v>
      </c>
      <c r="AY57" s="1">
        <f t="shared" si="18"/>
        <v>0</v>
      </c>
      <c r="AZ57" s="1">
        <f t="shared" si="19"/>
        <v>0</v>
      </c>
      <c r="BA57" s="267">
        <f t="shared" si="20"/>
        <v>0</v>
      </c>
      <c r="BC57" s="2">
        <f t="shared" si="30"/>
        <v>0</v>
      </c>
      <c r="BD57" s="121">
        <f t="shared" si="31"/>
        <v>0</v>
      </c>
      <c r="BE57" s="81">
        <f t="shared" si="32"/>
        <v>0</v>
      </c>
      <c r="BG57" s="39">
        <f t="shared" si="21"/>
        <v>0</v>
      </c>
      <c r="BH57" s="81">
        <f t="shared" si="22"/>
        <v>0</v>
      </c>
    </row>
    <row r="58" spans="2:62" ht="15" customHeight="1" x14ac:dyDescent="0.3">
      <c r="B58" s="11">
        <v>49</v>
      </c>
      <c r="C58" s="150"/>
      <c r="D58" s="169"/>
      <c r="E58" s="240"/>
      <c r="F58" s="29"/>
      <c r="G58" s="35"/>
      <c r="H58" s="29"/>
      <c r="I58" s="11"/>
      <c r="J58" s="337"/>
      <c r="K58" s="325"/>
      <c r="L58" s="120"/>
      <c r="M58" s="42">
        <v>0</v>
      </c>
      <c r="N58" s="42">
        <v>0</v>
      </c>
      <c r="O58" s="42">
        <v>0</v>
      </c>
      <c r="P58" s="42">
        <v>0</v>
      </c>
      <c r="Q58" s="42">
        <v>0</v>
      </c>
      <c r="R58" s="42">
        <v>0</v>
      </c>
      <c r="S58" s="42">
        <v>0</v>
      </c>
      <c r="T58" s="42">
        <f t="shared" si="16"/>
        <v>0</v>
      </c>
      <c r="U58" s="249">
        <f t="shared" si="23"/>
        <v>0</v>
      </c>
      <c r="V58" s="228"/>
      <c r="W58" s="29"/>
      <c r="X58" s="29"/>
      <c r="Y58" s="29"/>
      <c r="Z58" s="29"/>
      <c r="AA58" s="29"/>
      <c r="AB58" s="29"/>
      <c r="AC58" s="150"/>
      <c r="AD58" s="150"/>
      <c r="AE58" s="150"/>
      <c r="AF58" s="150"/>
      <c r="AG58" s="331"/>
      <c r="AH58" s="331"/>
      <c r="AK58" s="242"/>
      <c r="AL58" s="169"/>
      <c r="AM58" s="169"/>
      <c r="AN58" s="169"/>
      <c r="AO58" s="169"/>
      <c r="AP58" s="169"/>
      <c r="AR58" s="2">
        <f t="shared" si="24"/>
        <v>0</v>
      </c>
      <c r="AS58" s="2">
        <f t="shared" si="25"/>
        <v>0</v>
      </c>
      <c r="AT58" s="358">
        <f t="shared" si="26"/>
        <v>0</v>
      </c>
      <c r="AU58" s="2">
        <f t="shared" si="27"/>
        <v>0</v>
      </c>
      <c r="AV58" s="2">
        <f t="shared" si="28"/>
        <v>0</v>
      </c>
      <c r="AW58" s="358">
        <f t="shared" si="29"/>
        <v>0</v>
      </c>
      <c r="AX58" s="1">
        <f t="shared" si="17"/>
        <v>0</v>
      </c>
      <c r="AY58" s="1">
        <f t="shared" si="18"/>
        <v>0</v>
      </c>
      <c r="AZ58" s="1">
        <f t="shared" si="19"/>
        <v>0</v>
      </c>
      <c r="BA58" s="267">
        <f t="shared" si="20"/>
        <v>0</v>
      </c>
      <c r="BC58" s="2">
        <f t="shared" si="30"/>
        <v>0</v>
      </c>
      <c r="BD58" s="121">
        <f t="shared" si="31"/>
        <v>0</v>
      </c>
      <c r="BE58" s="81">
        <f t="shared" si="32"/>
        <v>0</v>
      </c>
      <c r="BG58" s="39">
        <f t="shared" si="21"/>
        <v>0</v>
      </c>
      <c r="BH58" s="81">
        <f t="shared" si="22"/>
        <v>0</v>
      </c>
    </row>
    <row r="59" spans="2:62" x14ac:dyDescent="0.3">
      <c r="B59" s="11"/>
      <c r="C59" s="150"/>
      <c r="D59" s="86"/>
      <c r="E59" s="240"/>
      <c r="F59" s="29"/>
      <c r="G59" s="35"/>
      <c r="H59" s="29"/>
      <c r="I59" s="11"/>
      <c r="J59" s="337"/>
      <c r="K59" s="325"/>
      <c r="L59" s="120"/>
      <c r="M59" s="42"/>
      <c r="N59" s="42"/>
      <c r="O59" s="42"/>
      <c r="P59" s="42"/>
      <c r="Q59" s="42"/>
      <c r="R59" s="42"/>
      <c r="S59" s="42"/>
      <c r="T59" s="42"/>
      <c r="U59" s="249"/>
      <c r="V59" s="228"/>
      <c r="W59" s="29"/>
      <c r="X59" s="29"/>
      <c r="Y59" s="29"/>
      <c r="Z59" s="29"/>
      <c r="AA59" s="29"/>
      <c r="AB59" s="29"/>
      <c r="AC59" s="150"/>
      <c r="AD59" s="150"/>
      <c r="AE59" s="150"/>
      <c r="AF59" s="150"/>
      <c r="AG59" s="326"/>
      <c r="AH59" s="326"/>
      <c r="AK59" s="35"/>
      <c r="AL59" s="86"/>
      <c r="AM59" s="86"/>
      <c r="AN59" s="86"/>
      <c r="AO59" s="86"/>
      <c r="AP59" s="86"/>
      <c r="AR59" s="2">
        <f t="shared" si="24"/>
        <v>0</v>
      </c>
      <c r="AS59" s="2">
        <f t="shared" si="25"/>
        <v>0</v>
      </c>
      <c r="AT59" s="358">
        <f t="shared" si="26"/>
        <v>0</v>
      </c>
      <c r="AU59" s="2">
        <f t="shared" si="27"/>
        <v>0</v>
      </c>
      <c r="AV59" s="2">
        <f t="shared" si="28"/>
        <v>0</v>
      </c>
      <c r="AW59" s="358">
        <f t="shared" si="29"/>
        <v>0</v>
      </c>
      <c r="AX59" s="1">
        <f t="shared" si="17"/>
        <v>0</v>
      </c>
      <c r="AY59" s="1">
        <f t="shared" si="18"/>
        <v>0</v>
      </c>
      <c r="AZ59" s="1">
        <f t="shared" si="19"/>
        <v>0</v>
      </c>
      <c r="BA59" s="267">
        <f t="shared" si="20"/>
        <v>0</v>
      </c>
      <c r="BC59" s="2"/>
      <c r="BD59" s="2"/>
      <c r="BE59" s="81">
        <f t="shared" si="32"/>
        <v>0</v>
      </c>
      <c r="BG59" s="39">
        <f t="shared" si="21"/>
        <v>0</v>
      </c>
      <c r="BH59" s="81">
        <f t="shared" si="22"/>
        <v>0</v>
      </c>
    </row>
    <row r="60" spans="2:62" x14ac:dyDescent="0.3">
      <c r="B60" s="58"/>
      <c r="C60" s="19" t="s">
        <v>21</v>
      </c>
      <c r="D60" s="19" t="s">
        <v>21</v>
      </c>
      <c r="E60" s="19" t="s">
        <v>21</v>
      </c>
      <c r="F60" s="19"/>
      <c r="G60" s="55"/>
      <c r="H60" s="19"/>
      <c r="I60" s="58"/>
      <c r="J60" s="338"/>
      <c r="K60" s="108"/>
      <c r="L60" s="151"/>
      <c r="M60" s="3">
        <f t="shared" ref="M60:T60" si="33">SUBTOTAL(9,M9:M59)</f>
        <v>0</v>
      </c>
      <c r="N60" s="3">
        <f t="shared" si="33"/>
        <v>0</v>
      </c>
      <c r="O60" s="3">
        <f t="shared" si="33"/>
        <v>0</v>
      </c>
      <c r="P60" s="3">
        <f t="shared" si="33"/>
        <v>0</v>
      </c>
      <c r="Q60" s="3">
        <f t="shared" si="33"/>
        <v>0</v>
      </c>
      <c r="R60" s="3">
        <f t="shared" si="33"/>
        <v>0</v>
      </c>
      <c r="S60" s="3">
        <f t="shared" ref="S60" si="34">SUBTOTAL(9,S9:S59)</f>
        <v>0</v>
      </c>
      <c r="T60" s="3">
        <f t="shared" si="33"/>
        <v>0</v>
      </c>
      <c r="U60" s="249"/>
      <c r="V60" s="19" t="s">
        <v>21</v>
      </c>
      <c r="W60" s="19" t="s">
        <v>21</v>
      </c>
      <c r="X60" s="19" t="s">
        <v>21</v>
      </c>
      <c r="Y60" s="19" t="s">
        <v>21</v>
      </c>
      <c r="Z60" s="19" t="s">
        <v>21</v>
      </c>
      <c r="AA60" s="19" t="s">
        <v>21</v>
      </c>
      <c r="AB60" s="19" t="s">
        <v>21</v>
      </c>
      <c r="AC60" s="19" t="s">
        <v>21</v>
      </c>
      <c r="AD60" s="19" t="s">
        <v>21</v>
      </c>
      <c r="AE60" s="19" t="s">
        <v>21</v>
      </c>
      <c r="AF60" s="19" t="s">
        <v>21</v>
      </c>
      <c r="AG60" s="19" t="s">
        <v>21</v>
      </c>
      <c r="AH60" s="123"/>
      <c r="AK60" s="19" t="s">
        <v>21</v>
      </c>
      <c r="AL60" s="19" t="s">
        <v>21</v>
      </c>
      <c r="AM60" s="19" t="s">
        <v>21</v>
      </c>
      <c r="AN60" s="19" t="s">
        <v>21</v>
      </c>
      <c r="AO60" s="19" t="s">
        <v>21</v>
      </c>
      <c r="AP60" s="123"/>
      <c r="AX60" s="324">
        <f t="shared" ref="AX60:AZ60" si="35">SUBTOTAL(9,AX9:AX59)</f>
        <v>0</v>
      </c>
      <c r="AY60" s="324">
        <f t="shared" si="35"/>
        <v>0</v>
      </c>
      <c r="AZ60" s="324">
        <f t="shared" si="35"/>
        <v>0</v>
      </c>
      <c r="BA60" s="324">
        <f>SUBTOTAL(9,BA9:BA59)</f>
        <v>0</v>
      </c>
      <c r="BC60" s="2"/>
      <c r="BD60" s="2"/>
      <c r="BE60" s="81">
        <f t="shared" si="32"/>
        <v>0</v>
      </c>
      <c r="BG60" s="39">
        <f>SUM(BG9:BG59)</f>
        <v>0</v>
      </c>
      <c r="BH60" s="81">
        <f t="shared" si="22"/>
        <v>0</v>
      </c>
    </row>
    <row r="61" spans="2:62" x14ac:dyDescent="0.3">
      <c r="B61" s="9"/>
      <c r="C61" s="37"/>
      <c r="F61" s="122"/>
      <c r="G61" s="43"/>
      <c r="H61" s="122"/>
      <c r="I61" s="9"/>
      <c r="K61" s="107"/>
      <c r="L61" s="28"/>
      <c r="M61" s="54"/>
      <c r="R61" s="43"/>
      <c r="S61" s="43"/>
      <c r="T61" s="43"/>
      <c r="V61" s="80"/>
      <c r="W61" s="43"/>
      <c r="AC61" s="123"/>
      <c r="AD61" s="123"/>
      <c r="AE61" s="123"/>
      <c r="AF61" s="123"/>
      <c r="AG61"/>
      <c r="AH61"/>
      <c r="AK61"/>
    </row>
    <row r="62" spans="2:62" x14ac:dyDescent="0.3">
      <c r="B62" s="9"/>
      <c r="D62" s="8"/>
      <c r="F62"/>
      <c r="H62" s="39"/>
      <c r="I62" s="9"/>
      <c r="K62" s="107"/>
      <c r="L62" s="27"/>
      <c r="M62" s="39"/>
      <c r="AG62" s="62"/>
      <c r="AH62" s="62"/>
    </row>
    <row r="63" spans="2:62" ht="15" thickBot="1" x14ac:dyDescent="0.35">
      <c r="B63" s="9"/>
      <c r="D63" s="8"/>
      <c r="F63" s="4"/>
      <c r="G63" s="299"/>
      <c r="H63" s="299"/>
      <c r="I63" s="9"/>
      <c r="J63" s="339"/>
      <c r="K63" s="109"/>
      <c r="L63" s="27"/>
      <c r="M63" s="24">
        <f t="shared" ref="M63:T63" si="36">SUM(M9:M59)</f>
        <v>0</v>
      </c>
      <c r="N63" s="24">
        <f t="shared" si="36"/>
        <v>0</v>
      </c>
      <c r="O63" s="24">
        <f t="shared" si="36"/>
        <v>0</v>
      </c>
      <c r="P63" s="24">
        <f t="shared" si="36"/>
        <v>0</v>
      </c>
      <c r="Q63" s="24">
        <f t="shared" si="36"/>
        <v>0</v>
      </c>
      <c r="R63" s="24">
        <f t="shared" si="36"/>
        <v>0</v>
      </c>
      <c r="S63" s="24">
        <f t="shared" ref="S63" si="37">SUM(S9:S59)</f>
        <v>0</v>
      </c>
      <c r="T63" s="24">
        <f t="shared" si="36"/>
        <v>0</v>
      </c>
      <c r="U63" s="206"/>
      <c r="W63" s="15"/>
      <c r="X63" s="15"/>
      <c r="Y63" s="15"/>
      <c r="Z63" s="15"/>
      <c r="AA63" s="15"/>
      <c r="AB63" s="15"/>
      <c r="AC63" s="15"/>
      <c r="AD63" s="15"/>
      <c r="AE63" s="15"/>
      <c r="AF63" s="15"/>
      <c r="AG63" s="62"/>
      <c r="AH63" s="62"/>
      <c r="AZ63" s="104">
        <f>SUM(AX9:AX59)</f>
        <v>0</v>
      </c>
      <c r="BA63" s="104">
        <f>SUM(AY9:AY59)</f>
        <v>0</v>
      </c>
      <c r="BE63" s="104">
        <f>SUM(AZ9:AZ59)</f>
        <v>0</v>
      </c>
      <c r="BF63" s="104">
        <f>SUM(BA9:BA59)</f>
        <v>0</v>
      </c>
      <c r="BG63" s="81">
        <f>BF63-T63+Q63+P63</f>
        <v>0</v>
      </c>
      <c r="BI63" s="104">
        <f>SUM(BG9:BG59)</f>
        <v>0</v>
      </c>
      <c r="BJ63" s="81">
        <f>BI63-Q63-P63</f>
        <v>0</v>
      </c>
    </row>
    <row r="64" spans="2:62" ht="15" thickTop="1" x14ac:dyDescent="0.3">
      <c r="C64" s="79"/>
      <c r="D64" s="15"/>
      <c r="E64" s="15"/>
      <c r="F64" s="43"/>
      <c r="G64" s="43"/>
      <c r="H64" s="43"/>
      <c r="M64" s="28"/>
      <c r="T64" s="43"/>
      <c r="V64" s="8"/>
      <c r="W64"/>
      <c r="AG64" s="79"/>
      <c r="AH64" s="79"/>
      <c r="AK64" s="15"/>
    </row>
    <row r="65" spans="2:42" x14ac:dyDescent="0.3">
      <c r="D65" s="8"/>
      <c r="E65" s="8"/>
      <c r="F65" s="39"/>
      <c r="H65" s="39"/>
      <c r="W65"/>
      <c r="AG65" s="62"/>
      <c r="AH65" s="62"/>
      <c r="AK65" s="62"/>
      <c r="AL65" s="8"/>
      <c r="AN65" s="8"/>
    </row>
    <row r="66" spans="2:42" x14ac:dyDescent="0.3">
      <c r="D66" s="8"/>
      <c r="E66" s="8"/>
      <c r="F66" s="39"/>
      <c r="H66" s="39"/>
      <c r="AG66" s="62"/>
      <c r="AH66" s="62"/>
      <c r="AK66" s="62"/>
      <c r="AL66" s="8"/>
      <c r="AN66" s="8"/>
    </row>
    <row r="67" spans="2:42" x14ac:dyDescent="0.3">
      <c r="D67" s="8"/>
      <c r="E67" s="8"/>
      <c r="G67" s="8"/>
      <c r="H67" s="27"/>
      <c r="I67" s="43"/>
      <c r="J67" s="43"/>
      <c r="K67" s="39"/>
      <c r="M67" s="522" t="s">
        <v>347</v>
      </c>
      <c r="N67" s="514"/>
      <c r="O67" s="514"/>
      <c r="P67" s="514"/>
      <c r="Q67" s="514"/>
      <c r="R67" s="515"/>
      <c r="S67" s="747"/>
      <c r="T67" s="8"/>
    </row>
    <row r="68" spans="2:42" ht="15" thickBot="1" x14ac:dyDescent="0.35">
      <c r="B68" s="526" t="s">
        <v>482</v>
      </c>
      <c r="C68" s="527" t="s">
        <v>368</v>
      </c>
      <c r="D68" s="527" t="s">
        <v>352</v>
      </c>
      <c r="E68" s="527" t="s">
        <v>351</v>
      </c>
      <c r="F68" s="527" t="s">
        <v>486</v>
      </c>
      <c r="G68" s="527" t="s">
        <v>77</v>
      </c>
      <c r="H68" s="527" t="s">
        <v>78</v>
      </c>
      <c r="M68" s="516" t="s">
        <v>348</v>
      </c>
      <c r="N68" s="161" t="s">
        <v>486</v>
      </c>
      <c r="O68" s="16" t="s">
        <v>349</v>
      </c>
      <c r="P68" s="93" t="s">
        <v>350</v>
      </c>
      <c r="Q68" s="102" t="s">
        <v>352</v>
      </c>
      <c r="R68" s="253" t="s">
        <v>351</v>
      </c>
      <c r="S68" s="748"/>
      <c r="T68" s="43"/>
    </row>
    <row r="69" spans="2:42" x14ac:dyDescent="0.3">
      <c r="B69" s="8" t="s">
        <v>41</v>
      </c>
      <c r="C69" s="53">
        <f>SUMIFS($T$9:$T$59,$AP$9:$AP$59,$B69)</f>
        <v>0</v>
      </c>
      <c r="D69" s="538">
        <f>SUMIFS($BA$9:$BA$59,$AP$9:$AP$59,$B69,$C$9:$C$59,D$68)</f>
        <v>0</v>
      </c>
      <c r="E69" s="538">
        <f>SUMIFS($BA$9:$BA$59,$AP$9:$AP$59,$B69,$C$9:$C$59,E$68)</f>
        <v>0</v>
      </c>
      <c r="F69" s="39">
        <f>SUMIFS($BA$9:$BA$59,$AP$9:$AP$59,$B69,$C$9:$C$59,F$68)</f>
        <v>0</v>
      </c>
      <c r="G69" s="39">
        <f>SUMIFS($BA$9:$BA$59,$AP$9:$AP$59,$B69,$C$9:$C$59,G$68)</f>
        <v>0</v>
      </c>
      <c r="H69" s="39">
        <f>C69-(D69+E69+F69+G69)</f>
        <v>0</v>
      </c>
      <c r="M69" s="143">
        <f t="shared" ref="M69:R69" si="38">SUMIF($C$9:$C$59,M68,$BA$9:$BA$59)</f>
        <v>0</v>
      </c>
      <c r="N69" s="143">
        <f t="shared" si="38"/>
        <v>0</v>
      </c>
      <c r="O69" s="143">
        <f t="shared" si="38"/>
        <v>0</v>
      </c>
      <c r="P69" s="143">
        <f t="shared" si="38"/>
        <v>0</v>
      </c>
      <c r="Q69" s="143">
        <f t="shared" si="38"/>
        <v>0</v>
      </c>
      <c r="R69" s="143">
        <f t="shared" si="38"/>
        <v>0</v>
      </c>
      <c r="S69" s="333"/>
      <c r="T69" s="96">
        <f>SUM(M69:R69)</f>
        <v>0</v>
      </c>
    </row>
    <row r="70" spans="2:42" x14ac:dyDescent="0.3">
      <c r="B70" s="8" t="s">
        <v>487</v>
      </c>
      <c r="C70" s="53">
        <f>SUMIFS($T$9:$T$59,$AP$9:$AP$59,$B70)</f>
        <v>0</v>
      </c>
      <c r="D70" s="538">
        <f t="shared" ref="D70:D71" si="39">SUMIFS($BA$9:$BA$59,$AP$9:$AP$59,$B70,$C$9:$C$59,D$68)</f>
        <v>0</v>
      </c>
      <c r="E70" s="538">
        <f t="shared" ref="E70:G71" si="40">SUMIFS($BA$9:$BA$59,$AP$9:$AP$59,$B70,$C$9:$C$59,E$68)</f>
        <v>0</v>
      </c>
      <c r="F70" s="39">
        <f t="shared" si="40"/>
        <v>0</v>
      </c>
      <c r="G70" s="39">
        <f t="shared" si="40"/>
        <v>0</v>
      </c>
      <c r="H70" s="39">
        <f t="shared" ref="H70:H72" si="41">C70-(D70+E70+F70+G70)</f>
        <v>0</v>
      </c>
      <c r="N70" s="27"/>
      <c r="O70" s="8"/>
      <c r="P70"/>
      <c r="Q70"/>
      <c r="T70" s="98">
        <f>T69-BF63</f>
        <v>0</v>
      </c>
    </row>
    <row r="71" spans="2:42" ht="15" thickBot="1" x14ac:dyDescent="0.35">
      <c r="B71" s="528" t="s">
        <v>390</v>
      </c>
      <c r="C71" s="529">
        <f>SUMIFS($T$9:$T$59,$AP$9:$AP$59,$B71)</f>
        <v>0</v>
      </c>
      <c r="D71" s="529">
        <f t="shared" si="39"/>
        <v>0</v>
      </c>
      <c r="E71" s="529">
        <f t="shared" si="40"/>
        <v>0</v>
      </c>
      <c r="F71" s="537">
        <f t="shared" si="40"/>
        <v>0</v>
      </c>
      <c r="G71" s="529">
        <f t="shared" si="40"/>
        <v>0</v>
      </c>
      <c r="H71" s="529">
        <f t="shared" si="41"/>
        <v>0</v>
      </c>
      <c r="N71" s="27"/>
      <c r="O71" s="8"/>
      <c r="P71"/>
      <c r="Q71"/>
      <c r="R71" s="98"/>
      <c r="S71" s="98"/>
      <c r="AK71" s="62"/>
      <c r="AL71" s="328"/>
      <c r="AM71" s="328"/>
      <c r="AN71" s="328"/>
      <c r="AO71" s="328"/>
      <c r="AP71" s="98"/>
    </row>
    <row r="72" spans="2:42" x14ac:dyDescent="0.3">
      <c r="B72" s="27"/>
      <c r="C72" s="43">
        <f>SUBTOTAL(9,C69:C71)</f>
        <v>0</v>
      </c>
      <c r="D72" s="43">
        <f>SUBTOTAL(9,D69:D71)</f>
        <v>0</v>
      </c>
      <c r="E72" s="43">
        <f>SUM(E69:E71)</f>
        <v>0</v>
      </c>
      <c r="F72" s="43">
        <f t="shared" ref="F72:G72" si="42">SUM(F69:F71)</f>
        <v>0</v>
      </c>
      <c r="G72" s="43">
        <f t="shared" si="42"/>
        <v>0</v>
      </c>
      <c r="H72" s="43">
        <f t="shared" si="41"/>
        <v>0</v>
      </c>
      <c r="I72" s="105">
        <f>C72-SUM(D72:H72)</f>
        <v>0</v>
      </c>
      <c r="M72" s="523" t="s">
        <v>356</v>
      </c>
      <c r="N72" s="525"/>
      <c r="O72" s="517"/>
      <c r="P72" s="517"/>
      <c r="Q72" s="517"/>
      <c r="R72" s="518"/>
      <c r="S72" s="524"/>
      <c r="T72" s="524"/>
      <c r="U72" s="8"/>
      <c r="V72"/>
      <c r="AJ72" s="328"/>
      <c r="AK72" s="62"/>
      <c r="AL72" s="328"/>
      <c r="AM72" s="328"/>
      <c r="AN72" s="328"/>
      <c r="AO72" s="328"/>
      <c r="AP72" s="98"/>
    </row>
    <row r="73" spans="2:42" x14ac:dyDescent="0.3">
      <c r="B73" s="62"/>
      <c r="C73" s="144">
        <f>C72-T63</f>
        <v>0</v>
      </c>
      <c r="D73" s="144">
        <f>D72-Q69</f>
        <v>0</v>
      </c>
      <c r="E73" s="144">
        <f>E72-R69</f>
        <v>0</v>
      </c>
      <c r="F73" s="144">
        <f>F72-N69</f>
        <v>0</v>
      </c>
      <c r="G73" s="105">
        <f>G72-M69</f>
        <v>0</v>
      </c>
      <c r="H73" s="144">
        <f>H72-(T74+P69+O69)</f>
        <v>0</v>
      </c>
      <c r="I73" s="81"/>
      <c r="J73" s="39"/>
      <c r="M73" s="516" t="s">
        <v>348</v>
      </c>
      <c r="N73" s="161" t="s">
        <v>486</v>
      </c>
      <c r="O73" s="16" t="s">
        <v>349</v>
      </c>
      <c r="P73" s="93" t="s">
        <v>350</v>
      </c>
      <c r="Q73" s="102" t="s">
        <v>352</v>
      </c>
      <c r="R73" s="513" t="s">
        <v>351</v>
      </c>
      <c r="S73" s="748"/>
      <c r="U73" s="8"/>
      <c r="V73"/>
      <c r="AK73" s="62"/>
      <c r="AL73" s="8"/>
      <c r="AM73" s="8"/>
      <c r="AN73" s="8"/>
      <c r="AO73" s="8"/>
      <c r="AP73" s="8"/>
    </row>
    <row r="74" spans="2:42" x14ac:dyDescent="0.3">
      <c r="D74" s="8"/>
      <c r="E74" s="8"/>
      <c r="G74" s="66"/>
      <c r="H74" s="66"/>
      <c r="M74" s="143">
        <f t="shared" ref="M74:R74" si="43">SUMIF($C$9:$C$59,M$73,$BG$9:$BG$59)</f>
        <v>0</v>
      </c>
      <c r="N74" s="143">
        <f t="shared" si="43"/>
        <v>0</v>
      </c>
      <c r="O74" s="143">
        <f t="shared" si="43"/>
        <v>0</v>
      </c>
      <c r="P74" s="143">
        <f t="shared" si="43"/>
        <v>0</v>
      </c>
      <c r="Q74" s="143">
        <f t="shared" si="43"/>
        <v>0</v>
      </c>
      <c r="R74" s="143">
        <f t="shared" si="43"/>
        <v>0</v>
      </c>
      <c r="S74" s="333"/>
      <c r="T74" s="118">
        <f>SUM(M74:R74)</f>
        <v>0</v>
      </c>
      <c r="V74"/>
      <c r="AK74" s="62"/>
      <c r="AL74" s="8"/>
      <c r="AM74" s="8"/>
      <c r="AN74" s="8"/>
      <c r="AO74" s="8"/>
      <c r="AP74" s="8"/>
    </row>
    <row r="75" spans="2:42" x14ac:dyDescent="0.3">
      <c r="D75" s="8"/>
      <c r="E75" s="8"/>
      <c r="G75" s="66"/>
      <c r="H75" s="66"/>
      <c r="M75" s="241">
        <f t="shared" ref="M75:R75" si="44">SUMIF($C$9:$C$59,M$73,$Q$9:$Q$59)</f>
        <v>0</v>
      </c>
      <c r="N75" s="241">
        <f t="shared" si="44"/>
        <v>0</v>
      </c>
      <c r="O75" s="241">
        <f t="shared" si="44"/>
        <v>0</v>
      </c>
      <c r="P75" s="241">
        <f t="shared" si="44"/>
        <v>0</v>
      </c>
      <c r="Q75" s="241">
        <f t="shared" si="44"/>
        <v>0</v>
      </c>
      <c r="R75" s="241">
        <f t="shared" si="44"/>
        <v>0</v>
      </c>
      <c r="S75" s="328"/>
      <c r="T75" s="520">
        <f>SUM(M75:R75)</f>
        <v>0</v>
      </c>
      <c r="V75" s="521">
        <f>T75-Q60</f>
        <v>0</v>
      </c>
      <c r="AK75" s="62"/>
      <c r="AL75" s="8"/>
      <c r="AM75" s="8"/>
      <c r="AN75" s="8"/>
      <c r="AO75" s="8"/>
      <c r="AP75" s="8"/>
    </row>
    <row r="76" spans="2:42" x14ac:dyDescent="0.3">
      <c r="D76" s="8"/>
      <c r="E76" s="8"/>
      <c r="G76" s="43"/>
      <c r="H76" s="43"/>
      <c r="N76" s="27"/>
      <c r="AK76" s="62"/>
      <c r="AL76" s="8"/>
      <c r="AM76" s="8"/>
      <c r="AN76" s="8"/>
      <c r="AO76" s="8"/>
      <c r="AP76" s="8"/>
    </row>
    <row r="77" spans="2:42" x14ac:dyDescent="0.3">
      <c r="C77" s="8"/>
      <c r="D77" s="8"/>
      <c r="E77" s="8"/>
      <c r="G77" s="43"/>
      <c r="H77" s="43"/>
      <c r="M77" s="107"/>
      <c r="N77" s="107"/>
      <c r="O77" s="107"/>
      <c r="P77" s="107"/>
      <c r="Q77" s="107"/>
      <c r="R77" s="107"/>
      <c r="S77" s="107"/>
      <c r="AK77" s="62"/>
      <c r="AL77" s="122"/>
      <c r="AM77" s="122"/>
      <c r="AN77" s="8"/>
      <c r="AO77" s="8"/>
      <c r="AP77" s="8"/>
    </row>
    <row r="78" spans="2:42" x14ac:dyDescent="0.3">
      <c r="D78" s="8"/>
      <c r="E78" s="8"/>
      <c r="G78" s="62"/>
      <c r="H78" s="62"/>
      <c r="I78" s="62"/>
      <c r="M78" s="43"/>
      <c r="N78" s="66"/>
      <c r="O78" s="53" t="s">
        <v>488</v>
      </c>
      <c r="P78" s="8"/>
      <c r="Q78" s="8"/>
      <c r="R78" s="8"/>
      <c r="S78" s="8"/>
      <c r="AK78" s="62"/>
      <c r="AL78" s="122"/>
      <c r="AM78" s="122"/>
      <c r="AN78" s="8"/>
      <c r="AO78" s="8"/>
      <c r="AP78" s="8"/>
    </row>
    <row r="79" spans="2:42" x14ac:dyDescent="0.3">
      <c r="D79" s="8"/>
      <c r="E79" s="8"/>
      <c r="G79" s="62"/>
      <c r="H79" s="62"/>
      <c r="I79" s="62"/>
      <c r="M79" s="43"/>
      <c r="N79" s="66"/>
      <c r="O79"/>
      <c r="P79" s="8"/>
      <c r="Q79" s="8"/>
      <c r="R79" s="8"/>
      <c r="S79" s="8"/>
      <c r="AK79" s="62"/>
    </row>
    <row r="80" spans="2:42" x14ac:dyDescent="0.3">
      <c r="D80" s="8"/>
      <c r="E80" s="8"/>
      <c r="G80" s="62"/>
      <c r="H80" s="62"/>
      <c r="I80" s="62"/>
      <c r="M80" s="43"/>
      <c r="N80" s="66" t="s">
        <v>368</v>
      </c>
      <c r="O80" s="8" t="s">
        <v>489</v>
      </c>
      <c r="P80" s="8" t="s">
        <v>464</v>
      </c>
      <c r="Q80" s="8"/>
      <c r="R80" s="8"/>
      <c r="S80" s="8"/>
      <c r="AK80" s="62"/>
    </row>
    <row r="81" spans="3:65" x14ac:dyDescent="0.3">
      <c r="D81" s="8"/>
      <c r="E81" s="8"/>
      <c r="G81" s="62"/>
      <c r="H81" s="62"/>
      <c r="I81" s="62"/>
      <c r="M81" s="43" t="s">
        <v>353</v>
      </c>
      <c r="N81" s="43">
        <f>Q69+R69</f>
        <v>0</v>
      </c>
      <c r="O81" s="43"/>
      <c r="P81" s="43"/>
      <c r="Q81" s="8"/>
      <c r="R81" s="8"/>
      <c r="S81" s="8"/>
      <c r="AK81" s="62"/>
    </row>
    <row r="82" spans="3:65" x14ac:dyDescent="0.3">
      <c r="D82" s="8"/>
      <c r="E82" s="8"/>
      <c r="G82" s="62"/>
      <c r="H82" s="62"/>
      <c r="I82" s="62"/>
      <c r="M82" s="43" t="s">
        <v>387</v>
      </c>
      <c r="N82" s="43">
        <f>M69</f>
        <v>0</v>
      </c>
      <c r="O82" s="43"/>
      <c r="P82" s="43"/>
      <c r="Q82" s="8"/>
      <c r="R82" s="8"/>
      <c r="S82" s="8"/>
      <c r="AK82" s="62"/>
    </row>
    <row r="83" spans="3:65" x14ac:dyDescent="0.3">
      <c r="D83" s="8"/>
      <c r="E83" s="8"/>
      <c r="G83" s="62"/>
      <c r="H83" s="62"/>
      <c r="I83" s="62"/>
      <c r="M83" s="43" t="s">
        <v>355</v>
      </c>
      <c r="N83" s="43">
        <f>O69+P69+O74+P74+Q74+R74+N74+M74-N85</f>
        <v>0</v>
      </c>
      <c r="O83" s="43"/>
      <c r="P83" s="43"/>
      <c r="Q83" s="8"/>
      <c r="R83" s="8"/>
      <c r="S83" s="8"/>
      <c r="AK83" s="62"/>
    </row>
    <row r="84" spans="3:65" x14ac:dyDescent="0.3">
      <c r="C84" s="8"/>
      <c r="D84" s="8"/>
      <c r="E84" s="8"/>
      <c r="G84" s="62"/>
      <c r="H84" s="62"/>
      <c r="I84" s="62"/>
      <c r="M84" s="39" t="s">
        <v>490</v>
      </c>
      <c r="N84" s="39">
        <f>N69</f>
        <v>0</v>
      </c>
      <c r="O84" s="39">
        <f>F72</f>
        <v>0</v>
      </c>
      <c r="P84" s="39">
        <f>N84-O84</f>
        <v>0</v>
      </c>
      <c r="Q84" s="8"/>
      <c r="R84" t="s">
        <v>491</v>
      </c>
      <c r="S84"/>
      <c r="U84" s="39"/>
      <c r="V84" s="39"/>
      <c r="W84" s="39"/>
      <c r="X84" s="39"/>
      <c r="Y84" s="81">
        <f>N86-T63</f>
        <v>0</v>
      </c>
      <c r="Z84"/>
      <c r="AA84" s="62"/>
      <c r="AK84" s="62"/>
    </row>
    <row r="85" spans="3:65" ht="15" thickBot="1" x14ac:dyDescent="0.35">
      <c r="C85" s="8"/>
      <c r="D85" s="8"/>
      <c r="E85" s="8"/>
      <c r="G85" s="62"/>
      <c r="H85" s="62"/>
      <c r="I85" s="62"/>
      <c r="M85" s="148" t="s">
        <v>492</v>
      </c>
      <c r="N85" s="148">
        <f>Q63</f>
        <v>0</v>
      </c>
      <c r="O85" s="148">
        <f>AF108</f>
        <v>0</v>
      </c>
      <c r="P85" s="148">
        <f>AG108</f>
        <v>0</v>
      </c>
      <c r="Q85" s="8"/>
      <c r="R85" s="8"/>
      <c r="S85" s="8"/>
      <c r="U85" s="39"/>
      <c r="V85" s="39"/>
      <c r="W85" s="39"/>
      <c r="X85" s="39"/>
      <c r="Y85" s="39"/>
      <c r="Z85"/>
      <c r="AA85" s="62"/>
      <c r="AK85" s="62"/>
    </row>
    <row r="86" spans="3:65" s="62" customFormat="1" ht="15" thickTop="1" x14ac:dyDescent="0.3">
      <c r="C86" s="8"/>
      <c r="D86" s="8"/>
      <c r="E86" s="8"/>
      <c r="M86" s="43" t="s">
        <v>358</v>
      </c>
      <c r="N86" s="43">
        <f>SUM(N81:N85)</f>
        <v>0</v>
      </c>
      <c r="O86" s="43"/>
      <c r="P86" s="43"/>
      <c r="Q86" s="27"/>
      <c r="R86" s="27"/>
      <c r="S86" s="27"/>
      <c r="T86" s="39"/>
      <c r="U86" s="39"/>
      <c r="V86" s="39"/>
      <c r="W86" s="163"/>
      <c r="X86" s="39"/>
      <c r="Y86" s="163"/>
      <c r="Z86"/>
      <c r="AB86" s="8"/>
      <c r="AC86" s="8"/>
      <c r="AD86" s="8"/>
      <c r="AE86" s="8"/>
      <c r="AF86" s="8"/>
      <c r="AG86" s="8"/>
      <c r="AQ86"/>
      <c r="AR86"/>
      <c r="AS86"/>
      <c r="AT86"/>
      <c r="AU86"/>
      <c r="AV86"/>
      <c r="AW86"/>
      <c r="AX86"/>
      <c r="AY86"/>
      <c r="AZ86"/>
      <c r="BA86"/>
      <c r="BB86"/>
      <c r="BC86"/>
      <c r="BD86"/>
      <c r="BE86"/>
      <c r="BF86"/>
      <c r="BG86"/>
      <c r="BH86"/>
      <c r="BI86"/>
      <c r="BJ86"/>
      <c r="BK86"/>
      <c r="BL86"/>
      <c r="BM86"/>
    </row>
    <row r="87" spans="3:65" s="62" customFormat="1" x14ac:dyDescent="0.3">
      <c r="C87" s="8"/>
      <c r="D87" s="8"/>
      <c r="E87" s="8"/>
      <c r="M87" s="334"/>
      <c r="N87" s="487">
        <f>N86-T63</f>
        <v>0</v>
      </c>
      <c r="AQ87"/>
      <c r="AR87"/>
      <c r="AS87"/>
      <c r="AT87"/>
      <c r="AU87"/>
      <c r="AV87"/>
      <c r="AW87"/>
      <c r="AX87"/>
      <c r="AY87"/>
      <c r="AZ87"/>
      <c r="BA87"/>
      <c r="BB87"/>
      <c r="BC87"/>
      <c r="BD87"/>
      <c r="BE87"/>
      <c r="BF87"/>
      <c r="BG87"/>
      <c r="BH87"/>
      <c r="BI87"/>
      <c r="BJ87"/>
      <c r="BK87"/>
      <c r="BL87"/>
      <c r="BM87"/>
    </row>
    <row r="88" spans="3:65" s="62" customFormat="1" x14ac:dyDescent="0.3">
      <c r="C88" s="8"/>
      <c r="D88" s="8"/>
      <c r="E88" s="8"/>
      <c r="M88" s="334"/>
      <c r="AK88" s="533" t="s">
        <v>221</v>
      </c>
      <c r="AL88" s="533"/>
      <c r="AM88" s="533"/>
      <c r="AN88" s="533"/>
      <c r="AO88" s="533"/>
      <c r="AQ88"/>
      <c r="AR88"/>
      <c r="AS88"/>
      <c r="AT88"/>
      <c r="AU88"/>
      <c r="AV88"/>
      <c r="AW88"/>
      <c r="AX88"/>
      <c r="AY88"/>
      <c r="AZ88"/>
      <c r="BA88"/>
      <c r="BB88"/>
      <c r="BC88"/>
      <c r="BD88"/>
      <c r="BE88"/>
      <c r="BF88"/>
      <c r="BG88"/>
      <c r="BH88"/>
      <c r="BI88"/>
      <c r="BJ88"/>
      <c r="BK88"/>
      <c r="BL88"/>
      <c r="BM88"/>
    </row>
    <row r="89" spans="3:65" s="62" customFormat="1" ht="28.8" x14ac:dyDescent="0.3">
      <c r="C89" s="8"/>
      <c r="D89" s="8"/>
      <c r="E89" s="8"/>
      <c r="M89" s="340"/>
      <c r="N89" s="153" t="s">
        <v>414</v>
      </c>
      <c r="O89" s="153" t="s">
        <v>415</v>
      </c>
      <c r="P89" s="153" t="s">
        <v>332</v>
      </c>
      <c r="Q89" s="193" t="s">
        <v>493</v>
      </c>
      <c r="R89" s="243" t="s">
        <v>494</v>
      </c>
      <c r="S89" s="243"/>
      <c r="T89" s="193" t="s">
        <v>412</v>
      </c>
      <c r="U89" s="193" t="s">
        <v>495</v>
      </c>
      <c r="V89" s="193" t="s">
        <v>496</v>
      </c>
      <c r="W89" s="39"/>
      <c r="X89" s="164" t="s">
        <v>497</v>
      </c>
      <c r="Y89" s="164" t="s">
        <v>498</v>
      </c>
      <c r="Z89" s="164" t="s">
        <v>499</v>
      </c>
      <c r="AA89" s="300"/>
      <c r="AC89" s="8"/>
      <c r="AD89" s="248" t="s">
        <v>500</v>
      </c>
      <c r="AE89" s="248" t="s">
        <v>501</v>
      </c>
      <c r="AF89" s="248" t="s">
        <v>502</v>
      </c>
      <c r="AG89" s="257" t="s">
        <v>503</v>
      </c>
      <c r="AH89" s="8"/>
      <c r="AK89" s="532" t="s">
        <v>504</v>
      </c>
      <c r="AL89" s="532" t="s">
        <v>505</v>
      </c>
      <c r="AM89" s="532" t="s">
        <v>506</v>
      </c>
      <c r="AN89" s="532" t="s">
        <v>507</v>
      </c>
      <c r="AO89" s="532" t="s">
        <v>508</v>
      </c>
      <c r="AQ89"/>
      <c r="AR89"/>
      <c r="AS89"/>
      <c r="AT89"/>
      <c r="AU89"/>
      <c r="AV89"/>
      <c r="AW89"/>
      <c r="AX89"/>
      <c r="AY89"/>
      <c r="AZ89"/>
      <c r="BA89"/>
      <c r="BB89"/>
      <c r="BC89"/>
      <c r="BD89"/>
      <c r="BE89"/>
      <c r="BF89"/>
      <c r="BG89"/>
      <c r="BH89"/>
      <c r="BI89"/>
      <c r="BJ89"/>
      <c r="BK89"/>
      <c r="BL89"/>
      <c r="BM89"/>
    </row>
    <row r="90" spans="3:65" s="62" customFormat="1" x14ac:dyDescent="0.3">
      <c r="C90" s="8"/>
      <c r="D90" s="8"/>
      <c r="E90" s="8"/>
      <c r="M90" s="340"/>
      <c r="N90" s="8" t="e">
        <f>_xlfn.XLOOKUP($P90,$K$9:$K$59,AL$9:AL$59)</f>
        <v>#N/A</v>
      </c>
      <c r="O90" s="8" t="e">
        <f t="shared" ref="O90:O107" si="45">_xlfn.XLOOKUP($P90,$K$9:$K$59,AM$9:AM$59)</f>
        <v>#N/A</v>
      </c>
      <c r="P90" s="8">
        <v>1</v>
      </c>
      <c r="Q90" s="155">
        <f t="shared" ref="Q90:Q107" si="46">SUMIF($K$9:$K$59,P90,$T$9:$T$59)</f>
        <v>0</v>
      </c>
      <c r="R90" s="165">
        <f>SUMIFS($BA$9:$BA$59,$K$9:$K$59,P90,$C$9:$C$59,"YES")+SUMIFS($BA$9:$BA$59,$K$9:$K$59,P90,$C$9:$C$59,"YES-OOS")</f>
        <v>0</v>
      </c>
      <c r="S90" s="165"/>
      <c r="T90" s="53">
        <f>SUMIFS($BA$9:$BA$59,$K$9:$K$59,P90,$C$9:$C$59,"PENDING")</f>
        <v>0</v>
      </c>
      <c r="U90" s="53">
        <f>Q90-(R90+T90)</f>
        <v>0</v>
      </c>
      <c r="V90" s="53">
        <f t="shared" ref="V90:V107" si="47">SUMIF($K$9:$K$59,P90,$Q$9:$Q$59)</f>
        <v>0</v>
      </c>
      <c r="W90" s="39"/>
      <c r="X90" s="53">
        <f t="shared" ref="X90:X107" si="48">SUM(SUMIFS($M$9:$M$59,$K$9:$K$59,$P90,$C$9:$C$59,"YES"), SUMIFS($N$9:$N$59,$K$9:$K$59,$P90,$C$9:$C$59,"YES"))+SUM(SUMIFS($M$9:$M$59,$K$9:$K$59,$P90,$C$9:$C$59,"YES-OOS"), SUMIFS($N$9:$N$59,$K$9:$K$59,$P90,$C$9:$C$59,"YES-OOS"))</f>
        <v>0</v>
      </c>
      <c r="Y90" s="53">
        <f t="shared" ref="Y90:Y107" si="49">SUMIFS($O$9:$O$59,$K$9:$K$59,$P90,$C$9:$C$59,"YES")+SUMIFS($O$9:$O$59,$K$9:$K$59,$P90,$C$9:$C$59,"YES-OOS")</f>
        <v>0</v>
      </c>
      <c r="Z90" s="53">
        <f t="shared" ref="Z90:Z107" si="50">SUMIFS($R$9:$R$59,$K$9:$K$59,P90,$C$9:$C$59,"YES")+SUMIFS($R$9:$R$59,$K$9:$K$59,P90,$C$9:$C$59,"YES-OOS")</f>
        <v>0</v>
      </c>
      <c r="AA90" s="98">
        <f t="shared" ref="AA90:AA108" si="51">R90-(X90+Y90+Z90)</f>
        <v>0</v>
      </c>
      <c r="AB90" s="53"/>
      <c r="AC90" s="8"/>
      <c r="AD90" s="53">
        <f t="shared" ref="AD90:AD107" si="52">IF(R90&lt;&gt;0,Q90,0)</f>
        <v>0</v>
      </c>
      <c r="AE90" s="53">
        <f t="shared" ref="AE90:AE107" si="53">IF(R90&lt;&gt;0,0,Q90)</f>
        <v>0</v>
      </c>
      <c r="AF90" s="53">
        <f t="shared" ref="AF90:AF107" si="54">IF(R90&lt;&gt;0,V90,0)</f>
        <v>0</v>
      </c>
      <c r="AG90" s="53">
        <f t="shared" ref="AG90:AG107" si="55">IF(R90&lt;&gt;0,0,V90)</f>
        <v>0</v>
      </c>
      <c r="AH90" s="144">
        <f t="shared" ref="AH90:AH107" si="56">(Q90+V90)-(AD90+AE90+AF90+AG90)</f>
        <v>0</v>
      </c>
      <c r="AK90" s="107">
        <f>P90</f>
        <v>1</v>
      </c>
      <c r="AL90" s="53">
        <f>SUMIFS($M$9:$M$59,$K$9:$K$59,$P90)+SUMIFS($N$9:$N$59,$K$9:$K$59,$P90)</f>
        <v>0</v>
      </c>
      <c r="AM90" s="53">
        <f>SUMIFS($O$9:$O$59,$K$9:$K$59,$P90)+SUMIFS($P$9:$P$59,$K$9:$K$59,$P90)</f>
        <v>0</v>
      </c>
      <c r="AN90" s="53">
        <f>SUMIFS($Q$9:$Q$59,$K$9:$K$59,$P90)</f>
        <v>0</v>
      </c>
      <c r="AO90" s="53">
        <f>SUMIFS($R$9:$R$59,$K$9:$K$59,$P90)</f>
        <v>0</v>
      </c>
      <c r="AP90" s="105">
        <f>Q90-SUM(AL90:AO90)</f>
        <v>0</v>
      </c>
      <c r="AQ90"/>
      <c r="AR90"/>
      <c r="AS90"/>
      <c r="AT90"/>
      <c r="AU90"/>
      <c r="AV90"/>
      <c r="AW90"/>
      <c r="AX90"/>
      <c r="AY90"/>
      <c r="AZ90"/>
      <c r="BA90"/>
      <c r="BB90"/>
      <c r="BC90"/>
      <c r="BD90"/>
      <c r="BE90"/>
      <c r="BF90"/>
      <c r="BG90"/>
      <c r="BH90"/>
      <c r="BI90"/>
      <c r="BJ90"/>
      <c r="BK90"/>
      <c r="BL90"/>
      <c r="BM90"/>
    </row>
    <row r="91" spans="3:65" s="62" customFormat="1" x14ac:dyDescent="0.3">
      <c r="C91" s="8"/>
      <c r="D91" s="8"/>
      <c r="E91" s="8"/>
      <c r="M91" s="340"/>
      <c r="N91" s="8" t="e">
        <f t="shared" ref="N91:N107" si="57">_xlfn.XLOOKUP($P91,$K$9:$K$59,AL$9:AL$59)</f>
        <v>#N/A</v>
      </c>
      <c r="O91" s="8" t="e">
        <f t="shared" si="45"/>
        <v>#N/A</v>
      </c>
      <c r="P91" s="8">
        <v>2</v>
      </c>
      <c r="Q91" s="92">
        <f t="shared" si="46"/>
        <v>0</v>
      </c>
      <c r="R91" s="165">
        <f t="shared" ref="R91:R107" si="58">SUMIFS($BA$9:$BA$59,$K$9:$K$59,P91,$C$9:$C$59,"YES")+SUMIFS($BA$9:$BA$59,$K$9:$K$59,P91,$C$9:$C$59,"YES-OOS")</f>
        <v>0</v>
      </c>
      <c r="S91" s="165"/>
      <c r="T91" s="92">
        <f t="shared" ref="T91:T107" si="59">SUMIFS($BA$9:$BA$59,$K$9:$K$59,P91,$C$9:$C$59,"PENDING")</f>
        <v>0</v>
      </c>
      <c r="U91" s="92">
        <f t="shared" ref="U91:U107" si="60">Q91-(R91+T91)</f>
        <v>0</v>
      </c>
      <c r="V91" s="53">
        <f t="shared" si="47"/>
        <v>0</v>
      </c>
      <c r="X91" s="53">
        <f t="shared" si="48"/>
        <v>0</v>
      </c>
      <c r="Y91" s="53">
        <f t="shared" si="49"/>
        <v>0</v>
      </c>
      <c r="Z91" s="53">
        <f t="shared" si="50"/>
        <v>0</v>
      </c>
      <c r="AA91" s="98">
        <f t="shared" si="51"/>
        <v>0</v>
      </c>
      <c r="AB91" s="53"/>
      <c r="AD91" s="53">
        <f t="shared" si="52"/>
        <v>0</v>
      </c>
      <c r="AE91" s="53">
        <f t="shared" si="53"/>
        <v>0</v>
      </c>
      <c r="AF91" s="53">
        <f t="shared" si="54"/>
        <v>0</v>
      </c>
      <c r="AG91" s="53">
        <f t="shared" si="55"/>
        <v>0</v>
      </c>
      <c r="AH91" s="144">
        <f t="shared" si="56"/>
        <v>0</v>
      </c>
      <c r="AK91" s="107">
        <f t="shared" ref="AK91:AK107" si="61">P91</f>
        <v>2</v>
      </c>
      <c r="AL91" s="53">
        <f t="shared" ref="AL91:AL107" si="62">SUMIFS($M$9:$M$59,$K$9:$K$59,$P91)+SUMIFS($N$9:$N$59,$K$9:$K$59,$P91)</f>
        <v>0</v>
      </c>
      <c r="AM91" s="53">
        <f t="shared" ref="AM91:AM107" si="63">SUMIFS($O$9:$O$59,$K$9:$K$59,$P91)+SUMIFS($P$9:$P$59,$K$9:$K$59,$P91)</f>
        <v>0</v>
      </c>
      <c r="AN91" s="53">
        <f t="shared" ref="AN91:AN107" si="64">SUMIFS($Q$9:$Q$59,$K$9:$K$59,$P91)</f>
        <v>0</v>
      </c>
      <c r="AO91" s="53">
        <f t="shared" ref="AO91:AO107" si="65">SUMIFS($R$9:$R$59,$K$9:$K$59,$P91)</f>
        <v>0</v>
      </c>
      <c r="AP91" s="105">
        <f t="shared" ref="AP91:AP107" si="66">Q91-SUM(AL91:AO91)</f>
        <v>0</v>
      </c>
      <c r="AQ91"/>
      <c r="AR91"/>
      <c r="AS91"/>
      <c r="AT91"/>
      <c r="AU91"/>
      <c r="AV91"/>
      <c r="AW91"/>
      <c r="AX91"/>
      <c r="AY91"/>
      <c r="AZ91"/>
      <c r="BA91"/>
      <c r="BB91"/>
      <c r="BC91"/>
      <c r="BD91"/>
      <c r="BE91"/>
      <c r="BF91"/>
      <c r="BG91"/>
      <c r="BH91"/>
      <c r="BI91"/>
      <c r="BJ91"/>
      <c r="BK91"/>
      <c r="BL91"/>
      <c r="BM91"/>
    </row>
    <row r="92" spans="3:65" s="62" customFormat="1" x14ac:dyDescent="0.3">
      <c r="C92" s="8"/>
      <c r="D92" s="8"/>
      <c r="E92" s="8"/>
      <c r="M92" s="340"/>
      <c r="N92" s="8">
        <f t="shared" si="57"/>
        <v>0</v>
      </c>
      <c r="O92" s="8">
        <f t="shared" si="45"/>
        <v>0</v>
      </c>
      <c r="P92" s="8"/>
      <c r="Q92" s="92">
        <f t="shared" si="46"/>
        <v>0</v>
      </c>
      <c r="R92" s="165">
        <f t="shared" si="58"/>
        <v>0</v>
      </c>
      <c r="S92" s="165"/>
      <c r="T92" s="47">
        <f t="shared" si="59"/>
        <v>0</v>
      </c>
      <c r="U92" s="47">
        <f t="shared" si="60"/>
        <v>0</v>
      </c>
      <c r="V92" s="53">
        <f t="shared" si="47"/>
        <v>0</v>
      </c>
      <c r="X92" s="53">
        <f t="shared" si="48"/>
        <v>0</v>
      </c>
      <c r="Y92" s="53">
        <f t="shared" si="49"/>
        <v>0</v>
      </c>
      <c r="Z92" s="53">
        <f t="shared" si="50"/>
        <v>0</v>
      </c>
      <c r="AA92" s="98">
        <f t="shared" si="51"/>
        <v>0</v>
      </c>
      <c r="AB92" s="53"/>
      <c r="AD92" s="53">
        <f t="shared" si="52"/>
        <v>0</v>
      </c>
      <c r="AE92" s="53">
        <f t="shared" si="53"/>
        <v>0</v>
      </c>
      <c r="AF92" s="53">
        <f t="shared" si="54"/>
        <v>0</v>
      </c>
      <c r="AG92" s="53">
        <f t="shared" si="55"/>
        <v>0</v>
      </c>
      <c r="AH92" s="144">
        <f t="shared" si="56"/>
        <v>0</v>
      </c>
      <c r="AK92" s="107">
        <f t="shared" si="61"/>
        <v>0</v>
      </c>
      <c r="AL92" s="53">
        <f t="shared" si="62"/>
        <v>0</v>
      </c>
      <c r="AM92" s="53">
        <f t="shared" si="63"/>
        <v>0</v>
      </c>
      <c r="AN92" s="53">
        <f t="shared" si="64"/>
        <v>0</v>
      </c>
      <c r="AO92" s="53">
        <f t="shared" si="65"/>
        <v>0</v>
      </c>
      <c r="AP92" s="105">
        <f t="shared" si="66"/>
        <v>0</v>
      </c>
      <c r="AQ92"/>
      <c r="AR92"/>
      <c r="AS92"/>
      <c r="AT92"/>
      <c r="AU92"/>
      <c r="AV92"/>
      <c r="AW92"/>
      <c r="AX92"/>
      <c r="AY92"/>
      <c r="AZ92"/>
      <c r="BA92"/>
      <c r="BB92"/>
      <c r="BC92"/>
      <c r="BD92"/>
      <c r="BE92"/>
      <c r="BF92"/>
      <c r="BG92"/>
      <c r="BH92"/>
      <c r="BI92"/>
      <c r="BJ92"/>
      <c r="BK92"/>
      <c r="BL92"/>
      <c r="BM92"/>
    </row>
    <row r="93" spans="3:65" s="62" customFormat="1" x14ac:dyDescent="0.3">
      <c r="C93" s="8"/>
      <c r="D93" s="8"/>
      <c r="E93" s="8"/>
      <c r="M93" s="340"/>
      <c r="N93" s="8">
        <f t="shared" si="57"/>
        <v>0</v>
      </c>
      <c r="O93" s="8">
        <f t="shared" si="45"/>
        <v>0</v>
      </c>
      <c r="P93" s="8"/>
      <c r="Q93" s="92">
        <f t="shared" si="46"/>
        <v>0</v>
      </c>
      <c r="R93" s="165">
        <f t="shared" si="58"/>
        <v>0</v>
      </c>
      <c r="S93" s="165"/>
      <c r="T93" s="92">
        <f t="shared" si="59"/>
        <v>0</v>
      </c>
      <c r="U93" s="92">
        <f t="shared" si="60"/>
        <v>0</v>
      </c>
      <c r="V93" s="53">
        <f t="shared" si="47"/>
        <v>0</v>
      </c>
      <c r="X93" s="53">
        <f t="shared" si="48"/>
        <v>0</v>
      </c>
      <c r="Y93" s="53">
        <f t="shared" si="49"/>
        <v>0</v>
      </c>
      <c r="Z93" s="53">
        <f t="shared" si="50"/>
        <v>0</v>
      </c>
      <c r="AA93" s="98">
        <f t="shared" si="51"/>
        <v>0</v>
      </c>
      <c r="AB93" s="53"/>
      <c r="AD93" s="53">
        <f t="shared" si="52"/>
        <v>0</v>
      </c>
      <c r="AE93" s="53">
        <f t="shared" si="53"/>
        <v>0</v>
      </c>
      <c r="AF93" s="53">
        <f t="shared" si="54"/>
        <v>0</v>
      </c>
      <c r="AG93" s="53">
        <f t="shared" si="55"/>
        <v>0</v>
      </c>
      <c r="AH93" s="144">
        <f t="shared" si="56"/>
        <v>0</v>
      </c>
      <c r="AK93" s="107">
        <f t="shared" si="61"/>
        <v>0</v>
      </c>
      <c r="AL93" s="53">
        <f t="shared" si="62"/>
        <v>0</v>
      </c>
      <c r="AM93" s="53">
        <f t="shared" si="63"/>
        <v>0</v>
      </c>
      <c r="AN93" s="53">
        <f t="shared" si="64"/>
        <v>0</v>
      </c>
      <c r="AO93" s="53">
        <f t="shared" si="65"/>
        <v>0</v>
      </c>
      <c r="AP93" s="105">
        <f t="shared" si="66"/>
        <v>0</v>
      </c>
      <c r="AQ93"/>
      <c r="AR93"/>
      <c r="AS93"/>
      <c r="AT93"/>
      <c r="AU93"/>
      <c r="AV93"/>
      <c r="AW93"/>
      <c r="AX93"/>
      <c r="AY93"/>
      <c r="AZ93"/>
      <c r="BA93"/>
      <c r="BB93"/>
      <c r="BC93"/>
      <c r="BD93"/>
      <c r="BE93"/>
      <c r="BF93"/>
      <c r="BG93"/>
      <c r="BH93"/>
      <c r="BI93"/>
      <c r="BJ93"/>
      <c r="BK93"/>
      <c r="BL93"/>
      <c r="BM93"/>
    </row>
    <row r="94" spans="3:65" s="62" customFormat="1" x14ac:dyDescent="0.3">
      <c r="C94" s="8"/>
      <c r="D94" s="8"/>
      <c r="E94" s="8"/>
      <c r="M94" s="340"/>
      <c r="N94" s="8">
        <f t="shared" si="57"/>
        <v>0</v>
      </c>
      <c r="O94" s="8">
        <f t="shared" si="45"/>
        <v>0</v>
      </c>
      <c r="P94" s="8"/>
      <c r="Q94" s="92">
        <f t="shared" si="46"/>
        <v>0</v>
      </c>
      <c r="R94" s="165">
        <f t="shared" si="58"/>
        <v>0</v>
      </c>
      <c r="S94" s="165"/>
      <c r="T94" s="47">
        <f t="shared" si="59"/>
        <v>0</v>
      </c>
      <c r="U94" s="47">
        <f t="shared" si="60"/>
        <v>0</v>
      </c>
      <c r="V94" s="53">
        <f t="shared" si="47"/>
        <v>0</v>
      </c>
      <c r="X94" s="53">
        <f t="shared" si="48"/>
        <v>0</v>
      </c>
      <c r="Y94" s="53">
        <f t="shared" si="49"/>
        <v>0</v>
      </c>
      <c r="Z94" s="53">
        <f t="shared" si="50"/>
        <v>0</v>
      </c>
      <c r="AA94" s="98">
        <f t="shared" si="51"/>
        <v>0</v>
      </c>
      <c r="AB94" s="53"/>
      <c r="AD94" s="53">
        <f t="shared" si="52"/>
        <v>0</v>
      </c>
      <c r="AE94" s="53">
        <f t="shared" si="53"/>
        <v>0</v>
      </c>
      <c r="AF94" s="53">
        <f t="shared" si="54"/>
        <v>0</v>
      </c>
      <c r="AG94" s="53">
        <f t="shared" si="55"/>
        <v>0</v>
      </c>
      <c r="AH94" s="144">
        <f t="shared" si="56"/>
        <v>0</v>
      </c>
      <c r="AK94" s="107">
        <f t="shared" si="61"/>
        <v>0</v>
      </c>
      <c r="AL94" s="53">
        <f t="shared" si="62"/>
        <v>0</v>
      </c>
      <c r="AM94" s="53">
        <f t="shared" si="63"/>
        <v>0</v>
      </c>
      <c r="AN94" s="53">
        <f t="shared" si="64"/>
        <v>0</v>
      </c>
      <c r="AO94" s="53">
        <f t="shared" si="65"/>
        <v>0</v>
      </c>
      <c r="AP94" s="105">
        <f t="shared" si="66"/>
        <v>0</v>
      </c>
      <c r="AQ94"/>
      <c r="AR94"/>
      <c r="AS94"/>
      <c r="AT94"/>
      <c r="AU94"/>
      <c r="AV94"/>
      <c r="AW94"/>
      <c r="AX94"/>
      <c r="AY94"/>
      <c r="AZ94"/>
      <c r="BA94"/>
      <c r="BB94"/>
      <c r="BC94"/>
      <c r="BD94"/>
      <c r="BE94"/>
      <c r="BF94"/>
      <c r="BG94"/>
      <c r="BH94"/>
      <c r="BI94"/>
      <c r="BJ94"/>
      <c r="BK94"/>
      <c r="BL94"/>
      <c r="BM94"/>
    </row>
    <row r="95" spans="3:65" s="62" customFormat="1" x14ac:dyDescent="0.3">
      <c r="C95" s="8"/>
      <c r="D95" s="8"/>
      <c r="E95" s="8"/>
      <c r="M95" s="340"/>
      <c r="N95" s="8">
        <f t="shared" si="57"/>
        <v>0</v>
      </c>
      <c r="O95" s="8">
        <f t="shared" si="45"/>
        <v>0</v>
      </c>
      <c r="P95" s="8"/>
      <c r="Q95" s="92">
        <f t="shared" si="46"/>
        <v>0</v>
      </c>
      <c r="R95" s="165">
        <f t="shared" si="58"/>
        <v>0</v>
      </c>
      <c r="S95" s="165"/>
      <c r="T95" s="92">
        <f t="shared" si="59"/>
        <v>0</v>
      </c>
      <c r="U95" s="92">
        <f t="shared" si="60"/>
        <v>0</v>
      </c>
      <c r="V95" s="53">
        <f t="shared" si="47"/>
        <v>0</v>
      </c>
      <c r="X95" s="53">
        <f t="shared" si="48"/>
        <v>0</v>
      </c>
      <c r="Y95" s="53">
        <f t="shared" si="49"/>
        <v>0</v>
      </c>
      <c r="Z95" s="53">
        <f t="shared" si="50"/>
        <v>0</v>
      </c>
      <c r="AA95" s="98">
        <f t="shared" si="51"/>
        <v>0</v>
      </c>
      <c r="AB95" s="53"/>
      <c r="AD95" s="53">
        <f t="shared" si="52"/>
        <v>0</v>
      </c>
      <c r="AE95" s="53">
        <f t="shared" si="53"/>
        <v>0</v>
      </c>
      <c r="AF95" s="53">
        <f t="shared" si="54"/>
        <v>0</v>
      </c>
      <c r="AG95" s="53">
        <f t="shared" si="55"/>
        <v>0</v>
      </c>
      <c r="AH95" s="144">
        <f t="shared" si="56"/>
        <v>0</v>
      </c>
      <c r="AK95" s="107">
        <f t="shared" si="61"/>
        <v>0</v>
      </c>
      <c r="AL95" s="53">
        <f t="shared" si="62"/>
        <v>0</v>
      </c>
      <c r="AM95" s="53">
        <f t="shared" si="63"/>
        <v>0</v>
      </c>
      <c r="AN95" s="53">
        <f t="shared" si="64"/>
        <v>0</v>
      </c>
      <c r="AO95" s="53">
        <f t="shared" si="65"/>
        <v>0</v>
      </c>
      <c r="AP95" s="105">
        <f t="shared" si="66"/>
        <v>0</v>
      </c>
      <c r="AQ95"/>
      <c r="AR95"/>
      <c r="AS95"/>
      <c r="AT95"/>
      <c r="AU95"/>
      <c r="AV95"/>
      <c r="AW95"/>
      <c r="AX95"/>
      <c r="AY95"/>
      <c r="AZ95"/>
      <c r="BA95"/>
      <c r="BB95"/>
      <c r="BC95"/>
      <c r="BD95"/>
      <c r="BE95"/>
      <c r="BF95"/>
      <c r="BG95"/>
      <c r="BH95"/>
      <c r="BI95"/>
      <c r="BJ95"/>
      <c r="BK95"/>
      <c r="BL95"/>
      <c r="BM95"/>
    </row>
    <row r="96" spans="3:65" s="62" customFormat="1" x14ac:dyDescent="0.3">
      <c r="C96" s="8"/>
      <c r="D96" s="8"/>
      <c r="E96" s="8"/>
      <c r="H96" s="53"/>
      <c r="M96" s="340"/>
      <c r="N96" s="8">
        <f t="shared" si="57"/>
        <v>0</v>
      </c>
      <c r="O96" s="8">
        <f t="shared" si="45"/>
        <v>0</v>
      </c>
      <c r="P96" s="8"/>
      <c r="Q96" s="92">
        <f t="shared" si="46"/>
        <v>0</v>
      </c>
      <c r="R96" s="165">
        <f t="shared" si="58"/>
        <v>0</v>
      </c>
      <c r="S96" s="165"/>
      <c r="T96" s="47">
        <f t="shared" si="59"/>
        <v>0</v>
      </c>
      <c r="U96" s="47">
        <f t="shared" si="60"/>
        <v>0</v>
      </c>
      <c r="V96" s="53">
        <f t="shared" si="47"/>
        <v>0</v>
      </c>
      <c r="X96" s="53">
        <f t="shared" si="48"/>
        <v>0</v>
      </c>
      <c r="Y96" s="53">
        <f t="shared" si="49"/>
        <v>0</v>
      </c>
      <c r="Z96" s="53">
        <f t="shared" si="50"/>
        <v>0</v>
      </c>
      <c r="AA96" s="98">
        <f t="shared" si="51"/>
        <v>0</v>
      </c>
      <c r="AB96" s="53"/>
      <c r="AD96" s="53">
        <f t="shared" si="52"/>
        <v>0</v>
      </c>
      <c r="AE96" s="53">
        <f t="shared" si="53"/>
        <v>0</v>
      </c>
      <c r="AF96" s="53">
        <f t="shared" si="54"/>
        <v>0</v>
      </c>
      <c r="AG96" s="53">
        <f t="shared" si="55"/>
        <v>0</v>
      </c>
      <c r="AH96" s="144">
        <f t="shared" si="56"/>
        <v>0</v>
      </c>
      <c r="AK96" s="107">
        <f t="shared" si="61"/>
        <v>0</v>
      </c>
      <c r="AL96" s="53">
        <f t="shared" si="62"/>
        <v>0</v>
      </c>
      <c r="AM96" s="53">
        <f t="shared" si="63"/>
        <v>0</v>
      </c>
      <c r="AN96" s="53">
        <f t="shared" si="64"/>
        <v>0</v>
      </c>
      <c r="AO96" s="53">
        <f t="shared" si="65"/>
        <v>0</v>
      </c>
      <c r="AP96" s="105">
        <f t="shared" si="66"/>
        <v>0</v>
      </c>
      <c r="AQ96"/>
      <c r="AR96"/>
      <c r="AS96"/>
      <c r="AT96"/>
      <c r="AU96"/>
      <c r="AV96"/>
      <c r="AW96"/>
      <c r="AX96"/>
      <c r="AY96"/>
      <c r="AZ96"/>
      <c r="BA96"/>
      <c r="BB96"/>
      <c r="BC96"/>
      <c r="BD96"/>
      <c r="BE96"/>
      <c r="BF96"/>
      <c r="BG96"/>
      <c r="BH96"/>
      <c r="BI96"/>
      <c r="BJ96"/>
      <c r="BK96"/>
      <c r="BL96"/>
      <c r="BM96"/>
    </row>
    <row r="97" spans="3:65" s="62" customFormat="1" x14ac:dyDescent="0.3">
      <c r="C97" s="8"/>
      <c r="D97" s="8"/>
      <c r="E97" s="8"/>
      <c r="H97" s="53"/>
      <c r="M97" s="340"/>
      <c r="N97" s="8">
        <f t="shared" si="57"/>
        <v>0</v>
      </c>
      <c r="O97" s="8">
        <f t="shared" si="45"/>
        <v>0</v>
      </c>
      <c r="P97" s="8"/>
      <c r="Q97" s="92">
        <f t="shared" si="46"/>
        <v>0</v>
      </c>
      <c r="R97" s="165">
        <f t="shared" si="58"/>
        <v>0</v>
      </c>
      <c r="S97" s="165"/>
      <c r="T97" s="92">
        <f t="shared" si="59"/>
        <v>0</v>
      </c>
      <c r="U97" s="92">
        <f t="shared" si="60"/>
        <v>0</v>
      </c>
      <c r="V97" s="53">
        <f t="shared" si="47"/>
        <v>0</v>
      </c>
      <c r="X97" s="53">
        <f t="shared" si="48"/>
        <v>0</v>
      </c>
      <c r="Y97" s="53">
        <f t="shared" si="49"/>
        <v>0</v>
      </c>
      <c r="Z97" s="53">
        <f t="shared" si="50"/>
        <v>0</v>
      </c>
      <c r="AA97" s="98">
        <f t="shared" si="51"/>
        <v>0</v>
      </c>
      <c r="AB97" s="53"/>
      <c r="AD97" s="53">
        <f t="shared" si="52"/>
        <v>0</v>
      </c>
      <c r="AE97" s="53">
        <f t="shared" si="53"/>
        <v>0</v>
      </c>
      <c r="AF97" s="53">
        <f t="shared" si="54"/>
        <v>0</v>
      </c>
      <c r="AG97" s="53">
        <f t="shared" si="55"/>
        <v>0</v>
      </c>
      <c r="AH97" s="144">
        <f t="shared" si="56"/>
        <v>0</v>
      </c>
      <c r="AK97" s="107">
        <f t="shared" si="61"/>
        <v>0</v>
      </c>
      <c r="AL97" s="53">
        <f t="shared" si="62"/>
        <v>0</v>
      </c>
      <c r="AM97" s="53">
        <f t="shared" si="63"/>
        <v>0</v>
      </c>
      <c r="AN97" s="53">
        <f t="shared" si="64"/>
        <v>0</v>
      </c>
      <c r="AO97" s="53">
        <f t="shared" si="65"/>
        <v>0</v>
      </c>
      <c r="AP97" s="105">
        <f t="shared" si="66"/>
        <v>0</v>
      </c>
      <c r="AQ97"/>
      <c r="AR97"/>
      <c r="AS97"/>
      <c r="AT97"/>
      <c r="AU97"/>
      <c r="AV97"/>
      <c r="AW97"/>
      <c r="AX97"/>
      <c r="AY97"/>
      <c r="AZ97"/>
      <c r="BA97"/>
      <c r="BB97"/>
      <c r="BC97"/>
      <c r="BD97"/>
      <c r="BE97"/>
      <c r="BF97"/>
      <c r="BG97"/>
      <c r="BH97"/>
      <c r="BI97"/>
      <c r="BJ97"/>
      <c r="BK97"/>
      <c r="BL97"/>
      <c r="BM97"/>
    </row>
    <row r="98" spans="3:65" s="62" customFormat="1" x14ac:dyDescent="0.3">
      <c r="C98" s="8"/>
      <c r="D98" s="8"/>
      <c r="E98" s="8"/>
      <c r="H98" s="53"/>
      <c r="M98" s="340"/>
      <c r="N98" s="8">
        <f t="shared" si="57"/>
        <v>0</v>
      </c>
      <c r="O98" s="8">
        <f t="shared" si="45"/>
        <v>0</v>
      </c>
      <c r="P98" s="8"/>
      <c r="Q98" s="92">
        <f t="shared" si="46"/>
        <v>0</v>
      </c>
      <c r="R98" s="165">
        <f t="shared" si="58"/>
        <v>0</v>
      </c>
      <c r="S98" s="165"/>
      <c r="T98" s="47">
        <f t="shared" si="59"/>
        <v>0</v>
      </c>
      <c r="U98" s="47">
        <f t="shared" si="60"/>
        <v>0</v>
      </c>
      <c r="V98" s="53">
        <f t="shared" si="47"/>
        <v>0</v>
      </c>
      <c r="X98" s="53">
        <f t="shared" si="48"/>
        <v>0</v>
      </c>
      <c r="Y98" s="53">
        <f t="shared" si="49"/>
        <v>0</v>
      </c>
      <c r="Z98" s="53">
        <f t="shared" si="50"/>
        <v>0</v>
      </c>
      <c r="AA98" s="98">
        <f t="shared" si="51"/>
        <v>0</v>
      </c>
      <c r="AB98" s="53"/>
      <c r="AD98" s="53">
        <f t="shared" si="52"/>
        <v>0</v>
      </c>
      <c r="AE98" s="53">
        <f t="shared" si="53"/>
        <v>0</v>
      </c>
      <c r="AF98" s="53">
        <f t="shared" si="54"/>
        <v>0</v>
      </c>
      <c r="AG98" s="53">
        <f t="shared" si="55"/>
        <v>0</v>
      </c>
      <c r="AH98" s="144">
        <f t="shared" si="56"/>
        <v>0</v>
      </c>
      <c r="AK98" s="107">
        <f t="shared" si="61"/>
        <v>0</v>
      </c>
      <c r="AL98" s="53">
        <f t="shared" si="62"/>
        <v>0</v>
      </c>
      <c r="AM98" s="53">
        <f t="shared" si="63"/>
        <v>0</v>
      </c>
      <c r="AN98" s="53">
        <f t="shared" si="64"/>
        <v>0</v>
      </c>
      <c r="AO98" s="53">
        <f t="shared" si="65"/>
        <v>0</v>
      </c>
      <c r="AP98" s="105">
        <f t="shared" si="66"/>
        <v>0</v>
      </c>
      <c r="AQ98"/>
      <c r="AR98"/>
      <c r="AS98"/>
      <c r="AT98"/>
      <c r="AU98"/>
      <c r="AV98"/>
      <c r="AW98"/>
      <c r="AX98"/>
      <c r="AY98"/>
      <c r="AZ98"/>
      <c r="BA98"/>
      <c r="BB98"/>
      <c r="BC98"/>
      <c r="BD98"/>
      <c r="BE98"/>
      <c r="BF98"/>
      <c r="BG98"/>
      <c r="BH98"/>
      <c r="BI98"/>
      <c r="BJ98"/>
      <c r="BK98"/>
      <c r="BL98"/>
      <c r="BM98"/>
    </row>
    <row r="99" spans="3:65" s="62" customFormat="1" x14ac:dyDescent="0.3">
      <c r="C99" s="8"/>
      <c r="D99" s="8"/>
      <c r="E99" s="8"/>
      <c r="H99" s="53"/>
      <c r="M99" s="340"/>
      <c r="N99" s="8">
        <f t="shared" si="57"/>
        <v>0</v>
      </c>
      <c r="O99" s="8">
        <f t="shared" si="45"/>
        <v>0</v>
      </c>
      <c r="P99" s="8"/>
      <c r="Q99" s="92">
        <f t="shared" si="46"/>
        <v>0</v>
      </c>
      <c r="R99" s="165">
        <f t="shared" si="58"/>
        <v>0</v>
      </c>
      <c r="S99" s="165"/>
      <c r="T99" s="92">
        <f t="shared" si="59"/>
        <v>0</v>
      </c>
      <c r="U99" s="92">
        <f t="shared" si="60"/>
        <v>0</v>
      </c>
      <c r="V99" s="53">
        <f t="shared" si="47"/>
        <v>0</v>
      </c>
      <c r="X99" s="53">
        <f t="shared" si="48"/>
        <v>0</v>
      </c>
      <c r="Y99" s="53">
        <f t="shared" si="49"/>
        <v>0</v>
      </c>
      <c r="Z99" s="53">
        <f t="shared" si="50"/>
        <v>0</v>
      </c>
      <c r="AA99" s="98">
        <f t="shared" si="51"/>
        <v>0</v>
      </c>
      <c r="AB99" s="53"/>
      <c r="AD99" s="53">
        <f t="shared" si="52"/>
        <v>0</v>
      </c>
      <c r="AE99" s="53">
        <f t="shared" si="53"/>
        <v>0</v>
      </c>
      <c r="AF99" s="53">
        <f t="shared" si="54"/>
        <v>0</v>
      </c>
      <c r="AG99" s="53">
        <f t="shared" si="55"/>
        <v>0</v>
      </c>
      <c r="AH99" s="144">
        <f t="shared" si="56"/>
        <v>0</v>
      </c>
      <c r="AK99" s="107">
        <f t="shared" si="61"/>
        <v>0</v>
      </c>
      <c r="AL99" s="53">
        <f t="shared" si="62"/>
        <v>0</v>
      </c>
      <c r="AM99" s="53">
        <f t="shared" si="63"/>
        <v>0</v>
      </c>
      <c r="AN99" s="53">
        <f t="shared" si="64"/>
        <v>0</v>
      </c>
      <c r="AO99" s="53">
        <f t="shared" si="65"/>
        <v>0</v>
      </c>
      <c r="AP99" s="105">
        <f t="shared" si="66"/>
        <v>0</v>
      </c>
      <c r="AQ99"/>
      <c r="AR99"/>
      <c r="AS99"/>
      <c r="AT99"/>
      <c r="AU99"/>
      <c r="AV99"/>
      <c r="AW99"/>
      <c r="AX99"/>
      <c r="AY99"/>
      <c r="AZ99"/>
      <c r="BA99"/>
      <c r="BB99"/>
      <c r="BC99"/>
      <c r="BD99"/>
      <c r="BE99"/>
      <c r="BF99"/>
      <c r="BG99"/>
      <c r="BH99"/>
      <c r="BI99"/>
      <c r="BJ99"/>
      <c r="BK99"/>
      <c r="BL99"/>
      <c r="BM99"/>
    </row>
    <row r="100" spans="3:65" s="62" customFormat="1" x14ac:dyDescent="0.3">
      <c r="C100" s="8"/>
      <c r="D100" s="8"/>
      <c r="E100" s="8"/>
      <c r="H100" s="53"/>
      <c r="M100" s="340"/>
      <c r="N100" s="8">
        <f t="shared" si="57"/>
        <v>0</v>
      </c>
      <c r="O100" s="8">
        <f t="shared" si="45"/>
        <v>0</v>
      </c>
      <c r="P100" s="8"/>
      <c r="Q100" s="92">
        <f t="shared" si="46"/>
        <v>0</v>
      </c>
      <c r="R100" s="165">
        <f t="shared" si="58"/>
        <v>0</v>
      </c>
      <c r="S100" s="165"/>
      <c r="T100" s="47">
        <f t="shared" si="59"/>
        <v>0</v>
      </c>
      <c r="U100" s="47">
        <f t="shared" si="60"/>
        <v>0</v>
      </c>
      <c r="V100" s="53">
        <f t="shared" si="47"/>
        <v>0</v>
      </c>
      <c r="X100" s="53">
        <f t="shared" si="48"/>
        <v>0</v>
      </c>
      <c r="Y100" s="53">
        <f t="shared" si="49"/>
        <v>0</v>
      </c>
      <c r="Z100" s="53">
        <f t="shared" si="50"/>
        <v>0</v>
      </c>
      <c r="AA100" s="98">
        <f t="shared" si="51"/>
        <v>0</v>
      </c>
      <c r="AB100" s="53"/>
      <c r="AD100" s="53">
        <f t="shared" si="52"/>
        <v>0</v>
      </c>
      <c r="AE100" s="53">
        <f t="shared" si="53"/>
        <v>0</v>
      </c>
      <c r="AF100" s="53">
        <f t="shared" si="54"/>
        <v>0</v>
      </c>
      <c r="AG100" s="53">
        <f t="shared" si="55"/>
        <v>0</v>
      </c>
      <c r="AH100" s="144">
        <f t="shared" si="56"/>
        <v>0</v>
      </c>
      <c r="AK100" s="107">
        <f t="shared" si="61"/>
        <v>0</v>
      </c>
      <c r="AL100" s="53">
        <f t="shared" si="62"/>
        <v>0</v>
      </c>
      <c r="AM100" s="53">
        <f t="shared" si="63"/>
        <v>0</v>
      </c>
      <c r="AN100" s="53">
        <f t="shared" si="64"/>
        <v>0</v>
      </c>
      <c r="AO100" s="53">
        <f t="shared" si="65"/>
        <v>0</v>
      </c>
      <c r="AP100" s="105">
        <f t="shared" si="66"/>
        <v>0</v>
      </c>
      <c r="AQ100"/>
      <c r="AR100"/>
      <c r="AS100"/>
      <c r="AT100"/>
      <c r="AU100"/>
      <c r="AV100"/>
      <c r="AW100"/>
      <c r="AX100"/>
      <c r="AY100"/>
      <c r="AZ100"/>
      <c r="BA100"/>
      <c r="BB100"/>
      <c r="BC100"/>
      <c r="BD100"/>
      <c r="BE100"/>
      <c r="BF100"/>
      <c r="BG100"/>
      <c r="BH100"/>
      <c r="BI100"/>
      <c r="BJ100"/>
      <c r="BK100"/>
      <c r="BL100"/>
      <c r="BM100"/>
    </row>
    <row r="101" spans="3:65" s="62" customFormat="1" x14ac:dyDescent="0.3">
      <c r="C101" s="8"/>
      <c r="D101" s="8"/>
      <c r="E101" s="8"/>
      <c r="H101" s="53"/>
      <c r="M101" s="340"/>
      <c r="N101" s="8">
        <f t="shared" si="57"/>
        <v>0</v>
      </c>
      <c r="O101" s="8">
        <f t="shared" si="45"/>
        <v>0</v>
      </c>
      <c r="P101" s="8"/>
      <c r="Q101" s="92">
        <f t="shared" si="46"/>
        <v>0</v>
      </c>
      <c r="R101" s="165">
        <f t="shared" si="58"/>
        <v>0</v>
      </c>
      <c r="S101" s="165"/>
      <c r="T101" s="92">
        <f t="shared" si="59"/>
        <v>0</v>
      </c>
      <c r="U101" s="92">
        <f t="shared" si="60"/>
        <v>0</v>
      </c>
      <c r="V101" s="53">
        <f t="shared" si="47"/>
        <v>0</v>
      </c>
      <c r="X101" s="53">
        <f t="shared" si="48"/>
        <v>0</v>
      </c>
      <c r="Y101" s="53">
        <f t="shared" si="49"/>
        <v>0</v>
      </c>
      <c r="Z101" s="53">
        <f t="shared" si="50"/>
        <v>0</v>
      </c>
      <c r="AA101" s="98">
        <f t="shared" si="51"/>
        <v>0</v>
      </c>
      <c r="AB101" s="53"/>
      <c r="AD101" s="53">
        <f t="shared" si="52"/>
        <v>0</v>
      </c>
      <c r="AE101" s="53">
        <f t="shared" si="53"/>
        <v>0</v>
      </c>
      <c r="AF101" s="53">
        <f t="shared" si="54"/>
        <v>0</v>
      </c>
      <c r="AG101" s="53">
        <f t="shared" si="55"/>
        <v>0</v>
      </c>
      <c r="AH101" s="144">
        <f t="shared" si="56"/>
        <v>0</v>
      </c>
      <c r="AK101" s="107">
        <f t="shared" si="61"/>
        <v>0</v>
      </c>
      <c r="AL101" s="53">
        <f t="shared" si="62"/>
        <v>0</v>
      </c>
      <c r="AM101" s="53">
        <f t="shared" si="63"/>
        <v>0</v>
      </c>
      <c r="AN101" s="53">
        <f t="shared" si="64"/>
        <v>0</v>
      </c>
      <c r="AO101" s="53">
        <f t="shared" si="65"/>
        <v>0</v>
      </c>
      <c r="AP101" s="105">
        <f t="shared" si="66"/>
        <v>0</v>
      </c>
      <c r="AQ101"/>
      <c r="AR101"/>
      <c r="AS101"/>
      <c r="AT101"/>
      <c r="AU101"/>
      <c r="AV101"/>
      <c r="AW101"/>
      <c r="AX101"/>
      <c r="AY101"/>
      <c r="AZ101"/>
      <c r="BA101"/>
      <c r="BB101"/>
      <c r="BC101"/>
      <c r="BD101"/>
      <c r="BE101"/>
      <c r="BF101"/>
      <c r="BG101"/>
      <c r="BH101"/>
      <c r="BI101"/>
      <c r="BJ101"/>
      <c r="BK101"/>
      <c r="BL101"/>
      <c r="BM101"/>
    </row>
    <row r="102" spans="3:65" s="62" customFormat="1" x14ac:dyDescent="0.3">
      <c r="C102" s="8"/>
      <c r="D102" s="8"/>
      <c r="E102" s="8"/>
      <c r="H102" s="53"/>
      <c r="M102" s="340"/>
      <c r="N102" s="8">
        <f t="shared" si="57"/>
        <v>0</v>
      </c>
      <c r="O102" s="8">
        <f t="shared" si="45"/>
        <v>0</v>
      </c>
      <c r="P102" s="8"/>
      <c r="Q102" s="92">
        <f t="shared" si="46"/>
        <v>0</v>
      </c>
      <c r="R102" s="165">
        <f t="shared" si="58"/>
        <v>0</v>
      </c>
      <c r="S102" s="165"/>
      <c r="T102" s="47">
        <f t="shared" si="59"/>
        <v>0</v>
      </c>
      <c r="U102" s="47">
        <f t="shared" si="60"/>
        <v>0</v>
      </c>
      <c r="V102" s="53">
        <f t="shared" si="47"/>
        <v>0</v>
      </c>
      <c r="X102" s="53">
        <f t="shared" si="48"/>
        <v>0</v>
      </c>
      <c r="Y102" s="53">
        <f t="shared" si="49"/>
        <v>0</v>
      </c>
      <c r="Z102" s="53">
        <f t="shared" si="50"/>
        <v>0</v>
      </c>
      <c r="AA102" s="98">
        <f t="shared" si="51"/>
        <v>0</v>
      </c>
      <c r="AB102" s="53"/>
      <c r="AD102" s="53">
        <f t="shared" si="52"/>
        <v>0</v>
      </c>
      <c r="AE102" s="53">
        <f t="shared" si="53"/>
        <v>0</v>
      </c>
      <c r="AF102" s="53">
        <f t="shared" si="54"/>
        <v>0</v>
      </c>
      <c r="AG102" s="53">
        <f t="shared" si="55"/>
        <v>0</v>
      </c>
      <c r="AH102" s="144">
        <f t="shared" si="56"/>
        <v>0</v>
      </c>
      <c r="AK102" s="107">
        <f t="shared" si="61"/>
        <v>0</v>
      </c>
      <c r="AL102" s="53">
        <f t="shared" si="62"/>
        <v>0</v>
      </c>
      <c r="AM102" s="53">
        <f t="shared" si="63"/>
        <v>0</v>
      </c>
      <c r="AN102" s="53">
        <f t="shared" si="64"/>
        <v>0</v>
      </c>
      <c r="AO102" s="53">
        <f t="shared" si="65"/>
        <v>0</v>
      </c>
      <c r="AP102" s="105">
        <f t="shared" si="66"/>
        <v>0</v>
      </c>
      <c r="AQ102"/>
      <c r="AR102"/>
      <c r="AS102"/>
      <c r="AT102"/>
      <c r="AU102"/>
      <c r="AV102"/>
      <c r="AW102"/>
      <c r="AX102"/>
      <c r="AY102"/>
      <c r="AZ102"/>
      <c r="BA102"/>
      <c r="BB102"/>
      <c r="BC102"/>
      <c r="BD102"/>
      <c r="BE102"/>
      <c r="BF102"/>
      <c r="BG102"/>
      <c r="BH102"/>
      <c r="BI102"/>
      <c r="BJ102"/>
      <c r="BK102"/>
      <c r="BL102"/>
      <c r="BM102"/>
    </row>
    <row r="103" spans="3:65" s="62" customFormat="1" x14ac:dyDescent="0.3">
      <c r="C103" s="8"/>
      <c r="D103" s="8"/>
      <c r="E103" s="8"/>
      <c r="H103" s="39"/>
      <c r="I103" s="107"/>
      <c r="M103" s="340"/>
      <c r="N103" s="8">
        <f t="shared" si="57"/>
        <v>0</v>
      </c>
      <c r="O103" s="8">
        <f t="shared" si="45"/>
        <v>0</v>
      </c>
      <c r="P103" s="8"/>
      <c r="Q103" s="92">
        <f t="shared" si="46"/>
        <v>0</v>
      </c>
      <c r="R103" s="165">
        <f t="shared" si="58"/>
        <v>0</v>
      </c>
      <c r="S103" s="165"/>
      <c r="T103" s="92">
        <f t="shared" si="59"/>
        <v>0</v>
      </c>
      <c r="U103" s="92">
        <f t="shared" si="60"/>
        <v>0</v>
      </c>
      <c r="V103" s="53">
        <f t="shared" si="47"/>
        <v>0</v>
      </c>
      <c r="X103" s="53">
        <f t="shared" si="48"/>
        <v>0</v>
      </c>
      <c r="Y103" s="53">
        <f t="shared" si="49"/>
        <v>0</v>
      </c>
      <c r="Z103" s="53">
        <f t="shared" si="50"/>
        <v>0</v>
      </c>
      <c r="AA103" s="98">
        <f t="shared" si="51"/>
        <v>0</v>
      </c>
      <c r="AB103" s="53"/>
      <c r="AD103" s="53">
        <f t="shared" si="52"/>
        <v>0</v>
      </c>
      <c r="AE103" s="53">
        <f t="shared" si="53"/>
        <v>0</v>
      </c>
      <c r="AF103" s="53">
        <f t="shared" si="54"/>
        <v>0</v>
      </c>
      <c r="AG103" s="53">
        <f t="shared" si="55"/>
        <v>0</v>
      </c>
      <c r="AH103" s="144">
        <f t="shared" si="56"/>
        <v>0</v>
      </c>
      <c r="AK103" s="107">
        <f t="shared" si="61"/>
        <v>0</v>
      </c>
      <c r="AL103" s="53">
        <f t="shared" si="62"/>
        <v>0</v>
      </c>
      <c r="AM103" s="53">
        <f t="shared" si="63"/>
        <v>0</v>
      </c>
      <c r="AN103" s="53">
        <f t="shared" si="64"/>
        <v>0</v>
      </c>
      <c r="AO103" s="53">
        <f t="shared" si="65"/>
        <v>0</v>
      </c>
      <c r="AP103" s="105">
        <f t="shared" si="66"/>
        <v>0</v>
      </c>
      <c r="AQ103"/>
      <c r="AR103"/>
      <c r="AS103"/>
      <c r="AT103"/>
      <c r="AU103"/>
      <c r="AV103"/>
      <c r="AW103"/>
      <c r="AX103"/>
      <c r="AY103"/>
      <c r="AZ103"/>
      <c r="BA103"/>
      <c r="BB103"/>
      <c r="BC103"/>
      <c r="BD103"/>
      <c r="BE103"/>
      <c r="BF103"/>
      <c r="BG103"/>
      <c r="BH103"/>
      <c r="BI103"/>
      <c r="BJ103"/>
      <c r="BK103"/>
      <c r="BL103"/>
      <c r="BM103"/>
    </row>
    <row r="104" spans="3:65" s="62" customFormat="1" x14ac:dyDescent="0.3">
      <c r="C104" s="8"/>
      <c r="D104" s="8"/>
      <c r="E104" s="8"/>
      <c r="F104" s="8"/>
      <c r="G104"/>
      <c r="H104"/>
      <c r="I104"/>
      <c r="M104" s="340"/>
      <c r="N104" s="8">
        <f t="shared" si="57"/>
        <v>0</v>
      </c>
      <c r="O104" s="8">
        <f t="shared" si="45"/>
        <v>0</v>
      </c>
      <c r="P104" s="8"/>
      <c r="Q104" s="92">
        <f t="shared" si="46"/>
        <v>0</v>
      </c>
      <c r="R104" s="165">
        <f t="shared" si="58"/>
        <v>0</v>
      </c>
      <c r="S104" s="165"/>
      <c r="T104" s="47">
        <f t="shared" si="59"/>
        <v>0</v>
      </c>
      <c r="U104" s="47">
        <f t="shared" si="60"/>
        <v>0</v>
      </c>
      <c r="V104" s="53">
        <f t="shared" si="47"/>
        <v>0</v>
      </c>
      <c r="X104" s="53">
        <f t="shared" si="48"/>
        <v>0</v>
      </c>
      <c r="Y104" s="53">
        <f t="shared" si="49"/>
        <v>0</v>
      </c>
      <c r="Z104" s="53">
        <f t="shared" si="50"/>
        <v>0</v>
      </c>
      <c r="AA104" s="98">
        <f t="shared" si="51"/>
        <v>0</v>
      </c>
      <c r="AB104" s="53"/>
      <c r="AD104" s="53">
        <f t="shared" si="52"/>
        <v>0</v>
      </c>
      <c r="AE104" s="53">
        <f t="shared" si="53"/>
        <v>0</v>
      </c>
      <c r="AF104" s="53">
        <f t="shared" si="54"/>
        <v>0</v>
      </c>
      <c r="AG104" s="53">
        <f t="shared" si="55"/>
        <v>0</v>
      </c>
      <c r="AH104" s="144">
        <f t="shared" si="56"/>
        <v>0</v>
      </c>
      <c r="AK104" s="107">
        <f t="shared" si="61"/>
        <v>0</v>
      </c>
      <c r="AL104" s="53">
        <f t="shared" si="62"/>
        <v>0</v>
      </c>
      <c r="AM104" s="53">
        <f t="shared" si="63"/>
        <v>0</v>
      </c>
      <c r="AN104" s="53">
        <f t="shared" si="64"/>
        <v>0</v>
      </c>
      <c r="AO104" s="53">
        <f t="shared" si="65"/>
        <v>0</v>
      </c>
      <c r="AP104" s="105">
        <f t="shared" si="66"/>
        <v>0</v>
      </c>
      <c r="AQ104"/>
      <c r="AR104"/>
      <c r="AS104"/>
      <c r="AT104"/>
      <c r="AU104"/>
      <c r="AV104"/>
      <c r="AW104"/>
      <c r="AX104"/>
      <c r="AY104"/>
      <c r="AZ104"/>
      <c r="BA104"/>
      <c r="BB104"/>
      <c r="BC104"/>
      <c r="BD104"/>
      <c r="BE104"/>
      <c r="BF104"/>
      <c r="BG104"/>
      <c r="BH104"/>
      <c r="BI104"/>
      <c r="BJ104"/>
      <c r="BK104"/>
      <c r="BL104"/>
      <c r="BM104"/>
    </row>
    <row r="105" spans="3:65" s="8" customFormat="1" x14ac:dyDescent="0.3">
      <c r="C105" s="62"/>
      <c r="I105"/>
      <c r="M105" s="340"/>
      <c r="N105" s="8">
        <f t="shared" si="57"/>
        <v>0</v>
      </c>
      <c r="O105" s="8">
        <f t="shared" si="45"/>
        <v>0</v>
      </c>
      <c r="Q105" s="92">
        <f t="shared" si="46"/>
        <v>0</v>
      </c>
      <c r="R105" s="165">
        <f t="shared" si="58"/>
        <v>0</v>
      </c>
      <c r="S105" s="165"/>
      <c r="T105" s="92">
        <f t="shared" si="59"/>
        <v>0</v>
      </c>
      <c r="U105" s="92">
        <f t="shared" si="60"/>
        <v>0</v>
      </c>
      <c r="V105" s="53">
        <f t="shared" si="47"/>
        <v>0</v>
      </c>
      <c r="W105" s="62"/>
      <c r="X105" s="53">
        <f t="shared" si="48"/>
        <v>0</v>
      </c>
      <c r="Y105" s="53">
        <f t="shared" si="49"/>
        <v>0</v>
      </c>
      <c r="Z105" s="53">
        <f t="shared" si="50"/>
        <v>0</v>
      </c>
      <c r="AA105" s="98">
        <f t="shared" si="51"/>
        <v>0</v>
      </c>
      <c r="AB105" s="53"/>
      <c r="AC105" s="62"/>
      <c r="AD105" s="53">
        <f t="shared" si="52"/>
        <v>0</v>
      </c>
      <c r="AE105" s="53">
        <f t="shared" si="53"/>
        <v>0</v>
      </c>
      <c r="AF105" s="53">
        <f t="shared" si="54"/>
        <v>0</v>
      </c>
      <c r="AG105" s="53">
        <f t="shared" si="55"/>
        <v>0</v>
      </c>
      <c r="AH105" s="144">
        <f t="shared" si="56"/>
        <v>0</v>
      </c>
      <c r="AI105" s="62"/>
      <c r="AK105" s="107">
        <f t="shared" si="61"/>
        <v>0</v>
      </c>
      <c r="AL105" s="53">
        <f t="shared" si="62"/>
        <v>0</v>
      </c>
      <c r="AM105" s="53">
        <f t="shared" si="63"/>
        <v>0</v>
      </c>
      <c r="AN105" s="53">
        <f t="shared" si="64"/>
        <v>0</v>
      </c>
      <c r="AO105" s="53">
        <f t="shared" si="65"/>
        <v>0</v>
      </c>
      <c r="AP105" s="105">
        <f t="shared" si="66"/>
        <v>0</v>
      </c>
      <c r="AQ105"/>
      <c r="AR105"/>
      <c r="AS105"/>
      <c r="AT105"/>
      <c r="AU105"/>
      <c r="AV105"/>
      <c r="AW105"/>
      <c r="AX105"/>
      <c r="AY105"/>
      <c r="AZ105"/>
      <c r="BA105"/>
      <c r="BB105"/>
      <c r="BC105"/>
      <c r="BD105"/>
      <c r="BE105"/>
      <c r="BF105"/>
      <c r="BG105"/>
      <c r="BH105"/>
      <c r="BI105"/>
      <c r="BJ105"/>
      <c r="BK105"/>
      <c r="BL105"/>
      <c r="BM105"/>
    </row>
    <row r="106" spans="3:65" s="8" customFormat="1" x14ac:dyDescent="0.3">
      <c r="C106" s="62"/>
      <c r="M106" s="334"/>
      <c r="N106" s="8">
        <f t="shared" si="57"/>
        <v>0</v>
      </c>
      <c r="O106" s="8">
        <f t="shared" si="45"/>
        <v>0</v>
      </c>
      <c r="Q106" s="92">
        <f t="shared" si="46"/>
        <v>0</v>
      </c>
      <c r="R106" s="217">
        <f t="shared" si="58"/>
        <v>0</v>
      </c>
      <c r="S106" s="217"/>
      <c r="T106" s="47">
        <f t="shared" si="59"/>
        <v>0</v>
      </c>
      <c r="U106" s="47">
        <f t="shared" si="60"/>
        <v>0</v>
      </c>
      <c r="V106" s="53">
        <f t="shared" si="47"/>
        <v>0</v>
      </c>
      <c r="W106" s="62"/>
      <c r="X106" s="53">
        <f t="shared" si="48"/>
        <v>0</v>
      </c>
      <c r="Y106" s="53">
        <f t="shared" si="49"/>
        <v>0</v>
      </c>
      <c r="Z106" s="53">
        <f t="shared" si="50"/>
        <v>0</v>
      </c>
      <c r="AA106" s="98">
        <f t="shared" si="51"/>
        <v>0</v>
      </c>
      <c r="AB106" s="53"/>
      <c r="AC106" s="62"/>
      <c r="AD106" s="53">
        <f t="shared" si="52"/>
        <v>0</v>
      </c>
      <c r="AE106" s="53">
        <f t="shared" si="53"/>
        <v>0</v>
      </c>
      <c r="AF106" s="53">
        <f t="shared" si="54"/>
        <v>0</v>
      </c>
      <c r="AG106" s="53">
        <f t="shared" si="55"/>
        <v>0</v>
      </c>
      <c r="AH106" s="144">
        <f t="shared" si="56"/>
        <v>0</v>
      </c>
      <c r="AI106" s="62"/>
      <c r="AK106" s="107">
        <f t="shared" si="61"/>
        <v>0</v>
      </c>
      <c r="AL106" s="53">
        <f t="shared" si="62"/>
        <v>0</v>
      </c>
      <c r="AM106" s="53">
        <f t="shared" si="63"/>
        <v>0</v>
      </c>
      <c r="AN106" s="53">
        <f t="shared" si="64"/>
        <v>0</v>
      </c>
      <c r="AO106" s="53">
        <f t="shared" si="65"/>
        <v>0</v>
      </c>
      <c r="AP106" s="105">
        <f t="shared" si="66"/>
        <v>0</v>
      </c>
      <c r="AQ106"/>
      <c r="AR106"/>
      <c r="AS106"/>
      <c r="AT106"/>
      <c r="AU106"/>
      <c r="AV106"/>
      <c r="AW106"/>
      <c r="AX106"/>
      <c r="AY106"/>
      <c r="AZ106"/>
      <c r="BA106"/>
      <c r="BB106"/>
      <c r="BC106"/>
      <c r="BD106"/>
      <c r="BE106"/>
      <c r="BF106"/>
      <c r="BG106"/>
      <c r="BH106"/>
      <c r="BI106"/>
      <c r="BJ106"/>
      <c r="BK106"/>
      <c r="BL106"/>
      <c r="BM106"/>
    </row>
    <row r="107" spans="3:65" s="8" customFormat="1" ht="15" thickBot="1" x14ac:dyDescent="0.35">
      <c r="C107" s="62"/>
      <c r="F107" s="39"/>
      <c r="G107" s="39"/>
      <c r="H107" s="39"/>
      <c r="M107" s="334"/>
      <c r="N107" s="211">
        <f t="shared" si="57"/>
        <v>0</v>
      </c>
      <c r="O107" s="211">
        <f t="shared" si="45"/>
        <v>0</v>
      </c>
      <c r="P107" s="211"/>
      <c r="Q107" s="152">
        <f t="shared" si="46"/>
        <v>0</v>
      </c>
      <c r="R107" s="166">
        <f t="shared" si="58"/>
        <v>0</v>
      </c>
      <c r="S107" s="166"/>
      <c r="T107" s="124">
        <f t="shared" si="59"/>
        <v>0</v>
      </c>
      <c r="U107" s="124">
        <f t="shared" si="60"/>
        <v>0</v>
      </c>
      <c r="V107" s="167">
        <f t="shared" si="47"/>
        <v>0</v>
      </c>
      <c r="W107" s="62"/>
      <c r="X107" s="167">
        <f t="shared" si="48"/>
        <v>0</v>
      </c>
      <c r="Y107" s="167">
        <f t="shared" si="49"/>
        <v>0</v>
      </c>
      <c r="Z107" s="167">
        <f t="shared" si="50"/>
        <v>0</v>
      </c>
      <c r="AA107" s="98">
        <f t="shared" si="51"/>
        <v>0</v>
      </c>
      <c r="AB107" s="53"/>
      <c r="AC107" s="62"/>
      <c r="AD107" s="167">
        <f t="shared" si="52"/>
        <v>0</v>
      </c>
      <c r="AE107" s="167">
        <f t="shared" si="53"/>
        <v>0</v>
      </c>
      <c r="AF107" s="167">
        <f t="shared" si="54"/>
        <v>0</v>
      </c>
      <c r="AG107" s="167">
        <f t="shared" si="55"/>
        <v>0</v>
      </c>
      <c r="AH107" s="144">
        <f t="shared" si="56"/>
        <v>0</v>
      </c>
      <c r="AK107" s="190">
        <f t="shared" si="61"/>
        <v>0</v>
      </c>
      <c r="AL107" s="167">
        <f t="shared" si="62"/>
        <v>0</v>
      </c>
      <c r="AM107" s="167">
        <f t="shared" si="63"/>
        <v>0</v>
      </c>
      <c r="AN107" s="167">
        <f t="shared" si="64"/>
        <v>0</v>
      </c>
      <c r="AO107" s="167">
        <f t="shared" si="65"/>
        <v>0</v>
      </c>
      <c r="AP107" s="534">
        <f t="shared" si="66"/>
        <v>0</v>
      </c>
      <c r="AQ107"/>
      <c r="AR107"/>
      <c r="AS107"/>
      <c r="AT107"/>
      <c r="AU107"/>
      <c r="AV107"/>
      <c r="AW107"/>
      <c r="AX107"/>
      <c r="AY107"/>
      <c r="AZ107"/>
      <c r="BA107"/>
      <c r="BB107"/>
      <c r="BC107"/>
      <c r="BD107"/>
      <c r="BE107"/>
      <c r="BF107"/>
      <c r="BG107"/>
      <c r="BH107"/>
      <c r="BI107"/>
      <c r="BJ107"/>
      <c r="BK107"/>
      <c r="BL107"/>
      <c r="BM107"/>
    </row>
    <row r="108" spans="3:65" s="8" customFormat="1" ht="15" thickTop="1" x14ac:dyDescent="0.3">
      <c r="C108" s="62"/>
      <c r="F108" s="39"/>
      <c r="G108" s="39"/>
      <c r="H108" s="39"/>
      <c r="M108" s="334"/>
      <c r="N108" s="62"/>
      <c r="O108" s="107"/>
      <c r="P108" s="107" t="s">
        <v>368</v>
      </c>
      <c r="Q108" s="92">
        <f>SUM(Q90:Q107)</f>
        <v>0</v>
      </c>
      <c r="R108" s="165">
        <f>SUM(R90:R107)</f>
        <v>0</v>
      </c>
      <c r="S108" s="165"/>
      <c r="T108" s="92">
        <f>SUM(T90:T107)</f>
        <v>0</v>
      </c>
      <c r="U108" s="92">
        <f>SUM(U90:U107)</f>
        <v>0</v>
      </c>
      <c r="V108" s="92">
        <f>SUM(V90:V107)</f>
        <v>0</v>
      </c>
      <c r="W108" s="62"/>
      <c r="X108" s="39">
        <f>SUM(X90:X107)</f>
        <v>0</v>
      </c>
      <c r="Y108" s="39">
        <f t="shared" ref="Y108:Z108" si="67">SUM(Y90:Y107)</f>
        <v>0</v>
      </c>
      <c r="Z108" s="39">
        <f t="shared" si="67"/>
        <v>0</v>
      </c>
      <c r="AA108" s="98">
        <f t="shared" si="51"/>
        <v>0</v>
      </c>
      <c r="AB108" s="39"/>
      <c r="AC108" s="62"/>
      <c r="AD108" s="39">
        <f>SUM(AD90:AD107)</f>
        <v>0</v>
      </c>
      <c r="AE108" s="39">
        <f t="shared" ref="AE108" si="68">SUM(AE90:AE107)</f>
        <v>0</v>
      </c>
      <c r="AF108" s="39">
        <f>SUM(AF90:AF107)</f>
        <v>0</v>
      </c>
      <c r="AG108" s="39">
        <f>SUM(AG90:AG107)</f>
        <v>0</v>
      </c>
      <c r="AH108" s="62"/>
      <c r="AK108" s="62"/>
      <c r="AL108" s="39">
        <f>SUM(AL90:AL107)</f>
        <v>0</v>
      </c>
      <c r="AM108" s="39">
        <f t="shared" ref="AM108:AP108" si="69">SUM(AM90:AM107)</f>
        <v>0</v>
      </c>
      <c r="AN108" s="39">
        <f t="shared" si="69"/>
        <v>0</v>
      </c>
      <c r="AO108" s="39">
        <f t="shared" si="69"/>
        <v>0</v>
      </c>
      <c r="AP108" s="39">
        <f t="shared" si="69"/>
        <v>0</v>
      </c>
      <c r="AQ108"/>
      <c r="AR108"/>
      <c r="AS108"/>
      <c r="AT108"/>
      <c r="AU108"/>
      <c r="AV108"/>
      <c r="AW108"/>
      <c r="AX108"/>
      <c r="AY108"/>
      <c r="AZ108"/>
      <c r="BA108"/>
      <c r="BB108"/>
      <c r="BC108"/>
      <c r="BD108"/>
      <c r="BE108"/>
      <c r="BF108"/>
      <c r="BG108"/>
      <c r="BH108"/>
      <c r="BI108"/>
      <c r="BJ108"/>
      <c r="BK108"/>
      <c r="BL108"/>
      <c r="BM108"/>
    </row>
    <row r="109" spans="3:65" s="8" customFormat="1" x14ac:dyDescent="0.3">
      <c r="C109" s="62"/>
      <c r="F109" s="39"/>
      <c r="G109" s="39"/>
      <c r="H109" s="39"/>
      <c r="M109" s="334"/>
      <c r="N109" s="62"/>
      <c r="O109" s="9"/>
      <c r="P109" s="107"/>
      <c r="Q109" s="97">
        <f>Q108-T63</f>
        <v>0</v>
      </c>
      <c r="R109" s="97">
        <f>R108-N81</f>
        <v>0</v>
      </c>
      <c r="S109" s="97"/>
      <c r="T109" s="97">
        <f>T108-M69</f>
        <v>0</v>
      </c>
      <c r="U109" s="97">
        <f>U108-N83-N84-N85</f>
        <v>0</v>
      </c>
      <c r="V109" s="97">
        <f>V108-N85</f>
        <v>0</v>
      </c>
      <c r="W109" s="62"/>
      <c r="X109" s="39"/>
      <c r="Y109" s="39"/>
      <c r="Z109"/>
      <c r="AA109"/>
      <c r="AB109" s="62"/>
      <c r="AC109" s="62"/>
      <c r="AE109" s="105">
        <f>(AD108+AE108)-Q108</f>
        <v>0</v>
      </c>
      <c r="AF109" s="62"/>
      <c r="AG109" s="105">
        <f>(AF108+AG108)-V108</f>
        <v>0</v>
      </c>
      <c r="AH109" s="62"/>
      <c r="AK109" s="62"/>
      <c r="AM109"/>
      <c r="AN109"/>
      <c r="AO109"/>
      <c r="AP109"/>
      <c r="AQ109"/>
      <c r="AR109"/>
      <c r="AS109"/>
      <c r="AT109"/>
      <c r="AU109"/>
      <c r="AV109"/>
      <c r="AW109"/>
      <c r="AX109"/>
      <c r="AY109"/>
      <c r="AZ109"/>
      <c r="BA109"/>
      <c r="BB109"/>
      <c r="BC109"/>
      <c r="BD109"/>
      <c r="BE109"/>
      <c r="BF109"/>
      <c r="BG109"/>
      <c r="BH109"/>
      <c r="BI109"/>
      <c r="BJ109"/>
      <c r="BK109"/>
      <c r="BL109"/>
      <c r="BM109"/>
    </row>
    <row r="110" spans="3:65" s="8" customFormat="1" x14ac:dyDescent="0.3">
      <c r="C110" s="62"/>
      <c r="F110" s="39"/>
      <c r="G110" s="39"/>
      <c r="H110" s="39"/>
      <c r="M110" s="334"/>
      <c r="O110" s="9"/>
      <c r="P110" s="107"/>
      <c r="Q110" s="27"/>
      <c r="R110" s="27"/>
      <c r="S110" s="27"/>
      <c r="T110" s="39"/>
      <c r="U110" s="39"/>
      <c r="V110" s="39"/>
      <c r="W110" s="39"/>
      <c r="X110" s="39"/>
      <c r="Z110"/>
      <c r="AK110" s="62"/>
      <c r="AM110"/>
      <c r="AN110"/>
      <c r="AO110"/>
      <c r="AP110"/>
      <c r="AQ110"/>
      <c r="AR110"/>
      <c r="AS110"/>
      <c r="AT110"/>
      <c r="AU110"/>
      <c r="AV110"/>
      <c r="AW110"/>
      <c r="AX110"/>
      <c r="AY110"/>
      <c r="AZ110"/>
      <c r="BA110"/>
      <c r="BB110"/>
      <c r="BC110"/>
      <c r="BD110"/>
      <c r="BE110"/>
      <c r="BF110"/>
      <c r="BG110"/>
      <c r="BH110"/>
      <c r="BI110"/>
      <c r="BJ110"/>
      <c r="BK110"/>
      <c r="BL110"/>
      <c r="BM110"/>
    </row>
    <row r="111" spans="3:65" s="8" customFormat="1" x14ac:dyDescent="0.3">
      <c r="C111" s="62"/>
      <c r="F111" s="39"/>
      <c r="G111" s="39"/>
      <c r="H111" s="39"/>
      <c r="M111" s="334"/>
      <c r="N111" s="298" t="s">
        <v>509</v>
      </c>
      <c r="O111" s="298"/>
      <c r="P111" s="298"/>
      <c r="Q111" s="298"/>
      <c r="R111" s="298"/>
      <c r="S111" s="298"/>
      <c r="T111" s="298"/>
      <c r="U111" s="39"/>
      <c r="V111" s="39"/>
      <c r="W111" s="39"/>
      <c r="X111" s="39"/>
      <c r="Z111"/>
      <c r="AK111" s="62"/>
      <c r="AM111"/>
      <c r="AN111"/>
      <c r="AO111"/>
      <c r="AP111"/>
      <c r="AQ111"/>
      <c r="AR111"/>
      <c r="AS111"/>
      <c r="AT111"/>
      <c r="AU111"/>
      <c r="AV111"/>
      <c r="AW111"/>
      <c r="AX111"/>
      <c r="AY111"/>
      <c r="AZ111"/>
      <c r="BA111"/>
      <c r="BB111"/>
      <c r="BC111"/>
      <c r="BD111"/>
      <c r="BE111"/>
      <c r="BF111"/>
      <c r="BG111"/>
      <c r="BH111"/>
      <c r="BI111"/>
      <c r="BJ111"/>
      <c r="BK111"/>
      <c r="BL111"/>
      <c r="BM111"/>
    </row>
    <row r="112" spans="3:65" s="8" customFormat="1" x14ac:dyDescent="0.3">
      <c r="C112" s="62"/>
      <c r="D112"/>
      <c r="E112"/>
      <c r="G112" s="39"/>
      <c r="H112"/>
      <c r="M112" s="334"/>
      <c r="N112" s="38" t="s">
        <v>229</v>
      </c>
      <c r="O112" s="153" t="s">
        <v>510</v>
      </c>
      <c r="P112" s="153" t="s">
        <v>511</v>
      </c>
      <c r="Q112" s="154" t="s">
        <v>266</v>
      </c>
      <c r="R112" s="202" t="s">
        <v>512</v>
      </c>
      <c r="S112" s="202"/>
      <c r="T112" s="201" t="s">
        <v>513</v>
      </c>
      <c r="U112" s="183" t="s">
        <v>514</v>
      </c>
      <c r="V112" s="39"/>
      <c r="W112" s="39"/>
      <c r="X112" s="39"/>
      <c r="Y112" s="39"/>
      <c r="Z112"/>
      <c r="AE112"/>
      <c r="AM112"/>
      <c r="AN112"/>
      <c r="AO112"/>
      <c r="AP112"/>
      <c r="AQ112"/>
      <c r="AR112"/>
      <c r="AS112"/>
      <c r="AT112"/>
      <c r="AU112"/>
      <c r="AV112"/>
      <c r="AW112"/>
      <c r="AX112"/>
      <c r="AY112"/>
      <c r="AZ112"/>
      <c r="BA112"/>
      <c r="BB112"/>
      <c r="BC112"/>
      <c r="BD112"/>
      <c r="BE112"/>
      <c r="BF112"/>
      <c r="BG112"/>
      <c r="BH112"/>
      <c r="BI112"/>
      <c r="BJ112"/>
      <c r="BK112"/>
    </row>
    <row r="113" spans="2:63" s="8" customFormat="1" x14ac:dyDescent="0.3">
      <c r="C113" s="62"/>
      <c r="D113"/>
      <c r="E113"/>
      <c r="G113" s="39"/>
      <c r="H113"/>
      <c r="M113" s="334"/>
      <c r="P113" s="9" t="s">
        <v>515</v>
      </c>
      <c r="Q113" s="92">
        <f>SUMIF($O$90:$O$107,$P113,$Q$90:$Q$107)</f>
        <v>0</v>
      </c>
      <c r="R113" s="155">
        <f t="shared" ref="R113:R118" si="70">SUMIFS($BA$9:$BA$59,$AM$9:$AM$59,$P113,$C$9:$C$59,"YES")+SUMIFS($BA$9:$BA$59,$AM$9:$AM$59,$P113,$C$9:$C$59,"YES-OOS")</f>
        <v>0</v>
      </c>
      <c r="S113" s="333"/>
      <c r="T113" s="92"/>
      <c r="U113" s="92">
        <f t="shared" ref="U113:U118" si="71">SUMIFS($AD$90:$AD$107,$O$90:$O$107,P113)</f>
        <v>0</v>
      </c>
      <c r="V113" s="39"/>
      <c r="W113" s="39"/>
      <c r="X113" s="39"/>
      <c r="Y113" s="39"/>
      <c r="Z113"/>
      <c r="AE113"/>
      <c r="AM113"/>
      <c r="AN113"/>
      <c r="AO113"/>
      <c r="AP113"/>
      <c r="AQ113"/>
      <c r="AR113"/>
      <c r="AS113"/>
      <c r="AT113"/>
      <c r="AU113"/>
      <c r="AV113"/>
      <c r="AW113"/>
      <c r="AX113"/>
      <c r="AY113"/>
      <c r="AZ113"/>
      <c r="BA113"/>
      <c r="BB113"/>
      <c r="BC113"/>
      <c r="BD113"/>
      <c r="BE113"/>
      <c r="BF113"/>
      <c r="BG113"/>
      <c r="BH113"/>
      <c r="BI113"/>
      <c r="BJ113"/>
      <c r="BK113"/>
    </row>
    <row r="114" spans="2:63" s="8" customFormat="1" x14ac:dyDescent="0.3">
      <c r="C114" s="62"/>
      <c r="D114"/>
      <c r="E114"/>
      <c r="G114" s="39"/>
      <c r="H114"/>
      <c r="I114"/>
      <c r="M114" s="334"/>
      <c r="N114" s="9"/>
      <c r="P114" s="204" t="s">
        <v>516</v>
      </c>
      <c r="Q114" s="92">
        <f>SUMIF($O$90:$O$107,P114,$Q$90:$Q$107)</f>
        <v>0</v>
      </c>
      <c r="R114" s="333">
        <f t="shared" si="70"/>
        <v>0</v>
      </c>
      <c r="S114" s="333"/>
      <c r="T114" s="92"/>
      <c r="U114" s="92">
        <f t="shared" si="71"/>
        <v>0</v>
      </c>
      <c r="V114" s="39"/>
      <c r="W114" s="39"/>
      <c r="X114" s="39"/>
      <c r="Y114" s="39">
        <f>SUMIFS($AD$91:$AD$104,$O$91:$O$104,P110)</f>
        <v>0</v>
      </c>
      <c r="Z114"/>
      <c r="AE114"/>
      <c r="AM114"/>
      <c r="AN114"/>
      <c r="AO114"/>
      <c r="AP114"/>
      <c r="AQ114"/>
      <c r="AR114"/>
      <c r="AS114"/>
      <c r="AT114"/>
      <c r="AU114"/>
      <c r="AV114"/>
      <c r="AW114"/>
      <c r="AX114"/>
      <c r="AY114"/>
      <c r="AZ114"/>
      <c r="BA114"/>
      <c r="BB114"/>
      <c r="BC114"/>
      <c r="BD114"/>
      <c r="BE114"/>
      <c r="BF114"/>
      <c r="BG114"/>
      <c r="BH114"/>
      <c r="BI114"/>
      <c r="BJ114"/>
      <c r="BK114"/>
    </row>
    <row r="115" spans="2:63" s="8" customFormat="1" x14ac:dyDescent="0.3">
      <c r="C115" s="62"/>
      <c r="D115"/>
      <c r="E115"/>
      <c r="G115" s="39"/>
      <c r="H115"/>
      <c r="I115"/>
      <c r="M115" s="334"/>
      <c r="N115" s="9"/>
      <c r="P115" s="9" t="s">
        <v>517</v>
      </c>
      <c r="Q115" s="92">
        <f>SUMIF($O$90:$O$107,P115,$Q$90:$Q$107)</f>
        <v>0</v>
      </c>
      <c r="R115" s="333">
        <f t="shared" si="70"/>
        <v>0</v>
      </c>
      <c r="S115" s="333"/>
      <c r="T115" s="92"/>
      <c r="U115" s="92">
        <f t="shared" si="71"/>
        <v>0</v>
      </c>
      <c r="V115" s="39"/>
      <c r="W115" s="39"/>
      <c r="X115" s="39"/>
      <c r="Y115" s="39"/>
      <c r="Z115"/>
      <c r="AB115"/>
      <c r="AM115"/>
      <c r="AN115"/>
      <c r="AO115"/>
      <c r="AP115"/>
      <c r="AQ115"/>
      <c r="AR115"/>
      <c r="AS115"/>
      <c r="AT115"/>
      <c r="AU115"/>
      <c r="AV115"/>
      <c r="AW115"/>
      <c r="AX115"/>
      <c r="AY115"/>
      <c r="AZ115"/>
      <c r="BA115"/>
      <c r="BB115"/>
      <c r="BC115"/>
      <c r="BD115"/>
      <c r="BE115"/>
      <c r="BF115"/>
      <c r="BG115"/>
      <c r="BH115"/>
      <c r="BI115"/>
      <c r="BJ115"/>
      <c r="BK115"/>
    </row>
    <row r="116" spans="2:63" s="8" customFormat="1" x14ac:dyDescent="0.3">
      <c r="C116" s="62"/>
      <c r="D116"/>
      <c r="E116"/>
      <c r="G116" s="39"/>
      <c r="H116"/>
      <c r="I116"/>
      <c r="M116" s="334"/>
      <c r="N116" s="9"/>
      <c r="P116" s="204" t="s">
        <v>518</v>
      </c>
      <c r="Q116" s="92">
        <f>SUMIF($O$90:$O$107,P116,$Q$90:$Q$107)</f>
        <v>0</v>
      </c>
      <c r="R116" s="333">
        <f t="shared" si="70"/>
        <v>0</v>
      </c>
      <c r="S116" s="333"/>
      <c r="T116" s="92"/>
      <c r="U116" s="92">
        <f t="shared" si="71"/>
        <v>0</v>
      </c>
      <c r="V116" s="39"/>
      <c r="W116" s="39"/>
      <c r="X116" s="39"/>
      <c r="Y116" s="39"/>
      <c r="Z116"/>
      <c r="AB116"/>
      <c r="AM116"/>
      <c r="AN116"/>
      <c r="AO116"/>
      <c r="AP116"/>
      <c r="AQ116"/>
      <c r="AR116"/>
      <c r="AS116"/>
      <c r="AT116"/>
      <c r="AU116"/>
      <c r="AV116"/>
      <c r="AW116"/>
      <c r="AX116"/>
      <c r="AY116"/>
      <c r="AZ116"/>
      <c r="BA116"/>
      <c r="BB116"/>
      <c r="BC116"/>
      <c r="BD116"/>
      <c r="BE116"/>
      <c r="BF116"/>
      <c r="BG116"/>
      <c r="BH116"/>
      <c r="BI116"/>
      <c r="BJ116"/>
      <c r="BK116"/>
    </row>
    <row r="117" spans="2:63" s="8" customFormat="1" x14ac:dyDescent="0.3">
      <c r="C117" s="62"/>
      <c r="D117"/>
      <c r="E117"/>
      <c r="G117" s="39"/>
      <c r="H117"/>
      <c r="I117"/>
      <c r="M117" s="334"/>
      <c r="N117" s="9"/>
      <c r="P117" s="9"/>
      <c r="Q117" s="92">
        <f>SUMIF($O$90:$O$107,P117,$Q$90:$Q$107)</f>
        <v>0</v>
      </c>
      <c r="R117" s="333">
        <f t="shared" si="70"/>
        <v>0</v>
      </c>
      <c r="S117" s="333"/>
      <c r="T117" s="92"/>
      <c r="U117" s="92">
        <f t="shared" si="71"/>
        <v>0</v>
      </c>
      <c r="V117" s="39"/>
      <c r="W117" s="39"/>
      <c r="X117" s="39"/>
      <c r="Y117" s="39"/>
      <c r="Z117"/>
      <c r="AA117" s="62"/>
      <c r="AM117"/>
      <c r="AN117"/>
      <c r="AO117"/>
      <c r="AP117"/>
      <c r="AQ117"/>
      <c r="AR117"/>
      <c r="AS117"/>
      <c r="AT117"/>
      <c r="AU117"/>
      <c r="AV117"/>
      <c r="AW117"/>
      <c r="AX117"/>
      <c r="AY117"/>
      <c r="AZ117"/>
      <c r="BA117"/>
      <c r="BB117"/>
      <c r="BC117"/>
      <c r="BD117"/>
      <c r="BE117"/>
      <c r="BF117"/>
      <c r="BG117"/>
      <c r="BH117"/>
      <c r="BI117"/>
      <c r="BJ117"/>
      <c r="BK117"/>
    </row>
    <row r="118" spans="2:63" s="8" customFormat="1" ht="15" thickBot="1" x14ac:dyDescent="0.35">
      <c r="C118" s="62"/>
      <c r="D118"/>
      <c r="E118"/>
      <c r="G118" s="39"/>
      <c r="H118"/>
      <c r="I118"/>
      <c r="M118" s="334"/>
      <c r="N118" s="187"/>
      <c r="O118" s="211"/>
      <c r="P118" s="187"/>
      <c r="Q118" s="152">
        <f>SUMIF($O$90:$O$107,P118,$Q$90:$Q$107)</f>
        <v>0</v>
      </c>
      <c r="R118" s="152">
        <f t="shared" si="70"/>
        <v>0</v>
      </c>
      <c r="S118" s="152"/>
      <c r="T118" s="152"/>
      <c r="U118" s="152">
        <f t="shared" si="71"/>
        <v>0</v>
      </c>
      <c r="V118" s="39"/>
      <c r="W118" s="39"/>
      <c r="X118" s="39"/>
      <c r="Y118" s="39"/>
      <c r="Z118"/>
      <c r="AA118" s="62"/>
      <c r="AM118"/>
      <c r="AN118"/>
      <c r="AO118"/>
      <c r="AP118"/>
      <c r="AQ118"/>
      <c r="AR118"/>
      <c r="AS118"/>
      <c r="AT118"/>
      <c r="AU118"/>
      <c r="AV118"/>
      <c r="AW118"/>
      <c r="AX118"/>
      <c r="AY118"/>
      <c r="AZ118"/>
      <c r="BA118"/>
      <c r="BB118"/>
      <c r="BC118"/>
      <c r="BD118"/>
      <c r="BE118"/>
      <c r="BF118"/>
      <c r="BG118"/>
      <c r="BH118"/>
      <c r="BI118"/>
      <c r="BJ118"/>
      <c r="BK118"/>
    </row>
    <row r="119" spans="2:63" s="8" customFormat="1" ht="15" thickTop="1" x14ac:dyDescent="0.3">
      <c r="C119" s="62"/>
      <c r="D119"/>
      <c r="E119"/>
      <c r="G119" s="39"/>
      <c r="H119"/>
      <c r="I119"/>
      <c r="M119" s="334"/>
      <c r="O119"/>
      <c r="P119"/>
      <c r="Q119" s="53">
        <f>SUM(Q113:Q118)</f>
        <v>0</v>
      </c>
      <c r="R119" s="53">
        <f>SUM(R113:R118)</f>
        <v>0</v>
      </c>
      <c r="S119" s="53"/>
      <c r="T119" s="53">
        <f>SUM(T113:T118)</f>
        <v>0</v>
      </c>
      <c r="U119" s="53">
        <f>SUM(U113:U118)</f>
        <v>0</v>
      </c>
      <c r="V119" s="39"/>
      <c r="W119" s="39"/>
      <c r="X119" s="39"/>
      <c r="Y119" s="39"/>
      <c r="Z119"/>
      <c r="AA119" s="62"/>
      <c r="AM119"/>
      <c r="AN119"/>
      <c r="AO119"/>
      <c r="AP119"/>
      <c r="AQ119"/>
      <c r="AR119"/>
      <c r="AS119"/>
      <c r="AT119"/>
      <c r="AU119"/>
      <c r="AV119"/>
      <c r="AW119"/>
      <c r="AX119"/>
      <c r="AY119"/>
      <c r="AZ119"/>
      <c r="BA119"/>
      <c r="BB119"/>
      <c r="BC119"/>
      <c r="BD119"/>
      <c r="BE119"/>
      <c r="BF119"/>
      <c r="BG119"/>
      <c r="BH119"/>
      <c r="BI119"/>
      <c r="BJ119"/>
      <c r="BK119"/>
    </row>
    <row r="120" spans="2:63" s="8" customFormat="1" x14ac:dyDescent="0.3">
      <c r="C120" s="62"/>
      <c r="D120"/>
      <c r="E120"/>
      <c r="G120" s="39"/>
      <c r="H120"/>
      <c r="I120"/>
      <c r="M120" s="334"/>
      <c r="O120" s="9"/>
      <c r="P120" s="107"/>
      <c r="Q120" s="97">
        <f>Q119-T63</f>
        <v>0</v>
      </c>
      <c r="R120" s="97">
        <f>R119-N81</f>
        <v>0</v>
      </c>
      <c r="S120" s="97"/>
      <c r="T120" s="97"/>
      <c r="U120" s="97">
        <f>AD108-U119</f>
        <v>0</v>
      </c>
      <c r="V120" s="39"/>
      <c r="W120" s="39"/>
      <c r="X120" s="39"/>
      <c r="Y120" s="39"/>
      <c r="Z120"/>
      <c r="AA120" s="62"/>
      <c r="AM120"/>
      <c r="AN120"/>
      <c r="AO120"/>
      <c r="AP120"/>
      <c r="AQ120"/>
      <c r="AR120"/>
      <c r="AS120"/>
      <c r="AT120"/>
      <c r="AU120"/>
      <c r="AV120"/>
      <c r="AW120"/>
      <c r="AX120"/>
      <c r="AY120"/>
      <c r="AZ120"/>
      <c r="BA120"/>
      <c r="BB120"/>
      <c r="BC120"/>
      <c r="BD120"/>
      <c r="BE120"/>
      <c r="BF120"/>
      <c r="BG120"/>
      <c r="BH120"/>
      <c r="BI120"/>
      <c r="BJ120"/>
      <c r="BK120"/>
    </row>
    <row r="121" spans="2:63" s="8" customFormat="1" x14ac:dyDescent="0.3">
      <c r="C121" s="62"/>
      <c r="D121"/>
      <c r="E121"/>
      <c r="G121" s="39"/>
      <c r="H121"/>
      <c r="I121"/>
      <c r="M121" s="334"/>
      <c r="O121" s="9"/>
      <c r="P121" s="107"/>
      <c r="Q121" s="92"/>
      <c r="R121" s="27"/>
      <c r="S121" s="27"/>
      <c r="T121"/>
      <c r="U121" s="39"/>
      <c r="V121" s="39"/>
      <c r="W121" s="39"/>
      <c r="X121" s="39"/>
      <c r="Y121" s="39"/>
      <c r="Z121"/>
      <c r="AA121" s="62"/>
      <c r="AM121"/>
      <c r="AN121"/>
      <c r="AO121"/>
      <c r="AP121"/>
      <c r="AQ121"/>
      <c r="AR121"/>
      <c r="AS121"/>
      <c r="AT121"/>
      <c r="AU121"/>
      <c r="AV121"/>
      <c r="AW121"/>
      <c r="AX121"/>
      <c r="AY121"/>
      <c r="AZ121"/>
      <c r="BA121"/>
      <c r="BB121"/>
      <c r="BC121"/>
      <c r="BD121"/>
      <c r="BE121"/>
      <c r="BF121"/>
      <c r="BG121"/>
      <c r="BH121"/>
      <c r="BI121"/>
      <c r="BJ121"/>
      <c r="BK121"/>
    </row>
    <row r="122" spans="2:63" s="8" customFormat="1" x14ac:dyDescent="0.3">
      <c r="C122" s="62"/>
      <c r="D122"/>
      <c r="E122"/>
      <c r="G122" s="39"/>
      <c r="H122"/>
      <c r="I122"/>
      <c r="M122" s="334"/>
      <c r="O122" s="269" t="s">
        <v>519</v>
      </c>
      <c r="P122" s="269"/>
      <c r="Q122" s="269"/>
      <c r="R122" s="269"/>
      <c r="S122" s="269"/>
      <c r="T122" s="39"/>
      <c r="U122" s="39"/>
      <c r="V122" s="39"/>
      <c r="W122" s="39"/>
      <c r="X122" s="163"/>
      <c r="Y122" s="39"/>
      <c r="Z122"/>
      <c r="AA122" s="62"/>
      <c r="AM122"/>
      <c r="AN122"/>
      <c r="AO122"/>
      <c r="AP122"/>
      <c r="AQ122"/>
      <c r="AR122"/>
      <c r="AS122"/>
      <c r="AT122"/>
      <c r="AU122"/>
      <c r="AV122"/>
      <c r="AW122"/>
      <c r="AX122"/>
      <c r="AY122"/>
      <c r="AZ122"/>
      <c r="BA122"/>
      <c r="BB122"/>
      <c r="BC122"/>
      <c r="BD122"/>
      <c r="BE122"/>
      <c r="BF122"/>
      <c r="BG122"/>
      <c r="BH122"/>
      <c r="BI122"/>
      <c r="BJ122"/>
      <c r="BK122"/>
    </row>
    <row r="123" spans="2:63" s="8" customFormat="1" x14ac:dyDescent="0.3">
      <c r="C123" s="62"/>
      <c r="D123"/>
      <c r="E123"/>
      <c r="G123" s="39"/>
      <c r="H123"/>
      <c r="I123"/>
      <c r="M123" s="334"/>
      <c r="O123" s="38" t="s">
        <v>229</v>
      </c>
      <c r="P123" s="153" t="s">
        <v>510</v>
      </c>
      <c r="Q123" s="154" t="s">
        <v>266</v>
      </c>
      <c r="R123" s="202" t="s">
        <v>512</v>
      </c>
      <c r="S123" s="230"/>
      <c r="T123" s="183" t="s">
        <v>514</v>
      </c>
      <c r="U123" s="39"/>
      <c r="V123" s="39"/>
      <c r="W123" s="39"/>
      <c r="X123" s="39"/>
      <c r="Y123" s="39"/>
      <c r="Z123"/>
      <c r="AA123" s="62"/>
      <c r="AD123"/>
      <c r="AE123"/>
      <c r="AF123"/>
      <c r="AG123"/>
      <c r="AM123"/>
      <c r="AN123"/>
      <c r="AO123"/>
      <c r="AP123"/>
      <c r="AQ123"/>
      <c r="AR123"/>
      <c r="AS123"/>
      <c r="AT123"/>
      <c r="AU123"/>
      <c r="AV123"/>
      <c r="AW123"/>
      <c r="AX123"/>
      <c r="AY123"/>
      <c r="AZ123"/>
      <c r="BA123"/>
      <c r="BB123"/>
      <c r="BC123"/>
      <c r="BD123"/>
      <c r="BE123"/>
      <c r="BF123"/>
      <c r="BG123"/>
      <c r="BH123"/>
      <c r="BI123"/>
      <c r="BJ123"/>
      <c r="BK123"/>
    </row>
    <row r="124" spans="2:63" s="8" customFormat="1" x14ac:dyDescent="0.3">
      <c r="C124" s="62"/>
      <c r="D124"/>
      <c r="E124"/>
      <c r="G124" s="39"/>
      <c r="H124"/>
      <c r="I124"/>
      <c r="M124" s="334"/>
      <c r="P124" s="107" t="s">
        <v>520</v>
      </c>
      <c r="Q124" s="92">
        <f>SUMIF($AL$9:$AL$59,$P124,$T$9:$T$59)</f>
        <v>0</v>
      </c>
      <c r="R124" s="155">
        <f>SUMIFS($BA$9:$BA$59,$AL$9:$AL$59,$P124,$C$9:$C$59,"YES")+SUMIFS($BA$9:$BA$59,$AL$9:$AL$59,$P124,$C$9:$C$59,"YES-OOS")</f>
        <v>0</v>
      </c>
      <c r="S124" s="155"/>
      <c r="T124" s="155">
        <f>SUMIFS($AD$90:$AD$107,$N$90:$N$107,P124)</f>
        <v>0</v>
      </c>
      <c r="U124" s="39"/>
      <c r="V124" s="39"/>
      <c r="W124" s="39"/>
      <c r="X124" s="39"/>
      <c r="Y124" s="39"/>
      <c r="Z124"/>
      <c r="AA124" s="62"/>
      <c r="AD124"/>
      <c r="AE124"/>
      <c r="AF124"/>
      <c r="AG124"/>
      <c r="AM124"/>
      <c r="AN124"/>
      <c r="AO124"/>
      <c r="AP124"/>
      <c r="AQ124"/>
      <c r="AR124"/>
      <c r="AS124"/>
      <c r="AT124"/>
      <c r="AU124"/>
      <c r="AV124"/>
      <c r="AW124"/>
      <c r="AX124"/>
      <c r="AY124"/>
      <c r="AZ124"/>
      <c r="BA124"/>
      <c r="BB124"/>
      <c r="BC124"/>
      <c r="BD124"/>
      <c r="BE124"/>
      <c r="BF124"/>
      <c r="BG124"/>
      <c r="BH124"/>
      <c r="BI124"/>
      <c r="BJ124"/>
      <c r="BK124"/>
    </row>
    <row r="125" spans="2:63" s="8" customFormat="1" x14ac:dyDescent="0.3">
      <c r="B125"/>
      <c r="C125" s="62"/>
      <c r="D125"/>
      <c r="E125"/>
      <c r="G125" s="39"/>
      <c r="H125"/>
      <c r="I125"/>
      <c r="J125" s="334"/>
      <c r="L125" s="9"/>
      <c r="M125" s="334"/>
      <c r="P125" s="107" t="s">
        <v>521</v>
      </c>
      <c r="Q125" s="92">
        <f>SUMIF($AL$9:$AL$59,$P125,$T$9:$T$59)</f>
        <v>0</v>
      </c>
      <c r="R125" s="155">
        <f>SUMIFS($BA$9:$BA$59,$AL$9:$AL$59,$P125,$C$9:$C$59,"YES")+SUMIFS($BA$9:$BA$59,$AL$9:$AL$59,$P125,$C$9:$C$59,"YES-OOS")</f>
        <v>0</v>
      </c>
      <c r="S125" s="333"/>
      <c r="T125" s="92">
        <f>SUMIFS($AD$90:$AD$107,$N$90:$N$107,P125)</f>
        <v>0</v>
      </c>
      <c r="U125" s="39"/>
      <c r="V125" s="39"/>
      <c r="W125" s="39"/>
      <c r="X125" s="39"/>
      <c r="Y125" s="39"/>
      <c r="Z125"/>
      <c r="AA125" s="62"/>
      <c r="AD125"/>
      <c r="AE125"/>
      <c r="AF125"/>
      <c r="AG125"/>
      <c r="AM125"/>
      <c r="AN125"/>
      <c r="AO125"/>
      <c r="AP125"/>
      <c r="AQ125"/>
      <c r="AR125"/>
      <c r="AS125"/>
      <c r="AT125"/>
      <c r="AU125"/>
      <c r="AV125"/>
      <c r="AW125"/>
      <c r="AX125"/>
      <c r="AY125"/>
      <c r="AZ125"/>
      <c r="BA125"/>
      <c r="BB125"/>
      <c r="BC125"/>
      <c r="BD125"/>
      <c r="BE125"/>
      <c r="BF125"/>
      <c r="BG125"/>
      <c r="BH125"/>
      <c r="BI125"/>
      <c r="BJ125"/>
      <c r="BK125"/>
    </row>
    <row r="126" spans="2:63" s="8" customFormat="1" x14ac:dyDescent="0.3">
      <c r="B126"/>
      <c r="C126" s="62"/>
      <c r="D126"/>
      <c r="E126"/>
      <c r="G126" s="39"/>
      <c r="H126"/>
      <c r="I126"/>
      <c r="J126" s="334"/>
      <c r="L126" s="9"/>
      <c r="M126" s="334"/>
      <c r="P126" s="107" t="s">
        <v>522</v>
      </c>
      <c r="Q126" s="92">
        <f>SUMIF($AL$9:$AL$59,$P126,$T$9:$T$59)</f>
        <v>0</v>
      </c>
      <c r="R126" s="155">
        <f>SUMIFS($BA$9:$BA$59,$AL$9:$AL$59,$P126,$C$9:$C$59,"YES")+SUMIFS($BA$9:$BA$59,$AL$9:$AL$59,$P126,$C$9:$C$59,"YES-OOS")</f>
        <v>0</v>
      </c>
      <c r="S126" s="333"/>
      <c r="T126" s="92">
        <f>SUMIFS($AD$90:$AD$107,$N$90:$N$107,P126)</f>
        <v>0</v>
      </c>
      <c r="U126" s="39"/>
      <c r="V126" s="39"/>
      <c r="W126" s="39"/>
      <c r="X126" s="39"/>
      <c r="Y126" s="39"/>
      <c r="Z126"/>
      <c r="AA126" s="62"/>
      <c r="AD126"/>
      <c r="AE126"/>
      <c r="AF126"/>
      <c r="AG126"/>
      <c r="AM126"/>
      <c r="AN126"/>
      <c r="AO126"/>
      <c r="AP126"/>
      <c r="AQ126"/>
      <c r="AR126"/>
      <c r="AS126"/>
      <c r="AT126"/>
      <c r="AU126"/>
      <c r="AV126"/>
      <c r="AW126"/>
      <c r="AX126"/>
      <c r="AY126"/>
      <c r="AZ126"/>
      <c r="BA126"/>
      <c r="BB126"/>
      <c r="BC126"/>
      <c r="BD126"/>
      <c r="BE126"/>
      <c r="BF126"/>
      <c r="BG126"/>
      <c r="BH126"/>
      <c r="BI126"/>
      <c r="BJ126"/>
      <c r="BK126"/>
    </row>
    <row r="127" spans="2:63" s="8" customFormat="1" ht="15" thickBot="1" x14ac:dyDescent="0.35">
      <c r="B127"/>
      <c r="C127" s="62"/>
      <c r="D127"/>
      <c r="E127"/>
      <c r="G127" s="39"/>
      <c r="H127"/>
      <c r="I127"/>
      <c r="J127" s="334"/>
      <c r="L127" s="9"/>
      <c r="M127" s="334"/>
      <c r="O127" s="211"/>
      <c r="P127" s="190" t="s">
        <v>523</v>
      </c>
      <c r="Q127" s="152">
        <f>SUMIF($AL$9:$AL$59,$P127,$T$9:$T$59)</f>
        <v>0</v>
      </c>
      <c r="R127" s="428">
        <f>SUMIFS($BA$9:$BA$59,$AL$9:$AL$59,$P127,$C$9:$C$59,"YES")+SUMIFS($BA$9:$BA$59,$AL$9:$AL$59,$P127,$C$9:$C$59,"YES-OOS")</f>
        <v>0</v>
      </c>
      <c r="S127" s="152"/>
      <c r="T127" s="152">
        <f>SUMIFS($AD$90:$AD$107,$N$90:$N$107,P127)</f>
        <v>0</v>
      </c>
      <c r="U127" s="39"/>
      <c r="V127" s="39"/>
      <c r="W127" s="39"/>
      <c r="X127" s="39"/>
      <c r="Y127" s="39"/>
      <c r="Z127"/>
      <c r="AA127" s="62"/>
      <c r="AD127"/>
      <c r="AE127"/>
      <c r="AF127"/>
      <c r="AG127"/>
      <c r="AM127"/>
      <c r="AN127"/>
      <c r="AO127"/>
      <c r="AP127"/>
      <c r="AQ127"/>
      <c r="AR127"/>
      <c r="AS127"/>
      <c r="AT127"/>
      <c r="AU127"/>
      <c r="AV127"/>
      <c r="AW127"/>
      <c r="AX127"/>
      <c r="AY127"/>
      <c r="AZ127"/>
      <c r="BA127"/>
      <c r="BB127"/>
      <c r="BC127"/>
      <c r="BD127"/>
      <c r="BE127"/>
      <c r="BF127"/>
      <c r="BG127"/>
      <c r="BH127"/>
      <c r="BI127"/>
      <c r="BJ127"/>
      <c r="BK127"/>
    </row>
    <row r="128" spans="2:63" s="8" customFormat="1" ht="15" thickTop="1" x14ac:dyDescent="0.3">
      <c r="B128"/>
      <c r="C128" s="62"/>
      <c r="D128"/>
      <c r="E128"/>
      <c r="G128" s="39"/>
      <c r="H128"/>
      <c r="I128"/>
      <c r="J128" s="334"/>
      <c r="L128" s="9"/>
      <c r="M128" s="27"/>
      <c r="P128" s="203"/>
      <c r="Q128" s="92">
        <f>SUM(Q124:Q127)</f>
        <v>0</v>
      </c>
      <c r="R128" s="92">
        <f>SUM(R124:R127)</f>
        <v>0</v>
      </c>
      <c r="S128" s="92"/>
      <c r="T128" s="92">
        <f>SUM(T124:T127)</f>
        <v>0</v>
      </c>
      <c r="U128" s="39"/>
      <c r="V128" s="39"/>
      <c r="W128" s="39"/>
      <c r="X128" s="39"/>
      <c r="Y128" s="39"/>
      <c r="Z128"/>
      <c r="AA128" s="62"/>
      <c r="AM128"/>
      <c r="AN128"/>
      <c r="AO128"/>
      <c r="AP128"/>
      <c r="AQ128"/>
      <c r="AR128"/>
      <c r="AS128"/>
      <c r="AT128"/>
      <c r="AU128"/>
      <c r="AV128"/>
      <c r="AW128"/>
      <c r="AX128"/>
      <c r="AY128"/>
      <c r="AZ128"/>
      <c r="BA128"/>
      <c r="BB128"/>
      <c r="BC128"/>
      <c r="BD128"/>
      <c r="BE128"/>
      <c r="BF128"/>
      <c r="BG128"/>
      <c r="BH128"/>
      <c r="BI128"/>
      <c r="BJ128"/>
      <c r="BK128"/>
    </row>
    <row r="129" spans="2:63" s="8" customFormat="1" x14ac:dyDescent="0.3">
      <c r="B129"/>
      <c r="C129" s="62"/>
      <c r="D129"/>
      <c r="E129"/>
      <c r="G129" s="39"/>
      <c r="H129"/>
      <c r="I129"/>
      <c r="J129" s="334"/>
      <c r="L129" s="9"/>
      <c r="M129" s="27"/>
      <c r="O129" s="9"/>
      <c r="P129" s="107"/>
      <c r="Q129" s="97">
        <f>Q128-T63</f>
        <v>0</v>
      </c>
      <c r="R129" s="97">
        <f>R128-N81</f>
        <v>0</v>
      </c>
      <c r="S129" s="97"/>
      <c r="T129" s="97">
        <f>T128-AD108</f>
        <v>0</v>
      </c>
      <c r="U129"/>
      <c r="V129"/>
      <c r="W129" s="39"/>
      <c r="X129" s="39"/>
      <c r="Y129" s="39"/>
      <c r="Z129"/>
      <c r="AA129" s="62"/>
      <c r="AM129"/>
      <c r="AN129"/>
      <c r="AO129"/>
      <c r="AP129"/>
      <c r="AQ129"/>
      <c r="AR129"/>
      <c r="AS129"/>
      <c r="AT129"/>
      <c r="AU129"/>
      <c r="AV129"/>
      <c r="AW129"/>
      <c r="AX129"/>
      <c r="AY129"/>
      <c r="AZ129"/>
      <c r="BA129"/>
      <c r="BB129"/>
      <c r="BC129"/>
      <c r="BD129"/>
      <c r="BE129"/>
      <c r="BF129"/>
      <c r="BG129"/>
      <c r="BH129"/>
      <c r="BI129"/>
      <c r="BJ129"/>
      <c r="BK129"/>
    </row>
    <row r="130" spans="2:63" s="8" customFormat="1" x14ac:dyDescent="0.3">
      <c r="B130"/>
      <c r="C130" s="62"/>
      <c r="D130"/>
      <c r="E130"/>
      <c r="G130" s="39"/>
      <c r="H130"/>
      <c r="I130"/>
      <c r="J130" s="334"/>
      <c r="K130" s="9"/>
      <c r="L130" s="107"/>
      <c r="M130" s="27"/>
      <c r="N130"/>
      <c r="O130" s="39"/>
      <c r="P130" s="39"/>
      <c r="Q130" s="39"/>
      <c r="R130" s="39"/>
      <c r="S130" s="39"/>
      <c r="T130" s="39"/>
      <c r="U130"/>
      <c r="V130" s="62"/>
      <c r="AM130"/>
      <c r="AN130"/>
      <c r="AO130"/>
      <c r="AP130"/>
      <c r="AQ130"/>
      <c r="AR130"/>
      <c r="AS130"/>
      <c r="AT130"/>
      <c r="AU130"/>
      <c r="AV130"/>
      <c r="AW130"/>
      <c r="AX130"/>
      <c r="AY130"/>
      <c r="AZ130"/>
      <c r="BA130"/>
      <c r="BB130"/>
      <c r="BC130"/>
      <c r="BD130"/>
      <c r="BE130"/>
      <c r="BF130"/>
      <c r="BG130"/>
      <c r="BH130"/>
      <c r="BI130"/>
      <c r="BJ130"/>
      <c r="BK130"/>
    </row>
    <row r="131" spans="2:63" s="8" customFormat="1" x14ac:dyDescent="0.3">
      <c r="B131"/>
      <c r="C131" s="62"/>
      <c r="D131"/>
      <c r="E131"/>
      <c r="G131" s="39"/>
      <c r="H131"/>
      <c r="I131"/>
      <c r="J131" s="334"/>
      <c r="K131" s="9"/>
      <c r="L131" s="107"/>
      <c r="M131" s="27"/>
      <c r="N131"/>
      <c r="O131" s="39"/>
      <c r="P131" s="39"/>
      <c r="Q131" s="39"/>
      <c r="R131" s="39"/>
      <c r="S131" s="39"/>
      <c r="T131" s="39"/>
      <c r="U131"/>
      <c r="V131" s="62"/>
      <c r="AM131"/>
      <c r="AN131"/>
      <c r="AO131"/>
      <c r="AP131"/>
      <c r="AQ131"/>
      <c r="AR131"/>
      <c r="AS131"/>
      <c r="AT131"/>
      <c r="AU131"/>
      <c r="AV131"/>
      <c r="AW131"/>
      <c r="AX131"/>
      <c r="AY131"/>
      <c r="AZ131"/>
      <c r="BA131"/>
      <c r="BB131"/>
      <c r="BC131"/>
      <c r="BD131"/>
      <c r="BE131"/>
      <c r="BF131"/>
      <c r="BG131"/>
      <c r="BH131"/>
      <c r="BI131"/>
      <c r="BJ131"/>
      <c r="BK131"/>
    </row>
    <row r="132" spans="2:63" s="8" customFormat="1" x14ac:dyDescent="0.3">
      <c r="B132"/>
      <c r="C132" s="62"/>
      <c r="D132"/>
      <c r="E132"/>
      <c r="G132" s="39"/>
      <c r="H132"/>
      <c r="I132"/>
      <c r="J132" s="334"/>
      <c r="K132" s="9"/>
      <c r="L132" s="107"/>
      <c r="M132" s="27"/>
      <c r="N132"/>
      <c r="O132" s="39"/>
      <c r="P132" s="39"/>
      <c r="Q132" s="39"/>
      <c r="R132" s="39"/>
      <c r="S132" s="39"/>
      <c r="T132" s="39"/>
      <c r="U132"/>
      <c r="V132" s="62"/>
      <c r="AL132"/>
      <c r="AM132"/>
      <c r="AN132"/>
      <c r="AO132"/>
      <c r="AP132"/>
      <c r="AQ132"/>
      <c r="AR132"/>
      <c r="AS132"/>
      <c r="AT132"/>
      <c r="AU132"/>
      <c r="AV132"/>
      <c r="AW132"/>
      <c r="AX132"/>
      <c r="AY132"/>
      <c r="AZ132"/>
      <c r="BA132"/>
      <c r="BB132"/>
      <c r="BC132"/>
      <c r="BD132"/>
      <c r="BE132"/>
      <c r="BF132"/>
      <c r="BG132"/>
      <c r="BH132"/>
      <c r="BI132"/>
      <c r="BJ132"/>
      <c r="BK132"/>
    </row>
    <row r="133" spans="2:63" s="8" customFormat="1" x14ac:dyDescent="0.3">
      <c r="B133"/>
      <c r="C133" s="62"/>
      <c r="D133"/>
      <c r="E133"/>
      <c r="G133" s="39"/>
      <c r="H133"/>
      <c r="I133"/>
      <c r="J133" s="334"/>
      <c r="K133" s="9"/>
      <c r="L133" s="107"/>
      <c r="M133" s="27"/>
      <c r="N133"/>
      <c r="O133" s="39"/>
      <c r="P133" s="39"/>
      <c r="Q133" s="39"/>
      <c r="R133" s="39"/>
      <c r="S133" s="39"/>
      <c r="T133" s="39"/>
      <c r="U133"/>
      <c r="V133" s="62"/>
      <c r="AL133"/>
      <c r="AM133"/>
      <c r="AN133"/>
      <c r="AO133"/>
      <c r="AP133"/>
      <c r="AQ133"/>
      <c r="AR133"/>
      <c r="AS133"/>
      <c r="AT133"/>
      <c r="AU133"/>
      <c r="AV133"/>
      <c r="AW133"/>
      <c r="AX133"/>
      <c r="AY133"/>
      <c r="AZ133"/>
      <c r="BA133"/>
      <c r="BB133"/>
      <c r="BC133"/>
      <c r="BD133"/>
      <c r="BE133"/>
      <c r="BF133"/>
      <c r="BG133"/>
      <c r="BH133"/>
      <c r="BI133"/>
      <c r="BJ133"/>
      <c r="BK133"/>
    </row>
    <row r="134" spans="2:63" s="8" customFormat="1" x14ac:dyDescent="0.3">
      <c r="B134"/>
      <c r="C134" s="62"/>
      <c r="D134"/>
      <c r="E134"/>
      <c r="G134" s="39"/>
      <c r="H134"/>
      <c r="I134"/>
      <c r="J134" s="334"/>
      <c r="K134" s="9"/>
      <c r="L134" s="107"/>
      <c r="M134" s="27"/>
      <c r="N134"/>
      <c r="O134" s="39"/>
      <c r="P134" s="39"/>
      <c r="Q134" s="39"/>
      <c r="R134" s="39"/>
      <c r="S134" s="39"/>
      <c r="T134" s="39"/>
      <c r="U134"/>
      <c r="V134" s="62"/>
      <c r="AL134"/>
      <c r="AM134"/>
      <c r="AN134"/>
      <c r="AO134"/>
      <c r="AP134"/>
      <c r="AQ134"/>
      <c r="AR134"/>
      <c r="AS134"/>
      <c r="AT134"/>
      <c r="AU134"/>
      <c r="AV134"/>
      <c r="AW134"/>
      <c r="AX134"/>
      <c r="AY134"/>
      <c r="AZ134"/>
      <c r="BA134"/>
      <c r="BB134"/>
      <c r="BC134"/>
      <c r="BD134"/>
      <c r="BE134"/>
      <c r="BF134"/>
      <c r="BG134"/>
      <c r="BH134"/>
      <c r="BI134"/>
      <c r="BJ134"/>
      <c r="BK134"/>
    </row>
    <row r="135" spans="2:63" s="8" customFormat="1" x14ac:dyDescent="0.3">
      <c r="B135"/>
      <c r="C135" s="62"/>
      <c r="D135"/>
      <c r="E135"/>
      <c r="G135" s="39"/>
      <c r="H135"/>
      <c r="I135"/>
      <c r="J135" s="334"/>
      <c r="K135" s="9"/>
      <c r="L135" s="107"/>
      <c r="M135" s="27"/>
      <c r="N135"/>
      <c r="O135" s="39"/>
      <c r="P135" s="39"/>
      <c r="Q135" s="39"/>
      <c r="R135" s="39"/>
      <c r="S135" s="39"/>
      <c r="T135" s="39"/>
      <c r="U135"/>
      <c r="V135" s="62"/>
      <c r="AL135"/>
      <c r="AM135"/>
      <c r="AN135"/>
      <c r="AO135"/>
      <c r="AP135"/>
      <c r="AQ135"/>
      <c r="AR135"/>
      <c r="AS135"/>
      <c r="AT135"/>
      <c r="AU135"/>
      <c r="AV135"/>
      <c r="AW135"/>
      <c r="AX135"/>
      <c r="AY135"/>
      <c r="AZ135"/>
      <c r="BA135"/>
      <c r="BB135"/>
      <c r="BC135"/>
      <c r="BD135"/>
      <c r="BE135"/>
      <c r="BF135"/>
      <c r="BG135"/>
      <c r="BH135"/>
      <c r="BI135"/>
      <c r="BJ135"/>
      <c r="BK135"/>
    </row>
    <row r="136" spans="2:63" s="8" customFormat="1" x14ac:dyDescent="0.3">
      <c r="B136"/>
      <c r="C136" s="62"/>
      <c r="D136"/>
      <c r="E136"/>
      <c r="G136" s="39"/>
      <c r="H136"/>
      <c r="I136"/>
      <c r="J136" s="334"/>
      <c r="K136" s="9"/>
      <c r="L136" s="107"/>
      <c r="M136" s="27"/>
      <c r="N136"/>
      <c r="O136" s="39"/>
      <c r="P136" s="39"/>
      <c r="Q136" s="39"/>
      <c r="R136" s="39"/>
      <c r="S136" s="39"/>
      <c r="T136" s="39"/>
      <c r="U136"/>
      <c r="V136" s="62"/>
      <c r="AL136"/>
      <c r="AM136"/>
      <c r="AN136"/>
      <c r="AO136"/>
      <c r="AP136"/>
      <c r="AQ136"/>
      <c r="AR136"/>
      <c r="AS136"/>
      <c r="AT136"/>
      <c r="AU136"/>
      <c r="AV136"/>
      <c r="AW136"/>
      <c r="AX136"/>
      <c r="AY136"/>
      <c r="AZ136"/>
      <c r="BA136"/>
      <c r="BB136"/>
      <c r="BC136"/>
      <c r="BD136"/>
      <c r="BE136"/>
      <c r="BF136"/>
      <c r="BG136"/>
      <c r="BH136"/>
      <c r="BI136"/>
      <c r="BJ136"/>
      <c r="BK136"/>
    </row>
    <row r="137" spans="2:63" s="8" customFormat="1" x14ac:dyDescent="0.3">
      <c r="B137"/>
      <c r="C137" s="62"/>
      <c r="D137"/>
      <c r="E137"/>
      <c r="G137" s="39"/>
      <c r="H137"/>
      <c r="I137"/>
      <c r="J137" s="334"/>
      <c r="K137" s="9"/>
      <c r="L137" s="107"/>
      <c r="M137" s="27"/>
      <c r="N137"/>
      <c r="O137" s="39"/>
      <c r="P137" s="39"/>
      <c r="Q137" s="39"/>
      <c r="R137" s="39"/>
      <c r="S137" s="39"/>
      <c r="T137" s="39"/>
      <c r="U137"/>
      <c r="V137" s="62"/>
      <c r="AL137"/>
      <c r="AM137"/>
      <c r="AN137"/>
      <c r="AO137"/>
      <c r="AP137"/>
      <c r="AQ137"/>
      <c r="AR137"/>
      <c r="AS137"/>
      <c r="AT137"/>
      <c r="AU137"/>
      <c r="AV137"/>
      <c r="AW137"/>
      <c r="AX137"/>
      <c r="AY137"/>
      <c r="AZ137"/>
      <c r="BA137"/>
      <c r="BB137"/>
      <c r="BC137"/>
      <c r="BD137"/>
      <c r="BE137"/>
      <c r="BF137"/>
      <c r="BG137"/>
      <c r="BH137"/>
      <c r="BI137"/>
      <c r="BJ137"/>
      <c r="BK137"/>
    </row>
    <row r="138" spans="2:63" s="8" customFormat="1" x14ac:dyDescent="0.3">
      <c r="B138"/>
      <c r="C138" s="62"/>
      <c r="D138"/>
      <c r="E138"/>
      <c r="G138" s="39"/>
      <c r="H138"/>
      <c r="I138"/>
      <c r="J138" s="334"/>
      <c r="K138" s="9"/>
      <c r="L138" s="107"/>
      <c r="M138" s="27"/>
      <c r="N138"/>
      <c r="O138" s="39"/>
      <c r="P138" s="39"/>
      <c r="Q138" s="39"/>
      <c r="R138" s="39"/>
      <c r="S138" s="39"/>
      <c r="T138" s="39"/>
      <c r="U138"/>
      <c r="V138" s="62"/>
      <c r="AL138"/>
      <c r="AM138"/>
      <c r="AN138"/>
      <c r="AO138"/>
      <c r="AP138"/>
      <c r="AQ138"/>
      <c r="AR138"/>
      <c r="AS138"/>
      <c r="AT138"/>
      <c r="AU138"/>
      <c r="AV138"/>
      <c r="AW138"/>
      <c r="AX138"/>
      <c r="AY138"/>
      <c r="AZ138"/>
      <c r="BA138"/>
      <c r="BB138"/>
      <c r="BC138"/>
      <c r="BD138"/>
      <c r="BE138"/>
      <c r="BF138"/>
      <c r="BG138"/>
      <c r="BH138"/>
      <c r="BI138"/>
      <c r="BJ138"/>
      <c r="BK138"/>
    </row>
    <row r="139" spans="2:63" s="8" customFormat="1" x14ac:dyDescent="0.3">
      <c r="B139"/>
      <c r="C139" s="62"/>
      <c r="D139"/>
      <c r="E139"/>
      <c r="G139" s="39"/>
      <c r="H139"/>
      <c r="I139"/>
      <c r="J139" s="334"/>
      <c r="K139" s="9"/>
      <c r="L139" s="107"/>
      <c r="M139" s="27"/>
      <c r="N139"/>
      <c r="O139" s="39"/>
      <c r="P139" s="39"/>
      <c r="Q139" s="39"/>
      <c r="R139" s="39"/>
      <c r="S139" s="39"/>
      <c r="T139" s="39"/>
      <c r="U139"/>
      <c r="V139" s="62"/>
      <c r="AL139"/>
      <c r="AM139"/>
      <c r="AN139"/>
      <c r="AO139"/>
      <c r="AP139"/>
      <c r="AQ139"/>
      <c r="AR139"/>
      <c r="AS139"/>
      <c r="AT139"/>
      <c r="AU139"/>
      <c r="AV139"/>
      <c r="AW139"/>
      <c r="AX139"/>
      <c r="AY139"/>
      <c r="AZ139"/>
      <c r="BA139"/>
      <c r="BB139"/>
      <c r="BC139"/>
      <c r="BD139"/>
      <c r="BE139"/>
      <c r="BF139"/>
      <c r="BG139"/>
      <c r="BH139"/>
      <c r="BI139"/>
      <c r="BJ139"/>
      <c r="BK139"/>
    </row>
    <row r="140" spans="2:63" s="8" customFormat="1" x14ac:dyDescent="0.3">
      <c r="B140"/>
      <c r="C140" s="62"/>
      <c r="D140"/>
      <c r="E140"/>
      <c r="G140" s="39"/>
      <c r="H140"/>
      <c r="I140"/>
      <c r="J140" s="334"/>
      <c r="K140" s="9"/>
      <c r="L140" s="107"/>
      <c r="M140" s="27"/>
      <c r="N140"/>
      <c r="O140" s="39"/>
      <c r="P140" s="39"/>
      <c r="Q140" s="39"/>
      <c r="R140" s="39"/>
      <c r="S140" s="39"/>
      <c r="T140" s="39"/>
      <c r="U140"/>
      <c r="V140" s="62"/>
      <c r="AL140"/>
      <c r="AM140"/>
      <c r="AN140"/>
      <c r="AO140"/>
      <c r="AP140"/>
      <c r="AQ140"/>
      <c r="AR140"/>
      <c r="AS140"/>
      <c r="AT140"/>
      <c r="AU140"/>
      <c r="AV140"/>
      <c r="AW140"/>
      <c r="AX140"/>
      <c r="AY140"/>
      <c r="AZ140"/>
      <c r="BA140"/>
      <c r="BB140"/>
      <c r="BC140"/>
      <c r="BD140"/>
      <c r="BE140"/>
      <c r="BF140"/>
      <c r="BG140"/>
      <c r="BH140"/>
      <c r="BI140"/>
      <c r="BJ140"/>
      <c r="BK140"/>
    </row>
    <row r="141" spans="2:63" s="8" customFormat="1" x14ac:dyDescent="0.3">
      <c r="B141"/>
      <c r="C141" s="62"/>
      <c r="D141"/>
      <c r="E141"/>
      <c r="G141" s="39"/>
      <c r="H141"/>
      <c r="I141"/>
      <c r="J141" s="334"/>
      <c r="K141" s="9"/>
      <c r="L141" s="107"/>
      <c r="M141" s="27"/>
      <c r="N141"/>
      <c r="O141" s="39"/>
      <c r="P141" s="39"/>
      <c r="Q141" s="39"/>
      <c r="R141" s="39"/>
      <c r="S141" s="39"/>
      <c r="T141" s="39"/>
      <c r="U141"/>
      <c r="V141" s="62"/>
      <c r="AL141"/>
      <c r="AM141"/>
      <c r="AN141"/>
      <c r="AO141"/>
      <c r="AP141"/>
      <c r="AQ141"/>
      <c r="AR141"/>
      <c r="AS141"/>
      <c r="AT141"/>
      <c r="AU141"/>
      <c r="AV141"/>
      <c r="AW141"/>
      <c r="AX141"/>
      <c r="AY141"/>
      <c r="AZ141"/>
      <c r="BA141"/>
      <c r="BB141"/>
      <c r="BC141"/>
      <c r="BD141"/>
      <c r="BE141"/>
      <c r="BF141"/>
      <c r="BG141"/>
      <c r="BH141"/>
      <c r="BI141"/>
      <c r="BJ141"/>
      <c r="BK141"/>
    </row>
    <row r="142" spans="2:63" s="8" customFormat="1" x14ac:dyDescent="0.3">
      <c r="B142"/>
      <c r="C142" s="62"/>
      <c r="D142"/>
      <c r="E142"/>
      <c r="G142" s="39"/>
      <c r="H142"/>
      <c r="I142"/>
      <c r="J142" s="334"/>
      <c r="K142" s="9"/>
      <c r="L142" s="107"/>
      <c r="M142" s="27"/>
      <c r="N142"/>
      <c r="O142" s="39"/>
      <c r="P142" s="39"/>
      <c r="Q142" s="39"/>
      <c r="R142" s="39"/>
      <c r="S142" s="39"/>
      <c r="T142" s="39"/>
      <c r="U142"/>
      <c r="V142" s="62"/>
      <c r="AL142"/>
      <c r="AM142"/>
      <c r="AN142"/>
      <c r="AO142"/>
      <c r="AP142"/>
      <c r="AQ142"/>
      <c r="AR142"/>
      <c r="AS142"/>
      <c r="AT142"/>
      <c r="AU142"/>
      <c r="AV142"/>
      <c r="AW142"/>
      <c r="AX142"/>
      <c r="AY142"/>
      <c r="AZ142"/>
      <c r="BA142"/>
      <c r="BB142"/>
      <c r="BC142"/>
      <c r="BD142"/>
      <c r="BE142"/>
      <c r="BF142"/>
      <c r="BG142"/>
      <c r="BH142"/>
      <c r="BI142"/>
      <c r="BJ142"/>
      <c r="BK142"/>
    </row>
    <row r="143" spans="2:63" s="8" customFormat="1" x14ac:dyDescent="0.3">
      <c r="B143"/>
      <c r="C143" s="62"/>
      <c r="D143"/>
      <c r="E143"/>
      <c r="G143" s="39"/>
      <c r="H143"/>
      <c r="I143"/>
      <c r="J143" s="334"/>
      <c r="K143" s="9"/>
      <c r="L143" s="107"/>
      <c r="M143" s="27"/>
      <c r="N143"/>
      <c r="O143" s="39"/>
      <c r="P143" s="39"/>
      <c r="Q143" s="39"/>
      <c r="R143" s="39"/>
      <c r="S143" s="39"/>
      <c r="T143" s="39"/>
      <c r="U143"/>
      <c r="V143" s="62"/>
      <c r="AL143"/>
      <c r="AM143"/>
      <c r="AN143"/>
      <c r="AO143"/>
      <c r="AP143"/>
      <c r="AQ143"/>
      <c r="AR143"/>
      <c r="AS143"/>
      <c r="AT143"/>
      <c r="AU143"/>
      <c r="AV143"/>
      <c r="AW143"/>
      <c r="AX143"/>
      <c r="AY143"/>
      <c r="AZ143"/>
      <c r="BA143"/>
      <c r="BB143"/>
      <c r="BC143"/>
      <c r="BD143"/>
      <c r="BE143"/>
      <c r="BF143"/>
      <c r="BG143"/>
      <c r="BH143"/>
      <c r="BI143"/>
      <c r="BJ143"/>
      <c r="BK143"/>
    </row>
    <row r="144" spans="2:63" s="8" customFormat="1" x14ac:dyDescent="0.3">
      <c r="B144"/>
      <c r="C144" s="62"/>
      <c r="D144"/>
      <c r="E144"/>
      <c r="G144" s="39"/>
      <c r="H144"/>
      <c r="I144"/>
      <c r="J144" s="334"/>
      <c r="K144" s="9"/>
      <c r="L144" s="107"/>
      <c r="M144" s="27"/>
      <c r="N144"/>
      <c r="O144" s="39"/>
      <c r="P144" s="39"/>
      <c r="Q144" s="39"/>
      <c r="R144" s="39"/>
      <c r="S144" s="39"/>
      <c r="T144" s="39"/>
      <c r="U144"/>
      <c r="V144" s="62"/>
      <c r="AL144"/>
      <c r="AM144"/>
      <c r="AN144"/>
      <c r="AO144"/>
      <c r="AP144"/>
      <c r="AQ144"/>
      <c r="AR144"/>
      <c r="AS144"/>
      <c r="AT144"/>
      <c r="AU144"/>
      <c r="AV144"/>
      <c r="AW144"/>
      <c r="AX144"/>
      <c r="AY144"/>
      <c r="AZ144"/>
      <c r="BA144"/>
      <c r="BB144"/>
      <c r="BC144"/>
      <c r="BD144"/>
      <c r="BE144"/>
      <c r="BF144"/>
      <c r="BG144"/>
      <c r="BH144"/>
      <c r="BI144"/>
      <c r="BJ144"/>
      <c r="BK144"/>
    </row>
    <row r="145" spans="2:63" s="8" customFormat="1" x14ac:dyDescent="0.3">
      <c r="B145"/>
      <c r="C145" s="62"/>
      <c r="D145"/>
      <c r="E145"/>
      <c r="G145" s="39"/>
      <c r="H145"/>
      <c r="I145"/>
      <c r="J145" s="334"/>
      <c r="K145" s="9"/>
      <c r="L145" s="107"/>
      <c r="M145" s="27"/>
      <c r="N145"/>
      <c r="O145" s="39"/>
      <c r="P145" s="39"/>
      <c r="Q145" s="39"/>
      <c r="R145" s="39"/>
      <c r="S145" s="39"/>
      <c r="T145" s="39"/>
      <c r="U145"/>
      <c r="V145" s="62"/>
      <c r="AL145"/>
      <c r="AM145"/>
      <c r="AN145"/>
      <c r="AO145"/>
      <c r="AP145"/>
      <c r="AQ145"/>
      <c r="AR145"/>
      <c r="AS145"/>
      <c r="AT145"/>
      <c r="AU145"/>
      <c r="AV145"/>
      <c r="AW145"/>
      <c r="AX145"/>
      <c r="AY145"/>
      <c r="AZ145"/>
      <c r="BA145"/>
      <c r="BB145"/>
      <c r="BC145"/>
      <c r="BD145"/>
      <c r="BE145"/>
      <c r="BF145"/>
      <c r="BG145"/>
      <c r="BH145"/>
      <c r="BI145"/>
      <c r="BJ145"/>
      <c r="BK145"/>
    </row>
    <row r="146" spans="2:63" s="8" customFormat="1" x14ac:dyDescent="0.3">
      <c r="B146"/>
      <c r="C146" s="62"/>
      <c r="D146"/>
      <c r="E146"/>
      <c r="G146" s="39"/>
      <c r="H146"/>
      <c r="I146"/>
      <c r="J146" s="334"/>
      <c r="K146" s="9"/>
      <c r="L146" s="107"/>
      <c r="M146" s="27"/>
      <c r="N146"/>
      <c r="O146" s="39"/>
      <c r="P146" s="39"/>
      <c r="Q146" s="39"/>
      <c r="R146" s="39"/>
      <c r="S146" s="39"/>
      <c r="T146" s="39"/>
      <c r="U146"/>
      <c r="V146" s="62"/>
      <c r="AL146"/>
      <c r="AM146"/>
      <c r="AN146"/>
      <c r="AO146"/>
      <c r="AP146"/>
      <c r="AQ146"/>
      <c r="AR146"/>
      <c r="AS146"/>
      <c r="AT146"/>
      <c r="AU146"/>
      <c r="AV146"/>
      <c r="AW146"/>
      <c r="AX146"/>
      <c r="AY146"/>
      <c r="AZ146"/>
      <c r="BA146"/>
      <c r="BB146"/>
      <c r="BC146"/>
      <c r="BD146"/>
      <c r="BE146"/>
      <c r="BF146"/>
      <c r="BG146"/>
      <c r="BH146"/>
      <c r="BI146"/>
      <c r="BJ146"/>
      <c r="BK146"/>
    </row>
    <row r="147" spans="2:63" s="8" customFormat="1" x14ac:dyDescent="0.3">
      <c r="B147"/>
      <c r="C147" s="62"/>
      <c r="D147"/>
      <c r="E147"/>
      <c r="G147" s="39"/>
      <c r="H147"/>
      <c r="I147"/>
      <c r="J147" s="334"/>
      <c r="K147" s="9"/>
      <c r="L147" s="107"/>
      <c r="M147" s="27"/>
      <c r="N147"/>
      <c r="O147" s="39"/>
      <c r="P147" s="39"/>
      <c r="Q147" s="39"/>
      <c r="R147" s="39"/>
      <c r="S147" s="39"/>
      <c r="T147" s="39"/>
      <c r="U147"/>
      <c r="V147" s="62"/>
      <c r="AL147"/>
      <c r="AM147"/>
      <c r="AN147"/>
      <c r="AO147"/>
      <c r="AP147"/>
      <c r="AQ147"/>
      <c r="AR147"/>
      <c r="AS147"/>
      <c r="AT147"/>
      <c r="AU147"/>
      <c r="AV147"/>
      <c r="AW147"/>
      <c r="AX147"/>
      <c r="AY147"/>
      <c r="AZ147"/>
      <c r="BA147"/>
      <c r="BB147"/>
      <c r="BC147"/>
      <c r="BD147"/>
      <c r="BE147"/>
      <c r="BF147"/>
      <c r="BG147"/>
      <c r="BH147"/>
      <c r="BI147"/>
      <c r="BJ147"/>
      <c r="BK147"/>
    </row>
  </sheetData>
  <autoFilter ref="B8:AP59" xr:uid="{AB909622-906E-4179-987D-6E7EB583E78A}"/>
  <dataConsolidate/>
  <mergeCells count="2">
    <mergeCell ref="V7:Y7"/>
    <mergeCell ref="Z7:AH7"/>
  </mergeCells>
  <phoneticPr fontId="59" type="noConversion"/>
  <conditionalFormatting sqref="C7:F61">
    <cfRule type="cellIs" dxfId="108" priority="1" operator="equal">
      <formula>"YES-OOS"</formula>
    </cfRule>
    <cfRule type="cellIs" dxfId="107" priority="2" operator="equal">
      <formula>"PENDING"</formula>
    </cfRule>
    <cfRule type="cellIs" dxfId="106" priority="12" operator="equal">
      <formula>"NO-OOS"</formula>
    </cfRule>
    <cfRule type="cellIs" dxfId="105" priority="13" operator="equal">
      <formula>"YES"</formula>
    </cfRule>
    <cfRule type="cellIs" dxfId="104" priority="14" operator="equal">
      <formula>"NO-IL"</formula>
    </cfRule>
  </conditionalFormatting>
  <conditionalFormatting sqref="D9:D59">
    <cfRule type="cellIs" dxfId="103" priority="55" operator="equal">
      <formula>"NO"</formula>
    </cfRule>
    <cfRule type="cellIs" dxfId="102" priority="56" operator="equal">
      <formula>"YES"</formula>
    </cfRule>
  </conditionalFormatting>
  <conditionalFormatting sqref="G8:K8">
    <cfRule type="cellIs" dxfId="101" priority="3" operator="equal">
      <formula>"NO-OOS"</formula>
    </cfRule>
    <cfRule type="cellIs" dxfId="100" priority="4" operator="equal">
      <formula>"YES"</formula>
    </cfRule>
    <cfRule type="cellIs" dxfId="99" priority="5" operator="equal">
      <formula>"NO-IL"</formula>
    </cfRule>
  </conditionalFormatting>
  <conditionalFormatting sqref="O68">
    <cfRule type="cellIs" dxfId="98" priority="154" operator="equal">
      <formula>"NO-OOS"</formula>
    </cfRule>
    <cfRule type="cellIs" dxfId="97" priority="155" operator="equal">
      <formula>"NO-CO"</formula>
    </cfRule>
    <cfRule type="cellIs" dxfId="96" priority="156" operator="equal">
      <formula>"YES"</formula>
    </cfRule>
    <cfRule type="cellIs" dxfId="95" priority="157" operator="equal">
      <formula>"NO"</formula>
    </cfRule>
  </conditionalFormatting>
  <conditionalFormatting sqref="O73">
    <cfRule type="cellIs" dxfId="94" priority="149" operator="equal">
      <formula>"NO-OOS"</formula>
    </cfRule>
    <cfRule type="cellIs" dxfId="93" priority="150" operator="equal">
      <formula>"NO-CO"</formula>
    </cfRule>
    <cfRule type="cellIs" dxfId="92" priority="151" operator="equal">
      <formula>"YES"</formula>
    </cfRule>
    <cfRule type="cellIs" dxfId="91" priority="152" operator="equal">
      <formula>"NO"</formula>
    </cfRule>
  </conditionalFormatting>
  <conditionalFormatting sqref="V9:V59">
    <cfRule type="containsText" dxfId="90" priority="8" operator="containsText" text="NO">
      <formula>NOT(ISERROR(SEARCH("NO",V9)))</formula>
    </cfRule>
    <cfRule type="containsText" dxfId="89" priority="9" operator="containsText" text="YES">
      <formula>NOT(ISERROR(SEARCH("YES",V9)))</formula>
    </cfRule>
  </conditionalFormatting>
  <conditionalFormatting sqref="V60">
    <cfRule type="cellIs" dxfId="88" priority="10" operator="equal">
      <formula>"NO"</formula>
    </cfRule>
    <cfRule type="cellIs" dxfId="87" priority="11" operator="equal">
      <formula>"YES"</formula>
    </cfRule>
  </conditionalFormatting>
  <conditionalFormatting sqref="AC9:AF60">
    <cfRule type="cellIs" dxfId="86" priority="6" operator="equal">
      <formula>"NO"</formula>
    </cfRule>
    <cfRule type="cellIs" dxfId="85" priority="7" operator="equal">
      <formula>"YES"</formula>
    </cfRule>
  </conditionalFormatting>
  <conditionalFormatting sqref="AG9:AH59">
    <cfRule type="containsText" dxfId="84" priority="39" operator="containsText" text="Covid">
      <formula>NOT(ISERROR(SEARCH("Covid",AG9)))</formula>
    </cfRule>
    <cfRule type="containsText" dxfId="83" priority="40" operator="containsText" text="Sig">
      <formula>NOT(ISERROR(SEARCH("Sig",AG9)))</formula>
    </cfRule>
    <cfRule type="containsText" dxfId="82" priority="41" operator="containsText" text="WNR">
      <formula>NOT(ISERROR(SEARCH("WNR",AG9)))</formula>
    </cfRule>
    <cfRule type="containsText" dxfId="81" priority="42" operator="containsText" text="Missing">
      <formula>NOT(ISERROR(SEARCH("Missing",AG9)))</formula>
    </cfRule>
    <cfRule type="containsText" dxfId="80" priority="43" operator="containsText" text="Expired">
      <formula>NOT(ISERROR(SEARCH("Expired",AG9)))</formula>
    </cfRule>
    <cfRule type="containsText" dxfId="79" priority="44" operator="containsText" text="NLAA">
      <formula>NOT(ISERROR(SEARCH("NLAA",AG9)))</formula>
    </cfRule>
    <cfRule type="containsText" dxfId="78" priority="45" operator="containsText" text="sent">
      <formula>NOT(ISERROR(SEARCH("sent",AG9)))</formula>
    </cfRule>
  </conditionalFormatting>
  <dataValidations count="3">
    <dataValidation allowBlank="1" showInputMessage="1" showErrorMessage="1" prompt="Select a category that most closely matches" sqref="AA19:AB59 AG59:AH59" xr:uid="{C61A7DD0-AB3C-4315-A467-8BA21DD3CD7D}"/>
    <dataValidation type="list" allowBlank="1" showInputMessage="1" showErrorMessage="1" sqref="Y110:Y111 AL77:AL78 AC60:AF60 P73:Q73 F104 R85:S85 H60 W62:W63 X64:X65 F112:F1048576 G105:H106 AF112:AF114 AC115:AC116" xr:uid="{36530C8C-0DBB-4AC3-9F35-9494A82806CF}">
      <formula1>$T$3:$T$4</formula1>
    </dataValidation>
    <dataValidation type="list" allowBlank="1" showInputMessage="1" showErrorMessage="1" sqref="C112:F1048576 C61:F61 C3:F8 Z9:Z14 AP9:AP59 AA14:AB15 AG10:AH59 Y16:AB59 Y9:AB13 Y14:Z14 Y15 C9:D59 V9:X59" xr:uid="{5C2D9E94-0E77-444A-839C-64EF3BA1FA85}">
      <formula1>#REF!</formula1>
    </dataValidation>
  </dataValidations>
  <hyperlinks>
    <hyperlink ref="M63" location="'Comm Summary'!A1" display="'Comm Summary'!A1" xr:uid="{14961D08-077D-4F56-8583-A7E0B590F661}"/>
  </hyperlinks>
  <pageMargins left="0.7" right="0.7" top="0.75" bottom="0.75" header="0.3" footer="0.3"/>
  <pageSetup scale="32" orientation="landscape"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50020-492B-4261-AE9D-83C785A1DE1A}">
  <sheetPr>
    <tabColor theme="8" tint="0.79998168889431442"/>
  </sheetPr>
  <dimension ref="B1:AS74"/>
  <sheetViews>
    <sheetView zoomScale="70" zoomScaleNormal="70" workbookViewId="0">
      <pane xSplit="6" ySplit="8" topLeftCell="G9" activePane="bottomRight" state="frozen"/>
      <selection pane="topRight" activeCell="R1" sqref="R1"/>
      <selection pane="bottomLeft" activeCell="R1" sqref="R1"/>
      <selection pane="bottomRight" activeCell="R14" sqref="R14"/>
    </sheetView>
  </sheetViews>
  <sheetFormatPr defaultRowHeight="14.4" x14ac:dyDescent="0.3"/>
  <cols>
    <col min="2" max="2" width="16.88671875" bestFit="1" customWidth="1"/>
    <col min="3" max="3" width="16.88671875" customWidth="1"/>
    <col min="4" max="4" width="11" customWidth="1"/>
    <col min="5" max="5" width="11.109375" customWidth="1"/>
    <col min="6" max="6" width="22.88671875" customWidth="1"/>
    <col min="7" max="7" width="21.88671875" customWidth="1"/>
    <col min="8" max="8" width="18.88671875" bestFit="1" customWidth="1"/>
    <col min="9" max="9" width="20.109375" customWidth="1"/>
    <col min="10" max="10" width="15.44140625" customWidth="1"/>
    <col min="11" max="11" width="14.44140625" bestFit="1" customWidth="1"/>
    <col min="12" max="12" width="17.109375" customWidth="1"/>
    <col min="13" max="13" width="10.109375" customWidth="1"/>
    <col min="14" max="15" width="16.88671875" customWidth="1"/>
    <col min="16" max="16" width="29.88671875" bestFit="1" customWidth="1"/>
    <col min="17" max="23" width="19" customWidth="1"/>
    <col min="24" max="24" width="17.44140625" customWidth="1"/>
    <col min="25" max="25" width="12.44140625" customWidth="1"/>
    <col min="26" max="26" width="13.88671875" bestFit="1" customWidth="1"/>
    <col min="27" max="27" width="11.109375" bestFit="1" customWidth="1"/>
    <col min="28" max="28" width="16.109375" customWidth="1"/>
    <col min="29" max="29" width="18.109375" customWidth="1"/>
    <col min="30" max="30" width="19.88671875" customWidth="1"/>
    <col min="31" max="31" width="12.88671875" customWidth="1"/>
    <col min="32" max="32" width="21" customWidth="1"/>
    <col min="33" max="33" width="21.88671875" bestFit="1" customWidth="1"/>
    <col min="34" max="34" width="16.109375" bestFit="1" customWidth="1"/>
    <col min="35" max="35" width="21.109375" bestFit="1" customWidth="1"/>
    <col min="38" max="38" width="9.5546875" bestFit="1" customWidth="1"/>
    <col min="40" max="40" width="12.88671875" bestFit="1" customWidth="1"/>
    <col min="41" max="41" width="12" bestFit="1" customWidth="1"/>
    <col min="42" max="42" width="13.88671875" bestFit="1" customWidth="1"/>
    <col min="43" max="43" width="11.109375" bestFit="1" customWidth="1"/>
    <col min="44" max="44" width="11" bestFit="1" customWidth="1"/>
    <col min="45" max="45" width="8.109375" bestFit="1" customWidth="1"/>
  </cols>
  <sheetData>
    <row r="1" spans="2:45" ht="37.5" customHeight="1" thickBot="1" x14ac:dyDescent="0.35">
      <c r="B1" s="352" t="s">
        <v>417</v>
      </c>
      <c r="C1" s="352"/>
      <c r="D1" s="352"/>
      <c r="E1" s="352"/>
      <c r="F1" s="352"/>
      <c r="G1" s="352"/>
      <c r="H1" s="352"/>
      <c r="I1" s="352"/>
      <c r="J1" s="352"/>
      <c r="K1" s="352"/>
      <c r="L1" s="352"/>
      <c r="M1" s="352"/>
      <c r="N1" s="352"/>
      <c r="O1" s="352"/>
      <c r="P1" s="352"/>
      <c r="Q1" s="352"/>
      <c r="R1" s="352"/>
      <c r="S1" s="352"/>
      <c r="T1" s="352"/>
      <c r="U1" s="352"/>
      <c r="V1" s="352"/>
      <c r="W1" s="352"/>
    </row>
    <row r="2" spans="2:45" ht="16.2" thickBot="1" x14ac:dyDescent="0.35">
      <c r="B2" s="210"/>
      <c r="C2" s="210"/>
      <c r="H2" s="210"/>
      <c r="I2" s="210"/>
      <c r="J2" s="210"/>
      <c r="K2" s="210"/>
      <c r="L2" s="210"/>
      <c r="M2" s="210"/>
      <c r="N2" s="210"/>
      <c r="O2" s="210"/>
      <c r="P2" s="210"/>
      <c r="Q2" s="210"/>
      <c r="R2" s="210"/>
      <c r="S2" s="210"/>
      <c r="T2" s="210"/>
      <c r="U2" s="210"/>
      <c r="V2" s="210"/>
      <c r="W2" s="210"/>
      <c r="X2" s="237" t="s">
        <v>270</v>
      </c>
      <c r="Y2" s="238">
        <v>44741</v>
      </c>
    </row>
    <row r="3" spans="2:45" ht="16.2" thickBot="1" x14ac:dyDescent="0.35">
      <c r="B3" s="5" t="s">
        <v>68</v>
      </c>
      <c r="C3" s="5"/>
      <c r="D3" s="5" t="e">
        <f>#REF!</f>
        <v>#REF!</v>
      </c>
      <c r="E3" s="5"/>
      <c r="K3" s="210"/>
      <c r="L3" s="210"/>
      <c r="M3" s="210"/>
      <c r="N3" s="210"/>
      <c r="O3" s="210"/>
      <c r="P3" s="210"/>
      <c r="Q3" s="210"/>
      <c r="R3" s="210"/>
      <c r="S3" s="210"/>
      <c r="T3" s="210"/>
      <c r="U3" s="210"/>
      <c r="V3" s="210"/>
      <c r="W3" s="210"/>
      <c r="X3" s="237" t="s">
        <v>272</v>
      </c>
      <c r="Y3" s="238">
        <v>44741</v>
      </c>
    </row>
    <row r="4" spans="2:45" ht="16.2" thickBot="1" x14ac:dyDescent="0.35">
      <c r="B4" s="5" t="s">
        <v>69</v>
      </c>
      <c r="C4" s="5"/>
      <c r="D4" s="230" t="e">
        <f>#REF!</f>
        <v>#REF!</v>
      </c>
      <c r="E4" s="230"/>
      <c r="G4" s="476" t="s">
        <v>418</v>
      </c>
      <c r="H4" s="477"/>
      <c r="I4" s="477"/>
      <c r="J4" s="477"/>
      <c r="K4" s="478"/>
      <c r="L4" s="478"/>
      <c r="M4" s="478"/>
      <c r="N4" s="475"/>
      <c r="O4" s="475"/>
      <c r="P4" s="210"/>
      <c r="Q4" s="210"/>
      <c r="R4" s="210"/>
      <c r="S4" s="210"/>
      <c r="T4" s="210"/>
      <c r="U4" s="210"/>
      <c r="V4" s="210"/>
      <c r="W4" s="210"/>
      <c r="X4" s="237" t="s">
        <v>274</v>
      </c>
      <c r="Y4" s="238">
        <v>44896</v>
      </c>
    </row>
    <row r="5" spans="2:45" ht="15.6" x14ac:dyDescent="0.3">
      <c r="B5" s="5" t="s">
        <v>275</v>
      </c>
      <c r="C5" s="5"/>
      <c r="D5" s="230" t="e">
        <f>#REF!</f>
        <v>#REF!</v>
      </c>
      <c r="E5" s="230"/>
      <c r="K5" s="210"/>
      <c r="L5" s="210"/>
      <c r="M5" s="210"/>
      <c r="N5" s="210"/>
      <c r="O5" s="210"/>
      <c r="P5" s="210"/>
      <c r="Q5" s="210"/>
      <c r="R5" s="210"/>
      <c r="S5" s="210"/>
      <c r="T5" s="210"/>
      <c r="U5" s="210"/>
      <c r="V5" s="210"/>
      <c r="W5" s="210"/>
    </row>
    <row r="6" spans="2:45" ht="16.2" thickBot="1" x14ac:dyDescent="0.35">
      <c r="H6" s="5"/>
      <c r="K6" s="210"/>
      <c r="L6" s="210"/>
      <c r="M6" s="210"/>
      <c r="N6" s="5"/>
      <c r="O6" s="5"/>
      <c r="P6" s="291" t="s">
        <v>419</v>
      </c>
      <c r="Q6" s="270"/>
      <c r="W6" s="210"/>
      <c r="AE6" s="5"/>
      <c r="AF6" s="354" t="s">
        <v>277</v>
      </c>
      <c r="AG6" s="390"/>
    </row>
    <row r="7" spans="2:45" ht="18.600000000000001" thickBot="1" x14ac:dyDescent="0.4">
      <c r="D7" s="7"/>
      <c r="E7" s="7"/>
      <c r="F7" s="5"/>
      <c r="G7" s="292" t="s">
        <v>281</v>
      </c>
      <c r="J7" s="285"/>
      <c r="K7" s="290"/>
      <c r="L7" s="5"/>
      <c r="M7" s="6"/>
      <c r="P7" s="294" t="s">
        <v>285</v>
      </c>
      <c r="Q7" s="368"/>
      <c r="R7" s="116"/>
      <c r="S7" s="116"/>
      <c r="T7" s="548" t="s">
        <v>420</v>
      </c>
      <c r="U7" s="548"/>
      <c r="V7" s="548"/>
      <c r="W7" s="210"/>
      <c r="X7" s="749" t="s">
        <v>284</v>
      </c>
      <c r="Y7" s="750"/>
      <c r="Z7" s="750"/>
      <c r="AA7" s="750"/>
      <c r="AB7" s="751"/>
      <c r="AC7" s="5"/>
    </row>
    <row r="8" spans="2:45" s="277" customFormat="1" ht="28.8" x14ac:dyDescent="0.3">
      <c r="B8" s="317" t="s">
        <v>367</v>
      </c>
      <c r="C8" s="317" t="s">
        <v>233</v>
      </c>
      <c r="D8" s="317" t="s">
        <v>372</v>
      </c>
      <c r="E8" s="317" t="s">
        <v>373</v>
      </c>
      <c r="F8" s="317" t="s">
        <v>421</v>
      </c>
      <c r="G8" s="317" t="s">
        <v>422</v>
      </c>
      <c r="H8" s="317" t="s">
        <v>423</v>
      </c>
      <c r="I8" s="317" t="s">
        <v>236</v>
      </c>
      <c r="J8" s="317" t="s">
        <v>237</v>
      </c>
      <c r="K8" s="317" t="s">
        <v>238</v>
      </c>
      <c r="L8" s="320" t="s">
        <v>424</v>
      </c>
      <c r="M8" s="320" t="s">
        <v>116</v>
      </c>
      <c r="N8" s="320" t="s">
        <v>425</v>
      </c>
      <c r="O8" s="50" t="s">
        <v>426</v>
      </c>
      <c r="P8" s="320" t="s">
        <v>330</v>
      </c>
      <c r="Q8" s="320" t="s">
        <v>331</v>
      </c>
      <c r="R8" s="320" t="s">
        <v>427</v>
      </c>
      <c r="S8" s="13" t="s">
        <v>231</v>
      </c>
      <c r="T8" s="320" t="s">
        <v>382</v>
      </c>
      <c r="U8" s="320" t="s">
        <v>428</v>
      </c>
      <c r="V8" s="320" t="s">
        <v>420</v>
      </c>
      <c r="W8" s="210"/>
      <c r="X8" s="317" t="s">
        <v>429</v>
      </c>
      <c r="Y8" s="317" t="s">
        <v>430</v>
      </c>
      <c r="Z8" s="317" t="s">
        <v>431</v>
      </c>
      <c r="AA8" s="317" t="s">
        <v>327</v>
      </c>
      <c r="AB8" s="317" t="s">
        <v>432</v>
      </c>
      <c r="AC8" s="49" t="s">
        <v>414</v>
      </c>
      <c r="AD8" s="49" t="s">
        <v>415</v>
      </c>
      <c r="AF8" s="275" t="s">
        <v>433</v>
      </c>
      <c r="AG8" s="275" t="s">
        <v>434</v>
      </c>
      <c r="AH8" s="275" t="s">
        <v>423</v>
      </c>
      <c r="AI8" s="275" t="s">
        <v>435</v>
      </c>
      <c r="AJ8" s="275" t="s">
        <v>329</v>
      </c>
      <c r="AK8" s="275" t="s">
        <v>238</v>
      </c>
      <c r="AL8" s="274" t="s">
        <v>436</v>
      </c>
      <c r="AM8" s="274" t="s">
        <v>437</v>
      </c>
      <c r="AN8" s="273" t="s">
        <v>438</v>
      </c>
      <c r="AO8" s="355" t="s">
        <v>439</v>
      </c>
      <c r="AP8" s="356" t="s">
        <v>279</v>
      </c>
      <c r="AQ8" s="357" t="s">
        <v>440</v>
      </c>
      <c r="AR8" s="281"/>
      <c r="AS8" s="281"/>
    </row>
    <row r="9" spans="2:45" ht="15.6" x14ac:dyDescent="0.3">
      <c r="B9" s="2"/>
      <c r="C9" s="544"/>
      <c r="D9" s="302"/>
      <c r="E9" s="16"/>
      <c r="F9" s="35"/>
      <c r="G9" s="35"/>
      <c r="H9" s="29"/>
      <c r="I9" s="35"/>
      <c r="J9" s="29"/>
      <c r="K9" s="29"/>
      <c r="L9" s="29"/>
      <c r="M9" s="68"/>
      <c r="N9" s="267">
        <v>0</v>
      </c>
      <c r="O9" s="546"/>
      <c r="P9" s="2"/>
      <c r="Q9" s="2"/>
      <c r="R9" s="2"/>
      <c r="S9" s="2"/>
      <c r="T9" s="2"/>
      <c r="U9" s="2"/>
      <c r="V9" s="29"/>
      <c r="W9" s="210"/>
      <c r="X9" s="305"/>
      <c r="Y9" s="304"/>
      <c r="Z9" s="304"/>
      <c r="AA9" s="29" t="str">
        <f>IF(E9="NO-OOS","N/A",IF(X9="Driver's License",IF(Y9&gt;$Y$2,"SOS",IF(Z9&gt;=$Y$3,"Valid",IF(AND(Z9&lt;$Y$3,$Y$4&gt;$Y$3,Z9&gt;43831),"Covid","Expired"))),IF(X9="I9",IF(Z9&gt;=$Y$3,"Valid",IF(AND(Z9&lt;$Y$3,$Y$4&gt;$Y$3,Z9&gt;43831),"Covid","Expired")),IF(X9="Work Permit",IF(AND(Z9&lt;=$Y$2,(Z9+365)&gt;=$Y$3),"Valid","Expired"),IF(X9="Missing Residency","Missing",IF(X9="","","Other"))))))</f>
        <v/>
      </c>
      <c r="AB9" s="35"/>
      <c r="AC9" s="86"/>
      <c r="AD9" s="86"/>
      <c r="AF9" s="29">
        <f t="shared" ref="AF9:AF17" si="0">F9</f>
        <v>0</v>
      </c>
      <c r="AG9" s="29">
        <f t="shared" ref="AG9:AG17" si="1">G9</f>
        <v>0</v>
      </c>
      <c r="AH9" s="29">
        <f t="shared" ref="AH9:AH17" si="2">H9</f>
        <v>0</v>
      </c>
      <c r="AI9" s="29">
        <f t="shared" ref="AI9:AI17" si="3">I9</f>
        <v>0</v>
      </c>
      <c r="AJ9" s="11">
        <f t="shared" ref="AJ9:AJ17" si="4">J9</f>
        <v>0</v>
      </c>
      <c r="AK9" s="11">
        <f t="shared" ref="AK9:AK17" si="5">K9</f>
        <v>0</v>
      </c>
      <c r="AL9" s="11">
        <f t="shared" ref="AL9:AL17" si="6">M9</f>
        <v>0</v>
      </c>
      <c r="AM9" s="161"/>
      <c r="AN9" s="1">
        <f t="shared" ref="AN9:AN18" si="7">N9</f>
        <v>0</v>
      </c>
      <c r="AO9" s="1">
        <v>0</v>
      </c>
      <c r="AP9" s="1">
        <v>0</v>
      </c>
      <c r="AQ9" s="1">
        <f>AN9</f>
        <v>0</v>
      </c>
      <c r="AR9" s="281"/>
      <c r="AS9" s="281"/>
    </row>
    <row r="10" spans="2:45" ht="15.6" x14ac:dyDescent="0.3">
      <c r="B10" s="2"/>
      <c r="C10" s="544"/>
      <c r="D10" s="302"/>
      <c r="E10" s="16"/>
      <c r="F10" s="35"/>
      <c r="G10" s="35"/>
      <c r="H10" s="29"/>
      <c r="I10" s="35"/>
      <c r="J10" s="29"/>
      <c r="K10" s="29"/>
      <c r="L10" s="29"/>
      <c r="M10" s="11"/>
      <c r="N10" s="267">
        <v>0</v>
      </c>
      <c r="O10" s="546"/>
      <c r="P10" s="2"/>
      <c r="Q10" s="2"/>
      <c r="R10" s="2"/>
      <c r="S10" s="2"/>
      <c r="T10" s="2"/>
      <c r="U10" s="2"/>
      <c r="V10" s="29"/>
      <c r="W10" s="210"/>
      <c r="X10" s="29"/>
      <c r="Y10" s="120"/>
      <c r="Z10" s="120"/>
      <c r="AA10" s="29" t="str">
        <f t="shared" ref="AA10:AA34" si="8">IF(E10="NO-OOS","N/A",IF(X10="Driver's License",IF(Y10&gt;$Y$2,"SOS",IF(Z10&gt;=$Y$3,"Valid",IF(AND(Z10&lt;$Y$3,$Y$4&gt;$Y$3,Z10&gt;43831),"Covid","Expired"))),IF(X10="I9",IF(Z10&gt;=$Y$3,"Valid",IF(AND(Z10&lt;$Y$3,$Y$4&gt;$Y$3,Z10&gt;43831),"Covid","Expired")),IF(X10="Work Permit",IF(AND(Z10&lt;=$Y$2,(Z10+365)&gt;=$Y$3),"Valid","Expired"),IF(X10="Missing Residency","Missing",IF(X10="","","Other"))))))</f>
        <v/>
      </c>
      <c r="AB10" s="35"/>
      <c r="AC10" s="86"/>
      <c r="AD10" s="86"/>
      <c r="AF10" s="29">
        <f t="shared" si="0"/>
        <v>0</v>
      </c>
      <c r="AG10" s="29">
        <f t="shared" si="1"/>
        <v>0</v>
      </c>
      <c r="AH10" s="29">
        <f t="shared" si="2"/>
        <v>0</v>
      </c>
      <c r="AI10" s="29">
        <f t="shared" si="3"/>
        <v>0</v>
      </c>
      <c r="AJ10" s="11">
        <f t="shared" si="4"/>
        <v>0</v>
      </c>
      <c r="AK10" s="11">
        <f t="shared" si="5"/>
        <v>0</v>
      </c>
      <c r="AL10" s="11">
        <f t="shared" si="6"/>
        <v>0</v>
      </c>
      <c r="AM10" s="161"/>
      <c r="AN10" s="1">
        <f t="shared" si="7"/>
        <v>0</v>
      </c>
      <c r="AO10" s="1">
        <v>0</v>
      </c>
      <c r="AP10" s="1">
        <v>0</v>
      </c>
      <c r="AQ10" s="1">
        <f>AN10</f>
        <v>0</v>
      </c>
      <c r="AR10" s="281"/>
      <c r="AS10" s="281"/>
    </row>
    <row r="11" spans="2:45" ht="15.6" x14ac:dyDescent="0.3">
      <c r="B11" s="2"/>
      <c r="C11" s="544"/>
      <c r="D11" s="302"/>
      <c r="E11" s="16"/>
      <c r="F11" s="35"/>
      <c r="G11" s="35"/>
      <c r="H11" s="29"/>
      <c r="I11" s="35"/>
      <c r="J11" s="29"/>
      <c r="K11" s="29"/>
      <c r="L11" s="29"/>
      <c r="M11" s="11"/>
      <c r="N11" s="267">
        <v>0</v>
      </c>
      <c r="O11" s="546"/>
      <c r="P11" s="2"/>
      <c r="Q11" s="2"/>
      <c r="R11" s="2"/>
      <c r="S11" s="2"/>
      <c r="T11" s="2"/>
      <c r="U11" s="2"/>
      <c r="V11" s="29"/>
      <c r="W11" s="210"/>
      <c r="X11" s="29"/>
      <c r="Y11" s="120"/>
      <c r="Z11" s="120"/>
      <c r="AA11" s="29" t="str">
        <f t="shared" si="8"/>
        <v/>
      </c>
      <c r="AB11" s="35"/>
      <c r="AC11" s="86"/>
      <c r="AD11" s="86"/>
      <c r="AF11" s="29">
        <f t="shared" si="0"/>
        <v>0</v>
      </c>
      <c r="AG11" s="29">
        <f t="shared" si="1"/>
        <v>0</v>
      </c>
      <c r="AH11" s="29">
        <f t="shared" si="2"/>
        <v>0</v>
      </c>
      <c r="AI11" s="29">
        <f t="shared" si="3"/>
        <v>0</v>
      </c>
      <c r="AJ11" s="11">
        <f t="shared" si="4"/>
        <v>0</v>
      </c>
      <c r="AK11" s="11">
        <f t="shared" si="5"/>
        <v>0</v>
      </c>
      <c r="AL11" s="11">
        <f t="shared" si="6"/>
        <v>0</v>
      </c>
      <c r="AM11" s="161"/>
      <c r="AN11" s="1">
        <f t="shared" si="7"/>
        <v>0</v>
      </c>
      <c r="AO11" s="1">
        <v>0</v>
      </c>
      <c r="AP11" s="1">
        <v>0</v>
      </c>
      <c r="AQ11" s="1">
        <f t="shared" ref="AQ11:AQ14" si="9">AN11</f>
        <v>0</v>
      </c>
      <c r="AR11" s="281"/>
      <c r="AS11" s="281"/>
    </row>
    <row r="12" spans="2:45" ht="15.6" x14ac:dyDescent="0.3">
      <c r="B12" s="2"/>
      <c r="C12" s="544"/>
      <c r="D12" s="302"/>
      <c r="E12" s="16"/>
      <c r="F12" s="35"/>
      <c r="G12" s="35"/>
      <c r="H12" s="29"/>
      <c r="I12" s="35"/>
      <c r="J12" s="29"/>
      <c r="K12" s="29"/>
      <c r="L12" s="29"/>
      <c r="M12" s="11"/>
      <c r="N12" s="267">
        <v>0</v>
      </c>
      <c r="O12" s="546"/>
      <c r="P12" s="2"/>
      <c r="Q12" s="2"/>
      <c r="R12" s="2"/>
      <c r="S12" s="2"/>
      <c r="T12" s="2"/>
      <c r="U12" s="2"/>
      <c r="V12" s="29"/>
      <c r="W12" s="210"/>
      <c r="X12" s="29"/>
      <c r="Y12" s="120"/>
      <c r="Z12" s="120"/>
      <c r="AA12" s="29" t="str">
        <f t="shared" si="8"/>
        <v/>
      </c>
      <c r="AB12" s="35"/>
      <c r="AC12" s="86"/>
      <c r="AD12" s="86"/>
      <c r="AF12" s="29">
        <f t="shared" si="0"/>
        <v>0</v>
      </c>
      <c r="AG12" s="29">
        <f t="shared" si="1"/>
        <v>0</v>
      </c>
      <c r="AH12" s="29">
        <f t="shared" si="2"/>
        <v>0</v>
      </c>
      <c r="AI12" s="29">
        <f t="shared" si="3"/>
        <v>0</v>
      </c>
      <c r="AJ12" s="11">
        <f t="shared" si="4"/>
        <v>0</v>
      </c>
      <c r="AK12" s="11">
        <f t="shared" si="5"/>
        <v>0</v>
      </c>
      <c r="AL12" s="11">
        <f t="shared" si="6"/>
        <v>0</v>
      </c>
      <c r="AM12" s="161"/>
      <c r="AN12" s="1">
        <f t="shared" si="7"/>
        <v>0</v>
      </c>
      <c r="AO12" s="1">
        <v>0</v>
      </c>
      <c r="AP12" s="1">
        <v>0</v>
      </c>
      <c r="AQ12" s="1">
        <f t="shared" si="9"/>
        <v>0</v>
      </c>
      <c r="AR12" s="281"/>
      <c r="AS12" s="281"/>
    </row>
    <row r="13" spans="2:45" ht="15.6" x14ac:dyDescent="0.3">
      <c r="B13" s="2"/>
      <c r="C13" s="544"/>
      <c r="D13" s="302"/>
      <c r="E13" s="16"/>
      <c r="F13" s="35"/>
      <c r="G13" s="35"/>
      <c r="H13" s="29"/>
      <c r="I13" s="35"/>
      <c r="J13" s="29"/>
      <c r="K13" s="29"/>
      <c r="L13" s="29"/>
      <c r="M13" s="11"/>
      <c r="N13" s="267">
        <v>0</v>
      </c>
      <c r="O13" s="546"/>
      <c r="P13" s="2"/>
      <c r="Q13" s="2"/>
      <c r="R13" s="2"/>
      <c r="S13" s="2"/>
      <c r="T13" s="2"/>
      <c r="U13" s="2"/>
      <c r="V13" s="29"/>
      <c r="W13" s="210"/>
      <c r="X13" s="29"/>
      <c r="Y13" s="120"/>
      <c r="Z13" s="120"/>
      <c r="AA13" s="29" t="str">
        <f t="shared" si="8"/>
        <v/>
      </c>
      <c r="AB13" s="35"/>
      <c r="AC13" s="86"/>
      <c r="AD13" s="86"/>
      <c r="AF13" s="29">
        <f t="shared" si="0"/>
        <v>0</v>
      </c>
      <c r="AG13" s="29">
        <f t="shared" si="1"/>
        <v>0</v>
      </c>
      <c r="AH13" s="29">
        <f t="shared" si="2"/>
        <v>0</v>
      </c>
      <c r="AI13" s="29">
        <f t="shared" si="3"/>
        <v>0</v>
      </c>
      <c r="AJ13" s="11">
        <f t="shared" si="4"/>
        <v>0</v>
      </c>
      <c r="AK13" s="11">
        <f t="shared" si="5"/>
        <v>0</v>
      </c>
      <c r="AL13" s="11">
        <f t="shared" si="6"/>
        <v>0</v>
      </c>
      <c r="AM13" s="161"/>
      <c r="AN13" s="1">
        <f t="shared" si="7"/>
        <v>0</v>
      </c>
      <c r="AO13" s="1">
        <v>0</v>
      </c>
      <c r="AP13" s="1">
        <v>0</v>
      </c>
      <c r="AQ13" s="1">
        <f t="shared" si="9"/>
        <v>0</v>
      </c>
    </row>
    <row r="14" spans="2:45" ht="15.6" x14ac:dyDescent="0.3">
      <c r="B14" s="2"/>
      <c r="C14" s="544"/>
      <c r="D14" s="302"/>
      <c r="E14" s="16"/>
      <c r="F14" s="35"/>
      <c r="G14" s="35"/>
      <c r="H14" s="29"/>
      <c r="I14" s="35"/>
      <c r="J14" s="29"/>
      <c r="K14" s="29"/>
      <c r="L14" s="29"/>
      <c r="M14" s="11"/>
      <c r="N14" s="267">
        <v>0</v>
      </c>
      <c r="O14" s="546"/>
      <c r="P14" s="2"/>
      <c r="Q14" s="2"/>
      <c r="R14" s="2"/>
      <c r="S14" s="2"/>
      <c r="T14" s="2"/>
      <c r="U14" s="2"/>
      <c r="V14" s="29"/>
      <c r="W14" s="210"/>
      <c r="X14" s="29"/>
      <c r="Y14" s="120"/>
      <c r="Z14" s="120"/>
      <c r="AA14" s="29" t="str">
        <f t="shared" si="8"/>
        <v/>
      </c>
      <c r="AB14" s="35"/>
      <c r="AC14" s="86"/>
      <c r="AD14" s="86"/>
      <c r="AF14" s="29">
        <f t="shared" si="0"/>
        <v>0</v>
      </c>
      <c r="AG14" s="29">
        <f t="shared" si="1"/>
        <v>0</v>
      </c>
      <c r="AH14" s="29">
        <f t="shared" si="2"/>
        <v>0</v>
      </c>
      <c r="AI14" s="29">
        <f t="shared" si="3"/>
        <v>0</v>
      </c>
      <c r="AJ14" s="11">
        <f t="shared" si="4"/>
        <v>0</v>
      </c>
      <c r="AK14" s="11">
        <f t="shared" si="5"/>
        <v>0</v>
      </c>
      <c r="AL14" s="11">
        <f t="shared" si="6"/>
        <v>0</v>
      </c>
      <c r="AM14" s="161"/>
      <c r="AN14" s="1">
        <f t="shared" si="7"/>
        <v>0</v>
      </c>
      <c r="AO14" s="1">
        <v>0</v>
      </c>
      <c r="AP14" s="1">
        <v>0</v>
      </c>
      <c r="AQ14" s="1">
        <f t="shared" si="9"/>
        <v>0</v>
      </c>
    </row>
    <row r="15" spans="2:45" ht="15.6" x14ac:dyDescent="0.3">
      <c r="B15" s="2"/>
      <c r="C15" s="544"/>
      <c r="D15" s="302"/>
      <c r="E15" s="16"/>
      <c r="F15" s="35"/>
      <c r="G15" s="35"/>
      <c r="H15" s="29"/>
      <c r="I15" s="35"/>
      <c r="J15" s="29"/>
      <c r="K15" s="29"/>
      <c r="L15" s="29"/>
      <c r="M15" s="11"/>
      <c r="N15" s="267">
        <v>0</v>
      </c>
      <c r="O15" s="546"/>
      <c r="P15" s="2"/>
      <c r="Q15" s="2"/>
      <c r="R15" s="2"/>
      <c r="S15" s="2"/>
      <c r="T15" s="2"/>
      <c r="U15" s="2"/>
      <c r="V15" s="29"/>
      <c r="W15" s="210"/>
      <c r="X15" s="29"/>
      <c r="Y15" s="120"/>
      <c r="Z15" s="120"/>
      <c r="AA15" s="29" t="str">
        <f t="shared" si="8"/>
        <v/>
      </c>
      <c r="AB15" s="35"/>
      <c r="AC15" s="86"/>
      <c r="AD15" s="86"/>
      <c r="AF15" s="29">
        <f t="shared" si="0"/>
        <v>0</v>
      </c>
      <c r="AG15" s="29">
        <f t="shared" si="1"/>
        <v>0</v>
      </c>
      <c r="AH15" s="29">
        <f t="shared" si="2"/>
        <v>0</v>
      </c>
      <c r="AI15" s="29">
        <f t="shared" si="3"/>
        <v>0</v>
      </c>
      <c r="AJ15" s="11">
        <f t="shared" si="4"/>
        <v>0</v>
      </c>
      <c r="AK15" s="11">
        <f t="shared" si="5"/>
        <v>0</v>
      </c>
      <c r="AL15" s="11">
        <f t="shared" si="6"/>
        <v>0</v>
      </c>
      <c r="AM15" s="161"/>
      <c r="AN15" s="1">
        <f t="shared" si="7"/>
        <v>0</v>
      </c>
      <c r="AO15" s="1">
        <v>0</v>
      </c>
      <c r="AP15" s="1">
        <v>0</v>
      </c>
      <c r="AQ15" s="1">
        <f t="shared" ref="AQ15:AQ18" si="10">AN15</f>
        <v>0</v>
      </c>
    </row>
    <row r="16" spans="2:45" ht="15.6" x14ac:dyDescent="0.3">
      <c r="B16" s="2"/>
      <c r="C16" s="544"/>
      <c r="D16" s="302"/>
      <c r="E16" s="16"/>
      <c r="F16" s="35"/>
      <c r="G16" s="35"/>
      <c r="H16" s="29"/>
      <c r="I16" s="35"/>
      <c r="J16" s="29"/>
      <c r="K16" s="29"/>
      <c r="L16" s="29"/>
      <c r="M16" s="11"/>
      <c r="N16" s="267">
        <v>0</v>
      </c>
      <c r="O16" s="546"/>
      <c r="P16" s="2"/>
      <c r="Q16" s="2"/>
      <c r="R16" s="2"/>
      <c r="S16" s="2"/>
      <c r="T16" s="2"/>
      <c r="U16" s="2"/>
      <c r="V16" s="29"/>
      <c r="W16" s="210"/>
      <c r="X16" s="29"/>
      <c r="Y16" s="120"/>
      <c r="Z16" s="120"/>
      <c r="AA16" s="29" t="str">
        <f t="shared" si="8"/>
        <v/>
      </c>
      <c r="AB16" s="35"/>
      <c r="AC16" s="86"/>
      <c r="AD16" s="86"/>
      <c r="AF16" s="29">
        <f t="shared" si="0"/>
        <v>0</v>
      </c>
      <c r="AG16" s="29">
        <f t="shared" si="1"/>
        <v>0</v>
      </c>
      <c r="AH16" s="29">
        <f t="shared" si="2"/>
        <v>0</v>
      </c>
      <c r="AI16" s="29">
        <f t="shared" si="3"/>
        <v>0</v>
      </c>
      <c r="AJ16" s="11">
        <f t="shared" si="4"/>
        <v>0</v>
      </c>
      <c r="AK16" s="11">
        <f t="shared" si="5"/>
        <v>0</v>
      </c>
      <c r="AL16" s="11">
        <f t="shared" si="6"/>
        <v>0</v>
      </c>
      <c r="AM16" s="161"/>
      <c r="AN16" s="1">
        <f t="shared" si="7"/>
        <v>0</v>
      </c>
      <c r="AO16" s="1">
        <v>0</v>
      </c>
      <c r="AP16" s="1">
        <v>0</v>
      </c>
      <c r="AQ16" s="1">
        <f t="shared" si="10"/>
        <v>0</v>
      </c>
    </row>
    <row r="17" spans="2:43" ht="15.6" x14ac:dyDescent="0.3">
      <c r="B17" s="2"/>
      <c r="C17" s="544"/>
      <c r="D17" s="302"/>
      <c r="E17" s="16"/>
      <c r="F17" s="35"/>
      <c r="G17" s="35"/>
      <c r="H17" s="29"/>
      <c r="I17" s="35"/>
      <c r="J17" s="29"/>
      <c r="K17" s="29"/>
      <c r="L17" s="29"/>
      <c r="M17" s="11"/>
      <c r="N17" s="267">
        <v>0</v>
      </c>
      <c r="O17" s="546"/>
      <c r="P17" s="2"/>
      <c r="Q17" s="2"/>
      <c r="R17" s="2"/>
      <c r="S17" s="2"/>
      <c r="T17" s="2"/>
      <c r="U17" s="2"/>
      <c r="V17" s="29"/>
      <c r="W17" s="210"/>
      <c r="X17" s="29"/>
      <c r="Y17" s="120"/>
      <c r="Z17" s="120"/>
      <c r="AA17" s="29" t="str">
        <f t="shared" si="8"/>
        <v/>
      </c>
      <c r="AB17" s="35"/>
      <c r="AC17" s="86"/>
      <c r="AD17" s="86"/>
      <c r="AF17" s="29">
        <f t="shared" si="0"/>
        <v>0</v>
      </c>
      <c r="AG17" s="29">
        <f t="shared" si="1"/>
        <v>0</v>
      </c>
      <c r="AH17" s="29">
        <f t="shared" si="2"/>
        <v>0</v>
      </c>
      <c r="AI17" s="29">
        <f t="shared" si="3"/>
        <v>0</v>
      </c>
      <c r="AJ17" s="11">
        <f t="shared" si="4"/>
        <v>0</v>
      </c>
      <c r="AK17" s="11">
        <f t="shared" si="5"/>
        <v>0</v>
      </c>
      <c r="AL17" s="11">
        <f t="shared" si="6"/>
        <v>0</v>
      </c>
      <c r="AM17" s="161"/>
      <c r="AN17" s="1">
        <f t="shared" si="7"/>
        <v>0</v>
      </c>
      <c r="AO17" s="1">
        <v>0</v>
      </c>
      <c r="AP17" s="1">
        <v>0</v>
      </c>
      <c r="AQ17" s="1">
        <f t="shared" si="10"/>
        <v>0</v>
      </c>
    </row>
    <row r="18" spans="2:43" ht="15.6" x14ac:dyDescent="0.3">
      <c r="B18" s="2"/>
      <c r="C18" s="544"/>
      <c r="D18" s="302"/>
      <c r="E18" s="16"/>
      <c r="F18" s="35"/>
      <c r="G18" s="29"/>
      <c r="H18" s="29"/>
      <c r="I18" s="35"/>
      <c r="J18" s="29"/>
      <c r="K18" s="29"/>
      <c r="L18" s="29"/>
      <c r="M18" s="68"/>
      <c r="N18" s="267">
        <v>0</v>
      </c>
      <c r="O18" s="546"/>
      <c r="P18" s="2"/>
      <c r="Q18" s="2"/>
      <c r="R18" s="2"/>
      <c r="S18" s="2"/>
      <c r="T18" s="2"/>
      <c r="U18" s="2"/>
      <c r="V18" s="29"/>
      <c r="W18" s="210"/>
      <c r="X18" s="29"/>
      <c r="Y18" s="120"/>
      <c r="Z18" s="120"/>
      <c r="AA18" s="29" t="str">
        <f>IF(E18="NO-OOS","N/A",IF(X18="Driver's License",IF(Y18&gt;$Y$2,"SOS",IF(Z18&gt;=$Y$3,"Valid",IF(AND(Z18&lt;$Y$3,$Y$4&gt;$Y$3,Z18&gt;43831),"Covid","Expired"))),IF(X18="I9",IF(Z18&gt;=$Y$3,"Valid",IF(AND(Z18&lt;$Y$3,$Y$4&gt;$Y$3,Z18&gt;43831),"Covid","Expired")),IF(X18="Work Permit",IF(AND(Z18&lt;=$Y$2,(Z18+365)&gt;=$Y$3),"Valid","Expired"),IF(X18="Missing Residency","Missing",IF(X18="","","Other"))))))</f>
        <v/>
      </c>
      <c r="AB18" s="35"/>
      <c r="AC18" s="86"/>
      <c r="AD18" s="86"/>
      <c r="AF18" s="29"/>
      <c r="AG18" s="2"/>
      <c r="AH18" s="2"/>
      <c r="AI18" s="2"/>
      <c r="AJ18" s="2"/>
      <c r="AK18" s="2"/>
      <c r="AL18" s="2"/>
      <c r="AM18" s="2"/>
      <c r="AN18" s="2">
        <f t="shared" si="7"/>
        <v>0</v>
      </c>
      <c r="AO18" s="2"/>
      <c r="AP18" s="2"/>
      <c r="AQ18" s="2">
        <f t="shared" si="10"/>
        <v>0</v>
      </c>
    </row>
    <row r="19" spans="2:43" ht="15.6" x14ac:dyDescent="0.3">
      <c r="B19" s="227" t="s">
        <v>441</v>
      </c>
      <c r="C19" s="545"/>
      <c r="D19" s="332"/>
      <c r="E19" s="90"/>
      <c r="F19" s="220"/>
      <c r="G19" s="89"/>
      <c r="H19" s="89"/>
      <c r="I19" s="88"/>
      <c r="J19" s="89"/>
      <c r="K19" s="89"/>
      <c r="L19" s="89"/>
      <c r="M19" s="87"/>
      <c r="N19" s="297"/>
      <c r="O19" s="547"/>
      <c r="P19" s="226"/>
      <c r="Q19" s="226"/>
      <c r="R19" s="226"/>
      <c r="S19" s="226"/>
      <c r="T19" s="226"/>
      <c r="U19" s="226"/>
      <c r="V19" s="89"/>
      <c r="W19" s="210"/>
      <c r="X19" s="168"/>
      <c r="Y19" s="168"/>
      <c r="Z19" s="168"/>
      <c r="AA19" s="89" t="str">
        <f t="shared" si="8"/>
        <v/>
      </c>
      <c r="AB19" s="168"/>
      <c r="AC19" s="168"/>
      <c r="AD19" s="168"/>
      <c r="AF19" s="29"/>
      <c r="AG19" s="2"/>
      <c r="AH19" s="2"/>
      <c r="AI19" s="2"/>
      <c r="AJ19" s="2"/>
      <c r="AK19" s="2"/>
      <c r="AL19" s="2"/>
      <c r="AM19" s="2"/>
      <c r="AN19" s="2"/>
      <c r="AO19" s="2"/>
      <c r="AP19" s="2"/>
      <c r="AQ19" s="2"/>
    </row>
    <row r="20" spans="2:43" ht="15.6" x14ac:dyDescent="0.3">
      <c r="B20" s="568"/>
      <c r="C20" s="564"/>
      <c r="D20" s="565"/>
      <c r="E20" s="566"/>
      <c r="F20" s="567"/>
      <c r="G20" s="567"/>
      <c r="H20" s="568"/>
      <c r="I20" s="567"/>
      <c r="J20" s="568"/>
      <c r="K20" s="568"/>
      <c r="L20" s="568"/>
      <c r="M20" s="569"/>
      <c r="N20" s="570"/>
      <c r="O20" s="571">
        <v>0</v>
      </c>
      <c r="P20" s="563"/>
      <c r="Q20" s="563"/>
      <c r="R20" s="563"/>
      <c r="S20" s="563"/>
      <c r="T20" s="563"/>
      <c r="U20" s="563"/>
      <c r="V20" s="568"/>
      <c r="W20" s="210"/>
      <c r="X20" s="29"/>
      <c r="Y20" s="120"/>
      <c r="Z20" s="120"/>
      <c r="AA20" s="29" t="str">
        <f t="shared" si="8"/>
        <v/>
      </c>
      <c r="AB20" s="35"/>
      <c r="AC20" s="86"/>
      <c r="AD20" s="86"/>
      <c r="AF20" s="29">
        <f t="shared" ref="AF20:AF26" si="11">F20</f>
        <v>0</v>
      </c>
      <c r="AG20" s="2">
        <f t="shared" ref="AG20:AG26" si="12">G20</f>
        <v>0</v>
      </c>
      <c r="AH20" s="2">
        <f t="shared" ref="AH20:AH26" si="13">H20</f>
        <v>0</v>
      </c>
      <c r="AI20" s="2">
        <f t="shared" ref="AI20:AI26" si="14">I20</f>
        <v>0</v>
      </c>
      <c r="AJ20" s="2">
        <f t="shared" ref="AJ20:AJ26" si="15">J20</f>
        <v>0</v>
      </c>
      <c r="AK20" s="2">
        <f t="shared" ref="AK20:AK26" si="16">K20</f>
        <v>0</v>
      </c>
      <c r="AL20" s="2">
        <f t="shared" ref="AL20:AL26" si="17">M20</f>
        <v>0</v>
      </c>
      <c r="AM20" s="2"/>
      <c r="AN20" s="2">
        <f t="shared" ref="AN20:AN26" si="18">N20</f>
        <v>0</v>
      </c>
      <c r="AO20" s="2">
        <v>0</v>
      </c>
      <c r="AP20" s="2">
        <v>0</v>
      </c>
      <c r="AQ20" s="2">
        <f t="shared" ref="AQ20:AQ26" si="19">AN20</f>
        <v>0</v>
      </c>
    </row>
    <row r="21" spans="2:43" ht="15.6" x14ac:dyDescent="0.3">
      <c r="B21" s="568"/>
      <c r="C21" s="564"/>
      <c r="D21" s="565"/>
      <c r="E21" s="566"/>
      <c r="F21" s="567"/>
      <c r="G21" s="567"/>
      <c r="H21" s="568"/>
      <c r="I21" s="567"/>
      <c r="J21" s="568"/>
      <c r="K21" s="568"/>
      <c r="L21" s="568"/>
      <c r="M21" s="569"/>
      <c r="N21" s="570"/>
      <c r="O21" s="571">
        <v>0</v>
      </c>
      <c r="P21" s="563"/>
      <c r="Q21" s="563"/>
      <c r="R21" s="563"/>
      <c r="S21" s="563"/>
      <c r="T21" s="563"/>
      <c r="U21" s="563"/>
      <c r="V21" s="568"/>
      <c r="W21" s="210"/>
      <c r="X21" s="29"/>
      <c r="Y21" s="120"/>
      <c r="Z21" s="120"/>
      <c r="AA21" s="29" t="str">
        <f t="shared" si="8"/>
        <v/>
      </c>
      <c r="AB21" s="35"/>
      <c r="AC21" s="86"/>
      <c r="AD21" s="86"/>
      <c r="AF21" s="29">
        <f t="shared" si="11"/>
        <v>0</v>
      </c>
      <c r="AG21" s="2">
        <f t="shared" si="12"/>
        <v>0</v>
      </c>
      <c r="AH21" s="2">
        <f t="shared" si="13"/>
        <v>0</v>
      </c>
      <c r="AI21" s="2">
        <f t="shared" si="14"/>
        <v>0</v>
      </c>
      <c r="AJ21" s="2">
        <f t="shared" si="15"/>
        <v>0</v>
      </c>
      <c r="AK21" s="2">
        <f t="shared" si="16"/>
        <v>0</v>
      </c>
      <c r="AL21" s="2">
        <f t="shared" si="17"/>
        <v>0</v>
      </c>
      <c r="AM21" s="2"/>
      <c r="AN21" s="2">
        <f t="shared" si="18"/>
        <v>0</v>
      </c>
      <c r="AO21" s="2">
        <v>0</v>
      </c>
      <c r="AP21" s="2">
        <v>0</v>
      </c>
      <c r="AQ21" s="2">
        <f t="shared" si="19"/>
        <v>0</v>
      </c>
    </row>
    <row r="22" spans="2:43" ht="15.6" x14ac:dyDescent="0.3">
      <c r="B22" s="568"/>
      <c r="C22" s="564"/>
      <c r="D22" s="565"/>
      <c r="E22" s="566"/>
      <c r="F22" s="567"/>
      <c r="G22" s="567"/>
      <c r="H22" s="568"/>
      <c r="I22" s="567"/>
      <c r="J22" s="568"/>
      <c r="K22" s="568"/>
      <c r="L22" s="568"/>
      <c r="M22" s="569"/>
      <c r="N22" s="570"/>
      <c r="O22" s="571">
        <v>0</v>
      </c>
      <c r="P22" s="563"/>
      <c r="Q22" s="563"/>
      <c r="R22" s="563"/>
      <c r="S22" s="563"/>
      <c r="T22" s="563"/>
      <c r="U22" s="563"/>
      <c r="V22" s="568"/>
      <c r="W22" s="210"/>
      <c r="X22" s="29"/>
      <c r="Y22" s="120"/>
      <c r="Z22" s="120"/>
      <c r="AA22" s="29" t="str">
        <f t="shared" si="8"/>
        <v/>
      </c>
      <c r="AB22" s="35"/>
      <c r="AC22" s="86"/>
      <c r="AD22" s="86"/>
      <c r="AF22" s="29">
        <f t="shared" si="11"/>
        <v>0</v>
      </c>
      <c r="AG22" s="2">
        <f t="shared" si="12"/>
        <v>0</v>
      </c>
      <c r="AH22" s="2">
        <f t="shared" si="13"/>
        <v>0</v>
      </c>
      <c r="AI22" s="2">
        <f t="shared" si="14"/>
        <v>0</v>
      </c>
      <c r="AJ22" s="2">
        <f t="shared" si="15"/>
        <v>0</v>
      </c>
      <c r="AK22" s="2">
        <f t="shared" si="16"/>
        <v>0</v>
      </c>
      <c r="AL22" s="2">
        <f t="shared" si="17"/>
        <v>0</v>
      </c>
      <c r="AM22" s="2"/>
      <c r="AN22" s="2">
        <f t="shared" si="18"/>
        <v>0</v>
      </c>
      <c r="AO22" s="2">
        <v>0</v>
      </c>
      <c r="AP22" s="2">
        <v>0</v>
      </c>
      <c r="AQ22" s="2">
        <f t="shared" si="19"/>
        <v>0</v>
      </c>
    </row>
    <row r="23" spans="2:43" ht="15.6" x14ac:dyDescent="0.3">
      <c r="B23" s="568"/>
      <c r="C23" s="564"/>
      <c r="D23" s="565"/>
      <c r="E23" s="566"/>
      <c r="F23" s="567"/>
      <c r="G23" s="567"/>
      <c r="H23" s="568"/>
      <c r="I23" s="567"/>
      <c r="J23" s="568"/>
      <c r="K23" s="568"/>
      <c r="L23" s="568"/>
      <c r="M23" s="569"/>
      <c r="N23" s="570"/>
      <c r="O23" s="571">
        <v>0</v>
      </c>
      <c r="P23" s="563"/>
      <c r="Q23" s="563"/>
      <c r="R23" s="563"/>
      <c r="S23" s="563"/>
      <c r="T23" s="563"/>
      <c r="U23" s="563"/>
      <c r="V23" s="568"/>
      <c r="W23" s="210"/>
      <c r="X23" s="29"/>
      <c r="Y23" s="120"/>
      <c r="Z23" s="120"/>
      <c r="AA23" s="29" t="str">
        <f t="shared" si="8"/>
        <v/>
      </c>
      <c r="AB23" s="35"/>
      <c r="AC23" s="86"/>
      <c r="AD23" s="86"/>
      <c r="AF23" s="29">
        <f t="shared" si="11"/>
        <v>0</v>
      </c>
      <c r="AG23" s="2">
        <f t="shared" si="12"/>
        <v>0</v>
      </c>
      <c r="AH23" s="2">
        <f t="shared" si="13"/>
        <v>0</v>
      </c>
      <c r="AI23" s="2">
        <f t="shared" si="14"/>
        <v>0</v>
      </c>
      <c r="AJ23" s="2">
        <f t="shared" si="15"/>
        <v>0</v>
      </c>
      <c r="AK23" s="2">
        <f t="shared" si="16"/>
        <v>0</v>
      </c>
      <c r="AL23" s="2">
        <f t="shared" si="17"/>
        <v>0</v>
      </c>
      <c r="AM23" s="2"/>
      <c r="AN23" s="2">
        <f t="shared" si="18"/>
        <v>0</v>
      </c>
      <c r="AO23" s="2">
        <v>0</v>
      </c>
      <c r="AP23" s="2">
        <v>0</v>
      </c>
      <c r="AQ23" s="2">
        <f t="shared" si="19"/>
        <v>0</v>
      </c>
    </row>
    <row r="24" spans="2:43" ht="15.6" x14ac:dyDescent="0.3">
      <c r="B24" s="568"/>
      <c r="C24" s="564"/>
      <c r="D24" s="565"/>
      <c r="E24" s="566"/>
      <c r="F24" s="567"/>
      <c r="G24" s="567"/>
      <c r="H24" s="568"/>
      <c r="I24" s="567"/>
      <c r="J24" s="568"/>
      <c r="K24" s="568"/>
      <c r="L24" s="568"/>
      <c r="M24" s="569"/>
      <c r="N24" s="570"/>
      <c r="O24" s="571">
        <v>0</v>
      </c>
      <c r="P24" s="563"/>
      <c r="Q24" s="563"/>
      <c r="R24" s="563"/>
      <c r="S24" s="563"/>
      <c r="T24" s="563"/>
      <c r="U24" s="563"/>
      <c r="V24" s="568"/>
      <c r="W24" s="210"/>
      <c r="X24" s="29"/>
      <c r="Y24" s="120"/>
      <c r="Z24" s="120"/>
      <c r="AA24" s="29" t="str">
        <f t="shared" si="8"/>
        <v/>
      </c>
      <c r="AB24" s="35"/>
      <c r="AC24" s="86"/>
      <c r="AD24" s="86"/>
      <c r="AF24" s="29">
        <f t="shared" si="11"/>
        <v>0</v>
      </c>
      <c r="AG24" s="2">
        <f t="shared" si="12"/>
        <v>0</v>
      </c>
      <c r="AH24" s="2">
        <f t="shared" si="13"/>
        <v>0</v>
      </c>
      <c r="AI24" s="2">
        <f t="shared" si="14"/>
        <v>0</v>
      </c>
      <c r="AJ24" s="2">
        <f t="shared" si="15"/>
        <v>0</v>
      </c>
      <c r="AK24" s="2">
        <f t="shared" si="16"/>
        <v>0</v>
      </c>
      <c r="AL24" s="2">
        <f t="shared" si="17"/>
        <v>0</v>
      </c>
      <c r="AM24" s="2"/>
      <c r="AN24" s="2">
        <f t="shared" si="18"/>
        <v>0</v>
      </c>
      <c r="AO24" s="2">
        <v>0</v>
      </c>
      <c r="AP24" s="2">
        <v>0</v>
      </c>
      <c r="AQ24" s="2">
        <f t="shared" si="19"/>
        <v>0</v>
      </c>
    </row>
    <row r="25" spans="2:43" ht="15.6" x14ac:dyDescent="0.3">
      <c r="B25" s="568"/>
      <c r="C25" s="564"/>
      <c r="D25" s="565"/>
      <c r="E25" s="566"/>
      <c r="F25" s="567"/>
      <c r="G25" s="568"/>
      <c r="H25" s="568"/>
      <c r="I25" s="567"/>
      <c r="J25" s="568"/>
      <c r="K25" s="568"/>
      <c r="L25" s="568"/>
      <c r="M25" s="569"/>
      <c r="N25" s="570"/>
      <c r="O25" s="571">
        <v>0</v>
      </c>
      <c r="P25" s="563"/>
      <c r="Q25" s="563"/>
      <c r="R25" s="563"/>
      <c r="S25" s="563"/>
      <c r="T25" s="563"/>
      <c r="U25" s="563"/>
      <c r="V25" s="568"/>
      <c r="W25" s="210"/>
      <c r="X25" s="29"/>
      <c r="Y25" s="120"/>
      <c r="Z25" s="120"/>
      <c r="AA25" s="29" t="str">
        <f t="shared" si="8"/>
        <v/>
      </c>
      <c r="AB25" s="35"/>
      <c r="AC25" s="86"/>
      <c r="AD25" s="86"/>
      <c r="AF25" s="29">
        <f t="shared" si="11"/>
        <v>0</v>
      </c>
      <c r="AG25" s="2">
        <f t="shared" si="12"/>
        <v>0</v>
      </c>
      <c r="AH25" s="2">
        <f t="shared" si="13"/>
        <v>0</v>
      </c>
      <c r="AI25" s="2">
        <f t="shared" si="14"/>
        <v>0</v>
      </c>
      <c r="AJ25" s="2">
        <f t="shared" si="15"/>
        <v>0</v>
      </c>
      <c r="AK25" s="2">
        <f t="shared" si="16"/>
        <v>0</v>
      </c>
      <c r="AL25" s="2">
        <f t="shared" si="17"/>
        <v>0</v>
      </c>
      <c r="AM25" s="2"/>
      <c r="AN25" s="2">
        <f t="shared" si="18"/>
        <v>0</v>
      </c>
      <c r="AO25" s="2">
        <v>0</v>
      </c>
      <c r="AP25" s="2">
        <v>0</v>
      </c>
      <c r="AQ25" s="2">
        <f t="shared" si="19"/>
        <v>0</v>
      </c>
    </row>
    <row r="26" spans="2:43" ht="15.6" x14ac:dyDescent="0.3">
      <c r="B26" s="568"/>
      <c r="C26" s="564"/>
      <c r="D26" s="572"/>
      <c r="E26" s="573"/>
      <c r="F26" s="574"/>
      <c r="G26" s="575"/>
      <c r="H26" s="575"/>
      <c r="I26" s="576"/>
      <c r="J26" s="568"/>
      <c r="K26" s="568"/>
      <c r="L26" s="568"/>
      <c r="M26" s="569"/>
      <c r="N26" s="570"/>
      <c r="O26" s="571">
        <v>0</v>
      </c>
      <c r="P26" s="563"/>
      <c r="Q26" s="563"/>
      <c r="R26" s="563"/>
      <c r="S26" s="563"/>
      <c r="T26" s="563"/>
      <c r="U26" s="563"/>
      <c r="V26" s="568"/>
      <c r="W26" s="210"/>
      <c r="X26" s="139"/>
      <c r="Y26" s="306"/>
      <c r="Z26" s="306"/>
      <c r="AA26" s="29" t="str">
        <f t="shared" si="8"/>
        <v/>
      </c>
      <c r="AB26" s="137"/>
      <c r="AC26" s="307"/>
      <c r="AD26" s="86"/>
      <c r="AF26" s="29">
        <f t="shared" si="11"/>
        <v>0</v>
      </c>
      <c r="AG26" s="2">
        <f t="shared" si="12"/>
        <v>0</v>
      </c>
      <c r="AH26" s="2">
        <f t="shared" si="13"/>
        <v>0</v>
      </c>
      <c r="AI26" s="2">
        <f t="shared" si="14"/>
        <v>0</v>
      </c>
      <c r="AJ26" s="2">
        <f t="shared" si="15"/>
        <v>0</v>
      </c>
      <c r="AK26" s="2">
        <f t="shared" si="16"/>
        <v>0</v>
      </c>
      <c r="AL26" s="2">
        <f t="shared" si="17"/>
        <v>0</v>
      </c>
      <c r="AM26" s="2"/>
      <c r="AN26" s="2">
        <f t="shared" si="18"/>
        <v>0</v>
      </c>
      <c r="AO26" s="2">
        <v>0</v>
      </c>
      <c r="AP26" s="2">
        <v>0</v>
      </c>
      <c r="AQ26" s="2">
        <f t="shared" si="19"/>
        <v>0</v>
      </c>
    </row>
    <row r="27" spans="2:43" ht="15.6" x14ac:dyDescent="0.3">
      <c r="B27" s="227" t="s">
        <v>442</v>
      </c>
      <c r="C27" s="545"/>
      <c r="D27" s="332"/>
      <c r="E27" s="90"/>
      <c r="F27" s="220"/>
      <c r="G27" s="89"/>
      <c r="H27" s="89"/>
      <c r="I27" s="88"/>
      <c r="J27" s="89"/>
      <c r="K27" s="89"/>
      <c r="L27" s="89"/>
      <c r="M27" s="87"/>
      <c r="N27" s="297"/>
      <c r="O27" s="547"/>
      <c r="P27" s="226"/>
      <c r="Q27" s="226"/>
      <c r="R27" s="226"/>
      <c r="S27" s="226"/>
      <c r="T27" s="226"/>
      <c r="U27" s="226"/>
      <c r="V27" s="89"/>
      <c r="W27" s="210"/>
      <c r="X27" s="168"/>
      <c r="Y27" s="168"/>
      <c r="Z27" s="168"/>
      <c r="AA27" s="89" t="str">
        <f t="shared" si="8"/>
        <v/>
      </c>
      <c r="AB27" s="168"/>
      <c r="AC27" s="168"/>
      <c r="AD27" s="168"/>
      <c r="AF27" s="29"/>
      <c r="AG27" s="2"/>
      <c r="AH27" s="2"/>
      <c r="AI27" s="2"/>
      <c r="AJ27" s="2"/>
      <c r="AK27" s="2"/>
      <c r="AL27" s="2"/>
      <c r="AM27" s="2"/>
      <c r="AN27" s="2"/>
      <c r="AO27" s="2"/>
      <c r="AP27" s="2"/>
      <c r="AQ27" s="2"/>
    </row>
    <row r="28" spans="2:43" ht="15.6" x14ac:dyDescent="0.3">
      <c r="B28" s="2"/>
      <c r="C28" s="544"/>
      <c r="D28" s="302"/>
      <c r="E28" s="16"/>
      <c r="F28" s="35"/>
      <c r="G28" s="35"/>
      <c r="H28" s="29"/>
      <c r="I28" s="35"/>
      <c r="J28" s="29"/>
      <c r="K28" s="29"/>
      <c r="L28" s="29"/>
      <c r="M28" s="11"/>
      <c r="N28" s="267">
        <v>0</v>
      </c>
      <c r="O28" s="546"/>
      <c r="P28" s="2"/>
      <c r="Q28" s="2"/>
      <c r="R28" s="2"/>
      <c r="S28" s="2"/>
      <c r="T28" s="2"/>
      <c r="U28" s="2"/>
      <c r="V28" s="29"/>
      <c r="W28" s="210"/>
      <c r="X28" s="29"/>
      <c r="Y28" s="120"/>
      <c r="Z28" s="120"/>
      <c r="AA28" s="29" t="str">
        <f t="shared" si="8"/>
        <v/>
      </c>
      <c r="AB28" s="35"/>
      <c r="AC28" s="86"/>
      <c r="AD28" s="86"/>
      <c r="AF28" s="29">
        <f t="shared" ref="AF28:AF34" si="20">F28</f>
        <v>0</v>
      </c>
      <c r="AG28" s="2">
        <f t="shared" ref="AG28:AG34" si="21">G28</f>
        <v>0</v>
      </c>
      <c r="AH28" s="2">
        <f t="shared" ref="AH28:AH34" si="22">H28</f>
        <v>0</v>
      </c>
      <c r="AI28" s="2">
        <f t="shared" ref="AI28:AI34" si="23">I28</f>
        <v>0</v>
      </c>
      <c r="AJ28" s="2">
        <f t="shared" ref="AJ28:AJ34" si="24">J28</f>
        <v>0</v>
      </c>
      <c r="AK28" s="2">
        <f t="shared" ref="AK28:AK34" si="25">K28</f>
        <v>0</v>
      </c>
      <c r="AL28" s="2">
        <f t="shared" ref="AL28:AL34" si="26">M28</f>
        <v>0</v>
      </c>
      <c r="AM28" s="2"/>
      <c r="AN28" s="2">
        <f t="shared" ref="AN28:AN34" si="27">N28</f>
        <v>0</v>
      </c>
      <c r="AO28" s="2">
        <v>0</v>
      </c>
      <c r="AP28" s="2">
        <v>0</v>
      </c>
      <c r="AQ28" s="2">
        <f t="shared" ref="AQ28:AQ34" si="28">AN28</f>
        <v>0</v>
      </c>
    </row>
    <row r="29" spans="2:43" ht="15.6" x14ac:dyDescent="0.3">
      <c r="B29" s="2"/>
      <c r="C29" s="544"/>
      <c r="D29" s="302"/>
      <c r="E29" s="16"/>
      <c r="F29" s="35"/>
      <c r="G29" s="35"/>
      <c r="H29" s="29"/>
      <c r="I29" s="35"/>
      <c r="J29" s="29"/>
      <c r="K29" s="29"/>
      <c r="L29" s="29"/>
      <c r="M29" s="11"/>
      <c r="N29" s="267">
        <v>0</v>
      </c>
      <c r="O29" s="546"/>
      <c r="P29" s="2"/>
      <c r="Q29" s="2"/>
      <c r="R29" s="2"/>
      <c r="S29" s="2"/>
      <c r="T29" s="2"/>
      <c r="U29" s="2"/>
      <c r="V29" s="29"/>
      <c r="W29" s="210"/>
      <c r="X29" s="29"/>
      <c r="Y29" s="120"/>
      <c r="Z29" s="120"/>
      <c r="AA29" s="29" t="str">
        <f t="shared" si="8"/>
        <v/>
      </c>
      <c r="AB29" s="35"/>
      <c r="AC29" s="86"/>
      <c r="AD29" s="86"/>
      <c r="AF29" s="29">
        <f t="shared" si="20"/>
        <v>0</v>
      </c>
      <c r="AG29" s="2">
        <f t="shared" si="21"/>
        <v>0</v>
      </c>
      <c r="AH29" s="2">
        <f t="shared" si="22"/>
        <v>0</v>
      </c>
      <c r="AI29" s="2">
        <f t="shared" si="23"/>
        <v>0</v>
      </c>
      <c r="AJ29" s="2">
        <f t="shared" si="24"/>
        <v>0</v>
      </c>
      <c r="AK29" s="2">
        <f t="shared" si="25"/>
        <v>0</v>
      </c>
      <c r="AL29" s="2">
        <f t="shared" si="26"/>
        <v>0</v>
      </c>
      <c r="AM29" s="2"/>
      <c r="AN29" s="2">
        <f t="shared" si="27"/>
        <v>0</v>
      </c>
      <c r="AO29" s="2">
        <v>0</v>
      </c>
      <c r="AP29" s="2">
        <v>0</v>
      </c>
      <c r="AQ29" s="2">
        <f t="shared" si="28"/>
        <v>0</v>
      </c>
    </row>
    <row r="30" spans="2:43" ht="15.6" x14ac:dyDescent="0.3">
      <c r="B30" s="2"/>
      <c r="C30" s="544"/>
      <c r="D30" s="302"/>
      <c r="E30" s="16"/>
      <c r="F30" s="35"/>
      <c r="G30" s="35"/>
      <c r="H30" s="29"/>
      <c r="I30" s="35"/>
      <c r="J30" s="29"/>
      <c r="K30" s="29"/>
      <c r="L30" s="29"/>
      <c r="M30" s="11"/>
      <c r="N30" s="267">
        <v>0</v>
      </c>
      <c r="O30" s="546"/>
      <c r="P30" s="2"/>
      <c r="Q30" s="2"/>
      <c r="R30" s="2"/>
      <c r="S30" s="2"/>
      <c r="T30" s="2"/>
      <c r="U30" s="2"/>
      <c r="V30" s="29"/>
      <c r="W30" s="210"/>
      <c r="X30" s="29"/>
      <c r="Y30" s="120"/>
      <c r="Z30" s="120"/>
      <c r="AA30" s="29" t="str">
        <f t="shared" si="8"/>
        <v/>
      </c>
      <c r="AB30" s="35"/>
      <c r="AC30" s="86"/>
      <c r="AD30" s="86"/>
      <c r="AF30" s="29">
        <f t="shared" si="20"/>
        <v>0</v>
      </c>
      <c r="AG30" s="2">
        <f t="shared" si="21"/>
        <v>0</v>
      </c>
      <c r="AH30" s="2">
        <f t="shared" si="22"/>
        <v>0</v>
      </c>
      <c r="AI30" s="2">
        <f t="shared" si="23"/>
        <v>0</v>
      </c>
      <c r="AJ30" s="2">
        <f t="shared" si="24"/>
        <v>0</v>
      </c>
      <c r="AK30" s="2">
        <f t="shared" si="25"/>
        <v>0</v>
      </c>
      <c r="AL30" s="2">
        <f t="shared" si="26"/>
        <v>0</v>
      </c>
      <c r="AM30" s="2"/>
      <c r="AN30" s="2">
        <f t="shared" si="27"/>
        <v>0</v>
      </c>
      <c r="AO30" s="2">
        <v>0</v>
      </c>
      <c r="AP30" s="2">
        <v>0</v>
      </c>
      <c r="AQ30" s="2">
        <f t="shared" si="28"/>
        <v>0</v>
      </c>
    </row>
    <row r="31" spans="2:43" ht="15.6" x14ac:dyDescent="0.3">
      <c r="B31" s="2"/>
      <c r="C31" s="544"/>
      <c r="D31" s="302"/>
      <c r="E31" s="16"/>
      <c r="F31" s="35"/>
      <c r="G31" s="35"/>
      <c r="H31" s="29"/>
      <c r="I31" s="35"/>
      <c r="J31" s="29"/>
      <c r="K31" s="29"/>
      <c r="L31" s="29"/>
      <c r="M31" s="11"/>
      <c r="N31" s="267">
        <v>0</v>
      </c>
      <c r="O31" s="546"/>
      <c r="P31" s="2"/>
      <c r="Q31" s="2"/>
      <c r="R31" s="2"/>
      <c r="S31" s="2"/>
      <c r="T31" s="2"/>
      <c r="U31" s="2"/>
      <c r="V31" s="29"/>
      <c r="W31" s="210"/>
      <c r="X31" s="29"/>
      <c r="Y31" s="120"/>
      <c r="Z31" s="120"/>
      <c r="AA31" s="29" t="str">
        <f t="shared" si="8"/>
        <v/>
      </c>
      <c r="AB31" s="35"/>
      <c r="AC31" s="86"/>
      <c r="AD31" s="86"/>
      <c r="AF31" s="29">
        <f t="shared" si="20"/>
        <v>0</v>
      </c>
      <c r="AG31" s="2">
        <f t="shared" si="21"/>
        <v>0</v>
      </c>
      <c r="AH31" s="2">
        <f t="shared" si="22"/>
        <v>0</v>
      </c>
      <c r="AI31" s="2">
        <f t="shared" si="23"/>
        <v>0</v>
      </c>
      <c r="AJ31" s="2">
        <f t="shared" si="24"/>
        <v>0</v>
      </c>
      <c r="AK31" s="2">
        <f t="shared" si="25"/>
        <v>0</v>
      </c>
      <c r="AL31" s="2">
        <f t="shared" si="26"/>
        <v>0</v>
      </c>
      <c r="AM31" s="2"/>
      <c r="AN31" s="2">
        <f t="shared" si="27"/>
        <v>0</v>
      </c>
      <c r="AO31" s="2">
        <v>0</v>
      </c>
      <c r="AP31" s="2">
        <v>0</v>
      </c>
      <c r="AQ31" s="2">
        <f t="shared" si="28"/>
        <v>0</v>
      </c>
    </row>
    <row r="32" spans="2:43" x14ac:dyDescent="0.3">
      <c r="B32" s="2"/>
      <c r="C32" s="544"/>
      <c r="D32" s="302"/>
      <c r="E32" s="16"/>
      <c r="F32" s="35"/>
      <c r="G32" s="35"/>
      <c r="H32" s="29"/>
      <c r="I32" s="35"/>
      <c r="J32" s="29"/>
      <c r="K32" s="29"/>
      <c r="L32" s="29"/>
      <c r="M32" s="11"/>
      <c r="N32" s="267">
        <v>0</v>
      </c>
      <c r="O32" s="546"/>
      <c r="P32" s="2"/>
      <c r="Q32" s="2"/>
      <c r="R32" s="2"/>
      <c r="S32" s="2"/>
      <c r="T32" s="2"/>
      <c r="U32" s="2"/>
      <c r="V32" s="29"/>
      <c r="X32" s="29"/>
      <c r="Y32" s="120"/>
      <c r="Z32" s="120"/>
      <c r="AA32" s="29" t="str">
        <f t="shared" si="8"/>
        <v/>
      </c>
      <c r="AB32" s="35"/>
      <c r="AC32" s="86"/>
      <c r="AD32" s="86"/>
      <c r="AF32" s="29">
        <f t="shared" si="20"/>
        <v>0</v>
      </c>
      <c r="AG32" s="2">
        <f t="shared" si="21"/>
        <v>0</v>
      </c>
      <c r="AH32" s="2">
        <f t="shared" si="22"/>
        <v>0</v>
      </c>
      <c r="AI32" s="2">
        <f t="shared" si="23"/>
        <v>0</v>
      </c>
      <c r="AJ32" s="2">
        <f t="shared" si="24"/>
        <v>0</v>
      </c>
      <c r="AK32" s="2">
        <f t="shared" si="25"/>
        <v>0</v>
      </c>
      <c r="AL32" s="2">
        <f t="shared" si="26"/>
        <v>0</v>
      </c>
      <c r="AM32" s="2"/>
      <c r="AN32" s="2">
        <f t="shared" si="27"/>
        <v>0</v>
      </c>
      <c r="AO32" s="2">
        <v>0</v>
      </c>
      <c r="AP32" s="2">
        <v>0</v>
      </c>
      <c r="AQ32" s="2">
        <f t="shared" si="28"/>
        <v>0</v>
      </c>
    </row>
    <row r="33" spans="2:43" x14ac:dyDescent="0.3">
      <c r="B33" s="2"/>
      <c r="C33" s="544"/>
      <c r="D33" s="302"/>
      <c r="E33" s="16"/>
      <c r="F33" s="35"/>
      <c r="G33" s="29"/>
      <c r="H33" s="29"/>
      <c r="I33" s="35"/>
      <c r="J33" s="29"/>
      <c r="K33" s="29"/>
      <c r="L33" s="29"/>
      <c r="M33" s="11"/>
      <c r="N33" s="267">
        <v>0</v>
      </c>
      <c r="O33" s="546"/>
      <c r="P33" s="2"/>
      <c r="Q33" s="2"/>
      <c r="R33" s="2"/>
      <c r="S33" s="2"/>
      <c r="T33" s="2"/>
      <c r="U33" s="2"/>
      <c r="V33" s="29"/>
      <c r="X33" s="29"/>
      <c r="Y33" s="120"/>
      <c r="Z33" s="120"/>
      <c r="AA33" s="29" t="str">
        <f t="shared" si="8"/>
        <v/>
      </c>
      <c r="AB33" s="35"/>
      <c r="AC33" s="86"/>
      <c r="AD33" s="86"/>
      <c r="AF33" s="29">
        <f t="shared" si="20"/>
        <v>0</v>
      </c>
      <c r="AG33" s="2">
        <f t="shared" si="21"/>
        <v>0</v>
      </c>
      <c r="AH33" s="2">
        <f t="shared" si="22"/>
        <v>0</v>
      </c>
      <c r="AI33" s="2">
        <f t="shared" si="23"/>
        <v>0</v>
      </c>
      <c r="AJ33" s="2">
        <f t="shared" si="24"/>
        <v>0</v>
      </c>
      <c r="AK33" s="2">
        <f t="shared" si="25"/>
        <v>0</v>
      </c>
      <c r="AL33" s="2">
        <f t="shared" si="26"/>
        <v>0</v>
      </c>
      <c r="AM33" s="2"/>
      <c r="AN33" s="2">
        <f t="shared" si="27"/>
        <v>0</v>
      </c>
      <c r="AO33" s="2">
        <v>0</v>
      </c>
      <c r="AP33" s="2">
        <v>0</v>
      </c>
      <c r="AQ33" s="2">
        <f t="shared" si="28"/>
        <v>0</v>
      </c>
    </row>
    <row r="34" spans="2:43" x14ac:dyDescent="0.3">
      <c r="B34" s="2"/>
      <c r="C34" s="544"/>
      <c r="D34" s="303"/>
      <c r="E34" s="12"/>
      <c r="F34" s="301"/>
      <c r="G34" s="138"/>
      <c r="H34" s="138"/>
      <c r="I34" s="137"/>
      <c r="J34" s="29"/>
      <c r="K34" s="29"/>
      <c r="L34" s="29"/>
      <c r="M34" s="11"/>
      <c r="N34" s="267">
        <v>0</v>
      </c>
      <c r="O34" s="546"/>
      <c r="P34" s="2"/>
      <c r="Q34" s="2"/>
      <c r="R34" s="2"/>
      <c r="S34" s="2"/>
      <c r="T34" s="2"/>
      <c r="U34" s="2"/>
      <c r="V34" s="29"/>
      <c r="X34" s="139"/>
      <c r="Y34" s="306"/>
      <c r="Z34" s="306"/>
      <c r="AA34" s="29" t="str">
        <f t="shared" si="8"/>
        <v/>
      </c>
      <c r="AB34" s="137"/>
      <c r="AC34" s="307"/>
      <c r="AD34" s="86"/>
      <c r="AF34" s="29">
        <f t="shared" si="20"/>
        <v>0</v>
      </c>
      <c r="AG34" s="2">
        <f t="shared" si="21"/>
        <v>0</v>
      </c>
      <c r="AH34" s="2">
        <f t="shared" si="22"/>
        <v>0</v>
      </c>
      <c r="AI34" s="2">
        <f t="shared" si="23"/>
        <v>0</v>
      </c>
      <c r="AJ34" s="2">
        <f t="shared" si="24"/>
        <v>0</v>
      </c>
      <c r="AK34" s="2">
        <f t="shared" si="25"/>
        <v>0</v>
      </c>
      <c r="AL34" s="2">
        <f t="shared" si="26"/>
        <v>0</v>
      </c>
      <c r="AM34" s="2"/>
      <c r="AN34" s="2">
        <f t="shared" si="27"/>
        <v>0</v>
      </c>
      <c r="AO34" s="2">
        <v>0</v>
      </c>
      <c r="AP34" s="2">
        <v>0</v>
      </c>
      <c r="AQ34" s="2">
        <f t="shared" si="28"/>
        <v>0</v>
      </c>
    </row>
    <row r="35" spans="2:43" x14ac:dyDescent="0.3">
      <c r="D35" s="9"/>
      <c r="E35" s="9"/>
      <c r="F35" s="19"/>
      <c r="G35" s="19"/>
      <c r="H35" s="19"/>
      <c r="I35" s="19"/>
      <c r="J35" s="19"/>
      <c r="K35" s="19"/>
      <c r="L35" s="19"/>
      <c r="M35" s="19"/>
      <c r="N35" s="19">
        <f>SUM(N9:N34)</f>
        <v>0</v>
      </c>
      <c r="O35" s="19">
        <f>SUM(O9:O34)</f>
        <v>0</v>
      </c>
      <c r="P35" s="19"/>
      <c r="Q35" s="19"/>
      <c r="R35" s="123"/>
      <c r="S35" s="123"/>
      <c r="T35" s="123"/>
      <c r="U35" s="123"/>
      <c r="V35" s="123"/>
      <c r="W35" s="123"/>
      <c r="X35" s="75"/>
      <c r="Y35" s="308"/>
      <c r="Z35" s="308"/>
      <c r="AA35" s="309"/>
      <c r="AB35" s="63"/>
      <c r="AC35" s="57"/>
    </row>
    <row r="36" spans="2:43" x14ac:dyDescent="0.3">
      <c r="D36" s="9"/>
      <c r="E36" s="9"/>
      <c r="J36" s="8"/>
      <c r="K36" s="8"/>
      <c r="L36" s="8"/>
      <c r="M36" s="8"/>
      <c r="N36" s="8"/>
      <c r="O36" s="8"/>
      <c r="X36" s="8"/>
      <c r="Y36" s="8"/>
      <c r="Z36" s="8"/>
      <c r="AA36" s="8"/>
      <c r="AB36" s="8"/>
    </row>
    <row r="37" spans="2:43" ht="15.6" x14ac:dyDescent="0.3">
      <c r="D37" s="210"/>
      <c r="E37" s="210"/>
    </row>
    <row r="38" spans="2:43" ht="15.6" x14ac:dyDescent="0.3">
      <c r="D38" s="210"/>
      <c r="E38" s="210"/>
    </row>
    <row r="39" spans="2:43" ht="15.6" x14ac:dyDescent="0.3">
      <c r="D39" s="210"/>
      <c r="E39" s="210"/>
    </row>
    <row r="40" spans="2:43" ht="15" thickBot="1" x14ac:dyDescent="0.35"/>
    <row r="41" spans="2:43" ht="16.2" thickBot="1" x14ac:dyDescent="0.35">
      <c r="G41" s="708"/>
      <c r="H41" s="559" t="s">
        <v>122</v>
      </c>
      <c r="I41" s="709"/>
      <c r="J41" s="709"/>
      <c r="K41" s="710"/>
      <c r="L41" s="210"/>
      <c r="O41" s="426" t="s">
        <v>443</v>
      </c>
      <c r="P41" s="426"/>
      <c r="Q41" s="427"/>
      <c r="R41" s="431"/>
      <c r="S41" s="431"/>
      <c r="X41" s="8"/>
      <c r="Y41" s="8"/>
      <c r="Z41" s="8"/>
      <c r="AA41" s="8"/>
      <c r="AB41" s="8"/>
    </row>
    <row r="42" spans="2:43" ht="29.4" thickBot="1" x14ac:dyDescent="0.35">
      <c r="F42" s="5"/>
      <c r="G42" s="560" t="s">
        <v>444</v>
      </c>
      <c r="H42" s="561" t="s">
        <v>240</v>
      </c>
      <c r="I42" s="562" t="s">
        <v>226</v>
      </c>
      <c r="J42" s="585" t="s">
        <v>445</v>
      </c>
      <c r="K42" s="585" t="s">
        <v>446</v>
      </c>
      <c r="L42" s="210"/>
      <c r="O42" s="16" t="s">
        <v>348</v>
      </c>
      <c r="P42" s="16" t="s">
        <v>349</v>
      </c>
      <c r="Q42" s="93" t="s">
        <v>350</v>
      </c>
      <c r="R42" s="253" t="s">
        <v>351</v>
      </c>
      <c r="S42" s="94" t="s">
        <v>352</v>
      </c>
      <c r="X42" s="8"/>
      <c r="Y42" s="8"/>
      <c r="Z42" s="8"/>
      <c r="AA42" s="8"/>
      <c r="AB42" s="8"/>
    </row>
    <row r="43" spans="2:43" ht="15.6" x14ac:dyDescent="0.3">
      <c r="G43" s="551"/>
      <c r="H43" s="32">
        <f t="shared" ref="H43:H48" si="29">_xlfn.XLOOKUP($G43,$B$9:$B$34,$V$9:$V$34)</f>
        <v>0</v>
      </c>
      <c r="I43" s="32">
        <f t="shared" ref="I43:I48" si="30">_xlfn.XLOOKUP($G43,$B$9:$B$34,$E$9:$E$34)</f>
        <v>0</v>
      </c>
      <c r="J43" s="47">
        <f t="shared" ref="J43:J48" si="31">SUMIFS($O$9:$O$34,$B$9:$B$34,$G43)</f>
        <v>0</v>
      </c>
      <c r="K43" s="552">
        <f>SUMIFS($O$9:$O$34,$B$9:$B$34,$G43,$E$9:$E$34,"YES")</f>
        <v>0</v>
      </c>
      <c r="L43" s="210"/>
      <c r="O43" s="95">
        <f>SUMIFS($N$9:$N$34, $E$9:$E$34, O$42, $R$9:$R$34, "&lt;&gt;Production")</f>
        <v>0</v>
      </c>
      <c r="P43" s="95">
        <f>SUMIFS($N$9:$N$34, $E$9:$E$34, P$42, $R$9:$R$34, "&lt;&gt;Production")</f>
        <v>0</v>
      </c>
      <c r="Q43" s="95">
        <f>SUMIFS($N$9:$N$34, $E$9:$E$34, Q$42, $R$9:$R$34, "&lt;&gt;Production")</f>
        <v>0</v>
      </c>
      <c r="R43" s="95">
        <f>SUMIFS($N$9:$N$34, $E$9:$E$34, R$42, $R$9:$R$34, "&lt;&gt;Production")</f>
        <v>0</v>
      </c>
      <c r="S43" s="95">
        <f>SUMIFS($N$9:$N$34, $E$9:$E$34, S$42, $R$9:$R$34, "&lt;&gt;Production")</f>
        <v>0</v>
      </c>
      <c r="T43" s="118">
        <f>SUM(O43:S43)</f>
        <v>0</v>
      </c>
      <c r="Y43" s="8"/>
      <c r="AA43" s="8"/>
      <c r="AB43" s="8"/>
    </row>
    <row r="44" spans="2:43" ht="15.6" x14ac:dyDescent="0.3">
      <c r="G44" s="578"/>
      <c r="H44" s="32">
        <f t="shared" si="29"/>
        <v>0</v>
      </c>
      <c r="I44" s="32">
        <f t="shared" si="30"/>
        <v>0</v>
      </c>
      <c r="J44" s="47">
        <f t="shared" si="31"/>
        <v>0</v>
      </c>
      <c r="K44" s="552">
        <f t="shared" ref="K44:K48" si="32">SUMIFS($O$9:$O$34,$B$9:$B$34,$G44,$E$9:$E$34,"YES")</f>
        <v>0</v>
      </c>
      <c r="L44" s="210"/>
      <c r="M44" s="210"/>
      <c r="O44" s="32"/>
      <c r="P44" s="32"/>
      <c r="Q44" s="144"/>
      <c r="R44" s="144"/>
      <c r="S44" s="144"/>
      <c r="T44" s="98">
        <f>T43-Q62</f>
        <v>0</v>
      </c>
      <c r="Y44" s="8"/>
      <c r="AA44" s="8"/>
      <c r="AB44" s="8"/>
    </row>
    <row r="45" spans="2:43" ht="15.6" x14ac:dyDescent="0.3">
      <c r="G45" s="578"/>
      <c r="H45" s="32">
        <f t="shared" si="29"/>
        <v>0</v>
      </c>
      <c r="I45" s="32">
        <f t="shared" si="30"/>
        <v>0</v>
      </c>
      <c r="J45" s="47">
        <f t="shared" si="31"/>
        <v>0</v>
      </c>
      <c r="K45" s="552">
        <f t="shared" si="32"/>
        <v>0</v>
      </c>
      <c r="L45" s="210"/>
      <c r="M45" s="210"/>
      <c r="O45" s="8"/>
      <c r="P45" s="43"/>
      <c r="Q45" s="43"/>
      <c r="R45" s="43"/>
      <c r="S45" s="43"/>
      <c r="T45" s="8"/>
      <c r="Y45" s="8"/>
      <c r="Z45" s="8"/>
      <c r="AA45" s="8"/>
      <c r="AB45" s="8"/>
    </row>
    <row r="46" spans="2:43" ht="15.6" x14ac:dyDescent="0.3">
      <c r="G46" s="578"/>
      <c r="H46" s="32">
        <f t="shared" si="29"/>
        <v>0</v>
      </c>
      <c r="I46" s="32">
        <f t="shared" si="30"/>
        <v>0</v>
      </c>
      <c r="J46" s="47">
        <f t="shared" si="31"/>
        <v>0</v>
      </c>
      <c r="K46" s="552">
        <f t="shared" si="32"/>
        <v>0</v>
      </c>
      <c r="M46" s="210"/>
      <c r="Y46" s="8"/>
    </row>
    <row r="47" spans="2:43" x14ac:dyDescent="0.3">
      <c r="G47" s="578"/>
      <c r="H47" s="32">
        <f t="shared" si="29"/>
        <v>0</v>
      </c>
      <c r="I47" s="32">
        <f t="shared" si="30"/>
        <v>0</v>
      </c>
      <c r="J47" s="47">
        <f t="shared" si="31"/>
        <v>0</v>
      </c>
      <c r="K47" s="552">
        <f t="shared" si="32"/>
        <v>0</v>
      </c>
      <c r="O47" s="581" t="s">
        <v>447</v>
      </c>
      <c r="P47" s="581"/>
      <c r="Q47" s="582"/>
      <c r="R47" s="583"/>
      <c r="S47" s="583"/>
      <c r="Y47" s="8"/>
    </row>
    <row r="48" spans="2:43" ht="15" thickBot="1" x14ac:dyDescent="0.35">
      <c r="G48" s="579"/>
      <c r="H48" s="580">
        <f t="shared" si="29"/>
        <v>0</v>
      </c>
      <c r="I48" s="580">
        <f t="shared" si="30"/>
        <v>0</v>
      </c>
      <c r="J48" s="247">
        <f t="shared" si="31"/>
        <v>0</v>
      </c>
      <c r="K48" s="553">
        <f t="shared" si="32"/>
        <v>0</v>
      </c>
      <c r="O48" s="16" t="s">
        <v>348</v>
      </c>
      <c r="P48" s="16" t="s">
        <v>349</v>
      </c>
      <c r="Q48" s="93" t="s">
        <v>350</v>
      </c>
      <c r="R48" s="253" t="s">
        <v>351</v>
      </c>
      <c r="S48" s="94" t="s">
        <v>352</v>
      </c>
      <c r="AA48" s="43"/>
    </row>
    <row r="49" spans="7:27" x14ac:dyDescent="0.3">
      <c r="G49" s="221" t="s">
        <v>448</v>
      </c>
      <c r="J49" s="47">
        <f>SUM(J43:J48)</f>
        <v>0</v>
      </c>
      <c r="K49" s="554">
        <f>SUM(K43:K48)</f>
        <v>0</v>
      </c>
      <c r="N49" s="32"/>
      <c r="O49" s="584">
        <f>SUMIFS($O$9:$O$34, $E$9:$E$34, O$42, $R$9:$R$34, "&lt;&gt;Production")</f>
        <v>0</v>
      </c>
      <c r="P49" s="584">
        <f t="shared" ref="P49:S49" si="33">SUMIFS($O$9:$O$34, $E$9:$E$34, P$42, $R$9:$R$34, "&lt;&gt;Production")</f>
        <v>0</v>
      </c>
      <c r="Q49" s="584">
        <f t="shared" si="33"/>
        <v>0</v>
      </c>
      <c r="R49" s="584">
        <f t="shared" si="33"/>
        <v>0</v>
      </c>
      <c r="S49" s="584">
        <f t="shared" si="33"/>
        <v>0</v>
      </c>
      <c r="T49" s="118">
        <f>SUM(O49:S49)</f>
        <v>0</v>
      </c>
      <c r="W49" s="144"/>
      <c r="AA49" s="43"/>
    </row>
    <row r="50" spans="7:27" ht="15" thickBot="1" x14ac:dyDescent="0.35">
      <c r="G50" s="555" t="s">
        <v>449</v>
      </c>
      <c r="H50" s="549"/>
      <c r="I50" s="550"/>
      <c r="J50" s="577">
        <f>S43+R43</f>
        <v>0</v>
      </c>
      <c r="K50" s="556">
        <f>Q58+R43</f>
        <v>0</v>
      </c>
      <c r="N50" s="8"/>
      <c r="O50" s="32"/>
      <c r="P50" s="32"/>
      <c r="Q50" s="144"/>
      <c r="R50" s="144"/>
      <c r="S50" s="144"/>
      <c r="T50" s="98">
        <f>T49-J49</f>
        <v>0</v>
      </c>
      <c r="W50" s="43"/>
      <c r="X50" s="8"/>
      <c r="AA50" s="391"/>
    </row>
    <row r="51" spans="7:27" ht="16.8" thickTop="1" thickBot="1" x14ac:dyDescent="0.35">
      <c r="G51" s="223" t="s">
        <v>80</v>
      </c>
      <c r="H51" s="557"/>
      <c r="I51" s="558"/>
      <c r="J51" s="553">
        <f>SUM(J43:J44)-J50</f>
        <v>0</v>
      </c>
      <c r="K51" s="553">
        <f>SUM(K43:K44)-K50</f>
        <v>0</v>
      </c>
      <c r="L51" s="210" t="s">
        <v>450</v>
      </c>
      <c r="X51" s="8"/>
      <c r="Y51" s="8"/>
    </row>
    <row r="52" spans="7:27" x14ac:dyDescent="0.3">
      <c r="X52" s="8"/>
      <c r="Y52" s="8"/>
    </row>
    <row r="53" spans="7:27" x14ac:dyDescent="0.3">
      <c r="O53" s="426" t="s">
        <v>451</v>
      </c>
      <c r="P53" s="426"/>
      <c r="Q53" s="427"/>
      <c r="R53" s="431"/>
      <c r="S53" s="431"/>
      <c r="T53" s="8"/>
      <c r="X53" s="8"/>
      <c r="Y53" s="8"/>
    </row>
    <row r="54" spans="7:27" x14ac:dyDescent="0.3">
      <c r="O54" s="16" t="s">
        <v>348</v>
      </c>
      <c r="P54" s="16" t="s">
        <v>349</v>
      </c>
      <c r="Q54" s="93" t="s">
        <v>350</v>
      </c>
      <c r="R54" s="253" t="s">
        <v>351</v>
      </c>
      <c r="S54" s="94" t="s">
        <v>352</v>
      </c>
      <c r="X54" s="8"/>
      <c r="Y54" s="8"/>
    </row>
    <row r="55" spans="7:27" x14ac:dyDescent="0.3">
      <c r="O55" s="95">
        <f>SUMIFS($N$9:$N$34,$E$9:$E$34,O$42,$R$9:$R$34,"Production")</f>
        <v>0</v>
      </c>
      <c r="P55" s="95">
        <f>SUMIFS($N$9:$N$34,$E$9:$E$34,P$42,$R$9:$R$34,"Production")</f>
        <v>0</v>
      </c>
      <c r="Q55" s="95">
        <f>SUMIFS($N$9:$N$34,$E$9:$E$34,Q$42,$R$9:$R$34,"Production")</f>
        <v>0</v>
      </c>
      <c r="R55" s="95">
        <f>SUMIFS($N$9:$N$34,$E$9:$E$34,R$42,$R$9:$R$34,"Production")</f>
        <v>0</v>
      </c>
      <c r="S55" s="95">
        <f>SUMIFS($N$9:$N$34,$E$9:$E$34,S$42,$R$9:$R$34,"Production")</f>
        <v>0</v>
      </c>
      <c r="T55" s="118">
        <f>SUM(O55:S55)</f>
        <v>0</v>
      </c>
    </row>
    <row r="56" spans="7:27" x14ac:dyDescent="0.3">
      <c r="O56" s="32"/>
      <c r="P56" s="32"/>
      <c r="Q56" s="144"/>
      <c r="R56" s="144"/>
      <c r="S56" s="144"/>
      <c r="T56" s="144">
        <f>T55-Q68</f>
        <v>0</v>
      </c>
      <c r="U56" s="98"/>
    </row>
    <row r="57" spans="7:27" x14ac:dyDescent="0.3">
      <c r="O57" s="8"/>
      <c r="P57" s="32"/>
    </row>
    <row r="58" spans="7:27" x14ac:dyDescent="0.3">
      <c r="P58" s="542" t="s">
        <v>452</v>
      </c>
      <c r="Q58" s="43">
        <f>S43</f>
        <v>0</v>
      </c>
      <c r="R58" s="43"/>
      <c r="S58" s="43"/>
      <c r="T58" s="43"/>
    </row>
    <row r="59" spans="7:27" x14ac:dyDescent="0.3">
      <c r="P59" s="32" t="s">
        <v>453</v>
      </c>
      <c r="Q59" s="39">
        <f>R43</f>
        <v>0</v>
      </c>
    </row>
    <row r="60" spans="7:27" x14ac:dyDescent="0.3">
      <c r="P60" s="32" t="s">
        <v>454</v>
      </c>
      <c r="Q60" s="39">
        <f>O43</f>
        <v>0</v>
      </c>
      <c r="V60" s="43"/>
    </row>
    <row r="61" spans="7:27" ht="15" thickBot="1" x14ac:dyDescent="0.35">
      <c r="P61" s="543" t="s">
        <v>455</v>
      </c>
      <c r="Q61" s="100">
        <f>P43+Q43</f>
        <v>0</v>
      </c>
      <c r="R61" s="43"/>
      <c r="S61" s="43"/>
      <c r="T61" s="43"/>
      <c r="V61" s="541"/>
    </row>
    <row r="62" spans="7:27" ht="15" thickTop="1" x14ac:dyDescent="0.3">
      <c r="P62" s="542"/>
      <c r="Q62" s="43">
        <f>SUM(Q58:Q61)</f>
        <v>0</v>
      </c>
      <c r="R62" s="541">
        <f>Q62-T43</f>
        <v>0</v>
      </c>
      <c r="S62" s="541"/>
      <c r="T62" s="541"/>
    </row>
    <row r="63" spans="7:27" x14ac:dyDescent="0.3">
      <c r="P63" s="32"/>
    </row>
    <row r="64" spans="7:27" x14ac:dyDescent="0.3">
      <c r="P64" s="542" t="s">
        <v>456</v>
      </c>
      <c r="Q64" s="39">
        <f>S55</f>
        <v>0</v>
      </c>
      <c r="V64" s="43"/>
    </row>
    <row r="65" spans="16:22" x14ac:dyDescent="0.3">
      <c r="P65" s="32" t="s">
        <v>457</v>
      </c>
      <c r="Q65" s="39">
        <f>R55</f>
        <v>0</v>
      </c>
    </row>
    <row r="66" spans="16:22" x14ac:dyDescent="0.3">
      <c r="P66" s="32" t="s">
        <v>458</v>
      </c>
      <c r="Q66" s="39">
        <f>O55</f>
        <v>0</v>
      </c>
      <c r="V66" s="43"/>
    </row>
    <row r="67" spans="16:22" ht="15" thickBot="1" x14ac:dyDescent="0.35">
      <c r="P67" s="543" t="s">
        <v>459</v>
      </c>
      <c r="Q67" s="100">
        <f>P55+Q55</f>
        <v>0</v>
      </c>
      <c r="R67" s="43"/>
      <c r="S67" s="43"/>
      <c r="T67" s="43"/>
      <c r="U67" s="43"/>
      <c r="V67" s="541"/>
    </row>
    <row r="68" spans="16:22" ht="15" thickTop="1" x14ac:dyDescent="0.3">
      <c r="P68" s="542"/>
      <c r="Q68" s="43">
        <f>SUM(Q64:Q67)</f>
        <v>0</v>
      </c>
      <c r="R68" s="541">
        <f>Q68-T55</f>
        <v>0</v>
      </c>
      <c r="S68" s="541"/>
      <c r="T68" s="541"/>
      <c r="U68" s="541"/>
    </row>
    <row r="70" spans="16:22" x14ac:dyDescent="0.3">
      <c r="P70" s="542" t="s">
        <v>353</v>
      </c>
      <c r="Q70" s="39">
        <f>S43+S55</f>
        <v>0</v>
      </c>
    </row>
    <row r="71" spans="16:22" x14ac:dyDescent="0.3">
      <c r="P71" s="32" t="s">
        <v>460</v>
      </c>
      <c r="Q71" s="43">
        <f>R43+R55</f>
        <v>0</v>
      </c>
      <c r="R71" s="43"/>
      <c r="S71" s="43"/>
      <c r="T71" s="43"/>
      <c r="U71" s="43"/>
    </row>
    <row r="72" spans="16:22" x14ac:dyDescent="0.3">
      <c r="P72" s="32" t="s">
        <v>387</v>
      </c>
      <c r="Q72" s="39">
        <f>O43+O55</f>
        <v>0</v>
      </c>
    </row>
    <row r="73" spans="16:22" ht="15" thickBot="1" x14ac:dyDescent="0.35">
      <c r="P73" s="543" t="s">
        <v>355</v>
      </c>
      <c r="Q73" s="100">
        <f>P43+Q43+P55+Q55</f>
        <v>0</v>
      </c>
      <c r="R73" s="43"/>
      <c r="S73" s="43"/>
      <c r="T73" s="43"/>
      <c r="U73" s="43"/>
    </row>
    <row r="74" spans="16:22" ht="15" thickTop="1" x14ac:dyDescent="0.3">
      <c r="P74" s="542" t="s">
        <v>358</v>
      </c>
      <c r="Q74" s="43">
        <f>SUM(Q70:Q73)</f>
        <v>0</v>
      </c>
      <c r="R74" s="541">
        <f>Q74-(T43+T55)</f>
        <v>0</v>
      </c>
      <c r="S74" s="541"/>
      <c r="T74" s="541"/>
      <c r="U74" s="541"/>
    </row>
  </sheetData>
  <mergeCells count="1">
    <mergeCell ref="X7:AB7"/>
  </mergeCells>
  <phoneticPr fontId="59" type="noConversion"/>
  <conditionalFormatting sqref="E9:E33 V9:V33">
    <cfRule type="cellIs" dxfId="77" priority="26" operator="equal">
      <formula>"YES-OOS"</formula>
    </cfRule>
    <cfRule type="cellIs" dxfId="76" priority="41" operator="equal">
      <formula>"PENDING"</formula>
    </cfRule>
    <cfRule type="cellIs" dxfId="75" priority="62" operator="equal">
      <formula>"NO-OOS"</formula>
    </cfRule>
    <cfRule type="cellIs" dxfId="74" priority="63" operator="equal">
      <formula>"NO-IL"</formula>
    </cfRule>
    <cfRule type="cellIs" dxfId="73" priority="64" operator="equal">
      <formula>"YES"</formula>
    </cfRule>
  </conditionalFormatting>
  <conditionalFormatting sqref="J51:K51">
    <cfRule type="cellIs" dxfId="72" priority="25" operator="lessThan">
      <formula>0</formula>
    </cfRule>
  </conditionalFormatting>
  <conditionalFormatting sqref="O42 O54">
    <cfRule type="cellIs" dxfId="71" priority="37" operator="equal">
      <formula>"PENDING"</formula>
    </cfRule>
    <cfRule type="cellIs" dxfId="70" priority="39" operator="equal">
      <formula>"NO-IL"</formula>
    </cfRule>
  </conditionalFormatting>
  <conditionalFormatting sqref="O48">
    <cfRule type="cellIs" dxfId="69" priority="17" operator="equal">
      <formula>"PENDING"</formula>
    </cfRule>
    <cfRule type="cellIs" dxfId="68" priority="19" operator="equal">
      <formula>"NO-IL"</formula>
    </cfRule>
  </conditionalFormatting>
  <conditionalFormatting sqref="O42:P42 O54:P54">
    <cfRule type="cellIs" dxfId="67" priority="38" operator="equal">
      <formula>"NO-OOS"</formula>
    </cfRule>
    <cfRule type="cellIs" dxfId="66" priority="40" operator="equal">
      <formula>"YES"</formula>
    </cfRule>
  </conditionalFormatting>
  <conditionalFormatting sqref="O48:P48">
    <cfRule type="cellIs" dxfId="65" priority="18" operator="equal">
      <formula>"NO-OOS"</formula>
    </cfRule>
    <cfRule type="cellIs" dxfId="64" priority="20" operator="equal">
      <formula>"YES"</formula>
    </cfRule>
  </conditionalFormatting>
  <conditionalFormatting sqref="P42">
    <cfRule type="cellIs" dxfId="63" priority="43" operator="equal">
      <formula>"NO-CO"</formula>
    </cfRule>
    <cfRule type="cellIs" dxfId="62" priority="45" operator="equal">
      <formula>"NO"</formula>
    </cfRule>
  </conditionalFormatting>
  <conditionalFormatting sqref="P48">
    <cfRule type="cellIs" dxfId="61" priority="21" operator="equal">
      <formula>"NO-CO"</formula>
    </cfRule>
    <cfRule type="cellIs" dxfId="60" priority="22" operator="equal">
      <formula>"NO"</formula>
    </cfRule>
  </conditionalFormatting>
  <conditionalFormatting sqref="P54">
    <cfRule type="cellIs" dxfId="59" priority="32" operator="equal">
      <formula>"NO-CO"</formula>
    </cfRule>
    <cfRule type="cellIs" dxfId="58" priority="34" operator="equal">
      <formula>"NO"</formula>
    </cfRule>
  </conditionalFormatting>
  <conditionalFormatting sqref="S48:S49">
    <cfRule type="cellIs" dxfId="57" priority="23" operator="equal">
      <formula>"NO"</formula>
    </cfRule>
    <cfRule type="cellIs" dxfId="56" priority="24" operator="equal">
      <formula>"YES"</formula>
    </cfRule>
  </conditionalFormatting>
  <conditionalFormatting sqref="T43:T45">
    <cfRule type="cellIs" dxfId="55" priority="13" operator="equal">
      <formula>"NO"</formula>
    </cfRule>
    <cfRule type="cellIs" dxfId="54" priority="14" operator="equal">
      <formula>"YES"</formula>
    </cfRule>
  </conditionalFormatting>
  <conditionalFormatting sqref="T49:T50">
    <cfRule type="cellIs" dxfId="53" priority="15" operator="equal">
      <formula>"NO"</formula>
    </cfRule>
    <cfRule type="cellIs" dxfId="52" priority="16" operator="equal">
      <formula>"YES"</formula>
    </cfRule>
  </conditionalFormatting>
  <conditionalFormatting sqref="T55">
    <cfRule type="cellIs" dxfId="51" priority="11" operator="equal">
      <formula>"NO"</formula>
    </cfRule>
    <cfRule type="cellIs" dxfId="50" priority="12" operator="equal">
      <formula>"YES"</formula>
    </cfRule>
  </conditionalFormatting>
  <conditionalFormatting sqref="X9:Z34 AB9:AB34 X35:AB36 X41:AB42 Y43:Y44 Y45:AB45 T53 S54 U56">
    <cfRule type="cellIs" dxfId="49" priority="35" operator="equal">
      <formula>"NO"</formula>
    </cfRule>
    <cfRule type="cellIs" dxfId="48" priority="36" operator="equal">
      <formula>"YES"</formula>
    </cfRule>
  </conditionalFormatting>
  <conditionalFormatting sqref="AA9:AA34">
    <cfRule type="containsText" dxfId="47" priority="6" operator="containsText" text="Valid">
      <formula>NOT(ISERROR(SEARCH("Valid",AA9)))</formula>
    </cfRule>
    <cfRule type="containsText" dxfId="46" priority="7" operator="containsText" text="Expired">
      <formula>NOT(ISERROR(SEARCH("Expired",AA9)))</formula>
    </cfRule>
    <cfRule type="containsText" dxfId="45" priority="8" operator="containsText" text="SOS">
      <formula>NOT(ISERROR(SEARCH("SOS",AA9)))</formula>
    </cfRule>
    <cfRule type="containsText" dxfId="44" priority="9" operator="containsText" text="Covid">
      <formula>NOT(ISERROR(SEARCH("Covid",AA9)))</formula>
    </cfRule>
    <cfRule type="containsText" dxfId="43" priority="10" operator="containsText" text="Missing">
      <formula>NOT(ISERROR(SEARCH("Missing",AA9)))</formula>
    </cfRule>
  </conditionalFormatting>
  <conditionalFormatting sqref="AA41:AB45 AA51:AB54 AB9:AB34 AA35:AB36">
    <cfRule type="containsText" dxfId="42" priority="73" operator="containsText" text="SOS">
      <formula>NOT(ISERROR(SEARCH("SOS",AA9)))</formula>
    </cfRule>
  </conditionalFormatting>
  <conditionalFormatting sqref="AA43:AB44 X51:AB54 S42:S43">
    <cfRule type="cellIs" dxfId="41" priority="71" operator="equal">
      <formula>"NO"</formula>
    </cfRule>
    <cfRule type="cellIs" dxfId="40" priority="72" operator="equal">
      <formula>"YES"</formula>
    </cfRule>
  </conditionalFormatting>
  <conditionalFormatting sqref="AB9:AB34 AA35:AB36 AA41:AB45 AA51:AB54">
    <cfRule type="containsText" dxfId="39" priority="74" operator="containsText" text="Missing">
      <formula>NOT(ISERROR(SEARCH("Missing",AA9)))</formula>
    </cfRule>
    <cfRule type="containsText" dxfId="38" priority="75" operator="containsText" text="Valid">
      <formula>NOT(ISERROR(SEARCH("Valid",AA9)))</formula>
    </cfRule>
    <cfRule type="containsText" dxfId="37" priority="76" operator="containsText" text="Expired">
      <formula>NOT(ISERROR(SEARCH("Expired",AA9)))</formula>
    </cfRule>
    <cfRule type="containsText" dxfId="36" priority="77" operator="containsText" text="Covid">
      <formula>NOT(ISERROR(SEARCH("Covid",AA9)))</formula>
    </cfRule>
  </conditionalFormatting>
  <conditionalFormatting sqref="AB9:AB36 AB41:AB45 AB51:AB54">
    <cfRule type="containsText" dxfId="35" priority="65" operator="containsText" text="Covid">
      <formula>NOT(ISERROR(SEARCH("Covid",AB9)))</formula>
    </cfRule>
    <cfRule type="containsText" dxfId="34" priority="66" operator="containsText" text="Sig">
      <formula>NOT(ISERROR(SEARCH("Sig",AB9)))</formula>
    </cfRule>
    <cfRule type="containsText" dxfId="33" priority="67" operator="containsText" text="WNR">
      <formula>NOT(ISERROR(SEARCH("WNR",AB9)))</formula>
    </cfRule>
    <cfRule type="containsText" dxfId="32" priority="68" operator="containsText" text="Missing">
      <formula>NOT(ISERROR(SEARCH("Missing",AB9)))</formula>
    </cfRule>
    <cfRule type="containsText" dxfId="31" priority="69" operator="containsText" text="Expired">
      <formula>NOT(ISERROR(SEARCH("Expired",AB9)))</formula>
    </cfRule>
    <cfRule type="containsText" dxfId="30" priority="70" operator="containsText" text="sent">
      <formula>NOT(ISERROR(SEARCH("sent",AB9)))</formula>
    </cfRule>
  </conditionalFormatting>
  <conditionalFormatting sqref="AN9:AQ17">
    <cfRule type="cellIs" dxfId="29" priority="50" operator="equal">
      <formula>"YES-OOS"</formula>
    </cfRule>
    <cfRule type="cellIs" dxfId="28" priority="51" operator="equal">
      <formula>"YES"</formula>
    </cfRule>
    <cfRule type="cellIs" dxfId="27" priority="52" operator="equal">
      <formula>"NO-OOS"</formula>
    </cfRule>
    <cfRule type="cellIs" dxfId="26" priority="53" operator="equal">
      <formula>"NO-IL"</formula>
    </cfRule>
    <cfRule type="cellIs" dxfId="25" priority="54" operator="equal">
      <formula>"NO"</formula>
    </cfRule>
    <cfRule type="cellIs" dxfId="24" priority="55" operator="equal">
      <formula>"YES"</formula>
    </cfRule>
  </conditionalFormatting>
  <dataValidations count="4">
    <dataValidation allowBlank="1" showInputMessage="1" showErrorMessage="1" error="Please select a valid option from the 3 below" promptTitle="Payment Method" prompt="Select a payment method" sqref="X56:AB59 P60:Q60 P64 P66 P74 P70:P72 W50:W64 O57:T58 V64:V67 O59:O73 N50:N66 Q67:U67 V60 Q71:U74 V65:W66" xr:uid="{41CA56E1-A9AB-4DDA-B673-B1100F59E4B7}"/>
    <dataValidation type="list" allowBlank="1" showInputMessage="1" showErrorMessage="1" sqref="W32:W36 Q8:Q36 G9:G34 R9:R34 T9:V34 E9:E34 P9:P34 AO8:AR8 AR9:AR12 S54 AA43:AB44 S42 Y45:AB45 Y43:Y44 Y36:AB36 X28:X36 Y41:AB42 X9:X18 X20:X26 S48 AB51:AB54 AB28:AB35 AB9:AB18 AB20:AB26" xr:uid="{7149A659-ACE8-40CE-B80C-C9D332E3A53F}">
      <formula1>#REF!</formula1>
    </dataValidation>
    <dataValidation type="list" allowBlank="1" showInputMessage="1" showErrorMessage="1" error="Please select a valid option from the 3 below" promptTitle="Payment Method" prompt="Select a payment method" sqref="S44 Y46:Y47 Q44 W49 Q56 S50 Q50 R48:S48 R54:S54 R42:S42" xr:uid="{E782F456-E822-4718-BCC3-DA2CE357778E}">
      <formula1>#REF!</formula1>
    </dataValidation>
    <dataValidation type="list" allowBlank="1" showInputMessage="1" showErrorMessage="1" sqref="Y2:Y4 P42 P54 P48" xr:uid="{DE8AD312-A100-43F0-8173-C2A5C45044A0}"/>
  </dataValidations>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12BF5-3190-4CA7-BAD1-4E8B41DBA557}">
  <sheetPr>
    <tabColor theme="8" tint="0.79998168889431442"/>
  </sheetPr>
  <dimension ref="A2:O8198"/>
  <sheetViews>
    <sheetView workbookViewId="0">
      <selection activeCell="D4" sqref="D4"/>
    </sheetView>
  </sheetViews>
  <sheetFormatPr defaultRowHeight="14.4" x14ac:dyDescent="0.3"/>
  <cols>
    <col min="2" max="2" width="23.109375" customWidth="1"/>
    <col min="3" max="3" width="88.33203125" customWidth="1"/>
    <col min="4" max="4" width="42" bestFit="1" customWidth="1"/>
    <col min="5" max="5" width="18.77734375" customWidth="1"/>
    <col min="6" max="6" width="14.44140625" bestFit="1" customWidth="1"/>
    <col min="7" max="7" width="17.21875" customWidth="1"/>
  </cols>
  <sheetData>
    <row r="2" spans="2:8" ht="18" x14ac:dyDescent="0.35">
      <c r="B2" s="610" t="s">
        <v>590</v>
      </c>
      <c r="C2" s="724"/>
    </row>
    <row r="3" spans="2:8" ht="18" x14ac:dyDescent="0.35">
      <c r="B3" s="610" t="s">
        <v>591</v>
      </c>
      <c r="C3" s="724"/>
    </row>
    <row r="4" spans="2:8" ht="18" x14ac:dyDescent="0.35">
      <c r="B4" s="610" t="s">
        <v>559</v>
      </c>
      <c r="C4" s="724"/>
    </row>
    <row r="5" spans="2:8" ht="18" x14ac:dyDescent="0.35">
      <c r="B5" s="610" t="s">
        <v>592</v>
      </c>
      <c r="C5" s="724"/>
    </row>
    <row r="6" spans="2:8" ht="18" x14ac:dyDescent="0.35">
      <c r="B6" s="610" t="s">
        <v>593</v>
      </c>
      <c r="C6" s="724"/>
    </row>
    <row r="8" spans="2:8" ht="93.6" x14ac:dyDescent="0.3">
      <c r="B8" s="726" t="s">
        <v>595</v>
      </c>
      <c r="C8" s="726" t="s">
        <v>596</v>
      </c>
      <c r="D8" s="727" t="s">
        <v>422</v>
      </c>
      <c r="E8" s="740" t="s">
        <v>600</v>
      </c>
      <c r="F8" s="741" t="s">
        <v>601</v>
      </c>
      <c r="G8" s="742" t="s">
        <v>602</v>
      </c>
      <c r="H8" s="743" t="s">
        <v>603</v>
      </c>
    </row>
    <row r="9" spans="2:8" ht="30" x14ac:dyDescent="0.3">
      <c r="B9" s="755"/>
      <c r="C9" s="758"/>
      <c r="D9" s="728" t="s">
        <v>597</v>
      </c>
      <c r="E9" s="744"/>
      <c r="F9" s="744"/>
      <c r="G9" s="744"/>
      <c r="H9" s="744">
        <v>0</v>
      </c>
    </row>
    <row r="10" spans="2:8" ht="30" x14ac:dyDescent="0.3">
      <c r="B10" s="756"/>
      <c r="C10" s="759"/>
      <c r="D10" s="729" t="s">
        <v>598</v>
      </c>
      <c r="E10" s="744"/>
      <c r="F10" s="744"/>
      <c r="G10" s="744"/>
      <c r="H10" s="744">
        <v>0</v>
      </c>
    </row>
    <row r="11" spans="2:8" ht="45" x14ac:dyDescent="0.3">
      <c r="B11" s="757"/>
      <c r="C11" s="760"/>
      <c r="D11" s="730" t="s">
        <v>599</v>
      </c>
      <c r="E11" s="744"/>
      <c r="F11" s="744"/>
      <c r="G11" s="744"/>
      <c r="H11" s="744">
        <v>0</v>
      </c>
    </row>
    <row r="12" spans="2:8" ht="45" x14ac:dyDescent="0.3">
      <c r="B12" s="755"/>
      <c r="C12" s="755"/>
      <c r="D12" s="728" t="s">
        <v>597</v>
      </c>
      <c r="E12" s="744"/>
      <c r="F12" s="744"/>
      <c r="G12" s="744"/>
      <c r="H12" s="744">
        <v>0</v>
      </c>
    </row>
    <row r="13" spans="2:8" ht="30" x14ac:dyDescent="0.3">
      <c r="B13" s="756"/>
      <c r="C13" s="756"/>
      <c r="D13" s="729" t="s">
        <v>598</v>
      </c>
      <c r="E13" s="744"/>
      <c r="F13" s="744"/>
      <c r="G13" s="744"/>
      <c r="H13" s="744">
        <v>0</v>
      </c>
    </row>
    <row r="14" spans="2:8" ht="45" x14ac:dyDescent="0.3">
      <c r="B14" s="757"/>
      <c r="C14" s="757"/>
      <c r="D14" s="730" t="s">
        <v>599</v>
      </c>
      <c r="E14" s="744"/>
      <c r="F14" s="744"/>
      <c r="G14" s="744"/>
      <c r="H14" s="744">
        <v>0</v>
      </c>
    </row>
    <row r="15" spans="2:8" ht="45" x14ac:dyDescent="0.3">
      <c r="B15" s="755"/>
      <c r="C15" s="758"/>
      <c r="D15" s="728" t="s">
        <v>597</v>
      </c>
      <c r="E15" s="744"/>
      <c r="F15" s="744"/>
      <c r="G15" s="744"/>
      <c r="H15" s="744">
        <v>0</v>
      </c>
    </row>
    <row r="16" spans="2:8" ht="30" x14ac:dyDescent="0.3">
      <c r="B16" s="756"/>
      <c r="C16" s="759"/>
      <c r="D16" s="729" t="s">
        <v>598</v>
      </c>
      <c r="E16" s="2"/>
      <c r="F16" s="2"/>
      <c r="G16" s="2"/>
      <c r="H16" s="744">
        <v>0</v>
      </c>
    </row>
    <row r="17" spans="1:15" ht="45" x14ac:dyDescent="0.3">
      <c r="B17" s="757"/>
      <c r="C17" s="760"/>
      <c r="D17" s="730" t="s">
        <v>599</v>
      </c>
      <c r="E17" s="2"/>
      <c r="F17" s="2"/>
      <c r="G17" s="2"/>
      <c r="H17" s="744">
        <v>0</v>
      </c>
    </row>
    <row r="18" spans="1:15" ht="45" x14ac:dyDescent="0.3">
      <c r="B18" s="755"/>
      <c r="C18" s="755"/>
      <c r="D18" s="728" t="s">
        <v>597</v>
      </c>
      <c r="E18" s="2"/>
      <c r="F18" s="2"/>
      <c r="G18" s="2"/>
      <c r="H18" s="744">
        <v>0</v>
      </c>
    </row>
    <row r="19" spans="1:15" ht="30" x14ac:dyDescent="0.3">
      <c r="B19" s="756"/>
      <c r="C19" s="756"/>
      <c r="D19" s="729" t="s">
        <v>598</v>
      </c>
      <c r="E19" s="2"/>
      <c r="F19" s="2"/>
      <c r="G19" s="2"/>
      <c r="H19" s="744">
        <v>0</v>
      </c>
    </row>
    <row r="20" spans="1:15" ht="45" x14ac:dyDescent="0.3">
      <c r="B20" s="757"/>
      <c r="C20" s="757"/>
      <c r="D20" s="730" t="s">
        <v>599</v>
      </c>
      <c r="E20" s="2"/>
      <c r="F20" s="2"/>
      <c r="G20" s="2"/>
      <c r="H20" s="744">
        <v>0</v>
      </c>
    </row>
    <row r="21" spans="1:15" ht="45" x14ac:dyDescent="0.3">
      <c r="B21" s="755"/>
      <c r="C21" s="755"/>
      <c r="D21" s="728" t="s">
        <v>597</v>
      </c>
      <c r="E21" s="2"/>
      <c r="F21" s="2"/>
      <c r="G21" s="2"/>
      <c r="H21" s="744">
        <v>0</v>
      </c>
    </row>
    <row r="22" spans="1:15" ht="30" x14ac:dyDescent="0.3">
      <c r="B22" s="756"/>
      <c r="C22" s="756"/>
      <c r="D22" s="729" t="s">
        <v>598</v>
      </c>
      <c r="E22" s="2"/>
      <c r="F22" s="2"/>
      <c r="G22" s="2"/>
      <c r="H22" s="744">
        <v>0</v>
      </c>
    </row>
    <row r="23" spans="1:15" ht="45" x14ac:dyDescent="0.3">
      <c r="B23" s="757"/>
      <c r="C23" s="757"/>
      <c r="D23" s="730" t="s">
        <v>599</v>
      </c>
      <c r="E23" s="2"/>
      <c r="F23" s="2"/>
      <c r="G23" s="2"/>
      <c r="H23" s="744">
        <v>0</v>
      </c>
    </row>
    <row r="24" spans="1:15" ht="45" x14ac:dyDescent="0.3">
      <c r="B24" s="755"/>
      <c r="C24" s="755"/>
      <c r="D24" s="728" t="s">
        <v>597</v>
      </c>
      <c r="E24" s="2"/>
      <c r="F24" s="2"/>
      <c r="G24" s="2"/>
      <c r="H24" s="744">
        <v>0</v>
      </c>
    </row>
    <row r="25" spans="1:15" ht="30" x14ac:dyDescent="0.3">
      <c r="B25" s="756"/>
      <c r="C25" s="756"/>
      <c r="D25" s="729" t="s">
        <v>598</v>
      </c>
      <c r="E25" s="2"/>
      <c r="F25" s="2"/>
      <c r="G25" s="2"/>
      <c r="H25" s="744">
        <v>0</v>
      </c>
    </row>
    <row r="26" spans="1:15" ht="45" x14ac:dyDescent="0.3">
      <c r="B26" s="757"/>
      <c r="C26" s="757"/>
      <c r="D26" s="730" t="s">
        <v>599</v>
      </c>
      <c r="E26" s="2"/>
      <c r="F26" s="2"/>
      <c r="G26" s="2"/>
      <c r="H26" s="744">
        <v>0</v>
      </c>
    </row>
    <row r="29" spans="1:15" x14ac:dyDescent="0.3">
      <c r="A29" s="731" t="s">
        <v>604</v>
      </c>
      <c r="B29" s="731" t="s">
        <v>605</v>
      </c>
      <c r="C29" s="731" t="s">
        <v>606</v>
      </c>
      <c r="D29" s="731" t="s">
        <v>607</v>
      </c>
      <c r="E29" s="731" t="s">
        <v>608</v>
      </c>
      <c r="F29" s="731" t="s">
        <v>609</v>
      </c>
      <c r="G29" s="732">
        <v>0.39150000000000001</v>
      </c>
      <c r="H29" s="733">
        <v>3182</v>
      </c>
      <c r="I29" s="733">
        <v>8127</v>
      </c>
      <c r="J29" s="733"/>
      <c r="K29" s="733">
        <v>4945</v>
      </c>
      <c r="L29" s="733"/>
      <c r="M29" s="733" t="s">
        <v>610</v>
      </c>
      <c r="N29" s="733"/>
      <c r="O29" s="733" t="s">
        <v>610</v>
      </c>
    </row>
    <row r="30" spans="1:15" x14ac:dyDescent="0.3">
      <c r="A30" s="733" t="s">
        <v>611</v>
      </c>
      <c r="B30" s="733" t="s">
        <v>612</v>
      </c>
      <c r="C30" s="733" t="s">
        <v>613</v>
      </c>
      <c r="D30" s="733" t="s">
        <v>21</v>
      </c>
      <c r="E30" s="733" t="s">
        <v>614</v>
      </c>
      <c r="F30" s="733" t="s">
        <v>615</v>
      </c>
      <c r="G30" s="733"/>
      <c r="H30" s="733"/>
      <c r="I30" s="733"/>
      <c r="J30" s="733"/>
      <c r="K30" s="733"/>
      <c r="L30" s="733"/>
      <c r="M30" s="733"/>
    </row>
    <row r="31" spans="1:15" x14ac:dyDescent="0.3">
      <c r="A31" s="733" t="s">
        <v>611</v>
      </c>
      <c r="B31" s="733" t="s">
        <v>612</v>
      </c>
      <c r="C31" s="733" t="s">
        <v>616</v>
      </c>
      <c r="D31" s="733" t="s">
        <v>21</v>
      </c>
      <c r="E31" s="733" t="s">
        <v>614</v>
      </c>
      <c r="F31" s="733" t="s">
        <v>615</v>
      </c>
      <c r="G31" s="733"/>
      <c r="H31" s="733"/>
      <c r="I31" s="733"/>
      <c r="J31" s="733"/>
      <c r="K31" s="733"/>
      <c r="L31" s="733"/>
      <c r="M31" s="733"/>
    </row>
    <row r="32" spans="1:15" x14ac:dyDescent="0.3">
      <c r="A32" s="733" t="s">
        <v>611</v>
      </c>
      <c r="B32" s="733" t="s">
        <v>612</v>
      </c>
      <c r="C32" s="733" t="s">
        <v>617</v>
      </c>
      <c r="D32" s="733" t="s">
        <v>21</v>
      </c>
      <c r="E32" s="733" t="s">
        <v>614</v>
      </c>
      <c r="F32" s="733" t="s">
        <v>615</v>
      </c>
      <c r="G32" s="733"/>
      <c r="H32" s="733"/>
      <c r="I32" s="733"/>
      <c r="J32" s="733"/>
      <c r="K32" s="733"/>
      <c r="L32" s="733"/>
      <c r="M32" s="733"/>
    </row>
    <row r="33" spans="1:13" x14ac:dyDescent="0.3">
      <c r="A33" s="733" t="s">
        <v>611</v>
      </c>
      <c r="B33" s="733" t="s">
        <v>612</v>
      </c>
      <c r="C33" s="733" t="s">
        <v>618</v>
      </c>
      <c r="D33" s="733" t="s">
        <v>21</v>
      </c>
      <c r="E33" s="733" t="s">
        <v>614</v>
      </c>
      <c r="F33" s="733" t="s">
        <v>615</v>
      </c>
      <c r="G33" s="733"/>
      <c r="H33" s="733"/>
      <c r="I33" s="733"/>
      <c r="J33" s="733"/>
      <c r="K33" s="733"/>
      <c r="L33" s="733"/>
      <c r="M33" s="733"/>
    </row>
    <row r="34" spans="1:13" x14ac:dyDescent="0.3">
      <c r="A34" s="733" t="s">
        <v>611</v>
      </c>
      <c r="B34" s="733" t="s">
        <v>612</v>
      </c>
      <c r="C34" s="733" t="s">
        <v>619</v>
      </c>
      <c r="D34" s="733" t="s">
        <v>21</v>
      </c>
      <c r="E34" s="733" t="s">
        <v>614</v>
      </c>
      <c r="F34" s="733" t="s">
        <v>615</v>
      </c>
      <c r="G34" s="733"/>
      <c r="H34" s="733"/>
      <c r="I34" s="733"/>
      <c r="J34" s="733"/>
      <c r="K34" s="733"/>
      <c r="L34" s="733"/>
      <c r="M34" s="733"/>
    </row>
    <row r="35" spans="1:13" x14ac:dyDescent="0.3">
      <c r="A35" s="733" t="s">
        <v>611</v>
      </c>
      <c r="B35" s="733" t="s">
        <v>612</v>
      </c>
      <c r="C35" s="733" t="s">
        <v>620</v>
      </c>
      <c r="D35" s="733" t="s">
        <v>21</v>
      </c>
      <c r="E35" s="733" t="s">
        <v>614</v>
      </c>
      <c r="F35" s="733" t="s">
        <v>615</v>
      </c>
      <c r="G35" s="733"/>
      <c r="H35" s="733"/>
      <c r="I35" s="733"/>
      <c r="J35" s="733"/>
      <c r="K35" s="733"/>
      <c r="L35" s="733"/>
      <c r="M35" s="733"/>
    </row>
    <row r="36" spans="1:13" x14ac:dyDescent="0.3">
      <c r="A36" s="733" t="s">
        <v>611</v>
      </c>
      <c r="B36" s="733" t="s">
        <v>612</v>
      </c>
      <c r="C36" s="733" t="s">
        <v>621</v>
      </c>
      <c r="D36" s="733" t="s">
        <v>21</v>
      </c>
      <c r="E36" s="733" t="s">
        <v>614</v>
      </c>
      <c r="F36" s="733" t="s">
        <v>615</v>
      </c>
      <c r="G36" s="733"/>
      <c r="H36" s="733"/>
      <c r="I36" s="733"/>
      <c r="J36" s="733"/>
      <c r="K36" s="733"/>
      <c r="L36" s="733"/>
      <c r="M36" s="733"/>
    </row>
    <row r="37" spans="1:13" x14ac:dyDescent="0.3">
      <c r="A37" s="733" t="s">
        <v>611</v>
      </c>
      <c r="B37" s="733" t="s">
        <v>612</v>
      </c>
      <c r="C37" s="733" t="s">
        <v>622</v>
      </c>
      <c r="D37" s="733" t="s">
        <v>21</v>
      </c>
      <c r="E37" s="733" t="s">
        <v>614</v>
      </c>
      <c r="F37" s="733" t="s">
        <v>615</v>
      </c>
      <c r="G37" s="733"/>
      <c r="H37" s="733"/>
      <c r="I37" s="733"/>
      <c r="J37" s="733"/>
      <c r="K37" s="733"/>
      <c r="L37" s="733"/>
      <c r="M37" s="733"/>
    </row>
    <row r="38" spans="1:13" x14ac:dyDescent="0.3">
      <c r="A38" s="733" t="s">
        <v>611</v>
      </c>
      <c r="B38" s="733" t="s">
        <v>612</v>
      </c>
      <c r="C38" s="733" t="s">
        <v>623</v>
      </c>
      <c r="D38" s="733" t="s">
        <v>21</v>
      </c>
      <c r="E38" s="733" t="s">
        <v>614</v>
      </c>
      <c r="F38" s="733" t="s">
        <v>615</v>
      </c>
      <c r="G38" s="733"/>
      <c r="H38" s="733"/>
      <c r="I38" s="733"/>
      <c r="J38" s="733"/>
      <c r="K38" s="733"/>
      <c r="L38" s="733"/>
      <c r="M38" s="733"/>
    </row>
    <row r="39" spans="1:13" x14ac:dyDescent="0.3">
      <c r="A39" s="733" t="s">
        <v>611</v>
      </c>
      <c r="B39" s="733" t="s">
        <v>612</v>
      </c>
      <c r="C39" s="733" t="s">
        <v>624</v>
      </c>
      <c r="D39" s="733" t="s">
        <v>21</v>
      </c>
      <c r="E39" s="733" t="s">
        <v>614</v>
      </c>
      <c r="F39" s="733" t="s">
        <v>615</v>
      </c>
      <c r="G39" s="733"/>
      <c r="H39" s="733"/>
      <c r="I39" s="733"/>
      <c r="J39" s="733"/>
      <c r="K39" s="733"/>
      <c r="L39" s="733"/>
      <c r="M39" s="733"/>
    </row>
    <row r="40" spans="1:13" x14ac:dyDescent="0.3">
      <c r="A40" s="733" t="s">
        <v>611</v>
      </c>
      <c r="B40" s="733" t="s">
        <v>612</v>
      </c>
      <c r="C40" s="733" t="s">
        <v>625</v>
      </c>
      <c r="D40" s="733" t="s">
        <v>21</v>
      </c>
      <c r="E40" s="733" t="s">
        <v>614</v>
      </c>
      <c r="F40" s="733" t="s">
        <v>615</v>
      </c>
      <c r="G40" s="733"/>
      <c r="H40" s="733"/>
      <c r="I40" s="733"/>
      <c r="J40" s="733"/>
      <c r="K40" s="733"/>
      <c r="L40" s="733"/>
      <c r="M40" s="733"/>
    </row>
    <row r="41" spans="1:13" x14ac:dyDescent="0.3">
      <c r="A41" s="733" t="s">
        <v>611</v>
      </c>
      <c r="B41" s="733" t="s">
        <v>612</v>
      </c>
      <c r="C41" s="733" t="s">
        <v>626</v>
      </c>
      <c r="D41" s="733" t="s">
        <v>21</v>
      </c>
      <c r="E41" s="733" t="s">
        <v>614</v>
      </c>
      <c r="F41" s="733" t="s">
        <v>615</v>
      </c>
      <c r="G41" s="733"/>
      <c r="H41" s="733"/>
      <c r="I41" s="733"/>
      <c r="J41" s="733"/>
      <c r="K41" s="733"/>
      <c r="L41" s="733"/>
      <c r="M41" s="733"/>
    </row>
    <row r="42" spans="1:13" x14ac:dyDescent="0.3">
      <c r="A42" s="733" t="s">
        <v>611</v>
      </c>
      <c r="B42" s="733" t="s">
        <v>612</v>
      </c>
      <c r="C42" s="733" t="s">
        <v>627</v>
      </c>
      <c r="D42" s="733" t="s">
        <v>21</v>
      </c>
      <c r="E42" s="733" t="s">
        <v>614</v>
      </c>
      <c r="F42" s="733" t="s">
        <v>615</v>
      </c>
      <c r="G42" s="733"/>
      <c r="H42" s="733"/>
      <c r="I42" s="733"/>
      <c r="J42" s="733"/>
      <c r="K42" s="733"/>
      <c r="L42" s="733"/>
      <c r="M42" s="733"/>
    </row>
    <row r="43" spans="1:13" x14ac:dyDescent="0.3">
      <c r="A43" s="733" t="s">
        <v>611</v>
      </c>
      <c r="B43" s="733" t="s">
        <v>612</v>
      </c>
      <c r="C43" s="733" t="s">
        <v>628</v>
      </c>
      <c r="D43" s="733" t="s">
        <v>21</v>
      </c>
      <c r="E43" s="733" t="s">
        <v>614</v>
      </c>
      <c r="F43" s="733" t="s">
        <v>615</v>
      </c>
      <c r="G43" s="733"/>
      <c r="H43" s="733"/>
      <c r="I43" s="733"/>
      <c r="J43" s="733"/>
      <c r="K43" s="733"/>
      <c r="L43" s="733"/>
      <c r="M43" s="733"/>
    </row>
    <row r="44" spans="1:13" x14ac:dyDescent="0.3">
      <c r="A44" s="733" t="s">
        <v>611</v>
      </c>
      <c r="B44" s="733" t="s">
        <v>612</v>
      </c>
      <c r="C44" s="733" t="s">
        <v>629</v>
      </c>
      <c r="D44" s="733" t="s">
        <v>21</v>
      </c>
      <c r="E44" s="733" t="s">
        <v>614</v>
      </c>
      <c r="F44" s="733" t="s">
        <v>615</v>
      </c>
      <c r="G44" s="733"/>
      <c r="H44" s="733"/>
      <c r="I44" s="733"/>
      <c r="J44" s="733"/>
      <c r="K44" s="733"/>
      <c r="L44" s="733"/>
      <c r="M44" s="733"/>
    </row>
    <row r="45" spans="1:13" x14ac:dyDescent="0.3">
      <c r="A45" s="733" t="s">
        <v>611</v>
      </c>
      <c r="B45" s="733" t="s">
        <v>612</v>
      </c>
      <c r="C45" s="733" t="s">
        <v>630</v>
      </c>
      <c r="D45" s="733" t="s">
        <v>21</v>
      </c>
      <c r="E45" s="733" t="s">
        <v>614</v>
      </c>
      <c r="F45" s="733" t="s">
        <v>615</v>
      </c>
      <c r="G45" s="733"/>
      <c r="H45" s="733"/>
      <c r="I45" s="733"/>
      <c r="J45" s="733"/>
      <c r="K45" s="733"/>
      <c r="L45" s="733"/>
      <c r="M45" s="733"/>
    </row>
    <row r="46" spans="1:13" x14ac:dyDescent="0.3">
      <c r="A46" s="733" t="s">
        <v>611</v>
      </c>
      <c r="B46" s="733" t="s">
        <v>612</v>
      </c>
      <c r="C46" s="733" t="s">
        <v>631</v>
      </c>
      <c r="D46" s="733" t="s">
        <v>21</v>
      </c>
      <c r="E46" s="733" t="s">
        <v>614</v>
      </c>
      <c r="F46" s="733" t="s">
        <v>615</v>
      </c>
      <c r="G46" s="733"/>
      <c r="H46" s="733"/>
      <c r="I46" s="733"/>
      <c r="J46" s="733"/>
      <c r="K46" s="733"/>
      <c r="L46" s="733"/>
      <c r="M46" s="733"/>
    </row>
    <row r="47" spans="1:13" x14ac:dyDescent="0.3">
      <c r="A47" s="733" t="s">
        <v>611</v>
      </c>
      <c r="B47" s="733" t="s">
        <v>612</v>
      </c>
      <c r="C47" s="733" t="s">
        <v>632</v>
      </c>
      <c r="D47" s="733" t="s">
        <v>21</v>
      </c>
      <c r="E47" s="733" t="s">
        <v>614</v>
      </c>
      <c r="F47" s="733" t="s">
        <v>615</v>
      </c>
      <c r="G47" s="733"/>
      <c r="H47" s="733"/>
      <c r="I47" s="733"/>
      <c r="J47" s="733"/>
      <c r="K47" s="733"/>
      <c r="L47" s="733"/>
      <c r="M47" s="733"/>
    </row>
    <row r="48" spans="1:13" x14ac:dyDescent="0.3">
      <c r="A48" s="733" t="s">
        <v>611</v>
      </c>
      <c r="B48" s="733" t="s">
        <v>612</v>
      </c>
      <c r="C48" s="733" t="s">
        <v>633</v>
      </c>
      <c r="D48" s="733" t="s">
        <v>21</v>
      </c>
      <c r="E48" s="733" t="s">
        <v>614</v>
      </c>
      <c r="F48" s="733" t="s">
        <v>615</v>
      </c>
      <c r="G48" s="733"/>
      <c r="H48" s="733"/>
      <c r="I48" s="733"/>
      <c r="J48" s="733"/>
      <c r="K48" s="733"/>
      <c r="L48" s="733"/>
      <c r="M48" s="733"/>
    </row>
    <row r="49" spans="1:13" x14ac:dyDescent="0.3">
      <c r="A49" s="733" t="s">
        <v>611</v>
      </c>
      <c r="B49" s="733" t="s">
        <v>612</v>
      </c>
      <c r="C49" s="733" t="s">
        <v>634</v>
      </c>
      <c r="D49" s="733" t="s">
        <v>21</v>
      </c>
      <c r="E49" s="733" t="s">
        <v>614</v>
      </c>
      <c r="F49" s="733" t="s">
        <v>615</v>
      </c>
      <c r="G49" s="733"/>
      <c r="H49" s="733"/>
      <c r="I49" s="733"/>
      <c r="J49" s="733"/>
      <c r="K49" s="733"/>
      <c r="L49" s="733"/>
      <c r="M49" s="733"/>
    </row>
    <row r="50" spans="1:13" x14ac:dyDescent="0.3">
      <c r="A50" s="733" t="s">
        <v>611</v>
      </c>
      <c r="B50" s="733" t="s">
        <v>612</v>
      </c>
      <c r="C50" s="733" t="s">
        <v>635</v>
      </c>
      <c r="D50" s="733" t="s">
        <v>21</v>
      </c>
      <c r="E50" s="733" t="s">
        <v>614</v>
      </c>
      <c r="F50" s="733" t="s">
        <v>615</v>
      </c>
      <c r="G50" s="733"/>
      <c r="H50" s="733"/>
      <c r="I50" s="733"/>
      <c r="J50" s="733"/>
      <c r="K50" s="733"/>
      <c r="L50" s="733"/>
      <c r="M50" s="733"/>
    </row>
    <row r="51" spans="1:13" x14ac:dyDescent="0.3">
      <c r="A51" s="733" t="s">
        <v>611</v>
      </c>
      <c r="B51" s="733" t="s">
        <v>612</v>
      </c>
      <c r="C51" s="733" t="s">
        <v>636</v>
      </c>
      <c r="D51" s="733" t="s">
        <v>21</v>
      </c>
      <c r="E51" s="733" t="s">
        <v>614</v>
      </c>
      <c r="F51" s="733" t="s">
        <v>615</v>
      </c>
      <c r="G51" s="733"/>
      <c r="H51" s="733"/>
      <c r="I51" s="733"/>
      <c r="J51" s="733"/>
      <c r="K51" s="733"/>
      <c r="L51" s="733"/>
      <c r="M51" s="733"/>
    </row>
    <row r="52" spans="1:13" x14ac:dyDescent="0.3">
      <c r="A52" s="733" t="s">
        <v>611</v>
      </c>
      <c r="B52" s="733" t="s">
        <v>612</v>
      </c>
      <c r="C52" s="733" t="s">
        <v>637</v>
      </c>
      <c r="D52" s="733" t="s">
        <v>21</v>
      </c>
      <c r="E52" s="733" t="s">
        <v>614</v>
      </c>
      <c r="F52" s="733" t="s">
        <v>615</v>
      </c>
      <c r="G52" s="733"/>
      <c r="H52" s="733"/>
      <c r="I52" s="733"/>
      <c r="J52" s="733"/>
      <c r="K52" s="733"/>
      <c r="L52" s="733"/>
      <c r="M52" s="733"/>
    </row>
    <row r="53" spans="1:13" x14ac:dyDescent="0.3">
      <c r="A53" s="733" t="s">
        <v>611</v>
      </c>
      <c r="B53" s="733" t="s">
        <v>612</v>
      </c>
      <c r="C53" s="733" t="s">
        <v>638</v>
      </c>
      <c r="D53" s="733" t="s">
        <v>21</v>
      </c>
      <c r="E53" s="733" t="s">
        <v>614</v>
      </c>
      <c r="F53" s="733" t="s">
        <v>615</v>
      </c>
      <c r="G53" s="733"/>
      <c r="H53" s="733"/>
      <c r="I53" s="733"/>
      <c r="J53" s="733"/>
      <c r="K53" s="733"/>
      <c r="L53" s="733"/>
      <c r="M53" s="733"/>
    </row>
    <row r="54" spans="1:13" x14ac:dyDescent="0.3">
      <c r="A54" s="733" t="s">
        <v>611</v>
      </c>
      <c r="B54" s="733" t="s">
        <v>612</v>
      </c>
      <c r="C54" s="733" t="s">
        <v>639</v>
      </c>
      <c r="D54" s="733" t="s">
        <v>21</v>
      </c>
      <c r="E54" s="733" t="s">
        <v>614</v>
      </c>
      <c r="F54" s="733" t="s">
        <v>615</v>
      </c>
      <c r="G54" s="733"/>
      <c r="H54" s="733"/>
      <c r="I54" s="733"/>
      <c r="J54" s="733"/>
      <c r="K54" s="733"/>
      <c r="L54" s="733"/>
      <c r="M54" s="733"/>
    </row>
    <row r="55" spans="1:13" x14ac:dyDescent="0.3">
      <c r="A55" s="733" t="s">
        <v>611</v>
      </c>
      <c r="B55" s="733" t="s">
        <v>612</v>
      </c>
      <c r="C55" s="733" t="s">
        <v>640</v>
      </c>
      <c r="D55" s="733" t="s">
        <v>21</v>
      </c>
      <c r="E55" s="733" t="s">
        <v>614</v>
      </c>
      <c r="F55" s="733" t="s">
        <v>615</v>
      </c>
      <c r="G55" s="733"/>
      <c r="H55" s="733"/>
      <c r="I55" s="733"/>
      <c r="J55" s="733"/>
      <c r="K55" s="733"/>
      <c r="L55" s="733"/>
      <c r="M55" s="733"/>
    </row>
    <row r="56" spans="1:13" x14ac:dyDescent="0.3">
      <c r="A56" s="733" t="s">
        <v>611</v>
      </c>
      <c r="B56" s="733" t="s">
        <v>612</v>
      </c>
      <c r="C56" s="733" t="s">
        <v>641</v>
      </c>
      <c r="D56" s="733" t="s">
        <v>21</v>
      </c>
      <c r="E56" s="733" t="s">
        <v>614</v>
      </c>
      <c r="F56" s="733" t="s">
        <v>615</v>
      </c>
      <c r="G56" s="733"/>
      <c r="H56" s="733"/>
      <c r="I56" s="733"/>
      <c r="J56" s="733"/>
      <c r="K56" s="733"/>
      <c r="L56" s="733"/>
      <c r="M56" s="733"/>
    </row>
    <row r="57" spans="1:13" x14ac:dyDescent="0.3">
      <c r="A57" s="733" t="s">
        <v>611</v>
      </c>
      <c r="B57" s="733" t="s">
        <v>612</v>
      </c>
      <c r="C57" s="733" t="s">
        <v>642</v>
      </c>
      <c r="D57" s="733" t="s">
        <v>21</v>
      </c>
      <c r="E57" s="733" t="s">
        <v>614</v>
      </c>
      <c r="F57" s="733" t="s">
        <v>615</v>
      </c>
      <c r="G57" s="733"/>
      <c r="H57" s="733"/>
      <c r="I57" s="733"/>
      <c r="J57" s="733"/>
      <c r="K57" s="733"/>
      <c r="L57" s="733"/>
      <c r="M57" s="733"/>
    </row>
    <row r="58" spans="1:13" x14ac:dyDescent="0.3">
      <c r="A58" s="733" t="s">
        <v>611</v>
      </c>
      <c r="B58" s="733" t="s">
        <v>612</v>
      </c>
      <c r="C58" s="733" t="s">
        <v>643</v>
      </c>
      <c r="D58" s="733" t="s">
        <v>21</v>
      </c>
      <c r="E58" s="733" t="s">
        <v>614</v>
      </c>
      <c r="F58" s="733" t="s">
        <v>615</v>
      </c>
      <c r="G58" s="733"/>
      <c r="H58" s="733"/>
      <c r="I58" s="733"/>
      <c r="J58" s="733"/>
      <c r="K58" s="733"/>
      <c r="L58" s="733"/>
      <c r="M58" s="733"/>
    </row>
    <row r="59" spans="1:13" x14ac:dyDescent="0.3">
      <c r="A59" s="733" t="s">
        <v>611</v>
      </c>
      <c r="B59" s="733" t="s">
        <v>612</v>
      </c>
      <c r="C59" s="733" t="s">
        <v>644</v>
      </c>
      <c r="D59" s="733" t="s">
        <v>21</v>
      </c>
      <c r="E59" s="733" t="s">
        <v>614</v>
      </c>
      <c r="F59" s="733" t="s">
        <v>615</v>
      </c>
      <c r="G59" s="733"/>
      <c r="H59" s="733"/>
      <c r="I59" s="733"/>
      <c r="J59" s="733"/>
      <c r="K59" s="733"/>
      <c r="L59" s="733"/>
      <c r="M59" s="733"/>
    </row>
    <row r="60" spans="1:13" x14ac:dyDescent="0.3">
      <c r="A60" s="733" t="s">
        <v>611</v>
      </c>
      <c r="B60" s="733" t="s">
        <v>645</v>
      </c>
      <c r="C60" s="733" t="s">
        <v>646</v>
      </c>
      <c r="D60" s="733" t="s">
        <v>21</v>
      </c>
      <c r="E60" s="733" t="s">
        <v>614</v>
      </c>
      <c r="F60" s="733" t="s">
        <v>615</v>
      </c>
      <c r="G60" s="733"/>
      <c r="H60" s="733"/>
      <c r="I60" s="733"/>
      <c r="J60" s="733"/>
      <c r="K60" s="733"/>
      <c r="L60" s="733"/>
      <c r="M60" s="733"/>
    </row>
    <row r="61" spans="1:13" x14ac:dyDescent="0.3">
      <c r="A61" s="733" t="s">
        <v>611</v>
      </c>
      <c r="B61" s="733" t="s">
        <v>645</v>
      </c>
      <c r="C61" s="733" t="s">
        <v>647</v>
      </c>
      <c r="D61" s="733" t="s">
        <v>21</v>
      </c>
      <c r="E61" s="733" t="s">
        <v>614</v>
      </c>
      <c r="F61" s="733" t="s">
        <v>615</v>
      </c>
      <c r="G61" s="733"/>
      <c r="H61" s="733"/>
      <c r="I61" s="733"/>
      <c r="J61" s="733"/>
      <c r="K61" s="733"/>
      <c r="L61" s="733"/>
      <c r="M61" s="733"/>
    </row>
    <row r="62" spans="1:13" x14ac:dyDescent="0.3">
      <c r="A62" s="733" t="s">
        <v>611</v>
      </c>
      <c r="B62" s="733" t="s">
        <v>645</v>
      </c>
      <c r="C62" s="733" t="s">
        <v>648</v>
      </c>
      <c r="D62" s="733" t="s">
        <v>21</v>
      </c>
      <c r="E62" s="733" t="s">
        <v>614</v>
      </c>
      <c r="F62" s="733" t="s">
        <v>615</v>
      </c>
      <c r="G62" s="733"/>
      <c r="H62" s="733"/>
      <c r="I62" s="733"/>
      <c r="J62" s="733"/>
      <c r="K62" s="733"/>
      <c r="L62" s="733"/>
      <c r="M62" s="733"/>
    </row>
    <row r="63" spans="1:13" x14ac:dyDescent="0.3">
      <c r="A63" s="733" t="s">
        <v>611</v>
      </c>
      <c r="B63" s="733" t="s">
        <v>645</v>
      </c>
      <c r="C63" s="733" t="s">
        <v>649</v>
      </c>
      <c r="D63" s="733" t="s">
        <v>21</v>
      </c>
      <c r="E63" s="733" t="s">
        <v>614</v>
      </c>
      <c r="F63" s="733" t="s">
        <v>615</v>
      </c>
      <c r="G63" s="733"/>
      <c r="H63" s="733"/>
      <c r="I63" s="733"/>
      <c r="J63" s="733"/>
      <c r="K63" s="733"/>
      <c r="L63" s="733"/>
      <c r="M63" s="733"/>
    </row>
    <row r="64" spans="1:13" x14ac:dyDescent="0.3">
      <c r="A64" s="733" t="s">
        <v>611</v>
      </c>
      <c r="B64" s="733" t="s">
        <v>645</v>
      </c>
      <c r="C64" s="733" t="s">
        <v>650</v>
      </c>
      <c r="D64" s="733" t="s">
        <v>21</v>
      </c>
      <c r="E64" s="733" t="s">
        <v>614</v>
      </c>
      <c r="F64" s="733" t="s">
        <v>615</v>
      </c>
      <c r="G64" s="733"/>
      <c r="H64" s="733"/>
      <c r="I64" s="733"/>
      <c r="J64" s="733"/>
      <c r="K64" s="733"/>
      <c r="L64" s="733"/>
      <c r="M64" s="733"/>
    </row>
    <row r="65" spans="1:13" x14ac:dyDescent="0.3">
      <c r="A65" s="733" t="s">
        <v>611</v>
      </c>
      <c r="B65" s="733" t="s">
        <v>645</v>
      </c>
      <c r="C65" s="733" t="s">
        <v>651</v>
      </c>
      <c r="D65" s="733" t="s">
        <v>21</v>
      </c>
      <c r="E65" s="733" t="s">
        <v>614</v>
      </c>
      <c r="F65" s="733" t="s">
        <v>615</v>
      </c>
      <c r="G65" s="733"/>
      <c r="H65" s="733"/>
      <c r="I65" s="733"/>
      <c r="J65" s="733"/>
      <c r="K65" s="733"/>
      <c r="L65" s="733"/>
      <c r="M65" s="733"/>
    </row>
    <row r="66" spans="1:13" x14ac:dyDescent="0.3">
      <c r="A66" s="733" t="s">
        <v>611</v>
      </c>
      <c r="B66" s="733" t="s">
        <v>645</v>
      </c>
      <c r="C66" s="733" t="s">
        <v>652</v>
      </c>
      <c r="D66" s="733" t="s">
        <v>21</v>
      </c>
      <c r="E66" s="733" t="s">
        <v>614</v>
      </c>
      <c r="F66" s="733" t="s">
        <v>615</v>
      </c>
      <c r="G66" s="733"/>
      <c r="H66" s="733"/>
      <c r="I66" s="733"/>
      <c r="J66" s="733"/>
      <c r="K66" s="733"/>
      <c r="L66" s="733"/>
      <c r="M66" s="733"/>
    </row>
    <row r="67" spans="1:13" x14ac:dyDescent="0.3">
      <c r="A67" s="733" t="s">
        <v>611</v>
      </c>
      <c r="B67" s="733" t="s">
        <v>645</v>
      </c>
      <c r="C67" s="733" t="s">
        <v>653</v>
      </c>
      <c r="D67" s="733" t="s">
        <v>21</v>
      </c>
      <c r="E67" s="733" t="s">
        <v>614</v>
      </c>
      <c r="F67" s="733" t="s">
        <v>615</v>
      </c>
      <c r="G67" s="733"/>
      <c r="H67" s="733"/>
      <c r="I67" s="733"/>
      <c r="J67" s="733"/>
      <c r="K67" s="733"/>
      <c r="L67" s="733"/>
      <c r="M67" s="733"/>
    </row>
    <row r="68" spans="1:13" x14ac:dyDescent="0.3">
      <c r="A68" s="733" t="s">
        <v>611</v>
      </c>
      <c r="B68" s="733" t="s">
        <v>645</v>
      </c>
      <c r="C68" s="733" t="s">
        <v>654</v>
      </c>
      <c r="D68" s="733" t="s">
        <v>21</v>
      </c>
      <c r="E68" s="733" t="s">
        <v>614</v>
      </c>
      <c r="F68" s="733" t="s">
        <v>615</v>
      </c>
      <c r="G68" s="733"/>
      <c r="H68" s="733"/>
      <c r="I68" s="733"/>
      <c r="J68" s="733"/>
      <c r="K68" s="733"/>
      <c r="L68" s="733"/>
      <c r="M68" s="733"/>
    </row>
    <row r="69" spans="1:13" x14ac:dyDescent="0.3">
      <c r="A69" s="733" t="s">
        <v>611</v>
      </c>
      <c r="B69" s="733" t="s">
        <v>645</v>
      </c>
      <c r="C69" s="733" t="s">
        <v>655</v>
      </c>
      <c r="D69" s="733" t="s">
        <v>21</v>
      </c>
      <c r="E69" s="733" t="s">
        <v>614</v>
      </c>
      <c r="F69" s="733" t="s">
        <v>615</v>
      </c>
      <c r="G69" s="733"/>
      <c r="H69" s="733"/>
      <c r="I69" s="733"/>
      <c r="J69" s="733"/>
      <c r="K69" s="733"/>
      <c r="L69" s="733"/>
      <c r="M69" s="733"/>
    </row>
    <row r="70" spans="1:13" x14ac:dyDescent="0.3">
      <c r="A70" s="733" t="s">
        <v>611</v>
      </c>
      <c r="B70" s="733" t="s">
        <v>645</v>
      </c>
      <c r="C70" s="733" t="s">
        <v>656</v>
      </c>
      <c r="D70" s="733" t="s">
        <v>21</v>
      </c>
      <c r="E70" s="733" t="s">
        <v>614</v>
      </c>
      <c r="F70" s="733" t="s">
        <v>615</v>
      </c>
      <c r="G70" s="733"/>
      <c r="H70" s="733"/>
      <c r="I70" s="733"/>
      <c r="J70" s="733"/>
      <c r="K70" s="733"/>
      <c r="L70" s="733"/>
      <c r="M70" s="733"/>
    </row>
    <row r="71" spans="1:13" x14ac:dyDescent="0.3">
      <c r="A71" s="733" t="s">
        <v>611</v>
      </c>
      <c r="B71" s="733" t="s">
        <v>645</v>
      </c>
      <c r="C71" s="733" t="s">
        <v>657</v>
      </c>
      <c r="D71" s="733" t="s">
        <v>21</v>
      </c>
      <c r="E71" s="733" t="s">
        <v>614</v>
      </c>
      <c r="F71" s="733" t="s">
        <v>615</v>
      </c>
      <c r="G71" s="733"/>
      <c r="H71" s="733"/>
      <c r="I71" s="733"/>
      <c r="J71" s="733"/>
      <c r="K71" s="733"/>
      <c r="L71" s="733"/>
      <c r="M71" s="733"/>
    </row>
    <row r="72" spans="1:13" x14ac:dyDescent="0.3">
      <c r="A72" s="733" t="s">
        <v>611</v>
      </c>
      <c r="B72" s="733" t="s">
        <v>645</v>
      </c>
      <c r="C72" s="733" t="s">
        <v>658</v>
      </c>
      <c r="D72" s="733" t="s">
        <v>21</v>
      </c>
      <c r="E72" s="733" t="s">
        <v>614</v>
      </c>
      <c r="F72" s="733" t="s">
        <v>615</v>
      </c>
      <c r="G72" s="733"/>
      <c r="H72" s="733"/>
      <c r="I72" s="733"/>
      <c r="J72" s="733"/>
      <c r="K72" s="733"/>
      <c r="L72" s="733"/>
      <c r="M72" s="733"/>
    </row>
    <row r="73" spans="1:13" x14ac:dyDescent="0.3">
      <c r="A73" s="733" t="s">
        <v>611</v>
      </c>
      <c r="B73" s="733" t="s">
        <v>645</v>
      </c>
      <c r="C73" s="733" t="s">
        <v>659</v>
      </c>
      <c r="D73" s="733" t="s">
        <v>21</v>
      </c>
      <c r="E73" s="733" t="s">
        <v>614</v>
      </c>
      <c r="F73" s="733" t="s">
        <v>615</v>
      </c>
      <c r="G73" s="733"/>
      <c r="H73" s="733"/>
      <c r="I73" s="733"/>
      <c r="J73" s="733"/>
      <c r="K73" s="733"/>
      <c r="L73" s="733"/>
      <c r="M73" s="733"/>
    </row>
    <row r="74" spans="1:13" x14ac:dyDescent="0.3">
      <c r="A74" s="733" t="s">
        <v>611</v>
      </c>
      <c r="B74" s="733" t="s">
        <v>645</v>
      </c>
      <c r="C74" s="733" t="s">
        <v>660</v>
      </c>
      <c r="D74" s="733" t="s">
        <v>21</v>
      </c>
      <c r="E74" s="733" t="s">
        <v>614</v>
      </c>
      <c r="F74" s="733" t="s">
        <v>615</v>
      </c>
      <c r="G74" s="733"/>
      <c r="H74" s="733"/>
      <c r="I74" s="733"/>
      <c r="J74" s="733"/>
      <c r="K74" s="733"/>
      <c r="L74" s="733"/>
      <c r="M74" s="733"/>
    </row>
    <row r="75" spans="1:13" x14ac:dyDescent="0.3">
      <c r="A75" s="733" t="s">
        <v>611</v>
      </c>
      <c r="B75" s="733" t="s">
        <v>645</v>
      </c>
      <c r="C75" s="733" t="s">
        <v>661</v>
      </c>
      <c r="D75" s="733" t="s">
        <v>21</v>
      </c>
      <c r="E75" s="733" t="s">
        <v>614</v>
      </c>
      <c r="F75" s="733" t="s">
        <v>615</v>
      </c>
      <c r="G75" s="733"/>
      <c r="H75" s="733"/>
      <c r="I75" s="733"/>
      <c r="J75" s="733"/>
      <c r="K75" s="733"/>
      <c r="L75" s="733"/>
      <c r="M75" s="733"/>
    </row>
    <row r="76" spans="1:13" x14ac:dyDescent="0.3">
      <c r="A76" s="733" t="s">
        <v>611</v>
      </c>
      <c r="B76" s="733" t="s">
        <v>645</v>
      </c>
      <c r="C76" s="733" t="s">
        <v>662</v>
      </c>
      <c r="D76" s="733" t="s">
        <v>21</v>
      </c>
      <c r="E76" s="733" t="s">
        <v>614</v>
      </c>
      <c r="F76" s="733" t="s">
        <v>615</v>
      </c>
      <c r="G76" s="733"/>
      <c r="H76" s="733"/>
      <c r="I76" s="733"/>
      <c r="J76" s="733"/>
      <c r="K76" s="733"/>
      <c r="L76" s="733"/>
      <c r="M76" s="733"/>
    </row>
    <row r="77" spans="1:13" x14ac:dyDescent="0.3">
      <c r="A77" s="733" t="s">
        <v>611</v>
      </c>
      <c r="B77" s="733" t="s">
        <v>645</v>
      </c>
      <c r="C77" s="733" t="s">
        <v>663</v>
      </c>
      <c r="D77" s="733" t="s">
        <v>21</v>
      </c>
      <c r="E77" s="733" t="s">
        <v>614</v>
      </c>
      <c r="F77" s="733" t="s">
        <v>615</v>
      </c>
      <c r="G77" s="733"/>
      <c r="H77" s="733"/>
      <c r="I77" s="733"/>
      <c r="J77" s="733"/>
      <c r="K77" s="733"/>
      <c r="L77" s="733"/>
      <c r="M77" s="733"/>
    </row>
    <row r="78" spans="1:13" x14ac:dyDescent="0.3">
      <c r="A78" s="733" t="s">
        <v>611</v>
      </c>
      <c r="B78" s="733" t="s">
        <v>664</v>
      </c>
      <c r="C78" s="733" t="s">
        <v>665</v>
      </c>
      <c r="D78" s="733" t="s">
        <v>21</v>
      </c>
      <c r="E78" s="733" t="s">
        <v>614</v>
      </c>
      <c r="F78" s="733" t="s">
        <v>615</v>
      </c>
      <c r="G78" s="733"/>
      <c r="H78" s="733"/>
      <c r="I78" s="733"/>
      <c r="J78" s="733"/>
      <c r="K78" s="733"/>
      <c r="L78" s="733"/>
      <c r="M78" s="733"/>
    </row>
    <row r="79" spans="1:13" x14ac:dyDescent="0.3">
      <c r="A79" s="733" t="s">
        <v>611</v>
      </c>
      <c r="B79" s="733" t="s">
        <v>664</v>
      </c>
      <c r="C79" s="733" t="s">
        <v>666</v>
      </c>
      <c r="D79" s="733" t="s">
        <v>21</v>
      </c>
      <c r="E79" s="733" t="s">
        <v>614</v>
      </c>
      <c r="F79" s="733" t="s">
        <v>615</v>
      </c>
      <c r="G79" s="733"/>
      <c r="H79" s="733"/>
      <c r="I79" s="733"/>
      <c r="J79" s="733"/>
      <c r="K79" s="733"/>
      <c r="L79" s="733"/>
      <c r="M79" s="733"/>
    </row>
    <row r="80" spans="1:13" x14ac:dyDescent="0.3">
      <c r="A80" s="733" t="s">
        <v>611</v>
      </c>
      <c r="B80" s="733" t="s">
        <v>664</v>
      </c>
      <c r="C80" s="733" t="s">
        <v>667</v>
      </c>
      <c r="D80" s="733" t="s">
        <v>21</v>
      </c>
      <c r="E80" s="733" t="s">
        <v>614</v>
      </c>
      <c r="F80" s="733" t="s">
        <v>615</v>
      </c>
      <c r="G80" s="733"/>
      <c r="H80" s="733"/>
      <c r="I80" s="733"/>
      <c r="J80" s="733"/>
      <c r="K80" s="733"/>
      <c r="L80" s="733"/>
      <c r="M80" s="733"/>
    </row>
    <row r="81" spans="1:13" x14ac:dyDescent="0.3">
      <c r="A81" s="733" t="s">
        <v>611</v>
      </c>
      <c r="B81" s="733" t="s">
        <v>664</v>
      </c>
      <c r="C81" s="733" t="s">
        <v>668</v>
      </c>
      <c r="D81" s="733" t="s">
        <v>21</v>
      </c>
      <c r="E81" s="733" t="s">
        <v>614</v>
      </c>
      <c r="F81" s="733" t="s">
        <v>615</v>
      </c>
      <c r="G81" s="733"/>
      <c r="H81" s="733"/>
      <c r="I81" s="733"/>
      <c r="J81" s="733"/>
      <c r="K81" s="733"/>
      <c r="L81" s="733"/>
      <c r="M81" s="733"/>
    </row>
    <row r="82" spans="1:13" x14ac:dyDescent="0.3">
      <c r="A82" s="733" t="s">
        <v>611</v>
      </c>
      <c r="B82" s="733" t="s">
        <v>664</v>
      </c>
      <c r="C82" s="733" t="s">
        <v>669</v>
      </c>
      <c r="D82" s="733" t="s">
        <v>21</v>
      </c>
      <c r="E82" s="733" t="s">
        <v>614</v>
      </c>
      <c r="F82" s="733" t="s">
        <v>615</v>
      </c>
      <c r="G82" s="733"/>
      <c r="H82" s="733"/>
      <c r="I82" s="733"/>
      <c r="J82" s="733"/>
      <c r="K82" s="733"/>
      <c r="L82" s="733"/>
      <c r="M82" s="733"/>
    </row>
    <row r="83" spans="1:13" x14ac:dyDescent="0.3">
      <c r="A83" s="733" t="s">
        <v>611</v>
      </c>
      <c r="B83" s="733" t="s">
        <v>664</v>
      </c>
      <c r="C83" s="733" t="s">
        <v>670</v>
      </c>
      <c r="D83" s="733" t="s">
        <v>21</v>
      </c>
      <c r="E83" s="733" t="s">
        <v>614</v>
      </c>
      <c r="F83" s="733" t="s">
        <v>615</v>
      </c>
      <c r="G83" s="733"/>
      <c r="H83" s="733"/>
      <c r="I83" s="733"/>
      <c r="J83" s="733"/>
      <c r="K83" s="733"/>
      <c r="L83" s="733"/>
      <c r="M83" s="733"/>
    </row>
    <row r="84" spans="1:13" x14ac:dyDescent="0.3">
      <c r="A84" s="733" t="s">
        <v>611</v>
      </c>
      <c r="B84" s="733" t="s">
        <v>664</v>
      </c>
      <c r="C84" s="733" t="s">
        <v>671</v>
      </c>
      <c r="D84" s="733" t="s">
        <v>21</v>
      </c>
      <c r="E84" s="733" t="s">
        <v>614</v>
      </c>
      <c r="F84" s="733" t="s">
        <v>615</v>
      </c>
      <c r="G84" s="733"/>
      <c r="H84" s="733"/>
      <c r="I84" s="733"/>
      <c r="J84" s="733"/>
      <c r="K84" s="733"/>
      <c r="L84" s="733"/>
      <c r="M84" s="733"/>
    </row>
    <row r="85" spans="1:13" x14ac:dyDescent="0.3">
      <c r="A85" s="733" t="s">
        <v>611</v>
      </c>
      <c r="B85" s="733" t="s">
        <v>664</v>
      </c>
      <c r="C85" s="733" t="s">
        <v>672</v>
      </c>
      <c r="D85" s="733" t="s">
        <v>21</v>
      </c>
      <c r="E85" s="733" t="s">
        <v>614</v>
      </c>
      <c r="F85" s="733" t="s">
        <v>615</v>
      </c>
      <c r="G85" s="733"/>
      <c r="H85" s="733"/>
      <c r="I85" s="733"/>
      <c r="J85" s="733"/>
      <c r="K85" s="733"/>
      <c r="L85" s="733"/>
      <c r="M85" s="733"/>
    </row>
    <row r="86" spans="1:13" x14ac:dyDescent="0.3">
      <c r="A86" s="733" t="s">
        <v>611</v>
      </c>
      <c r="B86" s="733" t="s">
        <v>664</v>
      </c>
      <c r="C86" s="733" t="s">
        <v>673</v>
      </c>
      <c r="D86" s="733" t="s">
        <v>21</v>
      </c>
      <c r="E86" s="733" t="s">
        <v>614</v>
      </c>
      <c r="F86" s="733" t="s">
        <v>615</v>
      </c>
      <c r="G86" s="733"/>
      <c r="H86" s="733"/>
      <c r="I86" s="733"/>
      <c r="J86" s="733"/>
      <c r="K86" s="733"/>
      <c r="L86" s="733"/>
      <c r="M86" s="733"/>
    </row>
    <row r="87" spans="1:13" x14ac:dyDescent="0.3">
      <c r="A87" s="733" t="s">
        <v>611</v>
      </c>
      <c r="B87" s="733" t="s">
        <v>664</v>
      </c>
      <c r="C87" s="733" t="s">
        <v>674</v>
      </c>
      <c r="D87" s="733" t="s">
        <v>21</v>
      </c>
      <c r="E87" s="733" t="s">
        <v>614</v>
      </c>
      <c r="F87" s="733" t="s">
        <v>615</v>
      </c>
      <c r="G87" s="733"/>
      <c r="H87" s="733"/>
      <c r="I87" s="733"/>
      <c r="J87" s="733"/>
      <c r="K87" s="733"/>
      <c r="L87" s="733"/>
      <c r="M87" s="733"/>
    </row>
    <row r="88" spans="1:13" x14ac:dyDescent="0.3">
      <c r="A88" s="733" t="s">
        <v>611</v>
      </c>
      <c r="B88" s="733" t="s">
        <v>664</v>
      </c>
      <c r="C88" s="733" t="s">
        <v>675</v>
      </c>
      <c r="D88" s="733" t="s">
        <v>21</v>
      </c>
      <c r="E88" s="733" t="s">
        <v>614</v>
      </c>
      <c r="F88" s="733" t="s">
        <v>615</v>
      </c>
      <c r="G88" s="733"/>
      <c r="H88" s="733"/>
      <c r="I88" s="733"/>
      <c r="J88" s="733"/>
      <c r="K88" s="733"/>
      <c r="L88" s="733"/>
      <c r="M88" s="733"/>
    </row>
    <row r="89" spans="1:13" x14ac:dyDescent="0.3">
      <c r="A89" s="733" t="s">
        <v>611</v>
      </c>
      <c r="B89" s="733" t="s">
        <v>664</v>
      </c>
      <c r="C89" s="733" t="s">
        <v>676</v>
      </c>
      <c r="D89" s="733" t="s">
        <v>21</v>
      </c>
      <c r="E89" s="733" t="s">
        <v>614</v>
      </c>
      <c r="F89" s="733" t="s">
        <v>615</v>
      </c>
      <c r="G89" s="733"/>
      <c r="H89" s="733"/>
      <c r="I89" s="733"/>
      <c r="J89" s="733"/>
      <c r="K89" s="733"/>
      <c r="L89" s="733"/>
      <c r="M89" s="733"/>
    </row>
    <row r="90" spans="1:13" x14ac:dyDescent="0.3">
      <c r="A90" s="733" t="s">
        <v>611</v>
      </c>
      <c r="B90" s="733" t="s">
        <v>664</v>
      </c>
      <c r="C90" s="733" t="s">
        <v>677</v>
      </c>
      <c r="D90" s="733" t="s">
        <v>21</v>
      </c>
      <c r="E90" s="733" t="s">
        <v>614</v>
      </c>
      <c r="F90" s="733" t="s">
        <v>615</v>
      </c>
      <c r="G90" s="733"/>
      <c r="H90" s="733"/>
      <c r="I90" s="733"/>
      <c r="J90" s="733"/>
      <c r="K90" s="733"/>
      <c r="L90" s="733"/>
      <c r="M90" s="733"/>
    </row>
    <row r="91" spans="1:13" x14ac:dyDescent="0.3">
      <c r="A91" s="733" t="s">
        <v>611</v>
      </c>
      <c r="B91" s="733" t="s">
        <v>664</v>
      </c>
      <c r="C91" s="733" t="s">
        <v>678</v>
      </c>
      <c r="D91" s="733" t="s">
        <v>21</v>
      </c>
      <c r="E91" s="733" t="s">
        <v>614</v>
      </c>
      <c r="F91" s="733" t="s">
        <v>615</v>
      </c>
      <c r="G91" s="733"/>
      <c r="H91" s="733"/>
      <c r="I91" s="733"/>
      <c r="J91" s="733"/>
      <c r="K91" s="733"/>
      <c r="L91" s="733"/>
      <c r="M91" s="733"/>
    </row>
    <row r="92" spans="1:13" x14ac:dyDescent="0.3">
      <c r="A92" s="733" t="s">
        <v>679</v>
      </c>
      <c r="B92" s="733" t="s">
        <v>612</v>
      </c>
      <c r="C92" s="733" t="s">
        <v>680</v>
      </c>
      <c r="D92" s="733" t="s">
        <v>21</v>
      </c>
      <c r="E92" s="733" t="s">
        <v>614</v>
      </c>
      <c r="F92" s="733" t="s">
        <v>615</v>
      </c>
      <c r="G92" s="733"/>
      <c r="H92" s="733"/>
      <c r="I92" s="733"/>
      <c r="J92" s="733"/>
      <c r="K92" s="733"/>
      <c r="L92" s="733"/>
      <c r="M92" s="733"/>
    </row>
    <row r="93" spans="1:13" x14ac:dyDescent="0.3">
      <c r="A93" s="733" t="s">
        <v>679</v>
      </c>
      <c r="B93" s="733" t="s">
        <v>612</v>
      </c>
      <c r="C93" s="733" t="s">
        <v>681</v>
      </c>
      <c r="D93" s="733" t="s">
        <v>21</v>
      </c>
      <c r="E93" s="733" t="s">
        <v>614</v>
      </c>
      <c r="F93" s="733" t="s">
        <v>615</v>
      </c>
      <c r="G93" s="733"/>
      <c r="H93" s="733"/>
      <c r="I93" s="733"/>
      <c r="J93" s="733"/>
      <c r="K93" s="733"/>
      <c r="L93" s="733"/>
      <c r="M93" s="733"/>
    </row>
    <row r="94" spans="1:13" x14ac:dyDescent="0.3">
      <c r="A94" s="733" t="s">
        <v>679</v>
      </c>
      <c r="B94" s="733" t="s">
        <v>612</v>
      </c>
      <c r="C94" s="733" t="s">
        <v>682</v>
      </c>
      <c r="D94" s="733" t="s">
        <v>21</v>
      </c>
      <c r="E94" s="733" t="s">
        <v>614</v>
      </c>
      <c r="F94" s="733" t="s">
        <v>615</v>
      </c>
      <c r="G94" s="733"/>
      <c r="H94" s="733"/>
      <c r="I94" s="733"/>
      <c r="J94" s="733"/>
      <c r="K94" s="733"/>
      <c r="L94" s="733"/>
      <c r="M94" s="733"/>
    </row>
    <row r="95" spans="1:13" x14ac:dyDescent="0.3">
      <c r="A95" s="733" t="s">
        <v>679</v>
      </c>
      <c r="B95" s="733" t="s">
        <v>612</v>
      </c>
      <c r="C95" s="733" t="s">
        <v>683</v>
      </c>
      <c r="D95" s="733" t="s">
        <v>21</v>
      </c>
      <c r="E95" s="733" t="s">
        <v>614</v>
      </c>
      <c r="F95" s="733" t="s">
        <v>615</v>
      </c>
      <c r="G95" s="733"/>
      <c r="H95" s="733"/>
      <c r="I95" s="733"/>
      <c r="J95" s="733"/>
      <c r="K95" s="733"/>
      <c r="L95" s="733"/>
      <c r="M95" s="733"/>
    </row>
    <row r="96" spans="1:13" x14ac:dyDescent="0.3">
      <c r="A96" s="733" t="s">
        <v>679</v>
      </c>
      <c r="B96" s="733" t="s">
        <v>612</v>
      </c>
      <c r="C96" s="733" t="s">
        <v>684</v>
      </c>
      <c r="D96" s="733" t="s">
        <v>21</v>
      </c>
      <c r="E96" s="733" t="s">
        <v>614</v>
      </c>
      <c r="F96" s="733" t="s">
        <v>615</v>
      </c>
      <c r="G96" s="733"/>
      <c r="H96" s="733"/>
      <c r="I96" s="733"/>
      <c r="J96" s="733"/>
      <c r="K96" s="733"/>
      <c r="L96" s="733"/>
      <c r="M96" s="733"/>
    </row>
    <row r="97" spans="1:13" x14ac:dyDescent="0.3">
      <c r="A97" s="733" t="s">
        <v>679</v>
      </c>
      <c r="B97" s="733" t="s">
        <v>612</v>
      </c>
      <c r="C97" s="733" t="s">
        <v>621</v>
      </c>
      <c r="D97" s="733" t="s">
        <v>21</v>
      </c>
      <c r="E97" s="733" t="s">
        <v>614</v>
      </c>
      <c r="F97" s="733" t="s">
        <v>615</v>
      </c>
      <c r="G97" s="733"/>
      <c r="H97" s="733"/>
      <c r="I97" s="733"/>
      <c r="J97" s="733"/>
      <c r="K97" s="733"/>
      <c r="L97" s="733"/>
      <c r="M97" s="733"/>
    </row>
    <row r="98" spans="1:13" x14ac:dyDescent="0.3">
      <c r="A98" s="733" t="s">
        <v>679</v>
      </c>
      <c r="B98" s="733" t="s">
        <v>612</v>
      </c>
      <c r="C98" s="733" t="s">
        <v>622</v>
      </c>
      <c r="D98" s="733" t="s">
        <v>21</v>
      </c>
      <c r="E98" s="733" t="s">
        <v>614</v>
      </c>
      <c r="F98" s="733" t="s">
        <v>615</v>
      </c>
      <c r="G98" s="733"/>
      <c r="H98" s="733"/>
      <c r="I98" s="733"/>
      <c r="J98" s="733"/>
      <c r="K98" s="733"/>
      <c r="L98" s="733"/>
      <c r="M98" s="733"/>
    </row>
    <row r="99" spans="1:13" x14ac:dyDescent="0.3">
      <c r="A99" s="733" t="s">
        <v>679</v>
      </c>
      <c r="B99" s="733" t="s">
        <v>612</v>
      </c>
      <c r="C99" s="733" t="s">
        <v>685</v>
      </c>
      <c r="D99" s="733" t="s">
        <v>21</v>
      </c>
      <c r="E99" s="733" t="s">
        <v>614</v>
      </c>
      <c r="F99" s="733" t="s">
        <v>615</v>
      </c>
      <c r="G99" s="733"/>
      <c r="H99" s="733"/>
      <c r="I99" s="733"/>
      <c r="J99" s="733"/>
      <c r="K99" s="733"/>
      <c r="L99" s="733"/>
      <c r="M99" s="733"/>
    </row>
    <row r="100" spans="1:13" x14ac:dyDescent="0.3">
      <c r="A100" s="733" t="s">
        <v>679</v>
      </c>
      <c r="B100" s="733" t="s">
        <v>612</v>
      </c>
      <c r="C100" s="733" t="s">
        <v>686</v>
      </c>
      <c r="D100" s="733" t="s">
        <v>21</v>
      </c>
      <c r="E100" s="733" t="s">
        <v>614</v>
      </c>
      <c r="F100" s="733" t="s">
        <v>615</v>
      </c>
      <c r="G100" s="733"/>
      <c r="H100" s="733"/>
      <c r="I100" s="733"/>
      <c r="J100" s="733"/>
      <c r="K100" s="733"/>
      <c r="L100" s="733"/>
      <c r="M100" s="733"/>
    </row>
    <row r="101" spans="1:13" x14ac:dyDescent="0.3">
      <c r="A101" s="733" t="s">
        <v>679</v>
      </c>
      <c r="B101" s="733" t="s">
        <v>612</v>
      </c>
      <c r="C101" s="733" t="s">
        <v>687</v>
      </c>
      <c r="D101" s="733" t="s">
        <v>21</v>
      </c>
      <c r="E101" s="733" t="s">
        <v>614</v>
      </c>
      <c r="F101" s="733" t="s">
        <v>615</v>
      </c>
      <c r="G101" s="733"/>
      <c r="H101" s="733"/>
      <c r="I101" s="733"/>
      <c r="J101" s="733"/>
      <c r="K101" s="733"/>
      <c r="L101" s="733"/>
      <c r="M101" s="733"/>
    </row>
    <row r="102" spans="1:13" x14ac:dyDescent="0.3">
      <c r="A102" s="733" t="s">
        <v>679</v>
      </c>
      <c r="B102" s="733" t="s">
        <v>612</v>
      </c>
      <c r="C102" s="733" t="s">
        <v>688</v>
      </c>
      <c r="D102" s="733" t="s">
        <v>21</v>
      </c>
      <c r="E102" s="733" t="s">
        <v>614</v>
      </c>
      <c r="F102" s="733" t="s">
        <v>615</v>
      </c>
      <c r="G102" s="733"/>
      <c r="H102" s="733"/>
      <c r="I102" s="733"/>
      <c r="J102" s="733"/>
      <c r="K102" s="733"/>
      <c r="L102" s="733"/>
      <c r="M102" s="733"/>
    </row>
    <row r="103" spans="1:13" x14ac:dyDescent="0.3">
      <c r="A103" s="733" t="s">
        <v>679</v>
      </c>
      <c r="B103" s="733" t="s">
        <v>612</v>
      </c>
      <c r="C103" s="733" t="s">
        <v>689</v>
      </c>
      <c r="D103" s="733" t="s">
        <v>21</v>
      </c>
      <c r="E103" s="733" t="s">
        <v>614</v>
      </c>
      <c r="F103" s="733" t="s">
        <v>615</v>
      </c>
      <c r="G103" s="733"/>
      <c r="H103" s="733"/>
      <c r="I103" s="733"/>
      <c r="J103" s="733"/>
      <c r="K103" s="733"/>
      <c r="L103" s="733"/>
      <c r="M103" s="733"/>
    </row>
    <row r="104" spans="1:13" x14ac:dyDescent="0.3">
      <c r="A104" s="733" t="s">
        <v>679</v>
      </c>
      <c r="B104" s="733" t="s">
        <v>612</v>
      </c>
      <c r="C104" s="733" t="s">
        <v>690</v>
      </c>
      <c r="D104" s="733" t="s">
        <v>21</v>
      </c>
      <c r="E104" s="733" t="s">
        <v>614</v>
      </c>
      <c r="F104" s="733" t="s">
        <v>615</v>
      </c>
      <c r="G104" s="733"/>
      <c r="H104" s="733"/>
      <c r="I104" s="733"/>
      <c r="J104" s="733"/>
      <c r="K104" s="733"/>
      <c r="L104" s="733"/>
      <c r="M104" s="733"/>
    </row>
    <row r="105" spans="1:13" x14ac:dyDescent="0.3">
      <c r="A105" s="733" t="s">
        <v>679</v>
      </c>
      <c r="B105" s="733" t="s">
        <v>612</v>
      </c>
      <c r="C105" s="733" t="s">
        <v>691</v>
      </c>
      <c r="D105" s="733" t="s">
        <v>21</v>
      </c>
      <c r="E105" s="733" t="s">
        <v>614</v>
      </c>
      <c r="F105" s="733" t="s">
        <v>615</v>
      </c>
      <c r="G105" s="733"/>
      <c r="H105" s="733"/>
      <c r="I105" s="733"/>
      <c r="J105" s="733"/>
      <c r="K105" s="733"/>
      <c r="L105" s="733"/>
      <c r="M105" s="733"/>
    </row>
    <row r="106" spans="1:13" x14ac:dyDescent="0.3">
      <c r="A106" s="733" t="s">
        <v>679</v>
      </c>
      <c r="B106" s="733" t="s">
        <v>612</v>
      </c>
      <c r="C106" s="733" t="s">
        <v>692</v>
      </c>
      <c r="D106" s="733" t="s">
        <v>21</v>
      </c>
      <c r="E106" s="733" t="s">
        <v>614</v>
      </c>
      <c r="F106" s="733" t="s">
        <v>615</v>
      </c>
      <c r="G106" s="733"/>
      <c r="H106" s="733"/>
      <c r="I106" s="733"/>
      <c r="J106" s="733"/>
      <c r="K106" s="733"/>
      <c r="L106" s="733"/>
      <c r="M106" s="733"/>
    </row>
    <row r="107" spans="1:13" x14ac:dyDescent="0.3">
      <c r="A107" s="733" t="s">
        <v>679</v>
      </c>
      <c r="B107" s="733" t="s">
        <v>612</v>
      </c>
      <c r="C107" s="733" t="s">
        <v>693</v>
      </c>
      <c r="D107" s="733" t="s">
        <v>21</v>
      </c>
      <c r="E107" s="733" t="s">
        <v>614</v>
      </c>
      <c r="F107" s="733" t="s">
        <v>615</v>
      </c>
      <c r="G107" s="733"/>
      <c r="H107" s="733"/>
      <c r="I107" s="733"/>
      <c r="J107" s="733"/>
      <c r="K107" s="733"/>
      <c r="L107" s="733"/>
      <c r="M107" s="733"/>
    </row>
    <row r="108" spans="1:13" x14ac:dyDescent="0.3">
      <c r="A108" s="733" t="s">
        <v>679</v>
      </c>
      <c r="B108" s="733" t="s">
        <v>612</v>
      </c>
      <c r="C108" s="733" t="s">
        <v>694</v>
      </c>
      <c r="D108" s="733" t="s">
        <v>21</v>
      </c>
      <c r="E108" s="733" t="s">
        <v>614</v>
      </c>
      <c r="F108" s="733" t="s">
        <v>615</v>
      </c>
      <c r="G108" s="733"/>
      <c r="H108" s="733"/>
      <c r="I108" s="733"/>
      <c r="J108" s="733"/>
      <c r="K108" s="733"/>
      <c r="L108" s="733"/>
      <c r="M108" s="733"/>
    </row>
    <row r="109" spans="1:13" x14ac:dyDescent="0.3">
      <c r="A109" s="734" t="s">
        <v>679</v>
      </c>
      <c r="B109" s="734" t="s">
        <v>612</v>
      </c>
      <c r="C109" s="734" t="s">
        <v>695</v>
      </c>
      <c r="D109" s="734" t="s">
        <v>21</v>
      </c>
      <c r="E109" s="734" t="s">
        <v>614</v>
      </c>
      <c r="F109" s="734" t="s">
        <v>696</v>
      </c>
      <c r="G109" s="733"/>
      <c r="H109" s="733"/>
      <c r="I109" s="733"/>
      <c r="J109" s="733"/>
      <c r="K109" s="733"/>
      <c r="L109" s="733"/>
      <c r="M109" s="733"/>
    </row>
    <row r="110" spans="1:13" x14ac:dyDescent="0.3">
      <c r="A110" s="733" t="s">
        <v>679</v>
      </c>
      <c r="B110" s="733" t="s">
        <v>612</v>
      </c>
      <c r="C110" s="733" t="s">
        <v>697</v>
      </c>
      <c r="D110" s="733" t="s">
        <v>21</v>
      </c>
      <c r="E110" s="733" t="s">
        <v>614</v>
      </c>
      <c r="F110" s="733" t="s">
        <v>615</v>
      </c>
      <c r="G110" s="733"/>
      <c r="H110" s="733"/>
      <c r="I110" s="733"/>
      <c r="J110" s="733"/>
      <c r="K110" s="733"/>
      <c r="L110" s="733"/>
      <c r="M110" s="733"/>
    </row>
    <row r="111" spans="1:13" x14ac:dyDescent="0.3">
      <c r="A111" s="733" t="s">
        <v>679</v>
      </c>
      <c r="B111" s="733" t="s">
        <v>612</v>
      </c>
      <c r="C111" s="733" t="s">
        <v>642</v>
      </c>
      <c r="D111" s="733" t="s">
        <v>21</v>
      </c>
      <c r="E111" s="733" t="s">
        <v>614</v>
      </c>
      <c r="F111" s="733" t="s">
        <v>615</v>
      </c>
      <c r="G111" s="733"/>
      <c r="H111" s="733"/>
      <c r="I111" s="733"/>
      <c r="J111" s="733"/>
      <c r="K111" s="733"/>
      <c r="L111" s="733"/>
      <c r="M111" s="733"/>
    </row>
    <row r="112" spans="1:13" x14ac:dyDescent="0.3">
      <c r="A112" s="734" t="s">
        <v>679</v>
      </c>
      <c r="B112" s="734" t="s">
        <v>612</v>
      </c>
      <c r="C112" s="734" t="s">
        <v>698</v>
      </c>
      <c r="D112" s="734" t="s">
        <v>21</v>
      </c>
      <c r="E112" s="734" t="s">
        <v>614</v>
      </c>
      <c r="F112" s="734" t="s">
        <v>696</v>
      </c>
      <c r="G112" s="733"/>
      <c r="H112" s="733"/>
      <c r="I112" s="733"/>
      <c r="J112" s="733"/>
      <c r="K112" s="733"/>
      <c r="L112" s="733"/>
      <c r="M112" s="733"/>
    </row>
    <row r="113" spans="1:13" x14ac:dyDescent="0.3">
      <c r="A113" s="733" t="s">
        <v>679</v>
      </c>
      <c r="B113" s="733" t="s">
        <v>612</v>
      </c>
      <c r="C113" s="733" t="s">
        <v>699</v>
      </c>
      <c r="D113" s="733" t="s">
        <v>21</v>
      </c>
      <c r="E113" s="733" t="s">
        <v>614</v>
      </c>
      <c r="F113" s="733" t="s">
        <v>615</v>
      </c>
      <c r="G113" s="733"/>
      <c r="H113" s="733"/>
      <c r="I113" s="733"/>
      <c r="J113" s="733"/>
      <c r="K113" s="733"/>
      <c r="L113" s="733"/>
      <c r="M113" s="733"/>
    </row>
    <row r="114" spans="1:13" x14ac:dyDescent="0.3">
      <c r="A114" s="733" t="s">
        <v>679</v>
      </c>
      <c r="B114" s="733" t="s">
        <v>645</v>
      </c>
      <c r="C114" s="733" t="s">
        <v>700</v>
      </c>
      <c r="D114" s="733" t="s">
        <v>21</v>
      </c>
      <c r="E114" s="733" t="s">
        <v>614</v>
      </c>
      <c r="F114" s="733" t="s">
        <v>615</v>
      </c>
      <c r="G114" s="733"/>
      <c r="H114" s="733"/>
      <c r="I114" s="733"/>
      <c r="J114" s="733"/>
      <c r="K114" s="733"/>
      <c r="L114" s="733"/>
      <c r="M114" s="733"/>
    </row>
    <row r="115" spans="1:13" x14ac:dyDescent="0.3">
      <c r="A115" s="733" t="s">
        <v>679</v>
      </c>
      <c r="B115" s="733" t="s">
        <v>645</v>
      </c>
      <c r="C115" s="733" t="s">
        <v>701</v>
      </c>
      <c r="D115" s="733" t="s">
        <v>21</v>
      </c>
      <c r="E115" s="733" t="s">
        <v>614</v>
      </c>
      <c r="F115" s="733" t="s">
        <v>615</v>
      </c>
      <c r="G115" s="733"/>
      <c r="H115" s="733"/>
      <c r="I115" s="733"/>
      <c r="J115" s="733"/>
      <c r="K115" s="733"/>
      <c r="L115" s="733"/>
      <c r="M115" s="733"/>
    </row>
    <row r="116" spans="1:13" x14ac:dyDescent="0.3">
      <c r="A116" s="733" t="s">
        <v>679</v>
      </c>
      <c r="B116" s="733" t="s">
        <v>645</v>
      </c>
      <c r="C116" s="733" t="s">
        <v>702</v>
      </c>
      <c r="D116" s="733" t="s">
        <v>21</v>
      </c>
      <c r="E116" s="733" t="s">
        <v>614</v>
      </c>
      <c r="F116" s="733" t="s">
        <v>615</v>
      </c>
      <c r="G116" s="733"/>
      <c r="H116" s="733"/>
      <c r="I116" s="733"/>
      <c r="J116" s="733"/>
      <c r="K116" s="733"/>
      <c r="L116" s="733"/>
      <c r="M116" s="733"/>
    </row>
    <row r="117" spans="1:13" x14ac:dyDescent="0.3">
      <c r="A117" s="733" t="s">
        <v>679</v>
      </c>
      <c r="B117" s="733" t="s">
        <v>645</v>
      </c>
      <c r="C117" s="733" t="s">
        <v>703</v>
      </c>
      <c r="D117" s="733" t="s">
        <v>21</v>
      </c>
      <c r="E117" s="733" t="s">
        <v>614</v>
      </c>
      <c r="F117" s="733" t="s">
        <v>615</v>
      </c>
      <c r="G117" s="733"/>
      <c r="H117" s="733"/>
      <c r="I117" s="733"/>
      <c r="J117" s="733"/>
      <c r="K117" s="733"/>
      <c r="L117" s="733"/>
      <c r="M117" s="733"/>
    </row>
    <row r="118" spans="1:13" x14ac:dyDescent="0.3">
      <c r="A118" s="733" t="s">
        <v>679</v>
      </c>
      <c r="B118" s="733" t="s">
        <v>645</v>
      </c>
      <c r="C118" s="733" t="s">
        <v>704</v>
      </c>
      <c r="D118" s="733" t="s">
        <v>21</v>
      </c>
      <c r="E118" s="733" t="s">
        <v>614</v>
      </c>
      <c r="F118" s="733" t="s">
        <v>615</v>
      </c>
      <c r="G118" s="733"/>
      <c r="H118" s="733"/>
      <c r="I118" s="733"/>
      <c r="J118" s="733"/>
      <c r="K118" s="733"/>
      <c r="L118" s="733"/>
      <c r="M118" s="733"/>
    </row>
    <row r="119" spans="1:13" x14ac:dyDescent="0.3">
      <c r="A119" s="733" t="s">
        <v>679</v>
      </c>
      <c r="B119" s="733" t="s">
        <v>645</v>
      </c>
      <c r="C119" s="733" t="s">
        <v>652</v>
      </c>
      <c r="D119" s="733" t="s">
        <v>21</v>
      </c>
      <c r="E119" s="733" t="s">
        <v>614</v>
      </c>
      <c r="F119" s="733" t="s">
        <v>615</v>
      </c>
      <c r="G119" s="733"/>
      <c r="H119" s="733"/>
      <c r="I119" s="733"/>
      <c r="J119" s="733"/>
      <c r="K119" s="733"/>
      <c r="L119" s="733"/>
      <c r="M119" s="733"/>
    </row>
    <row r="120" spans="1:13" x14ac:dyDescent="0.3">
      <c r="A120" s="733" t="s">
        <v>679</v>
      </c>
      <c r="B120" s="733" t="s">
        <v>645</v>
      </c>
      <c r="C120" s="733" t="s">
        <v>705</v>
      </c>
      <c r="D120" s="733" t="s">
        <v>21</v>
      </c>
      <c r="E120" s="733" t="s">
        <v>614</v>
      </c>
      <c r="F120" s="733" t="s">
        <v>615</v>
      </c>
      <c r="G120" s="733"/>
      <c r="H120" s="733"/>
      <c r="I120" s="733"/>
      <c r="J120" s="733"/>
      <c r="K120" s="733"/>
      <c r="L120" s="733"/>
      <c r="M120" s="733"/>
    </row>
    <row r="121" spans="1:13" x14ac:dyDescent="0.3">
      <c r="A121" s="733" t="s">
        <v>679</v>
      </c>
      <c r="B121" s="733" t="s">
        <v>645</v>
      </c>
      <c r="C121" s="733" t="s">
        <v>653</v>
      </c>
      <c r="D121" s="733" t="s">
        <v>21</v>
      </c>
      <c r="E121" s="733" t="s">
        <v>614</v>
      </c>
      <c r="F121" s="733" t="s">
        <v>615</v>
      </c>
      <c r="G121" s="733"/>
      <c r="H121" s="733"/>
      <c r="I121" s="733"/>
      <c r="J121" s="733"/>
      <c r="K121" s="733"/>
      <c r="L121" s="733"/>
      <c r="M121" s="733"/>
    </row>
    <row r="122" spans="1:13" x14ac:dyDescent="0.3">
      <c r="A122" s="733" t="s">
        <v>679</v>
      </c>
      <c r="B122" s="733" t="s">
        <v>645</v>
      </c>
      <c r="C122" s="733" t="s">
        <v>706</v>
      </c>
      <c r="D122" s="733" t="s">
        <v>21</v>
      </c>
      <c r="E122" s="733" t="s">
        <v>614</v>
      </c>
      <c r="F122" s="733" t="s">
        <v>615</v>
      </c>
      <c r="G122" s="733"/>
      <c r="H122" s="733"/>
      <c r="I122" s="733"/>
      <c r="J122" s="733"/>
      <c r="K122" s="733"/>
      <c r="L122" s="733"/>
      <c r="M122" s="733"/>
    </row>
    <row r="123" spans="1:13" x14ac:dyDescent="0.3">
      <c r="A123" s="733" t="s">
        <v>679</v>
      </c>
      <c r="B123" s="733" t="s">
        <v>645</v>
      </c>
      <c r="C123" s="733" t="s">
        <v>707</v>
      </c>
      <c r="D123" s="733" t="s">
        <v>21</v>
      </c>
      <c r="E123" s="733" t="s">
        <v>614</v>
      </c>
      <c r="F123" s="733" t="s">
        <v>615</v>
      </c>
      <c r="G123" s="733"/>
      <c r="H123" s="733"/>
      <c r="I123" s="733"/>
      <c r="J123" s="733"/>
      <c r="K123" s="733"/>
      <c r="L123" s="733"/>
      <c r="M123" s="733"/>
    </row>
    <row r="124" spans="1:13" x14ac:dyDescent="0.3">
      <c r="A124" s="733" t="s">
        <v>679</v>
      </c>
      <c r="B124" s="733" t="s">
        <v>645</v>
      </c>
      <c r="C124" s="733" t="s">
        <v>654</v>
      </c>
      <c r="D124" s="733" t="s">
        <v>21</v>
      </c>
      <c r="E124" s="733" t="s">
        <v>614</v>
      </c>
      <c r="F124" s="733" t="s">
        <v>615</v>
      </c>
      <c r="G124" s="733"/>
      <c r="H124" s="733"/>
      <c r="I124" s="733"/>
      <c r="J124" s="733"/>
      <c r="K124" s="733"/>
      <c r="L124" s="733"/>
      <c r="M124" s="733"/>
    </row>
    <row r="125" spans="1:13" x14ac:dyDescent="0.3">
      <c r="A125" s="733" t="s">
        <v>679</v>
      </c>
      <c r="B125" s="733" t="s">
        <v>645</v>
      </c>
      <c r="C125" s="733" t="s">
        <v>655</v>
      </c>
      <c r="D125" s="733" t="s">
        <v>21</v>
      </c>
      <c r="E125" s="733" t="s">
        <v>614</v>
      </c>
      <c r="F125" s="733" t="s">
        <v>615</v>
      </c>
      <c r="G125" s="733"/>
      <c r="H125" s="733"/>
      <c r="I125" s="733"/>
      <c r="J125" s="733"/>
      <c r="K125" s="733"/>
      <c r="L125" s="733"/>
      <c r="M125" s="733"/>
    </row>
    <row r="126" spans="1:13" x14ac:dyDescent="0.3">
      <c r="A126" s="733" t="s">
        <v>679</v>
      </c>
      <c r="B126" s="733" t="s">
        <v>645</v>
      </c>
      <c r="C126" s="733" t="s">
        <v>708</v>
      </c>
      <c r="D126" s="733" t="s">
        <v>21</v>
      </c>
      <c r="E126" s="733" t="s">
        <v>614</v>
      </c>
      <c r="F126" s="733" t="s">
        <v>615</v>
      </c>
      <c r="G126" s="733"/>
      <c r="H126" s="733"/>
      <c r="I126" s="733"/>
      <c r="J126" s="733"/>
      <c r="K126" s="733"/>
      <c r="L126" s="733"/>
      <c r="M126" s="733"/>
    </row>
    <row r="127" spans="1:13" x14ac:dyDescent="0.3">
      <c r="A127" s="733" t="s">
        <v>679</v>
      </c>
      <c r="B127" s="733" t="s">
        <v>645</v>
      </c>
      <c r="C127" s="733" t="s">
        <v>709</v>
      </c>
      <c r="D127" s="733" t="s">
        <v>21</v>
      </c>
      <c r="E127" s="733" t="s">
        <v>614</v>
      </c>
      <c r="F127" s="733" t="s">
        <v>615</v>
      </c>
      <c r="G127" s="733"/>
      <c r="H127" s="733"/>
      <c r="I127" s="733"/>
      <c r="J127" s="733"/>
      <c r="K127" s="733"/>
      <c r="L127" s="733"/>
      <c r="M127" s="733"/>
    </row>
    <row r="128" spans="1:13" x14ac:dyDescent="0.3">
      <c r="A128" s="733" t="s">
        <v>679</v>
      </c>
      <c r="B128" s="733" t="s">
        <v>645</v>
      </c>
      <c r="C128" s="733" t="s">
        <v>710</v>
      </c>
      <c r="D128" s="733" t="s">
        <v>21</v>
      </c>
      <c r="E128" s="733" t="s">
        <v>614</v>
      </c>
      <c r="F128" s="733" t="s">
        <v>615</v>
      </c>
      <c r="G128" s="733"/>
      <c r="H128" s="733"/>
      <c r="I128" s="733"/>
      <c r="J128" s="733"/>
      <c r="K128" s="733"/>
      <c r="L128" s="733"/>
      <c r="M128" s="733"/>
    </row>
    <row r="129" spans="1:13" x14ac:dyDescent="0.3">
      <c r="A129" s="733" t="s">
        <v>679</v>
      </c>
      <c r="B129" s="733" t="s">
        <v>645</v>
      </c>
      <c r="C129" s="733" t="s">
        <v>711</v>
      </c>
      <c r="D129" s="733" t="s">
        <v>21</v>
      </c>
      <c r="E129" s="733" t="s">
        <v>614</v>
      </c>
      <c r="F129" s="733" t="s">
        <v>615</v>
      </c>
      <c r="G129" s="733"/>
      <c r="H129" s="733"/>
      <c r="I129" s="733"/>
      <c r="J129" s="733"/>
      <c r="K129" s="733"/>
      <c r="L129" s="733"/>
      <c r="M129" s="733"/>
    </row>
    <row r="130" spans="1:13" x14ac:dyDescent="0.3">
      <c r="A130" s="733" t="s">
        <v>679</v>
      </c>
      <c r="B130" s="733" t="s">
        <v>645</v>
      </c>
      <c r="C130" s="733" t="s">
        <v>712</v>
      </c>
      <c r="D130" s="733" t="s">
        <v>21</v>
      </c>
      <c r="E130" s="733" t="s">
        <v>614</v>
      </c>
      <c r="F130" s="733" t="s">
        <v>615</v>
      </c>
      <c r="G130" s="733"/>
      <c r="H130" s="733"/>
      <c r="I130" s="733"/>
      <c r="J130" s="733"/>
      <c r="K130" s="733"/>
      <c r="L130" s="733"/>
      <c r="M130" s="733"/>
    </row>
    <row r="131" spans="1:13" x14ac:dyDescent="0.3">
      <c r="A131" s="733" t="s">
        <v>679</v>
      </c>
      <c r="B131" s="733" t="s">
        <v>664</v>
      </c>
      <c r="C131" s="733" t="s">
        <v>713</v>
      </c>
      <c r="D131" s="733" t="s">
        <v>21</v>
      </c>
      <c r="E131" s="733" t="s">
        <v>614</v>
      </c>
      <c r="F131" s="733" t="s">
        <v>615</v>
      </c>
      <c r="G131" s="733"/>
      <c r="H131" s="733"/>
      <c r="I131" s="733"/>
      <c r="J131" s="733"/>
      <c r="K131" s="733"/>
      <c r="L131" s="733"/>
      <c r="M131" s="733"/>
    </row>
    <row r="132" spans="1:13" x14ac:dyDescent="0.3">
      <c r="A132" s="733" t="s">
        <v>679</v>
      </c>
      <c r="B132" s="733" t="s">
        <v>664</v>
      </c>
      <c r="C132" s="733" t="s">
        <v>714</v>
      </c>
      <c r="D132" s="733" t="s">
        <v>21</v>
      </c>
      <c r="E132" s="733" t="s">
        <v>614</v>
      </c>
      <c r="F132" s="733" t="s">
        <v>615</v>
      </c>
      <c r="G132" s="733"/>
      <c r="H132" s="733"/>
      <c r="I132" s="733"/>
      <c r="J132" s="733"/>
      <c r="K132" s="733"/>
      <c r="L132" s="733"/>
      <c r="M132" s="733"/>
    </row>
    <row r="133" spans="1:13" x14ac:dyDescent="0.3">
      <c r="A133" s="733" t="s">
        <v>679</v>
      </c>
      <c r="B133" s="733" t="s">
        <v>664</v>
      </c>
      <c r="C133" s="733" t="s">
        <v>715</v>
      </c>
      <c r="D133" s="733" t="s">
        <v>21</v>
      </c>
      <c r="E133" s="733" t="s">
        <v>614</v>
      </c>
      <c r="F133" s="733" t="s">
        <v>615</v>
      </c>
      <c r="G133" s="733"/>
      <c r="H133" s="733"/>
      <c r="I133" s="733"/>
      <c r="J133" s="733"/>
      <c r="K133" s="733"/>
      <c r="L133" s="733"/>
      <c r="M133" s="733"/>
    </row>
    <row r="134" spans="1:13" x14ac:dyDescent="0.3">
      <c r="A134" s="733" t="s">
        <v>679</v>
      </c>
      <c r="B134" s="733" t="s">
        <v>664</v>
      </c>
      <c r="C134" s="733" t="s">
        <v>716</v>
      </c>
      <c r="D134" s="733" t="s">
        <v>21</v>
      </c>
      <c r="E134" s="733" t="s">
        <v>614</v>
      </c>
      <c r="F134" s="733" t="s">
        <v>615</v>
      </c>
      <c r="G134" s="733"/>
      <c r="H134" s="733"/>
      <c r="I134" s="733"/>
      <c r="J134" s="733"/>
      <c r="K134" s="733"/>
      <c r="L134" s="733"/>
      <c r="M134" s="733"/>
    </row>
    <row r="135" spans="1:13" x14ac:dyDescent="0.3">
      <c r="A135" s="733" t="s">
        <v>679</v>
      </c>
      <c r="B135" s="733" t="s">
        <v>664</v>
      </c>
      <c r="C135" s="733" t="s">
        <v>717</v>
      </c>
      <c r="D135" s="733" t="s">
        <v>21</v>
      </c>
      <c r="E135" s="733" t="s">
        <v>614</v>
      </c>
      <c r="F135" s="733" t="s">
        <v>615</v>
      </c>
      <c r="G135" s="733"/>
      <c r="H135" s="733"/>
      <c r="I135" s="733"/>
      <c r="J135" s="733"/>
      <c r="K135" s="733"/>
      <c r="L135" s="733"/>
      <c r="M135" s="733"/>
    </row>
    <row r="136" spans="1:13" x14ac:dyDescent="0.3">
      <c r="A136" s="733" t="s">
        <v>679</v>
      </c>
      <c r="B136" s="733" t="s">
        <v>664</v>
      </c>
      <c r="C136" s="733" t="s">
        <v>718</v>
      </c>
      <c r="D136" s="733" t="s">
        <v>21</v>
      </c>
      <c r="E136" s="733" t="s">
        <v>614</v>
      </c>
      <c r="F136" s="733" t="s">
        <v>615</v>
      </c>
      <c r="G136" s="733"/>
      <c r="H136" s="733"/>
      <c r="I136" s="733"/>
      <c r="J136" s="733"/>
      <c r="K136" s="733"/>
      <c r="L136" s="733"/>
      <c r="M136" s="733"/>
    </row>
    <row r="137" spans="1:13" x14ac:dyDescent="0.3">
      <c r="A137" s="733" t="s">
        <v>679</v>
      </c>
      <c r="B137" s="733" t="s">
        <v>664</v>
      </c>
      <c r="C137" s="733" t="s">
        <v>719</v>
      </c>
      <c r="D137" s="733" t="s">
        <v>21</v>
      </c>
      <c r="E137" s="733" t="s">
        <v>614</v>
      </c>
      <c r="F137" s="733" t="s">
        <v>615</v>
      </c>
      <c r="G137" s="733"/>
      <c r="H137" s="733"/>
      <c r="I137" s="733"/>
      <c r="J137" s="733"/>
      <c r="K137" s="733"/>
      <c r="L137" s="733"/>
      <c r="M137" s="733"/>
    </row>
    <row r="138" spans="1:13" x14ac:dyDescent="0.3">
      <c r="A138" s="733" t="s">
        <v>720</v>
      </c>
      <c r="B138" s="733" t="s">
        <v>612</v>
      </c>
      <c r="C138" s="733" t="s">
        <v>721</v>
      </c>
      <c r="D138" s="733" t="s">
        <v>21</v>
      </c>
      <c r="E138" s="733" t="s">
        <v>614</v>
      </c>
      <c r="F138" s="733" t="s">
        <v>615</v>
      </c>
      <c r="G138" s="733"/>
      <c r="H138" s="733"/>
      <c r="I138" s="733"/>
      <c r="J138" s="733"/>
      <c r="K138" s="733"/>
      <c r="L138" s="733"/>
      <c r="M138" s="733"/>
    </row>
    <row r="139" spans="1:13" x14ac:dyDescent="0.3">
      <c r="A139" s="733" t="s">
        <v>720</v>
      </c>
      <c r="B139" s="733" t="s">
        <v>612</v>
      </c>
      <c r="C139" s="733" t="s">
        <v>722</v>
      </c>
      <c r="D139" s="733" t="s">
        <v>21</v>
      </c>
      <c r="E139" s="733" t="s">
        <v>614</v>
      </c>
      <c r="F139" s="733" t="s">
        <v>615</v>
      </c>
      <c r="G139" s="733"/>
      <c r="H139" s="733"/>
      <c r="I139" s="733"/>
      <c r="J139" s="733"/>
      <c r="K139" s="733"/>
      <c r="L139" s="733"/>
      <c r="M139" s="733"/>
    </row>
    <row r="140" spans="1:13" x14ac:dyDescent="0.3">
      <c r="A140" s="733" t="s">
        <v>720</v>
      </c>
      <c r="B140" s="733" t="s">
        <v>612</v>
      </c>
      <c r="C140" s="733" t="s">
        <v>723</v>
      </c>
      <c r="D140" s="733" t="s">
        <v>21</v>
      </c>
      <c r="E140" s="733" t="s">
        <v>614</v>
      </c>
      <c r="F140" s="733" t="s">
        <v>615</v>
      </c>
      <c r="G140" s="733"/>
      <c r="H140" s="733"/>
      <c r="I140" s="733"/>
      <c r="J140" s="733"/>
      <c r="K140" s="733"/>
      <c r="L140" s="733"/>
      <c r="M140" s="733"/>
    </row>
    <row r="141" spans="1:13" x14ac:dyDescent="0.3">
      <c r="A141" s="733" t="s">
        <v>720</v>
      </c>
      <c r="B141" s="733" t="s">
        <v>645</v>
      </c>
      <c r="C141" s="733" t="s">
        <v>724</v>
      </c>
      <c r="D141" s="733" t="s">
        <v>21</v>
      </c>
      <c r="E141" s="733" t="s">
        <v>614</v>
      </c>
      <c r="F141" s="733" t="s">
        <v>615</v>
      </c>
      <c r="G141" s="733"/>
      <c r="H141" s="733"/>
      <c r="I141" s="733"/>
      <c r="J141" s="733"/>
      <c r="K141" s="733"/>
      <c r="L141" s="733"/>
      <c r="M141" s="733"/>
    </row>
    <row r="142" spans="1:13" x14ac:dyDescent="0.3">
      <c r="A142" s="733" t="s">
        <v>720</v>
      </c>
      <c r="B142" s="733" t="s">
        <v>645</v>
      </c>
      <c r="C142" s="733" t="s">
        <v>725</v>
      </c>
      <c r="D142" s="733" t="s">
        <v>21</v>
      </c>
      <c r="E142" s="733" t="s">
        <v>614</v>
      </c>
      <c r="F142" s="733" t="s">
        <v>615</v>
      </c>
      <c r="G142" s="733"/>
      <c r="H142" s="733"/>
      <c r="I142" s="733"/>
      <c r="J142" s="733"/>
      <c r="K142" s="733"/>
      <c r="L142" s="733"/>
      <c r="M142" s="733"/>
    </row>
    <row r="143" spans="1:13" x14ac:dyDescent="0.3">
      <c r="A143" s="733" t="s">
        <v>720</v>
      </c>
      <c r="B143" s="733" t="s">
        <v>645</v>
      </c>
      <c r="C143" s="733" t="s">
        <v>726</v>
      </c>
      <c r="D143" s="733" t="s">
        <v>21</v>
      </c>
      <c r="E143" s="733" t="s">
        <v>614</v>
      </c>
      <c r="F143" s="733" t="s">
        <v>615</v>
      </c>
      <c r="G143" s="733"/>
      <c r="H143" s="733"/>
      <c r="I143" s="733"/>
      <c r="J143" s="733"/>
      <c r="K143" s="733"/>
      <c r="L143" s="733"/>
      <c r="M143" s="733"/>
    </row>
    <row r="144" spans="1:13" x14ac:dyDescent="0.3">
      <c r="A144" s="733" t="s">
        <v>720</v>
      </c>
      <c r="B144" s="733" t="s">
        <v>664</v>
      </c>
      <c r="C144" s="733" t="s">
        <v>727</v>
      </c>
      <c r="D144" s="733" t="s">
        <v>21</v>
      </c>
      <c r="E144" s="733" t="s">
        <v>614</v>
      </c>
      <c r="F144" s="733" t="s">
        <v>615</v>
      </c>
      <c r="G144" s="733"/>
      <c r="H144" s="733"/>
      <c r="I144" s="733"/>
      <c r="J144" s="733"/>
      <c r="K144" s="733"/>
      <c r="L144" s="733"/>
      <c r="M144" s="733"/>
    </row>
    <row r="145" spans="1:13" x14ac:dyDescent="0.3">
      <c r="A145" s="733" t="s">
        <v>728</v>
      </c>
      <c r="B145" s="733" t="s">
        <v>612</v>
      </c>
      <c r="C145" s="733" t="s">
        <v>729</v>
      </c>
      <c r="D145" s="733" t="s">
        <v>21</v>
      </c>
      <c r="E145" s="733" t="s">
        <v>614</v>
      </c>
      <c r="F145" s="733" t="s">
        <v>615</v>
      </c>
      <c r="G145" s="733"/>
      <c r="H145" s="733"/>
      <c r="I145" s="733"/>
      <c r="J145" s="733"/>
      <c r="K145" s="733"/>
      <c r="L145" s="733"/>
      <c r="M145" s="733"/>
    </row>
    <row r="146" spans="1:13" x14ac:dyDescent="0.3">
      <c r="A146" s="733" t="s">
        <v>728</v>
      </c>
      <c r="B146" s="733" t="s">
        <v>612</v>
      </c>
      <c r="C146" s="733" t="s">
        <v>730</v>
      </c>
      <c r="D146" s="733" t="s">
        <v>21</v>
      </c>
      <c r="E146" s="733" t="s">
        <v>614</v>
      </c>
      <c r="F146" s="733" t="s">
        <v>615</v>
      </c>
      <c r="G146" s="733"/>
      <c r="H146" s="733"/>
      <c r="I146" s="733"/>
      <c r="J146" s="733"/>
      <c r="K146" s="733"/>
      <c r="L146" s="733"/>
      <c r="M146" s="733"/>
    </row>
    <row r="147" spans="1:13" x14ac:dyDescent="0.3">
      <c r="A147" s="733" t="s">
        <v>728</v>
      </c>
      <c r="B147" s="733" t="s">
        <v>612</v>
      </c>
      <c r="C147" s="733" t="s">
        <v>731</v>
      </c>
      <c r="D147" s="733" t="s">
        <v>21</v>
      </c>
      <c r="E147" s="733" t="s">
        <v>614</v>
      </c>
      <c r="F147" s="733" t="s">
        <v>615</v>
      </c>
      <c r="G147" s="733"/>
      <c r="H147" s="733"/>
      <c r="I147" s="733"/>
      <c r="J147" s="733"/>
      <c r="K147" s="733"/>
      <c r="L147" s="733"/>
      <c r="M147" s="733"/>
    </row>
    <row r="148" spans="1:13" x14ac:dyDescent="0.3">
      <c r="A148" s="733" t="s">
        <v>728</v>
      </c>
      <c r="B148" s="733" t="s">
        <v>612</v>
      </c>
      <c r="C148" s="733" t="s">
        <v>732</v>
      </c>
      <c r="D148" s="733" t="s">
        <v>21</v>
      </c>
      <c r="E148" s="733" t="s">
        <v>614</v>
      </c>
      <c r="F148" s="733" t="s">
        <v>615</v>
      </c>
      <c r="G148" s="733"/>
      <c r="H148" s="733"/>
      <c r="I148" s="733"/>
      <c r="J148" s="733"/>
      <c r="K148" s="733"/>
      <c r="L148" s="733"/>
      <c r="M148" s="733"/>
    </row>
    <row r="149" spans="1:13" x14ac:dyDescent="0.3">
      <c r="A149" s="733" t="s">
        <v>728</v>
      </c>
      <c r="B149" s="733" t="s">
        <v>612</v>
      </c>
      <c r="C149" s="733" t="s">
        <v>733</v>
      </c>
      <c r="D149" s="733" t="s">
        <v>21</v>
      </c>
      <c r="E149" s="733" t="s">
        <v>614</v>
      </c>
      <c r="F149" s="733" t="s">
        <v>615</v>
      </c>
      <c r="G149" s="733"/>
      <c r="H149" s="733"/>
      <c r="I149" s="733"/>
      <c r="J149" s="733"/>
      <c r="K149" s="733"/>
      <c r="L149" s="733"/>
      <c r="M149" s="733"/>
    </row>
    <row r="150" spans="1:13" x14ac:dyDescent="0.3">
      <c r="A150" s="733" t="s">
        <v>728</v>
      </c>
      <c r="B150" s="733" t="s">
        <v>645</v>
      </c>
      <c r="C150" s="733" t="s">
        <v>734</v>
      </c>
      <c r="D150" s="733" t="s">
        <v>21</v>
      </c>
      <c r="E150" s="733" t="s">
        <v>614</v>
      </c>
      <c r="F150" s="733" t="s">
        <v>615</v>
      </c>
      <c r="G150" s="733"/>
      <c r="H150" s="733"/>
      <c r="I150" s="733"/>
      <c r="J150" s="733"/>
      <c r="K150" s="733"/>
      <c r="L150" s="733"/>
      <c r="M150" s="733"/>
    </row>
    <row r="151" spans="1:13" x14ac:dyDescent="0.3">
      <c r="A151" s="734" t="s">
        <v>728</v>
      </c>
      <c r="B151" s="734" t="s">
        <v>645</v>
      </c>
      <c r="C151" s="734" t="s">
        <v>735</v>
      </c>
      <c r="D151" s="734" t="s">
        <v>21</v>
      </c>
      <c r="E151" s="734" t="s">
        <v>614</v>
      </c>
      <c r="F151" s="734" t="s">
        <v>736</v>
      </c>
      <c r="G151" s="733"/>
      <c r="H151" s="733"/>
      <c r="I151" s="733"/>
      <c r="J151" s="733"/>
      <c r="K151" s="733"/>
      <c r="L151" s="733"/>
      <c r="M151" s="733"/>
    </row>
    <row r="152" spans="1:13" x14ac:dyDescent="0.3">
      <c r="A152" s="733" t="s">
        <v>728</v>
      </c>
      <c r="B152" s="733" t="s">
        <v>664</v>
      </c>
      <c r="C152" s="733" t="s">
        <v>737</v>
      </c>
      <c r="D152" s="733" t="s">
        <v>21</v>
      </c>
      <c r="E152" s="733" t="s">
        <v>614</v>
      </c>
      <c r="F152" s="733" t="s">
        <v>615</v>
      </c>
      <c r="G152" s="733"/>
      <c r="H152" s="733"/>
      <c r="I152" s="733"/>
      <c r="J152" s="733"/>
      <c r="K152" s="733"/>
      <c r="L152" s="733"/>
      <c r="M152" s="733"/>
    </row>
    <row r="153" spans="1:13" x14ac:dyDescent="0.3">
      <c r="A153" s="733" t="s">
        <v>738</v>
      </c>
      <c r="B153" s="733" t="s">
        <v>612</v>
      </c>
      <c r="C153" s="733" t="s">
        <v>739</v>
      </c>
      <c r="D153" s="733" t="s">
        <v>21</v>
      </c>
      <c r="E153" s="733" t="s">
        <v>614</v>
      </c>
      <c r="F153" s="733" t="s">
        <v>615</v>
      </c>
      <c r="G153" s="733"/>
      <c r="H153" s="733"/>
      <c r="I153" s="733"/>
      <c r="J153" s="733"/>
      <c r="K153" s="733"/>
      <c r="L153" s="733"/>
      <c r="M153" s="733"/>
    </row>
    <row r="154" spans="1:13" x14ac:dyDescent="0.3">
      <c r="A154" s="733" t="s">
        <v>738</v>
      </c>
      <c r="B154" s="733" t="s">
        <v>612</v>
      </c>
      <c r="C154" s="733" t="s">
        <v>740</v>
      </c>
      <c r="D154" s="733" t="s">
        <v>21</v>
      </c>
      <c r="E154" s="733" t="s">
        <v>614</v>
      </c>
      <c r="F154" s="733" t="s">
        <v>615</v>
      </c>
      <c r="G154" s="733"/>
      <c r="H154" s="733"/>
      <c r="I154" s="733"/>
      <c r="J154" s="733"/>
      <c r="K154" s="733"/>
      <c r="L154" s="733"/>
      <c r="M154" s="733"/>
    </row>
    <row r="155" spans="1:13" x14ac:dyDescent="0.3">
      <c r="A155" s="733" t="s">
        <v>738</v>
      </c>
      <c r="B155" s="733" t="s">
        <v>612</v>
      </c>
      <c r="C155" s="733" t="s">
        <v>741</v>
      </c>
      <c r="D155" s="733" t="s">
        <v>21</v>
      </c>
      <c r="E155" s="733" t="s">
        <v>614</v>
      </c>
      <c r="F155" s="733" t="s">
        <v>615</v>
      </c>
      <c r="G155" s="733"/>
      <c r="H155" s="733"/>
      <c r="I155" s="733"/>
      <c r="J155" s="733"/>
      <c r="K155" s="733"/>
      <c r="L155" s="733"/>
      <c r="M155" s="733"/>
    </row>
    <row r="156" spans="1:13" x14ac:dyDescent="0.3">
      <c r="A156" s="733" t="s">
        <v>738</v>
      </c>
      <c r="B156" s="733" t="s">
        <v>612</v>
      </c>
      <c r="C156" s="733" t="s">
        <v>742</v>
      </c>
      <c r="D156" s="733" t="s">
        <v>21</v>
      </c>
      <c r="E156" s="733" t="s">
        <v>614</v>
      </c>
      <c r="F156" s="733" t="s">
        <v>615</v>
      </c>
      <c r="G156" s="733"/>
      <c r="H156" s="733"/>
      <c r="I156" s="733"/>
      <c r="J156" s="733"/>
      <c r="K156" s="733"/>
      <c r="L156" s="733"/>
      <c r="M156" s="733"/>
    </row>
    <row r="157" spans="1:13" x14ac:dyDescent="0.3">
      <c r="A157" s="733" t="s">
        <v>743</v>
      </c>
      <c r="B157" s="733" t="s">
        <v>612</v>
      </c>
      <c r="C157" s="733" t="s">
        <v>729</v>
      </c>
      <c r="D157" s="733" t="s">
        <v>21</v>
      </c>
      <c r="E157" s="733" t="s">
        <v>614</v>
      </c>
      <c r="F157" s="733" t="s">
        <v>615</v>
      </c>
      <c r="G157" s="733"/>
      <c r="H157" s="733"/>
      <c r="I157" s="733"/>
      <c r="J157" s="733"/>
      <c r="K157" s="733"/>
      <c r="L157" s="733"/>
      <c r="M157" s="733"/>
    </row>
    <row r="158" spans="1:13" x14ac:dyDescent="0.3">
      <c r="A158" s="733" t="s">
        <v>743</v>
      </c>
      <c r="B158" s="733" t="s">
        <v>612</v>
      </c>
      <c r="C158" s="733" t="s">
        <v>744</v>
      </c>
      <c r="D158" s="733" t="s">
        <v>21</v>
      </c>
      <c r="E158" s="733" t="s">
        <v>614</v>
      </c>
      <c r="F158" s="733" t="s">
        <v>615</v>
      </c>
      <c r="G158" s="733"/>
      <c r="H158" s="733"/>
      <c r="I158" s="733"/>
      <c r="J158" s="733"/>
      <c r="K158" s="733"/>
      <c r="L158" s="733"/>
      <c r="M158" s="733"/>
    </row>
    <row r="159" spans="1:13" x14ac:dyDescent="0.3">
      <c r="A159" s="733" t="s">
        <v>743</v>
      </c>
      <c r="B159" s="733" t="s">
        <v>645</v>
      </c>
      <c r="C159" s="733" t="s">
        <v>745</v>
      </c>
      <c r="D159" s="733" t="s">
        <v>21</v>
      </c>
      <c r="E159" s="733" t="s">
        <v>614</v>
      </c>
      <c r="F159" s="733" t="s">
        <v>615</v>
      </c>
      <c r="G159" s="733"/>
      <c r="H159" s="733"/>
      <c r="I159" s="733"/>
      <c r="J159" s="733"/>
      <c r="K159" s="733"/>
      <c r="L159" s="733"/>
      <c r="M159" s="733"/>
    </row>
    <row r="160" spans="1:13" x14ac:dyDescent="0.3">
      <c r="A160" s="733" t="s">
        <v>746</v>
      </c>
      <c r="B160" s="733" t="s">
        <v>612</v>
      </c>
      <c r="C160" s="733" t="s">
        <v>747</v>
      </c>
      <c r="D160" s="733" t="s">
        <v>21</v>
      </c>
      <c r="E160" s="733" t="s">
        <v>614</v>
      </c>
      <c r="F160" s="733" t="s">
        <v>615</v>
      </c>
      <c r="G160" s="733"/>
      <c r="H160" s="733"/>
      <c r="I160" s="733"/>
      <c r="J160" s="733"/>
      <c r="K160" s="733"/>
      <c r="L160" s="733"/>
      <c r="M160" s="733"/>
    </row>
    <row r="161" spans="1:13" x14ac:dyDescent="0.3">
      <c r="A161" s="733" t="s">
        <v>746</v>
      </c>
      <c r="B161" s="733" t="s">
        <v>612</v>
      </c>
      <c r="C161" s="733" t="s">
        <v>748</v>
      </c>
      <c r="D161" s="733" t="s">
        <v>21</v>
      </c>
      <c r="E161" s="733" t="s">
        <v>614</v>
      </c>
      <c r="F161" s="733" t="s">
        <v>615</v>
      </c>
      <c r="G161" s="733"/>
      <c r="H161" s="733"/>
      <c r="I161" s="733"/>
      <c r="J161" s="733"/>
      <c r="K161" s="733"/>
      <c r="L161" s="733"/>
      <c r="M161" s="733"/>
    </row>
    <row r="162" spans="1:13" x14ac:dyDescent="0.3">
      <c r="A162" s="733" t="s">
        <v>746</v>
      </c>
      <c r="B162" s="733" t="s">
        <v>612</v>
      </c>
      <c r="C162" s="733" t="s">
        <v>680</v>
      </c>
      <c r="D162" s="733" t="s">
        <v>21</v>
      </c>
      <c r="E162" s="733" t="s">
        <v>614</v>
      </c>
      <c r="F162" s="733" t="s">
        <v>615</v>
      </c>
      <c r="G162" s="733"/>
      <c r="H162" s="733"/>
      <c r="I162" s="733"/>
      <c r="J162" s="733"/>
      <c r="K162" s="733"/>
      <c r="L162" s="733"/>
      <c r="M162" s="733"/>
    </row>
    <row r="163" spans="1:13" x14ac:dyDescent="0.3">
      <c r="A163" s="733" t="s">
        <v>746</v>
      </c>
      <c r="B163" s="733" t="s">
        <v>612</v>
      </c>
      <c r="C163" s="733" t="s">
        <v>613</v>
      </c>
      <c r="D163" s="733" t="s">
        <v>21</v>
      </c>
      <c r="E163" s="733" t="s">
        <v>614</v>
      </c>
      <c r="F163" s="733" t="s">
        <v>615</v>
      </c>
      <c r="G163" s="733"/>
      <c r="H163" s="733"/>
      <c r="I163" s="733"/>
      <c r="J163" s="733"/>
      <c r="K163" s="733"/>
      <c r="L163" s="733"/>
      <c r="M163" s="733"/>
    </row>
    <row r="164" spans="1:13" x14ac:dyDescent="0.3">
      <c r="A164" s="733" t="s">
        <v>746</v>
      </c>
      <c r="B164" s="733" t="s">
        <v>612</v>
      </c>
      <c r="C164" s="733" t="s">
        <v>681</v>
      </c>
      <c r="D164" s="733" t="s">
        <v>21</v>
      </c>
      <c r="E164" s="733" t="s">
        <v>614</v>
      </c>
      <c r="F164" s="733" t="s">
        <v>615</v>
      </c>
      <c r="G164" s="733"/>
      <c r="H164" s="733"/>
      <c r="I164" s="733"/>
      <c r="J164" s="733"/>
      <c r="K164" s="733"/>
      <c r="L164" s="733"/>
      <c r="M164" s="733"/>
    </row>
    <row r="165" spans="1:13" x14ac:dyDescent="0.3">
      <c r="A165" s="733" t="s">
        <v>746</v>
      </c>
      <c r="B165" s="733" t="s">
        <v>612</v>
      </c>
      <c r="C165" s="733" t="s">
        <v>616</v>
      </c>
      <c r="D165" s="733" t="s">
        <v>21</v>
      </c>
      <c r="E165" s="733" t="s">
        <v>614</v>
      </c>
      <c r="F165" s="733" t="s">
        <v>615</v>
      </c>
      <c r="G165" s="733"/>
      <c r="H165" s="733"/>
      <c r="I165" s="733"/>
      <c r="J165" s="733"/>
      <c r="K165" s="733"/>
      <c r="L165" s="733"/>
      <c r="M165" s="733"/>
    </row>
    <row r="166" spans="1:13" x14ac:dyDescent="0.3">
      <c r="A166" s="733" t="s">
        <v>746</v>
      </c>
      <c r="B166" s="733" t="s">
        <v>612</v>
      </c>
      <c r="C166" s="733" t="s">
        <v>749</v>
      </c>
      <c r="D166" s="733" t="s">
        <v>21</v>
      </c>
      <c r="E166" s="733" t="s">
        <v>614</v>
      </c>
      <c r="F166" s="733" t="s">
        <v>615</v>
      </c>
      <c r="G166" s="733"/>
      <c r="H166" s="733"/>
      <c r="I166" s="733"/>
      <c r="J166" s="733"/>
      <c r="K166" s="733"/>
      <c r="L166" s="733"/>
      <c r="M166" s="733"/>
    </row>
    <row r="167" spans="1:13" x14ac:dyDescent="0.3">
      <c r="A167" s="733" t="s">
        <v>746</v>
      </c>
      <c r="B167" s="733" t="s">
        <v>612</v>
      </c>
      <c r="C167" s="733" t="s">
        <v>750</v>
      </c>
      <c r="D167" s="733" t="s">
        <v>21</v>
      </c>
      <c r="E167" s="733" t="s">
        <v>614</v>
      </c>
      <c r="F167" s="733" t="s">
        <v>615</v>
      </c>
      <c r="G167" s="733"/>
      <c r="H167" s="733"/>
      <c r="I167" s="733"/>
      <c r="J167" s="733"/>
      <c r="K167" s="733"/>
      <c r="L167" s="733"/>
      <c r="M167" s="733"/>
    </row>
    <row r="168" spans="1:13" x14ac:dyDescent="0.3">
      <c r="A168" s="733" t="s">
        <v>746</v>
      </c>
      <c r="B168" s="733" t="s">
        <v>612</v>
      </c>
      <c r="C168" s="733" t="s">
        <v>751</v>
      </c>
      <c r="D168" s="733" t="s">
        <v>21</v>
      </c>
      <c r="E168" s="733" t="s">
        <v>614</v>
      </c>
      <c r="F168" s="733" t="s">
        <v>615</v>
      </c>
      <c r="G168" s="733"/>
      <c r="H168" s="733"/>
      <c r="I168" s="733"/>
      <c r="J168" s="733"/>
      <c r="K168" s="733"/>
      <c r="L168" s="733"/>
      <c r="M168" s="733"/>
    </row>
    <row r="169" spans="1:13" x14ac:dyDescent="0.3">
      <c r="A169" s="733" t="s">
        <v>746</v>
      </c>
      <c r="B169" s="733" t="s">
        <v>612</v>
      </c>
      <c r="C169" s="733" t="s">
        <v>752</v>
      </c>
      <c r="D169" s="733" t="s">
        <v>21</v>
      </c>
      <c r="E169" s="733" t="s">
        <v>614</v>
      </c>
      <c r="F169" s="733" t="s">
        <v>615</v>
      </c>
      <c r="G169" s="733"/>
      <c r="H169" s="733"/>
      <c r="I169" s="733"/>
      <c r="J169" s="733"/>
      <c r="K169" s="733"/>
      <c r="L169" s="733"/>
      <c r="M169" s="733"/>
    </row>
    <row r="170" spans="1:13" x14ac:dyDescent="0.3">
      <c r="A170" s="733" t="s">
        <v>746</v>
      </c>
      <c r="B170" s="733" t="s">
        <v>612</v>
      </c>
      <c r="C170" s="733" t="s">
        <v>618</v>
      </c>
      <c r="D170" s="733" t="s">
        <v>21</v>
      </c>
      <c r="E170" s="733" t="s">
        <v>614</v>
      </c>
      <c r="F170" s="733" t="s">
        <v>615</v>
      </c>
      <c r="G170" s="733"/>
      <c r="H170" s="733"/>
      <c r="I170" s="733"/>
      <c r="J170" s="733"/>
      <c r="K170" s="733"/>
      <c r="L170" s="733"/>
      <c r="M170" s="733"/>
    </row>
    <row r="171" spans="1:13" x14ac:dyDescent="0.3">
      <c r="A171" s="733" t="s">
        <v>746</v>
      </c>
      <c r="B171" s="733" t="s">
        <v>612</v>
      </c>
      <c r="C171" s="733" t="s">
        <v>619</v>
      </c>
      <c r="D171" s="733" t="s">
        <v>21</v>
      </c>
      <c r="E171" s="733" t="s">
        <v>614</v>
      </c>
      <c r="F171" s="733" t="s">
        <v>615</v>
      </c>
      <c r="G171" s="733"/>
      <c r="H171" s="733"/>
      <c r="I171" s="733"/>
      <c r="J171" s="733"/>
      <c r="K171" s="733"/>
      <c r="L171" s="733"/>
      <c r="M171" s="733"/>
    </row>
    <row r="172" spans="1:13" x14ac:dyDescent="0.3">
      <c r="A172" s="733" t="s">
        <v>746</v>
      </c>
      <c r="B172" s="733" t="s">
        <v>612</v>
      </c>
      <c r="C172" s="733" t="s">
        <v>620</v>
      </c>
      <c r="D172" s="733" t="s">
        <v>21</v>
      </c>
      <c r="E172" s="733" t="s">
        <v>614</v>
      </c>
      <c r="F172" s="733" t="s">
        <v>615</v>
      </c>
      <c r="G172" s="733"/>
      <c r="H172" s="733"/>
      <c r="I172" s="733"/>
      <c r="J172" s="733"/>
      <c r="K172" s="733"/>
      <c r="L172" s="733"/>
      <c r="M172" s="733"/>
    </row>
    <row r="173" spans="1:13" x14ac:dyDescent="0.3">
      <c r="A173" s="733" t="s">
        <v>746</v>
      </c>
      <c r="B173" s="733" t="s">
        <v>612</v>
      </c>
      <c r="C173" s="733" t="s">
        <v>753</v>
      </c>
      <c r="D173" s="733" t="s">
        <v>21</v>
      </c>
      <c r="E173" s="733" t="s">
        <v>614</v>
      </c>
      <c r="F173" s="733" t="s">
        <v>615</v>
      </c>
      <c r="G173" s="733"/>
      <c r="H173" s="733"/>
      <c r="I173" s="733"/>
      <c r="J173" s="733"/>
      <c r="K173" s="733"/>
      <c r="L173" s="733"/>
      <c r="M173" s="733"/>
    </row>
    <row r="174" spans="1:13" x14ac:dyDescent="0.3">
      <c r="A174" s="733" t="s">
        <v>746</v>
      </c>
      <c r="B174" s="733" t="s">
        <v>612</v>
      </c>
      <c r="C174" s="733" t="s">
        <v>684</v>
      </c>
      <c r="D174" s="733" t="s">
        <v>21</v>
      </c>
      <c r="E174" s="733" t="s">
        <v>614</v>
      </c>
      <c r="F174" s="733" t="s">
        <v>615</v>
      </c>
      <c r="G174" s="733"/>
      <c r="H174" s="733"/>
      <c r="I174" s="733"/>
      <c r="J174" s="733"/>
      <c r="K174" s="733"/>
      <c r="L174" s="733"/>
      <c r="M174" s="733"/>
    </row>
    <row r="175" spans="1:13" x14ac:dyDescent="0.3">
      <c r="A175" s="733" t="s">
        <v>746</v>
      </c>
      <c r="B175" s="733" t="s">
        <v>612</v>
      </c>
      <c r="C175" s="733" t="s">
        <v>621</v>
      </c>
      <c r="D175" s="733" t="s">
        <v>21</v>
      </c>
      <c r="E175" s="733" t="s">
        <v>614</v>
      </c>
      <c r="F175" s="733" t="s">
        <v>615</v>
      </c>
      <c r="G175" s="733"/>
      <c r="H175" s="733"/>
      <c r="I175" s="733"/>
      <c r="J175" s="733"/>
      <c r="K175" s="733"/>
      <c r="L175" s="733"/>
      <c r="M175" s="733"/>
    </row>
    <row r="176" spans="1:13" x14ac:dyDescent="0.3">
      <c r="A176" s="733" t="s">
        <v>746</v>
      </c>
      <c r="B176" s="733" t="s">
        <v>612</v>
      </c>
      <c r="C176" s="733" t="s">
        <v>624</v>
      </c>
      <c r="D176" s="733" t="s">
        <v>21</v>
      </c>
      <c r="E176" s="733" t="s">
        <v>614</v>
      </c>
      <c r="F176" s="733" t="s">
        <v>615</v>
      </c>
      <c r="G176" s="733"/>
      <c r="H176" s="733"/>
      <c r="I176" s="733"/>
      <c r="J176" s="733"/>
      <c r="K176" s="733"/>
      <c r="L176" s="733"/>
      <c r="M176" s="733"/>
    </row>
    <row r="177" spans="1:13" x14ac:dyDescent="0.3">
      <c r="A177" s="733" t="s">
        <v>746</v>
      </c>
      <c r="B177" s="733" t="s">
        <v>612</v>
      </c>
      <c r="C177" s="733" t="s">
        <v>687</v>
      </c>
      <c r="D177" s="733" t="s">
        <v>21</v>
      </c>
      <c r="E177" s="733" t="s">
        <v>614</v>
      </c>
      <c r="F177" s="733" t="s">
        <v>615</v>
      </c>
      <c r="G177" s="733"/>
      <c r="H177" s="733"/>
      <c r="I177" s="733"/>
      <c r="J177" s="733"/>
      <c r="K177" s="733"/>
      <c r="L177" s="733"/>
      <c r="M177" s="733"/>
    </row>
    <row r="178" spans="1:13" x14ac:dyDescent="0.3">
      <c r="A178" s="733" t="s">
        <v>746</v>
      </c>
      <c r="B178" s="733" t="s">
        <v>612</v>
      </c>
      <c r="C178" s="733" t="s">
        <v>754</v>
      </c>
      <c r="D178" s="733" t="s">
        <v>21</v>
      </c>
      <c r="E178" s="733" t="s">
        <v>614</v>
      </c>
      <c r="F178" s="733" t="s">
        <v>615</v>
      </c>
      <c r="G178" s="733"/>
      <c r="H178" s="733"/>
      <c r="I178" s="733"/>
      <c r="J178" s="733"/>
      <c r="K178" s="733"/>
      <c r="L178" s="733"/>
      <c r="M178" s="733"/>
    </row>
    <row r="179" spans="1:13" x14ac:dyDescent="0.3">
      <c r="A179" s="733" t="s">
        <v>746</v>
      </c>
      <c r="B179" s="733" t="s">
        <v>612</v>
      </c>
      <c r="C179" s="733" t="s">
        <v>755</v>
      </c>
      <c r="D179" s="733" t="s">
        <v>21</v>
      </c>
      <c r="E179" s="733" t="s">
        <v>614</v>
      </c>
      <c r="F179" s="733" t="s">
        <v>615</v>
      </c>
      <c r="G179" s="733"/>
      <c r="H179" s="733"/>
      <c r="I179" s="733"/>
      <c r="J179" s="733"/>
      <c r="K179" s="733"/>
      <c r="L179" s="733"/>
      <c r="M179" s="733"/>
    </row>
    <row r="180" spans="1:13" x14ac:dyDescent="0.3">
      <c r="A180" s="733" t="s">
        <v>746</v>
      </c>
      <c r="B180" s="733" t="s">
        <v>612</v>
      </c>
      <c r="C180" s="733" t="s">
        <v>625</v>
      </c>
      <c r="D180" s="733" t="s">
        <v>21</v>
      </c>
      <c r="E180" s="733" t="s">
        <v>614</v>
      </c>
      <c r="F180" s="733" t="s">
        <v>615</v>
      </c>
      <c r="G180" s="733"/>
      <c r="H180" s="733"/>
      <c r="I180" s="733"/>
      <c r="J180" s="733"/>
      <c r="K180" s="733"/>
      <c r="L180" s="733"/>
      <c r="M180" s="733"/>
    </row>
    <row r="181" spans="1:13" x14ac:dyDescent="0.3">
      <c r="A181" s="733" t="s">
        <v>746</v>
      </c>
      <c r="B181" s="733" t="s">
        <v>612</v>
      </c>
      <c r="C181" s="733" t="s">
        <v>756</v>
      </c>
      <c r="D181" s="733" t="s">
        <v>21</v>
      </c>
      <c r="E181" s="733" t="s">
        <v>614</v>
      </c>
      <c r="F181" s="733" t="s">
        <v>615</v>
      </c>
      <c r="G181" s="733"/>
      <c r="H181" s="733"/>
      <c r="I181" s="733"/>
      <c r="J181" s="733"/>
      <c r="K181" s="733"/>
      <c r="L181" s="733"/>
      <c r="M181" s="733"/>
    </row>
    <row r="182" spans="1:13" x14ac:dyDescent="0.3">
      <c r="A182" s="733" t="s">
        <v>746</v>
      </c>
      <c r="B182" s="733" t="s">
        <v>612</v>
      </c>
      <c r="C182" s="733" t="s">
        <v>757</v>
      </c>
      <c r="D182" s="733" t="s">
        <v>21</v>
      </c>
      <c r="E182" s="733" t="s">
        <v>614</v>
      </c>
      <c r="F182" s="733" t="s">
        <v>615</v>
      </c>
      <c r="G182" s="733"/>
      <c r="H182" s="733"/>
      <c r="I182" s="733"/>
      <c r="J182" s="733"/>
      <c r="K182" s="733"/>
      <c r="L182" s="733"/>
      <c r="M182" s="733"/>
    </row>
    <row r="183" spans="1:13" x14ac:dyDescent="0.3">
      <c r="A183" s="733" t="s">
        <v>746</v>
      </c>
      <c r="B183" s="733" t="s">
        <v>612</v>
      </c>
      <c r="C183" s="733" t="s">
        <v>758</v>
      </c>
      <c r="D183" s="733" t="s">
        <v>21</v>
      </c>
      <c r="E183" s="733" t="s">
        <v>614</v>
      </c>
      <c r="F183" s="733" t="s">
        <v>615</v>
      </c>
      <c r="G183" s="733"/>
      <c r="H183" s="733"/>
      <c r="I183" s="733"/>
      <c r="J183" s="733"/>
      <c r="K183" s="733"/>
      <c r="L183" s="733"/>
      <c r="M183" s="733"/>
    </row>
    <row r="184" spans="1:13" x14ac:dyDescent="0.3">
      <c r="A184" s="733" t="s">
        <v>746</v>
      </c>
      <c r="B184" s="733" t="s">
        <v>612</v>
      </c>
      <c r="C184" s="733" t="s">
        <v>759</v>
      </c>
      <c r="D184" s="733" t="s">
        <v>21</v>
      </c>
      <c r="E184" s="733" t="s">
        <v>614</v>
      </c>
      <c r="F184" s="733" t="s">
        <v>615</v>
      </c>
      <c r="G184" s="733"/>
      <c r="H184" s="733"/>
      <c r="I184" s="733"/>
      <c r="J184" s="733"/>
      <c r="K184" s="733"/>
      <c r="L184" s="733"/>
      <c r="M184" s="733"/>
    </row>
    <row r="185" spans="1:13" x14ac:dyDescent="0.3">
      <c r="A185" s="733" t="s">
        <v>746</v>
      </c>
      <c r="B185" s="733" t="s">
        <v>612</v>
      </c>
      <c r="C185" s="733" t="s">
        <v>690</v>
      </c>
      <c r="D185" s="733" t="s">
        <v>21</v>
      </c>
      <c r="E185" s="733" t="s">
        <v>614</v>
      </c>
      <c r="F185" s="733" t="s">
        <v>615</v>
      </c>
      <c r="G185" s="733"/>
      <c r="H185" s="733"/>
      <c r="I185" s="733"/>
      <c r="J185" s="733"/>
      <c r="K185" s="733"/>
      <c r="L185" s="733"/>
      <c r="M185" s="733"/>
    </row>
    <row r="186" spans="1:13" x14ac:dyDescent="0.3">
      <c r="A186" s="733" t="s">
        <v>746</v>
      </c>
      <c r="B186" s="733" t="s">
        <v>612</v>
      </c>
      <c r="C186" s="733" t="s">
        <v>632</v>
      </c>
      <c r="D186" s="733" t="s">
        <v>21</v>
      </c>
      <c r="E186" s="733" t="s">
        <v>614</v>
      </c>
      <c r="F186" s="733" t="s">
        <v>615</v>
      </c>
      <c r="G186" s="733"/>
      <c r="H186" s="733"/>
      <c r="I186" s="733"/>
      <c r="J186" s="733"/>
      <c r="K186" s="733"/>
      <c r="L186" s="733"/>
      <c r="M186" s="733"/>
    </row>
    <row r="187" spans="1:13" x14ac:dyDescent="0.3">
      <c r="A187" s="733" t="s">
        <v>746</v>
      </c>
      <c r="B187" s="733" t="s">
        <v>612</v>
      </c>
      <c r="C187" s="733" t="s">
        <v>633</v>
      </c>
      <c r="D187" s="733" t="s">
        <v>21</v>
      </c>
      <c r="E187" s="733" t="s">
        <v>614</v>
      </c>
      <c r="F187" s="733" t="s">
        <v>615</v>
      </c>
      <c r="G187" s="733"/>
      <c r="H187" s="733"/>
      <c r="I187" s="733"/>
      <c r="J187" s="733"/>
      <c r="K187" s="733"/>
      <c r="L187" s="733"/>
      <c r="M187" s="733"/>
    </row>
    <row r="188" spans="1:13" x14ac:dyDescent="0.3">
      <c r="A188" s="733" t="s">
        <v>746</v>
      </c>
      <c r="B188" s="733" t="s">
        <v>612</v>
      </c>
      <c r="C188" s="733" t="s">
        <v>634</v>
      </c>
      <c r="D188" s="733" t="s">
        <v>21</v>
      </c>
      <c r="E188" s="733" t="s">
        <v>614</v>
      </c>
      <c r="F188" s="733" t="s">
        <v>615</v>
      </c>
      <c r="G188" s="733"/>
      <c r="H188" s="733"/>
      <c r="I188" s="733"/>
      <c r="J188" s="733"/>
      <c r="K188" s="733"/>
      <c r="L188" s="733"/>
      <c r="M188" s="733"/>
    </row>
    <row r="189" spans="1:13" x14ac:dyDescent="0.3">
      <c r="A189" s="733" t="s">
        <v>746</v>
      </c>
      <c r="B189" s="733" t="s">
        <v>612</v>
      </c>
      <c r="C189" s="733" t="s">
        <v>692</v>
      </c>
      <c r="D189" s="733" t="s">
        <v>21</v>
      </c>
      <c r="E189" s="733" t="s">
        <v>614</v>
      </c>
      <c r="F189" s="733" t="s">
        <v>615</v>
      </c>
      <c r="G189" s="733"/>
      <c r="H189" s="733"/>
      <c r="I189" s="733"/>
      <c r="J189" s="733"/>
      <c r="K189" s="733"/>
      <c r="L189" s="733"/>
      <c r="M189" s="733"/>
    </row>
    <row r="190" spans="1:13" x14ac:dyDescent="0.3">
      <c r="A190" s="733" t="s">
        <v>746</v>
      </c>
      <c r="B190" s="733" t="s">
        <v>612</v>
      </c>
      <c r="C190" s="733" t="s">
        <v>635</v>
      </c>
      <c r="D190" s="733" t="s">
        <v>21</v>
      </c>
      <c r="E190" s="733" t="s">
        <v>614</v>
      </c>
      <c r="F190" s="733" t="s">
        <v>615</v>
      </c>
      <c r="G190" s="733"/>
      <c r="H190" s="733"/>
      <c r="I190" s="733"/>
      <c r="J190" s="733"/>
      <c r="K190" s="733"/>
      <c r="L190" s="733"/>
      <c r="M190" s="733"/>
    </row>
    <row r="191" spans="1:13" x14ac:dyDescent="0.3">
      <c r="A191" s="733" t="s">
        <v>746</v>
      </c>
      <c r="B191" s="733" t="s">
        <v>612</v>
      </c>
      <c r="C191" s="733" t="s">
        <v>636</v>
      </c>
      <c r="D191" s="733" t="s">
        <v>21</v>
      </c>
      <c r="E191" s="733" t="s">
        <v>614</v>
      </c>
      <c r="F191" s="733" t="s">
        <v>615</v>
      </c>
      <c r="G191" s="733"/>
      <c r="H191" s="733"/>
      <c r="I191" s="733"/>
      <c r="J191" s="733"/>
      <c r="K191" s="733"/>
      <c r="L191" s="733"/>
      <c r="M191" s="733"/>
    </row>
    <row r="192" spans="1:13" x14ac:dyDescent="0.3">
      <c r="A192" s="733" t="s">
        <v>746</v>
      </c>
      <c r="B192" s="733" t="s">
        <v>612</v>
      </c>
      <c r="C192" s="733" t="s">
        <v>760</v>
      </c>
      <c r="D192" s="733" t="s">
        <v>21</v>
      </c>
      <c r="E192" s="733" t="s">
        <v>614</v>
      </c>
      <c r="F192" s="733" t="s">
        <v>615</v>
      </c>
      <c r="G192" s="733"/>
      <c r="H192" s="733"/>
      <c r="I192" s="733"/>
      <c r="J192" s="733"/>
      <c r="K192" s="733"/>
      <c r="L192" s="733"/>
      <c r="M192" s="733"/>
    </row>
    <row r="193" spans="1:13" x14ac:dyDescent="0.3">
      <c r="A193" s="733" t="s">
        <v>746</v>
      </c>
      <c r="B193" s="733" t="s">
        <v>612</v>
      </c>
      <c r="C193" s="733" t="s">
        <v>761</v>
      </c>
      <c r="D193" s="733" t="s">
        <v>21</v>
      </c>
      <c r="E193" s="733" t="s">
        <v>614</v>
      </c>
      <c r="F193" s="733" t="s">
        <v>615</v>
      </c>
      <c r="G193" s="733"/>
      <c r="H193" s="733"/>
      <c r="I193" s="733"/>
      <c r="J193" s="733"/>
      <c r="K193" s="733"/>
      <c r="L193" s="733"/>
      <c r="M193" s="733"/>
    </row>
    <row r="194" spans="1:13" x14ac:dyDescent="0.3">
      <c r="A194" s="733" t="s">
        <v>746</v>
      </c>
      <c r="B194" s="733" t="s">
        <v>612</v>
      </c>
      <c r="C194" s="733" t="s">
        <v>640</v>
      </c>
      <c r="D194" s="733" t="s">
        <v>21</v>
      </c>
      <c r="E194" s="733" t="s">
        <v>614</v>
      </c>
      <c r="F194" s="733" t="s">
        <v>615</v>
      </c>
      <c r="G194" s="733"/>
      <c r="H194" s="733"/>
      <c r="I194" s="733"/>
      <c r="J194" s="733"/>
      <c r="K194" s="733"/>
      <c r="L194" s="733"/>
      <c r="M194" s="733"/>
    </row>
    <row r="195" spans="1:13" x14ac:dyDescent="0.3">
      <c r="A195" s="733" t="s">
        <v>746</v>
      </c>
      <c r="B195" s="733" t="s">
        <v>612</v>
      </c>
      <c r="C195" s="733" t="s">
        <v>762</v>
      </c>
      <c r="D195" s="733" t="s">
        <v>21</v>
      </c>
      <c r="E195" s="733" t="s">
        <v>614</v>
      </c>
      <c r="F195" s="733" t="s">
        <v>615</v>
      </c>
      <c r="G195" s="733"/>
      <c r="H195" s="733"/>
      <c r="I195" s="733"/>
      <c r="J195" s="733"/>
      <c r="K195" s="733"/>
      <c r="L195" s="733"/>
      <c r="M195" s="733"/>
    </row>
    <row r="196" spans="1:13" x14ac:dyDescent="0.3">
      <c r="A196" s="733" t="s">
        <v>746</v>
      </c>
      <c r="B196" s="733" t="s">
        <v>612</v>
      </c>
      <c r="C196" s="733" t="s">
        <v>763</v>
      </c>
      <c r="D196" s="733" t="s">
        <v>21</v>
      </c>
      <c r="E196" s="733" t="s">
        <v>614</v>
      </c>
      <c r="F196" s="733" t="s">
        <v>615</v>
      </c>
      <c r="G196" s="733"/>
      <c r="H196" s="733"/>
      <c r="I196" s="733"/>
      <c r="J196" s="733"/>
      <c r="K196" s="733"/>
      <c r="L196" s="733"/>
      <c r="M196" s="733"/>
    </row>
    <row r="197" spans="1:13" x14ac:dyDescent="0.3">
      <c r="A197" s="733" t="s">
        <v>746</v>
      </c>
      <c r="B197" s="733" t="s">
        <v>612</v>
      </c>
      <c r="C197" s="733" t="s">
        <v>764</v>
      </c>
      <c r="D197" s="733" t="s">
        <v>21</v>
      </c>
      <c r="E197" s="733" t="s">
        <v>614</v>
      </c>
      <c r="F197" s="733" t="s">
        <v>615</v>
      </c>
      <c r="G197" s="733"/>
      <c r="H197" s="733"/>
      <c r="I197" s="733"/>
      <c r="J197" s="733"/>
      <c r="K197" s="733"/>
      <c r="L197" s="733"/>
      <c r="M197" s="733"/>
    </row>
    <row r="198" spans="1:13" x14ac:dyDescent="0.3">
      <c r="A198" s="734" t="s">
        <v>746</v>
      </c>
      <c r="B198" s="734" t="s">
        <v>612</v>
      </c>
      <c r="C198" s="734" t="s">
        <v>765</v>
      </c>
      <c r="D198" s="734" t="s">
        <v>21</v>
      </c>
      <c r="E198" s="734" t="s">
        <v>614</v>
      </c>
      <c r="F198" s="734" t="s">
        <v>696</v>
      </c>
      <c r="G198" s="733"/>
      <c r="H198" s="733"/>
      <c r="I198" s="733"/>
      <c r="J198" s="733"/>
      <c r="K198" s="733"/>
      <c r="L198" s="733"/>
      <c r="M198" s="733"/>
    </row>
    <row r="199" spans="1:13" x14ac:dyDescent="0.3">
      <c r="A199" s="733" t="s">
        <v>746</v>
      </c>
      <c r="B199" s="733" t="s">
        <v>612</v>
      </c>
      <c r="C199" s="733" t="s">
        <v>642</v>
      </c>
      <c r="D199" s="733" t="s">
        <v>21</v>
      </c>
      <c r="E199" s="733" t="s">
        <v>614</v>
      </c>
      <c r="F199" s="733" t="s">
        <v>615</v>
      </c>
      <c r="G199" s="733"/>
      <c r="H199" s="733"/>
      <c r="I199" s="733"/>
      <c r="J199" s="733"/>
      <c r="K199" s="733"/>
      <c r="L199" s="733"/>
      <c r="M199" s="733"/>
    </row>
    <row r="200" spans="1:13" x14ac:dyDescent="0.3">
      <c r="A200" s="733" t="s">
        <v>746</v>
      </c>
      <c r="B200" s="733" t="s">
        <v>612</v>
      </c>
      <c r="C200" s="733" t="s">
        <v>766</v>
      </c>
      <c r="D200" s="733" t="s">
        <v>21</v>
      </c>
      <c r="E200" s="733" t="s">
        <v>614</v>
      </c>
      <c r="F200" s="733" t="s">
        <v>615</v>
      </c>
      <c r="G200" s="733"/>
      <c r="H200" s="733"/>
      <c r="I200" s="733"/>
      <c r="J200" s="733"/>
      <c r="K200" s="733"/>
      <c r="L200" s="733"/>
      <c r="M200" s="733"/>
    </row>
    <row r="201" spans="1:13" x14ac:dyDescent="0.3">
      <c r="A201" s="734" t="s">
        <v>746</v>
      </c>
      <c r="B201" s="734" t="s">
        <v>612</v>
      </c>
      <c r="C201" s="734" t="s">
        <v>767</v>
      </c>
      <c r="D201" s="734" t="s">
        <v>21</v>
      </c>
      <c r="E201" s="734" t="s">
        <v>614</v>
      </c>
      <c r="F201" s="734" t="s">
        <v>696</v>
      </c>
      <c r="G201" s="733"/>
      <c r="H201" s="733"/>
      <c r="I201" s="733"/>
      <c r="J201" s="733"/>
      <c r="K201" s="733"/>
      <c r="L201" s="733"/>
      <c r="M201" s="733"/>
    </row>
    <row r="202" spans="1:13" x14ac:dyDescent="0.3">
      <c r="A202" s="733" t="s">
        <v>746</v>
      </c>
      <c r="B202" s="733" t="s">
        <v>612</v>
      </c>
      <c r="C202" s="733" t="s">
        <v>768</v>
      </c>
      <c r="D202" s="733" t="s">
        <v>21</v>
      </c>
      <c r="E202" s="733" t="s">
        <v>614</v>
      </c>
      <c r="F202" s="733" t="s">
        <v>615</v>
      </c>
      <c r="G202" s="733"/>
      <c r="H202" s="733"/>
      <c r="I202" s="733"/>
      <c r="J202" s="733"/>
      <c r="K202" s="733"/>
      <c r="L202" s="733"/>
      <c r="M202" s="733"/>
    </row>
    <row r="203" spans="1:13" x14ac:dyDescent="0.3">
      <c r="A203" s="733" t="s">
        <v>746</v>
      </c>
      <c r="B203" s="733" t="s">
        <v>645</v>
      </c>
      <c r="C203" s="733" t="s">
        <v>769</v>
      </c>
      <c r="D203" s="733" t="s">
        <v>21</v>
      </c>
      <c r="E203" s="733" t="s">
        <v>614</v>
      </c>
      <c r="F203" s="733" t="s">
        <v>615</v>
      </c>
      <c r="G203" s="733"/>
      <c r="H203" s="733"/>
      <c r="I203" s="733"/>
      <c r="J203" s="733"/>
      <c r="K203" s="733"/>
      <c r="L203" s="733"/>
      <c r="M203" s="733"/>
    </row>
    <row r="204" spans="1:13" x14ac:dyDescent="0.3">
      <c r="A204" s="733" t="s">
        <v>746</v>
      </c>
      <c r="B204" s="733" t="s">
        <v>645</v>
      </c>
      <c r="C204" s="733" t="s">
        <v>646</v>
      </c>
      <c r="D204" s="733" t="s">
        <v>21</v>
      </c>
      <c r="E204" s="733" t="s">
        <v>614</v>
      </c>
      <c r="F204" s="733" t="s">
        <v>615</v>
      </c>
      <c r="G204" s="733"/>
      <c r="H204" s="733"/>
      <c r="I204" s="733"/>
      <c r="J204" s="733"/>
      <c r="K204" s="733"/>
      <c r="L204" s="733"/>
      <c r="M204" s="733"/>
    </row>
    <row r="205" spans="1:13" x14ac:dyDescent="0.3">
      <c r="A205" s="733" t="s">
        <v>746</v>
      </c>
      <c r="B205" s="733" t="s">
        <v>645</v>
      </c>
      <c r="C205" s="733" t="s">
        <v>770</v>
      </c>
      <c r="D205" s="733" t="s">
        <v>21</v>
      </c>
      <c r="E205" s="733" t="s">
        <v>614</v>
      </c>
      <c r="F205" s="733" t="s">
        <v>615</v>
      </c>
      <c r="G205" s="733"/>
      <c r="H205" s="733"/>
      <c r="I205" s="733"/>
      <c r="J205" s="733"/>
      <c r="K205" s="733"/>
      <c r="L205" s="733"/>
      <c r="M205" s="733"/>
    </row>
    <row r="206" spans="1:13" x14ac:dyDescent="0.3">
      <c r="A206" s="733" t="s">
        <v>746</v>
      </c>
      <c r="B206" s="733" t="s">
        <v>645</v>
      </c>
      <c r="C206" s="733" t="s">
        <v>771</v>
      </c>
      <c r="D206" s="733" t="s">
        <v>21</v>
      </c>
      <c r="E206" s="733" t="s">
        <v>614</v>
      </c>
      <c r="F206" s="733" t="s">
        <v>615</v>
      </c>
      <c r="G206" s="733"/>
      <c r="H206" s="733"/>
      <c r="I206" s="733"/>
      <c r="J206" s="733"/>
      <c r="K206" s="733"/>
      <c r="L206" s="733"/>
      <c r="M206" s="733"/>
    </row>
    <row r="207" spans="1:13" x14ac:dyDescent="0.3">
      <c r="A207" s="733" t="s">
        <v>746</v>
      </c>
      <c r="B207" s="733" t="s">
        <v>645</v>
      </c>
      <c r="C207" s="733" t="s">
        <v>772</v>
      </c>
      <c r="D207" s="733" t="s">
        <v>21</v>
      </c>
      <c r="E207" s="733" t="s">
        <v>614</v>
      </c>
      <c r="F207" s="733" t="s">
        <v>615</v>
      </c>
      <c r="G207" s="733"/>
      <c r="H207" s="733"/>
      <c r="I207" s="733"/>
      <c r="J207" s="733"/>
      <c r="K207" s="733"/>
      <c r="L207" s="733"/>
      <c r="M207" s="733"/>
    </row>
    <row r="208" spans="1:13" x14ac:dyDescent="0.3">
      <c r="A208" s="733" t="s">
        <v>746</v>
      </c>
      <c r="B208" s="733" t="s">
        <v>645</v>
      </c>
      <c r="C208" s="733" t="s">
        <v>773</v>
      </c>
      <c r="D208" s="733" t="s">
        <v>21</v>
      </c>
      <c r="E208" s="733" t="s">
        <v>614</v>
      </c>
      <c r="F208" s="733" t="s">
        <v>615</v>
      </c>
      <c r="G208" s="733"/>
      <c r="H208" s="733"/>
      <c r="I208" s="733"/>
      <c r="J208" s="733"/>
      <c r="K208" s="733"/>
      <c r="L208" s="733"/>
      <c r="M208" s="733"/>
    </row>
    <row r="209" spans="1:13" x14ac:dyDescent="0.3">
      <c r="A209" s="733" t="s">
        <v>746</v>
      </c>
      <c r="B209" s="733" t="s">
        <v>645</v>
      </c>
      <c r="C209" s="733" t="s">
        <v>774</v>
      </c>
      <c r="D209" s="733" t="s">
        <v>21</v>
      </c>
      <c r="E209" s="733" t="s">
        <v>614</v>
      </c>
      <c r="F209" s="733" t="s">
        <v>615</v>
      </c>
      <c r="G209" s="733"/>
      <c r="H209" s="733"/>
      <c r="I209" s="733"/>
      <c r="J209" s="733"/>
      <c r="K209" s="733"/>
      <c r="L209" s="733"/>
      <c r="M209" s="733"/>
    </row>
    <row r="210" spans="1:13" x14ac:dyDescent="0.3">
      <c r="A210" s="733" t="s">
        <v>746</v>
      </c>
      <c r="B210" s="733" t="s">
        <v>645</v>
      </c>
      <c r="C210" s="733" t="s">
        <v>649</v>
      </c>
      <c r="D210" s="733" t="s">
        <v>21</v>
      </c>
      <c r="E210" s="733" t="s">
        <v>614</v>
      </c>
      <c r="F210" s="733" t="s">
        <v>615</v>
      </c>
      <c r="G210" s="733"/>
      <c r="H210" s="733"/>
      <c r="I210" s="733"/>
      <c r="J210" s="733"/>
      <c r="K210" s="733"/>
      <c r="L210" s="733"/>
      <c r="M210" s="733"/>
    </row>
    <row r="211" spans="1:13" x14ac:dyDescent="0.3">
      <c r="A211" s="733" t="s">
        <v>746</v>
      </c>
      <c r="B211" s="733" t="s">
        <v>645</v>
      </c>
      <c r="C211" s="733" t="s">
        <v>775</v>
      </c>
      <c r="D211" s="733" t="s">
        <v>21</v>
      </c>
      <c r="E211" s="733" t="s">
        <v>614</v>
      </c>
      <c r="F211" s="733" t="s">
        <v>615</v>
      </c>
      <c r="G211" s="733"/>
      <c r="H211" s="733"/>
      <c r="I211" s="733"/>
      <c r="J211" s="733"/>
      <c r="K211" s="733"/>
      <c r="L211" s="733"/>
      <c r="M211" s="733"/>
    </row>
    <row r="212" spans="1:13" x14ac:dyDescent="0.3">
      <c r="A212" s="733" t="s">
        <v>746</v>
      </c>
      <c r="B212" s="733" t="s">
        <v>645</v>
      </c>
      <c r="C212" s="733" t="s">
        <v>703</v>
      </c>
      <c r="D212" s="733" t="s">
        <v>21</v>
      </c>
      <c r="E212" s="733" t="s">
        <v>614</v>
      </c>
      <c r="F212" s="733" t="s">
        <v>615</v>
      </c>
      <c r="G212" s="733"/>
      <c r="H212" s="733"/>
      <c r="I212" s="733"/>
      <c r="J212" s="733"/>
      <c r="K212" s="733"/>
      <c r="L212" s="733"/>
      <c r="M212" s="733"/>
    </row>
    <row r="213" spans="1:13" x14ac:dyDescent="0.3">
      <c r="A213" s="733" t="s">
        <v>746</v>
      </c>
      <c r="B213" s="733" t="s">
        <v>645</v>
      </c>
      <c r="C213" s="733" t="s">
        <v>776</v>
      </c>
      <c r="D213" s="733" t="s">
        <v>21</v>
      </c>
      <c r="E213" s="733" t="s">
        <v>614</v>
      </c>
      <c r="F213" s="733" t="s">
        <v>615</v>
      </c>
      <c r="G213" s="733"/>
      <c r="H213" s="733"/>
      <c r="I213" s="733"/>
      <c r="J213" s="733"/>
      <c r="K213" s="733"/>
      <c r="L213" s="733"/>
      <c r="M213" s="733"/>
    </row>
    <row r="214" spans="1:13" x14ac:dyDescent="0.3">
      <c r="A214" s="733" t="s">
        <v>746</v>
      </c>
      <c r="B214" s="733" t="s">
        <v>645</v>
      </c>
      <c r="C214" s="733" t="s">
        <v>650</v>
      </c>
      <c r="D214" s="733" t="s">
        <v>21</v>
      </c>
      <c r="E214" s="733" t="s">
        <v>614</v>
      </c>
      <c r="F214" s="733" t="s">
        <v>615</v>
      </c>
      <c r="G214" s="733"/>
      <c r="H214" s="733"/>
      <c r="I214" s="733"/>
      <c r="J214" s="733"/>
      <c r="K214" s="733"/>
      <c r="L214" s="733"/>
      <c r="M214" s="733"/>
    </row>
    <row r="215" spans="1:13" x14ac:dyDescent="0.3">
      <c r="A215" s="733" t="s">
        <v>746</v>
      </c>
      <c r="B215" s="733" t="s">
        <v>645</v>
      </c>
      <c r="C215" s="733" t="s">
        <v>777</v>
      </c>
      <c r="D215" s="733" t="s">
        <v>21</v>
      </c>
      <c r="E215" s="733" t="s">
        <v>614</v>
      </c>
      <c r="F215" s="733" t="s">
        <v>615</v>
      </c>
      <c r="G215" s="733"/>
      <c r="H215" s="733"/>
      <c r="I215" s="733"/>
      <c r="J215" s="733"/>
      <c r="K215" s="733"/>
      <c r="L215" s="733"/>
      <c r="M215" s="733"/>
    </row>
    <row r="216" spans="1:13" x14ac:dyDescent="0.3">
      <c r="A216" s="733" t="s">
        <v>746</v>
      </c>
      <c r="B216" s="733" t="s">
        <v>645</v>
      </c>
      <c r="C216" s="733" t="s">
        <v>651</v>
      </c>
      <c r="D216" s="733" t="s">
        <v>21</v>
      </c>
      <c r="E216" s="733" t="s">
        <v>614</v>
      </c>
      <c r="F216" s="733" t="s">
        <v>615</v>
      </c>
      <c r="G216" s="733"/>
      <c r="H216" s="733"/>
      <c r="I216" s="733"/>
      <c r="J216" s="733"/>
      <c r="K216" s="733"/>
      <c r="L216" s="733"/>
      <c r="M216" s="733"/>
    </row>
    <row r="217" spans="1:13" x14ac:dyDescent="0.3">
      <c r="A217" s="733" t="s">
        <v>746</v>
      </c>
      <c r="B217" s="733" t="s">
        <v>645</v>
      </c>
      <c r="C217" s="733" t="s">
        <v>778</v>
      </c>
      <c r="D217" s="733" t="s">
        <v>21</v>
      </c>
      <c r="E217" s="733" t="s">
        <v>614</v>
      </c>
      <c r="F217" s="733" t="s">
        <v>615</v>
      </c>
      <c r="G217" s="733"/>
      <c r="H217" s="733"/>
      <c r="I217" s="733"/>
      <c r="J217" s="733"/>
      <c r="K217" s="733"/>
      <c r="L217" s="733"/>
      <c r="M217" s="733"/>
    </row>
    <row r="218" spans="1:13" x14ac:dyDescent="0.3">
      <c r="A218" s="733" t="s">
        <v>746</v>
      </c>
      <c r="B218" s="733" t="s">
        <v>645</v>
      </c>
      <c r="C218" s="733" t="s">
        <v>652</v>
      </c>
      <c r="D218" s="733" t="s">
        <v>21</v>
      </c>
      <c r="E218" s="733" t="s">
        <v>614</v>
      </c>
      <c r="F218" s="733" t="s">
        <v>615</v>
      </c>
      <c r="G218" s="733"/>
      <c r="H218" s="733"/>
      <c r="I218" s="733"/>
      <c r="J218" s="733"/>
      <c r="K218" s="733"/>
      <c r="L218" s="733"/>
      <c r="M218" s="733"/>
    </row>
    <row r="219" spans="1:13" x14ac:dyDescent="0.3">
      <c r="A219" s="733" t="s">
        <v>746</v>
      </c>
      <c r="B219" s="733" t="s">
        <v>645</v>
      </c>
      <c r="C219" s="733" t="s">
        <v>705</v>
      </c>
      <c r="D219" s="733" t="s">
        <v>21</v>
      </c>
      <c r="E219" s="733" t="s">
        <v>614</v>
      </c>
      <c r="F219" s="733" t="s">
        <v>615</v>
      </c>
      <c r="G219" s="733"/>
      <c r="H219" s="733"/>
      <c r="I219" s="733"/>
      <c r="J219" s="733"/>
      <c r="K219" s="733"/>
      <c r="L219" s="733"/>
      <c r="M219" s="733"/>
    </row>
    <row r="220" spans="1:13" x14ac:dyDescent="0.3">
      <c r="A220" s="733" t="s">
        <v>746</v>
      </c>
      <c r="B220" s="733" t="s">
        <v>645</v>
      </c>
      <c r="C220" s="733" t="s">
        <v>779</v>
      </c>
      <c r="D220" s="733" t="s">
        <v>21</v>
      </c>
      <c r="E220" s="733" t="s">
        <v>614</v>
      </c>
      <c r="F220" s="733" t="s">
        <v>615</v>
      </c>
      <c r="G220" s="733"/>
      <c r="H220" s="733"/>
      <c r="I220" s="733"/>
      <c r="J220" s="733"/>
      <c r="K220" s="733"/>
      <c r="L220" s="733"/>
      <c r="M220" s="733"/>
    </row>
    <row r="221" spans="1:13" x14ac:dyDescent="0.3">
      <c r="A221" s="733" t="s">
        <v>746</v>
      </c>
      <c r="B221" s="733" t="s">
        <v>645</v>
      </c>
      <c r="C221" s="733" t="s">
        <v>653</v>
      </c>
      <c r="D221" s="733" t="s">
        <v>21</v>
      </c>
      <c r="E221" s="733" t="s">
        <v>614</v>
      </c>
      <c r="F221" s="733" t="s">
        <v>615</v>
      </c>
      <c r="G221" s="733"/>
      <c r="H221" s="733"/>
      <c r="I221" s="733"/>
      <c r="J221" s="733"/>
      <c r="K221" s="733"/>
      <c r="L221" s="733"/>
      <c r="M221" s="733"/>
    </row>
    <row r="222" spans="1:13" x14ac:dyDescent="0.3">
      <c r="A222" s="733" t="s">
        <v>746</v>
      </c>
      <c r="B222" s="733" t="s">
        <v>645</v>
      </c>
      <c r="C222" s="733" t="s">
        <v>780</v>
      </c>
      <c r="D222" s="733" t="s">
        <v>21</v>
      </c>
      <c r="E222" s="733" t="s">
        <v>614</v>
      </c>
      <c r="F222" s="733" t="s">
        <v>615</v>
      </c>
      <c r="G222" s="733"/>
      <c r="H222" s="733"/>
      <c r="I222" s="733"/>
      <c r="J222" s="733"/>
      <c r="K222" s="733"/>
      <c r="L222" s="733"/>
      <c r="M222" s="733"/>
    </row>
    <row r="223" spans="1:13" x14ac:dyDescent="0.3">
      <c r="A223" s="733" t="s">
        <v>746</v>
      </c>
      <c r="B223" s="733" t="s">
        <v>645</v>
      </c>
      <c r="C223" s="733" t="s">
        <v>706</v>
      </c>
      <c r="D223" s="733" t="s">
        <v>21</v>
      </c>
      <c r="E223" s="733" t="s">
        <v>614</v>
      </c>
      <c r="F223" s="733" t="s">
        <v>615</v>
      </c>
      <c r="G223" s="733"/>
      <c r="H223" s="733"/>
      <c r="I223" s="733"/>
      <c r="J223" s="733"/>
      <c r="K223" s="733"/>
      <c r="L223" s="733"/>
      <c r="M223" s="733"/>
    </row>
    <row r="224" spans="1:13" x14ac:dyDescent="0.3">
      <c r="A224" s="733" t="s">
        <v>746</v>
      </c>
      <c r="B224" s="733" t="s">
        <v>645</v>
      </c>
      <c r="C224" s="733" t="s">
        <v>781</v>
      </c>
      <c r="D224" s="733" t="s">
        <v>21</v>
      </c>
      <c r="E224" s="733" t="s">
        <v>614</v>
      </c>
      <c r="F224" s="733" t="s">
        <v>615</v>
      </c>
      <c r="G224" s="733"/>
      <c r="H224" s="733"/>
      <c r="I224" s="733"/>
      <c r="J224" s="733"/>
      <c r="K224" s="733"/>
      <c r="L224" s="733"/>
      <c r="M224" s="733"/>
    </row>
    <row r="225" spans="1:13" x14ac:dyDescent="0.3">
      <c r="A225" s="733" t="s">
        <v>746</v>
      </c>
      <c r="B225" s="733" t="s">
        <v>645</v>
      </c>
      <c r="C225" s="733" t="s">
        <v>782</v>
      </c>
      <c r="D225" s="733" t="s">
        <v>21</v>
      </c>
      <c r="E225" s="733" t="s">
        <v>614</v>
      </c>
      <c r="F225" s="733" t="s">
        <v>615</v>
      </c>
      <c r="G225" s="733"/>
      <c r="H225" s="733"/>
      <c r="I225" s="733"/>
      <c r="J225" s="733"/>
      <c r="K225" s="733"/>
      <c r="L225" s="733"/>
      <c r="M225" s="733"/>
    </row>
    <row r="226" spans="1:13" x14ac:dyDescent="0.3">
      <c r="A226" s="733" t="s">
        <v>746</v>
      </c>
      <c r="B226" s="733" t="s">
        <v>645</v>
      </c>
      <c r="C226" s="733" t="s">
        <v>655</v>
      </c>
      <c r="D226" s="733" t="s">
        <v>21</v>
      </c>
      <c r="E226" s="733" t="s">
        <v>614</v>
      </c>
      <c r="F226" s="733" t="s">
        <v>615</v>
      </c>
      <c r="G226" s="733"/>
      <c r="H226" s="733"/>
      <c r="I226" s="733"/>
      <c r="J226" s="733"/>
      <c r="K226" s="733"/>
      <c r="L226" s="733"/>
      <c r="M226" s="733"/>
    </row>
    <row r="227" spans="1:13" x14ac:dyDescent="0.3">
      <c r="A227" s="733" t="s">
        <v>746</v>
      </c>
      <c r="B227" s="733" t="s">
        <v>645</v>
      </c>
      <c r="C227" s="733" t="s">
        <v>783</v>
      </c>
      <c r="D227" s="733" t="s">
        <v>21</v>
      </c>
      <c r="E227" s="733" t="s">
        <v>614</v>
      </c>
      <c r="F227" s="733" t="s">
        <v>615</v>
      </c>
      <c r="G227" s="733"/>
      <c r="H227" s="733"/>
      <c r="I227" s="733"/>
      <c r="J227" s="733"/>
      <c r="K227" s="733"/>
      <c r="L227" s="733"/>
      <c r="M227" s="733"/>
    </row>
    <row r="228" spans="1:13" x14ac:dyDescent="0.3">
      <c r="A228" s="733" t="s">
        <v>746</v>
      </c>
      <c r="B228" s="733" t="s">
        <v>645</v>
      </c>
      <c r="C228" s="733" t="s">
        <v>659</v>
      </c>
      <c r="D228" s="733" t="s">
        <v>21</v>
      </c>
      <c r="E228" s="733" t="s">
        <v>614</v>
      </c>
      <c r="F228" s="733" t="s">
        <v>615</v>
      </c>
      <c r="G228" s="733"/>
      <c r="H228" s="733"/>
      <c r="I228" s="733"/>
      <c r="J228" s="733"/>
      <c r="K228" s="733"/>
      <c r="L228" s="733"/>
      <c r="M228" s="733"/>
    </row>
    <row r="229" spans="1:13" x14ac:dyDescent="0.3">
      <c r="A229" s="733" t="s">
        <v>746</v>
      </c>
      <c r="B229" s="733" t="s">
        <v>645</v>
      </c>
      <c r="C229" s="733" t="s">
        <v>710</v>
      </c>
      <c r="D229" s="733" t="s">
        <v>21</v>
      </c>
      <c r="E229" s="733" t="s">
        <v>614</v>
      </c>
      <c r="F229" s="733" t="s">
        <v>615</v>
      </c>
      <c r="G229" s="733"/>
      <c r="H229" s="733"/>
      <c r="I229" s="733"/>
      <c r="J229" s="733"/>
      <c r="K229" s="733"/>
      <c r="L229" s="733"/>
      <c r="M229" s="733"/>
    </row>
    <row r="230" spans="1:13" x14ac:dyDescent="0.3">
      <c r="A230" s="733" t="s">
        <v>746</v>
      </c>
      <c r="B230" s="733" t="s">
        <v>645</v>
      </c>
      <c r="C230" s="733" t="s">
        <v>784</v>
      </c>
      <c r="D230" s="733" t="s">
        <v>21</v>
      </c>
      <c r="E230" s="733" t="s">
        <v>614</v>
      </c>
      <c r="F230" s="733" t="s">
        <v>615</v>
      </c>
      <c r="G230" s="733"/>
      <c r="H230" s="733"/>
      <c r="I230" s="733"/>
      <c r="J230" s="733"/>
      <c r="K230" s="733"/>
      <c r="L230" s="733"/>
      <c r="M230" s="733"/>
    </row>
    <row r="231" spans="1:13" x14ac:dyDescent="0.3">
      <c r="A231" s="733" t="s">
        <v>746</v>
      </c>
      <c r="B231" s="733" t="s">
        <v>645</v>
      </c>
      <c r="C231" s="733" t="s">
        <v>785</v>
      </c>
      <c r="D231" s="733" t="s">
        <v>21</v>
      </c>
      <c r="E231" s="733" t="s">
        <v>614</v>
      </c>
      <c r="F231" s="733" t="s">
        <v>615</v>
      </c>
      <c r="G231" s="733"/>
      <c r="H231" s="733"/>
      <c r="I231" s="733"/>
      <c r="J231" s="733"/>
      <c r="K231" s="733"/>
      <c r="L231" s="733"/>
      <c r="M231" s="733"/>
    </row>
    <row r="232" spans="1:13" x14ac:dyDescent="0.3">
      <c r="A232" s="733" t="s">
        <v>746</v>
      </c>
      <c r="B232" s="733" t="s">
        <v>645</v>
      </c>
      <c r="C232" s="733" t="s">
        <v>662</v>
      </c>
      <c r="D232" s="733" t="s">
        <v>21</v>
      </c>
      <c r="E232" s="733" t="s">
        <v>614</v>
      </c>
      <c r="F232" s="733" t="s">
        <v>615</v>
      </c>
      <c r="G232" s="733"/>
      <c r="H232" s="733"/>
      <c r="I232" s="733"/>
      <c r="J232" s="733"/>
      <c r="K232" s="733"/>
      <c r="L232" s="733"/>
      <c r="M232" s="733"/>
    </row>
    <row r="233" spans="1:13" x14ac:dyDescent="0.3">
      <c r="A233" s="733" t="s">
        <v>746</v>
      </c>
      <c r="B233" s="733" t="s">
        <v>645</v>
      </c>
      <c r="C233" s="733" t="s">
        <v>711</v>
      </c>
      <c r="D233" s="733" t="s">
        <v>21</v>
      </c>
      <c r="E233" s="733" t="s">
        <v>614</v>
      </c>
      <c r="F233" s="733" t="s">
        <v>615</v>
      </c>
      <c r="G233" s="733"/>
      <c r="H233" s="733"/>
      <c r="I233" s="733"/>
      <c r="J233" s="733"/>
      <c r="K233" s="733"/>
      <c r="L233" s="733"/>
      <c r="M233" s="733"/>
    </row>
    <row r="234" spans="1:13" x14ac:dyDescent="0.3">
      <c r="A234" s="733" t="s">
        <v>746</v>
      </c>
      <c r="B234" s="733" t="s">
        <v>645</v>
      </c>
      <c r="C234" s="733" t="s">
        <v>786</v>
      </c>
      <c r="D234" s="733" t="s">
        <v>21</v>
      </c>
      <c r="E234" s="733" t="s">
        <v>614</v>
      </c>
      <c r="F234" s="733" t="s">
        <v>615</v>
      </c>
      <c r="G234" s="733"/>
      <c r="H234" s="733"/>
      <c r="I234" s="733"/>
      <c r="J234" s="733"/>
      <c r="K234" s="733"/>
      <c r="L234" s="733"/>
      <c r="M234" s="733"/>
    </row>
    <row r="235" spans="1:13" x14ac:dyDescent="0.3">
      <c r="A235" s="733" t="s">
        <v>746</v>
      </c>
      <c r="B235" s="733" t="s">
        <v>645</v>
      </c>
      <c r="C235" s="733" t="s">
        <v>787</v>
      </c>
      <c r="D235" s="733" t="s">
        <v>21</v>
      </c>
      <c r="E235" s="733" t="s">
        <v>614</v>
      </c>
      <c r="F235" s="733" t="s">
        <v>615</v>
      </c>
      <c r="G235" s="733"/>
      <c r="H235" s="733"/>
      <c r="I235" s="733"/>
      <c r="J235" s="733"/>
      <c r="K235" s="733"/>
      <c r="L235" s="733"/>
      <c r="M235" s="733"/>
    </row>
    <row r="236" spans="1:13" x14ac:dyDescent="0.3">
      <c r="A236" s="733" t="s">
        <v>746</v>
      </c>
      <c r="B236" s="733" t="s">
        <v>645</v>
      </c>
      <c r="C236" s="733" t="s">
        <v>788</v>
      </c>
      <c r="D236" s="733" t="s">
        <v>21</v>
      </c>
      <c r="E236" s="733" t="s">
        <v>614</v>
      </c>
      <c r="F236" s="733" t="s">
        <v>615</v>
      </c>
      <c r="G236" s="733"/>
      <c r="H236" s="733"/>
      <c r="I236" s="733"/>
      <c r="J236" s="733"/>
      <c r="K236" s="733"/>
      <c r="L236" s="733"/>
      <c r="M236" s="733"/>
    </row>
    <row r="237" spans="1:13" x14ac:dyDescent="0.3">
      <c r="A237" s="733" t="s">
        <v>746</v>
      </c>
      <c r="B237" s="733" t="s">
        <v>645</v>
      </c>
      <c r="C237" s="733" t="s">
        <v>712</v>
      </c>
      <c r="D237" s="733" t="s">
        <v>21</v>
      </c>
      <c r="E237" s="733" t="s">
        <v>614</v>
      </c>
      <c r="F237" s="733" t="s">
        <v>615</v>
      </c>
      <c r="G237" s="733"/>
      <c r="H237" s="733"/>
      <c r="I237" s="733"/>
      <c r="J237" s="733"/>
      <c r="K237" s="733"/>
      <c r="L237" s="733"/>
      <c r="M237" s="733"/>
    </row>
    <row r="238" spans="1:13" x14ac:dyDescent="0.3">
      <c r="A238" s="733" t="s">
        <v>746</v>
      </c>
      <c r="B238" s="733" t="s">
        <v>645</v>
      </c>
      <c r="C238" s="733" t="s">
        <v>663</v>
      </c>
      <c r="D238" s="733" t="s">
        <v>21</v>
      </c>
      <c r="E238" s="733" t="s">
        <v>614</v>
      </c>
      <c r="F238" s="733" t="s">
        <v>615</v>
      </c>
      <c r="G238" s="733"/>
      <c r="H238" s="733"/>
      <c r="I238" s="733"/>
      <c r="J238" s="733"/>
      <c r="K238" s="733"/>
      <c r="L238" s="733"/>
      <c r="M238" s="733"/>
    </row>
    <row r="239" spans="1:13" x14ac:dyDescent="0.3">
      <c r="A239" s="733" t="s">
        <v>746</v>
      </c>
      <c r="B239" s="733" t="s">
        <v>645</v>
      </c>
      <c r="C239" s="733" t="s">
        <v>789</v>
      </c>
      <c r="D239" s="733" t="s">
        <v>21</v>
      </c>
      <c r="E239" s="733" t="s">
        <v>614</v>
      </c>
      <c r="F239" s="733" t="s">
        <v>615</v>
      </c>
      <c r="G239" s="733"/>
      <c r="H239" s="733"/>
      <c r="I239" s="733"/>
      <c r="J239" s="733"/>
      <c r="K239" s="733"/>
      <c r="L239" s="733"/>
      <c r="M239" s="733"/>
    </row>
    <row r="240" spans="1:13" x14ac:dyDescent="0.3">
      <c r="A240" s="733" t="s">
        <v>746</v>
      </c>
      <c r="B240" s="733" t="s">
        <v>645</v>
      </c>
      <c r="C240" s="733" t="s">
        <v>790</v>
      </c>
      <c r="D240" s="733" t="s">
        <v>21</v>
      </c>
      <c r="E240" s="733" t="s">
        <v>614</v>
      </c>
      <c r="F240" s="733" t="s">
        <v>615</v>
      </c>
      <c r="G240" s="733"/>
      <c r="H240" s="733"/>
      <c r="I240" s="733"/>
      <c r="J240" s="733"/>
      <c r="K240" s="733"/>
      <c r="L240" s="733"/>
      <c r="M240" s="733"/>
    </row>
    <row r="241" spans="1:13" x14ac:dyDescent="0.3">
      <c r="A241" s="733" t="s">
        <v>746</v>
      </c>
      <c r="B241" s="733" t="s">
        <v>664</v>
      </c>
      <c r="C241" s="733" t="s">
        <v>666</v>
      </c>
      <c r="D241" s="733" t="s">
        <v>21</v>
      </c>
      <c r="E241" s="733" t="s">
        <v>614</v>
      </c>
      <c r="F241" s="733" t="s">
        <v>615</v>
      </c>
      <c r="G241" s="733"/>
      <c r="H241" s="733"/>
      <c r="I241" s="733"/>
      <c r="J241" s="733"/>
      <c r="K241" s="733"/>
      <c r="L241" s="733"/>
      <c r="M241" s="733"/>
    </row>
    <row r="242" spans="1:13" x14ac:dyDescent="0.3">
      <c r="A242" s="733" t="s">
        <v>746</v>
      </c>
      <c r="B242" s="733" t="s">
        <v>664</v>
      </c>
      <c r="C242" s="733" t="s">
        <v>713</v>
      </c>
      <c r="D242" s="733" t="s">
        <v>21</v>
      </c>
      <c r="E242" s="733" t="s">
        <v>614</v>
      </c>
      <c r="F242" s="733" t="s">
        <v>615</v>
      </c>
      <c r="G242" s="733"/>
      <c r="H242" s="733"/>
      <c r="I242" s="733"/>
      <c r="J242" s="733"/>
      <c r="K242" s="733"/>
      <c r="L242" s="733"/>
      <c r="M242" s="733"/>
    </row>
    <row r="243" spans="1:13" x14ac:dyDescent="0.3">
      <c r="A243" s="733" t="s">
        <v>746</v>
      </c>
      <c r="B243" s="733" t="s">
        <v>664</v>
      </c>
      <c r="C243" s="733" t="s">
        <v>791</v>
      </c>
      <c r="D243" s="733" t="s">
        <v>21</v>
      </c>
      <c r="E243" s="733" t="s">
        <v>614</v>
      </c>
      <c r="F243" s="733" t="s">
        <v>615</v>
      </c>
      <c r="G243" s="733"/>
      <c r="H243" s="733"/>
      <c r="I243" s="733"/>
      <c r="J243" s="733"/>
      <c r="K243" s="733"/>
      <c r="L243" s="733"/>
      <c r="M243" s="733"/>
    </row>
    <row r="244" spans="1:13" x14ac:dyDescent="0.3">
      <c r="A244" s="733" t="s">
        <v>746</v>
      </c>
      <c r="B244" s="733" t="s">
        <v>664</v>
      </c>
      <c r="C244" s="733" t="s">
        <v>792</v>
      </c>
      <c r="D244" s="733" t="s">
        <v>21</v>
      </c>
      <c r="E244" s="733" t="s">
        <v>614</v>
      </c>
      <c r="F244" s="733" t="s">
        <v>615</v>
      </c>
      <c r="G244" s="733"/>
      <c r="H244" s="733"/>
      <c r="I244" s="733"/>
      <c r="J244" s="733"/>
      <c r="K244" s="733"/>
      <c r="L244" s="733"/>
      <c r="M244" s="733"/>
    </row>
    <row r="245" spans="1:13" x14ac:dyDescent="0.3">
      <c r="A245" s="733" t="s">
        <v>746</v>
      </c>
      <c r="B245" s="733" t="s">
        <v>664</v>
      </c>
      <c r="C245" s="733" t="s">
        <v>669</v>
      </c>
      <c r="D245" s="733" t="s">
        <v>21</v>
      </c>
      <c r="E245" s="733" t="s">
        <v>614</v>
      </c>
      <c r="F245" s="733" t="s">
        <v>615</v>
      </c>
      <c r="G245" s="733"/>
      <c r="H245" s="733"/>
      <c r="I245" s="733"/>
      <c r="J245" s="733"/>
      <c r="K245" s="733"/>
      <c r="L245" s="733"/>
      <c r="M245" s="733"/>
    </row>
    <row r="246" spans="1:13" x14ac:dyDescent="0.3">
      <c r="A246" s="733" t="s">
        <v>746</v>
      </c>
      <c r="B246" s="733" t="s">
        <v>664</v>
      </c>
      <c r="C246" s="733" t="s">
        <v>793</v>
      </c>
      <c r="D246" s="733" t="s">
        <v>21</v>
      </c>
      <c r="E246" s="733" t="s">
        <v>614</v>
      </c>
      <c r="F246" s="733" t="s">
        <v>615</v>
      </c>
      <c r="G246" s="733"/>
      <c r="H246" s="733"/>
      <c r="I246" s="733"/>
      <c r="J246" s="733"/>
      <c r="K246" s="733"/>
      <c r="L246" s="733"/>
      <c r="M246" s="733"/>
    </row>
    <row r="247" spans="1:13" x14ac:dyDescent="0.3">
      <c r="A247" s="733" t="s">
        <v>746</v>
      </c>
      <c r="B247" s="733" t="s">
        <v>664</v>
      </c>
      <c r="C247" s="733" t="s">
        <v>794</v>
      </c>
      <c r="D247" s="733" t="s">
        <v>21</v>
      </c>
      <c r="E247" s="733" t="s">
        <v>614</v>
      </c>
      <c r="F247" s="733" t="s">
        <v>615</v>
      </c>
      <c r="G247" s="733"/>
      <c r="H247" s="733"/>
      <c r="I247" s="733"/>
      <c r="J247" s="733"/>
      <c r="K247" s="733"/>
      <c r="L247" s="733"/>
      <c r="M247" s="733"/>
    </row>
    <row r="248" spans="1:13" x14ac:dyDescent="0.3">
      <c r="A248" s="733" t="s">
        <v>746</v>
      </c>
      <c r="B248" s="733" t="s">
        <v>664</v>
      </c>
      <c r="C248" s="733" t="s">
        <v>670</v>
      </c>
      <c r="D248" s="733" t="s">
        <v>21</v>
      </c>
      <c r="E248" s="733" t="s">
        <v>614</v>
      </c>
      <c r="F248" s="733" t="s">
        <v>615</v>
      </c>
      <c r="G248" s="733"/>
      <c r="H248" s="733"/>
      <c r="I248" s="733"/>
      <c r="J248" s="733"/>
      <c r="K248" s="733"/>
      <c r="L248" s="733"/>
      <c r="M248" s="733"/>
    </row>
    <row r="249" spans="1:13" x14ac:dyDescent="0.3">
      <c r="A249" s="733" t="s">
        <v>746</v>
      </c>
      <c r="B249" s="733" t="s">
        <v>664</v>
      </c>
      <c r="C249" s="733" t="s">
        <v>671</v>
      </c>
      <c r="D249" s="733" t="s">
        <v>21</v>
      </c>
      <c r="E249" s="733" t="s">
        <v>614</v>
      </c>
      <c r="F249" s="733" t="s">
        <v>615</v>
      </c>
      <c r="G249" s="733"/>
      <c r="H249" s="733"/>
      <c r="I249" s="733"/>
      <c r="J249" s="733"/>
      <c r="K249" s="733"/>
      <c r="L249" s="733"/>
      <c r="M249" s="733"/>
    </row>
    <row r="250" spans="1:13" x14ac:dyDescent="0.3">
      <c r="A250" s="733" t="s">
        <v>746</v>
      </c>
      <c r="B250" s="733" t="s">
        <v>664</v>
      </c>
      <c r="C250" s="733" t="s">
        <v>795</v>
      </c>
      <c r="D250" s="733" t="s">
        <v>21</v>
      </c>
      <c r="E250" s="733" t="s">
        <v>614</v>
      </c>
      <c r="F250" s="733" t="s">
        <v>615</v>
      </c>
      <c r="G250" s="733"/>
      <c r="H250" s="733"/>
      <c r="I250" s="733"/>
      <c r="J250" s="733"/>
      <c r="K250" s="733"/>
      <c r="L250" s="733"/>
      <c r="M250" s="733"/>
    </row>
    <row r="251" spans="1:13" x14ac:dyDescent="0.3">
      <c r="A251" s="733" t="s">
        <v>746</v>
      </c>
      <c r="B251" s="733" t="s">
        <v>664</v>
      </c>
      <c r="C251" s="733" t="s">
        <v>796</v>
      </c>
      <c r="D251" s="733" t="s">
        <v>21</v>
      </c>
      <c r="E251" s="733" t="s">
        <v>614</v>
      </c>
      <c r="F251" s="733" t="s">
        <v>615</v>
      </c>
      <c r="G251" s="733"/>
      <c r="H251" s="733"/>
      <c r="I251" s="733"/>
      <c r="J251" s="733"/>
      <c r="K251" s="733"/>
      <c r="L251" s="733"/>
      <c r="M251" s="733"/>
    </row>
    <row r="252" spans="1:13" x14ac:dyDescent="0.3">
      <c r="A252" s="733" t="s">
        <v>746</v>
      </c>
      <c r="B252" s="733" t="s">
        <v>664</v>
      </c>
      <c r="C252" s="733" t="s">
        <v>797</v>
      </c>
      <c r="D252" s="733" t="s">
        <v>21</v>
      </c>
      <c r="E252" s="733" t="s">
        <v>614</v>
      </c>
      <c r="F252" s="733" t="s">
        <v>615</v>
      </c>
      <c r="G252" s="733"/>
      <c r="H252" s="733"/>
      <c r="I252" s="733"/>
      <c r="J252" s="733"/>
      <c r="K252" s="733"/>
      <c r="L252" s="733"/>
      <c r="M252" s="733"/>
    </row>
    <row r="253" spans="1:13" x14ac:dyDescent="0.3">
      <c r="A253" s="733" t="s">
        <v>746</v>
      </c>
      <c r="B253" s="733" t="s">
        <v>664</v>
      </c>
      <c r="C253" s="733" t="s">
        <v>798</v>
      </c>
      <c r="D253" s="733" t="s">
        <v>21</v>
      </c>
      <c r="E253" s="733" t="s">
        <v>614</v>
      </c>
      <c r="F253" s="733" t="s">
        <v>615</v>
      </c>
      <c r="G253" s="733"/>
      <c r="H253" s="733"/>
      <c r="I253" s="733"/>
      <c r="J253" s="733"/>
      <c r="K253" s="733"/>
      <c r="L253" s="733"/>
      <c r="M253" s="733"/>
    </row>
    <row r="254" spans="1:13" x14ac:dyDescent="0.3">
      <c r="A254" s="733" t="s">
        <v>746</v>
      </c>
      <c r="B254" s="733" t="s">
        <v>664</v>
      </c>
      <c r="C254" s="733" t="s">
        <v>799</v>
      </c>
      <c r="D254" s="733" t="s">
        <v>21</v>
      </c>
      <c r="E254" s="733" t="s">
        <v>614</v>
      </c>
      <c r="F254" s="733" t="s">
        <v>615</v>
      </c>
      <c r="G254" s="733"/>
      <c r="H254" s="733"/>
      <c r="I254" s="733"/>
      <c r="J254" s="733"/>
      <c r="K254" s="733"/>
      <c r="L254" s="733"/>
      <c r="M254" s="733"/>
    </row>
    <row r="255" spans="1:13" x14ac:dyDescent="0.3">
      <c r="A255" s="733" t="s">
        <v>746</v>
      </c>
      <c r="B255" s="733" t="s">
        <v>664</v>
      </c>
      <c r="C255" s="733" t="s">
        <v>800</v>
      </c>
      <c r="D255" s="733" t="s">
        <v>21</v>
      </c>
      <c r="E255" s="733" t="s">
        <v>614</v>
      </c>
      <c r="F255" s="733" t="s">
        <v>615</v>
      </c>
      <c r="G255" s="733"/>
      <c r="H255" s="733"/>
      <c r="I255" s="733"/>
      <c r="J255" s="733"/>
      <c r="K255" s="733"/>
      <c r="L255" s="733"/>
      <c r="M255" s="733"/>
    </row>
    <row r="256" spans="1:13" x14ac:dyDescent="0.3">
      <c r="A256" s="733" t="s">
        <v>746</v>
      </c>
      <c r="B256" s="733" t="s">
        <v>664</v>
      </c>
      <c r="C256" s="733" t="s">
        <v>801</v>
      </c>
      <c r="D256" s="733" t="s">
        <v>21</v>
      </c>
      <c r="E256" s="733" t="s">
        <v>614</v>
      </c>
      <c r="F256" s="733" t="s">
        <v>615</v>
      </c>
      <c r="G256" s="733"/>
      <c r="H256" s="733"/>
      <c r="I256" s="733"/>
      <c r="J256" s="733"/>
      <c r="K256" s="733"/>
      <c r="L256" s="733"/>
      <c r="M256" s="733"/>
    </row>
    <row r="257" spans="1:13" x14ac:dyDescent="0.3">
      <c r="A257" s="733" t="s">
        <v>746</v>
      </c>
      <c r="B257" s="733" t="s">
        <v>664</v>
      </c>
      <c r="C257" s="733" t="s">
        <v>719</v>
      </c>
      <c r="D257" s="733" t="s">
        <v>21</v>
      </c>
      <c r="E257" s="733" t="s">
        <v>614</v>
      </c>
      <c r="F257" s="733" t="s">
        <v>615</v>
      </c>
      <c r="G257" s="733"/>
      <c r="H257" s="733"/>
      <c r="I257" s="733"/>
      <c r="J257" s="733"/>
      <c r="K257" s="733"/>
      <c r="L257" s="733"/>
      <c r="M257" s="733"/>
    </row>
    <row r="258" spans="1:13" x14ac:dyDescent="0.3">
      <c r="A258" s="733" t="s">
        <v>746</v>
      </c>
      <c r="B258" s="733" t="s">
        <v>664</v>
      </c>
      <c r="C258" s="733" t="s">
        <v>678</v>
      </c>
      <c r="D258" s="733" t="s">
        <v>21</v>
      </c>
      <c r="E258" s="733" t="s">
        <v>614</v>
      </c>
      <c r="F258" s="733" t="s">
        <v>615</v>
      </c>
      <c r="G258" s="733"/>
      <c r="H258" s="733"/>
      <c r="I258" s="733"/>
      <c r="J258" s="733"/>
      <c r="K258" s="733"/>
      <c r="L258" s="733"/>
      <c r="M258" s="733"/>
    </row>
    <row r="259" spans="1:13" x14ac:dyDescent="0.3">
      <c r="A259" s="733" t="s">
        <v>802</v>
      </c>
      <c r="B259" s="733" t="s">
        <v>612</v>
      </c>
      <c r="C259" s="733" t="s">
        <v>803</v>
      </c>
      <c r="D259" s="733" t="s">
        <v>21</v>
      </c>
      <c r="E259" s="733" t="s">
        <v>614</v>
      </c>
      <c r="F259" s="733" t="s">
        <v>615</v>
      </c>
      <c r="G259" s="733"/>
      <c r="H259" s="733"/>
      <c r="I259" s="733"/>
      <c r="J259" s="733"/>
      <c r="K259" s="733"/>
      <c r="L259" s="733"/>
      <c r="M259" s="733"/>
    </row>
    <row r="260" spans="1:13" x14ac:dyDescent="0.3">
      <c r="A260" s="733" t="s">
        <v>802</v>
      </c>
      <c r="B260" s="733" t="s">
        <v>612</v>
      </c>
      <c r="C260" s="733" t="s">
        <v>804</v>
      </c>
      <c r="D260" s="733" t="s">
        <v>21</v>
      </c>
      <c r="E260" s="733" t="s">
        <v>614</v>
      </c>
      <c r="F260" s="733" t="s">
        <v>615</v>
      </c>
      <c r="G260" s="733"/>
      <c r="H260" s="733"/>
      <c r="I260" s="733"/>
      <c r="J260" s="733"/>
      <c r="K260" s="733"/>
      <c r="L260" s="733"/>
      <c r="M260" s="733"/>
    </row>
    <row r="261" spans="1:13" x14ac:dyDescent="0.3">
      <c r="A261" s="733" t="s">
        <v>805</v>
      </c>
      <c r="B261" s="733" t="s">
        <v>612</v>
      </c>
      <c r="C261" s="733" t="s">
        <v>806</v>
      </c>
      <c r="D261" s="733" t="s">
        <v>21</v>
      </c>
      <c r="E261" s="733" t="s">
        <v>614</v>
      </c>
      <c r="F261" s="733" t="s">
        <v>615</v>
      </c>
      <c r="G261" s="733"/>
      <c r="H261" s="733"/>
      <c r="I261" s="733"/>
      <c r="J261" s="733"/>
      <c r="K261" s="733"/>
      <c r="L261" s="733"/>
      <c r="M261" s="733"/>
    </row>
    <row r="262" spans="1:13" x14ac:dyDescent="0.3">
      <c r="A262" s="733" t="s">
        <v>805</v>
      </c>
      <c r="B262" s="733" t="s">
        <v>612</v>
      </c>
      <c r="C262" s="733" t="s">
        <v>613</v>
      </c>
      <c r="D262" s="733" t="s">
        <v>21</v>
      </c>
      <c r="E262" s="733" t="s">
        <v>614</v>
      </c>
      <c r="F262" s="733" t="s">
        <v>615</v>
      </c>
      <c r="G262" s="733"/>
      <c r="H262" s="733"/>
      <c r="I262" s="733"/>
      <c r="J262" s="733"/>
      <c r="K262" s="733"/>
      <c r="L262" s="733"/>
      <c r="M262" s="733"/>
    </row>
    <row r="263" spans="1:13" x14ac:dyDescent="0.3">
      <c r="A263" s="733" t="s">
        <v>805</v>
      </c>
      <c r="B263" s="733" t="s">
        <v>612</v>
      </c>
      <c r="C263" s="733" t="s">
        <v>807</v>
      </c>
      <c r="D263" s="733" t="s">
        <v>21</v>
      </c>
      <c r="E263" s="733" t="s">
        <v>614</v>
      </c>
      <c r="F263" s="733" t="s">
        <v>615</v>
      </c>
      <c r="G263" s="733"/>
      <c r="H263" s="733"/>
      <c r="I263" s="733"/>
      <c r="J263" s="733"/>
      <c r="K263" s="733"/>
      <c r="L263" s="733"/>
      <c r="M263" s="733"/>
    </row>
    <row r="264" spans="1:13" x14ac:dyDescent="0.3">
      <c r="A264" s="733" t="s">
        <v>805</v>
      </c>
      <c r="B264" s="733" t="s">
        <v>612</v>
      </c>
      <c r="C264" s="733" t="s">
        <v>808</v>
      </c>
      <c r="D264" s="733" t="s">
        <v>21</v>
      </c>
      <c r="E264" s="733" t="s">
        <v>614</v>
      </c>
      <c r="F264" s="733" t="s">
        <v>615</v>
      </c>
      <c r="G264" s="733"/>
      <c r="H264" s="733"/>
      <c r="I264" s="733"/>
      <c r="J264" s="733"/>
      <c r="K264" s="733"/>
      <c r="L264" s="733"/>
      <c r="M264" s="733"/>
    </row>
    <row r="265" spans="1:13" x14ac:dyDescent="0.3">
      <c r="A265" s="733" t="s">
        <v>805</v>
      </c>
      <c r="B265" s="733" t="s">
        <v>612</v>
      </c>
      <c r="C265" s="733" t="s">
        <v>809</v>
      </c>
      <c r="D265" s="733" t="s">
        <v>21</v>
      </c>
      <c r="E265" s="733" t="s">
        <v>614</v>
      </c>
      <c r="F265" s="733" t="s">
        <v>615</v>
      </c>
      <c r="G265" s="733"/>
      <c r="H265" s="733"/>
      <c r="I265" s="733"/>
      <c r="J265" s="733"/>
      <c r="K265" s="733"/>
      <c r="L265" s="733"/>
      <c r="M265" s="733"/>
    </row>
    <row r="266" spans="1:13" x14ac:dyDescent="0.3">
      <c r="A266" s="733" t="s">
        <v>805</v>
      </c>
      <c r="B266" s="733" t="s">
        <v>612</v>
      </c>
      <c r="C266" s="733" t="s">
        <v>810</v>
      </c>
      <c r="D266" s="733" t="s">
        <v>21</v>
      </c>
      <c r="E266" s="733" t="s">
        <v>614</v>
      </c>
      <c r="F266" s="733" t="s">
        <v>615</v>
      </c>
      <c r="G266" s="733"/>
      <c r="H266" s="733"/>
      <c r="I266" s="733"/>
      <c r="J266" s="733"/>
      <c r="K266" s="733"/>
      <c r="L266" s="733"/>
      <c r="M266" s="733"/>
    </row>
    <row r="267" spans="1:13" x14ac:dyDescent="0.3">
      <c r="A267" s="733" t="s">
        <v>805</v>
      </c>
      <c r="B267" s="733" t="s">
        <v>612</v>
      </c>
      <c r="C267" s="733" t="s">
        <v>764</v>
      </c>
      <c r="D267" s="733" t="s">
        <v>21</v>
      </c>
      <c r="E267" s="733" t="s">
        <v>614</v>
      </c>
      <c r="F267" s="733" t="s">
        <v>615</v>
      </c>
      <c r="G267" s="733"/>
      <c r="H267" s="733"/>
      <c r="I267" s="733"/>
      <c r="J267" s="733"/>
      <c r="K267" s="733"/>
      <c r="L267" s="733"/>
      <c r="M267" s="733"/>
    </row>
    <row r="268" spans="1:13" x14ac:dyDescent="0.3">
      <c r="A268" s="734" t="s">
        <v>805</v>
      </c>
      <c r="B268" s="734" t="s">
        <v>612</v>
      </c>
      <c r="C268" s="734" t="s">
        <v>811</v>
      </c>
      <c r="D268" s="734" t="s">
        <v>21</v>
      </c>
      <c r="E268" s="734" t="s">
        <v>614</v>
      </c>
      <c r="F268" s="734" t="s">
        <v>696</v>
      </c>
      <c r="G268" s="733"/>
      <c r="H268" s="733"/>
      <c r="I268" s="733"/>
      <c r="J268" s="733"/>
      <c r="K268" s="733"/>
      <c r="L268" s="733"/>
      <c r="M268" s="733"/>
    </row>
    <row r="269" spans="1:13" x14ac:dyDescent="0.3">
      <c r="A269" s="733" t="s">
        <v>805</v>
      </c>
      <c r="B269" s="733" t="s">
        <v>612</v>
      </c>
      <c r="C269" s="733" t="s">
        <v>812</v>
      </c>
      <c r="D269" s="733" t="s">
        <v>21</v>
      </c>
      <c r="E269" s="733" t="s">
        <v>614</v>
      </c>
      <c r="F269" s="733" t="s">
        <v>615</v>
      </c>
      <c r="G269" s="733"/>
      <c r="H269" s="733"/>
      <c r="I269" s="733"/>
      <c r="J269" s="733"/>
      <c r="K269" s="733"/>
      <c r="L269" s="733"/>
      <c r="M269" s="733"/>
    </row>
    <row r="270" spans="1:13" x14ac:dyDescent="0.3">
      <c r="A270" s="733" t="s">
        <v>805</v>
      </c>
      <c r="B270" s="733" t="s">
        <v>612</v>
      </c>
      <c r="C270" s="733" t="s">
        <v>813</v>
      </c>
      <c r="D270" s="733" t="s">
        <v>21</v>
      </c>
      <c r="E270" s="733" t="s">
        <v>614</v>
      </c>
      <c r="F270" s="733" t="s">
        <v>615</v>
      </c>
      <c r="G270" s="733"/>
      <c r="H270" s="733"/>
      <c r="I270" s="733"/>
      <c r="J270" s="733"/>
      <c r="K270" s="733"/>
      <c r="L270" s="733"/>
      <c r="M270" s="733"/>
    </row>
    <row r="271" spans="1:13" x14ac:dyDescent="0.3">
      <c r="A271" s="733" t="s">
        <v>805</v>
      </c>
      <c r="B271" s="733" t="s">
        <v>612</v>
      </c>
      <c r="C271" s="733" t="s">
        <v>814</v>
      </c>
      <c r="D271" s="733" t="s">
        <v>21</v>
      </c>
      <c r="E271" s="733" t="s">
        <v>614</v>
      </c>
      <c r="F271" s="733" t="s">
        <v>615</v>
      </c>
      <c r="G271" s="733"/>
      <c r="H271" s="733"/>
      <c r="I271" s="733"/>
      <c r="J271" s="733"/>
      <c r="K271" s="733"/>
      <c r="L271" s="733"/>
      <c r="M271" s="733"/>
    </row>
    <row r="272" spans="1:13" x14ac:dyDescent="0.3">
      <c r="A272" s="733" t="s">
        <v>805</v>
      </c>
      <c r="B272" s="733" t="s">
        <v>612</v>
      </c>
      <c r="C272" s="733" t="s">
        <v>815</v>
      </c>
      <c r="D272" s="733" t="s">
        <v>21</v>
      </c>
      <c r="E272" s="733" t="s">
        <v>614</v>
      </c>
      <c r="F272" s="733" t="s">
        <v>615</v>
      </c>
      <c r="G272" s="733"/>
      <c r="H272" s="733"/>
      <c r="I272" s="733"/>
      <c r="J272" s="733"/>
      <c r="K272" s="733"/>
      <c r="L272" s="733"/>
      <c r="M272" s="733"/>
    </row>
    <row r="273" spans="1:13" x14ac:dyDescent="0.3">
      <c r="A273" s="733" t="s">
        <v>805</v>
      </c>
      <c r="B273" s="733" t="s">
        <v>612</v>
      </c>
      <c r="C273" s="733" t="s">
        <v>816</v>
      </c>
      <c r="D273" s="733" t="s">
        <v>21</v>
      </c>
      <c r="E273" s="733" t="s">
        <v>614</v>
      </c>
      <c r="F273" s="733" t="s">
        <v>615</v>
      </c>
      <c r="G273" s="733"/>
      <c r="H273" s="733"/>
      <c r="I273" s="733"/>
      <c r="J273" s="733"/>
      <c r="K273" s="733"/>
      <c r="L273" s="733"/>
      <c r="M273" s="733"/>
    </row>
    <row r="274" spans="1:13" x14ac:dyDescent="0.3">
      <c r="A274" s="733" t="s">
        <v>805</v>
      </c>
      <c r="B274" s="733" t="s">
        <v>612</v>
      </c>
      <c r="C274" s="733" t="s">
        <v>817</v>
      </c>
      <c r="D274" s="733" t="s">
        <v>21</v>
      </c>
      <c r="E274" s="733" t="s">
        <v>614</v>
      </c>
      <c r="F274" s="733" t="s">
        <v>615</v>
      </c>
      <c r="G274" s="733"/>
      <c r="H274" s="733"/>
      <c r="I274" s="733"/>
      <c r="J274" s="733"/>
      <c r="K274" s="733"/>
      <c r="L274" s="733"/>
      <c r="M274" s="733"/>
    </row>
    <row r="275" spans="1:13" x14ac:dyDescent="0.3">
      <c r="A275" s="734" t="s">
        <v>805</v>
      </c>
      <c r="B275" s="734" t="s">
        <v>612</v>
      </c>
      <c r="C275" s="734" t="s">
        <v>818</v>
      </c>
      <c r="D275" s="734" t="s">
        <v>21</v>
      </c>
      <c r="E275" s="734" t="s">
        <v>614</v>
      </c>
      <c r="F275" s="734" t="s">
        <v>696</v>
      </c>
      <c r="G275" s="733"/>
      <c r="H275" s="733"/>
      <c r="I275" s="733"/>
      <c r="J275" s="733"/>
      <c r="K275" s="733"/>
      <c r="L275" s="733"/>
      <c r="M275" s="733"/>
    </row>
    <row r="276" spans="1:13" x14ac:dyDescent="0.3">
      <c r="A276" s="733" t="s">
        <v>805</v>
      </c>
      <c r="B276" s="733" t="s">
        <v>612</v>
      </c>
      <c r="C276" s="733" t="s">
        <v>819</v>
      </c>
      <c r="D276" s="733" t="s">
        <v>21</v>
      </c>
      <c r="E276" s="733" t="s">
        <v>614</v>
      </c>
      <c r="F276" s="733" t="s">
        <v>615</v>
      </c>
      <c r="G276" s="733"/>
      <c r="H276" s="733"/>
      <c r="I276" s="733"/>
      <c r="J276" s="733"/>
      <c r="K276" s="733"/>
      <c r="L276" s="733"/>
      <c r="M276" s="733"/>
    </row>
    <row r="277" spans="1:13" x14ac:dyDescent="0.3">
      <c r="A277" s="733" t="s">
        <v>805</v>
      </c>
      <c r="B277" s="733" t="s">
        <v>612</v>
      </c>
      <c r="C277" s="733" t="s">
        <v>820</v>
      </c>
      <c r="D277" s="733" t="s">
        <v>21</v>
      </c>
      <c r="E277" s="733" t="s">
        <v>614</v>
      </c>
      <c r="F277" s="733" t="s">
        <v>615</v>
      </c>
      <c r="G277" s="733"/>
      <c r="H277" s="733"/>
      <c r="I277" s="733"/>
      <c r="J277" s="733"/>
      <c r="K277" s="733"/>
      <c r="L277" s="733"/>
      <c r="M277" s="733"/>
    </row>
    <row r="278" spans="1:13" x14ac:dyDescent="0.3">
      <c r="A278" s="733" t="s">
        <v>805</v>
      </c>
      <c r="B278" s="733" t="s">
        <v>645</v>
      </c>
      <c r="C278" s="733" t="s">
        <v>821</v>
      </c>
      <c r="D278" s="733" t="s">
        <v>21</v>
      </c>
      <c r="E278" s="733" t="s">
        <v>614</v>
      </c>
      <c r="F278" s="733" t="s">
        <v>615</v>
      </c>
      <c r="G278" s="733"/>
      <c r="H278" s="733"/>
      <c r="I278" s="733"/>
      <c r="J278" s="733"/>
      <c r="K278" s="733"/>
      <c r="L278" s="733"/>
      <c r="M278" s="733"/>
    </row>
    <row r="279" spans="1:13" x14ac:dyDescent="0.3">
      <c r="A279" s="733" t="s">
        <v>805</v>
      </c>
      <c r="B279" s="733" t="s">
        <v>645</v>
      </c>
      <c r="C279" s="733" t="s">
        <v>822</v>
      </c>
      <c r="D279" s="733" t="s">
        <v>21</v>
      </c>
      <c r="E279" s="733" t="s">
        <v>614</v>
      </c>
      <c r="F279" s="733" t="s">
        <v>615</v>
      </c>
      <c r="G279" s="733"/>
      <c r="H279" s="733"/>
      <c r="I279" s="733"/>
      <c r="J279" s="733"/>
      <c r="K279" s="733"/>
      <c r="L279" s="733"/>
      <c r="M279" s="733"/>
    </row>
    <row r="280" spans="1:13" x14ac:dyDescent="0.3">
      <c r="A280" s="733" t="s">
        <v>805</v>
      </c>
      <c r="B280" s="733" t="s">
        <v>645</v>
      </c>
      <c r="C280" s="733" t="s">
        <v>823</v>
      </c>
      <c r="D280" s="733" t="s">
        <v>21</v>
      </c>
      <c r="E280" s="733" t="s">
        <v>614</v>
      </c>
      <c r="F280" s="733" t="s">
        <v>615</v>
      </c>
      <c r="G280" s="733"/>
      <c r="H280" s="733"/>
      <c r="I280" s="733"/>
      <c r="J280" s="733"/>
      <c r="K280" s="733"/>
      <c r="L280" s="733"/>
      <c r="M280" s="733"/>
    </row>
    <row r="281" spans="1:13" x14ac:dyDescent="0.3">
      <c r="A281" s="733" t="s">
        <v>805</v>
      </c>
      <c r="B281" s="733" t="s">
        <v>645</v>
      </c>
      <c r="C281" s="733" t="s">
        <v>824</v>
      </c>
      <c r="D281" s="733" t="s">
        <v>21</v>
      </c>
      <c r="E281" s="733" t="s">
        <v>614</v>
      </c>
      <c r="F281" s="733" t="s">
        <v>615</v>
      </c>
      <c r="G281" s="733"/>
      <c r="H281" s="733"/>
      <c r="I281" s="733"/>
      <c r="J281" s="733"/>
      <c r="K281" s="733"/>
      <c r="L281" s="733"/>
      <c r="M281" s="733"/>
    </row>
    <row r="282" spans="1:13" x14ac:dyDescent="0.3">
      <c r="A282" s="733" t="s">
        <v>805</v>
      </c>
      <c r="B282" s="733" t="s">
        <v>645</v>
      </c>
      <c r="C282" s="733" t="s">
        <v>825</v>
      </c>
      <c r="D282" s="733" t="s">
        <v>21</v>
      </c>
      <c r="E282" s="733" t="s">
        <v>614</v>
      </c>
      <c r="F282" s="733" t="s">
        <v>615</v>
      </c>
      <c r="G282" s="733"/>
      <c r="H282" s="733"/>
      <c r="I282" s="733"/>
      <c r="J282" s="733"/>
      <c r="K282" s="733"/>
      <c r="L282" s="733"/>
      <c r="M282" s="733"/>
    </row>
    <row r="283" spans="1:13" x14ac:dyDescent="0.3">
      <c r="A283" s="733" t="s">
        <v>805</v>
      </c>
      <c r="B283" s="733" t="s">
        <v>645</v>
      </c>
      <c r="C283" s="733" t="s">
        <v>826</v>
      </c>
      <c r="D283" s="733" t="s">
        <v>21</v>
      </c>
      <c r="E283" s="733" t="s">
        <v>614</v>
      </c>
      <c r="F283" s="733" t="s">
        <v>615</v>
      </c>
      <c r="G283" s="733"/>
      <c r="H283" s="733"/>
      <c r="I283" s="733"/>
      <c r="J283" s="733"/>
      <c r="K283" s="733"/>
      <c r="L283" s="733"/>
      <c r="M283" s="733"/>
    </row>
    <row r="284" spans="1:13" x14ac:dyDescent="0.3">
      <c r="A284" s="733" t="s">
        <v>805</v>
      </c>
      <c r="B284" s="733" t="s">
        <v>645</v>
      </c>
      <c r="C284" s="733" t="s">
        <v>827</v>
      </c>
      <c r="D284" s="733" t="s">
        <v>21</v>
      </c>
      <c r="E284" s="733" t="s">
        <v>614</v>
      </c>
      <c r="F284" s="733" t="s">
        <v>615</v>
      </c>
      <c r="G284" s="733"/>
      <c r="H284" s="733"/>
      <c r="I284" s="733"/>
      <c r="J284" s="733"/>
      <c r="K284" s="733"/>
      <c r="L284" s="733"/>
      <c r="M284" s="733"/>
    </row>
    <row r="285" spans="1:13" x14ac:dyDescent="0.3">
      <c r="A285" s="733" t="s">
        <v>805</v>
      </c>
      <c r="B285" s="733" t="s">
        <v>664</v>
      </c>
      <c r="C285" s="733" t="s">
        <v>828</v>
      </c>
      <c r="D285" s="733" t="s">
        <v>21</v>
      </c>
      <c r="E285" s="733" t="s">
        <v>614</v>
      </c>
      <c r="F285" s="733" t="s">
        <v>615</v>
      </c>
      <c r="G285" s="733"/>
      <c r="H285" s="733"/>
      <c r="I285" s="733"/>
      <c r="J285" s="733"/>
      <c r="K285" s="733"/>
      <c r="L285" s="733"/>
      <c r="M285" s="733"/>
    </row>
    <row r="286" spans="1:13" x14ac:dyDescent="0.3">
      <c r="A286" s="733" t="s">
        <v>805</v>
      </c>
      <c r="B286" s="733" t="s">
        <v>664</v>
      </c>
      <c r="C286" s="733" t="s">
        <v>829</v>
      </c>
      <c r="D286" s="733" t="s">
        <v>21</v>
      </c>
      <c r="E286" s="733" t="s">
        <v>614</v>
      </c>
      <c r="F286" s="733" t="s">
        <v>615</v>
      </c>
      <c r="G286" s="733"/>
      <c r="H286" s="733"/>
      <c r="I286" s="733"/>
      <c r="J286" s="733"/>
      <c r="K286" s="733"/>
      <c r="L286" s="733"/>
      <c r="M286" s="733"/>
    </row>
    <row r="287" spans="1:13" x14ac:dyDescent="0.3">
      <c r="A287" s="733" t="s">
        <v>805</v>
      </c>
      <c r="B287" s="733" t="s">
        <v>664</v>
      </c>
      <c r="C287" s="733" t="s">
        <v>830</v>
      </c>
      <c r="D287" s="733" t="s">
        <v>21</v>
      </c>
      <c r="E287" s="733" t="s">
        <v>614</v>
      </c>
      <c r="F287" s="733" t="s">
        <v>615</v>
      </c>
      <c r="G287" s="733"/>
      <c r="H287" s="733"/>
      <c r="I287" s="733"/>
      <c r="J287" s="733"/>
      <c r="K287" s="733"/>
      <c r="L287" s="733"/>
      <c r="M287" s="733"/>
    </row>
    <row r="288" spans="1:13" x14ac:dyDescent="0.3">
      <c r="A288" s="733" t="s">
        <v>805</v>
      </c>
      <c r="B288" s="733" t="s">
        <v>664</v>
      </c>
      <c r="C288" s="733" t="s">
        <v>831</v>
      </c>
      <c r="D288" s="733" t="s">
        <v>21</v>
      </c>
      <c r="E288" s="733" t="s">
        <v>614</v>
      </c>
      <c r="F288" s="733" t="s">
        <v>615</v>
      </c>
      <c r="G288" s="733"/>
      <c r="H288" s="733"/>
      <c r="I288" s="733"/>
      <c r="J288" s="733"/>
      <c r="K288" s="733"/>
      <c r="L288" s="733"/>
      <c r="M288" s="733"/>
    </row>
    <row r="289" spans="1:13" x14ac:dyDescent="0.3">
      <c r="A289" s="733" t="s">
        <v>805</v>
      </c>
      <c r="B289" s="733" t="s">
        <v>664</v>
      </c>
      <c r="C289" s="733" t="s">
        <v>832</v>
      </c>
      <c r="D289" s="733" t="s">
        <v>21</v>
      </c>
      <c r="E289" s="733" t="s">
        <v>614</v>
      </c>
      <c r="F289" s="733" t="s">
        <v>615</v>
      </c>
      <c r="G289" s="733"/>
      <c r="H289" s="733"/>
      <c r="I289" s="733"/>
      <c r="J289" s="733"/>
      <c r="K289" s="733"/>
      <c r="L289" s="733"/>
      <c r="M289" s="733"/>
    </row>
    <row r="290" spans="1:13" x14ac:dyDescent="0.3">
      <c r="A290" s="733" t="s">
        <v>805</v>
      </c>
      <c r="B290" s="733" t="s">
        <v>664</v>
      </c>
      <c r="C290" s="733" t="s">
        <v>833</v>
      </c>
      <c r="D290" s="733" t="s">
        <v>21</v>
      </c>
      <c r="E290" s="733" t="s">
        <v>614</v>
      </c>
      <c r="F290" s="733" t="s">
        <v>615</v>
      </c>
      <c r="G290" s="733"/>
      <c r="H290" s="733"/>
      <c r="I290" s="733"/>
      <c r="J290" s="733"/>
      <c r="K290" s="733"/>
      <c r="L290" s="733"/>
      <c r="M290" s="733"/>
    </row>
    <row r="291" spans="1:13" x14ac:dyDescent="0.3">
      <c r="A291" s="733" t="s">
        <v>805</v>
      </c>
      <c r="B291" s="733" t="s">
        <v>664</v>
      </c>
      <c r="C291" s="733" t="s">
        <v>834</v>
      </c>
      <c r="D291" s="733" t="s">
        <v>21</v>
      </c>
      <c r="E291" s="733" t="s">
        <v>614</v>
      </c>
      <c r="F291" s="733" t="s">
        <v>615</v>
      </c>
      <c r="G291" s="733"/>
      <c r="H291" s="733"/>
      <c r="I291" s="733"/>
      <c r="J291" s="733"/>
      <c r="K291" s="733"/>
      <c r="L291" s="733"/>
      <c r="M291" s="733"/>
    </row>
    <row r="292" spans="1:13" x14ac:dyDescent="0.3">
      <c r="A292" s="733" t="s">
        <v>805</v>
      </c>
      <c r="B292" s="733" t="s">
        <v>664</v>
      </c>
      <c r="C292" s="733" t="s">
        <v>835</v>
      </c>
      <c r="D292" s="733" t="s">
        <v>21</v>
      </c>
      <c r="E292" s="733" t="s">
        <v>614</v>
      </c>
      <c r="F292" s="733" t="s">
        <v>615</v>
      </c>
      <c r="G292" s="733"/>
      <c r="H292" s="733"/>
      <c r="I292" s="733"/>
      <c r="J292" s="733"/>
      <c r="K292" s="733"/>
      <c r="L292" s="733"/>
      <c r="M292" s="733"/>
    </row>
    <row r="293" spans="1:13" x14ac:dyDescent="0.3">
      <c r="A293" s="733" t="s">
        <v>805</v>
      </c>
      <c r="B293" s="733" t="s">
        <v>664</v>
      </c>
      <c r="C293" s="733" t="s">
        <v>836</v>
      </c>
      <c r="D293" s="733" t="s">
        <v>21</v>
      </c>
      <c r="E293" s="733" t="s">
        <v>614</v>
      </c>
      <c r="F293" s="733" t="s">
        <v>615</v>
      </c>
      <c r="G293" s="733"/>
      <c r="H293" s="733"/>
      <c r="I293" s="733"/>
      <c r="J293" s="733"/>
      <c r="K293" s="733"/>
      <c r="L293" s="733"/>
      <c r="M293" s="733"/>
    </row>
    <row r="294" spans="1:13" x14ac:dyDescent="0.3">
      <c r="A294" s="733" t="s">
        <v>805</v>
      </c>
      <c r="B294" s="733" t="s">
        <v>664</v>
      </c>
      <c r="C294" s="733" t="s">
        <v>837</v>
      </c>
      <c r="D294" s="733" t="s">
        <v>21</v>
      </c>
      <c r="E294" s="733" t="s">
        <v>614</v>
      </c>
      <c r="F294" s="733" t="s">
        <v>615</v>
      </c>
      <c r="G294" s="733"/>
      <c r="H294" s="733"/>
      <c r="I294" s="733"/>
      <c r="J294" s="733"/>
      <c r="K294" s="733"/>
      <c r="L294" s="733"/>
      <c r="M294" s="733"/>
    </row>
    <row r="295" spans="1:13" x14ac:dyDescent="0.3">
      <c r="A295" s="733" t="s">
        <v>805</v>
      </c>
      <c r="B295" s="733" t="s">
        <v>664</v>
      </c>
      <c r="C295" s="733" t="s">
        <v>838</v>
      </c>
      <c r="D295" s="733" t="s">
        <v>21</v>
      </c>
      <c r="E295" s="733" t="s">
        <v>614</v>
      </c>
      <c r="F295" s="733" t="s">
        <v>615</v>
      </c>
      <c r="G295" s="733"/>
      <c r="H295" s="733"/>
      <c r="I295" s="733"/>
      <c r="J295" s="733"/>
      <c r="K295" s="733"/>
      <c r="L295" s="733"/>
      <c r="M295" s="733"/>
    </row>
    <row r="296" spans="1:13" x14ac:dyDescent="0.3">
      <c r="A296" s="733" t="s">
        <v>805</v>
      </c>
      <c r="B296" s="733" t="s">
        <v>664</v>
      </c>
      <c r="C296" s="733" t="s">
        <v>839</v>
      </c>
      <c r="D296" s="733" t="s">
        <v>21</v>
      </c>
      <c r="E296" s="733" t="s">
        <v>614</v>
      </c>
      <c r="F296" s="733" t="s">
        <v>615</v>
      </c>
      <c r="G296" s="733"/>
      <c r="H296" s="733"/>
      <c r="I296" s="733"/>
      <c r="J296" s="733"/>
      <c r="K296" s="733"/>
      <c r="L296" s="733"/>
      <c r="M296" s="733"/>
    </row>
    <row r="297" spans="1:13" x14ac:dyDescent="0.3">
      <c r="A297" s="733" t="s">
        <v>805</v>
      </c>
      <c r="B297" s="733" t="s">
        <v>664</v>
      </c>
      <c r="C297" s="733" t="s">
        <v>840</v>
      </c>
      <c r="D297" s="733" t="s">
        <v>21</v>
      </c>
      <c r="E297" s="733" t="s">
        <v>614</v>
      </c>
      <c r="F297" s="733" t="s">
        <v>615</v>
      </c>
      <c r="G297" s="733"/>
      <c r="H297" s="733"/>
      <c r="I297" s="733"/>
      <c r="J297" s="733"/>
      <c r="K297" s="733"/>
      <c r="L297" s="733"/>
      <c r="M297" s="733"/>
    </row>
    <row r="298" spans="1:13" x14ac:dyDescent="0.3">
      <c r="A298" s="733" t="s">
        <v>841</v>
      </c>
      <c r="B298" s="733" t="s">
        <v>612</v>
      </c>
      <c r="C298" s="733" t="s">
        <v>842</v>
      </c>
      <c r="D298" s="733" t="s">
        <v>21</v>
      </c>
      <c r="E298" s="761"/>
      <c r="F298" s="761"/>
      <c r="G298" s="733"/>
      <c r="H298" s="733"/>
      <c r="I298" s="733"/>
      <c r="J298" s="733"/>
      <c r="K298" s="733"/>
      <c r="L298" s="733"/>
      <c r="M298" s="733"/>
    </row>
    <row r="299" spans="1:13" x14ac:dyDescent="0.3">
      <c r="A299" s="733" t="s">
        <v>841</v>
      </c>
      <c r="B299" s="733" t="s">
        <v>612</v>
      </c>
      <c r="C299" s="733" t="s">
        <v>843</v>
      </c>
      <c r="D299" s="733" t="s">
        <v>21</v>
      </c>
      <c r="E299" s="761"/>
      <c r="F299" s="761"/>
      <c r="G299" s="733"/>
      <c r="H299" s="733"/>
      <c r="I299" s="733"/>
      <c r="J299" s="733"/>
      <c r="K299" s="733"/>
      <c r="L299" s="733"/>
      <c r="M299" s="733"/>
    </row>
    <row r="300" spans="1:13" x14ac:dyDescent="0.3">
      <c r="A300" s="733" t="s">
        <v>841</v>
      </c>
      <c r="B300" s="733" t="s">
        <v>612</v>
      </c>
      <c r="C300" s="733" t="s">
        <v>844</v>
      </c>
      <c r="D300" s="733" t="s">
        <v>21</v>
      </c>
      <c r="E300" s="761"/>
      <c r="F300" s="761"/>
      <c r="G300" s="733"/>
      <c r="H300" s="733"/>
      <c r="I300" s="733"/>
      <c r="J300" s="733"/>
      <c r="K300" s="733"/>
      <c r="L300" s="733"/>
      <c r="M300" s="733"/>
    </row>
    <row r="301" spans="1:13" x14ac:dyDescent="0.3">
      <c r="A301" s="733" t="s">
        <v>841</v>
      </c>
      <c r="B301" s="733" t="s">
        <v>612</v>
      </c>
      <c r="C301" s="733" t="s">
        <v>845</v>
      </c>
      <c r="D301" s="733" t="s">
        <v>21</v>
      </c>
      <c r="E301" s="761"/>
      <c r="F301" s="761"/>
      <c r="G301" s="733"/>
      <c r="H301" s="733"/>
      <c r="I301" s="733"/>
      <c r="J301" s="733"/>
      <c r="K301" s="733"/>
      <c r="L301" s="733"/>
      <c r="M301" s="733"/>
    </row>
    <row r="302" spans="1:13" x14ac:dyDescent="0.3">
      <c r="A302" s="733" t="s">
        <v>841</v>
      </c>
      <c r="B302" s="733" t="s">
        <v>612</v>
      </c>
      <c r="C302" s="733" t="s">
        <v>846</v>
      </c>
      <c r="D302" s="733" t="s">
        <v>21</v>
      </c>
      <c r="E302" s="761"/>
      <c r="F302" s="761"/>
      <c r="G302" s="733"/>
      <c r="H302" s="733"/>
      <c r="I302" s="733"/>
      <c r="J302" s="733"/>
      <c r="K302" s="733"/>
      <c r="L302" s="733"/>
      <c r="M302" s="733"/>
    </row>
    <row r="303" spans="1:13" x14ac:dyDescent="0.3">
      <c r="A303" s="733" t="s">
        <v>841</v>
      </c>
      <c r="B303" s="733" t="s">
        <v>645</v>
      </c>
      <c r="C303" s="733" t="s">
        <v>847</v>
      </c>
      <c r="D303" s="733" t="s">
        <v>21</v>
      </c>
      <c r="E303" s="761"/>
      <c r="F303" s="761"/>
      <c r="G303" s="733"/>
      <c r="H303" s="733"/>
      <c r="I303" s="733"/>
      <c r="J303" s="733"/>
      <c r="K303" s="733"/>
      <c r="L303" s="733"/>
      <c r="M303" s="733"/>
    </row>
    <row r="304" spans="1:13" x14ac:dyDescent="0.3">
      <c r="A304" s="733" t="s">
        <v>841</v>
      </c>
      <c r="B304" s="733" t="s">
        <v>645</v>
      </c>
      <c r="C304" s="733" t="s">
        <v>848</v>
      </c>
      <c r="D304" s="733" t="s">
        <v>21</v>
      </c>
      <c r="E304" s="761"/>
      <c r="F304" s="761"/>
      <c r="G304" s="733"/>
      <c r="H304" s="733"/>
      <c r="I304" s="733"/>
      <c r="J304" s="733"/>
      <c r="K304" s="733"/>
      <c r="L304" s="733"/>
      <c r="M304" s="733"/>
    </row>
    <row r="305" spans="1:13" x14ac:dyDescent="0.3">
      <c r="A305" s="733" t="s">
        <v>841</v>
      </c>
      <c r="B305" s="733" t="s">
        <v>645</v>
      </c>
      <c r="C305" s="733" t="s">
        <v>849</v>
      </c>
      <c r="D305" s="733" t="s">
        <v>21</v>
      </c>
      <c r="E305" s="761"/>
      <c r="F305" s="761"/>
      <c r="G305" s="733"/>
      <c r="H305" s="733"/>
      <c r="I305" s="733"/>
      <c r="J305" s="733"/>
      <c r="K305" s="733"/>
      <c r="L305" s="733"/>
      <c r="M305" s="733"/>
    </row>
    <row r="306" spans="1:13" x14ac:dyDescent="0.3">
      <c r="A306" s="733" t="s">
        <v>841</v>
      </c>
      <c r="B306" s="733" t="s">
        <v>645</v>
      </c>
      <c r="C306" s="733" t="s">
        <v>850</v>
      </c>
      <c r="D306" s="733" t="s">
        <v>21</v>
      </c>
      <c r="E306" s="761"/>
      <c r="F306" s="761"/>
      <c r="G306" s="733"/>
      <c r="H306" s="733"/>
      <c r="I306" s="733"/>
      <c r="J306" s="733"/>
      <c r="K306" s="733"/>
      <c r="L306" s="733"/>
      <c r="M306" s="733"/>
    </row>
    <row r="307" spans="1:13" x14ac:dyDescent="0.3">
      <c r="A307" s="733" t="s">
        <v>841</v>
      </c>
      <c r="B307" s="733" t="s">
        <v>645</v>
      </c>
      <c r="C307" s="733" t="s">
        <v>851</v>
      </c>
      <c r="D307" s="733" t="s">
        <v>21</v>
      </c>
      <c r="E307" s="761"/>
      <c r="F307" s="761"/>
      <c r="G307" s="733"/>
      <c r="H307" s="733"/>
      <c r="I307" s="733"/>
      <c r="J307" s="733"/>
      <c r="K307" s="733"/>
      <c r="L307" s="733"/>
      <c r="M307" s="733"/>
    </row>
    <row r="308" spans="1:13" x14ac:dyDescent="0.3">
      <c r="A308" s="733" t="s">
        <v>841</v>
      </c>
      <c r="B308" s="733" t="s">
        <v>664</v>
      </c>
      <c r="C308" s="733" t="s">
        <v>852</v>
      </c>
      <c r="D308" s="733" t="s">
        <v>21</v>
      </c>
      <c r="E308" s="761"/>
      <c r="F308" s="761"/>
      <c r="G308" s="733"/>
      <c r="H308" s="733"/>
      <c r="I308" s="733"/>
      <c r="J308" s="733"/>
      <c r="K308" s="733"/>
      <c r="L308" s="733"/>
      <c r="M308" s="733"/>
    </row>
    <row r="309" spans="1:13" x14ac:dyDescent="0.3">
      <c r="A309" s="733" t="s">
        <v>841</v>
      </c>
      <c r="B309" s="733" t="s">
        <v>664</v>
      </c>
      <c r="C309" s="733" t="s">
        <v>853</v>
      </c>
      <c r="D309" s="733" t="s">
        <v>21</v>
      </c>
      <c r="E309" s="761"/>
      <c r="F309" s="761"/>
      <c r="G309" s="733"/>
      <c r="H309" s="733"/>
      <c r="I309" s="733"/>
      <c r="J309" s="733"/>
      <c r="K309" s="733"/>
      <c r="L309" s="733"/>
      <c r="M309" s="733"/>
    </row>
    <row r="310" spans="1:13" x14ac:dyDescent="0.3">
      <c r="A310" s="733" t="s">
        <v>841</v>
      </c>
      <c r="B310" s="733" t="s">
        <v>664</v>
      </c>
      <c r="C310" s="733" t="s">
        <v>854</v>
      </c>
      <c r="D310" s="733" t="s">
        <v>21</v>
      </c>
      <c r="E310" s="761"/>
      <c r="F310" s="761"/>
      <c r="G310" s="733"/>
      <c r="H310" s="733"/>
      <c r="I310" s="733"/>
      <c r="J310" s="733"/>
      <c r="K310" s="733"/>
      <c r="L310" s="733"/>
      <c r="M310" s="733"/>
    </row>
    <row r="311" spans="1:13" x14ac:dyDescent="0.3">
      <c r="A311" s="733" t="s">
        <v>841</v>
      </c>
      <c r="B311" s="733" t="s">
        <v>664</v>
      </c>
      <c r="C311" s="733" t="s">
        <v>855</v>
      </c>
      <c r="D311" s="733" t="s">
        <v>21</v>
      </c>
      <c r="E311" s="761"/>
      <c r="F311" s="761"/>
      <c r="G311" s="733"/>
      <c r="H311" s="733"/>
      <c r="I311" s="733"/>
      <c r="J311" s="733"/>
      <c r="K311" s="733"/>
      <c r="L311" s="733"/>
      <c r="M311" s="733"/>
    </row>
    <row r="312" spans="1:13" x14ac:dyDescent="0.3">
      <c r="A312" s="733" t="s">
        <v>841</v>
      </c>
      <c r="B312" s="733" t="s">
        <v>664</v>
      </c>
      <c r="C312" s="733" t="s">
        <v>856</v>
      </c>
      <c r="D312" s="733" t="s">
        <v>21</v>
      </c>
      <c r="E312" s="761"/>
      <c r="F312" s="761"/>
      <c r="G312" s="733"/>
      <c r="H312" s="733"/>
      <c r="I312" s="733"/>
      <c r="J312" s="733"/>
      <c r="K312" s="733"/>
      <c r="L312" s="733"/>
      <c r="M312" s="733"/>
    </row>
    <row r="313" spans="1:13" x14ac:dyDescent="0.3">
      <c r="A313" s="733" t="s">
        <v>857</v>
      </c>
      <c r="B313" s="733" t="s">
        <v>612</v>
      </c>
      <c r="C313" s="733" t="s">
        <v>858</v>
      </c>
      <c r="D313" s="733" t="s">
        <v>21</v>
      </c>
      <c r="E313" s="761"/>
      <c r="F313" s="761"/>
      <c r="G313" s="733"/>
      <c r="H313" s="733"/>
      <c r="I313" s="733"/>
      <c r="J313" s="733"/>
      <c r="K313" s="733"/>
      <c r="L313" s="733"/>
      <c r="M313" s="733"/>
    </row>
    <row r="314" spans="1:13" x14ac:dyDescent="0.3">
      <c r="A314" s="733" t="s">
        <v>857</v>
      </c>
      <c r="B314" s="733" t="s">
        <v>612</v>
      </c>
      <c r="C314" s="733" t="s">
        <v>859</v>
      </c>
      <c r="D314" s="733" t="s">
        <v>21</v>
      </c>
      <c r="E314" s="761"/>
      <c r="F314" s="761"/>
      <c r="G314" s="733"/>
      <c r="H314" s="733"/>
      <c r="I314" s="733"/>
      <c r="J314" s="733"/>
      <c r="K314" s="733"/>
      <c r="L314" s="733"/>
      <c r="M314" s="733"/>
    </row>
    <row r="315" spans="1:13" x14ac:dyDescent="0.3">
      <c r="A315" s="733" t="s">
        <v>857</v>
      </c>
      <c r="B315" s="733" t="s">
        <v>612</v>
      </c>
      <c r="C315" s="733" t="s">
        <v>860</v>
      </c>
      <c r="D315" s="733" t="s">
        <v>21</v>
      </c>
      <c r="E315" s="761"/>
      <c r="F315" s="761"/>
      <c r="G315" s="733"/>
      <c r="H315" s="733"/>
      <c r="I315" s="733"/>
      <c r="J315" s="733"/>
      <c r="K315" s="733"/>
      <c r="L315" s="733"/>
      <c r="M315" s="733"/>
    </row>
    <row r="316" spans="1:13" x14ac:dyDescent="0.3">
      <c r="A316" s="733" t="s">
        <v>857</v>
      </c>
      <c r="B316" s="733" t="s">
        <v>612</v>
      </c>
      <c r="C316" s="733" t="s">
        <v>861</v>
      </c>
      <c r="D316" s="733" t="s">
        <v>21</v>
      </c>
      <c r="E316" s="761"/>
      <c r="F316" s="761"/>
      <c r="G316" s="733"/>
      <c r="H316" s="733"/>
      <c r="I316" s="733"/>
      <c r="J316" s="733"/>
      <c r="K316" s="733"/>
      <c r="L316" s="733"/>
      <c r="M316" s="733"/>
    </row>
    <row r="317" spans="1:13" x14ac:dyDescent="0.3">
      <c r="A317" s="733" t="s">
        <v>857</v>
      </c>
      <c r="B317" s="733" t="s">
        <v>612</v>
      </c>
      <c r="C317" s="733" t="s">
        <v>862</v>
      </c>
      <c r="D317" s="733" t="s">
        <v>21</v>
      </c>
      <c r="E317" s="761"/>
      <c r="F317" s="761"/>
      <c r="G317" s="733"/>
      <c r="H317" s="733"/>
      <c r="I317" s="733"/>
      <c r="J317" s="733"/>
      <c r="K317" s="733"/>
      <c r="L317" s="733"/>
      <c r="M317" s="733"/>
    </row>
    <row r="318" spans="1:13" x14ac:dyDescent="0.3">
      <c r="A318" s="733" t="s">
        <v>857</v>
      </c>
      <c r="B318" s="733" t="s">
        <v>645</v>
      </c>
      <c r="C318" s="733" t="s">
        <v>863</v>
      </c>
      <c r="D318" s="733" t="s">
        <v>21</v>
      </c>
      <c r="E318" s="761"/>
      <c r="F318" s="761"/>
      <c r="G318" s="733"/>
      <c r="H318" s="733"/>
      <c r="I318" s="733"/>
      <c r="J318" s="733"/>
      <c r="K318" s="733"/>
      <c r="L318" s="733"/>
      <c r="M318" s="733"/>
    </row>
    <row r="319" spans="1:13" x14ac:dyDescent="0.3">
      <c r="A319" s="733" t="s">
        <v>857</v>
      </c>
      <c r="B319" s="733" t="s">
        <v>645</v>
      </c>
      <c r="C319" s="733" t="s">
        <v>864</v>
      </c>
      <c r="D319" s="733" t="s">
        <v>21</v>
      </c>
      <c r="E319" s="761"/>
      <c r="F319" s="761"/>
      <c r="G319" s="733"/>
      <c r="H319" s="733"/>
      <c r="I319" s="733"/>
      <c r="J319" s="733"/>
      <c r="K319" s="733"/>
      <c r="L319" s="733"/>
      <c r="M319" s="733"/>
    </row>
    <row r="320" spans="1:13" x14ac:dyDescent="0.3">
      <c r="A320" s="733" t="s">
        <v>857</v>
      </c>
      <c r="B320" s="733" t="s">
        <v>645</v>
      </c>
      <c r="C320" s="733" t="s">
        <v>865</v>
      </c>
      <c r="D320" s="733" t="s">
        <v>21</v>
      </c>
      <c r="E320" s="761"/>
      <c r="F320" s="761"/>
      <c r="G320" s="733"/>
      <c r="H320" s="733"/>
      <c r="I320" s="733"/>
      <c r="J320" s="733"/>
      <c r="K320" s="733"/>
      <c r="L320" s="733"/>
      <c r="M320" s="733"/>
    </row>
    <row r="321" spans="1:13" x14ac:dyDescent="0.3">
      <c r="A321" s="733" t="s">
        <v>857</v>
      </c>
      <c r="B321" s="733" t="s">
        <v>645</v>
      </c>
      <c r="C321" s="733" t="s">
        <v>866</v>
      </c>
      <c r="D321" s="733" t="s">
        <v>21</v>
      </c>
      <c r="E321" s="761"/>
      <c r="F321" s="761"/>
      <c r="G321" s="733"/>
      <c r="H321" s="733"/>
      <c r="I321" s="733"/>
      <c r="J321" s="733"/>
      <c r="K321" s="733"/>
      <c r="L321" s="733"/>
      <c r="M321" s="733"/>
    </row>
    <row r="322" spans="1:13" x14ac:dyDescent="0.3">
      <c r="A322" s="733" t="s">
        <v>857</v>
      </c>
      <c r="B322" s="733" t="s">
        <v>645</v>
      </c>
      <c r="C322" s="733" t="s">
        <v>867</v>
      </c>
      <c r="D322" s="733" t="s">
        <v>21</v>
      </c>
      <c r="E322" s="761"/>
      <c r="F322" s="761"/>
      <c r="G322" s="733"/>
      <c r="H322" s="733"/>
      <c r="I322" s="733"/>
      <c r="J322" s="733"/>
      <c r="K322" s="733"/>
      <c r="L322" s="733"/>
      <c r="M322" s="733"/>
    </row>
    <row r="323" spans="1:13" x14ac:dyDescent="0.3">
      <c r="A323" s="733" t="s">
        <v>857</v>
      </c>
      <c r="B323" s="733" t="s">
        <v>664</v>
      </c>
      <c r="C323" s="733" t="s">
        <v>868</v>
      </c>
      <c r="D323" s="733" t="s">
        <v>21</v>
      </c>
      <c r="E323" s="761"/>
      <c r="F323" s="761"/>
      <c r="G323" s="733"/>
      <c r="H323" s="733"/>
      <c r="I323" s="733"/>
      <c r="J323" s="733"/>
      <c r="K323" s="733"/>
      <c r="L323" s="733"/>
      <c r="M323" s="733"/>
    </row>
    <row r="324" spans="1:13" x14ac:dyDescent="0.3">
      <c r="A324" s="733" t="s">
        <v>857</v>
      </c>
      <c r="B324" s="733" t="s">
        <v>664</v>
      </c>
      <c r="C324" s="733" t="s">
        <v>869</v>
      </c>
      <c r="D324" s="733" t="s">
        <v>21</v>
      </c>
      <c r="E324" s="761"/>
      <c r="F324" s="761"/>
      <c r="G324" s="733"/>
      <c r="H324" s="733"/>
      <c r="I324" s="733"/>
      <c r="J324" s="733"/>
      <c r="K324" s="733"/>
      <c r="L324" s="733"/>
      <c r="M324" s="733"/>
    </row>
    <row r="325" spans="1:13" x14ac:dyDescent="0.3">
      <c r="A325" s="733" t="s">
        <v>857</v>
      </c>
      <c r="B325" s="733" t="s">
        <v>664</v>
      </c>
      <c r="C325" s="733" t="s">
        <v>870</v>
      </c>
      <c r="D325" s="733" t="s">
        <v>21</v>
      </c>
      <c r="E325" s="761"/>
      <c r="F325" s="761"/>
      <c r="G325" s="733"/>
      <c r="H325" s="733"/>
      <c r="I325" s="733"/>
      <c r="J325" s="733"/>
      <c r="K325" s="733"/>
      <c r="L325" s="733"/>
      <c r="M325" s="733"/>
    </row>
    <row r="326" spans="1:13" x14ac:dyDescent="0.3">
      <c r="A326" s="733" t="s">
        <v>857</v>
      </c>
      <c r="B326" s="733" t="s">
        <v>664</v>
      </c>
      <c r="C326" s="733" t="s">
        <v>871</v>
      </c>
      <c r="D326" s="733" t="s">
        <v>21</v>
      </c>
      <c r="E326" s="761"/>
      <c r="F326" s="761"/>
      <c r="G326" s="733"/>
      <c r="H326" s="733"/>
      <c r="I326" s="733"/>
      <c r="J326" s="733"/>
      <c r="K326" s="733"/>
      <c r="L326" s="733"/>
      <c r="M326" s="733"/>
    </row>
    <row r="327" spans="1:13" x14ac:dyDescent="0.3">
      <c r="A327" s="733" t="s">
        <v>857</v>
      </c>
      <c r="B327" s="733" t="s">
        <v>664</v>
      </c>
      <c r="C327" s="733" t="s">
        <v>872</v>
      </c>
      <c r="D327" s="733" t="s">
        <v>21</v>
      </c>
      <c r="E327" s="761"/>
      <c r="F327" s="761"/>
      <c r="G327" s="733"/>
      <c r="H327" s="733"/>
      <c r="I327" s="733"/>
      <c r="J327" s="733"/>
      <c r="K327" s="733"/>
      <c r="L327" s="733"/>
      <c r="M327" s="733"/>
    </row>
    <row r="328" spans="1:13" x14ac:dyDescent="0.3">
      <c r="A328" s="733" t="s">
        <v>873</v>
      </c>
      <c r="B328" s="733" t="s">
        <v>612</v>
      </c>
      <c r="C328" s="733" t="s">
        <v>874</v>
      </c>
      <c r="D328" s="733" t="s">
        <v>21</v>
      </c>
      <c r="E328" s="761"/>
      <c r="F328" s="761"/>
      <c r="G328" s="733"/>
      <c r="H328" s="733"/>
      <c r="I328" s="733"/>
      <c r="J328" s="733"/>
      <c r="K328" s="733"/>
      <c r="L328" s="733"/>
      <c r="M328" s="733"/>
    </row>
    <row r="329" spans="1:13" x14ac:dyDescent="0.3">
      <c r="A329" s="733" t="s">
        <v>873</v>
      </c>
      <c r="B329" s="733" t="s">
        <v>612</v>
      </c>
      <c r="C329" s="733" t="s">
        <v>875</v>
      </c>
      <c r="D329" s="733" t="s">
        <v>21</v>
      </c>
      <c r="E329" s="761"/>
      <c r="F329" s="761"/>
      <c r="G329" s="733"/>
      <c r="H329" s="733"/>
      <c r="I329" s="733"/>
      <c r="J329" s="733"/>
      <c r="K329" s="733"/>
      <c r="L329" s="733"/>
      <c r="M329" s="733"/>
    </row>
    <row r="330" spans="1:13" x14ac:dyDescent="0.3">
      <c r="A330" s="733" t="s">
        <v>873</v>
      </c>
      <c r="B330" s="733" t="s">
        <v>612</v>
      </c>
      <c r="C330" s="733" t="s">
        <v>876</v>
      </c>
      <c r="D330" s="733" t="s">
        <v>21</v>
      </c>
      <c r="E330" s="761"/>
      <c r="F330" s="761"/>
      <c r="G330" s="733"/>
      <c r="H330" s="733"/>
      <c r="I330" s="733"/>
      <c r="J330" s="733"/>
      <c r="K330" s="733"/>
      <c r="L330" s="733"/>
      <c r="M330" s="733"/>
    </row>
    <row r="331" spans="1:13" x14ac:dyDescent="0.3">
      <c r="A331" s="733" t="s">
        <v>873</v>
      </c>
      <c r="B331" s="733" t="s">
        <v>612</v>
      </c>
      <c r="C331" s="733" t="s">
        <v>877</v>
      </c>
      <c r="D331" s="733" t="s">
        <v>21</v>
      </c>
      <c r="E331" s="761"/>
      <c r="F331" s="761"/>
      <c r="G331" s="733"/>
      <c r="H331" s="733"/>
      <c r="I331" s="733"/>
      <c r="J331" s="733"/>
      <c r="K331" s="733"/>
      <c r="L331" s="733"/>
      <c r="M331" s="733"/>
    </row>
    <row r="332" spans="1:13" x14ac:dyDescent="0.3">
      <c r="A332" s="733" t="s">
        <v>873</v>
      </c>
      <c r="B332" s="733" t="s">
        <v>612</v>
      </c>
      <c r="C332" s="733" t="s">
        <v>878</v>
      </c>
      <c r="D332" s="733" t="s">
        <v>21</v>
      </c>
      <c r="E332" s="761"/>
      <c r="F332" s="761"/>
      <c r="G332" s="733"/>
      <c r="H332" s="733"/>
      <c r="I332" s="733"/>
      <c r="J332" s="733"/>
      <c r="K332" s="733"/>
      <c r="L332" s="733"/>
      <c r="M332" s="733"/>
    </row>
    <row r="333" spans="1:13" x14ac:dyDescent="0.3">
      <c r="A333" s="733" t="s">
        <v>873</v>
      </c>
      <c r="B333" s="733" t="s">
        <v>645</v>
      </c>
      <c r="C333" s="733" t="s">
        <v>879</v>
      </c>
      <c r="D333" s="733" t="s">
        <v>21</v>
      </c>
      <c r="E333" s="761"/>
      <c r="F333" s="761"/>
      <c r="G333" s="733"/>
      <c r="H333" s="733"/>
      <c r="I333" s="733"/>
      <c r="J333" s="733"/>
      <c r="K333" s="733"/>
      <c r="L333" s="733"/>
      <c r="M333" s="733"/>
    </row>
    <row r="334" spans="1:13" x14ac:dyDescent="0.3">
      <c r="A334" s="733" t="s">
        <v>873</v>
      </c>
      <c r="B334" s="733" t="s">
        <v>645</v>
      </c>
      <c r="C334" s="733" t="s">
        <v>880</v>
      </c>
      <c r="D334" s="733" t="s">
        <v>21</v>
      </c>
      <c r="E334" s="761"/>
      <c r="F334" s="761"/>
      <c r="G334" s="733"/>
      <c r="H334" s="733"/>
      <c r="I334" s="733"/>
      <c r="J334" s="733"/>
      <c r="K334" s="733"/>
      <c r="L334" s="733"/>
      <c r="M334" s="733"/>
    </row>
    <row r="335" spans="1:13" x14ac:dyDescent="0.3">
      <c r="A335" s="733" t="s">
        <v>873</v>
      </c>
      <c r="B335" s="733" t="s">
        <v>645</v>
      </c>
      <c r="C335" s="733" t="s">
        <v>881</v>
      </c>
      <c r="D335" s="733" t="s">
        <v>21</v>
      </c>
      <c r="E335" s="761"/>
      <c r="F335" s="761"/>
      <c r="G335" s="733"/>
      <c r="H335" s="733"/>
      <c r="I335" s="733"/>
      <c r="J335" s="733"/>
      <c r="K335" s="733"/>
      <c r="L335" s="733"/>
      <c r="M335" s="733"/>
    </row>
    <row r="336" spans="1:13" x14ac:dyDescent="0.3">
      <c r="A336" s="733" t="s">
        <v>873</v>
      </c>
      <c r="B336" s="733" t="s">
        <v>645</v>
      </c>
      <c r="C336" s="733" t="s">
        <v>882</v>
      </c>
      <c r="D336" s="733" t="s">
        <v>21</v>
      </c>
      <c r="E336" s="761"/>
      <c r="F336" s="761"/>
      <c r="G336" s="733"/>
      <c r="H336" s="733"/>
      <c r="I336" s="733"/>
      <c r="J336" s="733"/>
      <c r="K336" s="733"/>
      <c r="L336" s="733"/>
      <c r="M336" s="733"/>
    </row>
    <row r="337" spans="1:13" x14ac:dyDescent="0.3">
      <c r="A337" s="733" t="s">
        <v>873</v>
      </c>
      <c r="B337" s="733" t="s">
        <v>645</v>
      </c>
      <c r="C337" s="733" t="s">
        <v>883</v>
      </c>
      <c r="D337" s="733" t="s">
        <v>21</v>
      </c>
      <c r="E337" s="761"/>
      <c r="F337" s="761"/>
      <c r="G337" s="733"/>
      <c r="H337" s="733"/>
      <c r="I337" s="733"/>
      <c r="J337" s="733"/>
      <c r="K337" s="733"/>
      <c r="L337" s="733"/>
      <c r="M337" s="733"/>
    </row>
    <row r="338" spans="1:13" x14ac:dyDescent="0.3">
      <c r="A338" s="733" t="s">
        <v>873</v>
      </c>
      <c r="B338" s="733" t="s">
        <v>664</v>
      </c>
      <c r="C338" s="733" t="s">
        <v>884</v>
      </c>
      <c r="D338" s="733" t="s">
        <v>21</v>
      </c>
      <c r="E338" s="761"/>
      <c r="F338" s="761"/>
      <c r="G338" s="733"/>
      <c r="H338" s="733"/>
      <c r="I338" s="733"/>
      <c r="J338" s="733"/>
      <c r="K338" s="733"/>
      <c r="L338" s="733"/>
      <c r="M338" s="733"/>
    </row>
    <row r="339" spans="1:13" x14ac:dyDescent="0.3">
      <c r="A339" s="733" t="s">
        <v>873</v>
      </c>
      <c r="B339" s="733" t="s">
        <v>664</v>
      </c>
      <c r="C339" s="733" t="s">
        <v>885</v>
      </c>
      <c r="D339" s="733" t="s">
        <v>21</v>
      </c>
      <c r="E339" s="761"/>
      <c r="F339" s="761"/>
      <c r="G339" s="733"/>
      <c r="H339" s="733"/>
      <c r="I339" s="733"/>
      <c r="J339" s="733"/>
      <c r="K339" s="733"/>
      <c r="L339" s="733"/>
      <c r="M339" s="733"/>
    </row>
    <row r="340" spans="1:13" x14ac:dyDescent="0.3">
      <c r="A340" s="733" t="s">
        <v>873</v>
      </c>
      <c r="B340" s="733" t="s">
        <v>664</v>
      </c>
      <c r="C340" s="733" t="s">
        <v>886</v>
      </c>
      <c r="D340" s="733" t="s">
        <v>21</v>
      </c>
      <c r="E340" s="761"/>
      <c r="F340" s="761"/>
      <c r="G340" s="733"/>
      <c r="H340" s="733"/>
      <c r="I340" s="733"/>
      <c r="J340" s="733"/>
      <c r="K340" s="733"/>
      <c r="L340" s="733"/>
      <c r="M340" s="733"/>
    </row>
    <row r="341" spans="1:13" x14ac:dyDescent="0.3">
      <c r="A341" s="733" t="s">
        <v>873</v>
      </c>
      <c r="B341" s="733" t="s">
        <v>664</v>
      </c>
      <c r="C341" s="733" t="s">
        <v>887</v>
      </c>
      <c r="D341" s="733" t="s">
        <v>21</v>
      </c>
      <c r="E341" s="761"/>
      <c r="F341" s="761"/>
      <c r="G341" s="733"/>
      <c r="H341" s="733"/>
      <c r="I341" s="733"/>
      <c r="J341" s="733"/>
      <c r="K341" s="733"/>
      <c r="L341" s="733"/>
      <c r="M341" s="733"/>
    </row>
    <row r="342" spans="1:13" x14ac:dyDescent="0.3">
      <c r="A342" s="733" t="s">
        <v>873</v>
      </c>
      <c r="B342" s="733" t="s">
        <v>664</v>
      </c>
      <c r="C342" s="733" t="s">
        <v>888</v>
      </c>
      <c r="D342" s="733" t="s">
        <v>21</v>
      </c>
      <c r="E342" s="761"/>
      <c r="F342" s="761"/>
      <c r="G342" s="733"/>
      <c r="H342" s="733"/>
      <c r="I342" s="733"/>
      <c r="J342" s="733"/>
      <c r="K342" s="733"/>
      <c r="L342" s="733"/>
      <c r="M342" s="733"/>
    </row>
    <row r="343" spans="1:13" x14ac:dyDescent="0.3">
      <c r="A343" s="733" t="s">
        <v>889</v>
      </c>
      <c r="B343" s="733" t="s">
        <v>612</v>
      </c>
      <c r="C343" s="733" t="s">
        <v>806</v>
      </c>
      <c r="D343" s="733" t="s">
        <v>21</v>
      </c>
      <c r="E343" s="733" t="s">
        <v>614</v>
      </c>
      <c r="F343" s="733" t="s">
        <v>615</v>
      </c>
      <c r="G343" s="733"/>
      <c r="H343" s="733"/>
      <c r="I343" s="733"/>
      <c r="J343" s="733"/>
      <c r="K343" s="733"/>
      <c r="L343" s="733"/>
      <c r="M343" s="733"/>
    </row>
    <row r="344" spans="1:13" x14ac:dyDescent="0.3">
      <c r="A344" s="733" t="s">
        <v>889</v>
      </c>
      <c r="B344" s="733" t="s">
        <v>612</v>
      </c>
      <c r="C344" s="733" t="s">
        <v>613</v>
      </c>
      <c r="D344" s="733" t="s">
        <v>21</v>
      </c>
      <c r="E344" s="733" t="s">
        <v>614</v>
      </c>
      <c r="F344" s="733" t="s">
        <v>615</v>
      </c>
      <c r="G344" s="733"/>
      <c r="H344" s="733"/>
      <c r="I344" s="733"/>
      <c r="J344" s="733"/>
      <c r="K344" s="733"/>
      <c r="L344" s="733"/>
      <c r="M344" s="733"/>
    </row>
    <row r="345" spans="1:13" x14ac:dyDescent="0.3">
      <c r="A345" s="733" t="s">
        <v>889</v>
      </c>
      <c r="B345" s="733" t="s">
        <v>612</v>
      </c>
      <c r="C345" s="733" t="s">
        <v>890</v>
      </c>
      <c r="D345" s="733" t="s">
        <v>21</v>
      </c>
      <c r="E345" s="733" t="s">
        <v>614</v>
      </c>
      <c r="F345" s="733" t="s">
        <v>615</v>
      </c>
      <c r="G345" s="733"/>
      <c r="H345" s="733"/>
      <c r="I345" s="733"/>
      <c r="J345" s="733"/>
      <c r="K345" s="733"/>
      <c r="L345" s="733"/>
      <c r="M345" s="733"/>
    </row>
    <row r="346" spans="1:13" x14ac:dyDescent="0.3">
      <c r="A346" s="733" t="s">
        <v>889</v>
      </c>
      <c r="B346" s="733" t="s">
        <v>612</v>
      </c>
      <c r="C346" s="733" t="s">
        <v>891</v>
      </c>
      <c r="D346" s="733" t="s">
        <v>21</v>
      </c>
      <c r="E346" s="733" t="s">
        <v>614</v>
      </c>
      <c r="F346" s="733" t="s">
        <v>615</v>
      </c>
      <c r="G346" s="733"/>
      <c r="H346" s="733"/>
      <c r="I346" s="733"/>
      <c r="J346" s="733"/>
      <c r="K346" s="733"/>
      <c r="L346" s="733"/>
      <c r="M346" s="733"/>
    </row>
    <row r="347" spans="1:13" x14ac:dyDescent="0.3">
      <c r="A347" s="733" t="s">
        <v>889</v>
      </c>
      <c r="B347" s="733" t="s">
        <v>612</v>
      </c>
      <c r="C347" s="733" t="s">
        <v>892</v>
      </c>
      <c r="D347" s="733" t="s">
        <v>21</v>
      </c>
      <c r="E347" s="733" t="s">
        <v>614</v>
      </c>
      <c r="F347" s="733" t="s">
        <v>615</v>
      </c>
      <c r="G347" s="733"/>
      <c r="H347" s="733"/>
      <c r="I347" s="733"/>
      <c r="J347" s="733"/>
      <c r="K347" s="733"/>
      <c r="L347" s="733"/>
      <c r="M347" s="733"/>
    </row>
    <row r="348" spans="1:13" x14ac:dyDescent="0.3">
      <c r="A348" s="733" t="s">
        <v>889</v>
      </c>
      <c r="B348" s="733" t="s">
        <v>612</v>
      </c>
      <c r="C348" s="733" t="s">
        <v>893</v>
      </c>
      <c r="D348" s="733" t="s">
        <v>21</v>
      </c>
      <c r="E348" s="733" t="s">
        <v>614</v>
      </c>
      <c r="F348" s="733" t="s">
        <v>615</v>
      </c>
      <c r="G348" s="733"/>
      <c r="H348" s="733"/>
      <c r="I348" s="733"/>
      <c r="J348" s="733"/>
      <c r="K348" s="733"/>
      <c r="L348" s="733"/>
      <c r="M348" s="733"/>
    </row>
    <row r="349" spans="1:13" x14ac:dyDescent="0.3">
      <c r="A349" s="733" t="s">
        <v>889</v>
      </c>
      <c r="B349" s="733" t="s">
        <v>612</v>
      </c>
      <c r="C349" s="733" t="s">
        <v>894</v>
      </c>
      <c r="D349" s="733" t="s">
        <v>21</v>
      </c>
      <c r="E349" s="733" t="s">
        <v>614</v>
      </c>
      <c r="F349" s="733" t="s">
        <v>615</v>
      </c>
      <c r="G349" s="733"/>
      <c r="H349" s="733"/>
      <c r="I349" s="733"/>
      <c r="J349" s="733"/>
      <c r="K349" s="733"/>
      <c r="L349" s="733"/>
      <c r="M349" s="733"/>
    </row>
    <row r="350" spans="1:13" x14ac:dyDescent="0.3">
      <c r="A350" s="733" t="s">
        <v>889</v>
      </c>
      <c r="B350" s="733" t="s">
        <v>612</v>
      </c>
      <c r="C350" s="733" t="s">
        <v>764</v>
      </c>
      <c r="D350" s="733" t="s">
        <v>21</v>
      </c>
      <c r="E350" s="733" t="s">
        <v>614</v>
      </c>
      <c r="F350" s="733" t="s">
        <v>615</v>
      </c>
      <c r="G350" s="733"/>
      <c r="H350" s="733"/>
      <c r="I350" s="733"/>
      <c r="J350" s="733"/>
      <c r="K350" s="733"/>
      <c r="L350" s="733"/>
      <c r="M350" s="733"/>
    </row>
    <row r="351" spans="1:13" x14ac:dyDescent="0.3">
      <c r="A351" s="734" t="s">
        <v>889</v>
      </c>
      <c r="B351" s="734" t="s">
        <v>612</v>
      </c>
      <c r="C351" s="734" t="s">
        <v>765</v>
      </c>
      <c r="D351" s="734" t="s">
        <v>21</v>
      </c>
      <c r="E351" s="734" t="s">
        <v>614</v>
      </c>
      <c r="F351" s="734" t="s">
        <v>696</v>
      </c>
      <c r="G351" s="733"/>
      <c r="H351" s="733"/>
      <c r="I351" s="733"/>
      <c r="J351" s="733"/>
      <c r="K351" s="733"/>
      <c r="L351" s="733"/>
      <c r="M351" s="733"/>
    </row>
    <row r="352" spans="1:13" x14ac:dyDescent="0.3">
      <c r="A352" s="733" t="s">
        <v>889</v>
      </c>
      <c r="B352" s="733" t="s">
        <v>645</v>
      </c>
      <c r="C352" s="733" t="s">
        <v>895</v>
      </c>
      <c r="D352" s="733" t="s">
        <v>21</v>
      </c>
      <c r="E352" s="733" t="s">
        <v>614</v>
      </c>
      <c r="F352" s="733" t="s">
        <v>615</v>
      </c>
      <c r="G352" s="733"/>
      <c r="H352" s="733"/>
      <c r="I352" s="733"/>
      <c r="J352" s="733"/>
      <c r="K352" s="733"/>
      <c r="L352" s="733"/>
      <c r="M352" s="733"/>
    </row>
    <row r="353" spans="1:13" x14ac:dyDescent="0.3">
      <c r="A353" s="733" t="s">
        <v>889</v>
      </c>
      <c r="B353" s="733" t="s">
        <v>645</v>
      </c>
      <c r="C353" s="733" t="s">
        <v>896</v>
      </c>
      <c r="D353" s="733" t="s">
        <v>21</v>
      </c>
      <c r="E353" s="733" t="s">
        <v>614</v>
      </c>
      <c r="F353" s="733" t="s">
        <v>615</v>
      </c>
      <c r="G353" s="733"/>
      <c r="H353" s="733"/>
      <c r="I353" s="733"/>
      <c r="J353" s="733"/>
      <c r="K353" s="733"/>
      <c r="L353" s="733"/>
      <c r="M353" s="733"/>
    </row>
    <row r="354" spans="1:13" x14ac:dyDescent="0.3">
      <c r="A354" s="733" t="s">
        <v>889</v>
      </c>
      <c r="B354" s="733" t="s">
        <v>645</v>
      </c>
      <c r="C354" s="733" t="s">
        <v>897</v>
      </c>
      <c r="D354" s="733" t="s">
        <v>21</v>
      </c>
      <c r="E354" s="733" t="s">
        <v>614</v>
      </c>
      <c r="F354" s="733" t="s">
        <v>615</v>
      </c>
      <c r="G354" s="733"/>
      <c r="H354" s="733"/>
      <c r="I354" s="733"/>
      <c r="J354" s="733"/>
      <c r="K354" s="733"/>
      <c r="L354" s="733"/>
      <c r="M354" s="733"/>
    </row>
    <row r="355" spans="1:13" x14ac:dyDescent="0.3">
      <c r="A355" s="733" t="s">
        <v>889</v>
      </c>
      <c r="B355" s="733" t="s">
        <v>645</v>
      </c>
      <c r="C355" s="733" t="s">
        <v>898</v>
      </c>
      <c r="D355" s="733" t="s">
        <v>21</v>
      </c>
      <c r="E355" s="733" t="s">
        <v>614</v>
      </c>
      <c r="F355" s="733" t="s">
        <v>615</v>
      </c>
      <c r="G355" s="733"/>
      <c r="H355" s="733"/>
      <c r="I355" s="733"/>
      <c r="J355" s="733"/>
      <c r="K355" s="733"/>
      <c r="L355" s="733"/>
      <c r="M355" s="733"/>
    </row>
    <row r="356" spans="1:13" x14ac:dyDescent="0.3">
      <c r="A356" s="733" t="s">
        <v>889</v>
      </c>
      <c r="B356" s="733" t="s">
        <v>645</v>
      </c>
      <c r="C356" s="733" t="s">
        <v>899</v>
      </c>
      <c r="D356" s="733" t="s">
        <v>21</v>
      </c>
      <c r="E356" s="733" t="s">
        <v>614</v>
      </c>
      <c r="F356" s="733" t="s">
        <v>615</v>
      </c>
      <c r="G356" s="733"/>
      <c r="H356" s="733"/>
      <c r="I356" s="733"/>
      <c r="J356" s="733"/>
      <c r="K356" s="733"/>
      <c r="L356" s="733"/>
      <c r="M356" s="733"/>
    </row>
    <row r="357" spans="1:13" x14ac:dyDescent="0.3">
      <c r="A357" s="733" t="s">
        <v>889</v>
      </c>
      <c r="B357" s="733" t="s">
        <v>645</v>
      </c>
      <c r="C357" s="733" t="s">
        <v>900</v>
      </c>
      <c r="D357" s="733" t="s">
        <v>21</v>
      </c>
      <c r="E357" s="733" t="s">
        <v>614</v>
      </c>
      <c r="F357" s="733" t="s">
        <v>615</v>
      </c>
      <c r="G357" s="733"/>
      <c r="H357" s="733"/>
      <c r="I357" s="733"/>
      <c r="J357" s="733"/>
      <c r="K357" s="733"/>
      <c r="L357" s="733"/>
      <c r="M357" s="733"/>
    </row>
    <row r="358" spans="1:13" x14ac:dyDescent="0.3">
      <c r="A358" s="733" t="s">
        <v>889</v>
      </c>
      <c r="B358" s="733" t="s">
        <v>645</v>
      </c>
      <c r="C358" s="733" t="s">
        <v>901</v>
      </c>
      <c r="D358" s="733" t="s">
        <v>21</v>
      </c>
      <c r="E358" s="733" t="s">
        <v>614</v>
      </c>
      <c r="F358" s="733" t="s">
        <v>615</v>
      </c>
      <c r="G358" s="733"/>
      <c r="H358" s="733"/>
      <c r="I358" s="733"/>
      <c r="J358" s="733"/>
      <c r="K358" s="733"/>
      <c r="L358" s="733"/>
      <c r="M358" s="733"/>
    </row>
    <row r="359" spans="1:13" x14ac:dyDescent="0.3">
      <c r="A359" s="733" t="s">
        <v>889</v>
      </c>
      <c r="B359" s="733" t="s">
        <v>645</v>
      </c>
      <c r="C359" s="733" t="s">
        <v>902</v>
      </c>
      <c r="D359" s="733" t="s">
        <v>21</v>
      </c>
      <c r="E359" s="733" t="s">
        <v>614</v>
      </c>
      <c r="F359" s="733" t="s">
        <v>615</v>
      </c>
      <c r="G359" s="733"/>
      <c r="H359" s="733"/>
      <c r="I359" s="733"/>
      <c r="J359" s="733"/>
      <c r="K359" s="733"/>
      <c r="L359" s="733"/>
      <c r="M359" s="733"/>
    </row>
    <row r="360" spans="1:13" x14ac:dyDescent="0.3">
      <c r="A360" s="733" t="s">
        <v>889</v>
      </c>
      <c r="B360" s="733" t="s">
        <v>664</v>
      </c>
      <c r="C360" s="733" t="s">
        <v>828</v>
      </c>
      <c r="D360" s="733" t="s">
        <v>21</v>
      </c>
      <c r="E360" s="733" t="s">
        <v>614</v>
      </c>
      <c r="F360" s="733" t="s">
        <v>615</v>
      </c>
      <c r="G360" s="733"/>
      <c r="H360" s="733"/>
      <c r="I360" s="733"/>
      <c r="J360" s="733"/>
      <c r="K360" s="733"/>
      <c r="L360" s="733"/>
      <c r="M360" s="733"/>
    </row>
    <row r="361" spans="1:13" x14ac:dyDescent="0.3">
      <c r="A361" s="733" t="s">
        <v>889</v>
      </c>
      <c r="B361" s="733" t="s">
        <v>664</v>
      </c>
      <c r="C361" s="733" t="s">
        <v>830</v>
      </c>
      <c r="D361" s="733" t="s">
        <v>21</v>
      </c>
      <c r="E361" s="733" t="s">
        <v>614</v>
      </c>
      <c r="F361" s="733" t="s">
        <v>615</v>
      </c>
      <c r="G361" s="733"/>
      <c r="H361" s="733"/>
      <c r="I361" s="733"/>
      <c r="J361" s="733"/>
      <c r="K361" s="733"/>
      <c r="L361" s="733"/>
      <c r="M361" s="733"/>
    </row>
    <row r="362" spans="1:13" x14ac:dyDescent="0.3">
      <c r="A362" s="733" t="s">
        <v>889</v>
      </c>
      <c r="B362" s="733" t="s">
        <v>664</v>
      </c>
      <c r="C362" s="733" t="s">
        <v>903</v>
      </c>
      <c r="D362" s="733" t="s">
        <v>21</v>
      </c>
      <c r="E362" s="733" t="s">
        <v>614</v>
      </c>
      <c r="F362" s="733" t="s">
        <v>615</v>
      </c>
      <c r="G362" s="733"/>
      <c r="H362" s="733"/>
      <c r="I362" s="733"/>
      <c r="J362" s="733"/>
      <c r="K362" s="733"/>
      <c r="L362" s="733"/>
      <c r="M362" s="733"/>
    </row>
    <row r="363" spans="1:13" x14ac:dyDescent="0.3">
      <c r="A363" s="733" t="s">
        <v>889</v>
      </c>
      <c r="B363" s="733" t="s">
        <v>664</v>
      </c>
      <c r="C363" s="733" t="s">
        <v>834</v>
      </c>
      <c r="D363" s="733" t="s">
        <v>21</v>
      </c>
      <c r="E363" s="733" t="s">
        <v>614</v>
      </c>
      <c r="F363" s="733" t="s">
        <v>615</v>
      </c>
      <c r="G363" s="733"/>
      <c r="H363" s="733"/>
      <c r="I363" s="733"/>
      <c r="J363" s="733"/>
      <c r="K363" s="733"/>
      <c r="L363" s="733"/>
      <c r="M363" s="733"/>
    </row>
    <row r="364" spans="1:13" x14ac:dyDescent="0.3">
      <c r="A364" s="733" t="s">
        <v>889</v>
      </c>
      <c r="B364" s="733" t="s">
        <v>664</v>
      </c>
      <c r="C364" s="733" t="s">
        <v>904</v>
      </c>
      <c r="D364" s="733" t="s">
        <v>21</v>
      </c>
      <c r="E364" s="733" t="s">
        <v>614</v>
      </c>
      <c r="F364" s="733" t="s">
        <v>615</v>
      </c>
      <c r="G364" s="733"/>
      <c r="H364" s="733"/>
      <c r="I364" s="733"/>
      <c r="J364" s="733"/>
      <c r="K364" s="733"/>
      <c r="L364" s="733"/>
      <c r="M364" s="733"/>
    </row>
    <row r="365" spans="1:13" x14ac:dyDescent="0.3">
      <c r="A365" s="733" t="s">
        <v>905</v>
      </c>
      <c r="B365" s="733" t="s">
        <v>612</v>
      </c>
      <c r="C365" s="733" t="s">
        <v>906</v>
      </c>
      <c r="D365" s="733" t="s">
        <v>21</v>
      </c>
      <c r="E365" s="733" t="s">
        <v>614</v>
      </c>
      <c r="F365" s="733" t="s">
        <v>615</v>
      </c>
      <c r="G365" s="733"/>
      <c r="H365" s="733"/>
      <c r="I365" s="733"/>
      <c r="J365" s="733"/>
      <c r="K365" s="733"/>
      <c r="L365" s="733"/>
      <c r="M365" s="733"/>
    </row>
    <row r="366" spans="1:13" x14ac:dyDescent="0.3">
      <c r="A366" s="733" t="s">
        <v>905</v>
      </c>
      <c r="B366" s="733" t="s">
        <v>612</v>
      </c>
      <c r="C366" s="733" t="s">
        <v>907</v>
      </c>
      <c r="D366" s="733" t="s">
        <v>21</v>
      </c>
      <c r="E366" s="733" t="s">
        <v>614</v>
      </c>
      <c r="F366" s="733" t="s">
        <v>615</v>
      </c>
      <c r="G366" s="733"/>
      <c r="H366" s="733"/>
      <c r="I366" s="733"/>
      <c r="J366" s="733"/>
      <c r="K366" s="733"/>
      <c r="L366" s="733"/>
      <c r="M366" s="733"/>
    </row>
    <row r="367" spans="1:13" x14ac:dyDescent="0.3">
      <c r="A367" s="733" t="s">
        <v>905</v>
      </c>
      <c r="B367" s="733" t="s">
        <v>612</v>
      </c>
      <c r="C367" s="733" t="s">
        <v>908</v>
      </c>
      <c r="D367" s="733" t="s">
        <v>21</v>
      </c>
      <c r="E367" s="733" t="s">
        <v>614</v>
      </c>
      <c r="F367" s="733" t="s">
        <v>615</v>
      </c>
      <c r="G367" s="733"/>
      <c r="H367" s="733"/>
      <c r="I367" s="733"/>
      <c r="J367" s="733"/>
      <c r="K367" s="733"/>
      <c r="L367" s="733"/>
      <c r="M367" s="733"/>
    </row>
    <row r="368" spans="1:13" x14ac:dyDescent="0.3">
      <c r="A368" s="733" t="s">
        <v>905</v>
      </c>
      <c r="B368" s="733" t="s">
        <v>612</v>
      </c>
      <c r="C368" s="733" t="s">
        <v>909</v>
      </c>
      <c r="D368" s="733" t="s">
        <v>21</v>
      </c>
      <c r="E368" s="733" t="s">
        <v>614</v>
      </c>
      <c r="F368" s="733" t="s">
        <v>615</v>
      </c>
      <c r="G368" s="733"/>
      <c r="H368" s="733"/>
      <c r="I368" s="733"/>
      <c r="J368" s="733"/>
      <c r="K368" s="733"/>
      <c r="L368" s="733"/>
      <c r="M368" s="733"/>
    </row>
    <row r="369" spans="1:13" x14ac:dyDescent="0.3">
      <c r="A369" s="733" t="s">
        <v>905</v>
      </c>
      <c r="B369" s="733" t="s">
        <v>612</v>
      </c>
      <c r="C369" s="733" t="s">
        <v>910</v>
      </c>
      <c r="D369" s="733" t="s">
        <v>21</v>
      </c>
      <c r="E369" s="733" t="s">
        <v>614</v>
      </c>
      <c r="F369" s="733" t="s">
        <v>615</v>
      </c>
      <c r="G369" s="733"/>
      <c r="H369" s="733"/>
      <c r="I369" s="733"/>
      <c r="J369" s="733"/>
      <c r="K369" s="733"/>
      <c r="L369" s="733"/>
      <c r="M369" s="733"/>
    </row>
    <row r="370" spans="1:13" x14ac:dyDescent="0.3">
      <c r="A370" s="733" t="s">
        <v>905</v>
      </c>
      <c r="B370" s="733" t="s">
        <v>612</v>
      </c>
      <c r="C370" s="733" t="s">
        <v>911</v>
      </c>
      <c r="D370" s="733" t="s">
        <v>21</v>
      </c>
      <c r="E370" s="733" t="s">
        <v>614</v>
      </c>
      <c r="F370" s="733" t="s">
        <v>615</v>
      </c>
      <c r="G370" s="733"/>
      <c r="H370" s="733"/>
      <c r="I370" s="733"/>
      <c r="J370" s="733"/>
      <c r="K370" s="733"/>
      <c r="L370" s="733"/>
      <c r="M370" s="733"/>
    </row>
    <row r="371" spans="1:13" x14ac:dyDescent="0.3">
      <c r="A371" s="733" t="s">
        <v>905</v>
      </c>
      <c r="B371" s="733" t="s">
        <v>612</v>
      </c>
      <c r="C371" s="733" t="s">
        <v>912</v>
      </c>
      <c r="D371" s="733" t="s">
        <v>21</v>
      </c>
      <c r="E371" s="733" t="s">
        <v>614</v>
      </c>
      <c r="F371" s="733" t="s">
        <v>615</v>
      </c>
      <c r="G371" s="733"/>
      <c r="H371" s="733"/>
      <c r="I371" s="733"/>
      <c r="J371" s="733"/>
      <c r="K371" s="733"/>
      <c r="L371" s="733"/>
      <c r="M371" s="733"/>
    </row>
    <row r="372" spans="1:13" x14ac:dyDescent="0.3">
      <c r="A372" s="733" t="s">
        <v>905</v>
      </c>
      <c r="B372" s="733" t="s">
        <v>612</v>
      </c>
      <c r="C372" s="733" t="s">
        <v>913</v>
      </c>
      <c r="D372" s="733" t="s">
        <v>21</v>
      </c>
      <c r="E372" s="733" t="s">
        <v>614</v>
      </c>
      <c r="F372" s="733" t="s">
        <v>615</v>
      </c>
      <c r="G372" s="733"/>
      <c r="H372" s="733"/>
      <c r="I372" s="733"/>
      <c r="J372" s="733"/>
      <c r="K372" s="733"/>
      <c r="L372" s="733"/>
      <c r="M372" s="733"/>
    </row>
    <row r="373" spans="1:13" x14ac:dyDescent="0.3">
      <c r="A373" s="733" t="s">
        <v>905</v>
      </c>
      <c r="B373" s="733" t="s">
        <v>612</v>
      </c>
      <c r="C373" s="733" t="s">
        <v>914</v>
      </c>
      <c r="D373" s="733" t="s">
        <v>21</v>
      </c>
      <c r="E373" s="733" t="s">
        <v>614</v>
      </c>
      <c r="F373" s="733" t="s">
        <v>615</v>
      </c>
      <c r="G373" s="733"/>
      <c r="H373" s="733"/>
      <c r="I373" s="733"/>
      <c r="J373" s="733"/>
      <c r="K373" s="733"/>
      <c r="L373" s="733"/>
      <c r="M373" s="733"/>
    </row>
    <row r="374" spans="1:13" x14ac:dyDescent="0.3">
      <c r="A374" s="733" t="s">
        <v>905</v>
      </c>
      <c r="B374" s="733" t="s">
        <v>612</v>
      </c>
      <c r="C374" s="733" t="s">
        <v>915</v>
      </c>
      <c r="D374" s="733" t="s">
        <v>21</v>
      </c>
      <c r="E374" s="733" t="s">
        <v>614</v>
      </c>
      <c r="F374" s="733" t="s">
        <v>615</v>
      </c>
      <c r="G374" s="733"/>
      <c r="H374" s="733"/>
      <c r="I374" s="733"/>
      <c r="J374" s="733"/>
      <c r="K374" s="733"/>
      <c r="L374" s="733"/>
      <c r="M374" s="733"/>
    </row>
    <row r="375" spans="1:13" x14ac:dyDescent="0.3">
      <c r="A375" s="733" t="s">
        <v>905</v>
      </c>
      <c r="B375" s="733" t="s">
        <v>612</v>
      </c>
      <c r="C375" s="733" t="s">
        <v>916</v>
      </c>
      <c r="D375" s="733" t="s">
        <v>21</v>
      </c>
      <c r="E375" s="733" t="s">
        <v>614</v>
      </c>
      <c r="F375" s="733" t="s">
        <v>615</v>
      </c>
      <c r="G375" s="733"/>
      <c r="H375" s="733"/>
      <c r="I375" s="733"/>
      <c r="J375" s="733"/>
      <c r="K375" s="733"/>
      <c r="L375" s="733"/>
      <c r="M375" s="733"/>
    </row>
    <row r="376" spans="1:13" x14ac:dyDescent="0.3">
      <c r="A376" s="733" t="s">
        <v>905</v>
      </c>
      <c r="B376" s="733" t="s">
        <v>645</v>
      </c>
      <c r="C376" s="733" t="s">
        <v>917</v>
      </c>
      <c r="D376" s="733" t="s">
        <v>21</v>
      </c>
      <c r="E376" s="733" t="s">
        <v>614</v>
      </c>
      <c r="F376" s="733" t="s">
        <v>615</v>
      </c>
      <c r="G376" s="733"/>
      <c r="H376" s="733"/>
      <c r="I376" s="733"/>
      <c r="J376" s="733"/>
      <c r="K376" s="733"/>
      <c r="L376" s="733"/>
      <c r="M376" s="733"/>
    </row>
    <row r="377" spans="1:13" x14ac:dyDescent="0.3">
      <c r="A377" s="733" t="s">
        <v>905</v>
      </c>
      <c r="B377" s="733" t="s">
        <v>645</v>
      </c>
      <c r="C377" s="733" t="s">
        <v>918</v>
      </c>
      <c r="D377" s="733" t="s">
        <v>21</v>
      </c>
      <c r="E377" s="733" t="s">
        <v>614</v>
      </c>
      <c r="F377" s="733" t="s">
        <v>615</v>
      </c>
      <c r="G377" s="733"/>
      <c r="H377" s="733"/>
      <c r="I377" s="733"/>
      <c r="J377" s="733"/>
      <c r="K377" s="733"/>
      <c r="L377" s="733"/>
      <c r="M377" s="733"/>
    </row>
    <row r="378" spans="1:13" x14ac:dyDescent="0.3">
      <c r="A378" s="733" t="s">
        <v>905</v>
      </c>
      <c r="B378" s="733" t="s">
        <v>645</v>
      </c>
      <c r="C378" s="733" t="s">
        <v>919</v>
      </c>
      <c r="D378" s="733" t="s">
        <v>21</v>
      </c>
      <c r="E378" s="733" t="s">
        <v>614</v>
      </c>
      <c r="F378" s="733" t="s">
        <v>615</v>
      </c>
      <c r="G378" s="733"/>
      <c r="H378" s="733"/>
      <c r="I378" s="733"/>
      <c r="J378" s="733"/>
      <c r="K378" s="733"/>
      <c r="L378" s="733"/>
      <c r="M378" s="733"/>
    </row>
    <row r="379" spans="1:13" x14ac:dyDescent="0.3">
      <c r="A379" s="733" t="s">
        <v>905</v>
      </c>
      <c r="B379" s="733" t="s">
        <v>645</v>
      </c>
      <c r="C379" s="733" t="s">
        <v>920</v>
      </c>
      <c r="D379" s="733" t="s">
        <v>21</v>
      </c>
      <c r="E379" s="733" t="s">
        <v>614</v>
      </c>
      <c r="F379" s="733" t="s">
        <v>615</v>
      </c>
      <c r="G379" s="733"/>
      <c r="H379" s="733"/>
      <c r="I379" s="733"/>
      <c r="J379" s="733"/>
      <c r="K379" s="733"/>
      <c r="L379" s="733"/>
      <c r="M379" s="733"/>
    </row>
    <row r="380" spans="1:13" x14ac:dyDescent="0.3">
      <c r="A380" s="733" t="s">
        <v>921</v>
      </c>
      <c r="B380" s="733" t="s">
        <v>612</v>
      </c>
      <c r="C380" s="733" t="s">
        <v>906</v>
      </c>
      <c r="D380" s="733" t="s">
        <v>21</v>
      </c>
      <c r="E380" s="733" t="s">
        <v>614</v>
      </c>
      <c r="F380" s="733" t="s">
        <v>615</v>
      </c>
      <c r="G380" s="733"/>
      <c r="H380" s="733"/>
      <c r="I380" s="733"/>
      <c r="J380" s="733"/>
      <c r="K380" s="733"/>
      <c r="L380" s="733"/>
      <c r="M380" s="733"/>
    </row>
    <row r="381" spans="1:13" x14ac:dyDescent="0.3">
      <c r="A381" s="733" t="s">
        <v>921</v>
      </c>
      <c r="B381" s="733" t="s">
        <v>612</v>
      </c>
      <c r="C381" s="733" t="s">
        <v>922</v>
      </c>
      <c r="D381" s="733" t="s">
        <v>21</v>
      </c>
      <c r="E381" s="733" t="s">
        <v>614</v>
      </c>
      <c r="F381" s="733" t="s">
        <v>615</v>
      </c>
      <c r="G381" s="733"/>
      <c r="H381" s="733"/>
      <c r="I381" s="733"/>
      <c r="J381" s="733"/>
      <c r="K381" s="733"/>
      <c r="L381" s="733"/>
      <c r="M381" s="733"/>
    </row>
    <row r="382" spans="1:13" x14ac:dyDescent="0.3">
      <c r="A382" s="733" t="s">
        <v>921</v>
      </c>
      <c r="B382" s="733" t="s">
        <v>612</v>
      </c>
      <c r="C382" s="733" t="s">
        <v>907</v>
      </c>
      <c r="D382" s="733" t="s">
        <v>21</v>
      </c>
      <c r="E382" s="733" t="s">
        <v>614</v>
      </c>
      <c r="F382" s="733" t="s">
        <v>615</v>
      </c>
      <c r="G382" s="733"/>
      <c r="H382" s="733"/>
      <c r="I382" s="733"/>
      <c r="J382" s="733"/>
      <c r="K382" s="733"/>
      <c r="L382" s="733"/>
      <c r="M382" s="733"/>
    </row>
    <row r="383" spans="1:13" x14ac:dyDescent="0.3">
      <c r="A383" s="733" t="s">
        <v>921</v>
      </c>
      <c r="B383" s="733" t="s">
        <v>612</v>
      </c>
      <c r="C383" s="733" t="s">
        <v>729</v>
      </c>
      <c r="D383" s="733" t="s">
        <v>21</v>
      </c>
      <c r="E383" s="733" t="s">
        <v>614</v>
      </c>
      <c r="F383" s="733" t="s">
        <v>615</v>
      </c>
      <c r="G383" s="733"/>
      <c r="H383" s="733"/>
      <c r="I383" s="733"/>
      <c r="J383" s="733"/>
      <c r="K383" s="733"/>
      <c r="L383" s="733"/>
      <c r="M383" s="733"/>
    </row>
    <row r="384" spans="1:13" x14ac:dyDescent="0.3">
      <c r="A384" s="733" t="s">
        <v>921</v>
      </c>
      <c r="B384" s="733" t="s">
        <v>612</v>
      </c>
      <c r="C384" s="733" t="s">
        <v>908</v>
      </c>
      <c r="D384" s="733" t="s">
        <v>21</v>
      </c>
      <c r="E384" s="733" t="s">
        <v>614</v>
      </c>
      <c r="F384" s="733" t="s">
        <v>615</v>
      </c>
      <c r="G384" s="733"/>
      <c r="H384" s="733"/>
      <c r="I384" s="733"/>
      <c r="J384" s="733"/>
      <c r="K384" s="733"/>
      <c r="L384" s="733"/>
      <c r="M384" s="733"/>
    </row>
    <row r="385" spans="1:13" x14ac:dyDescent="0.3">
      <c r="A385" s="733" t="s">
        <v>921</v>
      </c>
      <c r="B385" s="733" t="s">
        <v>612</v>
      </c>
      <c r="C385" s="733" t="s">
        <v>909</v>
      </c>
      <c r="D385" s="733" t="s">
        <v>21</v>
      </c>
      <c r="E385" s="733" t="s">
        <v>614</v>
      </c>
      <c r="F385" s="733" t="s">
        <v>615</v>
      </c>
      <c r="G385" s="733"/>
      <c r="H385" s="733"/>
      <c r="I385" s="733"/>
      <c r="J385" s="733"/>
      <c r="K385" s="733"/>
      <c r="L385" s="733"/>
      <c r="M385" s="733"/>
    </row>
    <row r="386" spans="1:13" x14ac:dyDescent="0.3">
      <c r="A386" s="733" t="s">
        <v>921</v>
      </c>
      <c r="B386" s="733" t="s">
        <v>612</v>
      </c>
      <c r="C386" s="733" t="s">
        <v>911</v>
      </c>
      <c r="D386" s="733" t="s">
        <v>21</v>
      </c>
      <c r="E386" s="733" t="s">
        <v>614</v>
      </c>
      <c r="F386" s="733" t="s">
        <v>615</v>
      </c>
      <c r="G386" s="733"/>
      <c r="H386" s="733"/>
      <c r="I386" s="733"/>
      <c r="J386" s="733"/>
      <c r="K386" s="733"/>
      <c r="L386" s="733"/>
      <c r="M386" s="733"/>
    </row>
    <row r="387" spans="1:13" x14ac:dyDescent="0.3">
      <c r="A387" s="733" t="s">
        <v>921</v>
      </c>
      <c r="B387" s="733" t="s">
        <v>612</v>
      </c>
      <c r="C387" s="733" t="s">
        <v>912</v>
      </c>
      <c r="D387" s="733" t="s">
        <v>21</v>
      </c>
      <c r="E387" s="733" t="s">
        <v>614</v>
      </c>
      <c r="F387" s="733" t="s">
        <v>615</v>
      </c>
      <c r="G387" s="733"/>
      <c r="H387" s="733"/>
      <c r="I387" s="733"/>
      <c r="J387" s="733"/>
      <c r="K387" s="733"/>
      <c r="L387" s="733"/>
      <c r="M387" s="733"/>
    </row>
    <row r="388" spans="1:13" x14ac:dyDescent="0.3">
      <c r="A388" s="733" t="s">
        <v>921</v>
      </c>
      <c r="B388" s="733" t="s">
        <v>612</v>
      </c>
      <c r="C388" s="733" t="s">
        <v>923</v>
      </c>
      <c r="D388" s="733" t="s">
        <v>21</v>
      </c>
      <c r="E388" s="733" t="s">
        <v>614</v>
      </c>
      <c r="F388" s="733" t="s">
        <v>615</v>
      </c>
      <c r="G388" s="733"/>
      <c r="H388" s="733"/>
      <c r="I388" s="733"/>
      <c r="J388" s="733"/>
      <c r="K388" s="733"/>
      <c r="L388" s="733"/>
      <c r="M388" s="733"/>
    </row>
    <row r="389" spans="1:13" x14ac:dyDescent="0.3">
      <c r="A389" s="733" t="s">
        <v>921</v>
      </c>
      <c r="B389" s="733" t="s">
        <v>612</v>
      </c>
      <c r="C389" s="733" t="s">
        <v>924</v>
      </c>
      <c r="D389" s="733" t="s">
        <v>21</v>
      </c>
      <c r="E389" s="733" t="s">
        <v>614</v>
      </c>
      <c r="F389" s="733" t="s">
        <v>615</v>
      </c>
      <c r="G389" s="733"/>
      <c r="H389" s="733"/>
      <c r="I389" s="733"/>
      <c r="J389" s="733"/>
      <c r="K389" s="733"/>
      <c r="L389" s="733"/>
      <c r="M389" s="733"/>
    </row>
    <row r="390" spans="1:13" x14ac:dyDescent="0.3">
      <c r="A390" s="733" t="s">
        <v>921</v>
      </c>
      <c r="B390" s="733" t="s">
        <v>612</v>
      </c>
      <c r="C390" s="733" t="s">
        <v>913</v>
      </c>
      <c r="D390" s="733" t="s">
        <v>21</v>
      </c>
      <c r="E390" s="733" t="s">
        <v>614</v>
      </c>
      <c r="F390" s="733" t="s">
        <v>615</v>
      </c>
      <c r="G390" s="733"/>
      <c r="H390" s="733"/>
      <c r="I390" s="733"/>
      <c r="J390" s="733"/>
      <c r="K390" s="733"/>
      <c r="L390" s="733"/>
      <c r="M390" s="733"/>
    </row>
    <row r="391" spans="1:13" x14ac:dyDescent="0.3">
      <c r="A391" s="733" t="s">
        <v>921</v>
      </c>
      <c r="B391" s="733" t="s">
        <v>612</v>
      </c>
      <c r="C391" s="733" t="s">
        <v>733</v>
      </c>
      <c r="D391" s="733" t="s">
        <v>21</v>
      </c>
      <c r="E391" s="733" t="s">
        <v>614</v>
      </c>
      <c r="F391" s="733" t="s">
        <v>615</v>
      </c>
      <c r="G391" s="733"/>
      <c r="H391" s="733"/>
      <c r="I391" s="733"/>
      <c r="J391" s="733"/>
      <c r="K391" s="733"/>
      <c r="L391" s="733"/>
      <c r="M391" s="733"/>
    </row>
    <row r="392" spans="1:13" x14ac:dyDescent="0.3">
      <c r="A392" s="733" t="s">
        <v>921</v>
      </c>
      <c r="B392" s="733" t="s">
        <v>612</v>
      </c>
      <c r="C392" s="733" t="s">
        <v>925</v>
      </c>
      <c r="D392" s="733" t="s">
        <v>21</v>
      </c>
      <c r="E392" s="733" t="s">
        <v>614</v>
      </c>
      <c r="F392" s="733" t="s">
        <v>615</v>
      </c>
      <c r="G392" s="733"/>
      <c r="H392" s="733"/>
      <c r="I392" s="733"/>
      <c r="J392" s="733"/>
      <c r="K392" s="733"/>
      <c r="L392" s="733"/>
      <c r="M392" s="733"/>
    </row>
    <row r="393" spans="1:13" x14ac:dyDescent="0.3">
      <c r="A393" s="733" t="s">
        <v>921</v>
      </c>
      <c r="B393" s="733" t="s">
        <v>612</v>
      </c>
      <c r="C393" s="733" t="s">
        <v>914</v>
      </c>
      <c r="D393" s="733" t="s">
        <v>21</v>
      </c>
      <c r="E393" s="733" t="s">
        <v>614</v>
      </c>
      <c r="F393" s="733" t="s">
        <v>615</v>
      </c>
      <c r="G393" s="733"/>
      <c r="H393" s="733"/>
      <c r="I393" s="733"/>
      <c r="J393" s="733"/>
      <c r="K393" s="733"/>
      <c r="L393" s="733"/>
      <c r="M393" s="733"/>
    </row>
    <row r="394" spans="1:13" x14ac:dyDescent="0.3">
      <c r="A394" s="733" t="s">
        <v>921</v>
      </c>
      <c r="B394" s="733" t="s">
        <v>612</v>
      </c>
      <c r="C394" s="733" t="s">
        <v>915</v>
      </c>
      <c r="D394" s="733" t="s">
        <v>21</v>
      </c>
      <c r="E394" s="733" t="s">
        <v>614</v>
      </c>
      <c r="F394" s="733" t="s">
        <v>615</v>
      </c>
      <c r="G394" s="733"/>
      <c r="H394" s="733"/>
      <c r="I394" s="733"/>
      <c r="J394" s="733"/>
      <c r="K394" s="733"/>
      <c r="L394" s="733"/>
      <c r="M394" s="733"/>
    </row>
    <row r="395" spans="1:13" x14ac:dyDescent="0.3">
      <c r="A395" s="733" t="s">
        <v>921</v>
      </c>
      <c r="B395" s="733" t="s">
        <v>645</v>
      </c>
      <c r="C395" s="733" t="s">
        <v>926</v>
      </c>
      <c r="D395" s="733" t="s">
        <v>21</v>
      </c>
      <c r="E395" s="733" t="s">
        <v>614</v>
      </c>
      <c r="F395" s="733" t="s">
        <v>615</v>
      </c>
      <c r="G395" s="733"/>
      <c r="H395" s="733"/>
      <c r="I395" s="733"/>
      <c r="J395" s="733"/>
      <c r="K395" s="733"/>
      <c r="L395" s="733"/>
      <c r="M395" s="733"/>
    </row>
    <row r="396" spans="1:13" x14ac:dyDescent="0.3">
      <c r="A396" s="733" t="s">
        <v>921</v>
      </c>
      <c r="B396" s="733" t="s">
        <v>645</v>
      </c>
      <c r="C396" s="733" t="s">
        <v>927</v>
      </c>
      <c r="D396" s="733" t="s">
        <v>21</v>
      </c>
      <c r="E396" s="733" t="s">
        <v>614</v>
      </c>
      <c r="F396" s="733" t="s">
        <v>615</v>
      </c>
      <c r="G396" s="733"/>
      <c r="H396" s="733"/>
      <c r="I396" s="733"/>
      <c r="J396" s="733"/>
      <c r="K396" s="733"/>
      <c r="L396" s="733"/>
      <c r="M396" s="733"/>
    </row>
    <row r="397" spans="1:13" x14ac:dyDescent="0.3">
      <c r="A397" s="733" t="s">
        <v>921</v>
      </c>
      <c r="B397" s="733" t="s">
        <v>645</v>
      </c>
      <c r="C397" s="733" t="s">
        <v>928</v>
      </c>
      <c r="D397" s="733" t="s">
        <v>21</v>
      </c>
      <c r="E397" s="733" t="s">
        <v>614</v>
      </c>
      <c r="F397" s="733" t="s">
        <v>615</v>
      </c>
      <c r="G397" s="733"/>
      <c r="H397" s="733"/>
      <c r="I397" s="733"/>
      <c r="J397" s="733"/>
      <c r="K397" s="733"/>
      <c r="L397" s="733"/>
      <c r="M397" s="733"/>
    </row>
    <row r="398" spans="1:13" x14ac:dyDescent="0.3">
      <c r="A398" s="733" t="s">
        <v>921</v>
      </c>
      <c r="B398" s="733" t="s">
        <v>645</v>
      </c>
      <c r="C398" s="733" t="s">
        <v>929</v>
      </c>
      <c r="D398" s="733" t="s">
        <v>21</v>
      </c>
      <c r="E398" s="733" t="s">
        <v>614</v>
      </c>
      <c r="F398" s="733" t="s">
        <v>615</v>
      </c>
      <c r="G398" s="733"/>
      <c r="H398" s="733"/>
      <c r="I398" s="733"/>
      <c r="J398" s="733"/>
      <c r="K398" s="733"/>
      <c r="L398" s="733"/>
      <c r="M398" s="733"/>
    </row>
    <row r="399" spans="1:13" x14ac:dyDescent="0.3">
      <c r="A399" s="733" t="s">
        <v>921</v>
      </c>
      <c r="B399" s="733" t="s">
        <v>645</v>
      </c>
      <c r="C399" s="733" t="s">
        <v>919</v>
      </c>
      <c r="D399" s="733" t="s">
        <v>21</v>
      </c>
      <c r="E399" s="733" t="s">
        <v>614</v>
      </c>
      <c r="F399" s="733" t="s">
        <v>615</v>
      </c>
      <c r="G399" s="733"/>
      <c r="H399" s="733"/>
      <c r="I399" s="733"/>
      <c r="J399" s="733"/>
      <c r="K399" s="733"/>
      <c r="L399" s="733"/>
      <c r="M399" s="733"/>
    </row>
    <row r="400" spans="1:13" x14ac:dyDescent="0.3">
      <c r="A400" s="733" t="s">
        <v>921</v>
      </c>
      <c r="B400" s="733" t="s">
        <v>645</v>
      </c>
      <c r="C400" s="733" t="s">
        <v>920</v>
      </c>
      <c r="D400" s="733" t="s">
        <v>21</v>
      </c>
      <c r="E400" s="733" t="s">
        <v>614</v>
      </c>
      <c r="F400" s="733" t="s">
        <v>615</v>
      </c>
      <c r="G400" s="733"/>
      <c r="H400" s="733"/>
      <c r="I400" s="733"/>
      <c r="J400" s="733"/>
      <c r="K400" s="733"/>
      <c r="L400" s="733"/>
      <c r="M400" s="733"/>
    </row>
    <row r="401" spans="1:13" x14ac:dyDescent="0.3">
      <c r="A401" s="733" t="s">
        <v>930</v>
      </c>
      <c r="B401" s="733" t="s">
        <v>612</v>
      </c>
      <c r="C401" s="733" t="s">
        <v>931</v>
      </c>
      <c r="D401" s="733" t="s">
        <v>21</v>
      </c>
      <c r="E401" s="733" t="s">
        <v>614</v>
      </c>
      <c r="F401" s="733" t="s">
        <v>615</v>
      </c>
      <c r="G401" s="733"/>
      <c r="H401" s="733"/>
      <c r="I401" s="733"/>
      <c r="J401" s="733"/>
      <c r="K401" s="733"/>
      <c r="L401" s="733"/>
      <c r="M401" s="733"/>
    </row>
    <row r="402" spans="1:13" x14ac:dyDescent="0.3">
      <c r="A402" s="733" t="s">
        <v>930</v>
      </c>
      <c r="B402" s="733" t="s">
        <v>612</v>
      </c>
      <c r="C402" s="733" t="s">
        <v>932</v>
      </c>
      <c r="D402" s="733" t="s">
        <v>21</v>
      </c>
      <c r="E402" s="733" t="s">
        <v>614</v>
      </c>
      <c r="F402" s="733" t="s">
        <v>615</v>
      </c>
      <c r="G402" s="733"/>
      <c r="H402" s="733"/>
      <c r="I402" s="733"/>
      <c r="J402" s="733"/>
      <c r="K402" s="733"/>
      <c r="L402" s="733"/>
      <c r="M402" s="733"/>
    </row>
    <row r="403" spans="1:13" x14ac:dyDescent="0.3">
      <c r="A403" s="733" t="s">
        <v>930</v>
      </c>
      <c r="B403" s="733" t="s">
        <v>612</v>
      </c>
      <c r="C403" s="733" t="s">
        <v>933</v>
      </c>
      <c r="D403" s="733" t="s">
        <v>21</v>
      </c>
      <c r="E403" s="733" t="s">
        <v>614</v>
      </c>
      <c r="F403" s="733" t="s">
        <v>615</v>
      </c>
      <c r="G403" s="733"/>
      <c r="H403" s="733"/>
      <c r="I403" s="733"/>
      <c r="J403" s="733"/>
      <c r="K403" s="733"/>
      <c r="L403" s="733"/>
      <c r="M403" s="733"/>
    </row>
    <row r="404" spans="1:13" x14ac:dyDescent="0.3">
      <c r="A404" s="733" t="s">
        <v>930</v>
      </c>
      <c r="B404" s="733" t="s">
        <v>612</v>
      </c>
      <c r="C404" s="733" t="s">
        <v>934</v>
      </c>
      <c r="D404" s="733" t="s">
        <v>21</v>
      </c>
      <c r="E404" s="733" t="s">
        <v>614</v>
      </c>
      <c r="F404" s="733" t="s">
        <v>615</v>
      </c>
      <c r="G404" s="733"/>
      <c r="H404" s="733"/>
      <c r="I404" s="733"/>
      <c r="J404" s="733"/>
      <c r="K404" s="733"/>
      <c r="L404" s="733"/>
      <c r="M404" s="733"/>
    </row>
    <row r="405" spans="1:13" x14ac:dyDescent="0.3">
      <c r="A405" s="733" t="s">
        <v>930</v>
      </c>
      <c r="B405" s="733" t="s">
        <v>612</v>
      </c>
      <c r="C405" s="733" t="s">
        <v>935</v>
      </c>
      <c r="D405" s="733" t="s">
        <v>21</v>
      </c>
      <c r="E405" s="733" t="s">
        <v>614</v>
      </c>
      <c r="F405" s="733" t="s">
        <v>615</v>
      </c>
      <c r="G405" s="733"/>
      <c r="H405" s="733"/>
      <c r="I405" s="733"/>
      <c r="J405" s="733"/>
      <c r="K405" s="733"/>
      <c r="L405" s="733"/>
      <c r="M405" s="733"/>
    </row>
    <row r="406" spans="1:13" x14ac:dyDescent="0.3">
      <c r="A406" s="733" t="s">
        <v>930</v>
      </c>
      <c r="B406" s="733" t="s">
        <v>612</v>
      </c>
      <c r="C406" s="733" t="s">
        <v>909</v>
      </c>
      <c r="D406" s="733" t="s">
        <v>21</v>
      </c>
      <c r="E406" s="733" t="s">
        <v>614</v>
      </c>
      <c r="F406" s="733" t="s">
        <v>615</v>
      </c>
      <c r="G406" s="733"/>
      <c r="H406" s="733"/>
      <c r="I406" s="733"/>
      <c r="J406" s="733"/>
      <c r="K406" s="733"/>
      <c r="L406" s="733"/>
      <c r="M406" s="733"/>
    </row>
    <row r="407" spans="1:13" x14ac:dyDescent="0.3">
      <c r="A407" s="733" t="s">
        <v>930</v>
      </c>
      <c r="B407" s="733" t="s">
        <v>612</v>
      </c>
      <c r="C407" s="733" t="s">
        <v>936</v>
      </c>
      <c r="D407" s="733" t="s">
        <v>21</v>
      </c>
      <c r="E407" s="733" t="s">
        <v>614</v>
      </c>
      <c r="F407" s="733" t="s">
        <v>615</v>
      </c>
      <c r="G407" s="733"/>
      <c r="H407" s="733"/>
      <c r="I407" s="733"/>
      <c r="J407" s="733"/>
      <c r="K407" s="733"/>
      <c r="L407" s="733"/>
      <c r="M407" s="733"/>
    </row>
    <row r="408" spans="1:13" x14ac:dyDescent="0.3">
      <c r="A408" s="733" t="s">
        <v>930</v>
      </c>
      <c r="B408" s="733" t="s">
        <v>612</v>
      </c>
      <c r="C408" s="733" t="s">
        <v>911</v>
      </c>
      <c r="D408" s="733" t="s">
        <v>21</v>
      </c>
      <c r="E408" s="733" t="s">
        <v>614</v>
      </c>
      <c r="F408" s="733" t="s">
        <v>615</v>
      </c>
      <c r="G408" s="733"/>
      <c r="H408" s="733"/>
      <c r="I408" s="733"/>
      <c r="J408" s="733"/>
      <c r="K408" s="733"/>
      <c r="L408" s="733"/>
      <c r="M408" s="733"/>
    </row>
    <row r="409" spans="1:13" x14ac:dyDescent="0.3">
      <c r="A409" s="733" t="s">
        <v>930</v>
      </c>
      <c r="B409" s="733" t="s">
        <v>612</v>
      </c>
      <c r="C409" s="733" t="s">
        <v>937</v>
      </c>
      <c r="D409" s="733" t="s">
        <v>21</v>
      </c>
      <c r="E409" s="733" t="s">
        <v>614</v>
      </c>
      <c r="F409" s="733" t="s">
        <v>615</v>
      </c>
      <c r="G409" s="733"/>
      <c r="H409" s="733"/>
      <c r="I409" s="733"/>
      <c r="J409" s="733"/>
      <c r="K409" s="733"/>
      <c r="L409" s="733"/>
      <c r="M409" s="733"/>
    </row>
    <row r="410" spans="1:13" x14ac:dyDescent="0.3">
      <c r="A410" s="733" t="s">
        <v>930</v>
      </c>
      <c r="B410" s="733" t="s">
        <v>612</v>
      </c>
      <c r="C410" s="733" t="s">
        <v>938</v>
      </c>
      <c r="D410" s="733" t="s">
        <v>21</v>
      </c>
      <c r="E410" s="733" t="s">
        <v>614</v>
      </c>
      <c r="F410" s="733" t="s">
        <v>615</v>
      </c>
      <c r="G410" s="733"/>
      <c r="H410" s="733"/>
      <c r="I410" s="733"/>
      <c r="J410" s="733"/>
      <c r="K410" s="733"/>
      <c r="L410" s="733"/>
      <c r="M410" s="733"/>
    </row>
    <row r="411" spans="1:13" x14ac:dyDescent="0.3">
      <c r="A411" s="733" t="s">
        <v>930</v>
      </c>
      <c r="B411" s="733" t="s">
        <v>612</v>
      </c>
      <c r="C411" s="733" t="s">
        <v>939</v>
      </c>
      <c r="D411" s="733" t="s">
        <v>21</v>
      </c>
      <c r="E411" s="733" t="s">
        <v>614</v>
      </c>
      <c r="F411" s="733" t="s">
        <v>615</v>
      </c>
      <c r="G411" s="733"/>
      <c r="H411" s="733"/>
      <c r="I411" s="733"/>
      <c r="J411" s="733"/>
      <c r="K411" s="733"/>
      <c r="L411" s="733"/>
      <c r="M411" s="733"/>
    </row>
    <row r="412" spans="1:13" x14ac:dyDescent="0.3">
      <c r="A412" s="733" t="s">
        <v>930</v>
      </c>
      <c r="B412" s="733" t="s">
        <v>612</v>
      </c>
      <c r="C412" s="733" t="s">
        <v>764</v>
      </c>
      <c r="D412" s="733" t="s">
        <v>21</v>
      </c>
      <c r="E412" s="733" t="s">
        <v>614</v>
      </c>
      <c r="F412" s="733" t="s">
        <v>615</v>
      </c>
      <c r="G412" s="733"/>
      <c r="H412" s="733"/>
      <c r="I412" s="733"/>
      <c r="J412" s="733"/>
      <c r="K412" s="733"/>
      <c r="L412" s="733"/>
      <c r="M412" s="733"/>
    </row>
    <row r="413" spans="1:13" x14ac:dyDescent="0.3">
      <c r="A413" s="733" t="s">
        <v>930</v>
      </c>
      <c r="B413" s="733" t="s">
        <v>612</v>
      </c>
      <c r="C413" s="733" t="s">
        <v>940</v>
      </c>
      <c r="D413" s="733" t="s">
        <v>21</v>
      </c>
      <c r="E413" s="733" t="s">
        <v>614</v>
      </c>
      <c r="F413" s="733" t="s">
        <v>615</v>
      </c>
      <c r="G413" s="733"/>
      <c r="H413" s="733"/>
      <c r="I413" s="733"/>
      <c r="J413" s="733"/>
      <c r="K413" s="733"/>
      <c r="L413" s="733"/>
      <c r="M413" s="733"/>
    </row>
    <row r="414" spans="1:13" x14ac:dyDescent="0.3">
      <c r="A414" s="733" t="s">
        <v>930</v>
      </c>
      <c r="B414" s="733" t="s">
        <v>612</v>
      </c>
      <c r="C414" s="733" t="s">
        <v>941</v>
      </c>
      <c r="D414" s="733" t="s">
        <v>21</v>
      </c>
      <c r="E414" s="733" t="s">
        <v>614</v>
      </c>
      <c r="F414" s="733" t="s">
        <v>615</v>
      </c>
      <c r="G414" s="733"/>
      <c r="H414" s="733"/>
      <c r="I414" s="733"/>
      <c r="J414" s="733"/>
      <c r="K414" s="733"/>
      <c r="L414" s="733"/>
      <c r="M414" s="733"/>
    </row>
    <row r="415" spans="1:13" x14ac:dyDescent="0.3">
      <c r="A415" s="733" t="s">
        <v>930</v>
      </c>
      <c r="B415" s="733" t="s">
        <v>612</v>
      </c>
      <c r="C415" s="733" t="s">
        <v>942</v>
      </c>
      <c r="D415" s="733" t="s">
        <v>21</v>
      </c>
      <c r="E415" s="733" t="s">
        <v>614</v>
      </c>
      <c r="F415" s="733" t="s">
        <v>615</v>
      </c>
      <c r="G415" s="733"/>
      <c r="H415" s="733"/>
      <c r="I415" s="733"/>
      <c r="J415" s="733"/>
      <c r="K415" s="733"/>
      <c r="L415" s="733"/>
      <c r="M415" s="733"/>
    </row>
    <row r="416" spans="1:13" x14ac:dyDescent="0.3">
      <c r="A416" s="733" t="s">
        <v>930</v>
      </c>
      <c r="B416" s="733" t="s">
        <v>612</v>
      </c>
      <c r="C416" s="733" t="s">
        <v>943</v>
      </c>
      <c r="D416" s="733" t="s">
        <v>21</v>
      </c>
      <c r="E416" s="733" t="s">
        <v>614</v>
      </c>
      <c r="F416" s="733" t="s">
        <v>615</v>
      </c>
      <c r="G416" s="733"/>
      <c r="H416" s="733"/>
      <c r="I416" s="733"/>
      <c r="J416" s="733"/>
      <c r="K416" s="733"/>
      <c r="L416" s="733"/>
      <c r="M416" s="733"/>
    </row>
    <row r="417" spans="1:13" x14ac:dyDescent="0.3">
      <c r="A417" s="733" t="s">
        <v>930</v>
      </c>
      <c r="B417" s="733" t="s">
        <v>612</v>
      </c>
      <c r="C417" s="733" t="s">
        <v>944</v>
      </c>
      <c r="D417" s="733" t="s">
        <v>21</v>
      </c>
      <c r="E417" s="733" t="s">
        <v>614</v>
      </c>
      <c r="F417" s="733" t="s">
        <v>615</v>
      </c>
      <c r="G417" s="733"/>
      <c r="H417" s="733"/>
      <c r="I417" s="733"/>
      <c r="J417" s="733"/>
      <c r="K417" s="733"/>
      <c r="L417" s="733"/>
      <c r="M417" s="733"/>
    </row>
    <row r="418" spans="1:13" x14ac:dyDescent="0.3">
      <c r="A418" s="733" t="s">
        <v>930</v>
      </c>
      <c r="B418" s="733" t="s">
        <v>612</v>
      </c>
      <c r="C418" s="733" t="s">
        <v>945</v>
      </c>
      <c r="D418" s="733" t="s">
        <v>21</v>
      </c>
      <c r="E418" s="733" t="s">
        <v>614</v>
      </c>
      <c r="F418" s="733" t="s">
        <v>615</v>
      </c>
      <c r="G418" s="733"/>
      <c r="H418" s="733"/>
      <c r="I418" s="733"/>
      <c r="J418" s="733"/>
      <c r="K418" s="733"/>
      <c r="L418" s="733"/>
      <c r="M418" s="733"/>
    </row>
    <row r="419" spans="1:13" x14ac:dyDescent="0.3">
      <c r="A419" s="733" t="s">
        <v>930</v>
      </c>
      <c r="B419" s="733" t="s">
        <v>645</v>
      </c>
      <c r="C419" s="733" t="s">
        <v>946</v>
      </c>
      <c r="D419" s="733" t="s">
        <v>21</v>
      </c>
      <c r="E419" s="733" t="s">
        <v>614</v>
      </c>
      <c r="F419" s="733" t="s">
        <v>615</v>
      </c>
      <c r="G419" s="733"/>
      <c r="H419" s="733"/>
      <c r="I419" s="733"/>
      <c r="J419" s="733"/>
      <c r="K419" s="733"/>
      <c r="L419" s="733"/>
      <c r="M419" s="733"/>
    </row>
    <row r="420" spans="1:13" x14ac:dyDescent="0.3">
      <c r="A420" s="733" t="s">
        <v>930</v>
      </c>
      <c r="B420" s="733" t="s">
        <v>645</v>
      </c>
      <c r="C420" s="733" t="s">
        <v>947</v>
      </c>
      <c r="D420" s="733" t="s">
        <v>21</v>
      </c>
      <c r="E420" s="733" t="s">
        <v>614</v>
      </c>
      <c r="F420" s="733" t="s">
        <v>615</v>
      </c>
      <c r="G420" s="733"/>
      <c r="H420" s="733"/>
      <c r="I420" s="733"/>
      <c r="J420" s="733"/>
      <c r="K420" s="733"/>
      <c r="L420" s="733"/>
      <c r="M420" s="733"/>
    </row>
    <row r="421" spans="1:13" x14ac:dyDescent="0.3">
      <c r="A421" s="733" t="s">
        <v>930</v>
      </c>
      <c r="B421" s="733" t="s">
        <v>645</v>
      </c>
      <c r="C421" s="733" t="s">
        <v>948</v>
      </c>
      <c r="D421" s="733" t="s">
        <v>21</v>
      </c>
      <c r="E421" s="733" t="s">
        <v>614</v>
      </c>
      <c r="F421" s="733" t="s">
        <v>615</v>
      </c>
      <c r="G421" s="733"/>
      <c r="H421" s="733"/>
      <c r="I421" s="733"/>
      <c r="J421" s="733"/>
      <c r="K421" s="733"/>
      <c r="L421" s="733"/>
      <c r="M421" s="733"/>
    </row>
    <row r="422" spans="1:13" x14ac:dyDescent="0.3">
      <c r="A422" s="733" t="s">
        <v>930</v>
      </c>
      <c r="B422" s="733" t="s">
        <v>645</v>
      </c>
      <c r="C422" s="733" t="s">
        <v>949</v>
      </c>
      <c r="D422" s="733" t="s">
        <v>21</v>
      </c>
      <c r="E422" s="733" t="s">
        <v>614</v>
      </c>
      <c r="F422" s="733" t="s">
        <v>615</v>
      </c>
      <c r="G422" s="733"/>
      <c r="H422" s="733"/>
      <c r="I422" s="733"/>
      <c r="J422" s="733"/>
      <c r="K422" s="733"/>
      <c r="L422" s="733"/>
      <c r="M422" s="733"/>
    </row>
    <row r="423" spans="1:13" x14ac:dyDescent="0.3">
      <c r="A423" s="733" t="s">
        <v>930</v>
      </c>
      <c r="B423" s="733" t="s">
        <v>645</v>
      </c>
      <c r="C423" s="733" t="s">
        <v>950</v>
      </c>
      <c r="D423" s="733" t="s">
        <v>21</v>
      </c>
      <c r="E423" s="733" t="s">
        <v>614</v>
      </c>
      <c r="F423" s="733" t="s">
        <v>615</v>
      </c>
      <c r="G423" s="733"/>
      <c r="H423" s="733"/>
      <c r="I423" s="733"/>
      <c r="J423" s="733"/>
      <c r="K423" s="733"/>
      <c r="L423" s="733"/>
      <c r="M423" s="733"/>
    </row>
    <row r="424" spans="1:13" x14ac:dyDescent="0.3">
      <c r="A424" s="733" t="s">
        <v>930</v>
      </c>
      <c r="B424" s="733" t="s">
        <v>645</v>
      </c>
      <c r="C424" s="733" t="s">
        <v>951</v>
      </c>
      <c r="D424" s="733" t="s">
        <v>21</v>
      </c>
      <c r="E424" s="733" t="s">
        <v>614</v>
      </c>
      <c r="F424" s="733" t="s">
        <v>615</v>
      </c>
      <c r="G424" s="733"/>
      <c r="H424" s="733"/>
      <c r="I424" s="733"/>
      <c r="J424" s="733"/>
      <c r="K424" s="733"/>
      <c r="L424" s="733"/>
      <c r="M424" s="733"/>
    </row>
    <row r="425" spans="1:13" x14ac:dyDescent="0.3">
      <c r="A425" s="733" t="s">
        <v>930</v>
      </c>
      <c r="B425" s="733" t="s">
        <v>645</v>
      </c>
      <c r="C425" s="733" t="s">
        <v>952</v>
      </c>
      <c r="D425" s="733" t="s">
        <v>21</v>
      </c>
      <c r="E425" s="733" t="s">
        <v>614</v>
      </c>
      <c r="F425" s="733" t="s">
        <v>615</v>
      </c>
      <c r="G425" s="733"/>
      <c r="H425" s="733"/>
      <c r="I425" s="733"/>
      <c r="J425" s="733"/>
      <c r="K425" s="733"/>
      <c r="L425" s="733"/>
      <c r="M425" s="733"/>
    </row>
    <row r="426" spans="1:13" x14ac:dyDescent="0.3">
      <c r="A426" s="733" t="s">
        <v>930</v>
      </c>
      <c r="B426" s="733" t="s">
        <v>664</v>
      </c>
      <c r="C426" s="733" t="s">
        <v>953</v>
      </c>
      <c r="D426" s="733" t="s">
        <v>21</v>
      </c>
      <c r="E426" s="733" t="s">
        <v>614</v>
      </c>
      <c r="F426" s="733" t="s">
        <v>615</v>
      </c>
      <c r="G426" s="733"/>
      <c r="H426" s="733"/>
      <c r="I426" s="733"/>
      <c r="J426" s="733"/>
      <c r="K426" s="733"/>
      <c r="L426" s="733"/>
      <c r="M426" s="733"/>
    </row>
    <row r="427" spans="1:13" x14ac:dyDescent="0.3">
      <c r="A427" s="733" t="s">
        <v>930</v>
      </c>
      <c r="B427" s="733" t="s">
        <v>664</v>
      </c>
      <c r="C427" s="733" t="s">
        <v>954</v>
      </c>
      <c r="D427" s="733" t="s">
        <v>21</v>
      </c>
      <c r="E427" s="733" t="s">
        <v>614</v>
      </c>
      <c r="F427" s="733" t="s">
        <v>615</v>
      </c>
      <c r="G427" s="733"/>
      <c r="H427" s="733"/>
      <c r="I427" s="733"/>
      <c r="J427" s="733"/>
      <c r="K427" s="733"/>
      <c r="L427" s="733"/>
      <c r="M427" s="733"/>
    </row>
    <row r="428" spans="1:13" x14ac:dyDescent="0.3">
      <c r="A428" s="733" t="s">
        <v>930</v>
      </c>
      <c r="B428" s="733" t="s">
        <v>664</v>
      </c>
      <c r="C428" s="733" t="s">
        <v>955</v>
      </c>
      <c r="D428" s="733" t="s">
        <v>21</v>
      </c>
      <c r="E428" s="733" t="s">
        <v>614</v>
      </c>
      <c r="F428" s="733" t="s">
        <v>615</v>
      </c>
      <c r="G428" s="733"/>
      <c r="H428" s="733"/>
      <c r="I428" s="733"/>
      <c r="J428" s="733"/>
      <c r="K428" s="733"/>
      <c r="L428" s="733"/>
      <c r="M428" s="733"/>
    </row>
    <row r="429" spans="1:13" x14ac:dyDescent="0.3">
      <c r="A429" s="733" t="s">
        <v>930</v>
      </c>
      <c r="B429" s="733" t="s">
        <v>664</v>
      </c>
      <c r="C429" s="733" t="s">
        <v>956</v>
      </c>
      <c r="D429" s="733" t="s">
        <v>21</v>
      </c>
      <c r="E429" s="733" t="s">
        <v>614</v>
      </c>
      <c r="F429" s="733" t="s">
        <v>615</v>
      </c>
      <c r="G429" s="733"/>
      <c r="H429" s="733"/>
      <c r="I429" s="733"/>
      <c r="J429" s="733"/>
      <c r="K429" s="733"/>
      <c r="L429" s="733"/>
      <c r="M429" s="733"/>
    </row>
    <row r="430" spans="1:13" x14ac:dyDescent="0.3">
      <c r="A430" s="733" t="s">
        <v>957</v>
      </c>
      <c r="B430" s="733" t="s">
        <v>612</v>
      </c>
      <c r="C430" s="733" t="s">
        <v>958</v>
      </c>
      <c r="D430" s="733" t="s">
        <v>21</v>
      </c>
      <c r="E430" s="733" t="s">
        <v>614</v>
      </c>
      <c r="F430" s="733" t="s">
        <v>615</v>
      </c>
      <c r="G430" s="733"/>
      <c r="H430" s="733"/>
      <c r="I430" s="733"/>
      <c r="J430" s="733"/>
      <c r="K430" s="733"/>
      <c r="L430" s="733"/>
      <c r="M430" s="733"/>
    </row>
    <row r="431" spans="1:13" x14ac:dyDescent="0.3">
      <c r="A431" s="733" t="s">
        <v>957</v>
      </c>
      <c r="B431" s="733" t="s">
        <v>612</v>
      </c>
      <c r="C431" s="733" t="s">
        <v>959</v>
      </c>
      <c r="D431" s="733" t="s">
        <v>21</v>
      </c>
      <c r="E431" s="733" t="s">
        <v>614</v>
      </c>
      <c r="F431" s="733" t="s">
        <v>615</v>
      </c>
      <c r="G431" s="733"/>
      <c r="H431" s="733"/>
      <c r="I431" s="733"/>
      <c r="J431" s="733"/>
      <c r="K431" s="733"/>
      <c r="L431" s="733"/>
      <c r="M431" s="733"/>
    </row>
    <row r="432" spans="1:13" x14ac:dyDescent="0.3">
      <c r="A432" s="733" t="s">
        <v>957</v>
      </c>
      <c r="B432" s="733" t="s">
        <v>612</v>
      </c>
      <c r="C432" s="733" t="s">
        <v>960</v>
      </c>
      <c r="D432" s="733" t="s">
        <v>21</v>
      </c>
      <c r="E432" s="733" t="s">
        <v>614</v>
      </c>
      <c r="F432" s="733" t="s">
        <v>615</v>
      </c>
      <c r="G432" s="733"/>
      <c r="H432" s="733"/>
      <c r="I432" s="733"/>
      <c r="J432" s="733"/>
      <c r="K432" s="733"/>
      <c r="L432" s="733"/>
      <c r="M432" s="733"/>
    </row>
    <row r="433" spans="1:13" x14ac:dyDescent="0.3">
      <c r="A433" s="733" t="s">
        <v>957</v>
      </c>
      <c r="B433" s="733" t="s">
        <v>612</v>
      </c>
      <c r="C433" s="733" t="s">
        <v>961</v>
      </c>
      <c r="D433" s="733" t="s">
        <v>21</v>
      </c>
      <c r="E433" s="733" t="s">
        <v>614</v>
      </c>
      <c r="F433" s="733" t="s">
        <v>615</v>
      </c>
      <c r="G433" s="733"/>
      <c r="H433" s="733"/>
      <c r="I433" s="733"/>
      <c r="J433" s="733"/>
      <c r="K433" s="733"/>
      <c r="L433" s="733"/>
      <c r="M433" s="733"/>
    </row>
    <row r="434" spans="1:13" x14ac:dyDescent="0.3">
      <c r="A434" s="733" t="s">
        <v>957</v>
      </c>
      <c r="B434" s="733" t="s">
        <v>612</v>
      </c>
      <c r="C434" s="733" t="s">
        <v>962</v>
      </c>
      <c r="D434" s="733" t="s">
        <v>21</v>
      </c>
      <c r="E434" s="733" t="s">
        <v>614</v>
      </c>
      <c r="F434" s="733" t="s">
        <v>615</v>
      </c>
      <c r="G434" s="733"/>
      <c r="H434" s="733"/>
      <c r="I434" s="733"/>
      <c r="J434" s="733"/>
      <c r="K434" s="733"/>
      <c r="L434" s="733"/>
      <c r="M434" s="733"/>
    </row>
    <row r="435" spans="1:13" x14ac:dyDescent="0.3">
      <c r="A435" s="733" t="s">
        <v>957</v>
      </c>
      <c r="B435" s="733" t="s">
        <v>645</v>
      </c>
      <c r="C435" s="733" t="s">
        <v>963</v>
      </c>
      <c r="D435" s="733" t="s">
        <v>21</v>
      </c>
      <c r="E435" s="733" t="s">
        <v>614</v>
      </c>
      <c r="F435" s="733" t="s">
        <v>615</v>
      </c>
      <c r="G435" s="733"/>
      <c r="H435" s="733"/>
      <c r="I435" s="733"/>
      <c r="J435" s="733"/>
      <c r="K435" s="733"/>
      <c r="L435" s="733"/>
      <c r="M435" s="733"/>
    </row>
    <row r="436" spans="1:13" x14ac:dyDescent="0.3">
      <c r="A436" s="733" t="s">
        <v>957</v>
      </c>
      <c r="B436" s="733" t="s">
        <v>645</v>
      </c>
      <c r="C436" s="733" t="s">
        <v>964</v>
      </c>
      <c r="D436" s="733" t="s">
        <v>21</v>
      </c>
      <c r="E436" s="733" t="s">
        <v>614</v>
      </c>
      <c r="F436" s="733" t="s">
        <v>615</v>
      </c>
      <c r="G436" s="733"/>
      <c r="H436" s="733"/>
      <c r="I436" s="733"/>
      <c r="J436" s="733"/>
      <c r="K436" s="733"/>
      <c r="L436" s="733"/>
      <c r="M436" s="733"/>
    </row>
    <row r="437" spans="1:13" x14ac:dyDescent="0.3">
      <c r="A437" s="733" t="s">
        <v>957</v>
      </c>
      <c r="B437" s="733" t="s">
        <v>645</v>
      </c>
      <c r="C437" s="733" t="s">
        <v>965</v>
      </c>
      <c r="D437" s="733" t="s">
        <v>21</v>
      </c>
      <c r="E437" s="733" t="s">
        <v>614</v>
      </c>
      <c r="F437" s="733" t="s">
        <v>615</v>
      </c>
      <c r="G437" s="733"/>
      <c r="H437" s="733"/>
      <c r="I437" s="733"/>
      <c r="J437" s="733"/>
      <c r="K437" s="733"/>
      <c r="L437" s="733"/>
      <c r="M437" s="733"/>
    </row>
    <row r="438" spans="1:13" x14ac:dyDescent="0.3">
      <c r="A438" s="733" t="s">
        <v>957</v>
      </c>
      <c r="B438" s="733" t="s">
        <v>645</v>
      </c>
      <c r="C438" s="733" t="s">
        <v>966</v>
      </c>
      <c r="D438" s="733" t="s">
        <v>21</v>
      </c>
      <c r="E438" s="733" t="s">
        <v>614</v>
      </c>
      <c r="F438" s="733" t="s">
        <v>615</v>
      </c>
      <c r="G438" s="733"/>
      <c r="H438" s="733"/>
      <c r="I438" s="733"/>
      <c r="J438" s="733"/>
      <c r="K438" s="733"/>
      <c r="L438" s="733"/>
      <c r="M438" s="733"/>
    </row>
    <row r="439" spans="1:13" x14ac:dyDescent="0.3">
      <c r="A439" s="733" t="s">
        <v>957</v>
      </c>
      <c r="B439" s="733" t="s">
        <v>645</v>
      </c>
      <c r="C439" s="733" t="s">
        <v>967</v>
      </c>
      <c r="D439" s="733" t="s">
        <v>21</v>
      </c>
      <c r="E439" s="733" t="s">
        <v>614</v>
      </c>
      <c r="F439" s="733" t="s">
        <v>615</v>
      </c>
      <c r="G439" s="733"/>
      <c r="H439" s="733"/>
      <c r="I439" s="733"/>
      <c r="J439" s="733"/>
      <c r="K439" s="733"/>
      <c r="L439" s="733"/>
      <c r="M439" s="733"/>
    </row>
    <row r="440" spans="1:13" x14ac:dyDescent="0.3">
      <c r="A440" s="733" t="s">
        <v>957</v>
      </c>
      <c r="B440" s="733" t="s">
        <v>664</v>
      </c>
      <c r="C440" s="733" t="s">
        <v>968</v>
      </c>
      <c r="D440" s="733" t="s">
        <v>21</v>
      </c>
      <c r="E440" s="733" t="s">
        <v>614</v>
      </c>
      <c r="F440" s="733" t="s">
        <v>615</v>
      </c>
      <c r="G440" s="733"/>
      <c r="H440" s="733"/>
      <c r="I440" s="733"/>
      <c r="J440" s="733"/>
      <c r="K440" s="733"/>
      <c r="L440" s="733"/>
      <c r="M440" s="733"/>
    </row>
    <row r="441" spans="1:13" x14ac:dyDescent="0.3">
      <c r="A441" s="733" t="s">
        <v>957</v>
      </c>
      <c r="B441" s="733" t="s">
        <v>664</v>
      </c>
      <c r="C441" s="733" t="s">
        <v>969</v>
      </c>
      <c r="D441" s="733" t="s">
        <v>21</v>
      </c>
      <c r="E441" s="733" t="s">
        <v>614</v>
      </c>
      <c r="F441" s="733" t="s">
        <v>615</v>
      </c>
      <c r="G441" s="733"/>
      <c r="H441" s="733"/>
      <c r="I441" s="733"/>
      <c r="J441" s="733"/>
      <c r="K441" s="733"/>
      <c r="L441" s="733"/>
      <c r="M441" s="733"/>
    </row>
    <row r="442" spans="1:13" x14ac:dyDescent="0.3">
      <c r="A442" s="733" t="s">
        <v>970</v>
      </c>
      <c r="B442" s="733" t="s">
        <v>612</v>
      </c>
      <c r="C442" s="733" t="s">
        <v>971</v>
      </c>
      <c r="D442" s="733" t="s">
        <v>21</v>
      </c>
      <c r="E442" s="733" t="s">
        <v>614</v>
      </c>
      <c r="F442" s="733" t="s">
        <v>615</v>
      </c>
      <c r="G442" s="733"/>
      <c r="H442" s="733"/>
      <c r="I442" s="733"/>
      <c r="J442" s="733"/>
      <c r="K442" s="733"/>
      <c r="L442" s="733"/>
      <c r="M442" s="733"/>
    </row>
    <row r="443" spans="1:13" x14ac:dyDescent="0.3">
      <c r="A443" s="733" t="s">
        <v>970</v>
      </c>
      <c r="B443" s="733" t="s">
        <v>612</v>
      </c>
      <c r="C443" s="733" t="s">
        <v>972</v>
      </c>
      <c r="D443" s="733" t="s">
        <v>21</v>
      </c>
      <c r="E443" s="733" t="s">
        <v>614</v>
      </c>
      <c r="F443" s="733" t="s">
        <v>615</v>
      </c>
      <c r="G443" s="733"/>
      <c r="H443" s="733"/>
      <c r="I443" s="733"/>
      <c r="J443" s="733"/>
      <c r="K443" s="733"/>
      <c r="L443" s="733"/>
      <c r="M443" s="733"/>
    </row>
    <row r="444" spans="1:13" x14ac:dyDescent="0.3">
      <c r="A444" s="733" t="s">
        <v>970</v>
      </c>
      <c r="B444" s="733" t="s">
        <v>612</v>
      </c>
      <c r="C444" s="733" t="s">
        <v>973</v>
      </c>
      <c r="D444" s="733" t="s">
        <v>21</v>
      </c>
      <c r="E444" s="733" t="s">
        <v>614</v>
      </c>
      <c r="F444" s="733" t="s">
        <v>615</v>
      </c>
      <c r="G444" s="733"/>
      <c r="H444" s="733"/>
      <c r="I444" s="733"/>
      <c r="J444" s="733"/>
      <c r="K444" s="733"/>
      <c r="L444" s="733"/>
      <c r="M444" s="733"/>
    </row>
    <row r="445" spans="1:13" x14ac:dyDescent="0.3">
      <c r="A445" s="733" t="s">
        <v>970</v>
      </c>
      <c r="B445" s="733" t="s">
        <v>612</v>
      </c>
      <c r="C445" s="733" t="s">
        <v>974</v>
      </c>
      <c r="D445" s="733" t="s">
        <v>21</v>
      </c>
      <c r="E445" s="733" t="s">
        <v>614</v>
      </c>
      <c r="F445" s="733" t="s">
        <v>615</v>
      </c>
      <c r="G445" s="733"/>
      <c r="H445" s="733"/>
      <c r="I445" s="733"/>
      <c r="J445" s="733"/>
      <c r="K445" s="733"/>
      <c r="L445" s="733"/>
      <c r="M445" s="733"/>
    </row>
    <row r="446" spans="1:13" x14ac:dyDescent="0.3">
      <c r="A446" s="733" t="s">
        <v>970</v>
      </c>
      <c r="B446" s="733" t="s">
        <v>612</v>
      </c>
      <c r="C446" s="733" t="s">
        <v>975</v>
      </c>
      <c r="D446" s="733" t="s">
        <v>21</v>
      </c>
      <c r="E446" s="733" t="s">
        <v>614</v>
      </c>
      <c r="F446" s="733" t="s">
        <v>615</v>
      </c>
      <c r="G446" s="733"/>
      <c r="H446" s="733"/>
      <c r="I446" s="733"/>
      <c r="J446" s="733"/>
      <c r="K446" s="733"/>
      <c r="L446" s="733"/>
      <c r="M446" s="733"/>
    </row>
    <row r="447" spans="1:13" x14ac:dyDescent="0.3">
      <c r="A447" s="733" t="s">
        <v>970</v>
      </c>
      <c r="B447" s="733" t="s">
        <v>612</v>
      </c>
      <c r="C447" s="733" t="s">
        <v>976</v>
      </c>
      <c r="D447" s="733" t="s">
        <v>21</v>
      </c>
      <c r="E447" s="733" t="s">
        <v>614</v>
      </c>
      <c r="F447" s="733" t="s">
        <v>615</v>
      </c>
      <c r="G447" s="733"/>
      <c r="H447" s="733"/>
      <c r="I447" s="733"/>
      <c r="J447" s="733"/>
      <c r="K447" s="733"/>
      <c r="L447" s="733"/>
      <c r="M447" s="733"/>
    </row>
    <row r="448" spans="1:13" x14ac:dyDescent="0.3">
      <c r="A448" s="733" t="s">
        <v>970</v>
      </c>
      <c r="B448" s="733" t="s">
        <v>612</v>
      </c>
      <c r="C448" s="733" t="s">
        <v>977</v>
      </c>
      <c r="D448" s="733" t="s">
        <v>21</v>
      </c>
      <c r="E448" s="733" t="s">
        <v>614</v>
      </c>
      <c r="F448" s="733" t="s">
        <v>615</v>
      </c>
      <c r="G448" s="733"/>
      <c r="H448" s="733"/>
      <c r="I448" s="733"/>
      <c r="J448" s="733"/>
      <c r="K448" s="733"/>
      <c r="L448" s="733"/>
      <c r="M448" s="733"/>
    </row>
    <row r="449" spans="1:13" x14ac:dyDescent="0.3">
      <c r="A449" s="733" t="s">
        <v>970</v>
      </c>
      <c r="B449" s="733" t="s">
        <v>612</v>
      </c>
      <c r="C449" s="733" t="s">
        <v>978</v>
      </c>
      <c r="D449" s="733" t="s">
        <v>21</v>
      </c>
      <c r="E449" s="733" t="s">
        <v>614</v>
      </c>
      <c r="F449" s="733" t="s">
        <v>615</v>
      </c>
      <c r="G449" s="733"/>
      <c r="H449" s="733"/>
      <c r="I449" s="733"/>
      <c r="J449" s="733"/>
      <c r="K449" s="733"/>
      <c r="L449" s="733"/>
      <c r="M449" s="733"/>
    </row>
    <row r="450" spans="1:13" x14ac:dyDescent="0.3">
      <c r="A450" s="733" t="s">
        <v>970</v>
      </c>
      <c r="B450" s="733" t="s">
        <v>612</v>
      </c>
      <c r="C450" s="733" t="s">
        <v>979</v>
      </c>
      <c r="D450" s="733" t="s">
        <v>21</v>
      </c>
      <c r="E450" s="733" t="s">
        <v>614</v>
      </c>
      <c r="F450" s="733" t="s">
        <v>615</v>
      </c>
      <c r="G450" s="733"/>
      <c r="H450" s="733"/>
      <c r="I450" s="733"/>
      <c r="J450" s="733"/>
      <c r="K450" s="733"/>
      <c r="L450" s="733"/>
      <c r="M450" s="733"/>
    </row>
    <row r="451" spans="1:13" x14ac:dyDescent="0.3">
      <c r="A451" s="733" t="s">
        <v>970</v>
      </c>
      <c r="B451" s="733" t="s">
        <v>612</v>
      </c>
      <c r="C451" s="733" t="s">
        <v>980</v>
      </c>
      <c r="D451" s="733" t="s">
        <v>21</v>
      </c>
      <c r="E451" s="733" t="s">
        <v>614</v>
      </c>
      <c r="F451" s="733" t="s">
        <v>615</v>
      </c>
      <c r="G451" s="733"/>
      <c r="H451" s="733"/>
      <c r="I451" s="733"/>
      <c r="J451" s="733"/>
      <c r="K451" s="733"/>
      <c r="L451" s="733"/>
      <c r="M451" s="733"/>
    </row>
    <row r="452" spans="1:13" x14ac:dyDescent="0.3">
      <c r="A452" s="733" t="s">
        <v>970</v>
      </c>
      <c r="B452" s="733" t="s">
        <v>612</v>
      </c>
      <c r="C452" s="733" t="s">
        <v>981</v>
      </c>
      <c r="D452" s="733" t="s">
        <v>21</v>
      </c>
      <c r="E452" s="733" t="s">
        <v>614</v>
      </c>
      <c r="F452" s="733" t="s">
        <v>615</v>
      </c>
      <c r="G452" s="733"/>
      <c r="H452" s="733"/>
      <c r="I452" s="733"/>
      <c r="J452" s="733"/>
      <c r="K452" s="733"/>
      <c r="L452" s="733"/>
      <c r="M452" s="733"/>
    </row>
    <row r="453" spans="1:13" x14ac:dyDescent="0.3">
      <c r="A453" s="733" t="s">
        <v>970</v>
      </c>
      <c r="B453" s="733" t="s">
        <v>612</v>
      </c>
      <c r="C453" s="733" t="s">
        <v>982</v>
      </c>
      <c r="D453" s="733" t="s">
        <v>21</v>
      </c>
      <c r="E453" s="733" t="s">
        <v>614</v>
      </c>
      <c r="F453" s="733" t="s">
        <v>615</v>
      </c>
      <c r="G453" s="733"/>
      <c r="H453" s="733"/>
      <c r="I453" s="733"/>
      <c r="J453" s="733"/>
      <c r="K453" s="733"/>
      <c r="L453" s="733"/>
      <c r="M453" s="733"/>
    </row>
    <row r="454" spans="1:13" x14ac:dyDescent="0.3">
      <c r="A454" s="733" t="s">
        <v>970</v>
      </c>
      <c r="B454" s="733" t="s">
        <v>612</v>
      </c>
      <c r="C454" s="733" t="s">
        <v>983</v>
      </c>
      <c r="D454" s="733" t="s">
        <v>21</v>
      </c>
      <c r="E454" s="733" t="s">
        <v>614</v>
      </c>
      <c r="F454" s="733" t="s">
        <v>615</v>
      </c>
      <c r="G454" s="733"/>
      <c r="H454" s="733"/>
      <c r="I454" s="733"/>
      <c r="J454" s="733"/>
      <c r="K454" s="733"/>
      <c r="L454" s="733"/>
      <c r="M454" s="733"/>
    </row>
    <row r="455" spans="1:13" x14ac:dyDescent="0.3">
      <c r="A455" s="733" t="s">
        <v>970</v>
      </c>
      <c r="B455" s="733" t="s">
        <v>612</v>
      </c>
      <c r="C455" s="733" t="s">
        <v>984</v>
      </c>
      <c r="D455" s="733" t="s">
        <v>21</v>
      </c>
      <c r="E455" s="733" t="s">
        <v>614</v>
      </c>
      <c r="F455" s="733" t="s">
        <v>615</v>
      </c>
      <c r="G455" s="733"/>
      <c r="H455" s="733"/>
      <c r="I455" s="733"/>
      <c r="J455" s="733"/>
      <c r="K455" s="733"/>
      <c r="L455" s="733"/>
      <c r="M455" s="733"/>
    </row>
    <row r="456" spans="1:13" x14ac:dyDescent="0.3">
      <c r="A456" s="733" t="s">
        <v>970</v>
      </c>
      <c r="B456" s="733" t="s">
        <v>612</v>
      </c>
      <c r="C456" s="733" t="s">
        <v>985</v>
      </c>
      <c r="D456" s="733" t="s">
        <v>21</v>
      </c>
      <c r="E456" s="733" t="s">
        <v>614</v>
      </c>
      <c r="F456" s="733" t="s">
        <v>615</v>
      </c>
      <c r="G456" s="733"/>
      <c r="H456" s="733"/>
      <c r="I456" s="733"/>
      <c r="J456" s="733"/>
      <c r="K456" s="733"/>
      <c r="L456" s="733"/>
      <c r="M456" s="733"/>
    </row>
    <row r="457" spans="1:13" x14ac:dyDescent="0.3">
      <c r="A457" s="733" t="s">
        <v>970</v>
      </c>
      <c r="B457" s="733" t="s">
        <v>612</v>
      </c>
      <c r="C457" s="733" t="s">
        <v>986</v>
      </c>
      <c r="D457" s="733" t="s">
        <v>21</v>
      </c>
      <c r="E457" s="733" t="s">
        <v>614</v>
      </c>
      <c r="F457" s="733" t="s">
        <v>615</v>
      </c>
      <c r="G457" s="733"/>
      <c r="H457" s="733"/>
      <c r="I457" s="733"/>
      <c r="J457" s="733"/>
      <c r="K457" s="733"/>
      <c r="L457" s="733"/>
      <c r="M457" s="733"/>
    </row>
    <row r="458" spans="1:13" x14ac:dyDescent="0.3">
      <c r="A458" s="733" t="s">
        <v>970</v>
      </c>
      <c r="B458" s="733" t="s">
        <v>612</v>
      </c>
      <c r="C458" s="733" t="s">
        <v>987</v>
      </c>
      <c r="D458" s="733" t="s">
        <v>21</v>
      </c>
      <c r="E458" s="733" t="s">
        <v>614</v>
      </c>
      <c r="F458" s="733" t="s">
        <v>615</v>
      </c>
      <c r="G458" s="733"/>
      <c r="H458" s="733"/>
      <c r="I458" s="733"/>
      <c r="J458" s="733"/>
      <c r="K458" s="733"/>
      <c r="L458" s="733"/>
      <c r="M458" s="733"/>
    </row>
    <row r="459" spans="1:13" x14ac:dyDescent="0.3">
      <c r="A459" s="733" t="s">
        <v>970</v>
      </c>
      <c r="B459" s="733" t="s">
        <v>612</v>
      </c>
      <c r="C459" s="733" t="s">
        <v>988</v>
      </c>
      <c r="D459" s="733" t="s">
        <v>21</v>
      </c>
      <c r="E459" s="733" t="s">
        <v>614</v>
      </c>
      <c r="F459" s="733" t="s">
        <v>615</v>
      </c>
      <c r="G459" s="733"/>
      <c r="H459" s="733"/>
      <c r="I459" s="733"/>
      <c r="J459" s="733"/>
      <c r="K459" s="733"/>
      <c r="L459" s="733"/>
      <c r="M459" s="733"/>
    </row>
    <row r="460" spans="1:13" x14ac:dyDescent="0.3">
      <c r="A460" s="733" t="s">
        <v>970</v>
      </c>
      <c r="B460" s="733" t="s">
        <v>612</v>
      </c>
      <c r="C460" s="733" t="s">
        <v>989</v>
      </c>
      <c r="D460" s="733" t="s">
        <v>21</v>
      </c>
      <c r="E460" s="733" t="s">
        <v>614</v>
      </c>
      <c r="F460" s="733" t="s">
        <v>615</v>
      </c>
      <c r="G460" s="733"/>
      <c r="H460" s="733"/>
      <c r="I460" s="733"/>
      <c r="J460" s="733"/>
      <c r="K460" s="733"/>
      <c r="L460" s="733"/>
      <c r="M460" s="733"/>
    </row>
    <row r="461" spans="1:13" x14ac:dyDescent="0.3">
      <c r="A461" s="733" t="s">
        <v>970</v>
      </c>
      <c r="B461" s="733" t="s">
        <v>612</v>
      </c>
      <c r="C461" s="733" t="s">
        <v>990</v>
      </c>
      <c r="D461" s="733" t="s">
        <v>21</v>
      </c>
      <c r="E461" s="733" t="s">
        <v>614</v>
      </c>
      <c r="F461" s="733" t="s">
        <v>615</v>
      </c>
      <c r="G461" s="733"/>
      <c r="H461" s="733"/>
      <c r="I461" s="733"/>
      <c r="J461" s="733"/>
      <c r="K461" s="733"/>
      <c r="L461" s="733"/>
      <c r="M461" s="733"/>
    </row>
    <row r="462" spans="1:13" x14ac:dyDescent="0.3">
      <c r="A462" s="733" t="s">
        <v>970</v>
      </c>
      <c r="B462" s="733" t="s">
        <v>612</v>
      </c>
      <c r="C462" s="733" t="s">
        <v>991</v>
      </c>
      <c r="D462" s="733" t="s">
        <v>21</v>
      </c>
      <c r="E462" s="733" t="s">
        <v>614</v>
      </c>
      <c r="F462" s="733" t="s">
        <v>615</v>
      </c>
      <c r="G462" s="733"/>
      <c r="H462" s="733"/>
      <c r="I462" s="733"/>
      <c r="J462" s="733"/>
      <c r="K462" s="733"/>
      <c r="L462" s="733"/>
      <c r="M462" s="733"/>
    </row>
    <row r="463" spans="1:13" x14ac:dyDescent="0.3">
      <c r="A463" s="733" t="s">
        <v>970</v>
      </c>
      <c r="B463" s="733" t="s">
        <v>612</v>
      </c>
      <c r="C463" s="733" t="s">
        <v>992</v>
      </c>
      <c r="D463" s="733" t="s">
        <v>21</v>
      </c>
      <c r="E463" s="733" t="s">
        <v>614</v>
      </c>
      <c r="F463" s="733" t="s">
        <v>615</v>
      </c>
      <c r="G463" s="733"/>
      <c r="H463" s="733"/>
      <c r="I463" s="733"/>
      <c r="J463" s="733"/>
      <c r="K463" s="733"/>
      <c r="L463" s="733"/>
      <c r="M463" s="733"/>
    </row>
    <row r="464" spans="1:13" x14ac:dyDescent="0.3">
      <c r="A464" s="733" t="s">
        <v>970</v>
      </c>
      <c r="B464" s="733" t="s">
        <v>612</v>
      </c>
      <c r="C464" s="733" t="s">
        <v>993</v>
      </c>
      <c r="D464" s="733" t="s">
        <v>21</v>
      </c>
      <c r="E464" s="733" t="s">
        <v>614</v>
      </c>
      <c r="F464" s="733" t="s">
        <v>615</v>
      </c>
      <c r="G464" s="733"/>
      <c r="H464" s="733"/>
      <c r="I464" s="733"/>
      <c r="J464" s="733"/>
      <c r="K464" s="733"/>
      <c r="L464" s="733"/>
      <c r="M464" s="733"/>
    </row>
    <row r="465" spans="1:13" x14ac:dyDescent="0.3">
      <c r="A465" s="733" t="s">
        <v>970</v>
      </c>
      <c r="B465" s="733" t="s">
        <v>612</v>
      </c>
      <c r="C465" s="733" t="s">
        <v>994</v>
      </c>
      <c r="D465" s="733" t="s">
        <v>21</v>
      </c>
      <c r="E465" s="733" t="s">
        <v>614</v>
      </c>
      <c r="F465" s="733" t="s">
        <v>615</v>
      </c>
      <c r="G465" s="733"/>
      <c r="H465" s="733"/>
      <c r="I465" s="733"/>
      <c r="J465" s="733"/>
      <c r="K465" s="733"/>
      <c r="L465" s="733"/>
      <c r="M465" s="733"/>
    </row>
    <row r="466" spans="1:13" x14ac:dyDescent="0.3">
      <c r="A466" s="733" t="s">
        <v>970</v>
      </c>
      <c r="B466" s="733" t="s">
        <v>612</v>
      </c>
      <c r="C466" s="733" t="s">
        <v>995</v>
      </c>
      <c r="D466" s="733" t="s">
        <v>21</v>
      </c>
      <c r="E466" s="733" t="s">
        <v>614</v>
      </c>
      <c r="F466" s="733" t="s">
        <v>615</v>
      </c>
      <c r="G466" s="733"/>
      <c r="H466" s="733"/>
      <c r="I466" s="733"/>
      <c r="J466" s="733"/>
      <c r="K466" s="733"/>
      <c r="L466" s="733"/>
      <c r="M466" s="733"/>
    </row>
    <row r="467" spans="1:13" x14ac:dyDescent="0.3">
      <c r="A467" s="733" t="s">
        <v>970</v>
      </c>
      <c r="B467" s="733" t="s">
        <v>612</v>
      </c>
      <c r="C467" s="733" t="s">
        <v>996</v>
      </c>
      <c r="D467" s="733" t="s">
        <v>21</v>
      </c>
      <c r="E467" s="733" t="s">
        <v>614</v>
      </c>
      <c r="F467" s="733" t="s">
        <v>615</v>
      </c>
      <c r="G467" s="733"/>
      <c r="H467" s="733"/>
      <c r="I467" s="733"/>
      <c r="J467" s="733"/>
      <c r="K467" s="733"/>
      <c r="L467" s="733"/>
      <c r="M467" s="733"/>
    </row>
    <row r="468" spans="1:13" x14ac:dyDescent="0.3">
      <c r="A468" s="733" t="s">
        <v>970</v>
      </c>
      <c r="B468" s="733" t="s">
        <v>612</v>
      </c>
      <c r="C468" s="733" t="s">
        <v>997</v>
      </c>
      <c r="D468" s="733" t="s">
        <v>21</v>
      </c>
      <c r="E468" s="733" t="s">
        <v>614</v>
      </c>
      <c r="F468" s="733" t="s">
        <v>615</v>
      </c>
      <c r="G468" s="733"/>
      <c r="H468" s="733"/>
      <c r="I468" s="733"/>
      <c r="J468" s="733"/>
      <c r="K468" s="733"/>
      <c r="L468" s="733"/>
      <c r="M468" s="733"/>
    </row>
    <row r="469" spans="1:13" x14ac:dyDescent="0.3">
      <c r="A469" s="733" t="s">
        <v>970</v>
      </c>
      <c r="B469" s="733" t="s">
        <v>612</v>
      </c>
      <c r="C469" s="733" t="s">
        <v>998</v>
      </c>
      <c r="D469" s="733" t="s">
        <v>21</v>
      </c>
      <c r="E469" s="733" t="s">
        <v>614</v>
      </c>
      <c r="F469" s="733" t="s">
        <v>615</v>
      </c>
      <c r="G469" s="733"/>
      <c r="H469" s="733"/>
      <c r="I469" s="733"/>
      <c r="J469" s="733"/>
      <c r="K469" s="733"/>
      <c r="L469" s="733"/>
      <c r="M469" s="733"/>
    </row>
    <row r="470" spans="1:13" x14ac:dyDescent="0.3">
      <c r="A470" s="733" t="s">
        <v>970</v>
      </c>
      <c r="B470" s="733" t="s">
        <v>612</v>
      </c>
      <c r="C470" s="733" t="s">
        <v>999</v>
      </c>
      <c r="D470" s="733" t="s">
        <v>21</v>
      </c>
      <c r="E470" s="733" t="s">
        <v>614</v>
      </c>
      <c r="F470" s="733" t="s">
        <v>615</v>
      </c>
      <c r="G470" s="733"/>
      <c r="H470" s="733"/>
      <c r="I470" s="733"/>
      <c r="J470" s="733"/>
      <c r="K470" s="733"/>
      <c r="L470" s="733"/>
      <c r="M470" s="733"/>
    </row>
    <row r="471" spans="1:13" x14ac:dyDescent="0.3">
      <c r="A471" s="733" t="s">
        <v>970</v>
      </c>
      <c r="B471" s="733" t="s">
        <v>612</v>
      </c>
      <c r="C471" s="733" t="s">
        <v>1000</v>
      </c>
      <c r="D471" s="733" t="s">
        <v>21</v>
      </c>
      <c r="E471" s="733" t="s">
        <v>614</v>
      </c>
      <c r="F471" s="733" t="s">
        <v>615</v>
      </c>
      <c r="G471" s="733"/>
      <c r="H471" s="733"/>
      <c r="I471" s="733"/>
      <c r="J471" s="733"/>
      <c r="K471" s="733"/>
      <c r="L471" s="733"/>
      <c r="M471" s="733"/>
    </row>
    <row r="472" spans="1:13" x14ac:dyDescent="0.3">
      <c r="A472" s="733" t="s">
        <v>970</v>
      </c>
      <c r="B472" s="733" t="s">
        <v>612</v>
      </c>
      <c r="C472" s="733" t="s">
        <v>1001</v>
      </c>
      <c r="D472" s="733" t="s">
        <v>21</v>
      </c>
      <c r="E472" s="733" t="s">
        <v>614</v>
      </c>
      <c r="F472" s="733" t="s">
        <v>615</v>
      </c>
      <c r="G472" s="733"/>
      <c r="H472" s="733"/>
      <c r="I472" s="733"/>
      <c r="J472" s="733"/>
      <c r="K472" s="733"/>
      <c r="L472" s="733"/>
      <c r="M472" s="733"/>
    </row>
    <row r="473" spans="1:13" x14ac:dyDescent="0.3">
      <c r="A473" s="733" t="s">
        <v>970</v>
      </c>
      <c r="B473" s="733" t="s">
        <v>612</v>
      </c>
      <c r="C473" s="733" t="s">
        <v>1002</v>
      </c>
      <c r="D473" s="733" t="s">
        <v>21</v>
      </c>
      <c r="E473" s="733" t="s">
        <v>614</v>
      </c>
      <c r="F473" s="733" t="s">
        <v>615</v>
      </c>
      <c r="G473" s="733"/>
      <c r="H473" s="733"/>
      <c r="I473" s="733"/>
      <c r="J473" s="733"/>
      <c r="K473" s="733"/>
      <c r="L473" s="733"/>
      <c r="M473" s="733"/>
    </row>
    <row r="474" spans="1:13" x14ac:dyDescent="0.3">
      <c r="A474" s="733" t="s">
        <v>970</v>
      </c>
      <c r="B474" s="733" t="s">
        <v>612</v>
      </c>
      <c r="C474" s="733" t="s">
        <v>1003</v>
      </c>
      <c r="D474" s="733" t="s">
        <v>21</v>
      </c>
      <c r="E474" s="733" t="s">
        <v>614</v>
      </c>
      <c r="F474" s="733" t="s">
        <v>615</v>
      </c>
      <c r="G474" s="733"/>
      <c r="H474" s="733"/>
      <c r="I474" s="733"/>
      <c r="J474" s="733"/>
      <c r="K474" s="733"/>
      <c r="L474" s="733"/>
      <c r="M474" s="733"/>
    </row>
    <row r="475" spans="1:13" x14ac:dyDescent="0.3">
      <c r="A475" s="733" t="s">
        <v>970</v>
      </c>
      <c r="B475" s="733" t="s">
        <v>612</v>
      </c>
      <c r="C475" s="733" t="s">
        <v>1004</v>
      </c>
      <c r="D475" s="733" t="s">
        <v>21</v>
      </c>
      <c r="E475" s="733" t="s">
        <v>614</v>
      </c>
      <c r="F475" s="733" t="s">
        <v>615</v>
      </c>
      <c r="G475" s="733"/>
      <c r="H475" s="733"/>
      <c r="I475" s="733"/>
      <c r="J475" s="733"/>
      <c r="K475" s="733"/>
      <c r="L475" s="733"/>
      <c r="M475" s="733"/>
    </row>
    <row r="476" spans="1:13" x14ac:dyDescent="0.3">
      <c r="A476" s="733" t="s">
        <v>970</v>
      </c>
      <c r="B476" s="733" t="s">
        <v>612</v>
      </c>
      <c r="C476" s="733" t="s">
        <v>1005</v>
      </c>
      <c r="D476" s="733" t="s">
        <v>21</v>
      </c>
      <c r="E476" s="733" t="s">
        <v>614</v>
      </c>
      <c r="F476" s="733" t="s">
        <v>615</v>
      </c>
      <c r="G476" s="733"/>
      <c r="H476" s="733"/>
      <c r="I476" s="733"/>
      <c r="J476" s="733"/>
      <c r="K476" s="733"/>
      <c r="L476" s="733"/>
      <c r="M476" s="733"/>
    </row>
    <row r="477" spans="1:13" x14ac:dyDescent="0.3">
      <c r="A477" s="733" t="s">
        <v>970</v>
      </c>
      <c r="B477" s="733" t="s">
        <v>612</v>
      </c>
      <c r="C477" s="733" t="s">
        <v>1006</v>
      </c>
      <c r="D477" s="733" t="s">
        <v>21</v>
      </c>
      <c r="E477" s="733" t="s">
        <v>614</v>
      </c>
      <c r="F477" s="733" t="s">
        <v>615</v>
      </c>
      <c r="G477" s="733"/>
      <c r="H477" s="733"/>
      <c r="I477" s="733"/>
      <c r="J477" s="733"/>
      <c r="K477" s="733"/>
      <c r="L477" s="733"/>
      <c r="M477" s="733"/>
    </row>
    <row r="478" spans="1:13" x14ac:dyDescent="0.3">
      <c r="A478" s="733" t="s">
        <v>970</v>
      </c>
      <c r="B478" s="733" t="s">
        <v>645</v>
      </c>
      <c r="C478" s="733" t="s">
        <v>1007</v>
      </c>
      <c r="D478" s="733" t="s">
        <v>21</v>
      </c>
      <c r="E478" s="733" t="s">
        <v>614</v>
      </c>
      <c r="F478" s="733" t="s">
        <v>615</v>
      </c>
      <c r="G478" s="733"/>
      <c r="H478" s="733"/>
      <c r="I478" s="733"/>
      <c r="J478" s="733"/>
      <c r="K478" s="733"/>
      <c r="L478" s="733"/>
      <c r="M478" s="733"/>
    </row>
    <row r="479" spans="1:13" x14ac:dyDescent="0.3">
      <c r="A479" s="733" t="s">
        <v>970</v>
      </c>
      <c r="B479" s="733" t="s">
        <v>645</v>
      </c>
      <c r="C479" s="733" t="s">
        <v>1008</v>
      </c>
      <c r="D479" s="733" t="s">
        <v>21</v>
      </c>
      <c r="E479" s="733" t="s">
        <v>614</v>
      </c>
      <c r="F479" s="733" t="s">
        <v>615</v>
      </c>
      <c r="G479" s="733"/>
      <c r="H479" s="733"/>
      <c r="I479" s="733"/>
      <c r="J479" s="733"/>
      <c r="K479" s="733"/>
      <c r="L479" s="733"/>
      <c r="M479" s="733"/>
    </row>
    <row r="480" spans="1:13" x14ac:dyDescent="0.3">
      <c r="A480" s="733" t="s">
        <v>970</v>
      </c>
      <c r="B480" s="733" t="s">
        <v>645</v>
      </c>
      <c r="C480" s="733" t="s">
        <v>1009</v>
      </c>
      <c r="D480" s="733" t="s">
        <v>21</v>
      </c>
      <c r="E480" s="733" t="s">
        <v>614</v>
      </c>
      <c r="F480" s="733" t="s">
        <v>615</v>
      </c>
      <c r="G480" s="733"/>
      <c r="H480" s="733"/>
      <c r="I480" s="733"/>
      <c r="J480" s="733"/>
      <c r="K480" s="733"/>
      <c r="L480" s="733"/>
      <c r="M480" s="733"/>
    </row>
    <row r="481" spans="1:13" x14ac:dyDescent="0.3">
      <c r="A481" s="733" t="s">
        <v>970</v>
      </c>
      <c r="B481" s="733" t="s">
        <v>645</v>
      </c>
      <c r="C481" s="733" t="s">
        <v>1010</v>
      </c>
      <c r="D481" s="733" t="s">
        <v>21</v>
      </c>
      <c r="E481" s="733" t="s">
        <v>614</v>
      </c>
      <c r="F481" s="733" t="s">
        <v>615</v>
      </c>
      <c r="G481" s="733"/>
      <c r="H481" s="733"/>
      <c r="I481" s="733"/>
      <c r="J481" s="733"/>
      <c r="K481" s="733"/>
      <c r="L481" s="733"/>
      <c r="M481" s="733"/>
    </row>
    <row r="482" spans="1:13" x14ac:dyDescent="0.3">
      <c r="A482" s="733" t="s">
        <v>970</v>
      </c>
      <c r="B482" s="733" t="s">
        <v>645</v>
      </c>
      <c r="C482" s="733" t="s">
        <v>1011</v>
      </c>
      <c r="D482" s="733" t="s">
        <v>21</v>
      </c>
      <c r="E482" s="733" t="s">
        <v>614</v>
      </c>
      <c r="F482" s="733" t="s">
        <v>615</v>
      </c>
      <c r="G482" s="733"/>
      <c r="H482" s="733"/>
      <c r="I482" s="733"/>
      <c r="J482" s="733"/>
      <c r="K482" s="733"/>
      <c r="L482" s="733"/>
      <c r="M482" s="733"/>
    </row>
    <row r="483" spans="1:13" x14ac:dyDescent="0.3">
      <c r="A483" s="733" t="s">
        <v>970</v>
      </c>
      <c r="B483" s="733" t="s">
        <v>645</v>
      </c>
      <c r="C483" s="733" t="s">
        <v>1012</v>
      </c>
      <c r="D483" s="733" t="s">
        <v>21</v>
      </c>
      <c r="E483" s="733" t="s">
        <v>614</v>
      </c>
      <c r="F483" s="733" t="s">
        <v>615</v>
      </c>
      <c r="G483" s="733"/>
      <c r="H483" s="733"/>
      <c r="I483" s="733"/>
      <c r="J483" s="733"/>
      <c r="K483" s="733"/>
      <c r="L483" s="733"/>
      <c r="M483" s="733"/>
    </row>
    <row r="484" spans="1:13" x14ac:dyDescent="0.3">
      <c r="A484" s="733" t="s">
        <v>970</v>
      </c>
      <c r="B484" s="733" t="s">
        <v>645</v>
      </c>
      <c r="C484" s="733" t="s">
        <v>1013</v>
      </c>
      <c r="D484" s="733" t="s">
        <v>21</v>
      </c>
      <c r="E484" s="733" t="s">
        <v>614</v>
      </c>
      <c r="F484" s="733" t="s">
        <v>615</v>
      </c>
      <c r="G484" s="733"/>
      <c r="H484" s="733"/>
      <c r="I484" s="733"/>
      <c r="J484" s="733"/>
      <c r="K484" s="733"/>
      <c r="L484" s="733"/>
      <c r="M484" s="733"/>
    </row>
    <row r="485" spans="1:13" x14ac:dyDescent="0.3">
      <c r="A485" s="733" t="s">
        <v>970</v>
      </c>
      <c r="B485" s="733" t="s">
        <v>645</v>
      </c>
      <c r="C485" s="733" t="s">
        <v>1014</v>
      </c>
      <c r="D485" s="733" t="s">
        <v>21</v>
      </c>
      <c r="E485" s="733" t="s">
        <v>614</v>
      </c>
      <c r="F485" s="733" t="s">
        <v>615</v>
      </c>
      <c r="G485" s="733"/>
      <c r="H485" s="733"/>
      <c r="I485" s="733"/>
      <c r="J485" s="733"/>
      <c r="K485" s="733"/>
      <c r="L485" s="733"/>
      <c r="M485" s="733"/>
    </row>
    <row r="486" spans="1:13" x14ac:dyDescent="0.3">
      <c r="A486" s="733" t="s">
        <v>970</v>
      </c>
      <c r="B486" s="733" t="s">
        <v>645</v>
      </c>
      <c r="C486" s="733" t="s">
        <v>1015</v>
      </c>
      <c r="D486" s="733" t="s">
        <v>21</v>
      </c>
      <c r="E486" s="733" t="s">
        <v>614</v>
      </c>
      <c r="F486" s="733" t="s">
        <v>615</v>
      </c>
      <c r="G486" s="733"/>
      <c r="H486" s="733"/>
      <c r="I486" s="733"/>
      <c r="J486" s="733"/>
      <c r="K486" s="733"/>
      <c r="L486" s="733"/>
      <c r="M486" s="733"/>
    </row>
    <row r="487" spans="1:13" x14ac:dyDescent="0.3">
      <c r="A487" s="733" t="s">
        <v>1016</v>
      </c>
      <c r="B487" s="733" t="s">
        <v>612</v>
      </c>
      <c r="C487" s="733" t="s">
        <v>911</v>
      </c>
      <c r="D487" s="733" t="s">
        <v>21</v>
      </c>
      <c r="E487" s="733" t="s">
        <v>614</v>
      </c>
      <c r="F487" s="733" t="s">
        <v>615</v>
      </c>
      <c r="G487" s="733"/>
      <c r="H487" s="733"/>
      <c r="I487" s="733"/>
      <c r="J487" s="733"/>
      <c r="K487" s="733"/>
      <c r="L487" s="733"/>
      <c r="M487" s="733"/>
    </row>
    <row r="488" spans="1:13" x14ac:dyDescent="0.3">
      <c r="A488" s="733" t="s">
        <v>1016</v>
      </c>
      <c r="B488" s="733" t="s">
        <v>645</v>
      </c>
      <c r="C488" s="733" t="s">
        <v>1017</v>
      </c>
      <c r="D488" s="733" t="s">
        <v>21</v>
      </c>
      <c r="E488" s="733" t="s">
        <v>614</v>
      </c>
      <c r="F488" s="733" t="s">
        <v>615</v>
      </c>
      <c r="G488" s="733"/>
      <c r="H488" s="733"/>
      <c r="I488" s="733"/>
      <c r="J488" s="733"/>
      <c r="K488" s="733"/>
      <c r="L488" s="733"/>
      <c r="M488" s="733"/>
    </row>
    <row r="489" spans="1:13" x14ac:dyDescent="0.3">
      <c r="A489" s="733" t="s">
        <v>1016</v>
      </c>
      <c r="B489" s="733" t="s">
        <v>645</v>
      </c>
      <c r="C489" s="733" t="s">
        <v>1018</v>
      </c>
      <c r="D489" s="733" t="s">
        <v>21</v>
      </c>
      <c r="E489" s="733" t="s">
        <v>614</v>
      </c>
      <c r="F489" s="733" t="s">
        <v>615</v>
      </c>
      <c r="G489" s="733"/>
      <c r="H489" s="733"/>
      <c r="I489" s="733"/>
      <c r="J489" s="733"/>
      <c r="K489" s="733"/>
      <c r="L489" s="733"/>
      <c r="M489" s="733"/>
    </row>
    <row r="490" spans="1:13" x14ac:dyDescent="0.3">
      <c r="A490" s="733" t="s">
        <v>1016</v>
      </c>
      <c r="B490" s="733" t="s">
        <v>645</v>
      </c>
      <c r="C490" s="733" t="s">
        <v>919</v>
      </c>
      <c r="D490" s="733" t="s">
        <v>21</v>
      </c>
      <c r="E490" s="733" t="s">
        <v>614</v>
      </c>
      <c r="F490" s="733" t="s">
        <v>615</v>
      </c>
      <c r="G490" s="733"/>
      <c r="H490" s="733"/>
      <c r="I490" s="733"/>
      <c r="J490" s="733"/>
      <c r="K490" s="733"/>
      <c r="L490" s="733"/>
      <c r="M490" s="733"/>
    </row>
    <row r="491" spans="1:13" x14ac:dyDescent="0.3">
      <c r="A491" s="733" t="s">
        <v>1016</v>
      </c>
      <c r="B491" s="733" t="s">
        <v>664</v>
      </c>
      <c r="C491" s="733" t="s">
        <v>1019</v>
      </c>
      <c r="D491" s="733" t="s">
        <v>21</v>
      </c>
      <c r="E491" s="733" t="s">
        <v>614</v>
      </c>
      <c r="F491" s="733" t="s">
        <v>615</v>
      </c>
      <c r="G491" s="733"/>
      <c r="H491" s="733"/>
      <c r="I491" s="733"/>
      <c r="J491" s="733"/>
      <c r="K491" s="733"/>
      <c r="L491" s="733"/>
      <c r="M491" s="733"/>
    </row>
    <row r="492" spans="1:13" x14ac:dyDescent="0.3">
      <c r="A492" s="733" t="s">
        <v>1020</v>
      </c>
      <c r="B492" s="733" t="s">
        <v>612</v>
      </c>
      <c r="C492" s="733" t="s">
        <v>1021</v>
      </c>
      <c r="D492" s="733" t="s">
        <v>21</v>
      </c>
      <c r="E492" s="761"/>
      <c r="F492" s="761"/>
      <c r="G492" s="733"/>
      <c r="H492" s="733"/>
      <c r="I492" s="733"/>
      <c r="J492" s="733"/>
      <c r="K492" s="733"/>
      <c r="L492" s="733"/>
      <c r="M492" s="733"/>
    </row>
    <row r="493" spans="1:13" x14ac:dyDescent="0.3">
      <c r="A493" s="733" t="s">
        <v>1020</v>
      </c>
      <c r="B493" s="733" t="s">
        <v>612</v>
      </c>
      <c r="C493" s="733" t="s">
        <v>1022</v>
      </c>
      <c r="D493" s="733" t="s">
        <v>21</v>
      </c>
      <c r="E493" s="761"/>
      <c r="F493" s="761"/>
      <c r="G493" s="733"/>
      <c r="H493" s="733"/>
      <c r="I493" s="733"/>
      <c r="J493" s="733"/>
      <c r="K493" s="733"/>
      <c r="L493" s="733"/>
      <c r="M493" s="733"/>
    </row>
    <row r="494" spans="1:13" x14ac:dyDescent="0.3">
      <c r="A494" s="733" t="s">
        <v>1020</v>
      </c>
      <c r="B494" s="733" t="s">
        <v>612</v>
      </c>
      <c r="C494" s="733" t="s">
        <v>1023</v>
      </c>
      <c r="D494" s="733" t="s">
        <v>21</v>
      </c>
      <c r="E494" s="761"/>
      <c r="F494" s="761"/>
      <c r="G494" s="733"/>
      <c r="H494" s="733"/>
      <c r="I494" s="733"/>
      <c r="J494" s="733"/>
      <c r="K494" s="733"/>
      <c r="L494" s="733"/>
      <c r="M494" s="733"/>
    </row>
    <row r="495" spans="1:13" x14ac:dyDescent="0.3">
      <c r="A495" s="733" t="s">
        <v>1020</v>
      </c>
      <c r="B495" s="733" t="s">
        <v>612</v>
      </c>
      <c r="C495" s="733" t="s">
        <v>1024</v>
      </c>
      <c r="D495" s="733" t="s">
        <v>21</v>
      </c>
      <c r="E495" s="761"/>
      <c r="F495" s="761"/>
      <c r="G495" s="733"/>
      <c r="H495" s="733"/>
      <c r="I495" s="733"/>
      <c r="J495" s="733"/>
      <c r="K495" s="733"/>
      <c r="L495" s="733"/>
      <c r="M495" s="733"/>
    </row>
    <row r="496" spans="1:13" x14ac:dyDescent="0.3">
      <c r="A496" s="733" t="s">
        <v>1020</v>
      </c>
      <c r="B496" s="733" t="s">
        <v>612</v>
      </c>
      <c r="C496" s="733" t="s">
        <v>1025</v>
      </c>
      <c r="D496" s="733" t="s">
        <v>21</v>
      </c>
      <c r="E496" s="761"/>
      <c r="F496" s="761"/>
      <c r="G496" s="733"/>
      <c r="H496" s="733"/>
      <c r="I496" s="733"/>
      <c r="J496" s="733"/>
      <c r="K496" s="733"/>
      <c r="L496" s="733"/>
      <c r="M496" s="733"/>
    </row>
    <row r="497" spans="1:13" x14ac:dyDescent="0.3">
      <c r="A497" s="733" t="s">
        <v>1020</v>
      </c>
      <c r="B497" s="733" t="s">
        <v>645</v>
      </c>
      <c r="C497" s="733" t="s">
        <v>1026</v>
      </c>
      <c r="D497" s="733" t="s">
        <v>21</v>
      </c>
      <c r="E497" s="761"/>
      <c r="F497" s="761"/>
      <c r="G497" s="733"/>
      <c r="H497" s="733"/>
      <c r="I497" s="733"/>
      <c r="J497" s="733"/>
      <c r="K497" s="733"/>
      <c r="L497" s="733"/>
      <c r="M497" s="733"/>
    </row>
    <row r="498" spans="1:13" x14ac:dyDescent="0.3">
      <c r="A498" s="733" t="s">
        <v>1020</v>
      </c>
      <c r="B498" s="733" t="s">
        <v>645</v>
      </c>
      <c r="C498" s="733" t="s">
        <v>1027</v>
      </c>
      <c r="D498" s="733" t="s">
        <v>21</v>
      </c>
      <c r="E498" s="761"/>
      <c r="F498" s="761"/>
      <c r="G498" s="733"/>
      <c r="H498" s="733"/>
      <c r="I498" s="733"/>
      <c r="J498" s="733"/>
      <c r="K498" s="733"/>
      <c r="L498" s="733"/>
      <c r="M498" s="733"/>
    </row>
    <row r="499" spans="1:13" x14ac:dyDescent="0.3">
      <c r="A499" s="733" t="s">
        <v>1020</v>
      </c>
      <c r="B499" s="733" t="s">
        <v>645</v>
      </c>
      <c r="C499" s="733" t="s">
        <v>1028</v>
      </c>
      <c r="D499" s="733" t="s">
        <v>21</v>
      </c>
      <c r="E499" s="761"/>
      <c r="F499" s="761"/>
      <c r="G499" s="733"/>
      <c r="H499" s="733"/>
      <c r="I499" s="733"/>
      <c r="J499" s="733"/>
      <c r="K499" s="733"/>
      <c r="L499" s="733"/>
      <c r="M499" s="733"/>
    </row>
    <row r="500" spans="1:13" x14ac:dyDescent="0.3">
      <c r="A500" s="733" t="s">
        <v>1020</v>
      </c>
      <c r="B500" s="733" t="s">
        <v>645</v>
      </c>
      <c r="C500" s="733" t="s">
        <v>1029</v>
      </c>
      <c r="D500" s="733" t="s">
        <v>21</v>
      </c>
      <c r="E500" s="761"/>
      <c r="F500" s="761"/>
      <c r="G500" s="733"/>
      <c r="H500" s="733"/>
      <c r="I500" s="733"/>
      <c r="J500" s="733"/>
      <c r="K500" s="733"/>
      <c r="L500" s="733"/>
      <c r="M500" s="733"/>
    </row>
    <row r="501" spans="1:13" x14ac:dyDescent="0.3">
      <c r="A501" s="733" t="s">
        <v>1020</v>
      </c>
      <c r="B501" s="733" t="s">
        <v>645</v>
      </c>
      <c r="C501" s="733" t="s">
        <v>1030</v>
      </c>
      <c r="D501" s="733" t="s">
        <v>21</v>
      </c>
      <c r="E501" s="761"/>
      <c r="F501" s="761"/>
      <c r="G501" s="733"/>
      <c r="H501" s="733"/>
      <c r="I501" s="733"/>
      <c r="J501" s="733"/>
      <c r="K501" s="733"/>
      <c r="L501" s="733"/>
      <c r="M501" s="733"/>
    </row>
    <row r="502" spans="1:13" x14ac:dyDescent="0.3">
      <c r="A502" s="733" t="s">
        <v>1020</v>
      </c>
      <c r="B502" s="733" t="s">
        <v>664</v>
      </c>
      <c r="C502" s="733" t="s">
        <v>1031</v>
      </c>
      <c r="D502" s="733" t="s">
        <v>21</v>
      </c>
      <c r="E502" s="761"/>
      <c r="F502" s="761"/>
      <c r="G502" s="733"/>
      <c r="H502" s="733"/>
      <c r="I502" s="733"/>
      <c r="J502" s="733"/>
      <c r="K502" s="733"/>
      <c r="L502" s="733"/>
      <c r="M502" s="733"/>
    </row>
    <row r="503" spans="1:13" x14ac:dyDescent="0.3">
      <c r="A503" s="733" t="s">
        <v>1020</v>
      </c>
      <c r="B503" s="733" t="s">
        <v>664</v>
      </c>
      <c r="C503" s="733" t="s">
        <v>1032</v>
      </c>
      <c r="D503" s="733" t="s">
        <v>21</v>
      </c>
      <c r="E503" s="761"/>
      <c r="F503" s="761"/>
      <c r="G503" s="733"/>
      <c r="H503" s="733"/>
      <c r="I503" s="733"/>
      <c r="J503" s="733"/>
      <c r="K503" s="733"/>
      <c r="L503" s="733"/>
      <c r="M503" s="733"/>
    </row>
    <row r="504" spans="1:13" x14ac:dyDescent="0.3">
      <c r="A504" s="733" t="s">
        <v>1020</v>
      </c>
      <c r="B504" s="733" t="s">
        <v>664</v>
      </c>
      <c r="C504" s="733" t="s">
        <v>1033</v>
      </c>
      <c r="D504" s="733" t="s">
        <v>21</v>
      </c>
      <c r="E504" s="761"/>
      <c r="F504" s="761"/>
      <c r="G504" s="733"/>
      <c r="H504" s="733"/>
      <c r="I504" s="733"/>
      <c r="J504" s="733"/>
      <c r="K504" s="733"/>
      <c r="L504" s="733"/>
      <c r="M504" s="733"/>
    </row>
    <row r="505" spans="1:13" x14ac:dyDescent="0.3">
      <c r="A505" s="733" t="s">
        <v>1020</v>
      </c>
      <c r="B505" s="733" t="s">
        <v>664</v>
      </c>
      <c r="C505" s="733" t="s">
        <v>1034</v>
      </c>
      <c r="D505" s="733" t="s">
        <v>21</v>
      </c>
      <c r="E505" s="761"/>
      <c r="F505" s="761"/>
      <c r="G505" s="733"/>
      <c r="H505" s="733"/>
      <c r="I505" s="733"/>
      <c r="J505" s="733"/>
      <c r="K505" s="733"/>
      <c r="L505" s="733"/>
      <c r="M505" s="733"/>
    </row>
    <row r="506" spans="1:13" x14ac:dyDescent="0.3">
      <c r="A506" s="733" t="s">
        <v>1020</v>
      </c>
      <c r="B506" s="733" t="s">
        <v>664</v>
      </c>
      <c r="C506" s="733" t="s">
        <v>1035</v>
      </c>
      <c r="D506" s="733" t="s">
        <v>21</v>
      </c>
      <c r="E506" s="761"/>
      <c r="F506" s="761"/>
      <c r="G506" s="733"/>
      <c r="H506" s="733"/>
      <c r="I506" s="733"/>
      <c r="J506" s="733"/>
      <c r="K506" s="733"/>
      <c r="L506" s="733"/>
      <c r="M506" s="733"/>
    </row>
    <row r="507" spans="1:13" x14ac:dyDescent="0.3">
      <c r="A507" s="733" t="s">
        <v>1036</v>
      </c>
      <c r="B507" s="733" t="s">
        <v>612</v>
      </c>
      <c r="C507" s="733" t="s">
        <v>1037</v>
      </c>
      <c r="D507" s="733" t="s">
        <v>21</v>
      </c>
      <c r="E507" s="761"/>
      <c r="F507" s="761"/>
      <c r="G507" s="733"/>
      <c r="H507" s="733"/>
      <c r="I507" s="733"/>
      <c r="J507" s="733"/>
      <c r="K507" s="733"/>
      <c r="L507" s="733"/>
      <c r="M507" s="733"/>
    </row>
    <row r="508" spans="1:13" x14ac:dyDescent="0.3">
      <c r="A508" s="733" t="s">
        <v>1036</v>
      </c>
      <c r="B508" s="733" t="s">
        <v>612</v>
      </c>
      <c r="C508" s="733" t="s">
        <v>1038</v>
      </c>
      <c r="D508" s="733" t="s">
        <v>21</v>
      </c>
      <c r="E508" s="761"/>
      <c r="F508" s="761"/>
      <c r="G508" s="733"/>
      <c r="H508" s="733"/>
      <c r="I508" s="733"/>
      <c r="J508" s="733"/>
      <c r="K508" s="733"/>
      <c r="L508" s="733"/>
      <c r="M508" s="733"/>
    </row>
    <row r="509" spans="1:13" x14ac:dyDescent="0.3">
      <c r="A509" s="733" t="s">
        <v>1036</v>
      </c>
      <c r="B509" s="733" t="s">
        <v>612</v>
      </c>
      <c r="C509" s="733" t="s">
        <v>1039</v>
      </c>
      <c r="D509" s="733" t="s">
        <v>21</v>
      </c>
      <c r="E509" s="761"/>
      <c r="F509" s="761"/>
      <c r="G509" s="733"/>
      <c r="H509" s="733"/>
      <c r="I509" s="733"/>
      <c r="J509" s="733"/>
      <c r="K509" s="733"/>
      <c r="L509" s="733"/>
      <c r="M509" s="733"/>
    </row>
    <row r="510" spans="1:13" x14ac:dyDescent="0.3">
      <c r="A510" s="733" t="s">
        <v>1036</v>
      </c>
      <c r="B510" s="733" t="s">
        <v>612</v>
      </c>
      <c r="C510" s="733" t="s">
        <v>1040</v>
      </c>
      <c r="D510" s="733" t="s">
        <v>21</v>
      </c>
      <c r="E510" s="761"/>
      <c r="F510" s="761"/>
      <c r="G510" s="733"/>
      <c r="H510" s="733"/>
      <c r="I510" s="733"/>
      <c r="J510" s="733"/>
      <c r="K510" s="733"/>
      <c r="L510" s="733"/>
      <c r="M510" s="733"/>
    </row>
    <row r="511" spans="1:13" x14ac:dyDescent="0.3">
      <c r="A511" s="733" t="s">
        <v>1036</v>
      </c>
      <c r="B511" s="733" t="s">
        <v>612</v>
      </c>
      <c r="C511" s="733" t="s">
        <v>1041</v>
      </c>
      <c r="D511" s="733" t="s">
        <v>21</v>
      </c>
      <c r="E511" s="761"/>
      <c r="F511" s="761"/>
      <c r="G511" s="733"/>
      <c r="H511" s="733"/>
      <c r="I511" s="733"/>
      <c r="J511" s="733"/>
      <c r="K511" s="733"/>
      <c r="L511" s="733"/>
      <c r="M511" s="733"/>
    </row>
    <row r="512" spans="1:13" x14ac:dyDescent="0.3">
      <c r="A512" s="733" t="s">
        <v>1036</v>
      </c>
      <c r="B512" s="733" t="s">
        <v>645</v>
      </c>
      <c r="C512" s="733" t="s">
        <v>1042</v>
      </c>
      <c r="D512" s="733" t="s">
        <v>21</v>
      </c>
      <c r="E512" s="761"/>
      <c r="F512" s="761"/>
      <c r="G512" s="733"/>
      <c r="H512" s="733"/>
      <c r="I512" s="733"/>
      <c r="J512" s="733"/>
      <c r="K512" s="733"/>
      <c r="L512" s="733"/>
      <c r="M512" s="733"/>
    </row>
    <row r="513" spans="1:13" x14ac:dyDescent="0.3">
      <c r="A513" s="733" t="s">
        <v>1036</v>
      </c>
      <c r="B513" s="733" t="s">
        <v>645</v>
      </c>
      <c r="C513" s="733" t="s">
        <v>1043</v>
      </c>
      <c r="D513" s="733" t="s">
        <v>21</v>
      </c>
      <c r="E513" s="761"/>
      <c r="F513" s="761"/>
      <c r="G513" s="733"/>
      <c r="H513" s="733"/>
      <c r="I513" s="733"/>
      <c r="J513" s="733"/>
      <c r="K513" s="733"/>
      <c r="L513" s="733"/>
      <c r="M513" s="733"/>
    </row>
    <row r="514" spans="1:13" x14ac:dyDescent="0.3">
      <c r="A514" s="733" t="s">
        <v>1036</v>
      </c>
      <c r="B514" s="733" t="s">
        <v>645</v>
      </c>
      <c r="C514" s="733" t="s">
        <v>1044</v>
      </c>
      <c r="D514" s="733" t="s">
        <v>21</v>
      </c>
      <c r="E514" s="761"/>
      <c r="F514" s="761"/>
      <c r="G514" s="733"/>
      <c r="H514" s="733"/>
      <c r="I514" s="733"/>
      <c r="J514" s="733"/>
      <c r="K514" s="733"/>
      <c r="L514" s="733"/>
      <c r="M514" s="733"/>
    </row>
    <row r="515" spans="1:13" x14ac:dyDescent="0.3">
      <c r="A515" s="733" t="s">
        <v>1036</v>
      </c>
      <c r="B515" s="733" t="s">
        <v>645</v>
      </c>
      <c r="C515" s="733" t="s">
        <v>1045</v>
      </c>
      <c r="D515" s="733" t="s">
        <v>21</v>
      </c>
      <c r="E515" s="761"/>
      <c r="F515" s="761"/>
      <c r="G515" s="733"/>
      <c r="H515" s="733"/>
      <c r="I515" s="733"/>
      <c r="J515" s="733"/>
      <c r="K515" s="733"/>
      <c r="L515" s="733"/>
      <c r="M515" s="733"/>
    </row>
    <row r="516" spans="1:13" x14ac:dyDescent="0.3">
      <c r="A516" s="733" t="s">
        <v>1036</v>
      </c>
      <c r="B516" s="733" t="s">
        <v>645</v>
      </c>
      <c r="C516" s="733" t="s">
        <v>1046</v>
      </c>
      <c r="D516" s="733" t="s">
        <v>21</v>
      </c>
      <c r="E516" s="761"/>
      <c r="F516" s="761"/>
      <c r="G516" s="733"/>
      <c r="H516" s="733"/>
      <c r="I516" s="733"/>
      <c r="J516" s="733"/>
      <c r="K516" s="733"/>
      <c r="L516" s="733"/>
      <c r="M516" s="733"/>
    </row>
    <row r="517" spans="1:13" x14ac:dyDescent="0.3">
      <c r="A517" s="733" t="s">
        <v>1036</v>
      </c>
      <c r="B517" s="733" t="s">
        <v>664</v>
      </c>
      <c r="C517" s="733" t="s">
        <v>1047</v>
      </c>
      <c r="D517" s="733" t="s">
        <v>21</v>
      </c>
      <c r="E517" s="761"/>
      <c r="F517" s="761"/>
      <c r="G517" s="733"/>
      <c r="H517" s="733"/>
      <c r="I517" s="733"/>
      <c r="J517" s="733"/>
      <c r="K517" s="733"/>
      <c r="L517" s="733"/>
      <c r="M517" s="733"/>
    </row>
    <row r="518" spans="1:13" x14ac:dyDescent="0.3">
      <c r="A518" s="733" t="s">
        <v>1036</v>
      </c>
      <c r="B518" s="733" t="s">
        <v>664</v>
      </c>
      <c r="C518" s="733" t="s">
        <v>1048</v>
      </c>
      <c r="D518" s="733" t="s">
        <v>21</v>
      </c>
      <c r="E518" s="761"/>
      <c r="F518" s="761"/>
      <c r="G518" s="733"/>
      <c r="H518" s="733"/>
      <c r="I518" s="733"/>
      <c r="J518" s="733"/>
      <c r="K518" s="733"/>
      <c r="L518" s="733"/>
      <c r="M518" s="733"/>
    </row>
    <row r="519" spans="1:13" x14ac:dyDescent="0.3">
      <c r="A519" s="733" t="s">
        <v>1036</v>
      </c>
      <c r="B519" s="733" t="s">
        <v>664</v>
      </c>
      <c r="C519" s="733" t="s">
        <v>1049</v>
      </c>
      <c r="D519" s="733" t="s">
        <v>21</v>
      </c>
      <c r="E519" s="761"/>
      <c r="F519" s="761"/>
      <c r="G519" s="733"/>
      <c r="H519" s="733"/>
      <c r="I519" s="733"/>
      <c r="J519" s="733"/>
      <c r="K519" s="733"/>
      <c r="L519" s="733"/>
      <c r="M519" s="733"/>
    </row>
    <row r="520" spans="1:13" x14ac:dyDescent="0.3">
      <c r="A520" s="733" t="s">
        <v>1036</v>
      </c>
      <c r="B520" s="733" t="s">
        <v>664</v>
      </c>
      <c r="C520" s="733" t="s">
        <v>1050</v>
      </c>
      <c r="D520" s="733" t="s">
        <v>21</v>
      </c>
      <c r="E520" s="761"/>
      <c r="F520" s="761"/>
      <c r="G520" s="733"/>
      <c r="H520" s="733"/>
      <c r="I520" s="733"/>
      <c r="J520" s="733"/>
      <c r="K520" s="733"/>
      <c r="L520" s="733"/>
      <c r="M520" s="733"/>
    </row>
    <row r="521" spans="1:13" x14ac:dyDescent="0.3">
      <c r="A521" s="733" t="s">
        <v>1036</v>
      </c>
      <c r="B521" s="733" t="s">
        <v>664</v>
      </c>
      <c r="C521" s="733" t="s">
        <v>1051</v>
      </c>
      <c r="D521" s="733" t="s">
        <v>21</v>
      </c>
      <c r="E521" s="761"/>
      <c r="F521" s="761"/>
      <c r="G521" s="733"/>
      <c r="H521" s="733"/>
      <c r="I521" s="733"/>
      <c r="J521" s="733"/>
      <c r="K521" s="733"/>
      <c r="L521" s="733"/>
      <c r="M521" s="733"/>
    </row>
    <row r="522" spans="1:13" x14ac:dyDescent="0.3">
      <c r="A522" s="733" t="s">
        <v>1052</v>
      </c>
      <c r="B522" s="733" t="s">
        <v>612</v>
      </c>
      <c r="C522" s="733" t="s">
        <v>1053</v>
      </c>
      <c r="D522" s="733" t="s">
        <v>21</v>
      </c>
      <c r="E522" s="733" t="s">
        <v>614</v>
      </c>
      <c r="F522" s="733" t="s">
        <v>615</v>
      </c>
      <c r="G522" s="733"/>
      <c r="H522" s="733"/>
      <c r="I522" s="733"/>
      <c r="J522" s="733"/>
      <c r="K522" s="733"/>
      <c r="L522" s="733"/>
      <c r="M522" s="733"/>
    </row>
    <row r="523" spans="1:13" x14ac:dyDescent="0.3">
      <c r="A523" s="733" t="s">
        <v>1052</v>
      </c>
      <c r="B523" s="733" t="s">
        <v>612</v>
      </c>
      <c r="C523" s="733" t="s">
        <v>1054</v>
      </c>
      <c r="D523" s="733" t="s">
        <v>21</v>
      </c>
      <c r="E523" s="733" t="s">
        <v>614</v>
      </c>
      <c r="F523" s="733" t="s">
        <v>615</v>
      </c>
      <c r="G523" s="733"/>
      <c r="H523" s="733"/>
      <c r="I523" s="733"/>
      <c r="J523" s="733"/>
      <c r="K523" s="733"/>
      <c r="L523" s="733"/>
      <c r="M523" s="733"/>
    </row>
    <row r="524" spans="1:13" x14ac:dyDescent="0.3">
      <c r="A524" s="733" t="s">
        <v>1052</v>
      </c>
      <c r="B524" s="733" t="s">
        <v>612</v>
      </c>
      <c r="C524" s="733" t="s">
        <v>982</v>
      </c>
      <c r="D524" s="733" t="s">
        <v>21</v>
      </c>
      <c r="E524" s="733" t="s">
        <v>614</v>
      </c>
      <c r="F524" s="733" t="s">
        <v>615</v>
      </c>
      <c r="G524" s="733"/>
      <c r="H524" s="733"/>
      <c r="I524" s="733"/>
      <c r="J524" s="733"/>
      <c r="K524" s="733"/>
      <c r="L524" s="733"/>
      <c r="M524" s="733"/>
    </row>
    <row r="525" spans="1:13" x14ac:dyDescent="0.3">
      <c r="A525" s="733" t="s">
        <v>1052</v>
      </c>
      <c r="B525" s="733" t="s">
        <v>612</v>
      </c>
      <c r="C525" s="733" t="s">
        <v>1055</v>
      </c>
      <c r="D525" s="733" t="s">
        <v>21</v>
      </c>
      <c r="E525" s="733" t="s">
        <v>614</v>
      </c>
      <c r="F525" s="733" t="s">
        <v>615</v>
      </c>
      <c r="G525" s="733"/>
      <c r="H525" s="733"/>
      <c r="I525" s="733"/>
      <c r="J525" s="733"/>
      <c r="K525" s="733"/>
      <c r="L525" s="733"/>
      <c r="M525" s="733"/>
    </row>
    <row r="526" spans="1:13" x14ac:dyDescent="0.3">
      <c r="A526" s="733" t="s">
        <v>1052</v>
      </c>
      <c r="B526" s="733" t="s">
        <v>612</v>
      </c>
      <c r="C526" s="733" t="s">
        <v>1056</v>
      </c>
      <c r="D526" s="733" t="s">
        <v>21</v>
      </c>
      <c r="E526" s="733" t="s">
        <v>614</v>
      </c>
      <c r="F526" s="733" t="s">
        <v>615</v>
      </c>
      <c r="G526" s="733"/>
      <c r="H526" s="733"/>
      <c r="I526" s="733"/>
      <c r="J526" s="733"/>
      <c r="K526" s="733"/>
      <c r="L526" s="733"/>
      <c r="M526" s="733"/>
    </row>
    <row r="527" spans="1:13" x14ac:dyDescent="0.3">
      <c r="A527" s="733" t="s">
        <v>1052</v>
      </c>
      <c r="B527" s="733" t="s">
        <v>612</v>
      </c>
      <c r="C527" s="733" t="s">
        <v>1057</v>
      </c>
      <c r="D527" s="733" t="s">
        <v>21</v>
      </c>
      <c r="E527" s="733" t="s">
        <v>614</v>
      </c>
      <c r="F527" s="733" t="s">
        <v>615</v>
      </c>
      <c r="G527" s="733"/>
      <c r="H527" s="733"/>
      <c r="I527" s="733"/>
      <c r="J527" s="733"/>
      <c r="K527" s="733"/>
      <c r="L527" s="733"/>
      <c r="M527" s="733"/>
    </row>
    <row r="528" spans="1:13" x14ac:dyDescent="0.3">
      <c r="A528" s="733" t="s">
        <v>1052</v>
      </c>
      <c r="B528" s="733" t="s">
        <v>612</v>
      </c>
      <c r="C528" s="733" t="s">
        <v>1003</v>
      </c>
      <c r="D528" s="733" t="s">
        <v>21</v>
      </c>
      <c r="E528" s="733" t="s">
        <v>614</v>
      </c>
      <c r="F528" s="733" t="s">
        <v>615</v>
      </c>
      <c r="G528" s="733"/>
      <c r="H528" s="733"/>
      <c r="I528" s="733"/>
      <c r="J528" s="733"/>
      <c r="K528" s="733"/>
      <c r="L528" s="733"/>
      <c r="M528" s="733"/>
    </row>
    <row r="529" spans="1:13" x14ac:dyDescent="0.3">
      <c r="A529" s="733" t="s">
        <v>1052</v>
      </c>
      <c r="B529" s="733" t="s">
        <v>645</v>
      </c>
      <c r="C529" s="733" t="s">
        <v>1058</v>
      </c>
      <c r="D529" s="733" t="s">
        <v>21</v>
      </c>
      <c r="E529" s="733" t="s">
        <v>614</v>
      </c>
      <c r="F529" s="733" t="s">
        <v>615</v>
      </c>
      <c r="G529" s="733"/>
      <c r="H529" s="733"/>
      <c r="I529" s="733"/>
      <c r="J529" s="733"/>
      <c r="K529" s="733"/>
      <c r="L529" s="733"/>
      <c r="M529" s="733"/>
    </row>
    <row r="530" spans="1:13" x14ac:dyDescent="0.3">
      <c r="A530" s="733" t="s">
        <v>1052</v>
      </c>
      <c r="B530" s="733" t="s">
        <v>664</v>
      </c>
      <c r="C530" s="733" t="s">
        <v>1059</v>
      </c>
      <c r="D530" s="733" t="s">
        <v>21</v>
      </c>
      <c r="E530" s="733" t="s">
        <v>614</v>
      </c>
      <c r="F530" s="733" t="s">
        <v>615</v>
      </c>
      <c r="G530" s="733"/>
      <c r="H530" s="733"/>
      <c r="I530" s="733"/>
      <c r="J530" s="733"/>
      <c r="K530" s="733"/>
      <c r="L530" s="733"/>
      <c r="M530" s="733"/>
    </row>
    <row r="531" spans="1:13" x14ac:dyDescent="0.3">
      <c r="A531" s="733" t="s">
        <v>1052</v>
      </c>
      <c r="B531" s="733" t="s">
        <v>664</v>
      </c>
      <c r="C531" s="733" t="s">
        <v>1060</v>
      </c>
      <c r="D531" s="733" t="s">
        <v>21</v>
      </c>
      <c r="E531" s="733" t="s">
        <v>614</v>
      </c>
      <c r="F531" s="733" t="s">
        <v>615</v>
      </c>
      <c r="G531" s="733"/>
      <c r="H531" s="733"/>
      <c r="I531" s="733"/>
      <c r="J531" s="733"/>
      <c r="K531" s="733"/>
      <c r="L531" s="733"/>
      <c r="M531" s="733"/>
    </row>
    <row r="532" spans="1:13" x14ac:dyDescent="0.3">
      <c r="A532" s="733" t="s">
        <v>1052</v>
      </c>
      <c r="B532" s="733" t="s">
        <v>664</v>
      </c>
      <c r="C532" s="733" t="s">
        <v>1061</v>
      </c>
      <c r="D532" s="733" t="s">
        <v>21</v>
      </c>
      <c r="E532" s="733" t="s">
        <v>614</v>
      </c>
      <c r="F532" s="733" t="s">
        <v>615</v>
      </c>
      <c r="G532" s="733"/>
      <c r="H532" s="733"/>
      <c r="I532" s="733"/>
      <c r="J532" s="733"/>
      <c r="K532" s="733"/>
      <c r="L532" s="733"/>
      <c r="M532" s="733"/>
    </row>
    <row r="533" spans="1:13" x14ac:dyDescent="0.3">
      <c r="A533" s="733" t="s">
        <v>1062</v>
      </c>
      <c r="B533" s="733" t="s">
        <v>612</v>
      </c>
      <c r="C533" s="733" t="s">
        <v>1053</v>
      </c>
      <c r="D533" s="733" t="s">
        <v>21</v>
      </c>
      <c r="E533" s="733" t="s">
        <v>614</v>
      </c>
      <c r="F533" s="733" t="s">
        <v>615</v>
      </c>
      <c r="G533" s="733"/>
      <c r="H533" s="733"/>
      <c r="I533" s="733"/>
      <c r="J533" s="733"/>
      <c r="K533" s="733"/>
      <c r="L533" s="733"/>
      <c r="M533" s="733"/>
    </row>
    <row r="534" spans="1:13" x14ac:dyDescent="0.3">
      <c r="A534" s="733" t="s">
        <v>1062</v>
      </c>
      <c r="B534" s="733" t="s">
        <v>612</v>
      </c>
      <c r="C534" s="733" t="s">
        <v>1063</v>
      </c>
      <c r="D534" s="733" t="s">
        <v>21</v>
      </c>
      <c r="E534" s="733" t="s">
        <v>614</v>
      </c>
      <c r="F534" s="733" t="s">
        <v>615</v>
      </c>
      <c r="G534" s="733"/>
      <c r="H534" s="733"/>
      <c r="I534" s="733"/>
      <c r="J534" s="733"/>
      <c r="K534" s="733"/>
      <c r="L534" s="733"/>
      <c r="M534" s="733"/>
    </row>
    <row r="535" spans="1:13" x14ac:dyDescent="0.3">
      <c r="A535" s="733" t="s">
        <v>1062</v>
      </c>
      <c r="B535" s="733" t="s">
        <v>612</v>
      </c>
      <c r="C535" s="733" t="s">
        <v>1064</v>
      </c>
      <c r="D535" s="733" t="s">
        <v>21</v>
      </c>
      <c r="E535" s="733" t="s">
        <v>614</v>
      </c>
      <c r="F535" s="733" t="s">
        <v>615</v>
      </c>
      <c r="G535" s="733"/>
      <c r="H535" s="733"/>
      <c r="I535" s="733"/>
      <c r="J535" s="733"/>
      <c r="K535" s="733"/>
      <c r="L535" s="733"/>
      <c r="M535" s="733"/>
    </row>
    <row r="536" spans="1:13" x14ac:dyDescent="0.3">
      <c r="A536" s="733" t="s">
        <v>1062</v>
      </c>
      <c r="B536" s="733" t="s">
        <v>612</v>
      </c>
      <c r="C536" s="733" t="s">
        <v>1065</v>
      </c>
      <c r="D536" s="733" t="s">
        <v>21</v>
      </c>
      <c r="E536" s="733" t="s">
        <v>614</v>
      </c>
      <c r="F536" s="733" t="s">
        <v>615</v>
      </c>
      <c r="G536" s="733"/>
      <c r="H536" s="733"/>
      <c r="I536" s="733"/>
      <c r="J536" s="733"/>
      <c r="K536" s="733"/>
      <c r="L536" s="733"/>
      <c r="M536" s="733"/>
    </row>
    <row r="537" spans="1:13" x14ac:dyDescent="0.3">
      <c r="A537" s="733" t="s">
        <v>1062</v>
      </c>
      <c r="B537" s="733" t="s">
        <v>612</v>
      </c>
      <c r="C537" s="733" t="s">
        <v>1066</v>
      </c>
      <c r="D537" s="733" t="s">
        <v>21</v>
      </c>
      <c r="E537" s="733" t="s">
        <v>614</v>
      </c>
      <c r="F537" s="733" t="s">
        <v>615</v>
      </c>
      <c r="G537" s="733"/>
      <c r="H537" s="733"/>
      <c r="I537" s="733"/>
      <c r="J537" s="733"/>
      <c r="K537" s="733"/>
      <c r="L537" s="733"/>
      <c r="M537" s="733"/>
    </row>
    <row r="538" spans="1:13" x14ac:dyDescent="0.3">
      <c r="A538" s="733" t="s">
        <v>1062</v>
      </c>
      <c r="B538" s="733" t="s">
        <v>612</v>
      </c>
      <c r="C538" s="733" t="s">
        <v>1056</v>
      </c>
      <c r="D538" s="733" t="s">
        <v>21</v>
      </c>
      <c r="E538" s="733" t="s">
        <v>614</v>
      </c>
      <c r="F538" s="733" t="s">
        <v>615</v>
      </c>
      <c r="G538" s="733"/>
      <c r="H538" s="733"/>
      <c r="I538" s="733"/>
      <c r="J538" s="733"/>
      <c r="K538" s="733"/>
      <c r="L538" s="733"/>
      <c r="M538" s="733"/>
    </row>
    <row r="539" spans="1:13" x14ac:dyDescent="0.3">
      <c r="A539" s="733" t="s">
        <v>1062</v>
      </c>
      <c r="B539" s="733" t="s">
        <v>612</v>
      </c>
      <c r="C539" s="733" t="s">
        <v>1057</v>
      </c>
      <c r="D539" s="733" t="s">
        <v>21</v>
      </c>
      <c r="E539" s="733" t="s">
        <v>614</v>
      </c>
      <c r="F539" s="733" t="s">
        <v>615</v>
      </c>
      <c r="G539" s="733"/>
      <c r="H539" s="733"/>
      <c r="I539" s="733"/>
      <c r="J539" s="733"/>
      <c r="K539" s="733"/>
      <c r="L539" s="733"/>
      <c r="M539" s="733"/>
    </row>
    <row r="540" spans="1:13" x14ac:dyDescent="0.3">
      <c r="A540" s="733" t="s">
        <v>1062</v>
      </c>
      <c r="B540" s="733" t="s">
        <v>612</v>
      </c>
      <c r="C540" s="733" t="s">
        <v>1067</v>
      </c>
      <c r="D540" s="733" t="s">
        <v>21</v>
      </c>
      <c r="E540" s="733" t="s">
        <v>614</v>
      </c>
      <c r="F540" s="733" t="s">
        <v>615</v>
      </c>
      <c r="G540" s="733"/>
      <c r="H540" s="733"/>
      <c r="I540" s="733"/>
      <c r="J540" s="733"/>
      <c r="K540" s="733"/>
      <c r="L540" s="733"/>
      <c r="M540" s="733"/>
    </row>
    <row r="541" spans="1:13" x14ac:dyDescent="0.3">
      <c r="A541" s="733" t="s">
        <v>1062</v>
      </c>
      <c r="B541" s="733" t="s">
        <v>612</v>
      </c>
      <c r="C541" s="733" t="s">
        <v>1068</v>
      </c>
      <c r="D541" s="733" t="s">
        <v>21</v>
      </c>
      <c r="E541" s="733" t="s">
        <v>614</v>
      </c>
      <c r="F541" s="733" t="s">
        <v>615</v>
      </c>
      <c r="G541" s="733"/>
      <c r="H541" s="733"/>
      <c r="I541" s="733"/>
      <c r="J541" s="733"/>
      <c r="K541" s="733"/>
      <c r="L541" s="733"/>
      <c r="M541" s="733"/>
    </row>
    <row r="542" spans="1:13" x14ac:dyDescent="0.3">
      <c r="A542" s="733" t="s">
        <v>1062</v>
      </c>
      <c r="B542" s="733" t="s">
        <v>612</v>
      </c>
      <c r="C542" s="733" t="s">
        <v>996</v>
      </c>
      <c r="D542" s="733" t="s">
        <v>21</v>
      </c>
      <c r="E542" s="733" t="s">
        <v>614</v>
      </c>
      <c r="F542" s="733" t="s">
        <v>615</v>
      </c>
      <c r="G542" s="733"/>
      <c r="H542" s="733"/>
      <c r="I542" s="733"/>
      <c r="J542" s="733"/>
      <c r="K542" s="733"/>
      <c r="L542" s="733"/>
      <c r="M542" s="733"/>
    </row>
    <row r="543" spans="1:13" x14ac:dyDescent="0.3">
      <c r="A543" s="733" t="s">
        <v>1062</v>
      </c>
      <c r="B543" s="733" t="s">
        <v>612</v>
      </c>
      <c r="C543" s="733" t="s">
        <v>1003</v>
      </c>
      <c r="D543" s="733" t="s">
        <v>21</v>
      </c>
      <c r="E543" s="733" t="s">
        <v>614</v>
      </c>
      <c r="F543" s="733" t="s">
        <v>615</v>
      </c>
      <c r="G543" s="733"/>
      <c r="H543" s="733"/>
      <c r="I543" s="733"/>
      <c r="J543" s="733"/>
      <c r="K543" s="733"/>
      <c r="L543" s="733"/>
      <c r="M543" s="733"/>
    </row>
    <row r="544" spans="1:13" x14ac:dyDescent="0.3">
      <c r="A544" s="733" t="s">
        <v>1062</v>
      </c>
      <c r="B544" s="733" t="s">
        <v>612</v>
      </c>
      <c r="C544" s="733" t="s">
        <v>1069</v>
      </c>
      <c r="D544" s="733" t="s">
        <v>21</v>
      </c>
      <c r="E544" s="733" t="s">
        <v>614</v>
      </c>
      <c r="F544" s="733" t="s">
        <v>615</v>
      </c>
      <c r="G544" s="733"/>
      <c r="H544" s="733"/>
      <c r="I544" s="733"/>
      <c r="J544" s="733"/>
      <c r="K544" s="733"/>
      <c r="L544" s="733"/>
      <c r="M544" s="733"/>
    </row>
    <row r="545" spans="1:13" x14ac:dyDescent="0.3">
      <c r="A545" s="733" t="s">
        <v>1062</v>
      </c>
      <c r="B545" s="733" t="s">
        <v>612</v>
      </c>
      <c r="C545" s="733" t="s">
        <v>1006</v>
      </c>
      <c r="D545" s="733" t="s">
        <v>21</v>
      </c>
      <c r="E545" s="733" t="s">
        <v>614</v>
      </c>
      <c r="F545" s="733" t="s">
        <v>615</v>
      </c>
      <c r="G545" s="733"/>
      <c r="H545" s="733"/>
      <c r="I545" s="733"/>
      <c r="J545" s="733"/>
      <c r="K545" s="733"/>
      <c r="L545" s="733"/>
      <c r="M545" s="733"/>
    </row>
    <row r="546" spans="1:13" x14ac:dyDescent="0.3">
      <c r="A546" s="733" t="s">
        <v>1062</v>
      </c>
      <c r="B546" s="733" t="s">
        <v>645</v>
      </c>
      <c r="C546" s="733" t="s">
        <v>1070</v>
      </c>
      <c r="D546" s="733" t="s">
        <v>21</v>
      </c>
      <c r="E546" s="733" t="s">
        <v>614</v>
      </c>
      <c r="F546" s="733" t="s">
        <v>615</v>
      </c>
      <c r="G546" s="733"/>
      <c r="H546" s="733"/>
      <c r="I546" s="733"/>
      <c r="J546" s="733"/>
      <c r="K546" s="733"/>
      <c r="L546" s="733"/>
      <c r="M546" s="733"/>
    </row>
    <row r="547" spans="1:13" x14ac:dyDescent="0.3">
      <c r="A547" s="733" t="s">
        <v>1062</v>
      </c>
      <c r="B547" s="733" t="s">
        <v>645</v>
      </c>
      <c r="C547" s="733" t="s">
        <v>1071</v>
      </c>
      <c r="D547" s="733" t="s">
        <v>21</v>
      </c>
      <c r="E547" s="733" t="s">
        <v>614</v>
      </c>
      <c r="F547" s="733" t="s">
        <v>615</v>
      </c>
      <c r="G547" s="733"/>
      <c r="H547" s="733"/>
      <c r="I547" s="733"/>
      <c r="J547" s="733"/>
      <c r="K547" s="733"/>
      <c r="L547" s="733"/>
      <c r="M547" s="733"/>
    </row>
    <row r="548" spans="1:13" x14ac:dyDescent="0.3">
      <c r="A548" s="733" t="s">
        <v>1062</v>
      </c>
      <c r="B548" s="733" t="s">
        <v>645</v>
      </c>
      <c r="C548" s="733" t="s">
        <v>1060</v>
      </c>
      <c r="D548" s="733" t="s">
        <v>21</v>
      </c>
      <c r="E548" s="733" t="s">
        <v>614</v>
      </c>
      <c r="F548" s="733" t="s">
        <v>615</v>
      </c>
      <c r="G548" s="733"/>
      <c r="H548" s="733"/>
      <c r="I548" s="733"/>
      <c r="J548" s="733"/>
      <c r="K548" s="733"/>
      <c r="L548" s="733"/>
      <c r="M548" s="733"/>
    </row>
    <row r="549" spans="1:13" x14ac:dyDescent="0.3">
      <c r="A549" s="733" t="s">
        <v>1062</v>
      </c>
      <c r="B549" s="733" t="s">
        <v>645</v>
      </c>
      <c r="C549" s="733" t="s">
        <v>1072</v>
      </c>
      <c r="D549" s="733" t="s">
        <v>21</v>
      </c>
      <c r="E549" s="733" t="s">
        <v>614</v>
      </c>
      <c r="F549" s="733" t="s">
        <v>615</v>
      </c>
      <c r="G549" s="733"/>
      <c r="H549" s="733"/>
      <c r="I549" s="733"/>
      <c r="J549" s="733"/>
      <c r="K549" s="733"/>
      <c r="L549" s="733"/>
      <c r="M549" s="733"/>
    </row>
    <row r="550" spans="1:13" x14ac:dyDescent="0.3">
      <c r="A550" s="733" t="s">
        <v>1062</v>
      </c>
      <c r="B550" s="733" t="s">
        <v>645</v>
      </c>
      <c r="C550" s="733" t="s">
        <v>1073</v>
      </c>
      <c r="D550" s="733" t="s">
        <v>21</v>
      </c>
      <c r="E550" s="733" t="s">
        <v>614</v>
      </c>
      <c r="F550" s="733" t="s">
        <v>615</v>
      </c>
      <c r="G550" s="733"/>
      <c r="H550" s="733"/>
      <c r="I550" s="733"/>
      <c r="J550" s="733"/>
      <c r="K550" s="733"/>
      <c r="L550" s="733"/>
      <c r="M550" s="733"/>
    </row>
    <row r="551" spans="1:13" x14ac:dyDescent="0.3">
      <c r="A551" s="733" t="s">
        <v>1062</v>
      </c>
      <c r="B551" s="733" t="s">
        <v>645</v>
      </c>
      <c r="C551" s="733" t="s">
        <v>1074</v>
      </c>
      <c r="D551" s="733" t="s">
        <v>21</v>
      </c>
      <c r="E551" s="733" t="s">
        <v>614</v>
      </c>
      <c r="F551" s="733" t="s">
        <v>615</v>
      </c>
      <c r="G551" s="733"/>
      <c r="H551" s="733"/>
      <c r="I551" s="733"/>
      <c r="J551" s="733"/>
      <c r="K551" s="733"/>
      <c r="L551" s="733"/>
      <c r="M551" s="733"/>
    </row>
    <row r="552" spans="1:13" x14ac:dyDescent="0.3">
      <c r="A552" s="733" t="s">
        <v>1062</v>
      </c>
      <c r="B552" s="733" t="s">
        <v>645</v>
      </c>
      <c r="C552" s="733" t="s">
        <v>1061</v>
      </c>
      <c r="D552" s="733" t="s">
        <v>21</v>
      </c>
      <c r="E552" s="733" t="s">
        <v>614</v>
      </c>
      <c r="F552" s="733" t="s">
        <v>615</v>
      </c>
      <c r="G552" s="733"/>
      <c r="H552" s="733"/>
      <c r="I552" s="733"/>
      <c r="J552" s="733"/>
      <c r="K552" s="733"/>
      <c r="L552" s="733"/>
      <c r="M552" s="733"/>
    </row>
    <row r="553" spans="1:13" x14ac:dyDescent="0.3">
      <c r="A553" s="733" t="s">
        <v>1062</v>
      </c>
      <c r="B553" s="733" t="s">
        <v>645</v>
      </c>
      <c r="C553" s="733" t="s">
        <v>1075</v>
      </c>
      <c r="D553" s="733" t="s">
        <v>21</v>
      </c>
      <c r="E553" s="733" t="s">
        <v>614</v>
      </c>
      <c r="F553" s="733" t="s">
        <v>615</v>
      </c>
      <c r="G553" s="733"/>
      <c r="H553" s="733"/>
      <c r="I553" s="733"/>
      <c r="J553" s="733"/>
      <c r="K553" s="733"/>
      <c r="L553" s="733"/>
      <c r="M553" s="733"/>
    </row>
    <row r="554" spans="1:13" x14ac:dyDescent="0.3">
      <c r="A554" s="733" t="s">
        <v>1062</v>
      </c>
      <c r="B554" s="733" t="s">
        <v>645</v>
      </c>
      <c r="C554" s="733" t="s">
        <v>1076</v>
      </c>
      <c r="D554" s="733" t="s">
        <v>21</v>
      </c>
      <c r="E554" s="733" t="s">
        <v>614</v>
      </c>
      <c r="F554" s="733" t="s">
        <v>615</v>
      </c>
      <c r="G554" s="733"/>
      <c r="H554" s="733"/>
      <c r="I554" s="733"/>
      <c r="J554" s="733"/>
      <c r="K554" s="733"/>
      <c r="L554" s="733"/>
      <c r="M554" s="733"/>
    </row>
    <row r="555" spans="1:13" x14ac:dyDescent="0.3">
      <c r="A555" s="733" t="s">
        <v>1062</v>
      </c>
      <c r="B555" s="733" t="s">
        <v>645</v>
      </c>
      <c r="C555" s="733" t="s">
        <v>1077</v>
      </c>
      <c r="D555" s="733" t="s">
        <v>21</v>
      </c>
      <c r="E555" s="733" t="s">
        <v>614</v>
      </c>
      <c r="F555" s="733" t="s">
        <v>615</v>
      </c>
      <c r="G555" s="733"/>
      <c r="H555" s="733"/>
      <c r="I555" s="733"/>
      <c r="J555" s="733"/>
      <c r="K555" s="733"/>
      <c r="L555" s="733"/>
      <c r="M555" s="733"/>
    </row>
    <row r="556" spans="1:13" x14ac:dyDescent="0.3">
      <c r="A556" s="733" t="s">
        <v>1062</v>
      </c>
      <c r="B556" s="733" t="s">
        <v>664</v>
      </c>
      <c r="C556" s="733" t="s">
        <v>1078</v>
      </c>
      <c r="D556" s="733" t="s">
        <v>21</v>
      </c>
      <c r="E556" s="733" t="s">
        <v>614</v>
      </c>
      <c r="F556" s="733" t="s">
        <v>615</v>
      </c>
      <c r="G556" s="733"/>
      <c r="H556" s="733"/>
      <c r="I556" s="733"/>
      <c r="J556" s="733"/>
      <c r="K556" s="733"/>
      <c r="L556" s="733"/>
      <c r="M556" s="733"/>
    </row>
    <row r="557" spans="1:13" x14ac:dyDescent="0.3">
      <c r="A557" s="733" t="s">
        <v>1062</v>
      </c>
      <c r="B557" s="733" t="s">
        <v>664</v>
      </c>
      <c r="C557" s="733" t="s">
        <v>1079</v>
      </c>
      <c r="D557" s="733" t="s">
        <v>21</v>
      </c>
      <c r="E557" s="733" t="s">
        <v>614</v>
      </c>
      <c r="F557" s="733" t="s">
        <v>615</v>
      </c>
      <c r="G557" s="733"/>
      <c r="H557" s="733"/>
      <c r="I557" s="733"/>
      <c r="J557" s="733"/>
      <c r="K557" s="733"/>
      <c r="L557" s="733"/>
      <c r="M557" s="733"/>
    </row>
    <row r="558" spans="1:13" x14ac:dyDescent="0.3">
      <c r="A558" s="733" t="s">
        <v>1062</v>
      </c>
      <c r="B558" s="733" t="s">
        <v>664</v>
      </c>
      <c r="C558" s="733" t="s">
        <v>1080</v>
      </c>
      <c r="D558" s="733" t="s">
        <v>21</v>
      </c>
      <c r="E558" s="733" t="s">
        <v>614</v>
      </c>
      <c r="F558" s="733" t="s">
        <v>615</v>
      </c>
      <c r="G558" s="733"/>
      <c r="H558" s="733"/>
      <c r="I558" s="733"/>
      <c r="J558" s="733"/>
      <c r="K558" s="733"/>
      <c r="L558" s="733"/>
      <c r="M558" s="733"/>
    </row>
    <row r="559" spans="1:13" x14ac:dyDescent="0.3">
      <c r="A559" s="733" t="s">
        <v>1062</v>
      </c>
      <c r="B559" s="733" t="s">
        <v>664</v>
      </c>
      <c r="C559" s="733" t="s">
        <v>1081</v>
      </c>
      <c r="D559" s="733" t="s">
        <v>21</v>
      </c>
      <c r="E559" s="733" t="s">
        <v>614</v>
      </c>
      <c r="F559" s="733" t="s">
        <v>615</v>
      </c>
      <c r="G559" s="733"/>
      <c r="H559" s="733"/>
      <c r="I559" s="733"/>
      <c r="J559" s="733"/>
      <c r="K559" s="733"/>
      <c r="L559" s="733"/>
      <c r="M559" s="733"/>
    </row>
    <row r="560" spans="1:13" x14ac:dyDescent="0.3">
      <c r="A560" s="733" t="s">
        <v>1062</v>
      </c>
      <c r="B560" s="733" t="s">
        <v>664</v>
      </c>
      <c r="C560" s="733" t="s">
        <v>1060</v>
      </c>
      <c r="D560" s="733" t="s">
        <v>21</v>
      </c>
      <c r="E560" s="733" t="s">
        <v>614</v>
      </c>
      <c r="F560" s="733" t="s">
        <v>615</v>
      </c>
      <c r="G560" s="733"/>
      <c r="H560" s="733"/>
      <c r="I560" s="733"/>
      <c r="J560" s="733"/>
      <c r="K560" s="733"/>
      <c r="L560" s="733"/>
      <c r="M560" s="733"/>
    </row>
    <row r="561" spans="1:13" x14ac:dyDescent="0.3">
      <c r="A561" s="733" t="s">
        <v>1082</v>
      </c>
      <c r="B561" s="733" t="s">
        <v>612</v>
      </c>
      <c r="C561" s="733" t="s">
        <v>906</v>
      </c>
      <c r="D561" s="733" t="s">
        <v>21</v>
      </c>
      <c r="E561" s="733" t="s">
        <v>614</v>
      </c>
      <c r="F561" s="733" t="s">
        <v>615</v>
      </c>
      <c r="G561" s="733"/>
      <c r="H561" s="733"/>
      <c r="I561" s="733"/>
      <c r="J561" s="733"/>
      <c r="K561" s="733"/>
      <c r="L561" s="733"/>
      <c r="M561" s="733"/>
    </row>
    <row r="562" spans="1:13" x14ac:dyDescent="0.3">
      <c r="A562" s="733" t="s">
        <v>1082</v>
      </c>
      <c r="B562" s="733" t="s">
        <v>612</v>
      </c>
      <c r="C562" s="733" t="s">
        <v>907</v>
      </c>
      <c r="D562" s="733" t="s">
        <v>21</v>
      </c>
      <c r="E562" s="733" t="s">
        <v>614</v>
      </c>
      <c r="F562" s="733" t="s">
        <v>615</v>
      </c>
      <c r="G562" s="733"/>
      <c r="H562" s="733"/>
      <c r="I562" s="733"/>
      <c r="J562" s="733"/>
      <c r="K562" s="733"/>
      <c r="L562" s="733"/>
      <c r="M562" s="733"/>
    </row>
    <row r="563" spans="1:13" x14ac:dyDescent="0.3">
      <c r="A563" s="733" t="s">
        <v>1082</v>
      </c>
      <c r="B563" s="733" t="s">
        <v>612</v>
      </c>
      <c r="C563" s="733" t="s">
        <v>908</v>
      </c>
      <c r="D563" s="733" t="s">
        <v>21</v>
      </c>
      <c r="E563" s="733" t="s">
        <v>614</v>
      </c>
      <c r="F563" s="733" t="s">
        <v>615</v>
      </c>
      <c r="G563" s="733"/>
      <c r="H563" s="733"/>
      <c r="I563" s="733"/>
      <c r="J563" s="733"/>
      <c r="K563" s="733"/>
      <c r="L563" s="733"/>
      <c r="M563" s="733"/>
    </row>
    <row r="564" spans="1:13" x14ac:dyDescent="0.3">
      <c r="A564" s="733" t="s">
        <v>1082</v>
      </c>
      <c r="B564" s="733" t="s">
        <v>612</v>
      </c>
      <c r="C564" s="733" t="s">
        <v>909</v>
      </c>
      <c r="D564" s="733" t="s">
        <v>21</v>
      </c>
      <c r="E564" s="733" t="s">
        <v>614</v>
      </c>
      <c r="F564" s="733" t="s">
        <v>615</v>
      </c>
      <c r="G564" s="733"/>
      <c r="H564" s="733"/>
      <c r="I564" s="733"/>
      <c r="J564" s="733"/>
      <c r="K564" s="733"/>
      <c r="L564" s="733"/>
      <c r="M564" s="733"/>
    </row>
    <row r="565" spans="1:13" x14ac:dyDescent="0.3">
      <c r="A565" s="733" t="s">
        <v>1082</v>
      </c>
      <c r="B565" s="733" t="s">
        <v>612</v>
      </c>
      <c r="C565" s="733" t="s">
        <v>911</v>
      </c>
      <c r="D565" s="733" t="s">
        <v>21</v>
      </c>
      <c r="E565" s="733" t="s">
        <v>614</v>
      </c>
      <c r="F565" s="733" t="s">
        <v>615</v>
      </c>
      <c r="G565" s="733"/>
      <c r="H565" s="733"/>
      <c r="I565" s="733"/>
      <c r="J565" s="733"/>
      <c r="K565" s="733"/>
      <c r="L565" s="733"/>
      <c r="M565" s="733"/>
    </row>
    <row r="566" spans="1:13" x14ac:dyDescent="0.3">
      <c r="A566" s="733" t="s">
        <v>1082</v>
      </c>
      <c r="B566" s="733" t="s">
        <v>612</v>
      </c>
      <c r="C566" s="733" t="s">
        <v>1083</v>
      </c>
      <c r="D566" s="733" t="s">
        <v>21</v>
      </c>
      <c r="E566" s="733" t="s">
        <v>614</v>
      </c>
      <c r="F566" s="733" t="s">
        <v>615</v>
      </c>
      <c r="G566" s="733"/>
      <c r="H566" s="733"/>
      <c r="I566" s="733"/>
      <c r="J566" s="733"/>
      <c r="K566" s="733"/>
      <c r="L566" s="733"/>
      <c r="M566" s="733"/>
    </row>
    <row r="567" spans="1:13" x14ac:dyDescent="0.3">
      <c r="A567" s="733" t="s">
        <v>1082</v>
      </c>
      <c r="B567" s="733" t="s">
        <v>612</v>
      </c>
      <c r="C567" s="733" t="s">
        <v>912</v>
      </c>
      <c r="D567" s="733" t="s">
        <v>21</v>
      </c>
      <c r="E567" s="733" t="s">
        <v>614</v>
      </c>
      <c r="F567" s="733" t="s">
        <v>615</v>
      </c>
      <c r="G567" s="733"/>
      <c r="H567" s="733"/>
      <c r="I567" s="733"/>
      <c r="J567" s="733"/>
      <c r="K567" s="733"/>
      <c r="L567" s="733"/>
      <c r="M567" s="733"/>
    </row>
    <row r="568" spans="1:13" x14ac:dyDescent="0.3">
      <c r="A568" s="733" t="s">
        <v>1082</v>
      </c>
      <c r="B568" s="733" t="s">
        <v>612</v>
      </c>
      <c r="C568" s="733" t="s">
        <v>913</v>
      </c>
      <c r="D568" s="733" t="s">
        <v>21</v>
      </c>
      <c r="E568" s="733" t="s">
        <v>614</v>
      </c>
      <c r="F568" s="733" t="s">
        <v>615</v>
      </c>
      <c r="G568" s="733"/>
      <c r="H568" s="733"/>
      <c r="I568" s="733"/>
      <c r="J568" s="733"/>
      <c r="K568" s="733"/>
      <c r="L568" s="733"/>
      <c r="M568" s="733"/>
    </row>
    <row r="569" spans="1:13" x14ac:dyDescent="0.3">
      <c r="A569" s="733" t="s">
        <v>1082</v>
      </c>
      <c r="B569" s="733" t="s">
        <v>612</v>
      </c>
      <c r="C569" s="733" t="s">
        <v>1084</v>
      </c>
      <c r="D569" s="733" t="s">
        <v>21</v>
      </c>
      <c r="E569" s="733" t="s">
        <v>614</v>
      </c>
      <c r="F569" s="733" t="s">
        <v>615</v>
      </c>
      <c r="G569" s="733"/>
      <c r="H569" s="733"/>
      <c r="I569" s="733"/>
      <c r="J569" s="733"/>
      <c r="K569" s="733"/>
      <c r="L569" s="733"/>
      <c r="M569" s="733"/>
    </row>
    <row r="570" spans="1:13" x14ac:dyDescent="0.3">
      <c r="A570" s="733" t="s">
        <v>1082</v>
      </c>
      <c r="B570" s="733" t="s">
        <v>612</v>
      </c>
      <c r="C570" s="733" t="s">
        <v>915</v>
      </c>
      <c r="D570" s="733" t="s">
        <v>21</v>
      </c>
      <c r="E570" s="733" t="s">
        <v>614</v>
      </c>
      <c r="F570" s="733" t="s">
        <v>615</v>
      </c>
      <c r="G570" s="733"/>
      <c r="H570" s="733"/>
      <c r="I570" s="733"/>
      <c r="J570" s="733"/>
      <c r="K570" s="733"/>
      <c r="L570" s="733"/>
      <c r="M570" s="733"/>
    </row>
    <row r="571" spans="1:13" x14ac:dyDescent="0.3">
      <c r="A571" s="733" t="s">
        <v>1082</v>
      </c>
      <c r="B571" s="733" t="s">
        <v>645</v>
      </c>
      <c r="C571" s="733" t="s">
        <v>1085</v>
      </c>
      <c r="D571" s="733" t="s">
        <v>21</v>
      </c>
      <c r="E571" s="733" t="s">
        <v>614</v>
      </c>
      <c r="F571" s="733" t="s">
        <v>615</v>
      </c>
      <c r="G571" s="733"/>
      <c r="H571" s="733"/>
      <c r="I571" s="733"/>
      <c r="J571" s="733"/>
      <c r="K571" s="733"/>
      <c r="L571" s="733"/>
      <c r="M571" s="733"/>
    </row>
    <row r="572" spans="1:13" x14ac:dyDescent="0.3">
      <c r="A572" s="733" t="s">
        <v>1082</v>
      </c>
      <c r="B572" s="733" t="s">
        <v>645</v>
      </c>
      <c r="C572" s="733" t="s">
        <v>919</v>
      </c>
      <c r="D572" s="733" t="s">
        <v>21</v>
      </c>
      <c r="E572" s="733" t="s">
        <v>614</v>
      </c>
      <c r="F572" s="733" t="s">
        <v>615</v>
      </c>
      <c r="G572" s="733"/>
      <c r="H572" s="733"/>
      <c r="I572" s="733"/>
      <c r="J572" s="733"/>
      <c r="K572" s="733"/>
      <c r="L572" s="733"/>
      <c r="M572" s="733"/>
    </row>
    <row r="573" spans="1:13" x14ac:dyDescent="0.3">
      <c r="A573" s="733" t="s">
        <v>1082</v>
      </c>
      <c r="B573" s="733" t="s">
        <v>645</v>
      </c>
      <c r="C573" s="733" t="s">
        <v>1086</v>
      </c>
      <c r="D573" s="733" t="s">
        <v>21</v>
      </c>
      <c r="E573" s="733" t="s">
        <v>614</v>
      </c>
      <c r="F573" s="733" t="s">
        <v>615</v>
      </c>
      <c r="G573" s="733"/>
      <c r="H573" s="733"/>
      <c r="I573" s="733"/>
      <c r="J573" s="733"/>
      <c r="K573" s="733"/>
      <c r="L573" s="733"/>
      <c r="M573" s="733"/>
    </row>
    <row r="574" spans="1:13" x14ac:dyDescent="0.3">
      <c r="A574" s="733" t="s">
        <v>1087</v>
      </c>
      <c r="B574" s="733" t="s">
        <v>612</v>
      </c>
      <c r="C574" s="733" t="s">
        <v>908</v>
      </c>
      <c r="D574" s="733" t="s">
        <v>21</v>
      </c>
      <c r="E574" s="733" t="s">
        <v>614</v>
      </c>
      <c r="F574" s="733" t="s">
        <v>615</v>
      </c>
      <c r="G574" s="733"/>
      <c r="H574" s="733"/>
      <c r="I574" s="733"/>
      <c r="J574" s="733"/>
      <c r="K574" s="733"/>
      <c r="L574" s="733"/>
      <c r="M574" s="733"/>
    </row>
    <row r="575" spans="1:13" x14ac:dyDescent="0.3">
      <c r="A575" s="733" t="s">
        <v>1087</v>
      </c>
      <c r="B575" s="733" t="s">
        <v>612</v>
      </c>
      <c r="C575" s="733" t="s">
        <v>909</v>
      </c>
      <c r="D575" s="733" t="s">
        <v>21</v>
      </c>
      <c r="E575" s="733" t="s">
        <v>614</v>
      </c>
      <c r="F575" s="733" t="s">
        <v>615</v>
      </c>
      <c r="G575" s="733"/>
      <c r="H575" s="733"/>
      <c r="I575" s="733"/>
      <c r="J575" s="733"/>
      <c r="K575" s="733"/>
      <c r="L575" s="733"/>
      <c r="M575" s="733"/>
    </row>
    <row r="576" spans="1:13" x14ac:dyDescent="0.3">
      <c r="A576" s="733" t="s">
        <v>1087</v>
      </c>
      <c r="B576" s="733" t="s">
        <v>612</v>
      </c>
      <c r="C576" s="733" t="s">
        <v>1088</v>
      </c>
      <c r="D576" s="733" t="s">
        <v>21</v>
      </c>
      <c r="E576" s="733" t="s">
        <v>614</v>
      </c>
      <c r="F576" s="733" t="s">
        <v>615</v>
      </c>
      <c r="G576" s="733"/>
      <c r="H576" s="733"/>
      <c r="I576" s="733"/>
      <c r="J576" s="733"/>
      <c r="K576" s="733"/>
      <c r="L576" s="733"/>
      <c r="M576" s="733"/>
    </row>
    <row r="577" spans="1:13" x14ac:dyDescent="0.3">
      <c r="A577" s="733" t="s">
        <v>1087</v>
      </c>
      <c r="B577" s="733" t="s">
        <v>612</v>
      </c>
      <c r="C577" s="733" t="s">
        <v>911</v>
      </c>
      <c r="D577" s="733" t="s">
        <v>21</v>
      </c>
      <c r="E577" s="733" t="s">
        <v>614</v>
      </c>
      <c r="F577" s="733" t="s">
        <v>615</v>
      </c>
      <c r="G577" s="733"/>
      <c r="H577" s="733"/>
      <c r="I577" s="733"/>
      <c r="J577" s="733"/>
      <c r="K577" s="733"/>
      <c r="L577" s="733"/>
      <c r="M577" s="733"/>
    </row>
    <row r="578" spans="1:13" x14ac:dyDescent="0.3">
      <c r="A578" s="733" t="s">
        <v>1087</v>
      </c>
      <c r="B578" s="733" t="s">
        <v>612</v>
      </c>
      <c r="C578" s="733" t="s">
        <v>1089</v>
      </c>
      <c r="D578" s="733" t="s">
        <v>21</v>
      </c>
      <c r="E578" s="733" t="s">
        <v>614</v>
      </c>
      <c r="F578" s="733" t="s">
        <v>615</v>
      </c>
      <c r="G578" s="733"/>
      <c r="H578" s="733"/>
      <c r="I578" s="733"/>
      <c r="J578" s="733"/>
      <c r="K578" s="733"/>
      <c r="L578" s="733"/>
      <c r="M578" s="733"/>
    </row>
    <row r="579" spans="1:13" x14ac:dyDescent="0.3">
      <c r="A579" s="733" t="s">
        <v>1087</v>
      </c>
      <c r="B579" s="733" t="s">
        <v>612</v>
      </c>
      <c r="C579" s="733" t="s">
        <v>1090</v>
      </c>
      <c r="D579" s="733" t="s">
        <v>21</v>
      </c>
      <c r="E579" s="733" t="s">
        <v>614</v>
      </c>
      <c r="F579" s="733" t="s">
        <v>615</v>
      </c>
      <c r="G579" s="733"/>
      <c r="H579" s="733"/>
      <c r="I579" s="733"/>
      <c r="J579" s="733"/>
      <c r="K579" s="733"/>
      <c r="L579" s="733"/>
      <c r="M579" s="733"/>
    </row>
    <row r="580" spans="1:13" x14ac:dyDescent="0.3">
      <c r="A580" s="733" t="s">
        <v>1087</v>
      </c>
      <c r="B580" s="733" t="s">
        <v>612</v>
      </c>
      <c r="C580" s="733" t="s">
        <v>995</v>
      </c>
      <c r="D580" s="733" t="s">
        <v>21</v>
      </c>
      <c r="E580" s="733" t="s">
        <v>614</v>
      </c>
      <c r="F580" s="733" t="s">
        <v>615</v>
      </c>
      <c r="G580" s="733"/>
      <c r="H580" s="733"/>
      <c r="I580" s="733"/>
      <c r="J580" s="733"/>
      <c r="K580" s="733"/>
      <c r="L580" s="733"/>
      <c r="M580" s="733"/>
    </row>
    <row r="581" spans="1:13" x14ac:dyDescent="0.3">
      <c r="A581" s="733" t="s">
        <v>1087</v>
      </c>
      <c r="B581" s="733" t="s">
        <v>612</v>
      </c>
      <c r="C581" s="733" t="s">
        <v>996</v>
      </c>
      <c r="D581" s="733" t="s">
        <v>21</v>
      </c>
      <c r="E581" s="733" t="s">
        <v>614</v>
      </c>
      <c r="F581" s="733" t="s">
        <v>615</v>
      </c>
      <c r="G581" s="733"/>
      <c r="H581" s="733"/>
      <c r="I581" s="733"/>
      <c r="J581" s="733"/>
      <c r="K581" s="733"/>
      <c r="L581" s="733"/>
      <c r="M581" s="733"/>
    </row>
    <row r="582" spans="1:13" x14ac:dyDescent="0.3">
      <c r="A582" s="733" t="s">
        <v>1087</v>
      </c>
      <c r="B582" s="733" t="s">
        <v>612</v>
      </c>
      <c r="C582" s="733" t="s">
        <v>998</v>
      </c>
      <c r="D582" s="733" t="s">
        <v>21</v>
      </c>
      <c r="E582" s="733" t="s">
        <v>614</v>
      </c>
      <c r="F582" s="733" t="s">
        <v>615</v>
      </c>
      <c r="G582" s="733"/>
      <c r="H582" s="733"/>
      <c r="I582" s="733"/>
      <c r="J582" s="733"/>
      <c r="K582" s="733"/>
      <c r="L582" s="733"/>
      <c r="M582" s="733"/>
    </row>
    <row r="583" spans="1:13" x14ac:dyDescent="0.3">
      <c r="A583" s="733" t="s">
        <v>1087</v>
      </c>
      <c r="B583" s="733" t="s">
        <v>612</v>
      </c>
      <c r="C583" s="733" t="s">
        <v>1000</v>
      </c>
      <c r="D583" s="733" t="s">
        <v>21</v>
      </c>
      <c r="E583" s="733" t="s">
        <v>614</v>
      </c>
      <c r="F583" s="733" t="s">
        <v>615</v>
      </c>
      <c r="G583" s="733"/>
      <c r="H583" s="733"/>
      <c r="I583" s="733"/>
      <c r="J583" s="733"/>
      <c r="K583" s="733"/>
      <c r="L583" s="733"/>
      <c r="M583" s="733"/>
    </row>
    <row r="584" spans="1:13" x14ac:dyDescent="0.3">
      <c r="A584" s="733" t="s">
        <v>1087</v>
      </c>
      <c r="B584" s="733" t="s">
        <v>612</v>
      </c>
      <c r="C584" s="733" t="s">
        <v>1091</v>
      </c>
      <c r="D584" s="733" t="s">
        <v>21</v>
      </c>
      <c r="E584" s="733" t="s">
        <v>614</v>
      </c>
      <c r="F584" s="733" t="s">
        <v>615</v>
      </c>
      <c r="G584" s="733"/>
      <c r="H584" s="733"/>
      <c r="I584" s="733"/>
      <c r="J584" s="733"/>
      <c r="K584" s="733"/>
      <c r="L584" s="733"/>
      <c r="M584" s="733"/>
    </row>
    <row r="585" spans="1:13" x14ac:dyDescent="0.3">
      <c r="A585" s="733" t="s">
        <v>1087</v>
      </c>
      <c r="B585" s="733" t="s">
        <v>612</v>
      </c>
      <c r="C585" s="733" t="s">
        <v>1002</v>
      </c>
      <c r="D585" s="733" t="s">
        <v>21</v>
      </c>
      <c r="E585" s="733" t="s">
        <v>614</v>
      </c>
      <c r="F585" s="733" t="s">
        <v>615</v>
      </c>
      <c r="G585" s="733"/>
      <c r="H585" s="733"/>
      <c r="I585" s="733"/>
      <c r="J585" s="733"/>
      <c r="K585" s="733"/>
      <c r="L585" s="733"/>
      <c r="M585" s="733"/>
    </row>
    <row r="586" spans="1:13" x14ac:dyDescent="0.3">
      <c r="A586" s="733" t="s">
        <v>1087</v>
      </c>
      <c r="B586" s="733" t="s">
        <v>645</v>
      </c>
      <c r="C586" s="733" t="s">
        <v>1007</v>
      </c>
      <c r="D586" s="733" t="s">
        <v>21</v>
      </c>
      <c r="E586" s="733" t="s">
        <v>614</v>
      </c>
      <c r="F586" s="733" t="s">
        <v>615</v>
      </c>
      <c r="G586" s="733"/>
      <c r="H586" s="733"/>
      <c r="I586" s="733"/>
      <c r="J586" s="733"/>
      <c r="K586" s="733"/>
      <c r="L586" s="733"/>
      <c r="M586" s="733"/>
    </row>
    <row r="587" spans="1:13" x14ac:dyDescent="0.3">
      <c r="A587" s="733" t="s">
        <v>1087</v>
      </c>
      <c r="B587" s="733" t="s">
        <v>645</v>
      </c>
      <c r="C587" s="733" t="s">
        <v>1008</v>
      </c>
      <c r="D587" s="733" t="s">
        <v>21</v>
      </c>
      <c r="E587" s="733" t="s">
        <v>614</v>
      </c>
      <c r="F587" s="733" t="s">
        <v>615</v>
      </c>
      <c r="G587" s="733"/>
      <c r="H587" s="733"/>
      <c r="I587" s="733"/>
      <c r="J587" s="733"/>
      <c r="K587" s="733"/>
      <c r="L587" s="733"/>
      <c r="M587" s="733"/>
    </row>
    <row r="588" spans="1:13" x14ac:dyDescent="0.3">
      <c r="A588" s="733" t="s">
        <v>1087</v>
      </c>
      <c r="B588" s="733" t="s">
        <v>645</v>
      </c>
      <c r="C588" s="733" t="s">
        <v>1092</v>
      </c>
      <c r="D588" s="733" t="s">
        <v>21</v>
      </c>
      <c r="E588" s="733" t="s">
        <v>614</v>
      </c>
      <c r="F588" s="733" t="s">
        <v>615</v>
      </c>
      <c r="G588" s="733"/>
      <c r="H588" s="733"/>
      <c r="I588" s="733"/>
      <c r="J588" s="733"/>
      <c r="K588" s="733"/>
      <c r="L588" s="733"/>
      <c r="M588" s="733"/>
    </row>
    <row r="589" spans="1:13" x14ac:dyDescent="0.3">
      <c r="A589" s="733" t="s">
        <v>1087</v>
      </c>
      <c r="B589" s="733" t="s">
        <v>645</v>
      </c>
      <c r="C589" s="733" t="s">
        <v>1013</v>
      </c>
      <c r="D589" s="733" t="s">
        <v>21</v>
      </c>
      <c r="E589" s="733" t="s">
        <v>614</v>
      </c>
      <c r="F589" s="733" t="s">
        <v>615</v>
      </c>
      <c r="G589" s="733"/>
      <c r="H589" s="733"/>
      <c r="I589" s="733"/>
      <c r="J589" s="733"/>
      <c r="K589" s="733"/>
      <c r="L589" s="733"/>
      <c r="M589" s="733"/>
    </row>
    <row r="590" spans="1:13" x14ac:dyDescent="0.3">
      <c r="A590" s="733" t="s">
        <v>1087</v>
      </c>
      <c r="B590" s="733" t="s">
        <v>645</v>
      </c>
      <c r="C590" s="733" t="s">
        <v>1093</v>
      </c>
      <c r="D590" s="733" t="s">
        <v>21</v>
      </c>
      <c r="E590" s="733" t="s">
        <v>614</v>
      </c>
      <c r="F590" s="733" t="s">
        <v>615</v>
      </c>
      <c r="G590" s="733"/>
      <c r="H590" s="733"/>
      <c r="I590" s="733"/>
      <c r="J590" s="733"/>
      <c r="K590" s="733"/>
      <c r="L590" s="733"/>
      <c r="M590" s="733"/>
    </row>
    <row r="591" spans="1:13" x14ac:dyDescent="0.3">
      <c r="A591" s="733" t="s">
        <v>1094</v>
      </c>
      <c r="B591" s="733" t="s">
        <v>612</v>
      </c>
      <c r="C591" s="733" t="s">
        <v>1095</v>
      </c>
      <c r="D591" s="733" t="s">
        <v>21</v>
      </c>
      <c r="E591" s="733" t="s">
        <v>614</v>
      </c>
      <c r="F591" s="733" t="s">
        <v>615</v>
      </c>
      <c r="G591" s="733"/>
      <c r="H591" s="733"/>
      <c r="I591" s="733"/>
      <c r="J591" s="733"/>
      <c r="K591" s="733"/>
      <c r="L591" s="733"/>
      <c r="M591" s="733"/>
    </row>
    <row r="592" spans="1:13" x14ac:dyDescent="0.3">
      <c r="A592" s="733" t="s">
        <v>1094</v>
      </c>
      <c r="B592" s="733" t="s">
        <v>612</v>
      </c>
      <c r="C592" s="733" t="s">
        <v>1096</v>
      </c>
      <c r="D592" s="733" t="s">
        <v>21</v>
      </c>
      <c r="E592" s="733" t="s">
        <v>614</v>
      </c>
      <c r="F592" s="733" t="s">
        <v>615</v>
      </c>
      <c r="G592" s="733"/>
      <c r="H592" s="733"/>
      <c r="I592" s="733"/>
      <c r="J592" s="733"/>
      <c r="K592" s="733"/>
      <c r="L592" s="733"/>
      <c r="M592" s="733"/>
    </row>
    <row r="593" spans="1:13" x14ac:dyDescent="0.3">
      <c r="A593" s="733" t="s">
        <v>1094</v>
      </c>
      <c r="B593" s="733" t="s">
        <v>612</v>
      </c>
      <c r="C593" s="733" t="s">
        <v>1097</v>
      </c>
      <c r="D593" s="733" t="s">
        <v>21</v>
      </c>
      <c r="E593" s="733" t="s">
        <v>614</v>
      </c>
      <c r="F593" s="733" t="s">
        <v>615</v>
      </c>
      <c r="G593" s="733"/>
      <c r="H593" s="733"/>
      <c r="I593" s="733"/>
      <c r="J593" s="733"/>
      <c r="K593" s="733"/>
      <c r="L593" s="733"/>
      <c r="M593" s="733"/>
    </row>
    <row r="594" spans="1:13" x14ac:dyDescent="0.3">
      <c r="A594" s="733" t="s">
        <v>1094</v>
      </c>
      <c r="B594" s="733" t="s">
        <v>612</v>
      </c>
      <c r="C594" s="733" t="s">
        <v>1098</v>
      </c>
      <c r="D594" s="733" t="s">
        <v>21</v>
      </c>
      <c r="E594" s="733" t="s">
        <v>614</v>
      </c>
      <c r="F594" s="733" t="s">
        <v>615</v>
      </c>
      <c r="G594" s="733"/>
      <c r="H594" s="733"/>
      <c r="I594" s="733"/>
      <c r="J594" s="733"/>
      <c r="K594" s="733"/>
      <c r="L594" s="733"/>
      <c r="M594" s="733"/>
    </row>
    <row r="595" spans="1:13" x14ac:dyDescent="0.3">
      <c r="A595" s="733" t="s">
        <v>1094</v>
      </c>
      <c r="B595" s="733" t="s">
        <v>612</v>
      </c>
      <c r="C595" s="733" t="s">
        <v>1099</v>
      </c>
      <c r="D595" s="733" t="s">
        <v>21</v>
      </c>
      <c r="E595" s="733" t="s">
        <v>614</v>
      </c>
      <c r="F595" s="733" t="s">
        <v>615</v>
      </c>
      <c r="G595" s="733"/>
      <c r="H595" s="733"/>
      <c r="I595" s="733"/>
      <c r="J595" s="733"/>
      <c r="K595" s="733"/>
      <c r="L595" s="733"/>
      <c r="M595" s="733"/>
    </row>
    <row r="596" spans="1:13" x14ac:dyDescent="0.3">
      <c r="A596" s="733" t="s">
        <v>1094</v>
      </c>
      <c r="B596" s="733" t="s">
        <v>612</v>
      </c>
      <c r="C596" s="733" t="s">
        <v>1100</v>
      </c>
      <c r="D596" s="733" t="s">
        <v>21</v>
      </c>
      <c r="E596" s="733" t="s">
        <v>614</v>
      </c>
      <c r="F596" s="733" t="s">
        <v>615</v>
      </c>
      <c r="G596" s="733"/>
      <c r="H596" s="733"/>
      <c r="I596" s="733"/>
      <c r="J596" s="733"/>
      <c r="K596" s="733"/>
      <c r="L596" s="733"/>
      <c r="M596" s="733"/>
    </row>
    <row r="597" spans="1:13" x14ac:dyDescent="0.3">
      <c r="A597" s="733" t="s">
        <v>1094</v>
      </c>
      <c r="B597" s="733" t="s">
        <v>612</v>
      </c>
      <c r="C597" s="733" t="s">
        <v>1101</v>
      </c>
      <c r="D597" s="733" t="s">
        <v>21</v>
      </c>
      <c r="E597" s="733" t="s">
        <v>614</v>
      </c>
      <c r="F597" s="733" t="s">
        <v>615</v>
      </c>
      <c r="G597" s="733"/>
      <c r="H597" s="733"/>
      <c r="I597" s="733"/>
      <c r="J597" s="733"/>
      <c r="K597" s="733"/>
      <c r="L597" s="733"/>
      <c r="M597" s="733"/>
    </row>
    <row r="598" spans="1:13" x14ac:dyDescent="0.3">
      <c r="A598" s="733" t="s">
        <v>1102</v>
      </c>
      <c r="B598" s="733" t="s">
        <v>612</v>
      </c>
      <c r="C598" s="733" t="s">
        <v>750</v>
      </c>
      <c r="D598" s="733" t="s">
        <v>21</v>
      </c>
      <c r="E598" s="733" t="s">
        <v>614</v>
      </c>
      <c r="F598" s="733" t="s">
        <v>615</v>
      </c>
      <c r="G598" s="733"/>
      <c r="H598" s="733"/>
      <c r="I598" s="733"/>
      <c r="J598" s="733"/>
      <c r="K598" s="733"/>
      <c r="L598" s="733"/>
      <c r="M598" s="733"/>
    </row>
    <row r="599" spans="1:13" x14ac:dyDescent="0.3">
      <c r="A599" s="733" t="s">
        <v>1102</v>
      </c>
      <c r="B599" s="733" t="s">
        <v>612</v>
      </c>
      <c r="C599" s="733" t="s">
        <v>623</v>
      </c>
      <c r="D599" s="733" t="s">
        <v>21</v>
      </c>
      <c r="E599" s="733" t="s">
        <v>614</v>
      </c>
      <c r="F599" s="733" t="s">
        <v>615</v>
      </c>
      <c r="G599" s="733"/>
      <c r="H599" s="733"/>
      <c r="I599" s="733"/>
      <c r="J599" s="733"/>
      <c r="K599" s="733"/>
      <c r="L599" s="733"/>
      <c r="M599" s="733"/>
    </row>
    <row r="600" spans="1:13" x14ac:dyDescent="0.3">
      <c r="A600" s="733" t="s">
        <v>1102</v>
      </c>
      <c r="B600" s="733" t="s">
        <v>612</v>
      </c>
      <c r="C600" s="733" t="s">
        <v>685</v>
      </c>
      <c r="D600" s="733" t="s">
        <v>21</v>
      </c>
      <c r="E600" s="733" t="s">
        <v>614</v>
      </c>
      <c r="F600" s="733" t="s">
        <v>615</v>
      </c>
      <c r="G600" s="733"/>
      <c r="H600" s="733"/>
      <c r="I600" s="733"/>
      <c r="J600" s="733"/>
      <c r="K600" s="733"/>
      <c r="L600" s="733"/>
      <c r="M600" s="733"/>
    </row>
    <row r="601" spans="1:13" x14ac:dyDescent="0.3">
      <c r="A601" s="733" t="s">
        <v>1102</v>
      </c>
      <c r="B601" s="733" t="s">
        <v>612</v>
      </c>
      <c r="C601" s="733" t="s">
        <v>1103</v>
      </c>
      <c r="D601" s="733" t="s">
        <v>21</v>
      </c>
      <c r="E601" s="733" t="s">
        <v>614</v>
      </c>
      <c r="F601" s="733" t="s">
        <v>615</v>
      </c>
      <c r="G601" s="733"/>
      <c r="H601" s="733"/>
      <c r="I601" s="733"/>
      <c r="J601" s="733"/>
      <c r="K601" s="733"/>
      <c r="L601" s="733"/>
      <c r="M601" s="733"/>
    </row>
    <row r="602" spans="1:13" x14ac:dyDescent="0.3">
      <c r="A602" s="733" t="s">
        <v>1102</v>
      </c>
      <c r="B602" s="733" t="s">
        <v>612</v>
      </c>
      <c r="C602" s="733" t="s">
        <v>1104</v>
      </c>
      <c r="D602" s="733" t="s">
        <v>21</v>
      </c>
      <c r="E602" s="733" t="s">
        <v>614</v>
      </c>
      <c r="F602" s="733" t="s">
        <v>615</v>
      </c>
      <c r="G602" s="733"/>
      <c r="H602" s="733"/>
      <c r="I602" s="733"/>
      <c r="J602" s="733"/>
      <c r="K602" s="733"/>
      <c r="L602" s="733"/>
      <c r="M602" s="733"/>
    </row>
    <row r="603" spans="1:13" x14ac:dyDescent="0.3">
      <c r="A603" s="733" t="s">
        <v>1102</v>
      </c>
      <c r="B603" s="733" t="s">
        <v>612</v>
      </c>
      <c r="C603" s="733" t="s">
        <v>1105</v>
      </c>
      <c r="D603" s="733" t="s">
        <v>21</v>
      </c>
      <c r="E603" s="733" t="s">
        <v>614</v>
      </c>
      <c r="F603" s="733" t="s">
        <v>615</v>
      </c>
      <c r="G603" s="733"/>
      <c r="H603" s="733"/>
      <c r="I603" s="733"/>
      <c r="J603" s="733"/>
      <c r="K603" s="733"/>
      <c r="L603" s="733"/>
      <c r="M603" s="733"/>
    </row>
    <row r="604" spans="1:13" x14ac:dyDescent="0.3">
      <c r="A604" s="733" t="s">
        <v>1102</v>
      </c>
      <c r="B604" s="733" t="s">
        <v>612</v>
      </c>
      <c r="C604" s="733" t="s">
        <v>1106</v>
      </c>
      <c r="D604" s="733" t="s">
        <v>21</v>
      </c>
      <c r="E604" s="733" t="s">
        <v>614</v>
      </c>
      <c r="F604" s="733" t="s">
        <v>615</v>
      </c>
      <c r="G604" s="733"/>
      <c r="H604" s="733"/>
      <c r="I604" s="733"/>
      <c r="J604" s="733"/>
      <c r="K604" s="733"/>
      <c r="L604" s="733"/>
      <c r="M604" s="733"/>
    </row>
    <row r="605" spans="1:13" x14ac:dyDescent="0.3">
      <c r="A605" s="733" t="s">
        <v>1102</v>
      </c>
      <c r="B605" s="733" t="s">
        <v>612</v>
      </c>
      <c r="C605" s="733" t="s">
        <v>1107</v>
      </c>
      <c r="D605" s="733" t="s">
        <v>21</v>
      </c>
      <c r="E605" s="733" t="s">
        <v>614</v>
      </c>
      <c r="F605" s="733" t="s">
        <v>615</v>
      </c>
      <c r="G605" s="733"/>
      <c r="H605" s="733"/>
      <c r="I605" s="733"/>
      <c r="J605" s="733"/>
      <c r="K605" s="733"/>
      <c r="L605" s="733"/>
      <c r="M605" s="733"/>
    </row>
    <row r="606" spans="1:13" x14ac:dyDescent="0.3">
      <c r="A606" s="733" t="s">
        <v>1102</v>
      </c>
      <c r="B606" s="733" t="s">
        <v>612</v>
      </c>
      <c r="C606" s="733" t="s">
        <v>1108</v>
      </c>
      <c r="D606" s="733" t="s">
        <v>21</v>
      </c>
      <c r="E606" s="733" t="s">
        <v>614</v>
      </c>
      <c r="F606" s="733" t="s">
        <v>615</v>
      </c>
      <c r="G606" s="733"/>
      <c r="H606" s="733"/>
      <c r="I606" s="733"/>
      <c r="J606" s="733"/>
      <c r="K606" s="733"/>
      <c r="L606" s="733"/>
      <c r="M606" s="733"/>
    </row>
    <row r="607" spans="1:13" x14ac:dyDescent="0.3">
      <c r="A607" s="733" t="s">
        <v>1102</v>
      </c>
      <c r="B607" s="733" t="s">
        <v>612</v>
      </c>
      <c r="C607" s="733" t="s">
        <v>642</v>
      </c>
      <c r="D607" s="733" t="s">
        <v>21</v>
      </c>
      <c r="E607" s="733" t="s">
        <v>614</v>
      </c>
      <c r="F607" s="733" t="s">
        <v>615</v>
      </c>
      <c r="G607" s="733"/>
      <c r="H607" s="733"/>
      <c r="I607" s="733"/>
      <c r="J607" s="733"/>
      <c r="K607" s="733"/>
      <c r="L607" s="733"/>
      <c r="M607" s="733"/>
    </row>
    <row r="608" spans="1:13" x14ac:dyDescent="0.3">
      <c r="A608" s="733" t="s">
        <v>1102</v>
      </c>
      <c r="B608" s="733" t="s">
        <v>612</v>
      </c>
      <c r="C608" s="733" t="s">
        <v>1109</v>
      </c>
      <c r="D608" s="733" t="s">
        <v>21</v>
      </c>
      <c r="E608" s="733" t="s">
        <v>614</v>
      </c>
      <c r="F608" s="733" t="s">
        <v>615</v>
      </c>
      <c r="G608" s="733"/>
      <c r="H608" s="733"/>
      <c r="I608" s="733"/>
      <c r="J608" s="733"/>
      <c r="K608" s="733"/>
      <c r="L608" s="733"/>
      <c r="M608" s="733"/>
    </row>
    <row r="609" spans="1:13" x14ac:dyDescent="0.3">
      <c r="A609" s="733" t="s">
        <v>1102</v>
      </c>
      <c r="B609" s="733" t="s">
        <v>612</v>
      </c>
      <c r="C609" s="733" t="s">
        <v>1110</v>
      </c>
      <c r="D609" s="733" t="s">
        <v>21</v>
      </c>
      <c r="E609" s="733" t="s">
        <v>614</v>
      </c>
      <c r="F609" s="733" t="s">
        <v>615</v>
      </c>
      <c r="G609" s="733"/>
      <c r="H609" s="733"/>
      <c r="I609" s="733"/>
      <c r="J609" s="733"/>
      <c r="K609" s="733"/>
      <c r="L609" s="733"/>
      <c r="M609" s="733"/>
    </row>
    <row r="610" spans="1:13" x14ac:dyDescent="0.3">
      <c r="A610" s="733" t="s">
        <v>1102</v>
      </c>
      <c r="B610" s="733" t="s">
        <v>612</v>
      </c>
      <c r="C610" s="733" t="s">
        <v>1111</v>
      </c>
      <c r="D610" s="733" t="s">
        <v>21</v>
      </c>
      <c r="E610" s="733" t="s">
        <v>614</v>
      </c>
      <c r="F610" s="733" t="s">
        <v>615</v>
      </c>
      <c r="G610" s="733"/>
      <c r="H610" s="733"/>
      <c r="I610" s="733"/>
      <c r="J610" s="733"/>
      <c r="K610" s="733"/>
      <c r="L610" s="733"/>
      <c r="M610" s="733"/>
    </row>
    <row r="611" spans="1:13" x14ac:dyDescent="0.3">
      <c r="A611" s="733" t="s">
        <v>1102</v>
      </c>
      <c r="B611" s="733" t="s">
        <v>645</v>
      </c>
      <c r="C611" s="733" t="s">
        <v>1112</v>
      </c>
      <c r="D611" s="733" t="s">
        <v>21</v>
      </c>
      <c r="E611" s="733" t="s">
        <v>614</v>
      </c>
      <c r="F611" s="733" t="s">
        <v>615</v>
      </c>
      <c r="G611" s="733"/>
      <c r="H611" s="733"/>
      <c r="I611" s="733"/>
      <c r="J611" s="733"/>
      <c r="K611" s="733"/>
      <c r="L611" s="733"/>
      <c r="M611" s="733"/>
    </row>
    <row r="612" spans="1:13" x14ac:dyDescent="0.3">
      <c r="A612" s="733" t="s">
        <v>1102</v>
      </c>
      <c r="B612" s="733" t="s">
        <v>645</v>
      </c>
      <c r="C612" s="733" t="s">
        <v>1113</v>
      </c>
      <c r="D612" s="733" t="s">
        <v>21</v>
      </c>
      <c r="E612" s="733" t="s">
        <v>614</v>
      </c>
      <c r="F612" s="733" t="s">
        <v>615</v>
      </c>
      <c r="G612" s="733"/>
      <c r="H612" s="733"/>
      <c r="I612" s="733"/>
      <c r="J612" s="733"/>
      <c r="K612" s="733"/>
      <c r="L612" s="733"/>
      <c r="M612" s="733"/>
    </row>
    <row r="613" spans="1:13" x14ac:dyDescent="0.3">
      <c r="A613" s="733" t="s">
        <v>1102</v>
      </c>
      <c r="B613" s="733" t="s">
        <v>645</v>
      </c>
      <c r="C613" s="733" t="s">
        <v>653</v>
      </c>
      <c r="D613" s="733" t="s">
        <v>21</v>
      </c>
      <c r="E613" s="733" t="s">
        <v>614</v>
      </c>
      <c r="F613" s="733" t="s">
        <v>615</v>
      </c>
      <c r="G613" s="733"/>
      <c r="H613" s="733"/>
      <c r="I613" s="733"/>
      <c r="J613" s="733"/>
      <c r="K613" s="733"/>
      <c r="L613" s="733"/>
      <c r="M613" s="733"/>
    </row>
    <row r="614" spans="1:13" x14ac:dyDescent="0.3">
      <c r="A614" s="733" t="s">
        <v>1102</v>
      </c>
      <c r="B614" s="733" t="s">
        <v>645</v>
      </c>
      <c r="C614" s="733" t="s">
        <v>1114</v>
      </c>
      <c r="D614" s="733" t="s">
        <v>21</v>
      </c>
      <c r="E614" s="733" t="s">
        <v>614</v>
      </c>
      <c r="F614" s="733" t="s">
        <v>615</v>
      </c>
      <c r="G614" s="733"/>
      <c r="H614" s="733"/>
      <c r="I614" s="733"/>
      <c r="J614" s="733"/>
      <c r="K614" s="733"/>
      <c r="L614" s="733"/>
      <c r="M614" s="733"/>
    </row>
    <row r="615" spans="1:13" x14ac:dyDescent="0.3">
      <c r="A615" s="733" t="s">
        <v>1102</v>
      </c>
      <c r="B615" s="733" t="s">
        <v>645</v>
      </c>
      <c r="C615" s="733" t="s">
        <v>1115</v>
      </c>
      <c r="D615" s="733" t="s">
        <v>21</v>
      </c>
      <c r="E615" s="733" t="s">
        <v>614</v>
      </c>
      <c r="F615" s="733" t="s">
        <v>615</v>
      </c>
      <c r="G615" s="733"/>
      <c r="H615" s="733"/>
      <c r="I615" s="733"/>
      <c r="J615" s="733"/>
      <c r="K615" s="733"/>
      <c r="L615" s="733"/>
      <c r="M615" s="733"/>
    </row>
    <row r="616" spans="1:13" x14ac:dyDescent="0.3">
      <c r="A616" s="733" t="s">
        <v>1102</v>
      </c>
      <c r="B616" s="733" t="s">
        <v>645</v>
      </c>
      <c r="C616" s="733" t="s">
        <v>1116</v>
      </c>
      <c r="D616" s="733" t="s">
        <v>21</v>
      </c>
      <c r="E616" s="733" t="s">
        <v>614</v>
      </c>
      <c r="F616" s="733" t="s">
        <v>615</v>
      </c>
      <c r="G616" s="733"/>
      <c r="H616" s="733"/>
      <c r="I616" s="733"/>
      <c r="J616" s="733"/>
      <c r="K616" s="733"/>
      <c r="L616" s="733"/>
      <c r="M616" s="733"/>
    </row>
    <row r="617" spans="1:13" x14ac:dyDescent="0.3">
      <c r="A617" s="733" t="s">
        <v>1102</v>
      </c>
      <c r="B617" s="733" t="s">
        <v>664</v>
      </c>
      <c r="C617" s="733" t="s">
        <v>1117</v>
      </c>
      <c r="D617" s="733" t="s">
        <v>21</v>
      </c>
      <c r="E617" s="733" t="s">
        <v>614</v>
      </c>
      <c r="F617" s="733" t="s">
        <v>615</v>
      </c>
      <c r="G617" s="733"/>
      <c r="H617" s="733"/>
      <c r="I617" s="733"/>
      <c r="J617" s="733"/>
      <c r="K617" s="733"/>
      <c r="L617" s="733"/>
      <c r="M617" s="733"/>
    </row>
    <row r="618" spans="1:13" x14ac:dyDescent="0.3">
      <c r="A618" s="733" t="s">
        <v>1102</v>
      </c>
      <c r="B618" s="733" t="s">
        <v>664</v>
      </c>
      <c r="C618" s="733" t="s">
        <v>1118</v>
      </c>
      <c r="D618" s="733" t="s">
        <v>21</v>
      </c>
      <c r="E618" s="733" t="s">
        <v>614</v>
      </c>
      <c r="F618" s="733" t="s">
        <v>615</v>
      </c>
      <c r="G618" s="733"/>
      <c r="H618" s="733"/>
      <c r="I618" s="733"/>
      <c r="J618" s="733"/>
      <c r="K618" s="733"/>
      <c r="L618" s="733"/>
      <c r="M618" s="733"/>
    </row>
    <row r="619" spans="1:13" x14ac:dyDescent="0.3">
      <c r="A619" s="733" t="s">
        <v>1102</v>
      </c>
      <c r="B619" s="733" t="s">
        <v>664</v>
      </c>
      <c r="C619" s="733" t="s">
        <v>1119</v>
      </c>
      <c r="D619" s="733" t="s">
        <v>21</v>
      </c>
      <c r="E619" s="733" t="s">
        <v>614</v>
      </c>
      <c r="F619" s="733" t="s">
        <v>615</v>
      </c>
      <c r="G619" s="733"/>
      <c r="H619" s="733"/>
      <c r="I619" s="733"/>
      <c r="J619" s="733"/>
      <c r="K619" s="733"/>
      <c r="L619" s="733"/>
      <c r="M619" s="733"/>
    </row>
    <row r="620" spans="1:13" x14ac:dyDescent="0.3">
      <c r="A620" s="733" t="s">
        <v>1102</v>
      </c>
      <c r="B620" s="733" t="s">
        <v>664</v>
      </c>
      <c r="C620" s="733" t="s">
        <v>1120</v>
      </c>
      <c r="D620" s="733" t="s">
        <v>21</v>
      </c>
      <c r="E620" s="733" t="s">
        <v>614</v>
      </c>
      <c r="F620" s="733" t="s">
        <v>615</v>
      </c>
      <c r="G620" s="733"/>
      <c r="H620" s="733"/>
      <c r="I620" s="733"/>
      <c r="J620" s="733"/>
      <c r="K620" s="733"/>
      <c r="L620" s="733"/>
      <c r="M620" s="733"/>
    </row>
    <row r="621" spans="1:13" x14ac:dyDescent="0.3">
      <c r="A621" s="733" t="s">
        <v>1102</v>
      </c>
      <c r="B621" s="733" t="s">
        <v>664</v>
      </c>
      <c r="C621" s="733" t="s">
        <v>1121</v>
      </c>
      <c r="D621" s="733" t="s">
        <v>21</v>
      </c>
      <c r="E621" s="733" t="s">
        <v>614</v>
      </c>
      <c r="F621" s="733" t="s">
        <v>615</v>
      </c>
      <c r="G621" s="733"/>
      <c r="H621" s="733"/>
      <c r="I621" s="733"/>
      <c r="J621" s="733"/>
      <c r="K621" s="733"/>
      <c r="L621" s="733"/>
      <c r="M621" s="733"/>
    </row>
    <row r="622" spans="1:13" x14ac:dyDescent="0.3">
      <c r="A622" s="733" t="s">
        <v>1102</v>
      </c>
      <c r="B622" s="733" t="s">
        <v>664</v>
      </c>
      <c r="C622" s="733" t="s">
        <v>711</v>
      </c>
      <c r="D622" s="733" t="s">
        <v>21</v>
      </c>
      <c r="E622" s="733" t="s">
        <v>614</v>
      </c>
      <c r="F622" s="733" t="s">
        <v>615</v>
      </c>
      <c r="G622" s="733"/>
      <c r="H622" s="733"/>
      <c r="I622" s="733"/>
      <c r="J622" s="733"/>
      <c r="K622" s="733"/>
      <c r="L622" s="733"/>
      <c r="M622" s="733"/>
    </row>
    <row r="623" spans="1:13" x14ac:dyDescent="0.3">
      <c r="A623" s="733" t="s">
        <v>1122</v>
      </c>
      <c r="B623" s="733" t="s">
        <v>612</v>
      </c>
      <c r="C623" s="733" t="s">
        <v>625</v>
      </c>
      <c r="D623" s="733" t="s">
        <v>21</v>
      </c>
      <c r="E623" s="733" t="s">
        <v>614</v>
      </c>
      <c r="F623" s="733" t="s">
        <v>615</v>
      </c>
      <c r="G623" s="733"/>
      <c r="H623" s="733"/>
      <c r="I623" s="733"/>
      <c r="J623" s="733"/>
      <c r="K623" s="733"/>
      <c r="L623" s="733"/>
      <c r="M623" s="733"/>
    </row>
    <row r="624" spans="1:13" x14ac:dyDescent="0.3">
      <c r="A624" s="733" t="s">
        <v>1122</v>
      </c>
      <c r="B624" s="733" t="s">
        <v>612</v>
      </c>
      <c r="C624" s="733" t="s">
        <v>761</v>
      </c>
      <c r="D624" s="733" t="s">
        <v>21</v>
      </c>
      <c r="E624" s="733" t="s">
        <v>614</v>
      </c>
      <c r="F624" s="733" t="s">
        <v>615</v>
      </c>
      <c r="G624" s="733"/>
      <c r="H624" s="733"/>
      <c r="I624" s="733"/>
      <c r="J624" s="733"/>
      <c r="K624" s="733"/>
      <c r="L624" s="733"/>
      <c r="M624" s="733"/>
    </row>
    <row r="625" spans="1:13" x14ac:dyDescent="0.3">
      <c r="A625" s="733" t="s">
        <v>1122</v>
      </c>
      <c r="B625" s="733" t="s">
        <v>645</v>
      </c>
      <c r="C625" s="733" t="s">
        <v>775</v>
      </c>
      <c r="D625" s="733" t="s">
        <v>21</v>
      </c>
      <c r="E625" s="733" t="s">
        <v>614</v>
      </c>
      <c r="F625" s="733" t="s">
        <v>615</v>
      </c>
      <c r="G625" s="733"/>
      <c r="H625" s="733"/>
      <c r="I625" s="733"/>
      <c r="J625" s="733"/>
      <c r="K625" s="733"/>
      <c r="L625" s="733"/>
      <c r="M625" s="733"/>
    </row>
    <row r="626" spans="1:13" x14ac:dyDescent="0.3">
      <c r="A626" s="733" t="s">
        <v>1122</v>
      </c>
      <c r="B626" s="733" t="s">
        <v>645</v>
      </c>
      <c r="C626" s="733" t="s">
        <v>1123</v>
      </c>
      <c r="D626" s="733" t="s">
        <v>21</v>
      </c>
      <c r="E626" s="733" t="s">
        <v>614</v>
      </c>
      <c r="F626" s="733" t="s">
        <v>615</v>
      </c>
      <c r="G626" s="733"/>
      <c r="H626" s="733"/>
      <c r="I626" s="733"/>
      <c r="J626" s="733"/>
      <c r="K626" s="733"/>
      <c r="L626" s="733"/>
      <c r="M626" s="733"/>
    </row>
    <row r="627" spans="1:13" x14ac:dyDescent="0.3">
      <c r="A627" s="733" t="s">
        <v>1122</v>
      </c>
      <c r="B627" s="733" t="s">
        <v>645</v>
      </c>
      <c r="C627" s="733" t="s">
        <v>1124</v>
      </c>
      <c r="D627" s="733" t="s">
        <v>21</v>
      </c>
      <c r="E627" s="733" t="s">
        <v>614</v>
      </c>
      <c r="F627" s="733" t="s">
        <v>615</v>
      </c>
      <c r="G627" s="733"/>
      <c r="H627" s="733"/>
      <c r="I627" s="733"/>
      <c r="J627" s="733"/>
      <c r="K627" s="733"/>
      <c r="L627" s="733"/>
      <c r="M627" s="733"/>
    </row>
    <row r="628" spans="1:13" x14ac:dyDescent="0.3">
      <c r="A628" s="733" t="s">
        <v>1122</v>
      </c>
      <c r="B628" s="733" t="s">
        <v>645</v>
      </c>
      <c r="C628" s="733" t="s">
        <v>1125</v>
      </c>
      <c r="D628" s="733" t="s">
        <v>21</v>
      </c>
      <c r="E628" s="733" t="s">
        <v>614</v>
      </c>
      <c r="F628" s="733" t="s">
        <v>615</v>
      </c>
      <c r="G628" s="733"/>
      <c r="H628" s="733"/>
      <c r="I628" s="733"/>
      <c r="J628" s="733"/>
      <c r="K628" s="733"/>
      <c r="L628" s="733"/>
      <c r="M628" s="733"/>
    </row>
    <row r="629" spans="1:13" x14ac:dyDescent="0.3">
      <c r="A629" s="733" t="s">
        <v>1122</v>
      </c>
      <c r="B629" s="733" t="s">
        <v>645</v>
      </c>
      <c r="C629" s="733" t="s">
        <v>783</v>
      </c>
      <c r="D629" s="733" t="s">
        <v>21</v>
      </c>
      <c r="E629" s="733" t="s">
        <v>614</v>
      </c>
      <c r="F629" s="733" t="s">
        <v>615</v>
      </c>
      <c r="G629" s="733"/>
      <c r="H629" s="733"/>
      <c r="I629" s="733"/>
      <c r="J629" s="733"/>
      <c r="K629" s="733"/>
      <c r="L629" s="733"/>
      <c r="M629" s="733"/>
    </row>
    <row r="630" spans="1:13" x14ac:dyDescent="0.3">
      <c r="A630" s="733" t="s">
        <v>1122</v>
      </c>
      <c r="B630" s="733" t="s">
        <v>645</v>
      </c>
      <c r="C630" s="733" t="s">
        <v>785</v>
      </c>
      <c r="D630" s="733" t="s">
        <v>21</v>
      </c>
      <c r="E630" s="733" t="s">
        <v>614</v>
      </c>
      <c r="F630" s="733" t="s">
        <v>615</v>
      </c>
      <c r="G630" s="733"/>
      <c r="H630" s="733"/>
      <c r="I630" s="733"/>
      <c r="J630" s="733"/>
      <c r="K630" s="733"/>
      <c r="L630" s="733"/>
      <c r="M630" s="733"/>
    </row>
    <row r="631" spans="1:13" x14ac:dyDescent="0.3">
      <c r="A631" s="733" t="s">
        <v>1122</v>
      </c>
      <c r="B631" s="733" t="s">
        <v>645</v>
      </c>
      <c r="C631" s="733" t="s">
        <v>788</v>
      </c>
      <c r="D631" s="733" t="s">
        <v>21</v>
      </c>
      <c r="E631" s="733" t="s">
        <v>614</v>
      </c>
      <c r="F631" s="733" t="s">
        <v>615</v>
      </c>
      <c r="G631" s="733"/>
      <c r="H631" s="733"/>
      <c r="I631" s="733"/>
      <c r="J631" s="733"/>
      <c r="K631" s="733"/>
      <c r="L631" s="733"/>
      <c r="M631" s="733"/>
    </row>
    <row r="632" spans="1:13" x14ac:dyDescent="0.3">
      <c r="A632" s="733" t="s">
        <v>1122</v>
      </c>
      <c r="B632" s="733" t="s">
        <v>664</v>
      </c>
      <c r="C632" s="733" t="s">
        <v>791</v>
      </c>
      <c r="D632" s="733" t="s">
        <v>21</v>
      </c>
      <c r="E632" s="733" t="s">
        <v>614</v>
      </c>
      <c r="F632" s="733" t="s">
        <v>615</v>
      </c>
      <c r="G632" s="733"/>
      <c r="H632" s="733"/>
      <c r="I632" s="733"/>
      <c r="J632" s="733"/>
      <c r="K632" s="733"/>
      <c r="L632" s="733"/>
      <c r="M632" s="733"/>
    </row>
    <row r="633" spans="1:13" x14ac:dyDescent="0.3">
      <c r="A633" s="733" t="s">
        <v>1122</v>
      </c>
      <c r="B633" s="733" t="s">
        <v>664</v>
      </c>
      <c r="C633" s="733" t="s">
        <v>801</v>
      </c>
      <c r="D633" s="733" t="s">
        <v>21</v>
      </c>
      <c r="E633" s="733" t="s">
        <v>614</v>
      </c>
      <c r="F633" s="733" t="s">
        <v>615</v>
      </c>
      <c r="G633" s="733"/>
      <c r="H633" s="733"/>
      <c r="I633" s="733"/>
      <c r="J633" s="733"/>
      <c r="K633" s="733"/>
      <c r="L633" s="733"/>
      <c r="M633" s="733"/>
    </row>
    <row r="634" spans="1:13" x14ac:dyDescent="0.3">
      <c r="A634" s="733" t="s">
        <v>1122</v>
      </c>
      <c r="B634" s="733" t="s">
        <v>664</v>
      </c>
      <c r="C634" s="733" t="s">
        <v>1126</v>
      </c>
      <c r="D634" s="733" t="s">
        <v>21</v>
      </c>
      <c r="E634" s="733" t="s">
        <v>614</v>
      </c>
      <c r="F634" s="733" t="s">
        <v>615</v>
      </c>
      <c r="G634" s="733"/>
      <c r="H634" s="733"/>
      <c r="I634" s="733"/>
      <c r="J634" s="733"/>
      <c r="K634" s="733"/>
      <c r="L634" s="733"/>
      <c r="M634" s="733"/>
    </row>
    <row r="635" spans="1:13" x14ac:dyDescent="0.3">
      <c r="A635" s="733" t="s">
        <v>1122</v>
      </c>
      <c r="B635" s="733" t="s">
        <v>664</v>
      </c>
      <c r="C635" s="733" t="s">
        <v>1127</v>
      </c>
      <c r="D635" s="733" t="s">
        <v>21</v>
      </c>
      <c r="E635" s="733" t="s">
        <v>614</v>
      </c>
      <c r="F635" s="733" t="s">
        <v>615</v>
      </c>
      <c r="G635" s="733"/>
      <c r="H635" s="733"/>
      <c r="I635" s="733"/>
      <c r="J635" s="733"/>
      <c r="K635" s="733"/>
      <c r="L635" s="733"/>
      <c r="M635" s="733"/>
    </row>
    <row r="636" spans="1:13" x14ac:dyDescent="0.3">
      <c r="A636" s="733" t="s">
        <v>1128</v>
      </c>
      <c r="B636" s="733" t="s">
        <v>612</v>
      </c>
      <c r="C636" s="733" t="s">
        <v>1129</v>
      </c>
      <c r="D636" s="733" t="s">
        <v>21</v>
      </c>
      <c r="E636" s="733" t="s">
        <v>614</v>
      </c>
      <c r="F636" s="733" t="s">
        <v>615</v>
      </c>
      <c r="G636" s="733"/>
      <c r="H636" s="733"/>
      <c r="I636" s="733"/>
      <c r="J636" s="733"/>
      <c r="K636" s="733"/>
      <c r="L636" s="733"/>
      <c r="M636" s="733"/>
    </row>
    <row r="637" spans="1:13" x14ac:dyDescent="0.3">
      <c r="A637" s="733" t="s">
        <v>1128</v>
      </c>
      <c r="B637" s="733" t="s">
        <v>612</v>
      </c>
      <c r="C637" s="733" t="s">
        <v>1130</v>
      </c>
      <c r="D637" s="733" t="s">
        <v>21</v>
      </c>
      <c r="E637" s="733" t="s">
        <v>614</v>
      </c>
      <c r="F637" s="733" t="s">
        <v>615</v>
      </c>
      <c r="G637" s="733"/>
      <c r="H637" s="733"/>
      <c r="I637" s="733"/>
      <c r="J637" s="733"/>
      <c r="K637" s="733"/>
      <c r="L637" s="733"/>
      <c r="M637" s="733"/>
    </row>
    <row r="638" spans="1:13" x14ac:dyDescent="0.3">
      <c r="A638" s="733" t="s">
        <v>1131</v>
      </c>
      <c r="B638" s="733" t="s">
        <v>612</v>
      </c>
      <c r="C638" s="733" t="s">
        <v>1132</v>
      </c>
      <c r="D638" s="733" t="s">
        <v>21</v>
      </c>
      <c r="E638" s="733" t="s">
        <v>614</v>
      </c>
      <c r="F638" s="733" t="s">
        <v>615</v>
      </c>
      <c r="G638" s="733"/>
      <c r="H638" s="733"/>
      <c r="I638" s="733"/>
      <c r="J638" s="733"/>
      <c r="K638" s="733"/>
      <c r="L638" s="733"/>
      <c r="M638" s="733"/>
    </row>
    <row r="639" spans="1:13" x14ac:dyDescent="0.3">
      <c r="A639" s="733" t="s">
        <v>1131</v>
      </c>
      <c r="B639" s="733" t="s">
        <v>612</v>
      </c>
      <c r="C639" s="733" t="s">
        <v>1133</v>
      </c>
      <c r="D639" s="733" t="s">
        <v>21</v>
      </c>
      <c r="E639" s="733" t="s">
        <v>614</v>
      </c>
      <c r="F639" s="733" t="s">
        <v>615</v>
      </c>
      <c r="G639" s="733"/>
      <c r="H639" s="733"/>
      <c r="I639" s="733"/>
      <c r="J639" s="733"/>
      <c r="K639" s="733"/>
      <c r="L639" s="733"/>
      <c r="M639" s="733"/>
    </row>
    <row r="640" spans="1:13" x14ac:dyDescent="0.3">
      <c r="A640" s="733" t="s">
        <v>1131</v>
      </c>
      <c r="B640" s="733" t="s">
        <v>612</v>
      </c>
      <c r="C640" s="733" t="s">
        <v>1134</v>
      </c>
      <c r="D640" s="733" t="s">
        <v>21</v>
      </c>
      <c r="E640" s="733" t="s">
        <v>614</v>
      </c>
      <c r="F640" s="733" t="s">
        <v>615</v>
      </c>
      <c r="G640" s="733"/>
      <c r="H640" s="733"/>
      <c r="I640" s="733"/>
      <c r="J640" s="733"/>
      <c r="K640" s="733"/>
      <c r="L640" s="733"/>
      <c r="M640" s="733"/>
    </row>
    <row r="641" spans="1:13" x14ac:dyDescent="0.3">
      <c r="A641" s="733" t="s">
        <v>1135</v>
      </c>
      <c r="B641" s="733" t="s">
        <v>612</v>
      </c>
      <c r="C641" s="733" t="s">
        <v>1136</v>
      </c>
      <c r="D641" s="733" t="s">
        <v>21</v>
      </c>
      <c r="E641" s="733" t="s">
        <v>614</v>
      </c>
      <c r="F641" s="733" t="s">
        <v>615</v>
      </c>
      <c r="G641" s="733"/>
      <c r="H641" s="733"/>
      <c r="I641" s="733"/>
      <c r="J641" s="733"/>
      <c r="K641" s="733"/>
      <c r="L641" s="733"/>
      <c r="M641" s="733"/>
    </row>
    <row r="642" spans="1:13" x14ac:dyDescent="0.3">
      <c r="A642" s="733" t="s">
        <v>1135</v>
      </c>
      <c r="B642" s="733" t="s">
        <v>612</v>
      </c>
      <c r="C642" s="733" t="s">
        <v>1137</v>
      </c>
      <c r="D642" s="733" t="s">
        <v>21</v>
      </c>
      <c r="E642" s="733" t="s">
        <v>614</v>
      </c>
      <c r="F642" s="733" t="s">
        <v>615</v>
      </c>
      <c r="G642" s="733"/>
      <c r="H642" s="733"/>
      <c r="I642" s="733"/>
      <c r="J642" s="733"/>
      <c r="K642" s="733"/>
      <c r="L642" s="733"/>
      <c r="M642" s="733"/>
    </row>
    <row r="643" spans="1:13" x14ac:dyDescent="0.3">
      <c r="A643" s="733" t="s">
        <v>1138</v>
      </c>
      <c r="B643" s="733" t="s">
        <v>612</v>
      </c>
      <c r="C643" s="733" t="s">
        <v>1139</v>
      </c>
      <c r="D643" s="733" t="s">
        <v>21</v>
      </c>
      <c r="E643" s="733" t="s">
        <v>614</v>
      </c>
      <c r="F643" s="733" t="s">
        <v>615</v>
      </c>
      <c r="G643" s="733"/>
      <c r="H643" s="733"/>
      <c r="I643" s="733"/>
      <c r="J643" s="733"/>
      <c r="K643" s="733"/>
      <c r="L643" s="733"/>
      <c r="M643" s="733"/>
    </row>
    <row r="644" spans="1:13" x14ac:dyDescent="0.3">
      <c r="A644" s="733" t="s">
        <v>1138</v>
      </c>
      <c r="B644" s="733" t="s">
        <v>612</v>
      </c>
      <c r="C644" s="733" t="s">
        <v>1140</v>
      </c>
      <c r="D644" s="733" t="s">
        <v>21</v>
      </c>
      <c r="E644" s="733" t="s">
        <v>614</v>
      </c>
      <c r="F644" s="733" t="s">
        <v>615</v>
      </c>
      <c r="G644" s="733"/>
      <c r="H644" s="733"/>
      <c r="I644" s="733"/>
      <c r="J644" s="733"/>
      <c r="K644" s="733"/>
      <c r="L644" s="733"/>
      <c r="M644" s="733"/>
    </row>
    <row r="645" spans="1:13" x14ac:dyDescent="0.3">
      <c r="A645" s="733" t="s">
        <v>1138</v>
      </c>
      <c r="B645" s="733" t="s">
        <v>612</v>
      </c>
      <c r="C645" s="733" t="s">
        <v>1141</v>
      </c>
      <c r="D645" s="733" t="s">
        <v>21</v>
      </c>
      <c r="E645" s="733" t="s">
        <v>614</v>
      </c>
      <c r="F645" s="733" t="s">
        <v>615</v>
      </c>
      <c r="G645" s="733"/>
      <c r="H645" s="733"/>
      <c r="I645" s="733"/>
      <c r="J645" s="733"/>
      <c r="K645" s="733"/>
      <c r="L645" s="733"/>
      <c r="M645" s="733"/>
    </row>
    <row r="646" spans="1:13" x14ac:dyDescent="0.3">
      <c r="A646" s="733" t="s">
        <v>1138</v>
      </c>
      <c r="B646" s="733" t="s">
        <v>612</v>
      </c>
      <c r="C646" s="733" t="s">
        <v>1142</v>
      </c>
      <c r="D646" s="733" t="s">
        <v>21</v>
      </c>
      <c r="E646" s="733" t="s">
        <v>614</v>
      </c>
      <c r="F646" s="733" t="s">
        <v>615</v>
      </c>
      <c r="G646" s="733"/>
      <c r="H646" s="733"/>
      <c r="I646" s="733"/>
      <c r="J646" s="733"/>
      <c r="K646" s="733"/>
      <c r="L646" s="733"/>
      <c r="M646" s="733"/>
    </row>
    <row r="647" spans="1:13" x14ac:dyDescent="0.3">
      <c r="A647" s="733" t="s">
        <v>1143</v>
      </c>
      <c r="B647" s="733" t="s">
        <v>612</v>
      </c>
      <c r="C647" s="733" t="s">
        <v>1144</v>
      </c>
      <c r="D647" s="733" t="s">
        <v>21</v>
      </c>
      <c r="E647" s="761"/>
      <c r="F647" s="761"/>
      <c r="G647" s="733"/>
      <c r="H647" s="733"/>
      <c r="I647" s="733"/>
      <c r="J647" s="733"/>
      <c r="K647" s="733"/>
      <c r="L647" s="733"/>
      <c r="M647" s="733"/>
    </row>
    <row r="648" spans="1:13" x14ac:dyDescent="0.3">
      <c r="A648" s="733" t="s">
        <v>1143</v>
      </c>
      <c r="B648" s="733" t="s">
        <v>612</v>
      </c>
      <c r="C648" s="733" t="s">
        <v>1145</v>
      </c>
      <c r="D648" s="733" t="s">
        <v>21</v>
      </c>
      <c r="E648" s="761"/>
      <c r="F648" s="761"/>
      <c r="G648" s="733"/>
      <c r="H648" s="733"/>
      <c r="I648" s="733"/>
      <c r="J648" s="733"/>
      <c r="K648" s="733"/>
      <c r="L648" s="733"/>
      <c r="M648" s="733"/>
    </row>
    <row r="649" spans="1:13" x14ac:dyDescent="0.3">
      <c r="A649" s="733" t="s">
        <v>1143</v>
      </c>
      <c r="B649" s="733" t="s">
        <v>612</v>
      </c>
      <c r="C649" s="733" t="s">
        <v>1146</v>
      </c>
      <c r="D649" s="733" t="s">
        <v>21</v>
      </c>
      <c r="E649" s="761"/>
      <c r="F649" s="761"/>
      <c r="G649" s="733"/>
      <c r="H649" s="733"/>
      <c r="I649" s="733"/>
      <c r="J649" s="733"/>
      <c r="K649" s="733"/>
      <c r="L649" s="733"/>
      <c r="M649" s="733"/>
    </row>
    <row r="650" spans="1:13" x14ac:dyDescent="0.3">
      <c r="A650" s="733" t="s">
        <v>1143</v>
      </c>
      <c r="B650" s="733" t="s">
        <v>612</v>
      </c>
      <c r="C650" s="733" t="s">
        <v>1147</v>
      </c>
      <c r="D650" s="733" t="s">
        <v>21</v>
      </c>
      <c r="E650" s="761"/>
      <c r="F650" s="761"/>
      <c r="G650" s="733"/>
      <c r="H650" s="733"/>
      <c r="I650" s="733"/>
      <c r="J650" s="733"/>
      <c r="K650" s="733"/>
      <c r="L650" s="733"/>
      <c r="M650" s="733"/>
    </row>
    <row r="651" spans="1:13" x14ac:dyDescent="0.3">
      <c r="A651" s="733" t="s">
        <v>1143</v>
      </c>
      <c r="B651" s="733" t="s">
        <v>612</v>
      </c>
      <c r="C651" s="733" t="s">
        <v>1148</v>
      </c>
      <c r="D651" s="733" t="s">
        <v>21</v>
      </c>
      <c r="E651" s="761"/>
      <c r="F651" s="761"/>
      <c r="G651" s="733"/>
      <c r="H651" s="733"/>
      <c r="I651" s="733"/>
      <c r="J651" s="733"/>
      <c r="K651" s="733"/>
      <c r="L651" s="733"/>
      <c r="M651" s="733"/>
    </row>
    <row r="652" spans="1:13" x14ac:dyDescent="0.3">
      <c r="A652" s="733" t="s">
        <v>1143</v>
      </c>
      <c r="B652" s="733" t="s">
        <v>645</v>
      </c>
      <c r="C652" s="733" t="s">
        <v>1149</v>
      </c>
      <c r="D652" s="733" t="s">
        <v>21</v>
      </c>
      <c r="E652" s="761"/>
      <c r="F652" s="761"/>
      <c r="G652" s="733"/>
      <c r="H652" s="733"/>
      <c r="I652" s="733"/>
      <c r="J652" s="733"/>
      <c r="K652" s="733"/>
      <c r="L652" s="733"/>
      <c r="M652" s="733"/>
    </row>
    <row r="653" spans="1:13" x14ac:dyDescent="0.3">
      <c r="A653" s="733" t="s">
        <v>1143</v>
      </c>
      <c r="B653" s="733" t="s">
        <v>645</v>
      </c>
      <c r="C653" s="733" t="s">
        <v>1150</v>
      </c>
      <c r="D653" s="733" t="s">
        <v>21</v>
      </c>
      <c r="E653" s="761"/>
      <c r="F653" s="761"/>
      <c r="G653" s="733"/>
      <c r="H653" s="733"/>
      <c r="I653" s="733"/>
      <c r="J653" s="733"/>
      <c r="K653" s="733"/>
      <c r="L653" s="733"/>
      <c r="M653" s="733"/>
    </row>
    <row r="654" spans="1:13" x14ac:dyDescent="0.3">
      <c r="A654" s="733" t="s">
        <v>1143</v>
      </c>
      <c r="B654" s="733" t="s">
        <v>645</v>
      </c>
      <c r="C654" s="733" t="s">
        <v>1151</v>
      </c>
      <c r="D654" s="733" t="s">
        <v>21</v>
      </c>
      <c r="E654" s="761"/>
      <c r="F654" s="761"/>
      <c r="G654" s="733"/>
      <c r="H654" s="733"/>
      <c r="I654" s="733"/>
      <c r="J654" s="733"/>
      <c r="K654" s="733"/>
      <c r="L654" s="733"/>
      <c r="M654" s="733"/>
    </row>
    <row r="655" spans="1:13" x14ac:dyDescent="0.3">
      <c r="A655" s="733" t="s">
        <v>1143</v>
      </c>
      <c r="B655" s="733" t="s">
        <v>645</v>
      </c>
      <c r="C655" s="733" t="s">
        <v>1152</v>
      </c>
      <c r="D655" s="733" t="s">
        <v>21</v>
      </c>
      <c r="E655" s="761"/>
      <c r="F655" s="761"/>
      <c r="G655" s="733"/>
      <c r="H655" s="733"/>
      <c r="I655" s="733"/>
      <c r="J655" s="733"/>
      <c r="K655" s="733"/>
      <c r="L655" s="733"/>
      <c r="M655" s="733"/>
    </row>
    <row r="656" spans="1:13" x14ac:dyDescent="0.3">
      <c r="A656" s="733" t="s">
        <v>1143</v>
      </c>
      <c r="B656" s="733" t="s">
        <v>645</v>
      </c>
      <c r="C656" s="733" t="s">
        <v>1153</v>
      </c>
      <c r="D656" s="733" t="s">
        <v>21</v>
      </c>
      <c r="E656" s="761"/>
      <c r="F656" s="761"/>
      <c r="G656" s="733"/>
      <c r="H656" s="733"/>
      <c r="I656" s="733"/>
      <c r="J656" s="733"/>
      <c r="K656" s="733"/>
      <c r="L656" s="733"/>
      <c r="M656" s="733"/>
    </row>
    <row r="657" spans="1:13" x14ac:dyDescent="0.3">
      <c r="A657" s="733" t="s">
        <v>1143</v>
      </c>
      <c r="B657" s="733" t="s">
        <v>664</v>
      </c>
      <c r="C657" s="733" t="s">
        <v>1154</v>
      </c>
      <c r="D657" s="733" t="s">
        <v>21</v>
      </c>
      <c r="E657" s="761"/>
      <c r="F657" s="761"/>
      <c r="G657" s="733"/>
      <c r="H657" s="733"/>
      <c r="I657" s="733"/>
      <c r="J657" s="733"/>
      <c r="K657" s="733"/>
      <c r="L657" s="733"/>
      <c r="M657" s="733"/>
    </row>
    <row r="658" spans="1:13" x14ac:dyDescent="0.3">
      <c r="A658" s="733" t="s">
        <v>1143</v>
      </c>
      <c r="B658" s="733" t="s">
        <v>664</v>
      </c>
      <c r="C658" s="733" t="s">
        <v>1155</v>
      </c>
      <c r="D658" s="733" t="s">
        <v>21</v>
      </c>
      <c r="E658" s="761"/>
      <c r="F658" s="761"/>
      <c r="G658" s="733"/>
      <c r="H658" s="733"/>
      <c r="I658" s="733"/>
      <c r="J658" s="733"/>
      <c r="K658" s="733"/>
      <c r="L658" s="733"/>
      <c r="M658" s="733"/>
    </row>
    <row r="659" spans="1:13" x14ac:dyDescent="0.3">
      <c r="A659" s="733" t="s">
        <v>1143</v>
      </c>
      <c r="B659" s="733" t="s">
        <v>664</v>
      </c>
      <c r="C659" s="733" t="s">
        <v>1156</v>
      </c>
      <c r="D659" s="733" t="s">
        <v>21</v>
      </c>
      <c r="E659" s="761"/>
      <c r="F659" s="761"/>
      <c r="G659" s="733"/>
      <c r="H659" s="733"/>
      <c r="I659" s="733"/>
      <c r="J659" s="733"/>
      <c r="K659" s="733"/>
      <c r="L659" s="733"/>
      <c r="M659" s="733"/>
    </row>
    <row r="660" spans="1:13" x14ac:dyDescent="0.3">
      <c r="A660" s="733" t="s">
        <v>1143</v>
      </c>
      <c r="B660" s="733" t="s">
        <v>664</v>
      </c>
      <c r="C660" s="733" t="s">
        <v>1157</v>
      </c>
      <c r="D660" s="733" t="s">
        <v>21</v>
      </c>
      <c r="E660" s="761"/>
      <c r="F660" s="761"/>
      <c r="G660" s="733"/>
      <c r="H660" s="733"/>
      <c r="I660" s="733"/>
      <c r="J660" s="733"/>
      <c r="K660" s="733"/>
      <c r="L660" s="733"/>
      <c r="M660" s="733"/>
    </row>
    <row r="661" spans="1:13" x14ac:dyDescent="0.3">
      <c r="A661" s="733" t="s">
        <v>1143</v>
      </c>
      <c r="B661" s="733" t="s">
        <v>664</v>
      </c>
      <c r="C661" s="733" t="s">
        <v>1158</v>
      </c>
      <c r="D661" s="733" t="s">
        <v>21</v>
      </c>
      <c r="E661" s="761"/>
      <c r="F661" s="761"/>
      <c r="G661" s="733"/>
      <c r="H661" s="733"/>
      <c r="I661" s="733"/>
      <c r="J661" s="733"/>
      <c r="K661" s="733"/>
      <c r="L661" s="733"/>
      <c r="M661" s="733"/>
    </row>
    <row r="662" spans="1:13" x14ac:dyDescent="0.3">
      <c r="A662" s="733" t="s">
        <v>1159</v>
      </c>
      <c r="B662" s="733" t="s">
        <v>612</v>
      </c>
      <c r="C662" s="733" t="s">
        <v>931</v>
      </c>
      <c r="D662" s="733" t="s">
        <v>21</v>
      </c>
      <c r="E662" s="733" t="s">
        <v>614</v>
      </c>
      <c r="F662" s="733" t="s">
        <v>615</v>
      </c>
      <c r="G662" s="733"/>
      <c r="H662" s="733"/>
      <c r="I662" s="733"/>
      <c r="J662" s="733"/>
      <c r="K662" s="733"/>
      <c r="L662" s="733"/>
      <c r="M662" s="733"/>
    </row>
    <row r="663" spans="1:13" x14ac:dyDescent="0.3">
      <c r="A663" s="733" t="s">
        <v>1159</v>
      </c>
      <c r="B663" s="733" t="s">
        <v>612</v>
      </c>
      <c r="C663" s="733" t="s">
        <v>910</v>
      </c>
      <c r="D663" s="733" t="s">
        <v>21</v>
      </c>
      <c r="E663" s="733" t="s">
        <v>614</v>
      </c>
      <c r="F663" s="733" t="s">
        <v>615</v>
      </c>
      <c r="G663" s="733"/>
      <c r="H663" s="733"/>
      <c r="I663" s="733"/>
      <c r="J663" s="733"/>
      <c r="K663" s="733"/>
      <c r="L663" s="733"/>
      <c r="M663" s="733"/>
    </row>
    <row r="664" spans="1:13" x14ac:dyDescent="0.3">
      <c r="A664" s="733" t="s">
        <v>1159</v>
      </c>
      <c r="B664" s="733" t="s">
        <v>612</v>
      </c>
      <c r="C664" s="733" t="s">
        <v>1160</v>
      </c>
      <c r="D664" s="733" t="s">
        <v>21</v>
      </c>
      <c r="E664" s="733" t="s">
        <v>614</v>
      </c>
      <c r="F664" s="733" t="s">
        <v>615</v>
      </c>
      <c r="G664" s="733"/>
      <c r="H664" s="733"/>
      <c r="I664" s="733"/>
      <c r="J664" s="733"/>
      <c r="K664" s="733"/>
      <c r="L664" s="733"/>
      <c r="M664" s="733"/>
    </row>
    <row r="665" spans="1:13" x14ac:dyDescent="0.3">
      <c r="A665" s="733" t="s">
        <v>1161</v>
      </c>
      <c r="B665" s="733" t="s">
        <v>612</v>
      </c>
      <c r="C665" s="733" t="s">
        <v>1162</v>
      </c>
      <c r="D665" s="733" t="s">
        <v>21</v>
      </c>
      <c r="E665" s="733" t="s">
        <v>614</v>
      </c>
      <c r="F665" s="733" t="s">
        <v>615</v>
      </c>
      <c r="G665" s="733"/>
      <c r="H665" s="733"/>
      <c r="I665" s="733"/>
      <c r="J665" s="733"/>
      <c r="K665" s="733"/>
      <c r="L665" s="733"/>
      <c r="M665" s="733"/>
    </row>
    <row r="666" spans="1:13" x14ac:dyDescent="0.3">
      <c r="A666" s="733" t="s">
        <v>1163</v>
      </c>
      <c r="B666" s="733" t="s">
        <v>612</v>
      </c>
      <c r="C666" s="733" t="s">
        <v>909</v>
      </c>
      <c r="D666" s="733" t="s">
        <v>21</v>
      </c>
      <c r="E666" s="733" t="s">
        <v>614</v>
      </c>
      <c r="F666" s="733" t="s">
        <v>615</v>
      </c>
      <c r="G666" s="733"/>
      <c r="H666" s="733"/>
      <c r="I666" s="733"/>
      <c r="J666" s="733"/>
      <c r="K666" s="733"/>
      <c r="L666" s="733"/>
      <c r="M666" s="733"/>
    </row>
    <row r="667" spans="1:13" x14ac:dyDescent="0.3">
      <c r="A667" s="733" t="s">
        <v>1163</v>
      </c>
      <c r="B667" s="733" t="s">
        <v>612</v>
      </c>
      <c r="C667" s="733" t="s">
        <v>1164</v>
      </c>
      <c r="D667" s="733" t="s">
        <v>21</v>
      </c>
      <c r="E667" s="733" t="s">
        <v>614</v>
      </c>
      <c r="F667" s="733" t="s">
        <v>615</v>
      </c>
      <c r="G667" s="733"/>
      <c r="H667" s="733"/>
      <c r="I667" s="733"/>
      <c r="J667" s="733"/>
      <c r="K667" s="733"/>
      <c r="L667" s="733"/>
      <c r="M667" s="733"/>
    </row>
    <row r="668" spans="1:13" x14ac:dyDescent="0.3">
      <c r="A668" s="733" t="s">
        <v>1163</v>
      </c>
      <c r="B668" s="733" t="s">
        <v>612</v>
      </c>
      <c r="C668" s="733" t="s">
        <v>1165</v>
      </c>
      <c r="D668" s="733" t="s">
        <v>21</v>
      </c>
      <c r="E668" s="733" t="s">
        <v>614</v>
      </c>
      <c r="F668" s="733" t="s">
        <v>615</v>
      </c>
      <c r="G668" s="733"/>
      <c r="H668" s="733"/>
      <c r="I668" s="733"/>
      <c r="J668" s="733"/>
      <c r="K668" s="733"/>
      <c r="L668" s="733"/>
      <c r="M668" s="733"/>
    </row>
    <row r="669" spans="1:13" x14ac:dyDescent="0.3">
      <c r="A669" s="733" t="s">
        <v>1163</v>
      </c>
      <c r="B669" s="733" t="s">
        <v>612</v>
      </c>
      <c r="C669" s="733" t="s">
        <v>1166</v>
      </c>
      <c r="D669" s="733" t="s">
        <v>21</v>
      </c>
      <c r="E669" s="733" t="s">
        <v>614</v>
      </c>
      <c r="F669" s="733" t="s">
        <v>615</v>
      </c>
      <c r="G669" s="733"/>
      <c r="H669" s="733"/>
      <c r="I669" s="733"/>
      <c r="J669" s="733"/>
      <c r="K669" s="733"/>
      <c r="L669" s="733"/>
      <c r="M669" s="733"/>
    </row>
    <row r="670" spans="1:13" x14ac:dyDescent="0.3">
      <c r="A670" s="733" t="s">
        <v>1163</v>
      </c>
      <c r="B670" s="733" t="s">
        <v>612</v>
      </c>
      <c r="C670" s="733" t="s">
        <v>1167</v>
      </c>
      <c r="D670" s="733" t="s">
        <v>21</v>
      </c>
      <c r="E670" s="733" t="s">
        <v>614</v>
      </c>
      <c r="F670" s="733" t="s">
        <v>615</v>
      </c>
      <c r="G670" s="733"/>
      <c r="H670" s="733"/>
      <c r="I670" s="733"/>
      <c r="J670" s="733"/>
      <c r="K670" s="733"/>
      <c r="L670" s="733"/>
      <c r="M670" s="733"/>
    </row>
    <row r="671" spans="1:13" x14ac:dyDescent="0.3">
      <c r="A671" s="733" t="s">
        <v>1163</v>
      </c>
      <c r="B671" s="733" t="s">
        <v>645</v>
      </c>
      <c r="C671" s="733" t="s">
        <v>1168</v>
      </c>
      <c r="D671" s="733" t="s">
        <v>21</v>
      </c>
      <c r="E671" s="733" t="s">
        <v>614</v>
      </c>
      <c r="F671" s="733" t="s">
        <v>615</v>
      </c>
      <c r="G671" s="733"/>
      <c r="H671" s="733"/>
      <c r="I671" s="733"/>
      <c r="J671" s="733"/>
      <c r="K671" s="733"/>
      <c r="L671" s="733"/>
      <c r="M671" s="733"/>
    </row>
    <row r="672" spans="1:13" x14ac:dyDescent="0.3">
      <c r="A672" s="733" t="s">
        <v>1163</v>
      </c>
      <c r="B672" s="733" t="s">
        <v>645</v>
      </c>
      <c r="C672" s="733" t="s">
        <v>920</v>
      </c>
      <c r="D672" s="733" t="s">
        <v>21</v>
      </c>
      <c r="E672" s="733" t="s">
        <v>614</v>
      </c>
      <c r="F672" s="733" t="s">
        <v>615</v>
      </c>
      <c r="G672" s="733"/>
      <c r="H672" s="733"/>
      <c r="I672" s="733"/>
      <c r="J672" s="733"/>
      <c r="K672" s="733"/>
      <c r="L672" s="733"/>
      <c r="M672" s="733"/>
    </row>
    <row r="673" spans="1:13" x14ac:dyDescent="0.3">
      <c r="A673" s="733" t="s">
        <v>1163</v>
      </c>
      <c r="B673" s="733" t="s">
        <v>664</v>
      </c>
      <c r="C673" s="733" t="s">
        <v>1169</v>
      </c>
      <c r="D673" s="733" t="s">
        <v>21</v>
      </c>
      <c r="E673" s="733" t="s">
        <v>614</v>
      </c>
      <c r="F673" s="733" t="s">
        <v>615</v>
      </c>
      <c r="G673" s="733"/>
      <c r="H673" s="733"/>
      <c r="I673" s="733"/>
      <c r="J673" s="733"/>
      <c r="K673" s="733"/>
      <c r="L673" s="733"/>
      <c r="M673" s="733"/>
    </row>
    <row r="674" spans="1:13" x14ac:dyDescent="0.3">
      <c r="A674" s="733" t="s">
        <v>1163</v>
      </c>
      <c r="B674" s="733" t="s">
        <v>664</v>
      </c>
      <c r="C674" s="733" t="s">
        <v>1170</v>
      </c>
      <c r="D674" s="733" t="s">
        <v>21</v>
      </c>
      <c r="E674" s="733" t="s">
        <v>614</v>
      </c>
      <c r="F674" s="733" t="s">
        <v>615</v>
      </c>
      <c r="G674" s="733"/>
      <c r="H674" s="733"/>
      <c r="I674" s="733"/>
      <c r="J674" s="733"/>
      <c r="K674" s="733"/>
      <c r="L674" s="733"/>
      <c r="M674" s="733"/>
    </row>
    <row r="675" spans="1:13" x14ac:dyDescent="0.3">
      <c r="A675" s="733" t="s">
        <v>1163</v>
      </c>
      <c r="B675" s="733" t="s">
        <v>664</v>
      </c>
      <c r="C675" s="733" t="s">
        <v>1171</v>
      </c>
      <c r="D675" s="733" t="s">
        <v>21</v>
      </c>
      <c r="E675" s="733" t="s">
        <v>614</v>
      </c>
      <c r="F675" s="733" t="s">
        <v>615</v>
      </c>
      <c r="G675" s="733"/>
      <c r="H675" s="733"/>
      <c r="I675" s="733"/>
      <c r="J675" s="733"/>
      <c r="K675" s="733"/>
      <c r="L675" s="733"/>
      <c r="M675" s="733"/>
    </row>
    <row r="676" spans="1:13" x14ac:dyDescent="0.3">
      <c r="A676" s="733" t="s">
        <v>1172</v>
      </c>
      <c r="B676" s="733" t="s">
        <v>612</v>
      </c>
      <c r="C676" s="733" t="s">
        <v>1173</v>
      </c>
      <c r="D676" s="733" t="s">
        <v>21</v>
      </c>
      <c r="E676" s="733" t="s">
        <v>614</v>
      </c>
      <c r="F676" s="733" t="s">
        <v>615</v>
      </c>
      <c r="G676" s="733"/>
      <c r="H676" s="733"/>
      <c r="I676" s="733"/>
      <c r="J676" s="733"/>
      <c r="K676" s="733"/>
      <c r="L676" s="733"/>
      <c r="M676" s="733"/>
    </row>
    <row r="677" spans="1:13" x14ac:dyDescent="0.3">
      <c r="A677" s="733" t="s">
        <v>1172</v>
      </c>
      <c r="B677" s="733" t="s">
        <v>612</v>
      </c>
      <c r="C677" s="733" t="s">
        <v>909</v>
      </c>
      <c r="D677" s="733" t="s">
        <v>21</v>
      </c>
      <c r="E677" s="733" t="s">
        <v>614</v>
      </c>
      <c r="F677" s="733" t="s">
        <v>615</v>
      </c>
      <c r="G677" s="733"/>
      <c r="H677" s="733"/>
      <c r="I677" s="733"/>
      <c r="J677" s="733"/>
      <c r="K677" s="733"/>
      <c r="L677" s="733"/>
      <c r="M677" s="733"/>
    </row>
    <row r="678" spans="1:13" x14ac:dyDescent="0.3">
      <c r="A678" s="733" t="s">
        <v>1172</v>
      </c>
      <c r="B678" s="733" t="s">
        <v>612</v>
      </c>
      <c r="C678" s="733" t="s">
        <v>1174</v>
      </c>
      <c r="D678" s="733" t="s">
        <v>21</v>
      </c>
      <c r="E678" s="733" t="s">
        <v>614</v>
      </c>
      <c r="F678" s="733" t="s">
        <v>615</v>
      </c>
      <c r="G678" s="733"/>
      <c r="H678" s="733"/>
      <c r="I678" s="733"/>
      <c r="J678" s="733"/>
      <c r="K678" s="733"/>
      <c r="L678" s="733"/>
      <c r="M678" s="733"/>
    </row>
    <row r="679" spans="1:13" x14ac:dyDescent="0.3">
      <c r="A679" s="733" t="s">
        <v>1172</v>
      </c>
      <c r="B679" s="733" t="s">
        <v>612</v>
      </c>
      <c r="C679" s="733" t="s">
        <v>1167</v>
      </c>
      <c r="D679" s="733" t="s">
        <v>21</v>
      </c>
      <c r="E679" s="733" t="s">
        <v>614</v>
      </c>
      <c r="F679" s="733" t="s">
        <v>615</v>
      </c>
      <c r="G679" s="733"/>
      <c r="H679" s="733"/>
      <c r="I679" s="733"/>
      <c r="J679" s="733"/>
      <c r="K679" s="733"/>
      <c r="L679" s="733"/>
      <c r="M679" s="733"/>
    </row>
    <row r="680" spans="1:13" x14ac:dyDescent="0.3">
      <c r="A680" s="733" t="s">
        <v>1172</v>
      </c>
      <c r="B680" s="733" t="s">
        <v>612</v>
      </c>
      <c r="C680" s="733" t="s">
        <v>1175</v>
      </c>
      <c r="D680" s="733" t="s">
        <v>21</v>
      </c>
      <c r="E680" s="733" t="s">
        <v>614</v>
      </c>
      <c r="F680" s="733" t="s">
        <v>615</v>
      </c>
      <c r="G680" s="733"/>
      <c r="H680" s="733"/>
      <c r="I680" s="733"/>
      <c r="J680" s="733"/>
      <c r="K680" s="733"/>
      <c r="L680" s="733"/>
      <c r="M680" s="733"/>
    </row>
    <row r="681" spans="1:13" x14ac:dyDescent="0.3">
      <c r="A681" s="733" t="s">
        <v>1176</v>
      </c>
      <c r="B681" s="733" t="s">
        <v>612</v>
      </c>
      <c r="C681" s="733" t="s">
        <v>1177</v>
      </c>
      <c r="D681" s="733" t="s">
        <v>21</v>
      </c>
      <c r="E681" s="733" t="s">
        <v>614</v>
      </c>
      <c r="F681" s="733" t="s">
        <v>615</v>
      </c>
      <c r="G681" s="733"/>
      <c r="H681" s="733"/>
      <c r="I681" s="733"/>
      <c r="J681" s="733"/>
      <c r="K681" s="733"/>
      <c r="L681" s="733"/>
      <c r="M681" s="733"/>
    </row>
    <row r="682" spans="1:13" x14ac:dyDescent="0.3">
      <c r="A682" s="733" t="s">
        <v>1176</v>
      </c>
      <c r="B682" s="733" t="s">
        <v>612</v>
      </c>
      <c r="C682" s="733" t="s">
        <v>1178</v>
      </c>
      <c r="D682" s="733" t="s">
        <v>21</v>
      </c>
      <c r="E682" s="733" t="s">
        <v>614</v>
      </c>
      <c r="F682" s="733" t="s">
        <v>615</v>
      </c>
      <c r="G682" s="733"/>
      <c r="H682" s="733"/>
      <c r="I682" s="733"/>
      <c r="J682" s="733"/>
      <c r="K682" s="733"/>
      <c r="L682" s="733"/>
      <c r="M682" s="733"/>
    </row>
    <row r="683" spans="1:13" x14ac:dyDescent="0.3">
      <c r="A683" s="733" t="s">
        <v>1176</v>
      </c>
      <c r="B683" s="733" t="s">
        <v>645</v>
      </c>
      <c r="C683" s="733" t="s">
        <v>1179</v>
      </c>
      <c r="D683" s="733" t="s">
        <v>21</v>
      </c>
      <c r="E683" s="733" t="s">
        <v>614</v>
      </c>
      <c r="F683" s="733" t="s">
        <v>615</v>
      </c>
      <c r="G683" s="733"/>
      <c r="H683" s="733"/>
      <c r="I683" s="733"/>
      <c r="J683" s="733"/>
      <c r="K683" s="733"/>
      <c r="L683" s="733"/>
      <c r="M683" s="733"/>
    </row>
    <row r="684" spans="1:13" x14ac:dyDescent="0.3">
      <c r="A684" s="733" t="s">
        <v>1176</v>
      </c>
      <c r="B684" s="733" t="s">
        <v>645</v>
      </c>
      <c r="C684" s="733" t="s">
        <v>1180</v>
      </c>
      <c r="D684" s="733" t="s">
        <v>21</v>
      </c>
      <c r="E684" s="733" t="s">
        <v>614</v>
      </c>
      <c r="F684" s="733" t="s">
        <v>615</v>
      </c>
      <c r="G684" s="733"/>
      <c r="H684" s="733"/>
      <c r="I684" s="733"/>
      <c r="J684" s="733"/>
      <c r="K684" s="733"/>
      <c r="L684" s="733"/>
      <c r="M684" s="733"/>
    </row>
    <row r="685" spans="1:13" x14ac:dyDescent="0.3">
      <c r="A685" s="733" t="s">
        <v>1176</v>
      </c>
      <c r="B685" s="733" t="s">
        <v>645</v>
      </c>
      <c r="C685" s="733" t="s">
        <v>1181</v>
      </c>
      <c r="D685" s="733" t="s">
        <v>21</v>
      </c>
      <c r="E685" s="733" t="s">
        <v>614</v>
      </c>
      <c r="F685" s="733" t="s">
        <v>615</v>
      </c>
      <c r="G685" s="733"/>
      <c r="H685" s="733"/>
      <c r="I685" s="733"/>
      <c r="J685" s="733"/>
      <c r="K685" s="733"/>
      <c r="L685" s="733"/>
      <c r="M685" s="733"/>
    </row>
    <row r="686" spans="1:13" x14ac:dyDescent="0.3">
      <c r="A686" s="733" t="s">
        <v>1176</v>
      </c>
      <c r="B686" s="733" t="s">
        <v>664</v>
      </c>
      <c r="C686" s="733" t="s">
        <v>1182</v>
      </c>
      <c r="D686" s="733" t="s">
        <v>21</v>
      </c>
      <c r="E686" s="733" t="s">
        <v>614</v>
      </c>
      <c r="F686" s="733" t="s">
        <v>615</v>
      </c>
      <c r="G686" s="733"/>
      <c r="H686" s="733"/>
      <c r="I686" s="733"/>
      <c r="J686" s="733"/>
      <c r="K686" s="733"/>
      <c r="L686" s="733"/>
      <c r="M686" s="733"/>
    </row>
    <row r="687" spans="1:13" x14ac:dyDescent="0.3">
      <c r="A687" s="733" t="s">
        <v>1183</v>
      </c>
      <c r="B687" s="733" t="s">
        <v>612</v>
      </c>
      <c r="C687" s="733" t="s">
        <v>1184</v>
      </c>
      <c r="D687" s="733" t="s">
        <v>21</v>
      </c>
      <c r="E687" s="733" t="s">
        <v>614</v>
      </c>
      <c r="F687" s="733" t="s">
        <v>615</v>
      </c>
      <c r="G687" s="733"/>
      <c r="H687" s="733"/>
      <c r="I687" s="733"/>
      <c r="J687" s="733"/>
      <c r="K687" s="733"/>
      <c r="L687" s="733"/>
      <c r="M687" s="733"/>
    </row>
    <row r="688" spans="1:13" x14ac:dyDescent="0.3">
      <c r="A688" s="733" t="s">
        <v>1183</v>
      </c>
      <c r="B688" s="733" t="s">
        <v>612</v>
      </c>
      <c r="C688" s="733" t="s">
        <v>1185</v>
      </c>
      <c r="D688" s="733" t="s">
        <v>21</v>
      </c>
      <c r="E688" s="733" t="s">
        <v>614</v>
      </c>
      <c r="F688" s="733" t="s">
        <v>615</v>
      </c>
      <c r="G688" s="733"/>
      <c r="H688" s="733"/>
      <c r="I688" s="733"/>
      <c r="J688" s="733"/>
      <c r="K688" s="733"/>
      <c r="L688" s="733"/>
      <c r="M688" s="733"/>
    </row>
    <row r="689" spans="1:13" x14ac:dyDescent="0.3">
      <c r="A689" s="733" t="s">
        <v>1183</v>
      </c>
      <c r="B689" s="733" t="s">
        <v>612</v>
      </c>
      <c r="C689" s="733" t="s">
        <v>1186</v>
      </c>
      <c r="D689" s="733" t="s">
        <v>21</v>
      </c>
      <c r="E689" s="733" t="s">
        <v>614</v>
      </c>
      <c r="F689" s="733" t="s">
        <v>615</v>
      </c>
      <c r="G689" s="733"/>
      <c r="H689" s="733"/>
      <c r="I689" s="733"/>
      <c r="J689" s="733"/>
      <c r="K689" s="733"/>
      <c r="L689" s="733"/>
      <c r="M689" s="733"/>
    </row>
    <row r="690" spans="1:13" x14ac:dyDescent="0.3">
      <c r="A690" s="733" t="s">
        <v>1183</v>
      </c>
      <c r="B690" s="733" t="s">
        <v>612</v>
      </c>
      <c r="C690" s="733" t="s">
        <v>1187</v>
      </c>
      <c r="D690" s="733" t="s">
        <v>21</v>
      </c>
      <c r="E690" s="733" t="s">
        <v>614</v>
      </c>
      <c r="F690" s="733" t="s">
        <v>615</v>
      </c>
      <c r="G690" s="733"/>
      <c r="H690" s="733"/>
      <c r="I690" s="733"/>
      <c r="J690" s="733"/>
      <c r="K690" s="733"/>
      <c r="L690" s="733"/>
      <c r="M690" s="733"/>
    </row>
    <row r="691" spans="1:13" x14ac:dyDescent="0.3">
      <c r="A691" s="733" t="s">
        <v>1183</v>
      </c>
      <c r="B691" s="733" t="s">
        <v>612</v>
      </c>
      <c r="C691" s="733" t="s">
        <v>1165</v>
      </c>
      <c r="D691" s="733" t="s">
        <v>21</v>
      </c>
      <c r="E691" s="733" t="s">
        <v>614</v>
      </c>
      <c r="F691" s="733" t="s">
        <v>615</v>
      </c>
      <c r="G691" s="733"/>
      <c r="H691" s="733"/>
      <c r="I691" s="733"/>
      <c r="J691" s="733"/>
      <c r="K691" s="733"/>
      <c r="L691" s="733"/>
      <c r="M691" s="733"/>
    </row>
    <row r="692" spans="1:13" x14ac:dyDescent="0.3">
      <c r="A692" s="733" t="s">
        <v>1183</v>
      </c>
      <c r="B692" s="733" t="s">
        <v>612</v>
      </c>
      <c r="C692" s="733" t="s">
        <v>1188</v>
      </c>
      <c r="D692" s="733" t="s">
        <v>21</v>
      </c>
      <c r="E692" s="733" t="s">
        <v>614</v>
      </c>
      <c r="F692" s="733" t="s">
        <v>615</v>
      </c>
      <c r="G692" s="733"/>
      <c r="H692" s="733"/>
      <c r="I692" s="733"/>
      <c r="J692" s="733"/>
      <c r="K692" s="733"/>
      <c r="L692" s="733"/>
      <c r="M692" s="733"/>
    </row>
    <row r="693" spans="1:13" x14ac:dyDescent="0.3">
      <c r="A693" s="733" t="s">
        <v>1183</v>
      </c>
      <c r="B693" s="733" t="s">
        <v>612</v>
      </c>
      <c r="C693" s="733" t="s">
        <v>1189</v>
      </c>
      <c r="D693" s="733" t="s">
        <v>21</v>
      </c>
      <c r="E693" s="733" t="s">
        <v>614</v>
      </c>
      <c r="F693" s="733" t="s">
        <v>615</v>
      </c>
      <c r="G693" s="733"/>
      <c r="H693" s="733"/>
      <c r="I693" s="733"/>
      <c r="J693" s="733"/>
      <c r="K693" s="733"/>
      <c r="L693" s="733"/>
      <c r="M693" s="733"/>
    </row>
    <row r="694" spans="1:13" x14ac:dyDescent="0.3">
      <c r="A694" s="733" t="s">
        <v>1183</v>
      </c>
      <c r="B694" s="733" t="s">
        <v>612</v>
      </c>
      <c r="C694" s="733" t="s">
        <v>1190</v>
      </c>
      <c r="D694" s="733" t="s">
        <v>21</v>
      </c>
      <c r="E694" s="733" t="s">
        <v>614</v>
      </c>
      <c r="F694" s="733" t="s">
        <v>615</v>
      </c>
      <c r="G694" s="733"/>
      <c r="H694" s="733"/>
      <c r="I694" s="733"/>
      <c r="J694" s="733"/>
      <c r="K694" s="733"/>
      <c r="L694" s="733"/>
      <c r="M694" s="733"/>
    </row>
    <row r="695" spans="1:13" x14ac:dyDescent="0.3">
      <c r="A695" s="733" t="s">
        <v>1183</v>
      </c>
      <c r="B695" s="733" t="s">
        <v>612</v>
      </c>
      <c r="C695" s="733" t="s">
        <v>1191</v>
      </c>
      <c r="D695" s="733" t="s">
        <v>21</v>
      </c>
      <c r="E695" s="733" t="s">
        <v>614</v>
      </c>
      <c r="F695" s="733" t="s">
        <v>615</v>
      </c>
      <c r="G695" s="733"/>
      <c r="H695" s="733"/>
      <c r="I695" s="733"/>
      <c r="J695" s="733"/>
      <c r="K695" s="733"/>
      <c r="L695" s="733"/>
      <c r="M695" s="733"/>
    </row>
    <row r="696" spans="1:13" x14ac:dyDescent="0.3">
      <c r="A696" s="733" t="s">
        <v>1183</v>
      </c>
      <c r="B696" s="733" t="s">
        <v>612</v>
      </c>
      <c r="C696" s="733" t="s">
        <v>1192</v>
      </c>
      <c r="D696" s="733" t="s">
        <v>21</v>
      </c>
      <c r="E696" s="733" t="s">
        <v>614</v>
      </c>
      <c r="F696" s="733" t="s">
        <v>615</v>
      </c>
      <c r="G696" s="733"/>
      <c r="H696" s="733"/>
      <c r="I696" s="733"/>
      <c r="J696" s="733"/>
      <c r="K696" s="733"/>
      <c r="L696" s="733"/>
      <c r="M696" s="733"/>
    </row>
    <row r="697" spans="1:13" x14ac:dyDescent="0.3">
      <c r="A697" s="733" t="s">
        <v>1183</v>
      </c>
      <c r="B697" s="733" t="s">
        <v>645</v>
      </c>
      <c r="C697" s="733" t="s">
        <v>1193</v>
      </c>
      <c r="D697" s="733" t="s">
        <v>21</v>
      </c>
      <c r="E697" s="733" t="s">
        <v>614</v>
      </c>
      <c r="F697" s="733" t="s">
        <v>615</v>
      </c>
      <c r="G697" s="733"/>
      <c r="H697" s="733"/>
      <c r="I697" s="733"/>
      <c r="J697" s="733"/>
      <c r="K697" s="733"/>
      <c r="L697" s="733"/>
      <c r="M697" s="733"/>
    </row>
    <row r="698" spans="1:13" x14ac:dyDescent="0.3">
      <c r="A698" s="733" t="s">
        <v>1183</v>
      </c>
      <c r="B698" s="733" t="s">
        <v>645</v>
      </c>
      <c r="C698" s="733" t="s">
        <v>1194</v>
      </c>
      <c r="D698" s="733" t="s">
        <v>21</v>
      </c>
      <c r="E698" s="733" t="s">
        <v>614</v>
      </c>
      <c r="F698" s="733" t="s">
        <v>615</v>
      </c>
      <c r="G698" s="733"/>
      <c r="H698" s="733"/>
      <c r="I698" s="733"/>
      <c r="J698" s="733"/>
      <c r="K698" s="733"/>
      <c r="L698" s="733"/>
      <c r="M698" s="733"/>
    </row>
    <row r="699" spans="1:13" x14ac:dyDescent="0.3">
      <c r="A699" s="733" t="s">
        <v>1183</v>
      </c>
      <c r="B699" s="733" t="s">
        <v>645</v>
      </c>
      <c r="C699" s="733" t="s">
        <v>1195</v>
      </c>
      <c r="D699" s="733" t="s">
        <v>21</v>
      </c>
      <c r="E699" s="733" t="s">
        <v>614</v>
      </c>
      <c r="F699" s="733" t="s">
        <v>615</v>
      </c>
      <c r="G699" s="733"/>
      <c r="H699" s="733"/>
      <c r="I699" s="733"/>
      <c r="J699" s="733"/>
      <c r="K699" s="733"/>
      <c r="L699" s="733"/>
      <c r="M699" s="733"/>
    </row>
    <row r="700" spans="1:13" x14ac:dyDescent="0.3">
      <c r="A700" s="733" t="s">
        <v>1183</v>
      </c>
      <c r="B700" s="733" t="s">
        <v>645</v>
      </c>
      <c r="C700" s="733" t="s">
        <v>1196</v>
      </c>
      <c r="D700" s="733" t="s">
        <v>21</v>
      </c>
      <c r="E700" s="733" t="s">
        <v>614</v>
      </c>
      <c r="F700" s="733" t="s">
        <v>615</v>
      </c>
      <c r="G700" s="733"/>
      <c r="H700" s="733"/>
      <c r="I700" s="733"/>
      <c r="J700" s="733"/>
      <c r="K700" s="733"/>
      <c r="L700" s="733"/>
      <c r="M700" s="733"/>
    </row>
    <row r="701" spans="1:13" x14ac:dyDescent="0.3">
      <c r="A701" s="733" t="s">
        <v>1183</v>
      </c>
      <c r="B701" s="733" t="s">
        <v>645</v>
      </c>
      <c r="C701" s="733" t="s">
        <v>1197</v>
      </c>
      <c r="D701" s="733" t="s">
        <v>21</v>
      </c>
      <c r="E701" s="733" t="s">
        <v>614</v>
      </c>
      <c r="F701" s="733" t="s">
        <v>615</v>
      </c>
      <c r="G701" s="733"/>
      <c r="H701" s="733"/>
      <c r="I701" s="733"/>
      <c r="J701" s="733"/>
      <c r="K701" s="733"/>
      <c r="L701" s="733"/>
      <c r="M701" s="733"/>
    </row>
    <row r="702" spans="1:13" x14ac:dyDescent="0.3">
      <c r="A702" s="733" t="s">
        <v>1183</v>
      </c>
      <c r="B702" s="733" t="s">
        <v>645</v>
      </c>
      <c r="C702" s="733" t="s">
        <v>1198</v>
      </c>
      <c r="D702" s="733" t="s">
        <v>21</v>
      </c>
      <c r="E702" s="733" t="s">
        <v>614</v>
      </c>
      <c r="F702" s="733" t="s">
        <v>615</v>
      </c>
      <c r="G702" s="733"/>
      <c r="H702" s="733"/>
      <c r="I702" s="733"/>
      <c r="J702" s="733"/>
      <c r="K702" s="733"/>
      <c r="L702" s="733"/>
      <c r="M702" s="733"/>
    </row>
    <row r="703" spans="1:13" x14ac:dyDescent="0.3">
      <c r="A703" s="733" t="s">
        <v>1183</v>
      </c>
      <c r="B703" s="733" t="s">
        <v>645</v>
      </c>
      <c r="C703" s="733" t="s">
        <v>1199</v>
      </c>
      <c r="D703" s="733" t="s">
        <v>21</v>
      </c>
      <c r="E703" s="733" t="s">
        <v>614</v>
      </c>
      <c r="F703" s="733" t="s">
        <v>615</v>
      </c>
      <c r="G703" s="733"/>
      <c r="H703" s="733"/>
      <c r="I703" s="733"/>
      <c r="J703" s="733"/>
      <c r="K703" s="733"/>
      <c r="L703" s="733"/>
      <c r="M703" s="733"/>
    </row>
    <row r="704" spans="1:13" x14ac:dyDescent="0.3">
      <c r="A704" s="733" t="s">
        <v>1183</v>
      </c>
      <c r="B704" s="733" t="s">
        <v>664</v>
      </c>
      <c r="C704" s="733" t="s">
        <v>1200</v>
      </c>
      <c r="D704" s="733" t="s">
        <v>21</v>
      </c>
      <c r="E704" s="733" t="s">
        <v>614</v>
      </c>
      <c r="F704" s="733" t="s">
        <v>615</v>
      </c>
      <c r="G704" s="733"/>
      <c r="H704" s="733"/>
      <c r="I704" s="733"/>
      <c r="J704" s="733"/>
      <c r="K704" s="733"/>
      <c r="L704" s="733"/>
      <c r="M704" s="733"/>
    </row>
    <row r="705" spans="1:13" x14ac:dyDescent="0.3">
      <c r="A705" s="733" t="s">
        <v>1183</v>
      </c>
      <c r="B705" s="733" t="s">
        <v>664</v>
      </c>
      <c r="C705" s="733" t="s">
        <v>1201</v>
      </c>
      <c r="D705" s="733" t="s">
        <v>21</v>
      </c>
      <c r="E705" s="733" t="s">
        <v>614</v>
      </c>
      <c r="F705" s="733" t="s">
        <v>615</v>
      </c>
      <c r="G705" s="733"/>
      <c r="H705" s="733"/>
      <c r="I705" s="733"/>
      <c r="J705" s="733"/>
      <c r="K705" s="733"/>
      <c r="L705" s="733"/>
      <c r="M705" s="733"/>
    </row>
    <row r="706" spans="1:13" x14ac:dyDescent="0.3">
      <c r="A706" s="733" t="s">
        <v>1183</v>
      </c>
      <c r="B706" s="733" t="s">
        <v>664</v>
      </c>
      <c r="C706" s="733" t="s">
        <v>1202</v>
      </c>
      <c r="D706" s="733" t="s">
        <v>21</v>
      </c>
      <c r="E706" s="733" t="s">
        <v>614</v>
      </c>
      <c r="F706" s="733" t="s">
        <v>615</v>
      </c>
      <c r="G706" s="733"/>
      <c r="H706" s="733"/>
      <c r="I706" s="733"/>
      <c r="J706" s="733"/>
      <c r="K706" s="733"/>
      <c r="L706" s="733"/>
      <c r="M706" s="733"/>
    </row>
    <row r="707" spans="1:13" x14ac:dyDescent="0.3">
      <c r="A707" s="733" t="s">
        <v>1183</v>
      </c>
      <c r="B707" s="733" t="s">
        <v>664</v>
      </c>
      <c r="C707" s="733" t="s">
        <v>1203</v>
      </c>
      <c r="D707" s="733" t="s">
        <v>21</v>
      </c>
      <c r="E707" s="733" t="s">
        <v>614</v>
      </c>
      <c r="F707" s="733" t="s">
        <v>615</v>
      </c>
      <c r="G707" s="733"/>
      <c r="H707" s="733"/>
      <c r="I707" s="733"/>
      <c r="J707" s="733"/>
      <c r="K707" s="733"/>
      <c r="L707" s="733"/>
      <c r="M707" s="733"/>
    </row>
    <row r="708" spans="1:13" x14ac:dyDescent="0.3">
      <c r="A708" s="733" t="s">
        <v>1183</v>
      </c>
      <c r="B708" s="733" t="s">
        <v>664</v>
      </c>
      <c r="C708" s="733" t="s">
        <v>1204</v>
      </c>
      <c r="D708" s="733" t="s">
        <v>21</v>
      </c>
      <c r="E708" s="733" t="s">
        <v>614</v>
      </c>
      <c r="F708" s="733" t="s">
        <v>615</v>
      </c>
      <c r="G708" s="733"/>
      <c r="H708" s="733"/>
      <c r="I708" s="733"/>
      <c r="J708" s="733"/>
      <c r="K708" s="733"/>
      <c r="L708" s="733"/>
      <c r="M708" s="733"/>
    </row>
    <row r="709" spans="1:13" x14ac:dyDescent="0.3">
      <c r="A709" s="733" t="s">
        <v>1183</v>
      </c>
      <c r="B709" s="733" t="s">
        <v>664</v>
      </c>
      <c r="C709" s="733" t="s">
        <v>1205</v>
      </c>
      <c r="D709" s="733" t="s">
        <v>21</v>
      </c>
      <c r="E709" s="733" t="s">
        <v>614</v>
      </c>
      <c r="F709" s="733" t="s">
        <v>615</v>
      </c>
      <c r="G709" s="733"/>
      <c r="H709" s="733"/>
      <c r="I709" s="733"/>
      <c r="J709" s="733"/>
      <c r="K709" s="733"/>
      <c r="L709" s="733"/>
      <c r="M709" s="733"/>
    </row>
    <row r="710" spans="1:13" x14ac:dyDescent="0.3">
      <c r="A710" s="733" t="s">
        <v>1206</v>
      </c>
      <c r="B710" s="733" t="s">
        <v>612</v>
      </c>
      <c r="C710" s="733" t="s">
        <v>1207</v>
      </c>
      <c r="D710" s="733" t="s">
        <v>21</v>
      </c>
      <c r="E710" s="733" t="s">
        <v>614</v>
      </c>
      <c r="F710" s="733" t="s">
        <v>615</v>
      </c>
      <c r="G710" s="733"/>
      <c r="H710" s="733"/>
      <c r="I710" s="733"/>
      <c r="J710" s="733"/>
      <c r="K710" s="733"/>
      <c r="L710" s="733"/>
      <c r="M710" s="733"/>
    </row>
    <row r="711" spans="1:13" x14ac:dyDescent="0.3">
      <c r="A711" s="733" t="s">
        <v>1206</v>
      </c>
      <c r="B711" s="733" t="s">
        <v>612</v>
      </c>
      <c r="C711" s="733" t="s">
        <v>1208</v>
      </c>
      <c r="D711" s="733" t="s">
        <v>21</v>
      </c>
      <c r="E711" s="733" t="s">
        <v>614</v>
      </c>
      <c r="F711" s="733" t="s">
        <v>615</v>
      </c>
      <c r="G711" s="733"/>
      <c r="H711" s="733"/>
      <c r="I711" s="733"/>
      <c r="J711" s="733"/>
      <c r="K711" s="733"/>
      <c r="L711" s="733"/>
      <c r="M711" s="733"/>
    </row>
    <row r="712" spans="1:13" x14ac:dyDescent="0.3">
      <c r="A712" s="733" t="s">
        <v>1209</v>
      </c>
      <c r="B712" s="733" t="s">
        <v>612</v>
      </c>
      <c r="C712" s="733" t="s">
        <v>907</v>
      </c>
      <c r="D712" s="733" t="s">
        <v>21</v>
      </c>
      <c r="E712" s="733" t="s">
        <v>614</v>
      </c>
      <c r="F712" s="733" t="s">
        <v>615</v>
      </c>
      <c r="G712" s="733"/>
      <c r="H712" s="733"/>
      <c r="I712" s="733"/>
      <c r="J712" s="733"/>
      <c r="K712" s="733"/>
      <c r="L712" s="733"/>
      <c r="M712" s="733"/>
    </row>
    <row r="713" spans="1:13" x14ac:dyDescent="0.3">
      <c r="A713" s="733" t="s">
        <v>1209</v>
      </c>
      <c r="B713" s="733" t="s">
        <v>612</v>
      </c>
      <c r="C713" s="733" t="s">
        <v>729</v>
      </c>
      <c r="D713" s="733" t="s">
        <v>21</v>
      </c>
      <c r="E713" s="733" t="s">
        <v>614</v>
      </c>
      <c r="F713" s="733" t="s">
        <v>615</v>
      </c>
      <c r="G713" s="733"/>
      <c r="H713" s="733"/>
      <c r="I713" s="733"/>
      <c r="J713" s="733"/>
      <c r="K713" s="733"/>
      <c r="L713" s="733"/>
      <c r="M713" s="733"/>
    </row>
    <row r="714" spans="1:13" x14ac:dyDescent="0.3">
      <c r="A714" s="733" t="s">
        <v>1209</v>
      </c>
      <c r="B714" s="733" t="s">
        <v>612</v>
      </c>
      <c r="C714" s="733" t="s">
        <v>1210</v>
      </c>
      <c r="D714" s="733" t="s">
        <v>21</v>
      </c>
      <c r="E714" s="733" t="s">
        <v>614</v>
      </c>
      <c r="F714" s="733" t="s">
        <v>615</v>
      </c>
      <c r="G714" s="733"/>
      <c r="H714" s="733"/>
      <c r="I714" s="733"/>
      <c r="J714" s="733"/>
      <c r="K714" s="733"/>
      <c r="L714" s="733"/>
      <c r="M714" s="733"/>
    </row>
    <row r="715" spans="1:13" x14ac:dyDescent="0.3">
      <c r="A715" s="733" t="s">
        <v>1209</v>
      </c>
      <c r="B715" s="733" t="s">
        <v>612</v>
      </c>
      <c r="C715" s="733" t="s">
        <v>913</v>
      </c>
      <c r="D715" s="733" t="s">
        <v>21</v>
      </c>
      <c r="E715" s="733" t="s">
        <v>614</v>
      </c>
      <c r="F715" s="733" t="s">
        <v>615</v>
      </c>
      <c r="G715" s="733"/>
      <c r="H715" s="733"/>
      <c r="I715" s="733"/>
      <c r="J715" s="733"/>
      <c r="K715" s="733"/>
      <c r="L715" s="733"/>
      <c r="M715" s="733"/>
    </row>
    <row r="716" spans="1:13" x14ac:dyDescent="0.3">
      <c r="A716" s="733" t="s">
        <v>1209</v>
      </c>
      <c r="B716" s="733" t="s">
        <v>612</v>
      </c>
      <c r="C716" s="733" t="s">
        <v>915</v>
      </c>
      <c r="D716" s="733" t="s">
        <v>21</v>
      </c>
      <c r="E716" s="733" t="s">
        <v>614</v>
      </c>
      <c r="F716" s="733" t="s">
        <v>615</v>
      </c>
      <c r="G716" s="733"/>
      <c r="H716" s="733"/>
      <c r="I716" s="733"/>
      <c r="J716" s="733"/>
      <c r="K716" s="733"/>
      <c r="L716" s="733"/>
      <c r="M716" s="733"/>
    </row>
    <row r="717" spans="1:13" x14ac:dyDescent="0.3">
      <c r="A717" s="733" t="s">
        <v>1209</v>
      </c>
      <c r="B717" s="733" t="s">
        <v>645</v>
      </c>
      <c r="C717" s="733" t="s">
        <v>1211</v>
      </c>
      <c r="D717" s="733" t="s">
        <v>21</v>
      </c>
      <c r="E717" s="733" t="s">
        <v>614</v>
      </c>
      <c r="F717" s="733" t="s">
        <v>615</v>
      </c>
      <c r="G717" s="733"/>
      <c r="H717" s="733"/>
      <c r="I717" s="733"/>
      <c r="J717" s="733"/>
      <c r="K717" s="733"/>
      <c r="L717" s="733"/>
      <c r="M717" s="733"/>
    </row>
    <row r="718" spans="1:13" x14ac:dyDescent="0.3">
      <c r="A718" s="733" t="s">
        <v>1209</v>
      </c>
      <c r="B718" s="733" t="s">
        <v>645</v>
      </c>
      <c r="C718" s="733" t="s">
        <v>745</v>
      </c>
      <c r="D718" s="733" t="s">
        <v>21</v>
      </c>
      <c r="E718" s="733" t="s">
        <v>614</v>
      </c>
      <c r="F718" s="733" t="s">
        <v>615</v>
      </c>
      <c r="G718" s="733"/>
      <c r="H718" s="733"/>
      <c r="I718" s="733"/>
      <c r="J718" s="733"/>
      <c r="K718" s="733"/>
      <c r="L718" s="733"/>
      <c r="M718" s="733"/>
    </row>
    <row r="719" spans="1:13" x14ac:dyDescent="0.3">
      <c r="A719" s="733" t="s">
        <v>1209</v>
      </c>
      <c r="B719" s="733" t="s">
        <v>645</v>
      </c>
      <c r="C719" s="733" t="s">
        <v>1212</v>
      </c>
      <c r="D719" s="733" t="s">
        <v>21</v>
      </c>
      <c r="E719" s="733" t="s">
        <v>614</v>
      </c>
      <c r="F719" s="733" t="s">
        <v>615</v>
      </c>
      <c r="G719" s="733"/>
      <c r="H719" s="733"/>
      <c r="I719" s="733"/>
      <c r="J719" s="733"/>
      <c r="K719" s="733"/>
      <c r="L719" s="733"/>
      <c r="M719" s="733"/>
    </row>
    <row r="720" spans="1:13" x14ac:dyDescent="0.3">
      <c r="A720" s="733" t="s">
        <v>1209</v>
      </c>
      <c r="B720" s="733" t="s">
        <v>645</v>
      </c>
      <c r="C720" s="733" t="s">
        <v>1213</v>
      </c>
      <c r="D720" s="733" t="s">
        <v>21</v>
      </c>
      <c r="E720" s="733" t="s">
        <v>614</v>
      </c>
      <c r="F720" s="733" t="s">
        <v>615</v>
      </c>
      <c r="G720" s="733"/>
      <c r="H720" s="733"/>
      <c r="I720" s="733"/>
      <c r="J720" s="733"/>
      <c r="K720" s="733"/>
      <c r="L720" s="733"/>
      <c r="M720" s="733"/>
    </row>
    <row r="721" spans="1:13" x14ac:dyDescent="0.3">
      <c r="A721" s="733" t="s">
        <v>1209</v>
      </c>
      <c r="B721" s="733" t="s">
        <v>645</v>
      </c>
      <c r="C721" s="733" t="s">
        <v>1214</v>
      </c>
      <c r="D721" s="733" t="s">
        <v>21</v>
      </c>
      <c r="E721" s="733" t="s">
        <v>614</v>
      </c>
      <c r="F721" s="733" t="s">
        <v>615</v>
      </c>
      <c r="G721" s="733"/>
      <c r="H721" s="733"/>
      <c r="I721" s="733"/>
      <c r="J721" s="733"/>
      <c r="K721" s="733"/>
      <c r="L721" s="733"/>
      <c r="M721" s="733"/>
    </row>
    <row r="722" spans="1:13" x14ac:dyDescent="0.3">
      <c r="A722" s="733" t="s">
        <v>1209</v>
      </c>
      <c r="B722" s="733" t="s">
        <v>664</v>
      </c>
      <c r="C722" s="733" t="s">
        <v>1215</v>
      </c>
      <c r="D722" s="733" t="s">
        <v>21</v>
      </c>
      <c r="E722" s="733" t="s">
        <v>614</v>
      </c>
      <c r="F722" s="733" t="s">
        <v>615</v>
      </c>
      <c r="G722" s="733"/>
      <c r="H722" s="733"/>
      <c r="I722" s="733"/>
      <c r="J722" s="733"/>
      <c r="K722" s="733"/>
      <c r="L722" s="733"/>
      <c r="M722" s="733"/>
    </row>
    <row r="723" spans="1:13" x14ac:dyDescent="0.3">
      <c r="A723" s="733" t="s">
        <v>1216</v>
      </c>
      <c r="B723" s="733" t="s">
        <v>612</v>
      </c>
      <c r="C723" s="733" t="s">
        <v>1173</v>
      </c>
      <c r="D723" s="733" t="s">
        <v>21</v>
      </c>
      <c r="E723" s="733" t="s">
        <v>614</v>
      </c>
      <c r="F723" s="733" t="s">
        <v>615</v>
      </c>
      <c r="G723" s="733"/>
      <c r="H723" s="733"/>
      <c r="I723" s="733"/>
      <c r="J723" s="733"/>
      <c r="K723" s="733"/>
      <c r="L723" s="733"/>
      <c r="M723" s="733"/>
    </row>
    <row r="724" spans="1:13" x14ac:dyDescent="0.3">
      <c r="A724" s="733" t="s">
        <v>1216</v>
      </c>
      <c r="B724" s="733" t="s">
        <v>612</v>
      </c>
      <c r="C724" s="733" t="s">
        <v>1217</v>
      </c>
      <c r="D724" s="733" t="s">
        <v>21</v>
      </c>
      <c r="E724" s="733" t="s">
        <v>614</v>
      </c>
      <c r="F724" s="733" t="s">
        <v>615</v>
      </c>
      <c r="G724" s="733"/>
      <c r="H724" s="733"/>
      <c r="I724" s="733"/>
      <c r="J724" s="733"/>
      <c r="K724" s="733"/>
      <c r="L724" s="733"/>
      <c r="M724" s="733"/>
    </row>
    <row r="725" spans="1:13" x14ac:dyDescent="0.3">
      <c r="A725" s="733" t="s">
        <v>1216</v>
      </c>
      <c r="B725" s="733" t="s">
        <v>612</v>
      </c>
      <c r="C725" s="733" t="s">
        <v>1218</v>
      </c>
      <c r="D725" s="733" t="s">
        <v>21</v>
      </c>
      <c r="E725" s="733" t="s">
        <v>614</v>
      </c>
      <c r="F725" s="733" t="s">
        <v>615</v>
      </c>
      <c r="G725" s="733"/>
      <c r="H725" s="733"/>
      <c r="I725" s="733"/>
      <c r="J725" s="733"/>
      <c r="K725" s="733"/>
      <c r="L725" s="733"/>
      <c r="M725" s="733"/>
    </row>
    <row r="726" spans="1:13" x14ac:dyDescent="0.3">
      <c r="A726" s="733" t="s">
        <v>1216</v>
      </c>
      <c r="B726" s="733" t="s">
        <v>612</v>
      </c>
      <c r="C726" s="733" t="s">
        <v>909</v>
      </c>
      <c r="D726" s="733" t="s">
        <v>21</v>
      </c>
      <c r="E726" s="733" t="s">
        <v>614</v>
      </c>
      <c r="F726" s="733" t="s">
        <v>615</v>
      </c>
      <c r="G726" s="733"/>
      <c r="H726" s="733"/>
      <c r="I726" s="733"/>
      <c r="J726" s="733"/>
      <c r="K726" s="733"/>
      <c r="L726" s="733"/>
      <c r="M726" s="733"/>
    </row>
    <row r="727" spans="1:13" x14ac:dyDescent="0.3">
      <c r="A727" s="733" t="s">
        <v>1216</v>
      </c>
      <c r="B727" s="733" t="s">
        <v>612</v>
      </c>
      <c r="C727" s="733" t="s">
        <v>1219</v>
      </c>
      <c r="D727" s="733" t="s">
        <v>21</v>
      </c>
      <c r="E727" s="733" t="s">
        <v>614</v>
      </c>
      <c r="F727" s="733" t="s">
        <v>615</v>
      </c>
      <c r="G727" s="733"/>
      <c r="H727" s="733"/>
      <c r="I727" s="733"/>
      <c r="J727" s="733"/>
      <c r="K727" s="733"/>
      <c r="L727" s="733"/>
      <c r="M727" s="733"/>
    </row>
    <row r="728" spans="1:13" x14ac:dyDescent="0.3">
      <c r="A728" s="733" t="s">
        <v>1216</v>
      </c>
      <c r="B728" s="733" t="s">
        <v>612</v>
      </c>
      <c r="C728" s="733" t="s">
        <v>1174</v>
      </c>
      <c r="D728" s="733" t="s">
        <v>21</v>
      </c>
      <c r="E728" s="733" t="s">
        <v>614</v>
      </c>
      <c r="F728" s="733" t="s">
        <v>615</v>
      </c>
      <c r="G728" s="733"/>
      <c r="H728" s="733"/>
      <c r="I728" s="733"/>
      <c r="J728" s="733"/>
      <c r="K728" s="733"/>
      <c r="L728" s="733"/>
      <c r="M728" s="733"/>
    </row>
    <row r="729" spans="1:13" x14ac:dyDescent="0.3">
      <c r="A729" s="733" t="s">
        <v>1216</v>
      </c>
      <c r="B729" s="733" t="s">
        <v>612</v>
      </c>
      <c r="C729" s="733" t="s">
        <v>1220</v>
      </c>
      <c r="D729" s="733" t="s">
        <v>21</v>
      </c>
      <c r="E729" s="733" t="s">
        <v>614</v>
      </c>
      <c r="F729" s="733" t="s">
        <v>615</v>
      </c>
      <c r="G729" s="733"/>
      <c r="H729" s="733"/>
      <c r="I729" s="733"/>
      <c r="J729" s="733"/>
      <c r="K729" s="733"/>
      <c r="L729" s="733"/>
      <c r="M729" s="733"/>
    </row>
    <row r="730" spans="1:13" x14ac:dyDescent="0.3">
      <c r="A730" s="733" t="s">
        <v>1216</v>
      </c>
      <c r="B730" s="733" t="s">
        <v>645</v>
      </c>
      <c r="C730" s="733" t="s">
        <v>1211</v>
      </c>
      <c r="D730" s="733" t="s">
        <v>21</v>
      </c>
      <c r="E730" s="733" t="s">
        <v>614</v>
      </c>
      <c r="F730" s="733" t="s">
        <v>615</v>
      </c>
      <c r="G730" s="733"/>
      <c r="H730" s="733"/>
      <c r="I730" s="733"/>
      <c r="J730" s="733"/>
      <c r="K730" s="733"/>
      <c r="L730" s="733"/>
      <c r="M730" s="733"/>
    </row>
    <row r="731" spans="1:13" x14ac:dyDescent="0.3">
      <c r="A731" s="733" t="s">
        <v>1216</v>
      </c>
      <c r="B731" s="733" t="s">
        <v>645</v>
      </c>
      <c r="C731" s="733" t="s">
        <v>1221</v>
      </c>
      <c r="D731" s="733" t="s">
        <v>21</v>
      </c>
      <c r="E731" s="733" t="s">
        <v>614</v>
      </c>
      <c r="F731" s="733" t="s">
        <v>615</v>
      </c>
      <c r="G731" s="733"/>
      <c r="H731" s="733"/>
      <c r="I731" s="733"/>
      <c r="J731" s="733"/>
      <c r="K731" s="733"/>
      <c r="L731" s="733"/>
      <c r="M731" s="733"/>
    </row>
    <row r="732" spans="1:13" x14ac:dyDescent="0.3">
      <c r="A732" s="733" t="s">
        <v>1216</v>
      </c>
      <c r="B732" s="733" t="s">
        <v>645</v>
      </c>
      <c r="C732" s="733" t="s">
        <v>1222</v>
      </c>
      <c r="D732" s="733" t="s">
        <v>21</v>
      </c>
      <c r="E732" s="733" t="s">
        <v>614</v>
      </c>
      <c r="F732" s="733" t="s">
        <v>615</v>
      </c>
      <c r="G732" s="733"/>
      <c r="H732" s="733"/>
      <c r="I732" s="733"/>
      <c r="J732" s="733"/>
      <c r="K732" s="733"/>
      <c r="L732" s="733"/>
      <c r="M732" s="733"/>
    </row>
    <row r="733" spans="1:13" x14ac:dyDescent="0.3">
      <c r="A733" s="733" t="s">
        <v>1216</v>
      </c>
      <c r="B733" s="733" t="s">
        <v>645</v>
      </c>
      <c r="C733" s="733" t="s">
        <v>1212</v>
      </c>
      <c r="D733" s="733" t="s">
        <v>21</v>
      </c>
      <c r="E733" s="733" t="s">
        <v>614</v>
      </c>
      <c r="F733" s="733" t="s">
        <v>615</v>
      </c>
      <c r="G733" s="733"/>
      <c r="H733" s="733"/>
      <c r="I733" s="733"/>
      <c r="J733" s="733"/>
      <c r="K733" s="733"/>
      <c r="L733" s="733"/>
      <c r="M733" s="733"/>
    </row>
    <row r="734" spans="1:13" x14ac:dyDescent="0.3">
      <c r="A734" s="733" t="s">
        <v>1216</v>
      </c>
      <c r="B734" s="733" t="s">
        <v>645</v>
      </c>
      <c r="C734" s="733" t="s">
        <v>1223</v>
      </c>
      <c r="D734" s="733" t="s">
        <v>21</v>
      </c>
      <c r="E734" s="733" t="s">
        <v>614</v>
      </c>
      <c r="F734" s="733" t="s">
        <v>615</v>
      </c>
      <c r="G734" s="733"/>
      <c r="H734" s="733"/>
      <c r="I734" s="733"/>
      <c r="J734" s="733"/>
      <c r="K734" s="733"/>
      <c r="L734" s="733"/>
      <c r="M734" s="733"/>
    </row>
    <row r="735" spans="1:13" x14ac:dyDescent="0.3">
      <c r="A735" s="733" t="s">
        <v>1216</v>
      </c>
      <c r="B735" s="733" t="s">
        <v>645</v>
      </c>
      <c r="C735" s="733" t="s">
        <v>1214</v>
      </c>
      <c r="D735" s="733" t="s">
        <v>21</v>
      </c>
      <c r="E735" s="733" t="s">
        <v>614</v>
      </c>
      <c r="F735" s="733" t="s">
        <v>615</v>
      </c>
      <c r="G735" s="733"/>
      <c r="H735" s="733"/>
      <c r="I735" s="733"/>
      <c r="J735" s="733"/>
      <c r="K735" s="733"/>
      <c r="L735" s="733"/>
      <c r="M735" s="733"/>
    </row>
    <row r="736" spans="1:13" x14ac:dyDescent="0.3">
      <c r="A736" s="733" t="s">
        <v>1216</v>
      </c>
      <c r="B736" s="733" t="s">
        <v>664</v>
      </c>
      <c r="C736" s="733" t="s">
        <v>1221</v>
      </c>
      <c r="D736" s="733" t="s">
        <v>21</v>
      </c>
      <c r="E736" s="733" t="s">
        <v>614</v>
      </c>
      <c r="F736" s="733" t="s">
        <v>615</v>
      </c>
      <c r="G736" s="733"/>
      <c r="H736" s="733"/>
      <c r="I736" s="733"/>
      <c r="J736" s="733"/>
      <c r="K736" s="733"/>
      <c r="L736" s="733"/>
      <c r="M736" s="733"/>
    </row>
    <row r="737" spans="1:13" x14ac:dyDescent="0.3">
      <c r="A737" s="733" t="s">
        <v>1216</v>
      </c>
      <c r="B737" s="733" t="s">
        <v>664</v>
      </c>
      <c r="C737" s="733" t="s">
        <v>1222</v>
      </c>
      <c r="D737" s="733" t="s">
        <v>21</v>
      </c>
      <c r="E737" s="733" t="s">
        <v>614</v>
      </c>
      <c r="F737" s="733" t="s">
        <v>615</v>
      </c>
      <c r="G737" s="733"/>
      <c r="H737" s="733"/>
      <c r="I737" s="733"/>
      <c r="J737" s="733"/>
      <c r="K737" s="733"/>
      <c r="L737" s="733"/>
      <c r="M737" s="733"/>
    </row>
    <row r="738" spans="1:13" x14ac:dyDescent="0.3">
      <c r="A738" s="733" t="s">
        <v>1224</v>
      </c>
      <c r="B738" s="733" t="s">
        <v>612</v>
      </c>
      <c r="C738" s="733" t="s">
        <v>1225</v>
      </c>
      <c r="D738" s="733" t="s">
        <v>21</v>
      </c>
      <c r="E738" s="761"/>
      <c r="F738" s="761"/>
      <c r="G738" s="733"/>
      <c r="H738" s="733"/>
      <c r="I738" s="733"/>
      <c r="J738" s="733"/>
      <c r="K738" s="733"/>
      <c r="L738" s="733"/>
      <c r="M738" s="733"/>
    </row>
    <row r="739" spans="1:13" x14ac:dyDescent="0.3">
      <c r="A739" s="733" t="s">
        <v>1224</v>
      </c>
      <c r="B739" s="733" t="s">
        <v>612</v>
      </c>
      <c r="C739" s="733" t="s">
        <v>1226</v>
      </c>
      <c r="D739" s="733" t="s">
        <v>21</v>
      </c>
      <c r="E739" s="761"/>
      <c r="F739" s="761"/>
      <c r="G739" s="733"/>
      <c r="H739" s="733"/>
      <c r="I739" s="733"/>
      <c r="J739" s="733"/>
      <c r="K739" s="733"/>
      <c r="L739" s="733"/>
      <c r="M739" s="733"/>
    </row>
    <row r="740" spans="1:13" x14ac:dyDescent="0.3">
      <c r="A740" s="733" t="s">
        <v>1224</v>
      </c>
      <c r="B740" s="733" t="s">
        <v>612</v>
      </c>
      <c r="C740" s="733" t="s">
        <v>1227</v>
      </c>
      <c r="D740" s="733" t="s">
        <v>21</v>
      </c>
      <c r="E740" s="761"/>
      <c r="F740" s="761"/>
      <c r="G740" s="733"/>
      <c r="H740" s="733"/>
      <c r="I740" s="733"/>
      <c r="J740" s="733"/>
      <c r="K740" s="733"/>
      <c r="L740" s="733"/>
      <c r="M740" s="733"/>
    </row>
    <row r="741" spans="1:13" x14ac:dyDescent="0.3">
      <c r="A741" s="733" t="s">
        <v>1224</v>
      </c>
      <c r="B741" s="733" t="s">
        <v>612</v>
      </c>
      <c r="C741" s="733" t="s">
        <v>1228</v>
      </c>
      <c r="D741" s="733" t="s">
        <v>21</v>
      </c>
      <c r="E741" s="761"/>
      <c r="F741" s="761"/>
      <c r="G741" s="733"/>
      <c r="H741" s="733"/>
      <c r="I741" s="733"/>
      <c r="J741" s="733"/>
      <c r="K741" s="733"/>
      <c r="L741" s="733"/>
      <c r="M741" s="733"/>
    </row>
    <row r="742" spans="1:13" x14ac:dyDescent="0.3">
      <c r="A742" s="733" t="s">
        <v>1224</v>
      </c>
      <c r="B742" s="733" t="s">
        <v>612</v>
      </c>
      <c r="C742" s="733" t="s">
        <v>1229</v>
      </c>
      <c r="D742" s="733" t="s">
        <v>21</v>
      </c>
      <c r="E742" s="761"/>
      <c r="F742" s="761"/>
      <c r="G742" s="733"/>
      <c r="H742" s="733"/>
      <c r="I742" s="733"/>
      <c r="J742" s="733"/>
      <c r="K742" s="733"/>
      <c r="L742" s="733"/>
      <c r="M742" s="733"/>
    </row>
    <row r="743" spans="1:13" x14ac:dyDescent="0.3">
      <c r="A743" s="733" t="s">
        <v>1224</v>
      </c>
      <c r="B743" s="733" t="s">
        <v>645</v>
      </c>
      <c r="C743" s="733" t="s">
        <v>1230</v>
      </c>
      <c r="D743" s="733" t="s">
        <v>21</v>
      </c>
      <c r="E743" s="761"/>
      <c r="F743" s="761"/>
      <c r="G743" s="733"/>
      <c r="H743" s="733"/>
      <c r="I743" s="733"/>
      <c r="J743" s="733"/>
      <c r="K743" s="733"/>
      <c r="L743" s="733"/>
      <c r="M743" s="733"/>
    </row>
    <row r="744" spans="1:13" x14ac:dyDescent="0.3">
      <c r="A744" s="733" t="s">
        <v>1224</v>
      </c>
      <c r="B744" s="733" t="s">
        <v>645</v>
      </c>
      <c r="C744" s="733" t="s">
        <v>1231</v>
      </c>
      <c r="D744" s="733" t="s">
        <v>21</v>
      </c>
      <c r="E744" s="761"/>
      <c r="F744" s="761"/>
      <c r="G744" s="733"/>
      <c r="H744" s="733"/>
      <c r="I744" s="733"/>
      <c r="J744" s="733"/>
      <c r="K744" s="733"/>
      <c r="L744" s="733"/>
      <c r="M744" s="733"/>
    </row>
    <row r="745" spans="1:13" x14ac:dyDescent="0.3">
      <c r="A745" s="733" t="s">
        <v>1224</v>
      </c>
      <c r="B745" s="733" t="s">
        <v>645</v>
      </c>
      <c r="C745" s="733" t="s">
        <v>1232</v>
      </c>
      <c r="D745" s="733" t="s">
        <v>21</v>
      </c>
      <c r="E745" s="761"/>
      <c r="F745" s="761"/>
      <c r="G745" s="733"/>
      <c r="H745" s="733"/>
      <c r="I745" s="733"/>
      <c r="J745" s="733"/>
      <c r="K745" s="733"/>
      <c r="L745" s="733"/>
      <c r="M745" s="733"/>
    </row>
    <row r="746" spans="1:13" x14ac:dyDescent="0.3">
      <c r="A746" s="733" t="s">
        <v>1224</v>
      </c>
      <c r="B746" s="733" t="s">
        <v>645</v>
      </c>
      <c r="C746" s="733" t="s">
        <v>1233</v>
      </c>
      <c r="D746" s="733" t="s">
        <v>21</v>
      </c>
      <c r="E746" s="761"/>
      <c r="F746" s="761"/>
      <c r="G746" s="733"/>
      <c r="H746" s="733"/>
      <c r="I746" s="733"/>
      <c r="J746" s="733"/>
      <c r="K746" s="733"/>
      <c r="L746" s="733"/>
      <c r="M746" s="733"/>
    </row>
    <row r="747" spans="1:13" x14ac:dyDescent="0.3">
      <c r="A747" s="733" t="s">
        <v>1224</v>
      </c>
      <c r="B747" s="733" t="s">
        <v>645</v>
      </c>
      <c r="C747" s="733" t="s">
        <v>1234</v>
      </c>
      <c r="D747" s="733" t="s">
        <v>21</v>
      </c>
      <c r="E747" s="761"/>
      <c r="F747" s="761"/>
      <c r="G747" s="733"/>
      <c r="H747" s="733"/>
      <c r="I747" s="733"/>
      <c r="J747" s="733"/>
      <c r="K747" s="733"/>
      <c r="L747" s="733"/>
      <c r="M747" s="733"/>
    </row>
    <row r="748" spans="1:13" x14ac:dyDescent="0.3">
      <c r="A748" s="733" t="s">
        <v>1224</v>
      </c>
      <c r="B748" s="733" t="s">
        <v>664</v>
      </c>
      <c r="C748" s="733" t="s">
        <v>1235</v>
      </c>
      <c r="D748" s="733" t="s">
        <v>21</v>
      </c>
      <c r="E748" s="761"/>
      <c r="F748" s="761"/>
      <c r="G748" s="733"/>
      <c r="H748" s="733"/>
      <c r="I748" s="733"/>
      <c r="J748" s="733"/>
      <c r="K748" s="733"/>
      <c r="L748" s="733"/>
      <c r="M748" s="733"/>
    </row>
    <row r="749" spans="1:13" x14ac:dyDescent="0.3">
      <c r="A749" s="733" t="s">
        <v>1224</v>
      </c>
      <c r="B749" s="733" t="s">
        <v>664</v>
      </c>
      <c r="C749" s="733" t="s">
        <v>1236</v>
      </c>
      <c r="D749" s="733" t="s">
        <v>21</v>
      </c>
      <c r="E749" s="761"/>
      <c r="F749" s="761"/>
      <c r="G749" s="733"/>
      <c r="H749" s="733"/>
      <c r="I749" s="733"/>
      <c r="J749" s="733"/>
      <c r="K749" s="733"/>
      <c r="L749" s="733"/>
      <c r="M749" s="733"/>
    </row>
    <row r="750" spans="1:13" x14ac:dyDescent="0.3">
      <c r="A750" s="733" t="s">
        <v>1224</v>
      </c>
      <c r="B750" s="733" t="s">
        <v>664</v>
      </c>
      <c r="C750" s="733" t="s">
        <v>1237</v>
      </c>
      <c r="D750" s="733" t="s">
        <v>21</v>
      </c>
      <c r="E750" s="761"/>
      <c r="F750" s="761"/>
      <c r="G750" s="733"/>
      <c r="H750" s="733"/>
      <c r="I750" s="733"/>
      <c r="J750" s="733"/>
      <c r="K750" s="733"/>
      <c r="L750" s="733"/>
      <c r="M750" s="733"/>
    </row>
    <row r="751" spans="1:13" x14ac:dyDescent="0.3">
      <c r="A751" s="733" t="s">
        <v>1224</v>
      </c>
      <c r="B751" s="733" t="s">
        <v>664</v>
      </c>
      <c r="C751" s="733" t="s">
        <v>1238</v>
      </c>
      <c r="D751" s="733" t="s">
        <v>21</v>
      </c>
      <c r="E751" s="761"/>
      <c r="F751" s="761"/>
      <c r="G751" s="733"/>
      <c r="H751" s="733"/>
      <c r="I751" s="733"/>
      <c r="J751" s="733"/>
      <c r="K751" s="733"/>
      <c r="L751" s="733"/>
      <c r="M751" s="733"/>
    </row>
    <row r="752" spans="1:13" x14ac:dyDescent="0.3">
      <c r="A752" s="733" t="s">
        <v>1224</v>
      </c>
      <c r="B752" s="733" t="s">
        <v>664</v>
      </c>
      <c r="C752" s="733" t="s">
        <v>1239</v>
      </c>
      <c r="D752" s="733" t="s">
        <v>21</v>
      </c>
      <c r="E752" s="761"/>
      <c r="F752" s="761"/>
      <c r="G752" s="733"/>
      <c r="H752" s="733"/>
      <c r="I752" s="733"/>
      <c r="J752" s="733"/>
      <c r="K752" s="733"/>
      <c r="L752" s="733"/>
      <c r="M752" s="733"/>
    </row>
    <row r="753" spans="1:13" x14ac:dyDescent="0.3">
      <c r="A753" s="733" t="s">
        <v>1240</v>
      </c>
      <c r="B753" s="733" t="s">
        <v>612</v>
      </c>
      <c r="C753" s="733" t="s">
        <v>1241</v>
      </c>
      <c r="D753" s="733" t="s">
        <v>21</v>
      </c>
      <c r="E753" s="733" t="s">
        <v>614</v>
      </c>
      <c r="F753" s="733" t="s">
        <v>615</v>
      </c>
      <c r="G753" s="733"/>
      <c r="H753" s="733"/>
      <c r="I753" s="733"/>
      <c r="J753" s="733"/>
      <c r="K753" s="733"/>
      <c r="L753" s="733"/>
      <c r="M753" s="733"/>
    </row>
    <row r="754" spans="1:13" x14ac:dyDescent="0.3">
      <c r="A754" s="733" t="s">
        <v>1240</v>
      </c>
      <c r="B754" s="733" t="s">
        <v>612</v>
      </c>
      <c r="C754" s="733" t="s">
        <v>807</v>
      </c>
      <c r="D754" s="733" t="s">
        <v>21</v>
      </c>
      <c r="E754" s="733" t="s">
        <v>614</v>
      </c>
      <c r="F754" s="733" t="s">
        <v>615</v>
      </c>
      <c r="G754" s="733"/>
      <c r="H754" s="733"/>
      <c r="I754" s="733"/>
      <c r="J754" s="733"/>
      <c r="K754" s="733"/>
      <c r="L754" s="733"/>
      <c r="M754" s="733"/>
    </row>
    <row r="755" spans="1:13" x14ac:dyDescent="0.3">
      <c r="A755" s="733" t="s">
        <v>1240</v>
      </c>
      <c r="B755" s="733" t="s">
        <v>612</v>
      </c>
      <c r="C755" s="733" t="s">
        <v>1242</v>
      </c>
      <c r="D755" s="733" t="s">
        <v>21</v>
      </c>
      <c r="E755" s="733" t="s">
        <v>614</v>
      </c>
      <c r="F755" s="733" t="s">
        <v>615</v>
      </c>
      <c r="G755" s="733"/>
      <c r="H755" s="733"/>
      <c r="I755" s="733"/>
      <c r="J755" s="733"/>
      <c r="K755" s="733"/>
      <c r="L755" s="733"/>
      <c r="M755" s="733"/>
    </row>
    <row r="756" spans="1:13" x14ac:dyDescent="0.3">
      <c r="A756" s="733" t="s">
        <v>1240</v>
      </c>
      <c r="B756" s="733" t="s">
        <v>612</v>
      </c>
      <c r="C756" s="733" t="s">
        <v>987</v>
      </c>
      <c r="D756" s="733" t="s">
        <v>21</v>
      </c>
      <c r="E756" s="733" t="s">
        <v>614</v>
      </c>
      <c r="F756" s="733" t="s">
        <v>615</v>
      </c>
      <c r="G756" s="733"/>
      <c r="H756" s="733"/>
      <c r="I756" s="733"/>
      <c r="J756" s="733"/>
      <c r="K756" s="733"/>
      <c r="L756" s="733"/>
      <c r="M756" s="733"/>
    </row>
    <row r="757" spans="1:13" x14ac:dyDescent="0.3">
      <c r="A757" s="733" t="s">
        <v>1240</v>
      </c>
      <c r="B757" s="733" t="s">
        <v>612</v>
      </c>
      <c r="C757" s="733" t="s">
        <v>1243</v>
      </c>
      <c r="D757" s="733" t="s">
        <v>21</v>
      </c>
      <c r="E757" s="733" t="s">
        <v>614</v>
      </c>
      <c r="F757" s="733" t="s">
        <v>615</v>
      </c>
      <c r="G757" s="733"/>
      <c r="H757" s="733"/>
      <c r="I757" s="733"/>
      <c r="J757" s="733"/>
      <c r="K757" s="733"/>
      <c r="L757" s="733"/>
      <c r="M757" s="733"/>
    </row>
    <row r="758" spans="1:13" x14ac:dyDescent="0.3">
      <c r="A758" s="733" t="s">
        <v>1240</v>
      </c>
      <c r="B758" s="733" t="s">
        <v>612</v>
      </c>
      <c r="C758" s="733" t="s">
        <v>992</v>
      </c>
      <c r="D758" s="733" t="s">
        <v>21</v>
      </c>
      <c r="E758" s="733" t="s">
        <v>614</v>
      </c>
      <c r="F758" s="733" t="s">
        <v>615</v>
      </c>
      <c r="G758" s="733"/>
      <c r="H758" s="733"/>
      <c r="I758" s="733"/>
      <c r="J758" s="733"/>
      <c r="K758" s="733"/>
      <c r="L758" s="733"/>
      <c r="M758" s="733"/>
    </row>
    <row r="759" spans="1:13" x14ac:dyDescent="0.3">
      <c r="A759" s="733" t="s">
        <v>1240</v>
      </c>
      <c r="B759" s="733" t="s">
        <v>612</v>
      </c>
      <c r="C759" s="733" t="s">
        <v>1244</v>
      </c>
      <c r="D759" s="733" t="s">
        <v>21</v>
      </c>
      <c r="E759" s="733" t="s">
        <v>614</v>
      </c>
      <c r="F759" s="733" t="s">
        <v>615</v>
      </c>
      <c r="G759" s="733"/>
      <c r="H759" s="733"/>
      <c r="I759" s="733"/>
      <c r="J759" s="733"/>
      <c r="K759" s="733"/>
      <c r="L759" s="733"/>
      <c r="M759" s="733"/>
    </row>
    <row r="760" spans="1:13" x14ac:dyDescent="0.3">
      <c r="A760" s="733" t="s">
        <v>1240</v>
      </c>
      <c r="B760" s="733" t="s">
        <v>612</v>
      </c>
      <c r="C760" s="733" t="s">
        <v>1245</v>
      </c>
      <c r="D760" s="733" t="s">
        <v>21</v>
      </c>
      <c r="E760" s="733" t="s">
        <v>614</v>
      </c>
      <c r="F760" s="733" t="s">
        <v>615</v>
      </c>
      <c r="G760" s="733"/>
      <c r="H760" s="733"/>
      <c r="I760" s="733"/>
      <c r="J760" s="733"/>
      <c r="K760" s="733"/>
      <c r="L760" s="733"/>
      <c r="M760" s="733"/>
    </row>
    <row r="761" spans="1:13" x14ac:dyDescent="0.3">
      <c r="A761" s="733" t="s">
        <v>1240</v>
      </c>
      <c r="B761" s="733" t="s">
        <v>612</v>
      </c>
      <c r="C761" s="733" t="s">
        <v>998</v>
      </c>
      <c r="D761" s="733" t="s">
        <v>21</v>
      </c>
      <c r="E761" s="733" t="s">
        <v>614</v>
      </c>
      <c r="F761" s="733" t="s">
        <v>615</v>
      </c>
      <c r="G761" s="733"/>
      <c r="H761" s="733"/>
      <c r="I761" s="733"/>
      <c r="J761" s="733"/>
      <c r="K761" s="733"/>
      <c r="L761" s="733"/>
      <c r="M761" s="733"/>
    </row>
    <row r="762" spans="1:13" x14ac:dyDescent="0.3">
      <c r="A762" s="733" t="s">
        <v>1240</v>
      </c>
      <c r="B762" s="733" t="s">
        <v>612</v>
      </c>
      <c r="C762" s="733" t="s">
        <v>1246</v>
      </c>
      <c r="D762" s="733" t="s">
        <v>21</v>
      </c>
      <c r="E762" s="733" t="s">
        <v>614</v>
      </c>
      <c r="F762" s="733" t="s">
        <v>615</v>
      </c>
      <c r="G762" s="733"/>
      <c r="H762" s="733"/>
      <c r="I762" s="733"/>
      <c r="J762" s="733"/>
      <c r="K762" s="733"/>
      <c r="L762" s="733"/>
      <c r="M762" s="733"/>
    </row>
    <row r="763" spans="1:13" x14ac:dyDescent="0.3">
      <c r="A763" s="733" t="s">
        <v>1240</v>
      </c>
      <c r="B763" s="733" t="s">
        <v>612</v>
      </c>
      <c r="C763" s="733" t="s">
        <v>1247</v>
      </c>
      <c r="D763" s="733" t="s">
        <v>21</v>
      </c>
      <c r="E763" s="733" t="s">
        <v>614</v>
      </c>
      <c r="F763" s="733" t="s">
        <v>615</v>
      </c>
      <c r="G763" s="733"/>
      <c r="H763" s="733"/>
      <c r="I763" s="733"/>
      <c r="J763" s="733"/>
      <c r="K763" s="733"/>
      <c r="L763" s="733"/>
      <c r="M763" s="733"/>
    </row>
    <row r="764" spans="1:13" x14ac:dyDescent="0.3">
      <c r="A764" s="733" t="s">
        <v>1240</v>
      </c>
      <c r="B764" s="733" t="s">
        <v>645</v>
      </c>
      <c r="C764" s="733" t="s">
        <v>1248</v>
      </c>
      <c r="D764" s="733" t="s">
        <v>21</v>
      </c>
      <c r="E764" s="733" t="s">
        <v>614</v>
      </c>
      <c r="F764" s="733" t="s">
        <v>615</v>
      </c>
      <c r="G764" s="733"/>
      <c r="H764" s="733"/>
      <c r="I764" s="733"/>
      <c r="J764" s="733"/>
      <c r="K764" s="733"/>
      <c r="L764" s="733"/>
      <c r="M764" s="733"/>
    </row>
    <row r="765" spans="1:13" x14ac:dyDescent="0.3">
      <c r="A765" s="733" t="s">
        <v>1240</v>
      </c>
      <c r="B765" s="733" t="s">
        <v>645</v>
      </c>
      <c r="C765" s="733" t="s">
        <v>1249</v>
      </c>
      <c r="D765" s="733" t="s">
        <v>21</v>
      </c>
      <c r="E765" s="733" t="s">
        <v>614</v>
      </c>
      <c r="F765" s="733" t="s">
        <v>615</v>
      </c>
      <c r="G765" s="733"/>
      <c r="H765" s="733"/>
      <c r="I765" s="733"/>
      <c r="J765" s="733"/>
      <c r="K765" s="733"/>
      <c r="L765" s="733"/>
      <c r="M765" s="733"/>
    </row>
    <row r="766" spans="1:13" x14ac:dyDescent="0.3">
      <c r="A766" s="733" t="s">
        <v>1240</v>
      </c>
      <c r="B766" s="733" t="s">
        <v>645</v>
      </c>
      <c r="C766" s="733" t="s">
        <v>1250</v>
      </c>
      <c r="D766" s="733" t="s">
        <v>21</v>
      </c>
      <c r="E766" s="733" t="s">
        <v>614</v>
      </c>
      <c r="F766" s="733" t="s">
        <v>615</v>
      </c>
      <c r="G766" s="733"/>
      <c r="H766" s="733"/>
      <c r="I766" s="733"/>
      <c r="J766" s="733"/>
      <c r="K766" s="733"/>
      <c r="L766" s="733"/>
      <c r="M766" s="733"/>
    </row>
    <row r="767" spans="1:13" x14ac:dyDescent="0.3">
      <c r="A767" s="733" t="s">
        <v>1240</v>
      </c>
      <c r="B767" s="733" t="s">
        <v>645</v>
      </c>
      <c r="C767" s="733" t="s">
        <v>1251</v>
      </c>
      <c r="D767" s="733" t="s">
        <v>21</v>
      </c>
      <c r="E767" s="733" t="s">
        <v>614</v>
      </c>
      <c r="F767" s="733" t="s">
        <v>615</v>
      </c>
      <c r="G767" s="733"/>
      <c r="H767" s="733"/>
      <c r="I767" s="733"/>
      <c r="J767" s="733"/>
      <c r="K767" s="733"/>
      <c r="L767" s="733"/>
      <c r="M767" s="733"/>
    </row>
    <row r="768" spans="1:13" x14ac:dyDescent="0.3">
      <c r="A768" s="733" t="s">
        <v>1240</v>
      </c>
      <c r="B768" s="733" t="s">
        <v>664</v>
      </c>
      <c r="C768" s="733" t="s">
        <v>1252</v>
      </c>
      <c r="D768" s="733" t="s">
        <v>21</v>
      </c>
      <c r="E768" s="733" t="s">
        <v>614</v>
      </c>
      <c r="F768" s="733" t="s">
        <v>615</v>
      </c>
      <c r="G768" s="733"/>
      <c r="H768" s="733"/>
      <c r="I768" s="733"/>
      <c r="J768" s="733"/>
      <c r="K768" s="733"/>
      <c r="L768" s="733"/>
      <c r="M768" s="733"/>
    </row>
    <row r="769" spans="1:13" x14ac:dyDescent="0.3">
      <c r="A769" s="733" t="s">
        <v>1240</v>
      </c>
      <c r="B769" s="733" t="s">
        <v>664</v>
      </c>
      <c r="C769" s="733" t="s">
        <v>1253</v>
      </c>
      <c r="D769" s="733" t="s">
        <v>21</v>
      </c>
      <c r="E769" s="733" t="s">
        <v>614</v>
      </c>
      <c r="F769" s="733" t="s">
        <v>615</v>
      </c>
      <c r="G769" s="733"/>
      <c r="H769" s="733"/>
      <c r="I769" s="733"/>
      <c r="J769" s="733"/>
      <c r="K769" s="733"/>
      <c r="L769" s="733"/>
      <c r="M769" s="733"/>
    </row>
    <row r="770" spans="1:13" x14ac:dyDescent="0.3">
      <c r="A770" s="733" t="s">
        <v>1254</v>
      </c>
      <c r="B770" s="733" t="s">
        <v>612</v>
      </c>
      <c r="C770" s="733" t="s">
        <v>1241</v>
      </c>
      <c r="D770" s="733" t="s">
        <v>21</v>
      </c>
      <c r="E770" s="733" t="s">
        <v>614</v>
      </c>
      <c r="F770" s="733" t="s">
        <v>615</v>
      </c>
      <c r="G770" s="733"/>
      <c r="H770" s="733"/>
      <c r="I770" s="733"/>
      <c r="J770" s="733"/>
      <c r="K770" s="733"/>
      <c r="L770" s="733"/>
      <c r="M770" s="733"/>
    </row>
    <row r="771" spans="1:13" x14ac:dyDescent="0.3">
      <c r="A771" s="733" t="s">
        <v>1254</v>
      </c>
      <c r="B771" s="733" t="s">
        <v>612</v>
      </c>
      <c r="C771" s="733" t="s">
        <v>1064</v>
      </c>
      <c r="D771" s="733" t="s">
        <v>21</v>
      </c>
      <c r="E771" s="733" t="s">
        <v>614</v>
      </c>
      <c r="F771" s="733" t="s">
        <v>615</v>
      </c>
      <c r="G771" s="733"/>
      <c r="H771" s="733"/>
      <c r="I771" s="733"/>
      <c r="J771" s="733"/>
      <c r="K771" s="733"/>
      <c r="L771" s="733"/>
      <c r="M771" s="733"/>
    </row>
    <row r="772" spans="1:13" x14ac:dyDescent="0.3">
      <c r="A772" s="733" t="s">
        <v>1254</v>
      </c>
      <c r="B772" s="733" t="s">
        <v>612</v>
      </c>
      <c r="C772" s="733" t="s">
        <v>1242</v>
      </c>
      <c r="D772" s="733" t="s">
        <v>21</v>
      </c>
      <c r="E772" s="733" t="s">
        <v>614</v>
      </c>
      <c r="F772" s="733" t="s">
        <v>615</v>
      </c>
      <c r="G772" s="733"/>
      <c r="H772" s="733"/>
      <c r="I772" s="733"/>
      <c r="J772" s="733"/>
      <c r="K772" s="733"/>
      <c r="L772" s="733"/>
      <c r="M772" s="733"/>
    </row>
    <row r="773" spans="1:13" x14ac:dyDescent="0.3">
      <c r="A773" s="733" t="s">
        <v>1254</v>
      </c>
      <c r="B773" s="733" t="s">
        <v>612</v>
      </c>
      <c r="C773" s="733" t="s">
        <v>987</v>
      </c>
      <c r="D773" s="733" t="s">
        <v>21</v>
      </c>
      <c r="E773" s="733" t="s">
        <v>614</v>
      </c>
      <c r="F773" s="733" t="s">
        <v>615</v>
      </c>
      <c r="G773" s="733"/>
      <c r="H773" s="733"/>
      <c r="I773" s="733"/>
      <c r="J773" s="733"/>
      <c r="K773" s="733"/>
      <c r="L773" s="733"/>
      <c r="M773" s="733"/>
    </row>
    <row r="774" spans="1:13" x14ac:dyDescent="0.3">
      <c r="A774" s="733" t="s">
        <v>1254</v>
      </c>
      <c r="B774" s="733" t="s">
        <v>612</v>
      </c>
      <c r="C774" s="733" t="s">
        <v>1255</v>
      </c>
      <c r="D774" s="733" t="s">
        <v>21</v>
      </c>
      <c r="E774" s="733" t="s">
        <v>614</v>
      </c>
      <c r="F774" s="733" t="s">
        <v>615</v>
      </c>
      <c r="G774" s="733"/>
      <c r="H774" s="733"/>
      <c r="I774" s="733"/>
      <c r="J774" s="733"/>
      <c r="K774" s="733"/>
      <c r="L774" s="733"/>
      <c r="M774" s="733"/>
    </row>
    <row r="775" spans="1:13" x14ac:dyDescent="0.3">
      <c r="A775" s="733" t="s">
        <v>1254</v>
      </c>
      <c r="B775" s="733" t="s">
        <v>612</v>
      </c>
      <c r="C775" s="733" t="s">
        <v>1256</v>
      </c>
      <c r="D775" s="733" t="s">
        <v>21</v>
      </c>
      <c r="E775" s="733" t="s">
        <v>614</v>
      </c>
      <c r="F775" s="733" t="s">
        <v>615</v>
      </c>
      <c r="G775" s="733"/>
      <c r="H775" s="733"/>
      <c r="I775" s="733"/>
      <c r="J775" s="733"/>
      <c r="K775" s="733"/>
      <c r="L775" s="733"/>
      <c r="M775" s="733"/>
    </row>
    <row r="776" spans="1:13" x14ac:dyDescent="0.3">
      <c r="A776" s="733" t="s">
        <v>1254</v>
      </c>
      <c r="B776" s="733" t="s">
        <v>612</v>
      </c>
      <c r="C776" s="733" t="s">
        <v>1243</v>
      </c>
      <c r="D776" s="733" t="s">
        <v>21</v>
      </c>
      <c r="E776" s="733" t="s">
        <v>614</v>
      </c>
      <c r="F776" s="733" t="s">
        <v>615</v>
      </c>
      <c r="G776" s="733"/>
      <c r="H776" s="733"/>
      <c r="I776" s="733"/>
      <c r="J776" s="733"/>
      <c r="K776" s="733"/>
      <c r="L776" s="733"/>
      <c r="M776" s="733"/>
    </row>
    <row r="777" spans="1:13" x14ac:dyDescent="0.3">
      <c r="A777" s="733" t="s">
        <v>1254</v>
      </c>
      <c r="B777" s="733" t="s">
        <v>612</v>
      </c>
      <c r="C777" s="733" t="s">
        <v>992</v>
      </c>
      <c r="D777" s="733" t="s">
        <v>21</v>
      </c>
      <c r="E777" s="733" t="s">
        <v>614</v>
      </c>
      <c r="F777" s="733" t="s">
        <v>615</v>
      </c>
      <c r="G777" s="733"/>
      <c r="H777" s="733"/>
      <c r="I777" s="733"/>
      <c r="J777" s="733"/>
      <c r="K777" s="733"/>
      <c r="L777" s="733"/>
      <c r="M777" s="733"/>
    </row>
    <row r="778" spans="1:13" x14ac:dyDescent="0.3">
      <c r="A778" s="733" t="s">
        <v>1254</v>
      </c>
      <c r="B778" s="733" t="s">
        <v>612</v>
      </c>
      <c r="C778" s="733" t="s">
        <v>993</v>
      </c>
      <c r="D778" s="733" t="s">
        <v>21</v>
      </c>
      <c r="E778" s="733" t="s">
        <v>614</v>
      </c>
      <c r="F778" s="733" t="s">
        <v>615</v>
      </c>
      <c r="G778" s="733"/>
      <c r="H778" s="733"/>
      <c r="I778" s="733"/>
      <c r="J778" s="733"/>
      <c r="K778" s="733"/>
      <c r="L778" s="733"/>
      <c r="M778" s="733"/>
    </row>
    <row r="779" spans="1:13" x14ac:dyDescent="0.3">
      <c r="A779" s="733" t="s">
        <v>1254</v>
      </c>
      <c r="B779" s="733" t="s">
        <v>612</v>
      </c>
      <c r="C779" s="733" t="s">
        <v>998</v>
      </c>
      <c r="D779" s="733" t="s">
        <v>21</v>
      </c>
      <c r="E779" s="733" t="s">
        <v>614</v>
      </c>
      <c r="F779" s="733" t="s">
        <v>615</v>
      </c>
      <c r="G779" s="733"/>
      <c r="H779" s="733"/>
      <c r="I779" s="733"/>
      <c r="J779" s="733"/>
      <c r="K779" s="733"/>
      <c r="L779" s="733"/>
      <c r="M779" s="733"/>
    </row>
    <row r="780" spans="1:13" x14ac:dyDescent="0.3">
      <c r="A780" s="733" t="s">
        <v>1254</v>
      </c>
      <c r="B780" s="733" t="s">
        <v>612</v>
      </c>
      <c r="C780" s="733" t="s">
        <v>1247</v>
      </c>
      <c r="D780" s="733" t="s">
        <v>21</v>
      </c>
      <c r="E780" s="733" t="s">
        <v>614</v>
      </c>
      <c r="F780" s="733" t="s">
        <v>615</v>
      </c>
      <c r="G780" s="733"/>
      <c r="H780" s="733"/>
      <c r="I780" s="733"/>
      <c r="J780" s="733"/>
      <c r="K780" s="733"/>
      <c r="L780" s="733"/>
      <c r="M780" s="733"/>
    </row>
    <row r="781" spans="1:13" x14ac:dyDescent="0.3">
      <c r="A781" s="733" t="s">
        <v>1254</v>
      </c>
      <c r="B781" s="733" t="s">
        <v>612</v>
      </c>
      <c r="C781" s="733" t="s">
        <v>1002</v>
      </c>
      <c r="D781" s="733" t="s">
        <v>21</v>
      </c>
      <c r="E781" s="733" t="s">
        <v>614</v>
      </c>
      <c r="F781" s="733" t="s">
        <v>615</v>
      </c>
      <c r="G781" s="733"/>
      <c r="H781" s="733"/>
      <c r="I781" s="733"/>
      <c r="J781" s="733"/>
      <c r="K781" s="733"/>
      <c r="L781" s="733"/>
      <c r="M781" s="733"/>
    </row>
    <row r="782" spans="1:13" x14ac:dyDescent="0.3">
      <c r="A782" s="733" t="s">
        <v>1254</v>
      </c>
      <c r="B782" s="733" t="s">
        <v>645</v>
      </c>
      <c r="C782" s="733" t="s">
        <v>1257</v>
      </c>
      <c r="D782" s="733" t="s">
        <v>21</v>
      </c>
      <c r="E782" s="733" t="s">
        <v>614</v>
      </c>
      <c r="F782" s="733" t="s">
        <v>615</v>
      </c>
      <c r="G782" s="733"/>
      <c r="H782" s="733"/>
      <c r="I782" s="733"/>
      <c r="J782" s="733"/>
      <c r="K782" s="733"/>
      <c r="L782" s="733"/>
      <c r="M782" s="733"/>
    </row>
    <row r="783" spans="1:13" x14ac:dyDescent="0.3">
      <c r="A783" s="733" t="s">
        <v>1254</v>
      </c>
      <c r="B783" s="733" t="s">
        <v>645</v>
      </c>
      <c r="C783" s="733" t="s">
        <v>1258</v>
      </c>
      <c r="D783" s="733" t="s">
        <v>21</v>
      </c>
      <c r="E783" s="733" t="s">
        <v>614</v>
      </c>
      <c r="F783" s="733" t="s">
        <v>615</v>
      </c>
      <c r="G783" s="733"/>
      <c r="H783" s="733"/>
      <c r="I783" s="733"/>
      <c r="J783" s="733"/>
      <c r="K783" s="733"/>
      <c r="L783" s="733"/>
      <c r="M783" s="733"/>
    </row>
    <row r="784" spans="1:13" x14ac:dyDescent="0.3">
      <c r="A784" s="733" t="s">
        <v>1254</v>
      </c>
      <c r="B784" s="733" t="s">
        <v>645</v>
      </c>
      <c r="C784" s="733" t="s">
        <v>1259</v>
      </c>
      <c r="D784" s="733" t="s">
        <v>21</v>
      </c>
      <c r="E784" s="733" t="s">
        <v>614</v>
      </c>
      <c r="F784" s="733" t="s">
        <v>615</v>
      </c>
      <c r="G784" s="733"/>
      <c r="H784" s="733"/>
      <c r="I784" s="733"/>
      <c r="J784" s="733"/>
      <c r="K784" s="733"/>
      <c r="L784" s="733"/>
      <c r="M784" s="733"/>
    </row>
    <row r="785" spans="1:13" x14ac:dyDescent="0.3">
      <c r="A785" s="733" t="s">
        <v>1254</v>
      </c>
      <c r="B785" s="733" t="s">
        <v>645</v>
      </c>
      <c r="C785" s="733" t="s">
        <v>901</v>
      </c>
      <c r="D785" s="733" t="s">
        <v>21</v>
      </c>
      <c r="E785" s="733" t="s">
        <v>614</v>
      </c>
      <c r="F785" s="733" t="s">
        <v>615</v>
      </c>
      <c r="G785" s="733"/>
      <c r="H785" s="733"/>
      <c r="I785" s="733"/>
      <c r="J785" s="733"/>
      <c r="K785" s="733"/>
      <c r="L785" s="733"/>
      <c r="M785" s="733"/>
    </row>
    <row r="786" spans="1:13" x14ac:dyDescent="0.3">
      <c r="A786" s="733" t="s">
        <v>1254</v>
      </c>
      <c r="B786" s="733" t="s">
        <v>645</v>
      </c>
      <c r="C786" s="733" t="s">
        <v>1260</v>
      </c>
      <c r="D786" s="733" t="s">
        <v>21</v>
      </c>
      <c r="E786" s="733" t="s">
        <v>614</v>
      </c>
      <c r="F786" s="733" t="s">
        <v>615</v>
      </c>
      <c r="G786" s="733"/>
      <c r="H786" s="733"/>
      <c r="I786" s="733"/>
      <c r="J786" s="733"/>
      <c r="K786" s="733"/>
      <c r="L786" s="733"/>
      <c r="M786" s="733"/>
    </row>
    <row r="787" spans="1:13" x14ac:dyDescent="0.3">
      <c r="A787" s="733" t="s">
        <v>1254</v>
      </c>
      <c r="B787" s="733" t="s">
        <v>664</v>
      </c>
      <c r="C787" s="733" t="s">
        <v>1261</v>
      </c>
      <c r="D787" s="733" t="s">
        <v>21</v>
      </c>
      <c r="E787" s="733" t="s">
        <v>614</v>
      </c>
      <c r="F787" s="733" t="s">
        <v>615</v>
      </c>
      <c r="G787" s="733"/>
      <c r="H787" s="733"/>
      <c r="I787" s="733"/>
      <c r="J787" s="733"/>
      <c r="K787" s="733"/>
      <c r="L787" s="733"/>
      <c r="M787" s="733"/>
    </row>
    <row r="788" spans="1:13" x14ac:dyDescent="0.3">
      <c r="A788" s="733" t="s">
        <v>1262</v>
      </c>
      <c r="B788" s="733" t="s">
        <v>612</v>
      </c>
      <c r="C788" s="733" t="s">
        <v>721</v>
      </c>
      <c r="D788" s="733" t="s">
        <v>21</v>
      </c>
      <c r="E788" s="733" t="s">
        <v>614</v>
      </c>
      <c r="F788" s="733" t="s">
        <v>615</v>
      </c>
      <c r="G788" s="733"/>
      <c r="H788" s="733"/>
      <c r="I788" s="733"/>
      <c r="J788" s="733"/>
      <c r="K788" s="733"/>
      <c r="L788" s="733"/>
      <c r="M788" s="733"/>
    </row>
    <row r="789" spans="1:13" x14ac:dyDescent="0.3">
      <c r="A789" s="733" t="s">
        <v>1262</v>
      </c>
      <c r="B789" s="733" t="s">
        <v>612</v>
      </c>
      <c r="C789" s="733" t="s">
        <v>722</v>
      </c>
      <c r="D789" s="733" t="s">
        <v>21</v>
      </c>
      <c r="E789" s="733" t="s">
        <v>614</v>
      </c>
      <c r="F789" s="733" t="s">
        <v>615</v>
      </c>
      <c r="G789" s="733"/>
      <c r="H789" s="733"/>
      <c r="I789" s="733"/>
      <c r="J789" s="733"/>
      <c r="K789" s="733"/>
      <c r="L789" s="733"/>
      <c r="M789" s="733"/>
    </row>
    <row r="790" spans="1:13" x14ac:dyDescent="0.3">
      <c r="A790" s="733" t="s">
        <v>1262</v>
      </c>
      <c r="B790" s="733" t="s">
        <v>612</v>
      </c>
      <c r="C790" s="733" t="s">
        <v>1096</v>
      </c>
      <c r="D790" s="733" t="s">
        <v>21</v>
      </c>
      <c r="E790" s="733" t="s">
        <v>614</v>
      </c>
      <c r="F790" s="733" t="s">
        <v>615</v>
      </c>
      <c r="G790" s="733"/>
      <c r="H790" s="733"/>
      <c r="I790" s="733"/>
      <c r="J790" s="733"/>
      <c r="K790" s="733"/>
      <c r="L790" s="733"/>
      <c r="M790" s="733"/>
    </row>
    <row r="791" spans="1:13" x14ac:dyDescent="0.3">
      <c r="A791" s="733" t="s">
        <v>1262</v>
      </c>
      <c r="B791" s="733" t="s">
        <v>612</v>
      </c>
      <c r="C791" s="733" t="s">
        <v>1097</v>
      </c>
      <c r="D791" s="733" t="s">
        <v>21</v>
      </c>
      <c r="E791" s="733" t="s">
        <v>614</v>
      </c>
      <c r="F791" s="733" t="s">
        <v>615</v>
      </c>
      <c r="G791" s="733"/>
      <c r="H791" s="733"/>
      <c r="I791" s="733"/>
      <c r="J791" s="733"/>
      <c r="K791" s="733"/>
      <c r="L791" s="733"/>
      <c r="M791" s="733"/>
    </row>
    <row r="792" spans="1:13" x14ac:dyDescent="0.3">
      <c r="A792" s="733" t="s">
        <v>1262</v>
      </c>
      <c r="B792" s="733" t="s">
        <v>612</v>
      </c>
      <c r="C792" s="733" t="s">
        <v>1099</v>
      </c>
      <c r="D792" s="733" t="s">
        <v>21</v>
      </c>
      <c r="E792" s="733" t="s">
        <v>614</v>
      </c>
      <c r="F792" s="733" t="s">
        <v>615</v>
      </c>
      <c r="G792" s="733"/>
      <c r="H792" s="733"/>
      <c r="I792" s="733"/>
      <c r="J792" s="733"/>
      <c r="K792" s="733"/>
      <c r="L792" s="733"/>
      <c r="M792" s="733"/>
    </row>
    <row r="793" spans="1:13" x14ac:dyDescent="0.3">
      <c r="A793" s="733" t="s">
        <v>1262</v>
      </c>
      <c r="B793" s="733" t="s">
        <v>612</v>
      </c>
      <c r="C793" s="733" t="s">
        <v>1100</v>
      </c>
      <c r="D793" s="733" t="s">
        <v>21</v>
      </c>
      <c r="E793" s="733" t="s">
        <v>614</v>
      </c>
      <c r="F793" s="733" t="s">
        <v>615</v>
      </c>
      <c r="G793" s="733"/>
      <c r="H793" s="733"/>
      <c r="I793" s="733"/>
      <c r="J793" s="733"/>
      <c r="K793" s="733"/>
      <c r="L793" s="733"/>
      <c r="M793" s="733"/>
    </row>
    <row r="794" spans="1:13" x14ac:dyDescent="0.3">
      <c r="A794" s="733" t="s">
        <v>1262</v>
      </c>
      <c r="B794" s="733" t="s">
        <v>612</v>
      </c>
      <c r="C794" s="733" t="s">
        <v>723</v>
      </c>
      <c r="D794" s="733" t="s">
        <v>21</v>
      </c>
      <c r="E794" s="733" t="s">
        <v>614</v>
      </c>
      <c r="F794" s="733" t="s">
        <v>615</v>
      </c>
      <c r="G794" s="733"/>
      <c r="H794" s="733"/>
      <c r="I794" s="733"/>
      <c r="J794" s="733"/>
      <c r="K794" s="733"/>
      <c r="L794" s="733"/>
      <c r="M794" s="733"/>
    </row>
    <row r="795" spans="1:13" x14ac:dyDescent="0.3">
      <c r="A795" s="733" t="s">
        <v>1262</v>
      </c>
      <c r="B795" s="733" t="s">
        <v>645</v>
      </c>
      <c r="C795" s="733" t="s">
        <v>1263</v>
      </c>
      <c r="D795" s="733" t="s">
        <v>21</v>
      </c>
      <c r="E795" s="733" t="s">
        <v>614</v>
      </c>
      <c r="F795" s="733" t="s">
        <v>615</v>
      </c>
      <c r="G795" s="733"/>
      <c r="H795" s="733"/>
      <c r="I795" s="733"/>
      <c r="J795" s="733"/>
      <c r="K795" s="733"/>
      <c r="L795" s="733"/>
      <c r="M795" s="733"/>
    </row>
    <row r="796" spans="1:13" x14ac:dyDescent="0.3">
      <c r="A796" s="733" t="s">
        <v>1262</v>
      </c>
      <c r="B796" s="733" t="s">
        <v>645</v>
      </c>
      <c r="C796" s="733" t="s">
        <v>1264</v>
      </c>
      <c r="D796" s="733" t="s">
        <v>21</v>
      </c>
      <c r="E796" s="733" t="s">
        <v>614</v>
      </c>
      <c r="F796" s="733" t="s">
        <v>615</v>
      </c>
      <c r="G796" s="733"/>
      <c r="H796" s="733"/>
      <c r="I796" s="733"/>
      <c r="J796" s="733"/>
      <c r="K796" s="733"/>
      <c r="L796" s="733"/>
      <c r="M796" s="733"/>
    </row>
    <row r="797" spans="1:13" x14ac:dyDescent="0.3">
      <c r="A797" s="733" t="s">
        <v>1262</v>
      </c>
      <c r="B797" s="733" t="s">
        <v>645</v>
      </c>
      <c r="C797" s="733" t="s">
        <v>1265</v>
      </c>
      <c r="D797" s="733" t="s">
        <v>21</v>
      </c>
      <c r="E797" s="733" t="s">
        <v>614</v>
      </c>
      <c r="F797" s="733" t="s">
        <v>615</v>
      </c>
      <c r="G797" s="733"/>
      <c r="H797" s="733"/>
      <c r="I797" s="733"/>
      <c r="J797" s="733"/>
      <c r="K797" s="733"/>
      <c r="L797" s="733"/>
      <c r="M797" s="733"/>
    </row>
    <row r="798" spans="1:13" x14ac:dyDescent="0.3">
      <c r="A798" s="733" t="s">
        <v>1262</v>
      </c>
      <c r="B798" s="733" t="s">
        <v>664</v>
      </c>
      <c r="C798" s="733" t="s">
        <v>1266</v>
      </c>
      <c r="D798" s="733" t="s">
        <v>21</v>
      </c>
      <c r="E798" s="733" t="s">
        <v>614</v>
      </c>
      <c r="F798" s="733" t="s">
        <v>615</v>
      </c>
      <c r="G798" s="733"/>
      <c r="H798" s="733"/>
      <c r="I798" s="733"/>
      <c r="J798" s="733"/>
      <c r="K798" s="733"/>
      <c r="L798" s="733"/>
      <c r="M798" s="733"/>
    </row>
    <row r="799" spans="1:13" x14ac:dyDescent="0.3">
      <c r="A799" s="733" t="s">
        <v>1262</v>
      </c>
      <c r="B799" s="733" t="s">
        <v>664</v>
      </c>
      <c r="C799" s="733" t="s">
        <v>1267</v>
      </c>
      <c r="D799" s="733" t="s">
        <v>21</v>
      </c>
      <c r="E799" s="733" t="s">
        <v>614</v>
      </c>
      <c r="F799" s="733" t="s">
        <v>615</v>
      </c>
      <c r="G799" s="733"/>
      <c r="H799" s="733"/>
      <c r="I799" s="733"/>
      <c r="J799" s="733"/>
      <c r="K799" s="733"/>
      <c r="L799" s="733"/>
      <c r="M799" s="733"/>
    </row>
    <row r="800" spans="1:13" x14ac:dyDescent="0.3">
      <c r="A800" s="733" t="s">
        <v>1268</v>
      </c>
      <c r="B800" s="733" t="s">
        <v>612</v>
      </c>
      <c r="C800" s="733" t="s">
        <v>1269</v>
      </c>
      <c r="D800" s="733" t="s">
        <v>21</v>
      </c>
      <c r="E800" s="733" t="s">
        <v>614</v>
      </c>
      <c r="F800" s="733" t="s">
        <v>615</v>
      </c>
      <c r="G800" s="733"/>
      <c r="H800" s="733"/>
      <c r="I800" s="733"/>
      <c r="J800" s="733"/>
      <c r="K800" s="733"/>
      <c r="L800" s="733"/>
      <c r="M800" s="733"/>
    </row>
    <row r="801" spans="1:13" x14ac:dyDescent="0.3">
      <c r="A801" s="733" t="s">
        <v>1268</v>
      </c>
      <c r="B801" s="733" t="s">
        <v>612</v>
      </c>
      <c r="C801" s="733" t="s">
        <v>1270</v>
      </c>
      <c r="D801" s="733" t="s">
        <v>21</v>
      </c>
      <c r="E801" s="733" t="s">
        <v>614</v>
      </c>
      <c r="F801" s="733" t="s">
        <v>615</v>
      </c>
      <c r="G801" s="733"/>
      <c r="H801" s="733"/>
      <c r="I801" s="733"/>
      <c r="J801" s="733"/>
      <c r="K801" s="733"/>
      <c r="L801" s="733"/>
      <c r="M801" s="733"/>
    </row>
    <row r="802" spans="1:13" x14ac:dyDescent="0.3">
      <c r="A802" s="733" t="s">
        <v>1271</v>
      </c>
      <c r="B802" s="733" t="s">
        <v>612</v>
      </c>
      <c r="C802" s="733" t="s">
        <v>1272</v>
      </c>
      <c r="D802" s="733" t="s">
        <v>21</v>
      </c>
      <c r="E802" s="761"/>
      <c r="F802" s="761"/>
      <c r="G802" s="733"/>
      <c r="H802" s="733"/>
      <c r="I802" s="733"/>
      <c r="J802" s="733"/>
      <c r="K802" s="733"/>
      <c r="L802" s="733"/>
      <c r="M802" s="733"/>
    </row>
    <row r="803" spans="1:13" x14ac:dyDescent="0.3">
      <c r="A803" s="733" t="s">
        <v>1271</v>
      </c>
      <c r="B803" s="733" t="s">
        <v>612</v>
      </c>
      <c r="C803" s="733" t="s">
        <v>1273</v>
      </c>
      <c r="D803" s="733" t="s">
        <v>21</v>
      </c>
      <c r="E803" s="761"/>
      <c r="F803" s="761"/>
      <c r="G803" s="733"/>
      <c r="H803" s="733"/>
      <c r="I803" s="733"/>
      <c r="J803" s="733"/>
      <c r="K803" s="733"/>
      <c r="L803" s="733"/>
      <c r="M803" s="733"/>
    </row>
    <row r="804" spans="1:13" x14ac:dyDescent="0.3">
      <c r="A804" s="733" t="s">
        <v>1271</v>
      </c>
      <c r="B804" s="733" t="s">
        <v>612</v>
      </c>
      <c r="C804" s="733" t="s">
        <v>1274</v>
      </c>
      <c r="D804" s="733" t="s">
        <v>21</v>
      </c>
      <c r="E804" s="761"/>
      <c r="F804" s="761"/>
      <c r="G804" s="733"/>
      <c r="H804" s="733"/>
      <c r="I804" s="733"/>
      <c r="J804" s="733"/>
      <c r="K804" s="733"/>
      <c r="L804" s="733"/>
      <c r="M804" s="733"/>
    </row>
    <row r="805" spans="1:13" x14ac:dyDescent="0.3">
      <c r="A805" s="733" t="s">
        <v>1271</v>
      </c>
      <c r="B805" s="733" t="s">
        <v>612</v>
      </c>
      <c r="C805" s="733" t="s">
        <v>1275</v>
      </c>
      <c r="D805" s="733" t="s">
        <v>21</v>
      </c>
      <c r="E805" s="761"/>
      <c r="F805" s="761"/>
      <c r="G805" s="733"/>
      <c r="H805" s="733"/>
      <c r="I805" s="733"/>
      <c r="J805" s="733"/>
      <c r="K805" s="733"/>
      <c r="L805" s="733"/>
      <c r="M805" s="733"/>
    </row>
    <row r="806" spans="1:13" x14ac:dyDescent="0.3">
      <c r="A806" s="733" t="s">
        <v>1271</v>
      </c>
      <c r="B806" s="733" t="s">
        <v>612</v>
      </c>
      <c r="C806" s="733" t="s">
        <v>1276</v>
      </c>
      <c r="D806" s="733" t="s">
        <v>21</v>
      </c>
      <c r="E806" s="761"/>
      <c r="F806" s="761"/>
      <c r="G806" s="733"/>
      <c r="H806" s="733"/>
      <c r="I806" s="733"/>
      <c r="J806" s="733"/>
      <c r="K806" s="733"/>
      <c r="L806" s="733"/>
      <c r="M806" s="733"/>
    </row>
    <row r="807" spans="1:13" x14ac:dyDescent="0.3">
      <c r="A807" s="733" t="s">
        <v>1271</v>
      </c>
      <c r="B807" s="733" t="s">
        <v>645</v>
      </c>
      <c r="C807" s="733" t="s">
        <v>1277</v>
      </c>
      <c r="D807" s="733" t="s">
        <v>21</v>
      </c>
      <c r="E807" s="761"/>
      <c r="F807" s="761"/>
      <c r="G807" s="733"/>
      <c r="H807" s="733"/>
      <c r="I807" s="733"/>
      <c r="J807" s="733"/>
      <c r="K807" s="733"/>
      <c r="L807" s="733"/>
      <c r="M807" s="733"/>
    </row>
    <row r="808" spans="1:13" x14ac:dyDescent="0.3">
      <c r="A808" s="733" t="s">
        <v>1271</v>
      </c>
      <c r="B808" s="733" t="s">
        <v>645</v>
      </c>
      <c r="C808" s="733" t="s">
        <v>1278</v>
      </c>
      <c r="D808" s="733" t="s">
        <v>21</v>
      </c>
      <c r="E808" s="761"/>
      <c r="F808" s="761"/>
      <c r="G808" s="733"/>
      <c r="H808" s="733"/>
      <c r="I808" s="733"/>
      <c r="J808" s="733"/>
      <c r="K808" s="733"/>
      <c r="L808" s="733"/>
      <c r="M808" s="733"/>
    </row>
    <row r="809" spans="1:13" x14ac:dyDescent="0.3">
      <c r="A809" s="733" t="s">
        <v>1271</v>
      </c>
      <c r="B809" s="733" t="s">
        <v>645</v>
      </c>
      <c r="C809" s="733" t="s">
        <v>1279</v>
      </c>
      <c r="D809" s="733" t="s">
        <v>21</v>
      </c>
      <c r="E809" s="761"/>
      <c r="F809" s="761"/>
      <c r="G809" s="733"/>
      <c r="H809" s="733"/>
      <c r="I809" s="733"/>
      <c r="J809" s="733"/>
      <c r="K809" s="733"/>
      <c r="L809" s="733"/>
      <c r="M809" s="733"/>
    </row>
    <row r="810" spans="1:13" x14ac:dyDescent="0.3">
      <c r="A810" s="733" t="s">
        <v>1271</v>
      </c>
      <c r="B810" s="733" t="s">
        <v>645</v>
      </c>
      <c r="C810" s="733" t="s">
        <v>1280</v>
      </c>
      <c r="D810" s="733" t="s">
        <v>21</v>
      </c>
      <c r="E810" s="761"/>
      <c r="F810" s="761"/>
      <c r="G810" s="733"/>
      <c r="H810" s="733"/>
      <c r="I810" s="733"/>
      <c r="J810" s="733"/>
      <c r="K810" s="733"/>
      <c r="L810" s="733"/>
      <c r="M810" s="733"/>
    </row>
    <row r="811" spans="1:13" x14ac:dyDescent="0.3">
      <c r="A811" s="733" t="s">
        <v>1271</v>
      </c>
      <c r="B811" s="733" t="s">
        <v>645</v>
      </c>
      <c r="C811" s="733" t="s">
        <v>1281</v>
      </c>
      <c r="D811" s="733" t="s">
        <v>21</v>
      </c>
      <c r="E811" s="761"/>
      <c r="F811" s="761"/>
      <c r="G811" s="733"/>
      <c r="H811" s="733"/>
      <c r="I811" s="733"/>
      <c r="J811" s="733"/>
      <c r="K811" s="733"/>
      <c r="L811" s="733"/>
      <c r="M811" s="733"/>
    </row>
    <row r="812" spans="1:13" x14ac:dyDescent="0.3">
      <c r="A812" s="733" t="s">
        <v>1271</v>
      </c>
      <c r="B812" s="733" t="s">
        <v>664</v>
      </c>
      <c r="C812" s="733" t="s">
        <v>1282</v>
      </c>
      <c r="D812" s="733" t="s">
        <v>21</v>
      </c>
      <c r="E812" s="761"/>
      <c r="F812" s="761"/>
      <c r="G812" s="733"/>
      <c r="H812" s="733"/>
      <c r="I812" s="733"/>
      <c r="J812" s="733"/>
      <c r="K812" s="733"/>
      <c r="L812" s="733"/>
      <c r="M812" s="733"/>
    </row>
    <row r="813" spans="1:13" x14ac:dyDescent="0.3">
      <c r="A813" s="733" t="s">
        <v>1271</v>
      </c>
      <c r="B813" s="733" t="s">
        <v>664</v>
      </c>
      <c r="C813" s="733" t="s">
        <v>1283</v>
      </c>
      <c r="D813" s="733" t="s">
        <v>21</v>
      </c>
      <c r="E813" s="761"/>
      <c r="F813" s="761"/>
      <c r="G813" s="733"/>
      <c r="H813" s="733"/>
      <c r="I813" s="733"/>
      <c r="J813" s="733"/>
      <c r="K813" s="733"/>
      <c r="L813" s="733"/>
      <c r="M813" s="733"/>
    </row>
    <row r="814" spans="1:13" x14ac:dyDescent="0.3">
      <c r="A814" s="733" t="s">
        <v>1271</v>
      </c>
      <c r="B814" s="733" t="s">
        <v>664</v>
      </c>
      <c r="C814" s="733" t="s">
        <v>1284</v>
      </c>
      <c r="D814" s="733" t="s">
        <v>21</v>
      </c>
      <c r="E814" s="761"/>
      <c r="F814" s="761"/>
      <c r="G814" s="733"/>
      <c r="H814" s="733"/>
      <c r="I814" s="733"/>
      <c r="J814" s="733"/>
      <c r="K814" s="733"/>
      <c r="L814" s="733"/>
      <c r="M814" s="733"/>
    </row>
    <row r="815" spans="1:13" x14ac:dyDescent="0.3">
      <c r="A815" s="733" t="s">
        <v>1271</v>
      </c>
      <c r="B815" s="733" t="s">
        <v>664</v>
      </c>
      <c r="C815" s="733" t="s">
        <v>1285</v>
      </c>
      <c r="D815" s="733" t="s">
        <v>21</v>
      </c>
      <c r="E815" s="761"/>
      <c r="F815" s="761"/>
      <c r="G815" s="733"/>
      <c r="H815" s="733"/>
      <c r="I815" s="733"/>
      <c r="J815" s="733"/>
      <c r="K815" s="733"/>
      <c r="L815" s="733"/>
      <c r="M815" s="733"/>
    </row>
    <row r="816" spans="1:13" x14ac:dyDescent="0.3">
      <c r="A816" s="733" t="s">
        <v>1271</v>
      </c>
      <c r="B816" s="733" t="s">
        <v>664</v>
      </c>
      <c r="C816" s="733" t="s">
        <v>1286</v>
      </c>
      <c r="D816" s="733" t="s">
        <v>21</v>
      </c>
      <c r="E816" s="761"/>
      <c r="F816" s="761"/>
      <c r="G816" s="733"/>
      <c r="H816" s="733"/>
      <c r="I816" s="733"/>
      <c r="J816" s="733"/>
      <c r="K816" s="733"/>
      <c r="L816" s="733"/>
      <c r="M816" s="733"/>
    </row>
    <row r="817" spans="1:13" x14ac:dyDescent="0.3">
      <c r="A817" s="733" t="s">
        <v>1287</v>
      </c>
      <c r="B817" s="733" t="s">
        <v>612</v>
      </c>
      <c r="C817" s="733" t="s">
        <v>1288</v>
      </c>
      <c r="D817" s="733" t="s">
        <v>21</v>
      </c>
      <c r="E817" s="733" t="s">
        <v>614</v>
      </c>
      <c r="F817" s="733" t="s">
        <v>615</v>
      </c>
      <c r="G817" s="733"/>
      <c r="H817" s="733"/>
      <c r="I817" s="733"/>
      <c r="J817" s="733"/>
      <c r="K817" s="733"/>
      <c r="L817" s="733"/>
      <c r="M817" s="733"/>
    </row>
    <row r="818" spans="1:13" x14ac:dyDescent="0.3">
      <c r="A818" s="733" t="s">
        <v>1287</v>
      </c>
      <c r="B818" s="733" t="s">
        <v>612</v>
      </c>
      <c r="C818" s="733" t="s">
        <v>1289</v>
      </c>
      <c r="D818" s="733" t="s">
        <v>21</v>
      </c>
      <c r="E818" s="733" t="s">
        <v>614</v>
      </c>
      <c r="F818" s="733" t="s">
        <v>615</v>
      </c>
      <c r="G818" s="733"/>
      <c r="H818" s="733"/>
      <c r="I818" s="733"/>
      <c r="J818" s="733"/>
      <c r="K818" s="733"/>
      <c r="L818" s="733"/>
      <c r="M818" s="733"/>
    </row>
    <row r="819" spans="1:13" x14ac:dyDescent="0.3">
      <c r="A819" s="733" t="s">
        <v>1287</v>
      </c>
      <c r="B819" s="733" t="s">
        <v>612</v>
      </c>
      <c r="C819" s="733" t="s">
        <v>1290</v>
      </c>
      <c r="D819" s="733" t="s">
        <v>21</v>
      </c>
      <c r="E819" s="733" t="s">
        <v>614</v>
      </c>
      <c r="F819" s="733" t="s">
        <v>615</v>
      </c>
      <c r="G819" s="733"/>
      <c r="H819" s="733"/>
      <c r="I819" s="733"/>
      <c r="J819" s="733"/>
      <c r="K819" s="733"/>
      <c r="L819" s="733"/>
      <c r="M819" s="733"/>
    </row>
    <row r="820" spans="1:13" x14ac:dyDescent="0.3">
      <c r="A820" s="733" t="s">
        <v>1287</v>
      </c>
      <c r="B820" s="733" t="s">
        <v>612</v>
      </c>
      <c r="C820" s="733" t="s">
        <v>1291</v>
      </c>
      <c r="D820" s="733" t="s">
        <v>21</v>
      </c>
      <c r="E820" s="733" t="s">
        <v>614</v>
      </c>
      <c r="F820" s="733" t="s">
        <v>615</v>
      </c>
      <c r="G820" s="733"/>
      <c r="H820" s="733"/>
      <c r="I820" s="733"/>
      <c r="J820" s="733"/>
      <c r="K820" s="733"/>
      <c r="L820" s="733"/>
      <c r="M820" s="733"/>
    </row>
    <row r="821" spans="1:13" x14ac:dyDescent="0.3">
      <c r="A821" s="733" t="s">
        <v>1287</v>
      </c>
      <c r="B821" s="733" t="s">
        <v>612</v>
      </c>
      <c r="C821" s="733" t="s">
        <v>1292</v>
      </c>
      <c r="D821" s="733" t="s">
        <v>21</v>
      </c>
      <c r="E821" s="733" t="s">
        <v>614</v>
      </c>
      <c r="F821" s="733" t="s">
        <v>615</v>
      </c>
      <c r="G821" s="733"/>
      <c r="H821" s="733"/>
      <c r="I821" s="733"/>
      <c r="J821" s="733"/>
      <c r="K821" s="733"/>
      <c r="L821" s="733"/>
      <c r="M821" s="733"/>
    </row>
    <row r="822" spans="1:13" x14ac:dyDescent="0.3">
      <c r="A822" s="733" t="s">
        <v>1287</v>
      </c>
      <c r="B822" s="733" t="s">
        <v>612</v>
      </c>
      <c r="C822" s="733" t="s">
        <v>613</v>
      </c>
      <c r="D822" s="733" t="s">
        <v>21</v>
      </c>
      <c r="E822" s="733" t="s">
        <v>614</v>
      </c>
      <c r="F822" s="733" t="s">
        <v>615</v>
      </c>
      <c r="G822" s="733"/>
      <c r="H822" s="733"/>
      <c r="I822" s="733"/>
      <c r="J822" s="733"/>
      <c r="K822" s="733"/>
      <c r="L822" s="733"/>
      <c r="M822" s="733"/>
    </row>
    <row r="823" spans="1:13" x14ac:dyDescent="0.3">
      <c r="A823" s="733" t="s">
        <v>1287</v>
      </c>
      <c r="B823" s="733" t="s">
        <v>612</v>
      </c>
      <c r="C823" s="733" t="s">
        <v>1293</v>
      </c>
      <c r="D823" s="733" t="s">
        <v>21</v>
      </c>
      <c r="E823" s="733" t="s">
        <v>614</v>
      </c>
      <c r="F823" s="733" t="s">
        <v>615</v>
      </c>
      <c r="G823" s="733"/>
      <c r="H823" s="733"/>
      <c r="I823" s="733"/>
      <c r="J823" s="733"/>
      <c r="K823" s="733"/>
      <c r="L823" s="733"/>
      <c r="M823" s="733"/>
    </row>
    <row r="824" spans="1:13" x14ac:dyDescent="0.3">
      <c r="A824" s="734" t="s">
        <v>1287</v>
      </c>
      <c r="B824" s="734" t="s">
        <v>612</v>
      </c>
      <c r="C824" s="734" t="s">
        <v>1294</v>
      </c>
      <c r="D824" s="734" t="s">
        <v>21</v>
      </c>
      <c r="E824" s="734" t="s">
        <v>614</v>
      </c>
      <c r="F824" s="734" t="s">
        <v>696</v>
      </c>
      <c r="G824" s="733"/>
      <c r="H824" s="733"/>
      <c r="I824" s="733"/>
      <c r="J824" s="733"/>
      <c r="K824" s="733"/>
      <c r="L824" s="733"/>
      <c r="M824" s="733"/>
    </row>
    <row r="825" spans="1:13" x14ac:dyDescent="0.3">
      <c r="A825" s="733" t="s">
        <v>1287</v>
      </c>
      <c r="B825" s="733" t="s">
        <v>612</v>
      </c>
      <c r="C825" s="733" t="s">
        <v>1295</v>
      </c>
      <c r="D825" s="733" t="s">
        <v>21</v>
      </c>
      <c r="E825" s="733" t="s">
        <v>614</v>
      </c>
      <c r="F825" s="733" t="s">
        <v>615</v>
      </c>
      <c r="G825" s="733"/>
      <c r="H825" s="733"/>
      <c r="I825" s="733"/>
      <c r="J825" s="733"/>
      <c r="K825" s="733"/>
      <c r="L825" s="733"/>
      <c r="M825" s="733"/>
    </row>
    <row r="826" spans="1:13" x14ac:dyDescent="0.3">
      <c r="A826" s="733" t="s">
        <v>1287</v>
      </c>
      <c r="B826" s="733" t="s">
        <v>612</v>
      </c>
      <c r="C826" s="733" t="s">
        <v>1296</v>
      </c>
      <c r="D826" s="733" t="s">
        <v>21</v>
      </c>
      <c r="E826" s="733" t="s">
        <v>614</v>
      </c>
      <c r="F826" s="733" t="s">
        <v>615</v>
      </c>
      <c r="G826" s="733"/>
      <c r="H826" s="733"/>
      <c r="I826" s="733"/>
      <c r="J826" s="733"/>
      <c r="K826" s="733"/>
      <c r="L826" s="733"/>
      <c r="M826" s="733"/>
    </row>
    <row r="827" spans="1:13" x14ac:dyDescent="0.3">
      <c r="A827" s="733" t="s">
        <v>1287</v>
      </c>
      <c r="B827" s="733" t="s">
        <v>612</v>
      </c>
      <c r="C827" s="733" t="s">
        <v>1297</v>
      </c>
      <c r="D827" s="733" t="s">
        <v>21</v>
      </c>
      <c r="E827" s="733" t="s">
        <v>614</v>
      </c>
      <c r="F827" s="733" t="s">
        <v>615</v>
      </c>
      <c r="G827" s="733"/>
      <c r="H827" s="733"/>
      <c r="I827" s="733"/>
      <c r="J827" s="733"/>
      <c r="K827" s="733"/>
      <c r="L827" s="733"/>
      <c r="M827" s="733"/>
    </row>
    <row r="828" spans="1:13" x14ac:dyDescent="0.3">
      <c r="A828" s="733" t="s">
        <v>1287</v>
      </c>
      <c r="B828" s="733" t="s">
        <v>612</v>
      </c>
      <c r="C828" s="733" t="s">
        <v>1298</v>
      </c>
      <c r="D828" s="733" t="s">
        <v>21</v>
      </c>
      <c r="E828" s="733" t="s">
        <v>614</v>
      </c>
      <c r="F828" s="733" t="s">
        <v>615</v>
      </c>
      <c r="G828" s="733"/>
      <c r="H828" s="733"/>
      <c r="I828" s="733"/>
      <c r="J828" s="733"/>
      <c r="K828" s="733"/>
      <c r="L828" s="733"/>
      <c r="M828" s="733"/>
    </row>
    <row r="829" spans="1:13" x14ac:dyDescent="0.3">
      <c r="A829" s="733" t="s">
        <v>1287</v>
      </c>
      <c r="B829" s="733" t="s">
        <v>612</v>
      </c>
      <c r="C829" s="733" t="s">
        <v>1299</v>
      </c>
      <c r="D829" s="733" t="s">
        <v>21</v>
      </c>
      <c r="E829" s="733" t="s">
        <v>614</v>
      </c>
      <c r="F829" s="733" t="s">
        <v>615</v>
      </c>
      <c r="G829" s="733"/>
      <c r="H829" s="733"/>
      <c r="I829" s="733"/>
      <c r="J829" s="733"/>
      <c r="K829" s="733"/>
      <c r="L829" s="733"/>
      <c r="M829" s="733"/>
    </row>
    <row r="830" spans="1:13" x14ac:dyDescent="0.3">
      <c r="A830" s="733" t="s">
        <v>1287</v>
      </c>
      <c r="B830" s="733" t="s">
        <v>612</v>
      </c>
      <c r="C830" s="733" t="s">
        <v>1300</v>
      </c>
      <c r="D830" s="733" t="s">
        <v>21</v>
      </c>
      <c r="E830" s="733" t="s">
        <v>614</v>
      </c>
      <c r="F830" s="733" t="s">
        <v>615</v>
      </c>
      <c r="G830" s="733"/>
      <c r="H830" s="733"/>
      <c r="I830" s="733"/>
      <c r="J830" s="733"/>
      <c r="K830" s="733"/>
      <c r="L830" s="733"/>
      <c r="M830" s="733"/>
    </row>
    <row r="831" spans="1:13" x14ac:dyDescent="0.3">
      <c r="A831" s="733" t="s">
        <v>1287</v>
      </c>
      <c r="B831" s="733" t="s">
        <v>612</v>
      </c>
      <c r="C831" s="733" t="s">
        <v>1301</v>
      </c>
      <c r="D831" s="733" t="s">
        <v>21</v>
      </c>
      <c r="E831" s="733" t="s">
        <v>614</v>
      </c>
      <c r="F831" s="733" t="s">
        <v>615</v>
      </c>
      <c r="G831" s="733"/>
      <c r="H831" s="733"/>
      <c r="I831" s="733"/>
      <c r="J831" s="733"/>
      <c r="K831" s="733"/>
      <c r="L831" s="733"/>
      <c r="M831" s="733"/>
    </row>
    <row r="832" spans="1:13" x14ac:dyDescent="0.3">
      <c r="A832" s="733" t="s">
        <v>1287</v>
      </c>
      <c r="B832" s="733" t="s">
        <v>612</v>
      </c>
      <c r="C832" s="733" t="s">
        <v>1302</v>
      </c>
      <c r="D832" s="733" t="s">
        <v>21</v>
      </c>
      <c r="E832" s="733" t="s">
        <v>614</v>
      </c>
      <c r="F832" s="733" t="s">
        <v>615</v>
      </c>
      <c r="G832" s="733"/>
      <c r="H832" s="733"/>
      <c r="I832" s="733"/>
      <c r="J832" s="733"/>
      <c r="K832" s="733"/>
      <c r="L832" s="733"/>
      <c r="M832" s="733"/>
    </row>
    <row r="833" spans="1:13" x14ac:dyDescent="0.3">
      <c r="A833" s="733" t="s">
        <v>1287</v>
      </c>
      <c r="B833" s="733" t="s">
        <v>612</v>
      </c>
      <c r="C833" s="733" t="s">
        <v>1303</v>
      </c>
      <c r="D833" s="733" t="s">
        <v>21</v>
      </c>
      <c r="E833" s="733" t="s">
        <v>614</v>
      </c>
      <c r="F833" s="733" t="s">
        <v>615</v>
      </c>
      <c r="G833" s="733"/>
      <c r="H833" s="733"/>
      <c r="I833" s="733"/>
      <c r="J833" s="733"/>
      <c r="K833" s="733"/>
      <c r="L833" s="733"/>
      <c r="M833" s="733"/>
    </row>
    <row r="834" spans="1:13" x14ac:dyDescent="0.3">
      <c r="A834" s="733" t="s">
        <v>1287</v>
      </c>
      <c r="B834" s="733" t="s">
        <v>612</v>
      </c>
      <c r="C834" s="733" t="s">
        <v>1304</v>
      </c>
      <c r="D834" s="733" t="s">
        <v>21</v>
      </c>
      <c r="E834" s="733" t="s">
        <v>614</v>
      </c>
      <c r="F834" s="733" t="s">
        <v>615</v>
      </c>
      <c r="G834" s="733"/>
      <c r="H834" s="733"/>
      <c r="I834" s="733"/>
      <c r="J834" s="733"/>
      <c r="K834" s="733"/>
      <c r="L834" s="733"/>
      <c r="M834" s="733"/>
    </row>
    <row r="835" spans="1:13" x14ac:dyDescent="0.3">
      <c r="A835" s="733" t="s">
        <v>1287</v>
      </c>
      <c r="B835" s="733" t="s">
        <v>612</v>
      </c>
      <c r="C835" s="733" t="s">
        <v>1305</v>
      </c>
      <c r="D835" s="733" t="s">
        <v>21</v>
      </c>
      <c r="E835" s="733" t="s">
        <v>614</v>
      </c>
      <c r="F835" s="733" t="s">
        <v>615</v>
      </c>
      <c r="G835" s="733"/>
      <c r="H835" s="733"/>
      <c r="I835" s="733"/>
      <c r="J835" s="733"/>
      <c r="K835" s="733"/>
      <c r="L835" s="733"/>
      <c r="M835" s="733"/>
    </row>
    <row r="836" spans="1:13" x14ac:dyDescent="0.3">
      <c r="A836" s="733" t="s">
        <v>1287</v>
      </c>
      <c r="B836" s="733" t="s">
        <v>612</v>
      </c>
      <c r="C836" s="733" t="s">
        <v>1306</v>
      </c>
      <c r="D836" s="733" t="s">
        <v>21</v>
      </c>
      <c r="E836" s="733" t="s">
        <v>614</v>
      </c>
      <c r="F836" s="733" t="s">
        <v>615</v>
      </c>
      <c r="G836" s="733"/>
      <c r="H836" s="733"/>
      <c r="I836" s="733"/>
      <c r="J836" s="733"/>
      <c r="K836" s="733"/>
      <c r="L836" s="733"/>
      <c r="M836" s="733"/>
    </row>
    <row r="837" spans="1:13" x14ac:dyDescent="0.3">
      <c r="A837" s="733" t="s">
        <v>1287</v>
      </c>
      <c r="B837" s="733" t="s">
        <v>612</v>
      </c>
      <c r="C837" s="733" t="s">
        <v>1307</v>
      </c>
      <c r="D837" s="733" t="s">
        <v>21</v>
      </c>
      <c r="E837" s="733" t="s">
        <v>614</v>
      </c>
      <c r="F837" s="733" t="s">
        <v>615</v>
      </c>
      <c r="G837" s="733"/>
      <c r="H837" s="733"/>
      <c r="I837" s="733"/>
      <c r="J837" s="733"/>
      <c r="K837" s="733"/>
      <c r="L837" s="733"/>
      <c r="M837" s="733"/>
    </row>
    <row r="838" spans="1:13" x14ac:dyDescent="0.3">
      <c r="A838" s="733" t="s">
        <v>1287</v>
      </c>
      <c r="B838" s="733" t="s">
        <v>612</v>
      </c>
      <c r="C838" s="733" t="s">
        <v>1308</v>
      </c>
      <c r="D838" s="733" t="s">
        <v>21</v>
      </c>
      <c r="E838" s="733" t="s">
        <v>614</v>
      </c>
      <c r="F838" s="733" t="s">
        <v>615</v>
      </c>
      <c r="G838" s="733"/>
      <c r="H838" s="733"/>
      <c r="I838" s="733"/>
      <c r="J838" s="733"/>
      <c r="K838" s="733"/>
      <c r="L838" s="733"/>
      <c r="M838" s="733"/>
    </row>
    <row r="839" spans="1:13" x14ac:dyDescent="0.3">
      <c r="A839" s="733" t="s">
        <v>1287</v>
      </c>
      <c r="B839" s="733" t="s">
        <v>612</v>
      </c>
      <c r="C839" s="733" t="s">
        <v>1309</v>
      </c>
      <c r="D839" s="733" t="s">
        <v>21</v>
      </c>
      <c r="E839" s="733" t="s">
        <v>614</v>
      </c>
      <c r="F839" s="733" t="s">
        <v>615</v>
      </c>
      <c r="G839" s="733"/>
      <c r="H839" s="733"/>
      <c r="I839" s="733"/>
      <c r="J839" s="733"/>
      <c r="K839" s="733"/>
      <c r="L839" s="733"/>
      <c r="M839" s="733"/>
    </row>
    <row r="840" spans="1:13" x14ac:dyDescent="0.3">
      <c r="A840" s="734" t="s">
        <v>1287</v>
      </c>
      <c r="B840" s="734" t="s">
        <v>612</v>
      </c>
      <c r="C840" s="734" t="s">
        <v>1310</v>
      </c>
      <c r="D840" s="734" t="s">
        <v>21</v>
      </c>
      <c r="E840" s="734" t="s">
        <v>614</v>
      </c>
      <c r="F840" s="734" t="s">
        <v>696</v>
      </c>
      <c r="G840" s="733"/>
      <c r="H840" s="733"/>
      <c r="I840" s="733"/>
      <c r="J840" s="733"/>
      <c r="K840" s="733"/>
      <c r="L840" s="733"/>
      <c r="M840" s="733"/>
    </row>
    <row r="841" spans="1:13" x14ac:dyDescent="0.3">
      <c r="A841" s="733" t="s">
        <v>1287</v>
      </c>
      <c r="B841" s="733" t="s">
        <v>612</v>
      </c>
      <c r="C841" s="733" t="s">
        <v>1311</v>
      </c>
      <c r="D841" s="733" t="s">
        <v>21</v>
      </c>
      <c r="E841" s="733" t="s">
        <v>614</v>
      </c>
      <c r="F841" s="733" t="s">
        <v>615</v>
      </c>
      <c r="G841" s="733"/>
      <c r="H841" s="733"/>
      <c r="I841" s="733"/>
      <c r="J841" s="733"/>
      <c r="K841" s="733"/>
      <c r="L841" s="733"/>
      <c r="M841" s="733"/>
    </row>
    <row r="842" spans="1:13" x14ac:dyDescent="0.3">
      <c r="A842" s="733" t="s">
        <v>1287</v>
      </c>
      <c r="B842" s="733" t="s">
        <v>612</v>
      </c>
      <c r="C842" s="733" t="s">
        <v>1312</v>
      </c>
      <c r="D842" s="733" t="s">
        <v>21</v>
      </c>
      <c r="E842" s="733" t="s">
        <v>614</v>
      </c>
      <c r="F842" s="733" t="s">
        <v>615</v>
      </c>
      <c r="G842" s="733"/>
      <c r="H842" s="733"/>
      <c r="I842" s="733"/>
      <c r="J842" s="733"/>
      <c r="K842" s="733"/>
      <c r="L842" s="733"/>
      <c r="M842" s="733"/>
    </row>
    <row r="843" spans="1:13" x14ac:dyDescent="0.3">
      <c r="A843" s="733" t="s">
        <v>1287</v>
      </c>
      <c r="B843" s="733" t="s">
        <v>612</v>
      </c>
      <c r="C843" s="733" t="s">
        <v>1313</v>
      </c>
      <c r="D843" s="733" t="s">
        <v>21</v>
      </c>
      <c r="E843" s="733" t="s">
        <v>614</v>
      </c>
      <c r="F843" s="733" t="s">
        <v>615</v>
      </c>
      <c r="G843" s="733"/>
      <c r="H843" s="733"/>
      <c r="I843" s="733"/>
      <c r="J843" s="733"/>
      <c r="K843" s="733"/>
      <c r="L843" s="733"/>
      <c r="M843" s="733"/>
    </row>
    <row r="844" spans="1:13" x14ac:dyDescent="0.3">
      <c r="A844" s="733" t="s">
        <v>1287</v>
      </c>
      <c r="B844" s="733" t="s">
        <v>612</v>
      </c>
      <c r="C844" s="733" t="s">
        <v>1314</v>
      </c>
      <c r="D844" s="733" t="s">
        <v>21</v>
      </c>
      <c r="E844" s="733" t="s">
        <v>614</v>
      </c>
      <c r="F844" s="733" t="s">
        <v>615</v>
      </c>
      <c r="G844" s="733"/>
      <c r="H844" s="733"/>
      <c r="I844" s="733"/>
      <c r="J844" s="733"/>
      <c r="K844" s="733"/>
      <c r="L844" s="733"/>
      <c r="M844" s="733"/>
    </row>
    <row r="845" spans="1:13" x14ac:dyDescent="0.3">
      <c r="A845" s="733" t="s">
        <v>1287</v>
      </c>
      <c r="B845" s="733" t="s">
        <v>612</v>
      </c>
      <c r="C845" s="733" t="s">
        <v>1315</v>
      </c>
      <c r="D845" s="733" t="s">
        <v>21</v>
      </c>
      <c r="E845" s="733" t="s">
        <v>614</v>
      </c>
      <c r="F845" s="733" t="s">
        <v>615</v>
      </c>
      <c r="G845" s="733"/>
      <c r="H845" s="733"/>
      <c r="I845" s="733"/>
      <c r="J845" s="733"/>
      <c r="K845" s="733"/>
      <c r="L845" s="733"/>
      <c r="M845" s="733"/>
    </row>
    <row r="846" spans="1:13" x14ac:dyDescent="0.3">
      <c r="A846" s="733" t="s">
        <v>1287</v>
      </c>
      <c r="B846" s="733" t="s">
        <v>612</v>
      </c>
      <c r="C846" s="733" t="s">
        <v>1316</v>
      </c>
      <c r="D846" s="733" t="s">
        <v>21</v>
      </c>
      <c r="E846" s="733" t="s">
        <v>614</v>
      </c>
      <c r="F846" s="733" t="s">
        <v>615</v>
      </c>
      <c r="G846" s="733"/>
      <c r="H846" s="733"/>
      <c r="I846" s="733"/>
      <c r="J846" s="733"/>
      <c r="K846" s="733"/>
      <c r="L846" s="733"/>
      <c r="M846" s="733"/>
    </row>
    <row r="847" spans="1:13" x14ac:dyDescent="0.3">
      <c r="A847" s="733" t="s">
        <v>1287</v>
      </c>
      <c r="B847" s="733" t="s">
        <v>612</v>
      </c>
      <c r="C847" s="733" t="s">
        <v>1317</v>
      </c>
      <c r="D847" s="733" t="s">
        <v>21</v>
      </c>
      <c r="E847" s="733" t="s">
        <v>614</v>
      </c>
      <c r="F847" s="733" t="s">
        <v>615</v>
      </c>
      <c r="G847" s="733"/>
      <c r="H847" s="733"/>
      <c r="I847" s="733"/>
      <c r="J847" s="733"/>
      <c r="K847" s="733"/>
      <c r="L847" s="733"/>
      <c r="M847" s="733"/>
    </row>
    <row r="848" spans="1:13" x14ac:dyDescent="0.3">
      <c r="A848" s="733" t="s">
        <v>1287</v>
      </c>
      <c r="B848" s="733" t="s">
        <v>612</v>
      </c>
      <c r="C848" s="733" t="s">
        <v>1318</v>
      </c>
      <c r="D848" s="733" t="s">
        <v>21</v>
      </c>
      <c r="E848" s="733" t="s">
        <v>614</v>
      </c>
      <c r="F848" s="733" t="s">
        <v>615</v>
      </c>
      <c r="G848" s="733"/>
      <c r="H848" s="733"/>
      <c r="I848" s="733"/>
      <c r="J848" s="733"/>
      <c r="K848" s="733"/>
      <c r="L848" s="733"/>
      <c r="M848" s="733"/>
    </row>
    <row r="849" spans="1:13" x14ac:dyDescent="0.3">
      <c r="A849" s="733" t="s">
        <v>1287</v>
      </c>
      <c r="B849" s="733" t="s">
        <v>612</v>
      </c>
      <c r="C849" s="733" t="s">
        <v>1319</v>
      </c>
      <c r="D849" s="733" t="s">
        <v>21</v>
      </c>
      <c r="E849" s="733" t="s">
        <v>614</v>
      </c>
      <c r="F849" s="733" t="s">
        <v>615</v>
      </c>
      <c r="G849" s="733"/>
      <c r="H849" s="733"/>
      <c r="I849" s="733"/>
      <c r="J849" s="733"/>
      <c r="K849" s="733"/>
      <c r="L849" s="733"/>
      <c r="M849" s="733"/>
    </row>
    <row r="850" spans="1:13" x14ac:dyDescent="0.3">
      <c r="A850" s="733" t="s">
        <v>1287</v>
      </c>
      <c r="B850" s="733" t="s">
        <v>612</v>
      </c>
      <c r="C850" s="733" t="s">
        <v>764</v>
      </c>
      <c r="D850" s="733" t="s">
        <v>21</v>
      </c>
      <c r="E850" s="733" t="s">
        <v>614</v>
      </c>
      <c r="F850" s="733" t="s">
        <v>615</v>
      </c>
      <c r="G850" s="733"/>
      <c r="H850" s="733"/>
      <c r="I850" s="733"/>
      <c r="J850" s="733"/>
      <c r="K850" s="733"/>
      <c r="L850" s="733"/>
      <c r="M850" s="733"/>
    </row>
    <row r="851" spans="1:13" x14ac:dyDescent="0.3">
      <c r="A851" s="733" t="s">
        <v>1287</v>
      </c>
      <c r="B851" s="733" t="s">
        <v>612</v>
      </c>
      <c r="C851" s="733" t="s">
        <v>1320</v>
      </c>
      <c r="D851" s="733" t="s">
        <v>21</v>
      </c>
      <c r="E851" s="733" t="s">
        <v>614</v>
      </c>
      <c r="F851" s="733" t="s">
        <v>615</v>
      </c>
      <c r="G851" s="733"/>
      <c r="H851" s="733"/>
      <c r="I851" s="733"/>
      <c r="J851" s="733"/>
      <c r="K851" s="733"/>
      <c r="L851" s="733"/>
      <c r="M851" s="733"/>
    </row>
    <row r="852" spans="1:13" x14ac:dyDescent="0.3">
      <c r="A852" s="733" t="s">
        <v>1287</v>
      </c>
      <c r="B852" s="733" t="s">
        <v>612</v>
      </c>
      <c r="C852" s="733" t="s">
        <v>1321</v>
      </c>
      <c r="D852" s="733" t="s">
        <v>21</v>
      </c>
      <c r="E852" s="733" t="s">
        <v>614</v>
      </c>
      <c r="F852" s="733" t="s">
        <v>615</v>
      </c>
      <c r="G852" s="733"/>
      <c r="H852" s="733"/>
      <c r="I852" s="733"/>
      <c r="J852" s="733"/>
      <c r="K852" s="733"/>
      <c r="L852" s="733"/>
      <c r="M852" s="733"/>
    </row>
    <row r="853" spans="1:13" x14ac:dyDescent="0.3">
      <c r="A853" s="733" t="s">
        <v>1287</v>
      </c>
      <c r="B853" s="733" t="s">
        <v>612</v>
      </c>
      <c r="C853" s="733" t="s">
        <v>1322</v>
      </c>
      <c r="D853" s="733" t="s">
        <v>21</v>
      </c>
      <c r="E853" s="733" t="s">
        <v>614</v>
      </c>
      <c r="F853" s="733" t="s">
        <v>615</v>
      </c>
      <c r="G853" s="733"/>
      <c r="H853" s="733"/>
      <c r="I853" s="733"/>
      <c r="J853" s="733"/>
      <c r="K853" s="733"/>
      <c r="L853" s="733"/>
      <c r="M853" s="733"/>
    </row>
    <row r="854" spans="1:13" x14ac:dyDescent="0.3">
      <c r="A854" s="733" t="s">
        <v>1287</v>
      </c>
      <c r="B854" s="733" t="s">
        <v>612</v>
      </c>
      <c r="C854" s="733" t="s">
        <v>1323</v>
      </c>
      <c r="D854" s="733" t="s">
        <v>21</v>
      </c>
      <c r="E854" s="733" t="s">
        <v>614</v>
      </c>
      <c r="F854" s="733" t="s">
        <v>615</v>
      </c>
      <c r="G854" s="733"/>
      <c r="H854" s="733"/>
      <c r="I854" s="733"/>
      <c r="J854" s="733"/>
      <c r="K854" s="733"/>
      <c r="L854" s="733"/>
      <c r="M854" s="733"/>
    </row>
    <row r="855" spans="1:13" x14ac:dyDescent="0.3">
      <c r="A855" s="733" t="s">
        <v>1287</v>
      </c>
      <c r="B855" s="733" t="s">
        <v>612</v>
      </c>
      <c r="C855" s="733" t="s">
        <v>1324</v>
      </c>
      <c r="D855" s="733" t="s">
        <v>21</v>
      </c>
      <c r="E855" s="733" t="s">
        <v>614</v>
      </c>
      <c r="F855" s="733" t="s">
        <v>615</v>
      </c>
      <c r="G855" s="733"/>
      <c r="H855" s="733"/>
      <c r="I855" s="733"/>
      <c r="J855" s="733"/>
      <c r="K855" s="733"/>
      <c r="L855" s="733"/>
      <c r="M855" s="733"/>
    </row>
    <row r="856" spans="1:13" x14ac:dyDescent="0.3">
      <c r="A856" s="733" t="s">
        <v>1287</v>
      </c>
      <c r="B856" s="733" t="s">
        <v>612</v>
      </c>
      <c r="C856" s="733" t="s">
        <v>1325</v>
      </c>
      <c r="D856" s="733" t="s">
        <v>21</v>
      </c>
      <c r="E856" s="733" t="s">
        <v>614</v>
      </c>
      <c r="F856" s="733" t="s">
        <v>615</v>
      </c>
      <c r="G856" s="733"/>
      <c r="H856" s="733"/>
      <c r="I856" s="733"/>
      <c r="J856" s="733"/>
      <c r="K856" s="733"/>
      <c r="L856" s="733"/>
      <c r="M856" s="733"/>
    </row>
    <row r="857" spans="1:13" x14ac:dyDescent="0.3">
      <c r="A857" s="733" t="s">
        <v>1287</v>
      </c>
      <c r="B857" s="733" t="s">
        <v>612</v>
      </c>
      <c r="C857" s="733" t="s">
        <v>1326</v>
      </c>
      <c r="D857" s="733" t="s">
        <v>21</v>
      </c>
      <c r="E857" s="733" t="s">
        <v>614</v>
      </c>
      <c r="F857" s="733" t="s">
        <v>615</v>
      </c>
      <c r="G857" s="733"/>
      <c r="H857" s="733"/>
      <c r="I857" s="733"/>
      <c r="J857" s="733"/>
      <c r="K857" s="733"/>
      <c r="L857" s="733"/>
      <c r="M857" s="733"/>
    </row>
    <row r="858" spans="1:13" x14ac:dyDescent="0.3">
      <c r="A858" s="733" t="s">
        <v>1287</v>
      </c>
      <c r="B858" s="733" t="s">
        <v>612</v>
      </c>
      <c r="C858" s="733" t="s">
        <v>1327</v>
      </c>
      <c r="D858" s="733" t="s">
        <v>21</v>
      </c>
      <c r="E858" s="733" t="s">
        <v>614</v>
      </c>
      <c r="F858" s="733" t="s">
        <v>615</v>
      </c>
      <c r="G858" s="733"/>
      <c r="H858" s="733"/>
      <c r="I858" s="733"/>
      <c r="J858" s="733"/>
      <c r="K858" s="733"/>
      <c r="L858" s="733"/>
      <c r="M858" s="733"/>
    </row>
    <row r="859" spans="1:13" x14ac:dyDescent="0.3">
      <c r="A859" s="733" t="s">
        <v>1287</v>
      </c>
      <c r="B859" s="733" t="s">
        <v>612</v>
      </c>
      <c r="C859" s="733" t="s">
        <v>1328</v>
      </c>
      <c r="D859" s="733" t="s">
        <v>21</v>
      </c>
      <c r="E859" s="733" t="s">
        <v>614</v>
      </c>
      <c r="F859" s="733" t="s">
        <v>615</v>
      </c>
      <c r="G859" s="733"/>
      <c r="H859" s="733"/>
      <c r="I859" s="733"/>
      <c r="J859" s="733"/>
      <c r="K859" s="733"/>
      <c r="L859" s="733"/>
      <c r="M859" s="733"/>
    </row>
    <row r="860" spans="1:13" x14ac:dyDescent="0.3">
      <c r="A860" s="733" t="s">
        <v>1287</v>
      </c>
      <c r="B860" s="733" t="s">
        <v>612</v>
      </c>
      <c r="C860" s="733" t="s">
        <v>1329</v>
      </c>
      <c r="D860" s="733" t="s">
        <v>21</v>
      </c>
      <c r="E860" s="733" t="s">
        <v>614</v>
      </c>
      <c r="F860" s="733" t="s">
        <v>615</v>
      </c>
      <c r="G860" s="733"/>
      <c r="H860" s="733"/>
      <c r="I860" s="733"/>
      <c r="J860" s="733"/>
      <c r="K860" s="733"/>
      <c r="L860" s="733"/>
      <c r="M860" s="733"/>
    </row>
    <row r="861" spans="1:13" x14ac:dyDescent="0.3">
      <c r="A861" s="733" t="s">
        <v>1287</v>
      </c>
      <c r="B861" s="733" t="s">
        <v>612</v>
      </c>
      <c r="C861" s="733" t="s">
        <v>1330</v>
      </c>
      <c r="D861" s="733" t="s">
        <v>21</v>
      </c>
      <c r="E861" s="733" t="s">
        <v>614</v>
      </c>
      <c r="F861" s="733" t="s">
        <v>615</v>
      </c>
      <c r="G861" s="733"/>
      <c r="H861" s="733"/>
      <c r="I861" s="733"/>
      <c r="J861" s="733"/>
      <c r="K861" s="733"/>
      <c r="L861" s="733"/>
      <c r="M861" s="733"/>
    </row>
    <row r="862" spans="1:13" x14ac:dyDescent="0.3">
      <c r="A862" s="733" t="s">
        <v>1287</v>
      </c>
      <c r="B862" s="733" t="s">
        <v>612</v>
      </c>
      <c r="C862" s="733" t="s">
        <v>1331</v>
      </c>
      <c r="D862" s="733" t="s">
        <v>21</v>
      </c>
      <c r="E862" s="733" t="s">
        <v>614</v>
      </c>
      <c r="F862" s="733" t="s">
        <v>615</v>
      </c>
      <c r="G862" s="733"/>
      <c r="H862" s="733"/>
      <c r="I862" s="733"/>
      <c r="J862" s="733"/>
      <c r="K862" s="733"/>
      <c r="L862" s="733"/>
      <c r="M862" s="733"/>
    </row>
    <row r="863" spans="1:13" x14ac:dyDescent="0.3">
      <c r="A863" s="733" t="s">
        <v>1287</v>
      </c>
      <c r="B863" s="733" t="s">
        <v>612</v>
      </c>
      <c r="C863" s="733" t="s">
        <v>1332</v>
      </c>
      <c r="D863" s="733" t="s">
        <v>21</v>
      </c>
      <c r="E863" s="733" t="s">
        <v>614</v>
      </c>
      <c r="F863" s="733" t="s">
        <v>615</v>
      </c>
      <c r="G863" s="733"/>
      <c r="H863" s="733"/>
      <c r="I863" s="733"/>
      <c r="J863" s="733"/>
      <c r="K863" s="733"/>
      <c r="L863" s="733"/>
      <c r="M863" s="733"/>
    </row>
    <row r="864" spans="1:13" x14ac:dyDescent="0.3">
      <c r="A864" s="733" t="s">
        <v>1287</v>
      </c>
      <c r="B864" s="733" t="s">
        <v>612</v>
      </c>
      <c r="C864" s="733" t="s">
        <v>1333</v>
      </c>
      <c r="D864" s="733" t="s">
        <v>21</v>
      </c>
      <c r="E864" s="733" t="s">
        <v>614</v>
      </c>
      <c r="F864" s="733" t="s">
        <v>615</v>
      </c>
      <c r="G864" s="733"/>
      <c r="H864" s="733"/>
      <c r="I864" s="733"/>
      <c r="J864" s="733"/>
      <c r="K864" s="733"/>
      <c r="L864" s="733"/>
      <c r="M864" s="733"/>
    </row>
    <row r="865" spans="1:13" x14ac:dyDescent="0.3">
      <c r="A865" s="733" t="s">
        <v>1287</v>
      </c>
      <c r="B865" s="733" t="s">
        <v>612</v>
      </c>
      <c r="C865" s="733" t="s">
        <v>1334</v>
      </c>
      <c r="D865" s="733" t="s">
        <v>21</v>
      </c>
      <c r="E865" s="733" t="s">
        <v>614</v>
      </c>
      <c r="F865" s="733" t="s">
        <v>615</v>
      </c>
      <c r="G865" s="733"/>
      <c r="H865" s="733"/>
      <c r="I865" s="733"/>
      <c r="J865" s="733"/>
      <c r="K865" s="733"/>
      <c r="L865" s="733"/>
      <c r="M865" s="733"/>
    </row>
    <row r="866" spans="1:13" x14ac:dyDescent="0.3">
      <c r="A866" s="733" t="s">
        <v>1287</v>
      </c>
      <c r="B866" s="733" t="s">
        <v>645</v>
      </c>
      <c r="C866" s="733" t="s">
        <v>1335</v>
      </c>
      <c r="D866" s="733" t="s">
        <v>21</v>
      </c>
      <c r="E866" s="733" t="s">
        <v>614</v>
      </c>
      <c r="F866" s="733" t="s">
        <v>615</v>
      </c>
      <c r="G866" s="733"/>
      <c r="H866" s="733"/>
      <c r="I866" s="733"/>
      <c r="J866" s="733"/>
      <c r="K866" s="733"/>
      <c r="L866" s="733"/>
      <c r="M866" s="733"/>
    </row>
    <row r="867" spans="1:13" x14ac:dyDescent="0.3">
      <c r="A867" s="733" t="s">
        <v>1287</v>
      </c>
      <c r="B867" s="733" t="s">
        <v>645</v>
      </c>
      <c r="C867" s="733" t="s">
        <v>1336</v>
      </c>
      <c r="D867" s="733" t="s">
        <v>21</v>
      </c>
      <c r="E867" s="733" t="s">
        <v>614</v>
      </c>
      <c r="F867" s="733" t="s">
        <v>615</v>
      </c>
      <c r="G867" s="733"/>
      <c r="H867" s="733"/>
      <c r="I867" s="733"/>
      <c r="J867" s="733"/>
      <c r="K867" s="733"/>
      <c r="L867" s="733"/>
      <c r="M867" s="733"/>
    </row>
    <row r="868" spans="1:13" x14ac:dyDescent="0.3">
      <c r="A868" s="733" t="s">
        <v>1287</v>
      </c>
      <c r="B868" s="733" t="s">
        <v>645</v>
      </c>
      <c r="C868" s="733" t="s">
        <v>1337</v>
      </c>
      <c r="D868" s="733" t="s">
        <v>21</v>
      </c>
      <c r="E868" s="733" t="s">
        <v>614</v>
      </c>
      <c r="F868" s="733" t="s">
        <v>615</v>
      </c>
      <c r="G868" s="733"/>
      <c r="H868" s="733"/>
      <c r="I868" s="733"/>
      <c r="J868" s="733"/>
      <c r="K868" s="733"/>
      <c r="L868" s="733"/>
      <c r="M868" s="733"/>
    </row>
    <row r="869" spans="1:13" x14ac:dyDescent="0.3">
      <c r="A869" s="734" t="s">
        <v>1287</v>
      </c>
      <c r="B869" s="734" t="s">
        <v>645</v>
      </c>
      <c r="C869" s="734" t="s">
        <v>1338</v>
      </c>
      <c r="D869" s="734" t="s">
        <v>21</v>
      </c>
      <c r="E869" s="734" t="s">
        <v>614</v>
      </c>
      <c r="F869" s="734" t="s">
        <v>736</v>
      </c>
      <c r="G869" s="733"/>
      <c r="H869" s="733"/>
      <c r="I869" s="733"/>
      <c r="J869" s="733"/>
      <c r="K869" s="733"/>
      <c r="L869" s="733"/>
      <c r="M869" s="733"/>
    </row>
    <row r="870" spans="1:13" x14ac:dyDescent="0.3">
      <c r="A870" s="733" t="s">
        <v>1287</v>
      </c>
      <c r="B870" s="733" t="s">
        <v>645</v>
      </c>
      <c r="C870" s="733" t="s">
        <v>1339</v>
      </c>
      <c r="D870" s="733" t="s">
        <v>21</v>
      </c>
      <c r="E870" s="733" t="s">
        <v>614</v>
      </c>
      <c r="F870" s="733" t="s">
        <v>615</v>
      </c>
      <c r="G870" s="733"/>
      <c r="H870" s="733"/>
      <c r="I870" s="733"/>
      <c r="J870" s="733"/>
      <c r="K870" s="733"/>
      <c r="L870" s="733"/>
      <c r="M870" s="733"/>
    </row>
    <row r="871" spans="1:13" x14ac:dyDescent="0.3">
      <c r="A871" s="733" t="s">
        <v>1287</v>
      </c>
      <c r="B871" s="733" t="s">
        <v>645</v>
      </c>
      <c r="C871" s="733" t="s">
        <v>1340</v>
      </c>
      <c r="D871" s="733" t="s">
        <v>21</v>
      </c>
      <c r="E871" s="733" t="s">
        <v>614</v>
      </c>
      <c r="F871" s="733" t="s">
        <v>615</v>
      </c>
      <c r="G871" s="733"/>
      <c r="H871" s="733"/>
      <c r="I871" s="733"/>
      <c r="J871" s="733"/>
      <c r="K871" s="733"/>
      <c r="L871" s="733"/>
      <c r="M871" s="733"/>
    </row>
    <row r="872" spans="1:13" x14ac:dyDescent="0.3">
      <c r="A872" s="733" t="s">
        <v>1287</v>
      </c>
      <c r="B872" s="733" t="s">
        <v>645</v>
      </c>
      <c r="C872" s="733" t="s">
        <v>1341</v>
      </c>
      <c r="D872" s="733" t="s">
        <v>21</v>
      </c>
      <c r="E872" s="733" t="s">
        <v>614</v>
      </c>
      <c r="F872" s="733" t="s">
        <v>615</v>
      </c>
      <c r="G872" s="733"/>
      <c r="H872" s="733"/>
      <c r="I872" s="733"/>
      <c r="J872" s="733"/>
      <c r="K872" s="733"/>
      <c r="L872" s="733"/>
      <c r="M872" s="733"/>
    </row>
    <row r="873" spans="1:13" x14ac:dyDescent="0.3">
      <c r="A873" s="733" t="s">
        <v>1287</v>
      </c>
      <c r="B873" s="733" t="s">
        <v>645</v>
      </c>
      <c r="C873" s="733" t="s">
        <v>1342</v>
      </c>
      <c r="D873" s="733" t="s">
        <v>21</v>
      </c>
      <c r="E873" s="733" t="s">
        <v>614</v>
      </c>
      <c r="F873" s="733" t="s">
        <v>615</v>
      </c>
      <c r="G873" s="733"/>
      <c r="H873" s="733"/>
      <c r="I873" s="733"/>
      <c r="J873" s="733"/>
      <c r="K873" s="733"/>
      <c r="L873" s="733"/>
      <c r="M873" s="733"/>
    </row>
    <row r="874" spans="1:13" x14ac:dyDescent="0.3">
      <c r="A874" s="735" t="s">
        <v>1287</v>
      </c>
      <c r="B874" s="735" t="s">
        <v>645</v>
      </c>
      <c r="C874" s="735" t="s">
        <v>1343</v>
      </c>
      <c r="D874" s="735" t="s">
        <v>21</v>
      </c>
      <c r="E874" s="735" t="s">
        <v>1344</v>
      </c>
      <c r="F874" s="735" t="s">
        <v>615</v>
      </c>
      <c r="G874" s="733"/>
      <c r="H874" s="733"/>
      <c r="I874" s="733"/>
      <c r="J874" s="733"/>
      <c r="K874" s="733"/>
      <c r="L874" s="733"/>
      <c r="M874" s="733"/>
    </row>
    <row r="875" spans="1:13" x14ac:dyDescent="0.3">
      <c r="A875" s="762" t="s">
        <v>1287</v>
      </c>
      <c r="B875" s="762" t="s">
        <v>645</v>
      </c>
      <c r="C875" s="735" t="s">
        <v>1345</v>
      </c>
      <c r="D875" s="762" t="s">
        <v>21</v>
      </c>
      <c r="E875" s="762" t="s">
        <v>1344</v>
      </c>
      <c r="F875" s="762" t="s">
        <v>615</v>
      </c>
      <c r="G875" s="761"/>
      <c r="H875" s="761"/>
      <c r="I875" s="761"/>
      <c r="J875" s="761"/>
      <c r="K875" s="761"/>
      <c r="L875" s="761"/>
      <c r="M875" s="761"/>
    </row>
    <row r="876" spans="1:13" x14ac:dyDescent="0.3">
      <c r="A876" s="762"/>
      <c r="B876" s="762"/>
      <c r="C876" s="735" t="s">
        <v>1346</v>
      </c>
      <c r="D876" s="762"/>
      <c r="E876" s="762"/>
      <c r="F876" s="762"/>
      <c r="G876" s="761"/>
      <c r="H876" s="761"/>
      <c r="I876" s="761"/>
      <c r="J876" s="761"/>
      <c r="K876" s="761"/>
      <c r="L876" s="761"/>
      <c r="M876" s="761"/>
    </row>
    <row r="877" spans="1:13" x14ac:dyDescent="0.3">
      <c r="A877" s="762" t="s">
        <v>1287</v>
      </c>
      <c r="B877" s="762" t="s">
        <v>645</v>
      </c>
      <c r="C877" s="735" t="s">
        <v>1345</v>
      </c>
      <c r="D877" s="762" t="s">
        <v>21</v>
      </c>
      <c r="E877" s="762" t="s">
        <v>1344</v>
      </c>
      <c r="F877" s="762" t="s">
        <v>615</v>
      </c>
      <c r="G877" s="761"/>
      <c r="H877" s="761"/>
      <c r="I877" s="761"/>
      <c r="J877" s="761"/>
      <c r="K877" s="761"/>
      <c r="L877" s="761"/>
      <c r="M877" s="761"/>
    </row>
    <row r="878" spans="1:13" x14ac:dyDescent="0.3">
      <c r="A878" s="762"/>
      <c r="B878" s="762"/>
      <c r="C878" s="735" t="s">
        <v>1347</v>
      </c>
      <c r="D878" s="762"/>
      <c r="E878" s="762"/>
      <c r="F878" s="762"/>
      <c r="G878" s="761"/>
      <c r="H878" s="761"/>
      <c r="I878" s="761"/>
      <c r="J878" s="761"/>
      <c r="K878" s="761"/>
      <c r="L878" s="761"/>
      <c r="M878" s="761"/>
    </row>
    <row r="879" spans="1:13" x14ac:dyDescent="0.3">
      <c r="A879" s="733" t="s">
        <v>1287</v>
      </c>
      <c r="B879" s="733" t="s">
        <v>645</v>
      </c>
      <c r="C879" s="733" t="s">
        <v>1348</v>
      </c>
      <c r="D879" s="733" t="s">
        <v>21</v>
      </c>
      <c r="E879" s="733" t="s">
        <v>614</v>
      </c>
      <c r="F879" s="733" t="s">
        <v>615</v>
      </c>
      <c r="G879" s="733"/>
      <c r="H879" s="733"/>
      <c r="I879" s="733"/>
      <c r="J879" s="733"/>
      <c r="K879" s="733"/>
      <c r="L879" s="733"/>
      <c r="M879" s="733"/>
    </row>
    <row r="880" spans="1:13" x14ac:dyDescent="0.3">
      <c r="A880" s="733" t="s">
        <v>1287</v>
      </c>
      <c r="B880" s="733" t="s">
        <v>645</v>
      </c>
      <c r="C880" s="733" t="s">
        <v>1349</v>
      </c>
      <c r="D880" s="733" t="s">
        <v>21</v>
      </c>
      <c r="E880" s="733" t="s">
        <v>614</v>
      </c>
      <c r="F880" s="733" t="s">
        <v>615</v>
      </c>
      <c r="G880" s="733"/>
      <c r="H880" s="733"/>
      <c r="I880" s="733"/>
      <c r="J880" s="733"/>
      <c r="K880" s="733"/>
      <c r="L880" s="733"/>
      <c r="M880" s="733"/>
    </row>
    <row r="881" spans="1:13" x14ac:dyDescent="0.3">
      <c r="A881" s="733" t="s">
        <v>1287</v>
      </c>
      <c r="B881" s="733" t="s">
        <v>664</v>
      </c>
      <c r="C881" s="733" t="s">
        <v>1350</v>
      </c>
      <c r="D881" s="733" t="s">
        <v>21</v>
      </c>
      <c r="E881" s="733" t="s">
        <v>614</v>
      </c>
      <c r="F881" s="733" t="s">
        <v>615</v>
      </c>
      <c r="G881" s="733"/>
      <c r="H881" s="733"/>
      <c r="I881" s="733"/>
      <c r="J881" s="733"/>
      <c r="K881" s="733"/>
      <c r="L881" s="733"/>
      <c r="M881" s="733"/>
    </row>
    <row r="882" spans="1:13" x14ac:dyDescent="0.3">
      <c r="A882" s="733" t="s">
        <v>1287</v>
      </c>
      <c r="B882" s="733" t="s">
        <v>664</v>
      </c>
      <c r="C882" s="733" t="s">
        <v>1351</v>
      </c>
      <c r="D882" s="733" t="s">
        <v>21</v>
      </c>
      <c r="E882" s="733" t="s">
        <v>614</v>
      </c>
      <c r="F882" s="733" t="s">
        <v>615</v>
      </c>
      <c r="G882" s="733"/>
      <c r="H882" s="733"/>
      <c r="I882" s="733"/>
      <c r="J882" s="733"/>
      <c r="K882" s="733"/>
      <c r="L882" s="733"/>
      <c r="M882" s="733"/>
    </row>
    <row r="883" spans="1:13" x14ac:dyDescent="0.3">
      <c r="A883" s="733" t="s">
        <v>1287</v>
      </c>
      <c r="B883" s="733" t="s">
        <v>664</v>
      </c>
      <c r="C883" s="733" t="s">
        <v>1352</v>
      </c>
      <c r="D883" s="733" t="s">
        <v>21</v>
      </c>
      <c r="E883" s="733" t="s">
        <v>614</v>
      </c>
      <c r="F883" s="733" t="s">
        <v>615</v>
      </c>
      <c r="G883" s="733"/>
      <c r="H883" s="733"/>
      <c r="I883" s="733"/>
      <c r="J883" s="733"/>
      <c r="K883" s="733"/>
      <c r="L883" s="733"/>
      <c r="M883" s="733"/>
    </row>
    <row r="884" spans="1:13" x14ac:dyDescent="0.3">
      <c r="A884" s="733" t="s">
        <v>1353</v>
      </c>
      <c r="B884" s="733" t="s">
        <v>612</v>
      </c>
      <c r="C884" s="733" t="s">
        <v>1354</v>
      </c>
      <c r="D884" s="733" t="s">
        <v>21</v>
      </c>
      <c r="E884" s="733" t="s">
        <v>614</v>
      </c>
      <c r="F884" s="733" t="s">
        <v>615</v>
      </c>
      <c r="G884" s="733"/>
      <c r="H884" s="733"/>
      <c r="I884" s="733"/>
      <c r="J884" s="733"/>
      <c r="K884" s="733"/>
      <c r="L884" s="733"/>
      <c r="M884" s="733"/>
    </row>
    <row r="885" spans="1:13" x14ac:dyDescent="0.3">
      <c r="A885" s="733" t="s">
        <v>1353</v>
      </c>
      <c r="B885" s="733" t="s">
        <v>612</v>
      </c>
      <c r="C885" s="733" t="s">
        <v>1355</v>
      </c>
      <c r="D885" s="733" t="s">
        <v>21</v>
      </c>
      <c r="E885" s="733" t="s">
        <v>614</v>
      </c>
      <c r="F885" s="733" t="s">
        <v>615</v>
      </c>
      <c r="G885" s="733"/>
      <c r="H885" s="733"/>
      <c r="I885" s="733"/>
      <c r="J885" s="733"/>
      <c r="K885" s="733"/>
      <c r="L885" s="733"/>
      <c r="M885" s="733"/>
    </row>
    <row r="886" spans="1:13" x14ac:dyDescent="0.3">
      <c r="A886" s="733" t="s">
        <v>1353</v>
      </c>
      <c r="B886" s="733" t="s">
        <v>612</v>
      </c>
      <c r="C886" s="733" t="s">
        <v>1356</v>
      </c>
      <c r="D886" s="733" t="s">
        <v>21</v>
      </c>
      <c r="E886" s="733" t="s">
        <v>614</v>
      </c>
      <c r="F886" s="733" t="s">
        <v>615</v>
      </c>
      <c r="G886" s="733"/>
      <c r="H886" s="733"/>
      <c r="I886" s="733"/>
      <c r="J886" s="733"/>
      <c r="K886" s="733"/>
      <c r="L886" s="733"/>
      <c r="M886" s="733"/>
    </row>
    <row r="887" spans="1:13" x14ac:dyDescent="0.3">
      <c r="A887" s="733" t="s">
        <v>1353</v>
      </c>
      <c r="B887" s="733" t="s">
        <v>612</v>
      </c>
      <c r="C887" s="733" t="s">
        <v>1327</v>
      </c>
      <c r="D887" s="733" t="s">
        <v>21</v>
      </c>
      <c r="E887" s="733" t="s">
        <v>614</v>
      </c>
      <c r="F887" s="733" t="s">
        <v>615</v>
      </c>
      <c r="G887" s="733"/>
      <c r="H887" s="733"/>
      <c r="I887" s="733"/>
      <c r="J887" s="733"/>
      <c r="K887" s="733"/>
      <c r="L887" s="733"/>
      <c r="M887" s="733"/>
    </row>
    <row r="888" spans="1:13" x14ac:dyDescent="0.3">
      <c r="A888" s="733" t="s">
        <v>1353</v>
      </c>
      <c r="B888" s="733" t="s">
        <v>612</v>
      </c>
      <c r="C888" s="733" t="s">
        <v>1357</v>
      </c>
      <c r="D888" s="733" t="s">
        <v>21</v>
      </c>
      <c r="E888" s="733" t="s">
        <v>614</v>
      </c>
      <c r="F888" s="733" t="s">
        <v>615</v>
      </c>
      <c r="G888" s="733"/>
      <c r="H888" s="733"/>
      <c r="I888" s="733"/>
      <c r="J888" s="733"/>
      <c r="K888" s="733"/>
      <c r="L888" s="733"/>
      <c r="M888" s="733"/>
    </row>
    <row r="889" spans="1:13" x14ac:dyDescent="0.3">
      <c r="A889" s="733" t="s">
        <v>1353</v>
      </c>
      <c r="B889" s="733" t="s">
        <v>645</v>
      </c>
      <c r="C889" s="733" t="s">
        <v>1358</v>
      </c>
      <c r="D889" s="733" t="s">
        <v>21</v>
      </c>
      <c r="E889" s="733" t="s">
        <v>614</v>
      </c>
      <c r="F889" s="733" t="s">
        <v>615</v>
      </c>
      <c r="G889" s="733"/>
      <c r="H889" s="733"/>
      <c r="I889" s="733"/>
      <c r="J889" s="733"/>
      <c r="K889" s="733"/>
      <c r="L889" s="733"/>
      <c r="M889" s="733"/>
    </row>
    <row r="890" spans="1:13" x14ac:dyDescent="0.3">
      <c r="A890" s="733" t="s">
        <v>1353</v>
      </c>
      <c r="B890" s="733" t="s">
        <v>645</v>
      </c>
      <c r="C890" s="733" t="s">
        <v>1359</v>
      </c>
      <c r="D890" s="733" t="s">
        <v>21</v>
      </c>
      <c r="E890" s="733" t="s">
        <v>614</v>
      </c>
      <c r="F890" s="733" t="s">
        <v>615</v>
      </c>
      <c r="G890" s="733"/>
      <c r="H890" s="733"/>
      <c r="I890" s="733"/>
      <c r="J890" s="733"/>
      <c r="K890" s="733"/>
      <c r="L890" s="733"/>
      <c r="M890" s="733"/>
    </row>
    <row r="891" spans="1:13" x14ac:dyDescent="0.3">
      <c r="A891" s="733" t="s">
        <v>1353</v>
      </c>
      <c r="B891" s="733" t="s">
        <v>645</v>
      </c>
      <c r="C891" s="733" t="s">
        <v>1360</v>
      </c>
      <c r="D891" s="733" t="s">
        <v>21</v>
      </c>
      <c r="E891" s="733" t="s">
        <v>614</v>
      </c>
      <c r="F891" s="733" t="s">
        <v>615</v>
      </c>
      <c r="G891" s="733"/>
      <c r="H891" s="733"/>
      <c r="I891" s="733"/>
      <c r="J891" s="733"/>
      <c r="K891" s="733"/>
      <c r="L891" s="733"/>
      <c r="M891" s="733"/>
    </row>
    <row r="892" spans="1:13" x14ac:dyDescent="0.3">
      <c r="A892" s="733" t="s">
        <v>1353</v>
      </c>
      <c r="B892" s="733" t="s">
        <v>664</v>
      </c>
      <c r="C892" s="733" t="s">
        <v>1361</v>
      </c>
      <c r="D892" s="733" t="s">
        <v>21</v>
      </c>
      <c r="E892" s="733" t="s">
        <v>614</v>
      </c>
      <c r="F892" s="733" t="s">
        <v>615</v>
      </c>
      <c r="G892" s="733"/>
      <c r="H892" s="733"/>
      <c r="I892" s="733"/>
      <c r="J892" s="733"/>
      <c r="K892" s="733"/>
      <c r="L892" s="733"/>
      <c r="M892" s="733"/>
    </row>
    <row r="893" spans="1:13" x14ac:dyDescent="0.3">
      <c r="A893" s="733" t="s">
        <v>1353</v>
      </c>
      <c r="B893" s="733" t="s">
        <v>664</v>
      </c>
      <c r="C893" s="733" t="s">
        <v>1362</v>
      </c>
      <c r="D893" s="733" t="s">
        <v>21</v>
      </c>
      <c r="E893" s="733" t="s">
        <v>614</v>
      </c>
      <c r="F893" s="733" t="s">
        <v>615</v>
      </c>
      <c r="G893" s="733"/>
      <c r="H893" s="733"/>
      <c r="I893" s="733"/>
      <c r="J893" s="733"/>
      <c r="K893" s="733"/>
      <c r="L893" s="733"/>
      <c r="M893" s="733"/>
    </row>
    <row r="894" spans="1:13" x14ac:dyDescent="0.3">
      <c r="A894" s="733" t="s">
        <v>1353</v>
      </c>
      <c r="B894" s="733" t="s">
        <v>664</v>
      </c>
      <c r="C894" s="733" t="s">
        <v>1363</v>
      </c>
      <c r="D894" s="733" t="s">
        <v>21</v>
      </c>
      <c r="E894" s="733" t="s">
        <v>614</v>
      </c>
      <c r="F894" s="733" t="s">
        <v>615</v>
      </c>
      <c r="G894" s="733"/>
      <c r="H894" s="733"/>
      <c r="I894" s="733"/>
      <c r="J894" s="733"/>
      <c r="K894" s="733"/>
      <c r="L894" s="733"/>
      <c r="M894" s="733"/>
    </row>
    <row r="895" spans="1:13" x14ac:dyDescent="0.3">
      <c r="A895" s="735" t="s">
        <v>1364</v>
      </c>
      <c r="B895" s="735" t="s">
        <v>612</v>
      </c>
      <c r="C895" s="735" t="s">
        <v>1365</v>
      </c>
      <c r="D895" s="735" t="s">
        <v>21</v>
      </c>
      <c r="E895" s="735" t="s">
        <v>1344</v>
      </c>
      <c r="F895" s="735" t="s">
        <v>615</v>
      </c>
      <c r="G895" s="733"/>
      <c r="H895" s="733"/>
      <c r="I895" s="733"/>
      <c r="J895" s="733"/>
      <c r="K895" s="733"/>
      <c r="L895" s="733"/>
      <c r="M895" s="733"/>
    </row>
    <row r="896" spans="1:13" x14ac:dyDescent="0.3">
      <c r="A896" s="733" t="s">
        <v>1364</v>
      </c>
      <c r="B896" s="733" t="s">
        <v>612</v>
      </c>
      <c r="C896" s="733" t="s">
        <v>1366</v>
      </c>
      <c r="D896" s="733" t="s">
        <v>21</v>
      </c>
      <c r="E896" s="733" t="s">
        <v>614</v>
      </c>
      <c r="F896" s="733" t="s">
        <v>615</v>
      </c>
      <c r="G896" s="733"/>
      <c r="H896" s="733"/>
      <c r="I896" s="733"/>
      <c r="J896" s="733"/>
      <c r="K896" s="733"/>
      <c r="L896" s="733"/>
      <c r="M896" s="733"/>
    </row>
    <row r="897" spans="1:13" x14ac:dyDescent="0.3">
      <c r="A897" s="733" t="s">
        <v>1364</v>
      </c>
      <c r="B897" s="733" t="s">
        <v>612</v>
      </c>
      <c r="C897" s="733" t="s">
        <v>1367</v>
      </c>
      <c r="D897" s="733" t="s">
        <v>21</v>
      </c>
      <c r="E897" s="733" t="s">
        <v>614</v>
      </c>
      <c r="F897" s="733" t="s">
        <v>615</v>
      </c>
      <c r="G897" s="733"/>
      <c r="H897" s="733"/>
      <c r="I897" s="733"/>
      <c r="J897" s="733"/>
      <c r="K897" s="733"/>
      <c r="L897" s="733"/>
      <c r="M897" s="733"/>
    </row>
    <row r="898" spans="1:13" x14ac:dyDescent="0.3">
      <c r="A898" s="733" t="s">
        <v>1364</v>
      </c>
      <c r="B898" s="733" t="s">
        <v>612</v>
      </c>
      <c r="C898" s="733" t="s">
        <v>1368</v>
      </c>
      <c r="D898" s="733" t="s">
        <v>21</v>
      </c>
      <c r="E898" s="733" t="s">
        <v>614</v>
      </c>
      <c r="F898" s="733" t="s">
        <v>615</v>
      </c>
      <c r="G898" s="733"/>
      <c r="H898" s="733"/>
      <c r="I898" s="733"/>
      <c r="J898" s="733"/>
      <c r="K898" s="733"/>
      <c r="L898" s="733"/>
      <c r="M898" s="733"/>
    </row>
    <row r="899" spans="1:13" x14ac:dyDescent="0.3">
      <c r="A899" s="733" t="s">
        <v>1364</v>
      </c>
      <c r="B899" s="733" t="s">
        <v>612</v>
      </c>
      <c r="C899" s="733" t="s">
        <v>1369</v>
      </c>
      <c r="D899" s="733" t="s">
        <v>21</v>
      </c>
      <c r="E899" s="733" t="s">
        <v>614</v>
      </c>
      <c r="F899" s="733" t="s">
        <v>615</v>
      </c>
      <c r="G899" s="733"/>
      <c r="H899" s="733"/>
      <c r="I899" s="733"/>
      <c r="J899" s="733"/>
      <c r="K899" s="733"/>
      <c r="L899" s="733"/>
      <c r="M899" s="733"/>
    </row>
    <row r="900" spans="1:13" x14ac:dyDescent="0.3">
      <c r="A900" s="733" t="s">
        <v>1364</v>
      </c>
      <c r="B900" s="733" t="s">
        <v>612</v>
      </c>
      <c r="C900" s="733" t="s">
        <v>1370</v>
      </c>
      <c r="D900" s="733" t="s">
        <v>21</v>
      </c>
      <c r="E900" s="733" t="s">
        <v>614</v>
      </c>
      <c r="F900" s="733" t="s">
        <v>615</v>
      </c>
      <c r="G900" s="733"/>
      <c r="H900" s="733"/>
      <c r="I900" s="733"/>
      <c r="J900" s="733"/>
      <c r="K900" s="733"/>
      <c r="L900" s="733"/>
      <c r="M900" s="733"/>
    </row>
    <row r="901" spans="1:13" x14ac:dyDescent="0.3">
      <c r="A901" s="733" t="s">
        <v>1364</v>
      </c>
      <c r="B901" s="733" t="s">
        <v>612</v>
      </c>
      <c r="C901" s="733" t="s">
        <v>1371</v>
      </c>
      <c r="D901" s="733" t="s">
        <v>21</v>
      </c>
      <c r="E901" s="733" t="s">
        <v>614</v>
      </c>
      <c r="F901" s="733" t="s">
        <v>615</v>
      </c>
      <c r="G901" s="733"/>
      <c r="H901" s="733"/>
      <c r="I901" s="733"/>
      <c r="J901" s="733"/>
      <c r="K901" s="733"/>
      <c r="L901" s="733"/>
      <c r="M901" s="733"/>
    </row>
    <row r="902" spans="1:13" x14ac:dyDescent="0.3">
      <c r="A902" s="733" t="s">
        <v>1364</v>
      </c>
      <c r="B902" s="733" t="s">
        <v>612</v>
      </c>
      <c r="C902" s="733" t="s">
        <v>1372</v>
      </c>
      <c r="D902" s="733" t="s">
        <v>21</v>
      </c>
      <c r="E902" s="733" t="s">
        <v>614</v>
      </c>
      <c r="F902" s="733" t="s">
        <v>615</v>
      </c>
      <c r="G902" s="733"/>
      <c r="H902" s="733"/>
      <c r="I902" s="733"/>
      <c r="J902" s="733"/>
      <c r="K902" s="733"/>
      <c r="L902" s="733"/>
      <c r="M902" s="733"/>
    </row>
    <row r="903" spans="1:13" x14ac:dyDescent="0.3">
      <c r="A903" s="733" t="s">
        <v>1364</v>
      </c>
      <c r="B903" s="733" t="s">
        <v>612</v>
      </c>
      <c r="C903" s="733" t="s">
        <v>1373</v>
      </c>
      <c r="D903" s="733" t="s">
        <v>21</v>
      </c>
      <c r="E903" s="733" t="s">
        <v>614</v>
      </c>
      <c r="F903" s="733" t="s">
        <v>615</v>
      </c>
      <c r="G903" s="733"/>
      <c r="H903" s="733"/>
      <c r="I903" s="733"/>
      <c r="J903" s="733"/>
      <c r="K903" s="733"/>
      <c r="L903" s="733"/>
      <c r="M903" s="733"/>
    </row>
    <row r="904" spans="1:13" x14ac:dyDescent="0.3">
      <c r="A904" s="733" t="s">
        <v>1364</v>
      </c>
      <c r="B904" s="733" t="s">
        <v>612</v>
      </c>
      <c r="C904" s="733" t="s">
        <v>1374</v>
      </c>
      <c r="D904" s="733" t="s">
        <v>21</v>
      </c>
      <c r="E904" s="733" t="s">
        <v>614</v>
      </c>
      <c r="F904" s="733" t="s">
        <v>615</v>
      </c>
      <c r="G904" s="733"/>
      <c r="H904" s="733"/>
      <c r="I904" s="733"/>
      <c r="J904" s="733"/>
      <c r="K904" s="733"/>
      <c r="L904" s="733"/>
      <c r="M904" s="733"/>
    </row>
    <row r="905" spans="1:13" x14ac:dyDescent="0.3">
      <c r="A905" s="733" t="s">
        <v>1364</v>
      </c>
      <c r="B905" s="733" t="s">
        <v>612</v>
      </c>
      <c r="C905" s="733" t="s">
        <v>1375</v>
      </c>
      <c r="D905" s="733" t="s">
        <v>21</v>
      </c>
      <c r="E905" s="733" t="s">
        <v>614</v>
      </c>
      <c r="F905" s="733" t="s">
        <v>615</v>
      </c>
      <c r="G905" s="733"/>
      <c r="H905" s="733"/>
      <c r="I905" s="733"/>
      <c r="J905" s="733"/>
      <c r="K905" s="733"/>
      <c r="L905" s="733"/>
      <c r="M905" s="733"/>
    </row>
    <row r="906" spans="1:13" x14ac:dyDescent="0.3">
      <c r="A906" s="733" t="s">
        <v>1364</v>
      </c>
      <c r="B906" s="733" t="s">
        <v>645</v>
      </c>
      <c r="C906" s="733" t="s">
        <v>1376</v>
      </c>
      <c r="D906" s="733" t="s">
        <v>21</v>
      </c>
      <c r="E906" s="733" t="s">
        <v>614</v>
      </c>
      <c r="F906" s="733" t="s">
        <v>615</v>
      </c>
      <c r="G906" s="733"/>
      <c r="H906" s="733"/>
      <c r="I906" s="733"/>
      <c r="J906" s="733"/>
      <c r="K906" s="733"/>
      <c r="L906" s="733"/>
      <c r="M906" s="733"/>
    </row>
    <row r="907" spans="1:13" x14ac:dyDescent="0.3">
      <c r="A907" s="733" t="s">
        <v>1364</v>
      </c>
      <c r="B907" s="733" t="s">
        <v>645</v>
      </c>
      <c r="C907" s="733" t="s">
        <v>1377</v>
      </c>
      <c r="D907" s="733" t="s">
        <v>21</v>
      </c>
      <c r="E907" s="733" t="s">
        <v>614</v>
      </c>
      <c r="F907" s="733" t="s">
        <v>615</v>
      </c>
      <c r="G907" s="733"/>
      <c r="H907" s="733"/>
      <c r="I907" s="733"/>
      <c r="J907" s="733"/>
      <c r="K907" s="733"/>
      <c r="L907" s="733"/>
      <c r="M907" s="733"/>
    </row>
    <row r="908" spans="1:13" x14ac:dyDescent="0.3">
      <c r="A908" s="733" t="s">
        <v>1364</v>
      </c>
      <c r="B908" s="733" t="s">
        <v>645</v>
      </c>
      <c r="C908" s="733" t="s">
        <v>1378</v>
      </c>
      <c r="D908" s="733" t="s">
        <v>21</v>
      </c>
      <c r="E908" s="733" t="s">
        <v>614</v>
      </c>
      <c r="F908" s="733" t="s">
        <v>615</v>
      </c>
      <c r="G908" s="733"/>
      <c r="H908" s="733"/>
      <c r="I908" s="733"/>
      <c r="J908" s="733"/>
      <c r="K908" s="733"/>
      <c r="L908" s="733"/>
      <c r="M908" s="733"/>
    </row>
    <row r="909" spans="1:13" x14ac:dyDescent="0.3">
      <c r="A909" s="733" t="s">
        <v>1364</v>
      </c>
      <c r="B909" s="733" t="s">
        <v>645</v>
      </c>
      <c r="C909" s="733" t="s">
        <v>1379</v>
      </c>
      <c r="D909" s="733" t="s">
        <v>21</v>
      </c>
      <c r="E909" s="733" t="s">
        <v>614</v>
      </c>
      <c r="F909" s="733" t="s">
        <v>615</v>
      </c>
      <c r="G909" s="733"/>
      <c r="H909" s="733"/>
      <c r="I909" s="733"/>
      <c r="J909" s="733"/>
      <c r="K909" s="733"/>
      <c r="L909" s="733"/>
      <c r="M909" s="733"/>
    </row>
    <row r="910" spans="1:13" x14ac:dyDescent="0.3">
      <c r="A910" s="733" t="s">
        <v>1364</v>
      </c>
      <c r="B910" s="733" t="s">
        <v>645</v>
      </c>
      <c r="C910" s="733" t="s">
        <v>1380</v>
      </c>
      <c r="D910" s="733" t="s">
        <v>21</v>
      </c>
      <c r="E910" s="733" t="s">
        <v>614</v>
      </c>
      <c r="F910" s="733" t="s">
        <v>615</v>
      </c>
      <c r="G910" s="733"/>
      <c r="H910" s="733"/>
      <c r="I910" s="733"/>
      <c r="J910" s="733"/>
      <c r="K910" s="733"/>
      <c r="L910" s="733"/>
      <c r="M910" s="733"/>
    </row>
    <row r="911" spans="1:13" x14ac:dyDescent="0.3">
      <c r="A911" s="733" t="s">
        <v>1364</v>
      </c>
      <c r="B911" s="733" t="s">
        <v>645</v>
      </c>
      <c r="C911" s="733" t="s">
        <v>1381</v>
      </c>
      <c r="D911" s="733" t="s">
        <v>21</v>
      </c>
      <c r="E911" s="733" t="s">
        <v>614</v>
      </c>
      <c r="F911" s="733" t="s">
        <v>615</v>
      </c>
      <c r="G911" s="733"/>
      <c r="H911" s="733"/>
      <c r="I911" s="733"/>
      <c r="J911" s="733"/>
      <c r="K911" s="733"/>
      <c r="L911" s="733"/>
      <c r="M911" s="733"/>
    </row>
    <row r="912" spans="1:13" x14ac:dyDescent="0.3">
      <c r="A912" s="733" t="s">
        <v>1364</v>
      </c>
      <c r="B912" s="733" t="s">
        <v>645</v>
      </c>
      <c r="C912" s="733" t="s">
        <v>1382</v>
      </c>
      <c r="D912" s="733" t="s">
        <v>21</v>
      </c>
      <c r="E912" s="733" t="s">
        <v>614</v>
      </c>
      <c r="F912" s="733" t="s">
        <v>615</v>
      </c>
      <c r="G912" s="733"/>
      <c r="H912" s="733"/>
      <c r="I912" s="733"/>
      <c r="J912" s="733"/>
      <c r="K912" s="733"/>
      <c r="L912" s="733"/>
      <c r="M912" s="733"/>
    </row>
    <row r="913" spans="1:13" x14ac:dyDescent="0.3">
      <c r="A913" s="733" t="s">
        <v>1364</v>
      </c>
      <c r="B913" s="733" t="s">
        <v>645</v>
      </c>
      <c r="C913" s="733" t="s">
        <v>1383</v>
      </c>
      <c r="D913" s="733" t="s">
        <v>21</v>
      </c>
      <c r="E913" s="733" t="s">
        <v>614</v>
      </c>
      <c r="F913" s="733" t="s">
        <v>615</v>
      </c>
      <c r="G913" s="733"/>
      <c r="H913" s="733"/>
      <c r="I913" s="733"/>
      <c r="J913" s="733"/>
      <c r="K913" s="733"/>
      <c r="L913" s="733"/>
      <c r="M913" s="733"/>
    </row>
    <row r="914" spans="1:13" x14ac:dyDescent="0.3">
      <c r="A914" s="733" t="s">
        <v>1364</v>
      </c>
      <c r="B914" s="733" t="s">
        <v>645</v>
      </c>
      <c r="C914" s="733" t="s">
        <v>1384</v>
      </c>
      <c r="D914" s="733" t="s">
        <v>21</v>
      </c>
      <c r="E914" s="733" t="s">
        <v>614</v>
      </c>
      <c r="F914" s="733" t="s">
        <v>615</v>
      </c>
      <c r="G914" s="733"/>
      <c r="H914" s="733"/>
      <c r="I914" s="733"/>
      <c r="J914" s="733"/>
      <c r="K914" s="733"/>
      <c r="L914" s="733"/>
      <c r="M914" s="733"/>
    </row>
    <row r="915" spans="1:13" x14ac:dyDescent="0.3">
      <c r="A915" s="733" t="s">
        <v>1364</v>
      </c>
      <c r="B915" s="733" t="s">
        <v>645</v>
      </c>
      <c r="C915" s="733" t="s">
        <v>1385</v>
      </c>
      <c r="D915" s="733" t="s">
        <v>21</v>
      </c>
      <c r="E915" s="733" t="s">
        <v>614</v>
      </c>
      <c r="F915" s="733" t="s">
        <v>615</v>
      </c>
      <c r="G915" s="733"/>
      <c r="H915" s="733"/>
      <c r="I915" s="733"/>
      <c r="J915" s="733"/>
      <c r="K915" s="733"/>
      <c r="L915" s="733"/>
      <c r="M915" s="733"/>
    </row>
    <row r="916" spans="1:13" x14ac:dyDescent="0.3">
      <c r="A916" s="733" t="s">
        <v>1364</v>
      </c>
      <c r="B916" s="733" t="s">
        <v>645</v>
      </c>
      <c r="C916" s="733" t="s">
        <v>1386</v>
      </c>
      <c r="D916" s="733" t="s">
        <v>21</v>
      </c>
      <c r="E916" s="733" t="s">
        <v>614</v>
      </c>
      <c r="F916" s="733" t="s">
        <v>615</v>
      </c>
      <c r="G916" s="733"/>
      <c r="H916" s="733"/>
      <c r="I916" s="733"/>
      <c r="J916" s="733"/>
      <c r="K916" s="733"/>
      <c r="L916" s="733"/>
      <c r="M916" s="733"/>
    </row>
    <row r="917" spans="1:13" x14ac:dyDescent="0.3">
      <c r="A917" s="733" t="s">
        <v>1364</v>
      </c>
      <c r="B917" s="733" t="s">
        <v>645</v>
      </c>
      <c r="C917" s="733" t="s">
        <v>1387</v>
      </c>
      <c r="D917" s="733" t="s">
        <v>21</v>
      </c>
      <c r="E917" s="733" t="s">
        <v>614</v>
      </c>
      <c r="F917" s="733" t="s">
        <v>615</v>
      </c>
      <c r="G917" s="733"/>
      <c r="H917" s="733"/>
      <c r="I917" s="733"/>
      <c r="J917" s="733"/>
      <c r="K917" s="733"/>
      <c r="L917" s="733"/>
      <c r="M917" s="733"/>
    </row>
    <row r="918" spans="1:13" x14ac:dyDescent="0.3">
      <c r="A918" s="733" t="s">
        <v>1364</v>
      </c>
      <c r="B918" s="733" t="s">
        <v>645</v>
      </c>
      <c r="C918" s="733" t="s">
        <v>1388</v>
      </c>
      <c r="D918" s="733" t="s">
        <v>21</v>
      </c>
      <c r="E918" s="733" t="s">
        <v>614</v>
      </c>
      <c r="F918" s="733" t="s">
        <v>615</v>
      </c>
      <c r="G918" s="733"/>
      <c r="H918" s="733"/>
      <c r="I918" s="733"/>
      <c r="J918" s="733"/>
      <c r="K918" s="733"/>
      <c r="L918" s="733"/>
      <c r="M918" s="733"/>
    </row>
    <row r="919" spans="1:13" x14ac:dyDescent="0.3">
      <c r="A919" s="733" t="s">
        <v>1364</v>
      </c>
      <c r="B919" s="733" t="s">
        <v>645</v>
      </c>
      <c r="C919" s="733" t="s">
        <v>1389</v>
      </c>
      <c r="D919" s="733" t="s">
        <v>21</v>
      </c>
      <c r="E919" s="733" t="s">
        <v>614</v>
      </c>
      <c r="F919" s="733" t="s">
        <v>615</v>
      </c>
      <c r="G919" s="733"/>
      <c r="H919" s="733"/>
      <c r="I919" s="733"/>
      <c r="J919" s="733"/>
      <c r="K919" s="733"/>
      <c r="L919" s="733"/>
      <c r="M919" s="733"/>
    </row>
    <row r="920" spans="1:13" x14ac:dyDescent="0.3">
      <c r="A920" s="733" t="s">
        <v>1364</v>
      </c>
      <c r="B920" s="733" t="s">
        <v>645</v>
      </c>
      <c r="C920" s="733" t="s">
        <v>709</v>
      </c>
      <c r="D920" s="733" t="s">
        <v>21</v>
      </c>
      <c r="E920" s="733" t="s">
        <v>614</v>
      </c>
      <c r="F920" s="733" t="s">
        <v>615</v>
      </c>
      <c r="G920" s="733"/>
      <c r="H920" s="733"/>
      <c r="I920" s="733"/>
      <c r="J920" s="733"/>
      <c r="K920" s="733"/>
      <c r="L920" s="733"/>
      <c r="M920" s="733"/>
    </row>
    <row r="921" spans="1:13" x14ac:dyDescent="0.3">
      <c r="A921" s="733" t="s">
        <v>1364</v>
      </c>
      <c r="B921" s="733" t="s">
        <v>645</v>
      </c>
      <c r="C921" s="733" t="s">
        <v>1390</v>
      </c>
      <c r="D921" s="733" t="s">
        <v>21</v>
      </c>
      <c r="E921" s="733" t="s">
        <v>614</v>
      </c>
      <c r="F921" s="733" t="s">
        <v>615</v>
      </c>
      <c r="G921" s="733"/>
      <c r="H921" s="733"/>
      <c r="I921" s="733"/>
      <c r="J921" s="733"/>
      <c r="K921" s="733"/>
      <c r="L921" s="733"/>
      <c r="M921" s="733"/>
    </row>
    <row r="922" spans="1:13" x14ac:dyDescent="0.3">
      <c r="A922" s="733" t="s">
        <v>1364</v>
      </c>
      <c r="B922" s="733" t="s">
        <v>664</v>
      </c>
      <c r="C922" s="733" t="s">
        <v>1391</v>
      </c>
      <c r="D922" s="733" t="s">
        <v>21</v>
      </c>
      <c r="E922" s="733" t="s">
        <v>614</v>
      </c>
      <c r="F922" s="733" t="s">
        <v>615</v>
      </c>
      <c r="G922" s="733"/>
      <c r="H922" s="733"/>
      <c r="I922" s="733"/>
      <c r="J922" s="733"/>
      <c r="K922" s="733"/>
      <c r="L922" s="733"/>
      <c r="M922" s="733"/>
    </row>
    <row r="923" spans="1:13" x14ac:dyDescent="0.3">
      <c r="A923" s="733" t="s">
        <v>1364</v>
      </c>
      <c r="B923" s="733" t="s">
        <v>664</v>
      </c>
      <c r="C923" s="733" t="s">
        <v>1392</v>
      </c>
      <c r="D923" s="733" t="s">
        <v>21</v>
      </c>
      <c r="E923" s="733" t="s">
        <v>614</v>
      </c>
      <c r="F923" s="733" t="s">
        <v>615</v>
      </c>
      <c r="G923" s="733"/>
      <c r="H923" s="733"/>
      <c r="I923" s="733"/>
      <c r="J923" s="733"/>
      <c r="K923" s="733"/>
      <c r="L923" s="733"/>
      <c r="M923" s="733"/>
    </row>
    <row r="924" spans="1:13" x14ac:dyDescent="0.3">
      <c r="A924" s="733" t="s">
        <v>1364</v>
      </c>
      <c r="B924" s="733" t="s">
        <v>664</v>
      </c>
      <c r="C924" s="733" t="s">
        <v>1393</v>
      </c>
      <c r="D924" s="733" t="s">
        <v>21</v>
      </c>
      <c r="E924" s="733" t="s">
        <v>614</v>
      </c>
      <c r="F924" s="733" t="s">
        <v>615</v>
      </c>
      <c r="G924" s="733"/>
      <c r="H924" s="733"/>
      <c r="I924" s="733"/>
      <c r="J924" s="733"/>
      <c r="K924" s="733"/>
      <c r="L924" s="733"/>
      <c r="M924" s="733"/>
    </row>
    <row r="925" spans="1:13" x14ac:dyDescent="0.3">
      <c r="A925" s="733" t="s">
        <v>1394</v>
      </c>
      <c r="B925" s="733" t="s">
        <v>612</v>
      </c>
      <c r="C925" s="733" t="s">
        <v>807</v>
      </c>
      <c r="D925" s="733" t="s">
        <v>21</v>
      </c>
      <c r="E925" s="733" t="s">
        <v>614</v>
      </c>
      <c r="F925" s="733" t="s">
        <v>615</v>
      </c>
      <c r="G925" s="733"/>
      <c r="H925" s="733"/>
      <c r="I925" s="733"/>
      <c r="J925" s="733"/>
      <c r="K925" s="733"/>
      <c r="L925" s="733"/>
      <c r="M925" s="733"/>
    </row>
    <row r="926" spans="1:13" x14ac:dyDescent="0.3">
      <c r="A926" s="733" t="s">
        <v>1394</v>
      </c>
      <c r="B926" s="733" t="s">
        <v>612</v>
      </c>
      <c r="C926" s="733" t="s">
        <v>1244</v>
      </c>
      <c r="D926" s="733" t="s">
        <v>21</v>
      </c>
      <c r="E926" s="733" t="s">
        <v>614</v>
      </c>
      <c r="F926" s="733" t="s">
        <v>615</v>
      </c>
      <c r="G926" s="733"/>
      <c r="H926" s="733"/>
      <c r="I926" s="733"/>
      <c r="J926" s="733"/>
      <c r="K926" s="733"/>
      <c r="L926" s="733"/>
      <c r="M926" s="733"/>
    </row>
    <row r="927" spans="1:13" x14ac:dyDescent="0.3">
      <c r="A927" s="733" t="s">
        <v>1394</v>
      </c>
      <c r="B927" s="733" t="s">
        <v>612</v>
      </c>
      <c r="C927" s="733" t="s">
        <v>1245</v>
      </c>
      <c r="D927" s="733" t="s">
        <v>21</v>
      </c>
      <c r="E927" s="733" t="s">
        <v>614</v>
      </c>
      <c r="F927" s="733" t="s">
        <v>615</v>
      </c>
      <c r="G927" s="733"/>
      <c r="H927" s="733"/>
      <c r="I927" s="733"/>
      <c r="J927" s="733"/>
      <c r="K927" s="733"/>
      <c r="L927" s="733"/>
      <c r="M927" s="733"/>
    </row>
    <row r="928" spans="1:13" x14ac:dyDescent="0.3">
      <c r="A928" s="733" t="s">
        <v>1394</v>
      </c>
      <c r="B928" s="733" t="s">
        <v>612</v>
      </c>
      <c r="C928" s="733" t="s">
        <v>1246</v>
      </c>
      <c r="D928" s="733" t="s">
        <v>21</v>
      </c>
      <c r="E928" s="733" t="s">
        <v>614</v>
      </c>
      <c r="F928" s="733" t="s">
        <v>615</v>
      </c>
      <c r="G928" s="733"/>
      <c r="H928" s="733"/>
      <c r="I928" s="733"/>
      <c r="J928" s="733"/>
      <c r="K928" s="733"/>
      <c r="L928" s="733"/>
      <c r="M928" s="733"/>
    </row>
    <row r="929" spans="1:13" x14ac:dyDescent="0.3">
      <c r="A929" s="733" t="s">
        <v>1394</v>
      </c>
      <c r="B929" s="733" t="s">
        <v>645</v>
      </c>
      <c r="C929" s="733" t="s">
        <v>1395</v>
      </c>
      <c r="D929" s="733" t="s">
        <v>21</v>
      </c>
      <c r="E929" s="733" t="s">
        <v>614</v>
      </c>
      <c r="F929" s="733" t="s">
        <v>615</v>
      </c>
      <c r="G929" s="733"/>
      <c r="H929" s="733"/>
      <c r="I929" s="733"/>
      <c r="J929" s="733"/>
      <c r="K929" s="733"/>
      <c r="L929" s="733"/>
      <c r="M929" s="733"/>
    </row>
    <row r="930" spans="1:13" x14ac:dyDescent="0.3">
      <c r="A930" s="733" t="s">
        <v>1394</v>
      </c>
      <c r="B930" s="733" t="s">
        <v>645</v>
      </c>
      <c r="C930" s="733" t="s">
        <v>1396</v>
      </c>
      <c r="D930" s="733" t="s">
        <v>21</v>
      </c>
      <c r="E930" s="733" t="s">
        <v>614</v>
      </c>
      <c r="F930" s="733" t="s">
        <v>615</v>
      </c>
      <c r="G930" s="733"/>
      <c r="H930" s="733"/>
      <c r="I930" s="733"/>
      <c r="J930" s="733"/>
      <c r="K930" s="733"/>
      <c r="L930" s="733"/>
      <c r="M930" s="733"/>
    </row>
    <row r="931" spans="1:13" x14ac:dyDescent="0.3">
      <c r="A931" s="733" t="s">
        <v>1394</v>
      </c>
      <c r="B931" s="733" t="s">
        <v>645</v>
      </c>
      <c r="C931" s="733" t="s">
        <v>1397</v>
      </c>
      <c r="D931" s="733" t="s">
        <v>21</v>
      </c>
      <c r="E931" s="733" t="s">
        <v>614</v>
      </c>
      <c r="F931" s="733" t="s">
        <v>615</v>
      </c>
      <c r="G931" s="733"/>
      <c r="H931" s="733"/>
      <c r="I931" s="733"/>
      <c r="J931" s="733"/>
      <c r="K931" s="733"/>
      <c r="L931" s="733"/>
      <c r="M931" s="733"/>
    </row>
    <row r="932" spans="1:13" x14ac:dyDescent="0.3">
      <c r="A932" s="733" t="s">
        <v>1394</v>
      </c>
      <c r="B932" s="733" t="s">
        <v>645</v>
      </c>
      <c r="C932" s="733" t="s">
        <v>1398</v>
      </c>
      <c r="D932" s="733" t="s">
        <v>21</v>
      </c>
      <c r="E932" s="733" t="s">
        <v>614</v>
      </c>
      <c r="F932" s="733" t="s">
        <v>615</v>
      </c>
      <c r="G932" s="733"/>
      <c r="H932" s="733"/>
      <c r="I932" s="733"/>
      <c r="J932" s="733"/>
      <c r="K932" s="733"/>
      <c r="L932" s="733"/>
      <c r="M932" s="733"/>
    </row>
    <row r="933" spans="1:13" x14ac:dyDescent="0.3">
      <c r="A933" s="733" t="s">
        <v>1394</v>
      </c>
      <c r="B933" s="733" t="s">
        <v>664</v>
      </c>
      <c r="C933" s="733" t="s">
        <v>838</v>
      </c>
      <c r="D933" s="733" t="s">
        <v>21</v>
      </c>
      <c r="E933" s="733" t="s">
        <v>614</v>
      </c>
      <c r="F933" s="733" t="s">
        <v>615</v>
      </c>
      <c r="G933" s="733"/>
      <c r="H933" s="733"/>
      <c r="I933" s="733"/>
      <c r="J933" s="733"/>
      <c r="K933" s="733"/>
      <c r="L933" s="733"/>
      <c r="M933" s="733"/>
    </row>
    <row r="934" spans="1:13" x14ac:dyDescent="0.3">
      <c r="A934" s="733" t="s">
        <v>1399</v>
      </c>
      <c r="B934" s="733" t="s">
        <v>612</v>
      </c>
      <c r="C934" s="733" t="s">
        <v>1400</v>
      </c>
      <c r="D934" s="733" t="s">
        <v>21</v>
      </c>
      <c r="E934" s="733" t="s">
        <v>614</v>
      </c>
      <c r="F934" s="733" t="s">
        <v>615</v>
      </c>
      <c r="G934" s="733"/>
      <c r="H934" s="733"/>
      <c r="I934" s="733"/>
      <c r="J934" s="733"/>
      <c r="K934" s="733"/>
      <c r="L934" s="733"/>
      <c r="M934" s="733"/>
    </row>
    <row r="935" spans="1:13" x14ac:dyDescent="0.3">
      <c r="A935" s="733" t="s">
        <v>1399</v>
      </c>
      <c r="B935" s="733" t="s">
        <v>612</v>
      </c>
      <c r="C935" s="733" t="s">
        <v>1401</v>
      </c>
      <c r="D935" s="733" t="s">
        <v>21</v>
      </c>
      <c r="E935" s="733" t="s">
        <v>614</v>
      </c>
      <c r="F935" s="733" t="s">
        <v>615</v>
      </c>
      <c r="G935" s="733"/>
      <c r="H935" s="733"/>
      <c r="I935" s="733"/>
      <c r="J935" s="733"/>
      <c r="K935" s="733"/>
      <c r="L935" s="733"/>
      <c r="M935" s="733"/>
    </row>
    <row r="936" spans="1:13" x14ac:dyDescent="0.3">
      <c r="A936" s="733" t="s">
        <v>1399</v>
      </c>
      <c r="B936" s="733" t="s">
        <v>612</v>
      </c>
      <c r="C936" s="733" t="s">
        <v>1402</v>
      </c>
      <c r="D936" s="733" t="s">
        <v>21</v>
      </c>
      <c r="E936" s="733" t="s">
        <v>614</v>
      </c>
      <c r="F936" s="733" t="s">
        <v>615</v>
      </c>
      <c r="G936" s="733"/>
      <c r="H936" s="733"/>
      <c r="I936" s="733"/>
      <c r="J936" s="733"/>
      <c r="K936" s="733"/>
      <c r="L936" s="733"/>
      <c r="M936" s="733"/>
    </row>
    <row r="937" spans="1:13" x14ac:dyDescent="0.3">
      <c r="A937" s="733" t="s">
        <v>1399</v>
      </c>
      <c r="B937" s="733" t="s">
        <v>612</v>
      </c>
      <c r="C937" s="733" t="s">
        <v>1403</v>
      </c>
      <c r="D937" s="733" t="s">
        <v>21</v>
      </c>
      <c r="E937" s="733" t="s">
        <v>614</v>
      </c>
      <c r="F937" s="733" t="s">
        <v>615</v>
      </c>
      <c r="G937" s="733"/>
      <c r="H937" s="733"/>
      <c r="I937" s="733"/>
      <c r="J937" s="733"/>
      <c r="K937" s="733"/>
      <c r="L937" s="733"/>
      <c r="M937" s="733"/>
    </row>
    <row r="938" spans="1:13" x14ac:dyDescent="0.3">
      <c r="A938" s="733" t="s">
        <v>1399</v>
      </c>
      <c r="B938" s="733" t="s">
        <v>612</v>
      </c>
      <c r="C938" s="733" t="s">
        <v>1404</v>
      </c>
      <c r="D938" s="733" t="s">
        <v>21</v>
      </c>
      <c r="E938" s="733" t="s">
        <v>614</v>
      </c>
      <c r="F938" s="733" t="s">
        <v>615</v>
      </c>
      <c r="G938" s="733"/>
      <c r="H938" s="733"/>
      <c r="I938" s="733"/>
      <c r="J938" s="733"/>
      <c r="K938" s="733"/>
      <c r="L938" s="733"/>
      <c r="M938" s="733"/>
    </row>
    <row r="939" spans="1:13" x14ac:dyDescent="0.3">
      <c r="A939" s="733" t="s">
        <v>1399</v>
      </c>
      <c r="B939" s="733" t="s">
        <v>612</v>
      </c>
      <c r="C939" s="733" t="s">
        <v>1405</v>
      </c>
      <c r="D939" s="733" t="s">
        <v>21</v>
      </c>
      <c r="E939" s="733" t="s">
        <v>614</v>
      </c>
      <c r="F939" s="733" t="s">
        <v>615</v>
      </c>
      <c r="G939" s="733"/>
      <c r="H939" s="733"/>
      <c r="I939" s="733"/>
      <c r="J939" s="733"/>
      <c r="K939" s="733"/>
      <c r="L939" s="733"/>
      <c r="M939" s="733"/>
    </row>
    <row r="940" spans="1:13" x14ac:dyDescent="0.3">
      <c r="A940" s="733" t="s">
        <v>1399</v>
      </c>
      <c r="B940" s="733" t="s">
        <v>612</v>
      </c>
      <c r="C940" s="733" t="s">
        <v>1406</v>
      </c>
      <c r="D940" s="733" t="s">
        <v>21</v>
      </c>
      <c r="E940" s="733" t="s">
        <v>614</v>
      </c>
      <c r="F940" s="733" t="s">
        <v>615</v>
      </c>
      <c r="G940" s="733"/>
      <c r="H940" s="733"/>
      <c r="I940" s="733"/>
      <c r="J940" s="733"/>
      <c r="K940" s="733"/>
      <c r="L940" s="733"/>
      <c r="M940" s="733"/>
    </row>
    <row r="941" spans="1:13" x14ac:dyDescent="0.3">
      <c r="A941" s="733" t="s">
        <v>1399</v>
      </c>
      <c r="B941" s="733" t="s">
        <v>612</v>
      </c>
      <c r="C941" s="733" t="s">
        <v>1407</v>
      </c>
      <c r="D941" s="733" t="s">
        <v>21</v>
      </c>
      <c r="E941" s="733" t="s">
        <v>614</v>
      </c>
      <c r="F941" s="733" t="s">
        <v>615</v>
      </c>
      <c r="G941" s="733"/>
      <c r="H941" s="733"/>
      <c r="I941" s="733"/>
      <c r="J941" s="733"/>
      <c r="K941" s="733"/>
      <c r="L941" s="733"/>
      <c r="M941" s="733"/>
    </row>
    <row r="942" spans="1:13" x14ac:dyDescent="0.3">
      <c r="A942" s="733" t="s">
        <v>1399</v>
      </c>
      <c r="B942" s="733" t="s">
        <v>612</v>
      </c>
      <c r="C942" s="733" t="s">
        <v>1316</v>
      </c>
      <c r="D942" s="733" t="s">
        <v>21</v>
      </c>
      <c r="E942" s="733" t="s">
        <v>614</v>
      </c>
      <c r="F942" s="733" t="s">
        <v>615</v>
      </c>
      <c r="G942" s="733"/>
      <c r="H942" s="733"/>
      <c r="I942" s="733"/>
      <c r="J942" s="733"/>
      <c r="K942" s="733"/>
      <c r="L942" s="733"/>
      <c r="M942" s="733"/>
    </row>
    <row r="943" spans="1:13" x14ac:dyDescent="0.3">
      <c r="A943" s="733" t="s">
        <v>1399</v>
      </c>
      <c r="B943" s="733" t="s">
        <v>612</v>
      </c>
      <c r="C943" s="733" t="s">
        <v>1408</v>
      </c>
      <c r="D943" s="733" t="s">
        <v>21</v>
      </c>
      <c r="E943" s="733" t="s">
        <v>614</v>
      </c>
      <c r="F943" s="733" t="s">
        <v>615</v>
      </c>
      <c r="G943" s="733"/>
      <c r="H943" s="733"/>
      <c r="I943" s="733"/>
      <c r="J943" s="733"/>
      <c r="K943" s="733"/>
      <c r="L943" s="733"/>
      <c r="M943" s="733"/>
    </row>
    <row r="944" spans="1:13" x14ac:dyDescent="0.3">
      <c r="A944" s="733" t="s">
        <v>1399</v>
      </c>
      <c r="B944" s="733" t="s">
        <v>612</v>
      </c>
      <c r="C944" s="733" t="s">
        <v>1409</v>
      </c>
      <c r="D944" s="733" t="s">
        <v>21</v>
      </c>
      <c r="E944" s="733" t="s">
        <v>614</v>
      </c>
      <c r="F944" s="733" t="s">
        <v>615</v>
      </c>
      <c r="G944" s="733"/>
      <c r="H944" s="733"/>
      <c r="I944" s="733"/>
      <c r="J944" s="733"/>
      <c r="K944" s="733"/>
      <c r="L944" s="733"/>
      <c r="M944" s="733"/>
    </row>
    <row r="945" spans="1:13" x14ac:dyDescent="0.3">
      <c r="A945" s="733" t="s">
        <v>1399</v>
      </c>
      <c r="B945" s="733" t="s">
        <v>612</v>
      </c>
      <c r="C945" s="733" t="s">
        <v>1410</v>
      </c>
      <c r="D945" s="733" t="s">
        <v>21</v>
      </c>
      <c r="E945" s="733" t="s">
        <v>614</v>
      </c>
      <c r="F945" s="733" t="s">
        <v>615</v>
      </c>
      <c r="G945" s="733"/>
      <c r="H945" s="733"/>
      <c r="I945" s="733"/>
      <c r="J945" s="733"/>
      <c r="K945" s="733"/>
      <c r="L945" s="733"/>
      <c r="M945" s="733"/>
    </row>
    <row r="946" spans="1:13" x14ac:dyDescent="0.3">
      <c r="A946" s="733" t="s">
        <v>1399</v>
      </c>
      <c r="B946" s="733" t="s">
        <v>612</v>
      </c>
      <c r="C946" s="733" t="s">
        <v>1411</v>
      </c>
      <c r="D946" s="733" t="s">
        <v>21</v>
      </c>
      <c r="E946" s="733" t="s">
        <v>614</v>
      </c>
      <c r="F946" s="733" t="s">
        <v>615</v>
      </c>
      <c r="G946" s="733"/>
      <c r="H946" s="733"/>
      <c r="I946" s="733"/>
      <c r="J946" s="733"/>
      <c r="K946" s="733"/>
      <c r="L946" s="733"/>
      <c r="M946" s="733"/>
    </row>
    <row r="947" spans="1:13" x14ac:dyDescent="0.3">
      <c r="A947" s="733" t="s">
        <v>1412</v>
      </c>
      <c r="B947" s="733" t="s">
        <v>612</v>
      </c>
      <c r="C947" s="733" t="s">
        <v>1366</v>
      </c>
      <c r="D947" s="733" t="s">
        <v>21</v>
      </c>
      <c r="E947" s="733" t="s">
        <v>614</v>
      </c>
      <c r="F947" s="733" t="s">
        <v>615</v>
      </c>
      <c r="G947" s="733"/>
      <c r="H947" s="733"/>
      <c r="I947" s="733"/>
      <c r="J947" s="733"/>
      <c r="K947" s="733"/>
      <c r="L947" s="733"/>
      <c r="M947" s="733"/>
    </row>
    <row r="948" spans="1:13" x14ac:dyDescent="0.3">
      <c r="A948" s="733" t="s">
        <v>1412</v>
      </c>
      <c r="B948" s="733" t="s">
        <v>612</v>
      </c>
      <c r="C948" s="733" t="s">
        <v>1367</v>
      </c>
      <c r="D948" s="733" t="s">
        <v>21</v>
      </c>
      <c r="E948" s="733" t="s">
        <v>614</v>
      </c>
      <c r="F948" s="733" t="s">
        <v>615</v>
      </c>
      <c r="G948" s="733"/>
      <c r="H948" s="733"/>
      <c r="I948" s="733"/>
      <c r="J948" s="733"/>
      <c r="K948" s="733"/>
      <c r="L948" s="733"/>
      <c r="M948" s="733"/>
    </row>
    <row r="949" spans="1:13" x14ac:dyDescent="0.3">
      <c r="A949" s="733" t="s">
        <v>1412</v>
      </c>
      <c r="B949" s="733" t="s">
        <v>612</v>
      </c>
      <c r="C949" s="733" t="s">
        <v>1368</v>
      </c>
      <c r="D949" s="733" t="s">
        <v>21</v>
      </c>
      <c r="E949" s="733" t="s">
        <v>614</v>
      </c>
      <c r="F949" s="733" t="s">
        <v>615</v>
      </c>
      <c r="G949" s="733"/>
      <c r="H949" s="733"/>
      <c r="I949" s="733"/>
      <c r="J949" s="733"/>
      <c r="K949" s="733"/>
      <c r="L949" s="733"/>
      <c r="M949" s="733"/>
    </row>
    <row r="950" spans="1:13" x14ac:dyDescent="0.3">
      <c r="A950" s="733" t="s">
        <v>1412</v>
      </c>
      <c r="B950" s="733" t="s">
        <v>645</v>
      </c>
      <c r="C950" s="733" t="s">
        <v>1383</v>
      </c>
      <c r="D950" s="733" t="s">
        <v>21</v>
      </c>
      <c r="E950" s="733" t="s">
        <v>614</v>
      </c>
      <c r="F950" s="733" t="s">
        <v>615</v>
      </c>
      <c r="G950" s="733"/>
      <c r="H950" s="733"/>
      <c r="I950" s="733"/>
      <c r="J950" s="733"/>
      <c r="K950" s="733"/>
      <c r="L950" s="733"/>
      <c r="M950" s="733"/>
    </row>
    <row r="951" spans="1:13" x14ac:dyDescent="0.3">
      <c r="A951" s="733" t="s">
        <v>1412</v>
      </c>
      <c r="B951" s="733" t="s">
        <v>645</v>
      </c>
      <c r="C951" s="733" t="s">
        <v>1386</v>
      </c>
      <c r="D951" s="733" t="s">
        <v>21</v>
      </c>
      <c r="E951" s="733" t="s">
        <v>614</v>
      </c>
      <c r="F951" s="733" t="s">
        <v>615</v>
      </c>
      <c r="G951" s="733"/>
      <c r="H951" s="733"/>
      <c r="I951" s="733"/>
      <c r="J951" s="733"/>
      <c r="K951" s="733"/>
      <c r="L951" s="733"/>
      <c r="M951" s="733"/>
    </row>
    <row r="952" spans="1:13" x14ac:dyDescent="0.3">
      <c r="A952" s="733" t="s">
        <v>1412</v>
      </c>
      <c r="B952" s="733" t="s">
        <v>664</v>
      </c>
      <c r="C952" s="733" t="s">
        <v>1392</v>
      </c>
      <c r="D952" s="733" t="s">
        <v>21</v>
      </c>
      <c r="E952" s="733" t="s">
        <v>614</v>
      </c>
      <c r="F952" s="733" t="s">
        <v>615</v>
      </c>
      <c r="G952" s="733"/>
      <c r="H952" s="733"/>
      <c r="I952" s="733"/>
      <c r="J952" s="733"/>
      <c r="K952" s="733"/>
      <c r="L952" s="733"/>
      <c r="M952" s="733"/>
    </row>
    <row r="953" spans="1:13" x14ac:dyDescent="0.3">
      <c r="A953" s="733" t="s">
        <v>1413</v>
      </c>
      <c r="B953" s="733" t="s">
        <v>612</v>
      </c>
      <c r="C953" s="733" t="s">
        <v>1414</v>
      </c>
      <c r="D953" s="733" t="s">
        <v>21</v>
      </c>
      <c r="E953" s="733" t="s">
        <v>614</v>
      </c>
      <c r="F953" s="733" t="s">
        <v>615</v>
      </c>
      <c r="G953" s="733"/>
      <c r="H953" s="733"/>
      <c r="I953" s="733"/>
      <c r="J953" s="733"/>
      <c r="K953" s="733"/>
      <c r="L953" s="733"/>
      <c r="M953" s="733"/>
    </row>
    <row r="954" spans="1:13" x14ac:dyDescent="0.3">
      <c r="A954" s="733" t="s">
        <v>1413</v>
      </c>
      <c r="B954" s="733" t="s">
        <v>645</v>
      </c>
      <c r="C954" s="733" t="s">
        <v>1376</v>
      </c>
      <c r="D954" s="733" t="s">
        <v>21</v>
      </c>
      <c r="E954" s="733" t="s">
        <v>614</v>
      </c>
      <c r="F954" s="733" t="s">
        <v>615</v>
      </c>
      <c r="G954" s="733"/>
      <c r="H954" s="733"/>
      <c r="I954" s="733"/>
      <c r="J954" s="733"/>
      <c r="K954" s="733"/>
      <c r="L954" s="733"/>
      <c r="M954" s="733"/>
    </row>
    <row r="955" spans="1:13" x14ac:dyDescent="0.3">
      <c r="A955" s="733" t="s">
        <v>1413</v>
      </c>
      <c r="B955" s="733" t="s">
        <v>645</v>
      </c>
      <c r="C955" s="733" t="s">
        <v>1378</v>
      </c>
      <c r="D955" s="733" t="s">
        <v>21</v>
      </c>
      <c r="E955" s="733" t="s">
        <v>614</v>
      </c>
      <c r="F955" s="733" t="s">
        <v>615</v>
      </c>
      <c r="G955" s="733"/>
      <c r="H955" s="733"/>
      <c r="I955" s="733"/>
      <c r="J955" s="733"/>
      <c r="K955" s="733"/>
      <c r="L955" s="733"/>
      <c r="M955" s="733"/>
    </row>
    <row r="956" spans="1:13" x14ac:dyDescent="0.3">
      <c r="A956" s="733" t="s">
        <v>1413</v>
      </c>
      <c r="B956" s="733" t="s">
        <v>645</v>
      </c>
      <c r="C956" s="733" t="s">
        <v>1384</v>
      </c>
      <c r="D956" s="733" t="s">
        <v>21</v>
      </c>
      <c r="E956" s="733" t="s">
        <v>614</v>
      </c>
      <c r="F956" s="733" t="s">
        <v>615</v>
      </c>
      <c r="G956" s="733"/>
      <c r="H956" s="733"/>
      <c r="I956" s="733"/>
      <c r="J956" s="733"/>
      <c r="K956" s="733"/>
      <c r="L956" s="733"/>
      <c r="M956" s="733"/>
    </row>
    <row r="957" spans="1:13" x14ac:dyDescent="0.3">
      <c r="A957" s="733" t="s">
        <v>1413</v>
      </c>
      <c r="B957" s="733" t="s">
        <v>664</v>
      </c>
      <c r="C957" s="733" t="s">
        <v>1415</v>
      </c>
      <c r="D957" s="733" t="s">
        <v>21</v>
      </c>
      <c r="E957" s="733" t="s">
        <v>614</v>
      </c>
      <c r="F957" s="733" t="s">
        <v>615</v>
      </c>
      <c r="G957" s="733"/>
      <c r="H957" s="733"/>
      <c r="I957" s="733"/>
      <c r="J957" s="733"/>
      <c r="K957" s="733"/>
      <c r="L957" s="733"/>
      <c r="M957" s="733"/>
    </row>
    <row r="958" spans="1:13" x14ac:dyDescent="0.3">
      <c r="A958" s="733" t="s">
        <v>1413</v>
      </c>
      <c r="B958" s="733" t="s">
        <v>664</v>
      </c>
      <c r="C958" s="733" t="s">
        <v>897</v>
      </c>
      <c r="D958" s="733" t="s">
        <v>21</v>
      </c>
      <c r="E958" s="733" t="s">
        <v>614</v>
      </c>
      <c r="F958" s="733" t="s">
        <v>615</v>
      </c>
      <c r="G958" s="733"/>
      <c r="H958" s="733"/>
      <c r="I958" s="733"/>
      <c r="J958" s="733"/>
      <c r="K958" s="733"/>
      <c r="L958" s="733"/>
      <c r="M958" s="733"/>
    </row>
    <row r="959" spans="1:13" x14ac:dyDescent="0.3">
      <c r="A959" s="733" t="s">
        <v>1413</v>
      </c>
      <c r="B959" s="733" t="s">
        <v>664</v>
      </c>
      <c r="C959" s="733" t="s">
        <v>1393</v>
      </c>
      <c r="D959" s="733" t="s">
        <v>21</v>
      </c>
      <c r="E959" s="733" t="s">
        <v>614</v>
      </c>
      <c r="F959" s="733" t="s">
        <v>615</v>
      </c>
      <c r="G959" s="733"/>
      <c r="H959" s="733"/>
      <c r="I959" s="733"/>
      <c r="J959" s="733"/>
      <c r="K959" s="733"/>
      <c r="L959" s="733"/>
      <c r="M959" s="733"/>
    </row>
    <row r="960" spans="1:13" x14ac:dyDescent="0.3">
      <c r="A960" s="733" t="s">
        <v>1413</v>
      </c>
      <c r="B960" s="733" t="s">
        <v>664</v>
      </c>
      <c r="C960" s="733" t="s">
        <v>900</v>
      </c>
      <c r="D960" s="733" t="s">
        <v>21</v>
      </c>
      <c r="E960" s="733" t="s">
        <v>614</v>
      </c>
      <c r="F960" s="733" t="s">
        <v>615</v>
      </c>
      <c r="G960" s="733"/>
      <c r="H960" s="733"/>
      <c r="I960" s="733"/>
      <c r="J960" s="733"/>
      <c r="K960" s="733"/>
      <c r="L960" s="733"/>
      <c r="M960" s="733"/>
    </row>
    <row r="961" spans="1:13" x14ac:dyDescent="0.3">
      <c r="A961" s="733" t="s">
        <v>1416</v>
      </c>
      <c r="B961" s="733" t="s">
        <v>612</v>
      </c>
      <c r="C961" s="733" t="s">
        <v>1417</v>
      </c>
      <c r="D961" s="733" t="s">
        <v>21</v>
      </c>
      <c r="E961" s="733" t="s">
        <v>614</v>
      </c>
      <c r="F961" s="733" t="s">
        <v>615</v>
      </c>
      <c r="G961" s="733"/>
      <c r="H961" s="733"/>
      <c r="I961" s="733"/>
      <c r="J961" s="733"/>
      <c r="K961" s="733"/>
      <c r="L961" s="733"/>
      <c r="M961" s="733"/>
    </row>
    <row r="962" spans="1:13" x14ac:dyDescent="0.3">
      <c r="A962" s="733" t="s">
        <v>1416</v>
      </c>
      <c r="B962" s="733" t="s">
        <v>612</v>
      </c>
      <c r="C962" s="733" t="s">
        <v>1418</v>
      </c>
      <c r="D962" s="733" t="s">
        <v>21</v>
      </c>
      <c r="E962" s="733" t="s">
        <v>614</v>
      </c>
      <c r="F962" s="733" t="s">
        <v>615</v>
      </c>
      <c r="G962" s="733"/>
      <c r="H962" s="733"/>
      <c r="I962" s="733"/>
      <c r="J962" s="733"/>
      <c r="K962" s="733"/>
      <c r="L962" s="733"/>
      <c r="M962" s="733"/>
    </row>
    <row r="963" spans="1:13" x14ac:dyDescent="0.3">
      <c r="A963" s="733" t="s">
        <v>1416</v>
      </c>
      <c r="B963" s="733" t="s">
        <v>612</v>
      </c>
      <c r="C963" s="733" t="s">
        <v>1419</v>
      </c>
      <c r="D963" s="733" t="s">
        <v>21</v>
      </c>
      <c r="E963" s="733" t="s">
        <v>614</v>
      </c>
      <c r="F963" s="733" t="s">
        <v>615</v>
      </c>
      <c r="G963" s="733"/>
      <c r="H963" s="733"/>
      <c r="I963" s="733"/>
      <c r="J963" s="733"/>
      <c r="K963" s="733"/>
      <c r="L963" s="733"/>
      <c r="M963" s="733"/>
    </row>
    <row r="964" spans="1:13" x14ac:dyDescent="0.3">
      <c r="A964" s="733" t="s">
        <v>1416</v>
      </c>
      <c r="B964" s="733" t="s">
        <v>612</v>
      </c>
      <c r="C964" s="733" t="s">
        <v>1420</v>
      </c>
      <c r="D964" s="733" t="s">
        <v>21</v>
      </c>
      <c r="E964" s="733" t="s">
        <v>614</v>
      </c>
      <c r="F964" s="733" t="s">
        <v>615</v>
      </c>
      <c r="G964" s="733"/>
      <c r="H964" s="733"/>
      <c r="I964" s="733"/>
      <c r="J964" s="733"/>
      <c r="K964" s="733"/>
      <c r="L964" s="733"/>
      <c r="M964" s="733"/>
    </row>
    <row r="965" spans="1:13" x14ac:dyDescent="0.3">
      <c r="A965" s="733" t="s">
        <v>1416</v>
      </c>
      <c r="B965" s="733" t="s">
        <v>612</v>
      </c>
      <c r="C965" s="733" t="s">
        <v>1421</v>
      </c>
      <c r="D965" s="733" t="s">
        <v>21</v>
      </c>
      <c r="E965" s="733" t="s">
        <v>614</v>
      </c>
      <c r="F965" s="733" t="s">
        <v>615</v>
      </c>
      <c r="G965" s="733"/>
      <c r="H965" s="733"/>
      <c r="I965" s="733"/>
      <c r="J965" s="733"/>
      <c r="K965" s="733"/>
      <c r="L965" s="733"/>
      <c r="M965" s="733"/>
    </row>
    <row r="966" spans="1:13" x14ac:dyDescent="0.3">
      <c r="A966" s="733" t="s">
        <v>1416</v>
      </c>
      <c r="B966" s="733" t="s">
        <v>612</v>
      </c>
      <c r="C966" s="733" t="s">
        <v>1422</v>
      </c>
      <c r="D966" s="733" t="s">
        <v>21</v>
      </c>
      <c r="E966" s="733" t="s">
        <v>614</v>
      </c>
      <c r="F966" s="733" t="s">
        <v>615</v>
      </c>
      <c r="G966" s="733"/>
      <c r="H966" s="733"/>
      <c r="I966" s="733"/>
      <c r="J966" s="733"/>
      <c r="K966" s="733"/>
      <c r="L966" s="733"/>
      <c r="M966" s="733"/>
    </row>
    <row r="967" spans="1:13" x14ac:dyDescent="0.3">
      <c r="A967" s="733" t="s">
        <v>1416</v>
      </c>
      <c r="B967" s="733" t="s">
        <v>612</v>
      </c>
      <c r="C967" s="733" t="s">
        <v>1423</v>
      </c>
      <c r="D967" s="733" t="s">
        <v>21</v>
      </c>
      <c r="E967" s="733" t="s">
        <v>614</v>
      </c>
      <c r="F967" s="733" t="s">
        <v>615</v>
      </c>
      <c r="G967" s="733"/>
      <c r="H967" s="733"/>
      <c r="I967" s="733"/>
      <c r="J967" s="733"/>
      <c r="K967" s="733"/>
      <c r="L967" s="733"/>
      <c r="M967" s="733"/>
    </row>
    <row r="968" spans="1:13" x14ac:dyDescent="0.3">
      <c r="A968" s="733" t="s">
        <v>1416</v>
      </c>
      <c r="B968" s="733" t="s">
        <v>645</v>
      </c>
      <c r="C968" s="733" t="s">
        <v>1424</v>
      </c>
      <c r="D968" s="733" t="s">
        <v>21</v>
      </c>
      <c r="E968" s="733" t="s">
        <v>614</v>
      </c>
      <c r="F968" s="733" t="s">
        <v>615</v>
      </c>
      <c r="G968" s="733"/>
      <c r="H968" s="733"/>
      <c r="I968" s="733"/>
      <c r="J968" s="733"/>
      <c r="K968" s="733"/>
      <c r="L968" s="733"/>
      <c r="M968" s="733"/>
    </row>
    <row r="969" spans="1:13" x14ac:dyDescent="0.3">
      <c r="A969" s="733" t="s">
        <v>1416</v>
      </c>
      <c r="B969" s="733" t="s">
        <v>645</v>
      </c>
      <c r="C969" s="733" t="s">
        <v>1425</v>
      </c>
      <c r="D969" s="733" t="s">
        <v>21</v>
      </c>
      <c r="E969" s="733" t="s">
        <v>614</v>
      </c>
      <c r="F969" s="733" t="s">
        <v>615</v>
      </c>
      <c r="G969" s="733"/>
      <c r="H969" s="733"/>
      <c r="I969" s="733"/>
      <c r="J969" s="733"/>
      <c r="K969" s="733"/>
      <c r="L969" s="733"/>
      <c r="M969" s="733"/>
    </row>
    <row r="970" spans="1:13" x14ac:dyDescent="0.3">
      <c r="A970" s="733" t="s">
        <v>1416</v>
      </c>
      <c r="B970" s="733" t="s">
        <v>645</v>
      </c>
      <c r="C970" s="733" t="s">
        <v>1426</v>
      </c>
      <c r="D970" s="733" t="s">
        <v>21</v>
      </c>
      <c r="E970" s="733" t="s">
        <v>614</v>
      </c>
      <c r="F970" s="733" t="s">
        <v>615</v>
      </c>
      <c r="G970" s="733"/>
      <c r="H970" s="733"/>
      <c r="I970" s="733"/>
      <c r="J970" s="733"/>
      <c r="K970" s="733"/>
      <c r="L970" s="733"/>
      <c r="M970" s="733"/>
    </row>
    <row r="971" spans="1:13" x14ac:dyDescent="0.3">
      <c r="A971" s="733" t="s">
        <v>1416</v>
      </c>
      <c r="B971" s="733" t="s">
        <v>645</v>
      </c>
      <c r="C971" s="733" t="s">
        <v>1427</v>
      </c>
      <c r="D971" s="733" t="s">
        <v>21</v>
      </c>
      <c r="E971" s="733" t="s">
        <v>614</v>
      </c>
      <c r="F971" s="733" t="s">
        <v>615</v>
      </c>
      <c r="G971" s="733"/>
      <c r="H971" s="733"/>
      <c r="I971" s="733"/>
      <c r="J971" s="733"/>
      <c r="K971" s="733"/>
      <c r="L971" s="733"/>
      <c r="M971" s="733"/>
    </row>
    <row r="972" spans="1:13" x14ac:dyDescent="0.3">
      <c r="A972" s="733" t="s">
        <v>1416</v>
      </c>
      <c r="B972" s="733" t="s">
        <v>664</v>
      </c>
      <c r="C972" s="733" t="s">
        <v>1428</v>
      </c>
      <c r="D972" s="733" t="s">
        <v>21</v>
      </c>
      <c r="E972" s="733" t="s">
        <v>614</v>
      </c>
      <c r="F972" s="733" t="s">
        <v>615</v>
      </c>
      <c r="G972" s="733"/>
      <c r="H972" s="733"/>
      <c r="I972" s="733"/>
      <c r="J972" s="733"/>
      <c r="K972" s="733"/>
      <c r="L972" s="733"/>
      <c r="M972" s="733"/>
    </row>
    <row r="973" spans="1:13" x14ac:dyDescent="0.3">
      <c r="A973" s="733" t="s">
        <v>1416</v>
      </c>
      <c r="B973" s="733" t="s">
        <v>664</v>
      </c>
      <c r="C973" s="733" t="s">
        <v>1429</v>
      </c>
      <c r="D973" s="733" t="s">
        <v>21</v>
      </c>
      <c r="E973" s="733" t="s">
        <v>614</v>
      </c>
      <c r="F973" s="733" t="s">
        <v>615</v>
      </c>
      <c r="G973" s="733"/>
      <c r="H973" s="733"/>
      <c r="I973" s="733"/>
      <c r="J973" s="733"/>
      <c r="K973" s="733"/>
      <c r="L973" s="733"/>
      <c r="M973" s="733"/>
    </row>
    <row r="974" spans="1:13" x14ac:dyDescent="0.3">
      <c r="A974" s="733" t="s">
        <v>1430</v>
      </c>
      <c r="B974" s="733" t="s">
        <v>612</v>
      </c>
      <c r="C974" s="733" t="s">
        <v>1431</v>
      </c>
      <c r="D974" s="733" t="s">
        <v>21</v>
      </c>
      <c r="E974" s="733" t="s">
        <v>614</v>
      </c>
      <c r="F974" s="733" t="s">
        <v>615</v>
      </c>
      <c r="G974" s="733"/>
      <c r="H974" s="733"/>
      <c r="I974" s="733"/>
      <c r="J974" s="733"/>
      <c r="K974" s="733"/>
      <c r="L974" s="733"/>
      <c r="M974" s="733"/>
    </row>
    <row r="975" spans="1:13" x14ac:dyDescent="0.3">
      <c r="A975" s="733" t="s">
        <v>1430</v>
      </c>
      <c r="B975" s="733" t="s">
        <v>612</v>
      </c>
      <c r="C975" s="733" t="s">
        <v>1432</v>
      </c>
      <c r="D975" s="733" t="s">
        <v>21</v>
      </c>
      <c r="E975" s="733" t="s">
        <v>614</v>
      </c>
      <c r="F975" s="733" t="s">
        <v>615</v>
      </c>
      <c r="G975" s="733"/>
      <c r="H975" s="733"/>
      <c r="I975" s="733"/>
      <c r="J975" s="733"/>
      <c r="K975" s="733"/>
      <c r="L975" s="733"/>
      <c r="M975" s="733"/>
    </row>
    <row r="976" spans="1:13" x14ac:dyDescent="0.3">
      <c r="A976" s="733" t="s">
        <v>1430</v>
      </c>
      <c r="B976" s="733" t="s">
        <v>612</v>
      </c>
      <c r="C976" s="733" t="s">
        <v>1433</v>
      </c>
      <c r="D976" s="733" t="s">
        <v>21</v>
      </c>
      <c r="E976" s="733" t="s">
        <v>614</v>
      </c>
      <c r="F976" s="733" t="s">
        <v>615</v>
      </c>
      <c r="G976" s="733"/>
      <c r="H976" s="733"/>
      <c r="I976" s="733"/>
      <c r="J976" s="733"/>
      <c r="K976" s="733"/>
      <c r="L976" s="733"/>
      <c r="M976" s="733"/>
    </row>
    <row r="977" spans="1:13" x14ac:dyDescent="0.3">
      <c r="A977" s="733" t="s">
        <v>1430</v>
      </c>
      <c r="B977" s="733" t="s">
        <v>612</v>
      </c>
      <c r="C977" s="733" t="s">
        <v>1434</v>
      </c>
      <c r="D977" s="733" t="s">
        <v>21</v>
      </c>
      <c r="E977" s="733" t="s">
        <v>614</v>
      </c>
      <c r="F977" s="733" t="s">
        <v>615</v>
      </c>
      <c r="G977" s="733"/>
      <c r="H977" s="733"/>
      <c r="I977" s="733"/>
      <c r="J977" s="733"/>
      <c r="K977" s="733"/>
      <c r="L977" s="733"/>
      <c r="M977" s="733"/>
    </row>
    <row r="978" spans="1:13" x14ac:dyDescent="0.3">
      <c r="A978" s="733" t="s">
        <v>1430</v>
      </c>
      <c r="B978" s="733" t="s">
        <v>612</v>
      </c>
      <c r="C978" s="733" t="s">
        <v>1435</v>
      </c>
      <c r="D978" s="733" t="s">
        <v>21</v>
      </c>
      <c r="E978" s="733" t="s">
        <v>614</v>
      </c>
      <c r="F978" s="733" t="s">
        <v>615</v>
      </c>
      <c r="G978" s="733"/>
      <c r="H978" s="733"/>
      <c r="I978" s="733"/>
      <c r="J978" s="733"/>
      <c r="K978" s="733"/>
      <c r="L978" s="733"/>
      <c r="M978" s="733"/>
    </row>
    <row r="979" spans="1:13" x14ac:dyDescent="0.3">
      <c r="A979" s="733" t="s">
        <v>1430</v>
      </c>
      <c r="B979" s="733" t="s">
        <v>612</v>
      </c>
      <c r="C979" s="733" t="s">
        <v>1436</v>
      </c>
      <c r="D979" s="733" t="s">
        <v>21</v>
      </c>
      <c r="E979" s="733" t="s">
        <v>614</v>
      </c>
      <c r="F979" s="733" t="s">
        <v>615</v>
      </c>
      <c r="G979" s="733"/>
      <c r="H979" s="733"/>
      <c r="I979" s="733"/>
      <c r="J979" s="733"/>
      <c r="K979" s="733"/>
      <c r="L979" s="733"/>
      <c r="M979" s="733"/>
    </row>
    <row r="980" spans="1:13" x14ac:dyDescent="0.3">
      <c r="A980" s="734" t="s">
        <v>1430</v>
      </c>
      <c r="B980" s="734" t="s">
        <v>612</v>
      </c>
      <c r="C980" s="734" t="s">
        <v>1437</v>
      </c>
      <c r="D980" s="734" t="s">
        <v>21</v>
      </c>
      <c r="E980" s="734" t="s">
        <v>614</v>
      </c>
      <c r="F980" s="734" t="s">
        <v>696</v>
      </c>
      <c r="G980" s="733"/>
      <c r="H980" s="733"/>
      <c r="I980" s="733"/>
      <c r="J980" s="733"/>
      <c r="K980" s="733"/>
      <c r="L980" s="733"/>
      <c r="M980" s="733"/>
    </row>
    <row r="981" spans="1:13" x14ac:dyDescent="0.3">
      <c r="A981" s="733" t="s">
        <v>1430</v>
      </c>
      <c r="B981" s="733" t="s">
        <v>612</v>
      </c>
      <c r="C981" s="733" t="s">
        <v>1438</v>
      </c>
      <c r="D981" s="733" t="s">
        <v>21</v>
      </c>
      <c r="E981" s="733" t="s">
        <v>614</v>
      </c>
      <c r="F981" s="733" t="s">
        <v>615</v>
      </c>
      <c r="G981" s="733"/>
      <c r="H981" s="733"/>
      <c r="I981" s="733"/>
      <c r="J981" s="733"/>
      <c r="K981" s="733"/>
      <c r="L981" s="733"/>
      <c r="M981" s="733"/>
    </row>
    <row r="982" spans="1:13" x14ac:dyDescent="0.3">
      <c r="A982" s="733" t="s">
        <v>1430</v>
      </c>
      <c r="B982" s="733" t="s">
        <v>612</v>
      </c>
      <c r="C982" s="733" t="s">
        <v>1439</v>
      </c>
      <c r="D982" s="733" t="s">
        <v>21</v>
      </c>
      <c r="E982" s="733" t="s">
        <v>614</v>
      </c>
      <c r="F982" s="733" t="s">
        <v>615</v>
      </c>
      <c r="G982" s="733"/>
      <c r="H982" s="733"/>
      <c r="I982" s="733"/>
      <c r="J982" s="733"/>
      <c r="K982" s="733"/>
      <c r="L982" s="733"/>
      <c r="M982" s="733"/>
    </row>
    <row r="983" spans="1:13" x14ac:dyDescent="0.3">
      <c r="A983" s="733" t="s">
        <v>1430</v>
      </c>
      <c r="B983" s="733" t="s">
        <v>612</v>
      </c>
      <c r="C983" s="733" t="s">
        <v>1440</v>
      </c>
      <c r="D983" s="733" t="s">
        <v>21</v>
      </c>
      <c r="E983" s="733" t="s">
        <v>614</v>
      </c>
      <c r="F983" s="733" t="s">
        <v>615</v>
      </c>
      <c r="G983" s="733"/>
      <c r="H983" s="733"/>
      <c r="I983" s="733"/>
      <c r="J983" s="733"/>
      <c r="K983" s="733"/>
      <c r="L983" s="733"/>
      <c r="M983" s="733"/>
    </row>
    <row r="984" spans="1:13" x14ac:dyDescent="0.3">
      <c r="A984" s="733" t="s">
        <v>1430</v>
      </c>
      <c r="B984" s="733" t="s">
        <v>612</v>
      </c>
      <c r="C984" s="733" t="s">
        <v>1441</v>
      </c>
      <c r="D984" s="733" t="s">
        <v>21</v>
      </c>
      <c r="E984" s="733" t="s">
        <v>614</v>
      </c>
      <c r="F984" s="733" t="s">
        <v>615</v>
      </c>
      <c r="G984" s="733"/>
      <c r="H984" s="733"/>
      <c r="I984" s="733"/>
      <c r="J984" s="733"/>
      <c r="K984" s="733"/>
      <c r="L984" s="733"/>
      <c r="M984" s="733"/>
    </row>
    <row r="985" spans="1:13" x14ac:dyDescent="0.3">
      <c r="A985" s="733" t="s">
        <v>1430</v>
      </c>
      <c r="B985" s="733" t="s">
        <v>612</v>
      </c>
      <c r="C985" s="733" t="s">
        <v>1400</v>
      </c>
      <c r="D985" s="733" t="s">
        <v>21</v>
      </c>
      <c r="E985" s="733" t="s">
        <v>614</v>
      </c>
      <c r="F985" s="733" t="s">
        <v>615</v>
      </c>
      <c r="G985" s="733"/>
      <c r="H985" s="733"/>
      <c r="I985" s="733"/>
      <c r="J985" s="733"/>
      <c r="K985" s="733"/>
      <c r="L985" s="733"/>
      <c r="M985" s="733"/>
    </row>
    <row r="986" spans="1:13" x14ac:dyDescent="0.3">
      <c r="A986" s="733" t="s">
        <v>1430</v>
      </c>
      <c r="B986" s="733" t="s">
        <v>612</v>
      </c>
      <c r="C986" s="733" t="s">
        <v>1442</v>
      </c>
      <c r="D986" s="733" t="s">
        <v>21</v>
      </c>
      <c r="E986" s="733" t="s">
        <v>614</v>
      </c>
      <c r="F986" s="733" t="s">
        <v>615</v>
      </c>
      <c r="G986" s="733"/>
      <c r="H986" s="733"/>
      <c r="I986" s="733"/>
      <c r="J986" s="733"/>
      <c r="K986" s="733"/>
      <c r="L986" s="733"/>
      <c r="M986" s="733"/>
    </row>
    <row r="987" spans="1:13" x14ac:dyDescent="0.3">
      <c r="A987" s="733" t="s">
        <v>1430</v>
      </c>
      <c r="B987" s="733" t="s">
        <v>612</v>
      </c>
      <c r="C987" s="733" t="s">
        <v>1443</v>
      </c>
      <c r="D987" s="733" t="s">
        <v>21</v>
      </c>
      <c r="E987" s="733" t="s">
        <v>614</v>
      </c>
      <c r="F987" s="733" t="s">
        <v>615</v>
      </c>
      <c r="G987" s="733"/>
      <c r="H987" s="733"/>
      <c r="I987" s="733"/>
      <c r="J987" s="733"/>
      <c r="K987" s="733"/>
      <c r="L987" s="733"/>
      <c r="M987" s="733"/>
    </row>
    <row r="988" spans="1:13" x14ac:dyDescent="0.3">
      <c r="A988" s="733" t="s">
        <v>1430</v>
      </c>
      <c r="B988" s="733" t="s">
        <v>612</v>
      </c>
      <c r="C988" s="733" t="s">
        <v>1444</v>
      </c>
      <c r="D988" s="733" t="s">
        <v>21</v>
      </c>
      <c r="E988" s="733" t="s">
        <v>614</v>
      </c>
      <c r="F988" s="733" t="s">
        <v>615</v>
      </c>
      <c r="G988" s="733"/>
      <c r="H988" s="733"/>
      <c r="I988" s="733"/>
      <c r="J988" s="733"/>
      <c r="K988" s="733"/>
      <c r="L988" s="733"/>
      <c r="M988" s="733"/>
    </row>
    <row r="989" spans="1:13" x14ac:dyDescent="0.3">
      <c r="A989" s="733" t="s">
        <v>1430</v>
      </c>
      <c r="B989" s="733" t="s">
        <v>612</v>
      </c>
      <c r="C989" s="733" t="s">
        <v>1445</v>
      </c>
      <c r="D989" s="733" t="s">
        <v>21</v>
      </c>
      <c r="E989" s="733" t="s">
        <v>614</v>
      </c>
      <c r="F989" s="733" t="s">
        <v>615</v>
      </c>
      <c r="G989" s="733"/>
      <c r="H989" s="733"/>
      <c r="I989" s="733"/>
      <c r="J989" s="733"/>
      <c r="K989" s="733"/>
      <c r="L989" s="733"/>
      <c r="M989" s="733"/>
    </row>
    <row r="990" spans="1:13" x14ac:dyDescent="0.3">
      <c r="A990" s="733" t="s">
        <v>1430</v>
      </c>
      <c r="B990" s="733" t="s">
        <v>612</v>
      </c>
      <c r="C990" s="733" t="s">
        <v>1446</v>
      </c>
      <c r="D990" s="733" t="s">
        <v>21</v>
      </c>
      <c r="E990" s="733" t="s">
        <v>614</v>
      </c>
      <c r="F990" s="733" t="s">
        <v>615</v>
      </c>
      <c r="G990" s="733"/>
      <c r="H990" s="733"/>
      <c r="I990" s="733"/>
      <c r="J990" s="733"/>
      <c r="K990" s="733"/>
      <c r="L990" s="733"/>
      <c r="M990" s="733"/>
    </row>
    <row r="991" spans="1:13" x14ac:dyDescent="0.3">
      <c r="A991" s="733" t="s">
        <v>1430</v>
      </c>
      <c r="B991" s="733" t="s">
        <v>612</v>
      </c>
      <c r="C991" s="733" t="s">
        <v>1447</v>
      </c>
      <c r="D991" s="733" t="s">
        <v>21</v>
      </c>
      <c r="E991" s="733" t="s">
        <v>614</v>
      </c>
      <c r="F991" s="733" t="s">
        <v>615</v>
      </c>
      <c r="G991" s="733"/>
      <c r="H991" s="733"/>
      <c r="I991" s="733"/>
      <c r="J991" s="733"/>
      <c r="K991" s="733"/>
      <c r="L991" s="733"/>
      <c r="M991" s="733"/>
    </row>
    <row r="992" spans="1:13" x14ac:dyDescent="0.3">
      <c r="A992" s="733" t="s">
        <v>1430</v>
      </c>
      <c r="B992" s="733" t="s">
        <v>612</v>
      </c>
      <c r="C992" s="733" t="s">
        <v>1448</v>
      </c>
      <c r="D992" s="733" t="s">
        <v>21</v>
      </c>
      <c r="E992" s="733" t="s">
        <v>614</v>
      </c>
      <c r="F992" s="733" t="s">
        <v>615</v>
      </c>
      <c r="G992" s="733"/>
      <c r="H992" s="733"/>
      <c r="I992" s="733"/>
      <c r="J992" s="733"/>
      <c r="K992" s="733"/>
      <c r="L992" s="733"/>
      <c r="M992" s="733"/>
    </row>
    <row r="993" spans="1:13" x14ac:dyDescent="0.3">
      <c r="A993" s="733" t="s">
        <v>1430</v>
      </c>
      <c r="B993" s="733" t="s">
        <v>612</v>
      </c>
      <c r="C993" s="733" t="s">
        <v>1449</v>
      </c>
      <c r="D993" s="733" t="s">
        <v>21</v>
      </c>
      <c r="E993" s="733" t="s">
        <v>614</v>
      </c>
      <c r="F993" s="733" t="s">
        <v>615</v>
      </c>
      <c r="G993" s="733"/>
      <c r="H993" s="733"/>
      <c r="I993" s="733"/>
      <c r="J993" s="733"/>
      <c r="K993" s="733"/>
      <c r="L993" s="733"/>
      <c r="M993" s="733"/>
    </row>
    <row r="994" spans="1:13" x14ac:dyDescent="0.3">
      <c r="A994" s="733" t="s">
        <v>1430</v>
      </c>
      <c r="B994" s="733" t="s">
        <v>612</v>
      </c>
      <c r="C994" s="733" t="s">
        <v>1316</v>
      </c>
      <c r="D994" s="733" t="s">
        <v>21</v>
      </c>
      <c r="E994" s="733" t="s">
        <v>614</v>
      </c>
      <c r="F994" s="733" t="s">
        <v>615</v>
      </c>
      <c r="G994" s="733"/>
      <c r="H994" s="733"/>
      <c r="I994" s="733"/>
      <c r="J994" s="733"/>
      <c r="K994" s="733"/>
      <c r="L994" s="733"/>
      <c r="M994" s="733"/>
    </row>
    <row r="995" spans="1:13" x14ac:dyDescent="0.3">
      <c r="A995" s="735" t="s">
        <v>1430</v>
      </c>
      <c r="B995" s="735" t="s">
        <v>612</v>
      </c>
      <c r="C995" s="735" t="s">
        <v>1450</v>
      </c>
      <c r="D995" s="735" t="s">
        <v>21</v>
      </c>
      <c r="E995" s="735" t="s">
        <v>1344</v>
      </c>
      <c r="F995" s="735" t="s">
        <v>615</v>
      </c>
      <c r="G995" s="733"/>
      <c r="H995" s="733"/>
      <c r="I995" s="733"/>
      <c r="J995" s="733"/>
      <c r="K995" s="733"/>
      <c r="L995" s="733"/>
      <c r="M995" s="733"/>
    </row>
    <row r="996" spans="1:13" x14ac:dyDescent="0.3">
      <c r="A996" s="735" t="s">
        <v>1430</v>
      </c>
      <c r="B996" s="735" t="s">
        <v>612</v>
      </c>
      <c r="C996" s="735" t="s">
        <v>1451</v>
      </c>
      <c r="D996" s="735" t="s">
        <v>21</v>
      </c>
      <c r="E996" s="735" t="s">
        <v>1344</v>
      </c>
      <c r="F996" s="735" t="s">
        <v>615</v>
      </c>
      <c r="G996" s="733"/>
      <c r="H996" s="733"/>
      <c r="I996" s="733"/>
      <c r="J996" s="733"/>
      <c r="K996" s="733"/>
      <c r="L996" s="733"/>
      <c r="M996" s="733"/>
    </row>
    <row r="997" spans="1:13" x14ac:dyDescent="0.3">
      <c r="A997" s="735" t="s">
        <v>1430</v>
      </c>
      <c r="B997" s="735" t="s">
        <v>612</v>
      </c>
      <c r="C997" s="735" t="s">
        <v>1452</v>
      </c>
      <c r="D997" s="735" t="s">
        <v>21</v>
      </c>
      <c r="E997" s="735" t="s">
        <v>1344</v>
      </c>
      <c r="F997" s="735" t="s">
        <v>615</v>
      </c>
      <c r="G997" s="733"/>
      <c r="H997" s="733"/>
      <c r="I997" s="733"/>
      <c r="J997" s="733"/>
      <c r="K997" s="733"/>
      <c r="L997" s="733"/>
      <c r="M997" s="733"/>
    </row>
    <row r="998" spans="1:13" x14ac:dyDescent="0.3">
      <c r="A998" s="735" t="s">
        <v>1430</v>
      </c>
      <c r="B998" s="735" t="s">
        <v>612</v>
      </c>
      <c r="C998" s="735" t="s">
        <v>1453</v>
      </c>
      <c r="D998" s="735" t="s">
        <v>21</v>
      </c>
      <c r="E998" s="735" t="s">
        <v>1344</v>
      </c>
      <c r="F998" s="735" t="s">
        <v>615</v>
      </c>
      <c r="G998" s="733"/>
      <c r="H998" s="733"/>
      <c r="I998" s="733"/>
      <c r="J998" s="733"/>
      <c r="K998" s="733"/>
      <c r="L998" s="733"/>
      <c r="M998" s="733"/>
    </row>
    <row r="999" spans="1:13" x14ac:dyDescent="0.3">
      <c r="A999" s="733" t="s">
        <v>1430</v>
      </c>
      <c r="B999" s="733" t="s">
        <v>612</v>
      </c>
      <c r="C999" s="733" t="s">
        <v>1454</v>
      </c>
      <c r="D999" s="733" t="s">
        <v>21</v>
      </c>
      <c r="E999" s="733" t="s">
        <v>614</v>
      </c>
      <c r="F999" s="733" t="s">
        <v>615</v>
      </c>
      <c r="G999" s="733"/>
      <c r="H999" s="733"/>
      <c r="I999" s="733"/>
      <c r="J999" s="733"/>
      <c r="K999" s="733"/>
      <c r="L999" s="733"/>
      <c r="M999" s="733"/>
    </row>
    <row r="1000" spans="1:13" x14ac:dyDescent="0.3">
      <c r="A1000" s="734" t="s">
        <v>1430</v>
      </c>
      <c r="B1000" s="734" t="s">
        <v>612</v>
      </c>
      <c r="C1000" s="734" t="s">
        <v>765</v>
      </c>
      <c r="D1000" s="734" t="s">
        <v>21</v>
      </c>
      <c r="E1000" s="734" t="s">
        <v>614</v>
      </c>
      <c r="F1000" s="734" t="s">
        <v>696</v>
      </c>
      <c r="G1000" s="733"/>
      <c r="H1000" s="733"/>
      <c r="I1000" s="733"/>
      <c r="J1000" s="733"/>
      <c r="K1000" s="733"/>
      <c r="L1000" s="733"/>
      <c r="M1000" s="733"/>
    </row>
    <row r="1001" spans="1:13" x14ac:dyDescent="0.3">
      <c r="A1001" s="733" t="s">
        <v>1430</v>
      </c>
      <c r="B1001" s="733" t="s">
        <v>612</v>
      </c>
      <c r="C1001" s="733" t="s">
        <v>1320</v>
      </c>
      <c r="D1001" s="733" t="s">
        <v>21</v>
      </c>
      <c r="E1001" s="733" t="s">
        <v>614</v>
      </c>
      <c r="F1001" s="733" t="s">
        <v>615</v>
      </c>
      <c r="G1001" s="733"/>
      <c r="H1001" s="733"/>
      <c r="I1001" s="733"/>
      <c r="J1001" s="733"/>
      <c r="K1001" s="733"/>
      <c r="L1001" s="733"/>
      <c r="M1001" s="733"/>
    </row>
    <row r="1002" spans="1:13" x14ac:dyDescent="0.3">
      <c r="A1002" s="733" t="s">
        <v>1430</v>
      </c>
      <c r="B1002" s="733" t="s">
        <v>612</v>
      </c>
      <c r="C1002" s="733" t="s">
        <v>1455</v>
      </c>
      <c r="D1002" s="733" t="s">
        <v>21</v>
      </c>
      <c r="E1002" s="733" t="s">
        <v>614</v>
      </c>
      <c r="F1002" s="733" t="s">
        <v>615</v>
      </c>
      <c r="G1002" s="733"/>
      <c r="H1002" s="733"/>
      <c r="I1002" s="733"/>
      <c r="J1002" s="733"/>
      <c r="K1002" s="733"/>
      <c r="L1002" s="733"/>
      <c r="M1002" s="733"/>
    </row>
    <row r="1003" spans="1:13" x14ac:dyDescent="0.3">
      <c r="A1003" s="733" t="s">
        <v>1430</v>
      </c>
      <c r="B1003" s="733" t="s">
        <v>612</v>
      </c>
      <c r="C1003" s="733" t="s">
        <v>1456</v>
      </c>
      <c r="D1003" s="733" t="s">
        <v>21</v>
      </c>
      <c r="E1003" s="733" t="s">
        <v>614</v>
      </c>
      <c r="F1003" s="733" t="s">
        <v>615</v>
      </c>
      <c r="G1003" s="733"/>
      <c r="H1003" s="733"/>
      <c r="I1003" s="733"/>
      <c r="J1003" s="733"/>
      <c r="K1003" s="733"/>
      <c r="L1003" s="733"/>
      <c r="M1003" s="733"/>
    </row>
    <row r="1004" spans="1:13" x14ac:dyDescent="0.3">
      <c r="A1004" s="733" t="s">
        <v>1430</v>
      </c>
      <c r="B1004" s="733" t="s">
        <v>612</v>
      </c>
      <c r="C1004" s="733" t="s">
        <v>1457</v>
      </c>
      <c r="D1004" s="733" t="s">
        <v>21</v>
      </c>
      <c r="E1004" s="733" t="s">
        <v>614</v>
      </c>
      <c r="F1004" s="733" t="s">
        <v>615</v>
      </c>
      <c r="G1004" s="733"/>
      <c r="H1004" s="733"/>
      <c r="I1004" s="733"/>
      <c r="J1004" s="733"/>
      <c r="K1004" s="733"/>
      <c r="L1004" s="733"/>
      <c r="M1004" s="733"/>
    </row>
    <row r="1005" spans="1:13" x14ac:dyDescent="0.3">
      <c r="A1005" s="733" t="s">
        <v>1430</v>
      </c>
      <c r="B1005" s="733" t="s">
        <v>612</v>
      </c>
      <c r="C1005" s="733" t="s">
        <v>1458</v>
      </c>
      <c r="D1005" s="733" t="s">
        <v>21</v>
      </c>
      <c r="E1005" s="733" t="s">
        <v>614</v>
      </c>
      <c r="F1005" s="733" t="s">
        <v>615</v>
      </c>
      <c r="G1005" s="733"/>
      <c r="H1005" s="733"/>
      <c r="I1005" s="733"/>
      <c r="J1005" s="733"/>
      <c r="K1005" s="733"/>
      <c r="L1005" s="733"/>
      <c r="M1005" s="733"/>
    </row>
    <row r="1006" spans="1:13" x14ac:dyDescent="0.3">
      <c r="A1006" s="733" t="s">
        <v>1430</v>
      </c>
      <c r="B1006" s="733" t="s">
        <v>645</v>
      </c>
      <c r="C1006" s="733" t="s">
        <v>1459</v>
      </c>
      <c r="D1006" s="733" t="s">
        <v>21</v>
      </c>
      <c r="E1006" s="733" t="s">
        <v>614</v>
      </c>
      <c r="F1006" s="733" t="s">
        <v>615</v>
      </c>
      <c r="G1006" s="733"/>
      <c r="H1006" s="733"/>
      <c r="I1006" s="733"/>
      <c r="J1006" s="733"/>
      <c r="K1006" s="733"/>
      <c r="L1006" s="733"/>
      <c r="M1006" s="733"/>
    </row>
    <row r="1007" spans="1:13" x14ac:dyDescent="0.3">
      <c r="A1007" s="733" t="s">
        <v>1430</v>
      </c>
      <c r="B1007" s="733" t="s">
        <v>645</v>
      </c>
      <c r="C1007" s="733" t="s">
        <v>1460</v>
      </c>
      <c r="D1007" s="733" t="s">
        <v>21</v>
      </c>
      <c r="E1007" s="733" t="s">
        <v>614</v>
      </c>
      <c r="F1007" s="733" t="s">
        <v>615</v>
      </c>
      <c r="G1007" s="733"/>
      <c r="H1007" s="733"/>
      <c r="I1007" s="733"/>
      <c r="J1007" s="733"/>
      <c r="K1007" s="733"/>
      <c r="L1007" s="733"/>
      <c r="M1007" s="733"/>
    </row>
    <row r="1008" spans="1:13" x14ac:dyDescent="0.3">
      <c r="A1008" s="733" t="s">
        <v>1430</v>
      </c>
      <c r="B1008" s="733" t="s">
        <v>645</v>
      </c>
      <c r="C1008" s="733" t="s">
        <v>1380</v>
      </c>
      <c r="D1008" s="733" t="s">
        <v>21</v>
      </c>
      <c r="E1008" s="733" t="s">
        <v>614</v>
      </c>
      <c r="F1008" s="733" t="s">
        <v>615</v>
      </c>
      <c r="G1008" s="733"/>
      <c r="H1008" s="733"/>
      <c r="I1008" s="733"/>
      <c r="J1008" s="733"/>
      <c r="K1008" s="733"/>
      <c r="L1008" s="733"/>
      <c r="M1008" s="733"/>
    </row>
    <row r="1009" spans="1:13" x14ac:dyDescent="0.3">
      <c r="A1009" s="733" t="s">
        <v>1430</v>
      </c>
      <c r="B1009" s="733" t="s">
        <v>645</v>
      </c>
      <c r="C1009" s="733" t="s">
        <v>1461</v>
      </c>
      <c r="D1009" s="733" t="s">
        <v>21</v>
      </c>
      <c r="E1009" s="733" t="s">
        <v>614</v>
      </c>
      <c r="F1009" s="733" t="s">
        <v>615</v>
      </c>
      <c r="G1009" s="733"/>
      <c r="H1009" s="733"/>
      <c r="I1009" s="733"/>
      <c r="J1009" s="733"/>
      <c r="K1009" s="733"/>
      <c r="L1009" s="733"/>
      <c r="M1009" s="733"/>
    </row>
    <row r="1010" spans="1:13" x14ac:dyDescent="0.3">
      <c r="A1010" s="733" t="s">
        <v>1430</v>
      </c>
      <c r="B1010" s="733" t="s">
        <v>645</v>
      </c>
      <c r="C1010" s="733" t="s">
        <v>1462</v>
      </c>
      <c r="D1010" s="733" t="s">
        <v>21</v>
      </c>
      <c r="E1010" s="733" t="s">
        <v>614</v>
      </c>
      <c r="F1010" s="733" t="s">
        <v>615</v>
      </c>
      <c r="G1010" s="733"/>
      <c r="H1010" s="733"/>
      <c r="I1010" s="733"/>
      <c r="J1010" s="733"/>
      <c r="K1010" s="733"/>
      <c r="L1010" s="733"/>
      <c r="M1010" s="733"/>
    </row>
    <row r="1011" spans="1:13" x14ac:dyDescent="0.3">
      <c r="A1011" s="733" t="s">
        <v>1430</v>
      </c>
      <c r="B1011" s="733" t="s">
        <v>645</v>
      </c>
      <c r="C1011" s="733" t="s">
        <v>1463</v>
      </c>
      <c r="D1011" s="733" t="s">
        <v>21</v>
      </c>
      <c r="E1011" s="733" t="s">
        <v>614</v>
      </c>
      <c r="F1011" s="733" t="s">
        <v>615</v>
      </c>
      <c r="G1011" s="733"/>
      <c r="H1011" s="733"/>
      <c r="I1011" s="733"/>
      <c r="J1011" s="733"/>
      <c r="K1011" s="733"/>
      <c r="L1011" s="733"/>
      <c r="M1011" s="733"/>
    </row>
    <row r="1012" spans="1:13" x14ac:dyDescent="0.3">
      <c r="A1012" s="733" t="s">
        <v>1430</v>
      </c>
      <c r="B1012" s="733" t="s">
        <v>645</v>
      </c>
      <c r="C1012" s="733" t="s">
        <v>1464</v>
      </c>
      <c r="D1012" s="733" t="s">
        <v>21</v>
      </c>
      <c r="E1012" s="733" t="s">
        <v>614</v>
      </c>
      <c r="F1012" s="733" t="s">
        <v>615</v>
      </c>
      <c r="G1012" s="733"/>
      <c r="H1012" s="733"/>
      <c r="I1012" s="733"/>
      <c r="J1012" s="733"/>
      <c r="K1012" s="733"/>
      <c r="L1012" s="733"/>
      <c r="M1012" s="733"/>
    </row>
    <row r="1013" spans="1:13" x14ac:dyDescent="0.3">
      <c r="A1013" s="733" t="s">
        <v>1430</v>
      </c>
      <c r="B1013" s="733" t="s">
        <v>645</v>
      </c>
      <c r="C1013" s="733" t="s">
        <v>1465</v>
      </c>
      <c r="D1013" s="733" t="s">
        <v>21</v>
      </c>
      <c r="E1013" s="733" t="s">
        <v>614</v>
      </c>
      <c r="F1013" s="733" t="s">
        <v>615</v>
      </c>
      <c r="G1013" s="733"/>
      <c r="H1013" s="733"/>
      <c r="I1013" s="733"/>
      <c r="J1013" s="733"/>
      <c r="K1013" s="733"/>
      <c r="L1013" s="733"/>
      <c r="M1013" s="733"/>
    </row>
    <row r="1014" spans="1:13" x14ac:dyDescent="0.3">
      <c r="A1014" s="733" t="s">
        <v>1430</v>
      </c>
      <c r="B1014" s="733" t="s">
        <v>645</v>
      </c>
      <c r="C1014" s="733" t="s">
        <v>1466</v>
      </c>
      <c r="D1014" s="733" t="s">
        <v>21</v>
      </c>
      <c r="E1014" s="733" t="s">
        <v>614</v>
      </c>
      <c r="F1014" s="733" t="s">
        <v>615</v>
      </c>
      <c r="G1014" s="733"/>
      <c r="H1014" s="733"/>
      <c r="I1014" s="733"/>
      <c r="J1014" s="733"/>
      <c r="K1014" s="733"/>
      <c r="L1014" s="733"/>
      <c r="M1014" s="733"/>
    </row>
    <row r="1015" spans="1:13" x14ac:dyDescent="0.3">
      <c r="A1015" s="733" t="s">
        <v>1430</v>
      </c>
      <c r="B1015" s="733" t="s">
        <v>645</v>
      </c>
      <c r="C1015" s="733" t="s">
        <v>1382</v>
      </c>
      <c r="D1015" s="733" t="s">
        <v>21</v>
      </c>
      <c r="E1015" s="733" t="s">
        <v>614</v>
      </c>
      <c r="F1015" s="733" t="s">
        <v>615</v>
      </c>
      <c r="G1015" s="733"/>
      <c r="H1015" s="733"/>
      <c r="I1015" s="733"/>
      <c r="J1015" s="733"/>
      <c r="K1015" s="733"/>
      <c r="L1015" s="733"/>
      <c r="M1015" s="733"/>
    </row>
    <row r="1016" spans="1:13" x14ac:dyDescent="0.3">
      <c r="A1016" s="733" t="s">
        <v>1430</v>
      </c>
      <c r="B1016" s="733" t="s">
        <v>645</v>
      </c>
      <c r="C1016" s="733" t="s">
        <v>1467</v>
      </c>
      <c r="D1016" s="733" t="s">
        <v>21</v>
      </c>
      <c r="E1016" s="733" t="s">
        <v>614</v>
      </c>
      <c r="F1016" s="733" t="s">
        <v>615</v>
      </c>
      <c r="G1016" s="733"/>
      <c r="H1016" s="733"/>
      <c r="I1016" s="733"/>
      <c r="J1016" s="733"/>
      <c r="K1016" s="733"/>
      <c r="L1016" s="733"/>
      <c r="M1016" s="733"/>
    </row>
    <row r="1017" spans="1:13" x14ac:dyDescent="0.3">
      <c r="A1017" s="733" t="s">
        <v>1430</v>
      </c>
      <c r="B1017" s="733" t="s">
        <v>645</v>
      </c>
      <c r="C1017" s="733" t="s">
        <v>1335</v>
      </c>
      <c r="D1017" s="733" t="s">
        <v>21</v>
      </c>
      <c r="E1017" s="733" t="s">
        <v>614</v>
      </c>
      <c r="F1017" s="733" t="s">
        <v>615</v>
      </c>
      <c r="G1017" s="733"/>
      <c r="H1017" s="733"/>
      <c r="I1017" s="733"/>
      <c r="J1017" s="733"/>
      <c r="K1017" s="733"/>
      <c r="L1017" s="733"/>
      <c r="M1017" s="733"/>
    </row>
    <row r="1018" spans="1:13" x14ac:dyDescent="0.3">
      <c r="A1018" s="733" t="s">
        <v>1430</v>
      </c>
      <c r="B1018" s="733" t="s">
        <v>645</v>
      </c>
      <c r="C1018" s="733" t="s">
        <v>1468</v>
      </c>
      <c r="D1018" s="733" t="s">
        <v>21</v>
      </c>
      <c r="E1018" s="733" t="s">
        <v>614</v>
      </c>
      <c r="F1018" s="733" t="s">
        <v>615</v>
      </c>
      <c r="G1018" s="733"/>
      <c r="H1018" s="733"/>
      <c r="I1018" s="733"/>
      <c r="J1018" s="733"/>
      <c r="K1018" s="733"/>
      <c r="L1018" s="733"/>
      <c r="M1018" s="733"/>
    </row>
    <row r="1019" spans="1:13" x14ac:dyDescent="0.3">
      <c r="A1019" s="733" t="s">
        <v>1430</v>
      </c>
      <c r="B1019" s="733" t="s">
        <v>645</v>
      </c>
      <c r="C1019" s="733" t="s">
        <v>1469</v>
      </c>
      <c r="D1019" s="733" t="s">
        <v>21</v>
      </c>
      <c r="E1019" s="733" t="s">
        <v>614</v>
      </c>
      <c r="F1019" s="733" t="s">
        <v>615</v>
      </c>
      <c r="G1019" s="733"/>
      <c r="H1019" s="733"/>
      <c r="I1019" s="733"/>
      <c r="J1019" s="733"/>
      <c r="K1019" s="733"/>
      <c r="L1019" s="733"/>
      <c r="M1019" s="733"/>
    </row>
    <row r="1020" spans="1:13" x14ac:dyDescent="0.3">
      <c r="A1020" s="733" t="s">
        <v>1430</v>
      </c>
      <c r="B1020" s="733" t="s">
        <v>645</v>
      </c>
      <c r="C1020" s="733" t="s">
        <v>1340</v>
      </c>
      <c r="D1020" s="733" t="s">
        <v>21</v>
      </c>
      <c r="E1020" s="733" t="s">
        <v>614</v>
      </c>
      <c r="F1020" s="733" t="s">
        <v>615</v>
      </c>
      <c r="G1020" s="733"/>
      <c r="H1020" s="733"/>
      <c r="I1020" s="733"/>
      <c r="J1020" s="733"/>
      <c r="K1020" s="733"/>
      <c r="L1020" s="733"/>
      <c r="M1020" s="733"/>
    </row>
    <row r="1021" spans="1:13" x14ac:dyDescent="0.3">
      <c r="A1021" s="733" t="s">
        <v>1430</v>
      </c>
      <c r="B1021" s="733" t="s">
        <v>645</v>
      </c>
      <c r="C1021" s="733" t="s">
        <v>1470</v>
      </c>
      <c r="D1021" s="733" t="s">
        <v>21</v>
      </c>
      <c r="E1021" s="733" t="s">
        <v>614</v>
      </c>
      <c r="F1021" s="733" t="s">
        <v>615</v>
      </c>
      <c r="G1021" s="733"/>
      <c r="H1021" s="733"/>
      <c r="I1021" s="733"/>
      <c r="J1021" s="733"/>
      <c r="K1021" s="733"/>
      <c r="L1021" s="733"/>
      <c r="M1021" s="733"/>
    </row>
    <row r="1022" spans="1:13" x14ac:dyDescent="0.3">
      <c r="A1022" s="733" t="s">
        <v>1430</v>
      </c>
      <c r="B1022" s="733" t="s">
        <v>645</v>
      </c>
      <c r="C1022" s="733" t="s">
        <v>1471</v>
      </c>
      <c r="D1022" s="733" t="s">
        <v>21</v>
      </c>
      <c r="E1022" s="733" t="s">
        <v>614</v>
      </c>
      <c r="F1022" s="733" t="s">
        <v>615</v>
      </c>
      <c r="G1022" s="733"/>
      <c r="H1022" s="733"/>
      <c r="I1022" s="733"/>
      <c r="J1022" s="733"/>
      <c r="K1022" s="733"/>
      <c r="L1022" s="733"/>
      <c r="M1022" s="733"/>
    </row>
    <row r="1023" spans="1:13" x14ac:dyDescent="0.3">
      <c r="A1023" s="733" t="s">
        <v>1430</v>
      </c>
      <c r="B1023" s="733" t="s">
        <v>645</v>
      </c>
      <c r="C1023" s="733" t="s">
        <v>1472</v>
      </c>
      <c r="D1023" s="733" t="s">
        <v>21</v>
      </c>
      <c r="E1023" s="733" t="s">
        <v>614</v>
      </c>
      <c r="F1023" s="733" t="s">
        <v>615</v>
      </c>
      <c r="G1023" s="733"/>
      <c r="H1023" s="733"/>
      <c r="I1023" s="733"/>
      <c r="J1023" s="733"/>
      <c r="K1023" s="733"/>
      <c r="L1023" s="733"/>
      <c r="M1023" s="733"/>
    </row>
    <row r="1024" spans="1:13" x14ac:dyDescent="0.3">
      <c r="A1024" s="733" t="s">
        <v>1430</v>
      </c>
      <c r="B1024" s="733" t="s">
        <v>645</v>
      </c>
      <c r="C1024" s="733" t="s">
        <v>1473</v>
      </c>
      <c r="D1024" s="733" t="s">
        <v>21</v>
      </c>
      <c r="E1024" s="733" t="s">
        <v>614</v>
      </c>
      <c r="F1024" s="733" t="s">
        <v>615</v>
      </c>
      <c r="G1024" s="733"/>
      <c r="H1024" s="733"/>
      <c r="I1024" s="733"/>
      <c r="J1024" s="733"/>
      <c r="K1024" s="733"/>
      <c r="L1024" s="733"/>
      <c r="M1024" s="733"/>
    </row>
    <row r="1025" spans="1:13" x14ac:dyDescent="0.3">
      <c r="A1025" s="733" t="s">
        <v>1430</v>
      </c>
      <c r="B1025" s="733" t="s">
        <v>664</v>
      </c>
      <c r="C1025" s="733" t="s">
        <v>1474</v>
      </c>
      <c r="D1025" s="733" t="s">
        <v>21</v>
      </c>
      <c r="E1025" s="733" t="s">
        <v>614</v>
      </c>
      <c r="F1025" s="733" t="s">
        <v>615</v>
      </c>
      <c r="G1025" s="733"/>
      <c r="H1025" s="733"/>
      <c r="I1025" s="733"/>
      <c r="J1025" s="733"/>
      <c r="K1025" s="733"/>
      <c r="L1025" s="733"/>
      <c r="M1025" s="733"/>
    </row>
    <row r="1026" spans="1:13" x14ac:dyDescent="0.3">
      <c r="A1026" s="733" t="s">
        <v>1430</v>
      </c>
      <c r="B1026" s="733" t="s">
        <v>664</v>
      </c>
      <c r="C1026" s="733" t="s">
        <v>1475</v>
      </c>
      <c r="D1026" s="733" t="s">
        <v>21</v>
      </c>
      <c r="E1026" s="733" t="s">
        <v>614</v>
      </c>
      <c r="F1026" s="733" t="s">
        <v>615</v>
      </c>
      <c r="G1026" s="733"/>
      <c r="H1026" s="733"/>
      <c r="I1026" s="733"/>
      <c r="J1026" s="733"/>
      <c r="K1026" s="733"/>
      <c r="L1026" s="733"/>
      <c r="M1026" s="733"/>
    </row>
    <row r="1027" spans="1:13" x14ac:dyDescent="0.3">
      <c r="A1027" s="733" t="s">
        <v>1430</v>
      </c>
      <c r="B1027" s="733" t="s">
        <v>664</v>
      </c>
      <c r="C1027" s="733" t="s">
        <v>1476</v>
      </c>
      <c r="D1027" s="733" t="s">
        <v>21</v>
      </c>
      <c r="E1027" s="733" t="s">
        <v>614</v>
      </c>
      <c r="F1027" s="733" t="s">
        <v>615</v>
      </c>
      <c r="G1027" s="733"/>
      <c r="H1027" s="733"/>
      <c r="I1027" s="733"/>
      <c r="J1027" s="733"/>
      <c r="K1027" s="733"/>
      <c r="L1027" s="733"/>
      <c r="M1027" s="733"/>
    </row>
    <row r="1028" spans="1:13" x14ac:dyDescent="0.3">
      <c r="A1028" s="733" t="s">
        <v>1430</v>
      </c>
      <c r="B1028" s="733" t="s">
        <v>664</v>
      </c>
      <c r="C1028" s="733" t="s">
        <v>1477</v>
      </c>
      <c r="D1028" s="733" t="s">
        <v>21</v>
      </c>
      <c r="E1028" s="733" t="s">
        <v>614</v>
      </c>
      <c r="F1028" s="733" t="s">
        <v>615</v>
      </c>
      <c r="G1028" s="733"/>
      <c r="H1028" s="733"/>
      <c r="I1028" s="733"/>
      <c r="J1028" s="733"/>
      <c r="K1028" s="733"/>
      <c r="L1028" s="733"/>
      <c r="M1028" s="733"/>
    </row>
    <row r="1029" spans="1:13" x14ac:dyDescent="0.3">
      <c r="A1029" s="733" t="s">
        <v>1430</v>
      </c>
      <c r="B1029" s="733" t="s">
        <v>664</v>
      </c>
      <c r="C1029" s="733" t="s">
        <v>1478</v>
      </c>
      <c r="D1029" s="733" t="s">
        <v>21</v>
      </c>
      <c r="E1029" s="733" t="s">
        <v>614</v>
      </c>
      <c r="F1029" s="733" t="s">
        <v>615</v>
      </c>
      <c r="G1029" s="733"/>
      <c r="H1029" s="733"/>
      <c r="I1029" s="733"/>
      <c r="J1029" s="733"/>
      <c r="K1029" s="733"/>
      <c r="L1029" s="733"/>
      <c r="M1029" s="733"/>
    </row>
    <row r="1030" spans="1:13" x14ac:dyDescent="0.3">
      <c r="A1030" s="733" t="s">
        <v>1430</v>
      </c>
      <c r="B1030" s="733" t="s">
        <v>664</v>
      </c>
      <c r="C1030" s="733" t="s">
        <v>1479</v>
      </c>
      <c r="D1030" s="733" t="s">
        <v>21</v>
      </c>
      <c r="E1030" s="733" t="s">
        <v>614</v>
      </c>
      <c r="F1030" s="733" t="s">
        <v>615</v>
      </c>
      <c r="G1030" s="733"/>
      <c r="H1030" s="733"/>
      <c r="I1030" s="733"/>
      <c r="J1030" s="733"/>
      <c r="K1030" s="733"/>
      <c r="L1030" s="733"/>
      <c r="M1030" s="733"/>
    </row>
    <row r="1031" spans="1:13" x14ac:dyDescent="0.3">
      <c r="A1031" s="733" t="s">
        <v>1430</v>
      </c>
      <c r="B1031" s="733" t="s">
        <v>664</v>
      </c>
      <c r="C1031" s="733" t="s">
        <v>1350</v>
      </c>
      <c r="D1031" s="733" t="s">
        <v>21</v>
      </c>
      <c r="E1031" s="733" t="s">
        <v>614</v>
      </c>
      <c r="F1031" s="733" t="s">
        <v>615</v>
      </c>
      <c r="G1031" s="733"/>
      <c r="H1031" s="733"/>
      <c r="I1031" s="733"/>
      <c r="J1031" s="733"/>
      <c r="K1031" s="733"/>
      <c r="L1031" s="733"/>
      <c r="M1031" s="733"/>
    </row>
    <row r="1032" spans="1:13" x14ac:dyDescent="0.3">
      <c r="A1032" s="733" t="s">
        <v>1430</v>
      </c>
      <c r="B1032" s="733" t="s">
        <v>664</v>
      </c>
      <c r="C1032" s="733" t="s">
        <v>1480</v>
      </c>
      <c r="D1032" s="733" t="s">
        <v>21</v>
      </c>
      <c r="E1032" s="733" t="s">
        <v>614</v>
      </c>
      <c r="F1032" s="733" t="s">
        <v>615</v>
      </c>
      <c r="G1032" s="733"/>
      <c r="H1032" s="733"/>
      <c r="I1032" s="733"/>
      <c r="J1032" s="733"/>
      <c r="K1032" s="733"/>
      <c r="L1032" s="733"/>
      <c r="M1032" s="733"/>
    </row>
    <row r="1033" spans="1:13" x14ac:dyDescent="0.3">
      <c r="A1033" s="733" t="s">
        <v>1430</v>
      </c>
      <c r="B1033" s="733" t="s">
        <v>664</v>
      </c>
      <c r="C1033" s="733" t="s">
        <v>1481</v>
      </c>
      <c r="D1033" s="733" t="s">
        <v>21</v>
      </c>
      <c r="E1033" s="733" t="s">
        <v>614</v>
      </c>
      <c r="F1033" s="733" t="s">
        <v>615</v>
      </c>
      <c r="G1033" s="733"/>
      <c r="H1033" s="733"/>
      <c r="I1033" s="733"/>
      <c r="J1033" s="733"/>
      <c r="K1033" s="733"/>
      <c r="L1033" s="733"/>
      <c r="M1033" s="733"/>
    </row>
    <row r="1034" spans="1:13" x14ac:dyDescent="0.3">
      <c r="A1034" s="733" t="s">
        <v>1430</v>
      </c>
      <c r="B1034" s="733" t="s">
        <v>664</v>
      </c>
      <c r="C1034" s="733" t="s">
        <v>1482</v>
      </c>
      <c r="D1034" s="733" t="s">
        <v>21</v>
      </c>
      <c r="E1034" s="733" t="s">
        <v>614</v>
      </c>
      <c r="F1034" s="733" t="s">
        <v>615</v>
      </c>
      <c r="G1034" s="733"/>
      <c r="H1034" s="733"/>
      <c r="I1034" s="733"/>
      <c r="J1034" s="733"/>
      <c r="K1034" s="733"/>
      <c r="L1034" s="733"/>
      <c r="M1034" s="733"/>
    </row>
    <row r="1035" spans="1:13" x14ac:dyDescent="0.3">
      <c r="A1035" s="733" t="s">
        <v>1430</v>
      </c>
      <c r="B1035" s="733" t="s">
        <v>664</v>
      </c>
      <c r="C1035" s="733" t="s">
        <v>1483</v>
      </c>
      <c r="D1035" s="733" t="s">
        <v>21</v>
      </c>
      <c r="E1035" s="733" t="s">
        <v>614</v>
      </c>
      <c r="F1035" s="733" t="s">
        <v>615</v>
      </c>
      <c r="G1035" s="733"/>
      <c r="H1035" s="733"/>
      <c r="I1035" s="733"/>
      <c r="J1035" s="733"/>
      <c r="K1035" s="733"/>
      <c r="L1035" s="733"/>
      <c r="M1035" s="733"/>
    </row>
    <row r="1036" spans="1:13" x14ac:dyDescent="0.3">
      <c r="A1036" s="733" t="s">
        <v>1430</v>
      </c>
      <c r="B1036" s="733" t="s">
        <v>664</v>
      </c>
      <c r="C1036" s="733" t="s">
        <v>1484</v>
      </c>
      <c r="D1036" s="733" t="s">
        <v>21</v>
      </c>
      <c r="E1036" s="733" t="s">
        <v>614</v>
      </c>
      <c r="F1036" s="733" t="s">
        <v>615</v>
      </c>
      <c r="G1036" s="733"/>
      <c r="H1036" s="733"/>
      <c r="I1036" s="733"/>
      <c r="J1036" s="733"/>
      <c r="K1036" s="733"/>
      <c r="L1036" s="733"/>
      <c r="M1036" s="733"/>
    </row>
    <row r="1037" spans="1:13" x14ac:dyDescent="0.3">
      <c r="A1037" s="733" t="s">
        <v>1430</v>
      </c>
      <c r="B1037" s="733" t="s">
        <v>664</v>
      </c>
      <c r="C1037" s="733" t="s">
        <v>1485</v>
      </c>
      <c r="D1037" s="733" t="s">
        <v>21</v>
      </c>
      <c r="E1037" s="733" t="s">
        <v>614</v>
      </c>
      <c r="F1037" s="733" t="s">
        <v>615</v>
      </c>
      <c r="G1037" s="733"/>
      <c r="H1037" s="733"/>
      <c r="I1037" s="733"/>
      <c r="J1037" s="733"/>
      <c r="K1037" s="733"/>
      <c r="L1037" s="733"/>
      <c r="M1037" s="733"/>
    </row>
    <row r="1038" spans="1:13" x14ac:dyDescent="0.3">
      <c r="A1038" s="733" t="s">
        <v>1430</v>
      </c>
      <c r="B1038" s="733" t="s">
        <v>664</v>
      </c>
      <c r="C1038" s="733" t="s">
        <v>1486</v>
      </c>
      <c r="D1038" s="733" t="s">
        <v>21</v>
      </c>
      <c r="E1038" s="733" t="s">
        <v>614</v>
      </c>
      <c r="F1038" s="733" t="s">
        <v>615</v>
      </c>
      <c r="G1038" s="733"/>
      <c r="H1038" s="733"/>
      <c r="I1038" s="733"/>
      <c r="J1038" s="733"/>
      <c r="K1038" s="733"/>
      <c r="L1038" s="733"/>
      <c r="M1038" s="733"/>
    </row>
    <row r="1039" spans="1:13" x14ac:dyDescent="0.3">
      <c r="A1039" s="733" t="s">
        <v>1487</v>
      </c>
      <c r="B1039" s="733" t="s">
        <v>612</v>
      </c>
      <c r="C1039" s="733" t="s">
        <v>1488</v>
      </c>
      <c r="D1039" s="733" t="s">
        <v>21</v>
      </c>
      <c r="E1039" s="733" t="s">
        <v>614</v>
      </c>
      <c r="F1039" s="733" t="s">
        <v>615</v>
      </c>
      <c r="G1039" s="733"/>
      <c r="H1039" s="733"/>
      <c r="I1039" s="733"/>
      <c r="J1039" s="733"/>
      <c r="K1039" s="733"/>
      <c r="L1039" s="733"/>
      <c r="M1039" s="733"/>
    </row>
    <row r="1040" spans="1:13" x14ac:dyDescent="0.3">
      <c r="A1040" s="733" t="s">
        <v>1487</v>
      </c>
      <c r="B1040" s="733" t="s">
        <v>612</v>
      </c>
      <c r="C1040" s="733" t="s">
        <v>1489</v>
      </c>
      <c r="D1040" s="733" t="s">
        <v>21</v>
      </c>
      <c r="E1040" s="733" t="s">
        <v>614</v>
      </c>
      <c r="F1040" s="733" t="s">
        <v>615</v>
      </c>
      <c r="G1040" s="733"/>
      <c r="H1040" s="733"/>
      <c r="I1040" s="733"/>
      <c r="J1040" s="733"/>
      <c r="K1040" s="733"/>
      <c r="L1040" s="733"/>
      <c r="M1040" s="733"/>
    </row>
    <row r="1041" spans="1:13" x14ac:dyDescent="0.3">
      <c r="A1041" s="733" t="s">
        <v>1487</v>
      </c>
      <c r="B1041" s="733" t="s">
        <v>612</v>
      </c>
      <c r="C1041" s="733" t="s">
        <v>1490</v>
      </c>
      <c r="D1041" s="733" t="s">
        <v>21</v>
      </c>
      <c r="E1041" s="733" t="s">
        <v>614</v>
      </c>
      <c r="F1041" s="733" t="s">
        <v>615</v>
      </c>
      <c r="G1041" s="733"/>
      <c r="H1041" s="733"/>
      <c r="I1041" s="733"/>
      <c r="J1041" s="733"/>
      <c r="K1041" s="733"/>
      <c r="L1041" s="733"/>
      <c r="M1041" s="733"/>
    </row>
    <row r="1042" spans="1:13" x14ac:dyDescent="0.3">
      <c r="A1042" s="733" t="s">
        <v>1487</v>
      </c>
      <c r="B1042" s="733" t="s">
        <v>612</v>
      </c>
      <c r="C1042" s="733" t="s">
        <v>1491</v>
      </c>
      <c r="D1042" s="733" t="s">
        <v>21</v>
      </c>
      <c r="E1042" s="733" t="s">
        <v>614</v>
      </c>
      <c r="F1042" s="733" t="s">
        <v>615</v>
      </c>
      <c r="G1042" s="733"/>
      <c r="H1042" s="733"/>
      <c r="I1042" s="733"/>
      <c r="J1042" s="733"/>
      <c r="K1042" s="733"/>
      <c r="L1042" s="733"/>
      <c r="M1042" s="733"/>
    </row>
    <row r="1043" spans="1:13" x14ac:dyDescent="0.3">
      <c r="A1043" s="734" t="s">
        <v>1487</v>
      </c>
      <c r="B1043" s="734" t="s">
        <v>612</v>
      </c>
      <c r="C1043" s="734" t="s">
        <v>1492</v>
      </c>
      <c r="D1043" s="734" t="s">
        <v>21</v>
      </c>
      <c r="E1043" s="734" t="s">
        <v>614</v>
      </c>
      <c r="F1043" s="734" t="s">
        <v>696</v>
      </c>
      <c r="G1043" s="733"/>
      <c r="H1043" s="733"/>
      <c r="I1043" s="733"/>
      <c r="J1043" s="733"/>
      <c r="K1043" s="733"/>
      <c r="L1043" s="733"/>
      <c r="M1043" s="733"/>
    </row>
    <row r="1044" spans="1:13" x14ac:dyDescent="0.3">
      <c r="A1044" s="734" t="s">
        <v>1487</v>
      </c>
      <c r="B1044" s="734" t="s">
        <v>612</v>
      </c>
      <c r="C1044" s="734" t="s">
        <v>1493</v>
      </c>
      <c r="D1044" s="734" t="s">
        <v>21</v>
      </c>
      <c r="E1044" s="734" t="s">
        <v>614</v>
      </c>
      <c r="F1044" s="734" t="s">
        <v>696</v>
      </c>
      <c r="G1044" s="733"/>
      <c r="H1044" s="733"/>
      <c r="I1044" s="733"/>
      <c r="J1044" s="733"/>
      <c r="K1044" s="733"/>
      <c r="L1044" s="733"/>
      <c r="M1044" s="733"/>
    </row>
    <row r="1045" spans="1:13" x14ac:dyDescent="0.3">
      <c r="A1045" s="733" t="s">
        <v>1487</v>
      </c>
      <c r="B1045" s="733" t="s">
        <v>612</v>
      </c>
      <c r="C1045" s="733" t="s">
        <v>1494</v>
      </c>
      <c r="D1045" s="733" t="s">
        <v>21</v>
      </c>
      <c r="E1045" s="733" t="s">
        <v>614</v>
      </c>
      <c r="F1045" s="733" t="s">
        <v>615</v>
      </c>
      <c r="G1045" s="733"/>
      <c r="H1045" s="733"/>
      <c r="I1045" s="733"/>
      <c r="J1045" s="733"/>
      <c r="K1045" s="733"/>
      <c r="L1045" s="733"/>
      <c r="M1045" s="733"/>
    </row>
    <row r="1046" spans="1:13" x14ac:dyDescent="0.3">
      <c r="A1046" s="733" t="s">
        <v>1487</v>
      </c>
      <c r="B1046" s="733" t="s">
        <v>612</v>
      </c>
      <c r="C1046" s="733" t="s">
        <v>1495</v>
      </c>
      <c r="D1046" s="733" t="s">
        <v>21</v>
      </c>
      <c r="E1046" s="733" t="s">
        <v>614</v>
      </c>
      <c r="F1046" s="733" t="s">
        <v>615</v>
      </c>
      <c r="G1046" s="733"/>
      <c r="H1046" s="733"/>
      <c r="I1046" s="733"/>
      <c r="J1046" s="733"/>
      <c r="K1046" s="733"/>
      <c r="L1046" s="733"/>
      <c r="M1046" s="733"/>
    </row>
    <row r="1047" spans="1:13" x14ac:dyDescent="0.3">
      <c r="A1047" s="733" t="s">
        <v>1487</v>
      </c>
      <c r="B1047" s="733" t="s">
        <v>612</v>
      </c>
      <c r="C1047" s="733" t="s">
        <v>1496</v>
      </c>
      <c r="D1047" s="733" t="s">
        <v>21</v>
      </c>
      <c r="E1047" s="733" t="s">
        <v>614</v>
      </c>
      <c r="F1047" s="733" t="s">
        <v>615</v>
      </c>
      <c r="G1047" s="733"/>
      <c r="H1047" s="733"/>
      <c r="I1047" s="733"/>
      <c r="J1047" s="733"/>
      <c r="K1047" s="733"/>
      <c r="L1047" s="733"/>
      <c r="M1047" s="733"/>
    </row>
    <row r="1048" spans="1:13" x14ac:dyDescent="0.3">
      <c r="A1048" s="733" t="s">
        <v>1487</v>
      </c>
      <c r="B1048" s="733" t="s">
        <v>612</v>
      </c>
      <c r="C1048" s="733" t="s">
        <v>1497</v>
      </c>
      <c r="D1048" s="733" t="s">
        <v>21</v>
      </c>
      <c r="E1048" s="733" t="s">
        <v>614</v>
      </c>
      <c r="F1048" s="733" t="s">
        <v>615</v>
      </c>
      <c r="G1048" s="733"/>
      <c r="H1048" s="733"/>
      <c r="I1048" s="733"/>
      <c r="J1048" s="733"/>
      <c r="K1048" s="733"/>
      <c r="L1048" s="733"/>
      <c r="M1048" s="733"/>
    </row>
    <row r="1049" spans="1:13" x14ac:dyDescent="0.3">
      <c r="A1049" s="733" t="s">
        <v>1487</v>
      </c>
      <c r="B1049" s="733" t="s">
        <v>612</v>
      </c>
      <c r="C1049" s="733" t="s">
        <v>1498</v>
      </c>
      <c r="D1049" s="733" t="s">
        <v>21</v>
      </c>
      <c r="E1049" s="733" t="s">
        <v>614</v>
      </c>
      <c r="F1049" s="733" t="s">
        <v>615</v>
      </c>
      <c r="G1049" s="733"/>
      <c r="H1049" s="733"/>
      <c r="I1049" s="733"/>
      <c r="J1049" s="733"/>
      <c r="K1049" s="733"/>
      <c r="L1049" s="733"/>
      <c r="M1049" s="733"/>
    </row>
    <row r="1050" spans="1:13" x14ac:dyDescent="0.3">
      <c r="A1050" s="733" t="s">
        <v>1487</v>
      </c>
      <c r="B1050" s="733" t="s">
        <v>612</v>
      </c>
      <c r="C1050" s="733" t="s">
        <v>1499</v>
      </c>
      <c r="D1050" s="733" t="s">
        <v>21</v>
      </c>
      <c r="E1050" s="733" t="s">
        <v>614</v>
      </c>
      <c r="F1050" s="733" t="s">
        <v>615</v>
      </c>
      <c r="G1050" s="733"/>
      <c r="H1050" s="733"/>
      <c r="I1050" s="733"/>
      <c r="J1050" s="733"/>
      <c r="K1050" s="733"/>
      <c r="L1050" s="733"/>
      <c r="M1050" s="733"/>
    </row>
    <row r="1051" spans="1:13" x14ac:dyDescent="0.3">
      <c r="A1051" s="733" t="s">
        <v>1487</v>
      </c>
      <c r="B1051" s="733" t="s">
        <v>612</v>
      </c>
      <c r="C1051" s="733" t="s">
        <v>1500</v>
      </c>
      <c r="D1051" s="733" t="s">
        <v>21</v>
      </c>
      <c r="E1051" s="733" t="s">
        <v>614</v>
      </c>
      <c r="F1051" s="733" t="s">
        <v>615</v>
      </c>
      <c r="G1051" s="733"/>
      <c r="H1051" s="733"/>
      <c r="I1051" s="733"/>
      <c r="J1051" s="733"/>
      <c r="K1051" s="733"/>
      <c r="L1051" s="733"/>
      <c r="M1051" s="733"/>
    </row>
    <row r="1052" spans="1:13" x14ac:dyDescent="0.3">
      <c r="A1052" s="733" t="s">
        <v>1487</v>
      </c>
      <c r="B1052" s="733" t="s">
        <v>612</v>
      </c>
      <c r="C1052" s="733" t="s">
        <v>1501</v>
      </c>
      <c r="D1052" s="733" t="s">
        <v>21</v>
      </c>
      <c r="E1052" s="733" t="s">
        <v>614</v>
      </c>
      <c r="F1052" s="733" t="s">
        <v>615</v>
      </c>
      <c r="G1052" s="733"/>
      <c r="H1052" s="733"/>
      <c r="I1052" s="733"/>
      <c r="J1052" s="733"/>
      <c r="K1052" s="733"/>
      <c r="L1052" s="733"/>
      <c r="M1052" s="733"/>
    </row>
    <row r="1053" spans="1:13" x14ac:dyDescent="0.3">
      <c r="A1053" s="733" t="s">
        <v>1487</v>
      </c>
      <c r="B1053" s="733" t="s">
        <v>612</v>
      </c>
      <c r="C1053" s="733" t="s">
        <v>1502</v>
      </c>
      <c r="D1053" s="733" t="s">
        <v>21</v>
      </c>
      <c r="E1053" s="733" t="s">
        <v>614</v>
      </c>
      <c r="F1053" s="733" t="s">
        <v>615</v>
      </c>
      <c r="G1053" s="733"/>
      <c r="H1053" s="733"/>
      <c r="I1053" s="733"/>
      <c r="J1053" s="733"/>
      <c r="K1053" s="733"/>
      <c r="L1053" s="733"/>
      <c r="M1053" s="733"/>
    </row>
    <row r="1054" spans="1:13" x14ac:dyDescent="0.3">
      <c r="A1054" s="733" t="s">
        <v>1487</v>
      </c>
      <c r="B1054" s="733" t="s">
        <v>612</v>
      </c>
      <c r="C1054" s="733" t="s">
        <v>1503</v>
      </c>
      <c r="D1054" s="733" t="s">
        <v>21</v>
      </c>
      <c r="E1054" s="733" t="s">
        <v>614</v>
      </c>
      <c r="F1054" s="733" t="s">
        <v>615</v>
      </c>
      <c r="G1054" s="733"/>
      <c r="H1054" s="733"/>
      <c r="I1054" s="733"/>
      <c r="J1054" s="733"/>
      <c r="K1054" s="733"/>
      <c r="L1054" s="733"/>
      <c r="M1054" s="733"/>
    </row>
    <row r="1055" spans="1:13" x14ac:dyDescent="0.3">
      <c r="A1055" s="733" t="s">
        <v>1504</v>
      </c>
      <c r="B1055" s="733" t="s">
        <v>612</v>
      </c>
      <c r="C1055" s="733" t="s">
        <v>1505</v>
      </c>
      <c r="D1055" s="733" t="s">
        <v>21</v>
      </c>
      <c r="E1055" s="733" t="s">
        <v>614</v>
      </c>
      <c r="F1055" s="733" t="s">
        <v>615</v>
      </c>
      <c r="G1055" s="733"/>
      <c r="H1055" s="733"/>
      <c r="I1055" s="733"/>
      <c r="J1055" s="733"/>
      <c r="K1055" s="733"/>
      <c r="L1055" s="733"/>
      <c r="M1055" s="733"/>
    </row>
    <row r="1056" spans="1:13" x14ac:dyDescent="0.3">
      <c r="A1056" s="733" t="s">
        <v>1504</v>
      </c>
      <c r="B1056" s="733" t="s">
        <v>612</v>
      </c>
      <c r="C1056" s="733" t="s">
        <v>1506</v>
      </c>
      <c r="D1056" s="733" t="s">
        <v>21</v>
      </c>
      <c r="E1056" s="733" t="s">
        <v>614</v>
      </c>
      <c r="F1056" s="733" t="s">
        <v>615</v>
      </c>
      <c r="G1056" s="733"/>
      <c r="H1056" s="733"/>
      <c r="I1056" s="733"/>
      <c r="J1056" s="733"/>
      <c r="K1056" s="733"/>
      <c r="L1056" s="733"/>
      <c r="M1056" s="733"/>
    </row>
    <row r="1057" spans="1:13" x14ac:dyDescent="0.3">
      <c r="A1057" s="733" t="s">
        <v>1504</v>
      </c>
      <c r="B1057" s="733" t="s">
        <v>612</v>
      </c>
      <c r="C1057" s="733" t="s">
        <v>1507</v>
      </c>
      <c r="D1057" s="733" t="s">
        <v>21</v>
      </c>
      <c r="E1057" s="733" t="s">
        <v>614</v>
      </c>
      <c r="F1057" s="733" t="s">
        <v>615</v>
      </c>
      <c r="G1057" s="733"/>
      <c r="H1057" s="733"/>
      <c r="I1057" s="733"/>
      <c r="J1057" s="733"/>
      <c r="K1057" s="733"/>
      <c r="L1057" s="733"/>
      <c r="M1057" s="733"/>
    </row>
    <row r="1058" spans="1:13" x14ac:dyDescent="0.3">
      <c r="A1058" s="733" t="s">
        <v>1504</v>
      </c>
      <c r="B1058" s="733" t="s">
        <v>612</v>
      </c>
      <c r="C1058" s="733" t="s">
        <v>1508</v>
      </c>
      <c r="D1058" s="733" t="s">
        <v>21</v>
      </c>
      <c r="E1058" s="733" t="s">
        <v>614</v>
      </c>
      <c r="F1058" s="733" t="s">
        <v>615</v>
      </c>
      <c r="G1058" s="733"/>
      <c r="H1058" s="733"/>
      <c r="I1058" s="733"/>
      <c r="J1058" s="733"/>
      <c r="K1058" s="733"/>
      <c r="L1058" s="733"/>
      <c r="M1058" s="733"/>
    </row>
    <row r="1059" spans="1:13" x14ac:dyDescent="0.3">
      <c r="A1059" s="733" t="s">
        <v>1504</v>
      </c>
      <c r="B1059" s="733" t="s">
        <v>612</v>
      </c>
      <c r="C1059" s="733" t="s">
        <v>1367</v>
      </c>
      <c r="D1059" s="733" t="s">
        <v>21</v>
      </c>
      <c r="E1059" s="733" t="s">
        <v>614</v>
      </c>
      <c r="F1059" s="733" t="s">
        <v>615</v>
      </c>
      <c r="G1059" s="733"/>
      <c r="H1059" s="733"/>
      <c r="I1059" s="733"/>
      <c r="J1059" s="733"/>
      <c r="K1059" s="733"/>
      <c r="L1059" s="733"/>
      <c r="M1059" s="733"/>
    </row>
    <row r="1060" spans="1:13" x14ac:dyDescent="0.3">
      <c r="A1060" s="733" t="s">
        <v>1504</v>
      </c>
      <c r="B1060" s="733" t="s">
        <v>612</v>
      </c>
      <c r="C1060" s="733" t="s">
        <v>1509</v>
      </c>
      <c r="D1060" s="733" t="s">
        <v>21</v>
      </c>
      <c r="E1060" s="733" t="s">
        <v>614</v>
      </c>
      <c r="F1060" s="733" t="s">
        <v>615</v>
      </c>
      <c r="G1060" s="733"/>
      <c r="H1060" s="733"/>
      <c r="I1060" s="733"/>
      <c r="J1060" s="733"/>
      <c r="K1060" s="733"/>
      <c r="L1060" s="733"/>
      <c r="M1060" s="733"/>
    </row>
    <row r="1061" spans="1:13" x14ac:dyDescent="0.3">
      <c r="A1061" s="733" t="s">
        <v>1504</v>
      </c>
      <c r="B1061" s="733" t="s">
        <v>612</v>
      </c>
      <c r="C1061" s="733" t="s">
        <v>1510</v>
      </c>
      <c r="D1061" s="733" t="s">
        <v>21</v>
      </c>
      <c r="E1061" s="733" t="s">
        <v>614</v>
      </c>
      <c r="F1061" s="733" t="s">
        <v>615</v>
      </c>
      <c r="G1061" s="733"/>
      <c r="H1061" s="733"/>
      <c r="I1061" s="733"/>
      <c r="J1061" s="733"/>
      <c r="K1061" s="733"/>
      <c r="L1061" s="733"/>
      <c r="M1061" s="733"/>
    </row>
    <row r="1062" spans="1:13" x14ac:dyDescent="0.3">
      <c r="A1062" s="733" t="s">
        <v>1504</v>
      </c>
      <c r="B1062" s="733" t="s">
        <v>612</v>
      </c>
      <c r="C1062" s="733" t="s">
        <v>1368</v>
      </c>
      <c r="D1062" s="733" t="s">
        <v>21</v>
      </c>
      <c r="E1062" s="733" t="s">
        <v>614</v>
      </c>
      <c r="F1062" s="733" t="s">
        <v>615</v>
      </c>
      <c r="G1062" s="733"/>
      <c r="H1062" s="733"/>
      <c r="I1062" s="733"/>
      <c r="J1062" s="733"/>
      <c r="K1062" s="733"/>
      <c r="L1062" s="733"/>
      <c r="M1062" s="733"/>
    </row>
    <row r="1063" spans="1:13" x14ac:dyDescent="0.3">
      <c r="A1063" s="733" t="s">
        <v>1504</v>
      </c>
      <c r="B1063" s="733" t="s">
        <v>612</v>
      </c>
      <c r="C1063" s="733" t="s">
        <v>1511</v>
      </c>
      <c r="D1063" s="733" t="s">
        <v>21</v>
      </c>
      <c r="E1063" s="733" t="s">
        <v>614</v>
      </c>
      <c r="F1063" s="733" t="s">
        <v>615</v>
      </c>
      <c r="G1063" s="733"/>
      <c r="H1063" s="733"/>
      <c r="I1063" s="733"/>
      <c r="J1063" s="733"/>
      <c r="K1063" s="733"/>
      <c r="L1063" s="733"/>
      <c r="M1063" s="733"/>
    </row>
    <row r="1064" spans="1:13" x14ac:dyDescent="0.3">
      <c r="A1064" s="733" t="s">
        <v>1504</v>
      </c>
      <c r="B1064" s="733" t="s">
        <v>612</v>
      </c>
      <c r="C1064" s="733" t="s">
        <v>1512</v>
      </c>
      <c r="D1064" s="733" t="s">
        <v>21</v>
      </c>
      <c r="E1064" s="733" t="s">
        <v>614</v>
      </c>
      <c r="F1064" s="733" t="s">
        <v>615</v>
      </c>
      <c r="G1064" s="733"/>
      <c r="H1064" s="733"/>
      <c r="I1064" s="733"/>
      <c r="J1064" s="733"/>
      <c r="K1064" s="733"/>
      <c r="L1064" s="733"/>
      <c r="M1064" s="733"/>
    </row>
    <row r="1065" spans="1:13" x14ac:dyDescent="0.3">
      <c r="A1065" s="733" t="s">
        <v>1504</v>
      </c>
      <c r="B1065" s="733" t="s">
        <v>645</v>
      </c>
      <c r="C1065" s="733" t="s">
        <v>1513</v>
      </c>
      <c r="D1065" s="733" t="s">
        <v>21</v>
      </c>
      <c r="E1065" s="733" t="s">
        <v>614</v>
      </c>
      <c r="F1065" s="733" t="s">
        <v>615</v>
      </c>
      <c r="G1065" s="733"/>
      <c r="H1065" s="733"/>
      <c r="I1065" s="733"/>
      <c r="J1065" s="733"/>
      <c r="K1065" s="733"/>
      <c r="L1065" s="733"/>
      <c r="M1065" s="733"/>
    </row>
    <row r="1066" spans="1:13" x14ac:dyDescent="0.3">
      <c r="A1066" s="733" t="s">
        <v>1504</v>
      </c>
      <c r="B1066" s="733" t="s">
        <v>645</v>
      </c>
      <c r="C1066" s="733" t="s">
        <v>1383</v>
      </c>
      <c r="D1066" s="733" t="s">
        <v>21</v>
      </c>
      <c r="E1066" s="733" t="s">
        <v>614</v>
      </c>
      <c r="F1066" s="733" t="s">
        <v>615</v>
      </c>
      <c r="G1066" s="733"/>
      <c r="H1066" s="733"/>
      <c r="I1066" s="733"/>
      <c r="J1066" s="733"/>
      <c r="K1066" s="733"/>
      <c r="L1066" s="733"/>
      <c r="M1066" s="733"/>
    </row>
    <row r="1067" spans="1:13" x14ac:dyDescent="0.3">
      <c r="A1067" s="733" t="s">
        <v>1504</v>
      </c>
      <c r="B1067" s="733" t="s">
        <v>645</v>
      </c>
      <c r="C1067" s="733" t="s">
        <v>1514</v>
      </c>
      <c r="D1067" s="733" t="s">
        <v>21</v>
      </c>
      <c r="E1067" s="733" t="s">
        <v>614</v>
      </c>
      <c r="F1067" s="733" t="s">
        <v>615</v>
      </c>
      <c r="G1067" s="733"/>
      <c r="H1067" s="733"/>
      <c r="I1067" s="733"/>
      <c r="J1067" s="733"/>
      <c r="K1067" s="733"/>
      <c r="L1067" s="733"/>
      <c r="M1067" s="733"/>
    </row>
    <row r="1068" spans="1:13" x14ac:dyDescent="0.3">
      <c r="A1068" s="733" t="s">
        <v>1504</v>
      </c>
      <c r="B1068" s="733" t="s">
        <v>645</v>
      </c>
      <c r="C1068" s="733" t="s">
        <v>1515</v>
      </c>
      <c r="D1068" s="733" t="s">
        <v>21</v>
      </c>
      <c r="E1068" s="733" t="s">
        <v>614</v>
      </c>
      <c r="F1068" s="733" t="s">
        <v>615</v>
      </c>
      <c r="G1068" s="733"/>
      <c r="H1068" s="733"/>
      <c r="I1068" s="733"/>
      <c r="J1068" s="733"/>
      <c r="K1068" s="733"/>
      <c r="L1068" s="733"/>
      <c r="M1068" s="733"/>
    </row>
    <row r="1069" spans="1:13" x14ac:dyDescent="0.3">
      <c r="A1069" s="733" t="s">
        <v>1504</v>
      </c>
      <c r="B1069" s="733" t="s">
        <v>645</v>
      </c>
      <c r="C1069" s="733" t="s">
        <v>1516</v>
      </c>
      <c r="D1069" s="733" t="s">
        <v>21</v>
      </c>
      <c r="E1069" s="733" t="s">
        <v>614</v>
      </c>
      <c r="F1069" s="733" t="s">
        <v>615</v>
      </c>
      <c r="G1069" s="733"/>
      <c r="H1069" s="733"/>
      <c r="I1069" s="733"/>
      <c r="J1069" s="733"/>
      <c r="K1069" s="733"/>
      <c r="L1069" s="733"/>
      <c r="M1069" s="733"/>
    </row>
    <row r="1070" spans="1:13" x14ac:dyDescent="0.3">
      <c r="A1070" s="733" t="s">
        <v>1504</v>
      </c>
      <c r="B1070" s="733" t="s">
        <v>664</v>
      </c>
      <c r="C1070" s="733" t="s">
        <v>1517</v>
      </c>
      <c r="D1070" s="733" t="s">
        <v>21</v>
      </c>
      <c r="E1070" s="733" t="s">
        <v>614</v>
      </c>
      <c r="F1070" s="733" t="s">
        <v>615</v>
      </c>
      <c r="G1070" s="733"/>
      <c r="H1070" s="733"/>
      <c r="I1070" s="733"/>
      <c r="J1070" s="733"/>
      <c r="K1070" s="733"/>
      <c r="L1070" s="733"/>
      <c r="M1070" s="733"/>
    </row>
    <row r="1071" spans="1:13" x14ac:dyDescent="0.3">
      <c r="A1071" s="733" t="s">
        <v>1518</v>
      </c>
      <c r="B1071" s="733" t="s">
        <v>612</v>
      </c>
      <c r="C1071" s="733" t="s">
        <v>1519</v>
      </c>
      <c r="D1071" s="733" t="s">
        <v>21</v>
      </c>
      <c r="E1071" s="733" t="s">
        <v>614</v>
      </c>
      <c r="F1071" s="733" t="s">
        <v>615</v>
      </c>
      <c r="G1071" s="733"/>
      <c r="H1071" s="733"/>
      <c r="I1071" s="733"/>
      <c r="J1071" s="733"/>
      <c r="K1071" s="733"/>
      <c r="L1071" s="733"/>
      <c r="M1071" s="733"/>
    </row>
    <row r="1072" spans="1:13" x14ac:dyDescent="0.3">
      <c r="A1072" s="733" t="s">
        <v>1518</v>
      </c>
      <c r="B1072" s="733" t="s">
        <v>612</v>
      </c>
      <c r="C1072" s="733" t="s">
        <v>1520</v>
      </c>
      <c r="D1072" s="733" t="s">
        <v>21</v>
      </c>
      <c r="E1072" s="733" t="s">
        <v>614</v>
      </c>
      <c r="F1072" s="733" t="s">
        <v>615</v>
      </c>
      <c r="G1072" s="733"/>
      <c r="H1072" s="733"/>
      <c r="I1072" s="733"/>
      <c r="J1072" s="733"/>
      <c r="K1072" s="733"/>
      <c r="L1072" s="733"/>
      <c r="M1072" s="733"/>
    </row>
    <row r="1073" spans="1:13" x14ac:dyDescent="0.3">
      <c r="A1073" s="733" t="s">
        <v>1518</v>
      </c>
      <c r="B1073" s="733" t="s">
        <v>612</v>
      </c>
      <c r="C1073" s="733" t="s">
        <v>1521</v>
      </c>
      <c r="D1073" s="733" t="s">
        <v>21</v>
      </c>
      <c r="E1073" s="733" t="s">
        <v>614</v>
      </c>
      <c r="F1073" s="733" t="s">
        <v>615</v>
      </c>
      <c r="G1073" s="733"/>
      <c r="H1073" s="733"/>
      <c r="I1073" s="733"/>
      <c r="J1073" s="733"/>
      <c r="K1073" s="733"/>
      <c r="L1073" s="733"/>
      <c r="M1073" s="733"/>
    </row>
    <row r="1074" spans="1:13" x14ac:dyDescent="0.3">
      <c r="A1074" s="733" t="s">
        <v>1518</v>
      </c>
      <c r="B1074" s="733" t="s">
        <v>612</v>
      </c>
      <c r="C1074" s="733" t="s">
        <v>1448</v>
      </c>
      <c r="D1074" s="733" t="s">
        <v>21</v>
      </c>
      <c r="E1074" s="733" t="s">
        <v>614</v>
      </c>
      <c r="F1074" s="733" t="s">
        <v>615</v>
      </c>
      <c r="G1074" s="733"/>
      <c r="H1074" s="733"/>
      <c r="I1074" s="733"/>
      <c r="J1074" s="733"/>
      <c r="K1074" s="733"/>
      <c r="L1074" s="733"/>
      <c r="M1074" s="733"/>
    </row>
    <row r="1075" spans="1:13" x14ac:dyDescent="0.3">
      <c r="A1075" s="733" t="s">
        <v>1518</v>
      </c>
      <c r="B1075" s="733" t="s">
        <v>612</v>
      </c>
      <c r="C1075" s="733" t="s">
        <v>1316</v>
      </c>
      <c r="D1075" s="733" t="s">
        <v>21</v>
      </c>
      <c r="E1075" s="733" t="s">
        <v>614</v>
      </c>
      <c r="F1075" s="733" t="s">
        <v>615</v>
      </c>
      <c r="G1075" s="733"/>
      <c r="H1075" s="733"/>
      <c r="I1075" s="733"/>
      <c r="J1075" s="733"/>
      <c r="K1075" s="733"/>
      <c r="L1075" s="733"/>
      <c r="M1075" s="733"/>
    </row>
    <row r="1076" spans="1:13" x14ac:dyDescent="0.3">
      <c r="A1076" s="733" t="s">
        <v>1518</v>
      </c>
      <c r="B1076" s="733" t="s">
        <v>612</v>
      </c>
      <c r="C1076" s="733" t="s">
        <v>1318</v>
      </c>
      <c r="D1076" s="733" t="s">
        <v>21</v>
      </c>
      <c r="E1076" s="733" t="s">
        <v>614</v>
      </c>
      <c r="F1076" s="733" t="s">
        <v>615</v>
      </c>
      <c r="G1076" s="733"/>
      <c r="H1076" s="733"/>
      <c r="I1076" s="733"/>
      <c r="J1076" s="733"/>
      <c r="K1076" s="733"/>
      <c r="L1076" s="733"/>
      <c r="M1076" s="733"/>
    </row>
    <row r="1077" spans="1:13" x14ac:dyDescent="0.3">
      <c r="A1077" s="733" t="s">
        <v>1518</v>
      </c>
      <c r="B1077" s="733" t="s">
        <v>645</v>
      </c>
      <c r="C1077" s="733" t="s">
        <v>1522</v>
      </c>
      <c r="D1077" s="733" t="s">
        <v>21</v>
      </c>
      <c r="E1077" s="733" t="s">
        <v>614</v>
      </c>
      <c r="F1077" s="733" t="s">
        <v>615</v>
      </c>
      <c r="G1077" s="733"/>
      <c r="H1077" s="733"/>
      <c r="I1077" s="733"/>
      <c r="J1077" s="733"/>
      <c r="K1077" s="733"/>
      <c r="L1077" s="733"/>
      <c r="M1077" s="733"/>
    </row>
    <row r="1078" spans="1:13" x14ac:dyDescent="0.3">
      <c r="A1078" s="733" t="s">
        <v>1518</v>
      </c>
      <c r="B1078" s="733" t="s">
        <v>645</v>
      </c>
      <c r="C1078" s="733" t="s">
        <v>1523</v>
      </c>
      <c r="D1078" s="733" t="s">
        <v>21</v>
      </c>
      <c r="E1078" s="733" t="s">
        <v>614</v>
      </c>
      <c r="F1078" s="733" t="s">
        <v>615</v>
      </c>
      <c r="G1078" s="733"/>
      <c r="H1078" s="733"/>
      <c r="I1078" s="733"/>
      <c r="J1078" s="733"/>
      <c r="K1078" s="733"/>
      <c r="L1078" s="733"/>
      <c r="M1078" s="733"/>
    </row>
    <row r="1079" spans="1:13" x14ac:dyDescent="0.3">
      <c r="A1079" s="733" t="s">
        <v>1518</v>
      </c>
      <c r="B1079" s="733" t="s">
        <v>645</v>
      </c>
      <c r="C1079" s="733" t="s">
        <v>1524</v>
      </c>
      <c r="D1079" s="733" t="s">
        <v>21</v>
      </c>
      <c r="E1079" s="733" t="s">
        <v>614</v>
      </c>
      <c r="F1079" s="733" t="s">
        <v>615</v>
      </c>
      <c r="G1079" s="733"/>
      <c r="H1079" s="733"/>
      <c r="I1079" s="733"/>
      <c r="J1079" s="733"/>
      <c r="K1079" s="733"/>
      <c r="L1079" s="733"/>
      <c r="M1079" s="733"/>
    </row>
    <row r="1080" spans="1:13" x14ac:dyDescent="0.3">
      <c r="A1080" s="733" t="s">
        <v>1518</v>
      </c>
      <c r="B1080" s="733" t="s">
        <v>645</v>
      </c>
      <c r="C1080" s="733" t="s">
        <v>1464</v>
      </c>
      <c r="D1080" s="733" t="s">
        <v>21</v>
      </c>
      <c r="E1080" s="733" t="s">
        <v>614</v>
      </c>
      <c r="F1080" s="733" t="s">
        <v>615</v>
      </c>
      <c r="G1080" s="733"/>
      <c r="H1080" s="733"/>
      <c r="I1080" s="733"/>
      <c r="J1080" s="733"/>
      <c r="K1080" s="733"/>
      <c r="L1080" s="733"/>
      <c r="M1080" s="733"/>
    </row>
    <row r="1081" spans="1:13" x14ac:dyDescent="0.3">
      <c r="A1081" s="733" t="s">
        <v>1518</v>
      </c>
      <c r="B1081" s="733" t="s">
        <v>645</v>
      </c>
      <c r="C1081" s="733" t="s">
        <v>1525</v>
      </c>
      <c r="D1081" s="733" t="s">
        <v>21</v>
      </c>
      <c r="E1081" s="733" t="s">
        <v>614</v>
      </c>
      <c r="F1081" s="733" t="s">
        <v>615</v>
      </c>
      <c r="G1081" s="733"/>
      <c r="H1081" s="733"/>
      <c r="I1081" s="733"/>
      <c r="J1081" s="733"/>
      <c r="K1081" s="733"/>
      <c r="L1081" s="733"/>
      <c r="M1081" s="733"/>
    </row>
    <row r="1082" spans="1:13" x14ac:dyDescent="0.3">
      <c r="A1082" s="733" t="s">
        <v>1518</v>
      </c>
      <c r="B1082" s="733" t="s">
        <v>664</v>
      </c>
      <c r="C1082" s="733" t="s">
        <v>1475</v>
      </c>
      <c r="D1082" s="733" t="s">
        <v>21</v>
      </c>
      <c r="E1082" s="733" t="s">
        <v>614</v>
      </c>
      <c r="F1082" s="733" t="s">
        <v>615</v>
      </c>
      <c r="G1082" s="733"/>
      <c r="H1082" s="733"/>
      <c r="I1082" s="733"/>
      <c r="J1082" s="733"/>
      <c r="K1082" s="733"/>
      <c r="L1082" s="733"/>
      <c r="M1082" s="733"/>
    </row>
    <row r="1083" spans="1:13" x14ac:dyDescent="0.3">
      <c r="A1083" s="733" t="s">
        <v>1518</v>
      </c>
      <c r="B1083" s="733" t="s">
        <v>664</v>
      </c>
      <c r="C1083" s="733" t="s">
        <v>1526</v>
      </c>
      <c r="D1083" s="733" t="s">
        <v>21</v>
      </c>
      <c r="E1083" s="733" t="s">
        <v>614</v>
      </c>
      <c r="F1083" s="733" t="s">
        <v>615</v>
      </c>
      <c r="G1083" s="733"/>
      <c r="H1083" s="733"/>
      <c r="I1083" s="733"/>
      <c r="J1083" s="733"/>
      <c r="K1083" s="733"/>
      <c r="L1083" s="733"/>
      <c r="M1083" s="733"/>
    </row>
    <row r="1084" spans="1:13" x14ac:dyDescent="0.3">
      <c r="A1084" s="733" t="s">
        <v>1518</v>
      </c>
      <c r="B1084" s="733" t="s">
        <v>664</v>
      </c>
      <c r="C1084" s="733" t="s">
        <v>1527</v>
      </c>
      <c r="D1084" s="733" t="s">
        <v>21</v>
      </c>
      <c r="E1084" s="733" t="s">
        <v>614</v>
      </c>
      <c r="F1084" s="733" t="s">
        <v>615</v>
      </c>
      <c r="G1084" s="733"/>
      <c r="H1084" s="733"/>
      <c r="I1084" s="733"/>
      <c r="J1084" s="733"/>
      <c r="K1084" s="733"/>
      <c r="L1084" s="733"/>
      <c r="M1084" s="733"/>
    </row>
    <row r="1085" spans="1:13" x14ac:dyDescent="0.3">
      <c r="A1085" s="733" t="s">
        <v>1518</v>
      </c>
      <c r="B1085" s="733" t="s">
        <v>664</v>
      </c>
      <c r="C1085" s="733" t="s">
        <v>1478</v>
      </c>
      <c r="D1085" s="733" t="s">
        <v>21</v>
      </c>
      <c r="E1085" s="733" t="s">
        <v>614</v>
      </c>
      <c r="F1085" s="733" t="s">
        <v>615</v>
      </c>
      <c r="G1085" s="733"/>
      <c r="H1085" s="733"/>
      <c r="I1085" s="733"/>
      <c r="J1085" s="733"/>
      <c r="K1085" s="733"/>
      <c r="L1085" s="733"/>
      <c r="M1085" s="733"/>
    </row>
    <row r="1086" spans="1:13" x14ac:dyDescent="0.3">
      <c r="A1086" s="733" t="s">
        <v>1518</v>
      </c>
      <c r="B1086" s="733" t="s">
        <v>664</v>
      </c>
      <c r="C1086" s="733" t="s">
        <v>1479</v>
      </c>
      <c r="D1086" s="733" t="s">
        <v>21</v>
      </c>
      <c r="E1086" s="733" t="s">
        <v>614</v>
      </c>
      <c r="F1086" s="733" t="s">
        <v>615</v>
      </c>
      <c r="G1086" s="733"/>
      <c r="H1086" s="733"/>
      <c r="I1086" s="733"/>
      <c r="J1086" s="733"/>
      <c r="K1086" s="733"/>
      <c r="L1086" s="733"/>
      <c r="M1086" s="733"/>
    </row>
    <row r="1087" spans="1:13" x14ac:dyDescent="0.3">
      <c r="A1087" s="733" t="s">
        <v>1528</v>
      </c>
      <c r="B1087" s="733" t="s">
        <v>612</v>
      </c>
      <c r="C1087" s="733" t="s">
        <v>1529</v>
      </c>
      <c r="D1087" s="733" t="s">
        <v>21</v>
      </c>
      <c r="E1087" s="761"/>
      <c r="F1087" s="761"/>
      <c r="G1087" s="733"/>
      <c r="H1087" s="733"/>
      <c r="I1087" s="733"/>
      <c r="J1087" s="733"/>
      <c r="K1087" s="733"/>
      <c r="L1087" s="733"/>
      <c r="M1087" s="733"/>
    </row>
    <row r="1088" spans="1:13" x14ac:dyDescent="0.3">
      <c r="A1088" s="733" t="s">
        <v>1528</v>
      </c>
      <c r="B1088" s="733" t="s">
        <v>612</v>
      </c>
      <c r="C1088" s="733" t="s">
        <v>1530</v>
      </c>
      <c r="D1088" s="733" t="s">
        <v>21</v>
      </c>
      <c r="E1088" s="761"/>
      <c r="F1088" s="761"/>
      <c r="G1088" s="733"/>
      <c r="H1088" s="733"/>
      <c r="I1088" s="733"/>
      <c r="J1088" s="733"/>
      <c r="K1088" s="733"/>
      <c r="L1088" s="733"/>
      <c r="M1088" s="733"/>
    </row>
    <row r="1089" spans="1:13" x14ac:dyDescent="0.3">
      <c r="A1089" s="733" t="s">
        <v>1528</v>
      </c>
      <c r="B1089" s="733" t="s">
        <v>612</v>
      </c>
      <c r="C1089" s="733" t="s">
        <v>1531</v>
      </c>
      <c r="D1089" s="733" t="s">
        <v>21</v>
      </c>
      <c r="E1089" s="761"/>
      <c r="F1089" s="761"/>
      <c r="G1089" s="733"/>
      <c r="H1089" s="733"/>
      <c r="I1089" s="733"/>
      <c r="J1089" s="733"/>
      <c r="K1089" s="733"/>
      <c r="L1089" s="733"/>
      <c r="M1089" s="733"/>
    </row>
    <row r="1090" spans="1:13" x14ac:dyDescent="0.3">
      <c r="A1090" s="733" t="s">
        <v>1528</v>
      </c>
      <c r="B1090" s="733" t="s">
        <v>612</v>
      </c>
      <c r="C1090" s="733" t="s">
        <v>1532</v>
      </c>
      <c r="D1090" s="733" t="s">
        <v>21</v>
      </c>
      <c r="E1090" s="761"/>
      <c r="F1090" s="761"/>
      <c r="G1090" s="733"/>
      <c r="H1090" s="733"/>
      <c r="I1090" s="733"/>
      <c r="J1090" s="733"/>
      <c r="K1090" s="733"/>
      <c r="L1090" s="733"/>
      <c r="M1090" s="733"/>
    </row>
    <row r="1091" spans="1:13" x14ac:dyDescent="0.3">
      <c r="A1091" s="733" t="s">
        <v>1528</v>
      </c>
      <c r="B1091" s="733" t="s">
        <v>612</v>
      </c>
      <c r="C1091" s="733" t="s">
        <v>1533</v>
      </c>
      <c r="D1091" s="733" t="s">
        <v>21</v>
      </c>
      <c r="E1091" s="761"/>
      <c r="F1091" s="761"/>
      <c r="G1091" s="733"/>
      <c r="H1091" s="733"/>
      <c r="I1091" s="733"/>
      <c r="J1091" s="733"/>
      <c r="K1091" s="733"/>
      <c r="L1091" s="733"/>
      <c r="M1091" s="733"/>
    </row>
    <row r="1092" spans="1:13" x14ac:dyDescent="0.3">
      <c r="A1092" s="733" t="s">
        <v>1528</v>
      </c>
      <c r="B1092" s="733" t="s">
        <v>645</v>
      </c>
      <c r="C1092" s="733" t="s">
        <v>1534</v>
      </c>
      <c r="D1092" s="733" t="s">
        <v>21</v>
      </c>
      <c r="E1092" s="761"/>
      <c r="F1092" s="761"/>
      <c r="G1092" s="733"/>
      <c r="H1092" s="733"/>
      <c r="I1092" s="733"/>
      <c r="J1092" s="733"/>
      <c r="K1092" s="733"/>
      <c r="L1092" s="733"/>
      <c r="M1092" s="733"/>
    </row>
    <row r="1093" spans="1:13" x14ac:dyDescent="0.3">
      <c r="A1093" s="733" t="s">
        <v>1528</v>
      </c>
      <c r="B1093" s="733" t="s">
        <v>645</v>
      </c>
      <c r="C1093" s="733" t="s">
        <v>1535</v>
      </c>
      <c r="D1093" s="733" t="s">
        <v>21</v>
      </c>
      <c r="E1093" s="761"/>
      <c r="F1093" s="761"/>
      <c r="G1093" s="733"/>
      <c r="H1093" s="733"/>
      <c r="I1093" s="733"/>
      <c r="J1093" s="733"/>
      <c r="K1093" s="733"/>
      <c r="L1093" s="733"/>
      <c r="M1093" s="733"/>
    </row>
    <row r="1094" spans="1:13" x14ac:dyDescent="0.3">
      <c r="A1094" s="733" t="s">
        <v>1528</v>
      </c>
      <c r="B1094" s="733" t="s">
        <v>645</v>
      </c>
      <c r="C1094" s="733" t="s">
        <v>1536</v>
      </c>
      <c r="D1094" s="733" t="s">
        <v>21</v>
      </c>
      <c r="E1094" s="761"/>
      <c r="F1094" s="761"/>
      <c r="G1094" s="733"/>
      <c r="H1094" s="733"/>
      <c r="I1094" s="733"/>
      <c r="J1094" s="733"/>
      <c r="K1094" s="733"/>
      <c r="L1094" s="733"/>
      <c r="M1094" s="733"/>
    </row>
    <row r="1095" spans="1:13" x14ac:dyDescent="0.3">
      <c r="A1095" s="733" t="s">
        <v>1528</v>
      </c>
      <c r="B1095" s="733" t="s">
        <v>645</v>
      </c>
      <c r="C1095" s="733" t="s">
        <v>1537</v>
      </c>
      <c r="D1095" s="733" t="s">
        <v>21</v>
      </c>
      <c r="E1095" s="761"/>
      <c r="F1095" s="761"/>
      <c r="G1095" s="733"/>
      <c r="H1095" s="733"/>
      <c r="I1095" s="733"/>
      <c r="J1095" s="733"/>
      <c r="K1095" s="733"/>
      <c r="L1095" s="733"/>
      <c r="M1095" s="733"/>
    </row>
    <row r="1096" spans="1:13" x14ac:dyDescent="0.3">
      <c r="A1096" s="733" t="s">
        <v>1528</v>
      </c>
      <c r="B1096" s="733" t="s">
        <v>645</v>
      </c>
      <c r="C1096" s="733" t="s">
        <v>1538</v>
      </c>
      <c r="D1096" s="733" t="s">
        <v>21</v>
      </c>
      <c r="E1096" s="761"/>
      <c r="F1096" s="761"/>
      <c r="G1096" s="733"/>
      <c r="H1096" s="733"/>
      <c r="I1096" s="733"/>
      <c r="J1096" s="733"/>
      <c r="K1096" s="733"/>
      <c r="L1096" s="733"/>
      <c r="M1096" s="733"/>
    </row>
    <row r="1097" spans="1:13" x14ac:dyDescent="0.3">
      <c r="A1097" s="733" t="s">
        <v>1528</v>
      </c>
      <c r="B1097" s="733" t="s">
        <v>664</v>
      </c>
      <c r="C1097" s="733" t="s">
        <v>1539</v>
      </c>
      <c r="D1097" s="733" t="s">
        <v>21</v>
      </c>
      <c r="E1097" s="761"/>
      <c r="F1097" s="761"/>
      <c r="G1097" s="733"/>
      <c r="H1097" s="733"/>
      <c r="I1097" s="733"/>
      <c r="J1097" s="733"/>
      <c r="K1097" s="733"/>
      <c r="L1097" s="733"/>
      <c r="M1097" s="733"/>
    </row>
    <row r="1098" spans="1:13" x14ac:dyDescent="0.3">
      <c r="A1098" s="733" t="s">
        <v>1528</v>
      </c>
      <c r="B1098" s="733" t="s">
        <v>664</v>
      </c>
      <c r="C1098" s="733" t="s">
        <v>1540</v>
      </c>
      <c r="D1098" s="733" t="s">
        <v>21</v>
      </c>
      <c r="E1098" s="761"/>
      <c r="F1098" s="761"/>
      <c r="G1098" s="733"/>
      <c r="H1098" s="733"/>
      <c r="I1098" s="733"/>
      <c r="J1098" s="733"/>
      <c r="K1098" s="733"/>
      <c r="L1098" s="733"/>
      <c r="M1098" s="733"/>
    </row>
    <row r="1099" spans="1:13" x14ac:dyDescent="0.3">
      <c r="A1099" s="733" t="s">
        <v>1528</v>
      </c>
      <c r="B1099" s="733" t="s">
        <v>664</v>
      </c>
      <c r="C1099" s="733" t="s">
        <v>1541</v>
      </c>
      <c r="D1099" s="733" t="s">
        <v>21</v>
      </c>
      <c r="E1099" s="761"/>
      <c r="F1099" s="761"/>
      <c r="G1099" s="733"/>
      <c r="H1099" s="733"/>
      <c r="I1099" s="733"/>
      <c r="J1099" s="733"/>
      <c r="K1099" s="733"/>
      <c r="L1099" s="733"/>
      <c r="M1099" s="733"/>
    </row>
    <row r="1100" spans="1:13" x14ac:dyDescent="0.3">
      <c r="A1100" s="733" t="s">
        <v>1528</v>
      </c>
      <c r="B1100" s="733" t="s">
        <v>664</v>
      </c>
      <c r="C1100" s="733" t="s">
        <v>1542</v>
      </c>
      <c r="D1100" s="733" t="s">
        <v>21</v>
      </c>
      <c r="E1100" s="761"/>
      <c r="F1100" s="761"/>
      <c r="G1100" s="733"/>
      <c r="H1100" s="733"/>
      <c r="I1100" s="733"/>
      <c r="J1100" s="733"/>
      <c r="K1100" s="733"/>
      <c r="L1100" s="733"/>
      <c r="M1100" s="733"/>
    </row>
    <row r="1101" spans="1:13" x14ac:dyDescent="0.3">
      <c r="A1101" s="733" t="s">
        <v>1528</v>
      </c>
      <c r="B1101" s="733" t="s">
        <v>664</v>
      </c>
      <c r="C1101" s="733" t="s">
        <v>1543</v>
      </c>
      <c r="D1101" s="733" t="s">
        <v>21</v>
      </c>
      <c r="E1101" s="761"/>
      <c r="F1101" s="761"/>
      <c r="G1101" s="733"/>
      <c r="H1101" s="733"/>
      <c r="I1101" s="733"/>
      <c r="J1101" s="733"/>
      <c r="K1101" s="733"/>
      <c r="L1101" s="733"/>
      <c r="M1101" s="733"/>
    </row>
    <row r="1102" spans="1:13" x14ac:dyDescent="0.3">
      <c r="A1102" s="733" t="s">
        <v>1544</v>
      </c>
      <c r="B1102" s="733" t="s">
        <v>612</v>
      </c>
      <c r="C1102" s="733" t="s">
        <v>1545</v>
      </c>
      <c r="D1102" s="733" t="s">
        <v>21</v>
      </c>
      <c r="E1102" s="761"/>
      <c r="F1102" s="761"/>
      <c r="G1102" s="733"/>
      <c r="H1102" s="733"/>
      <c r="I1102" s="733"/>
      <c r="J1102" s="733"/>
      <c r="K1102" s="733"/>
      <c r="L1102" s="733"/>
      <c r="M1102" s="733"/>
    </row>
    <row r="1103" spans="1:13" x14ac:dyDescent="0.3">
      <c r="A1103" s="733" t="s">
        <v>1544</v>
      </c>
      <c r="B1103" s="733" t="s">
        <v>612</v>
      </c>
      <c r="C1103" s="733" t="s">
        <v>1546</v>
      </c>
      <c r="D1103" s="733" t="s">
        <v>21</v>
      </c>
      <c r="E1103" s="761"/>
      <c r="F1103" s="761"/>
      <c r="G1103" s="733"/>
      <c r="H1103" s="733"/>
      <c r="I1103" s="733"/>
      <c r="J1103" s="733"/>
      <c r="K1103" s="733"/>
      <c r="L1103" s="733"/>
      <c r="M1103" s="733"/>
    </row>
    <row r="1104" spans="1:13" x14ac:dyDescent="0.3">
      <c r="A1104" s="733" t="s">
        <v>1544</v>
      </c>
      <c r="B1104" s="733" t="s">
        <v>612</v>
      </c>
      <c r="C1104" s="733" t="s">
        <v>1547</v>
      </c>
      <c r="D1104" s="733" t="s">
        <v>21</v>
      </c>
      <c r="E1104" s="761"/>
      <c r="F1104" s="761"/>
      <c r="G1104" s="733"/>
      <c r="H1104" s="733"/>
      <c r="I1104" s="733"/>
      <c r="J1104" s="733"/>
      <c r="K1104" s="733"/>
      <c r="L1104" s="733"/>
      <c r="M1104" s="733"/>
    </row>
    <row r="1105" spans="1:13" x14ac:dyDescent="0.3">
      <c r="A1105" s="733" t="s">
        <v>1544</v>
      </c>
      <c r="B1105" s="733" t="s">
        <v>612</v>
      </c>
      <c r="C1105" s="733" t="s">
        <v>1548</v>
      </c>
      <c r="D1105" s="733" t="s">
        <v>21</v>
      </c>
      <c r="E1105" s="761"/>
      <c r="F1105" s="761"/>
      <c r="G1105" s="733"/>
      <c r="H1105" s="733"/>
      <c r="I1105" s="733"/>
      <c r="J1105" s="733"/>
      <c r="K1105" s="733"/>
      <c r="L1105" s="733"/>
      <c r="M1105" s="733"/>
    </row>
    <row r="1106" spans="1:13" x14ac:dyDescent="0.3">
      <c r="A1106" s="733" t="s">
        <v>1544</v>
      </c>
      <c r="B1106" s="733" t="s">
        <v>612</v>
      </c>
      <c r="C1106" s="733" t="s">
        <v>1549</v>
      </c>
      <c r="D1106" s="733" t="s">
        <v>21</v>
      </c>
      <c r="E1106" s="761"/>
      <c r="F1106" s="761"/>
      <c r="G1106" s="733"/>
      <c r="H1106" s="733"/>
      <c r="I1106" s="733"/>
      <c r="J1106" s="733"/>
      <c r="K1106" s="733"/>
      <c r="L1106" s="733"/>
      <c r="M1106" s="733"/>
    </row>
    <row r="1107" spans="1:13" x14ac:dyDescent="0.3">
      <c r="A1107" s="733" t="s">
        <v>1544</v>
      </c>
      <c r="B1107" s="733" t="s">
        <v>645</v>
      </c>
      <c r="C1107" s="733" t="s">
        <v>1550</v>
      </c>
      <c r="D1107" s="733" t="s">
        <v>21</v>
      </c>
      <c r="E1107" s="761"/>
      <c r="F1107" s="761"/>
      <c r="G1107" s="733"/>
      <c r="H1107" s="733"/>
      <c r="I1107" s="733"/>
      <c r="J1107" s="733"/>
      <c r="K1107" s="733"/>
      <c r="L1107" s="733"/>
      <c r="M1107" s="733"/>
    </row>
    <row r="1108" spans="1:13" x14ac:dyDescent="0.3">
      <c r="A1108" s="733" t="s">
        <v>1544</v>
      </c>
      <c r="B1108" s="733" t="s">
        <v>645</v>
      </c>
      <c r="C1108" s="733" t="s">
        <v>1551</v>
      </c>
      <c r="D1108" s="733" t="s">
        <v>21</v>
      </c>
      <c r="E1108" s="761"/>
      <c r="F1108" s="761"/>
      <c r="G1108" s="733"/>
      <c r="H1108" s="733"/>
      <c r="I1108" s="733"/>
      <c r="J1108" s="733"/>
      <c r="K1108" s="733"/>
      <c r="L1108" s="733"/>
      <c r="M1108" s="733"/>
    </row>
    <row r="1109" spans="1:13" x14ac:dyDescent="0.3">
      <c r="A1109" s="733" t="s">
        <v>1544</v>
      </c>
      <c r="B1109" s="733" t="s">
        <v>645</v>
      </c>
      <c r="C1109" s="733" t="s">
        <v>1552</v>
      </c>
      <c r="D1109" s="733" t="s">
        <v>21</v>
      </c>
      <c r="E1109" s="761"/>
      <c r="F1109" s="761"/>
      <c r="G1109" s="733"/>
      <c r="H1109" s="733"/>
      <c r="I1109" s="733"/>
      <c r="J1109" s="733"/>
      <c r="K1109" s="733"/>
      <c r="L1109" s="733"/>
      <c r="M1109" s="733"/>
    </row>
    <row r="1110" spans="1:13" x14ac:dyDescent="0.3">
      <c r="A1110" s="733" t="s">
        <v>1544</v>
      </c>
      <c r="B1110" s="733" t="s">
        <v>645</v>
      </c>
      <c r="C1110" s="733" t="s">
        <v>1553</v>
      </c>
      <c r="D1110" s="733" t="s">
        <v>21</v>
      </c>
      <c r="E1110" s="761"/>
      <c r="F1110" s="761"/>
      <c r="G1110" s="733"/>
      <c r="H1110" s="733"/>
      <c r="I1110" s="733"/>
      <c r="J1110" s="733"/>
      <c r="K1110" s="733"/>
      <c r="L1110" s="733"/>
      <c r="M1110" s="733"/>
    </row>
    <row r="1111" spans="1:13" x14ac:dyDescent="0.3">
      <c r="A1111" s="733" t="s">
        <v>1544</v>
      </c>
      <c r="B1111" s="733" t="s">
        <v>645</v>
      </c>
      <c r="C1111" s="733" t="s">
        <v>1554</v>
      </c>
      <c r="D1111" s="733" t="s">
        <v>21</v>
      </c>
      <c r="E1111" s="761"/>
      <c r="F1111" s="761"/>
      <c r="G1111" s="733"/>
      <c r="H1111" s="733"/>
      <c r="I1111" s="733"/>
      <c r="J1111" s="733"/>
      <c r="K1111" s="733"/>
      <c r="L1111" s="733"/>
      <c r="M1111" s="733"/>
    </row>
    <row r="1112" spans="1:13" x14ac:dyDescent="0.3">
      <c r="A1112" s="733" t="s">
        <v>1544</v>
      </c>
      <c r="B1112" s="733" t="s">
        <v>664</v>
      </c>
      <c r="C1112" s="733" t="s">
        <v>1555</v>
      </c>
      <c r="D1112" s="733" t="s">
        <v>21</v>
      </c>
      <c r="E1112" s="761"/>
      <c r="F1112" s="761"/>
      <c r="G1112" s="733"/>
      <c r="H1112" s="733"/>
      <c r="I1112" s="733"/>
      <c r="J1112" s="733"/>
      <c r="K1112" s="733"/>
      <c r="L1112" s="733"/>
      <c r="M1112" s="733"/>
    </row>
    <row r="1113" spans="1:13" x14ac:dyDescent="0.3">
      <c r="A1113" s="733" t="s">
        <v>1544</v>
      </c>
      <c r="B1113" s="733" t="s">
        <v>664</v>
      </c>
      <c r="C1113" s="733" t="s">
        <v>1556</v>
      </c>
      <c r="D1113" s="733" t="s">
        <v>21</v>
      </c>
      <c r="E1113" s="761"/>
      <c r="F1113" s="761"/>
      <c r="G1113" s="733"/>
      <c r="H1113" s="733"/>
      <c r="I1113" s="733"/>
      <c r="J1113" s="733"/>
      <c r="K1113" s="733"/>
      <c r="L1113" s="733"/>
      <c r="M1113" s="733"/>
    </row>
    <row r="1114" spans="1:13" x14ac:dyDescent="0.3">
      <c r="A1114" s="733" t="s">
        <v>1544</v>
      </c>
      <c r="B1114" s="733" t="s">
        <v>664</v>
      </c>
      <c r="C1114" s="733" t="s">
        <v>1557</v>
      </c>
      <c r="D1114" s="733" t="s">
        <v>21</v>
      </c>
      <c r="E1114" s="761"/>
      <c r="F1114" s="761"/>
      <c r="G1114" s="733"/>
      <c r="H1114" s="733"/>
      <c r="I1114" s="733"/>
      <c r="J1114" s="733"/>
      <c r="K1114" s="733"/>
      <c r="L1114" s="733"/>
      <c r="M1114" s="733"/>
    </row>
    <row r="1115" spans="1:13" x14ac:dyDescent="0.3">
      <c r="A1115" s="733" t="s">
        <v>1544</v>
      </c>
      <c r="B1115" s="733" t="s">
        <v>664</v>
      </c>
      <c r="C1115" s="733" t="s">
        <v>1558</v>
      </c>
      <c r="D1115" s="733" t="s">
        <v>21</v>
      </c>
      <c r="E1115" s="761"/>
      <c r="F1115" s="761"/>
      <c r="G1115" s="733"/>
      <c r="H1115" s="733"/>
      <c r="I1115" s="733"/>
      <c r="J1115" s="733"/>
      <c r="K1115" s="733"/>
      <c r="L1115" s="733"/>
      <c r="M1115" s="733"/>
    </row>
    <row r="1116" spans="1:13" x14ac:dyDescent="0.3">
      <c r="A1116" s="733" t="s">
        <v>1544</v>
      </c>
      <c r="B1116" s="733" t="s">
        <v>664</v>
      </c>
      <c r="C1116" s="733" t="s">
        <v>1559</v>
      </c>
      <c r="D1116" s="733" t="s">
        <v>21</v>
      </c>
      <c r="E1116" s="761"/>
      <c r="F1116" s="761"/>
      <c r="G1116" s="733"/>
      <c r="H1116" s="733"/>
      <c r="I1116" s="733"/>
      <c r="J1116" s="733"/>
      <c r="K1116" s="733"/>
      <c r="L1116" s="733"/>
      <c r="M1116" s="733"/>
    </row>
    <row r="1117" spans="1:13" x14ac:dyDescent="0.3">
      <c r="A1117" s="733" t="s">
        <v>1560</v>
      </c>
      <c r="B1117" s="733" t="s">
        <v>612</v>
      </c>
      <c r="C1117" s="733" t="s">
        <v>1561</v>
      </c>
      <c r="D1117" s="733" t="s">
        <v>21</v>
      </c>
      <c r="E1117" s="733" t="s">
        <v>614</v>
      </c>
      <c r="F1117" s="733" t="s">
        <v>615</v>
      </c>
      <c r="G1117" s="733"/>
      <c r="H1117" s="733"/>
      <c r="I1117" s="733"/>
      <c r="J1117" s="733"/>
      <c r="K1117" s="733"/>
      <c r="L1117" s="733"/>
      <c r="M1117" s="733"/>
    </row>
    <row r="1118" spans="1:13" x14ac:dyDescent="0.3">
      <c r="A1118" s="733" t="s">
        <v>1560</v>
      </c>
      <c r="B1118" s="733" t="s">
        <v>612</v>
      </c>
      <c r="C1118" s="733" t="s">
        <v>1562</v>
      </c>
      <c r="D1118" s="733" t="s">
        <v>21</v>
      </c>
      <c r="E1118" s="733" t="s">
        <v>614</v>
      </c>
      <c r="F1118" s="733" t="s">
        <v>615</v>
      </c>
      <c r="G1118" s="733"/>
      <c r="H1118" s="733"/>
      <c r="I1118" s="733"/>
      <c r="J1118" s="733"/>
      <c r="K1118" s="733"/>
      <c r="L1118" s="733"/>
      <c r="M1118" s="733"/>
    </row>
    <row r="1119" spans="1:13" x14ac:dyDescent="0.3">
      <c r="A1119" s="733" t="s">
        <v>1560</v>
      </c>
      <c r="B1119" s="733" t="s">
        <v>612</v>
      </c>
      <c r="C1119" s="733" t="s">
        <v>1563</v>
      </c>
      <c r="D1119" s="733" t="s">
        <v>21</v>
      </c>
      <c r="E1119" s="733" t="s">
        <v>614</v>
      </c>
      <c r="F1119" s="733" t="s">
        <v>615</v>
      </c>
      <c r="G1119" s="733"/>
      <c r="H1119" s="733"/>
      <c r="I1119" s="733"/>
      <c r="J1119" s="733"/>
      <c r="K1119" s="733"/>
      <c r="L1119" s="733"/>
      <c r="M1119" s="733"/>
    </row>
    <row r="1120" spans="1:13" x14ac:dyDescent="0.3">
      <c r="A1120" s="733" t="s">
        <v>1560</v>
      </c>
      <c r="B1120" s="733" t="s">
        <v>612</v>
      </c>
      <c r="C1120" s="733" t="s">
        <v>1564</v>
      </c>
      <c r="D1120" s="733" t="s">
        <v>21</v>
      </c>
      <c r="E1120" s="733" t="s">
        <v>614</v>
      </c>
      <c r="F1120" s="733" t="s">
        <v>615</v>
      </c>
      <c r="G1120" s="733"/>
      <c r="H1120" s="733"/>
      <c r="I1120" s="733"/>
      <c r="J1120" s="733"/>
      <c r="K1120" s="733"/>
      <c r="L1120" s="733"/>
      <c r="M1120" s="733"/>
    </row>
    <row r="1121" spans="1:13" x14ac:dyDescent="0.3">
      <c r="A1121" s="733" t="s">
        <v>1560</v>
      </c>
      <c r="B1121" s="733" t="s">
        <v>612</v>
      </c>
      <c r="C1121" s="733" t="s">
        <v>1565</v>
      </c>
      <c r="D1121" s="733" t="s">
        <v>21</v>
      </c>
      <c r="E1121" s="733" t="s">
        <v>614</v>
      </c>
      <c r="F1121" s="733" t="s">
        <v>615</v>
      </c>
      <c r="G1121" s="733"/>
      <c r="H1121" s="733"/>
      <c r="I1121" s="733"/>
      <c r="J1121" s="733"/>
      <c r="K1121" s="733"/>
      <c r="L1121" s="733"/>
      <c r="M1121" s="733"/>
    </row>
    <row r="1122" spans="1:13" x14ac:dyDescent="0.3">
      <c r="A1122" s="733" t="s">
        <v>1560</v>
      </c>
      <c r="B1122" s="733" t="s">
        <v>612</v>
      </c>
      <c r="C1122" s="733" t="s">
        <v>1566</v>
      </c>
      <c r="D1122" s="733" t="s">
        <v>21</v>
      </c>
      <c r="E1122" s="733" t="s">
        <v>614</v>
      </c>
      <c r="F1122" s="733" t="s">
        <v>615</v>
      </c>
      <c r="G1122" s="733"/>
      <c r="H1122" s="733"/>
      <c r="I1122" s="733"/>
      <c r="J1122" s="733"/>
      <c r="K1122" s="733"/>
      <c r="L1122" s="733"/>
      <c r="M1122" s="733"/>
    </row>
    <row r="1123" spans="1:13" x14ac:dyDescent="0.3">
      <c r="A1123" s="733" t="s">
        <v>1567</v>
      </c>
      <c r="B1123" s="733" t="s">
        <v>612</v>
      </c>
      <c r="C1123" s="733" t="s">
        <v>1568</v>
      </c>
      <c r="D1123" s="733" t="s">
        <v>21</v>
      </c>
      <c r="E1123" s="733" t="s">
        <v>614</v>
      </c>
      <c r="F1123" s="733" t="s">
        <v>615</v>
      </c>
      <c r="G1123" s="733"/>
      <c r="H1123" s="733"/>
      <c r="I1123" s="733"/>
      <c r="J1123" s="733"/>
      <c r="K1123" s="733"/>
      <c r="L1123" s="733"/>
      <c r="M1123" s="733"/>
    </row>
    <row r="1124" spans="1:13" x14ac:dyDescent="0.3">
      <c r="A1124" s="733" t="s">
        <v>1567</v>
      </c>
      <c r="B1124" s="733" t="s">
        <v>612</v>
      </c>
      <c r="C1124" s="733" t="s">
        <v>974</v>
      </c>
      <c r="D1124" s="733" t="s">
        <v>21</v>
      </c>
      <c r="E1124" s="733" t="s">
        <v>614</v>
      </c>
      <c r="F1124" s="733" t="s">
        <v>615</v>
      </c>
      <c r="G1124" s="733"/>
      <c r="H1124" s="733"/>
      <c r="I1124" s="733"/>
      <c r="J1124" s="733"/>
      <c r="K1124" s="733"/>
      <c r="L1124" s="733"/>
      <c r="M1124" s="733"/>
    </row>
    <row r="1125" spans="1:13" x14ac:dyDescent="0.3">
      <c r="A1125" s="733" t="s">
        <v>1567</v>
      </c>
      <c r="B1125" s="733" t="s">
        <v>612</v>
      </c>
      <c r="C1125" s="733" t="s">
        <v>1569</v>
      </c>
      <c r="D1125" s="733" t="s">
        <v>21</v>
      </c>
      <c r="E1125" s="733" t="s">
        <v>614</v>
      </c>
      <c r="F1125" s="733" t="s">
        <v>615</v>
      </c>
      <c r="G1125" s="733"/>
      <c r="H1125" s="733"/>
      <c r="I1125" s="733"/>
      <c r="J1125" s="733"/>
      <c r="K1125" s="733"/>
      <c r="L1125" s="733"/>
      <c r="M1125" s="733"/>
    </row>
    <row r="1126" spans="1:13" x14ac:dyDescent="0.3">
      <c r="A1126" s="733" t="s">
        <v>1567</v>
      </c>
      <c r="B1126" s="733" t="s">
        <v>612</v>
      </c>
      <c r="C1126" s="733" t="s">
        <v>1570</v>
      </c>
      <c r="D1126" s="733" t="s">
        <v>21</v>
      </c>
      <c r="E1126" s="733" t="s">
        <v>614</v>
      </c>
      <c r="F1126" s="733" t="s">
        <v>615</v>
      </c>
      <c r="G1126" s="733"/>
      <c r="H1126" s="733"/>
      <c r="I1126" s="733"/>
      <c r="J1126" s="733"/>
      <c r="K1126" s="733"/>
      <c r="L1126" s="733"/>
      <c r="M1126" s="733"/>
    </row>
    <row r="1127" spans="1:13" x14ac:dyDescent="0.3">
      <c r="A1127" s="733" t="s">
        <v>1567</v>
      </c>
      <c r="B1127" s="733" t="s">
        <v>612</v>
      </c>
      <c r="C1127" s="733" t="s">
        <v>1571</v>
      </c>
      <c r="D1127" s="733" t="s">
        <v>21</v>
      </c>
      <c r="E1127" s="733" t="s">
        <v>614</v>
      </c>
      <c r="F1127" s="733" t="s">
        <v>615</v>
      </c>
      <c r="G1127" s="733"/>
      <c r="H1127" s="733"/>
      <c r="I1127" s="733"/>
      <c r="J1127" s="733"/>
      <c r="K1127" s="733"/>
      <c r="L1127" s="733"/>
      <c r="M1127" s="733"/>
    </row>
    <row r="1128" spans="1:13" x14ac:dyDescent="0.3">
      <c r="A1128" s="733" t="s">
        <v>1567</v>
      </c>
      <c r="B1128" s="733" t="s">
        <v>612</v>
      </c>
      <c r="C1128" s="733" t="s">
        <v>1572</v>
      </c>
      <c r="D1128" s="733" t="s">
        <v>21</v>
      </c>
      <c r="E1128" s="733" t="s">
        <v>614</v>
      </c>
      <c r="F1128" s="733" t="s">
        <v>615</v>
      </c>
      <c r="G1128" s="733"/>
      <c r="H1128" s="733"/>
      <c r="I1128" s="733"/>
      <c r="J1128" s="733"/>
      <c r="K1128" s="733"/>
      <c r="L1128" s="733"/>
      <c r="M1128" s="733"/>
    </row>
    <row r="1129" spans="1:13" x14ac:dyDescent="0.3">
      <c r="A1129" s="733" t="s">
        <v>1573</v>
      </c>
      <c r="B1129" s="733" t="s">
        <v>612</v>
      </c>
      <c r="C1129" s="733" t="s">
        <v>973</v>
      </c>
      <c r="D1129" s="733" t="s">
        <v>21</v>
      </c>
      <c r="E1129" s="733" t="s">
        <v>614</v>
      </c>
      <c r="F1129" s="733" t="s">
        <v>615</v>
      </c>
      <c r="G1129" s="733"/>
      <c r="H1129" s="733"/>
      <c r="I1129" s="733"/>
      <c r="J1129" s="733"/>
      <c r="K1129" s="733"/>
      <c r="L1129" s="733"/>
      <c r="M1129" s="733"/>
    </row>
    <row r="1130" spans="1:13" x14ac:dyDescent="0.3">
      <c r="A1130" s="733" t="s">
        <v>1573</v>
      </c>
      <c r="B1130" s="733" t="s">
        <v>612</v>
      </c>
      <c r="C1130" s="733" t="s">
        <v>1574</v>
      </c>
      <c r="D1130" s="733" t="s">
        <v>21</v>
      </c>
      <c r="E1130" s="733" t="s">
        <v>614</v>
      </c>
      <c r="F1130" s="733" t="s">
        <v>615</v>
      </c>
      <c r="G1130" s="733"/>
      <c r="H1130" s="733"/>
      <c r="I1130" s="733"/>
      <c r="J1130" s="733"/>
      <c r="K1130" s="733"/>
      <c r="L1130" s="733"/>
      <c r="M1130" s="733"/>
    </row>
    <row r="1131" spans="1:13" x14ac:dyDescent="0.3">
      <c r="A1131" s="733" t="s">
        <v>1573</v>
      </c>
      <c r="B1131" s="733" t="s">
        <v>612</v>
      </c>
      <c r="C1131" s="733" t="s">
        <v>1575</v>
      </c>
      <c r="D1131" s="733" t="s">
        <v>21</v>
      </c>
      <c r="E1131" s="733" t="s">
        <v>614</v>
      </c>
      <c r="F1131" s="733" t="s">
        <v>615</v>
      </c>
      <c r="G1131" s="733"/>
      <c r="H1131" s="733"/>
      <c r="I1131" s="733"/>
      <c r="J1131" s="733"/>
      <c r="K1131" s="733"/>
      <c r="L1131" s="733"/>
      <c r="M1131" s="733"/>
    </row>
    <row r="1132" spans="1:13" x14ac:dyDescent="0.3">
      <c r="A1132" s="733" t="s">
        <v>1576</v>
      </c>
      <c r="B1132" s="733" t="s">
        <v>612</v>
      </c>
      <c r="C1132" s="733" t="s">
        <v>1577</v>
      </c>
      <c r="D1132" s="733" t="s">
        <v>21</v>
      </c>
      <c r="E1132" s="733" t="s">
        <v>614</v>
      </c>
      <c r="F1132" s="733" t="s">
        <v>615</v>
      </c>
      <c r="G1132" s="733"/>
      <c r="H1132" s="733"/>
      <c r="I1132" s="733"/>
      <c r="J1132" s="733"/>
      <c r="K1132" s="733"/>
      <c r="L1132" s="733"/>
      <c r="M1132" s="733"/>
    </row>
    <row r="1133" spans="1:13" x14ac:dyDescent="0.3">
      <c r="A1133" s="733" t="s">
        <v>1576</v>
      </c>
      <c r="B1133" s="733" t="s">
        <v>612</v>
      </c>
      <c r="C1133" s="733" t="s">
        <v>1578</v>
      </c>
      <c r="D1133" s="733" t="s">
        <v>21</v>
      </c>
      <c r="E1133" s="733" t="s">
        <v>614</v>
      </c>
      <c r="F1133" s="733" t="s">
        <v>615</v>
      </c>
      <c r="G1133" s="733"/>
      <c r="H1133" s="733"/>
      <c r="I1133" s="733"/>
      <c r="J1133" s="733"/>
      <c r="K1133" s="733"/>
      <c r="L1133" s="733"/>
      <c r="M1133" s="733"/>
    </row>
    <row r="1134" spans="1:13" x14ac:dyDescent="0.3">
      <c r="A1134" s="733" t="s">
        <v>1576</v>
      </c>
      <c r="B1134" s="733" t="s">
        <v>612</v>
      </c>
      <c r="C1134" s="733" t="s">
        <v>1579</v>
      </c>
      <c r="D1134" s="733" t="s">
        <v>21</v>
      </c>
      <c r="E1134" s="733" t="s">
        <v>614</v>
      </c>
      <c r="F1134" s="733" t="s">
        <v>615</v>
      </c>
      <c r="G1134" s="733"/>
      <c r="H1134" s="733"/>
      <c r="I1134" s="733"/>
      <c r="J1134" s="733"/>
      <c r="K1134" s="733"/>
      <c r="L1134" s="733"/>
      <c r="M1134" s="733"/>
    </row>
    <row r="1135" spans="1:13" x14ac:dyDescent="0.3">
      <c r="A1135" s="733" t="s">
        <v>1580</v>
      </c>
      <c r="B1135" s="733" t="s">
        <v>612</v>
      </c>
      <c r="C1135" s="733" t="s">
        <v>1581</v>
      </c>
      <c r="D1135" s="733" t="s">
        <v>21</v>
      </c>
      <c r="E1135" s="733" t="s">
        <v>614</v>
      </c>
      <c r="F1135" s="733" t="s">
        <v>615</v>
      </c>
      <c r="G1135" s="733"/>
      <c r="H1135" s="733"/>
      <c r="I1135" s="733"/>
      <c r="J1135" s="733"/>
      <c r="K1135" s="733"/>
      <c r="L1135" s="733"/>
      <c r="M1135" s="733"/>
    </row>
    <row r="1136" spans="1:13" x14ac:dyDescent="0.3">
      <c r="A1136" s="733" t="s">
        <v>1580</v>
      </c>
      <c r="B1136" s="733" t="s">
        <v>612</v>
      </c>
      <c r="C1136" s="733" t="s">
        <v>1582</v>
      </c>
      <c r="D1136" s="733" t="s">
        <v>21</v>
      </c>
      <c r="E1136" s="733" t="s">
        <v>614</v>
      </c>
      <c r="F1136" s="733" t="s">
        <v>615</v>
      </c>
      <c r="G1136" s="733"/>
      <c r="H1136" s="733"/>
      <c r="I1136" s="733"/>
      <c r="J1136" s="733"/>
      <c r="K1136" s="733"/>
      <c r="L1136" s="733"/>
      <c r="M1136" s="733"/>
    </row>
    <row r="1137" spans="1:13" x14ac:dyDescent="0.3">
      <c r="A1137" s="733" t="s">
        <v>1580</v>
      </c>
      <c r="B1137" s="733" t="s">
        <v>612</v>
      </c>
      <c r="C1137" s="733" t="s">
        <v>1583</v>
      </c>
      <c r="D1137" s="733" t="s">
        <v>21</v>
      </c>
      <c r="E1137" s="733" t="s">
        <v>614</v>
      </c>
      <c r="F1137" s="733" t="s">
        <v>615</v>
      </c>
      <c r="G1137" s="733"/>
      <c r="H1137" s="733"/>
      <c r="I1137" s="733"/>
      <c r="J1137" s="733"/>
      <c r="K1137" s="733"/>
      <c r="L1137" s="733"/>
      <c r="M1137" s="733"/>
    </row>
    <row r="1138" spans="1:13" x14ac:dyDescent="0.3">
      <c r="A1138" s="733" t="s">
        <v>1580</v>
      </c>
      <c r="B1138" s="733" t="s">
        <v>612</v>
      </c>
      <c r="C1138" s="733" t="s">
        <v>1584</v>
      </c>
      <c r="D1138" s="733" t="s">
        <v>21</v>
      </c>
      <c r="E1138" s="733" t="s">
        <v>614</v>
      </c>
      <c r="F1138" s="733" t="s">
        <v>615</v>
      </c>
      <c r="G1138" s="733"/>
      <c r="H1138" s="733"/>
      <c r="I1138" s="733"/>
      <c r="J1138" s="733"/>
      <c r="K1138" s="733"/>
      <c r="L1138" s="733"/>
      <c r="M1138" s="733"/>
    </row>
    <row r="1139" spans="1:13" x14ac:dyDescent="0.3">
      <c r="A1139" s="733" t="s">
        <v>1580</v>
      </c>
      <c r="B1139" s="733" t="s">
        <v>612</v>
      </c>
      <c r="C1139" s="733" t="s">
        <v>1585</v>
      </c>
      <c r="D1139" s="733" t="s">
        <v>21</v>
      </c>
      <c r="E1139" s="733" t="s">
        <v>614</v>
      </c>
      <c r="F1139" s="733" t="s">
        <v>615</v>
      </c>
      <c r="G1139" s="733"/>
      <c r="H1139" s="733"/>
      <c r="I1139" s="733"/>
      <c r="J1139" s="733"/>
      <c r="K1139" s="733"/>
      <c r="L1139" s="733"/>
      <c r="M1139" s="733"/>
    </row>
    <row r="1140" spans="1:13" x14ac:dyDescent="0.3">
      <c r="A1140" s="733" t="s">
        <v>1586</v>
      </c>
      <c r="B1140" s="733" t="s">
        <v>612</v>
      </c>
      <c r="C1140" s="733" t="s">
        <v>1241</v>
      </c>
      <c r="D1140" s="733" t="s">
        <v>21</v>
      </c>
      <c r="E1140" s="733" t="s">
        <v>614</v>
      </c>
      <c r="F1140" s="733" t="s">
        <v>615</v>
      </c>
      <c r="G1140" s="733"/>
      <c r="H1140" s="733"/>
      <c r="I1140" s="733"/>
      <c r="J1140" s="733"/>
      <c r="K1140" s="733"/>
      <c r="L1140" s="733"/>
      <c r="M1140" s="733"/>
    </row>
    <row r="1141" spans="1:13" x14ac:dyDescent="0.3">
      <c r="A1141" s="733" t="s">
        <v>1586</v>
      </c>
      <c r="B1141" s="733" t="s">
        <v>612</v>
      </c>
      <c r="C1141" s="733" t="s">
        <v>1587</v>
      </c>
      <c r="D1141" s="733" t="s">
        <v>21</v>
      </c>
      <c r="E1141" s="733" t="s">
        <v>614</v>
      </c>
      <c r="F1141" s="733" t="s">
        <v>615</v>
      </c>
      <c r="G1141" s="733"/>
      <c r="H1141" s="733"/>
      <c r="I1141" s="733"/>
      <c r="J1141" s="733"/>
      <c r="K1141" s="733"/>
      <c r="L1141" s="733"/>
      <c r="M1141" s="733"/>
    </row>
    <row r="1142" spans="1:13" x14ac:dyDescent="0.3">
      <c r="A1142" s="733" t="s">
        <v>1586</v>
      </c>
      <c r="B1142" s="733" t="s">
        <v>612</v>
      </c>
      <c r="C1142" s="733" t="s">
        <v>987</v>
      </c>
      <c r="D1142" s="733" t="s">
        <v>21</v>
      </c>
      <c r="E1142" s="733" t="s">
        <v>614</v>
      </c>
      <c r="F1142" s="733" t="s">
        <v>615</v>
      </c>
      <c r="G1142" s="733"/>
      <c r="H1142" s="733"/>
      <c r="I1142" s="733"/>
      <c r="J1142" s="735"/>
      <c r="K1142" s="735"/>
      <c r="L1142" s="735"/>
      <c r="M1142" s="735"/>
    </row>
    <row r="1143" spans="1:13" x14ac:dyDescent="0.3">
      <c r="A1143" s="733" t="s">
        <v>1586</v>
      </c>
      <c r="B1143" s="733" t="s">
        <v>612</v>
      </c>
      <c r="C1143" s="733" t="s">
        <v>1256</v>
      </c>
      <c r="D1143" s="733" t="s">
        <v>21</v>
      </c>
      <c r="E1143" s="733" t="s">
        <v>614</v>
      </c>
      <c r="F1143" s="733" t="s">
        <v>615</v>
      </c>
      <c r="G1143" s="733"/>
      <c r="H1143" s="733"/>
      <c r="I1143" s="733"/>
      <c r="J1143" s="733"/>
      <c r="K1143" s="733"/>
      <c r="L1143" s="733"/>
      <c r="M1143" s="733"/>
    </row>
    <row r="1144" spans="1:13" x14ac:dyDescent="0.3">
      <c r="A1144" s="733" t="s">
        <v>1586</v>
      </c>
      <c r="B1144" s="733" t="s">
        <v>612</v>
      </c>
      <c r="C1144" s="733" t="s">
        <v>992</v>
      </c>
      <c r="D1144" s="733" t="s">
        <v>21</v>
      </c>
      <c r="E1144" s="733" t="s">
        <v>614</v>
      </c>
      <c r="F1144" s="733" t="s">
        <v>615</v>
      </c>
      <c r="G1144" s="733"/>
      <c r="H1144" s="733"/>
      <c r="I1144" s="733"/>
      <c r="J1144" s="733"/>
      <c r="K1144" s="733"/>
      <c r="L1144" s="733"/>
      <c r="M1144" s="733"/>
    </row>
    <row r="1145" spans="1:13" x14ac:dyDescent="0.3">
      <c r="A1145" s="733" t="s">
        <v>1586</v>
      </c>
      <c r="B1145" s="733" t="s">
        <v>645</v>
      </c>
      <c r="C1145" s="733" t="s">
        <v>1257</v>
      </c>
      <c r="D1145" s="733" t="s">
        <v>21</v>
      </c>
      <c r="E1145" s="733" t="s">
        <v>614</v>
      </c>
      <c r="F1145" s="733" t="s">
        <v>615</v>
      </c>
      <c r="G1145" s="733"/>
      <c r="H1145" s="733"/>
      <c r="I1145" s="733"/>
      <c r="J1145" s="733"/>
      <c r="K1145" s="733"/>
      <c r="L1145" s="733"/>
      <c r="M1145" s="733"/>
    </row>
    <row r="1146" spans="1:13" x14ac:dyDescent="0.3">
      <c r="A1146" s="733" t="s">
        <v>1586</v>
      </c>
      <c r="B1146" s="733" t="s">
        <v>645</v>
      </c>
      <c r="C1146" s="733" t="s">
        <v>897</v>
      </c>
      <c r="D1146" s="733" t="s">
        <v>21</v>
      </c>
      <c r="E1146" s="733" t="s">
        <v>614</v>
      </c>
      <c r="F1146" s="733" t="s">
        <v>615</v>
      </c>
      <c r="G1146" s="733"/>
      <c r="H1146" s="733"/>
      <c r="I1146" s="733"/>
      <c r="J1146" s="733"/>
      <c r="K1146" s="733"/>
      <c r="L1146" s="733"/>
      <c r="M1146" s="733"/>
    </row>
    <row r="1147" spans="1:13" x14ac:dyDescent="0.3">
      <c r="A1147" s="733" t="s">
        <v>1586</v>
      </c>
      <c r="B1147" s="733" t="s">
        <v>645</v>
      </c>
      <c r="C1147" s="733" t="s">
        <v>900</v>
      </c>
      <c r="D1147" s="733" t="s">
        <v>21</v>
      </c>
      <c r="E1147" s="733" t="s">
        <v>614</v>
      </c>
      <c r="F1147" s="733" t="s">
        <v>615</v>
      </c>
      <c r="G1147" s="733"/>
      <c r="H1147" s="733"/>
      <c r="I1147" s="733"/>
      <c r="J1147" s="733"/>
      <c r="K1147" s="733"/>
      <c r="L1147" s="733"/>
      <c r="M1147" s="733"/>
    </row>
    <row r="1148" spans="1:13" x14ac:dyDescent="0.3">
      <c r="A1148" s="733" t="s">
        <v>1586</v>
      </c>
      <c r="B1148" s="733" t="s">
        <v>645</v>
      </c>
      <c r="C1148" s="733" t="s">
        <v>1588</v>
      </c>
      <c r="D1148" s="733" t="s">
        <v>21</v>
      </c>
      <c r="E1148" s="733" t="s">
        <v>614</v>
      </c>
      <c r="F1148" s="733" t="s">
        <v>615</v>
      </c>
      <c r="G1148" s="733"/>
      <c r="H1148" s="733"/>
      <c r="I1148" s="733"/>
      <c r="J1148" s="733"/>
      <c r="K1148" s="733"/>
      <c r="L1148" s="733"/>
      <c r="M1148" s="733"/>
    </row>
    <row r="1149" spans="1:13" x14ac:dyDescent="0.3">
      <c r="A1149" s="733" t="s">
        <v>1586</v>
      </c>
      <c r="B1149" s="733" t="s">
        <v>664</v>
      </c>
      <c r="C1149" s="733" t="s">
        <v>1589</v>
      </c>
      <c r="D1149" s="733" t="s">
        <v>21</v>
      </c>
      <c r="E1149" s="733" t="s">
        <v>614</v>
      </c>
      <c r="F1149" s="733" t="s">
        <v>615</v>
      </c>
      <c r="G1149" s="733"/>
      <c r="H1149" s="733"/>
      <c r="I1149" s="733"/>
      <c r="J1149" s="735"/>
      <c r="K1149" s="735"/>
      <c r="L1149" s="735"/>
      <c r="M1149" s="735"/>
    </row>
    <row r="1150" spans="1:13" x14ac:dyDescent="0.3">
      <c r="A1150" s="733" t="s">
        <v>1586</v>
      </c>
      <c r="B1150" s="733" t="s">
        <v>664</v>
      </c>
      <c r="C1150" s="733" t="s">
        <v>1261</v>
      </c>
      <c r="D1150" s="733" t="s">
        <v>21</v>
      </c>
      <c r="E1150" s="733" t="s">
        <v>614</v>
      </c>
      <c r="F1150" s="733" t="s">
        <v>615</v>
      </c>
      <c r="G1150" s="733"/>
      <c r="H1150" s="733"/>
      <c r="I1150" s="733"/>
      <c r="J1150" s="733"/>
      <c r="K1150" s="733"/>
      <c r="L1150" s="733"/>
      <c r="M1150" s="733"/>
    </row>
    <row r="1151" spans="1:13" x14ac:dyDescent="0.3">
      <c r="A1151" s="733" t="s">
        <v>1590</v>
      </c>
      <c r="B1151" s="733" t="s">
        <v>612</v>
      </c>
      <c r="C1151" s="733" t="s">
        <v>1591</v>
      </c>
      <c r="D1151" s="733" t="s">
        <v>21</v>
      </c>
      <c r="E1151" s="733" t="s">
        <v>614</v>
      </c>
      <c r="F1151" s="733" t="s">
        <v>615</v>
      </c>
      <c r="G1151" s="733"/>
      <c r="H1151" s="733"/>
      <c r="I1151" s="733"/>
      <c r="J1151" s="733"/>
      <c r="K1151" s="733"/>
      <c r="L1151" s="733"/>
      <c r="M1151" s="733"/>
    </row>
    <row r="1152" spans="1:13" x14ac:dyDescent="0.3">
      <c r="A1152" s="734" t="s">
        <v>1592</v>
      </c>
      <c r="B1152" s="734" t="s">
        <v>612</v>
      </c>
      <c r="C1152" s="734" t="s">
        <v>1593</v>
      </c>
      <c r="D1152" s="734" t="s">
        <v>21</v>
      </c>
      <c r="E1152" s="734" t="s">
        <v>614</v>
      </c>
      <c r="F1152" s="734" t="s">
        <v>696</v>
      </c>
      <c r="G1152" s="733"/>
      <c r="H1152" s="733"/>
      <c r="I1152" s="733"/>
      <c r="J1152" s="733"/>
      <c r="K1152" s="733"/>
      <c r="L1152" s="733"/>
      <c r="M1152" s="733"/>
    </row>
    <row r="1153" spans="1:13" x14ac:dyDescent="0.3">
      <c r="A1153" s="733" t="s">
        <v>1592</v>
      </c>
      <c r="B1153" s="733" t="s">
        <v>612</v>
      </c>
      <c r="C1153" s="733" t="s">
        <v>1594</v>
      </c>
      <c r="D1153" s="733" t="s">
        <v>21</v>
      </c>
      <c r="E1153" s="733" t="s">
        <v>614</v>
      </c>
      <c r="F1153" s="733" t="s">
        <v>615</v>
      </c>
      <c r="G1153" s="733"/>
      <c r="H1153" s="733"/>
      <c r="I1153" s="733"/>
      <c r="J1153" s="733"/>
      <c r="K1153" s="733"/>
      <c r="L1153" s="733"/>
      <c r="M1153" s="733"/>
    </row>
    <row r="1154" spans="1:13" x14ac:dyDescent="0.3">
      <c r="A1154" s="733" t="s">
        <v>1592</v>
      </c>
      <c r="B1154" s="733" t="s">
        <v>612</v>
      </c>
      <c r="C1154" s="733" t="s">
        <v>1595</v>
      </c>
      <c r="D1154" s="733" t="s">
        <v>21</v>
      </c>
      <c r="E1154" s="733" t="s">
        <v>614</v>
      </c>
      <c r="F1154" s="733" t="s">
        <v>615</v>
      </c>
      <c r="G1154" s="733"/>
      <c r="H1154" s="733"/>
      <c r="I1154" s="733"/>
      <c r="J1154" s="733"/>
      <c r="K1154" s="733"/>
      <c r="L1154" s="733"/>
      <c r="M1154" s="733"/>
    </row>
    <row r="1155" spans="1:13" x14ac:dyDescent="0.3">
      <c r="A1155" s="733" t="s">
        <v>1592</v>
      </c>
      <c r="B1155" s="733" t="s">
        <v>664</v>
      </c>
      <c r="C1155" s="733" t="s">
        <v>1596</v>
      </c>
      <c r="D1155" s="733" t="s">
        <v>21</v>
      </c>
      <c r="E1155" s="733" t="s">
        <v>614</v>
      </c>
      <c r="F1155" s="733" t="s">
        <v>615</v>
      </c>
      <c r="G1155" s="733"/>
      <c r="H1155" s="733"/>
      <c r="I1155" s="733"/>
      <c r="J1155" s="733"/>
      <c r="K1155" s="733"/>
      <c r="L1155" s="733"/>
      <c r="M1155" s="733"/>
    </row>
    <row r="1156" spans="1:13" x14ac:dyDescent="0.3">
      <c r="A1156" s="733" t="s">
        <v>1592</v>
      </c>
      <c r="B1156" s="733" t="s">
        <v>664</v>
      </c>
      <c r="C1156" s="733" t="s">
        <v>1597</v>
      </c>
      <c r="D1156" s="733" t="s">
        <v>21</v>
      </c>
      <c r="E1156" s="733" t="s">
        <v>614</v>
      </c>
      <c r="F1156" s="733" t="s">
        <v>615</v>
      </c>
      <c r="G1156" s="733"/>
      <c r="H1156" s="733"/>
      <c r="I1156" s="733"/>
      <c r="J1156" s="733"/>
      <c r="K1156" s="733"/>
      <c r="L1156" s="733"/>
      <c r="M1156" s="733"/>
    </row>
    <row r="1157" spans="1:13" x14ac:dyDescent="0.3">
      <c r="A1157" s="733" t="s">
        <v>1592</v>
      </c>
      <c r="B1157" s="733" t="s">
        <v>664</v>
      </c>
      <c r="C1157" s="733" t="s">
        <v>1598</v>
      </c>
      <c r="D1157" s="733" t="s">
        <v>21</v>
      </c>
      <c r="E1157" s="733" t="s">
        <v>614</v>
      </c>
      <c r="F1157" s="733" t="s">
        <v>615</v>
      </c>
      <c r="G1157" s="733"/>
      <c r="H1157" s="733"/>
      <c r="I1157" s="733"/>
      <c r="J1157" s="733"/>
      <c r="K1157" s="733"/>
      <c r="L1157" s="733"/>
      <c r="M1157" s="733"/>
    </row>
    <row r="1158" spans="1:13" x14ac:dyDescent="0.3">
      <c r="A1158" s="734" t="s">
        <v>1599</v>
      </c>
      <c r="B1158" s="734" t="s">
        <v>612</v>
      </c>
      <c r="C1158" s="734" t="s">
        <v>1600</v>
      </c>
      <c r="D1158" s="733" t="s">
        <v>21</v>
      </c>
      <c r="E1158" s="734" t="s">
        <v>614</v>
      </c>
      <c r="F1158" s="734" t="s">
        <v>696</v>
      </c>
      <c r="G1158" s="733"/>
      <c r="H1158" s="733"/>
      <c r="I1158" s="733"/>
      <c r="J1158" s="733"/>
      <c r="K1158" s="733"/>
      <c r="L1158" s="733"/>
      <c r="M1158" s="733"/>
    </row>
    <row r="1159" spans="1:13" x14ac:dyDescent="0.3">
      <c r="A1159" s="733" t="s">
        <v>1599</v>
      </c>
      <c r="B1159" s="733" t="s">
        <v>612</v>
      </c>
      <c r="C1159" s="733" t="s">
        <v>1601</v>
      </c>
      <c r="D1159" s="733" t="s">
        <v>21</v>
      </c>
      <c r="E1159" s="733" t="s">
        <v>614</v>
      </c>
      <c r="F1159" s="733" t="s">
        <v>615</v>
      </c>
      <c r="G1159" s="733"/>
      <c r="H1159" s="733"/>
      <c r="I1159" s="733"/>
      <c r="J1159" s="735"/>
      <c r="K1159" s="735"/>
      <c r="L1159" s="735"/>
      <c r="M1159" s="735"/>
    </row>
    <row r="1160" spans="1:13" x14ac:dyDescent="0.3">
      <c r="A1160" s="733" t="s">
        <v>1599</v>
      </c>
      <c r="B1160" s="733" t="s">
        <v>612</v>
      </c>
      <c r="C1160" s="733" t="s">
        <v>1602</v>
      </c>
      <c r="D1160" s="733" t="s">
        <v>21</v>
      </c>
      <c r="E1160" s="733" t="s">
        <v>614</v>
      </c>
      <c r="F1160" s="733" t="s">
        <v>615</v>
      </c>
      <c r="G1160" s="733"/>
      <c r="H1160" s="733"/>
      <c r="I1160" s="733"/>
      <c r="J1160" s="733"/>
      <c r="K1160" s="733"/>
      <c r="L1160" s="733"/>
      <c r="M1160" s="733"/>
    </row>
    <row r="1161" spans="1:13" x14ac:dyDescent="0.3">
      <c r="A1161" s="733" t="s">
        <v>1599</v>
      </c>
      <c r="B1161" s="733" t="s">
        <v>612</v>
      </c>
      <c r="C1161" s="733" t="s">
        <v>1603</v>
      </c>
      <c r="D1161" s="733" t="s">
        <v>21</v>
      </c>
      <c r="E1161" s="733" t="s">
        <v>614</v>
      </c>
      <c r="F1161" s="733" t="s">
        <v>615</v>
      </c>
      <c r="G1161" s="733"/>
      <c r="H1161" s="733"/>
      <c r="I1161" s="733"/>
      <c r="J1161" s="733"/>
      <c r="K1161" s="733"/>
      <c r="L1161" s="733"/>
      <c r="M1161" s="733"/>
    </row>
    <row r="1162" spans="1:13" x14ac:dyDescent="0.3">
      <c r="A1162" s="733" t="s">
        <v>1599</v>
      </c>
      <c r="B1162" s="733" t="s">
        <v>612</v>
      </c>
      <c r="C1162" s="733" t="s">
        <v>1604</v>
      </c>
      <c r="D1162" s="733" t="s">
        <v>21</v>
      </c>
      <c r="E1162" s="733" t="s">
        <v>614</v>
      </c>
      <c r="F1162" s="733" t="s">
        <v>615</v>
      </c>
      <c r="G1162" s="733"/>
      <c r="H1162" s="733"/>
      <c r="I1162" s="733"/>
      <c r="J1162" s="733"/>
      <c r="K1162" s="733"/>
      <c r="L1162" s="733"/>
      <c r="M1162" s="733"/>
    </row>
    <row r="1163" spans="1:13" x14ac:dyDescent="0.3">
      <c r="A1163" s="733" t="s">
        <v>1599</v>
      </c>
      <c r="B1163" s="733" t="s">
        <v>612</v>
      </c>
      <c r="C1163" s="733" t="s">
        <v>1605</v>
      </c>
      <c r="D1163" s="733" t="s">
        <v>21</v>
      </c>
      <c r="E1163" s="733" t="s">
        <v>614</v>
      </c>
      <c r="F1163" s="733" t="s">
        <v>615</v>
      </c>
      <c r="G1163" s="733"/>
      <c r="H1163" s="733"/>
      <c r="I1163" s="733"/>
      <c r="J1163" s="733"/>
      <c r="K1163" s="733"/>
      <c r="L1163" s="733"/>
      <c r="M1163" s="733"/>
    </row>
    <row r="1164" spans="1:13" x14ac:dyDescent="0.3">
      <c r="A1164" s="733" t="s">
        <v>1599</v>
      </c>
      <c r="B1164" s="733" t="s">
        <v>612</v>
      </c>
      <c r="C1164" s="733" t="s">
        <v>1606</v>
      </c>
      <c r="D1164" s="733" t="s">
        <v>21</v>
      </c>
      <c r="E1164" s="733" t="s">
        <v>614</v>
      </c>
      <c r="F1164" s="733" t="s">
        <v>615</v>
      </c>
      <c r="G1164" s="733"/>
      <c r="H1164" s="733"/>
      <c r="I1164" s="733"/>
      <c r="J1164" s="735"/>
      <c r="K1164" s="735"/>
      <c r="L1164" s="735"/>
      <c r="M1164" s="735"/>
    </row>
    <row r="1165" spans="1:13" x14ac:dyDescent="0.3">
      <c r="A1165" s="733" t="s">
        <v>1599</v>
      </c>
      <c r="B1165" s="733" t="s">
        <v>645</v>
      </c>
      <c r="C1165" s="733" t="s">
        <v>1607</v>
      </c>
      <c r="D1165" s="733" t="s">
        <v>21</v>
      </c>
      <c r="E1165" s="733" t="s">
        <v>614</v>
      </c>
      <c r="F1165" s="733" t="s">
        <v>615</v>
      </c>
      <c r="G1165" s="733"/>
      <c r="H1165" s="733"/>
      <c r="I1165" s="733"/>
      <c r="J1165" s="733"/>
      <c r="K1165" s="733"/>
      <c r="L1165" s="733"/>
      <c r="M1165" s="733"/>
    </row>
    <row r="1166" spans="1:13" x14ac:dyDescent="0.3">
      <c r="A1166" s="733" t="s">
        <v>1599</v>
      </c>
      <c r="B1166" s="733" t="s">
        <v>645</v>
      </c>
      <c r="C1166" s="733" t="s">
        <v>1608</v>
      </c>
      <c r="D1166" s="733" t="s">
        <v>21</v>
      </c>
      <c r="E1166" s="733" t="s">
        <v>614</v>
      </c>
      <c r="F1166" s="733" t="s">
        <v>615</v>
      </c>
      <c r="G1166" s="733"/>
      <c r="H1166" s="733"/>
      <c r="I1166" s="733"/>
      <c r="J1166" s="733"/>
      <c r="K1166" s="733"/>
      <c r="L1166" s="733"/>
      <c r="M1166" s="733"/>
    </row>
    <row r="1167" spans="1:13" x14ac:dyDescent="0.3">
      <c r="A1167" s="733" t="s">
        <v>1599</v>
      </c>
      <c r="B1167" s="733" t="s">
        <v>645</v>
      </c>
      <c r="C1167" s="733" t="s">
        <v>1609</v>
      </c>
      <c r="D1167" s="733" t="s">
        <v>21</v>
      </c>
      <c r="E1167" s="733" t="s">
        <v>614</v>
      </c>
      <c r="F1167" s="733" t="s">
        <v>615</v>
      </c>
      <c r="G1167" s="733"/>
      <c r="H1167" s="733"/>
      <c r="I1167" s="733"/>
      <c r="J1167" s="733"/>
      <c r="K1167" s="733"/>
      <c r="L1167" s="733"/>
      <c r="M1167" s="733"/>
    </row>
    <row r="1168" spans="1:13" x14ac:dyDescent="0.3">
      <c r="A1168" s="733" t="s">
        <v>1599</v>
      </c>
      <c r="B1168" s="733" t="s">
        <v>645</v>
      </c>
      <c r="C1168" s="733" t="s">
        <v>1610</v>
      </c>
      <c r="D1168" s="733" t="s">
        <v>21</v>
      </c>
      <c r="E1168" s="733" t="s">
        <v>614</v>
      </c>
      <c r="F1168" s="733" t="s">
        <v>615</v>
      </c>
      <c r="G1168" s="733"/>
      <c r="H1168" s="733"/>
      <c r="I1168" s="733"/>
      <c r="J1168" s="733"/>
      <c r="K1168" s="733"/>
      <c r="L1168" s="733"/>
      <c r="M1168" s="733"/>
    </row>
    <row r="1169" spans="1:13" x14ac:dyDescent="0.3">
      <c r="A1169" s="733" t="s">
        <v>1599</v>
      </c>
      <c r="B1169" s="733" t="s">
        <v>645</v>
      </c>
      <c r="C1169" s="733" t="s">
        <v>1611</v>
      </c>
      <c r="D1169" s="733" t="s">
        <v>21</v>
      </c>
      <c r="E1169" s="733" t="s">
        <v>614</v>
      </c>
      <c r="F1169" s="733" t="s">
        <v>615</v>
      </c>
      <c r="G1169" s="733"/>
      <c r="H1169" s="733"/>
      <c r="I1169" s="733"/>
      <c r="J1169" s="733"/>
      <c r="K1169" s="733"/>
      <c r="L1169" s="733"/>
      <c r="M1169" s="733"/>
    </row>
    <row r="1170" spans="1:13" x14ac:dyDescent="0.3">
      <c r="A1170" s="733" t="s">
        <v>1599</v>
      </c>
      <c r="B1170" s="733" t="s">
        <v>645</v>
      </c>
      <c r="C1170" s="733" t="s">
        <v>1612</v>
      </c>
      <c r="D1170" s="733" t="s">
        <v>21</v>
      </c>
      <c r="E1170" s="733" t="s">
        <v>614</v>
      </c>
      <c r="F1170" s="733" t="s">
        <v>615</v>
      </c>
      <c r="G1170" s="733"/>
      <c r="H1170" s="733"/>
      <c r="I1170" s="733"/>
      <c r="J1170" s="733"/>
      <c r="K1170" s="733"/>
      <c r="L1170" s="733"/>
      <c r="M1170" s="733"/>
    </row>
    <row r="1171" spans="1:13" x14ac:dyDescent="0.3">
      <c r="A1171" s="733" t="s">
        <v>1599</v>
      </c>
      <c r="B1171" s="733" t="s">
        <v>645</v>
      </c>
      <c r="C1171" s="733" t="s">
        <v>1613</v>
      </c>
      <c r="D1171" s="733" t="s">
        <v>21</v>
      </c>
      <c r="E1171" s="733" t="s">
        <v>614</v>
      </c>
      <c r="F1171" s="733" t="s">
        <v>615</v>
      </c>
      <c r="G1171" s="733"/>
      <c r="H1171" s="733"/>
      <c r="I1171" s="733"/>
      <c r="J1171" s="735"/>
      <c r="K1171" s="735"/>
      <c r="L1171" s="735"/>
      <c r="M1171" s="735"/>
    </row>
    <row r="1172" spans="1:13" x14ac:dyDescent="0.3">
      <c r="A1172" s="733" t="s">
        <v>1599</v>
      </c>
      <c r="B1172" s="733" t="s">
        <v>645</v>
      </c>
      <c r="C1172" s="733" t="s">
        <v>1614</v>
      </c>
      <c r="D1172" s="733" t="s">
        <v>21</v>
      </c>
      <c r="E1172" s="733" t="s">
        <v>614</v>
      </c>
      <c r="F1172" s="733" t="s">
        <v>615</v>
      </c>
      <c r="G1172" s="733"/>
      <c r="H1172" s="733"/>
      <c r="I1172" s="733"/>
      <c r="J1172" s="733"/>
      <c r="K1172" s="733"/>
      <c r="L1172" s="733"/>
      <c r="M1172" s="733"/>
    </row>
    <row r="1173" spans="1:13" x14ac:dyDescent="0.3">
      <c r="A1173" s="733" t="s">
        <v>1599</v>
      </c>
      <c r="B1173" s="733" t="s">
        <v>645</v>
      </c>
      <c r="C1173" s="733" t="s">
        <v>1615</v>
      </c>
      <c r="D1173" s="733" t="s">
        <v>21</v>
      </c>
      <c r="E1173" s="733" t="s">
        <v>614</v>
      </c>
      <c r="F1173" s="733" t="s">
        <v>615</v>
      </c>
      <c r="G1173" s="733"/>
      <c r="H1173" s="733"/>
      <c r="I1173" s="733"/>
      <c r="J1173" s="733"/>
      <c r="K1173" s="733"/>
      <c r="L1173" s="733"/>
      <c r="M1173" s="733"/>
    </row>
    <row r="1174" spans="1:13" x14ac:dyDescent="0.3">
      <c r="A1174" s="733" t="s">
        <v>1599</v>
      </c>
      <c r="B1174" s="733" t="s">
        <v>664</v>
      </c>
      <c r="C1174" s="733" t="s">
        <v>1616</v>
      </c>
      <c r="D1174" s="733" t="s">
        <v>21</v>
      </c>
      <c r="E1174" s="733" t="s">
        <v>614</v>
      </c>
      <c r="F1174" s="733" t="s">
        <v>615</v>
      </c>
      <c r="G1174" s="733"/>
      <c r="H1174" s="733"/>
      <c r="I1174" s="733"/>
      <c r="J1174" s="733"/>
      <c r="K1174" s="733"/>
      <c r="L1174" s="733"/>
      <c r="M1174" s="733"/>
    </row>
    <row r="1175" spans="1:13" x14ac:dyDescent="0.3">
      <c r="A1175" s="733" t="s">
        <v>1617</v>
      </c>
      <c r="B1175" s="733" t="s">
        <v>612</v>
      </c>
      <c r="C1175" s="733" t="s">
        <v>1618</v>
      </c>
      <c r="D1175" s="733" t="s">
        <v>21</v>
      </c>
      <c r="E1175" s="733" t="s">
        <v>614</v>
      </c>
      <c r="F1175" s="733" t="s">
        <v>615</v>
      </c>
      <c r="G1175" s="733"/>
      <c r="H1175" s="733"/>
      <c r="I1175" s="733"/>
      <c r="J1175" s="733"/>
      <c r="K1175" s="733"/>
      <c r="L1175" s="733"/>
      <c r="M1175" s="733"/>
    </row>
    <row r="1176" spans="1:13" x14ac:dyDescent="0.3">
      <c r="A1176" s="733" t="s">
        <v>1617</v>
      </c>
      <c r="B1176" s="733" t="s">
        <v>612</v>
      </c>
      <c r="C1176" s="733" t="s">
        <v>1619</v>
      </c>
      <c r="D1176" s="733" t="s">
        <v>21</v>
      </c>
      <c r="E1176" s="733" t="s">
        <v>614</v>
      </c>
      <c r="F1176" s="733" t="s">
        <v>615</v>
      </c>
      <c r="G1176" s="733"/>
      <c r="H1176" s="733"/>
      <c r="I1176" s="733"/>
      <c r="J1176" s="733"/>
      <c r="K1176" s="733"/>
      <c r="L1176" s="733"/>
      <c r="M1176" s="733"/>
    </row>
    <row r="1177" spans="1:13" x14ac:dyDescent="0.3">
      <c r="A1177" s="733" t="s">
        <v>1620</v>
      </c>
      <c r="B1177" s="733" t="s">
        <v>612</v>
      </c>
      <c r="C1177" s="733" t="s">
        <v>1178</v>
      </c>
      <c r="D1177" s="733" t="s">
        <v>21</v>
      </c>
      <c r="E1177" s="733" t="s">
        <v>614</v>
      </c>
      <c r="F1177" s="733" t="s">
        <v>615</v>
      </c>
      <c r="G1177" s="733"/>
      <c r="H1177" s="733"/>
      <c r="I1177" s="733"/>
      <c r="J1177" s="733"/>
      <c r="K1177" s="733"/>
      <c r="L1177" s="733"/>
      <c r="M1177" s="733"/>
    </row>
    <row r="1178" spans="1:13" x14ac:dyDescent="0.3">
      <c r="A1178" s="733" t="s">
        <v>1620</v>
      </c>
      <c r="B1178" s="733" t="s">
        <v>612</v>
      </c>
      <c r="C1178" s="733" t="s">
        <v>1621</v>
      </c>
      <c r="D1178" s="733" t="s">
        <v>21</v>
      </c>
      <c r="E1178" s="733" t="s">
        <v>614</v>
      </c>
      <c r="F1178" s="733" t="s">
        <v>615</v>
      </c>
      <c r="G1178" s="733"/>
      <c r="H1178" s="733"/>
      <c r="I1178" s="733"/>
      <c r="J1178" s="733"/>
      <c r="K1178" s="733"/>
      <c r="L1178" s="733"/>
      <c r="M1178" s="733"/>
    </row>
    <row r="1179" spans="1:13" x14ac:dyDescent="0.3">
      <c r="A1179" s="733" t="s">
        <v>1620</v>
      </c>
      <c r="B1179" s="733" t="s">
        <v>645</v>
      </c>
      <c r="C1179" s="733" t="s">
        <v>1622</v>
      </c>
      <c r="D1179" s="733" t="s">
        <v>21</v>
      </c>
      <c r="E1179" s="733" t="s">
        <v>614</v>
      </c>
      <c r="F1179" s="733" t="s">
        <v>615</v>
      </c>
      <c r="G1179" s="733"/>
      <c r="H1179" s="733"/>
      <c r="I1179" s="733"/>
      <c r="J1179" s="733"/>
      <c r="K1179" s="733"/>
      <c r="L1179" s="733"/>
      <c r="M1179" s="733"/>
    </row>
    <row r="1180" spans="1:13" x14ac:dyDescent="0.3">
      <c r="A1180" s="733" t="s">
        <v>1623</v>
      </c>
      <c r="B1180" s="733" t="s">
        <v>612</v>
      </c>
      <c r="C1180" s="733" t="s">
        <v>1624</v>
      </c>
      <c r="D1180" s="733" t="s">
        <v>21</v>
      </c>
      <c r="E1180" s="733" t="s">
        <v>614</v>
      </c>
      <c r="F1180" s="733" t="s">
        <v>615</v>
      </c>
      <c r="G1180" s="733"/>
      <c r="H1180" s="733"/>
      <c r="I1180" s="733"/>
      <c r="J1180" s="733"/>
      <c r="K1180" s="733"/>
      <c r="L1180" s="733"/>
      <c r="M1180" s="733"/>
    </row>
    <row r="1181" spans="1:13" x14ac:dyDescent="0.3">
      <c r="A1181" s="733" t="s">
        <v>1623</v>
      </c>
      <c r="B1181" s="733" t="s">
        <v>645</v>
      </c>
      <c r="C1181" s="733" t="s">
        <v>1625</v>
      </c>
      <c r="D1181" s="733" t="s">
        <v>21</v>
      </c>
      <c r="E1181" s="733" t="s">
        <v>614</v>
      </c>
      <c r="F1181" s="733" t="s">
        <v>615</v>
      </c>
      <c r="G1181" s="733"/>
      <c r="H1181" s="733"/>
      <c r="I1181" s="733"/>
      <c r="J1181" s="733"/>
      <c r="K1181" s="733"/>
      <c r="L1181" s="733"/>
      <c r="M1181" s="733"/>
    </row>
    <row r="1182" spans="1:13" x14ac:dyDescent="0.3">
      <c r="A1182" s="733" t="s">
        <v>1623</v>
      </c>
      <c r="B1182" s="733" t="s">
        <v>645</v>
      </c>
      <c r="C1182" s="733" t="s">
        <v>1626</v>
      </c>
      <c r="D1182" s="733" t="s">
        <v>21</v>
      </c>
      <c r="E1182" s="733" t="s">
        <v>614</v>
      </c>
      <c r="F1182" s="733" t="s">
        <v>615</v>
      </c>
      <c r="G1182" s="733"/>
      <c r="H1182" s="733"/>
      <c r="I1182" s="733"/>
      <c r="J1182" s="733"/>
      <c r="K1182" s="733"/>
      <c r="L1182" s="733"/>
      <c r="M1182" s="733"/>
    </row>
    <row r="1183" spans="1:13" x14ac:dyDescent="0.3">
      <c r="A1183" s="733" t="s">
        <v>1623</v>
      </c>
      <c r="B1183" s="733" t="s">
        <v>645</v>
      </c>
      <c r="C1183" s="733" t="s">
        <v>1627</v>
      </c>
      <c r="D1183" s="733" t="s">
        <v>21</v>
      </c>
      <c r="E1183" s="733" t="s">
        <v>614</v>
      </c>
      <c r="F1183" s="733" t="s">
        <v>615</v>
      </c>
      <c r="G1183" s="733"/>
      <c r="H1183" s="733"/>
      <c r="I1183" s="733"/>
      <c r="J1183" s="733"/>
      <c r="K1183" s="733"/>
      <c r="L1183" s="733"/>
      <c r="M1183" s="733"/>
    </row>
    <row r="1184" spans="1:13" x14ac:dyDescent="0.3">
      <c r="A1184" s="733" t="s">
        <v>1628</v>
      </c>
      <c r="B1184" s="733" t="s">
        <v>612</v>
      </c>
      <c r="C1184" s="733" t="s">
        <v>1301</v>
      </c>
      <c r="D1184" s="733" t="s">
        <v>21</v>
      </c>
      <c r="E1184" s="733" t="s">
        <v>614</v>
      </c>
      <c r="F1184" s="733" t="s">
        <v>615</v>
      </c>
      <c r="G1184" s="733"/>
      <c r="H1184" s="733"/>
      <c r="I1184" s="733"/>
      <c r="J1184" s="733"/>
      <c r="K1184" s="733"/>
      <c r="L1184" s="733"/>
      <c r="M1184" s="733"/>
    </row>
    <row r="1185" spans="1:13" x14ac:dyDescent="0.3">
      <c r="A1185" s="733" t="s">
        <v>1628</v>
      </c>
      <c r="B1185" s="733" t="s">
        <v>612</v>
      </c>
      <c r="C1185" s="733" t="s">
        <v>1370</v>
      </c>
      <c r="D1185" s="733" t="s">
        <v>21</v>
      </c>
      <c r="E1185" s="733" t="s">
        <v>614</v>
      </c>
      <c r="F1185" s="733" t="s">
        <v>615</v>
      </c>
      <c r="G1185" s="733"/>
      <c r="H1185" s="733"/>
      <c r="I1185" s="733"/>
      <c r="J1185" s="733"/>
      <c r="K1185" s="733"/>
      <c r="L1185" s="733"/>
      <c r="M1185" s="733"/>
    </row>
    <row r="1186" spans="1:13" x14ac:dyDescent="0.3">
      <c r="A1186" s="733" t="s">
        <v>1628</v>
      </c>
      <c r="B1186" s="733" t="s">
        <v>612</v>
      </c>
      <c r="C1186" s="733" t="s">
        <v>1629</v>
      </c>
      <c r="D1186" s="733" t="s">
        <v>21</v>
      </c>
      <c r="E1186" s="733" t="s">
        <v>614</v>
      </c>
      <c r="F1186" s="733" t="s">
        <v>615</v>
      </c>
      <c r="G1186" s="733"/>
      <c r="H1186" s="733"/>
      <c r="I1186" s="733"/>
      <c r="J1186" s="733"/>
      <c r="K1186" s="733"/>
      <c r="L1186" s="733"/>
      <c r="M1186" s="733"/>
    </row>
    <row r="1187" spans="1:13" x14ac:dyDescent="0.3">
      <c r="A1187" s="733" t="s">
        <v>1628</v>
      </c>
      <c r="B1187" s="733" t="s">
        <v>645</v>
      </c>
      <c r="C1187" s="733" t="s">
        <v>1630</v>
      </c>
      <c r="D1187" s="733" t="s">
        <v>21</v>
      </c>
      <c r="E1187" s="733" t="s">
        <v>614</v>
      </c>
      <c r="F1187" s="733" t="s">
        <v>615</v>
      </c>
      <c r="G1187" s="733"/>
      <c r="H1187" s="733"/>
      <c r="I1187" s="733"/>
      <c r="J1187" s="733"/>
      <c r="K1187" s="733"/>
      <c r="L1187" s="733"/>
      <c r="M1187" s="733"/>
    </row>
    <row r="1188" spans="1:13" x14ac:dyDescent="0.3">
      <c r="A1188" s="733" t="s">
        <v>1628</v>
      </c>
      <c r="B1188" s="733" t="s">
        <v>645</v>
      </c>
      <c r="C1188" s="733" t="s">
        <v>899</v>
      </c>
      <c r="D1188" s="733" t="s">
        <v>21</v>
      </c>
      <c r="E1188" s="733" t="s">
        <v>614</v>
      </c>
      <c r="F1188" s="733" t="s">
        <v>615</v>
      </c>
      <c r="G1188" s="733"/>
      <c r="H1188" s="733"/>
      <c r="I1188" s="733"/>
      <c r="J1188" s="733"/>
      <c r="K1188" s="733"/>
      <c r="L1188" s="733"/>
      <c r="M1188" s="733"/>
    </row>
    <row r="1189" spans="1:13" x14ac:dyDescent="0.3">
      <c r="A1189" s="734" t="s">
        <v>1628</v>
      </c>
      <c r="B1189" s="734" t="s">
        <v>645</v>
      </c>
      <c r="C1189" s="734" t="s">
        <v>1631</v>
      </c>
      <c r="D1189" s="734" t="s">
        <v>21</v>
      </c>
      <c r="E1189" s="734" t="s">
        <v>614</v>
      </c>
      <c r="F1189" s="734" t="s">
        <v>736</v>
      </c>
      <c r="G1189" s="733"/>
      <c r="H1189" s="733"/>
      <c r="I1189" s="733"/>
      <c r="J1189" s="733"/>
      <c r="K1189" s="733"/>
      <c r="L1189" s="733"/>
      <c r="M1189" s="733"/>
    </row>
    <row r="1190" spans="1:13" x14ac:dyDescent="0.3">
      <c r="A1190" s="733" t="s">
        <v>1628</v>
      </c>
      <c r="B1190" s="733" t="s">
        <v>664</v>
      </c>
      <c r="C1190" s="733" t="s">
        <v>1632</v>
      </c>
      <c r="D1190" s="733" t="s">
        <v>21</v>
      </c>
      <c r="E1190" s="733" t="s">
        <v>614</v>
      </c>
      <c r="F1190" s="733" t="s">
        <v>615</v>
      </c>
      <c r="G1190" s="733"/>
      <c r="H1190" s="733"/>
      <c r="I1190" s="733"/>
      <c r="J1190" s="733"/>
      <c r="K1190" s="733"/>
      <c r="L1190" s="733"/>
      <c r="M1190" s="733"/>
    </row>
    <row r="1191" spans="1:13" x14ac:dyDescent="0.3">
      <c r="A1191" s="733" t="s">
        <v>1628</v>
      </c>
      <c r="B1191" s="733" t="s">
        <v>664</v>
      </c>
      <c r="C1191" s="733" t="s">
        <v>1633</v>
      </c>
      <c r="D1191" s="733" t="s">
        <v>21</v>
      </c>
      <c r="E1191" s="733" t="s">
        <v>614</v>
      </c>
      <c r="F1191" s="733" t="s">
        <v>615</v>
      </c>
      <c r="G1191" s="733"/>
      <c r="H1191" s="733"/>
      <c r="I1191" s="733"/>
      <c r="J1191" s="733"/>
      <c r="K1191" s="733"/>
      <c r="L1191" s="733"/>
      <c r="M1191" s="733"/>
    </row>
    <row r="1192" spans="1:13" x14ac:dyDescent="0.3">
      <c r="A1192" s="733" t="s">
        <v>1628</v>
      </c>
      <c r="B1192" s="733" t="s">
        <v>664</v>
      </c>
      <c r="C1192" s="733" t="s">
        <v>1634</v>
      </c>
      <c r="D1192" s="733" t="s">
        <v>21</v>
      </c>
      <c r="E1192" s="733" t="s">
        <v>614</v>
      </c>
      <c r="F1192" s="733" t="s">
        <v>615</v>
      </c>
      <c r="G1192" s="733"/>
      <c r="H1192" s="733"/>
      <c r="I1192" s="733"/>
      <c r="J1192" s="733"/>
      <c r="K1192" s="733"/>
      <c r="L1192" s="733"/>
      <c r="M1192" s="733"/>
    </row>
    <row r="1193" spans="1:13" x14ac:dyDescent="0.3">
      <c r="A1193" s="733" t="s">
        <v>1635</v>
      </c>
      <c r="B1193" s="733" t="s">
        <v>612</v>
      </c>
      <c r="C1193" s="733" t="s">
        <v>1327</v>
      </c>
      <c r="D1193" s="733" t="s">
        <v>21</v>
      </c>
      <c r="E1193" s="733" t="s">
        <v>614</v>
      </c>
      <c r="F1193" s="733" t="s">
        <v>615</v>
      </c>
      <c r="G1193" s="733"/>
      <c r="H1193" s="733"/>
      <c r="I1193" s="733"/>
      <c r="J1193" s="733"/>
      <c r="K1193" s="733"/>
      <c r="L1193" s="733"/>
      <c r="M1193" s="733"/>
    </row>
    <row r="1194" spans="1:13" x14ac:dyDescent="0.3">
      <c r="A1194" s="733" t="s">
        <v>1635</v>
      </c>
      <c r="B1194" s="733" t="s">
        <v>645</v>
      </c>
      <c r="C1194" s="733" t="s">
        <v>1248</v>
      </c>
      <c r="D1194" s="733" t="s">
        <v>21</v>
      </c>
      <c r="E1194" s="733" t="s">
        <v>614</v>
      </c>
      <c r="F1194" s="733" t="s">
        <v>615</v>
      </c>
      <c r="G1194" s="733"/>
      <c r="H1194" s="733"/>
      <c r="I1194" s="733"/>
      <c r="J1194" s="733"/>
      <c r="K1194" s="733"/>
      <c r="L1194" s="733"/>
      <c r="M1194" s="733"/>
    </row>
    <row r="1195" spans="1:13" x14ac:dyDescent="0.3">
      <c r="A1195" s="733" t="s">
        <v>1635</v>
      </c>
      <c r="B1195" s="733" t="s">
        <v>645</v>
      </c>
      <c r="C1195" s="733" t="s">
        <v>1249</v>
      </c>
      <c r="D1195" s="733" t="s">
        <v>21</v>
      </c>
      <c r="E1195" s="733" t="s">
        <v>614</v>
      </c>
      <c r="F1195" s="733" t="s">
        <v>615</v>
      </c>
      <c r="G1195" s="733"/>
      <c r="H1195" s="733"/>
      <c r="I1195" s="733"/>
      <c r="J1195" s="733"/>
      <c r="K1195" s="733"/>
      <c r="L1195" s="733"/>
      <c r="M1195" s="733"/>
    </row>
    <row r="1196" spans="1:13" x14ac:dyDescent="0.3">
      <c r="A1196" s="734" t="s">
        <v>1635</v>
      </c>
      <c r="B1196" s="734" t="s">
        <v>645</v>
      </c>
      <c r="C1196" s="734" t="s">
        <v>1636</v>
      </c>
      <c r="D1196" s="734" t="s">
        <v>21</v>
      </c>
      <c r="E1196" s="734" t="s">
        <v>614</v>
      </c>
      <c r="F1196" s="734" t="s">
        <v>736</v>
      </c>
      <c r="G1196" s="733"/>
      <c r="H1196" s="733"/>
      <c r="I1196" s="733"/>
      <c r="J1196" s="733"/>
      <c r="K1196" s="733"/>
      <c r="L1196" s="733"/>
      <c r="M1196" s="733"/>
    </row>
    <row r="1197" spans="1:13" x14ac:dyDescent="0.3">
      <c r="A1197" s="733" t="s">
        <v>1635</v>
      </c>
      <c r="B1197" s="733" t="s">
        <v>645</v>
      </c>
      <c r="C1197" s="733" t="s">
        <v>1251</v>
      </c>
      <c r="D1197" s="733" t="s">
        <v>21</v>
      </c>
      <c r="E1197" s="733" t="s">
        <v>614</v>
      </c>
      <c r="F1197" s="733" t="s">
        <v>615</v>
      </c>
      <c r="G1197" s="733"/>
      <c r="H1197" s="733"/>
      <c r="I1197" s="733"/>
      <c r="J1197" s="733"/>
      <c r="K1197" s="733"/>
      <c r="L1197" s="733"/>
      <c r="M1197" s="733"/>
    </row>
    <row r="1198" spans="1:13" x14ac:dyDescent="0.3">
      <c r="A1198" s="733" t="s">
        <v>1635</v>
      </c>
      <c r="B1198" s="733" t="s">
        <v>664</v>
      </c>
      <c r="C1198" s="733" t="s">
        <v>1637</v>
      </c>
      <c r="D1198" s="733" t="s">
        <v>21</v>
      </c>
      <c r="E1198" s="733" t="s">
        <v>614</v>
      </c>
      <c r="F1198" s="733" t="s">
        <v>615</v>
      </c>
      <c r="G1198" s="733"/>
      <c r="H1198" s="733"/>
      <c r="I1198" s="733"/>
      <c r="J1198" s="733"/>
      <c r="K1198" s="733"/>
      <c r="L1198" s="733"/>
      <c r="M1198" s="733"/>
    </row>
    <row r="1199" spans="1:13" x14ac:dyDescent="0.3">
      <c r="A1199" s="733" t="s">
        <v>1635</v>
      </c>
      <c r="B1199" s="733" t="s">
        <v>664</v>
      </c>
      <c r="C1199" s="733" t="s">
        <v>1638</v>
      </c>
      <c r="D1199" s="733" t="s">
        <v>21</v>
      </c>
      <c r="E1199" s="733" t="s">
        <v>614</v>
      </c>
      <c r="F1199" s="733" t="s">
        <v>615</v>
      </c>
      <c r="G1199" s="733"/>
      <c r="H1199" s="733"/>
      <c r="I1199" s="733"/>
      <c r="J1199" s="733"/>
      <c r="K1199" s="733"/>
      <c r="L1199" s="733"/>
      <c r="M1199" s="733"/>
    </row>
    <row r="1200" spans="1:13" x14ac:dyDescent="0.3">
      <c r="A1200" s="733" t="s">
        <v>1635</v>
      </c>
      <c r="B1200" s="733" t="s">
        <v>664</v>
      </c>
      <c r="C1200" s="733" t="s">
        <v>1639</v>
      </c>
      <c r="D1200" s="733" t="s">
        <v>21</v>
      </c>
      <c r="E1200" s="733" t="s">
        <v>614</v>
      </c>
      <c r="F1200" s="733" t="s">
        <v>615</v>
      </c>
      <c r="G1200" s="733"/>
      <c r="H1200" s="733"/>
      <c r="I1200" s="733"/>
      <c r="J1200" s="733"/>
      <c r="K1200" s="733"/>
      <c r="L1200" s="733"/>
      <c r="M1200" s="733"/>
    </row>
    <row r="1201" spans="1:13" x14ac:dyDescent="0.3">
      <c r="A1201" s="733" t="s">
        <v>1635</v>
      </c>
      <c r="B1201" s="733" t="s">
        <v>664</v>
      </c>
      <c r="C1201" s="733" t="s">
        <v>1252</v>
      </c>
      <c r="D1201" s="733" t="s">
        <v>21</v>
      </c>
      <c r="E1201" s="733" t="s">
        <v>614</v>
      </c>
      <c r="F1201" s="733" t="s">
        <v>615</v>
      </c>
      <c r="G1201" s="733"/>
      <c r="H1201" s="733"/>
      <c r="I1201" s="733"/>
      <c r="J1201" s="733"/>
      <c r="K1201" s="733"/>
      <c r="L1201" s="733"/>
      <c r="M1201" s="733"/>
    </row>
    <row r="1202" spans="1:13" x14ac:dyDescent="0.3">
      <c r="A1202" s="733" t="s">
        <v>1635</v>
      </c>
      <c r="B1202" s="733" t="s">
        <v>664</v>
      </c>
      <c r="C1202" s="733" t="s">
        <v>1253</v>
      </c>
      <c r="D1202" s="733" t="s">
        <v>21</v>
      </c>
      <c r="E1202" s="733" t="s">
        <v>614</v>
      </c>
      <c r="F1202" s="733" t="s">
        <v>615</v>
      </c>
      <c r="G1202" s="733"/>
      <c r="H1202" s="733"/>
      <c r="I1202" s="733"/>
      <c r="J1202" s="733"/>
      <c r="K1202" s="733"/>
      <c r="L1202" s="733"/>
      <c r="M1202" s="733"/>
    </row>
    <row r="1203" spans="1:13" x14ac:dyDescent="0.3">
      <c r="A1203" s="734" t="s">
        <v>1640</v>
      </c>
      <c r="B1203" s="734" t="s">
        <v>645</v>
      </c>
      <c r="C1203" s="734" t="s">
        <v>1007</v>
      </c>
      <c r="D1203" s="734" t="s">
        <v>21</v>
      </c>
      <c r="E1203" s="734" t="s">
        <v>614</v>
      </c>
      <c r="F1203" s="734" t="s">
        <v>736</v>
      </c>
      <c r="G1203" s="733"/>
      <c r="H1203" s="733"/>
      <c r="I1203" s="733"/>
      <c r="J1203" s="733"/>
      <c r="K1203" s="733"/>
      <c r="L1203" s="733"/>
      <c r="M1203" s="733"/>
    </row>
    <row r="1204" spans="1:13" x14ac:dyDescent="0.3">
      <c r="A1204" s="733" t="s">
        <v>1640</v>
      </c>
      <c r="B1204" s="733" t="s">
        <v>645</v>
      </c>
      <c r="C1204" s="733" t="s">
        <v>1008</v>
      </c>
      <c r="D1204" s="733" t="s">
        <v>21</v>
      </c>
      <c r="E1204" s="733" t="s">
        <v>614</v>
      </c>
      <c r="F1204" s="733" t="s">
        <v>615</v>
      </c>
      <c r="G1204" s="733"/>
      <c r="H1204" s="733"/>
      <c r="I1204" s="733"/>
      <c r="J1204" s="733"/>
      <c r="K1204" s="733"/>
      <c r="L1204" s="733"/>
      <c r="M1204" s="733"/>
    </row>
    <row r="1205" spans="1:13" x14ac:dyDescent="0.3">
      <c r="A1205" s="733" t="s">
        <v>1640</v>
      </c>
      <c r="B1205" s="733" t="s">
        <v>645</v>
      </c>
      <c r="C1205" s="733" t="s">
        <v>1060</v>
      </c>
      <c r="D1205" s="733" t="s">
        <v>21</v>
      </c>
      <c r="E1205" s="733" t="s">
        <v>614</v>
      </c>
      <c r="F1205" s="733" t="s">
        <v>615</v>
      </c>
      <c r="G1205" s="733"/>
      <c r="H1205" s="733"/>
      <c r="I1205" s="733"/>
      <c r="J1205" s="733"/>
      <c r="K1205" s="733"/>
      <c r="L1205" s="733"/>
      <c r="M1205" s="733"/>
    </row>
    <row r="1206" spans="1:13" x14ac:dyDescent="0.3">
      <c r="A1206" s="733" t="s">
        <v>1640</v>
      </c>
      <c r="B1206" s="733" t="s">
        <v>645</v>
      </c>
      <c r="C1206" s="733" t="s">
        <v>1013</v>
      </c>
      <c r="D1206" s="733" t="s">
        <v>21</v>
      </c>
      <c r="E1206" s="733" t="s">
        <v>614</v>
      </c>
      <c r="F1206" s="733" t="s">
        <v>615</v>
      </c>
      <c r="G1206" s="733"/>
      <c r="H1206" s="733"/>
      <c r="I1206" s="733"/>
      <c r="J1206" s="733"/>
      <c r="K1206" s="733"/>
      <c r="L1206" s="733"/>
      <c r="M1206" s="733"/>
    </row>
    <row r="1207" spans="1:13" x14ac:dyDescent="0.3">
      <c r="A1207" s="734" t="s">
        <v>1640</v>
      </c>
      <c r="B1207" s="734" t="s">
        <v>645</v>
      </c>
      <c r="C1207" s="734" t="s">
        <v>1641</v>
      </c>
      <c r="D1207" s="734" t="s">
        <v>21</v>
      </c>
      <c r="E1207" s="734" t="s">
        <v>614</v>
      </c>
      <c r="F1207" s="734" t="s">
        <v>736</v>
      </c>
      <c r="G1207" s="733"/>
      <c r="H1207" s="733"/>
      <c r="I1207" s="733"/>
      <c r="J1207" s="733"/>
      <c r="K1207" s="733"/>
      <c r="L1207" s="733"/>
      <c r="M1207" s="733"/>
    </row>
    <row r="1208" spans="1:13" x14ac:dyDescent="0.3">
      <c r="A1208" s="733" t="s">
        <v>1640</v>
      </c>
      <c r="B1208" s="733" t="s">
        <v>645</v>
      </c>
      <c r="C1208" s="733" t="s">
        <v>726</v>
      </c>
      <c r="D1208" s="733" t="s">
        <v>21</v>
      </c>
      <c r="E1208" s="733" t="s">
        <v>614</v>
      </c>
      <c r="F1208" s="733" t="s">
        <v>615</v>
      </c>
      <c r="G1208" s="733"/>
      <c r="H1208" s="733"/>
      <c r="I1208" s="733"/>
      <c r="J1208" s="733"/>
      <c r="K1208" s="733"/>
      <c r="L1208" s="733"/>
      <c r="M1208" s="733"/>
    </row>
    <row r="1209" spans="1:13" x14ac:dyDescent="0.3">
      <c r="A1209" s="733" t="s">
        <v>1642</v>
      </c>
      <c r="B1209" s="733" t="s">
        <v>612</v>
      </c>
      <c r="C1209" s="733" t="s">
        <v>1643</v>
      </c>
      <c r="D1209" s="733" t="s">
        <v>21</v>
      </c>
      <c r="E1209" s="733" t="s">
        <v>614</v>
      </c>
      <c r="F1209" s="733" t="s">
        <v>615</v>
      </c>
      <c r="G1209" s="733"/>
      <c r="H1209" s="733"/>
      <c r="I1209" s="733"/>
      <c r="J1209" s="733"/>
      <c r="K1209" s="733"/>
      <c r="L1209" s="733"/>
      <c r="M1209" s="733"/>
    </row>
    <row r="1210" spans="1:13" x14ac:dyDescent="0.3">
      <c r="A1210" s="733" t="s">
        <v>1642</v>
      </c>
      <c r="B1210" s="733" t="s">
        <v>612</v>
      </c>
      <c r="C1210" s="733" t="s">
        <v>1644</v>
      </c>
      <c r="D1210" s="733" t="s">
        <v>21</v>
      </c>
      <c r="E1210" s="733" t="s">
        <v>614</v>
      </c>
      <c r="F1210" s="733" t="s">
        <v>615</v>
      </c>
      <c r="G1210" s="733"/>
      <c r="H1210" s="733"/>
      <c r="I1210" s="733"/>
      <c r="J1210" s="733"/>
      <c r="K1210" s="733"/>
      <c r="L1210" s="733"/>
      <c r="M1210" s="733"/>
    </row>
    <row r="1211" spans="1:13" x14ac:dyDescent="0.3">
      <c r="A1211" s="733" t="s">
        <v>1642</v>
      </c>
      <c r="B1211" s="733" t="s">
        <v>612</v>
      </c>
      <c r="C1211" s="733" t="s">
        <v>1645</v>
      </c>
      <c r="D1211" s="733" t="s">
        <v>21</v>
      </c>
      <c r="E1211" s="733" t="s">
        <v>614</v>
      </c>
      <c r="F1211" s="733" t="s">
        <v>615</v>
      </c>
      <c r="G1211" s="733"/>
      <c r="H1211" s="733"/>
      <c r="I1211" s="733"/>
      <c r="J1211" s="733"/>
      <c r="K1211" s="733"/>
      <c r="L1211" s="733"/>
      <c r="M1211" s="733"/>
    </row>
    <row r="1212" spans="1:13" x14ac:dyDescent="0.3">
      <c r="A1212" s="733" t="s">
        <v>1646</v>
      </c>
      <c r="B1212" s="733" t="s">
        <v>612</v>
      </c>
      <c r="C1212" s="733" t="s">
        <v>1647</v>
      </c>
      <c r="D1212" s="733" t="s">
        <v>21</v>
      </c>
      <c r="E1212" s="733" t="s">
        <v>614</v>
      </c>
      <c r="F1212" s="733" t="s">
        <v>615</v>
      </c>
      <c r="G1212" s="733"/>
      <c r="H1212" s="733"/>
      <c r="I1212" s="733"/>
      <c r="J1212" s="733"/>
      <c r="K1212" s="733"/>
      <c r="L1212" s="733"/>
      <c r="M1212" s="733"/>
    </row>
    <row r="1213" spans="1:13" x14ac:dyDescent="0.3">
      <c r="A1213" s="733" t="s">
        <v>1646</v>
      </c>
      <c r="B1213" s="733" t="s">
        <v>612</v>
      </c>
      <c r="C1213" s="733" t="s">
        <v>973</v>
      </c>
      <c r="D1213" s="733" t="s">
        <v>21</v>
      </c>
      <c r="E1213" s="733" t="s">
        <v>614</v>
      </c>
      <c r="F1213" s="733" t="s">
        <v>615</v>
      </c>
      <c r="G1213" s="733"/>
      <c r="H1213" s="733"/>
      <c r="I1213" s="733"/>
      <c r="J1213" s="733"/>
      <c r="K1213" s="733"/>
      <c r="L1213" s="733"/>
      <c r="M1213" s="733"/>
    </row>
    <row r="1214" spans="1:13" x14ac:dyDescent="0.3">
      <c r="A1214" s="733" t="s">
        <v>1646</v>
      </c>
      <c r="B1214" s="733" t="s">
        <v>612</v>
      </c>
      <c r="C1214" s="733" t="s">
        <v>910</v>
      </c>
      <c r="D1214" s="733" t="s">
        <v>21</v>
      </c>
      <c r="E1214" s="733" t="s">
        <v>614</v>
      </c>
      <c r="F1214" s="733" t="s">
        <v>615</v>
      </c>
      <c r="G1214" s="733"/>
      <c r="H1214" s="733"/>
      <c r="I1214" s="733"/>
      <c r="J1214" s="733"/>
      <c r="K1214" s="733"/>
      <c r="L1214" s="733"/>
      <c r="M1214" s="733"/>
    </row>
    <row r="1215" spans="1:13" x14ac:dyDescent="0.3">
      <c r="A1215" s="733" t="s">
        <v>1646</v>
      </c>
      <c r="B1215" s="733" t="s">
        <v>612</v>
      </c>
      <c r="C1215" s="733" t="s">
        <v>911</v>
      </c>
      <c r="D1215" s="733" t="s">
        <v>21</v>
      </c>
      <c r="E1215" s="733" t="s">
        <v>614</v>
      </c>
      <c r="F1215" s="733" t="s">
        <v>615</v>
      </c>
      <c r="G1215" s="733"/>
      <c r="H1215" s="733"/>
      <c r="I1215" s="733"/>
      <c r="J1215" s="733"/>
      <c r="K1215" s="733"/>
      <c r="L1215" s="733"/>
      <c r="M1215" s="733"/>
    </row>
    <row r="1216" spans="1:13" x14ac:dyDescent="0.3">
      <c r="A1216" s="733" t="s">
        <v>1646</v>
      </c>
      <c r="B1216" s="733" t="s">
        <v>612</v>
      </c>
      <c r="C1216" s="733" t="s">
        <v>1648</v>
      </c>
      <c r="D1216" s="733" t="s">
        <v>21</v>
      </c>
      <c r="E1216" s="733" t="s">
        <v>614</v>
      </c>
      <c r="F1216" s="733" t="s">
        <v>615</v>
      </c>
      <c r="G1216" s="733"/>
      <c r="H1216" s="733"/>
      <c r="I1216" s="733"/>
      <c r="J1216" s="733"/>
      <c r="K1216" s="733"/>
      <c r="L1216" s="733"/>
      <c r="M1216" s="733"/>
    </row>
    <row r="1217" spans="1:13" x14ac:dyDescent="0.3">
      <c r="A1217" s="734" t="s">
        <v>1646</v>
      </c>
      <c r="B1217" s="734" t="s">
        <v>612</v>
      </c>
      <c r="C1217" s="734" t="s">
        <v>1649</v>
      </c>
      <c r="D1217" s="734" t="s">
        <v>21</v>
      </c>
      <c r="E1217" s="734" t="s">
        <v>614</v>
      </c>
      <c r="F1217" s="734" t="s">
        <v>696</v>
      </c>
      <c r="G1217" s="735"/>
      <c r="H1217" s="735"/>
      <c r="I1217" s="735"/>
      <c r="J1217" s="733"/>
      <c r="K1217" s="733"/>
      <c r="L1217" s="733"/>
      <c r="M1217" s="733"/>
    </row>
    <row r="1218" spans="1:13" x14ac:dyDescent="0.3">
      <c r="A1218" s="733" t="s">
        <v>1646</v>
      </c>
      <c r="B1218" s="733" t="s">
        <v>645</v>
      </c>
      <c r="C1218" s="733" t="s">
        <v>1650</v>
      </c>
      <c r="D1218" s="733" t="s">
        <v>21</v>
      </c>
      <c r="E1218" s="733" t="s">
        <v>614</v>
      </c>
      <c r="F1218" s="733" t="s">
        <v>615</v>
      </c>
      <c r="G1218" s="733"/>
      <c r="H1218" s="733"/>
      <c r="I1218" s="733"/>
      <c r="J1218" s="733"/>
      <c r="K1218" s="733"/>
      <c r="L1218" s="733"/>
      <c r="M1218" s="733"/>
    </row>
    <row r="1219" spans="1:13" x14ac:dyDescent="0.3">
      <c r="A1219" s="734" t="s">
        <v>1646</v>
      </c>
      <c r="B1219" s="734" t="s">
        <v>645</v>
      </c>
      <c r="C1219" s="734" t="s">
        <v>1651</v>
      </c>
      <c r="D1219" s="734" t="s">
        <v>21</v>
      </c>
      <c r="E1219" s="734" t="s">
        <v>614</v>
      </c>
      <c r="F1219" s="734" t="s">
        <v>736</v>
      </c>
      <c r="G1219" s="733"/>
      <c r="H1219" s="733"/>
      <c r="I1219" s="733"/>
      <c r="J1219" s="733"/>
      <c r="K1219" s="733"/>
      <c r="L1219" s="733"/>
      <c r="M1219" s="733"/>
    </row>
    <row r="1220" spans="1:13" x14ac:dyDescent="0.3">
      <c r="A1220" s="733" t="s">
        <v>1646</v>
      </c>
      <c r="B1220" s="733" t="s">
        <v>645</v>
      </c>
      <c r="C1220" s="733" t="s">
        <v>726</v>
      </c>
      <c r="D1220" s="733" t="s">
        <v>21</v>
      </c>
      <c r="E1220" s="733" t="s">
        <v>614</v>
      </c>
      <c r="F1220" s="733" t="s">
        <v>615</v>
      </c>
      <c r="G1220" s="733"/>
      <c r="H1220" s="733"/>
      <c r="I1220" s="733"/>
      <c r="J1220" s="733"/>
      <c r="K1220" s="733"/>
      <c r="L1220" s="733"/>
      <c r="M1220" s="733"/>
    </row>
    <row r="1221" spans="1:13" x14ac:dyDescent="0.3">
      <c r="A1221" s="733" t="s">
        <v>1646</v>
      </c>
      <c r="B1221" s="733" t="s">
        <v>664</v>
      </c>
      <c r="C1221" s="733" t="s">
        <v>1652</v>
      </c>
      <c r="D1221" s="733" t="s">
        <v>21</v>
      </c>
      <c r="E1221" s="733" t="s">
        <v>614</v>
      </c>
      <c r="F1221" s="733" t="s">
        <v>615</v>
      </c>
      <c r="G1221" s="733"/>
      <c r="H1221" s="733"/>
      <c r="I1221" s="733"/>
      <c r="J1221" s="733"/>
      <c r="K1221" s="733"/>
      <c r="L1221" s="733"/>
      <c r="M1221" s="733"/>
    </row>
    <row r="1222" spans="1:13" x14ac:dyDescent="0.3">
      <c r="A1222" s="733" t="s">
        <v>1646</v>
      </c>
      <c r="B1222" s="733" t="s">
        <v>664</v>
      </c>
      <c r="C1222" s="733" t="s">
        <v>1653</v>
      </c>
      <c r="D1222" s="733" t="s">
        <v>21</v>
      </c>
      <c r="E1222" s="733" t="s">
        <v>614</v>
      </c>
      <c r="F1222" s="733" t="s">
        <v>615</v>
      </c>
      <c r="G1222" s="733"/>
      <c r="H1222" s="733"/>
      <c r="I1222" s="733"/>
      <c r="J1222" s="733"/>
      <c r="K1222" s="733"/>
      <c r="L1222" s="733"/>
      <c r="M1222" s="733"/>
    </row>
    <row r="1223" spans="1:13" x14ac:dyDescent="0.3">
      <c r="A1223" s="733" t="s">
        <v>1654</v>
      </c>
      <c r="B1223" s="733" t="s">
        <v>612</v>
      </c>
      <c r="C1223" s="733" t="s">
        <v>1241</v>
      </c>
      <c r="D1223" s="733" t="s">
        <v>21</v>
      </c>
      <c r="E1223" s="733" t="s">
        <v>614</v>
      </c>
      <c r="F1223" s="733" t="s">
        <v>615</v>
      </c>
      <c r="G1223" s="733"/>
      <c r="H1223" s="733"/>
      <c r="I1223" s="733"/>
      <c r="J1223" s="733"/>
      <c r="K1223" s="733"/>
      <c r="L1223" s="733"/>
      <c r="M1223" s="733"/>
    </row>
    <row r="1224" spans="1:13" x14ac:dyDescent="0.3">
      <c r="A1224" s="734" t="s">
        <v>1654</v>
      </c>
      <c r="B1224" s="734" t="s">
        <v>612</v>
      </c>
      <c r="C1224" s="734" t="s">
        <v>1655</v>
      </c>
      <c r="D1224" s="734" t="s">
        <v>21</v>
      </c>
      <c r="E1224" s="734" t="s">
        <v>614</v>
      </c>
      <c r="F1224" s="734" t="s">
        <v>696</v>
      </c>
      <c r="G1224" s="735"/>
      <c r="H1224" s="735"/>
      <c r="I1224" s="735"/>
      <c r="J1224" s="733"/>
      <c r="K1224" s="733"/>
      <c r="L1224" s="733"/>
      <c r="M1224" s="733"/>
    </row>
    <row r="1225" spans="1:13" x14ac:dyDescent="0.3">
      <c r="A1225" s="733" t="s">
        <v>1654</v>
      </c>
      <c r="B1225" s="733" t="s">
        <v>612</v>
      </c>
      <c r="C1225" s="733" t="s">
        <v>1656</v>
      </c>
      <c r="D1225" s="733" t="s">
        <v>21</v>
      </c>
      <c r="E1225" s="733" t="s">
        <v>614</v>
      </c>
      <c r="F1225" s="733" t="s">
        <v>615</v>
      </c>
      <c r="G1225" s="733"/>
      <c r="H1225" s="733"/>
      <c r="I1225" s="733"/>
      <c r="J1225" s="733"/>
      <c r="K1225" s="733"/>
      <c r="L1225" s="733"/>
      <c r="M1225" s="733"/>
    </row>
    <row r="1226" spans="1:13" x14ac:dyDescent="0.3">
      <c r="A1226" s="733" t="s">
        <v>1654</v>
      </c>
      <c r="B1226" s="733" t="s">
        <v>612</v>
      </c>
      <c r="C1226" s="733" t="s">
        <v>1657</v>
      </c>
      <c r="D1226" s="733" t="s">
        <v>21</v>
      </c>
      <c r="E1226" s="733" t="s">
        <v>614</v>
      </c>
      <c r="F1226" s="733" t="s">
        <v>615</v>
      </c>
      <c r="G1226" s="733"/>
      <c r="H1226" s="733"/>
      <c r="I1226" s="733"/>
      <c r="J1226" s="733"/>
      <c r="K1226" s="733"/>
      <c r="L1226" s="733"/>
      <c r="M1226" s="733"/>
    </row>
    <row r="1227" spans="1:13" x14ac:dyDescent="0.3">
      <c r="A1227" s="733" t="s">
        <v>1654</v>
      </c>
      <c r="B1227" s="733" t="s">
        <v>612</v>
      </c>
      <c r="C1227" s="733" t="s">
        <v>1658</v>
      </c>
      <c r="D1227" s="733" t="s">
        <v>21</v>
      </c>
      <c r="E1227" s="733" t="s">
        <v>614</v>
      </c>
      <c r="F1227" s="733" t="s">
        <v>615</v>
      </c>
      <c r="G1227" s="733"/>
      <c r="H1227" s="733"/>
      <c r="I1227" s="733"/>
      <c r="J1227" s="733"/>
      <c r="K1227" s="733"/>
      <c r="L1227" s="733"/>
      <c r="M1227" s="733"/>
    </row>
    <row r="1228" spans="1:13" x14ac:dyDescent="0.3">
      <c r="A1228" s="733" t="s">
        <v>1654</v>
      </c>
      <c r="B1228" s="733" t="s">
        <v>612</v>
      </c>
      <c r="C1228" s="733" t="s">
        <v>1659</v>
      </c>
      <c r="D1228" s="733" t="s">
        <v>21</v>
      </c>
      <c r="E1228" s="733" t="s">
        <v>614</v>
      </c>
      <c r="F1228" s="733" t="s">
        <v>615</v>
      </c>
      <c r="G1228" s="733"/>
      <c r="H1228" s="733"/>
      <c r="I1228" s="733"/>
      <c r="J1228" s="733"/>
      <c r="K1228" s="733"/>
      <c r="L1228" s="733"/>
      <c r="M1228" s="733"/>
    </row>
    <row r="1229" spans="1:13" x14ac:dyDescent="0.3">
      <c r="A1229" s="733" t="s">
        <v>1654</v>
      </c>
      <c r="B1229" s="733" t="s">
        <v>612</v>
      </c>
      <c r="C1229" s="733" t="s">
        <v>1660</v>
      </c>
      <c r="D1229" s="733" t="s">
        <v>21</v>
      </c>
      <c r="E1229" s="733" t="s">
        <v>614</v>
      </c>
      <c r="F1229" s="733" t="s">
        <v>615</v>
      </c>
      <c r="G1229" s="733"/>
      <c r="H1229" s="733"/>
      <c r="I1229" s="733"/>
      <c r="J1229" s="733"/>
      <c r="K1229" s="733"/>
      <c r="L1229" s="733"/>
      <c r="M1229" s="733"/>
    </row>
    <row r="1230" spans="1:13" x14ac:dyDescent="0.3">
      <c r="A1230" s="733" t="s">
        <v>1654</v>
      </c>
      <c r="B1230" s="733" t="s">
        <v>612</v>
      </c>
      <c r="C1230" s="733" t="s">
        <v>1661</v>
      </c>
      <c r="D1230" s="733" t="s">
        <v>21</v>
      </c>
      <c r="E1230" s="733" t="s">
        <v>614</v>
      </c>
      <c r="F1230" s="733" t="s">
        <v>615</v>
      </c>
      <c r="G1230" s="733"/>
      <c r="H1230" s="733"/>
      <c r="I1230" s="733"/>
      <c r="J1230" s="733"/>
      <c r="K1230" s="733"/>
      <c r="L1230" s="733"/>
      <c r="M1230" s="733"/>
    </row>
    <row r="1231" spans="1:13" x14ac:dyDescent="0.3">
      <c r="A1231" s="733" t="s">
        <v>1654</v>
      </c>
      <c r="B1231" s="733" t="s">
        <v>612</v>
      </c>
      <c r="C1231" s="733" t="s">
        <v>1662</v>
      </c>
      <c r="D1231" s="733" t="s">
        <v>21</v>
      </c>
      <c r="E1231" s="733" t="s">
        <v>614</v>
      </c>
      <c r="F1231" s="733" t="s">
        <v>615</v>
      </c>
      <c r="G1231" s="733"/>
      <c r="H1231" s="733"/>
      <c r="I1231" s="733"/>
      <c r="J1231" s="733"/>
      <c r="K1231" s="733"/>
      <c r="L1231" s="733"/>
      <c r="M1231" s="733"/>
    </row>
    <row r="1232" spans="1:13" x14ac:dyDescent="0.3">
      <c r="A1232" s="733" t="s">
        <v>1654</v>
      </c>
      <c r="B1232" s="733" t="s">
        <v>612</v>
      </c>
      <c r="C1232" s="733" t="s">
        <v>978</v>
      </c>
      <c r="D1232" s="733" t="s">
        <v>21</v>
      </c>
      <c r="E1232" s="733" t="s">
        <v>614</v>
      </c>
      <c r="F1232" s="733" t="s">
        <v>615</v>
      </c>
      <c r="G1232" s="733"/>
      <c r="H1232" s="733"/>
      <c r="I1232" s="733"/>
      <c r="J1232" s="733"/>
      <c r="K1232" s="733"/>
      <c r="L1232" s="733"/>
      <c r="M1232" s="733"/>
    </row>
    <row r="1233" spans="1:13" x14ac:dyDescent="0.3">
      <c r="A1233" s="733" t="s">
        <v>1654</v>
      </c>
      <c r="B1233" s="733" t="s">
        <v>612</v>
      </c>
      <c r="C1233" s="733" t="s">
        <v>1648</v>
      </c>
      <c r="D1233" s="733" t="s">
        <v>21</v>
      </c>
      <c r="E1233" s="733" t="s">
        <v>614</v>
      </c>
      <c r="F1233" s="733" t="s">
        <v>615</v>
      </c>
      <c r="G1233" s="733"/>
      <c r="H1233" s="733"/>
      <c r="I1233" s="733"/>
      <c r="J1233" s="733"/>
      <c r="K1233" s="733"/>
      <c r="L1233" s="733"/>
      <c r="M1233" s="733"/>
    </row>
    <row r="1234" spans="1:13" x14ac:dyDescent="0.3">
      <c r="A1234" s="734" t="s">
        <v>1654</v>
      </c>
      <c r="B1234" s="734" t="s">
        <v>612</v>
      </c>
      <c r="C1234" s="734" t="s">
        <v>1649</v>
      </c>
      <c r="D1234" s="734" t="s">
        <v>21</v>
      </c>
      <c r="E1234" s="734" t="s">
        <v>614</v>
      </c>
      <c r="F1234" s="734" t="s">
        <v>696</v>
      </c>
      <c r="G1234" s="735"/>
      <c r="H1234" s="735"/>
      <c r="I1234" s="735"/>
      <c r="J1234" s="733"/>
      <c r="K1234" s="733"/>
      <c r="L1234" s="733"/>
      <c r="M1234" s="733"/>
    </row>
    <row r="1235" spans="1:13" x14ac:dyDescent="0.3">
      <c r="A1235" s="733" t="s">
        <v>1654</v>
      </c>
      <c r="B1235" s="733" t="s">
        <v>612</v>
      </c>
      <c r="C1235" s="733" t="s">
        <v>1663</v>
      </c>
      <c r="D1235" s="733" t="s">
        <v>21</v>
      </c>
      <c r="E1235" s="733" t="s">
        <v>614</v>
      </c>
      <c r="F1235" s="733" t="s">
        <v>615</v>
      </c>
      <c r="G1235" s="733"/>
      <c r="H1235" s="733"/>
      <c r="I1235" s="733"/>
      <c r="J1235" s="733"/>
      <c r="K1235" s="733"/>
      <c r="L1235" s="733"/>
      <c r="M1235" s="733"/>
    </row>
    <row r="1236" spans="1:13" x14ac:dyDescent="0.3">
      <c r="A1236" s="733" t="s">
        <v>1654</v>
      </c>
      <c r="B1236" s="733" t="s">
        <v>612</v>
      </c>
      <c r="C1236" s="733" t="s">
        <v>1664</v>
      </c>
      <c r="D1236" s="733" t="s">
        <v>21</v>
      </c>
      <c r="E1236" s="733" t="s">
        <v>614</v>
      </c>
      <c r="F1236" s="733" t="s">
        <v>615</v>
      </c>
      <c r="G1236" s="733"/>
      <c r="H1236" s="733"/>
      <c r="I1236" s="733"/>
      <c r="J1236" s="733"/>
      <c r="K1236" s="733"/>
      <c r="L1236" s="733"/>
      <c r="M1236" s="733"/>
    </row>
    <row r="1237" spans="1:13" x14ac:dyDescent="0.3">
      <c r="A1237" s="733" t="s">
        <v>1654</v>
      </c>
      <c r="B1237" s="733" t="s">
        <v>612</v>
      </c>
      <c r="C1237" s="733" t="s">
        <v>1665</v>
      </c>
      <c r="D1237" s="733" t="s">
        <v>21</v>
      </c>
      <c r="E1237" s="733" t="s">
        <v>614</v>
      </c>
      <c r="F1237" s="733" t="s">
        <v>615</v>
      </c>
      <c r="G1237" s="733"/>
      <c r="H1237" s="733"/>
      <c r="I1237" s="733"/>
      <c r="J1237" s="733"/>
      <c r="K1237" s="733"/>
      <c r="L1237" s="733"/>
      <c r="M1237" s="733"/>
    </row>
    <row r="1238" spans="1:13" x14ac:dyDescent="0.3">
      <c r="A1238" s="733" t="s">
        <v>1654</v>
      </c>
      <c r="B1238" s="733" t="s">
        <v>612</v>
      </c>
      <c r="C1238" s="733" t="s">
        <v>1666</v>
      </c>
      <c r="D1238" s="733" t="s">
        <v>21</v>
      </c>
      <c r="E1238" s="733" t="s">
        <v>614</v>
      </c>
      <c r="F1238" s="733" t="s">
        <v>615</v>
      </c>
      <c r="G1238" s="733"/>
      <c r="H1238" s="733"/>
      <c r="I1238" s="733"/>
      <c r="J1238" s="733"/>
      <c r="K1238" s="733"/>
      <c r="L1238" s="733"/>
      <c r="M1238" s="733"/>
    </row>
    <row r="1239" spans="1:13" x14ac:dyDescent="0.3">
      <c r="A1239" s="734" t="s">
        <v>1654</v>
      </c>
      <c r="B1239" s="734" t="s">
        <v>612</v>
      </c>
      <c r="C1239" s="734" t="s">
        <v>1667</v>
      </c>
      <c r="D1239" s="734" t="s">
        <v>21</v>
      </c>
      <c r="E1239" s="734" t="s">
        <v>614</v>
      </c>
      <c r="F1239" s="734" t="s">
        <v>696</v>
      </c>
      <c r="G1239" s="735"/>
      <c r="H1239" s="735"/>
      <c r="I1239" s="735"/>
      <c r="J1239" s="733"/>
      <c r="K1239" s="733"/>
      <c r="L1239" s="733"/>
      <c r="M1239" s="733"/>
    </row>
    <row r="1240" spans="1:13" x14ac:dyDescent="0.3">
      <c r="A1240" s="733" t="s">
        <v>1654</v>
      </c>
      <c r="B1240" s="733" t="s">
        <v>612</v>
      </c>
      <c r="C1240" s="733" t="s">
        <v>1668</v>
      </c>
      <c r="D1240" s="733" t="s">
        <v>21</v>
      </c>
      <c r="E1240" s="733" t="s">
        <v>614</v>
      </c>
      <c r="F1240" s="733" t="s">
        <v>615</v>
      </c>
      <c r="G1240" s="733"/>
      <c r="H1240" s="733"/>
      <c r="I1240" s="733"/>
      <c r="J1240" s="733"/>
      <c r="K1240" s="733"/>
      <c r="L1240" s="733"/>
      <c r="M1240" s="733"/>
    </row>
    <row r="1241" spans="1:13" x14ac:dyDescent="0.3">
      <c r="A1241" s="733" t="s">
        <v>1654</v>
      </c>
      <c r="B1241" s="733" t="s">
        <v>612</v>
      </c>
      <c r="C1241" s="733" t="s">
        <v>985</v>
      </c>
      <c r="D1241" s="733" t="s">
        <v>21</v>
      </c>
      <c r="E1241" s="733" t="s">
        <v>614</v>
      </c>
      <c r="F1241" s="733" t="s">
        <v>615</v>
      </c>
      <c r="G1241" s="733"/>
      <c r="H1241" s="733"/>
      <c r="I1241" s="733"/>
      <c r="J1241" s="733"/>
      <c r="K1241" s="733"/>
      <c r="L1241" s="733"/>
      <c r="M1241" s="733"/>
    </row>
    <row r="1242" spans="1:13" x14ac:dyDescent="0.3">
      <c r="A1242" s="733" t="s">
        <v>1654</v>
      </c>
      <c r="B1242" s="733" t="s">
        <v>612</v>
      </c>
      <c r="C1242" s="733" t="s">
        <v>1669</v>
      </c>
      <c r="D1242" s="733" t="s">
        <v>21</v>
      </c>
      <c r="E1242" s="733" t="s">
        <v>614</v>
      </c>
      <c r="F1242" s="733" t="s">
        <v>615</v>
      </c>
      <c r="G1242" s="733"/>
      <c r="H1242" s="733"/>
      <c r="I1242" s="733"/>
      <c r="J1242" s="733"/>
      <c r="K1242" s="733"/>
      <c r="L1242" s="733"/>
      <c r="M1242" s="733"/>
    </row>
    <row r="1243" spans="1:13" x14ac:dyDescent="0.3">
      <c r="A1243" s="733" t="s">
        <v>1654</v>
      </c>
      <c r="B1243" s="733" t="s">
        <v>612</v>
      </c>
      <c r="C1243" s="733" t="s">
        <v>1670</v>
      </c>
      <c r="D1243" s="733" t="s">
        <v>21</v>
      </c>
      <c r="E1243" s="733" t="s">
        <v>614</v>
      </c>
      <c r="F1243" s="733" t="s">
        <v>615</v>
      </c>
      <c r="G1243" s="733"/>
      <c r="H1243" s="733"/>
      <c r="I1243" s="733"/>
      <c r="J1243" s="733"/>
      <c r="K1243" s="733"/>
      <c r="L1243" s="733"/>
      <c r="M1243" s="733"/>
    </row>
    <row r="1244" spans="1:13" x14ac:dyDescent="0.3">
      <c r="A1244" s="734" t="s">
        <v>1654</v>
      </c>
      <c r="B1244" s="734" t="s">
        <v>612</v>
      </c>
      <c r="C1244" s="734" t="s">
        <v>765</v>
      </c>
      <c r="D1244" s="734" t="s">
        <v>21</v>
      </c>
      <c r="E1244" s="734" t="s">
        <v>614</v>
      </c>
      <c r="F1244" s="734" t="s">
        <v>696</v>
      </c>
      <c r="G1244" s="735"/>
      <c r="H1244" s="735"/>
      <c r="I1244" s="735"/>
      <c r="J1244" s="733"/>
      <c r="K1244" s="733"/>
      <c r="L1244" s="733"/>
      <c r="M1244" s="733"/>
    </row>
    <row r="1245" spans="1:13" x14ac:dyDescent="0.3">
      <c r="A1245" s="733" t="s">
        <v>1654</v>
      </c>
      <c r="B1245" s="733" t="s">
        <v>612</v>
      </c>
      <c r="C1245" s="733" t="s">
        <v>991</v>
      </c>
      <c r="D1245" s="733" t="s">
        <v>21</v>
      </c>
      <c r="E1245" s="733" t="s">
        <v>614</v>
      </c>
      <c r="F1245" s="733" t="s">
        <v>615</v>
      </c>
      <c r="G1245" s="733"/>
      <c r="H1245" s="733"/>
      <c r="I1245" s="733"/>
      <c r="J1245" s="733"/>
      <c r="K1245" s="733"/>
      <c r="L1245" s="733"/>
      <c r="M1245" s="733"/>
    </row>
    <row r="1246" spans="1:13" x14ac:dyDescent="0.3">
      <c r="A1246" s="733" t="s">
        <v>1654</v>
      </c>
      <c r="B1246" s="733" t="s">
        <v>612</v>
      </c>
      <c r="C1246" s="733" t="s">
        <v>992</v>
      </c>
      <c r="D1246" s="733" t="s">
        <v>21</v>
      </c>
      <c r="E1246" s="733" t="s">
        <v>614</v>
      </c>
      <c r="F1246" s="733" t="s">
        <v>615</v>
      </c>
      <c r="G1246" s="733"/>
      <c r="H1246" s="733"/>
      <c r="I1246" s="733"/>
      <c r="J1246" s="733"/>
      <c r="K1246" s="733"/>
      <c r="L1246" s="733"/>
      <c r="M1246" s="733"/>
    </row>
    <row r="1247" spans="1:13" x14ac:dyDescent="0.3">
      <c r="A1247" s="733" t="s">
        <v>1654</v>
      </c>
      <c r="B1247" s="733" t="s">
        <v>612</v>
      </c>
      <c r="C1247" s="733" t="s">
        <v>993</v>
      </c>
      <c r="D1247" s="733" t="s">
        <v>21</v>
      </c>
      <c r="E1247" s="733" t="s">
        <v>614</v>
      </c>
      <c r="F1247" s="733" t="s">
        <v>615</v>
      </c>
      <c r="G1247" s="733"/>
      <c r="H1247" s="733"/>
      <c r="I1247" s="733"/>
      <c r="J1247" s="733"/>
      <c r="K1247" s="733"/>
      <c r="L1247" s="733"/>
      <c r="M1247" s="733"/>
    </row>
    <row r="1248" spans="1:13" x14ac:dyDescent="0.3">
      <c r="A1248" s="733" t="s">
        <v>1654</v>
      </c>
      <c r="B1248" s="733" t="s">
        <v>612</v>
      </c>
      <c r="C1248" s="733" t="s">
        <v>1671</v>
      </c>
      <c r="D1248" s="733" t="s">
        <v>21</v>
      </c>
      <c r="E1248" s="733" t="s">
        <v>614</v>
      </c>
      <c r="F1248" s="733" t="s">
        <v>615</v>
      </c>
      <c r="G1248" s="733"/>
      <c r="H1248" s="733"/>
      <c r="I1248" s="733"/>
      <c r="J1248" s="733"/>
      <c r="K1248" s="733"/>
      <c r="L1248" s="733"/>
      <c r="M1248" s="733"/>
    </row>
    <row r="1249" spans="1:13" x14ac:dyDescent="0.3">
      <c r="A1249" s="733" t="s">
        <v>1654</v>
      </c>
      <c r="B1249" s="733" t="s">
        <v>612</v>
      </c>
      <c r="C1249" s="733" t="s">
        <v>997</v>
      </c>
      <c r="D1249" s="733" t="s">
        <v>21</v>
      </c>
      <c r="E1249" s="733" t="s">
        <v>614</v>
      </c>
      <c r="F1249" s="733" t="s">
        <v>615</v>
      </c>
      <c r="G1249" s="733"/>
      <c r="H1249" s="733"/>
      <c r="I1249" s="733"/>
      <c r="J1249" s="733"/>
      <c r="K1249" s="733"/>
      <c r="L1249" s="733"/>
      <c r="M1249" s="733"/>
    </row>
    <row r="1250" spans="1:13" x14ac:dyDescent="0.3">
      <c r="A1250" s="733" t="s">
        <v>1654</v>
      </c>
      <c r="B1250" s="733" t="s">
        <v>612</v>
      </c>
      <c r="C1250" s="733" t="s">
        <v>1672</v>
      </c>
      <c r="D1250" s="733" t="s">
        <v>21</v>
      </c>
      <c r="E1250" s="733" t="s">
        <v>614</v>
      </c>
      <c r="F1250" s="733" t="s">
        <v>615</v>
      </c>
      <c r="G1250" s="733"/>
      <c r="H1250" s="733"/>
      <c r="I1250" s="733"/>
      <c r="J1250" s="733"/>
      <c r="K1250" s="733"/>
      <c r="L1250" s="733"/>
      <c r="M1250" s="733"/>
    </row>
    <row r="1251" spans="1:13" x14ac:dyDescent="0.3">
      <c r="A1251" s="733" t="s">
        <v>1654</v>
      </c>
      <c r="B1251" s="733" t="s">
        <v>612</v>
      </c>
      <c r="C1251" s="733" t="s">
        <v>1457</v>
      </c>
      <c r="D1251" s="733" t="s">
        <v>21</v>
      </c>
      <c r="E1251" s="733" t="s">
        <v>614</v>
      </c>
      <c r="F1251" s="733" t="s">
        <v>615</v>
      </c>
      <c r="G1251" s="733"/>
      <c r="H1251" s="733"/>
      <c r="I1251" s="733"/>
      <c r="J1251" s="733"/>
      <c r="K1251" s="733"/>
      <c r="L1251" s="733"/>
      <c r="M1251" s="733"/>
    </row>
    <row r="1252" spans="1:13" x14ac:dyDescent="0.3">
      <c r="A1252" s="733" t="s">
        <v>1654</v>
      </c>
      <c r="B1252" s="733" t="s">
        <v>612</v>
      </c>
      <c r="C1252" s="733" t="s">
        <v>1673</v>
      </c>
      <c r="D1252" s="733" t="s">
        <v>21</v>
      </c>
      <c r="E1252" s="733" t="s">
        <v>614</v>
      </c>
      <c r="F1252" s="733" t="s">
        <v>615</v>
      </c>
      <c r="G1252" s="733"/>
      <c r="H1252" s="733"/>
      <c r="I1252" s="733"/>
      <c r="J1252" s="733"/>
      <c r="K1252" s="733"/>
      <c r="L1252" s="733"/>
      <c r="M1252" s="733"/>
    </row>
    <row r="1253" spans="1:13" x14ac:dyDescent="0.3">
      <c r="A1253" s="733" t="s">
        <v>1654</v>
      </c>
      <c r="B1253" s="733" t="s">
        <v>612</v>
      </c>
      <c r="C1253" s="733" t="s">
        <v>998</v>
      </c>
      <c r="D1253" s="733" t="s">
        <v>21</v>
      </c>
      <c r="E1253" s="733" t="s">
        <v>614</v>
      </c>
      <c r="F1253" s="733" t="s">
        <v>615</v>
      </c>
      <c r="G1253" s="733"/>
      <c r="H1253" s="733"/>
      <c r="I1253" s="733"/>
      <c r="J1253" s="733"/>
      <c r="K1253" s="733"/>
      <c r="L1253" s="733"/>
      <c r="M1253" s="733"/>
    </row>
    <row r="1254" spans="1:13" x14ac:dyDescent="0.3">
      <c r="A1254" s="733" t="s">
        <v>1654</v>
      </c>
      <c r="B1254" s="733" t="s">
        <v>612</v>
      </c>
      <c r="C1254" s="733" t="s">
        <v>1674</v>
      </c>
      <c r="D1254" s="733" t="s">
        <v>21</v>
      </c>
      <c r="E1254" s="733" t="s">
        <v>614</v>
      </c>
      <c r="F1254" s="733" t="s">
        <v>615</v>
      </c>
      <c r="G1254" s="733"/>
      <c r="H1254" s="733"/>
      <c r="I1254" s="733"/>
      <c r="J1254" s="733"/>
      <c r="K1254" s="733"/>
      <c r="L1254" s="733"/>
      <c r="M1254" s="733"/>
    </row>
    <row r="1255" spans="1:13" x14ac:dyDescent="0.3">
      <c r="A1255" s="733" t="s">
        <v>1654</v>
      </c>
      <c r="B1255" s="733" t="s">
        <v>612</v>
      </c>
      <c r="C1255" s="733" t="s">
        <v>1675</v>
      </c>
      <c r="D1255" s="733" t="s">
        <v>21</v>
      </c>
      <c r="E1255" s="733" t="s">
        <v>614</v>
      </c>
      <c r="F1255" s="733" t="s">
        <v>615</v>
      </c>
      <c r="G1255" s="733"/>
      <c r="H1255" s="733"/>
      <c r="I1255" s="733"/>
      <c r="J1255" s="733"/>
      <c r="K1255" s="733"/>
      <c r="L1255" s="733"/>
      <c r="M1255" s="733"/>
    </row>
    <row r="1256" spans="1:13" x14ac:dyDescent="0.3">
      <c r="A1256" s="733" t="s">
        <v>1654</v>
      </c>
      <c r="B1256" s="733" t="s">
        <v>612</v>
      </c>
      <c r="C1256" s="733" t="s">
        <v>1676</v>
      </c>
      <c r="D1256" s="733" t="s">
        <v>21</v>
      </c>
      <c r="E1256" s="733" t="s">
        <v>614</v>
      </c>
      <c r="F1256" s="733" t="s">
        <v>615</v>
      </c>
      <c r="G1256" s="733"/>
      <c r="H1256" s="733"/>
      <c r="I1256" s="733"/>
      <c r="J1256" s="733"/>
      <c r="K1256" s="733"/>
      <c r="L1256" s="733"/>
      <c r="M1256" s="733"/>
    </row>
    <row r="1257" spans="1:13" x14ac:dyDescent="0.3">
      <c r="A1257" s="733" t="s">
        <v>1654</v>
      </c>
      <c r="B1257" s="733" t="s">
        <v>612</v>
      </c>
      <c r="C1257" s="733" t="s">
        <v>1421</v>
      </c>
      <c r="D1257" s="733" t="s">
        <v>21</v>
      </c>
      <c r="E1257" s="733" t="s">
        <v>614</v>
      </c>
      <c r="F1257" s="733" t="s">
        <v>615</v>
      </c>
      <c r="G1257" s="733"/>
      <c r="H1257" s="733"/>
      <c r="I1257" s="733"/>
      <c r="J1257" s="733"/>
      <c r="K1257" s="733"/>
      <c r="L1257" s="733"/>
      <c r="M1257" s="733"/>
    </row>
    <row r="1258" spans="1:13" x14ac:dyDescent="0.3">
      <c r="A1258" s="733" t="s">
        <v>1654</v>
      </c>
      <c r="B1258" s="733" t="s">
        <v>612</v>
      </c>
      <c r="C1258" s="733" t="s">
        <v>1677</v>
      </c>
      <c r="D1258" s="733" t="s">
        <v>21</v>
      </c>
      <c r="E1258" s="733" t="s">
        <v>614</v>
      </c>
      <c r="F1258" s="733" t="s">
        <v>615</v>
      </c>
      <c r="G1258" s="733"/>
      <c r="H1258" s="733"/>
      <c r="I1258" s="733"/>
      <c r="J1258" s="733"/>
      <c r="K1258" s="733"/>
      <c r="L1258" s="733"/>
      <c r="M1258" s="733"/>
    </row>
    <row r="1259" spans="1:13" x14ac:dyDescent="0.3">
      <c r="A1259" s="733" t="s">
        <v>1654</v>
      </c>
      <c r="B1259" s="733" t="s">
        <v>612</v>
      </c>
      <c r="C1259" s="733" t="s">
        <v>1678</v>
      </c>
      <c r="D1259" s="733" t="s">
        <v>21</v>
      </c>
      <c r="E1259" s="733" t="s">
        <v>614</v>
      </c>
      <c r="F1259" s="733" t="s">
        <v>615</v>
      </c>
      <c r="G1259" s="733"/>
      <c r="H1259" s="733"/>
      <c r="I1259" s="733"/>
      <c r="J1259" s="733"/>
      <c r="K1259" s="733"/>
      <c r="L1259" s="733"/>
      <c r="M1259" s="733"/>
    </row>
    <row r="1260" spans="1:13" x14ac:dyDescent="0.3">
      <c r="A1260" s="733" t="s">
        <v>1654</v>
      </c>
      <c r="B1260" s="733" t="s">
        <v>612</v>
      </c>
      <c r="C1260" s="733" t="s">
        <v>1000</v>
      </c>
      <c r="D1260" s="733" t="s">
        <v>21</v>
      </c>
      <c r="E1260" s="733" t="s">
        <v>614</v>
      </c>
      <c r="F1260" s="733" t="s">
        <v>615</v>
      </c>
      <c r="G1260" s="733"/>
      <c r="H1260" s="733"/>
      <c r="I1260" s="733"/>
      <c r="J1260" s="733"/>
      <c r="K1260" s="733"/>
      <c r="L1260" s="733"/>
      <c r="M1260" s="733"/>
    </row>
    <row r="1261" spans="1:13" x14ac:dyDescent="0.3">
      <c r="A1261" s="733" t="s">
        <v>1654</v>
      </c>
      <c r="B1261" s="733" t="s">
        <v>612</v>
      </c>
      <c r="C1261" s="733" t="s">
        <v>1091</v>
      </c>
      <c r="D1261" s="733" t="s">
        <v>21</v>
      </c>
      <c r="E1261" s="733" t="s">
        <v>614</v>
      </c>
      <c r="F1261" s="733" t="s">
        <v>615</v>
      </c>
      <c r="G1261" s="733"/>
      <c r="H1261" s="733"/>
      <c r="I1261" s="733"/>
      <c r="J1261" s="733"/>
      <c r="K1261" s="733"/>
      <c r="L1261" s="733"/>
      <c r="M1261" s="733"/>
    </row>
    <row r="1262" spans="1:13" x14ac:dyDescent="0.3">
      <c r="A1262" s="733" t="s">
        <v>1654</v>
      </c>
      <c r="B1262" s="733" t="s">
        <v>612</v>
      </c>
      <c r="C1262" s="733" t="s">
        <v>1002</v>
      </c>
      <c r="D1262" s="733" t="s">
        <v>21</v>
      </c>
      <c r="E1262" s="733" t="s">
        <v>614</v>
      </c>
      <c r="F1262" s="733" t="s">
        <v>615</v>
      </c>
      <c r="G1262" s="733"/>
      <c r="H1262" s="733"/>
      <c r="I1262" s="733"/>
      <c r="J1262" s="733"/>
      <c r="K1262" s="733"/>
      <c r="L1262" s="733"/>
      <c r="M1262" s="733"/>
    </row>
    <row r="1263" spans="1:13" x14ac:dyDescent="0.3">
      <c r="A1263" s="733" t="s">
        <v>1654</v>
      </c>
      <c r="B1263" s="733" t="s">
        <v>645</v>
      </c>
      <c r="C1263" s="733" t="s">
        <v>1679</v>
      </c>
      <c r="D1263" s="733" t="s">
        <v>21</v>
      </c>
      <c r="E1263" s="733" t="s">
        <v>614</v>
      </c>
      <c r="F1263" s="733" t="s">
        <v>615</v>
      </c>
      <c r="G1263" s="733"/>
      <c r="H1263" s="733"/>
      <c r="I1263" s="733"/>
      <c r="J1263" s="733"/>
      <c r="K1263" s="733"/>
      <c r="L1263" s="733"/>
      <c r="M1263" s="733"/>
    </row>
    <row r="1264" spans="1:13" x14ac:dyDescent="0.3">
      <c r="A1264" s="733" t="s">
        <v>1654</v>
      </c>
      <c r="B1264" s="733" t="s">
        <v>645</v>
      </c>
      <c r="C1264" s="733" t="s">
        <v>1680</v>
      </c>
      <c r="D1264" s="733" t="s">
        <v>21</v>
      </c>
      <c r="E1264" s="733" t="s">
        <v>614</v>
      </c>
      <c r="F1264" s="733" t="s">
        <v>615</v>
      </c>
      <c r="G1264" s="733"/>
      <c r="H1264" s="733"/>
      <c r="I1264" s="733"/>
      <c r="J1264" s="733"/>
      <c r="K1264" s="733"/>
      <c r="L1264" s="733"/>
      <c r="M1264" s="733"/>
    </row>
    <row r="1265" spans="1:13" x14ac:dyDescent="0.3">
      <c r="A1265" s="733" t="s">
        <v>1654</v>
      </c>
      <c r="B1265" s="733" t="s">
        <v>645</v>
      </c>
      <c r="C1265" s="733" t="s">
        <v>1681</v>
      </c>
      <c r="D1265" s="733" t="s">
        <v>21</v>
      </c>
      <c r="E1265" s="733" t="s">
        <v>614</v>
      </c>
      <c r="F1265" s="733" t="s">
        <v>615</v>
      </c>
      <c r="G1265" s="733"/>
      <c r="H1265" s="733"/>
      <c r="I1265" s="733"/>
      <c r="J1265" s="733"/>
      <c r="K1265" s="733"/>
      <c r="L1265" s="733"/>
      <c r="M1265" s="733"/>
    </row>
    <row r="1266" spans="1:13" x14ac:dyDescent="0.3">
      <c r="A1266" s="733" t="s">
        <v>1654</v>
      </c>
      <c r="B1266" s="733" t="s">
        <v>645</v>
      </c>
      <c r="C1266" s="733" t="s">
        <v>1682</v>
      </c>
      <c r="D1266" s="733" t="s">
        <v>21</v>
      </c>
      <c r="E1266" s="733" t="s">
        <v>614</v>
      </c>
      <c r="F1266" s="733" t="s">
        <v>615</v>
      </c>
      <c r="G1266" s="733"/>
      <c r="H1266" s="733"/>
      <c r="I1266" s="733"/>
      <c r="J1266" s="733"/>
      <c r="K1266" s="733"/>
      <c r="L1266" s="733"/>
      <c r="M1266" s="733"/>
    </row>
    <row r="1267" spans="1:13" x14ac:dyDescent="0.3">
      <c r="A1267" s="733" t="s">
        <v>1654</v>
      </c>
      <c r="B1267" s="733" t="s">
        <v>645</v>
      </c>
      <c r="C1267" s="733" t="s">
        <v>946</v>
      </c>
      <c r="D1267" s="733" t="s">
        <v>21</v>
      </c>
      <c r="E1267" s="733" t="s">
        <v>614</v>
      </c>
      <c r="F1267" s="733" t="s">
        <v>615</v>
      </c>
      <c r="G1267" s="733"/>
      <c r="H1267" s="733"/>
      <c r="I1267" s="733"/>
      <c r="J1267" s="733"/>
      <c r="K1267" s="733"/>
      <c r="L1267" s="733"/>
      <c r="M1267" s="733"/>
    </row>
    <row r="1268" spans="1:13" x14ac:dyDescent="0.3">
      <c r="A1268" s="733" t="s">
        <v>1654</v>
      </c>
      <c r="B1268" s="733" t="s">
        <v>645</v>
      </c>
      <c r="C1268" s="733" t="s">
        <v>1683</v>
      </c>
      <c r="D1268" s="733" t="s">
        <v>21</v>
      </c>
      <c r="E1268" s="733" t="s">
        <v>614</v>
      </c>
      <c r="F1268" s="733" t="s">
        <v>615</v>
      </c>
      <c r="G1268" s="733"/>
      <c r="H1268" s="733"/>
      <c r="I1268" s="733"/>
      <c r="J1268" s="733"/>
      <c r="K1268" s="733"/>
      <c r="L1268" s="733"/>
      <c r="M1268" s="733"/>
    </row>
    <row r="1269" spans="1:13" x14ac:dyDescent="0.3">
      <c r="A1269" s="733" t="s">
        <v>1654</v>
      </c>
      <c r="B1269" s="733" t="s">
        <v>645</v>
      </c>
      <c r="C1269" s="733" t="s">
        <v>1684</v>
      </c>
      <c r="D1269" s="733" t="s">
        <v>21</v>
      </c>
      <c r="E1269" s="733" t="s">
        <v>614</v>
      </c>
      <c r="F1269" s="733" t="s">
        <v>615</v>
      </c>
      <c r="G1269" s="733"/>
      <c r="H1269" s="733"/>
      <c r="I1269" s="733"/>
      <c r="J1269" s="733"/>
      <c r="K1269" s="733"/>
      <c r="L1269" s="733"/>
      <c r="M1269" s="733"/>
    </row>
    <row r="1270" spans="1:13" x14ac:dyDescent="0.3">
      <c r="A1270" s="733" t="s">
        <v>1654</v>
      </c>
      <c r="B1270" s="733" t="s">
        <v>645</v>
      </c>
      <c r="C1270" s="733" t="s">
        <v>1685</v>
      </c>
      <c r="D1270" s="733" t="s">
        <v>21</v>
      </c>
      <c r="E1270" s="733" t="s">
        <v>614</v>
      </c>
      <c r="F1270" s="733" t="s">
        <v>615</v>
      </c>
      <c r="G1270" s="733"/>
      <c r="H1270" s="733"/>
      <c r="I1270" s="733"/>
      <c r="J1270" s="733"/>
      <c r="K1270" s="733"/>
      <c r="L1270" s="733"/>
      <c r="M1270" s="733"/>
    </row>
    <row r="1271" spans="1:13" x14ac:dyDescent="0.3">
      <c r="A1271" s="733" t="s">
        <v>1654</v>
      </c>
      <c r="B1271" s="733" t="s">
        <v>645</v>
      </c>
      <c r="C1271" s="733" t="s">
        <v>1686</v>
      </c>
      <c r="D1271" s="733" t="s">
        <v>21</v>
      </c>
      <c r="E1271" s="733" t="s">
        <v>614</v>
      </c>
      <c r="F1271" s="733" t="s">
        <v>615</v>
      </c>
      <c r="G1271" s="733"/>
      <c r="H1271" s="733"/>
      <c r="I1271" s="733"/>
      <c r="J1271" s="733"/>
      <c r="K1271" s="733"/>
      <c r="L1271" s="733"/>
      <c r="M1271" s="733"/>
    </row>
    <row r="1272" spans="1:13" x14ac:dyDescent="0.3">
      <c r="A1272" s="733" t="s">
        <v>1654</v>
      </c>
      <c r="B1272" s="733" t="s">
        <v>645</v>
      </c>
      <c r="C1272" s="733" t="s">
        <v>1687</v>
      </c>
      <c r="D1272" s="733" t="s">
        <v>21</v>
      </c>
      <c r="E1272" s="733" t="s">
        <v>614</v>
      </c>
      <c r="F1272" s="733" t="s">
        <v>615</v>
      </c>
      <c r="G1272" s="733"/>
      <c r="H1272" s="733"/>
      <c r="I1272" s="733"/>
      <c r="J1272" s="733"/>
      <c r="K1272" s="733"/>
      <c r="L1272" s="733"/>
      <c r="M1272" s="733"/>
    </row>
    <row r="1273" spans="1:13" x14ac:dyDescent="0.3">
      <c r="A1273" s="733" t="s">
        <v>1654</v>
      </c>
      <c r="B1273" s="733" t="s">
        <v>645</v>
      </c>
      <c r="C1273" s="733" t="s">
        <v>1688</v>
      </c>
      <c r="D1273" s="733" t="s">
        <v>21</v>
      </c>
      <c r="E1273" s="733" t="s">
        <v>614</v>
      </c>
      <c r="F1273" s="733" t="s">
        <v>615</v>
      </c>
      <c r="G1273" s="733"/>
      <c r="H1273" s="733"/>
      <c r="I1273" s="733"/>
      <c r="J1273" s="733"/>
      <c r="K1273" s="733"/>
      <c r="L1273" s="733"/>
      <c r="M1273" s="733"/>
    </row>
    <row r="1274" spans="1:13" x14ac:dyDescent="0.3">
      <c r="A1274" s="733" t="s">
        <v>1654</v>
      </c>
      <c r="B1274" s="733" t="s">
        <v>645</v>
      </c>
      <c r="C1274" s="733" t="s">
        <v>919</v>
      </c>
      <c r="D1274" s="733" t="s">
        <v>21</v>
      </c>
      <c r="E1274" s="733" t="s">
        <v>614</v>
      </c>
      <c r="F1274" s="733" t="s">
        <v>615</v>
      </c>
      <c r="G1274" s="733"/>
      <c r="H1274" s="733"/>
      <c r="I1274" s="733"/>
      <c r="J1274" s="733"/>
      <c r="K1274" s="733"/>
      <c r="L1274" s="733"/>
      <c r="M1274" s="733"/>
    </row>
    <row r="1275" spans="1:13" x14ac:dyDescent="0.3">
      <c r="A1275" s="733" t="s">
        <v>1654</v>
      </c>
      <c r="B1275" s="733" t="s">
        <v>645</v>
      </c>
      <c r="C1275" s="733" t="s">
        <v>1689</v>
      </c>
      <c r="D1275" s="733" t="s">
        <v>21</v>
      </c>
      <c r="E1275" s="733" t="s">
        <v>614</v>
      </c>
      <c r="F1275" s="733" t="s">
        <v>615</v>
      </c>
      <c r="G1275" s="733"/>
      <c r="H1275" s="733"/>
      <c r="I1275" s="733"/>
      <c r="J1275" s="733"/>
      <c r="K1275" s="733"/>
      <c r="L1275" s="733"/>
      <c r="M1275" s="733"/>
    </row>
    <row r="1276" spans="1:13" x14ac:dyDescent="0.3">
      <c r="A1276" s="733" t="s">
        <v>1654</v>
      </c>
      <c r="B1276" s="733" t="s">
        <v>645</v>
      </c>
      <c r="C1276" s="733" t="s">
        <v>1690</v>
      </c>
      <c r="D1276" s="733" t="s">
        <v>21</v>
      </c>
      <c r="E1276" s="733" t="s">
        <v>614</v>
      </c>
      <c r="F1276" s="733" t="s">
        <v>615</v>
      </c>
      <c r="G1276" s="733"/>
      <c r="H1276" s="733"/>
      <c r="I1276" s="733"/>
      <c r="J1276" s="733"/>
      <c r="K1276" s="733"/>
      <c r="L1276" s="733"/>
      <c r="M1276" s="733"/>
    </row>
    <row r="1277" spans="1:13" x14ac:dyDescent="0.3">
      <c r="A1277" s="733" t="s">
        <v>1654</v>
      </c>
      <c r="B1277" s="733" t="s">
        <v>645</v>
      </c>
      <c r="C1277" s="733" t="s">
        <v>952</v>
      </c>
      <c r="D1277" s="733" t="s">
        <v>21</v>
      </c>
      <c r="E1277" s="733" t="s">
        <v>614</v>
      </c>
      <c r="F1277" s="733" t="s">
        <v>615</v>
      </c>
      <c r="G1277" s="733"/>
      <c r="H1277" s="733"/>
      <c r="I1277" s="733"/>
      <c r="J1277" s="733"/>
      <c r="K1277" s="733"/>
      <c r="L1277" s="733"/>
      <c r="M1277" s="733"/>
    </row>
    <row r="1278" spans="1:13" x14ac:dyDescent="0.3">
      <c r="A1278" s="733" t="s">
        <v>1654</v>
      </c>
      <c r="B1278" s="733" t="s">
        <v>645</v>
      </c>
      <c r="C1278" s="733" t="s">
        <v>1691</v>
      </c>
      <c r="D1278" s="733" t="s">
        <v>21</v>
      </c>
      <c r="E1278" s="733" t="s">
        <v>614</v>
      </c>
      <c r="F1278" s="733" t="s">
        <v>615</v>
      </c>
      <c r="G1278" s="733"/>
      <c r="H1278" s="733"/>
      <c r="I1278" s="733"/>
      <c r="J1278" s="733"/>
      <c r="K1278" s="733"/>
      <c r="L1278" s="733"/>
      <c r="M1278" s="733"/>
    </row>
    <row r="1279" spans="1:13" x14ac:dyDescent="0.3">
      <c r="A1279" s="733" t="s">
        <v>1654</v>
      </c>
      <c r="B1279" s="733" t="s">
        <v>645</v>
      </c>
      <c r="C1279" s="733" t="s">
        <v>1692</v>
      </c>
      <c r="D1279" s="733" t="s">
        <v>21</v>
      </c>
      <c r="E1279" s="733" t="s">
        <v>614</v>
      </c>
      <c r="F1279" s="733" t="s">
        <v>615</v>
      </c>
      <c r="G1279" s="733"/>
      <c r="H1279" s="733"/>
      <c r="I1279" s="733"/>
      <c r="J1279" s="733"/>
      <c r="K1279" s="733"/>
      <c r="L1279" s="733"/>
      <c r="M1279" s="733"/>
    </row>
    <row r="1280" spans="1:13" x14ac:dyDescent="0.3">
      <c r="A1280" s="733" t="s">
        <v>1654</v>
      </c>
      <c r="B1280" s="733" t="s">
        <v>664</v>
      </c>
      <c r="C1280" s="733" t="s">
        <v>1693</v>
      </c>
      <c r="D1280" s="733" t="s">
        <v>21</v>
      </c>
      <c r="E1280" s="733" t="s">
        <v>614</v>
      </c>
      <c r="F1280" s="733" t="s">
        <v>615</v>
      </c>
      <c r="G1280" s="733"/>
      <c r="H1280" s="733"/>
      <c r="I1280" s="733"/>
      <c r="J1280" s="733"/>
      <c r="K1280" s="733"/>
      <c r="L1280" s="733"/>
      <c r="M1280" s="733"/>
    </row>
    <row r="1281" spans="1:13" x14ac:dyDescent="0.3">
      <c r="A1281" s="733" t="s">
        <v>1654</v>
      </c>
      <c r="B1281" s="733" t="s">
        <v>664</v>
      </c>
      <c r="C1281" s="733" t="s">
        <v>1694</v>
      </c>
      <c r="D1281" s="733" t="s">
        <v>21</v>
      </c>
      <c r="E1281" s="733" t="s">
        <v>614</v>
      </c>
      <c r="F1281" s="733" t="s">
        <v>615</v>
      </c>
      <c r="G1281" s="733"/>
      <c r="H1281" s="733"/>
      <c r="I1281" s="733"/>
      <c r="J1281" s="733"/>
      <c r="K1281" s="733"/>
      <c r="L1281" s="733"/>
      <c r="M1281" s="733"/>
    </row>
    <row r="1282" spans="1:13" x14ac:dyDescent="0.3">
      <c r="A1282" s="733" t="s">
        <v>1654</v>
      </c>
      <c r="B1282" s="733" t="s">
        <v>664</v>
      </c>
      <c r="C1282" s="733" t="s">
        <v>1695</v>
      </c>
      <c r="D1282" s="733" t="s">
        <v>21</v>
      </c>
      <c r="E1282" s="733" t="s">
        <v>614</v>
      </c>
      <c r="F1282" s="733" t="s">
        <v>615</v>
      </c>
      <c r="G1282" s="733"/>
      <c r="H1282" s="733"/>
      <c r="I1282" s="733"/>
      <c r="J1282" s="733"/>
      <c r="K1282" s="733"/>
      <c r="L1282" s="733"/>
      <c r="M1282" s="733"/>
    </row>
    <row r="1283" spans="1:13" x14ac:dyDescent="0.3">
      <c r="A1283" s="733" t="s">
        <v>1654</v>
      </c>
      <c r="B1283" s="733" t="s">
        <v>664</v>
      </c>
      <c r="C1283" s="733" t="s">
        <v>1696</v>
      </c>
      <c r="D1283" s="733" t="s">
        <v>21</v>
      </c>
      <c r="E1283" s="733" t="s">
        <v>614</v>
      </c>
      <c r="F1283" s="733" t="s">
        <v>615</v>
      </c>
      <c r="G1283" s="733"/>
      <c r="H1283" s="733"/>
      <c r="I1283" s="733"/>
      <c r="J1283" s="733"/>
      <c r="K1283" s="733"/>
      <c r="L1283" s="733"/>
      <c r="M1283" s="733"/>
    </row>
    <row r="1284" spans="1:13" x14ac:dyDescent="0.3">
      <c r="A1284" s="733" t="s">
        <v>1654</v>
      </c>
      <c r="B1284" s="733" t="s">
        <v>664</v>
      </c>
      <c r="C1284" s="733" t="s">
        <v>955</v>
      </c>
      <c r="D1284" s="733" t="s">
        <v>21</v>
      </c>
      <c r="E1284" s="733" t="s">
        <v>614</v>
      </c>
      <c r="F1284" s="733" t="s">
        <v>615</v>
      </c>
      <c r="G1284" s="733"/>
      <c r="H1284" s="733"/>
      <c r="I1284" s="733"/>
      <c r="J1284" s="733"/>
      <c r="K1284" s="733"/>
      <c r="L1284" s="733"/>
      <c r="M1284" s="733"/>
    </row>
    <row r="1285" spans="1:13" x14ac:dyDescent="0.3">
      <c r="A1285" s="733" t="s">
        <v>1654</v>
      </c>
      <c r="B1285" s="733" t="s">
        <v>664</v>
      </c>
      <c r="C1285" s="733" t="s">
        <v>1697</v>
      </c>
      <c r="D1285" s="733" t="s">
        <v>21</v>
      </c>
      <c r="E1285" s="733" t="s">
        <v>614</v>
      </c>
      <c r="F1285" s="733" t="s">
        <v>615</v>
      </c>
      <c r="G1285" s="733"/>
      <c r="H1285" s="733"/>
      <c r="I1285" s="733"/>
      <c r="J1285" s="733"/>
      <c r="K1285" s="733"/>
      <c r="L1285" s="733"/>
      <c r="M1285" s="733"/>
    </row>
    <row r="1286" spans="1:13" x14ac:dyDescent="0.3">
      <c r="A1286" s="733" t="s">
        <v>1654</v>
      </c>
      <c r="B1286" s="733" t="s">
        <v>664</v>
      </c>
      <c r="C1286" s="733" t="s">
        <v>1698</v>
      </c>
      <c r="D1286" s="733" t="s">
        <v>21</v>
      </c>
      <c r="E1286" s="733" t="s">
        <v>614</v>
      </c>
      <c r="F1286" s="733" t="s">
        <v>615</v>
      </c>
      <c r="G1286" s="733"/>
      <c r="H1286" s="733"/>
      <c r="I1286" s="733"/>
      <c r="J1286" s="733"/>
      <c r="K1286" s="733"/>
      <c r="L1286" s="733"/>
      <c r="M1286" s="733"/>
    </row>
    <row r="1287" spans="1:13" x14ac:dyDescent="0.3">
      <c r="A1287" s="733" t="s">
        <v>1654</v>
      </c>
      <c r="B1287" s="733" t="s">
        <v>664</v>
      </c>
      <c r="C1287" s="733" t="s">
        <v>1699</v>
      </c>
      <c r="D1287" s="733" t="s">
        <v>21</v>
      </c>
      <c r="E1287" s="733" t="s">
        <v>614</v>
      </c>
      <c r="F1287" s="733" t="s">
        <v>615</v>
      </c>
      <c r="G1287" s="733"/>
      <c r="H1287" s="733"/>
      <c r="I1287" s="733"/>
      <c r="J1287" s="733"/>
      <c r="K1287" s="733"/>
      <c r="L1287" s="733"/>
      <c r="M1287" s="733"/>
    </row>
    <row r="1288" spans="1:13" x14ac:dyDescent="0.3">
      <c r="A1288" s="734" t="s">
        <v>1700</v>
      </c>
      <c r="B1288" s="734" t="s">
        <v>645</v>
      </c>
      <c r="C1288" s="734" t="s">
        <v>896</v>
      </c>
      <c r="D1288" s="734" t="s">
        <v>21</v>
      </c>
      <c r="E1288" s="734" t="s">
        <v>614</v>
      </c>
      <c r="F1288" s="734" t="s">
        <v>736</v>
      </c>
      <c r="G1288" s="733"/>
      <c r="H1288" s="733"/>
      <c r="I1288" s="733"/>
      <c r="J1288" s="733"/>
      <c r="K1288" s="733"/>
      <c r="L1288" s="733"/>
      <c r="M1288" s="733"/>
    </row>
    <row r="1289" spans="1:13" x14ac:dyDescent="0.3">
      <c r="A1289" s="733" t="s">
        <v>1700</v>
      </c>
      <c r="B1289" s="733" t="s">
        <v>645</v>
      </c>
      <c r="C1289" s="733" t="s">
        <v>899</v>
      </c>
      <c r="D1289" s="733" t="s">
        <v>21</v>
      </c>
      <c r="E1289" s="733" t="s">
        <v>614</v>
      </c>
      <c r="F1289" s="733" t="s">
        <v>615</v>
      </c>
      <c r="G1289" s="733"/>
      <c r="H1289" s="733"/>
      <c r="I1289" s="733"/>
      <c r="J1289" s="733"/>
      <c r="K1289" s="733"/>
      <c r="L1289" s="733"/>
      <c r="M1289" s="733"/>
    </row>
    <row r="1290" spans="1:13" x14ac:dyDescent="0.3">
      <c r="A1290" s="733" t="s">
        <v>1700</v>
      </c>
      <c r="B1290" s="733" t="s">
        <v>645</v>
      </c>
      <c r="C1290" s="733" t="s">
        <v>1464</v>
      </c>
      <c r="D1290" s="733" t="s">
        <v>21</v>
      </c>
      <c r="E1290" s="733" t="s">
        <v>614</v>
      </c>
      <c r="F1290" s="733" t="s">
        <v>615</v>
      </c>
      <c r="G1290" s="733"/>
      <c r="H1290" s="733"/>
      <c r="I1290" s="733"/>
      <c r="J1290" s="733"/>
      <c r="K1290" s="733"/>
      <c r="L1290" s="733"/>
      <c r="M1290" s="733"/>
    </row>
    <row r="1291" spans="1:13" x14ac:dyDescent="0.3">
      <c r="A1291" s="733" t="s">
        <v>1700</v>
      </c>
      <c r="B1291" s="733" t="s">
        <v>645</v>
      </c>
      <c r="C1291" s="733" t="s">
        <v>1588</v>
      </c>
      <c r="D1291" s="733" t="s">
        <v>21</v>
      </c>
      <c r="E1291" s="733" t="s">
        <v>614</v>
      </c>
      <c r="F1291" s="733" t="s">
        <v>615</v>
      </c>
      <c r="G1291" s="733"/>
      <c r="H1291" s="733"/>
      <c r="I1291" s="733"/>
      <c r="J1291" s="733"/>
      <c r="K1291" s="733"/>
      <c r="L1291" s="733"/>
      <c r="M1291" s="733"/>
    </row>
    <row r="1292" spans="1:13" x14ac:dyDescent="0.3">
      <c r="A1292" s="733" t="s">
        <v>1701</v>
      </c>
      <c r="B1292" s="733" t="s">
        <v>612</v>
      </c>
      <c r="C1292" s="733" t="s">
        <v>1702</v>
      </c>
      <c r="D1292" s="733" t="s">
        <v>21</v>
      </c>
      <c r="E1292" s="733" t="s">
        <v>614</v>
      </c>
      <c r="F1292" s="733" t="s">
        <v>615</v>
      </c>
      <c r="G1292" s="733"/>
      <c r="H1292" s="733"/>
      <c r="I1292" s="733"/>
      <c r="J1292" s="733"/>
      <c r="K1292" s="733"/>
      <c r="L1292" s="733"/>
      <c r="M1292" s="733"/>
    </row>
    <row r="1293" spans="1:13" x14ac:dyDescent="0.3">
      <c r="A1293" s="734" t="s">
        <v>1701</v>
      </c>
      <c r="B1293" s="734" t="s">
        <v>612</v>
      </c>
      <c r="C1293" s="734" t="s">
        <v>1703</v>
      </c>
      <c r="D1293" s="734" t="s">
        <v>21</v>
      </c>
      <c r="E1293" s="734" t="s">
        <v>614</v>
      </c>
      <c r="F1293" s="734" t="s">
        <v>696</v>
      </c>
      <c r="G1293" s="733"/>
      <c r="H1293" s="733"/>
      <c r="I1293" s="733"/>
      <c r="J1293" s="733"/>
      <c r="K1293" s="733"/>
      <c r="L1293" s="733"/>
      <c r="M1293" s="733"/>
    </row>
    <row r="1294" spans="1:13" x14ac:dyDescent="0.3">
      <c r="A1294" s="733" t="s">
        <v>1701</v>
      </c>
      <c r="B1294" s="733" t="s">
        <v>612</v>
      </c>
      <c r="C1294" s="733" t="s">
        <v>1704</v>
      </c>
      <c r="D1294" s="733" t="s">
        <v>21</v>
      </c>
      <c r="E1294" s="733" t="s">
        <v>614</v>
      </c>
      <c r="F1294" s="733" t="s">
        <v>615</v>
      </c>
      <c r="G1294" s="733"/>
      <c r="H1294" s="733"/>
      <c r="I1294" s="733"/>
      <c r="J1294" s="733"/>
      <c r="K1294" s="733"/>
      <c r="L1294" s="733"/>
      <c r="M1294" s="733"/>
    </row>
    <row r="1295" spans="1:13" x14ac:dyDescent="0.3">
      <c r="A1295" s="733" t="s">
        <v>1701</v>
      </c>
      <c r="B1295" s="733" t="s">
        <v>612</v>
      </c>
      <c r="C1295" s="733" t="s">
        <v>1705</v>
      </c>
      <c r="D1295" s="733" t="s">
        <v>21</v>
      </c>
      <c r="E1295" s="733" t="s">
        <v>614</v>
      </c>
      <c r="F1295" s="733" t="s">
        <v>615</v>
      </c>
      <c r="G1295" s="733"/>
      <c r="H1295" s="733"/>
      <c r="I1295" s="733"/>
      <c r="J1295" s="733"/>
      <c r="K1295" s="733"/>
      <c r="L1295" s="733"/>
      <c r="M1295" s="733"/>
    </row>
    <row r="1296" spans="1:13" x14ac:dyDescent="0.3">
      <c r="A1296" s="733" t="s">
        <v>1701</v>
      </c>
      <c r="B1296" s="733" t="s">
        <v>612</v>
      </c>
      <c r="C1296" s="733" t="s">
        <v>1706</v>
      </c>
      <c r="D1296" s="733" t="s">
        <v>21</v>
      </c>
      <c r="E1296" s="733" t="s">
        <v>614</v>
      </c>
      <c r="F1296" s="733" t="s">
        <v>615</v>
      </c>
      <c r="G1296" s="733"/>
      <c r="H1296" s="733"/>
      <c r="I1296" s="733"/>
      <c r="J1296" s="733"/>
      <c r="K1296" s="733"/>
      <c r="L1296" s="733"/>
      <c r="M1296" s="733"/>
    </row>
    <row r="1297" spans="1:13" x14ac:dyDescent="0.3">
      <c r="A1297" s="733" t="s">
        <v>1701</v>
      </c>
      <c r="B1297" s="733" t="s">
        <v>612</v>
      </c>
      <c r="C1297" s="733" t="s">
        <v>1707</v>
      </c>
      <c r="D1297" s="733" t="s">
        <v>21</v>
      </c>
      <c r="E1297" s="733" t="s">
        <v>614</v>
      </c>
      <c r="F1297" s="733" t="s">
        <v>615</v>
      </c>
      <c r="G1297" s="733"/>
      <c r="H1297" s="733"/>
      <c r="I1297" s="733"/>
      <c r="J1297" s="733"/>
      <c r="K1297" s="733"/>
      <c r="L1297" s="733"/>
      <c r="M1297" s="733"/>
    </row>
    <row r="1298" spans="1:13" ht="19.2" x14ac:dyDescent="0.45">
      <c r="A1298" s="734" t="s">
        <v>1701</v>
      </c>
      <c r="B1298" s="734" t="s">
        <v>612</v>
      </c>
      <c r="C1298" s="736" t="s">
        <v>1708</v>
      </c>
      <c r="D1298" s="734" t="s">
        <v>21</v>
      </c>
      <c r="E1298" s="734" t="s">
        <v>614</v>
      </c>
      <c r="F1298" s="734" t="s">
        <v>696</v>
      </c>
      <c r="G1298" s="733"/>
      <c r="H1298" s="733"/>
      <c r="I1298" s="733"/>
      <c r="J1298" s="733"/>
      <c r="K1298" s="733"/>
      <c r="L1298" s="733"/>
      <c r="M1298" s="733"/>
    </row>
    <row r="1299" spans="1:13" x14ac:dyDescent="0.3">
      <c r="A1299" s="734" t="s">
        <v>1701</v>
      </c>
      <c r="B1299" s="734" t="s">
        <v>645</v>
      </c>
      <c r="C1299" s="734" t="s">
        <v>1709</v>
      </c>
      <c r="D1299" s="734" t="s">
        <v>21</v>
      </c>
      <c r="E1299" s="734" t="s">
        <v>614</v>
      </c>
      <c r="F1299" s="734" t="s">
        <v>736</v>
      </c>
      <c r="G1299" s="733"/>
      <c r="H1299" s="733"/>
      <c r="I1299" s="733"/>
      <c r="J1299" s="733"/>
      <c r="K1299" s="733"/>
      <c r="L1299" s="733"/>
      <c r="M1299" s="733"/>
    </row>
    <row r="1300" spans="1:13" x14ac:dyDescent="0.3">
      <c r="A1300" s="733" t="s">
        <v>1701</v>
      </c>
      <c r="B1300" s="733" t="s">
        <v>645</v>
      </c>
      <c r="C1300" s="733" t="s">
        <v>1710</v>
      </c>
      <c r="D1300" s="733" t="s">
        <v>21</v>
      </c>
      <c r="E1300" s="733" t="s">
        <v>614</v>
      </c>
      <c r="F1300" s="733" t="s">
        <v>615</v>
      </c>
      <c r="G1300" s="733"/>
      <c r="H1300" s="733"/>
      <c r="I1300" s="733"/>
      <c r="J1300" s="733"/>
      <c r="K1300" s="733"/>
      <c r="L1300" s="733"/>
      <c r="M1300" s="733"/>
    </row>
    <row r="1301" spans="1:13" ht="19.2" x14ac:dyDescent="0.45">
      <c r="A1301" s="733" t="s">
        <v>1701</v>
      </c>
      <c r="B1301" s="733" t="s">
        <v>645</v>
      </c>
      <c r="C1301" s="736" t="s">
        <v>1711</v>
      </c>
      <c r="D1301" s="734" t="s">
        <v>21</v>
      </c>
      <c r="E1301" s="733" t="s">
        <v>614</v>
      </c>
      <c r="F1301" s="733" t="s">
        <v>615</v>
      </c>
      <c r="G1301" s="733"/>
      <c r="H1301" s="733"/>
      <c r="I1301" s="733"/>
      <c r="J1301" s="733"/>
      <c r="K1301" s="733"/>
      <c r="L1301" s="733"/>
      <c r="M1301" s="733"/>
    </row>
    <row r="1302" spans="1:13" x14ac:dyDescent="0.3">
      <c r="A1302" s="733" t="s">
        <v>1701</v>
      </c>
      <c r="B1302" s="733" t="s">
        <v>645</v>
      </c>
      <c r="C1302" s="733" t="s">
        <v>1379</v>
      </c>
      <c r="D1302" s="733" t="s">
        <v>21</v>
      </c>
      <c r="E1302" s="733" t="s">
        <v>614</v>
      </c>
      <c r="F1302" s="733" t="s">
        <v>615</v>
      </c>
      <c r="G1302" s="733"/>
      <c r="H1302" s="733"/>
      <c r="I1302" s="733"/>
      <c r="J1302" s="733"/>
      <c r="K1302" s="733"/>
      <c r="L1302" s="733"/>
      <c r="M1302" s="733"/>
    </row>
    <row r="1303" spans="1:13" x14ac:dyDescent="0.3">
      <c r="A1303" s="733" t="s">
        <v>1701</v>
      </c>
      <c r="B1303" s="733" t="s">
        <v>645</v>
      </c>
      <c r="C1303" s="733" t="s">
        <v>1712</v>
      </c>
      <c r="D1303" s="733" t="s">
        <v>21</v>
      </c>
      <c r="E1303" s="733" t="s">
        <v>614</v>
      </c>
      <c r="F1303" s="733" t="s">
        <v>615</v>
      </c>
      <c r="G1303" s="733"/>
      <c r="H1303" s="733"/>
      <c r="I1303" s="733"/>
      <c r="J1303" s="733"/>
      <c r="K1303" s="733"/>
      <c r="L1303" s="733"/>
      <c r="M1303" s="733"/>
    </row>
    <row r="1304" spans="1:13" x14ac:dyDescent="0.3">
      <c r="A1304" s="734" t="s">
        <v>1701</v>
      </c>
      <c r="B1304" s="734" t="s">
        <v>645</v>
      </c>
      <c r="C1304" s="734" t="s">
        <v>1713</v>
      </c>
      <c r="D1304" s="734" t="s">
        <v>21</v>
      </c>
      <c r="E1304" s="734" t="s">
        <v>614</v>
      </c>
      <c r="F1304" s="734" t="s">
        <v>736</v>
      </c>
      <c r="G1304" s="733"/>
      <c r="H1304" s="733"/>
      <c r="I1304" s="733"/>
      <c r="J1304" s="733"/>
      <c r="K1304" s="733"/>
      <c r="L1304" s="733"/>
      <c r="M1304" s="733"/>
    </row>
    <row r="1305" spans="1:13" x14ac:dyDescent="0.3">
      <c r="A1305" s="733" t="s">
        <v>1701</v>
      </c>
      <c r="B1305" s="733" t="s">
        <v>645</v>
      </c>
      <c r="C1305" s="733" t="s">
        <v>1714</v>
      </c>
      <c r="D1305" s="733" t="s">
        <v>21</v>
      </c>
      <c r="E1305" s="733" t="s">
        <v>614</v>
      </c>
      <c r="F1305" s="733" t="s">
        <v>615</v>
      </c>
      <c r="G1305" s="733"/>
      <c r="H1305" s="733"/>
      <c r="I1305" s="733"/>
      <c r="J1305" s="733"/>
      <c r="K1305" s="733"/>
      <c r="L1305" s="733"/>
      <c r="M1305" s="733"/>
    </row>
    <row r="1306" spans="1:13" ht="19.2" x14ac:dyDescent="0.45">
      <c r="A1306" s="734" t="s">
        <v>1701</v>
      </c>
      <c r="B1306" s="734" t="s">
        <v>645</v>
      </c>
      <c r="C1306" s="736" t="s">
        <v>1715</v>
      </c>
      <c r="D1306" s="734" t="s">
        <v>21</v>
      </c>
      <c r="E1306" s="734" t="s">
        <v>614</v>
      </c>
      <c r="F1306" s="734" t="s">
        <v>736</v>
      </c>
      <c r="G1306" s="733"/>
      <c r="H1306" s="733"/>
      <c r="I1306" s="733"/>
      <c r="J1306" s="733"/>
      <c r="K1306" s="733"/>
      <c r="L1306" s="733"/>
      <c r="M1306" s="733"/>
    </row>
    <row r="1307" spans="1:13" x14ac:dyDescent="0.3">
      <c r="A1307" s="733" t="s">
        <v>1701</v>
      </c>
      <c r="B1307" s="733" t="s">
        <v>645</v>
      </c>
      <c r="C1307" s="733" t="s">
        <v>1716</v>
      </c>
      <c r="D1307" s="733" t="s">
        <v>21</v>
      </c>
      <c r="E1307" s="733" t="s">
        <v>614</v>
      </c>
      <c r="F1307" s="733" t="s">
        <v>615</v>
      </c>
      <c r="G1307" s="733"/>
      <c r="H1307" s="733"/>
      <c r="I1307" s="733"/>
      <c r="J1307" s="733"/>
      <c r="K1307" s="733"/>
      <c r="L1307" s="733"/>
      <c r="M1307" s="733"/>
    </row>
    <row r="1308" spans="1:13" x14ac:dyDescent="0.3">
      <c r="A1308" s="733" t="s">
        <v>1701</v>
      </c>
      <c r="B1308" s="733" t="s">
        <v>664</v>
      </c>
      <c r="C1308" s="733" t="s">
        <v>1717</v>
      </c>
      <c r="D1308" s="733" t="s">
        <v>21</v>
      </c>
      <c r="E1308" s="733" t="s">
        <v>614</v>
      </c>
      <c r="F1308" s="733" t="s">
        <v>615</v>
      </c>
      <c r="G1308" s="733"/>
      <c r="H1308" s="733"/>
      <c r="I1308" s="733"/>
      <c r="J1308" s="733"/>
      <c r="K1308" s="733"/>
      <c r="L1308" s="733"/>
      <c r="M1308" s="733"/>
    </row>
    <row r="1309" spans="1:13" x14ac:dyDescent="0.3">
      <c r="A1309" s="733" t="s">
        <v>1701</v>
      </c>
      <c r="B1309" s="733" t="s">
        <v>664</v>
      </c>
      <c r="C1309" s="733" t="s">
        <v>1474</v>
      </c>
      <c r="D1309" s="733" t="s">
        <v>21</v>
      </c>
      <c r="E1309" s="733" t="s">
        <v>614</v>
      </c>
      <c r="F1309" s="733" t="s">
        <v>615</v>
      </c>
      <c r="G1309" s="733"/>
      <c r="H1309" s="733"/>
      <c r="I1309" s="733"/>
      <c r="J1309" s="733"/>
      <c r="K1309" s="733"/>
      <c r="L1309" s="733"/>
      <c r="M1309" s="733"/>
    </row>
    <row r="1310" spans="1:13" x14ac:dyDescent="0.3">
      <c r="A1310" s="733" t="s">
        <v>1701</v>
      </c>
      <c r="B1310" s="733" t="s">
        <v>664</v>
      </c>
      <c r="C1310" s="733" t="s">
        <v>1718</v>
      </c>
      <c r="D1310" s="733" t="s">
        <v>21</v>
      </c>
      <c r="E1310" s="733" t="s">
        <v>614</v>
      </c>
      <c r="F1310" s="733" t="s">
        <v>615</v>
      </c>
      <c r="G1310" s="733"/>
      <c r="H1310" s="733"/>
      <c r="I1310" s="733"/>
      <c r="J1310" s="733"/>
      <c r="K1310" s="733"/>
      <c r="L1310" s="733"/>
      <c r="M1310" s="733"/>
    </row>
    <row r="1311" spans="1:13" ht="19.2" x14ac:dyDescent="0.45">
      <c r="A1311" s="733" t="s">
        <v>1701</v>
      </c>
      <c r="B1311" s="733" t="s">
        <v>664</v>
      </c>
      <c r="C1311" s="736" t="s">
        <v>1719</v>
      </c>
      <c r="D1311" s="734" t="s">
        <v>21</v>
      </c>
      <c r="E1311" s="733" t="s">
        <v>614</v>
      </c>
      <c r="F1311" s="733" t="s">
        <v>615</v>
      </c>
      <c r="G1311" s="733"/>
      <c r="H1311" s="733"/>
      <c r="I1311" s="733"/>
      <c r="J1311" s="733"/>
      <c r="K1311" s="733"/>
      <c r="L1311" s="733"/>
      <c r="M1311" s="733"/>
    </row>
    <row r="1312" spans="1:13" ht="19.2" x14ac:dyDescent="0.45">
      <c r="A1312" s="733" t="s">
        <v>1701</v>
      </c>
      <c r="B1312" s="733" t="s">
        <v>664</v>
      </c>
      <c r="C1312" s="736" t="s">
        <v>1720</v>
      </c>
      <c r="D1312" s="734" t="s">
        <v>21</v>
      </c>
      <c r="E1312" s="733" t="s">
        <v>614</v>
      </c>
      <c r="F1312" s="733" t="s">
        <v>615</v>
      </c>
      <c r="G1312" s="733"/>
      <c r="H1312" s="733"/>
      <c r="I1312" s="733"/>
      <c r="J1312" s="733"/>
      <c r="K1312" s="733"/>
      <c r="L1312" s="733"/>
      <c r="M1312" s="733"/>
    </row>
    <row r="1313" spans="1:13" x14ac:dyDescent="0.3">
      <c r="A1313" s="733" t="s">
        <v>1721</v>
      </c>
      <c r="B1313" s="761" t="s">
        <v>612</v>
      </c>
      <c r="C1313" s="761" t="s">
        <v>1723</v>
      </c>
      <c r="D1313" s="761" t="s">
        <v>21</v>
      </c>
      <c r="E1313" s="761" t="s">
        <v>614</v>
      </c>
      <c r="F1313" s="761" t="s">
        <v>615</v>
      </c>
      <c r="G1313" s="761"/>
      <c r="H1313" s="761"/>
      <c r="I1313" s="761"/>
      <c r="J1313" s="761"/>
      <c r="K1313" s="761"/>
      <c r="L1313" s="761"/>
      <c r="M1313" s="761"/>
    </row>
    <row r="1314" spans="1:13" x14ac:dyDescent="0.3">
      <c r="A1314" s="733" t="s">
        <v>1722</v>
      </c>
      <c r="B1314" s="761"/>
      <c r="C1314" s="761"/>
      <c r="D1314" s="761"/>
      <c r="E1314" s="761"/>
      <c r="F1314" s="761"/>
      <c r="G1314" s="761"/>
      <c r="H1314" s="761"/>
      <c r="I1314" s="761"/>
      <c r="J1314" s="761"/>
      <c r="K1314" s="761"/>
      <c r="L1314" s="761"/>
      <c r="M1314" s="761"/>
    </row>
    <row r="1315" spans="1:13" x14ac:dyDescent="0.3">
      <c r="A1315" s="733" t="s">
        <v>1721</v>
      </c>
      <c r="B1315" s="761" t="s">
        <v>612</v>
      </c>
      <c r="C1315" s="761" t="s">
        <v>1724</v>
      </c>
      <c r="D1315" s="761" t="s">
        <v>21</v>
      </c>
      <c r="E1315" s="761" t="s">
        <v>614</v>
      </c>
      <c r="F1315" s="761" t="s">
        <v>615</v>
      </c>
      <c r="G1315" s="761"/>
      <c r="H1315" s="761"/>
      <c r="I1315" s="761"/>
      <c r="J1315" s="761"/>
      <c r="K1315" s="761"/>
      <c r="L1315" s="761"/>
      <c r="M1315" s="761"/>
    </row>
    <row r="1316" spans="1:13" x14ac:dyDescent="0.3">
      <c r="A1316" s="733" t="s">
        <v>1722</v>
      </c>
      <c r="B1316" s="761"/>
      <c r="C1316" s="761"/>
      <c r="D1316" s="761"/>
      <c r="E1316" s="761"/>
      <c r="F1316" s="761"/>
      <c r="G1316" s="761"/>
      <c r="H1316" s="761"/>
      <c r="I1316" s="761"/>
      <c r="J1316" s="761"/>
      <c r="K1316" s="761"/>
      <c r="L1316" s="761"/>
      <c r="M1316" s="761"/>
    </row>
    <row r="1317" spans="1:13" x14ac:dyDescent="0.3">
      <c r="A1317" s="733" t="s">
        <v>1721</v>
      </c>
      <c r="B1317" s="761" t="s">
        <v>612</v>
      </c>
      <c r="C1317" s="761" t="s">
        <v>1725</v>
      </c>
      <c r="D1317" s="761" t="s">
        <v>21</v>
      </c>
      <c r="E1317" s="761" t="s">
        <v>614</v>
      </c>
      <c r="F1317" s="761" t="s">
        <v>615</v>
      </c>
      <c r="G1317" s="761"/>
      <c r="H1317" s="761"/>
      <c r="I1317" s="761"/>
      <c r="J1317" s="761"/>
      <c r="K1317" s="761"/>
      <c r="L1317" s="761"/>
      <c r="M1317" s="761"/>
    </row>
    <row r="1318" spans="1:13" x14ac:dyDescent="0.3">
      <c r="A1318" s="733" t="s">
        <v>1722</v>
      </c>
      <c r="B1318" s="761"/>
      <c r="C1318" s="761"/>
      <c r="D1318" s="761"/>
      <c r="E1318" s="761"/>
      <c r="F1318" s="761"/>
      <c r="G1318" s="761"/>
      <c r="H1318" s="761"/>
      <c r="I1318" s="761"/>
      <c r="J1318" s="761"/>
      <c r="K1318" s="761"/>
      <c r="L1318" s="761"/>
      <c r="M1318" s="761"/>
    </row>
    <row r="1319" spans="1:13" x14ac:dyDescent="0.3">
      <c r="A1319" s="733" t="s">
        <v>1721</v>
      </c>
      <c r="B1319" s="761" t="s">
        <v>612</v>
      </c>
      <c r="C1319" s="763" t="s">
        <v>1726</v>
      </c>
      <c r="D1319" s="764" t="s">
        <v>21</v>
      </c>
      <c r="E1319" s="761" t="s">
        <v>614</v>
      </c>
      <c r="F1319" s="761" t="s">
        <v>615</v>
      </c>
      <c r="G1319" s="761"/>
      <c r="H1319" s="761"/>
      <c r="I1319" s="761"/>
      <c r="J1319" s="761"/>
      <c r="K1319" s="761"/>
      <c r="L1319" s="761"/>
      <c r="M1319" s="761"/>
    </row>
    <row r="1320" spans="1:13" x14ac:dyDescent="0.3">
      <c r="A1320" s="733" t="s">
        <v>1722</v>
      </c>
      <c r="B1320" s="761"/>
      <c r="C1320" s="763"/>
      <c r="D1320" s="764"/>
      <c r="E1320" s="761"/>
      <c r="F1320" s="761"/>
      <c r="G1320" s="761"/>
      <c r="H1320" s="761"/>
      <c r="I1320" s="761"/>
      <c r="J1320" s="761"/>
      <c r="K1320" s="761"/>
      <c r="L1320" s="761"/>
      <c r="M1320" s="761"/>
    </row>
    <row r="1321" spans="1:13" x14ac:dyDescent="0.3">
      <c r="A1321" s="734" t="s">
        <v>1721</v>
      </c>
      <c r="B1321" s="764" t="s">
        <v>612</v>
      </c>
      <c r="C1321" s="763" t="s">
        <v>1727</v>
      </c>
      <c r="D1321" s="764" t="s">
        <v>21</v>
      </c>
      <c r="E1321" s="764" t="s">
        <v>614</v>
      </c>
      <c r="F1321" s="764" t="s">
        <v>696</v>
      </c>
      <c r="G1321" s="761"/>
      <c r="H1321" s="761"/>
      <c r="I1321" s="761"/>
      <c r="J1321" s="761"/>
      <c r="K1321" s="761"/>
      <c r="L1321" s="761"/>
      <c r="M1321" s="761"/>
    </row>
    <row r="1322" spans="1:13" x14ac:dyDescent="0.3">
      <c r="A1322" s="734" t="s">
        <v>1722</v>
      </c>
      <c r="B1322" s="764"/>
      <c r="C1322" s="763"/>
      <c r="D1322" s="764"/>
      <c r="E1322" s="764"/>
      <c r="F1322" s="764"/>
      <c r="G1322" s="761"/>
      <c r="H1322" s="761"/>
      <c r="I1322" s="761"/>
      <c r="J1322" s="761"/>
      <c r="K1322" s="761"/>
      <c r="L1322" s="761"/>
      <c r="M1322" s="761"/>
    </row>
    <row r="1323" spans="1:13" x14ac:dyDescent="0.3">
      <c r="A1323" s="734" t="s">
        <v>1728</v>
      </c>
      <c r="B1323" s="734" t="s">
        <v>612</v>
      </c>
      <c r="C1323" s="734" t="s">
        <v>1729</v>
      </c>
      <c r="D1323" s="734" t="s">
        <v>21</v>
      </c>
      <c r="E1323" s="734" t="s">
        <v>614</v>
      </c>
      <c r="F1323" s="734" t="s">
        <v>696</v>
      </c>
      <c r="G1323" s="733"/>
      <c r="H1323" s="733"/>
      <c r="I1323" s="733"/>
      <c r="J1323" s="733"/>
      <c r="K1323" s="733"/>
      <c r="L1323" s="733"/>
      <c r="M1323" s="733"/>
    </row>
    <row r="1324" spans="1:13" x14ac:dyDescent="0.3">
      <c r="A1324" s="733" t="s">
        <v>1728</v>
      </c>
      <c r="B1324" s="733" t="s">
        <v>612</v>
      </c>
      <c r="C1324" s="733" t="s">
        <v>1730</v>
      </c>
      <c r="D1324" s="733" t="s">
        <v>21</v>
      </c>
      <c r="E1324" s="733" t="s">
        <v>614</v>
      </c>
      <c r="F1324" s="733" t="s">
        <v>615</v>
      </c>
      <c r="G1324" s="733"/>
      <c r="H1324" s="733"/>
      <c r="I1324" s="733"/>
      <c r="J1324" s="733"/>
      <c r="K1324" s="733"/>
      <c r="L1324" s="733"/>
      <c r="M1324" s="733"/>
    </row>
    <row r="1325" spans="1:13" x14ac:dyDescent="0.3">
      <c r="A1325" s="733" t="s">
        <v>1728</v>
      </c>
      <c r="B1325" s="733" t="s">
        <v>612</v>
      </c>
      <c r="C1325" s="733" t="s">
        <v>1731</v>
      </c>
      <c r="D1325" s="733" t="s">
        <v>21</v>
      </c>
      <c r="E1325" s="733" t="s">
        <v>614</v>
      </c>
      <c r="F1325" s="733" t="s">
        <v>615</v>
      </c>
      <c r="G1325" s="733"/>
      <c r="H1325" s="733"/>
      <c r="I1325" s="733"/>
      <c r="J1325" s="733"/>
      <c r="K1325" s="733"/>
      <c r="L1325" s="733"/>
      <c r="M1325" s="733"/>
    </row>
    <row r="1326" spans="1:13" x14ac:dyDescent="0.3">
      <c r="A1326" s="733" t="s">
        <v>1728</v>
      </c>
      <c r="B1326" s="733" t="s">
        <v>612</v>
      </c>
      <c r="C1326" s="733" t="s">
        <v>1732</v>
      </c>
      <c r="D1326" s="733" t="s">
        <v>21</v>
      </c>
      <c r="E1326" s="733" t="s">
        <v>614</v>
      </c>
      <c r="F1326" s="733" t="s">
        <v>615</v>
      </c>
      <c r="G1326" s="733"/>
      <c r="H1326" s="733"/>
      <c r="I1326" s="733"/>
      <c r="J1326" s="733"/>
      <c r="K1326" s="733"/>
      <c r="L1326" s="733"/>
      <c r="M1326" s="733"/>
    </row>
    <row r="1327" spans="1:13" x14ac:dyDescent="0.3">
      <c r="A1327" s="733" t="s">
        <v>1728</v>
      </c>
      <c r="B1327" s="733" t="s">
        <v>612</v>
      </c>
      <c r="C1327" s="733" t="s">
        <v>985</v>
      </c>
      <c r="D1327" s="733" t="s">
        <v>21</v>
      </c>
      <c r="E1327" s="733" t="s">
        <v>614</v>
      </c>
      <c r="F1327" s="733" t="s">
        <v>615</v>
      </c>
      <c r="G1327" s="733"/>
      <c r="H1327" s="733"/>
      <c r="I1327" s="733"/>
      <c r="J1327" s="733"/>
      <c r="K1327" s="733"/>
      <c r="L1327" s="733"/>
      <c r="M1327" s="733"/>
    </row>
    <row r="1328" spans="1:13" x14ac:dyDescent="0.3">
      <c r="A1328" s="733" t="s">
        <v>1728</v>
      </c>
      <c r="B1328" s="733" t="s">
        <v>612</v>
      </c>
      <c r="C1328" s="733" t="s">
        <v>1733</v>
      </c>
      <c r="D1328" s="733" t="s">
        <v>21</v>
      </c>
      <c r="E1328" s="733" t="s">
        <v>614</v>
      </c>
      <c r="F1328" s="733" t="s">
        <v>615</v>
      </c>
      <c r="G1328" s="733"/>
      <c r="H1328" s="733"/>
      <c r="I1328" s="733"/>
      <c r="J1328" s="733"/>
      <c r="K1328" s="733"/>
      <c r="L1328" s="733"/>
      <c r="M1328" s="733"/>
    </row>
    <row r="1329" spans="1:13" x14ac:dyDescent="0.3">
      <c r="A1329" s="733" t="s">
        <v>1728</v>
      </c>
      <c r="B1329" s="733" t="s">
        <v>612</v>
      </c>
      <c r="C1329" s="733" t="s">
        <v>1669</v>
      </c>
      <c r="D1329" s="733" t="s">
        <v>21</v>
      </c>
      <c r="E1329" s="733" t="s">
        <v>614</v>
      </c>
      <c r="F1329" s="733" t="s">
        <v>615</v>
      </c>
      <c r="G1329" s="733"/>
      <c r="H1329" s="733"/>
      <c r="I1329" s="733"/>
      <c r="J1329" s="733"/>
      <c r="K1329" s="733"/>
      <c r="L1329" s="733"/>
      <c r="M1329" s="733"/>
    </row>
    <row r="1330" spans="1:13" x14ac:dyDescent="0.3">
      <c r="A1330" s="733" t="s">
        <v>1728</v>
      </c>
      <c r="B1330" s="733" t="s">
        <v>612</v>
      </c>
      <c r="C1330" s="733" t="s">
        <v>991</v>
      </c>
      <c r="D1330" s="733" t="s">
        <v>21</v>
      </c>
      <c r="E1330" s="733" t="s">
        <v>614</v>
      </c>
      <c r="F1330" s="733" t="s">
        <v>615</v>
      </c>
      <c r="G1330" s="733"/>
      <c r="H1330" s="733"/>
      <c r="I1330" s="733"/>
      <c r="J1330" s="733"/>
      <c r="K1330" s="733"/>
      <c r="L1330" s="733"/>
      <c r="M1330" s="733"/>
    </row>
    <row r="1331" spans="1:13" x14ac:dyDescent="0.3">
      <c r="A1331" s="733" t="s">
        <v>1728</v>
      </c>
      <c r="B1331" s="733" t="s">
        <v>612</v>
      </c>
      <c r="C1331" s="733" t="s">
        <v>992</v>
      </c>
      <c r="D1331" s="733" t="s">
        <v>21</v>
      </c>
      <c r="E1331" s="733" t="s">
        <v>614</v>
      </c>
      <c r="F1331" s="733" t="s">
        <v>615</v>
      </c>
      <c r="G1331" s="733"/>
      <c r="H1331" s="733"/>
      <c r="I1331" s="733"/>
      <c r="J1331" s="733"/>
      <c r="K1331" s="733"/>
      <c r="L1331" s="733"/>
      <c r="M1331" s="733"/>
    </row>
    <row r="1332" spans="1:13" x14ac:dyDescent="0.3">
      <c r="A1332" s="733" t="s">
        <v>1728</v>
      </c>
      <c r="B1332" s="733" t="s">
        <v>612</v>
      </c>
      <c r="C1332" s="733" t="s">
        <v>993</v>
      </c>
      <c r="D1332" s="733" t="s">
        <v>21</v>
      </c>
      <c r="E1332" s="733" t="s">
        <v>614</v>
      </c>
      <c r="F1332" s="733" t="s">
        <v>615</v>
      </c>
      <c r="G1332" s="733"/>
      <c r="H1332" s="733"/>
      <c r="I1332" s="733"/>
      <c r="J1332" s="733"/>
      <c r="K1332" s="733"/>
      <c r="L1332" s="733"/>
      <c r="M1332" s="733"/>
    </row>
    <row r="1333" spans="1:13" x14ac:dyDescent="0.3">
      <c r="A1333" s="733" t="s">
        <v>1728</v>
      </c>
      <c r="B1333" s="733" t="s">
        <v>612</v>
      </c>
      <c r="C1333" s="733" t="s">
        <v>1734</v>
      </c>
      <c r="D1333" s="733" t="s">
        <v>21</v>
      </c>
      <c r="E1333" s="733" t="s">
        <v>614</v>
      </c>
      <c r="F1333" s="733" t="s">
        <v>615</v>
      </c>
      <c r="G1333" s="733"/>
      <c r="H1333" s="733"/>
      <c r="I1333" s="733"/>
      <c r="J1333" s="733"/>
      <c r="K1333" s="733"/>
      <c r="L1333" s="733"/>
      <c r="M1333" s="733"/>
    </row>
    <row r="1334" spans="1:13" x14ac:dyDescent="0.3">
      <c r="A1334" s="733" t="s">
        <v>1728</v>
      </c>
      <c r="B1334" s="733" t="s">
        <v>612</v>
      </c>
      <c r="C1334" s="733" t="s">
        <v>1735</v>
      </c>
      <c r="D1334" s="733" t="s">
        <v>21</v>
      </c>
      <c r="E1334" s="733" t="s">
        <v>614</v>
      </c>
      <c r="F1334" s="733" t="s">
        <v>615</v>
      </c>
      <c r="G1334" s="733"/>
      <c r="H1334" s="733"/>
      <c r="I1334" s="733"/>
      <c r="J1334" s="733"/>
      <c r="K1334" s="733"/>
      <c r="L1334" s="733"/>
      <c r="M1334" s="733"/>
    </row>
    <row r="1335" spans="1:13" x14ac:dyDescent="0.3">
      <c r="A1335" s="733" t="s">
        <v>1728</v>
      </c>
      <c r="B1335" s="733" t="s">
        <v>612</v>
      </c>
      <c r="C1335" s="733" t="s">
        <v>998</v>
      </c>
      <c r="D1335" s="733" t="s">
        <v>21</v>
      </c>
      <c r="E1335" s="733" t="s">
        <v>614</v>
      </c>
      <c r="F1335" s="733" t="s">
        <v>615</v>
      </c>
      <c r="G1335" s="733"/>
      <c r="H1335" s="733"/>
      <c r="I1335" s="733"/>
      <c r="J1335" s="733"/>
      <c r="K1335" s="733"/>
      <c r="L1335" s="733"/>
      <c r="M1335" s="733"/>
    </row>
    <row r="1336" spans="1:13" x14ac:dyDescent="0.3">
      <c r="A1336" s="733" t="s">
        <v>1728</v>
      </c>
      <c r="B1336" s="733" t="s">
        <v>612</v>
      </c>
      <c r="C1336" s="733" t="s">
        <v>1001</v>
      </c>
      <c r="D1336" s="733" t="s">
        <v>21</v>
      </c>
      <c r="E1336" s="733" t="s">
        <v>614</v>
      </c>
      <c r="F1336" s="733" t="s">
        <v>615</v>
      </c>
      <c r="G1336" s="733"/>
      <c r="H1336" s="733"/>
      <c r="I1336" s="733"/>
      <c r="J1336" s="733"/>
      <c r="K1336" s="733"/>
      <c r="L1336" s="733"/>
      <c r="M1336" s="733"/>
    </row>
    <row r="1337" spans="1:13" x14ac:dyDescent="0.3">
      <c r="A1337" s="734" t="s">
        <v>1728</v>
      </c>
      <c r="B1337" s="734" t="s">
        <v>612</v>
      </c>
      <c r="C1337" s="734" t="s">
        <v>1736</v>
      </c>
      <c r="D1337" s="734" t="s">
        <v>21</v>
      </c>
      <c r="E1337" s="734" t="s">
        <v>614</v>
      </c>
      <c r="F1337" s="734" t="s">
        <v>696</v>
      </c>
      <c r="G1337" s="733"/>
      <c r="H1337" s="733"/>
      <c r="I1337" s="733"/>
      <c r="J1337" s="733"/>
      <c r="K1337" s="733"/>
      <c r="L1337" s="733"/>
      <c r="M1337" s="733"/>
    </row>
    <row r="1338" spans="1:13" x14ac:dyDescent="0.3">
      <c r="A1338" s="733" t="s">
        <v>1728</v>
      </c>
      <c r="B1338" s="733" t="s">
        <v>612</v>
      </c>
      <c r="C1338" s="733" t="s">
        <v>1737</v>
      </c>
      <c r="D1338" s="733" t="s">
        <v>21</v>
      </c>
      <c r="E1338" s="733" t="s">
        <v>614</v>
      </c>
      <c r="F1338" s="733" t="s">
        <v>615</v>
      </c>
      <c r="G1338" s="733"/>
      <c r="H1338" s="733"/>
      <c r="I1338" s="733"/>
      <c r="J1338" s="733"/>
      <c r="K1338" s="733"/>
      <c r="L1338" s="733"/>
      <c r="M1338" s="733"/>
    </row>
    <row r="1339" spans="1:13" x14ac:dyDescent="0.3">
      <c r="A1339" s="733" t="s">
        <v>1728</v>
      </c>
      <c r="B1339" s="733" t="s">
        <v>612</v>
      </c>
      <c r="C1339" s="733" t="s">
        <v>1738</v>
      </c>
      <c r="D1339" s="733" t="s">
        <v>21</v>
      </c>
      <c r="E1339" s="733" t="s">
        <v>614</v>
      </c>
      <c r="F1339" s="733" t="s">
        <v>615</v>
      </c>
      <c r="G1339" s="733"/>
      <c r="H1339" s="733"/>
      <c r="I1339" s="733"/>
      <c r="J1339" s="733"/>
      <c r="K1339" s="733"/>
      <c r="L1339" s="733"/>
      <c r="M1339" s="733"/>
    </row>
    <row r="1340" spans="1:13" x14ac:dyDescent="0.3">
      <c r="A1340" s="733" t="s">
        <v>1728</v>
      </c>
      <c r="B1340" s="733" t="s">
        <v>612</v>
      </c>
      <c r="C1340" s="733" t="s">
        <v>1739</v>
      </c>
      <c r="D1340" s="733" t="s">
        <v>21</v>
      </c>
      <c r="E1340" s="733" t="s">
        <v>614</v>
      </c>
      <c r="F1340" s="733" t="s">
        <v>615</v>
      </c>
      <c r="G1340" s="733"/>
      <c r="H1340" s="733"/>
      <c r="I1340" s="733"/>
      <c r="J1340" s="733"/>
      <c r="K1340" s="733"/>
      <c r="L1340" s="733"/>
      <c r="M1340" s="733"/>
    </row>
    <row r="1341" spans="1:13" x14ac:dyDescent="0.3">
      <c r="A1341" s="733" t="s">
        <v>1728</v>
      </c>
      <c r="B1341" s="733" t="s">
        <v>612</v>
      </c>
      <c r="C1341" s="733" t="s">
        <v>1740</v>
      </c>
      <c r="D1341" s="733" t="s">
        <v>21</v>
      </c>
      <c r="E1341" s="733" t="s">
        <v>614</v>
      </c>
      <c r="F1341" s="733" t="s">
        <v>615</v>
      </c>
      <c r="G1341" s="733"/>
      <c r="H1341" s="733"/>
      <c r="I1341" s="733"/>
      <c r="J1341" s="733"/>
      <c r="K1341" s="733"/>
      <c r="L1341" s="733"/>
      <c r="M1341" s="733"/>
    </row>
    <row r="1342" spans="1:13" x14ac:dyDescent="0.3">
      <c r="A1342" s="733" t="s">
        <v>1728</v>
      </c>
      <c r="B1342" s="733" t="s">
        <v>645</v>
      </c>
      <c r="C1342" s="733" t="s">
        <v>1741</v>
      </c>
      <c r="D1342" s="733" t="s">
        <v>21</v>
      </c>
      <c r="E1342" s="733" t="s">
        <v>614</v>
      </c>
      <c r="F1342" s="733" t="s">
        <v>615</v>
      </c>
      <c r="G1342" s="733"/>
      <c r="H1342" s="733"/>
      <c r="I1342" s="733"/>
      <c r="J1342" s="733"/>
      <c r="K1342" s="733"/>
      <c r="L1342" s="733"/>
      <c r="M1342" s="733"/>
    </row>
    <row r="1343" spans="1:13" x14ac:dyDescent="0.3">
      <c r="A1343" s="733" t="s">
        <v>1728</v>
      </c>
      <c r="B1343" s="733" t="s">
        <v>645</v>
      </c>
      <c r="C1343" s="733" t="s">
        <v>1742</v>
      </c>
      <c r="D1343" s="733" t="s">
        <v>21</v>
      </c>
      <c r="E1343" s="733" t="s">
        <v>614</v>
      </c>
      <c r="F1343" s="733" t="s">
        <v>615</v>
      </c>
      <c r="G1343" s="733"/>
      <c r="H1343" s="733"/>
      <c r="I1343" s="733"/>
      <c r="J1343" s="733"/>
      <c r="K1343" s="733"/>
      <c r="L1343" s="733"/>
      <c r="M1343" s="733"/>
    </row>
    <row r="1344" spans="1:13" x14ac:dyDescent="0.3">
      <c r="A1344" s="733" t="s">
        <v>1728</v>
      </c>
      <c r="B1344" s="733" t="s">
        <v>645</v>
      </c>
      <c r="C1344" s="733" t="s">
        <v>1743</v>
      </c>
      <c r="D1344" s="733" t="s">
        <v>21</v>
      </c>
      <c r="E1344" s="733" t="s">
        <v>614</v>
      </c>
      <c r="F1344" s="733" t="s">
        <v>615</v>
      </c>
      <c r="G1344" s="733"/>
      <c r="H1344" s="733"/>
      <c r="I1344" s="733"/>
      <c r="J1344" s="733"/>
      <c r="K1344" s="733"/>
      <c r="L1344" s="733"/>
      <c r="M1344" s="733"/>
    </row>
    <row r="1345" spans="1:13" x14ac:dyDescent="0.3">
      <c r="A1345" s="733" t="s">
        <v>1728</v>
      </c>
      <c r="B1345" s="733" t="s">
        <v>645</v>
      </c>
      <c r="C1345" s="733" t="s">
        <v>1744</v>
      </c>
      <c r="D1345" s="733" t="s">
        <v>21</v>
      </c>
      <c r="E1345" s="733" t="s">
        <v>614</v>
      </c>
      <c r="F1345" s="733" t="s">
        <v>615</v>
      </c>
      <c r="G1345" s="733"/>
      <c r="H1345" s="733"/>
      <c r="I1345" s="733"/>
      <c r="J1345" s="733"/>
      <c r="K1345" s="733"/>
      <c r="L1345" s="733"/>
      <c r="M1345" s="733"/>
    </row>
    <row r="1346" spans="1:13" x14ac:dyDescent="0.3">
      <c r="A1346" s="733" t="s">
        <v>1728</v>
      </c>
      <c r="B1346" s="733" t="s">
        <v>645</v>
      </c>
      <c r="C1346" s="733" t="s">
        <v>1745</v>
      </c>
      <c r="D1346" s="733" t="s">
        <v>21</v>
      </c>
      <c r="E1346" s="733" t="s">
        <v>614</v>
      </c>
      <c r="F1346" s="733" t="s">
        <v>615</v>
      </c>
      <c r="G1346" s="733"/>
      <c r="H1346" s="733"/>
      <c r="I1346" s="733"/>
      <c r="J1346" s="733"/>
      <c r="K1346" s="733"/>
      <c r="L1346" s="733"/>
      <c r="M1346" s="733"/>
    </row>
    <row r="1347" spans="1:13" x14ac:dyDescent="0.3">
      <c r="A1347" s="733" t="s">
        <v>1728</v>
      </c>
      <c r="B1347" s="733" t="s">
        <v>645</v>
      </c>
      <c r="C1347" s="733" t="s">
        <v>1746</v>
      </c>
      <c r="D1347" s="733" t="s">
        <v>21</v>
      </c>
      <c r="E1347" s="733" t="s">
        <v>614</v>
      </c>
      <c r="F1347" s="733" t="s">
        <v>615</v>
      </c>
      <c r="G1347" s="733"/>
      <c r="H1347" s="733"/>
      <c r="I1347" s="733"/>
      <c r="J1347" s="733"/>
      <c r="K1347" s="733"/>
      <c r="L1347" s="733"/>
      <c r="M1347" s="733"/>
    </row>
    <row r="1348" spans="1:13" x14ac:dyDescent="0.3">
      <c r="A1348" s="733" t="s">
        <v>1728</v>
      </c>
      <c r="B1348" s="733" t="s">
        <v>645</v>
      </c>
      <c r="C1348" s="733" t="s">
        <v>1747</v>
      </c>
      <c r="D1348" s="733" t="s">
        <v>21</v>
      </c>
      <c r="E1348" s="733" t="s">
        <v>614</v>
      </c>
      <c r="F1348" s="733" t="s">
        <v>615</v>
      </c>
      <c r="G1348" s="733"/>
      <c r="H1348" s="733"/>
      <c r="I1348" s="733"/>
      <c r="J1348" s="733"/>
      <c r="K1348" s="733"/>
      <c r="L1348" s="733"/>
      <c r="M1348" s="733"/>
    </row>
    <row r="1349" spans="1:13" x14ac:dyDescent="0.3">
      <c r="A1349" s="733" t="s">
        <v>1728</v>
      </c>
      <c r="B1349" s="733" t="s">
        <v>645</v>
      </c>
      <c r="C1349" s="733" t="s">
        <v>1748</v>
      </c>
      <c r="D1349" s="733" t="s">
        <v>21</v>
      </c>
      <c r="E1349" s="733" t="s">
        <v>614</v>
      </c>
      <c r="F1349" s="733" t="s">
        <v>615</v>
      </c>
      <c r="G1349" s="733"/>
      <c r="H1349" s="733"/>
      <c r="I1349" s="733"/>
      <c r="J1349" s="733"/>
      <c r="K1349" s="733"/>
      <c r="L1349" s="733"/>
      <c r="M1349" s="733"/>
    </row>
    <row r="1350" spans="1:13" x14ac:dyDescent="0.3">
      <c r="A1350" s="733" t="s">
        <v>1728</v>
      </c>
      <c r="B1350" s="733" t="s">
        <v>645</v>
      </c>
      <c r="C1350" s="733" t="s">
        <v>1749</v>
      </c>
      <c r="D1350" s="733" t="s">
        <v>21</v>
      </c>
      <c r="E1350" s="733" t="s">
        <v>614</v>
      </c>
      <c r="F1350" s="733" t="s">
        <v>615</v>
      </c>
      <c r="G1350" s="733"/>
      <c r="H1350" s="733"/>
      <c r="I1350" s="733"/>
      <c r="J1350" s="733"/>
      <c r="K1350" s="733"/>
      <c r="L1350" s="733"/>
      <c r="M1350" s="733"/>
    </row>
    <row r="1351" spans="1:13" x14ac:dyDescent="0.3">
      <c r="A1351" s="734" t="s">
        <v>1728</v>
      </c>
      <c r="B1351" s="734" t="s">
        <v>645</v>
      </c>
      <c r="C1351" s="734" t="s">
        <v>1750</v>
      </c>
      <c r="D1351" s="734" t="s">
        <v>21</v>
      </c>
      <c r="E1351" s="734" t="s">
        <v>614</v>
      </c>
      <c r="F1351" s="734" t="s">
        <v>736</v>
      </c>
      <c r="G1351" s="733"/>
      <c r="H1351" s="733"/>
      <c r="I1351" s="733"/>
      <c r="J1351" s="733"/>
      <c r="K1351" s="733"/>
      <c r="L1351" s="733"/>
      <c r="M1351" s="733"/>
    </row>
    <row r="1352" spans="1:13" x14ac:dyDescent="0.3">
      <c r="A1352" s="733" t="s">
        <v>1728</v>
      </c>
      <c r="B1352" s="733" t="s">
        <v>645</v>
      </c>
      <c r="C1352" s="733" t="s">
        <v>1751</v>
      </c>
      <c r="D1352" s="733" t="s">
        <v>21</v>
      </c>
      <c r="E1352" s="733" t="s">
        <v>614</v>
      </c>
      <c r="F1352" s="733" t="s">
        <v>615</v>
      </c>
      <c r="G1352" s="733"/>
      <c r="H1352" s="733"/>
      <c r="I1352" s="733"/>
      <c r="J1352" s="733"/>
      <c r="K1352" s="733"/>
      <c r="L1352" s="733"/>
      <c r="M1352" s="733"/>
    </row>
    <row r="1353" spans="1:13" x14ac:dyDescent="0.3">
      <c r="A1353" s="733" t="s">
        <v>1728</v>
      </c>
      <c r="B1353" s="733" t="s">
        <v>664</v>
      </c>
      <c r="C1353" s="733" t="s">
        <v>1752</v>
      </c>
      <c r="D1353" s="733" t="s">
        <v>21</v>
      </c>
      <c r="E1353" s="733" t="s">
        <v>614</v>
      </c>
      <c r="F1353" s="733" t="s">
        <v>615</v>
      </c>
      <c r="G1353" s="733"/>
      <c r="H1353" s="733"/>
      <c r="I1353" s="733"/>
      <c r="J1353" s="733"/>
      <c r="K1353" s="733"/>
      <c r="L1353" s="733"/>
      <c r="M1353" s="733"/>
    </row>
    <row r="1354" spans="1:13" x14ac:dyDescent="0.3">
      <c r="A1354" s="733" t="s">
        <v>1728</v>
      </c>
      <c r="B1354" s="733" t="s">
        <v>664</v>
      </c>
      <c r="C1354" s="733" t="s">
        <v>1753</v>
      </c>
      <c r="D1354" s="733" t="s">
        <v>21</v>
      </c>
      <c r="E1354" s="733" t="s">
        <v>614</v>
      </c>
      <c r="F1354" s="733" t="s">
        <v>615</v>
      </c>
      <c r="G1354" s="733"/>
      <c r="H1354" s="733"/>
      <c r="I1354" s="733"/>
      <c r="J1354" s="733"/>
      <c r="K1354" s="733"/>
      <c r="L1354" s="733"/>
      <c r="M1354" s="733"/>
    </row>
    <row r="1355" spans="1:13" x14ac:dyDescent="0.3">
      <c r="A1355" s="733" t="s">
        <v>1754</v>
      </c>
      <c r="B1355" s="733" t="s">
        <v>612</v>
      </c>
      <c r="C1355" s="733" t="s">
        <v>739</v>
      </c>
      <c r="D1355" s="733" t="s">
        <v>21</v>
      </c>
      <c r="E1355" s="733" t="s">
        <v>614</v>
      </c>
      <c r="F1355" s="733" t="s">
        <v>615</v>
      </c>
      <c r="G1355" s="733"/>
      <c r="H1355" s="733"/>
      <c r="I1355" s="733"/>
      <c r="J1355" s="733"/>
      <c r="K1355" s="733"/>
      <c r="L1355" s="733"/>
      <c r="M1355" s="733"/>
    </row>
    <row r="1356" spans="1:13" x14ac:dyDescent="0.3">
      <c r="A1356" s="733" t="s">
        <v>1754</v>
      </c>
      <c r="B1356" s="733" t="s">
        <v>612</v>
      </c>
      <c r="C1356" s="733" t="s">
        <v>740</v>
      </c>
      <c r="D1356" s="733" t="s">
        <v>21</v>
      </c>
      <c r="E1356" s="733" t="s">
        <v>614</v>
      </c>
      <c r="F1356" s="733" t="s">
        <v>615</v>
      </c>
      <c r="G1356" s="733"/>
      <c r="H1356" s="733"/>
      <c r="I1356" s="733"/>
      <c r="J1356" s="733"/>
      <c r="K1356" s="733"/>
      <c r="L1356" s="733"/>
      <c r="M1356" s="733"/>
    </row>
    <row r="1357" spans="1:13" x14ac:dyDescent="0.3">
      <c r="A1357" s="733" t="s">
        <v>1754</v>
      </c>
      <c r="B1357" s="733" t="s">
        <v>612</v>
      </c>
      <c r="C1357" s="733" t="s">
        <v>750</v>
      </c>
      <c r="D1357" s="733" t="s">
        <v>21</v>
      </c>
      <c r="E1357" s="733" t="s">
        <v>614</v>
      </c>
      <c r="F1357" s="733" t="s">
        <v>615</v>
      </c>
      <c r="G1357" s="733"/>
      <c r="H1357" s="733"/>
      <c r="I1357" s="733"/>
      <c r="J1357" s="733"/>
      <c r="K1357" s="733"/>
      <c r="L1357" s="733"/>
      <c r="M1357" s="733"/>
    </row>
    <row r="1358" spans="1:13" x14ac:dyDescent="0.3">
      <c r="A1358" s="733" t="s">
        <v>1754</v>
      </c>
      <c r="B1358" s="733" t="s">
        <v>612</v>
      </c>
      <c r="C1358" s="733" t="s">
        <v>751</v>
      </c>
      <c r="D1358" s="733" t="s">
        <v>21</v>
      </c>
      <c r="E1358" s="733" t="s">
        <v>614</v>
      </c>
      <c r="F1358" s="733" t="s">
        <v>615</v>
      </c>
      <c r="G1358" s="733"/>
      <c r="H1358" s="733"/>
      <c r="I1358" s="733"/>
      <c r="J1358" s="733"/>
      <c r="K1358" s="733"/>
      <c r="L1358" s="733"/>
      <c r="M1358" s="733"/>
    </row>
    <row r="1359" spans="1:13" x14ac:dyDescent="0.3">
      <c r="A1359" s="733" t="s">
        <v>1754</v>
      </c>
      <c r="B1359" s="733" t="s">
        <v>612</v>
      </c>
      <c r="C1359" s="733" t="s">
        <v>1755</v>
      </c>
      <c r="D1359" s="733" t="s">
        <v>21</v>
      </c>
      <c r="E1359" s="733" t="s">
        <v>614</v>
      </c>
      <c r="F1359" s="733" t="s">
        <v>615</v>
      </c>
      <c r="G1359" s="733"/>
      <c r="H1359" s="733"/>
      <c r="I1359" s="733"/>
      <c r="J1359" s="733"/>
      <c r="K1359" s="733"/>
      <c r="L1359" s="733"/>
      <c r="M1359" s="733"/>
    </row>
    <row r="1360" spans="1:13" x14ac:dyDescent="0.3">
      <c r="A1360" s="733" t="s">
        <v>1754</v>
      </c>
      <c r="B1360" s="733" t="s">
        <v>612</v>
      </c>
      <c r="C1360" s="733" t="s">
        <v>1756</v>
      </c>
      <c r="D1360" s="733" t="s">
        <v>21</v>
      </c>
      <c r="E1360" s="733" t="s">
        <v>614</v>
      </c>
      <c r="F1360" s="733" t="s">
        <v>615</v>
      </c>
      <c r="G1360" s="733"/>
      <c r="H1360" s="733"/>
      <c r="I1360" s="733"/>
      <c r="J1360" s="733"/>
      <c r="K1360" s="733"/>
      <c r="L1360" s="733"/>
      <c r="M1360" s="733"/>
    </row>
    <row r="1361" spans="1:13" x14ac:dyDescent="0.3">
      <c r="A1361" s="733" t="s">
        <v>1754</v>
      </c>
      <c r="B1361" s="733" t="s">
        <v>645</v>
      </c>
      <c r="C1361" s="733" t="s">
        <v>1757</v>
      </c>
      <c r="D1361" s="733" t="s">
        <v>21</v>
      </c>
      <c r="E1361" s="733" t="s">
        <v>614</v>
      </c>
      <c r="F1361" s="733" t="s">
        <v>615</v>
      </c>
      <c r="G1361" s="733"/>
      <c r="H1361" s="733"/>
      <c r="I1361" s="733"/>
      <c r="J1361" s="733"/>
      <c r="K1361" s="733"/>
      <c r="L1361" s="733"/>
      <c r="M1361" s="733"/>
    </row>
    <row r="1362" spans="1:13" x14ac:dyDescent="0.3">
      <c r="A1362" s="733" t="s">
        <v>1754</v>
      </c>
      <c r="B1362" s="733" t="s">
        <v>645</v>
      </c>
      <c r="C1362" s="733" t="s">
        <v>652</v>
      </c>
      <c r="D1362" s="733" t="s">
        <v>21</v>
      </c>
      <c r="E1362" s="733" t="s">
        <v>614</v>
      </c>
      <c r="F1362" s="733" t="s">
        <v>615</v>
      </c>
      <c r="G1362" s="733"/>
      <c r="H1362" s="733"/>
      <c r="I1362" s="733"/>
      <c r="J1362" s="733"/>
      <c r="K1362" s="733"/>
      <c r="L1362" s="733"/>
      <c r="M1362" s="733"/>
    </row>
    <row r="1363" spans="1:13" x14ac:dyDescent="0.3">
      <c r="A1363" s="734" t="s">
        <v>1754</v>
      </c>
      <c r="B1363" s="734" t="s">
        <v>645</v>
      </c>
      <c r="C1363" s="734" t="s">
        <v>1758</v>
      </c>
      <c r="D1363" s="734" t="s">
        <v>21</v>
      </c>
      <c r="E1363" s="734" t="s">
        <v>614</v>
      </c>
      <c r="F1363" s="734" t="s">
        <v>736</v>
      </c>
      <c r="G1363" s="733"/>
      <c r="H1363" s="733"/>
      <c r="I1363" s="733"/>
      <c r="J1363" s="733"/>
      <c r="K1363" s="733"/>
      <c r="L1363" s="733"/>
      <c r="M1363" s="733"/>
    </row>
    <row r="1364" spans="1:13" x14ac:dyDescent="0.3">
      <c r="A1364" s="733" t="s">
        <v>1754</v>
      </c>
      <c r="B1364" s="733" t="s">
        <v>645</v>
      </c>
      <c r="C1364" s="733" t="s">
        <v>1759</v>
      </c>
      <c r="D1364" s="733" t="s">
        <v>21</v>
      </c>
      <c r="E1364" s="733" t="s">
        <v>614</v>
      </c>
      <c r="F1364" s="733" t="s">
        <v>615</v>
      </c>
      <c r="G1364" s="733"/>
      <c r="H1364" s="733"/>
      <c r="I1364" s="733"/>
      <c r="J1364" s="733"/>
      <c r="K1364" s="733"/>
      <c r="L1364" s="733"/>
      <c r="M1364" s="733"/>
    </row>
    <row r="1365" spans="1:13" x14ac:dyDescent="0.3">
      <c r="A1365" s="733" t="s">
        <v>1760</v>
      </c>
      <c r="B1365" s="733" t="s">
        <v>612</v>
      </c>
      <c r="C1365" s="733" t="s">
        <v>1241</v>
      </c>
      <c r="D1365" s="733" t="s">
        <v>21</v>
      </c>
      <c r="E1365" s="733" t="s">
        <v>614</v>
      </c>
      <c r="F1365" s="733" t="s">
        <v>615</v>
      </c>
      <c r="G1365" s="733"/>
      <c r="H1365" s="733"/>
      <c r="I1365" s="733"/>
      <c r="J1365" s="733"/>
      <c r="K1365" s="733"/>
      <c r="L1365" s="733"/>
      <c r="M1365" s="733"/>
    </row>
    <row r="1366" spans="1:13" x14ac:dyDescent="0.3">
      <c r="A1366" s="733" t="s">
        <v>1760</v>
      </c>
      <c r="B1366" s="733" t="s">
        <v>612</v>
      </c>
      <c r="C1366" s="733" t="s">
        <v>1761</v>
      </c>
      <c r="D1366" s="733" t="s">
        <v>21</v>
      </c>
      <c r="E1366" s="733" t="s">
        <v>614</v>
      </c>
      <c r="F1366" s="733" t="s">
        <v>615</v>
      </c>
      <c r="G1366" s="733"/>
      <c r="H1366" s="733"/>
      <c r="I1366" s="733"/>
      <c r="J1366" s="733"/>
      <c r="K1366" s="733"/>
      <c r="L1366" s="733"/>
      <c r="M1366" s="733"/>
    </row>
    <row r="1367" spans="1:13" x14ac:dyDescent="0.3">
      <c r="A1367" s="733" t="s">
        <v>1760</v>
      </c>
      <c r="B1367" s="733" t="s">
        <v>612</v>
      </c>
      <c r="C1367" s="733" t="s">
        <v>1762</v>
      </c>
      <c r="D1367" s="733" t="s">
        <v>21</v>
      </c>
      <c r="E1367" s="733" t="s">
        <v>614</v>
      </c>
      <c r="F1367" s="733" t="s">
        <v>615</v>
      </c>
      <c r="G1367" s="733"/>
      <c r="H1367" s="733"/>
      <c r="I1367" s="733"/>
      <c r="J1367" s="733"/>
      <c r="K1367" s="733"/>
      <c r="L1367" s="733"/>
      <c r="M1367" s="733"/>
    </row>
    <row r="1368" spans="1:13" x14ac:dyDescent="0.3">
      <c r="A1368" s="733" t="s">
        <v>1760</v>
      </c>
      <c r="B1368" s="733" t="s">
        <v>612</v>
      </c>
      <c r="C1368" s="733" t="s">
        <v>1255</v>
      </c>
      <c r="D1368" s="733" t="s">
        <v>21</v>
      </c>
      <c r="E1368" s="733" t="s">
        <v>614</v>
      </c>
      <c r="F1368" s="733" t="s">
        <v>615</v>
      </c>
      <c r="G1368" s="733"/>
      <c r="H1368" s="733"/>
      <c r="I1368" s="733"/>
      <c r="J1368" s="733"/>
      <c r="K1368" s="733"/>
      <c r="L1368" s="733"/>
      <c r="M1368" s="733"/>
    </row>
    <row r="1369" spans="1:13" x14ac:dyDescent="0.3">
      <c r="A1369" s="733" t="s">
        <v>1760</v>
      </c>
      <c r="B1369" s="733" t="s">
        <v>612</v>
      </c>
      <c r="C1369" s="733" t="s">
        <v>1256</v>
      </c>
      <c r="D1369" s="733" t="s">
        <v>21</v>
      </c>
      <c r="E1369" s="733" t="s">
        <v>614</v>
      </c>
      <c r="F1369" s="733" t="s">
        <v>615</v>
      </c>
      <c r="G1369" s="733"/>
      <c r="H1369" s="733"/>
      <c r="I1369" s="733"/>
      <c r="J1369" s="733"/>
      <c r="K1369" s="733"/>
      <c r="L1369" s="733"/>
      <c r="M1369" s="733"/>
    </row>
    <row r="1370" spans="1:13" x14ac:dyDescent="0.3">
      <c r="A1370" s="733" t="s">
        <v>1760</v>
      </c>
      <c r="B1370" s="733" t="s">
        <v>612</v>
      </c>
      <c r="C1370" s="733" t="s">
        <v>992</v>
      </c>
      <c r="D1370" s="733" t="s">
        <v>21</v>
      </c>
      <c r="E1370" s="733" t="s">
        <v>614</v>
      </c>
      <c r="F1370" s="733" t="s">
        <v>615</v>
      </c>
      <c r="G1370" s="733"/>
      <c r="H1370" s="733"/>
      <c r="I1370" s="733"/>
      <c r="J1370" s="733"/>
      <c r="K1370" s="733"/>
      <c r="L1370" s="733"/>
      <c r="M1370" s="733"/>
    </row>
    <row r="1371" spans="1:13" x14ac:dyDescent="0.3">
      <c r="A1371" s="733" t="s">
        <v>1760</v>
      </c>
      <c r="B1371" s="733" t="s">
        <v>612</v>
      </c>
      <c r="C1371" s="733" t="s">
        <v>993</v>
      </c>
      <c r="D1371" s="733" t="s">
        <v>21</v>
      </c>
      <c r="E1371" s="733" t="s">
        <v>614</v>
      </c>
      <c r="F1371" s="733" t="s">
        <v>615</v>
      </c>
      <c r="G1371" s="733"/>
      <c r="H1371" s="733"/>
      <c r="I1371" s="733"/>
      <c r="J1371" s="733"/>
      <c r="K1371" s="733"/>
      <c r="L1371" s="733"/>
      <c r="M1371" s="733"/>
    </row>
    <row r="1372" spans="1:13" x14ac:dyDescent="0.3">
      <c r="A1372" s="733" t="s">
        <v>1760</v>
      </c>
      <c r="B1372" s="733" t="s">
        <v>612</v>
      </c>
      <c r="C1372" s="733" t="s">
        <v>1458</v>
      </c>
      <c r="D1372" s="733" t="s">
        <v>21</v>
      </c>
      <c r="E1372" s="733" t="s">
        <v>614</v>
      </c>
      <c r="F1372" s="733" t="s">
        <v>615</v>
      </c>
      <c r="G1372" s="733"/>
      <c r="H1372" s="733"/>
      <c r="I1372" s="733"/>
      <c r="J1372" s="733"/>
      <c r="K1372" s="733"/>
      <c r="L1372" s="733"/>
      <c r="M1372" s="733"/>
    </row>
    <row r="1373" spans="1:13" x14ac:dyDescent="0.3">
      <c r="A1373" s="733" t="s">
        <v>1760</v>
      </c>
      <c r="B1373" s="733" t="s">
        <v>612</v>
      </c>
      <c r="C1373" s="733" t="s">
        <v>1327</v>
      </c>
      <c r="D1373" s="733" t="s">
        <v>21</v>
      </c>
      <c r="E1373" s="733" t="s">
        <v>614</v>
      </c>
      <c r="F1373" s="733" t="s">
        <v>615</v>
      </c>
      <c r="G1373" s="733"/>
      <c r="H1373" s="733"/>
      <c r="I1373" s="733"/>
      <c r="J1373" s="733"/>
      <c r="K1373" s="733"/>
      <c r="L1373" s="733"/>
      <c r="M1373" s="733"/>
    </row>
    <row r="1374" spans="1:13" x14ac:dyDescent="0.3">
      <c r="A1374" s="733" t="s">
        <v>1760</v>
      </c>
      <c r="B1374" s="733" t="s">
        <v>612</v>
      </c>
      <c r="C1374" s="733" t="s">
        <v>998</v>
      </c>
      <c r="D1374" s="733" t="s">
        <v>21</v>
      </c>
      <c r="E1374" s="733" t="s">
        <v>614</v>
      </c>
      <c r="F1374" s="733" t="s">
        <v>615</v>
      </c>
      <c r="G1374" s="733"/>
      <c r="H1374" s="733"/>
      <c r="I1374" s="733"/>
      <c r="J1374" s="733"/>
      <c r="K1374" s="733"/>
      <c r="L1374" s="733"/>
      <c r="M1374" s="733"/>
    </row>
    <row r="1375" spans="1:13" x14ac:dyDescent="0.3">
      <c r="A1375" s="733" t="s">
        <v>1760</v>
      </c>
      <c r="B1375" s="733" t="s">
        <v>612</v>
      </c>
      <c r="C1375" s="733" t="s">
        <v>1247</v>
      </c>
      <c r="D1375" s="733" t="s">
        <v>21</v>
      </c>
      <c r="E1375" s="733" t="s">
        <v>614</v>
      </c>
      <c r="F1375" s="733" t="s">
        <v>615</v>
      </c>
      <c r="G1375" s="733"/>
      <c r="H1375" s="733"/>
      <c r="I1375" s="733"/>
      <c r="J1375" s="733"/>
      <c r="K1375" s="733"/>
      <c r="L1375" s="733"/>
      <c r="M1375" s="733"/>
    </row>
    <row r="1376" spans="1:13" x14ac:dyDescent="0.3">
      <c r="A1376" s="733" t="s">
        <v>1760</v>
      </c>
      <c r="B1376" s="733" t="s">
        <v>645</v>
      </c>
      <c r="C1376" s="733" t="s">
        <v>1763</v>
      </c>
      <c r="D1376" s="733" t="s">
        <v>21</v>
      </c>
      <c r="E1376" s="733" t="s">
        <v>614</v>
      </c>
      <c r="F1376" s="733" t="s">
        <v>615</v>
      </c>
      <c r="G1376" s="733"/>
      <c r="H1376" s="733"/>
      <c r="I1376" s="733"/>
      <c r="J1376" s="733"/>
      <c r="K1376" s="733"/>
      <c r="L1376" s="733"/>
      <c r="M1376" s="733"/>
    </row>
    <row r="1377" spans="1:13" x14ac:dyDescent="0.3">
      <c r="A1377" s="733" t="s">
        <v>1760</v>
      </c>
      <c r="B1377" s="733" t="s">
        <v>645</v>
      </c>
      <c r="C1377" s="733" t="s">
        <v>1764</v>
      </c>
      <c r="D1377" s="733" t="s">
        <v>21</v>
      </c>
      <c r="E1377" s="733" t="s">
        <v>614</v>
      </c>
      <c r="F1377" s="733" t="s">
        <v>615</v>
      </c>
      <c r="G1377" s="733"/>
      <c r="H1377" s="733"/>
      <c r="I1377" s="733"/>
      <c r="J1377" s="733"/>
      <c r="K1377" s="733"/>
      <c r="L1377" s="733"/>
      <c r="M1377" s="733"/>
    </row>
    <row r="1378" spans="1:13" x14ac:dyDescent="0.3">
      <c r="A1378" s="733" t="s">
        <v>1760</v>
      </c>
      <c r="B1378" s="733" t="s">
        <v>645</v>
      </c>
      <c r="C1378" s="733" t="s">
        <v>1765</v>
      </c>
      <c r="D1378" s="733" t="s">
        <v>21</v>
      </c>
      <c r="E1378" s="733" t="s">
        <v>614</v>
      </c>
      <c r="F1378" s="733" t="s">
        <v>615</v>
      </c>
      <c r="G1378" s="733"/>
      <c r="H1378" s="733"/>
      <c r="I1378" s="733"/>
      <c r="J1378" s="733"/>
      <c r="K1378" s="733"/>
      <c r="L1378" s="733"/>
      <c r="M1378" s="733"/>
    </row>
    <row r="1379" spans="1:13" x14ac:dyDescent="0.3">
      <c r="A1379" s="733" t="s">
        <v>1760</v>
      </c>
      <c r="B1379" s="733" t="s">
        <v>645</v>
      </c>
      <c r="C1379" s="733" t="s">
        <v>1766</v>
      </c>
      <c r="D1379" s="733" t="s">
        <v>21</v>
      </c>
      <c r="E1379" s="733" t="s">
        <v>614</v>
      </c>
      <c r="F1379" s="733" t="s">
        <v>615</v>
      </c>
      <c r="G1379" s="733"/>
      <c r="H1379" s="733"/>
      <c r="I1379" s="733"/>
      <c r="J1379" s="733"/>
      <c r="K1379" s="733"/>
      <c r="L1379" s="733"/>
      <c r="M1379" s="733"/>
    </row>
    <row r="1380" spans="1:13" x14ac:dyDescent="0.3">
      <c r="A1380" s="733" t="s">
        <v>1760</v>
      </c>
      <c r="B1380" s="733" t="s">
        <v>645</v>
      </c>
      <c r="C1380" s="733" t="s">
        <v>899</v>
      </c>
      <c r="D1380" s="733" t="s">
        <v>21</v>
      </c>
      <c r="E1380" s="733" t="s">
        <v>614</v>
      </c>
      <c r="F1380" s="733" t="s">
        <v>615</v>
      </c>
      <c r="G1380" s="733"/>
      <c r="H1380" s="733"/>
      <c r="I1380" s="733"/>
      <c r="J1380" s="733"/>
      <c r="K1380" s="733"/>
      <c r="L1380" s="733"/>
      <c r="M1380" s="733"/>
    </row>
    <row r="1381" spans="1:13" x14ac:dyDescent="0.3">
      <c r="A1381" s="733" t="s">
        <v>1760</v>
      </c>
      <c r="B1381" s="733" t="s">
        <v>645</v>
      </c>
      <c r="C1381" s="733" t="s">
        <v>1767</v>
      </c>
      <c r="D1381" s="733" t="s">
        <v>21</v>
      </c>
      <c r="E1381" s="733" t="s">
        <v>614</v>
      </c>
      <c r="F1381" s="733" t="s">
        <v>615</v>
      </c>
      <c r="G1381" s="733"/>
      <c r="H1381" s="733"/>
      <c r="I1381" s="733"/>
      <c r="J1381" s="733"/>
      <c r="K1381" s="733"/>
      <c r="L1381" s="733"/>
      <c r="M1381" s="733"/>
    </row>
    <row r="1382" spans="1:13" x14ac:dyDescent="0.3">
      <c r="A1382" s="733" t="s">
        <v>1760</v>
      </c>
      <c r="B1382" s="733" t="s">
        <v>645</v>
      </c>
      <c r="C1382" s="733" t="s">
        <v>1768</v>
      </c>
      <c r="D1382" s="733" t="s">
        <v>21</v>
      </c>
      <c r="E1382" s="733" t="s">
        <v>614</v>
      </c>
      <c r="F1382" s="733" t="s">
        <v>615</v>
      </c>
      <c r="G1382" s="733"/>
      <c r="H1382" s="733"/>
      <c r="I1382" s="733"/>
      <c r="J1382" s="733"/>
      <c r="K1382" s="733"/>
      <c r="L1382" s="733"/>
      <c r="M1382" s="733"/>
    </row>
    <row r="1383" spans="1:13" x14ac:dyDescent="0.3">
      <c r="A1383" s="733" t="s">
        <v>1760</v>
      </c>
      <c r="B1383" s="733" t="s">
        <v>645</v>
      </c>
      <c r="C1383" s="733" t="s">
        <v>1769</v>
      </c>
      <c r="D1383" s="733" t="s">
        <v>21</v>
      </c>
      <c r="E1383" s="733" t="s">
        <v>614</v>
      </c>
      <c r="F1383" s="733" t="s">
        <v>615</v>
      </c>
      <c r="G1383" s="733"/>
      <c r="H1383" s="733"/>
      <c r="I1383" s="733"/>
      <c r="J1383" s="733"/>
      <c r="K1383" s="733"/>
      <c r="L1383" s="733"/>
      <c r="M1383" s="733"/>
    </row>
    <row r="1384" spans="1:13" x14ac:dyDescent="0.3">
      <c r="A1384" s="733" t="s">
        <v>1760</v>
      </c>
      <c r="B1384" s="733" t="s">
        <v>645</v>
      </c>
      <c r="C1384" s="733" t="s">
        <v>1626</v>
      </c>
      <c r="D1384" s="733" t="s">
        <v>21</v>
      </c>
      <c r="E1384" s="733" t="s">
        <v>614</v>
      </c>
      <c r="F1384" s="733" t="s">
        <v>615</v>
      </c>
      <c r="G1384" s="733"/>
      <c r="H1384" s="733"/>
      <c r="I1384" s="733"/>
      <c r="J1384" s="733"/>
      <c r="K1384" s="733"/>
      <c r="L1384" s="733"/>
      <c r="M1384" s="733"/>
    </row>
    <row r="1385" spans="1:13" x14ac:dyDescent="0.3">
      <c r="A1385" s="733" t="s">
        <v>1760</v>
      </c>
      <c r="B1385" s="733" t="s">
        <v>645</v>
      </c>
      <c r="C1385" s="733" t="s">
        <v>1770</v>
      </c>
      <c r="D1385" s="733" t="s">
        <v>21</v>
      </c>
      <c r="E1385" s="733" t="s">
        <v>614</v>
      </c>
      <c r="F1385" s="733" t="s">
        <v>615</v>
      </c>
      <c r="G1385" s="733"/>
      <c r="H1385" s="733"/>
      <c r="I1385" s="733"/>
      <c r="J1385" s="733"/>
      <c r="K1385" s="733"/>
      <c r="L1385" s="733"/>
      <c r="M1385" s="733"/>
    </row>
    <row r="1386" spans="1:13" x14ac:dyDescent="0.3">
      <c r="A1386" s="733" t="s">
        <v>1760</v>
      </c>
      <c r="B1386" s="733" t="s">
        <v>664</v>
      </c>
      <c r="C1386" s="733" t="s">
        <v>1771</v>
      </c>
      <c r="D1386" s="733" t="s">
        <v>21</v>
      </c>
      <c r="E1386" s="733" t="s">
        <v>614</v>
      </c>
      <c r="F1386" s="733" t="s">
        <v>615</v>
      </c>
      <c r="G1386" s="733"/>
      <c r="H1386" s="733"/>
      <c r="I1386" s="733"/>
      <c r="J1386" s="733"/>
      <c r="K1386" s="733"/>
      <c r="L1386" s="733"/>
      <c r="M1386" s="733"/>
    </row>
    <row r="1387" spans="1:13" ht="19.2" x14ac:dyDescent="0.45">
      <c r="A1387" s="733" t="s">
        <v>1772</v>
      </c>
      <c r="B1387" s="733" t="s">
        <v>612</v>
      </c>
      <c r="C1387" s="736" t="s">
        <v>1773</v>
      </c>
      <c r="D1387" s="734" t="s">
        <v>21</v>
      </c>
      <c r="E1387" s="733" t="s">
        <v>614</v>
      </c>
      <c r="F1387" s="733" t="s">
        <v>615</v>
      </c>
      <c r="G1387" s="733"/>
      <c r="H1387" s="733"/>
      <c r="I1387" s="733"/>
      <c r="J1387" s="733"/>
      <c r="K1387" s="733"/>
      <c r="L1387" s="733"/>
      <c r="M1387" s="733"/>
    </row>
    <row r="1388" spans="1:13" ht="19.2" x14ac:dyDescent="0.45">
      <c r="A1388" s="733" t="s">
        <v>1772</v>
      </c>
      <c r="B1388" s="733" t="s">
        <v>612</v>
      </c>
      <c r="C1388" s="736" t="s">
        <v>1726</v>
      </c>
      <c r="D1388" s="734" t="s">
        <v>21</v>
      </c>
      <c r="E1388" s="733" t="s">
        <v>614</v>
      </c>
      <c r="F1388" s="733" t="s">
        <v>615</v>
      </c>
      <c r="G1388" s="733"/>
      <c r="H1388" s="733"/>
      <c r="I1388" s="733"/>
      <c r="J1388" s="733"/>
      <c r="K1388" s="733"/>
      <c r="L1388" s="733"/>
      <c r="M1388" s="733"/>
    </row>
    <row r="1389" spans="1:13" ht="19.2" x14ac:dyDescent="0.45">
      <c r="A1389" s="733" t="s">
        <v>1772</v>
      </c>
      <c r="B1389" s="733" t="s">
        <v>612</v>
      </c>
      <c r="C1389" s="736" t="s">
        <v>1774</v>
      </c>
      <c r="D1389" s="734" t="s">
        <v>21</v>
      </c>
      <c r="E1389" s="733" t="s">
        <v>614</v>
      </c>
      <c r="F1389" s="733" t="s">
        <v>615</v>
      </c>
      <c r="G1389" s="733"/>
      <c r="H1389" s="733"/>
      <c r="I1389" s="733"/>
      <c r="J1389" s="733"/>
      <c r="K1389" s="733"/>
      <c r="L1389" s="733"/>
      <c r="M1389" s="733"/>
    </row>
    <row r="1390" spans="1:13" x14ac:dyDescent="0.3">
      <c r="A1390" s="733" t="s">
        <v>1775</v>
      </c>
      <c r="B1390" s="733" t="s">
        <v>612</v>
      </c>
      <c r="C1390" s="733" t="s">
        <v>973</v>
      </c>
      <c r="D1390" s="733" t="s">
        <v>21</v>
      </c>
      <c r="E1390" s="733" t="s">
        <v>614</v>
      </c>
      <c r="F1390" s="733" t="s">
        <v>615</v>
      </c>
      <c r="G1390" s="733"/>
      <c r="H1390" s="733"/>
      <c r="I1390" s="733"/>
      <c r="J1390" s="733"/>
      <c r="K1390" s="733"/>
      <c r="L1390" s="733"/>
      <c r="M1390" s="733"/>
    </row>
    <row r="1391" spans="1:13" x14ac:dyDescent="0.3">
      <c r="A1391" s="733" t="s">
        <v>1775</v>
      </c>
      <c r="B1391" s="733" t="s">
        <v>612</v>
      </c>
      <c r="C1391" s="733" t="s">
        <v>1776</v>
      </c>
      <c r="D1391" s="733" t="s">
        <v>21</v>
      </c>
      <c r="E1391" s="733" t="s">
        <v>614</v>
      </c>
      <c r="F1391" s="733" t="s">
        <v>615</v>
      </c>
      <c r="G1391" s="733"/>
      <c r="H1391" s="733"/>
      <c r="I1391" s="733"/>
      <c r="J1391" s="733"/>
      <c r="K1391" s="733"/>
      <c r="L1391" s="733"/>
      <c r="M1391" s="733"/>
    </row>
    <row r="1392" spans="1:13" x14ac:dyDescent="0.3">
      <c r="A1392" s="733" t="s">
        <v>1775</v>
      </c>
      <c r="B1392" s="733" t="s">
        <v>645</v>
      </c>
      <c r="C1392" s="733" t="s">
        <v>1687</v>
      </c>
      <c r="D1392" s="733" t="s">
        <v>21</v>
      </c>
      <c r="E1392" s="733" t="s">
        <v>614</v>
      </c>
      <c r="F1392" s="733" t="s">
        <v>615</v>
      </c>
      <c r="G1392" s="733"/>
      <c r="H1392" s="733"/>
      <c r="I1392" s="733"/>
      <c r="J1392" s="733"/>
      <c r="K1392" s="733"/>
      <c r="L1392" s="733"/>
      <c r="M1392" s="733"/>
    </row>
    <row r="1393" spans="1:13" x14ac:dyDescent="0.3">
      <c r="A1393" s="733" t="s">
        <v>1777</v>
      </c>
      <c r="B1393" s="733" t="s">
        <v>612</v>
      </c>
      <c r="C1393" s="733" t="s">
        <v>1778</v>
      </c>
      <c r="D1393" s="733" t="s">
        <v>21</v>
      </c>
      <c r="E1393" s="761"/>
      <c r="F1393" s="761"/>
      <c r="G1393" s="733"/>
      <c r="H1393" s="733"/>
      <c r="I1393" s="733"/>
      <c r="J1393" s="733"/>
      <c r="K1393" s="733"/>
      <c r="L1393" s="733"/>
      <c r="M1393" s="733"/>
    </row>
    <row r="1394" spans="1:13" x14ac:dyDescent="0.3">
      <c r="A1394" s="733" t="s">
        <v>1777</v>
      </c>
      <c r="B1394" s="733" t="s">
        <v>612</v>
      </c>
      <c r="C1394" s="733" t="s">
        <v>1779</v>
      </c>
      <c r="D1394" s="733" t="s">
        <v>21</v>
      </c>
      <c r="E1394" s="761"/>
      <c r="F1394" s="761"/>
      <c r="G1394" s="733"/>
      <c r="H1394" s="733"/>
      <c r="I1394" s="733"/>
      <c r="J1394" s="733"/>
      <c r="K1394" s="733"/>
      <c r="L1394" s="733"/>
      <c r="M1394" s="733"/>
    </row>
    <row r="1395" spans="1:13" x14ac:dyDescent="0.3">
      <c r="A1395" s="733" t="s">
        <v>1777</v>
      </c>
      <c r="B1395" s="733" t="s">
        <v>612</v>
      </c>
      <c r="C1395" s="733" t="s">
        <v>1780</v>
      </c>
      <c r="D1395" s="733" t="s">
        <v>21</v>
      </c>
      <c r="E1395" s="761"/>
      <c r="F1395" s="761"/>
      <c r="G1395" s="733"/>
      <c r="H1395" s="733"/>
      <c r="I1395" s="733"/>
      <c r="J1395" s="733"/>
      <c r="K1395" s="733"/>
      <c r="L1395" s="733"/>
      <c r="M1395" s="733"/>
    </row>
    <row r="1396" spans="1:13" x14ac:dyDescent="0.3">
      <c r="A1396" s="733" t="s">
        <v>1777</v>
      </c>
      <c r="B1396" s="733" t="s">
        <v>612</v>
      </c>
      <c r="C1396" s="733" t="s">
        <v>1781</v>
      </c>
      <c r="D1396" s="733" t="s">
        <v>21</v>
      </c>
      <c r="E1396" s="761"/>
      <c r="F1396" s="761"/>
      <c r="G1396" s="733"/>
      <c r="H1396" s="733"/>
      <c r="I1396" s="733"/>
      <c r="J1396" s="733"/>
      <c r="K1396" s="733"/>
      <c r="L1396" s="733"/>
      <c r="M1396" s="733"/>
    </row>
    <row r="1397" spans="1:13" x14ac:dyDescent="0.3">
      <c r="A1397" s="733" t="s">
        <v>1777</v>
      </c>
      <c r="B1397" s="733" t="s">
        <v>612</v>
      </c>
      <c r="C1397" s="733" t="s">
        <v>1782</v>
      </c>
      <c r="D1397" s="733" t="s">
        <v>21</v>
      </c>
      <c r="E1397" s="761"/>
      <c r="F1397" s="761"/>
      <c r="G1397" s="733"/>
      <c r="H1397" s="733"/>
      <c r="I1397" s="733"/>
      <c r="J1397" s="733"/>
      <c r="K1397" s="733"/>
      <c r="L1397" s="733"/>
      <c r="M1397" s="733"/>
    </row>
    <row r="1398" spans="1:13" x14ac:dyDescent="0.3">
      <c r="A1398" s="733" t="s">
        <v>1777</v>
      </c>
      <c r="B1398" s="733" t="s">
        <v>645</v>
      </c>
      <c r="C1398" s="733" t="s">
        <v>1783</v>
      </c>
      <c r="D1398" s="733" t="s">
        <v>21</v>
      </c>
      <c r="E1398" s="761"/>
      <c r="F1398" s="761"/>
      <c r="G1398" s="733"/>
      <c r="H1398" s="733"/>
      <c r="I1398" s="733"/>
      <c r="J1398" s="733"/>
      <c r="K1398" s="733"/>
      <c r="L1398" s="733"/>
      <c r="M1398" s="733"/>
    </row>
    <row r="1399" spans="1:13" x14ac:dyDescent="0.3">
      <c r="A1399" s="733" t="s">
        <v>1777</v>
      </c>
      <c r="B1399" s="733" t="s">
        <v>645</v>
      </c>
      <c r="C1399" s="733" t="s">
        <v>1784</v>
      </c>
      <c r="D1399" s="733" t="s">
        <v>21</v>
      </c>
      <c r="E1399" s="761"/>
      <c r="F1399" s="761"/>
      <c r="G1399" s="733"/>
      <c r="H1399" s="733"/>
      <c r="I1399" s="733"/>
      <c r="J1399" s="733"/>
      <c r="K1399" s="733"/>
      <c r="L1399" s="733"/>
      <c r="M1399" s="733"/>
    </row>
    <row r="1400" spans="1:13" x14ac:dyDescent="0.3">
      <c r="A1400" s="733" t="s">
        <v>1777</v>
      </c>
      <c r="B1400" s="733" t="s">
        <v>645</v>
      </c>
      <c r="C1400" s="733" t="s">
        <v>1785</v>
      </c>
      <c r="D1400" s="733" t="s">
        <v>21</v>
      </c>
      <c r="E1400" s="761"/>
      <c r="F1400" s="761"/>
      <c r="G1400" s="733"/>
      <c r="H1400" s="733"/>
      <c r="I1400" s="733"/>
      <c r="J1400" s="733"/>
      <c r="K1400" s="733"/>
      <c r="L1400" s="733"/>
      <c r="M1400" s="733"/>
    </row>
    <row r="1401" spans="1:13" x14ac:dyDescent="0.3">
      <c r="A1401" s="733" t="s">
        <v>1777</v>
      </c>
      <c r="B1401" s="733" t="s">
        <v>645</v>
      </c>
      <c r="C1401" s="733" t="s">
        <v>1786</v>
      </c>
      <c r="D1401" s="733" t="s">
        <v>21</v>
      </c>
      <c r="E1401" s="761"/>
      <c r="F1401" s="761"/>
      <c r="G1401" s="733"/>
      <c r="H1401" s="733"/>
      <c r="I1401" s="733"/>
      <c r="J1401" s="733"/>
      <c r="K1401" s="733"/>
      <c r="L1401" s="733"/>
      <c r="M1401" s="733"/>
    </row>
    <row r="1402" spans="1:13" x14ac:dyDescent="0.3">
      <c r="A1402" s="733" t="s">
        <v>1777</v>
      </c>
      <c r="B1402" s="733" t="s">
        <v>645</v>
      </c>
      <c r="C1402" s="733" t="s">
        <v>1787</v>
      </c>
      <c r="D1402" s="733" t="s">
        <v>21</v>
      </c>
      <c r="E1402" s="761"/>
      <c r="F1402" s="761"/>
      <c r="G1402" s="733"/>
      <c r="H1402" s="733"/>
      <c r="I1402" s="733"/>
      <c r="J1402" s="733"/>
      <c r="K1402" s="733"/>
      <c r="L1402" s="733"/>
      <c r="M1402" s="733"/>
    </row>
    <row r="1403" spans="1:13" x14ac:dyDescent="0.3">
      <c r="A1403" s="733" t="s">
        <v>1777</v>
      </c>
      <c r="B1403" s="733" t="s">
        <v>664</v>
      </c>
      <c r="C1403" s="733" t="s">
        <v>1788</v>
      </c>
      <c r="D1403" s="733" t="s">
        <v>21</v>
      </c>
      <c r="E1403" s="761"/>
      <c r="F1403" s="761"/>
      <c r="G1403" s="733"/>
      <c r="H1403" s="733"/>
      <c r="I1403" s="733"/>
      <c r="J1403" s="733"/>
      <c r="K1403" s="733"/>
      <c r="L1403" s="733"/>
      <c r="M1403" s="733"/>
    </row>
    <row r="1404" spans="1:13" x14ac:dyDescent="0.3">
      <c r="A1404" s="733" t="s">
        <v>1777</v>
      </c>
      <c r="B1404" s="733" t="s">
        <v>664</v>
      </c>
      <c r="C1404" s="733" t="s">
        <v>1789</v>
      </c>
      <c r="D1404" s="733" t="s">
        <v>21</v>
      </c>
      <c r="E1404" s="761"/>
      <c r="F1404" s="761"/>
      <c r="G1404" s="733"/>
      <c r="H1404" s="733"/>
      <c r="I1404" s="733"/>
      <c r="J1404" s="733"/>
      <c r="K1404" s="733"/>
      <c r="L1404" s="733"/>
      <c r="M1404" s="733"/>
    </row>
    <row r="1405" spans="1:13" x14ac:dyDescent="0.3">
      <c r="A1405" s="733" t="s">
        <v>1777</v>
      </c>
      <c r="B1405" s="733" t="s">
        <v>664</v>
      </c>
      <c r="C1405" s="733" t="s">
        <v>1790</v>
      </c>
      <c r="D1405" s="733" t="s">
        <v>21</v>
      </c>
      <c r="E1405" s="761"/>
      <c r="F1405" s="761"/>
      <c r="G1405" s="733"/>
      <c r="H1405" s="733"/>
      <c r="I1405" s="733"/>
      <c r="J1405" s="733"/>
      <c r="K1405" s="733"/>
      <c r="L1405" s="733"/>
      <c r="M1405" s="733"/>
    </row>
    <row r="1406" spans="1:13" x14ac:dyDescent="0.3">
      <c r="A1406" s="733" t="s">
        <v>1777</v>
      </c>
      <c r="B1406" s="733" t="s">
        <v>664</v>
      </c>
      <c r="C1406" s="733" t="s">
        <v>1791</v>
      </c>
      <c r="D1406" s="733" t="s">
        <v>21</v>
      </c>
      <c r="E1406" s="761"/>
      <c r="F1406" s="761"/>
      <c r="G1406" s="733"/>
      <c r="H1406" s="733"/>
      <c r="I1406" s="733"/>
      <c r="J1406" s="733"/>
      <c r="K1406" s="733"/>
      <c r="L1406" s="733"/>
      <c r="M1406" s="733"/>
    </row>
    <row r="1407" spans="1:13" x14ac:dyDescent="0.3">
      <c r="A1407" s="733" t="s">
        <v>1777</v>
      </c>
      <c r="B1407" s="733" t="s">
        <v>664</v>
      </c>
      <c r="C1407" s="733" t="s">
        <v>1792</v>
      </c>
      <c r="D1407" s="733" t="s">
        <v>21</v>
      </c>
      <c r="E1407" s="761"/>
      <c r="F1407" s="761"/>
      <c r="G1407" s="733"/>
      <c r="H1407" s="733"/>
      <c r="I1407" s="733"/>
      <c r="J1407" s="733"/>
      <c r="K1407" s="733"/>
      <c r="L1407" s="733"/>
      <c r="M1407" s="733"/>
    </row>
    <row r="1408" spans="1:13" x14ac:dyDescent="0.3">
      <c r="A1408" s="733" t="s">
        <v>1793</v>
      </c>
      <c r="B1408" s="733" t="s">
        <v>612</v>
      </c>
      <c r="C1408" s="733" t="s">
        <v>906</v>
      </c>
      <c r="D1408" s="733" t="s">
        <v>21</v>
      </c>
      <c r="E1408" s="733" t="s">
        <v>614</v>
      </c>
      <c r="F1408" s="733" t="s">
        <v>615</v>
      </c>
      <c r="G1408" s="733"/>
      <c r="H1408" s="733"/>
      <c r="I1408" s="733"/>
      <c r="J1408" s="733"/>
      <c r="K1408" s="733"/>
      <c r="L1408" s="733"/>
      <c r="M1408" s="733"/>
    </row>
    <row r="1409" spans="1:13" x14ac:dyDescent="0.3">
      <c r="A1409" s="733" t="s">
        <v>1793</v>
      </c>
      <c r="B1409" s="733" t="s">
        <v>612</v>
      </c>
      <c r="C1409" s="733" t="s">
        <v>907</v>
      </c>
      <c r="D1409" s="733" t="s">
        <v>21</v>
      </c>
      <c r="E1409" s="733" t="s">
        <v>614</v>
      </c>
      <c r="F1409" s="733" t="s">
        <v>615</v>
      </c>
      <c r="G1409" s="733"/>
      <c r="H1409" s="733"/>
      <c r="I1409" s="733"/>
      <c r="J1409" s="733"/>
      <c r="K1409" s="733"/>
      <c r="L1409" s="733"/>
      <c r="M1409" s="733"/>
    </row>
    <row r="1410" spans="1:13" x14ac:dyDescent="0.3">
      <c r="A1410" s="733" t="s">
        <v>1793</v>
      </c>
      <c r="B1410" s="733" t="s">
        <v>612</v>
      </c>
      <c r="C1410" s="733" t="s">
        <v>1794</v>
      </c>
      <c r="D1410" s="733" t="s">
        <v>21</v>
      </c>
      <c r="E1410" s="733" t="s">
        <v>614</v>
      </c>
      <c r="F1410" s="733" t="s">
        <v>615</v>
      </c>
      <c r="G1410" s="733"/>
      <c r="H1410" s="733"/>
      <c r="I1410" s="733"/>
      <c r="J1410" s="733"/>
      <c r="K1410" s="733"/>
      <c r="L1410" s="733"/>
      <c r="M1410" s="733"/>
    </row>
    <row r="1411" spans="1:13" x14ac:dyDescent="0.3">
      <c r="A1411" s="733" t="s">
        <v>1793</v>
      </c>
      <c r="B1411" s="733" t="s">
        <v>612</v>
      </c>
      <c r="C1411" s="733" t="s">
        <v>913</v>
      </c>
      <c r="D1411" s="733" t="s">
        <v>21</v>
      </c>
      <c r="E1411" s="733" t="s">
        <v>614</v>
      </c>
      <c r="F1411" s="733" t="s">
        <v>615</v>
      </c>
      <c r="G1411" s="733"/>
      <c r="H1411" s="733"/>
      <c r="I1411" s="733"/>
      <c r="J1411" s="733"/>
      <c r="K1411" s="733"/>
      <c r="L1411" s="733"/>
      <c r="M1411" s="733"/>
    </row>
    <row r="1412" spans="1:13" x14ac:dyDescent="0.3">
      <c r="A1412" s="733" t="s">
        <v>1793</v>
      </c>
      <c r="B1412" s="733" t="s">
        <v>612</v>
      </c>
      <c r="C1412" s="733" t="s">
        <v>915</v>
      </c>
      <c r="D1412" s="733" t="s">
        <v>21</v>
      </c>
      <c r="E1412" s="733" t="s">
        <v>614</v>
      </c>
      <c r="F1412" s="733" t="s">
        <v>615</v>
      </c>
      <c r="G1412" s="733"/>
      <c r="H1412" s="733"/>
      <c r="I1412" s="733"/>
      <c r="J1412" s="733"/>
      <c r="K1412" s="733"/>
      <c r="L1412" s="733"/>
      <c r="M1412" s="733"/>
    </row>
    <row r="1413" spans="1:13" x14ac:dyDescent="0.3">
      <c r="A1413" s="733" t="s">
        <v>1793</v>
      </c>
      <c r="B1413" s="733" t="s">
        <v>645</v>
      </c>
      <c r="C1413" s="733" t="s">
        <v>1685</v>
      </c>
      <c r="D1413" s="733" t="s">
        <v>21</v>
      </c>
      <c r="E1413" s="733" t="s">
        <v>614</v>
      </c>
      <c r="F1413" s="733" t="s">
        <v>615</v>
      </c>
      <c r="G1413" s="733"/>
      <c r="H1413" s="733"/>
      <c r="I1413" s="733"/>
      <c r="J1413" s="733"/>
      <c r="K1413" s="733"/>
      <c r="L1413" s="733"/>
      <c r="M1413" s="733"/>
    </row>
    <row r="1414" spans="1:13" x14ac:dyDescent="0.3">
      <c r="A1414" s="733" t="s">
        <v>1793</v>
      </c>
      <c r="B1414" s="733" t="s">
        <v>645</v>
      </c>
      <c r="C1414" s="733" t="s">
        <v>948</v>
      </c>
      <c r="D1414" s="733" t="s">
        <v>21</v>
      </c>
      <c r="E1414" s="733" t="s">
        <v>614</v>
      </c>
      <c r="F1414" s="733" t="s">
        <v>615</v>
      </c>
      <c r="G1414" s="733"/>
      <c r="H1414" s="733"/>
      <c r="I1414" s="733"/>
      <c r="J1414" s="733"/>
      <c r="K1414" s="733"/>
      <c r="L1414" s="733"/>
      <c r="M1414" s="733"/>
    </row>
    <row r="1415" spans="1:13" x14ac:dyDescent="0.3">
      <c r="A1415" s="733" t="s">
        <v>1793</v>
      </c>
      <c r="B1415" s="733" t="s">
        <v>645</v>
      </c>
      <c r="C1415" s="733" t="s">
        <v>1687</v>
      </c>
      <c r="D1415" s="733" t="s">
        <v>21</v>
      </c>
      <c r="E1415" s="733" t="s">
        <v>614</v>
      </c>
      <c r="F1415" s="733" t="s">
        <v>615</v>
      </c>
      <c r="G1415" s="733"/>
      <c r="H1415" s="733"/>
      <c r="I1415" s="733"/>
      <c r="J1415" s="733"/>
      <c r="K1415" s="733"/>
      <c r="L1415" s="733"/>
      <c r="M1415" s="733"/>
    </row>
    <row r="1416" spans="1:13" x14ac:dyDescent="0.3">
      <c r="A1416" s="733" t="s">
        <v>1793</v>
      </c>
      <c r="B1416" s="733" t="s">
        <v>645</v>
      </c>
      <c r="C1416" s="733" t="s">
        <v>1795</v>
      </c>
      <c r="D1416" s="733" t="s">
        <v>21</v>
      </c>
      <c r="E1416" s="761"/>
      <c r="F1416" s="761"/>
      <c r="G1416" s="733"/>
      <c r="H1416" s="733"/>
      <c r="I1416" s="733"/>
      <c r="J1416" s="733"/>
      <c r="K1416" s="733"/>
      <c r="L1416" s="733"/>
      <c r="M1416" s="733"/>
    </row>
    <row r="1417" spans="1:13" x14ac:dyDescent="0.3">
      <c r="A1417" s="733" t="s">
        <v>1793</v>
      </c>
      <c r="B1417" s="733" t="s">
        <v>645</v>
      </c>
      <c r="C1417" s="733" t="s">
        <v>1689</v>
      </c>
      <c r="D1417" s="733" t="s">
        <v>21</v>
      </c>
      <c r="E1417" s="733" t="s">
        <v>614</v>
      </c>
      <c r="F1417" s="733" t="s">
        <v>615</v>
      </c>
      <c r="G1417" s="733"/>
      <c r="H1417" s="733"/>
      <c r="I1417" s="733"/>
      <c r="J1417" s="733"/>
      <c r="K1417" s="733"/>
      <c r="L1417" s="733"/>
      <c r="M1417" s="733"/>
    </row>
    <row r="1418" spans="1:13" x14ac:dyDescent="0.3">
      <c r="A1418" s="733" t="s">
        <v>1793</v>
      </c>
      <c r="B1418" s="733" t="s">
        <v>645</v>
      </c>
      <c r="C1418" s="733" t="s">
        <v>952</v>
      </c>
      <c r="D1418" s="733" t="s">
        <v>21</v>
      </c>
      <c r="E1418" s="733" t="s">
        <v>614</v>
      </c>
      <c r="F1418" s="733" t="s">
        <v>615</v>
      </c>
      <c r="G1418" s="733"/>
      <c r="H1418" s="733"/>
      <c r="I1418" s="733"/>
      <c r="J1418" s="733"/>
      <c r="K1418" s="733"/>
      <c r="L1418" s="733"/>
      <c r="M1418" s="733"/>
    </row>
    <row r="1419" spans="1:13" x14ac:dyDescent="0.3">
      <c r="A1419" s="733" t="s">
        <v>1796</v>
      </c>
      <c r="B1419" s="733" t="s">
        <v>612</v>
      </c>
      <c r="C1419" s="733" t="s">
        <v>1797</v>
      </c>
      <c r="D1419" s="733" t="s">
        <v>21</v>
      </c>
      <c r="E1419" s="761"/>
      <c r="F1419" s="761"/>
      <c r="G1419" s="733"/>
      <c r="H1419" s="733"/>
      <c r="I1419" s="733"/>
      <c r="J1419" s="733"/>
      <c r="K1419" s="733"/>
      <c r="L1419" s="733"/>
      <c r="M1419" s="733"/>
    </row>
    <row r="1420" spans="1:13" x14ac:dyDescent="0.3">
      <c r="A1420" s="733" t="s">
        <v>1796</v>
      </c>
      <c r="B1420" s="733" t="s">
        <v>612</v>
      </c>
      <c r="C1420" s="733" t="s">
        <v>1798</v>
      </c>
      <c r="D1420" s="733" t="s">
        <v>21</v>
      </c>
      <c r="E1420" s="761"/>
      <c r="F1420" s="761"/>
      <c r="G1420" s="733"/>
      <c r="H1420" s="733"/>
      <c r="I1420" s="733"/>
      <c r="J1420" s="733"/>
      <c r="K1420" s="733"/>
      <c r="L1420" s="733"/>
      <c r="M1420" s="733"/>
    </row>
    <row r="1421" spans="1:13" x14ac:dyDescent="0.3">
      <c r="A1421" s="733" t="s">
        <v>1796</v>
      </c>
      <c r="B1421" s="733" t="s">
        <v>612</v>
      </c>
      <c r="C1421" s="733" t="s">
        <v>1799</v>
      </c>
      <c r="D1421" s="733" t="s">
        <v>21</v>
      </c>
      <c r="E1421" s="761"/>
      <c r="F1421" s="761"/>
      <c r="G1421" s="733"/>
      <c r="H1421" s="733"/>
      <c r="I1421" s="733"/>
      <c r="J1421" s="733"/>
      <c r="K1421" s="733"/>
      <c r="L1421" s="733"/>
      <c r="M1421" s="733"/>
    </row>
    <row r="1422" spans="1:13" x14ac:dyDescent="0.3">
      <c r="A1422" s="733" t="s">
        <v>1796</v>
      </c>
      <c r="B1422" s="733" t="s">
        <v>612</v>
      </c>
      <c r="C1422" s="733" t="s">
        <v>1800</v>
      </c>
      <c r="D1422" s="733" t="s">
        <v>21</v>
      </c>
      <c r="E1422" s="761"/>
      <c r="F1422" s="761"/>
      <c r="G1422" s="733"/>
      <c r="H1422" s="733"/>
      <c r="I1422" s="733"/>
      <c r="J1422" s="733"/>
      <c r="K1422" s="733"/>
      <c r="L1422" s="733"/>
      <c r="M1422" s="733"/>
    </row>
    <row r="1423" spans="1:13" x14ac:dyDescent="0.3">
      <c r="A1423" s="733" t="s">
        <v>1796</v>
      </c>
      <c r="B1423" s="733" t="s">
        <v>612</v>
      </c>
      <c r="C1423" s="733" t="s">
        <v>1801</v>
      </c>
      <c r="D1423" s="733" t="s">
        <v>21</v>
      </c>
      <c r="E1423" s="761"/>
      <c r="F1423" s="761"/>
      <c r="G1423" s="733"/>
      <c r="H1423" s="733"/>
      <c r="I1423" s="733"/>
      <c r="J1423" s="733"/>
      <c r="K1423" s="733"/>
      <c r="L1423" s="733"/>
      <c r="M1423" s="733"/>
    </row>
    <row r="1424" spans="1:13" x14ac:dyDescent="0.3">
      <c r="A1424" s="733" t="s">
        <v>1796</v>
      </c>
      <c r="B1424" s="733" t="s">
        <v>645</v>
      </c>
      <c r="C1424" s="733" t="s">
        <v>1802</v>
      </c>
      <c r="D1424" s="733" t="s">
        <v>21</v>
      </c>
      <c r="E1424" s="761"/>
      <c r="F1424" s="761"/>
      <c r="G1424" s="733"/>
      <c r="H1424" s="733"/>
      <c r="I1424" s="733"/>
      <c r="J1424" s="733"/>
      <c r="K1424" s="733"/>
      <c r="L1424" s="733"/>
      <c r="M1424" s="733"/>
    </row>
    <row r="1425" spans="1:13" x14ac:dyDescent="0.3">
      <c r="A1425" s="733" t="s">
        <v>1796</v>
      </c>
      <c r="B1425" s="733" t="s">
        <v>645</v>
      </c>
      <c r="C1425" s="733" t="s">
        <v>1803</v>
      </c>
      <c r="D1425" s="733" t="s">
        <v>21</v>
      </c>
      <c r="E1425" s="761"/>
      <c r="F1425" s="761"/>
      <c r="G1425" s="733"/>
      <c r="H1425" s="733"/>
      <c r="I1425" s="733"/>
      <c r="J1425" s="733"/>
      <c r="K1425" s="733"/>
      <c r="L1425" s="733"/>
      <c r="M1425" s="733"/>
    </row>
    <row r="1426" spans="1:13" x14ac:dyDescent="0.3">
      <c r="A1426" s="733" t="s">
        <v>1796</v>
      </c>
      <c r="B1426" s="733" t="s">
        <v>645</v>
      </c>
      <c r="C1426" s="733" t="s">
        <v>1804</v>
      </c>
      <c r="D1426" s="733" t="s">
        <v>21</v>
      </c>
      <c r="E1426" s="761"/>
      <c r="F1426" s="761"/>
      <c r="G1426" s="733"/>
      <c r="H1426" s="733"/>
      <c r="I1426" s="733"/>
      <c r="J1426" s="733"/>
      <c r="K1426" s="733"/>
      <c r="L1426" s="733"/>
      <c r="M1426" s="733"/>
    </row>
    <row r="1427" spans="1:13" x14ac:dyDescent="0.3">
      <c r="A1427" s="733" t="s">
        <v>1796</v>
      </c>
      <c r="B1427" s="733" t="s">
        <v>645</v>
      </c>
      <c r="C1427" s="733" t="s">
        <v>1805</v>
      </c>
      <c r="D1427" s="733" t="s">
        <v>21</v>
      </c>
      <c r="E1427" s="761"/>
      <c r="F1427" s="761"/>
      <c r="G1427" s="733"/>
      <c r="H1427" s="733"/>
      <c r="I1427" s="733"/>
      <c r="J1427" s="733"/>
      <c r="K1427" s="733"/>
      <c r="L1427" s="733"/>
      <c r="M1427" s="733"/>
    </row>
    <row r="1428" spans="1:13" x14ac:dyDescent="0.3">
      <c r="A1428" s="733" t="s">
        <v>1796</v>
      </c>
      <c r="B1428" s="733" t="s">
        <v>645</v>
      </c>
      <c r="C1428" s="733" t="s">
        <v>1806</v>
      </c>
      <c r="D1428" s="733" t="s">
        <v>21</v>
      </c>
      <c r="E1428" s="761"/>
      <c r="F1428" s="761"/>
      <c r="G1428" s="733"/>
      <c r="H1428" s="733"/>
      <c r="I1428" s="733"/>
      <c r="J1428" s="733"/>
      <c r="K1428" s="733"/>
      <c r="L1428" s="733"/>
      <c r="M1428" s="733"/>
    </row>
    <row r="1429" spans="1:13" x14ac:dyDescent="0.3">
      <c r="A1429" s="733" t="s">
        <v>1796</v>
      </c>
      <c r="B1429" s="733" t="s">
        <v>664</v>
      </c>
      <c r="C1429" s="733" t="s">
        <v>1807</v>
      </c>
      <c r="D1429" s="733" t="s">
        <v>21</v>
      </c>
      <c r="E1429" s="761"/>
      <c r="F1429" s="761"/>
      <c r="G1429" s="733"/>
      <c r="H1429" s="733"/>
      <c r="I1429" s="733"/>
      <c r="J1429" s="733"/>
      <c r="K1429" s="733"/>
      <c r="L1429" s="733"/>
      <c r="M1429" s="733"/>
    </row>
    <row r="1430" spans="1:13" x14ac:dyDescent="0.3">
      <c r="A1430" s="733" t="s">
        <v>1796</v>
      </c>
      <c r="B1430" s="733" t="s">
        <v>664</v>
      </c>
      <c r="C1430" s="733" t="s">
        <v>1808</v>
      </c>
      <c r="D1430" s="733" t="s">
        <v>21</v>
      </c>
      <c r="E1430" s="761"/>
      <c r="F1430" s="761"/>
      <c r="G1430" s="733"/>
      <c r="H1430" s="733"/>
      <c r="I1430" s="733"/>
      <c r="J1430" s="733"/>
      <c r="K1430" s="733"/>
      <c r="L1430" s="733"/>
      <c r="M1430" s="733"/>
    </row>
    <row r="1431" spans="1:13" x14ac:dyDescent="0.3">
      <c r="A1431" s="733" t="s">
        <v>1796</v>
      </c>
      <c r="B1431" s="733" t="s">
        <v>664</v>
      </c>
      <c r="C1431" s="733" t="s">
        <v>1809</v>
      </c>
      <c r="D1431" s="733" t="s">
        <v>21</v>
      </c>
      <c r="E1431" s="761"/>
      <c r="F1431" s="761"/>
      <c r="G1431" s="733"/>
      <c r="H1431" s="733"/>
      <c r="I1431" s="733"/>
      <c r="J1431" s="733"/>
      <c r="K1431" s="733"/>
      <c r="L1431" s="733"/>
      <c r="M1431" s="733"/>
    </row>
    <row r="1432" spans="1:13" x14ac:dyDescent="0.3">
      <c r="A1432" s="733" t="s">
        <v>1796</v>
      </c>
      <c r="B1432" s="733" t="s">
        <v>664</v>
      </c>
      <c r="C1432" s="733" t="s">
        <v>1810</v>
      </c>
      <c r="D1432" s="733" t="s">
        <v>21</v>
      </c>
      <c r="E1432" s="761"/>
      <c r="F1432" s="761"/>
      <c r="G1432" s="733"/>
      <c r="H1432" s="733"/>
      <c r="I1432" s="733"/>
      <c r="J1432" s="733"/>
      <c r="K1432" s="733"/>
      <c r="L1432" s="733"/>
      <c r="M1432" s="733"/>
    </row>
    <row r="1433" spans="1:13" x14ac:dyDescent="0.3">
      <c r="A1433" s="733" t="s">
        <v>1796</v>
      </c>
      <c r="B1433" s="733" t="s">
        <v>664</v>
      </c>
      <c r="C1433" s="733" t="s">
        <v>1811</v>
      </c>
      <c r="D1433" s="733" t="s">
        <v>21</v>
      </c>
      <c r="E1433" s="761"/>
      <c r="F1433" s="761"/>
      <c r="G1433" s="733"/>
      <c r="H1433" s="733"/>
      <c r="I1433" s="733"/>
      <c r="J1433" s="733"/>
      <c r="K1433" s="733"/>
      <c r="L1433" s="733"/>
      <c r="M1433" s="733"/>
    </row>
    <row r="1434" spans="1:13" x14ac:dyDescent="0.3">
      <c r="A1434" s="733" t="s">
        <v>1812</v>
      </c>
      <c r="B1434" s="733" t="s">
        <v>612</v>
      </c>
      <c r="C1434" s="733" t="s">
        <v>1813</v>
      </c>
      <c r="D1434" s="733" t="s">
        <v>21</v>
      </c>
      <c r="E1434" s="733" t="s">
        <v>614</v>
      </c>
      <c r="F1434" s="733" t="s">
        <v>615</v>
      </c>
      <c r="G1434" s="733"/>
      <c r="H1434" s="733"/>
      <c r="I1434" s="733"/>
      <c r="J1434" s="733"/>
      <c r="K1434" s="733"/>
      <c r="L1434" s="733"/>
      <c r="M1434" s="733"/>
    </row>
    <row r="1435" spans="1:13" x14ac:dyDescent="0.3">
      <c r="A1435" s="733" t="s">
        <v>1812</v>
      </c>
      <c r="B1435" s="733" t="s">
        <v>612</v>
      </c>
      <c r="C1435" s="733" t="s">
        <v>923</v>
      </c>
      <c r="D1435" s="733" t="s">
        <v>21</v>
      </c>
      <c r="E1435" s="733" t="s">
        <v>614</v>
      </c>
      <c r="F1435" s="733" t="s">
        <v>615</v>
      </c>
      <c r="G1435" s="733"/>
      <c r="H1435" s="733"/>
      <c r="I1435" s="733"/>
      <c r="J1435" s="733"/>
      <c r="K1435" s="733"/>
      <c r="L1435" s="733"/>
      <c r="M1435" s="733"/>
    </row>
    <row r="1436" spans="1:13" x14ac:dyDescent="0.3">
      <c r="A1436" s="733" t="s">
        <v>1812</v>
      </c>
      <c r="B1436" s="733" t="s">
        <v>612</v>
      </c>
      <c r="C1436" s="733" t="s">
        <v>1605</v>
      </c>
      <c r="D1436" s="733" t="s">
        <v>21</v>
      </c>
      <c r="E1436" s="733" t="s">
        <v>614</v>
      </c>
      <c r="F1436" s="733" t="s">
        <v>615</v>
      </c>
      <c r="G1436" s="733"/>
      <c r="H1436" s="733"/>
      <c r="I1436" s="733"/>
      <c r="J1436" s="733"/>
      <c r="K1436" s="733"/>
      <c r="L1436" s="733"/>
      <c r="M1436" s="733"/>
    </row>
    <row r="1437" spans="1:13" x14ac:dyDescent="0.3">
      <c r="A1437" s="733" t="s">
        <v>1812</v>
      </c>
      <c r="B1437" s="733" t="s">
        <v>612</v>
      </c>
      <c r="C1437" s="733" t="s">
        <v>1814</v>
      </c>
      <c r="D1437" s="733" t="s">
        <v>21</v>
      </c>
      <c r="E1437" s="733" t="s">
        <v>614</v>
      </c>
      <c r="F1437" s="733" t="s">
        <v>615</v>
      </c>
      <c r="G1437" s="733"/>
      <c r="H1437" s="733"/>
      <c r="I1437" s="733"/>
      <c r="J1437" s="733"/>
      <c r="K1437" s="733"/>
      <c r="L1437" s="733"/>
      <c r="M1437" s="733"/>
    </row>
    <row r="1438" spans="1:13" x14ac:dyDescent="0.3">
      <c r="A1438" s="733" t="s">
        <v>1812</v>
      </c>
      <c r="B1438" s="733" t="s">
        <v>612</v>
      </c>
      <c r="C1438" s="733" t="s">
        <v>1815</v>
      </c>
      <c r="D1438" s="733" t="s">
        <v>21</v>
      </c>
      <c r="E1438" s="733" t="s">
        <v>614</v>
      </c>
      <c r="F1438" s="733" t="s">
        <v>615</v>
      </c>
      <c r="G1438" s="733"/>
      <c r="H1438" s="733"/>
      <c r="I1438" s="733"/>
      <c r="J1438" s="733"/>
      <c r="K1438" s="733"/>
      <c r="L1438" s="733"/>
      <c r="M1438" s="733"/>
    </row>
    <row r="1439" spans="1:13" x14ac:dyDescent="0.3">
      <c r="A1439" s="733" t="s">
        <v>1812</v>
      </c>
      <c r="B1439" s="733" t="s">
        <v>612</v>
      </c>
      <c r="C1439" s="733" t="s">
        <v>1816</v>
      </c>
      <c r="D1439" s="733" t="s">
        <v>21</v>
      </c>
      <c r="E1439" s="733" t="s">
        <v>614</v>
      </c>
      <c r="F1439" s="733" t="s">
        <v>615</v>
      </c>
      <c r="G1439" s="733"/>
      <c r="H1439" s="733"/>
      <c r="I1439" s="733"/>
      <c r="J1439" s="733"/>
      <c r="K1439" s="733"/>
      <c r="L1439" s="733"/>
      <c r="M1439" s="733"/>
    </row>
    <row r="1440" spans="1:13" x14ac:dyDescent="0.3">
      <c r="A1440" s="733" t="s">
        <v>1812</v>
      </c>
      <c r="B1440" s="733" t="s">
        <v>612</v>
      </c>
      <c r="C1440" s="733" t="s">
        <v>1817</v>
      </c>
      <c r="D1440" s="733" t="s">
        <v>21</v>
      </c>
      <c r="E1440" s="733" t="s">
        <v>614</v>
      </c>
      <c r="F1440" s="733" t="s">
        <v>615</v>
      </c>
      <c r="G1440" s="733"/>
      <c r="H1440" s="733"/>
      <c r="I1440" s="733"/>
      <c r="J1440" s="733"/>
      <c r="K1440" s="733"/>
      <c r="L1440" s="733"/>
      <c r="M1440" s="733"/>
    </row>
    <row r="1441" spans="1:13" x14ac:dyDescent="0.3">
      <c r="A1441" s="733" t="s">
        <v>1818</v>
      </c>
      <c r="B1441" s="733" t="s">
        <v>612</v>
      </c>
      <c r="C1441" s="733" t="s">
        <v>1819</v>
      </c>
      <c r="D1441" s="733" t="s">
        <v>21</v>
      </c>
      <c r="E1441" s="733" t="s">
        <v>614</v>
      </c>
      <c r="F1441" s="733" t="s">
        <v>615</v>
      </c>
      <c r="G1441" s="733"/>
      <c r="H1441" s="733"/>
      <c r="I1441" s="733"/>
      <c r="J1441" s="733"/>
      <c r="K1441" s="733"/>
      <c r="L1441" s="733"/>
      <c r="M1441" s="733"/>
    </row>
    <row r="1442" spans="1:13" x14ac:dyDescent="0.3">
      <c r="A1442" s="733" t="s">
        <v>1818</v>
      </c>
      <c r="B1442" s="733" t="s">
        <v>612</v>
      </c>
      <c r="C1442" s="733" t="s">
        <v>1820</v>
      </c>
      <c r="D1442" s="733" t="s">
        <v>21</v>
      </c>
      <c r="E1442" s="733" t="s">
        <v>614</v>
      </c>
      <c r="F1442" s="733" t="s">
        <v>615</v>
      </c>
      <c r="G1442" s="733"/>
      <c r="H1442" s="733"/>
      <c r="I1442" s="733"/>
      <c r="J1442" s="733"/>
      <c r="K1442" s="733"/>
      <c r="L1442" s="733"/>
      <c r="M1442" s="733"/>
    </row>
    <row r="1443" spans="1:13" x14ac:dyDescent="0.3">
      <c r="A1443" s="733" t="s">
        <v>1818</v>
      </c>
      <c r="B1443" s="733" t="s">
        <v>612</v>
      </c>
      <c r="C1443" s="733" t="s">
        <v>1821</v>
      </c>
      <c r="D1443" s="733" t="s">
        <v>21</v>
      </c>
      <c r="E1443" s="733" t="s">
        <v>614</v>
      </c>
      <c r="F1443" s="733" t="s">
        <v>615</v>
      </c>
      <c r="G1443" s="733"/>
      <c r="H1443" s="733"/>
      <c r="I1443" s="733"/>
      <c r="J1443" s="733"/>
      <c r="K1443" s="733"/>
      <c r="L1443" s="733"/>
      <c r="M1443" s="733"/>
    </row>
    <row r="1444" spans="1:13" x14ac:dyDescent="0.3">
      <c r="A1444" s="733" t="s">
        <v>1818</v>
      </c>
      <c r="B1444" s="733" t="s">
        <v>612</v>
      </c>
      <c r="C1444" s="733" t="s">
        <v>1822</v>
      </c>
      <c r="D1444" s="733" t="s">
        <v>21</v>
      </c>
      <c r="E1444" s="733" t="s">
        <v>614</v>
      </c>
      <c r="F1444" s="733" t="s">
        <v>615</v>
      </c>
      <c r="G1444" s="733"/>
      <c r="H1444" s="733"/>
      <c r="I1444" s="733"/>
      <c r="J1444" s="733"/>
      <c r="K1444" s="733"/>
      <c r="L1444" s="733"/>
      <c r="M1444" s="733"/>
    </row>
    <row r="1445" spans="1:13" x14ac:dyDescent="0.3">
      <c r="A1445" s="733" t="s">
        <v>1823</v>
      </c>
      <c r="B1445" s="733" t="s">
        <v>612</v>
      </c>
      <c r="C1445" s="733" t="s">
        <v>1824</v>
      </c>
      <c r="D1445" s="733" t="s">
        <v>21</v>
      </c>
      <c r="E1445" s="733" t="s">
        <v>614</v>
      </c>
      <c r="F1445" s="733" t="s">
        <v>615</v>
      </c>
      <c r="G1445" s="733"/>
      <c r="H1445" s="733"/>
      <c r="I1445" s="733"/>
      <c r="J1445" s="733"/>
      <c r="K1445" s="733"/>
      <c r="L1445" s="733"/>
      <c r="M1445" s="733"/>
    </row>
    <row r="1446" spans="1:13" x14ac:dyDescent="0.3">
      <c r="A1446" s="733" t="s">
        <v>1823</v>
      </c>
      <c r="B1446" s="733" t="s">
        <v>612</v>
      </c>
      <c r="C1446" s="733" t="s">
        <v>1173</v>
      </c>
      <c r="D1446" s="733" t="s">
        <v>21</v>
      </c>
      <c r="E1446" s="733" t="s">
        <v>614</v>
      </c>
      <c r="F1446" s="733" t="s">
        <v>615</v>
      </c>
      <c r="G1446" s="733"/>
      <c r="H1446" s="733"/>
      <c r="I1446" s="733"/>
      <c r="J1446" s="733"/>
      <c r="K1446" s="733"/>
      <c r="L1446" s="733"/>
      <c r="M1446" s="733"/>
    </row>
    <row r="1447" spans="1:13" x14ac:dyDescent="0.3">
      <c r="A1447" s="733" t="s">
        <v>1823</v>
      </c>
      <c r="B1447" s="733" t="s">
        <v>612</v>
      </c>
      <c r="C1447" s="733" t="s">
        <v>931</v>
      </c>
      <c r="D1447" s="733" t="s">
        <v>21</v>
      </c>
      <c r="E1447" s="733" t="s">
        <v>614</v>
      </c>
      <c r="F1447" s="733" t="s">
        <v>615</v>
      </c>
      <c r="G1447" s="733"/>
      <c r="H1447" s="733"/>
      <c r="I1447" s="733"/>
      <c r="J1447" s="733"/>
      <c r="K1447" s="733"/>
      <c r="L1447" s="733"/>
      <c r="M1447" s="733"/>
    </row>
    <row r="1448" spans="1:13" x14ac:dyDescent="0.3">
      <c r="A1448" s="733" t="s">
        <v>1823</v>
      </c>
      <c r="B1448" s="733" t="s">
        <v>612</v>
      </c>
      <c r="C1448" s="733" t="s">
        <v>909</v>
      </c>
      <c r="D1448" s="733" t="s">
        <v>21</v>
      </c>
      <c r="E1448" s="733" t="s">
        <v>614</v>
      </c>
      <c r="F1448" s="733" t="s">
        <v>615</v>
      </c>
      <c r="G1448" s="733"/>
      <c r="H1448" s="733"/>
      <c r="I1448" s="733"/>
      <c r="J1448" s="733"/>
      <c r="K1448" s="733"/>
      <c r="L1448" s="733"/>
      <c r="M1448" s="733"/>
    </row>
    <row r="1449" spans="1:13" x14ac:dyDescent="0.3">
      <c r="A1449" s="733" t="s">
        <v>1823</v>
      </c>
      <c r="B1449" s="733" t="s">
        <v>612</v>
      </c>
      <c r="C1449" s="733" t="s">
        <v>1825</v>
      </c>
      <c r="D1449" s="733" t="s">
        <v>21</v>
      </c>
      <c r="E1449" s="733" t="s">
        <v>614</v>
      </c>
      <c r="F1449" s="733" t="s">
        <v>615</v>
      </c>
      <c r="G1449" s="733"/>
      <c r="H1449" s="733"/>
      <c r="I1449" s="733"/>
      <c r="J1449" s="733"/>
      <c r="K1449" s="733"/>
      <c r="L1449" s="733"/>
      <c r="M1449" s="733"/>
    </row>
    <row r="1450" spans="1:13" x14ac:dyDescent="0.3">
      <c r="A1450" s="733" t="s">
        <v>1823</v>
      </c>
      <c r="B1450" s="733" t="s">
        <v>612</v>
      </c>
      <c r="C1450" s="733" t="s">
        <v>1826</v>
      </c>
      <c r="D1450" s="733" t="s">
        <v>21</v>
      </c>
      <c r="E1450" s="733" t="s">
        <v>614</v>
      </c>
      <c r="F1450" s="733" t="s">
        <v>615</v>
      </c>
      <c r="G1450" s="733"/>
      <c r="H1450" s="733"/>
      <c r="I1450" s="733"/>
      <c r="J1450" s="733"/>
      <c r="K1450" s="733"/>
      <c r="L1450" s="733"/>
      <c r="M1450" s="733"/>
    </row>
    <row r="1451" spans="1:13" x14ac:dyDescent="0.3">
      <c r="A1451" s="733" t="s">
        <v>1823</v>
      </c>
      <c r="B1451" s="733" t="s">
        <v>612</v>
      </c>
      <c r="C1451" s="733" t="s">
        <v>1174</v>
      </c>
      <c r="D1451" s="733" t="s">
        <v>21</v>
      </c>
      <c r="E1451" s="733" t="s">
        <v>614</v>
      </c>
      <c r="F1451" s="733" t="s">
        <v>615</v>
      </c>
      <c r="G1451" s="733"/>
      <c r="H1451" s="733"/>
      <c r="I1451" s="733"/>
      <c r="J1451" s="733"/>
      <c r="K1451" s="733"/>
      <c r="L1451" s="733"/>
      <c r="M1451" s="733"/>
    </row>
    <row r="1452" spans="1:13" x14ac:dyDescent="0.3">
      <c r="A1452" s="733" t="s">
        <v>1823</v>
      </c>
      <c r="B1452" s="733" t="s">
        <v>612</v>
      </c>
      <c r="C1452" s="733" t="s">
        <v>1827</v>
      </c>
      <c r="D1452" s="733" t="s">
        <v>21</v>
      </c>
      <c r="E1452" s="733" t="s">
        <v>614</v>
      </c>
      <c r="F1452" s="733" t="s">
        <v>615</v>
      </c>
      <c r="G1452" s="733"/>
      <c r="H1452" s="733"/>
      <c r="I1452" s="733"/>
      <c r="J1452" s="733"/>
      <c r="K1452" s="733"/>
      <c r="L1452" s="733"/>
      <c r="M1452" s="733"/>
    </row>
    <row r="1453" spans="1:13" x14ac:dyDescent="0.3">
      <c r="A1453" s="733" t="s">
        <v>1823</v>
      </c>
      <c r="B1453" s="733" t="s">
        <v>612</v>
      </c>
      <c r="C1453" s="733" t="s">
        <v>1828</v>
      </c>
      <c r="D1453" s="733" t="s">
        <v>21</v>
      </c>
      <c r="E1453" s="733" t="s">
        <v>614</v>
      </c>
      <c r="F1453" s="733" t="s">
        <v>615</v>
      </c>
      <c r="G1453" s="733"/>
      <c r="H1453" s="733"/>
      <c r="I1453" s="733"/>
      <c r="J1453" s="733"/>
      <c r="K1453" s="733"/>
      <c r="L1453" s="733"/>
      <c r="M1453" s="733"/>
    </row>
    <row r="1454" spans="1:13" x14ac:dyDescent="0.3">
      <c r="A1454" s="733" t="s">
        <v>1823</v>
      </c>
      <c r="B1454" s="733" t="s">
        <v>612</v>
      </c>
      <c r="C1454" s="733" t="s">
        <v>1829</v>
      </c>
      <c r="D1454" s="733" t="s">
        <v>21</v>
      </c>
      <c r="E1454" s="733" t="s">
        <v>614</v>
      </c>
      <c r="F1454" s="733" t="s">
        <v>615</v>
      </c>
      <c r="G1454" s="733"/>
      <c r="H1454" s="733"/>
      <c r="I1454" s="733"/>
      <c r="J1454" s="733"/>
      <c r="K1454" s="733"/>
      <c r="L1454" s="733"/>
      <c r="M1454" s="733"/>
    </row>
    <row r="1455" spans="1:13" x14ac:dyDescent="0.3">
      <c r="A1455" s="733" t="s">
        <v>1823</v>
      </c>
      <c r="B1455" s="733" t="s">
        <v>612</v>
      </c>
      <c r="C1455" s="733" t="s">
        <v>1830</v>
      </c>
      <c r="D1455" s="733" t="s">
        <v>21</v>
      </c>
      <c r="E1455" s="733" t="s">
        <v>614</v>
      </c>
      <c r="F1455" s="733" t="s">
        <v>615</v>
      </c>
      <c r="G1455" s="733"/>
      <c r="H1455" s="733"/>
      <c r="I1455" s="733"/>
      <c r="J1455" s="733"/>
      <c r="K1455" s="733"/>
      <c r="L1455" s="733"/>
      <c r="M1455" s="733"/>
    </row>
    <row r="1456" spans="1:13" x14ac:dyDescent="0.3">
      <c r="A1456" s="733" t="s">
        <v>1823</v>
      </c>
      <c r="B1456" s="733" t="s">
        <v>612</v>
      </c>
      <c r="C1456" s="733" t="s">
        <v>1831</v>
      </c>
      <c r="D1456" s="733" t="s">
        <v>21</v>
      </c>
      <c r="E1456" s="733" t="s">
        <v>614</v>
      </c>
      <c r="F1456" s="733" t="s">
        <v>615</v>
      </c>
      <c r="G1456" s="733"/>
      <c r="H1456" s="733"/>
      <c r="I1456" s="733"/>
      <c r="J1456" s="733"/>
      <c r="K1456" s="733"/>
      <c r="L1456" s="733"/>
      <c r="M1456" s="733"/>
    </row>
    <row r="1457" spans="1:13" x14ac:dyDescent="0.3">
      <c r="A1457" s="733" t="s">
        <v>1823</v>
      </c>
      <c r="B1457" s="733" t="s">
        <v>612</v>
      </c>
      <c r="C1457" s="733" t="s">
        <v>1832</v>
      </c>
      <c r="D1457" s="733" t="s">
        <v>21</v>
      </c>
      <c r="E1457" s="733" t="s">
        <v>614</v>
      </c>
      <c r="F1457" s="733" t="s">
        <v>615</v>
      </c>
      <c r="G1457" s="733"/>
      <c r="H1457" s="733"/>
      <c r="I1457" s="733"/>
      <c r="J1457" s="733"/>
      <c r="K1457" s="733"/>
      <c r="L1457" s="733"/>
      <c r="M1457" s="733"/>
    </row>
    <row r="1458" spans="1:13" x14ac:dyDescent="0.3">
      <c r="A1458" s="733" t="s">
        <v>1823</v>
      </c>
      <c r="B1458" s="733" t="s">
        <v>645</v>
      </c>
      <c r="C1458" s="733" t="s">
        <v>1833</v>
      </c>
      <c r="D1458" s="733" t="s">
        <v>21</v>
      </c>
      <c r="E1458" s="733" t="s">
        <v>614</v>
      </c>
      <c r="F1458" s="733" t="s">
        <v>615</v>
      </c>
      <c r="G1458" s="733"/>
      <c r="H1458" s="733"/>
      <c r="I1458" s="733"/>
      <c r="J1458" s="733"/>
      <c r="K1458" s="733"/>
      <c r="L1458" s="733"/>
      <c r="M1458" s="733"/>
    </row>
    <row r="1459" spans="1:13" x14ac:dyDescent="0.3">
      <c r="A1459" s="733" t="s">
        <v>1823</v>
      </c>
      <c r="B1459" s="733" t="s">
        <v>645</v>
      </c>
      <c r="C1459" s="733" t="s">
        <v>1834</v>
      </c>
      <c r="D1459" s="733" t="s">
        <v>21</v>
      </c>
      <c r="E1459" s="733" t="s">
        <v>614</v>
      </c>
      <c r="F1459" s="733" t="s">
        <v>615</v>
      </c>
      <c r="G1459" s="733"/>
      <c r="H1459" s="733"/>
      <c r="I1459" s="733"/>
      <c r="J1459" s="733"/>
      <c r="K1459" s="733"/>
      <c r="L1459" s="733"/>
      <c r="M1459" s="733"/>
    </row>
    <row r="1460" spans="1:13" x14ac:dyDescent="0.3">
      <c r="A1460" s="733" t="s">
        <v>1823</v>
      </c>
      <c r="B1460" s="733" t="s">
        <v>645</v>
      </c>
      <c r="C1460" s="733" t="s">
        <v>1197</v>
      </c>
      <c r="D1460" s="733" t="s">
        <v>21</v>
      </c>
      <c r="E1460" s="733" t="s">
        <v>614</v>
      </c>
      <c r="F1460" s="733" t="s">
        <v>615</v>
      </c>
      <c r="G1460" s="733"/>
      <c r="H1460" s="733"/>
      <c r="I1460" s="733"/>
      <c r="J1460" s="733"/>
      <c r="K1460" s="733"/>
      <c r="L1460" s="733"/>
      <c r="M1460" s="733"/>
    </row>
    <row r="1461" spans="1:13" x14ac:dyDescent="0.3">
      <c r="A1461" s="733" t="s">
        <v>1823</v>
      </c>
      <c r="B1461" s="733" t="s">
        <v>645</v>
      </c>
      <c r="C1461" s="733" t="s">
        <v>1835</v>
      </c>
      <c r="D1461" s="733" t="s">
        <v>21</v>
      </c>
      <c r="E1461" s="733" t="s">
        <v>614</v>
      </c>
      <c r="F1461" s="733" t="s">
        <v>615</v>
      </c>
      <c r="G1461" s="733"/>
      <c r="H1461" s="733"/>
      <c r="I1461" s="733"/>
      <c r="J1461" s="733"/>
      <c r="K1461" s="733"/>
      <c r="L1461" s="733"/>
      <c r="M1461" s="733"/>
    </row>
    <row r="1462" spans="1:13" x14ac:dyDescent="0.3">
      <c r="A1462" s="733" t="s">
        <v>1823</v>
      </c>
      <c r="B1462" s="733" t="s">
        <v>664</v>
      </c>
      <c r="C1462" s="733" t="s">
        <v>1836</v>
      </c>
      <c r="D1462" s="733" t="s">
        <v>21</v>
      </c>
      <c r="E1462" s="733" t="s">
        <v>614</v>
      </c>
      <c r="F1462" s="733" t="s">
        <v>615</v>
      </c>
      <c r="G1462" s="733"/>
      <c r="H1462" s="733"/>
      <c r="I1462" s="733"/>
      <c r="J1462" s="733"/>
      <c r="K1462" s="733"/>
      <c r="L1462" s="733"/>
      <c r="M1462" s="733"/>
    </row>
    <row r="1463" spans="1:13" x14ac:dyDescent="0.3">
      <c r="A1463" s="733" t="s">
        <v>1823</v>
      </c>
      <c r="B1463" s="733" t="s">
        <v>664</v>
      </c>
      <c r="C1463" s="733" t="s">
        <v>745</v>
      </c>
      <c r="D1463" s="733" t="s">
        <v>21</v>
      </c>
      <c r="E1463" s="733" t="s">
        <v>614</v>
      </c>
      <c r="F1463" s="733" t="s">
        <v>615</v>
      </c>
      <c r="G1463" s="733"/>
      <c r="H1463" s="733"/>
      <c r="I1463" s="733"/>
      <c r="J1463" s="733"/>
      <c r="K1463" s="733"/>
      <c r="L1463" s="733"/>
      <c r="M1463" s="733"/>
    </row>
    <row r="1464" spans="1:13" x14ac:dyDescent="0.3">
      <c r="A1464" s="733" t="s">
        <v>1823</v>
      </c>
      <c r="B1464" s="733" t="s">
        <v>664</v>
      </c>
      <c r="C1464" s="733" t="s">
        <v>1837</v>
      </c>
      <c r="D1464" s="733" t="s">
        <v>21</v>
      </c>
      <c r="E1464" s="733" t="s">
        <v>614</v>
      </c>
      <c r="F1464" s="733" t="s">
        <v>615</v>
      </c>
      <c r="G1464" s="733"/>
      <c r="H1464" s="733"/>
      <c r="I1464" s="733"/>
      <c r="J1464" s="733"/>
      <c r="K1464" s="733"/>
      <c r="L1464" s="733"/>
      <c r="M1464" s="733"/>
    </row>
    <row r="1465" spans="1:13" x14ac:dyDescent="0.3">
      <c r="A1465" s="733" t="s">
        <v>1838</v>
      </c>
      <c r="B1465" s="733" t="s">
        <v>612</v>
      </c>
      <c r="C1465" s="733" t="s">
        <v>1608</v>
      </c>
      <c r="D1465" s="733" t="s">
        <v>21</v>
      </c>
      <c r="E1465" s="733" t="s">
        <v>614</v>
      </c>
      <c r="F1465" s="733" t="s">
        <v>615</v>
      </c>
      <c r="G1465" s="733"/>
      <c r="H1465" s="733"/>
      <c r="I1465" s="733"/>
      <c r="J1465" s="733"/>
      <c r="K1465" s="733"/>
      <c r="L1465" s="733"/>
      <c r="M1465" s="733"/>
    </row>
    <row r="1466" spans="1:13" x14ac:dyDescent="0.3">
      <c r="A1466" s="733" t="s">
        <v>1838</v>
      </c>
      <c r="B1466" s="733" t="s">
        <v>612</v>
      </c>
      <c r="C1466" s="733" t="s">
        <v>1839</v>
      </c>
      <c r="D1466" s="733" t="s">
        <v>21</v>
      </c>
      <c r="E1466" s="733" t="s">
        <v>614</v>
      </c>
      <c r="F1466" s="733" t="s">
        <v>615</v>
      </c>
      <c r="G1466" s="733"/>
      <c r="H1466" s="733"/>
      <c r="I1466" s="733"/>
      <c r="J1466" s="733"/>
      <c r="K1466" s="733"/>
      <c r="L1466" s="733"/>
      <c r="M1466" s="733"/>
    </row>
    <row r="1467" spans="1:13" x14ac:dyDescent="0.3">
      <c r="A1467" s="733" t="s">
        <v>1838</v>
      </c>
      <c r="B1467" s="733" t="s">
        <v>612</v>
      </c>
      <c r="C1467" s="733" t="s">
        <v>1840</v>
      </c>
      <c r="D1467" s="733" t="s">
        <v>21</v>
      </c>
      <c r="E1467" s="733" t="s">
        <v>614</v>
      </c>
      <c r="F1467" s="733" t="s">
        <v>615</v>
      </c>
      <c r="G1467" s="733"/>
      <c r="H1467" s="733"/>
      <c r="I1467" s="733"/>
      <c r="J1467" s="733"/>
      <c r="K1467" s="733"/>
      <c r="L1467" s="733"/>
      <c r="M1467" s="733"/>
    </row>
    <row r="1468" spans="1:13" x14ac:dyDescent="0.3">
      <c r="A1468" s="733" t="s">
        <v>1838</v>
      </c>
      <c r="B1468" s="733" t="s">
        <v>612</v>
      </c>
      <c r="C1468" s="733" t="s">
        <v>1841</v>
      </c>
      <c r="D1468" s="733" t="s">
        <v>21</v>
      </c>
      <c r="E1468" s="733" t="s">
        <v>614</v>
      </c>
      <c r="F1468" s="733" t="s">
        <v>615</v>
      </c>
      <c r="G1468" s="733"/>
      <c r="H1468" s="733"/>
      <c r="I1468" s="733"/>
      <c r="J1468" s="733"/>
      <c r="K1468" s="733"/>
      <c r="L1468" s="733"/>
      <c r="M1468" s="733"/>
    </row>
    <row r="1469" spans="1:13" x14ac:dyDescent="0.3">
      <c r="A1469" s="733" t="s">
        <v>1838</v>
      </c>
      <c r="B1469" s="733" t="s">
        <v>612</v>
      </c>
      <c r="C1469" s="733" t="s">
        <v>1842</v>
      </c>
      <c r="D1469" s="733" t="s">
        <v>21</v>
      </c>
      <c r="E1469" s="733" t="s">
        <v>614</v>
      </c>
      <c r="F1469" s="733" t="s">
        <v>615</v>
      </c>
      <c r="G1469" s="733"/>
      <c r="H1469" s="733"/>
      <c r="I1469" s="733"/>
      <c r="J1469" s="733"/>
      <c r="K1469" s="733"/>
      <c r="L1469" s="733"/>
      <c r="M1469" s="733"/>
    </row>
    <row r="1470" spans="1:13" x14ac:dyDescent="0.3">
      <c r="A1470" s="733" t="s">
        <v>1838</v>
      </c>
      <c r="B1470" s="733" t="s">
        <v>612</v>
      </c>
      <c r="C1470" s="733" t="s">
        <v>1843</v>
      </c>
      <c r="D1470" s="733" t="s">
        <v>21</v>
      </c>
      <c r="E1470" s="733" t="s">
        <v>614</v>
      </c>
      <c r="F1470" s="733" t="s">
        <v>615</v>
      </c>
      <c r="G1470" s="733"/>
      <c r="H1470" s="733"/>
      <c r="I1470" s="733"/>
      <c r="J1470" s="733"/>
      <c r="K1470" s="733"/>
      <c r="L1470" s="733"/>
      <c r="M1470" s="733"/>
    </row>
    <row r="1471" spans="1:13" x14ac:dyDescent="0.3">
      <c r="A1471" s="733" t="s">
        <v>1838</v>
      </c>
      <c r="B1471" s="733" t="s">
        <v>612</v>
      </c>
      <c r="C1471" s="733" t="s">
        <v>1844</v>
      </c>
      <c r="D1471" s="733" t="s">
        <v>21</v>
      </c>
      <c r="E1471" s="733" t="s">
        <v>614</v>
      </c>
      <c r="F1471" s="733" t="s">
        <v>615</v>
      </c>
      <c r="G1471" s="733"/>
      <c r="H1471" s="733"/>
      <c r="I1471" s="733"/>
      <c r="J1471" s="733"/>
      <c r="K1471" s="733"/>
      <c r="L1471" s="733"/>
      <c r="M1471" s="733"/>
    </row>
    <row r="1472" spans="1:13" x14ac:dyDescent="0.3">
      <c r="A1472" s="733" t="s">
        <v>1838</v>
      </c>
      <c r="B1472" s="733" t="s">
        <v>612</v>
      </c>
      <c r="C1472" s="733" t="s">
        <v>1845</v>
      </c>
      <c r="D1472" s="733" t="s">
        <v>21</v>
      </c>
      <c r="E1472" s="733" t="s">
        <v>614</v>
      </c>
      <c r="F1472" s="733" t="s">
        <v>615</v>
      </c>
      <c r="G1472" s="733"/>
      <c r="H1472" s="733"/>
      <c r="I1472" s="733"/>
      <c r="J1472" s="733"/>
      <c r="K1472" s="733"/>
      <c r="L1472" s="733"/>
      <c r="M1472" s="733"/>
    </row>
    <row r="1473" spans="1:13" x14ac:dyDescent="0.3">
      <c r="A1473" s="733" t="s">
        <v>1838</v>
      </c>
      <c r="B1473" s="733" t="s">
        <v>612</v>
      </c>
      <c r="C1473" s="733" t="s">
        <v>1846</v>
      </c>
      <c r="D1473" s="733" t="s">
        <v>21</v>
      </c>
      <c r="E1473" s="733" t="s">
        <v>614</v>
      </c>
      <c r="F1473" s="733" t="s">
        <v>615</v>
      </c>
      <c r="G1473" s="733"/>
      <c r="H1473" s="733"/>
      <c r="I1473" s="733"/>
      <c r="J1473" s="733"/>
      <c r="K1473" s="733"/>
      <c r="L1473" s="733"/>
      <c r="M1473" s="733"/>
    </row>
    <row r="1474" spans="1:13" x14ac:dyDescent="0.3">
      <c r="A1474" s="733" t="s">
        <v>1838</v>
      </c>
      <c r="B1474" s="733" t="s">
        <v>612</v>
      </c>
      <c r="C1474" s="733" t="s">
        <v>1847</v>
      </c>
      <c r="D1474" s="733" t="s">
        <v>21</v>
      </c>
      <c r="E1474" s="733" t="s">
        <v>614</v>
      </c>
      <c r="F1474" s="733" t="s">
        <v>615</v>
      </c>
      <c r="G1474" s="733"/>
      <c r="H1474" s="733"/>
      <c r="I1474" s="733"/>
      <c r="J1474" s="733"/>
      <c r="K1474" s="733"/>
      <c r="L1474" s="733"/>
      <c r="M1474" s="733"/>
    </row>
    <row r="1475" spans="1:13" x14ac:dyDescent="0.3">
      <c r="A1475" s="733" t="s">
        <v>1838</v>
      </c>
      <c r="B1475" s="733" t="s">
        <v>612</v>
      </c>
      <c r="C1475" s="733" t="s">
        <v>1848</v>
      </c>
      <c r="D1475" s="733" t="s">
        <v>21</v>
      </c>
      <c r="E1475" s="733" t="s">
        <v>614</v>
      </c>
      <c r="F1475" s="733" t="s">
        <v>615</v>
      </c>
      <c r="G1475" s="733"/>
      <c r="H1475" s="733"/>
      <c r="I1475" s="733"/>
      <c r="J1475" s="733"/>
      <c r="K1475" s="733"/>
      <c r="L1475" s="733"/>
      <c r="M1475" s="733"/>
    </row>
    <row r="1476" spans="1:13" x14ac:dyDescent="0.3">
      <c r="A1476" s="734" t="s">
        <v>1838</v>
      </c>
      <c r="B1476" s="734" t="s">
        <v>612</v>
      </c>
      <c r="C1476" s="734" t="s">
        <v>1849</v>
      </c>
      <c r="D1476" s="734" t="s">
        <v>21</v>
      </c>
      <c r="E1476" s="734" t="s">
        <v>614</v>
      </c>
      <c r="F1476" s="734" t="s">
        <v>696</v>
      </c>
      <c r="G1476" s="733"/>
      <c r="H1476" s="733"/>
      <c r="I1476" s="733"/>
      <c r="J1476" s="733"/>
      <c r="K1476" s="733"/>
      <c r="L1476" s="733"/>
      <c r="M1476" s="733"/>
    </row>
    <row r="1477" spans="1:13" x14ac:dyDescent="0.3">
      <c r="A1477" s="733" t="s">
        <v>1838</v>
      </c>
      <c r="B1477" s="733" t="s">
        <v>612</v>
      </c>
      <c r="C1477" s="733" t="s">
        <v>1850</v>
      </c>
      <c r="D1477" s="733" t="s">
        <v>21</v>
      </c>
      <c r="E1477" s="733" t="s">
        <v>614</v>
      </c>
      <c r="F1477" s="733" t="s">
        <v>615</v>
      </c>
      <c r="G1477" s="733"/>
      <c r="H1477" s="733"/>
      <c r="I1477" s="733"/>
      <c r="J1477" s="733"/>
      <c r="K1477" s="733"/>
      <c r="L1477" s="733"/>
      <c r="M1477" s="733"/>
    </row>
    <row r="1478" spans="1:13" x14ac:dyDescent="0.3">
      <c r="A1478" s="733" t="s">
        <v>1838</v>
      </c>
      <c r="B1478" s="733" t="s">
        <v>612</v>
      </c>
      <c r="C1478" s="733" t="s">
        <v>1851</v>
      </c>
      <c r="D1478" s="733" t="s">
        <v>21</v>
      </c>
      <c r="E1478" s="733" t="s">
        <v>614</v>
      </c>
      <c r="F1478" s="733" t="s">
        <v>615</v>
      </c>
      <c r="G1478" s="733"/>
      <c r="H1478" s="733"/>
      <c r="I1478" s="733"/>
      <c r="J1478" s="733"/>
      <c r="K1478" s="733"/>
      <c r="L1478" s="733"/>
      <c r="M1478" s="733"/>
    </row>
    <row r="1479" spans="1:13" x14ac:dyDescent="0.3">
      <c r="A1479" s="733" t="s">
        <v>1838</v>
      </c>
      <c r="B1479" s="733" t="s">
        <v>612</v>
      </c>
      <c r="C1479" s="733" t="s">
        <v>1852</v>
      </c>
      <c r="D1479" s="733" t="s">
        <v>21</v>
      </c>
      <c r="E1479" s="733" t="s">
        <v>614</v>
      </c>
      <c r="F1479" s="733" t="s">
        <v>615</v>
      </c>
      <c r="G1479" s="733"/>
      <c r="H1479" s="733"/>
      <c r="I1479" s="733"/>
      <c r="J1479" s="733"/>
      <c r="K1479" s="733"/>
      <c r="L1479" s="733"/>
      <c r="M1479" s="733"/>
    </row>
    <row r="1480" spans="1:13" x14ac:dyDescent="0.3">
      <c r="A1480" s="733" t="s">
        <v>1838</v>
      </c>
      <c r="B1480" s="733" t="s">
        <v>612</v>
      </c>
      <c r="C1480" s="733" t="s">
        <v>1853</v>
      </c>
      <c r="D1480" s="733" t="s">
        <v>21</v>
      </c>
      <c r="E1480" s="733" t="s">
        <v>614</v>
      </c>
      <c r="F1480" s="733" t="s">
        <v>615</v>
      </c>
      <c r="G1480" s="733"/>
      <c r="H1480" s="733"/>
      <c r="I1480" s="733"/>
      <c r="J1480" s="733"/>
      <c r="K1480" s="733"/>
      <c r="L1480" s="733"/>
      <c r="M1480" s="733"/>
    </row>
    <row r="1481" spans="1:13" x14ac:dyDescent="0.3">
      <c r="A1481" s="733" t="s">
        <v>1838</v>
      </c>
      <c r="B1481" s="733" t="s">
        <v>612</v>
      </c>
      <c r="C1481" s="733" t="s">
        <v>1854</v>
      </c>
      <c r="D1481" s="733" t="s">
        <v>21</v>
      </c>
      <c r="E1481" s="733" t="s">
        <v>614</v>
      </c>
      <c r="F1481" s="733" t="s">
        <v>615</v>
      </c>
      <c r="G1481" s="733"/>
      <c r="H1481" s="733"/>
      <c r="I1481" s="733"/>
      <c r="J1481" s="733"/>
      <c r="K1481" s="733"/>
      <c r="L1481" s="733"/>
      <c r="M1481" s="733"/>
    </row>
    <row r="1482" spans="1:13" x14ac:dyDescent="0.3">
      <c r="A1482" s="733" t="s">
        <v>1838</v>
      </c>
      <c r="B1482" s="733" t="s">
        <v>612</v>
      </c>
      <c r="C1482" s="733" t="s">
        <v>1855</v>
      </c>
      <c r="D1482" s="733" t="s">
        <v>21</v>
      </c>
      <c r="E1482" s="733" t="s">
        <v>614</v>
      </c>
      <c r="F1482" s="733" t="s">
        <v>615</v>
      </c>
      <c r="G1482" s="733"/>
      <c r="H1482" s="733"/>
      <c r="I1482" s="733"/>
      <c r="J1482" s="733"/>
      <c r="K1482" s="733"/>
      <c r="L1482" s="733"/>
      <c r="M1482" s="733"/>
    </row>
    <row r="1483" spans="1:13" x14ac:dyDescent="0.3">
      <c r="A1483" s="733" t="s">
        <v>1838</v>
      </c>
      <c r="B1483" s="733" t="s">
        <v>612</v>
      </c>
      <c r="C1483" s="733" t="s">
        <v>1856</v>
      </c>
      <c r="D1483" s="733" t="s">
        <v>21</v>
      </c>
      <c r="E1483" s="733" t="s">
        <v>614</v>
      </c>
      <c r="F1483" s="733" t="s">
        <v>615</v>
      </c>
      <c r="G1483" s="733"/>
      <c r="H1483" s="733"/>
      <c r="I1483" s="733"/>
      <c r="J1483" s="733"/>
      <c r="K1483" s="733"/>
      <c r="L1483" s="733"/>
      <c r="M1483" s="733"/>
    </row>
    <row r="1484" spans="1:13" x14ac:dyDescent="0.3">
      <c r="A1484" s="733" t="s">
        <v>1838</v>
      </c>
      <c r="B1484" s="733" t="s">
        <v>612</v>
      </c>
      <c r="C1484" s="733" t="s">
        <v>1857</v>
      </c>
      <c r="D1484" s="733" t="s">
        <v>21</v>
      </c>
      <c r="E1484" s="733" t="s">
        <v>614</v>
      </c>
      <c r="F1484" s="733" t="s">
        <v>615</v>
      </c>
      <c r="G1484" s="733"/>
      <c r="H1484" s="733"/>
      <c r="I1484" s="733"/>
      <c r="J1484" s="733"/>
      <c r="K1484" s="733"/>
      <c r="L1484" s="733"/>
      <c r="M1484" s="733"/>
    </row>
    <row r="1485" spans="1:13" x14ac:dyDescent="0.3">
      <c r="A1485" s="733" t="s">
        <v>1838</v>
      </c>
      <c r="B1485" s="733" t="s">
        <v>612</v>
      </c>
      <c r="C1485" s="733" t="s">
        <v>1858</v>
      </c>
      <c r="D1485" s="733" t="s">
        <v>21</v>
      </c>
      <c r="E1485" s="733" t="s">
        <v>614</v>
      </c>
      <c r="F1485" s="733" t="s">
        <v>615</v>
      </c>
      <c r="G1485" s="733"/>
      <c r="H1485" s="733"/>
      <c r="I1485" s="733"/>
      <c r="J1485" s="733"/>
      <c r="K1485" s="733"/>
      <c r="L1485" s="733"/>
      <c r="M1485" s="733"/>
    </row>
    <row r="1486" spans="1:13" x14ac:dyDescent="0.3">
      <c r="A1486" s="733" t="s">
        <v>1838</v>
      </c>
      <c r="B1486" s="733" t="s">
        <v>612</v>
      </c>
      <c r="C1486" s="733" t="s">
        <v>1859</v>
      </c>
      <c r="D1486" s="733" t="s">
        <v>21</v>
      </c>
      <c r="E1486" s="733" t="s">
        <v>614</v>
      </c>
      <c r="F1486" s="733" t="s">
        <v>615</v>
      </c>
      <c r="G1486" s="733"/>
      <c r="H1486" s="733"/>
      <c r="I1486" s="733"/>
      <c r="J1486" s="733"/>
      <c r="K1486" s="733"/>
      <c r="L1486" s="733"/>
      <c r="M1486" s="733"/>
    </row>
    <row r="1487" spans="1:13" x14ac:dyDescent="0.3">
      <c r="A1487" s="733" t="s">
        <v>1838</v>
      </c>
      <c r="B1487" s="733" t="s">
        <v>645</v>
      </c>
      <c r="C1487" s="733" t="s">
        <v>1860</v>
      </c>
      <c r="D1487" s="733" t="s">
        <v>21</v>
      </c>
      <c r="E1487" s="733" t="s">
        <v>614</v>
      </c>
      <c r="F1487" s="733" t="s">
        <v>615</v>
      </c>
      <c r="G1487" s="733"/>
      <c r="H1487" s="733"/>
      <c r="I1487" s="733"/>
      <c r="J1487" s="733"/>
      <c r="K1487" s="733"/>
      <c r="L1487" s="733"/>
      <c r="M1487" s="733"/>
    </row>
    <row r="1488" spans="1:13" x14ac:dyDescent="0.3">
      <c r="A1488" s="733" t="s">
        <v>1838</v>
      </c>
      <c r="B1488" s="733" t="s">
        <v>645</v>
      </c>
      <c r="C1488" s="733" t="s">
        <v>1608</v>
      </c>
      <c r="D1488" s="733" t="s">
        <v>21</v>
      </c>
      <c r="E1488" s="733" t="s">
        <v>614</v>
      </c>
      <c r="F1488" s="733" t="s">
        <v>615</v>
      </c>
      <c r="G1488" s="733"/>
      <c r="H1488" s="733"/>
      <c r="I1488" s="733"/>
      <c r="J1488" s="733"/>
      <c r="K1488" s="733"/>
      <c r="L1488" s="733"/>
      <c r="M1488" s="733"/>
    </row>
    <row r="1489" spans="1:13" x14ac:dyDescent="0.3">
      <c r="A1489" s="733" t="s">
        <v>1838</v>
      </c>
      <c r="B1489" s="733" t="s">
        <v>645</v>
      </c>
      <c r="C1489" s="733" t="s">
        <v>1609</v>
      </c>
      <c r="D1489" s="733" t="s">
        <v>21</v>
      </c>
      <c r="E1489" s="733" t="s">
        <v>614</v>
      </c>
      <c r="F1489" s="733" t="s">
        <v>615</v>
      </c>
      <c r="G1489" s="733"/>
      <c r="H1489" s="733"/>
      <c r="I1489" s="733"/>
      <c r="J1489" s="733"/>
      <c r="K1489" s="733"/>
      <c r="L1489" s="733"/>
      <c r="M1489" s="733"/>
    </row>
    <row r="1490" spans="1:13" x14ac:dyDescent="0.3">
      <c r="A1490" s="733" t="s">
        <v>1838</v>
      </c>
      <c r="B1490" s="733" t="s">
        <v>645</v>
      </c>
      <c r="C1490" s="733" t="s">
        <v>1861</v>
      </c>
      <c r="D1490" s="733" t="s">
        <v>21</v>
      </c>
      <c r="E1490" s="733" t="s">
        <v>614</v>
      </c>
      <c r="F1490" s="733" t="s">
        <v>615</v>
      </c>
      <c r="G1490" s="733"/>
      <c r="H1490" s="733"/>
      <c r="I1490" s="733"/>
      <c r="J1490" s="733"/>
      <c r="K1490" s="733"/>
      <c r="L1490" s="733"/>
      <c r="M1490" s="733"/>
    </row>
    <row r="1491" spans="1:13" x14ac:dyDescent="0.3">
      <c r="A1491" s="733" t="s">
        <v>1838</v>
      </c>
      <c r="B1491" s="733" t="s">
        <v>645</v>
      </c>
      <c r="C1491" s="733" t="s">
        <v>1862</v>
      </c>
      <c r="D1491" s="733" t="s">
        <v>21</v>
      </c>
      <c r="E1491" s="733" t="s">
        <v>614</v>
      </c>
      <c r="F1491" s="733" t="s">
        <v>615</v>
      </c>
      <c r="G1491" s="733"/>
      <c r="H1491" s="733"/>
      <c r="I1491" s="733"/>
      <c r="J1491" s="733"/>
      <c r="K1491" s="733"/>
      <c r="L1491" s="733"/>
      <c r="M1491" s="733"/>
    </row>
    <row r="1492" spans="1:13" x14ac:dyDescent="0.3">
      <c r="A1492" s="733" t="s">
        <v>1838</v>
      </c>
      <c r="B1492" s="733" t="s">
        <v>645</v>
      </c>
      <c r="C1492" s="733" t="s">
        <v>1863</v>
      </c>
      <c r="D1492" s="733" t="s">
        <v>21</v>
      </c>
      <c r="E1492" s="733" t="s">
        <v>614</v>
      </c>
      <c r="F1492" s="733" t="s">
        <v>615</v>
      </c>
      <c r="G1492" s="733"/>
      <c r="H1492" s="733"/>
      <c r="I1492" s="733"/>
      <c r="J1492" s="733"/>
      <c r="K1492" s="733"/>
      <c r="L1492" s="733"/>
      <c r="M1492" s="733"/>
    </row>
    <row r="1493" spans="1:13" x14ac:dyDescent="0.3">
      <c r="A1493" s="733" t="s">
        <v>1838</v>
      </c>
      <c r="B1493" s="733" t="s">
        <v>645</v>
      </c>
      <c r="C1493" s="733" t="s">
        <v>1864</v>
      </c>
      <c r="D1493" s="733" t="s">
        <v>21</v>
      </c>
      <c r="E1493" s="733" t="s">
        <v>614</v>
      </c>
      <c r="F1493" s="733" t="s">
        <v>615</v>
      </c>
      <c r="G1493" s="733"/>
      <c r="H1493" s="733"/>
      <c r="I1493" s="733"/>
      <c r="J1493" s="733"/>
      <c r="K1493" s="733"/>
      <c r="L1493" s="733"/>
      <c r="M1493" s="733"/>
    </row>
    <row r="1494" spans="1:13" x14ac:dyDescent="0.3">
      <c r="A1494" s="734" t="s">
        <v>1838</v>
      </c>
      <c r="B1494" s="734" t="s">
        <v>645</v>
      </c>
      <c r="C1494" s="734" t="s">
        <v>1865</v>
      </c>
      <c r="D1494" s="734" t="s">
        <v>21</v>
      </c>
      <c r="E1494" s="734" t="s">
        <v>614</v>
      </c>
      <c r="F1494" s="734" t="s">
        <v>736</v>
      </c>
      <c r="G1494" s="733"/>
      <c r="H1494" s="733"/>
      <c r="I1494" s="733"/>
      <c r="J1494" s="733"/>
      <c r="K1494" s="733"/>
      <c r="L1494" s="733"/>
      <c r="M1494" s="733"/>
    </row>
    <row r="1495" spans="1:13" x14ac:dyDescent="0.3">
      <c r="A1495" s="733" t="s">
        <v>1838</v>
      </c>
      <c r="B1495" s="733" t="s">
        <v>645</v>
      </c>
      <c r="C1495" s="733" t="s">
        <v>1866</v>
      </c>
      <c r="D1495" s="733" t="s">
        <v>21</v>
      </c>
      <c r="E1495" s="733" t="s">
        <v>614</v>
      </c>
      <c r="F1495" s="733" t="s">
        <v>615</v>
      </c>
      <c r="G1495" s="733"/>
      <c r="H1495" s="733"/>
      <c r="I1495" s="733"/>
      <c r="J1495" s="733"/>
      <c r="K1495" s="733"/>
      <c r="L1495" s="733"/>
      <c r="M1495" s="733"/>
    </row>
    <row r="1496" spans="1:13" x14ac:dyDescent="0.3">
      <c r="A1496" s="733" t="s">
        <v>1838</v>
      </c>
      <c r="B1496" s="733" t="s">
        <v>645</v>
      </c>
      <c r="C1496" s="733" t="s">
        <v>1867</v>
      </c>
      <c r="D1496" s="733" t="s">
        <v>21</v>
      </c>
      <c r="E1496" s="733" t="s">
        <v>614</v>
      </c>
      <c r="F1496" s="733" t="s">
        <v>615</v>
      </c>
      <c r="G1496" s="733"/>
      <c r="H1496" s="733"/>
      <c r="I1496" s="733"/>
      <c r="J1496" s="733"/>
      <c r="K1496" s="733"/>
      <c r="L1496" s="733"/>
      <c r="M1496" s="733"/>
    </row>
    <row r="1497" spans="1:13" x14ac:dyDescent="0.3">
      <c r="A1497" s="733" t="s">
        <v>1838</v>
      </c>
      <c r="B1497" s="733" t="s">
        <v>645</v>
      </c>
      <c r="C1497" s="733" t="s">
        <v>1868</v>
      </c>
      <c r="D1497" s="733" t="s">
        <v>21</v>
      </c>
      <c r="E1497" s="733" t="s">
        <v>614</v>
      </c>
      <c r="F1497" s="733" t="s">
        <v>615</v>
      </c>
      <c r="G1497" s="733"/>
      <c r="H1497" s="733"/>
      <c r="I1497" s="733"/>
      <c r="J1497" s="733"/>
      <c r="K1497" s="733"/>
      <c r="L1497" s="733"/>
      <c r="M1497" s="733"/>
    </row>
    <row r="1498" spans="1:13" x14ac:dyDescent="0.3">
      <c r="A1498" s="733" t="s">
        <v>1838</v>
      </c>
      <c r="B1498" s="733" t="s">
        <v>645</v>
      </c>
      <c r="C1498" s="733" t="s">
        <v>1869</v>
      </c>
      <c r="D1498" s="733" t="s">
        <v>21</v>
      </c>
      <c r="E1498" s="733" t="s">
        <v>614</v>
      </c>
      <c r="F1498" s="733" t="s">
        <v>615</v>
      </c>
      <c r="G1498" s="733"/>
      <c r="H1498" s="733"/>
      <c r="I1498" s="733"/>
      <c r="J1498" s="733"/>
      <c r="K1498" s="733"/>
      <c r="L1498" s="733"/>
      <c r="M1498" s="733"/>
    </row>
    <row r="1499" spans="1:13" x14ac:dyDescent="0.3">
      <c r="A1499" s="733" t="s">
        <v>1838</v>
      </c>
      <c r="B1499" s="733" t="s">
        <v>645</v>
      </c>
      <c r="C1499" s="733" t="s">
        <v>1870</v>
      </c>
      <c r="D1499" s="733" t="s">
        <v>21</v>
      </c>
      <c r="E1499" s="735" t="s">
        <v>1344</v>
      </c>
      <c r="F1499" s="735" t="s">
        <v>615</v>
      </c>
      <c r="G1499" s="733"/>
      <c r="H1499" s="733"/>
      <c r="I1499" s="733"/>
      <c r="J1499" s="733"/>
      <c r="K1499" s="733"/>
      <c r="L1499" s="733"/>
      <c r="M1499" s="733"/>
    </row>
    <row r="1500" spans="1:13" x14ac:dyDescent="0.3">
      <c r="A1500" s="733" t="s">
        <v>1838</v>
      </c>
      <c r="B1500" s="733" t="s">
        <v>645</v>
      </c>
      <c r="C1500" s="733" t="s">
        <v>1859</v>
      </c>
      <c r="D1500" s="733" t="s">
        <v>21</v>
      </c>
      <c r="E1500" s="733" t="s">
        <v>614</v>
      </c>
      <c r="F1500" s="733" t="s">
        <v>615</v>
      </c>
      <c r="G1500" s="733"/>
      <c r="H1500" s="733"/>
      <c r="I1500" s="733"/>
      <c r="J1500" s="733"/>
      <c r="K1500" s="733"/>
      <c r="L1500" s="733"/>
      <c r="M1500" s="733"/>
    </row>
    <row r="1501" spans="1:13" x14ac:dyDescent="0.3">
      <c r="A1501" s="733" t="s">
        <v>1838</v>
      </c>
      <c r="B1501" s="733" t="s">
        <v>664</v>
      </c>
      <c r="C1501" s="733" t="s">
        <v>1871</v>
      </c>
      <c r="D1501" s="733" t="s">
        <v>21</v>
      </c>
      <c r="E1501" s="733" t="s">
        <v>614</v>
      </c>
      <c r="F1501" s="733" t="s">
        <v>615</v>
      </c>
      <c r="G1501" s="733"/>
      <c r="H1501" s="733"/>
      <c r="I1501" s="733"/>
      <c r="J1501" s="733"/>
      <c r="K1501" s="733"/>
      <c r="L1501" s="733"/>
      <c r="M1501" s="733"/>
    </row>
    <row r="1502" spans="1:13" x14ac:dyDescent="0.3">
      <c r="A1502" s="733" t="s">
        <v>1838</v>
      </c>
      <c r="B1502" s="733" t="s">
        <v>664</v>
      </c>
      <c r="C1502" s="733" t="s">
        <v>1267</v>
      </c>
      <c r="D1502" s="733" t="s">
        <v>21</v>
      </c>
      <c r="E1502" s="733" t="s">
        <v>614</v>
      </c>
      <c r="F1502" s="733" t="s">
        <v>615</v>
      </c>
      <c r="G1502" s="733"/>
      <c r="H1502" s="733"/>
      <c r="I1502" s="733"/>
      <c r="J1502" s="733"/>
      <c r="K1502" s="733"/>
      <c r="L1502" s="733"/>
      <c r="M1502" s="733"/>
    </row>
    <row r="1503" spans="1:13" x14ac:dyDescent="0.3">
      <c r="A1503" s="733" t="s">
        <v>1872</v>
      </c>
      <c r="B1503" s="733" t="s">
        <v>612</v>
      </c>
      <c r="C1503" s="733" t="s">
        <v>1873</v>
      </c>
      <c r="D1503" s="733" t="s">
        <v>21</v>
      </c>
      <c r="E1503" s="733" t="s">
        <v>614</v>
      </c>
      <c r="F1503" s="733" t="s">
        <v>615</v>
      </c>
      <c r="G1503" s="733"/>
      <c r="H1503" s="733"/>
      <c r="I1503" s="733"/>
      <c r="J1503" s="733"/>
      <c r="K1503" s="733"/>
      <c r="L1503" s="733"/>
      <c r="M1503" s="733"/>
    </row>
    <row r="1504" spans="1:13" x14ac:dyDescent="0.3">
      <c r="A1504" s="733" t="s">
        <v>1872</v>
      </c>
      <c r="B1504" s="733" t="s">
        <v>612</v>
      </c>
      <c r="C1504" s="733" t="s">
        <v>908</v>
      </c>
      <c r="D1504" s="733" t="s">
        <v>21</v>
      </c>
      <c r="E1504" s="733" t="s">
        <v>614</v>
      </c>
      <c r="F1504" s="733" t="s">
        <v>615</v>
      </c>
      <c r="G1504" s="733"/>
      <c r="H1504" s="733"/>
      <c r="I1504" s="733"/>
      <c r="J1504" s="733"/>
      <c r="K1504" s="733"/>
      <c r="L1504" s="733"/>
      <c r="M1504" s="733"/>
    </row>
    <row r="1505" spans="1:13" x14ac:dyDescent="0.3">
      <c r="A1505" s="733" t="s">
        <v>1872</v>
      </c>
      <c r="B1505" s="733" t="s">
        <v>612</v>
      </c>
      <c r="C1505" s="733" t="s">
        <v>1173</v>
      </c>
      <c r="D1505" s="733" t="s">
        <v>21</v>
      </c>
      <c r="E1505" s="733" t="s">
        <v>614</v>
      </c>
      <c r="F1505" s="733" t="s">
        <v>615</v>
      </c>
      <c r="G1505" s="733"/>
      <c r="H1505" s="733"/>
      <c r="I1505" s="733"/>
      <c r="J1505" s="733"/>
      <c r="K1505" s="733"/>
      <c r="L1505" s="733"/>
      <c r="M1505" s="733"/>
    </row>
    <row r="1506" spans="1:13" x14ac:dyDescent="0.3">
      <c r="A1506" s="733" t="s">
        <v>1872</v>
      </c>
      <c r="B1506" s="733" t="s">
        <v>612</v>
      </c>
      <c r="C1506" s="733" t="s">
        <v>931</v>
      </c>
      <c r="D1506" s="733" t="s">
        <v>21</v>
      </c>
      <c r="E1506" s="733" t="s">
        <v>614</v>
      </c>
      <c r="F1506" s="733" t="s">
        <v>615</v>
      </c>
      <c r="G1506" s="733"/>
      <c r="H1506" s="733"/>
      <c r="I1506" s="733"/>
      <c r="J1506" s="733"/>
      <c r="K1506" s="733"/>
      <c r="L1506" s="733"/>
      <c r="M1506" s="733"/>
    </row>
    <row r="1507" spans="1:13" x14ac:dyDescent="0.3">
      <c r="A1507" s="733" t="s">
        <v>1872</v>
      </c>
      <c r="B1507" s="733" t="s">
        <v>612</v>
      </c>
      <c r="C1507" s="733" t="s">
        <v>1874</v>
      </c>
      <c r="D1507" s="733" t="s">
        <v>21</v>
      </c>
      <c r="E1507" s="733" t="s">
        <v>614</v>
      </c>
      <c r="F1507" s="733" t="s">
        <v>615</v>
      </c>
      <c r="G1507" s="733"/>
      <c r="H1507" s="733"/>
      <c r="I1507" s="733"/>
      <c r="J1507" s="733"/>
      <c r="K1507" s="733"/>
      <c r="L1507" s="733"/>
      <c r="M1507" s="733"/>
    </row>
    <row r="1508" spans="1:13" x14ac:dyDescent="0.3">
      <c r="A1508" s="733" t="s">
        <v>1872</v>
      </c>
      <c r="B1508" s="733" t="s">
        <v>612</v>
      </c>
      <c r="C1508" s="733" t="s">
        <v>909</v>
      </c>
      <c r="D1508" s="733" t="s">
        <v>21</v>
      </c>
      <c r="E1508" s="733" t="s">
        <v>614</v>
      </c>
      <c r="F1508" s="733" t="s">
        <v>615</v>
      </c>
      <c r="G1508" s="733"/>
      <c r="H1508" s="733"/>
      <c r="I1508" s="733"/>
      <c r="J1508" s="733"/>
      <c r="K1508" s="733"/>
      <c r="L1508" s="733"/>
      <c r="M1508" s="733"/>
    </row>
    <row r="1509" spans="1:13" x14ac:dyDescent="0.3">
      <c r="A1509" s="733" t="s">
        <v>1872</v>
      </c>
      <c r="B1509" s="733" t="s">
        <v>612</v>
      </c>
      <c r="C1509" s="733" t="s">
        <v>1875</v>
      </c>
      <c r="D1509" s="733" t="s">
        <v>21</v>
      </c>
      <c r="E1509" s="733" t="s">
        <v>614</v>
      </c>
      <c r="F1509" s="733" t="s">
        <v>615</v>
      </c>
      <c r="G1509" s="733"/>
      <c r="H1509" s="733"/>
      <c r="I1509" s="733"/>
      <c r="J1509" s="733"/>
      <c r="K1509" s="733"/>
      <c r="L1509" s="733"/>
      <c r="M1509" s="733"/>
    </row>
    <row r="1510" spans="1:13" x14ac:dyDescent="0.3">
      <c r="A1510" s="733" t="s">
        <v>1872</v>
      </c>
      <c r="B1510" s="733" t="s">
        <v>612</v>
      </c>
      <c r="C1510" s="733" t="s">
        <v>1826</v>
      </c>
      <c r="D1510" s="733" t="s">
        <v>21</v>
      </c>
      <c r="E1510" s="733" t="s">
        <v>614</v>
      </c>
      <c r="F1510" s="733" t="s">
        <v>615</v>
      </c>
      <c r="G1510" s="733"/>
      <c r="H1510" s="733"/>
      <c r="I1510" s="733"/>
      <c r="J1510" s="733"/>
      <c r="K1510" s="733"/>
      <c r="L1510" s="733"/>
      <c r="M1510" s="733"/>
    </row>
    <row r="1511" spans="1:13" x14ac:dyDescent="0.3">
      <c r="A1511" s="733" t="s">
        <v>1872</v>
      </c>
      <c r="B1511" s="733" t="s">
        <v>612</v>
      </c>
      <c r="C1511" s="733" t="s">
        <v>1582</v>
      </c>
      <c r="D1511" s="733" t="s">
        <v>21</v>
      </c>
      <c r="E1511" s="733" t="s">
        <v>614</v>
      </c>
      <c r="F1511" s="733" t="s">
        <v>615</v>
      </c>
      <c r="G1511" s="733"/>
      <c r="H1511" s="733"/>
      <c r="I1511" s="733"/>
      <c r="J1511" s="733"/>
      <c r="K1511" s="733"/>
      <c r="L1511" s="733"/>
      <c r="M1511" s="733"/>
    </row>
    <row r="1512" spans="1:13" x14ac:dyDescent="0.3">
      <c r="A1512" s="733" t="s">
        <v>1872</v>
      </c>
      <c r="B1512" s="733" t="s">
        <v>612</v>
      </c>
      <c r="C1512" s="733" t="s">
        <v>1174</v>
      </c>
      <c r="D1512" s="733" t="s">
        <v>21</v>
      </c>
      <c r="E1512" s="733" t="s">
        <v>614</v>
      </c>
      <c r="F1512" s="733" t="s">
        <v>615</v>
      </c>
      <c r="G1512" s="733"/>
      <c r="H1512" s="733"/>
      <c r="I1512" s="733"/>
      <c r="J1512" s="733"/>
      <c r="K1512" s="733"/>
      <c r="L1512" s="733"/>
      <c r="M1512" s="733"/>
    </row>
    <row r="1513" spans="1:13" x14ac:dyDescent="0.3">
      <c r="A1513" s="733" t="s">
        <v>1872</v>
      </c>
      <c r="B1513" s="733" t="s">
        <v>612</v>
      </c>
      <c r="C1513" s="733" t="s">
        <v>1188</v>
      </c>
      <c r="D1513" s="733" t="s">
        <v>21</v>
      </c>
      <c r="E1513" s="733" t="s">
        <v>614</v>
      </c>
      <c r="F1513" s="733" t="s">
        <v>615</v>
      </c>
      <c r="G1513" s="733"/>
      <c r="H1513" s="733"/>
      <c r="I1513" s="733"/>
      <c r="J1513" s="733"/>
      <c r="K1513" s="733"/>
      <c r="L1513" s="733"/>
      <c r="M1513" s="733"/>
    </row>
    <row r="1514" spans="1:13" x14ac:dyDescent="0.3">
      <c r="A1514" s="733" t="s">
        <v>1872</v>
      </c>
      <c r="B1514" s="733" t="s">
        <v>612</v>
      </c>
      <c r="C1514" s="733" t="s">
        <v>1876</v>
      </c>
      <c r="D1514" s="733" t="s">
        <v>21</v>
      </c>
      <c r="E1514" s="733" t="s">
        <v>614</v>
      </c>
      <c r="F1514" s="733" t="s">
        <v>615</v>
      </c>
      <c r="G1514" s="733"/>
      <c r="H1514" s="733"/>
      <c r="I1514" s="733"/>
      <c r="J1514" s="733"/>
      <c r="K1514" s="733"/>
      <c r="L1514" s="733"/>
      <c r="M1514" s="733"/>
    </row>
    <row r="1515" spans="1:13" x14ac:dyDescent="0.3">
      <c r="A1515" s="733" t="s">
        <v>1872</v>
      </c>
      <c r="B1515" s="733" t="s">
        <v>612</v>
      </c>
      <c r="C1515" s="733" t="s">
        <v>1877</v>
      </c>
      <c r="D1515" s="733" t="s">
        <v>21</v>
      </c>
      <c r="E1515" s="733" t="s">
        <v>614</v>
      </c>
      <c r="F1515" s="733" t="s">
        <v>615</v>
      </c>
      <c r="G1515" s="733"/>
      <c r="H1515" s="733"/>
      <c r="I1515" s="733"/>
      <c r="J1515" s="733"/>
      <c r="K1515" s="733"/>
      <c r="L1515" s="733"/>
      <c r="M1515" s="733"/>
    </row>
    <row r="1516" spans="1:13" x14ac:dyDescent="0.3">
      <c r="A1516" s="733" t="s">
        <v>1872</v>
      </c>
      <c r="B1516" s="733" t="s">
        <v>612</v>
      </c>
      <c r="C1516" s="733" t="s">
        <v>1878</v>
      </c>
      <c r="D1516" s="733" t="s">
        <v>21</v>
      </c>
      <c r="E1516" s="733" t="s">
        <v>614</v>
      </c>
      <c r="F1516" s="733" t="s">
        <v>615</v>
      </c>
      <c r="G1516" s="733"/>
      <c r="H1516" s="733"/>
      <c r="I1516" s="733"/>
      <c r="J1516" s="733"/>
      <c r="K1516" s="733"/>
      <c r="L1516" s="733"/>
      <c r="M1516" s="733"/>
    </row>
    <row r="1517" spans="1:13" x14ac:dyDescent="0.3">
      <c r="A1517" s="733" t="s">
        <v>1872</v>
      </c>
      <c r="B1517" s="733" t="s">
        <v>612</v>
      </c>
      <c r="C1517" s="733" t="s">
        <v>1175</v>
      </c>
      <c r="D1517" s="733" t="s">
        <v>21</v>
      </c>
      <c r="E1517" s="733" t="s">
        <v>614</v>
      </c>
      <c r="F1517" s="733" t="s">
        <v>615</v>
      </c>
      <c r="G1517" s="733"/>
      <c r="H1517" s="733"/>
      <c r="I1517" s="733"/>
      <c r="J1517" s="733"/>
      <c r="K1517" s="733"/>
      <c r="L1517" s="733"/>
      <c r="M1517" s="733"/>
    </row>
    <row r="1518" spans="1:13" x14ac:dyDescent="0.3">
      <c r="A1518" s="733" t="s">
        <v>1872</v>
      </c>
      <c r="B1518" s="733" t="s">
        <v>645</v>
      </c>
      <c r="C1518" s="733" t="s">
        <v>1879</v>
      </c>
      <c r="D1518" s="733" t="s">
        <v>21</v>
      </c>
      <c r="E1518" s="733" t="s">
        <v>614</v>
      </c>
      <c r="F1518" s="733" t="s">
        <v>615</v>
      </c>
      <c r="G1518" s="733"/>
      <c r="H1518" s="733"/>
      <c r="I1518" s="733"/>
      <c r="J1518" s="733"/>
      <c r="K1518" s="733"/>
      <c r="L1518" s="733"/>
      <c r="M1518" s="733"/>
    </row>
    <row r="1519" spans="1:13" x14ac:dyDescent="0.3">
      <c r="A1519" s="733" t="s">
        <v>1872</v>
      </c>
      <c r="B1519" s="733" t="s">
        <v>645</v>
      </c>
      <c r="C1519" s="733" t="s">
        <v>1880</v>
      </c>
      <c r="D1519" s="733" t="s">
        <v>21</v>
      </c>
      <c r="E1519" s="733" t="s">
        <v>614</v>
      </c>
      <c r="F1519" s="733" t="s">
        <v>615</v>
      </c>
      <c r="G1519" s="733"/>
      <c r="H1519" s="733"/>
      <c r="I1519" s="733"/>
      <c r="J1519" s="733"/>
      <c r="K1519" s="733"/>
      <c r="L1519" s="733"/>
      <c r="M1519" s="733"/>
    </row>
    <row r="1520" spans="1:13" x14ac:dyDescent="0.3">
      <c r="A1520" s="733" t="s">
        <v>1872</v>
      </c>
      <c r="B1520" s="733" t="s">
        <v>645</v>
      </c>
      <c r="C1520" s="733" t="s">
        <v>1196</v>
      </c>
      <c r="D1520" s="733" t="s">
        <v>21</v>
      </c>
      <c r="E1520" s="733" t="s">
        <v>614</v>
      </c>
      <c r="F1520" s="733" t="s">
        <v>615</v>
      </c>
      <c r="G1520" s="733"/>
      <c r="H1520" s="733"/>
      <c r="I1520" s="733"/>
      <c r="J1520" s="733"/>
      <c r="K1520" s="733"/>
      <c r="L1520" s="733"/>
      <c r="M1520" s="733"/>
    </row>
    <row r="1521" spans="1:13" x14ac:dyDescent="0.3">
      <c r="A1521" s="733" t="s">
        <v>1872</v>
      </c>
      <c r="B1521" s="733" t="s">
        <v>645</v>
      </c>
      <c r="C1521" s="733" t="s">
        <v>1881</v>
      </c>
      <c r="D1521" s="733" t="s">
        <v>21</v>
      </c>
      <c r="E1521" s="733" t="s">
        <v>614</v>
      </c>
      <c r="F1521" s="733" t="s">
        <v>615</v>
      </c>
      <c r="G1521" s="733"/>
      <c r="H1521" s="733"/>
      <c r="I1521" s="733"/>
      <c r="J1521" s="733"/>
      <c r="K1521" s="733"/>
      <c r="L1521" s="733"/>
      <c r="M1521" s="733"/>
    </row>
    <row r="1522" spans="1:13" x14ac:dyDescent="0.3">
      <c r="A1522" s="733" t="s">
        <v>1872</v>
      </c>
      <c r="B1522" s="733" t="s">
        <v>645</v>
      </c>
      <c r="C1522" s="733" t="s">
        <v>1882</v>
      </c>
      <c r="D1522" s="733" t="s">
        <v>21</v>
      </c>
      <c r="E1522" s="733" t="s">
        <v>614</v>
      </c>
      <c r="F1522" s="733" t="s">
        <v>615</v>
      </c>
      <c r="G1522" s="733"/>
      <c r="H1522" s="733"/>
      <c r="I1522" s="733"/>
      <c r="J1522" s="733"/>
      <c r="K1522" s="733"/>
      <c r="L1522" s="733"/>
      <c r="M1522" s="733"/>
    </row>
    <row r="1523" spans="1:13" x14ac:dyDescent="0.3">
      <c r="A1523" s="733" t="s">
        <v>1872</v>
      </c>
      <c r="B1523" s="733" t="s">
        <v>664</v>
      </c>
      <c r="C1523" s="733" t="s">
        <v>1883</v>
      </c>
      <c r="D1523" s="733" t="s">
        <v>21</v>
      </c>
      <c r="E1523" s="733" t="s">
        <v>614</v>
      </c>
      <c r="F1523" s="733" t="s">
        <v>615</v>
      </c>
      <c r="G1523" s="733"/>
      <c r="H1523" s="733"/>
      <c r="I1523" s="733"/>
      <c r="J1523" s="733"/>
      <c r="K1523" s="733"/>
      <c r="L1523" s="733"/>
      <c r="M1523" s="733"/>
    </row>
    <row r="1524" spans="1:13" x14ac:dyDescent="0.3">
      <c r="A1524" s="733" t="s">
        <v>1872</v>
      </c>
      <c r="B1524" s="733" t="s">
        <v>664</v>
      </c>
      <c r="C1524" s="733" t="s">
        <v>1884</v>
      </c>
      <c r="D1524" s="733" t="s">
        <v>21</v>
      </c>
      <c r="E1524" s="733" t="s">
        <v>614</v>
      </c>
      <c r="F1524" s="733" t="s">
        <v>615</v>
      </c>
      <c r="G1524" s="733"/>
      <c r="H1524" s="733"/>
      <c r="I1524" s="733"/>
      <c r="J1524" s="733"/>
      <c r="K1524" s="733"/>
      <c r="L1524" s="733"/>
      <c r="M1524" s="733"/>
    </row>
    <row r="1525" spans="1:13" x14ac:dyDescent="0.3">
      <c r="A1525" s="733" t="s">
        <v>1885</v>
      </c>
      <c r="B1525" s="733" t="s">
        <v>645</v>
      </c>
      <c r="C1525" s="733" t="s">
        <v>1886</v>
      </c>
      <c r="D1525" s="733" t="s">
        <v>21</v>
      </c>
      <c r="E1525" s="733" t="s">
        <v>614</v>
      </c>
      <c r="F1525" s="733" t="s">
        <v>615</v>
      </c>
      <c r="G1525" s="733"/>
      <c r="H1525" s="733"/>
      <c r="I1525" s="733"/>
      <c r="J1525" s="733"/>
      <c r="K1525" s="733"/>
      <c r="L1525" s="733"/>
      <c r="M1525" s="733"/>
    </row>
    <row r="1526" spans="1:13" x14ac:dyDescent="0.3">
      <c r="A1526" s="733" t="s">
        <v>1885</v>
      </c>
      <c r="B1526" s="733" t="s">
        <v>645</v>
      </c>
      <c r="C1526" s="733" t="s">
        <v>1887</v>
      </c>
      <c r="D1526" s="733" t="s">
        <v>21</v>
      </c>
      <c r="E1526" s="733" t="s">
        <v>614</v>
      </c>
      <c r="F1526" s="733" t="s">
        <v>615</v>
      </c>
      <c r="G1526" s="733"/>
      <c r="H1526" s="733"/>
      <c r="I1526" s="733"/>
      <c r="J1526" s="733"/>
      <c r="K1526" s="733"/>
      <c r="L1526" s="733"/>
      <c r="M1526" s="733"/>
    </row>
    <row r="1527" spans="1:13" x14ac:dyDescent="0.3">
      <c r="A1527" s="733" t="s">
        <v>1885</v>
      </c>
      <c r="B1527" s="733" t="s">
        <v>645</v>
      </c>
      <c r="C1527" s="733" t="s">
        <v>1888</v>
      </c>
      <c r="D1527" s="733" t="s">
        <v>21</v>
      </c>
      <c r="E1527" s="733" t="s">
        <v>614</v>
      </c>
      <c r="F1527" s="733" t="s">
        <v>615</v>
      </c>
      <c r="G1527" s="733"/>
      <c r="H1527" s="733"/>
      <c r="I1527" s="733"/>
      <c r="J1527" s="733"/>
      <c r="K1527" s="733"/>
      <c r="L1527" s="733"/>
      <c r="M1527" s="733"/>
    </row>
    <row r="1528" spans="1:13" x14ac:dyDescent="0.3">
      <c r="A1528" s="733" t="s">
        <v>1885</v>
      </c>
      <c r="B1528" s="733" t="s">
        <v>645</v>
      </c>
      <c r="C1528" s="733" t="s">
        <v>1889</v>
      </c>
      <c r="D1528" s="733" t="s">
        <v>21</v>
      </c>
      <c r="E1528" s="733" t="s">
        <v>614</v>
      </c>
      <c r="F1528" s="733" t="s">
        <v>615</v>
      </c>
      <c r="G1528" s="733"/>
      <c r="H1528" s="733"/>
      <c r="I1528" s="733"/>
      <c r="J1528" s="733"/>
      <c r="K1528" s="733"/>
      <c r="L1528" s="733"/>
      <c r="M1528" s="733"/>
    </row>
    <row r="1529" spans="1:13" x14ac:dyDescent="0.3">
      <c r="A1529" s="733" t="s">
        <v>1885</v>
      </c>
      <c r="B1529" s="733" t="s">
        <v>645</v>
      </c>
      <c r="C1529" s="733" t="s">
        <v>1890</v>
      </c>
      <c r="D1529" s="733" t="s">
        <v>21</v>
      </c>
      <c r="E1529" s="733" t="s">
        <v>614</v>
      </c>
      <c r="F1529" s="733" t="s">
        <v>615</v>
      </c>
      <c r="G1529" s="733"/>
      <c r="H1529" s="733"/>
      <c r="I1529" s="733"/>
      <c r="J1529" s="733"/>
      <c r="K1529" s="733"/>
      <c r="L1529" s="733"/>
      <c r="M1529" s="733"/>
    </row>
    <row r="1530" spans="1:13" x14ac:dyDescent="0.3">
      <c r="A1530" s="733" t="s">
        <v>1885</v>
      </c>
      <c r="B1530" s="733" t="s">
        <v>664</v>
      </c>
      <c r="C1530" s="733" t="s">
        <v>1891</v>
      </c>
      <c r="D1530" s="733" t="s">
        <v>21</v>
      </c>
      <c r="E1530" s="733" t="s">
        <v>614</v>
      </c>
      <c r="F1530" s="733" t="s">
        <v>615</v>
      </c>
      <c r="G1530" s="733"/>
      <c r="H1530" s="733"/>
      <c r="I1530" s="733"/>
      <c r="J1530" s="733"/>
      <c r="K1530" s="733"/>
      <c r="L1530" s="733"/>
      <c r="M1530" s="733"/>
    </row>
    <row r="1531" spans="1:13" x14ac:dyDescent="0.3">
      <c r="A1531" s="733" t="s">
        <v>1885</v>
      </c>
      <c r="B1531" s="733" t="s">
        <v>664</v>
      </c>
      <c r="C1531" s="733" t="s">
        <v>1892</v>
      </c>
      <c r="D1531" s="733" t="s">
        <v>21</v>
      </c>
      <c r="E1531" s="733" t="s">
        <v>614</v>
      </c>
      <c r="F1531" s="733" t="s">
        <v>615</v>
      </c>
      <c r="G1531" s="733"/>
      <c r="H1531" s="733"/>
      <c r="I1531" s="733"/>
      <c r="J1531" s="733"/>
      <c r="K1531" s="733"/>
      <c r="L1531" s="733"/>
      <c r="M1531" s="733"/>
    </row>
    <row r="1532" spans="1:13" x14ac:dyDescent="0.3">
      <c r="A1532" s="733" t="s">
        <v>1885</v>
      </c>
      <c r="B1532" s="733" t="s">
        <v>664</v>
      </c>
      <c r="C1532" s="733" t="s">
        <v>1893</v>
      </c>
      <c r="D1532" s="733" t="s">
        <v>21</v>
      </c>
      <c r="E1532" s="733" t="s">
        <v>614</v>
      </c>
      <c r="F1532" s="733" t="s">
        <v>615</v>
      </c>
      <c r="G1532" s="733"/>
      <c r="H1532" s="733"/>
      <c r="I1532" s="733"/>
      <c r="J1532" s="733"/>
      <c r="K1532" s="733"/>
      <c r="L1532" s="733"/>
      <c r="M1532" s="733"/>
    </row>
    <row r="1533" spans="1:13" x14ac:dyDescent="0.3">
      <c r="A1533" s="733" t="s">
        <v>1885</v>
      </c>
      <c r="B1533" s="733" t="s">
        <v>664</v>
      </c>
      <c r="C1533" s="733" t="s">
        <v>1753</v>
      </c>
      <c r="D1533" s="733" t="s">
        <v>21</v>
      </c>
      <c r="E1533" s="733" t="s">
        <v>614</v>
      </c>
      <c r="F1533" s="733" t="s">
        <v>615</v>
      </c>
      <c r="G1533" s="733"/>
      <c r="H1533" s="733"/>
      <c r="I1533" s="733"/>
      <c r="J1533" s="733"/>
      <c r="K1533" s="733"/>
      <c r="L1533" s="733"/>
      <c r="M1533" s="733"/>
    </row>
    <row r="1534" spans="1:13" x14ac:dyDescent="0.3">
      <c r="A1534" s="733" t="s">
        <v>1885</v>
      </c>
      <c r="B1534" s="733" t="s">
        <v>664</v>
      </c>
      <c r="C1534" s="733" t="s">
        <v>1894</v>
      </c>
      <c r="D1534" s="733" t="s">
        <v>21</v>
      </c>
      <c r="E1534" s="733" t="s">
        <v>614</v>
      </c>
      <c r="F1534" s="733" t="s">
        <v>615</v>
      </c>
      <c r="G1534" s="733"/>
      <c r="H1534" s="733"/>
      <c r="I1534" s="733"/>
      <c r="J1534" s="733"/>
      <c r="K1534" s="733"/>
      <c r="L1534" s="733"/>
      <c r="M1534" s="733"/>
    </row>
    <row r="1535" spans="1:13" x14ac:dyDescent="0.3">
      <c r="A1535" s="733" t="s">
        <v>1895</v>
      </c>
      <c r="B1535" s="733" t="s">
        <v>612</v>
      </c>
      <c r="C1535" s="733" t="s">
        <v>1896</v>
      </c>
      <c r="D1535" s="733" t="s">
        <v>21</v>
      </c>
      <c r="E1535" s="761"/>
      <c r="F1535" s="761"/>
      <c r="G1535" s="733"/>
      <c r="H1535" s="733"/>
      <c r="I1535" s="733"/>
      <c r="J1535" s="733"/>
      <c r="K1535" s="733"/>
      <c r="L1535" s="733"/>
      <c r="M1535" s="733"/>
    </row>
    <row r="1536" spans="1:13" x14ac:dyDescent="0.3">
      <c r="A1536" s="733" t="s">
        <v>1895</v>
      </c>
      <c r="B1536" s="733" t="s">
        <v>612</v>
      </c>
      <c r="C1536" s="733" t="s">
        <v>1897</v>
      </c>
      <c r="D1536" s="733" t="s">
        <v>21</v>
      </c>
      <c r="E1536" s="761"/>
      <c r="F1536" s="761"/>
      <c r="G1536" s="733"/>
      <c r="H1536" s="733"/>
      <c r="I1536" s="733"/>
      <c r="J1536" s="733"/>
      <c r="K1536" s="733"/>
      <c r="L1536" s="733"/>
      <c r="M1536" s="733"/>
    </row>
    <row r="1537" spans="1:13" x14ac:dyDescent="0.3">
      <c r="A1537" s="733" t="s">
        <v>1895</v>
      </c>
      <c r="B1537" s="733" t="s">
        <v>612</v>
      </c>
      <c r="C1537" s="733" t="s">
        <v>1898</v>
      </c>
      <c r="D1537" s="733" t="s">
        <v>21</v>
      </c>
      <c r="E1537" s="761"/>
      <c r="F1537" s="761"/>
      <c r="G1537" s="733"/>
      <c r="H1537" s="733"/>
      <c r="I1537" s="733"/>
      <c r="J1537" s="733"/>
      <c r="K1537" s="733"/>
      <c r="L1537" s="733"/>
      <c r="M1537" s="733"/>
    </row>
    <row r="1538" spans="1:13" x14ac:dyDescent="0.3">
      <c r="A1538" s="733" t="s">
        <v>1895</v>
      </c>
      <c r="B1538" s="733" t="s">
        <v>612</v>
      </c>
      <c r="C1538" s="733" t="s">
        <v>1899</v>
      </c>
      <c r="D1538" s="733" t="s">
        <v>21</v>
      </c>
      <c r="E1538" s="761"/>
      <c r="F1538" s="761"/>
      <c r="G1538" s="733"/>
      <c r="H1538" s="733"/>
      <c r="I1538" s="733"/>
      <c r="J1538" s="733"/>
      <c r="K1538" s="733"/>
      <c r="L1538" s="733"/>
      <c r="M1538" s="733"/>
    </row>
    <row r="1539" spans="1:13" x14ac:dyDescent="0.3">
      <c r="A1539" s="733" t="s">
        <v>1895</v>
      </c>
      <c r="B1539" s="733" t="s">
        <v>612</v>
      </c>
      <c r="C1539" s="733" t="s">
        <v>1900</v>
      </c>
      <c r="D1539" s="733" t="s">
        <v>21</v>
      </c>
      <c r="E1539" s="761"/>
      <c r="F1539" s="761"/>
      <c r="G1539" s="733"/>
      <c r="H1539" s="733"/>
      <c r="I1539" s="733"/>
      <c r="J1539" s="733"/>
      <c r="K1539" s="733"/>
      <c r="L1539" s="733"/>
      <c r="M1539" s="733"/>
    </row>
    <row r="1540" spans="1:13" x14ac:dyDescent="0.3">
      <c r="A1540" s="733" t="s">
        <v>1895</v>
      </c>
      <c r="B1540" s="733" t="s">
        <v>645</v>
      </c>
      <c r="C1540" s="733" t="s">
        <v>1901</v>
      </c>
      <c r="D1540" s="733" t="s">
        <v>21</v>
      </c>
      <c r="E1540" s="761"/>
      <c r="F1540" s="761"/>
      <c r="G1540" s="733"/>
      <c r="H1540" s="733"/>
      <c r="I1540" s="733"/>
      <c r="J1540" s="733"/>
      <c r="K1540" s="733"/>
      <c r="L1540" s="733"/>
      <c r="M1540" s="733"/>
    </row>
    <row r="1541" spans="1:13" x14ac:dyDescent="0.3">
      <c r="A1541" s="733" t="s">
        <v>1895</v>
      </c>
      <c r="B1541" s="733" t="s">
        <v>645</v>
      </c>
      <c r="C1541" s="733" t="s">
        <v>1902</v>
      </c>
      <c r="D1541" s="733" t="s">
        <v>21</v>
      </c>
      <c r="E1541" s="761"/>
      <c r="F1541" s="761"/>
      <c r="G1541" s="733"/>
      <c r="H1541" s="733"/>
      <c r="I1541" s="733"/>
      <c r="J1541" s="733"/>
      <c r="K1541" s="733"/>
      <c r="L1541" s="733"/>
      <c r="M1541" s="733"/>
    </row>
    <row r="1542" spans="1:13" x14ac:dyDescent="0.3">
      <c r="A1542" s="733" t="s">
        <v>1895</v>
      </c>
      <c r="B1542" s="733" t="s">
        <v>645</v>
      </c>
      <c r="C1542" s="733" t="s">
        <v>1903</v>
      </c>
      <c r="D1542" s="733" t="s">
        <v>21</v>
      </c>
      <c r="E1542" s="761"/>
      <c r="F1542" s="761"/>
      <c r="G1542" s="733"/>
      <c r="H1542" s="733"/>
      <c r="I1542" s="733"/>
      <c r="J1542" s="733"/>
      <c r="K1542" s="733"/>
      <c r="L1542" s="733"/>
      <c r="M1542" s="733"/>
    </row>
    <row r="1543" spans="1:13" x14ac:dyDescent="0.3">
      <c r="A1543" s="733" t="s">
        <v>1895</v>
      </c>
      <c r="B1543" s="733" t="s">
        <v>645</v>
      </c>
      <c r="C1543" s="733" t="s">
        <v>1904</v>
      </c>
      <c r="D1543" s="733" t="s">
        <v>21</v>
      </c>
      <c r="E1543" s="761"/>
      <c r="F1543" s="761"/>
      <c r="G1543" s="733"/>
      <c r="H1543" s="733"/>
      <c r="I1543" s="733"/>
      <c r="J1543" s="733"/>
      <c r="K1543" s="733"/>
      <c r="L1543" s="733"/>
      <c r="M1543" s="733"/>
    </row>
    <row r="1544" spans="1:13" x14ac:dyDescent="0.3">
      <c r="A1544" s="733" t="s">
        <v>1895</v>
      </c>
      <c r="B1544" s="733" t="s">
        <v>645</v>
      </c>
      <c r="C1544" s="733" t="s">
        <v>1905</v>
      </c>
      <c r="D1544" s="733" t="s">
        <v>21</v>
      </c>
      <c r="E1544" s="761"/>
      <c r="F1544" s="761"/>
      <c r="G1544" s="733"/>
      <c r="H1544" s="733"/>
      <c r="I1544" s="733"/>
      <c r="J1544" s="733"/>
      <c r="K1544" s="733"/>
      <c r="L1544" s="733"/>
      <c r="M1544" s="733"/>
    </row>
    <row r="1545" spans="1:13" x14ac:dyDescent="0.3">
      <c r="A1545" s="733" t="s">
        <v>1895</v>
      </c>
      <c r="B1545" s="733" t="s">
        <v>664</v>
      </c>
      <c r="C1545" s="733" t="s">
        <v>1906</v>
      </c>
      <c r="D1545" s="733" t="s">
        <v>21</v>
      </c>
      <c r="E1545" s="761"/>
      <c r="F1545" s="761"/>
      <c r="G1545" s="733"/>
      <c r="H1545" s="733"/>
      <c r="I1545" s="733"/>
      <c r="J1545" s="733"/>
      <c r="K1545" s="733"/>
      <c r="L1545" s="733"/>
      <c r="M1545" s="733"/>
    </row>
    <row r="1546" spans="1:13" x14ac:dyDescent="0.3">
      <c r="A1546" s="733" t="s">
        <v>1895</v>
      </c>
      <c r="B1546" s="733" t="s">
        <v>664</v>
      </c>
      <c r="C1546" s="733" t="s">
        <v>1907</v>
      </c>
      <c r="D1546" s="733" t="s">
        <v>21</v>
      </c>
      <c r="E1546" s="761"/>
      <c r="F1546" s="761"/>
      <c r="G1546" s="733"/>
      <c r="H1546" s="733"/>
      <c r="I1546" s="733"/>
      <c r="J1546" s="733"/>
      <c r="K1546" s="733"/>
      <c r="L1546" s="733"/>
      <c r="M1546" s="733"/>
    </row>
    <row r="1547" spans="1:13" x14ac:dyDescent="0.3">
      <c r="A1547" s="733" t="s">
        <v>1895</v>
      </c>
      <c r="B1547" s="733" t="s">
        <v>664</v>
      </c>
      <c r="C1547" s="733" t="s">
        <v>1908</v>
      </c>
      <c r="D1547" s="733" t="s">
        <v>21</v>
      </c>
      <c r="E1547" s="761"/>
      <c r="F1547" s="761"/>
      <c r="G1547" s="733"/>
      <c r="H1547" s="733"/>
      <c r="I1547" s="733"/>
      <c r="J1547" s="733"/>
      <c r="K1547" s="733"/>
      <c r="L1547" s="733"/>
      <c r="M1547" s="733"/>
    </row>
    <row r="1548" spans="1:13" x14ac:dyDescent="0.3">
      <c r="A1548" s="733" t="s">
        <v>1895</v>
      </c>
      <c r="B1548" s="733" t="s">
        <v>664</v>
      </c>
      <c r="C1548" s="733" t="s">
        <v>1909</v>
      </c>
      <c r="D1548" s="733" t="s">
        <v>21</v>
      </c>
      <c r="E1548" s="761"/>
      <c r="F1548" s="761"/>
      <c r="G1548" s="733"/>
      <c r="H1548" s="733"/>
      <c r="I1548" s="733"/>
      <c r="J1548" s="733"/>
      <c r="K1548" s="733"/>
      <c r="L1548" s="733"/>
      <c r="M1548" s="733"/>
    </row>
    <row r="1549" spans="1:13" x14ac:dyDescent="0.3">
      <c r="A1549" s="733" t="s">
        <v>1895</v>
      </c>
      <c r="B1549" s="733" t="s">
        <v>664</v>
      </c>
      <c r="C1549" s="733" t="s">
        <v>1910</v>
      </c>
      <c r="D1549" s="733" t="s">
        <v>21</v>
      </c>
      <c r="E1549" s="761"/>
      <c r="F1549" s="761"/>
      <c r="G1549" s="733"/>
      <c r="H1549" s="733"/>
      <c r="I1549" s="733"/>
      <c r="J1549" s="733"/>
      <c r="K1549" s="733"/>
      <c r="L1549" s="733"/>
      <c r="M1549" s="733"/>
    </row>
    <row r="1550" spans="1:13" x14ac:dyDescent="0.3">
      <c r="A1550" s="733" t="s">
        <v>1911</v>
      </c>
      <c r="B1550" s="733" t="s">
        <v>612</v>
      </c>
      <c r="C1550" s="733" t="s">
        <v>1912</v>
      </c>
      <c r="D1550" s="733" t="s">
        <v>21</v>
      </c>
      <c r="E1550" s="733" t="s">
        <v>614</v>
      </c>
      <c r="F1550" s="733" t="s">
        <v>615</v>
      </c>
      <c r="G1550" s="733"/>
      <c r="H1550" s="733"/>
      <c r="I1550" s="733"/>
      <c r="J1550" s="733"/>
      <c r="K1550" s="733"/>
      <c r="L1550" s="733"/>
      <c r="M1550" s="733"/>
    </row>
    <row r="1551" spans="1:13" x14ac:dyDescent="0.3">
      <c r="A1551" s="733" t="s">
        <v>1913</v>
      </c>
      <c r="B1551" s="733" t="s">
        <v>612</v>
      </c>
      <c r="C1551" s="733" t="s">
        <v>1173</v>
      </c>
      <c r="D1551" s="733" t="s">
        <v>21</v>
      </c>
      <c r="E1551" s="733" t="s">
        <v>614</v>
      </c>
      <c r="F1551" s="733" t="s">
        <v>615</v>
      </c>
      <c r="G1551" s="733"/>
      <c r="H1551" s="733"/>
      <c r="I1551" s="733"/>
      <c r="J1551" s="733"/>
      <c r="K1551" s="733"/>
      <c r="L1551" s="733"/>
      <c r="M1551" s="733"/>
    </row>
    <row r="1552" spans="1:13" x14ac:dyDescent="0.3">
      <c r="A1552" s="733" t="s">
        <v>1913</v>
      </c>
      <c r="B1552" s="733" t="s">
        <v>612</v>
      </c>
      <c r="C1552" s="733" t="s">
        <v>1217</v>
      </c>
      <c r="D1552" s="733" t="s">
        <v>21</v>
      </c>
      <c r="E1552" s="733" t="s">
        <v>614</v>
      </c>
      <c r="F1552" s="733" t="s">
        <v>615</v>
      </c>
      <c r="G1552" s="733"/>
      <c r="H1552" s="733"/>
      <c r="I1552" s="733"/>
      <c r="J1552" s="733"/>
      <c r="K1552" s="733"/>
      <c r="L1552" s="733"/>
      <c r="M1552" s="733"/>
    </row>
    <row r="1553" spans="1:13" x14ac:dyDescent="0.3">
      <c r="A1553" s="733" t="s">
        <v>1913</v>
      </c>
      <c r="B1553" s="733" t="s">
        <v>612</v>
      </c>
      <c r="C1553" s="733" t="s">
        <v>932</v>
      </c>
      <c r="D1553" s="733" t="s">
        <v>21</v>
      </c>
      <c r="E1553" s="733" t="s">
        <v>614</v>
      </c>
      <c r="F1553" s="733" t="s">
        <v>615</v>
      </c>
      <c r="G1553" s="733"/>
      <c r="H1553" s="733"/>
      <c r="I1553" s="733"/>
      <c r="J1553" s="733"/>
      <c r="K1553" s="733"/>
      <c r="L1553" s="733"/>
      <c r="M1553" s="733"/>
    </row>
    <row r="1554" spans="1:13" x14ac:dyDescent="0.3">
      <c r="A1554" s="733" t="s">
        <v>1913</v>
      </c>
      <c r="B1554" s="733" t="s">
        <v>612</v>
      </c>
      <c r="C1554" s="733" t="s">
        <v>1219</v>
      </c>
      <c r="D1554" s="733" t="s">
        <v>21</v>
      </c>
      <c r="E1554" s="733" t="s">
        <v>614</v>
      </c>
      <c r="F1554" s="733" t="s">
        <v>615</v>
      </c>
      <c r="G1554" s="733"/>
      <c r="H1554" s="733"/>
      <c r="I1554" s="733"/>
      <c r="J1554" s="733"/>
      <c r="K1554" s="733"/>
      <c r="L1554" s="733"/>
      <c r="M1554" s="733"/>
    </row>
    <row r="1555" spans="1:13" x14ac:dyDescent="0.3">
      <c r="A1555" s="733" t="s">
        <v>1913</v>
      </c>
      <c r="B1555" s="733" t="s">
        <v>612</v>
      </c>
      <c r="C1555" s="733" t="s">
        <v>1174</v>
      </c>
      <c r="D1555" s="733" t="s">
        <v>21</v>
      </c>
      <c r="E1555" s="733" t="s">
        <v>614</v>
      </c>
      <c r="F1555" s="733" t="s">
        <v>615</v>
      </c>
      <c r="G1555" s="733"/>
      <c r="H1555" s="733"/>
      <c r="I1555" s="733"/>
      <c r="J1555" s="733"/>
      <c r="K1555" s="733"/>
      <c r="L1555" s="733"/>
      <c r="M1555" s="733"/>
    </row>
    <row r="1556" spans="1:13" x14ac:dyDescent="0.3">
      <c r="A1556" s="733" t="s">
        <v>1913</v>
      </c>
      <c r="B1556" s="733" t="s">
        <v>612</v>
      </c>
      <c r="C1556" s="733" t="s">
        <v>1191</v>
      </c>
      <c r="D1556" s="733" t="s">
        <v>21</v>
      </c>
      <c r="E1556" s="733" t="s">
        <v>614</v>
      </c>
      <c r="F1556" s="733" t="s">
        <v>615</v>
      </c>
      <c r="G1556" s="733"/>
      <c r="H1556" s="733"/>
      <c r="I1556" s="733"/>
      <c r="J1556" s="733"/>
      <c r="K1556" s="733"/>
      <c r="L1556" s="733"/>
      <c r="M1556" s="733"/>
    </row>
    <row r="1557" spans="1:13" x14ac:dyDescent="0.3">
      <c r="A1557" s="733" t="s">
        <v>1913</v>
      </c>
      <c r="B1557" s="733" t="s">
        <v>612</v>
      </c>
      <c r="C1557" s="733" t="s">
        <v>1914</v>
      </c>
      <c r="D1557" s="733" t="s">
        <v>21</v>
      </c>
      <c r="E1557" s="733" t="s">
        <v>614</v>
      </c>
      <c r="F1557" s="733" t="s">
        <v>615</v>
      </c>
      <c r="G1557" s="733"/>
      <c r="H1557" s="733"/>
      <c r="I1557" s="733"/>
      <c r="J1557" s="733"/>
      <c r="K1557" s="733"/>
      <c r="L1557" s="733"/>
      <c r="M1557" s="733"/>
    </row>
    <row r="1558" spans="1:13" x14ac:dyDescent="0.3">
      <c r="A1558" s="733" t="s">
        <v>1913</v>
      </c>
      <c r="B1558" s="733" t="s">
        <v>612</v>
      </c>
      <c r="C1558" s="733" t="s">
        <v>1915</v>
      </c>
      <c r="D1558" s="733" t="s">
        <v>21</v>
      </c>
      <c r="E1558" s="733" t="s">
        <v>614</v>
      </c>
      <c r="F1558" s="733" t="s">
        <v>615</v>
      </c>
      <c r="G1558" s="733"/>
      <c r="H1558" s="733"/>
      <c r="I1558" s="733"/>
      <c r="J1558" s="733"/>
      <c r="K1558" s="733"/>
      <c r="L1558" s="733"/>
      <c r="M1558" s="733"/>
    </row>
    <row r="1559" spans="1:13" x14ac:dyDescent="0.3">
      <c r="A1559" s="733" t="s">
        <v>1913</v>
      </c>
      <c r="B1559" s="733" t="s">
        <v>612</v>
      </c>
      <c r="C1559" s="733" t="s">
        <v>1220</v>
      </c>
      <c r="D1559" s="733" t="s">
        <v>21</v>
      </c>
      <c r="E1559" s="733" t="s">
        <v>614</v>
      </c>
      <c r="F1559" s="733" t="s">
        <v>615</v>
      </c>
      <c r="G1559" s="733"/>
      <c r="H1559" s="733"/>
      <c r="I1559" s="733"/>
      <c r="J1559" s="733"/>
      <c r="K1559" s="733"/>
      <c r="L1559" s="733"/>
      <c r="M1559" s="733"/>
    </row>
    <row r="1560" spans="1:13" x14ac:dyDescent="0.3">
      <c r="A1560" s="733" t="s">
        <v>1913</v>
      </c>
      <c r="B1560" s="733" t="s">
        <v>645</v>
      </c>
      <c r="C1560" s="733" t="s">
        <v>1916</v>
      </c>
      <c r="D1560" s="733" t="s">
        <v>21</v>
      </c>
      <c r="E1560" s="733" t="s">
        <v>614</v>
      </c>
      <c r="F1560" s="733" t="s">
        <v>615</v>
      </c>
      <c r="G1560" s="733"/>
      <c r="H1560" s="733"/>
      <c r="I1560" s="733"/>
      <c r="J1560" s="733"/>
      <c r="K1560" s="733"/>
      <c r="L1560" s="733"/>
      <c r="M1560" s="733"/>
    </row>
    <row r="1561" spans="1:13" x14ac:dyDescent="0.3">
      <c r="A1561" s="733" t="s">
        <v>1913</v>
      </c>
      <c r="B1561" s="733" t="s">
        <v>645</v>
      </c>
      <c r="C1561" s="733" t="s">
        <v>1917</v>
      </c>
      <c r="D1561" s="733" t="s">
        <v>21</v>
      </c>
      <c r="E1561" s="733" t="s">
        <v>614</v>
      </c>
      <c r="F1561" s="733" t="s">
        <v>615</v>
      </c>
      <c r="G1561" s="733"/>
      <c r="H1561" s="733"/>
      <c r="I1561" s="733"/>
      <c r="J1561" s="733"/>
      <c r="K1561" s="733"/>
      <c r="L1561" s="733"/>
      <c r="M1561" s="733"/>
    </row>
    <row r="1562" spans="1:13" x14ac:dyDescent="0.3">
      <c r="A1562" s="733" t="s">
        <v>1913</v>
      </c>
      <c r="B1562" s="733" t="s">
        <v>645</v>
      </c>
      <c r="C1562" s="733" t="s">
        <v>1212</v>
      </c>
      <c r="D1562" s="733" t="s">
        <v>21</v>
      </c>
      <c r="E1562" s="733" t="s">
        <v>614</v>
      </c>
      <c r="F1562" s="733" t="s">
        <v>615</v>
      </c>
      <c r="G1562" s="733"/>
      <c r="H1562" s="733"/>
      <c r="I1562" s="733"/>
      <c r="J1562" s="733"/>
      <c r="K1562" s="733"/>
      <c r="L1562" s="733"/>
      <c r="M1562" s="733"/>
    </row>
    <row r="1563" spans="1:13" x14ac:dyDescent="0.3">
      <c r="A1563" s="733" t="s">
        <v>1913</v>
      </c>
      <c r="B1563" s="733" t="s">
        <v>645</v>
      </c>
      <c r="C1563" s="733" t="s">
        <v>1223</v>
      </c>
      <c r="D1563" s="733" t="s">
        <v>21</v>
      </c>
      <c r="E1563" s="733" t="s">
        <v>614</v>
      </c>
      <c r="F1563" s="733" t="s">
        <v>615</v>
      </c>
      <c r="G1563" s="733"/>
      <c r="H1563" s="733"/>
      <c r="I1563" s="733"/>
      <c r="J1563" s="733"/>
      <c r="K1563" s="733"/>
      <c r="L1563" s="733"/>
      <c r="M1563" s="733"/>
    </row>
    <row r="1564" spans="1:13" x14ac:dyDescent="0.3">
      <c r="A1564" s="733" t="s">
        <v>1913</v>
      </c>
      <c r="B1564" s="733" t="s">
        <v>645</v>
      </c>
      <c r="C1564" s="733" t="s">
        <v>1918</v>
      </c>
      <c r="D1564" s="733" t="s">
        <v>21</v>
      </c>
      <c r="E1564" s="733" t="s">
        <v>614</v>
      </c>
      <c r="F1564" s="733" t="s">
        <v>615</v>
      </c>
      <c r="G1564" s="733"/>
      <c r="H1564" s="733"/>
      <c r="I1564" s="733"/>
      <c r="J1564" s="733"/>
      <c r="K1564" s="733"/>
      <c r="L1564" s="733"/>
      <c r="M1564" s="733"/>
    </row>
    <row r="1565" spans="1:13" x14ac:dyDescent="0.3">
      <c r="A1565" s="733" t="s">
        <v>1913</v>
      </c>
      <c r="B1565" s="733" t="s">
        <v>664</v>
      </c>
      <c r="C1565" s="733" t="s">
        <v>1221</v>
      </c>
      <c r="D1565" s="733" t="s">
        <v>21</v>
      </c>
      <c r="E1565" s="733" t="s">
        <v>614</v>
      </c>
      <c r="F1565" s="733" t="s">
        <v>615</v>
      </c>
      <c r="G1565" s="733"/>
      <c r="H1565" s="733"/>
      <c r="I1565" s="733"/>
      <c r="J1565" s="733"/>
      <c r="K1565" s="733"/>
      <c r="L1565" s="733"/>
      <c r="M1565" s="733"/>
    </row>
    <row r="1566" spans="1:13" x14ac:dyDescent="0.3">
      <c r="A1566" s="733" t="s">
        <v>1913</v>
      </c>
      <c r="B1566" s="733" t="s">
        <v>664</v>
      </c>
      <c r="C1566" s="733" t="s">
        <v>1919</v>
      </c>
      <c r="D1566" s="733" t="s">
        <v>21</v>
      </c>
      <c r="E1566" s="733" t="s">
        <v>614</v>
      </c>
      <c r="F1566" s="733" t="s">
        <v>615</v>
      </c>
      <c r="G1566" s="733"/>
      <c r="H1566" s="733"/>
      <c r="I1566" s="733"/>
      <c r="J1566" s="733"/>
      <c r="K1566" s="733"/>
      <c r="L1566" s="733"/>
      <c r="M1566" s="733"/>
    </row>
    <row r="1567" spans="1:13" x14ac:dyDescent="0.3">
      <c r="A1567" s="733" t="s">
        <v>1913</v>
      </c>
      <c r="B1567" s="733" t="s">
        <v>664</v>
      </c>
      <c r="C1567" s="733" t="s">
        <v>1920</v>
      </c>
      <c r="D1567" s="733" t="s">
        <v>21</v>
      </c>
      <c r="E1567" s="733" t="s">
        <v>614</v>
      </c>
      <c r="F1567" s="733" t="s">
        <v>615</v>
      </c>
      <c r="G1567" s="733"/>
      <c r="H1567" s="733"/>
      <c r="I1567" s="733"/>
      <c r="J1567" s="733"/>
      <c r="K1567" s="733"/>
      <c r="L1567" s="733"/>
      <c r="M1567" s="733"/>
    </row>
    <row r="1568" spans="1:13" x14ac:dyDescent="0.3">
      <c r="A1568" s="733" t="s">
        <v>1913</v>
      </c>
      <c r="B1568" s="733" t="s">
        <v>664</v>
      </c>
      <c r="C1568" s="733" t="s">
        <v>1837</v>
      </c>
      <c r="D1568" s="733" t="s">
        <v>21</v>
      </c>
      <c r="E1568" s="733" t="s">
        <v>614</v>
      </c>
      <c r="F1568" s="733" t="s">
        <v>615</v>
      </c>
      <c r="G1568" s="733"/>
      <c r="H1568" s="733"/>
      <c r="I1568" s="733"/>
      <c r="J1568" s="733"/>
      <c r="K1568" s="733"/>
      <c r="L1568" s="733"/>
      <c r="M1568" s="733"/>
    </row>
    <row r="1569" spans="1:13" x14ac:dyDescent="0.3">
      <c r="A1569" s="733" t="s">
        <v>1921</v>
      </c>
      <c r="B1569" s="733" t="s">
        <v>612</v>
      </c>
      <c r="C1569" s="733" t="s">
        <v>963</v>
      </c>
      <c r="D1569" s="733" t="s">
        <v>21</v>
      </c>
      <c r="E1569" s="733" t="s">
        <v>614</v>
      </c>
      <c r="F1569" s="733" t="s">
        <v>615</v>
      </c>
      <c r="G1569" s="733"/>
      <c r="H1569" s="733"/>
      <c r="I1569" s="733"/>
      <c r="J1569" s="733"/>
      <c r="K1569" s="733"/>
      <c r="L1569" s="733"/>
      <c r="M1569" s="733"/>
    </row>
    <row r="1570" spans="1:13" x14ac:dyDescent="0.3">
      <c r="A1570" s="734" t="s">
        <v>1921</v>
      </c>
      <c r="B1570" s="734" t="s">
        <v>612</v>
      </c>
      <c r="C1570" s="734" t="s">
        <v>1922</v>
      </c>
      <c r="D1570" s="734" t="s">
        <v>21</v>
      </c>
      <c r="E1570" s="734" t="s">
        <v>614</v>
      </c>
      <c r="F1570" s="734" t="s">
        <v>696</v>
      </c>
      <c r="G1570" s="733"/>
      <c r="H1570" s="733"/>
      <c r="I1570" s="733"/>
      <c r="J1570" s="733"/>
      <c r="K1570" s="733"/>
      <c r="L1570" s="733"/>
      <c r="M1570" s="733"/>
    </row>
    <row r="1571" spans="1:13" x14ac:dyDescent="0.3">
      <c r="A1571" s="733" t="s">
        <v>1923</v>
      </c>
      <c r="B1571" s="733" t="s">
        <v>612</v>
      </c>
      <c r="C1571" s="733" t="s">
        <v>1241</v>
      </c>
      <c r="D1571" s="733" t="s">
        <v>21</v>
      </c>
      <c r="E1571" s="733" t="s">
        <v>614</v>
      </c>
      <c r="F1571" s="733" t="s">
        <v>615</v>
      </c>
      <c r="G1571" s="733"/>
      <c r="H1571" s="733"/>
      <c r="I1571" s="733"/>
      <c r="J1571" s="733"/>
      <c r="K1571" s="733"/>
      <c r="L1571" s="733"/>
      <c r="M1571" s="733"/>
    </row>
    <row r="1572" spans="1:13" x14ac:dyDescent="0.3">
      <c r="A1572" s="733" t="s">
        <v>1923</v>
      </c>
      <c r="B1572" s="733" t="s">
        <v>612</v>
      </c>
      <c r="C1572" s="733" t="s">
        <v>1924</v>
      </c>
      <c r="D1572" s="733" t="s">
        <v>21</v>
      </c>
      <c r="E1572" s="733" t="s">
        <v>614</v>
      </c>
      <c r="F1572" s="733" t="s">
        <v>615</v>
      </c>
      <c r="G1572" s="733"/>
      <c r="H1572" s="733"/>
      <c r="I1572" s="733"/>
      <c r="J1572" s="733"/>
      <c r="K1572" s="733"/>
      <c r="L1572" s="733"/>
      <c r="M1572" s="733"/>
    </row>
    <row r="1573" spans="1:13" x14ac:dyDescent="0.3">
      <c r="A1573" s="734" t="s">
        <v>1923</v>
      </c>
      <c r="B1573" s="734" t="s">
        <v>612</v>
      </c>
      <c r="C1573" s="734" t="s">
        <v>1925</v>
      </c>
      <c r="D1573" s="734" t="s">
        <v>21</v>
      </c>
      <c r="E1573" s="734" t="s">
        <v>614</v>
      </c>
      <c r="F1573" s="734" t="s">
        <v>696</v>
      </c>
      <c r="G1573" s="733"/>
      <c r="H1573" s="733"/>
      <c r="I1573" s="733"/>
      <c r="J1573" s="733"/>
      <c r="K1573" s="733"/>
      <c r="L1573" s="733"/>
      <c r="M1573" s="733"/>
    </row>
    <row r="1574" spans="1:13" x14ac:dyDescent="0.3">
      <c r="A1574" s="733" t="s">
        <v>1923</v>
      </c>
      <c r="B1574" s="733" t="s">
        <v>612</v>
      </c>
      <c r="C1574" s="733" t="s">
        <v>931</v>
      </c>
      <c r="D1574" s="733" t="s">
        <v>21</v>
      </c>
      <c r="E1574" s="733" t="s">
        <v>614</v>
      </c>
      <c r="F1574" s="733" t="s">
        <v>615</v>
      </c>
      <c r="G1574" s="733"/>
      <c r="H1574" s="733"/>
      <c r="I1574" s="733"/>
      <c r="J1574" s="733"/>
      <c r="K1574" s="733"/>
      <c r="L1574" s="733"/>
      <c r="M1574" s="733"/>
    </row>
    <row r="1575" spans="1:13" x14ac:dyDescent="0.3">
      <c r="A1575" s="733" t="s">
        <v>1923</v>
      </c>
      <c r="B1575" s="733" t="s">
        <v>612</v>
      </c>
      <c r="C1575" s="733" t="s">
        <v>1926</v>
      </c>
      <c r="D1575" s="733" t="s">
        <v>21</v>
      </c>
      <c r="E1575" s="733" t="s">
        <v>614</v>
      </c>
      <c r="F1575" s="733" t="s">
        <v>615</v>
      </c>
      <c r="G1575" s="733"/>
      <c r="H1575" s="733"/>
      <c r="I1575" s="733"/>
      <c r="J1575" s="733"/>
      <c r="K1575" s="733"/>
      <c r="L1575" s="733"/>
      <c r="M1575" s="733"/>
    </row>
    <row r="1576" spans="1:13" x14ac:dyDescent="0.3">
      <c r="A1576" s="733" t="s">
        <v>1923</v>
      </c>
      <c r="B1576" s="733" t="s">
        <v>612</v>
      </c>
      <c r="C1576" s="733" t="s">
        <v>1927</v>
      </c>
      <c r="D1576" s="733" t="s">
        <v>21</v>
      </c>
      <c r="E1576" s="733" t="s">
        <v>614</v>
      </c>
      <c r="F1576" s="733" t="s">
        <v>615</v>
      </c>
      <c r="G1576" s="733"/>
      <c r="H1576" s="733"/>
      <c r="I1576" s="733"/>
      <c r="J1576" s="733"/>
      <c r="K1576" s="733"/>
      <c r="L1576" s="733"/>
      <c r="M1576" s="733"/>
    </row>
    <row r="1577" spans="1:13" x14ac:dyDescent="0.3">
      <c r="A1577" s="733" t="s">
        <v>1923</v>
      </c>
      <c r="B1577" s="733" t="s">
        <v>612</v>
      </c>
      <c r="C1577" s="733" t="s">
        <v>1928</v>
      </c>
      <c r="D1577" s="733" t="s">
        <v>21</v>
      </c>
      <c r="E1577" s="733" t="s">
        <v>614</v>
      </c>
      <c r="F1577" s="733" t="s">
        <v>615</v>
      </c>
      <c r="G1577" s="733"/>
      <c r="H1577" s="733"/>
      <c r="I1577" s="733"/>
      <c r="J1577" s="733"/>
      <c r="K1577" s="733"/>
      <c r="L1577" s="733"/>
      <c r="M1577" s="733"/>
    </row>
    <row r="1578" spans="1:13" x14ac:dyDescent="0.3">
      <c r="A1578" s="733" t="s">
        <v>1923</v>
      </c>
      <c r="B1578" s="733" t="s">
        <v>612</v>
      </c>
      <c r="C1578" s="733" t="s">
        <v>1929</v>
      </c>
      <c r="D1578" s="733" t="s">
        <v>21</v>
      </c>
      <c r="E1578" s="733" t="s">
        <v>614</v>
      </c>
      <c r="F1578" s="733" t="s">
        <v>615</v>
      </c>
      <c r="G1578" s="733"/>
      <c r="H1578" s="733"/>
      <c r="I1578" s="733"/>
      <c r="J1578" s="733"/>
      <c r="K1578" s="733"/>
      <c r="L1578" s="733"/>
      <c r="M1578" s="733"/>
    </row>
    <row r="1579" spans="1:13" x14ac:dyDescent="0.3">
      <c r="A1579" s="733" t="s">
        <v>1923</v>
      </c>
      <c r="B1579" s="733" t="s">
        <v>612</v>
      </c>
      <c r="C1579" s="733" t="s">
        <v>909</v>
      </c>
      <c r="D1579" s="733" t="s">
        <v>21</v>
      </c>
      <c r="E1579" s="733" t="s">
        <v>614</v>
      </c>
      <c r="F1579" s="733" t="s">
        <v>615</v>
      </c>
      <c r="G1579" s="733"/>
      <c r="H1579" s="733"/>
      <c r="I1579" s="733"/>
      <c r="J1579" s="733"/>
      <c r="K1579" s="733"/>
      <c r="L1579" s="733"/>
      <c r="M1579" s="733"/>
    </row>
    <row r="1580" spans="1:13" x14ac:dyDescent="0.3">
      <c r="A1580" s="733" t="s">
        <v>1923</v>
      </c>
      <c r="B1580" s="733" t="s">
        <v>612</v>
      </c>
      <c r="C1580" s="733" t="s">
        <v>1730</v>
      </c>
      <c r="D1580" s="733" t="s">
        <v>21</v>
      </c>
      <c r="E1580" s="733" t="s">
        <v>614</v>
      </c>
      <c r="F1580" s="733" t="s">
        <v>615</v>
      </c>
      <c r="G1580" s="733"/>
      <c r="H1580" s="733"/>
      <c r="I1580" s="733"/>
      <c r="J1580" s="733"/>
      <c r="K1580" s="733"/>
      <c r="L1580" s="733"/>
      <c r="M1580" s="733"/>
    </row>
    <row r="1581" spans="1:13" x14ac:dyDescent="0.3">
      <c r="A1581" s="733" t="s">
        <v>1923</v>
      </c>
      <c r="B1581" s="733" t="s">
        <v>612</v>
      </c>
      <c r="C1581" s="733" t="s">
        <v>1930</v>
      </c>
      <c r="D1581" s="733" t="s">
        <v>21</v>
      </c>
      <c r="E1581" s="733" t="s">
        <v>614</v>
      </c>
      <c r="F1581" s="733" t="s">
        <v>615</v>
      </c>
      <c r="G1581" s="733"/>
      <c r="H1581" s="733"/>
      <c r="I1581" s="733"/>
      <c r="J1581" s="733"/>
      <c r="K1581" s="733"/>
      <c r="L1581" s="733"/>
      <c r="M1581" s="733"/>
    </row>
    <row r="1582" spans="1:13" x14ac:dyDescent="0.3">
      <c r="A1582" s="733" t="s">
        <v>1923</v>
      </c>
      <c r="B1582" s="733" t="s">
        <v>612</v>
      </c>
      <c r="C1582" s="733" t="s">
        <v>1931</v>
      </c>
      <c r="D1582" s="733" t="s">
        <v>21</v>
      </c>
      <c r="E1582" s="733" t="s">
        <v>614</v>
      </c>
      <c r="F1582" s="733" t="s">
        <v>615</v>
      </c>
      <c r="G1582" s="733"/>
      <c r="H1582" s="733"/>
      <c r="I1582" s="733"/>
      <c r="J1582" s="733"/>
      <c r="K1582" s="733"/>
      <c r="L1582" s="733"/>
      <c r="M1582" s="733"/>
    </row>
    <row r="1583" spans="1:13" x14ac:dyDescent="0.3">
      <c r="A1583" s="733" t="s">
        <v>1923</v>
      </c>
      <c r="B1583" s="733" t="s">
        <v>612</v>
      </c>
      <c r="C1583" s="733" t="s">
        <v>1931</v>
      </c>
      <c r="D1583" s="733" t="s">
        <v>21</v>
      </c>
      <c r="E1583" s="733" t="s">
        <v>614</v>
      </c>
      <c r="F1583" s="733" t="s">
        <v>615</v>
      </c>
      <c r="G1583" s="733"/>
      <c r="H1583" s="733"/>
      <c r="I1583" s="733"/>
      <c r="J1583" s="733"/>
      <c r="K1583" s="733"/>
      <c r="L1583" s="733"/>
      <c r="M1583" s="733"/>
    </row>
    <row r="1584" spans="1:13" x14ac:dyDescent="0.3">
      <c r="A1584" s="733" t="s">
        <v>1923</v>
      </c>
      <c r="B1584" s="733" t="s">
        <v>612</v>
      </c>
      <c r="C1584" s="733" t="s">
        <v>1932</v>
      </c>
      <c r="D1584" s="733" t="s">
        <v>21</v>
      </c>
      <c r="E1584" s="733" t="s">
        <v>614</v>
      </c>
      <c r="F1584" s="733" t="s">
        <v>615</v>
      </c>
      <c r="G1584" s="733"/>
      <c r="H1584" s="733"/>
      <c r="I1584" s="733"/>
      <c r="J1584" s="733"/>
      <c r="K1584" s="733"/>
      <c r="L1584" s="733"/>
      <c r="M1584" s="733"/>
    </row>
    <row r="1585" spans="1:13" x14ac:dyDescent="0.3">
      <c r="A1585" s="733" t="s">
        <v>1923</v>
      </c>
      <c r="B1585" s="733" t="s">
        <v>612</v>
      </c>
      <c r="C1585" s="733" t="s">
        <v>978</v>
      </c>
      <c r="D1585" s="733" t="s">
        <v>21</v>
      </c>
      <c r="E1585" s="733" t="s">
        <v>614</v>
      </c>
      <c r="F1585" s="733" t="s">
        <v>615</v>
      </c>
      <c r="G1585" s="733"/>
      <c r="H1585" s="733"/>
      <c r="I1585" s="733"/>
      <c r="J1585" s="733"/>
      <c r="K1585" s="733"/>
      <c r="L1585" s="733"/>
      <c r="M1585" s="733"/>
    </row>
    <row r="1586" spans="1:13" x14ac:dyDescent="0.3">
      <c r="A1586" s="733" t="s">
        <v>1923</v>
      </c>
      <c r="B1586" s="733" t="s">
        <v>612</v>
      </c>
      <c r="C1586" s="733" t="s">
        <v>1933</v>
      </c>
      <c r="D1586" s="733" t="s">
        <v>21</v>
      </c>
      <c r="E1586" s="733" t="s">
        <v>614</v>
      </c>
      <c r="F1586" s="733" t="s">
        <v>615</v>
      </c>
      <c r="G1586" s="733"/>
      <c r="H1586" s="733"/>
      <c r="I1586" s="733"/>
      <c r="J1586" s="733"/>
      <c r="K1586" s="733"/>
      <c r="L1586" s="733"/>
      <c r="M1586" s="733"/>
    </row>
    <row r="1587" spans="1:13" x14ac:dyDescent="0.3">
      <c r="A1587" s="733" t="s">
        <v>1923</v>
      </c>
      <c r="B1587" s="733" t="s">
        <v>612</v>
      </c>
      <c r="C1587" s="733" t="s">
        <v>1934</v>
      </c>
      <c r="D1587" s="733" t="s">
        <v>21</v>
      </c>
      <c r="E1587" s="733" t="s">
        <v>614</v>
      </c>
      <c r="F1587" s="733" t="s">
        <v>615</v>
      </c>
      <c r="G1587" s="733"/>
      <c r="H1587" s="733"/>
      <c r="I1587" s="733"/>
      <c r="J1587" s="733"/>
      <c r="K1587" s="733"/>
      <c r="L1587" s="733"/>
      <c r="M1587" s="733"/>
    </row>
    <row r="1588" spans="1:13" x14ac:dyDescent="0.3">
      <c r="A1588" s="733" t="s">
        <v>1923</v>
      </c>
      <c r="B1588" s="733" t="s">
        <v>612</v>
      </c>
      <c r="C1588" s="733" t="s">
        <v>1935</v>
      </c>
      <c r="D1588" s="733" t="s">
        <v>21</v>
      </c>
      <c r="E1588" s="733" t="s">
        <v>614</v>
      </c>
      <c r="F1588" s="733" t="s">
        <v>615</v>
      </c>
      <c r="G1588" s="733"/>
      <c r="H1588" s="733"/>
      <c r="I1588" s="733"/>
      <c r="J1588" s="733"/>
      <c r="K1588" s="733"/>
      <c r="L1588" s="733"/>
      <c r="M1588" s="733"/>
    </row>
    <row r="1589" spans="1:13" x14ac:dyDescent="0.3">
      <c r="A1589" s="733" t="s">
        <v>1923</v>
      </c>
      <c r="B1589" s="733" t="s">
        <v>612</v>
      </c>
      <c r="C1589" s="733" t="s">
        <v>1668</v>
      </c>
      <c r="D1589" s="733" t="s">
        <v>21</v>
      </c>
      <c r="E1589" s="733" t="s">
        <v>614</v>
      </c>
      <c r="F1589" s="733" t="s">
        <v>615</v>
      </c>
      <c r="G1589" s="733"/>
      <c r="H1589" s="733"/>
      <c r="I1589" s="733"/>
      <c r="J1589" s="733"/>
      <c r="K1589" s="733"/>
      <c r="L1589" s="733"/>
      <c r="M1589" s="733"/>
    </row>
    <row r="1590" spans="1:13" x14ac:dyDescent="0.3">
      <c r="A1590" s="733" t="s">
        <v>1923</v>
      </c>
      <c r="B1590" s="733" t="s">
        <v>612</v>
      </c>
      <c r="C1590" s="733" t="s">
        <v>1936</v>
      </c>
      <c r="D1590" s="733" t="s">
        <v>21</v>
      </c>
      <c r="E1590" s="733" t="s">
        <v>614</v>
      </c>
      <c r="F1590" s="733" t="s">
        <v>615</v>
      </c>
      <c r="G1590" s="733"/>
      <c r="H1590" s="733"/>
      <c r="I1590" s="733"/>
      <c r="J1590" s="733"/>
      <c r="K1590" s="733"/>
      <c r="L1590" s="733"/>
      <c r="M1590" s="733"/>
    </row>
    <row r="1591" spans="1:13" x14ac:dyDescent="0.3">
      <c r="A1591" s="733" t="s">
        <v>1923</v>
      </c>
      <c r="B1591" s="733" t="s">
        <v>612</v>
      </c>
      <c r="C1591" s="733" t="s">
        <v>1937</v>
      </c>
      <c r="D1591" s="733" t="s">
        <v>21</v>
      </c>
      <c r="E1591" s="733" t="s">
        <v>614</v>
      </c>
      <c r="F1591" s="733" t="s">
        <v>615</v>
      </c>
      <c r="G1591" s="733"/>
      <c r="H1591" s="733"/>
      <c r="I1591" s="733"/>
      <c r="J1591" s="733"/>
      <c r="K1591" s="733"/>
      <c r="L1591" s="733"/>
      <c r="M1591" s="733"/>
    </row>
    <row r="1592" spans="1:13" x14ac:dyDescent="0.3">
      <c r="A1592" s="733" t="s">
        <v>1923</v>
      </c>
      <c r="B1592" s="733" t="s">
        <v>612</v>
      </c>
      <c r="C1592" s="733" t="s">
        <v>985</v>
      </c>
      <c r="D1592" s="733" t="s">
        <v>21</v>
      </c>
      <c r="E1592" s="733" t="s">
        <v>614</v>
      </c>
      <c r="F1592" s="733" t="s">
        <v>615</v>
      </c>
      <c r="G1592" s="733"/>
      <c r="H1592" s="733"/>
      <c r="I1592" s="733"/>
      <c r="J1592" s="733"/>
      <c r="K1592" s="733"/>
      <c r="L1592" s="733"/>
      <c r="M1592" s="733"/>
    </row>
    <row r="1593" spans="1:13" x14ac:dyDescent="0.3">
      <c r="A1593" s="733" t="s">
        <v>1923</v>
      </c>
      <c r="B1593" s="733" t="s">
        <v>612</v>
      </c>
      <c r="C1593" s="733" t="s">
        <v>1733</v>
      </c>
      <c r="D1593" s="733" t="s">
        <v>21</v>
      </c>
      <c r="E1593" s="733" t="s">
        <v>614</v>
      </c>
      <c r="F1593" s="733" t="s">
        <v>615</v>
      </c>
      <c r="G1593" s="733"/>
      <c r="H1593" s="733"/>
      <c r="I1593" s="733"/>
      <c r="J1593" s="733"/>
      <c r="K1593" s="733"/>
      <c r="L1593" s="733"/>
      <c r="M1593" s="733"/>
    </row>
    <row r="1594" spans="1:13" x14ac:dyDescent="0.3">
      <c r="A1594" s="733" t="s">
        <v>1923</v>
      </c>
      <c r="B1594" s="733" t="s">
        <v>612</v>
      </c>
      <c r="C1594" s="733" t="s">
        <v>1669</v>
      </c>
      <c r="D1594" s="733" t="s">
        <v>21</v>
      </c>
      <c r="E1594" s="733" t="s">
        <v>614</v>
      </c>
      <c r="F1594" s="733" t="s">
        <v>615</v>
      </c>
      <c r="G1594" s="733"/>
      <c r="H1594" s="733"/>
      <c r="I1594" s="733"/>
      <c r="J1594" s="733"/>
      <c r="K1594" s="733"/>
      <c r="L1594" s="733"/>
      <c r="M1594" s="733"/>
    </row>
    <row r="1595" spans="1:13" x14ac:dyDescent="0.3">
      <c r="A1595" s="733" t="s">
        <v>1923</v>
      </c>
      <c r="B1595" s="733" t="s">
        <v>612</v>
      </c>
      <c r="C1595" s="733" t="s">
        <v>991</v>
      </c>
      <c r="D1595" s="733" t="s">
        <v>21</v>
      </c>
      <c r="E1595" s="733" t="s">
        <v>614</v>
      </c>
      <c r="F1595" s="733" t="s">
        <v>615</v>
      </c>
      <c r="G1595" s="733"/>
      <c r="H1595" s="733"/>
      <c r="I1595" s="733"/>
      <c r="J1595" s="733"/>
      <c r="K1595" s="733"/>
      <c r="L1595" s="733"/>
      <c r="M1595" s="733"/>
    </row>
    <row r="1596" spans="1:13" x14ac:dyDescent="0.3">
      <c r="A1596" s="733" t="s">
        <v>1923</v>
      </c>
      <c r="B1596" s="733" t="s">
        <v>612</v>
      </c>
      <c r="C1596" s="733" t="s">
        <v>992</v>
      </c>
      <c r="D1596" s="733" t="s">
        <v>21</v>
      </c>
      <c r="E1596" s="733" t="s">
        <v>614</v>
      </c>
      <c r="F1596" s="733" t="s">
        <v>615</v>
      </c>
      <c r="G1596" s="733"/>
      <c r="H1596" s="733"/>
      <c r="I1596" s="733"/>
      <c r="J1596" s="733"/>
      <c r="K1596" s="733"/>
      <c r="L1596" s="733"/>
      <c r="M1596" s="733"/>
    </row>
    <row r="1597" spans="1:13" x14ac:dyDescent="0.3">
      <c r="A1597" s="733" t="s">
        <v>1923</v>
      </c>
      <c r="B1597" s="733" t="s">
        <v>612</v>
      </c>
      <c r="C1597" s="733" t="s">
        <v>993</v>
      </c>
      <c r="D1597" s="733" t="s">
        <v>21</v>
      </c>
      <c r="E1597" s="733" t="s">
        <v>614</v>
      </c>
      <c r="F1597" s="733" t="s">
        <v>615</v>
      </c>
      <c r="G1597" s="733"/>
      <c r="H1597" s="733"/>
      <c r="I1597" s="733"/>
      <c r="J1597" s="733"/>
      <c r="K1597" s="733"/>
      <c r="L1597" s="733"/>
      <c r="M1597" s="733"/>
    </row>
    <row r="1598" spans="1:13" x14ac:dyDescent="0.3">
      <c r="A1598" s="733" t="s">
        <v>1923</v>
      </c>
      <c r="B1598" s="733" t="s">
        <v>612</v>
      </c>
      <c r="C1598" s="733" t="s">
        <v>1938</v>
      </c>
      <c r="D1598" s="733" t="s">
        <v>21</v>
      </c>
      <c r="E1598" s="733" t="s">
        <v>614</v>
      </c>
      <c r="F1598" s="733" t="s">
        <v>615</v>
      </c>
      <c r="G1598" s="733"/>
      <c r="H1598" s="733"/>
      <c r="I1598" s="733"/>
      <c r="J1598" s="733"/>
      <c r="K1598" s="733"/>
      <c r="L1598" s="733"/>
      <c r="M1598" s="733"/>
    </row>
    <row r="1599" spans="1:13" x14ac:dyDescent="0.3">
      <c r="A1599" s="733" t="s">
        <v>1923</v>
      </c>
      <c r="B1599" s="733" t="s">
        <v>612</v>
      </c>
      <c r="C1599" s="733" t="s">
        <v>1939</v>
      </c>
      <c r="D1599" s="733" t="s">
        <v>21</v>
      </c>
      <c r="E1599" s="733" t="s">
        <v>614</v>
      </c>
      <c r="F1599" s="733" t="s">
        <v>615</v>
      </c>
      <c r="G1599" s="733"/>
      <c r="H1599" s="733"/>
      <c r="I1599" s="733"/>
      <c r="J1599" s="733"/>
      <c r="K1599" s="733"/>
      <c r="L1599" s="733"/>
      <c r="M1599" s="733"/>
    </row>
    <row r="1600" spans="1:13" x14ac:dyDescent="0.3">
      <c r="A1600" s="733" t="s">
        <v>1923</v>
      </c>
      <c r="B1600" s="733" t="s">
        <v>612</v>
      </c>
      <c r="C1600" s="733" t="s">
        <v>1940</v>
      </c>
      <c r="D1600" s="733" t="s">
        <v>21</v>
      </c>
      <c r="E1600" s="733" t="s">
        <v>614</v>
      </c>
      <c r="F1600" s="733" t="s">
        <v>615</v>
      </c>
      <c r="G1600" s="733"/>
      <c r="H1600" s="733"/>
      <c r="I1600" s="733"/>
      <c r="J1600" s="733"/>
      <c r="K1600" s="733"/>
      <c r="L1600" s="733"/>
      <c r="M1600" s="733"/>
    </row>
    <row r="1601" spans="1:13" x14ac:dyDescent="0.3">
      <c r="A1601" s="733" t="s">
        <v>1923</v>
      </c>
      <c r="B1601" s="733" t="s">
        <v>612</v>
      </c>
      <c r="C1601" s="733" t="s">
        <v>1941</v>
      </c>
      <c r="D1601" s="733" t="s">
        <v>21</v>
      </c>
      <c r="E1601" s="733" t="s">
        <v>614</v>
      </c>
      <c r="F1601" s="733" t="s">
        <v>615</v>
      </c>
      <c r="G1601" s="733"/>
      <c r="H1601" s="733"/>
      <c r="I1601" s="733"/>
      <c r="J1601" s="733"/>
      <c r="K1601" s="733"/>
      <c r="L1601" s="733"/>
      <c r="M1601" s="733"/>
    </row>
    <row r="1602" spans="1:13" x14ac:dyDescent="0.3">
      <c r="A1602" s="733" t="s">
        <v>1923</v>
      </c>
      <c r="B1602" s="733" t="s">
        <v>612</v>
      </c>
      <c r="C1602" s="733" t="s">
        <v>1942</v>
      </c>
      <c r="D1602" s="733" t="s">
        <v>21</v>
      </c>
      <c r="E1602" s="733" t="s">
        <v>614</v>
      </c>
      <c r="F1602" s="733" t="s">
        <v>615</v>
      </c>
      <c r="G1602" s="733"/>
      <c r="H1602" s="733"/>
      <c r="I1602" s="733"/>
      <c r="J1602" s="733"/>
      <c r="K1602" s="733"/>
      <c r="L1602" s="733"/>
      <c r="M1602" s="733"/>
    </row>
    <row r="1603" spans="1:13" x14ac:dyDescent="0.3">
      <c r="A1603" s="733" t="s">
        <v>1923</v>
      </c>
      <c r="B1603" s="733" t="s">
        <v>612</v>
      </c>
      <c r="C1603" s="733" t="s">
        <v>1943</v>
      </c>
      <c r="D1603" s="733" t="s">
        <v>21</v>
      </c>
      <c r="E1603" s="733" t="s">
        <v>614</v>
      </c>
      <c r="F1603" s="733" t="s">
        <v>615</v>
      </c>
      <c r="G1603" s="733"/>
      <c r="H1603" s="733"/>
      <c r="I1603" s="733"/>
      <c r="J1603" s="733"/>
      <c r="K1603" s="733"/>
      <c r="L1603" s="733"/>
      <c r="M1603" s="733"/>
    </row>
    <row r="1604" spans="1:13" x14ac:dyDescent="0.3">
      <c r="A1604" s="733" t="s">
        <v>1923</v>
      </c>
      <c r="B1604" s="733" t="s">
        <v>612</v>
      </c>
      <c r="C1604" s="733" t="s">
        <v>1734</v>
      </c>
      <c r="D1604" s="733" t="s">
        <v>21</v>
      </c>
      <c r="E1604" s="733" t="s">
        <v>614</v>
      </c>
      <c r="F1604" s="733" t="s">
        <v>615</v>
      </c>
      <c r="G1604" s="733"/>
      <c r="H1604" s="733"/>
      <c r="I1604" s="733"/>
      <c r="J1604" s="733"/>
      <c r="K1604" s="733"/>
      <c r="L1604" s="733"/>
      <c r="M1604" s="733"/>
    </row>
    <row r="1605" spans="1:13" x14ac:dyDescent="0.3">
      <c r="A1605" s="733" t="s">
        <v>1923</v>
      </c>
      <c r="B1605" s="733" t="s">
        <v>612</v>
      </c>
      <c r="C1605" s="733" t="s">
        <v>1735</v>
      </c>
      <c r="D1605" s="733" t="s">
        <v>21</v>
      </c>
      <c r="E1605" s="733" t="s">
        <v>614</v>
      </c>
      <c r="F1605" s="733" t="s">
        <v>615</v>
      </c>
      <c r="G1605" s="733"/>
      <c r="H1605" s="733"/>
      <c r="I1605" s="733"/>
      <c r="J1605" s="733"/>
      <c r="K1605" s="733"/>
      <c r="L1605" s="733"/>
      <c r="M1605" s="733"/>
    </row>
    <row r="1606" spans="1:13" x14ac:dyDescent="0.3">
      <c r="A1606" s="733" t="s">
        <v>1923</v>
      </c>
      <c r="B1606" s="733" t="s">
        <v>612</v>
      </c>
      <c r="C1606" s="733" t="s">
        <v>998</v>
      </c>
      <c r="D1606" s="733" t="s">
        <v>21</v>
      </c>
      <c r="E1606" s="733" t="s">
        <v>614</v>
      </c>
      <c r="F1606" s="733" t="s">
        <v>615</v>
      </c>
      <c r="G1606" s="733"/>
      <c r="H1606" s="733"/>
      <c r="I1606" s="733"/>
      <c r="J1606" s="733"/>
      <c r="K1606" s="733"/>
      <c r="L1606" s="733"/>
      <c r="M1606" s="733"/>
    </row>
    <row r="1607" spans="1:13" x14ac:dyDescent="0.3">
      <c r="A1607" s="733" t="s">
        <v>1923</v>
      </c>
      <c r="B1607" s="733" t="s">
        <v>612</v>
      </c>
      <c r="C1607" s="733" t="s">
        <v>1944</v>
      </c>
      <c r="D1607" s="733" t="s">
        <v>21</v>
      </c>
      <c r="E1607" s="733" t="s">
        <v>614</v>
      </c>
      <c r="F1607" s="733" t="s">
        <v>615</v>
      </c>
      <c r="G1607" s="733"/>
      <c r="H1607" s="733"/>
      <c r="I1607" s="733"/>
      <c r="J1607" s="733"/>
      <c r="K1607" s="733"/>
      <c r="L1607" s="733"/>
      <c r="M1607" s="733"/>
    </row>
    <row r="1608" spans="1:13" x14ac:dyDescent="0.3">
      <c r="A1608" s="733" t="s">
        <v>1923</v>
      </c>
      <c r="B1608" s="733" t="s">
        <v>612</v>
      </c>
      <c r="C1608" s="733" t="s">
        <v>1000</v>
      </c>
      <c r="D1608" s="733" t="s">
        <v>21</v>
      </c>
      <c r="E1608" s="733" t="s">
        <v>614</v>
      </c>
      <c r="F1608" s="733" t="s">
        <v>615</v>
      </c>
      <c r="G1608" s="733"/>
      <c r="H1608" s="733"/>
      <c r="I1608" s="733"/>
      <c r="J1608" s="733"/>
      <c r="K1608" s="733"/>
      <c r="L1608" s="733"/>
      <c r="M1608" s="733"/>
    </row>
    <row r="1609" spans="1:13" x14ac:dyDescent="0.3">
      <c r="A1609" s="733" t="s">
        <v>1923</v>
      </c>
      <c r="B1609" s="733" t="s">
        <v>612</v>
      </c>
      <c r="C1609" s="733" t="s">
        <v>1945</v>
      </c>
      <c r="D1609" s="733" t="s">
        <v>21</v>
      </c>
      <c r="E1609" s="733" t="s">
        <v>614</v>
      </c>
      <c r="F1609" s="733" t="s">
        <v>615</v>
      </c>
      <c r="G1609" s="733"/>
      <c r="H1609" s="733"/>
      <c r="I1609" s="733"/>
      <c r="J1609" s="733"/>
      <c r="K1609" s="733"/>
      <c r="L1609" s="733"/>
      <c r="M1609" s="733"/>
    </row>
    <row r="1610" spans="1:13" x14ac:dyDescent="0.3">
      <c r="A1610" s="734" t="s">
        <v>1923</v>
      </c>
      <c r="B1610" s="734" t="s">
        <v>612</v>
      </c>
      <c r="C1610" s="734" t="s">
        <v>1946</v>
      </c>
      <c r="D1610" s="734" t="s">
        <v>21</v>
      </c>
      <c r="E1610" s="734" t="s">
        <v>614</v>
      </c>
      <c r="F1610" s="734" t="s">
        <v>696</v>
      </c>
      <c r="G1610" s="733"/>
      <c r="H1610" s="733"/>
      <c r="I1610" s="733"/>
      <c r="J1610" s="733"/>
      <c r="K1610" s="733"/>
      <c r="L1610" s="733"/>
      <c r="M1610" s="733"/>
    </row>
    <row r="1611" spans="1:13" x14ac:dyDescent="0.3">
      <c r="A1611" s="733" t="s">
        <v>1923</v>
      </c>
      <c r="B1611" s="733" t="s">
        <v>612</v>
      </c>
      <c r="C1611" s="733" t="s">
        <v>1947</v>
      </c>
      <c r="D1611" s="733" t="s">
        <v>21</v>
      </c>
      <c r="E1611" s="733" t="s">
        <v>614</v>
      </c>
      <c r="F1611" s="733" t="s">
        <v>615</v>
      </c>
      <c r="G1611" s="733"/>
      <c r="H1611" s="733"/>
      <c r="I1611" s="733"/>
      <c r="J1611" s="733"/>
      <c r="K1611" s="733"/>
      <c r="L1611" s="733"/>
      <c r="M1611" s="733"/>
    </row>
    <row r="1612" spans="1:13" x14ac:dyDescent="0.3">
      <c r="A1612" s="733" t="s">
        <v>1923</v>
      </c>
      <c r="B1612" s="733" t="s">
        <v>612</v>
      </c>
      <c r="C1612" s="733" t="s">
        <v>1001</v>
      </c>
      <c r="D1612" s="733" t="s">
        <v>21</v>
      </c>
      <c r="E1612" s="733" t="s">
        <v>614</v>
      </c>
      <c r="F1612" s="733" t="s">
        <v>615</v>
      </c>
      <c r="G1612" s="733"/>
      <c r="H1612" s="733"/>
      <c r="I1612" s="733"/>
      <c r="J1612" s="733"/>
      <c r="K1612" s="733"/>
      <c r="L1612" s="733"/>
      <c r="M1612" s="733"/>
    </row>
    <row r="1613" spans="1:13" x14ac:dyDescent="0.3">
      <c r="A1613" s="733" t="s">
        <v>1923</v>
      </c>
      <c r="B1613" s="733" t="s">
        <v>612</v>
      </c>
      <c r="C1613" s="733" t="s">
        <v>1948</v>
      </c>
      <c r="D1613" s="733" t="s">
        <v>21</v>
      </c>
      <c r="E1613" s="733" t="s">
        <v>614</v>
      </c>
      <c r="F1613" s="733" t="s">
        <v>615</v>
      </c>
      <c r="G1613" s="733"/>
      <c r="H1613" s="733"/>
      <c r="I1613" s="733"/>
      <c r="J1613" s="733"/>
      <c r="K1613" s="733"/>
      <c r="L1613" s="733"/>
      <c r="M1613" s="733"/>
    </row>
    <row r="1614" spans="1:13" x14ac:dyDescent="0.3">
      <c r="A1614" s="734" t="s">
        <v>1923</v>
      </c>
      <c r="B1614" s="734" t="s">
        <v>645</v>
      </c>
      <c r="C1614" s="734" t="s">
        <v>1007</v>
      </c>
      <c r="D1614" s="734" t="s">
        <v>21</v>
      </c>
      <c r="E1614" s="734" t="s">
        <v>614</v>
      </c>
      <c r="F1614" s="734" t="s">
        <v>736</v>
      </c>
      <c r="G1614" s="733"/>
      <c r="H1614" s="733"/>
      <c r="I1614" s="733"/>
      <c r="J1614" s="733"/>
      <c r="K1614" s="733"/>
      <c r="L1614" s="733"/>
      <c r="M1614" s="733"/>
    </row>
    <row r="1615" spans="1:13" x14ac:dyDescent="0.3">
      <c r="A1615" s="733" t="s">
        <v>1923</v>
      </c>
      <c r="B1615" s="733" t="s">
        <v>645</v>
      </c>
      <c r="C1615" s="733" t="s">
        <v>1008</v>
      </c>
      <c r="D1615" s="733" t="s">
        <v>21</v>
      </c>
      <c r="E1615" s="733" t="s">
        <v>614</v>
      </c>
      <c r="F1615" s="733" t="s">
        <v>615</v>
      </c>
      <c r="G1615" s="733"/>
      <c r="H1615" s="733"/>
      <c r="I1615" s="733"/>
      <c r="J1615" s="733"/>
      <c r="K1615" s="733"/>
      <c r="L1615" s="733"/>
      <c r="M1615" s="733"/>
    </row>
    <row r="1616" spans="1:13" x14ac:dyDescent="0.3">
      <c r="A1616" s="733" t="s">
        <v>1923</v>
      </c>
      <c r="B1616" s="733" t="s">
        <v>645</v>
      </c>
      <c r="C1616" s="733" t="s">
        <v>1741</v>
      </c>
      <c r="D1616" s="733" t="s">
        <v>21</v>
      </c>
      <c r="E1616" s="733" t="s">
        <v>614</v>
      </c>
      <c r="F1616" s="733" t="s">
        <v>615</v>
      </c>
      <c r="G1616" s="733"/>
      <c r="H1616" s="733"/>
      <c r="I1616" s="733"/>
      <c r="J1616" s="733"/>
      <c r="K1616" s="733"/>
      <c r="L1616" s="733"/>
      <c r="M1616" s="733"/>
    </row>
    <row r="1617" spans="1:13" x14ac:dyDescent="0.3">
      <c r="A1617" s="733" t="s">
        <v>1923</v>
      </c>
      <c r="B1617" s="733" t="s">
        <v>645</v>
      </c>
      <c r="C1617" s="733" t="s">
        <v>1742</v>
      </c>
      <c r="D1617" s="733" t="s">
        <v>21</v>
      </c>
      <c r="E1617" s="733" t="s">
        <v>614</v>
      </c>
      <c r="F1617" s="733" t="s">
        <v>615</v>
      </c>
      <c r="G1617" s="733"/>
      <c r="H1617" s="733"/>
      <c r="I1617" s="733"/>
      <c r="J1617" s="733"/>
      <c r="K1617" s="733"/>
      <c r="L1617" s="733"/>
      <c r="M1617" s="733"/>
    </row>
    <row r="1618" spans="1:13" x14ac:dyDescent="0.3">
      <c r="A1618" s="733" t="s">
        <v>1923</v>
      </c>
      <c r="B1618" s="733" t="s">
        <v>645</v>
      </c>
      <c r="C1618" s="733" t="s">
        <v>1949</v>
      </c>
      <c r="D1618" s="733" t="s">
        <v>21</v>
      </c>
      <c r="E1618" s="733" t="s">
        <v>614</v>
      </c>
      <c r="F1618" s="733" t="s">
        <v>615</v>
      </c>
      <c r="G1618" s="733"/>
      <c r="H1618" s="733"/>
      <c r="I1618" s="733"/>
      <c r="J1618" s="733"/>
      <c r="K1618" s="733"/>
      <c r="L1618" s="733"/>
      <c r="M1618" s="733"/>
    </row>
    <row r="1619" spans="1:13" x14ac:dyDescent="0.3">
      <c r="A1619" s="733" t="s">
        <v>1923</v>
      </c>
      <c r="B1619" s="733" t="s">
        <v>645</v>
      </c>
      <c r="C1619" s="733" t="s">
        <v>1950</v>
      </c>
      <c r="D1619" s="733" t="s">
        <v>21</v>
      </c>
      <c r="E1619" s="733" t="s">
        <v>614</v>
      </c>
      <c r="F1619" s="733" t="s">
        <v>615</v>
      </c>
      <c r="G1619" s="733"/>
      <c r="H1619" s="733"/>
      <c r="I1619" s="733"/>
      <c r="J1619" s="733"/>
      <c r="K1619" s="733"/>
      <c r="L1619" s="733"/>
      <c r="M1619" s="733"/>
    </row>
    <row r="1620" spans="1:13" x14ac:dyDescent="0.3">
      <c r="A1620" s="733" t="s">
        <v>1923</v>
      </c>
      <c r="B1620" s="733" t="s">
        <v>645</v>
      </c>
      <c r="C1620" s="733" t="s">
        <v>1889</v>
      </c>
      <c r="D1620" s="733" t="s">
        <v>21</v>
      </c>
      <c r="E1620" s="733" t="s">
        <v>614</v>
      </c>
      <c r="F1620" s="733" t="s">
        <v>615</v>
      </c>
      <c r="G1620" s="733"/>
      <c r="H1620" s="733"/>
      <c r="I1620" s="733"/>
      <c r="J1620" s="733"/>
      <c r="K1620" s="733"/>
      <c r="L1620" s="733"/>
      <c r="M1620" s="733"/>
    </row>
    <row r="1621" spans="1:13" x14ac:dyDescent="0.3">
      <c r="A1621" s="733" t="s">
        <v>1923</v>
      </c>
      <c r="B1621" s="733" t="s">
        <v>645</v>
      </c>
      <c r="C1621" s="733" t="s">
        <v>1889</v>
      </c>
      <c r="D1621" s="733" t="s">
        <v>21</v>
      </c>
      <c r="E1621" s="733" t="s">
        <v>614</v>
      </c>
      <c r="F1621" s="733" t="s">
        <v>615</v>
      </c>
      <c r="G1621" s="733"/>
      <c r="H1621" s="733"/>
      <c r="I1621" s="733"/>
      <c r="J1621" s="733"/>
      <c r="K1621" s="733"/>
      <c r="L1621" s="733"/>
      <c r="M1621" s="733"/>
    </row>
    <row r="1622" spans="1:13" x14ac:dyDescent="0.3">
      <c r="A1622" s="733" t="s">
        <v>1923</v>
      </c>
      <c r="B1622" s="733" t="s">
        <v>645</v>
      </c>
      <c r="C1622" s="733" t="s">
        <v>1951</v>
      </c>
      <c r="D1622" s="733" t="s">
        <v>21</v>
      </c>
      <c r="E1622" s="733" t="s">
        <v>614</v>
      </c>
      <c r="F1622" s="733" t="s">
        <v>615</v>
      </c>
      <c r="G1622" s="733"/>
      <c r="H1622" s="733"/>
      <c r="I1622" s="733"/>
      <c r="J1622" s="733"/>
      <c r="K1622" s="733"/>
      <c r="L1622" s="733"/>
      <c r="M1622" s="733"/>
    </row>
    <row r="1623" spans="1:13" x14ac:dyDescent="0.3">
      <c r="A1623" s="733" t="s">
        <v>1923</v>
      </c>
      <c r="B1623" s="733" t="s">
        <v>645</v>
      </c>
      <c r="C1623" s="733" t="s">
        <v>1952</v>
      </c>
      <c r="D1623" s="733" t="s">
        <v>21</v>
      </c>
      <c r="E1623" s="733" t="s">
        <v>614</v>
      </c>
      <c r="F1623" s="733" t="s">
        <v>615</v>
      </c>
      <c r="G1623" s="733"/>
      <c r="H1623" s="733"/>
      <c r="I1623" s="733"/>
      <c r="J1623" s="733"/>
      <c r="K1623" s="733"/>
      <c r="L1623" s="733"/>
      <c r="M1623" s="733"/>
    </row>
    <row r="1624" spans="1:13" x14ac:dyDescent="0.3">
      <c r="A1624" s="733" t="s">
        <v>1923</v>
      </c>
      <c r="B1624" s="733" t="s">
        <v>645</v>
      </c>
      <c r="C1624" s="733" t="s">
        <v>1745</v>
      </c>
      <c r="D1624" s="733" t="s">
        <v>21</v>
      </c>
      <c r="E1624" s="733" t="s">
        <v>614</v>
      </c>
      <c r="F1624" s="733" t="s">
        <v>615</v>
      </c>
      <c r="G1624" s="733"/>
      <c r="H1624" s="733"/>
      <c r="I1624" s="733"/>
      <c r="J1624" s="733"/>
      <c r="K1624" s="733"/>
      <c r="L1624" s="733"/>
      <c r="M1624" s="733"/>
    </row>
    <row r="1625" spans="1:13" x14ac:dyDescent="0.3">
      <c r="A1625" s="733" t="s">
        <v>1923</v>
      </c>
      <c r="B1625" s="733" t="s">
        <v>645</v>
      </c>
      <c r="C1625" s="733" t="s">
        <v>1746</v>
      </c>
      <c r="D1625" s="733" t="s">
        <v>21</v>
      </c>
      <c r="E1625" s="733" t="s">
        <v>614</v>
      </c>
      <c r="F1625" s="733" t="s">
        <v>615</v>
      </c>
      <c r="G1625" s="733"/>
      <c r="H1625" s="733"/>
      <c r="I1625" s="733"/>
      <c r="J1625" s="733"/>
      <c r="K1625" s="733"/>
      <c r="L1625" s="733"/>
      <c r="M1625" s="733"/>
    </row>
    <row r="1626" spans="1:13" x14ac:dyDescent="0.3">
      <c r="A1626" s="733" t="s">
        <v>1923</v>
      </c>
      <c r="B1626" s="733" t="s">
        <v>645</v>
      </c>
      <c r="C1626" s="733" t="s">
        <v>1953</v>
      </c>
      <c r="D1626" s="733" t="s">
        <v>21</v>
      </c>
      <c r="E1626" s="733" t="s">
        <v>614</v>
      </c>
      <c r="F1626" s="733" t="s">
        <v>615</v>
      </c>
      <c r="G1626" s="733"/>
      <c r="H1626" s="733"/>
      <c r="I1626" s="733"/>
      <c r="J1626" s="733"/>
      <c r="K1626" s="733"/>
      <c r="L1626" s="733"/>
      <c r="M1626" s="733"/>
    </row>
    <row r="1627" spans="1:13" x14ac:dyDescent="0.3">
      <c r="A1627" s="733" t="s">
        <v>1923</v>
      </c>
      <c r="B1627" s="733" t="s">
        <v>645</v>
      </c>
      <c r="C1627" s="733" t="s">
        <v>1747</v>
      </c>
      <c r="D1627" s="733" t="s">
        <v>21</v>
      </c>
      <c r="E1627" s="733" t="s">
        <v>614</v>
      </c>
      <c r="F1627" s="733" t="s">
        <v>615</v>
      </c>
      <c r="G1627" s="733"/>
      <c r="H1627" s="733"/>
      <c r="I1627" s="733"/>
      <c r="J1627" s="733"/>
      <c r="K1627" s="733"/>
      <c r="L1627" s="733"/>
      <c r="M1627" s="733"/>
    </row>
    <row r="1628" spans="1:13" x14ac:dyDescent="0.3">
      <c r="A1628" s="733" t="s">
        <v>1923</v>
      </c>
      <c r="B1628" s="733" t="s">
        <v>645</v>
      </c>
      <c r="C1628" s="733" t="s">
        <v>1748</v>
      </c>
      <c r="D1628" s="733" t="s">
        <v>21</v>
      </c>
      <c r="E1628" s="733" t="s">
        <v>614</v>
      </c>
      <c r="F1628" s="733" t="s">
        <v>615</v>
      </c>
      <c r="G1628" s="733"/>
      <c r="H1628" s="733"/>
      <c r="I1628" s="733"/>
      <c r="J1628" s="733"/>
      <c r="K1628" s="733"/>
      <c r="L1628" s="733"/>
      <c r="M1628" s="733"/>
    </row>
    <row r="1629" spans="1:13" x14ac:dyDescent="0.3">
      <c r="A1629" s="733" t="s">
        <v>1923</v>
      </c>
      <c r="B1629" s="733" t="s">
        <v>645</v>
      </c>
      <c r="C1629" s="733" t="s">
        <v>1014</v>
      </c>
      <c r="D1629" s="733" t="s">
        <v>21</v>
      </c>
      <c r="E1629" s="733" t="s">
        <v>614</v>
      </c>
      <c r="F1629" s="733" t="s">
        <v>615</v>
      </c>
      <c r="G1629" s="733"/>
      <c r="H1629" s="733"/>
      <c r="I1629" s="733"/>
      <c r="J1629" s="733"/>
      <c r="K1629" s="733"/>
      <c r="L1629" s="733"/>
      <c r="M1629" s="733"/>
    </row>
    <row r="1630" spans="1:13" x14ac:dyDescent="0.3">
      <c r="A1630" s="733" t="s">
        <v>1923</v>
      </c>
      <c r="B1630" s="733" t="s">
        <v>645</v>
      </c>
      <c r="C1630" s="733" t="s">
        <v>1954</v>
      </c>
      <c r="D1630" s="733" t="s">
        <v>21</v>
      </c>
      <c r="E1630" s="733" t="s">
        <v>614</v>
      </c>
      <c r="F1630" s="733" t="s">
        <v>615</v>
      </c>
      <c r="G1630" s="733"/>
      <c r="H1630" s="733"/>
      <c r="I1630" s="733"/>
      <c r="J1630" s="733"/>
      <c r="K1630" s="733"/>
      <c r="L1630" s="733"/>
      <c r="M1630" s="733"/>
    </row>
    <row r="1631" spans="1:13" x14ac:dyDescent="0.3">
      <c r="A1631" s="733" t="s">
        <v>1923</v>
      </c>
      <c r="B1631" s="733" t="s">
        <v>645</v>
      </c>
      <c r="C1631" s="733" t="s">
        <v>1749</v>
      </c>
      <c r="D1631" s="733" t="s">
        <v>21</v>
      </c>
      <c r="E1631" s="733" t="s">
        <v>614</v>
      </c>
      <c r="F1631" s="733" t="s">
        <v>615</v>
      </c>
      <c r="G1631" s="733"/>
      <c r="H1631" s="733"/>
      <c r="I1631" s="733"/>
      <c r="J1631" s="733"/>
      <c r="K1631" s="733"/>
      <c r="L1631" s="733"/>
      <c r="M1631" s="733"/>
    </row>
    <row r="1632" spans="1:13" x14ac:dyDescent="0.3">
      <c r="A1632" s="733" t="s">
        <v>1923</v>
      </c>
      <c r="B1632" s="733" t="s">
        <v>645</v>
      </c>
      <c r="C1632" s="733" t="s">
        <v>1955</v>
      </c>
      <c r="D1632" s="733" t="s">
        <v>21</v>
      </c>
      <c r="E1632" s="733" t="s">
        <v>614</v>
      </c>
      <c r="F1632" s="733" t="s">
        <v>615</v>
      </c>
      <c r="G1632" s="733"/>
      <c r="H1632" s="733"/>
      <c r="I1632" s="733"/>
      <c r="J1632" s="733"/>
      <c r="K1632" s="733"/>
      <c r="L1632" s="733"/>
      <c r="M1632" s="733"/>
    </row>
    <row r="1633" spans="1:13" x14ac:dyDescent="0.3">
      <c r="A1633" s="734" t="s">
        <v>1923</v>
      </c>
      <c r="B1633" s="734" t="s">
        <v>645</v>
      </c>
      <c r="C1633" s="734" t="s">
        <v>1956</v>
      </c>
      <c r="D1633" s="734" t="s">
        <v>21</v>
      </c>
      <c r="E1633" s="734" t="s">
        <v>614</v>
      </c>
      <c r="F1633" s="734" t="s">
        <v>736</v>
      </c>
      <c r="G1633" s="733"/>
      <c r="H1633" s="733"/>
      <c r="I1633" s="733"/>
      <c r="J1633" s="733"/>
      <c r="K1633" s="733"/>
      <c r="L1633" s="733"/>
      <c r="M1633" s="733"/>
    </row>
    <row r="1634" spans="1:13" x14ac:dyDescent="0.3">
      <c r="A1634" s="733" t="s">
        <v>1923</v>
      </c>
      <c r="B1634" s="733" t="s">
        <v>645</v>
      </c>
      <c r="C1634" s="733" t="s">
        <v>1957</v>
      </c>
      <c r="D1634" s="733" t="s">
        <v>21</v>
      </c>
      <c r="E1634" s="733" t="s">
        <v>614</v>
      </c>
      <c r="F1634" s="733" t="s">
        <v>615</v>
      </c>
      <c r="G1634" s="733"/>
      <c r="H1634" s="733"/>
      <c r="I1634" s="733"/>
      <c r="J1634" s="733"/>
      <c r="K1634" s="733"/>
      <c r="L1634" s="733"/>
      <c r="M1634" s="733"/>
    </row>
    <row r="1635" spans="1:13" x14ac:dyDescent="0.3">
      <c r="A1635" s="733" t="s">
        <v>1923</v>
      </c>
      <c r="B1635" s="733" t="s">
        <v>645</v>
      </c>
      <c r="C1635" s="733" t="s">
        <v>1751</v>
      </c>
      <c r="D1635" s="733" t="s">
        <v>21</v>
      </c>
      <c r="E1635" s="733" t="s">
        <v>614</v>
      </c>
      <c r="F1635" s="733" t="s">
        <v>615</v>
      </c>
      <c r="G1635" s="733"/>
      <c r="H1635" s="733"/>
      <c r="I1635" s="733"/>
      <c r="J1635" s="733"/>
      <c r="K1635" s="733"/>
      <c r="L1635" s="733"/>
      <c r="M1635" s="733"/>
    </row>
    <row r="1636" spans="1:13" x14ac:dyDescent="0.3">
      <c r="A1636" s="733" t="s">
        <v>1923</v>
      </c>
      <c r="B1636" s="733" t="s">
        <v>645</v>
      </c>
      <c r="C1636" s="733" t="s">
        <v>1958</v>
      </c>
      <c r="D1636" s="733" t="s">
        <v>21</v>
      </c>
      <c r="E1636" s="733" t="s">
        <v>614</v>
      </c>
      <c r="F1636" s="733" t="s">
        <v>615</v>
      </c>
      <c r="G1636" s="733"/>
      <c r="H1636" s="733"/>
      <c r="I1636" s="733"/>
      <c r="J1636" s="733"/>
      <c r="K1636" s="733"/>
      <c r="L1636" s="733"/>
      <c r="M1636" s="733"/>
    </row>
    <row r="1637" spans="1:13" x14ac:dyDescent="0.3">
      <c r="A1637" s="733" t="s">
        <v>1923</v>
      </c>
      <c r="B1637" s="733" t="s">
        <v>645</v>
      </c>
      <c r="C1637" s="733" t="s">
        <v>1959</v>
      </c>
      <c r="D1637" s="733" t="s">
        <v>21</v>
      </c>
      <c r="E1637" s="733" t="s">
        <v>614</v>
      </c>
      <c r="F1637" s="733" t="s">
        <v>615</v>
      </c>
      <c r="G1637" s="733"/>
      <c r="H1637" s="733"/>
      <c r="I1637" s="733"/>
      <c r="J1637" s="733"/>
      <c r="K1637" s="733"/>
      <c r="L1637" s="733"/>
      <c r="M1637" s="733"/>
    </row>
    <row r="1638" spans="1:13" x14ac:dyDescent="0.3">
      <c r="A1638" s="733" t="s">
        <v>1923</v>
      </c>
      <c r="B1638" s="733" t="s">
        <v>664</v>
      </c>
      <c r="C1638" s="733" t="s">
        <v>1960</v>
      </c>
      <c r="D1638" s="733" t="s">
        <v>21</v>
      </c>
      <c r="E1638" s="733" t="s">
        <v>614</v>
      </c>
      <c r="F1638" s="733" t="s">
        <v>615</v>
      </c>
      <c r="G1638" s="733"/>
      <c r="H1638" s="733"/>
      <c r="I1638" s="733"/>
      <c r="J1638" s="733"/>
      <c r="K1638" s="733"/>
      <c r="L1638" s="733"/>
      <c r="M1638" s="733"/>
    </row>
    <row r="1639" spans="1:13" x14ac:dyDescent="0.3">
      <c r="A1639" s="733" t="s">
        <v>1923</v>
      </c>
      <c r="B1639" s="733" t="s">
        <v>664</v>
      </c>
      <c r="C1639" s="733" t="s">
        <v>1961</v>
      </c>
      <c r="D1639" s="733" t="s">
        <v>21</v>
      </c>
      <c r="E1639" s="733" t="s">
        <v>614</v>
      </c>
      <c r="F1639" s="733" t="s">
        <v>615</v>
      </c>
      <c r="G1639" s="733"/>
      <c r="H1639" s="733"/>
      <c r="I1639" s="733"/>
      <c r="J1639" s="733"/>
      <c r="K1639" s="733"/>
      <c r="L1639" s="733"/>
      <c r="M1639" s="733"/>
    </row>
    <row r="1640" spans="1:13" x14ac:dyDescent="0.3">
      <c r="A1640" s="733" t="s">
        <v>1923</v>
      </c>
      <c r="B1640" s="733" t="s">
        <v>664</v>
      </c>
      <c r="C1640" s="733" t="s">
        <v>1962</v>
      </c>
      <c r="D1640" s="733" t="s">
        <v>21</v>
      </c>
      <c r="E1640" s="733" t="s">
        <v>614</v>
      </c>
      <c r="F1640" s="733" t="s">
        <v>615</v>
      </c>
      <c r="G1640" s="733"/>
      <c r="H1640" s="733"/>
      <c r="I1640" s="733"/>
      <c r="J1640" s="733"/>
      <c r="K1640" s="733"/>
      <c r="L1640" s="733"/>
      <c r="M1640" s="733"/>
    </row>
    <row r="1641" spans="1:13" x14ac:dyDescent="0.3">
      <c r="A1641" s="733" t="s">
        <v>1923</v>
      </c>
      <c r="B1641" s="733" t="s">
        <v>664</v>
      </c>
      <c r="C1641" s="733" t="s">
        <v>1963</v>
      </c>
      <c r="D1641" s="733" t="s">
        <v>21</v>
      </c>
      <c r="E1641" s="733" t="s">
        <v>614</v>
      </c>
      <c r="F1641" s="733" t="s">
        <v>615</v>
      </c>
      <c r="G1641" s="733"/>
      <c r="H1641" s="733"/>
      <c r="I1641" s="733"/>
      <c r="J1641" s="733"/>
      <c r="K1641" s="733"/>
      <c r="L1641" s="733"/>
      <c r="M1641" s="733"/>
    </row>
    <row r="1642" spans="1:13" x14ac:dyDescent="0.3">
      <c r="A1642" s="733" t="s">
        <v>1923</v>
      </c>
      <c r="B1642" s="733" t="s">
        <v>664</v>
      </c>
      <c r="C1642" s="733" t="s">
        <v>798</v>
      </c>
      <c r="D1642" s="733" t="s">
        <v>21</v>
      </c>
      <c r="E1642" s="733" t="s">
        <v>614</v>
      </c>
      <c r="F1642" s="733" t="s">
        <v>615</v>
      </c>
      <c r="G1642" s="733"/>
      <c r="H1642" s="733"/>
      <c r="I1642" s="733"/>
      <c r="J1642" s="733"/>
      <c r="K1642" s="733"/>
      <c r="L1642" s="733"/>
      <c r="M1642" s="733"/>
    </row>
    <row r="1643" spans="1:13" x14ac:dyDescent="0.3">
      <c r="A1643" s="735" t="s">
        <v>1923</v>
      </c>
      <c r="B1643" s="735" t="s">
        <v>664</v>
      </c>
      <c r="C1643" s="735" t="s">
        <v>1964</v>
      </c>
      <c r="D1643" s="735" t="s">
        <v>21</v>
      </c>
      <c r="E1643" s="735" t="s">
        <v>1344</v>
      </c>
      <c r="F1643" s="735" t="s">
        <v>615</v>
      </c>
      <c r="G1643" s="733"/>
      <c r="H1643" s="733"/>
      <c r="I1643" s="733"/>
      <c r="J1643" s="733"/>
      <c r="K1643" s="733"/>
      <c r="L1643" s="733"/>
      <c r="M1643" s="733"/>
    </row>
    <row r="1644" spans="1:13" x14ac:dyDescent="0.3">
      <c r="A1644" s="733" t="s">
        <v>1923</v>
      </c>
      <c r="B1644" s="733" t="s">
        <v>664</v>
      </c>
      <c r="C1644" s="733" t="s">
        <v>1965</v>
      </c>
      <c r="D1644" s="733" t="s">
        <v>21</v>
      </c>
      <c r="E1644" s="733" t="s">
        <v>614</v>
      </c>
      <c r="F1644" s="733" t="s">
        <v>615</v>
      </c>
      <c r="G1644" s="733"/>
      <c r="H1644" s="733"/>
      <c r="I1644" s="733"/>
      <c r="J1644" s="733"/>
      <c r="K1644" s="733"/>
      <c r="L1644" s="733"/>
      <c r="M1644" s="733"/>
    </row>
    <row r="1645" spans="1:13" x14ac:dyDescent="0.3">
      <c r="A1645" s="733" t="s">
        <v>1923</v>
      </c>
      <c r="B1645" s="733" t="s">
        <v>664</v>
      </c>
      <c r="C1645" s="733" t="s">
        <v>1934</v>
      </c>
      <c r="D1645" s="733" t="s">
        <v>21</v>
      </c>
      <c r="E1645" s="733" t="s">
        <v>614</v>
      </c>
      <c r="F1645" s="733" t="s">
        <v>615</v>
      </c>
      <c r="G1645" s="733"/>
      <c r="H1645" s="733"/>
      <c r="I1645" s="733"/>
      <c r="J1645" s="733"/>
      <c r="K1645" s="733"/>
      <c r="L1645" s="733"/>
      <c r="M1645" s="733"/>
    </row>
    <row r="1646" spans="1:13" x14ac:dyDescent="0.3">
      <c r="A1646" s="733" t="s">
        <v>1923</v>
      </c>
      <c r="B1646" s="733" t="s">
        <v>664</v>
      </c>
      <c r="C1646" s="733" t="s">
        <v>1966</v>
      </c>
      <c r="D1646" s="733" t="s">
        <v>21</v>
      </c>
      <c r="E1646" s="733" t="s">
        <v>614</v>
      </c>
      <c r="F1646" s="733" t="s">
        <v>615</v>
      </c>
      <c r="G1646" s="733"/>
      <c r="H1646" s="733"/>
      <c r="I1646" s="733"/>
      <c r="J1646" s="733"/>
      <c r="K1646" s="733"/>
      <c r="L1646" s="733"/>
      <c r="M1646" s="733"/>
    </row>
    <row r="1647" spans="1:13" x14ac:dyDescent="0.3">
      <c r="A1647" s="733" t="s">
        <v>1923</v>
      </c>
      <c r="B1647" s="733" t="s">
        <v>664</v>
      </c>
      <c r="C1647" s="733" t="s">
        <v>1967</v>
      </c>
      <c r="D1647" s="733" t="s">
        <v>21</v>
      </c>
      <c r="E1647" s="733" t="s">
        <v>614</v>
      </c>
      <c r="F1647" s="733" t="s">
        <v>615</v>
      </c>
      <c r="G1647" s="733"/>
      <c r="H1647" s="733"/>
      <c r="I1647" s="733"/>
      <c r="J1647" s="733"/>
      <c r="K1647" s="733"/>
      <c r="L1647" s="733"/>
      <c r="M1647" s="733"/>
    </row>
    <row r="1648" spans="1:13" x14ac:dyDescent="0.3">
      <c r="A1648" s="733" t="s">
        <v>1968</v>
      </c>
      <c r="B1648" s="733" t="s">
        <v>612</v>
      </c>
      <c r="C1648" s="733" t="s">
        <v>1824</v>
      </c>
      <c r="D1648" s="733" t="s">
        <v>21</v>
      </c>
      <c r="E1648" s="733" t="s">
        <v>614</v>
      </c>
      <c r="F1648" s="733" t="s">
        <v>615</v>
      </c>
      <c r="G1648" s="733"/>
      <c r="H1648" s="733"/>
      <c r="I1648" s="733"/>
      <c r="J1648" s="733"/>
      <c r="K1648" s="733"/>
      <c r="L1648" s="733"/>
      <c r="M1648" s="733"/>
    </row>
    <row r="1649" spans="1:13" x14ac:dyDescent="0.3">
      <c r="A1649" s="733" t="s">
        <v>1968</v>
      </c>
      <c r="B1649" s="733" t="s">
        <v>612</v>
      </c>
      <c r="C1649" s="733" t="s">
        <v>973</v>
      </c>
      <c r="D1649" s="733" t="s">
        <v>21</v>
      </c>
      <c r="E1649" s="733" t="s">
        <v>614</v>
      </c>
      <c r="F1649" s="733" t="s">
        <v>615</v>
      </c>
      <c r="G1649" s="733"/>
      <c r="H1649" s="733"/>
      <c r="I1649" s="733"/>
      <c r="J1649" s="733"/>
      <c r="K1649" s="733"/>
      <c r="L1649" s="733"/>
      <c r="M1649" s="733"/>
    </row>
    <row r="1650" spans="1:13" x14ac:dyDescent="0.3">
      <c r="A1650" s="733" t="s">
        <v>1968</v>
      </c>
      <c r="B1650" s="733" t="s">
        <v>612</v>
      </c>
      <c r="C1650" s="733" t="s">
        <v>1969</v>
      </c>
      <c r="D1650" s="733" t="s">
        <v>21</v>
      </c>
      <c r="E1650" s="733" t="s">
        <v>614</v>
      </c>
      <c r="F1650" s="733" t="s">
        <v>615</v>
      </c>
      <c r="G1650" s="733"/>
      <c r="H1650" s="733"/>
      <c r="I1650" s="733"/>
      <c r="J1650" s="733"/>
      <c r="K1650" s="733"/>
      <c r="L1650" s="733"/>
      <c r="M1650" s="733"/>
    </row>
    <row r="1651" spans="1:13" x14ac:dyDescent="0.3">
      <c r="A1651" s="733" t="s">
        <v>1968</v>
      </c>
      <c r="B1651" s="733" t="s">
        <v>612</v>
      </c>
      <c r="C1651" s="733" t="s">
        <v>1970</v>
      </c>
      <c r="D1651" s="733" t="s">
        <v>21</v>
      </c>
      <c r="E1651" s="733" t="s">
        <v>614</v>
      </c>
      <c r="F1651" s="733" t="s">
        <v>615</v>
      </c>
      <c r="G1651" s="733"/>
      <c r="H1651" s="733"/>
      <c r="I1651" s="733"/>
      <c r="J1651" s="733"/>
      <c r="K1651" s="733"/>
      <c r="L1651" s="733"/>
      <c r="M1651" s="733"/>
    </row>
    <row r="1652" spans="1:13" x14ac:dyDescent="0.3">
      <c r="A1652" s="733" t="s">
        <v>1968</v>
      </c>
      <c r="B1652" s="733" t="s">
        <v>612</v>
      </c>
      <c r="C1652" s="733" t="s">
        <v>1174</v>
      </c>
      <c r="D1652" s="733" t="s">
        <v>21</v>
      </c>
      <c r="E1652" s="733" t="s">
        <v>614</v>
      </c>
      <c r="F1652" s="733" t="s">
        <v>615</v>
      </c>
      <c r="G1652" s="733"/>
      <c r="H1652" s="733"/>
      <c r="I1652" s="733"/>
      <c r="J1652" s="733"/>
      <c r="K1652" s="733"/>
      <c r="L1652" s="733"/>
      <c r="M1652" s="733"/>
    </row>
    <row r="1653" spans="1:13" x14ac:dyDescent="0.3">
      <c r="A1653" s="733" t="s">
        <v>1968</v>
      </c>
      <c r="B1653" s="733" t="s">
        <v>612</v>
      </c>
      <c r="C1653" s="733" t="s">
        <v>1971</v>
      </c>
      <c r="D1653" s="733" t="s">
        <v>21</v>
      </c>
      <c r="E1653" s="733" t="s">
        <v>614</v>
      </c>
      <c r="F1653" s="733" t="s">
        <v>615</v>
      </c>
      <c r="G1653" s="733"/>
      <c r="H1653" s="733"/>
      <c r="I1653" s="733"/>
      <c r="J1653" s="733"/>
      <c r="K1653" s="733"/>
      <c r="L1653" s="733"/>
      <c r="M1653" s="733"/>
    </row>
    <row r="1654" spans="1:13" x14ac:dyDescent="0.3">
      <c r="A1654" s="733" t="s">
        <v>1968</v>
      </c>
      <c r="B1654" s="733" t="s">
        <v>612</v>
      </c>
      <c r="C1654" s="733" t="s">
        <v>1972</v>
      </c>
      <c r="D1654" s="733" t="s">
        <v>21</v>
      </c>
      <c r="E1654" s="733" t="s">
        <v>614</v>
      </c>
      <c r="F1654" s="733" t="s">
        <v>615</v>
      </c>
      <c r="G1654" s="733"/>
      <c r="H1654" s="733"/>
      <c r="I1654" s="733"/>
      <c r="J1654" s="733"/>
      <c r="K1654" s="733"/>
      <c r="L1654" s="733"/>
      <c r="M1654" s="733"/>
    </row>
    <row r="1655" spans="1:13" x14ac:dyDescent="0.3">
      <c r="A1655" s="733" t="s">
        <v>1968</v>
      </c>
      <c r="B1655" s="733" t="s">
        <v>612</v>
      </c>
      <c r="C1655" s="733" t="s">
        <v>1973</v>
      </c>
      <c r="D1655" s="733" t="s">
        <v>21</v>
      </c>
      <c r="E1655" s="733" t="s">
        <v>614</v>
      </c>
      <c r="F1655" s="733" t="s">
        <v>615</v>
      </c>
      <c r="G1655" s="733"/>
      <c r="H1655" s="733"/>
      <c r="I1655" s="733"/>
      <c r="J1655" s="733"/>
      <c r="K1655" s="733"/>
      <c r="L1655" s="733"/>
      <c r="M1655" s="733"/>
    </row>
    <row r="1656" spans="1:13" x14ac:dyDescent="0.3">
      <c r="A1656" s="733" t="s">
        <v>1968</v>
      </c>
      <c r="B1656" s="733" t="s">
        <v>612</v>
      </c>
      <c r="C1656" s="733" t="s">
        <v>1974</v>
      </c>
      <c r="D1656" s="733" t="s">
        <v>21</v>
      </c>
      <c r="E1656" s="733" t="s">
        <v>614</v>
      </c>
      <c r="F1656" s="733" t="s">
        <v>615</v>
      </c>
      <c r="G1656" s="733"/>
      <c r="H1656" s="733"/>
      <c r="I1656" s="733"/>
      <c r="J1656" s="733"/>
      <c r="K1656" s="733"/>
      <c r="L1656" s="733"/>
      <c r="M1656" s="733"/>
    </row>
    <row r="1657" spans="1:13" x14ac:dyDescent="0.3">
      <c r="A1657" s="733" t="s">
        <v>1968</v>
      </c>
      <c r="B1657" s="733" t="s">
        <v>612</v>
      </c>
      <c r="C1657" s="733" t="s">
        <v>1975</v>
      </c>
      <c r="D1657" s="733" t="s">
        <v>21</v>
      </c>
      <c r="E1657" s="733" t="s">
        <v>614</v>
      </c>
      <c r="F1657" s="733" t="s">
        <v>615</v>
      </c>
      <c r="G1657" s="733"/>
      <c r="H1657" s="733"/>
      <c r="I1657" s="733"/>
      <c r="J1657" s="733"/>
      <c r="K1657" s="733"/>
      <c r="L1657" s="733"/>
      <c r="M1657" s="733"/>
    </row>
    <row r="1658" spans="1:13" x14ac:dyDescent="0.3">
      <c r="A1658" s="733" t="s">
        <v>1968</v>
      </c>
      <c r="B1658" s="733" t="s">
        <v>612</v>
      </c>
      <c r="C1658" s="733" t="s">
        <v>1976</v>
      </c>
      <c r="D1658" s="733" t="s">
        <v>21</v>
      </c>
      <c r="E1658" s="733" t="s">
        <v>614</v>
      </c>
      <c r="F1658" s="733" t="s">
        <v>615</v>
      </c>
      <c r="G1658" s="733"/>
      <c r="H1658" s="733"/>
      <c r="I1658" s="733"/>
      <c r="J1658" s="733"/>
      <c r="K1658" s="733"/>
      <c r="L1658" s="733"/>
      <c r="M1658" s="733"/>
    </row>
    <row r="1659" spans="1:13" x14ac:dyDescent="0.3">
      <c r="A1659" s="733" t="s">
        <v>1968</v>
      </c>
      <c r="B1659" s="733" t="s">
        <v>645</v>
      </c>
      <c r="C1659" s="733" t="s">
        <v>1977</v>
      </c>
      <c r="D1659" s="733" t="s">
        <v>21</v>
      </c>
      <c r="E1659" s="733" t="s">
        <v>614</v>
      </c>
      <c r="F1659" s="733" t="s">
        <v>615</v>
      </c>
      <c r="G1659" s="733"/>
      <c r="H1659" s="733"/>
      <c r="I1659" s="733"/>
      <c r="J1659" s="733"/>
      <c r="K1659" s="733"/>
      <c r="L1659" s="733"/>
      <c r="M1659" s="733"/>
    </row>
    <row r="1660" spans="1:13" x14ac:dyDescent="0.3">
      <c r="A1660" s="733" t="s">
        <v>1968</v>
      </c>
      <c r="B1660" s="733" t="s">
        <v>645</v>
      </c>
      <c r="C1660" s="733" t="s">
        <v>1952</v>
      </c>
      <c r="D1660" s="733" t="s">
        <v>21</v>
      </c>
      <c r="E1660" s="733" t="s">
        <v>614</v>
      </c>
      <c r="F1660" s="733" t="s">
        <v>615</v>
      </c>
      <c r="G1660" s="733"/>
      <c r="H1660" s="733"/>
      <c r="I1660" s="733"/>
      <c r="J1660" s="733"/>
      <c r="K1660" s="733"/>
      <c r="L1660" s="733"/>
      <c r="M1660" s="733"/>
    </row>
    <row r="1661" spans="1:13" x14ac:dyDescent="0.3">
      <c r="A1661" s="733" t="s">
        <v>1968</v>
      </c>
      <c r="B1661" s="733" t="s">
        <v>645</v>
      </c>
      <c r="C1661" s="733" t="s">
        <v>1014</v>
      </c>
      <c r="D1661" s="733" t="s">
        <v>21</v>
      </c>
      <c r="E1661" s="733" t="s">
        <v>614</v>
      </c>
      <c r="F1661" s="733" t="s">
        <v>615</v>
      </c>
      <c r="G1661" s="733"/>
      <c r="H1661" s="733"/>
      <c r="I1661" s="733"/>
      <c r="J1661" s="733"/>
      <c r="K1661" s="733"/>
      <c r="L1661" s="733"/>
      <c r="M1661" s="733"/>
    </row>
    <row r="1662" spans="1:13" x14ac:dyDescent="0.3">
      <c r="A1662" s="733" t="s">
        <v>1968</v>
      </c>
      <c r="B1662" s="733" t="s">
        <v>645</v>
      </c>
      <c r="C1662" s="733" t="s">
        <v>1978</v>
      </c>
      <c r="D1662" s="733" t="s">
        <v>21</v>
      </c>
      <c r="E1662" s="733" t="s">
        <v>614</v>
      </c>
      <c r="F1662" s="733" t="s">
        <v>615</v>
      </c>
      <c r="G1662" s="733"/>
      <c r="H1662" s="733"/>
      <c r="I1662" s="733"/>
      <c r="J1662" s="733"/>
      <c r="K1662" s="733"/>
      <c r="L1662" s="733"/>
      <c r="M1662" s="733"/>
    </row>
    <row r="1663" spans="1:13" x14ac:dyDescent="0.3">
      <c r="A1663" s="733" t="s">
        <v>1968</v>
      </c>
      <c r="B1663" s="733" t="s">
        <v>645</v>
      </c>
      <c r="C1663" s="733" t="s">
        <v>1979</v>
      </c>
      <c r="D1663" s="733" t="s">
        <v>21</v>
      </c>
      <c r="E1663" s="733" t="s">
        <v>614</v>
      </c>
      <c r="F1663" s="733" t="s">
        <v>615</v>
      </c>
      <c r="G1663" s="733"/>
      <c r="H1663" s="733"/>
      <c r="I1663" s="733"/>
      <c r="J1663" s="733"/>
      <c r="K1663" s="733"/>
      <c r="L1663" s="733"/>
      <c r="M1663" s="733"/>
    </row>
    <row r="1664" spans="1:13" x14ac:dyDescent="0.3">
      <c r="A1664" s="733" t="s">
        <v>1968</v>
      </c>
      <c r="B1664" s="733" t="s">
        <v>645</v>
      </c>
      <c r="C1664" s="733" t="s">
        <v>1980</v>
      </c>
      <c r="D1664" s="733" t="s">
        <v>21</v>
      </c>
      <c r="E1664" s="733" t="s">
        <v>614</v>
      </c>
      <c r="F1664" s="733" t="s">
        <v>615</v>
      </c>
      <c r="G1664" s="733"/>
      <c r="H1664" s="733"/>
      <c r="I1664" s="733"/>
      <c r="J1664" s="733"/>
      <c r="K1664" s="733"/>
      <c r="L1664" s="733"/>
      <c r="M1664" s="733"/>
    </row>
    <row r="1665" spans="1:13" x14ac:dyDescent="0.3">
      <c r="A1665" s="733" t="s">
        <v>1968</v>
      </c>
      <c r="B1665" s="733" t="s">
        <v>664</v>
      </c>
      <c r="C1665" s="733" t="s">
        <v>1981</v>
      </c>
      <c r="D1665" s="733" t="s">
        <v>21</v>
      </c>
      <c r="E1665" s="733" t="s">
        <v>614</v>
      </c>
      <c r="F1665" s="733" t="s">
        <v>615</v>
      </c>
      <c r="G1665" s="733"/>
      <c r="H1665" s="733"/>
      <c r="I1665" s="733"/>
      <c r="J1665" s="733"/>
      <c r="K1665" s="733"/>
      <c r="L1665" s="733"/>
      <c r="M1665" s="733"/>
    </row>
    <row r="1666" spans="1:13" x14ac:dyDescent="0.3">
      <c r="A1666" s="733" t="s">
        <v>1968</v>
      </c>
      <c r="B1666" s="733" t="s">
        <v>664</v>
      </c>
      <c r="C1666" s="733" t="s">
        <v>1965</v>
      </c>
      <c r="D1666" s="733" t="s">
        <v>21</v>
      </c>
      <c r="E1666" s="733" t="s">
        <v>614</v>
      </c>
      <c r="F1666" s="733" t="s">
        <v>615</v>
      </c>
      <c r="G1666" s="733"/>
      <c r="H1666" s="733"/>
      <c r="I1666" s="733"/>
      <c r="J1666" s="733"/>
      <c r="K1666" s="733"/>
      <c r="L1666" s="733"/>
      <c r="M1666" s="733"/>
    </row>
    <row r="1667" spans="1:13" x14ac:dyDescent="0.3">
      <c r="A1667" s="733" t="s">
        <v>1968</v>
      </c>
      <c r="B1667" s="733" t="s">
        <v>664</v>
      </c>
      <c r="C1667" s="733" t="s">
        <v>1966</v>
      </c>
      <c r="D1667" s="733" t="s">
        <v>21</v>
      </c>
      <c r="E1667" s="733" t="s">
        <v>614</v>
      </c>
      <c r="F1667" s="733" t="s">
        <v>615</v>
      </c>
      <c r="G1667" s="733"/>
      <c r="H1667" s="733"/>
      <c r="I1667" s="733"/>
      <c r="J1667" s="733"/>
      <c r="K1667" s="733"/>
      <c r="L1667" s="733"/>
      <c r="M1667" s="733"/>
    </row>
    <row r="1668" spans="1:13" x14ac:dyDescent="0.3">
      <c r="A1668" s="733" t="s">
        <v>1968</v>
      </c>
      <c r="B1668" s="733" t="s">
        <v>664</v>
      </c>
      <c r="C1668" s="733" t="s">
        <v>1753</v>
      </c>
      <c r="D1668" s="733" t="s">
        <v>21</v>
      </c>
      <c r="E1668" s="733" t="s">
        <v>614</v>
      </c>
      <c r="F1668" s="733" t="s">
        <v>615</v>
      </c>
      <c r="G1668" s="733"/>
      <c r="H1668" s="733"/>
      <c r="I1668" s="733"/>
      <c r="J1668" s="733"/>
      <c r="K1668" s="733"/>
      <c r="L1668" s="733"/>
      <c r="M1668" s="733"/>
    </row>
    <row r="1669" spans="1:13" x14ac:dyDescent="0.3">
      <c r="A1669" s="733" t="s">
        <v>1982</v>
      </c>
      <c r="B1669" s="733" t="s">
        <v>664</v>
      </c>
      <c r="C1669" s="733" t="s">
        <v>1983</v>
      </c>
      <c r="D1669" s="733" t="s">
        <v>21</v>
      </c>
      <c r="E1669" s="733" t="s">
        <v>614</v>
      </c>
      <c r="F1669" s="733" t="s">
        <v>615</v>
      </c>
      <c r="G1669" s="733"/>
      <c r="H1669" s="733"/>
      <c r="I1669" s="733"/>
      <c r="J1669" s="733"/>
      <c r="K1669" s="733"/>
      <c r="L1669" s="733"/>
      <c r="M1669" s="733"/>
    </row>
    <row r="1670" spans="1:13" x14ac:dyDescent="0.3">
      <c r="A1670" s="733" t="s">
        <v>1984</v>
      </c>
      <c r="B1670" s="733" t="s">
        <v>612</v>
      </c>
      <c r="C1670" s="733" t="s">
        <v>973</v>
      </c>
      <c r="D1670" s="733" t="s">
        <v>21</v>
      </c>
      <c r="E1670" s="733" t="s">
        <v>614</v>
      </c>
      <c r="F1670" s="733" t="s">
        <v>615</v>
      </c>
      <c r="G1670" s="733"/>
      <c r="H1670" s="733"/>
      <c r="I1670" s="733"/>
      <c r="J1670" s="733"/>
      <c r="K1670" s="733"/>
      <c r="L1670" s="733"/>
      <c r="M1670" s="733"/>
    </row>
    <row r="1671" spans="1:13" x14ac:dyDescent="0.3">
      <c r="A1671" s="733" t="s">
        <v>1984</v>
      </c>
      <c r="B1671" s="733" t="s">
        <v>612</v>
      </c>
      <c r="C1671" s="733" t="s">
        <v>1985</v>
      </c>
      <c r="D1671" s="733" t="s">
        <v>21</v>
      </c>
      <c r="E1671" s="733" t="s">
        <v>614</v>
      </c>
      <c r="F1671" s="733" t="s">
        <v>615</v>
      </c>
      <c r="G1671" s="733"/>
      <c r="H1671" s="733"/>
      <c r="I1671" s="733"/>
      <c r="J1671" s="733"/>
      <c r="K1671" s="733"/>
      <c r="L1671" s="733"/>
      <c r="M1671" s="733"/>
    </row>
    <row r="1672" spans="1:13" x14ac:dyDescent="0.3">
      <c r="A1672" s="734" t="s">
        <v>1984</v>
      </c>
      <c r="B1672" s="734" t="s">
        <v>612</v>
      </c>
      <c r="C1672" s="734" t="s">
        <v>975</v>
      </c>
      <c r="D1672" s="734" t="s">
        <v>21</v>
      </c>
      <c r="E1672" s="734" t="s">
        <v>614</v>
      </c>
      <c r="F1672" s="734" t="s">
        <v>696</v>
      </c>
      <c r="G1672" s="733"/>
      <c r="H1672" s="733"/>
      <c r="I1672" s="733"/>
      <c r="J1672" s="733"/>
      <c r="K1672" s="733"/>
      <c r="L1672" s="733"/>
      <c r="M1672" s="733"/>
    </row>
    <row r="1673" spans="1:13" x14ac:dyDescent="0.3">
      <c r="A1673" s="734" t="s">
        <v>1984</v>
      </c>
      <c r="B1673" s="734" t="s">
        <v>612</v>
      </c>
      <c r="C1673" s="734" t="s">
        <v>1986</v>
      </c>
      <c r="D1673" s="734" t="s">
        <v>21</v>
      </c>
      <c r="E1673" s="734" t="s">
        <v>614</v>
      </c>
      <c r="F1673" s="734" t="s">
        <v>696</v>
      </c>
      <c r="G1673" s="733"/>
      <c r="H1673" s="733"/>
      <c r="I1673" s="733"/>
      <c r="J1673" s="733"/>
      <c r="K1673" s="733"/>
      <c r="L1673" s="733"/>
      <c r="M1673" s="733"/>
    </row>
    <row r="1674" spans="1:13" x14ac:dyDescent="0.3">
      <c r="A1674" s="733" t="s">
        <v>1984</v>
      </c>
      <c r="B1674" s="733" t="s">
        <v>612</v>
      </c>
      <c r="C1674" s="733" t="s">
        <v>1987</v>
      </c>
      <c r="D1674" s="733" t="s">
        <v>21</v>
      </c>
      <c r="E1674" s="733" t="s">
        <v>614</v>
      </c>
      <c r="F1674" s="733" t="s">
        <v>615</v>
      </c>
      <c r="G1674" s="733"/>
      <c r="H1674" s="733"/>
      <c r="I1674" s="733"/>
      <c r="J1674" s="733"/>
      <c r="K1674" s="733"/>
      <c r="L1674" s="733"/>
      <c r="M1674" s="733"/>
    </row>
    <row r="1675" spans="1:13" x14ac:dyDescent="0.3">
      <c r="A1675" s="733" t="s">
        <v>1984</v>
      </c>
      <c r="B1675" s="733" t="s">
        <v>612</v>
      </c>
      <c r="C1675" s="733" t="s">
        <v>1988</v>
      </c>
      <c r="D1675" s="733" t="s">
        <v>21</v>
      </c>
      <c r="E1675" s="733" t="s">
        <v>614</v>
      </c>
      <c r="F1675" s="733" t="s">
        <v>615</v>
      </c>
      <c r="G1675" s="733"/>
      <c r="H1675" s="733"/>
      <c r="I1675" s="733"/>
      <c r="J1675" s="733"/>
      <c r="K1675" s="733"/>
      <c r="L1675" s="733"/>
      <c r="M1675" s="733"/>
    </row>
    <row r="1676" spans="1:13" x14ac:dyDescent="0.3">
      <c r="A1676" s="733" t="s">
        <v>1984</v>
      </c>
      <c r="B1676" s="733" t="s">
        <v>645</v>
      </c>
      <c r="C1676" s="733" t="s">
        <v>1989</v>
      </c>
      <c r="D1676" s="733" t="s">
        <v>21</v>
      </c>
      <c r="E1676" s="733" t="s">
        <v>614</v>
      </c>
      <c r="F1676" s="733" t="s">
        <v>615</v>
      </c>
      <c r="G1676" s="733"/>
      <c r="H1676" s="733"/>
      <c r="I1676" s="733"/>
      <c r="J1676" s="733"/>
      <c r="K1676" s="733"/>
      <c r="L1676" s="733"/>
      <c r="M1676" s="733"/>
    </row>
    <row r="1677" spans="1:13" x14ac:dyDescent="0.3">
      <c r="A1677" s="733" t="s">
        <v>1984</v>
      </c>
      <c r="B1677" s="733" t="s">
        <v>645</v>
      </c>
      <c r="C1677" s="733" t="s">
        <v>1990</v>
      </c>
      <c r="D1677" s="733" t="s">
        <v>21</v>
      </c>
      <c r="E1677" s="733" t="s">
        <v>614</v>
      </c>
      <c r="F1677" s="733" t="s">
        <v>615</v>
      </c>
      <c r="G1677" s="733"/>
      <c r="H1677" s="733"/>
      <c r="I1677" s="733"/>
      <c r="J1677" s="733"/>
      <c r="K1677" s="733"/>
      <c r="L1677" s="733"/>
      <c r="M1677" s="733"/>
    </row>
    <row r="1678" spans="1:13" x14ac:dyDescent="0.3">
      <c r="A1678" s="733" t="s">
        <v>1984</v>
      </c>
      <c r="B1678" s="733" t="s">
        <v>645</v>
      </c>
      <c r="C1678" s="733" t="s">
        <v>1742</v>
      </c>
      <c r="D1678" s="733" t="s">
        <v>21</v>
      </c>
      <c r="E1678" s="733" t="s">
        <v>614</v>
      </c>
      <c r="F1678" s="733" t="s">
        <v>615</v>
      </c>
      <c r="G1678" s="733"/>
      <c r="H1678" s="733"/>
      <c r="I1678" s="733"/>
      <c r="J1678" s="733"/>
      <c r="K1678" s="733"/>
      <c r="L1678" s="733"/>
      <c r="M1678" s="733"/>
    </row>
    <row r="1679" spans="1:13" x14ac:dyDescent="0.3">
      <c r="A1679" s="733" t="s">
        <v>1984</v>
      </c>
      <c r="B1679" s="733" t="s">
        <v>645</v>
      </c>
      <c r="C1679" s="733" t="s">
        <v>1949</v>
      </c>
      <c r="D1679" s="733" t="s">
        <v>21</v>
      </c>
      <c r="E1679" s="733" t="s">
        <v>614</v>
      </c>
      <c r="F1679" s="733" t="s">
        <v>615</v>
      </c>
      <c r="G1679" s="733"/>
      <c r="H1679" s="733"/>
      <c r="I1679" s="733"/>
      <c r="J1679" s="733"/>
      <c r="K1679" s="733"/>
      <c r="L1679" s="733"/>
      <c r="M1679" s="733"/>
    </row>
    <row r="1680" spans="1:13" x14ac:dyDescent="0.3">
      <c r="A1680" s="733" t="s">
        <v>1984</v>
      </c>
      <c r="B1680" s="733" t="s">
        <v>645</v>
      </c>
      <c r="C1680" s="733" t="s">
        <v>1950</v>
      </c>
      <c r="D1680" s="733" t="s">
        <v>21</v>
      </c>
      <c r="E1680" s="733" t="s">
        <v>614</v>
      </c>
      <c r="F1680" s="733" t="s">
        <v>615</v>
      </c>
      <c r="G1680" s="733"/>
      <c r="H1680" s="733"/>
      <c r="I1680" s="733"/>
      <c r="J1680" s="733"/>
      <c r="K1680" s="733"/>
      <c r="L1680" s="733"/>
      <c r="M1680" s="733"/>
    </row>
    <row r="1681" spans="1:13" x14ac:dyDescent="0.3">
      <c r="A1681" s="733" t="s">
        <v>1984</v>
      </c>
      <c r="B1681" s="733" t="s">
        <v>645</v>
      </c>
      <c r="C1681" s="733" t="s">
        <v>1991</v>
      </c>
      <c r="D1681" s="733" t="s">
        <v>21</v>
      </c>
      <c r="E1681" s="733" t="s">
        <v>614</v>
      </c>
      <c r="F1681" s="733" t="s">
        <v>615</v>
      </c>
      <c r="G1681" s="733"/>
      <c r="H1681" s="733"/>
      <c r="I1681" s="733"/>
      <c r="J1681" s="733"/>
      <c r="K1681" s="733"/>
      <c r="L1681" s="733"/>
      <c r="M1681" s="733"/>
    </row>
    <row r="1682" spans="1:13" x14ac:dyDescent="0.3">
      <c r="A1682" s="733" t="s">
        <v>1984</v>
      </c>
      <c r="B1682" s="733" t="s">
        <v>645</v>
      </c>
      <c r="C1682" s="733" t="s">
        <v>1745</v>
      </c>
      <c r="D1682" s="733" t="s">
        <v>21</v>
      </c>
      <c r="E1682" s="733" t="s">
        <v>614</v>
      </c>
      <c r="F1682" s="733" t="s">
        <v>615</v>
      </c>
      <c r="G1682" s="733"/>
      <c r="H1682" s="733"/>
      <c r="I1682" s="733"/>
      <c r="J1682" s="733"/>
      <c r="K1682" s="733"/>
      <c r="L1682" s="733"/>
      <c r="M1682" s="733"/>
    </row>
    <row r="1683" spans="1:13" x14ac:dyDescent="0.3">
      <c r="A1683" s="733" t="s">
        <v>1984</v>
      </c>
      <c r="B1683" s="733" t="s">
        <v>645</v>
      </c>
      <c r="C1683" s="733" t="s">
        <v>1992</v>
      </c>
      <c r="D1683" s="733" t="s">
        <v>21</v>
      </c>
      <c r="E1683" s="733" t="s">
        <v>614</v>
      </c>
      <c r="F1683" s="733" t="s">
        <v>615</v>
      </c>
      <c r="G1683" s="733"/>
      <c r="H1683" s="733"/>
      <c r="I1683" s="733"/>
      <c r="J1683" s="733"/>
      <c r="K1683" s="733"/>
      <c r="L1683" s="733"/>
      <c r="M1683" s="733"/>
    </row>
    <row r="1684" spans="1:13" x14ac:dyDescent="0.3">
      <c r="A1684" s="733" t="s">
        <v>1984</v>
      </c>
      <c r="B1684" s="733" t="s">
        <v>645</v>
      </c>
      <c r="C1684" s="733" t="s">
        <v>1747</v>
      </c>
      <c r="D1684" s="733" t="s">
        <v>21</v>
      </c>
      <c r="E1684" s="733" t="s">
        <v>614</v>
      </c>
      <c r="F1684" s="733" t="s">
        <v>615</v>
      </c>
      <c r="G1684" s="733"/>
      <c r="H1684" s="733"/>
      <c r="I1684" s="733"/>
      <c r="J1684" s="733"/>
      <c r="K1684" s="733"/>
      <c r="L1684" s="733"/>
      <c r="M1684" s="733"/>
    </row>
    <row r="1685" spans="1:13" x14ac:dyDescent="0.3">
      <c r="A1685" s="733" t="s">
        <v>1984</v>
      </c>
      <c r="B1685" s="733" t="s">
        <v>645</v>
      </c>
      <c r="C1685" s="733" t="s">
        <v>1748</v>
      </c>
      <c r="D1685" s="733" t="s">
        <v>21</v>
      </c>
      <c r="E1685" s="733" t="s">
        <v>614</v>
      </c>
      <c r="F1685" s="733" t="s">
        <v>615</v>
      </c>
      <c r="G1685" s="733"/>
      <c r="H1685" s="733"/>
      <c r="I1685" s="733"/>
      <c r="J1685" s="733"/>
      <c r="K1685" s="733"/>
      <c r="L1685" s="733"/>
      <c r="M1685" s="733"/>
    </row>
    <row r="1686" spans="1:13" x14ac:dyDescent="0.3">
      <c r="A1686" s="733" t="s">
        <v>1984</v>
      </c>
      <c r="B1686" s="733" t="s">
        <v>645</v>
      </c>
      <c r="C1686" s="733" t="s">
        <v>1993</v>
      </c>
      <c r="D1686" s="733" t="s">
        <v>21</v>
      </c>
      <c r="E1686" s="733" t="s">
        <v>614</v>
      </c>
      <c r="F1686" s="733" t="s">
        <v>615</v>
      </c>
      <c r="G1686" s="733"/>
      <c r="H1686" s="733"/>
      <c r="I1686" s="733"/>
      <c r="J1686" s="733"/>
      <c r="K1686" s="733"/>
      <c r="L1686" s="733"/>
      <c r="M1686" s="733"/>
    </row>
    <row r="1687" spans="1:13" x14ac:dyDescent="0.3">
      <c r="A1687" s="734" t="s">
        <v>1984</v>
      </c>
      <c r="B1687" s="734" t="s">
        <v>645</v>
      </c>
      <c r="C1687" s="734" t="s">
        <v>1994</v>
      </c>
      <c r="D1687" s="734" t="s">
        <v>21</v>
      </c>
      <c r="E1687" s="734" t="s">
        <v>614</v>
      </c>
      <c r="F1687" s="734" t="s">
        <v>736</v>
      </c>
      <c r="G1687" s="733"/>
      <c r="H1687" s="733"/>
      <c r="I1687" s="733"/>
      <c r="J1687" s="733"/>
      <c r="K1687" s="733"/>
      <c r="L1687" s="733"/>
      <c r="M1687" s="733"/>
    </row>
    <row r="1688" spans="1:13" x14ac:dyDescent="0.3">
      <c r="A1688" s="733" t="s">
        <v>1984</v>
      </c>
      <c r="B1688" s="733" t="s">
        <v>645</v>
      </c>
      <c r="C1688" s="733" t="s">
        <v>1995</v>
      </c>
      <c r="D1688" s="733" t="s">
        <v>21</v>
      </c>
      <c r="E1688" s="733" t="s">
        <v>614</v>
      </c>
      <c r="F1688" s="733" t="s">
        <v>615</v>
      </c>
      <c r="G1688" s="733"/>
      <c r="H1688" s="733"/>
      <c r="I1688" s="733"/>
      <c r="J1688" s="733"/>
      <c r="K1688" s="733"/>
      <c r="L1688" s="733"/>
      <c r="M1688" s="733"/>
    </row>
    <row r="1689" spans="1:13" x14ac:dyDescent="0.3">
      <c r="A1689" s="733" t="s">
        <v>1984</v>
      </c>
      <c r="B1689" s="733" t="s">
        <v>645</v>
      </c>
      <c r="C1689" s="733" t="s">
        <v>1996</v>
      </c>
      <c r="D1689" s="733" t="s">
        <v>21</v>
      </c>
      <c r="E1689" s="733" t="s">
        <v>614</v>
      </c>
      <c r="F1689" s="733" t="s">
        <v>615</v>
      </c>
      <c r="G1689" s="733"/>
      <c r="H1689" s="733"/>
      <c r="I1689" s="733"/>
      <c r="J1689" s="733"/>
      <c r="K1689" s="733"/>
      <c r="L1689" s="733"/>
      <c r="M1689" s="733"/>
    </row>
    <row r="1690" spans="1:13" x14ac:dyDescent="0.3">
      <c r="A1690" s="733" t="s">
        <v>1984</v>
      </c>
      <c r="B1690" s="733" t="s">
        <v>645</v>
      </c>
      <c r="C1690" s="733" t="s">
        <v>1751</v>
      </c>
      <c r="D1690" s="733" t="s">
        <v>21</v>
      </c>
      <c r="E1690" s="733" t="s">
        <v>614</v>
      </c>
      <c r="F1690" s="733" t="s">
        <v>615</v>
      </c>
      <c r="G1690" s="733"/>
      <c r="H1690" s="733"/>
      <c r="I1690" s="733"/>
      <c r="J1690" s="733"/>
      <c r="K1690" s="733"/>
      <c r="L1690" s="733"/>
      <c r="M1690" s="733"/>
    </row>
    <row r="1691" spans="1:13" x14ac:dyDescent="0.3">
      <c r="A1691" s="733" t="s">
        <v>1984</v>
      </c>
      <c r="B1691" s="733" t="s">
        <v>664</v>
      </c>
      <c r="C1691" s="733" t="s">
        <v>1997</v>
      </c>
      <c r="D1691" s="733" t="s">
        <v>21</v>
      </c>
      <c r="E1691" s="733" t="s">
        <v>614</v>
      </c>
      <c r="F1691" s="733" t="s">
        <v>615</v>
      </c>
      <c r="G1691" s="733"/>
      <c r="H1691" s="733"/>
      <c r="I1691" s="733"/>
      <c r="J1691" s="733"/>
      <c r="K1691" s="733"/>
      <c r="L1691" s="733"/>
      <c r="M1691" s="733"/>
    </row>
    <row r="1692" spans="1:13" x14ac:dyDescent="0.3">
      <c r="A1692" s="733" t="s">
        <v>1984</v>
      </c>
      <c r="B1692" s="733" t="s">
        <v>664</v>
      </c>
      <c r="C1692" s="733" t="s">
        <v>1998</v>
      </c>
      <c r="D1692" s="733" t="s">
        <v>21</v>
      </c>
      <c r="E1692" s="733" t="s">
        <v>614</v>
      </c>
      <c r="F1692" s="733" t="s">
        <v>615</v>
      </c>
      <c r="G1692" s="733"/>
      <c r="H1692" s="733"/>
      <c r="I1692" s="733"/>
      <c r="J1692" s="733"/>
      <c r="K1692" s="733"/>
      <c r="L1692" s="733"/>
      <c r="M1692" s="733"/>
    </row>
    <row r="1693" spans="1:13" x14ac:dyDescent="0.3">
      <c r="A1693" s="733" t="s">
        <v>1984</v>
      </c>
      <c r="B1693" s="733" t="s">
        <v>664</v>
      </c>
      <c r="C1693" s="733" t="s">
        <v>1999</v>
      </c>
      <c r="D1693" s="733" t="s">
        <v>21</v>
      </c>
      <c r="E1693" s="733" t="s">
        <v>614</v>
      </c>
      <c r="F1693" s="733" t="s">
        <v>615</v>
      </c>
      <c r="G1693" s="733"/>
      <c r="H1693" s="733"/>
      <c r="I1693" s="733"/>
      <c r="J1693" s="733"/>
      <c r="K1693" s="733"/>
      <c r="L1693" s="733"/>
      <c r="M1693" s="733"/>
    </row>
    <row r="1694" spans="1:13" x14ac:dyDescent="0.3">
      <c r="A1694" s="733" t="s">
        <v>2000</v>
      </c>
      <c r="B1694" s="733" t="s">
        <v>612</v>
      </c>
      <c r="C1694" s="733" t="s">
        <v>1053</v>
      </c>
      <c r="D1694" s="733" t="s">
        <v>21</v>
      </c>
      <c r="E1694" s="733" t="s">
        <v>614</v>
      </c>
      <c r="F1694" s="733" t="s">
        <v>615</v>
      </c>
      <c r="G1694" s="733"/>
      <c r="H1694" s="733"/>
      <c r="I1694" s="733"/>
      <c r="J1694" s="733"/>
      <c r="K1694" s="733"/>
      <c r="L1694" s="733"/>
      <c r="M1694" s="733"/>
    </row>
    <row r="1695" spans="1:13" x14ac:dyDescent="0.3">
      <c r="A1695" s="733" t="s">
        <v>2000</v>
      </c>
      <c r="B1695" s="733" t="s">
        <v>612</v>
      </c>
      <c r="C1695" s="733" t="s">
        <v>2001</v>
      </c>
      <c r="D1695" s="733" t="s">
        <v>21</v>
      </c>
      <c r="E1695" s="733" t="s">
        <v>614</v>
      </c>
      <c r="F1695" s="733" t="s">
        <v>615</v>
      </c>
      <c r="G1695" s="733"/>
      <c r="H1695" s="733"/>
      <c r="I1695" s="733"/>
      <c r="J1695" s="733"/>
      <c r="K1695" s="733"/>
      <c r="L1695" s="733"/>
      <c r="M1695" s="733"/>
    </row>
    <row r="1696" spans="1:13" x14ac:dyDescent="0.3">
      <c r="A1696" s="733" t="s">
        <v>2000</v>
      </c>
      <c r="B1696" s="733" t="s">
        <v>612</v>
      </c>
      <c r="C1696" s="733" t="s">
        <v>2002</v>
      </c>
      <c r="D1696" s="733" t="s">
        <v>21</v>
      </c>
      <c r="E1696" s="733" t="s">
        <v>614</v>
      </c>
      <c r="F1696" s="733" t="s">
        <v>615</v>
      </c>
      <c r="G1696" s="733"/>
      <c r="H1696" s="733"/>
      <c r="I1696" s="733"/>
      <c r="J1696" s="733"/>
      <c r="K1696" s="733"/>
      <c r="L1696" s="733"/>
      <c r="M1696" s="733"/>
    </row>
    <row r="1697" spans="1:13" x14ac:dyDescent="0.3">
      <c r="A1697" s="733" t="s">
        <v>2000</v>
      </c>
      <c r="B1697" s="733" t="s">
        <v>612</v>
      </c>
      <c r="C1697" s="733" t="s">
        <v>2003</v>
      </c>
      <c r="D1697" s="733" t="s">
        <v>21</v>
      </c>
      <c r="E1697" s="733" t="s">
        <v>614</v>
      </c>
      <c r="F1697" s="733" t="s">
        <v>615</v>
      </c>
      <c r="G1697" s="733"/>
      <c r="H1697" s="733"/>
      <c r="I1697" s="733"/>
      <c r="J1697" s="733"/>
      <c r="K1697" s="733"/>
      <c r="L1697" s="733"/>
      <c r="M1697" s="733"/>
    </row>
    <row r="1698" spans="1:13" x14ac:dyDescent="0.3">
      <c r="A1698" s="734" t="s">
        <v>2000</v>
      </c>
      <c r="B1698" s="734" t="s">
        <v>612</v>
      </c>
      <c r="C1698" s="734" t="s">
        <v>2004</v>
      </c>
      <c r="D1698" s="734" t="s">
        <v>21</v>
      </c>
      <c r="E1698" s="734" t="s">
        <v>614</v>
      </c>
      <c r="F1698" s="734" t="s">
        <v>696</v>
      </c>
      <c r="G1698" s="733"/>
      <c r="H1698" s="733"/>
      <c r="I1698" s="733"/>
      <c r="J1698" s="733"/>
      <c r="K1698" s="733"/>
      <c r="L1698" s="733"/>
      <c r="M1698" s="733"/>
    </row>
    <row r="1699" spans="1:13" x14ac:dyDescent="0.3">
      <c r="A1699" s="733" t="s">
        <v>2000</v>
      </c>
      <c r="B1699" s="733" t="s">
        <v>612</v>
      </c>
      <c r="C1699" s="733" t="s">
        <v>2004</v>
      </c>
      <c r="D1699" s="733" t="s">
        <v>21</v>
      </c>
      <c r="E1699" s="733" t="s">
        <v>614</v>
      </c>
      <c r="F1699" s="733" t="s">
        <v>615</v>
      </c>
      <c r="G1699" s="733"/>
      <c r="H1699" s="733"/>
      <c r="I1699" s="733"/>
      <c r="J1699" s="733"/>
      <c r="K1699" s="733"/>
      <c r="L1699" s="733"/>
      <c r="M1699" s="733"/>
    </row>
    <row r="1700" spans="1:13" x14ac:dyDescent="0.3">
      <c r="A1700" s="733" t="s">
        <v>2000</v>
      </c>
      <c r="B1700" s="733" t="s">
        <v>612</v>
      </c>
      <c r="C1700" s="733" t="s">
        <v>2005</v>
      </c>
      <c r="D1700" s="733" t="s">
        <v>21</v>
      </c>
      <c r="E1700" s="733" t="s">
        <v>614</v>
      </c>
      <c r="F1700" s="733" t="s">
        <v>615</v>
      </c>
      <c r="G1700" s="733"/>
      <c r="H1700" s="733"/>
      <c r="I1700" s="733"/>
      <c r="J1700" s="733"/>
      <c r="K1700" s="733"/>
      <c r="L1700" s="733"/>
      <c r="M1700" s="733"/>
    </row>
    <row r="1701" spans="1:13" x14ac:dyDescent="0.3">
      <c r="A1701" s="733" t="s">
        <v>2000</v>
      </c>
      <c r="B1701" s="733" t="s">
        <v>612</v>
      </c>
      <c r="C1701" s="733" t="s">
        <v>1055</v>
      </c>
      <c r="D1701" s="733" t="s">
        <v>21</v>
      </c>
      <c r="E1701" s="733" t="s">
        <v>614</v>
      </c>
      <c r="F1701" s="733" t="s">
        <v>615</v>
      </c>
      <c r="G1701" s="733"/>
      <c r="H1701" s="733"/>
      <c r="I1701" s="733"/>
      <c r="J1701" s="733"/>
      <c r="K1701" s="733"/>
      <c r="L1701" s="733"/>
      <c r="M1701" s="733"/>
    </row>
    <row r="1702" spans="1:13" x14ac:dyDescent="0.3">
      <c r="A1702" s="733" t="s">
        <v>2000</v>
      </c>
      <c r="B1702" s="733" t="s">
        <v>612</v>
      </c>
      <c r="C1702" s="733" t="s">
        <v>1068</v>
      </c>
      <c r="D1702" s="733" t="s">
        <v>21</v>
      </c>
      <c r="E1702" s="733" t="s">
        <v>614</v>
      </c>
      <c r="F1702" s="733" t="s">
        <v>615</v>
      </c>
      <c r="G1702" s="733"/>
      <c r="H1702" s="733"/>
      <c r="I1702" s="733"/>
      <c r="J1702" s="733"/>
      <c r="K1702" s="733"/>
      <c r="L1702" s="733"/>
      <c r="M1702" s="733"/>
    </row>
    <row r="1703" spans="1:13" x14ac:dyDescent="0.3">
      <c r="A1703" s="733" t="s">
        <v>2000</v>
      </c>
      <c r="B1703" s="733" t="s">
        <v>612</v>
      </c>
      <c r="C1703" s="733" t="s">
        <v>1069</v>
      </c>
      <c r="D1703" s="733" t="s">
        <v>21</v>
      </c>
      <c r="E1703" s="733" t="s">
        <v>614</v>
      </c>
      <c r="F1703" s="733" t="s">
        <v>615</v>
      </c>
      <c r="G1703" s="733"/>
      <c r="H1703" s="733"/>
      <c r="I1703" s="733"/>
      <c r="J1703" s="733"/>
      <c r="K1703" s="733"/>
      <c r="L1703" s="733"/>
      <c r="M1703" s="733"/>
    </row>
    <row r="1704" spans="1:13" x14ac:dyDescent="0.3">
      <c r="A1704" s="733" t="s">
        <v>2000</v>
      </c>
      <c r="B1704" s="733" t="s">
        <v>645</v>
      </c>
      <c r="C1704" s="733" t="s">
        <v>2006</v>
      </c>
      <c r="D1704" s="733" t="s">
        <v>21</v>
      </c>
      <c r="E1704" s="733" t="s">
        <v>614</v>
      </c>
      <c r="F1704" s="733" t="s">
        <v>615</v>
      </c>
      <c r="G1704" s="733"/>
      <c r="H1704" s="733"/>
      <c r="I1704" s="733"/>
      <c r="J1704" s="733"/>
      <c r="K1704" s="733"/>
      <c r="L1704" s="733"/>
      <c r="M1704" s="733"/>
    </row>
    <row r="1705" spans="1:13" x14ac:dyDescent="0.3">
      <c r="A1705" s="733" t="s">
        <v>2000</v>
      </c>
      <c r="B1705" s="733" t="s">
        <v>645</v>
      </c>
      <c r="C1705" s="733" t="s">
        <v>2007</v>
      </c>
      <c r="D1705" s="733" t="s">
        <v>21</v>
      </c>
      <c r="E1705" s="733" t="s">
        <v>614</v>
      </c>
      <c r="F1705" s="733" t="s">
        <v>615</v>
      </c>
      <c r="G1705" s="733"/>
      <c r="H1705" s="733"/>
      <c r="I1705" s="733"/>
      <c r="J1705" s="733"/>
      <c r="K1705" s="733"/>
      <c r="L1705" s="733"/>
      <c r="M1705" s="733"/>
    </row>
    <row r="1706" spans="1:13" x14ac:dyDescent="0.3">
      <c r="A1706" s="733" t="s">
        <v>2000</v>
      </c>
      <c r="B1706" s="733" t="s">
        <v>645</v>
      </c>
      <c r="C1706" s="733" t="s">
        <v>2008</v>
      </c>
      <c r="D1706" s="733" t="s">
        <v>21</v>
      </c>
      <c r="E1706" s="733" t="s">
        <v>614</v>
      </c>
      <c r="F1706" s="733" t="s">
        <v>615</v>
      </c>
      <c r="G1706" s="733"/>
      <c r="H1706" s="733"/>
      <c r="I1706" s="733"/>
      <c r="J1706" s="733"/>
      <c r="K1706" s="733"/>
      <c r="L1706" s="733"/>
      <c r="M1706" s="733"/>
    </row>
    <row r="1707" spans="1:13" x14ac:dyDescent="0.3">
      <c r="A1707" s="733" t="s">
        <v>2000</v>
      </c>
      <c r="B1707" s="733" t="s">
        <v>645</v>
      </c>
      <c r="C1707" s="733" t="s">
        <v>2009</v>
      </c>
      <c r="D1707" s="733" t="s">
        <v>21</v>
      </c>
      <c r="E1707" s="733" t="s">
        <v>614</v>
      </c>
      <c r="F1707" s="733" t="s">
        <v>615</v>
      </c>
      <c r="G1707" s="733"/>
      <c r="H1707" s="733"/>
      <c r="I1707" s="733"/>
      <c r="J1707" s="733"/>
      <c r="K1707" s="733"/>
      <c r="L1707" s="733"/>
      <c r="M1707" s="733"/>
    </row>
    <row r="1708" spans="1:13" x14ac:dyDescent="0.3">
      <c r="A1708" s="733" t="s">
        <v>2000</v>
      </c>
      <c r="B1708" s="733" t="s">
        <v>645</v>
      </c>
      <c r="C1708" s="733" t="s">
        <v>2010</v>
      </c>
      <c r="D1708" s="733" t="s">
        <v>21</v>
      </c>
      <c r="E1708" s="733" t="s">
        <v>614</v>
      </c>
      <c r="F1708" s="733" t="s">
        <v>615</v>
      </c>
      <c r="G1708" s="733"/>
      <c r="H1708" s="733"/>
      <c r="I1708" s="733"/>
      <c r="J1708" s="733"/>
      <c r="K1708" s="733"/>
      <c r="L1708" s="733"/>
      <c r="M1708" s="733"/>
    </row>
    <row r="1709" spans="1:13" x14ac:dyDescent="0.3">
      <c r="A1709" s="733" t="s">
        <v>2000</v>
      </c>
      <c r="B1709" s="733" t="s">
        <v>645</v>
      </c>
      <c r="C1709" s="733" t="s">
        <v>2011</v>
      </c>
      <c r="D1709" s="733" t="s">
        <v>21</v>
      </c>
      <c r="E1709" s="733" t="s">
        <v>614</v>
      </c>
      <c r="F1709" s="733" t="s">
        <v>615</v>
      </c>
      <c r="G1709" s="733"/>
      <c r="H1709" s="733"/>
      <c r="I1709" s="733"/>
      <c r="J1709" s="733"/>
      <c r="K1709" s="733"/>
      <c r="L1709" s="733"/>
      <c r="M1709" s="733"/>
    </row>
    <row r="1710" spans="1:13" x14ac:dyDescent="0.3">
      <c r="A1710" s="733" t="s">
        <v>2012</v>
      </c>
      <c r="B1710" s="733" t="s">
        <v>612</v>
      </c>
      <c r="C1710" s="733" t="s">
        <v>2013</v>
      </c>
      <c r="D1710" s="733" t="s">
        <v>21</v>
      </c>
      <c r="E1710" s="761"/>
      <c r="F1710" s="761"/>
      <c r="G1710" s="733"/>
      <c r="H1710" s="733"/>
      <c r="I1710" s="733"/>
      <c r="J1710" s="733"/>
      <c r="K1710" s="733"/>
      <c r="L1710" s="733"/>
      <c r="M1710" s="733"/>
    </row>
    <row r="1711" spans="1:13" x14ac:dyDescent="0.3">
      <c r="A1711" s="733" t="s">
        <v>2012</v>
      </c>
      <c r="B1711" s="733" t="s">
        <v>612</v>
      </c>
      <c r="C1711" s="733" t="s">
        <v>2014</v>
      </c>
      <c r="D1711" s="733" t="s">
        <v>21</v>
      </c>
      <c r="E1711" s="761"/>
      <c r="F1711" s="761"/>
      <c r="G1711" s="733"/>
      <c r="H1711" s="733"/>
      <c r="I1711" s="733"/>
      <c r="J1711" s="733"/>
      <c r="K1711" s="733"/>
      <c r="L1711" s="733"/>
      <c r="M1711" s="733"/>
    </row>
    <row r="1712" spans="1:13" x14ac:dyDescent="0.3">
      <c r="A1712" s="733" t="s">
        <v>2012</v>
      </c>
      <c r="B1712" s="733" t="s">
        <v>612</v>
      </c>
      <c r="C1712" s="733" t="s">
        <v>2015</v>
      </c>
      <c r="D1712" s="733" t="s">
        <v>21</v>
      </c>
      <c r="E1712" s="761"/>
      <c r="F1712" s="761"/>
      <c r="G1712" s="733"/>
      <c r="H1712" s="733"/>
      <c r="I1712" s="733"/>
      <c r="J1712" s="733"/>
      <c r="K1712" s="733"/>
      <c r="L1712" s="733"/>
      <c r="M1712" s="733"/>
    </row>
    <row r="1713" spans="1:13" x14ac:dyDescent="0.3">
      <c r="A1713" s="733" t="s">
        <v>2012</v>
      </c>
      <c r="B1713" s="733" t="s">
        <v>612</v>
      </c>
      <c r="C1713" s="733" t="s">
        <v>2016</v>
      </c>
      <c r="D1713" s="733" t="s">
        <v>21</v>
      </c>
      <c r="E1713" s="761"/>
      <c r="F1713" s="761"/>
      <c r="G1713" s="733"/>
      <c r="H1713" s="733"/>
      <c r="I1713" s="733"/>
      <c r="J1713" s="733"/>
      <c r="K1713" s="733"/>
      <c r="L1713" s="733"/>
      <c r="M1713" s="733"/>
    </row>
    <row r="1714" spans="1:13" x14ac:dyDescent="0.3">
      <c r="A1714" s="733" t="s">
        <v>2012</v>
      </c>
      <c r="B1714" s="733" t="s">
        <v>612</v>
      </c>
      <c r="C1714" s="733" t="s">
        <v>2017</v>
      </c>
      <c r="D1714" s="733" t="s">
        <v>21</v>
      </c>
      <c r="E1714" s="761"/>
      <c r="F1714" s="761"/>
      <c r="G1714" s="733"/>
      <c r="H1714" s="733"/>
      <c r="I1714" s="733"/>
      <c r="J1714" s="733"/>
      <c r="K1714" s="733"/>
      <c r="L1714" s="733"/>
      <c r="M1714" s="733"/>
    </row>
    <row r="1715" spans="1:13" x14ac:dyDescent="0.3">
      <c r="A1715" s="733" t="s">
        <v>2012</v>
      </c>
      <c r="B1715" s="733" t="s">
        <v>645</v>
      </c>
      <c r="C1715" s="733" t="s">
        <v>2018</v>
      </c>
      <c r="D1715" s="733" t="s">
        <v>21</v>
      </c>
      <c r="E1715" s="761"/>
      <c r="F1715" s="761"/>
      <c r="G1715" s="733"/>
      <c r="H1715" s="733"/>
      <c r="I1715" s="733"/>
      <c r="J1715" s="733"/>
      <c r="K1715" s="733"/>
      <c r="L1715" s="733"/>
      <c r="M1715" s="733"/>
    </row>
    <row r="1716" spans="1:13" x14ac:dyDescent="0.3">
      <c r="A1716" s="733" t="s">
        <v>2012</v>
      </c>
      <c r="B1716" s="733" t="s">
        <v>645</v>
      </c>
      <c r="C1716" s="733" t="s">
        <v>2019</v>
      </c>
      <c r="D1716" s="733" t="s">
        <v>21</v>
      </c>
      <c r="E1716" s="761"/>
      <c r="F1716" s="761"/>
      <c r="G1716" s="733"/>
      <c r="H1716" s="733"/>
      <c r="I1716" s="733"/>
      <c r="J1716" s="733"/>
      <c r="K1716" s="733"/>
      <c r="L1716" s="733"/>
      <c r="M1716" s="733"/>
    </row>
    <row r="1717" spans="1:13" x14ac:dyDescent="0.3">
      <c r="A1717" s="733" t="s">
        <v>2012</v>
      </c>
      <c r="B1717" s="733" t="s">
        <v>645</v>
      </c>
      <c r="C1717" s="733" t="s">
        <v>2020</v>
      </c>
      <c r="D1717" s="733" t="s">
        <v>21</v>
      </c>
      <c r="E1717" s="761"/>
      <c r="F1717" s="761"/>
      <c r="G1717" s="733"/>
      <c r="H1717" s="733"/>
      <c r="I1717" s="733"/>
      <c r="J1717" s="733"/>
      <c r="K1717" s="733"/>
      <c r="L1717" s="733"/>
      <c r="M1717" s="733"/>
    </row>
    <row r="1718" spans="1:13" x14ac:dyDescent="0.3">
      <c r="A1718" s="733" t="s">
        <v>2012</v>
      </c>
      <c r="B1718" s="733" t="s">
        <v>645</v>
      </c>
      <c r="C1718" s="733" t="s">
        <v>2021</v>
      </c>
      <c r="D1718" s="733" t="s">
        <v>21</v>
      </c>
      <c r="E1718" s="761"/>
      <c r="F1718" s="761"/>
      <c r="G1718" s="733"/>
      <c r="H1718" s="733"/>
      <c r="I1718" s="733"/>
      <c r="J1718" s="733"/>
      <c r="K1718" s="733"/>
      <c r="L1718" s="733"/>
      <c r="M1718" s="733"/>
    </row>
    <row r="1719" spans="1:13" x14ac:dyDescent="0.3">
      <c r="A1719" s="733" t="s">
        <v>2012</v>
      </c>
      <c r="B1719" s="733" t="s">
        <v>645</v>
      </c>
      <c r="C1719" s="733" t="s">
        <v>2022</v>
      </c>
      <c r="D1719" s="733" t="s">
        <v>21</v>
      </c>
      <c r="E1719" s="761"/>
      <c r="F1719" s="761"/>
      <c r="G1719" s="733"/>
      <c r="H1719" s="733"/>
      <c r="I1719" s="733"/>
      <c r="J1719" s="733"/>
      <c r="K1719" s="733"/>
      <c r="L1719" s="733"/>
      <c r="M1719" s="733"/>
    </row>
    <row r="1720" spans="1:13" x14ac:dyDescent="0.3">
      <c r="A1720" s="733" t="s">
        <v>2012</v>
      </c>
      <c r="B1720" s="733" t="s">
        <v>664</v>
      </c>
      <c r="C1720" s="733" t="s">
        <v>2023</v>
      </c>
      <c r="D1720" s="733" t="s">
        <v>21</v>
      </c>
      <c r="E1720" s="761"/>
      <c r="F1720" s="761"/>
      <c r="G1720" s="733"/>
      <c r="H1720" s="733"/>
      <c r="I1720" s="733"/>
      <c r="J1720" s="733"/>
      <c r="K1720" s="733"/>
      <c r="L1720" s="733"/>
      <c r="M1720" s="733"/>
    </row>
    <row r="1721" spans="1:13" x14ac:dyDescent="0.3">
      <c r="A1721" s="733" t="s">
        <v>2012</v>
      </c>
      <c r="B1721" s="733" t="s">
        <v>664</v>
      </c>
      <c r="C1721" s="733" t="s">
        <v>2024</v>
      </c>
      <c r="D1721" s="733" t="s">
        <v>21</v>
      </c>
      <c r="E1721" s="761"/>
      <c r="F1721" s="761"/>
      <c r="G1721" s="733"/>
      <c r="H1721" s="733"/>
      <c r="I1721" s="733"/>
      <c r="J1721" s="733"/>
      <c r="K1721" s="733"/>
      <c r="L1721" s="733"/>
      <c r="M1721" s="733"/>
    </row>
    <row r="1722" spans="1:13" x14ac:dyDescent="0.3">
      <c r="A1722" s="733" t="s">
        <v>2012</v>
      </c>
      <c r="B1722" s="733" t="s">
        <v>664</v>
      </c>
      <c r="C1722" s="733" t="s">
        <v>2025</v>
      </c>
      <c r="D1722" s="733" t="s">
        <v>21</v>
      </c>
      <c r="E1722" s="761"/>
      <c r="F1722" s="761"/>
      <c r="G1722" s="733"/>
      <c r="H1722" s="733"/>
      <c r="I1722" s="733"/>
      <c r="J1722" s="733"/>
      <c r="K1722" s="733"/>
      <c r="L1722" s="733"/>
      <c r="M1722" s="733"/>
    </row>
    <row r="1723" spans="1:13" x14ac:dyDescent="0.3">
      <c r="A1723" s="733" t="s">
        <v>2012</v>
      </c>
      <c r="B1723" s="733" t="s">
        <v>664</v>
      </c>
      <c r="C1723" s="733" t="s">
        <v>2026</v>
      </c>
      <c r="D1723" s="733" t="s">
        <v>21</v>
      </c>
      <c r="E1723" s="761"/>
      <c r="F1723" s="761"/>
      <c r="G1723" s="733"/>
      <c r="H1723" s="733"/>
      <c r="I1723" s="733"/>
      <c r="J1723" s="733"/>
      <c r="K1723" s="733"/>
      <c r="L1723" s="733"/>
      <c r="M1723" s="733"/>
    </row>
    <row r="1724" spans="1:13" x14ac:dyDescent="0.3">
      <c r="A1724" s="733" t="s">
        <v>2012</v>
      </c>
      <c r="B1724" s="733" t="s">
        <v>664</v>
      </c>
      <c r="C1724" s="733" t="s">
        <v>2027</v>
      </c>
      <c r="D1724" s="733" t="s">
        <v>21</v>
      </c>
      <c r="E1724" s="761"/>
      <c r="F1724" s="761"/>
      <c r="G1724" s="733"/>
      <c r="H1724" s="733"/>
      <c r="I1724" s="733"/>
      <c r="J1724" s="733"/>
      <c r="K1724" s="733"/>
      <c r="L1724" s="733"/>
      <c r="M1724" s="733"/>
    </row>
    <row r="1725" spans="1:13" x14ac:dyDescent="0.3">
      <c r="A1725" s="733" t="s">
        <v>2028</v>
      </c>
      <c r="B1725" s="733" t="s">
        <v>612</v>
      </c>
      <c r="C1725" s="733" t="s">
        <v>963</v>
      </c>
      <c r="D1725" s="733" t="s">
        <v>21</v>
      </c>
      <c r="E1725" s="733" t="s">
        <v>614</v>
      </c>
      <c r="F1725" s="733" t="s">
        <v>615</v>
      </c>
      <c r="G1725" s="733"/>
      <c r="H1725" s="733"/>
      <c r="I1725" s="733"/>
      <c r="J1725" s="733"/>
      <c r="K1725" s="733"/>
      <c r="L1725" s="733"/>
      <c r="M1725" s="733"/>
    </row>
    <row r="1726" spans="1:13" x14ac:dyDescent="0.3">
      <c r="A1726" s="733" t="s">
        <v>2028</v>
      </c>
      <c r="B1726" s="733" t="s">
        <v>612</v>
      </c>
      <c r="C1726" s="733" t="s">
        <v>909</v>
      </c>
      <c r="D1726" s="733" t="s">
        <v>21</v>
      </c>
      <c r="E1726" s="733" t="s">
        <v>614</v>
      </c>
      <c r="F1726" s="733" t="s">
        <v>615</v>
      </c>
      <c r="G1726" s="733"/>
      <c r="H1726" s="733"/>
      <c r="I1726" s="733"/>
      <c r="J1726" s="733"/>
      <c r="K1726" s="733"/>
      <c r="L1726" s="733"/>
      <c r="M1726" s="733"/>
    </row>
    <row r="1727" spans="1:13" x14ac:dyDescent="0.3">
      <c r="A1727" s="733" t="s">
        <v>2028</v>
      </c>
      <c r="B1727" s="733" t="s">
        <v>612</v>
      </c>
      <c r="C1727" s="733" t="s">
        <v>2029</v>
      </c>
      <c r="D1727" s="733" t="s">
        <v>21</v>
      </c>
      <c r="E1727" s="733" t="s">
        <v>614</v>
      </c>
      <c r="F1727" s="733" t="s">
        <v>615</v>
      </c>
      <c r="G1727" s="733"/>
      <c r="H1727" s="733"/>
      <c r="I1727" s="733"/>
      <c r="J1727" s="733"/>
      <c r="K1727" s="733"/>
      <c r="L1727" s="733"/>
      <c r="M1727" s="733"/>
    </row>
    <row r="1728" spans="1:13" x14ac:dyDescent="0.3">
      <c r="A1728" s="733" t="s">
        <v>2028</v>
      </c>
      <c r="B1728" s="733" t="s">
        <v>612</v>
      </c>
      <c r="C1728" s="733" t="s">
        <v>2030</v>
      </c>
      <c r="D1728" s="733" t="s">
        <v>21</v>
      </c>
      <c r="E1728" s="733" t="s">
        <v>614</v>
      </c>
      <c r="F1728" s="733" t="s">
        <v>615</v>
      </c>
      <c r="G1728" s="733"/>
      <c r="H1728" s="733"/>
      <c r="I1728" s="733"/>
      <c r="J1728" s="733"/>
      <c r="K1728" s="733"/>
      <c r="L1728" s="733"/>
      <c r="M1728" s="733"/>
    </row>
    <row r="1729" spans="1:13" x14ac:dyDescent="0.3">
      <c r="A1729" s="733" t="s">
        <v>2028</v>
      </c>
      <c r="B1729" s="733" t="s">
        <v>612</v>
      </c>
      <c r="C1729" s="733" t="s">
        <v>2031</v>
      </c>
      <c r="D1729" s="733" t="s">
        <v>21</v>
      </c>
      <c r="E1729" s="733" t="s">
        <v>614</v>
      </c>
      <c r="F1729" s="733" t="s">
        <v>615</v>
      </c>
      <c r="G1729" s="733"/>
      <c r="H1729" s="733"/>
      <c r="I1729" s="733"/>
      <c r="J1729" s="733"/>
      <c r="K1729" s="733"/>
      <c r="L1729" s="733"/>
      <c r="M1729" s="733"/>
    </row>
    <row r="1730" spans="1:13" x14ac:dyDescent="0.3">
      <c r="A1730" s="733" t="s">
        <v>2028</v>
      </c>
      <c r="B1730" s="733" t="s">
        <v>612</v>
      </c>
      <c r="C1730" s="733" t="s">
        <v>2032</v>
      </c>
      <c r="D1730" s="733" t="s">
        <v>21</v>
      </c>
      <c r="E1730" s="733" t="s">
        <v>614</v>
      </c>
      <c r="F1730" s="733" t="s">
        <v>615</v>
      </c>
      <c r="G1730" s="733"/>
      <c r="H1730" s="733"/>
      <c r="I1730" s="733"/>
      <c r="J1730" s="733"/>
      <c r="K1730" s="733"/>
      <c r="L1730" s="733"/>
      <c r="M1730" s="733"/>
    </row>
    <row r="1731" spans="1:13" x14ac:dyDescent="0.3">
      <c r="A1731" s="734" t="s">
        <v>2028</v>
      </c>
      <c r="B1731" s="734" t="s">
        <v>612</v>
      </c>
      <c r="C1731" s="734" t="s">
        <v>2033</v>
      </c>
      <c r="D1731" s="733" t="s">
        <v>21</v>
      </c>
      <c r="E1731" s="734" t="s">
        <v>614</v>
      </c>
      <c r="F1731" s="734" t="s">
        <v>696</v>
      </c>
      <c r="G1731" s="733"/>
      <c r="H1731" s="733"/>
      <c r="I1731" s="733"/>
      <c r="J1731" s="733"/>
      <c r="K1731" s="733"/>
      <c r="L1731" s="733"/>
      <c r="M1731" s="733"/>
    </row>
    <row r="1732" spans="1:13" x14ac:dyDescent="0.3">
      <c r="A1732" s="733" t="s">
        <v>2028</v>
      </c>
      <c r="B1732" s="733" t="s">
        <v>664</v>
      </c>
      <c r="C1732" s="733" t="s">
        <v>968</v>
      </c>
      <c r="D1732" s="733" t="s">
        <v>21</v>
      </c>
      <c r="E1732" s="733" t="s">
        <v>614</v>
      </c>
      <c r="F1732" s="733" t="s">
        <v>615</v>
      </c>
      <c r="G1732" s="733"/>
      <c r="H1732" s="733"/>
      <c r="I1732" s="733"/>
      <c r="J1732" s="733"/>
      <c r="K1732" s="733"/>
      <c r="L1732" s="733"/>
      <c r="M1732" s="733"/>
    </row>
    <row r="1733" spans="1:13" x14ac:dyDescent="0.3">
      <c r="A1733" s="733" t="s">
        <v>2028</v>
      </c>
      <c r="B1733" s="733" t="s">
        <v>664</v>
      </c>
      <c r="C1733" s="733" t="s">
        <v>2034</v>
      </c>
      <c r="D1733" s="733" t="s">
        <v>21</v>
      </c>
      <c r="E1733" s="733" t="s">
        <v>614</v>
      </c>
      <c r="F1733" s="733" t="s">
        <v>615</v>
      </c>
      <c r="G1733" s="733"/>
      <c r="H1733" s="733"/>
      <c r="I1733" s="733"/>
      <c r="J1733" s="733"/>
      <c r="K1733" s="733"/>
      <c r="L1733" s="733"/>
      <c r="M1733" s="733"/>
    </row>
    <row r="1734" spans="1:13" x14ac:dyDescent="0.3">
      <c r="A1734" s="733" t="s">
        <v>2035</v>
      </c>
      <c r="B1734" s="733" t="s">
        <v>612</v>
      </c>
      <c r="C1734" s="733" t="s">
        <v>2036</v>
      </c>
      <c r="D1734" s="733" t="s">
        <v>21</v>
      </c>
      <c r="E1734" s="761"/>
      <c r="F1734" s="761"/>
      <c r="G1734" s="733"/>
      <c r="H1734" s="733"/>
      <c r="I1734" s="733"/>
      <c r="J1734" s="733"/>
      <c r="K1734" s="733"/>
      <c r="L1734" s="733"/>
      <c r="M1734" s="733"/>
    </row>
    <row r="1735" spans="1:13" x14ac:dyDescent="0.3">
      <c r="A1735" s="733" t="s">
        <v>2035</v>
      </c>
      <c r="B1735" s="733" t="s">
        <v>612</v>
      </c>
      <c r="C1735" s="733" t="s">
        <v>2037</v>
      </c>
      <c r="D1735" s="733" t="s">
        <v>21</v>
      </c>
      <c r="E1735" s="733" t="s">
        <v>614</v>
      </c>
      <c r="F1735" s="733" t="s">
        <v>615</v>
      </c>
      <c r="G1735" s="733"/>
      <c r="H1735" s="733"/>
      <c r="I1735" s="733"/>
      <c r="J1735" s="733"/>
      <c r="K1735" s="733"/>
      <c r="L1735" s="733"/>
      <c r="M1735" s="733"/>
    </row>
    <row r="1736" spans="1:13" x14ac:dyDescent="0.3">
      <c r="A1736" s="733" t="s">
        <v>2035</v>
      </c>
      <c r="B1736" s="733" t="s">
        <v>612</v>
      </c>
      <c r="C1736" s="733" t="s">
        <v>2038</v>
      </c>
      <c r="D1736" s="733" t="s">
        <v>21</v>
      </c>
      <c r="E1736" s="733" t="s">
        <v>614</v>
      </c>
      <c r="F1736" s="733" t="s">
        <v>615</v>
      </c>
      <c r="G1736" s="733"/>
      <c r="H1736" s="733"/>
      <c r="I1736" s="733"/>
      <c r="J1736" s="733"/>
      <c r="K1736" s="733"/>
      <c r="L1736" s="733"/>
      <c r="M1736" s="733"/>
    </row>
    <row r="1737" spans="1:13" x14ac:dyDescent="0.3">
      <c r="A1737" s="733" t="s">
        <v>2039</v>
      </c>
      <c r="B1737" s="733" t="s">
        <v>645</v>
      </c>
      <c r="C1737" s="733" t="s">
        <v>2040</v>
      </c>
      <c r="D1737" s="733" t="s">
        <v>21</v>
      </c>
      <c r="E1737" s="733" t="s">
        <v>614</v>
      </c>
      <c r="F1737" s="733" t="s">
        <v>615</v>
      </c>
      <c r="G1737" s="733"/>
      <c r="H1737" s="733"/>
      <c r="I1737" s="733"/>
      <c r="J1737" s="733"/>
      <c r="K1737" s="733"/>
      <c r="L1737" s="733"/>
      <c r="M1737" s="733"/>
    </row>
    <row r="1738" spans="1:13" x14ac:dyDescent="0.3">
      <c r="A1738" s="733" t="s">
        <v>2041</v>
      </c>
      <c r="B1738" s="733" t="s">
        <v>612</v>
      </c>
      <c r="C1738" s="733" t="s">
        <v>2042</v>
      </c>
      <c r="D1738" s="733" t="s">
        <v>21</v>
      </c>
      <c r="E1738" s="733" t="s">
        <v>614</v>
      </c>
      <c r="F1738" s="733" t="s">
        <v>615</v>
      </c>
      <c r="G1738" s="733"/>
      <c r="H1738" s="733"/>
      <c r="I1738" s="733"/>
      <c r="J1738" s="733"/>
      <c r="K1738" s="733"/>
      <c r="L1738" s="733"/>
      <c r="M1738" s="733"/>
    </row>
    <row r="1739" spans="1:13" x14ac:dyDescent="0.3">
      <c r="A1739" s="733" t="s">
        <v>2041</v>
      </c>
      <c r="B1739" s="733" t="s">
        <v>612</v>
      </c>
      <c r="C1739" s="733" t="s">
        <v>2043</v>
      </c>
      <c r="D1739" s="733" t="s">
        <v>21</v>
      </c>
      <c r="E1739" s="733" t="s">
        <v>614</v>
      </c>
      <c r="F1739" s="733" t="s">
        <v>615</v>
      </c>
      <c r="G1739" s="733"/>
      <c r="H1739" s="733"/>
      <c r="I1739" s="733"/>
      <c r="J1739" s="733"/>
      <c r="K1739" s="733"/>
      <c r="L1739" s="733"/>
      <c r="M1739" s="733"/>
    </row>
    <row r="1740" spans="1:13" x14ac:dyDescent="0.3">
      <c r="A1740" s="733" t="s">
        <v>2044</v>
      </c>
      <c r="B1740" s="761" t="s">
        <v>664</v>
      </c>
      <c r="C1740" s="761" t="s">
        <v>2047</v>
      </c>
      <c r="D1740" s="761" t="s">
        <v>21</v>
      </c>
      <c r="E1740" s="761" t="s">
        <v>614</v>
      </c>
      <c r="F1740" s="761" t="s">
        <v>615</v>
      </c>
      <c r="G1740" s="761"/>
      <c r="H1740" s="761"/>
      <c r="I1740" s="761"/>
      <c r="J1740" s="761"/>
      <c r="K1740" s="761"/>
      <c r="L1740" s="761"/>
      <c r="M1740" s="761"/>
    </row>
    <row r="1741" spans="1:13" x14ac:dyDescent="0.3">
      <c r="A1741" s="733" t="s">
        <v>2045</v>
      </c>
      <c r="B1741" s="761"/>
      <c r="C1741" s="761"/>
      <c r="D1741" s="761"/>
      <c r="E1741" s="761"/>
      <c r="F1741" s="761"/>
      <c r="G1741" s="761"/>
      <c r="H1741" s="761"/>
      <c r="I1741" s="761"/>
      <c r="J1741" s="761"/>
      <c r="K1741" s="761"/>
      <c r="L1741" s="761"/>
      <c r="M1741" s="761"/>
    </row>
    <row r="1742" spans="1:13" x14ac:dyDescent="0.3">
      <c r="A1742" s="733" t="s">
        <v>2046</v>
      </c>
      <c r="B1742" s="761"/>
      <c r="C1742" s="761"/>
      <c r="D1742" s="761"/>
      <c r="E1742" s="761"/>
      <c r="F1742" s="761"/>
      <c r="G1742" s="761"/>
      <c r="H1742" s="761"/>
      <c r="I1742" s="761"/>
      <c r="J1742" s="761"/>
      <c r="K1742" s="761"/>
      <c r="L1742" s="761"/>
      <c r="M1742" s="761"/>
    </row>
    <row r="1743" spans="1:13" x14ac:dyDescent="0.3">
      <c r="A1743" s="733" t="s">
        <v>2048</v>
      </c>
      <c r="B1743" s="733" t="s">
        <v>612</v>
      </c>
      <c r="C1743" s="733" t="s">
        <v>973</v>
      </c>
      <c r="D1743" s="733" t="s">
        <v>21</v>
      </c>
      <c r="E1743" s="733" t="s">
        <v>614</v>
      </c>
      <c r="F1743" s="733" t="s">
        <v>615</v>
      </c>
      <c r="G1743" s="733"/>
      <c r="H1743" s="733"/>
      <c r="I1743" s="733"/>
      <c r="J1743" s="733"/>
      <c r="K1743" s="733"/>
      <c r="L1743" s="733"/>
      <c r="M1743" s="733"/>
    </row>
    <row r="1744" spans="1:13" x14ac:dyDescent="0.3">
      <c r="A1744" s="733" t="s">
        <v>2048</v>
      </c>
      <c r="B1744" s="733" t="s">
        <v>612</v>
      </c>
      <c r="C1744" s="733" t="s">
        <v>909</v>
      </c>
      <c r="D1744" s="733" t="s">
        <v>21</v>
      </c>
      <c r="E1744" s="733" t="s">
        <v>614</v>
      </c>
      <c r="F1744" s="733" t="s">
        <v>615</v>
      </c>
      <c r="G1744" s="733"/>
      <c r="H1744" s="733"/>
      <c r="I1744" s="733"/>
      <c r="J1744" s="733"/>
      <c r="K1744" s="733"/>
      <c r="L1744" s="733"/>
      <c r="M1744" s="733"/>
    </row>
    <row r="1745" spans="1:13" x14ac:dyDescent="0.3">
      <c r="A1745" s="733" t="s">
        <v>2048</v>
      </c>
      <c r="B1745" s="733" t="s">
        <v>612</v>
      </c>
      <c r="C1745" s="733" t="s">
        <v>2049</v>
      </c>
      <c r="D1745" s="733" t="s">
        <v>21</v>
      </c>
      <c r="E1745" s="733" t="s">
        <v>614</v>
      </c>
      <c r="F1745" s="733" t="s">
        <v>615</v>
      </c>
      <c r="G1745" s="733"/>
      <c r="H1745" s="733"/>
      <c r="I1745" s="733"/>
      <c r="J1745" s="733"/>
      <c r="K1745" s="733"/>
      <c r="L1745" s="733"/>
      <c r="M1745" s="733"/>
    </row>
    <row r="1746" spans="1:13" x14ac:dyDescent="0.3">
      <c r="A1746" s="733" t="s">
        <v>2048</v>
      </c>
      <c r="B1746" s="733" t="s">
        <v>612</v>
      </c>
      <c r="C1746" s="733" t="s">
        <v>2050</v>
      </c>
      <c r="D1746" s="733" t="s">
        <v>21</v>
      </c>
      <c r="E1746" s="733" t="s">
        <v>614</v>
      </c>
      <c r="F1746" s="733" t="s">
        <v>615</v>
      </c>
      <c r="G1746" s="733"/>
      <c r="H1746" s="733"/>
      <c r="I1746" s="733"/>
      <c r="J1746" s="733"/>
      <c r="K1746" s="733"/>
      <c r="L1746" s="733"/>
      <c r="M1746" s="733"/>
    </row>
    <row r="1747" spans="1:13" x14ac:dyDescent="0.3">
      <c r="A1747" s="733" t="s">
        <v>2048</v>
      </c>
      <c r="B1747" s="733" t="s">
        <v>612</v>
      </c>
      <c r="C1747" s="733" t="s">
        <v>2051</v>
      </c>
      <c r="D1747" s="733" t="s">
        <v>21</v>
      </c>
      <c r="E1747" s="733" t="s">
        <v>614</v>
      </c>
      <c r="F1747" s="733" t="s">
        <v>615</v>
      </c>
      <c r="G1747" s="733"/>
      <c r="H1747" s="733"/>
      <c r="I1747" s="733"/>
      <c r="J1747" s="733"/>
      <c r="K1747" s="733"/>
      <c r="L1747" s="733"/>
      <c r="M1747" s="733"/>
    </row>
    <row r="1748" spans="1:13" x14ac:dyDescent="0.3">
      <c r="A1748" s="733" t="s">
        <v>2048</v>
      </c>
      <c r="B1748" s="733" t="s">
        <v>612</v>
      </c>
      <c r="C1748" s="733" t="s">
        <v>984</v>
      </c>
      <c r="D1748" s="733" t="s">
        <v>21</v>
      </c>
      <c r="E1748" s="733" t="s">
        <v>614</v>
      </c>
      <c r="F1748" s="733" t="s">
        <v>615</v>
      </c>
      <c r="G1748" s="733"/>
      <c r="H1748" s="733"/>
      <c r="I1748" s="733"/>
      <c r="J1748" s="733"/>
      <c r="K1748" s="733"/>
      <c r="L1748" s="733"/>
      <c r="M1748" s="733"/>
    </row>
    <row r="1749" spans="1:13" x14ac:dyDescent="0.3">
      <c r="A1749" s="733" t="s">
        <v>2048</v>
      </c>
      <c r="B1749" s="733" t="s">
        <v>612</v>
      </c>
      <c r="C1749" s="733" t="s">
        <v>985</v>
      </c>
      <c r="D1749" s="733" t="s">
        <v>21</v>
      </c>
      <c r="E1749" s="733" t="s">
        <v>614</v>
      </c>
      <c r="F1749" s="733" t="s">
        <v>615</v>
      </c>
      <c r="G1749" s="733"/>
      <c r="H1749" s="733"/>
      <c r="I1749" s="733"/>
      <c r="J1749" s="733"/>
      <c r="K1749" s="733"/>
      <c r="L1749" s="733"/>
      <c r="M1749" s="733"/>
    </row>
    <row r="1750" spans="1:13" x14ac:dyDescent="0.3">
      <c r="A1750" s="733" t="s">
        <v>2048</v>
      </c>
      <c r="B1750" s="733" t="s">
        <v>612</v>
      </c>
      <c r="C1750" s="733" t="s">
        <v>2052</v>
      </c>
      <c r="D1750" s="733" t="s">
        <v>21</v>
      </c>
      <c r="E1750" s="733" t="s">
        <v>614</v>
      </c>
      <c r="F1750" s="733" t="s">
        <v>615</v>
      </c>
      <c r="G1750" s="733"/>
      <c r="H1750" s="733"/>
      <c r="I1750" s="733"/>
      <c r="J1750" s="733"/>
      <c r="K1750" s="733"/>
      <c r="L1750" s="733"/>
      <c r="M1750" s="733"/>
    </row>
    <row r="1751" spans="1:13" x14ac:dyDescent="0.3">
      <c r="A1751" s="733" t="s">
        <v>2048</v>
      </c>
      <c r="B1751" s="733" t="s">
        <v>612</v>
      </c>
      <c r="C1751" s="733" t="s">
        <v>2053</v>
      </c>
      <c r="D1751" s="733" t="s">
        <v>21</v>
      </c>
      <c r="E1751" s="733" t="s">
        <v>614</v>
      </c>
      <c r="F1751" s="733" t="s">
        <v>615</v>
      </c>
      <c r="G1751" s="733"/>
      <c r="H1751" s="733"/>
      <c r="I1751" s="733"/>
      <c r="J1751" s="733"/>
      <c r="K1751" s="733"/>
      <c r="L1751" s="733"/>
      <c r="M1751" s="733"/>
    </row>
    <row r="1752" spans="1:13" x14ac:dyDescent="0.3">
      <c r="A1752" s="733" t="s">
        <v>2048</v>
      </c>
      <c r="B1752" s="733" t="s">
        <v>612</v>
      </c>
      <c r="C1752" s="733" t="s">
        <v>995</v>
      </c>
      <c r="D1752" s="733" t="s">
        <v>21</v>
      </c>
      <c r="E1752" s="733" t="s">
        <v>614</v>
      </c>
      <c r="F1752" s="733" t="s">
        <v>615</v>
      </c>
      <c r="G1752" s="733"/>
      <c r="H1752" s="733"/>
      <c r="I1752" s="733"/>
      <c r="J1752" s="733"/>
      <c r="K1752" s="733"/>
      <c r="L1752" s="733"/>
      <c r="M1752" s="733"/>
    </row>
    <row r="1753" spans="1:13" x14ac:dyDescent="0.3">
      <c r="A1753" s="733" t="s">
        <v>2048</v>
      </c>
      <c r="B1753" s="733" t="s">
        <v>612</v>
      </c>
      <c r="C1753" s="733" t="s">
        <v>2054</v>
      </c>
      <c r="D1753" s="733" t="s">
        <v>21</v>
      </c>
      <c r="E1753" s="733" t="s">
        <v>614</v>
      </c>
      <c r="F1753" s="733" t="s">
        <v>615</v>
      </c>
      <c r="G1753" s="733"/>
      <c r="H1753" s="733"/>
      <c r="I1753" s="733"/>
      <c r="J1753" s="733"/>
      <c r="K1753" s="733"/>
      <c r="L1753" s="733"/>
      <c r="M1753" s="733"/>
    </row>
    <row r="1754" spans="1:13" x14ac:dyDescent="0.3">
      <c r="A1754" s="733" t="s">
        <v>2048</v>
      </c>
      <c r="B1754" s="733" t="s">
        <v>612</v>
      </c>
      <c r="C1754" s="733" t="s">
        <v>996</v>
      </c>
      <c r="D1754" s="733" t="s">
        <v>21</v>
      </c>
      <c r="E1754" s="733" t="s">
        <v>614</v>
      </c>
      <c r="F1754" s="733" t="s">
        <v>615</v>
      </c>
      <c r="G1754" s="733"/>
      <c r="H1754" s="733"/>
      <c r="I1754" s="733"/>
      <c r="J1754" s="733"/>
      <c r="K1754" s="733"/>
      <c r="L1754" s="733"/>
      <c r="M1754" s="733"/>
    </row>
    <row r="1755" spans="1:13" x14ac:dyDescent="0.3">
      <c r="A1755" s="733" t="s">
        <v>2048</v>
      </c>
      <c r="B1755" s="733" t="s">
        <v>612</v>
      </c>
      <c r="C1755" s="733" t="s">
        <v>2055</v>
      </c>
      <c r="D1755" s="733" t="s">
        <v>21</v>
      </c>
      <c r="E1755" s="733" t="s">
        <v>614</v>
      </c>
      <c r="F1755" s="733" t="s">
        <v>615</v>
      </c>
      <c r="G1755" s="733"/>
      <c r="H1755" s="733"/>
      <c r="I1755" s="733"/>
      <c r="J1755" s="733"/>
      <c r="K1755" s="733"/>
      <c r="L1755" s="733"/>
      <c r="M1755" s="733"/>
    </row>
    <row r="1756" spans="1:13" x14ac:dyDescent="0.3">
      <c r="A1756" s="733" t="s">
        <v>2048</v>
      </c>
      <c r="B1756" s="733" t="s">
        <v>612</v>
      </c>
      <c r="C1756" s="733" t="s">
        <v>1003</v>
      </c>
      <c r="D1756" s="733" t="s">
        <v>21</v>
      </c>
      <c r="E1756" s="733" t="s">
        <v>614</v>
      </c>
      <c r="F1756" s="733" t="s">
        <v>615</v>
      </c>
      <c r="G1756" s="733"/>
      <c r="H1756" s="733"/>
      <c r="I1756" s="733"/>
      <c r="J1756" s="733"/>
      <c r="K1756" s="733"/>
      <c r="L1756" s="733"/>
      <c r="M1756" s="733"/>
    </row>
    <row r="1757" spans="1:13" x14ac:dyDescent="0.3">
      <c r="A1757" s="733" t="s">
        <v>2048</v>
      </c>
      <c r="B1757" s="733" t="s">
        <v>612</v>
      </c>
      <c r="C1757" s="733" t="s">
        <v>2056</v>
      </c>
      <c r="D1757" s="733" t="s">
        <v>21</v>
      </c>
      <c r="E1757" s="733" t="s">
        <v>614</v>
      </c>
      <c r="F1757" s="733" t="s">
        <v>615</v>
      </c>
      <c r="G1757" s="733"/>
      <c r="H1757" s="733"/>
      <c r="I1757" s="733"/>
      <c r="J1757" s="733"/>
      <c r="K1757" s="733"/>
      <c r="L1757" s="733"/>
      <c r="M1757" s="733"/>
    </row>
    <row r="1758" spans="1:13" x14ac:dyDescent="0.3">
      <c r="A1758" s="733" t="s">
        <v>2048</v>
      </c>
      <c r="B1758" s="733" t="s">
        <v>612</v>
      </c>
      <c r="C1758" s="733" t="s">
        <v>1004</v>
      </c>
      <c r="D1758" s="733" t="s">
        <v>21</v>
      </c>
      <c r="E1758" s="733" t="s">
        <v>614</v>
      </c>
      <c r="F1758" s="733" t="s">
        <v>615</v>
      </c>
      <c r="G1758" s="733"/>
      <c r="H1758" s="733"/>
      <c r="I1758" s="733"/>
      <c r="J1758" s="733"/>
      <c r="K1758" s="733"/>
      <c r="L1758" s="733"/>
      <c r="M1758" s="733"/>
    </row>
    <row r="1759" spans="1:13" x14ac:dyDescent="0.3">
      <c r="A1759" s="733" t="s">
        <v>2048</v>
      </c>
      <c r="B1759" s="733" t="s">
        <v>612</v>
      </c>
      <c r="C1759" s="733" t="s">
        <v>2057</v>
      </c>
      <c r="D1759" s="733" t="s">
        <v>21</v>
      </c>
      <c r="E1759" s="733" t="s">
        <v>614</v>
      </c>
      <c r="F1759" s="733" t="s">
        <v>615</v>
      </c>
      <c r="G1759" s="733"/>
      <c r="H1759" s="733"/>
      <c r="I1759" s="733"/>
      <c r="J1759" s="733"/>
      <c r="K1759" s="733"/>
      <c r="L1759" s="733"/>
      <c r="M1759" s="733"/>
    </row>
    <row r="1760" spans="1:13" x14ac:dyDescent="0.3">
      <c r="A1760" s="733" t="s">
        <v>2048</v>
      </c>
      <c r="B1760" s="733" t="s">
        <v>612</v>
      </c>
      <c r="C1760" s="733" t="s">
        <v>2058</v>
      </c>
      <c r="D1760" s="733" t="s">
        <v>21</v>
      </c>
      <c r="E1760" s="733" t="s">
        <v>614</v>
      </c>
      <c r="F1760" s="733" t="s">
        <v>615</v>
      </c>
      <c r="G1760" s="733"/>
      <c r="H1760" s="733"/>
      <c r="I1760" s="733"/>
      <c r="J1760" s="733"/>
      <c r="K1760" s="733"/>
      <c r="L1760" s="733"/>
      <c r="M1760" s="733"/>
    </row>
    <row r="1761" spans="1:13" x14ac:dyDescent="0.3">
      <c r="A1761" s="733" t="s">
        <v>2048</v>
      </c>
      <c r="B1761" s="733" t="s">
        <v>612</v>
      </c>
      <c r="C1761" s="733" t="s">
        <v>1006</v>
      </c>
      <c r="D1761" s="733" t="s">
        <v>21</v>
      </c>
      <c r="E1761" s="733" t="s">
        <v>614</v>
      </c>
      <c r="F1761" s="733" t="s">
        <v>615</v>
      </c>
      <c r="G1761" s="733"/>
      <c r="H1761" s="733"/>
      <c r="I1761" s="733"/>
      <c r="J1761" s="733"/>
      <c r="K1761" s="733"/>
      <c r="L1761" s="733"/>
      <c r="M1761" s="733"/>
    </row>
    <row r="1762" spans="1:13" x14ac:dyDescent="0.3">
      <c r="A1762" s="733" t="s">
        <v>2048</v>
      </c>
      <c r="B1762" s="733" t="s">
        <v>645</v>
      </c>
      <c r="C1762" s="733" t="s">
        <v>1008</v>
      </c>
      <c r="D1762" s="733" t="s">
        <v>21</v>
      </c>
      <c r="E1762" s="733" t="s">
        <v>614</v>
      </c>
      <c r="F1762" s="733" t="s">
        <v>615</v>
      </c>
      <c r="G1762" s="733"/>
      <c r="H1762" s="733"/>
      <c r="I1762" s="733"/>
      <c r="J1762" s="733"/>
      <c r="K1762" s="733"/>
      <c r="L1762" s="733"/>
      <c r="M1762" s="733"/>
    </row>
    <row r="1763" spans="1:13" x14ac:dyDescent="0.3">
      <c r="A1763" s="733" t="s">
        <v>2048</v>
      </c>
      <c r="B1763" s="733" t="s">
        <v>645</v>
      </c>
      <c r="C1763" s="733" t="s">
        <v>2059</v>
      </c>
      <c r="D1763" s="733" t="s">
        <v>21</v>
      </c>
      <c r="E1763" s="733" t="s">
        <v>614</v>
      </c>
      <c r="F1763" s="733" t="s">
        <v>615</v>
      </c>
      <c r="G1763" s="733"/>
      <c r="H1763" s="733"/>
      <c r="I1763" s="733"/>
      <c r="J1763" s="733"/>
      <c r="K1763" s="733"/>
      <c r="L1763" s="733"/>
      <c r="M1763" s="733"/>
    </row>
    <row r="1764" spans="1:13" x14ac:dyDescent="0.3">
      <c r="A1764" s="733" t="s">
        <v>2048</v>
      </c>
      <c r="B1764" s="733" t="s">
        <v>645</v>
      </c>
      <c r="C1764" s="733" t="s">
        <v>2060</v>
      </c>
      <c r="D1764" s="733" t="s">
        <v>21</v>
      </c>
      <c r="E1764" s="733" t="s">
        <v>614</v>
      </c>
      <c r="F1764" s="733" t="s">
        <v>615</v>
      </c>
      <c r="G1764" s="733"/>
      <c r="H1764" s="733"/>
      <c r="I1764" s="733"/>
      <c r="J1764" s="733"/>
      <c r="K1764" s="733"/>
      <c r="L1764" s="733"/>
      <c r="M1764" s="733"/>
    </row>
    <row r="1765" spans="1:13" x14ac:dyDescent="0.3">
      <c r="A1765" s="733" t="s">
        <v>2048</v>
      </c>
      <c r="B1765" s="733" t="s">
        <v>645</v>
      </c>
      <c r="C1765" s="733" t="s">
        <v>2061</v>
      </c>
      <c r="D1765" s="733" t="s">
        <v>21</v>
      </c>
      <c r="E1765" s="733" t="s">
        <v>614</v>
      </c>
      <c r="F1765" s="733" t="s">
        <v>615</v>
      </c>
      <c r="G1765" s="733"/>
      <c r="H1765" s="733"/>
      <c r="I1765" s="733"/>
      <c r="J1765" s="733"/>
      <c r="K1765" s="733"/>
      <c r="L1765" s="733"/>
      <c r="M1765" s="733"/>
    </row>
    <row r="1766" spans="1:13" x14ac:dyDescent="0.3">
      <c r="A1766" s="733" t="s">
        <v>2048</v>
      </c>
      <c r="B1766" s="733" t="s">
        <v>645</v>
      </c>
      <c r="C1766" s="733" t="s">
        <v>1741</v>
      </c>
      <c r="D1766" s="733" t="s">
        <v>21</v>
      </c>
      <c r="E1766" s="733" t="s">
        <v>614</v>
      </c>
      <c r="F1766" s="733" t="s">
        <v>615</v>
      </c>
      <c r="G1766" s="733"/>
      <c r="H1766" s="733"/>
      <c r="I1766" s="733"/>
      <c r="J1766" s="733"/>
      <c r="K1766" s="733"/>
      <c r="L1766" s="733"/>
      <c r="M1766" s="733"/>
    </row>
    <row r="1767" spans="1:13" x14ac:dyDescent="0.3">
      <c r="A1767" s="733" t="s">
        <v>2048</v>
      </c>
      <c r="B1767" s="733" t="s">
        <v>645</v>
      </c>
      <c r="C1767" s="733" t="s">
        <v>2062</v>
      </c>
      <c r="D1767" s="733" t="s">
        <v>21</v>
      </c>
      <c r="E1767" s="733" t="s">
        <v>614</v>
      </c>
      <c r="F1767" s="733" t="s">
        <v>615</v>
      </c>
      <c r="G1767" s="733"/>
      <c r="H1767" s="733"/>
      <c r="I1767" s="733"/>
      <c r="J1767" s="733"/>
      <c r="K1767" s="733"/>
      <c r="L1767" s="733"/>
      <c r="M1767" s="733"/>
    </row>
    <row r="1768" spans="1:13" x14ac:dyDescent="0.3">
      <c r="A1768" s="733" t="s">
        <v>2048</v>
      </c>
      <c r="B1768" s="733" t="s">
        <v>645</v>
      </c>
      <c r="C1768" s="733" t="s">
        <v>1743</v>
      </c>
      <c r="D1768" s="733" t="s">
        <v>21</v>
      </c>
      <c r="E1768" s="733" t="s">
        <v>614</v>
      </c>
      <c r="F1768" s="733" t="s">
        <v>615</v>
      </c>
      <c r="G1768" s="733"/>
      <c r="H1768" s="733"/>
      <c r="I1768" s="733"/>
      <c r="J1768" s="733"/>
      <c r="K1768" s="733"/>
      <c r="L1768" s="733"/>
      <c r="M1768" s="733"/>
    </row>
    <row r="1769" spans="1:13" x14ac:dyDescent="0.3">
      <c r="A1769" s="733" t="s">
        <v>2048</v>
      </c>
      <c r="B1769" s="733" t="s">
        <v>645</v>
      </c>
      <c r="C1769" s="733" t="s">
        <v>2063</v>
      </c>
      <c r="D1769" s="733" t="s">
        <v>21</v>
      </c>
      <c r="E1769" s="733" t="s">
        <v>614</v>
      </c>
      <c r="F1769" s="733" t="s">
        <v>615</v>
      </c>
      <c r="G1769" s="733"/>
      <c r="H1769" s="733"/>
      <c r="I1769" s="733"/>
      <c r="J1769" s="733"/>
      <c r="K1769" s="733"/>
      <c r="L1769" s="733"/>
      <c r="M1769" s="733"/>
    </row>
    <row r="1770" spans="1:13" x14ac:dyDescent="0.3">
      <c r="A1770" s="733" t="s">
        <v>2048</v>
      </c>
      <c r="B1770" s="733" t="s">
        <v>645</v>
      </c>
      <c r="C1770" s="733" t="s">
        <v>1010</v>
      </c>
      <c r="D1770" s="733" t="s">
        <v>21</v>
      </c>
      <c r="E1770" s="733" t="s">
        <v>614</v>
      </c>
      <c r="F1770" s="733" t="s">
        <v>615</v>
      </c>
      <c r="G1770" s="733"/>
      <c r="H1770" s="733"/>
      <c r="I1770" s="733"/>
      <c r="J1770" s="733"/>
      <c r="K1770" s="733"/>
      <c r="L1770" s="733"/>
      <c r="M1770" s="733"/>
    </row>
    <row r="1771" spans="1:13" x14ac:dyDescent="0.3">
      <c r="A1771" s="733" t="s">
        <v>2048</v>
      </c>
      <c r="B1771" s="733" t="s">
        <v>645</v>
      </c>
      <c r="C1771" s="733" t="s">
        <v>2064</v>
      </c>
      <c r="D1771" s="733" t="s">
        <v>21</v>
      </c>
      <c r="E1771" s="733" t="s">
        <v>614</v>
      </c>
      <c r="F1771" s="733" t="s">
        <v>615</v>
      </c>
      <c r="G1771" s="733"/>
      <c r="H1771" s="733"/>
      <c r="I1771" s="733"/>
      <c r="J1771" s="733"/>
      <c r="K1771" s="733"/>
      <c r="L1771" s="733"/>
      <c r="M1771" s="733"/>
    </row>
    <row r="1772" spans="1:13" x14ac:dyDescent="0.3">
      <c r="A1772" s="733" t="s">
        <v>2048</v>
      </c>
      <c r="B1772" s="733" t="s">
        <v>645</v>
      </c>
      <c r="C1772" s="733" t="s">
        <v>2065</v>
      </c>
      <c r="D1772" s="733" t="s">
        <v>21</v>
      </c>
      <c r="E1772" s="733" t="s">
        <v>614</v>
      </c>
      <c r="F1772" s="733" t="s">
        <v>615</v>
      </c>
      <c r="G1772" s="733"/>
      <c r="H1772" s="733"/>
      <c r="I1772" s="733"/>
      <c r="J1772" s="733"/>
      <c r="K1772" s="733"/>
      <c r="L1772" s="733"/>
      <c r="M1772" s="733"/>
    </row>
    <row r="1773" spans="1:13" x14ac:dyDescent="0.3">
      <c r="A1773" s="733" t="s">
        <v>2048</v>
      </c>
      <c r="B1773" s="733" t="s">
        <v>645</v>
      </c>
      <c r="C1773" s="733" t="s">
        <v>2066</v>
      </c>
      <c r="D1773" s="733" t="s">
        <v>21</v>
      </c>
      <c r="E1773" s="733" t="s">
        <v>614</v>
      </c>
      <c r="F1773" s="733" t="s">
        <v>615</v>
      </c>
      <c r="G1773" s="733"/>
      <c r="H1773" s="733"/>
      <c r="I1773" s="733"/>
      <c r="J1773" s="733"/>
      <c r="K1773" s="733"/>
      <c r="L1773" s="733"/>
      <c r="M1773" s="733"/>
    </row>
    <row r="1774" spans="1:13" x14ac:dyDescent="0.3">
      <c r="A1774" s="733" t="s">
        <v>2048</v>
      </c>
      <c r="B1774" s="733" t="s">
        <v>645</v>
      </c>
      <c r="C1774" s="733" t="s">
        <v>1012</v>
      </c>
      <c r="D1774" s="733" t="s">
        <v>21</v>
      </c>
      <c r="E1774" s="733" t="s">
        <v>614</v>
      </c>
      <c r="F1774" s="733" t="s">
        <v>615</v>
      </c>
      <c r="G1774" s="733"/>
      <c r="H1774" s="733"/>
      <c r="I1774" s="733"/>
      <c r="J1774" s="733"/>
      <c r="K1774" s="733"/>
      <c r="L1774" s="733"/>
      <c r="M1774" s="733"/>
    </row>
    <row r="1775" spans="1:13" x14ac:dyDescent="0.3">
      <c r="A1775" s="733" t="s">
        <v>2048</v>
      </c>
      <c r="B1775" s="733" t="s">
        <v>645</v>
      </c>
      <c r="C1775" s="733" t="s">
        <v>2067</v>
      </c>
      <c r="D1775" s="733" t="s">
        <v>21</v>
      </c>
      <c r="E1775" s="733" t="s">
        <v>614</v>
      </c>
      <c r="F1775" s="733" t="s">
        <v>615</v>
      </c>
      <c r="G1775" s="733"/>
      <c r="H1775" s="733"/>
      <c r="I1775" s="733"/>
      <c r="J1775" s="733"/>
      <c r="K1775" s="733"/>
      <c r="L1775" s="733"/>
      <c r="M1775" s="733"/>
    </row>
    <row r="1776" spans="1:13" x14ac:dyDescent="0.3">
      <c r="A1776" s="733" t="s">
        <v>2048</v>
      </c>
      <c r="B1776" s="733" t="s">
        <v>645</v>
      </c>
      <c r="C1776" s="733" t="s">
        <v>1014</v>
      </c>
      <c r="D1776" s="733" t="s">
        <v>21</v>
      </c>
      <c r="E1776" s="733" t="s">
        <v>614</v>
      </c>
      <c r="F1776" s="733" t="s">
        <v>615</v>
      </c>
      <c r="G1776" s="733"/>
      <c r="H1776" s="733"/>
      <c r="I1776" s="733"/>
      <c r="J1776" s="733"/>
      <c r="K1776" s="733"/>
      <c r="L1776" s="733"/>
      <c r="M1776" s="733"/>
    </row>
    <row r="1777" spans="1:13" x14ac:dyDescent="0.3">
      <c r="A1777" s="733" t="s">
        <v>2048</v>
      </c>
      <c r="B1777" s="733" t="s">
        <v>645</v>
      </c>
      <c r="C1777" s="733" t="s">
        <v>1954</v>
      </c>
      <c r="D1777" s="733" t="s">
        <v>21</v>
      </c>
      <c r="E1777" s="733" t="s">
        <v>614</v>
      </c>
      <c r="F1777" s="733" t="s">
        <v>615</v>
      </c>
      <c r="G1777" s="733"/>
      <c r="H1777" s="733"/>
      <c r="I1777" s="733"/>
      <c r="J1777" s="733"/>
      <c r="K1777" s="733"/>
      <c r="L1777" s="733"/>
      <c r="M1777" s="733"/>
    </row>
    <row r="1778" spans="1:13" x14ac:dyDescent="0.3">
      <c r="A1778" s="733" t="s">
        <v>2048</v>
      </c>
      <c r="B1778" s="733" t="s">
        <v>645</v>
      </c>
      <c r="C1778" s="733" t="s">
        <v>2068</v>
      </c>
      <c r="D1778" s="733" t="s">
        <v>21</v>
      </c>
      <c r="E1778" s="733" t="s">
        <v>614</v>
      </c>
      <c r="F1778" s="733" t="s">
        <v>615</v>
      </c>
      <c r="G1778" s="733"/>
      <c r="H1778" s="733"/>
      <c r="I1778" s="733"/>
      <c r="J1778" s="733"/>
      <c r="K1778" s="733"/>
      <c r="L1778" s="733"/>
      <c r="M1778" s="733"/>
    </row>
    <row r="1779" spans="1:13" x14ac:dyDescent="0.3">
      <c r="A1779" s="733" t="s">
        <v>2048</v>
      </c>
      <c r="B1779" s="733" t="s">
        <v>645</v>
      </c>
      <c r="C1779" s="733" t="s">
        <v>2069</v>
      </c>
      <c r="D1779" s="733" t="s">
        <v>21</v>
      </c>
      <c r="E1779" s="733" t="s">
        <v>614</v>
      </c>
      <c r="F1779" s="733" t="s">
        <v>615</v>
      </c>
      <c r="G1779" s="733"/>
      <c r="H1779" s="733"/>
      <c r="I1779" s="733"/>
      <c r="J1779" s="733"/>
      <c r="K1779" s="733"/>
      <c r="L1779" s="733"/>
      <c r="M1779" s="733"/>
    </row>
    <row r="1780" spans="1:13" x14ac:dyDescent="0.3">
      <c r="A1780" s="733" t="s">
        <v>2048</v>
      </c>
      <c r="B1780" s="733" t="s">
        <v>645</v>
      </c>
      <c r="C1780" s="733" t="s">
        <v>2070</v>
      </c>
      <c r="D1780" s="733" t="s">
        <v>21</v>
      </c>
      <c r="E1780" s="733" t="s">
        <v>614</v>
      </c>
      <c r="F1780" s="733" t="s">
        <v>615</v>
      </c>
      <c r="G1780" s="733"/>
      <c r="H1780" s="733"/>
      <c r="I1780" s="733"/>
      <c r="J1780" s="733"/>
      <c r="K1780" s="733"/>
      <c r="L1780" s="733"/>
      <c r="M1780" s="733"/>
    </row>
    <row r="1781" spans="1:13" x14ac:dyDescent="0.3">
      <c r="A1781" s="733" t="s">
        <v>2048</v>
      </c>
      <c r="B1781" s="733" t="s">
        <v>645</v>
      </c>
      <c r="C1781" s="733" t="s">
        <v>2071</v>
      </c>
      <c r="D1781" s="733" t="s">
        <v>21</v>
      </c>
      <c r="E1781" s="733" t="s">
        <v>614</v>
      </c>
      <c r="F1781" s="733" t="s">
        <v>615</v>
      </c>
      <c r="G1781" s="733"/>
      <c r="H1781" s="733"/>
      <c r="I1781" s="733"/>
      <c r="J1781" s="733"/>
      <c r="K1781" s="733"/>
      <c r="L1781" s="733"/>
      <c r="M1781" s="733"/>
    </row>
    <row r="1782" spans="1:13" x14ac:dyDescent="0.3">
      <c r="A1782" s="733" t="s">
        <v>2048</v>
      </c>
      <c r="B1782" s="733" t="s">
        <v>645</v>
      </c>
      <c r="C1782" s="733" t="s">
        <v>2072</v>
      </c>
      <c r="D1782" s="733" t="s">
        <v>21</v>
      </c>
      <c r="E1782" s="733" t="s">
        <v>614</v>
      </c>
      <c r="F1782" s="733" t="s">
        <v>615</v>
      </c>
      <c r="G1782" s="733"/>
      <c r="H1782" s="733"/>
      <c r="I1782" s="733"/>
      <c r="J1782" s="733"/>
      <c r="K1782" s="733"/>
      <c r="L1782" s="733"/>
      <c r="M1782" s="733"/>
    </row>
    <row r="1783" spans="1:13" x14ac:dyDescent="0.3">
      <c r="A1783" s="734" t="s">
        <v>2048</v>
      </c>
      <c r="B1783" s="734" t="s">
        <v>645</v>
      </c>
      <c r="C1783" s="734" t="s">
        <v>2073</v>
      </c>
      <c r="D1783" s="733" t="s">
        <v>21</v>
      </c>
      <c r="E1783" s="734" t="s">
        <v>614</v>
      </c>
      <c r="F1783" s="734" t="s">
        <v>736</v>
      </c>
      <c r="G1783" s="733"/>
      <c r="H1783" s="733"/>
      <c r="I1783" s="733"/>
      <c r="J1783" s="733"/>
      <c r="K1783" s="733"/>
      <c r="L1783" s="733"/>
      <c r="M1783" s="733"/>
    </row>
    <row r="1784" spans="1:13" x14ac:dyDescent="0.3">
      <c r="A1784" s="733" t="s">
        <v>2048</v>
      </c>
      <c r="B1784" s="733" t="s">
        <v>645</v>
      </c>
      <c r="C1784" s="733" t="s">
        <v>2074</v>
      </c>
      <c r="D1784" s="733" t="s">
        <v>21</v>
      </c>
      <c r="E1784" s="733" t="s">
        <v>614</v>
      </c>
      <c r="F1784" s="733" t="s">
        <v>615</v>
      </c>
      <c r="G1784" s="733"/>
      <c r="H1784" s="733"/>
      <c r="I1784" s="733"/>
      <c r="J1784" s="733"/>
      <c r="K1784" s="733"/>
      <c r="L1784" s="733"/>
      <c r="M1784" s="733"/>
    </row>
    <row r="1785" spans="1:13" x14ac:dyDescent="0.3">
      <c r="A1785" s="733" t="s">
        <v>2048</v>
      </c>
      <c r="B1785" s="733" t="s">
        <v>645</v>
      </c>
      <c r="C1785" s="733" t="s">
        <v>2075</v>
      </c>
      <c r="D1785" s="733" t="s">
        <v>21</v>
      </c>
      <c r="E1785" s="733" t="s">
        <v>614</v>
      </c>
      <c r="F1785" s="733" t="s">
        <v>615</v>
      </c>
      <c r="G1785" s="733"/>
      <c r="H1785" s="733"/>
      <c r="I1785" s="733"/>
      <c r="J1785" s="733"/>
      <c r="K1785" s="733"/>
      <c r="L1785" s="733"/>
      <c r="M1785" s="733"/>
    </row>
    <row r="1786" spans="1:13" x14ac:dyDescent="0.3">
      <c r="A1786" s="733" t="s">
        <v>2048</v>
      </c>
      <c r="B1786" s="733" t="s">
        <v>645</v>
      </c>
      <c r="C1786" s="733" t="s">
        <v>2076</v>
      </c>
      <c r="D1786" s="733" t="s">
        <v>21</v>
      </c>
      <c r="E1786" s="733" t="s">
        <v>614</v>
      </c>
      <c r="F1786" s="733" t="s">
        <v>615</v>
      </c>
      <c r="G1786" s="733"/>
      <c r="H1786" s="733"/>
      <c r="I1786" s="733"/>
      <c r="J1786" s="733"/>
      <c r="K1786" s="733"/>
      <c r="L1786" s="733"/>
      <c r="M1786" s="733"/>
    </row>
    <row r="1787" spans="1:13" x14ac:dyDescent="0.3">
      <c r="A1787" s="733" t="s">
        <v>2048</v>
      </c>
      <c r="B1787" s="733" t="s">
        <v>645</v>
      </c>
      <c r="C1787" s="733" t="s">
        <v>2077</v>
      </c>
      <c r="D1787" s="733" t="s">
        <v>21</v>
      </c>
      <c r="E1787" s="733" t="s">
        <v>614</v>
      </c>
      <c r="F1787" s="733" t="s">
        <v>615</v>
      </c>
      <c r="G1787" s="733"/>
      <c r="H1787" s="733"/>
      <c r="I1787" s="733"/>
      <c r="J1787" s="733"/>
      <c r="K1787" s="733"/>
      <c r="L1787" s="733"/>
      <c r="M1787" s="733"/>
    </row>
    <row r="1788" spans="1:13" x14ac:dyDescent="0.3">
      <c r="A1788" s="733" t="s">
        <v>2048</v>
      </c>
      <c r="B1788" s="733" t="s">
        <v>664</v>
      </c>
      <c r="C1788" s="733" t="s">
        <v>2078</v>
      </c>
      <c r="D1788" s="733" t="s">
        <v>21</v>
      </c>
      <c r="E1788" s="733" t="s">
        <v>614</v>
      </c>
      <c r="F1788" s="733" t="s">
        <v>615</v>
      </c>
      <c r="G1788" s="733"/>
      <c r="H1788" s="733"/>
      <c r="I1788" s="733"/>
      <c r="J1788" s="733"/>
      <c r="K1788" s="733"/>
      <c r="L1788" s="733"/>
      <c r="M1788" s="733"/>
    </row>
    <row r="1789" spans="1:13" x14ac:dyDescent="0.3">
      <c r="A1789" s="733" t="s">
        <v>2048</v>
      </c>
      <c r="B1789" s="733" t="s">
        <v>664</v>
      </c>
      <c r="C1789" s="733" t="s">
        <v>2079</v>
      </c>
      <c r="D1789" s="733" t="s">
        <v>21</v>
      </c>
      <c r="E1789" s="733" t="s">
        <v>614</v>
      </c>
      <c r="F1789" s="733" t="s">
        <v>615</v>
      </c>
      <c r="G1789" s="733"/>
      <c r="H1789" s="733"/>
      <c r="I1789" s="733"/>
      <c r="J1789" s="733"/>
      <c r="K1789" s="733"/>
      <c r="L1789" s="733"/>
      <c r="M1789" s="733"/>
    </row>
    <row r="1790" spans="1:13" x14ac:dyDescent="0.3">
      <c r="A1790" s="733" t="s">
        <v>2048</v>
      </c>
      <c r="B1790" s="733" t="s">
        <v>664</v>
      </c>
      <c r="C1790" s="733" t="s">
        <v>2080</v>
      </c>
      <c r="D1790" s="733" t="s">
        <v>21</v>
      </c>
      <c r="E1790" s="733" t="s">
        <v>614</v>
      </c>
      <c r="F1790" s="733" t="s">
        <v>615</v>
      </c>
      <c r="G1790" s="733"/>
      <c r="H1790" s="733"/>
      <c r="I1790" s="733"/>
      <c r="J1790" s="733"/>
      <c r="K1790" s="733"/>
      <c r="L1790" s="733"/>
      <c r="M1790" s="733"/>
    </row>
    <row r="1791" spans="1:13" x14ac:dyDescent="0.3">
      <c r="A1791" s="733" t="s">
        <v>2048</v>
      </c>
      <c r="B1791" s="733" t="s">
        <v>664</v>
      </c>
      <c r="C1791" s="733" t="s">
        <v>1079</v>
      </c>
      <c r="D1791" s="733" t="s">
        <v>21</v>
      </c>
      <c r="E1791" s="733" t="s">
        <v>614</v>
      </c>
      <c r="F1791" s="733" t="s">
        <v>615</v>
      </c>
      <c r="G1791" s="733"/>
      <c r="H1791" s="733"/>
      <c r="I1791" s="733"/>
      <c r="J1791" s="733"/>
      <c r="K1791" s="733"/>
      <c r="L1791" s="733"/>
      <c r="M1791" s="733"/>
    </row>
    <row r="1792" spans="1:13" x14ac:dyDescent="0.3">
      <c r="A1792" s="733" t="s">
        <v>2048</v>
      </c>
      <c r="B1792" s="733" t="s">
        <v>664</v>
      </c>
      <c r="C1792" s="733" t="s">
        <v>1081</v>
      </c>
      <c r="D1792" s="733" t="s">
        <v>21</v>
      </c>
      <c r="E1792" s="733" t="s">
        <v>614</v>
      </c>
      <c r="F1792" s="733" t="s">
        <v>615</v>
      </c>
      <c r="G1792" s="733"/>
      <c r="H1792" s="733"/>
      <c r="I1792" s="733"/>
      <c r="J1792" s="733"/>
      <c r="K1792" s="733"/>
      <c r="L1792" s="733"/>
      <c r="M1792" s="733"/>
    </row>
    <row r="1793" spans="1:13" x14ac:dyDescent="0.3">
      <c r="A1793" s="733" t="s">
        <v>2048</v>
      </c>
      <c r="B1793" s="733" t="s">
        <v>664</v>
      </c>
      <c r="C1793" s="733" t="s">
        <v>2081</v>
      </c>
      <c r="D1793" s="733" t="s">
        <v>21</v>
      </c>
      <c r="E1793" s="733" t="s">
        <v>614</v>
      </c>
      <c r="F1793" s="733" t="s">
        <v>615</v>
      </c>
      <c r="G1793" s="733"/>
      <c r="H1793" s="733"/>
      <c r="I1793" s="733"/>
      <c r="J1793" s="733"/>
      <c r="K1793" s="733"/>
      <c r="L1793" s="733"/>
      <c r="M1793" s="733"/>
    </row>
    <row r="1794" spans="1:13" x14ac:dyDescent="0.3">
      <c r="A1794" s="733" t="s">
        <v>2048</v>
      </c>
      <c r="B1794" s="733" t="s">
        <v>664</v>
      </c>
      <c r="C1794" s="733" t="s">
        <v>2082</v>
      </c>
      <c r="D1794" s="733" t="s">
        <v>21</v>
      </c>
      <c r="E1794" s="733" t="s">
        <v>614</v>
      </c>
      <c r="F1794" s="733" t="s">
        <v>615</v>
      </c>
      <c r="G1794" s="733"/>
      <c r="H1794" s="733"/>
      <c r="I1794" s="733"/>
      <c r="J1794" s="733"/>
      <c r="K1794" s="733"/>
      <c r="L1794" s="733"/>
      <c r="M1794" s="733"/>
    </row>
    <row r="1795" spans="1:13" x14ac:dyDescent="0.3">
      <c r="A1795" s="733" t="s">
        <v>2048</v>
      </c>
      <c r="B1795" s="733" t="s">
        <v>664</v>
      </c>
      <c r="C1795" s="733" t="s">
        <v>2083</v>
      </c>
      <c r="D1795" s="733" t="s">
        <v>21</v>
      </c>
      <c r="E1795" s="733" t="s">
        <v>614</v>
      </c>
      <c r="F1795" s="733" t="s">
        <v>615</v>
      </c>
      <c r="G1795" s="733"/>
      <c r="H1795" s="733"/>
      <c r="I1795" s="733"/>
      <c r="J1795" s="733"/>
      <c r="K1795" s="733"/>
      <c r="L1795" s="733"/>
      <c r="M1795" s="733"/>
    </row>
    <row r="1796" spans="1:13" x14ac:dyDescent="0.3">
      <c r="A1796" s="733" t="s">
        <v>2048</v>
      </c>
      <c r="B1796" s="733" t="s">
        <v>664</v>
      </c>
      <c r="C1796" s="733" t="s">
        <v>2084</v>
      </c>
      <c r="D1796" s="733" t="s">
        <v>21</v>
      </c>
      <c r="E1796" s="733" t="s">
        <v>614</v>
      </c>
      <c r="F1796" s="733" t="s">
        <v>615</v>
      </c>
      <c r="G1796" s="733"/>
      <c r="H1796" s="733"/>
      <c r="I1796" s="733"/>
      <c r="J1796" s="733"/>
      <c r="K1796" s="733"/>
      <c r="L1796" s="733"/>
      <c r="M1796" s="733"/>
    </row>
    <row r="1797" spans="1:13" x14ac:dyDescent="0.3">
      <c r="A1797" s="733" t="s">
        <v>2048</v>
      </c>
      <c r="B1797" s="733" t="s">
        <v>664</v>
      </c>
      <c r="C1797" s="733" t="s">
        <v>2085</v>
      </c>
      <c r="D1797" s="733" t="s">
        <v>21</v>
      </c>
      <c r="E1797" s="733" t="s">
        <v>614</v>
      </c>
      <c r="F1797" s="733" t="s">
        <v>615</v>
      </c>
      <c r="G1797" s="733"/>
      <c r="H1797" s="733"/>
      <c r="I1797" s="733"/>
      <c r="J1797" s="733"/>
      <c r="K1797" s="733"/>
      <c r="L1797" s="733"/>
      <c r="M1797" s="733"/>
    </row>
    <row r="1798" spans="1:13" x14ac:dyDescent="0.3">
      <c r="A1798" s="733" t="s">
        <v>2048</v>
      </c>
      <c r="B1798" s="733" t="s">
        <v>664</v>
      </c>
      <c r="C1798" s="733" t="s">
        <v>1965</v>
      </c>
      <c r="D1798" s="733" t="s">
        <v>21</v>
      </c>
      <c r="E1798" s="733" t="s">
        <v>614</v>
      </c>
      <c r="F1798" s="733" t="s">
        <v>615</v>
      </c>
      <c r="G1798" s="733"/>
      <c r="H1798" s="733"/>
      <c r="I1798" s="733"/>
      <c r="J1798" s="733"/>
      <c r="K1798" s="733"/>
      <c r="L1798" s="733"/>
      <c r="M1798" s="733"/>
    </row>
    <row r="1799" spans="1:13" x14ac:dyDescent="0.3">
      <c r="A1799" s="733" t="s">
        <v>2048</v>
      </c>
      <c r="B1799" s="733" t="s">
        <v>664</v>
      </c>
      <c r="C1799" s="733" t="s">
        <v>1934</v>
      </c>
      <c r="D1799" s="733" t="s">
        <v>21</v>
      </c>
      <c r="E1799" s="733" t="s">
        <v>614</v>
      </c>
      <c r="F1799" s="733" t="s">
        <v>615</v>
      </c>
      <c r="G1799" s="733"/>
      <c r="H1799" s="733"/>
      <c r="I1799" s="733"/>
      <c r="J1799" s="733"/>
      <c r="K1799" s="733"/>
      <c r="L1799" s="733"/>
      <c r="M1799" s="733"/>
    </row>
    <row r="1800" spans="1:13" x14ac:dyDescent="0.3">
      <c r="A1800" s="733" t="s">
        <v>2048</v>
      </c>
      <c r="B1800" s="733" t="s">
        <v>664</v>
      </c>
      <c r="C1800" s="733" t="s">
        <v>2086</v>
      </c>
      <c r="D1800" s="733" t="s">
        <v>21</v>
      </c>
      <c r="E1800" s="733" t="s">
        <v>614</v>
      </c>
      <c r="F1800" s="733" t="s">
        <v>615</v>
      </c>
      <c r="G1800" s="733"/>
      <c r="H1800" s="733"/>
      <c r="I1800" s="733"/>
      <c r="J1800" s="733"/>
      <c r="K1800" s="733"/>
      <c r="L1800" s="733"/>
      <c r="M1800" s="733"/>
    </row>
    <row r="1801" spans="1:13" x14ac:dyDescent="0.3">
      <c r="A1801" s="733" t="s">
        <v>2048</v>
      </c>
      <c r="B1801" s="733" t="s">
        <v>664</v>
      </c>
      <c r="C1801" s="733" t="s">
        <v>2087</v>
      </c>
      <c r="D1801" s="733" t="s">
        <v>21</v>
      </c>
      <c r="E1801" s="733" t="s">
        <v>614</v>
      </c>
      <c r="F1801" s="733" t="s">
        <v>615</v>
      </c>
      <c r="G1801" s="733"/>
      <c r="H1801" s="733"/>
      <c r="I1801" s="733"/>
      <c r="J1801" s="733"/>
      <c r="K1801" s="733"/>
      <c r="L1801" s="733"/>
      <c r="M1801" s="733"/>
    </row>
    <row r="1802" spans="1:13" x14ac:dyDescent="0.3">
      <c r="A1802" s="733" t="s">
        <v>2048</v>
      </c>
      <c r="B1802" s="733" t="s">
        <v>664</v>
      </c>
      <c r="C1802" s="733" t="s">
        <v>2088</v>
      </c>
      <c r="D1802" s="733" t="s">
        <v>21</v>
      </c>
      <c r="E1802" s="733" t="s">
        <v>614</v>
      </c>
      <c r="F1802" s="733" t="s">
        <v>615</v>
      </c>
      <c r="G1802" s="733"/>
      <c r="H1802" s="733"/>
      <c r="I1802" s="733"/>
      <c r="J1802" s="733"/>
      <c r="K1802" s="733"/>
      <c r="L1802" s="733"/>
      <c r="M1802" s="733"/>
    </row>
    <row r="1803" spans="1:13" x14ac:dyDescent="0.3">
      <c r="A1803" s="733" t="s">
        <v>2048</v>
      </c>
      <c r="B1803" s="733" t="s">
        <v>664</v>
      </c>
      <c r="C1803" s="733" t="s">
        <v>1753</v>
      </c>
      <c r="D1803" s="733" t="s">
        <v>21</v>
      </c>
      <c r="E1803" s="733" t="s">
        <v>614</v>
      </c>
      <c r="F1803" s="733" t="s">
        <v>615</v>
      </c>
      <c r="G1803" s="733"/>
      <c r="H1803" s="733"/>
      <c r="I1803" s="733"/>
      <c r="J1803" s="733"/>
      <c r="K1803" s="733"/>
      <c r="L1803" s="733"/>
      <c r="M1803" s="733"/>
    </row>
    <row r="1804" spans="1:13" x14ac:dyDescent="0.3">
      <c r="A1804" s="733" t="s">
        <v>2089</v>
      </c>
      <c r="B1804" s="761" t="s">
        <v>612</v>
      </c>
      <c r="C1804" s="761" t="s">
        <v>2091</v>
      </c>
      <c r="D1804" s="761" t="s">
        <v>21</v>
      </c>
      <c r="E1804" s="761" t="s">
        <v>614</v>
      </c>
      <c r="F1804" s="761" t="s">
        <v>615</v>
      </c>
      <c r="G1804" s="761"/>
      <c r="H1804" s="761"/>
      <c r="I1804" s="761"/>
      <c r="J1804" s="761"/>
      <c r="K1804" s="761"/>
      <c r="L1804" s="761"/>
      <c r="M1804" s="761"/>
    </row>
    <row r="1805" spans="1:13" x14ac:dyDescent="0.3">
      <c r="A1805" s="733" t="s">
        <v>2090</v>
      </c>
      <c r="B1805" s="761"/>
      <c r="C1805" s="761"/>
      <c r="D1805" s="761"/>
      <c r="E1805" s="761"/>
      <c r="F1805" s="761"/>
      <c r="G1805" s="761"/>
      <c r="H1805" s="761"/>
      <c r="I1805" s="761"/>
      <c r="J1805" s="761"/>
      <c r="K1805" s="761"/>
      <c r="L1805" s="761"/>
      <c r="M1805" s="761"/>
    </row>
    <row r="1806" spans="1:13" x14ac:dyDescent="0.3">
      <c r="A1806" s="733" t="s">
        <v>2089</v>
      </c>
      <c r="B1806" s="761" t="s">
        <v>612</v>
      </c>
      <c r="C1806" s="761" t="s">
        <v>2092</v>
      </c>
      <c r="D1806" s="761" t="s">
        <v>21</v>
      </c>
      <c r="E1806" s="761" t="s">
        <v>614</v>
      </c>
      <c r="F1806" s="761" t="s">
        <v>615</v>
      </c>
      <c r="G1806" s="761"/>
      <c r="H1806" s="761"/>
      <c r="I1806" s="761"/>
      <c r="J1806" s="761"/>
      <c r="K1806" s="761"/>
      <c r="L1806" s="761"/>
      <c r="M1806" s="761"/>
    </row>
    <row r="1807" spans="1:13" x14ac:dyDescent="0.3">
      <c r="A1807" s="733" t="s">
        <v>2090</v>
      </c>
      <c r="B1807" s="761"/>
      <c r="C1807" s="761"/>
      <c r="D1807" s="761"/>
      <c r="E1807" s="761"/>
      <c r="F1807" s="761"/>
      <c r="G1807" s="761"/>
      <c r="H1807" s="761"/>
      <c r="I1807" s="761"/>
      <c r="J1807" s="761"/>
      <c r="K1807" s="761"/>
      <c r="L1807" s="761"/>
      <c r="M1807" s="761"/>
    </row>
    <row r="1808" spans="1:13" x14ac:dyDescent="0.3">
      <c r="A1808" s="734" t="s">
        <v>2089</v>
      </c>
      <c r="B1808" s="764" t="s">
        <v>612</v>
      </c>
      <c r="C1808" s="764" t="s">
        <v>2093</v>
      </c>
      <c r="D1808" s="764" t="s">
        <v>21</v>
      </c>
      <c r="E1808" s="764" t="s">
        <v>614</v>
      </c>
      <c r="F1808" s="764" t="s">
        <v>696</v>
      </c>
      <c r="G1808" s="761"/>
      <c r="H1808" s="761"/>
      <c r="I1808" s="761"/>
      <c r="J1808" s="761"/>
      <c r="K1808" s="761"/>
      <c r="L1808" s="761"/>
      <c r="M1808" s="761"/>
    </row>
    <row r="1809" spans="1:13" x14ac:dyDescent="0.3">
      <c r="A1809" s="734" t="s">
        <v>2090</v>
      </c>
      <c r="B1809" s="764"/>
      <c r="C1809" s="764"/>
      <c r="D1809" s="764"/>
      <c r="E1809" s="764"/>
      <c r="F1809" s="764"/>
      <c r="G1809" s="761"/>
      <c r="H1809" s="761"/>
      <c r="I1809" s="761"/>
      <c r="J1809" s="761"/>
      <c r="K1809" s="761"/>
      <c r="L1809" s="761"/>
      <c r="M1809" s="761"/>
    </row>
    <row r="1810" spans="1:13" x14ac:dyDescent="0.3">
      <c r="A1810" s="733" t="s">
        <v>2089</v>
      </c>
      <c r="B1810" s="761" t="s">
        <v>612</v>
      </c>
      <c r="C1810" s="761" t="s">
        <v>2094</v>
      </c>
      <c r="D1810" s="761" t="s">
        <v>21</v>
      </c>
      <c r="E1810" s="761" t="s">
        <v>614</v>
      </c>
      <c r="F1810" s="761" t="s">
        <v>615</v>
      </c>
      <c r="G1810" s="761"/>
      <c r="H1810" s="761"/>
      <c r="I1810" s="761"/>
      <c r="J1810" s="761"/>
      <c r="K1810" s="761"/>
      <c r="L1810" s="761"/>
      <c r="M1810" s="761"/>
    </row>
    <row r="1811" spans="1:13" x14ac:dyDescent="0.3">
      <c r="A1811" s="733" t="s">
        <v>2090</v>
      </c>
      <c r="B1811" s="761"/>
      <c r="C1811" s="761"/>
      <c r="D1811" s="761"/>
      <c r="E1811" s="761"/>
      <c r="F1811" s="761"/>
      <c r="G1811" s="761"/>
      <c r="H1811" s="761"/>
      <c r="I1811" s="761"/>
      <c r="J1811" s="761"/>
      <c r="K1811" s="761"/>
      <c r="L1811" s="761"/>
      <c r="M1811" s="761"/>
    </row>
    <row r="1812" spans="1:13" x14ac:dyDescent="0.3">
      <c r="A1812" s="733" t="s">
        <v>2089</v>
      </c>
      <c r="B1812" s="761" t="s">
        <v>612</v>
      </c>
      <c r="C1812" s="761" t="s">
        <v>2095</v>
      </c>
      <c r="D1812" s="761" t="s">
        <v>21</v>
      </c>
      <c r="E1812" s="761" t="s">
        <v>614</v>
      </c>
      <c r="F1812" s="761" t="s">
        <v>615</v>
      </c>
      <c r="G1812" s="761"/>
      <c r="H1812" s="761"/>
      <c r="I1812" s="761"/>
      <c r="J1812" s="761"/>
      <c r="K1812" s="761"/>
      <c r="L1812" s="761"/>
      <c r="M1812" s="761"/>
    </row>
    <row r="1813" spans="1:13" x14ac:dyDescent="0.3">
      <c r="A1813" s="733" t="s">
        <v>2090</v>
      </c>
      <c r="B1813" s="761"/>
      <c r="C1813" s="761"/>
      <c r="D1813" s="761"/>
      <c r="E1813" s="761"/>
      <c r="F1813" s="761"/>
      <c r="G1813" s="761"/>
      <c r="H1813" s="761"/>
      <c r="I1813" s="761"/>
      <c r="J1813" s="761"/>
      <c r="K1813" s="761"/>
      <c r="L1813" s="761"/>
      <c r="M1813" s="761"/>
    </row>
    <row r="1814" spans="1:13" x14ac:dyDescent="0.3">
      <c r="A1814" s="733" t="s">
        <v>2089</v>
      </c>
      <c r="B1814" s="761" t="s">
        <v>612</v>
      </c>
      <c r="C1814" s="761" t="s">
        <v>2096</v>
      </c>
      <c r="D1814" s="761" t="s">
        <v>21</v>
      </c>
      <c r="E1814" s="761" t="s">
        <v>614</v>
      </c>
      <c r="F1814" s="761" t="s">
        <v>615</v>
      </c>
      <c r="G1814" s="761"/>
      <c r="H1814" s="761"/>
      <c r="I1814" s="761"/>
      <c r="J1814" s="761"/>
      <c r="K1814" s="761"/>
      <c r="L1814" s="761"/>
      <c r="M1814" s="761"/>
    </row>
    <row r="1815" spans="1:13" x14ac:dyDescent="0.3">
      <c r="A1815" s="733" t="s">
        <v>2090</v>
      </c>
      <c r="B1815" s="761"/>
      <c r="C1815" s="761"/>
      <c r="D1815" s="761"/>
      <c r="E1815" s="761"/>
      <c r="F1815" s="761"/>
      <c r="G1815" s="761"/>
      <c r="H1815" s="761"/>
      <c r="I1815" s="761"/>
      <c r="J1815" s="761"/>
      <c r="K1815" s="761"/>
      <c r="L1815" s="761"/>
      <c r="M1815" s="761"/>
    </row>
    <row r="1816" spans="1:13" x14ac:dyDescent="0.3">
      <c r="A1816" s="733" t="s">
        <v>2089</v>
      </c>
      <c r="B1816" s="761" t="s">
        <v>612</v>
      </c>
      <c r="C1816" s="761" t="s">
        <v>1931</v>
      </c>
      <c r="D1816" s="761" t="s">
        <v>21</v>
      </c>
      <c r="E1816" s="761" t="s">
        <v>614</v>
      </c>
      <c r="F1816" s="761" t="s">
        <v>615</v>
      </c>
      <c r="G1816" s="761"/>
      <c r="H1816" s="761"/>
      <c r="I1816" s="761"/>
      <c r="J1816" s="761"/>
      <c r="K1816" s="761"/>
      <c r="L1816" s="761"/>
      <c r="M1816" s="761"/>
    </row>
    <row r="1817" spans="1:13" x14ac:dyDescent="0.3">
      <c r="A1817" s="733" t="s">
        <v>2090</v>
      </c>
      <c r="B1817" s="761"/>
      <c r="C1817" s="761"/>
      <c r="D1817" s="761"/>
      <c r="E1817" s="761"/>
      <c r="F1817" s="761"/>
      <c r="G1817" s="761"/>
      <c r="H1817" s="761"/>
      <c r="I1817" s="761"/>
      <c r="J1817" s="761"/>
      <c r="K1817" s="761"/>
      <c r="L1817" s="761"/>
      <c r="M1817" s="761"/>
    </row>
    <row r="1818" spans="1:13" x14ac:dyDescent="0.3">
      <c r="A1818" s="733" t="s">
        <v>2089</v>
      </c>
      <c r="B1818" s="761" t="s">
        <v>612</v>
      </c>
      <c r="C1818" s="761" t="s">
        <v>1983</v>
      </c>
      <c r="D1818" s="761" t="s">
        <v>21</v>
      </c>
      <c r="E1818" s="761" t="s">
        <v>614</v>
      </c>
      <c r="F1818" s="761" t="s">
        <v>615</v>
      </c>
      <c r="G1818" s="761"/>
      <c r="H1818" s="761"/>
      <c r="I1818" s="761"/>
      <c r="J1818" s="761"/>
      <c r="K1818" s="761"/>
      <c r="L1818" s="761"/>
      <c r="M1818" s="761"/>
    </row>
    <row r="1819" spans="1:13" x14ac:dyDescent="0.3">
      <c r="A1819" s="733" t="s">
        <v>2090</v>
      </c>
      <c r="B1819" s="761"/>
      <c r="C1819" s="761"/>
      <c r="D1819" s="761"/>
      <c r="E1819" s="761"/>
      <c r="F1819" s="761"/>
      <c r="G1819" s="761"/>
      <c r="H1819" s="761"/>
      <c r="I1819" s="761"/>
      <c r="J1819" s="761"/>
      <c r="K1819" s="761"/>
      <c r="L1819" s="761"/>
      <c r="M1819" s="761"/>
    </row>
    <row r="1820" spans="1:13" x14ac:dyDescent="0.3">
      <c r="A1820" s="733" t="s">
        <v>2089</v>
      </c>
      <c r="B1820" s="761" t="s">
        <v>612</v>
      </c>
      <c r="C1820" s="761" t="s">
        <v>2097</v>
      </c>
      <c r="D1820" s="761" t="s">
        <v>21</v>
      </c>
      <c r="E1820" s="761" t="s">
        <v>614</v>
      </c>
      <c r="F1820" s="761" t="s">
        <v>615</v>
      </c>
      <c r="G1820" s="761"/>
      <c r="H1820" s="761"/>
      <c r="I1820" s="761"/>
      <c r="J1820" s="761"/>
      <c r="K1820" s="761"/>
      <c r="L1820" s="761"/>
      <c r="M1820" s="761"/>
    </row>
    <row r="1821" spans="1:13" x14ac:dyDescent="0.3">
      <c r="A1821" s="733" t="s">
        <v>2090</v>
      </c>
      <c r="B1821" s="761"/>
      <c r="C1821" s="761"/>
      <c r="D1821" s="761"/>
      <c r="E1821" s="761"/>
      <c r="F1821" s="761"/>
      <c r="G1821" s="761"/>
      <c r="H1821" s="761"/>
      <c r="I1821" s="761"/>
      <c r="J1821" s="761"/>
      <c r="K1821" s="761"/>
      <c r="L1821" s="761"/>
      <c r="M1821" s="761"/>
    </row>
    <row r="1822" spans="1:13" x14ac:dyDescent="0.3">
      <c r="A1822" s="733" t="s">
        <v>2089</v>
      </c>
      <c r="B1822" s="761" t="s">
        <v>612</v>
      </c>
      <c r="C1822" s="761" t="s">
        <v>1457</v>
      </c>
      <c r="D1822" s="761" t="s">
        <v>21</v>
      </c>
      <c r="E1822" s="761" t="s">
        <v>614</v>
      </c>
      <c r="F1822" s="761" t="s">
        <v>615</v>
      </c>
      <c r="G1822" s="761"/>
      <c r="H1822" s="761"/>
      <c r="I1822" s="761"/>
      <c r="J1822" s="761"/>
      <c r="K1822" s="761"/>
      <c r="L1822" s="761"/>
      <c r="M1822" s="761"/>
    </row>
    <row r="1823" spans="1:13" x14ac:dyDescent="0.3">
      <c r="A1823" s="733" t="s">
        <v>2090</v>
      </c>
      <c r="B1823" s="761"/>
      <c r="C1823" s="761"/>
      <c r="D1823" s="761"/>
      <c r="E1823" s="761"/>
      <c r="F1823" s="761"/>
      <c r="G1823" s="761"/>
      <c r="H1823" s="761"/>
      <c r="I1823" s="761"/>
      <c r="J1823" s="761"/>
      <c r="K1823" s="761"/>
      <c r="L1823" s="761"/>
      <c r="M1823" s="761"/>
    </row>
    <row r="1824" spans="1:13" x14ac:dyDescent="0.3">
      <c r="A1824" s="733" t="s">
        <v>2089</v>
      </c>
      <c r="B1824" s="761" t="s">
        <v>612</v>
      </c>
      <c r="C1824" s="761" t="s">
        <v>2098</v>
      </c>
      <c r="D1824" s="761" t="s">
        <v>21</v>
      </c>
      <c r="E1824" s="761" t="s">
        <v>614</v>
      </c>
      <c r="F1824" s="761" t="s">
        <v>615</v>
      </c>
      <c r="G1824" s="761"/>
      <c r="H1824" s="761"/>
      <c r="I1824" s="761"/>
      <c r="J1824" s="761"/>
      <c r="K1824" s="761"/>
      <c r="L1824" s="761"/>
      <c r="M1824" s="761"/>
    </row>
    <row r="1825" spans="1:13" x14ac:dyDescent="0.3">
      <c r="A1825" s="733" t="s">
        <v>2090</v>
      </c>
      <c r="B1825" s="761"/>
      <c r="C1825" s="761"/>
      <c r="D1825" s="761"/>
      <c r="E1825" s="761"/>
      <c r="F1825" s="761"/>
      <c r="G1825" s="761"/>
      <c r="H1825" s="761"/>
      <c r="I1825" s="761"/>
      <c r="J1825" s="761"/>
      <c r="K1825" s="761"/>
      <c r="L1825" s="761"/>
      <c r="M1825" s="761"/>
    </row>
    <row r="1826" spans="1:13" x14ac:dyDescent="0.3">
      <c r="A1826" s="733" t="s">
        <v>2089</v>
      </c>
      <c r="B1826" s="761" t="s">
        <v>612</v>
      </c>
      <c r="C1826" s="761" t="s">
        <v>1109</v>
      </c>
      <c r="D1826" s="761" t="s">
        <v>21</v>
      </c>
      <c r="E1826" s="761" t="s">
        <v>614</v>
      </c>
      <c r="F1826" s="761" t="s">
        <v>615</v>
      </c>
      <c r="G1826" s="761"/>
      <c r="H1826" s="761"/>
      <c r="I1826" s="761"/>
      <c r="J1826" s="761"/>
      <c r="K1826" s="761"/>
      <c r="L1826" s="761"/>
      <c r="M1826" s="761"/>
    </row>
    <row r="1827" spans="1:13" x14ac:dyDescent="0.3">
      <c r="A1827" s="733" t="s">
        <v>2090</v>
      </c>
      <c r="B1827" s="761"/>
      <c r="C1827" s="761"/>
      <c r="D1827" s="761"/>
      <c r="E1827" s="761"/>
      <c r="F1827" s="761"/>
      <c r="G1827" s="761"/>
      <c r="H1827" s="761"/>
      <c r="I1827" s="761"/>
      <c r="J1827" s="761"/>
      <c r="K1827" s="761"/>
      <c r="L1827" s="761"/>
      <c r="M1827" s="761"/>
    </row>
    <row r="1828" spans="1:13" x14ac:dyDescent="0.3">
      <c r="A1828" s="734" t="s">
        <v>2089</v>
      </c>
      <c r="B1828" s="764" t="s">
        <v>612</v>
      </c>
      <c r="C1828" s="764" t="s">
        <v>1110</v>
      </c>
      <c r="D1828" s="764" t="s">
        <v>21</v>
      </c>
      <c r="E1828" s="764" t="s">
        <v>614</v>
      </c>
      <c r="F1828" s="764" t="s">
        <v>696</v>
      </c>
      <c r="G1828" s="761"/>
      <c r="H1828" s="761"/>
      <c r="I1828" s="761"/>
      <c r="J1828" s="761"/>
      <c r="K1828" s="761"/>
      <c r="L1828" s="761"/>
      <c r="M1828" s="761"/>
    </row>
    <row r="1829" spans="1:13" x14ac:dyDescent="0.3">
      <c r="A1829" s="734" t="s">
        <v>2090</v>
      </c>
      <c r="B1829" s="764"/>
      <c r="C1829" s="764"/>
      <c r="D1829" s="764"/>
      <c r="E1829" s="764"/>
      <c r="F1829" s="764"/>
      <c r="G1829" s="761"/>
      <c r="H1829" s="761"/>
      <c r="I1829" s="761"/>
      <c r="J1829" s="761"/>
      <c r="K1829" s="761"/>
      <c r="L1829" s="761"/>
      <c r="M1829" s="761"/>
    </row>
    <row r="1830" spans="1:13" x14ac:dyDescent="0.3">
      <c r="A1830" s="733" t="s">
        <v>2089</v>
      </c>
      <c r="B1830" s="761" t="s">
        <v>612</v>
      </c>
      <c r="C1830" s="761" t="s">
        <v>2099</v>
      </c>
      <c r="D1830" s="761" t="s">
        <v>21</v>
      </c>
      <c r="E1830" s="761" t="s">
        <v>614</v>
      </c>
      <c r="F1830" s="761" t="s">
        <v>615</v>
      </c>
      <c r="G1830" s="761"/>
      <c r="H1830" s="761"/>
      <c r="I1830" s="761"/>
      <c r="J1830" s="761"/>
      <c r="K1830" s="761"/>
      <c r="L1830" s="761"/>
      <c r="M1830" s="761"/>
    </row>
    <row r="1831" spans="1:13" x14ac:dyDescent="0.3">
      <c r="A1831" s="733" t="s">
        <v>2090</v>
      </c>
      <c r="B1831" s="761"/>
      <c r="C1831" s="761"/>
      <c r="D1831" s="761"/>
      <c r="E1831" s="761"/>
      <c r="F1831" s="761"/>
      <c r="G1831" s="761"/>
      <c r="H1831" s="761"/>
      <c r="I1831" s="761"/>
      <c r="J1831" s="761"/>
      <c r="K1831" s="761"/>
      <c r="L1831" s="761"/>
      <c r="M1831" s="761"/>
    </row>
    <row r="1832" spans="1:13" x14ac:dyDescent="0.3">
      <c r="A1832" s="733" t="s">
        <v>2089</v>
      </c>
      <c r="B1832" s="761" t="s">
        <v>612</v>
      </c>
      <c r="C1832" s="761" t="s">
        <v>2100</v>
      </c>
      <c r="D1832" s="761" t="s">
        <v>21</v>
      </c>
      <c r="E1832" s="761" t="s">
        <v>614</v>
      </c>
      <c r="F1832" s="761" t="s">
        <v>615</v>
      </c>
      <c r="G1832" s="761"/>
      <c r="H1832" s="761"/>
      <c r="I1832" s="761"/>
      <c r="J1832" s="761"/>
      <c r="K1832" s="761"/>
      <c r="L1832" s="761"/>
      <c r="M1832" s="761"/>
    </row>
    <row r="1833" spans="1:13" x14ac:dyDescent="0.3">
      <c r="A1833" s="733" t="s">
        <v>2090</v>
      </c>
      <c r="B1833" s="761"/>
      <c r="C1833" s="761"/>
      <c r="D1833" s="761"/>
      <c r="E1833" s="761"/>
      <c r="F1833" s="761"/>
      <c r="G1833" s="761"/>
      <c r="H1833" s="761"/>
      <c r="I1833" s="761"/>
      <c r="J1833" s="761"/>
      <c r="K1833" s="761"/>
      <c r="L1833" s="761"/>
      <c r="M1833" s="761"/>
    </row>
    <row r="1834" spans="1:13" x14ac:dyDescent="0.3">
      <c r="A1834" s="733" t="s">
        <v>2089</v>
      </c>
      <c r="B1834" s="761" t="s">
        <v>612</v>
      </c>
      <c r="C1834" s="761" t="s">
        <v>2101</v>
      </c>
      <c r="D1834" s="761" t="s">
        <v>21</v>
      </c>
      <c r="E1834" s="761" t="s">
        <v>614</v>
      </c>
      <c r="F1834" s="761" t="s">
        <v>615</v>
      </c>
      <c r="G1834" s="761"/>
      <c r="H1834" s="761"/>
      <c r="I1834" s="761"/>
      <c r="J1834" s="761"/>
      <c r="K1834" s="761"/>
      <c r="L1834" s="761"/>
      <c r="M1834" s="761"/>
    </row>
    <row r="1835" spans="1:13" x14ac:dyDescent="0.3">
      <c r="A1835" s="733" t="s">
        <v>2090</v>
      </c>
      <c r="B1835" s="761"/>
      <c r="C1835" s="761"/>
      <c r="D1835" s="761"/>
      <c r="E1835" s="761"/>
      <c r="F1835" s="761"/>
      <c r="G1835" s="761"/>
      <c r="H1835" s="761"/>
      <c r="I1835" s="761"/>
      <c r="J1835" s="761"/>
      <c r="K1835" s="761"/>
      <c r="L1835" s="761"/>
      <c r="M1835" s="761"/>
    </row>
    <row r="1836" spans="1:13" x14ac:dyDescent="0.3">
      <c r="A1836" s="733" t="s">
        <v>2089</v>
      </c>
      <c r="B1836" s="761" t="s">
        <v>645</v>
      </c>
      <c r="C1836" s="761" t="s">
        <v>1679</v>
      </c>
      <c r="D1836" s="761" t="s">
        <v>21</v>
      </c>
      <c r="E1836" s="761" t="s">
        <v>614</v>
      </c>
      <c r="F1836" s="761" t="s">
        <v>615</v>
      </c>
      <c r="G1836" s="761"/>
      <c r="H1836" s="761"/>
      <c r="I1836" s="761"/>
      <c r="J1836" s="761"/>
      <c r="K1836" s="761"/>
      <c r="L1836" s="761"/>
      <c r="M1836" s="761"/>
    </row>
    <row r="1837" spans="1:13" x14ac:dyDescent="0.3">
      <c r="A1837" s="733" t="s">
        <v>2090</v>
      </c>
      <c r="B1837" s="761"/>
      <c r="C1837" s="761"/>
      <c r="D1837" s="761"/>
      <c r="E1837" s="761"/>
      <c r="F1837" s="761"/>
      <c r="G1837" s="761"/>
      <c r="H1837" s="761"/>
      <c r="I1837" s="761"/>
      <c r="J1837" s="761"/>
      <c r="K1837" s="761"/>
      <c r="L1837" s="761"/>
      <c r="M1837" s="761"/>
    </row>
    <row r="1838" spans="1:13" x14ac:dyDescent="0.3">
      <c r="A1838" s="733" t="s">
        <v>2089</v>
      </c>
      <c r="B1838" s="761" t="s">
        <v>645</v>
      </c>
      <c r="C1838" s="761" t="s">
        <v>1680</v>
      </c>
      <c r="D1838" s="761" t="s">
        <v>21</v>
      </c>
      <c r="E1838" s="761" t="s">
        <v>614</v>
      </c>
      <c r="F1838" s="761" t="s">
        <v>615</v>
      </c>
      <c r="G1838" s="761"/>
      <c r="H1838" s="761"/>
      <c r="I1838" s="761"/>
      <c r="J1838" s="761"/>
      <c r="K1838" s="761"/>
      <c r="L1838" s="761"/>
      <c r="M1838" s="761"/>
    </row>
    <row r="1839" spans="1:13" x14ac:dyDescent="0.3">
      <c r="A1839" s="733" t="s">
        <v>2090</v>
      </c>
      <c r="B1839" s="761"/>
      <c r="C1839" s="761"/>
      <c r="D1839" s="761"/>
      <c r="E1839" s="761"/>
      <c r="F1839" s="761"/>
      <c r="G1839" s="761"/>
      <c r="H1839" s="761"/>
      <c r="I1839" s="761"/>
      <c r="J1839" s="761"/>
      <c r="K1839" s="761"/>
      <c r="L1839" s="761"/>
      <c r="M1839" s="761"/>
    </row>
    <row r="1840" spans="1:13" x14ac:dyDescent="0.3">
      <c r="A1840" s="733" t="s">
        <v>2089</v>
      </c>
      <c r="B1840" s="761" t="s">
        <v>645</v>
      </c>
      <c r="C1840" s="761" t="s">
        <v>1681</v>
      </c>
      <c r="D1840" s="761" t="s">
        <v>21</v>
      </c>
      <c r="E1840" s="761" t="s">
        <v>614</v>
      </c>
      <c r="F1840" s="761" t="s">
        <v>615</v>
      </c>
      <c r="G1840" s="761"/>
      <c r="H1840" s="761"/>
      <c r="I1840" s="761"/>
      <c r="J1840" s="761"/>
      <c r="K1840" s="761"/>
      <c r="L1840" s="761"/>
      <c r="M1840" s="761"/>
    </row>
    <row r="1841" spans="1:13" x14ac:dyDescent="0.3">
      <c r="A1841" s="733" t="s">
        <v>2090</v>
      </c>
      <c r="B1841" s="761"/>
      <c r="C1841" s="761"/>
      <c r="D1841" s="761"/>
      <c r="E1841" s="761"/>
      <c r="F1841" s="761"/>
      <c r="G1841" s="761"/>
      <c r="H1841" s="761"/>
      <c r="I1841" s="761"/>
      <c r="J1841" s="761"/>
      <c r="K1841" s="761"/>
      <c r="L1841" s="761"/>
      <c r="M1841" s="761"/>
    </row>
    <row r="1842" spans="1:13" x14ac:dyDescent="0.3">
      <c r="A1842" s="733" t="s">
        <v>2089</v>
      </c>
      <c r="B1842" s="761" t="s">
        <v>645</v>
      </c>
      <c r="C1842" s="761" t="s">
        <v>1682</v>
      </c>
      <c r="D1842" s="761" t="s">
        <v>21</v>
      </c>
      <c r="E1842" s="761" t="s">
        <v>614</v>
      </c>
      <c r="F1842" s="761" t="s">
        <v>615</v>
      </c>
      <c r="G1842" s="761"/>
      <c r="H1842" s="761"/>
      <c r="I1842" s="761"/>
      <c r="J1842" s="761"/>
      <c r="K1842" s="761"/>
      <c r="L1842" s="761"/>
      <c r="M1842" s="761"/>
    </row>
    <row r="1843" spans="1:13" x14ac:dyDescent="0.3">
      <c r="A1843" s="733" t="s">
        <v>2090</v>
      </c>
      <c r="B1843" s="761"/>
      <c r="C1843" s="761"/>
      <c r="D1843" s="761"/>
      <c r="E1843" s="761"/>
      <c r="F1843" s="761"/>
      <c r="G1843" s="761"/>
      <c r="H1843" s="761"/>
      <c r="I1843" s="761"/>
      <c r="J1843" s="761"/>
      <c r="K1843" s="761"/>
      <c r="L1843" s="761"/>
      <c r="M1843" s="761"/>
    </row>
    <row r="1844" spans="1:13" x14ac:dyDescent="0.3">
      <c r="A1844" s="733" t="s">
        <v>2089</v>
      </c>
      <c r="B1844" s="761" t="s">
        <v>645</v>
      </c>
      <c r="C1844" s="761" t="s">
        <v>1889</v>
      </c>
      <c r="D1844" s="761" t="s">
        <v>21</v>
      </c>
      <c r="E1844" s="761" t="s">
        <v>614</v>
      </c>
      <c r="F1844" s="761" t="s">
        <v>615</v>
      </c>
      <c r="G1844" s="761"/>
      <c r="H1844" s="761"/>
      <c r="I1844" s="761"/>
      <c r="J1844" s="761"/>
      <c r="K1844" s="761"/>
      <c r="L1844" s="761"/>
      <c r="M1844" s="761"/>
    </row>
    <row r="1845" spans="1:13" x14ac:dyDescent="0.3">
      <c r="A1845" s="733" t="s">
        <v>2090</v>
      </c>
      <c r="B1845" s="761"/>
      <c r="C1845" s="761"/>
      <c r="D1845" s="761"/>
      <c r="E1845" s="761"/>
      <c r="F1845" s="761"/>
      <c r="G1845" s="761"/>
      <c r="H1845" s="761"/>
      <c r="I1845" s="761"/>
      <c r="J1845" s="761"/>
      <c r="K1845" s="761"/>
      <c r="L1845" s="761"/>
      <c r="M1845" s="761"/>
    </row>
    <row r="1846" spans="1:13" x14ac:dyDescent="0.3">
      <c r="A1846" s="733" t="s">
        <v>2089</v>
      </c>
      <c r="B1846" s="761" t="s">
        <v>645</v>
      </c>
      <c r="C1846" s="761" t="s">
        <v>2102</v>
      </c>
      <c r="D1846" s="761" t="s">
        <v>21</v>
      </c>
      <c r="E1846" s="761" t="s">
        <v>614</v>
      </c>
      <c r="F1846" s="761" t="s">
        <v>615</v>
      </c>
      <c r="G1846" s="761"/>
      <c r="H1846" s="761"/>
      <c r="I1846" s="761"/>
      <c r="J1846" s="761"/>
      <c r="K1846" s="761"/>
      <c r="L1846" s="761"/>
      <c r="M1846" s="761"/>
    </row>
    <row r="1847" spans="1:13" x14ac:dyDescent="0.3">
      <c r="A1847" s="733" t="s">
        <v>2090</v>
      </c>
      <c r="B1847" s="761"/>
      <c r="C1847" s="761"/>
      <c r="D1847" s="761"/>
      <c r="E1847" s="761"/>
      <c r="F1847" s="761"/>
      <c r="G1847" s="761"/>
      <c r="H1847" s="761"/>
      <c r="I1847" s="761"/>
      <c r="J1847" s="761"/>
      <c r="K1847" s="761"/>
      <c r="L1847" s="761"/>
      <c r="M1847" s="761"/>
    </row>
    <row r="1848" spans="1:13" x14ac:dyDescent="0.3">
      <c r="A1848" s="733" t="s">
        <v>2089</v>
      </c>
      <c r="B1848" s="761" t="s">
        <v>645</v>
      </c>
      <c r="C1848" s="761" t="s">
        <v>2103</v>
      </c>
      <c r="D1848" s="761" t="s">
        <v>21</v>
      </c>
      <c r="E1848" s="761" t="s">
        <v>614</v>
      </c>
      <c r="F1848" s="761" t="s">
        <v>615</v>
      </c>
      <c r="G1848" s="761"/>
      <c r="H1848" s="761"/>
      <c r="I1848" s="761"/>
      <c r="J1848" s="761"/>
      <c r="K1848" s="761"/>
      <c r="L1848" s="761"/>
      <c r="M1848" s="761"/>
    </row>
    <row r="1849" spans="1:13" x14ac:dyDescent="0.3">
      <c r="A1849" s="733" t="s">
        <v>2090</v>
      </c>
      <c r="B1849" s="761"/>
      <c r="C1849" s="761"/>
      <c r="D1849" s="761"/>
      <c r="E1849" s="761"/>
      <c r="F1849" s="761"/>
      <c r="G1849" s="761"/>
      <c r="H1849" s="761"/>
      <c r="I1849" s="761"/>
      <c r="J1849" s="761"/>
      <c r="K1849" s="761"/>
      <c r="L1849" s="761"/>
      <c r="M1849" s="761"/>
    </row>
    <row r="1850" spans="1:13" x14ac:dyDescent="0.3">
      <c r="A1850" s="733" t="s">
        <v>2089</v>
      </c>
      <c r="B1850" s="761" t="s">
        <v>645</v>
      </c>
      <c r="C1850" s="761" t="s">
        <v>2104</v>
      </c>
      <c r="D1850" s="761" t="s">
        <v>21</v>
      </c>
      <c r="E1850" s="761" t="s">
        <v>614</v>
      </c>
      <c r="F1850" s="761" t="s">
        <v>615</v>
      </c>
      <c r="G1850" s="761"/>
      <c r="H1850" s="761"/>
      <c r="I1850" s="761"/>
      <c r="J1850" s="761"/>
      <c r="K1850" s="761"/>
      <c r="L1850" s="761"/>
      <c r="M1850" s="761"/>
    </row>
    <row r="1851" spans="1:13" x14ac:dyDescent="0.3">
      <c r="A1851" s="733" t="s">
        <v>2090</v>
      </c>
      <c r="B1851" s="761"/>
      <c r="C1851" s="761"/>
      <c r="D1851" s="761"/>
      <c r="E1851" s="761"/>
      <c r="F1851" s="761"/>
      <c r="G1851" s="761"/>
      <c r="H1851" s="761"/>
      <c r="I1851" s="761"/>
      <c r="J1851" s="761"/>
      <c r="K1851" s="761"/>
      <c r="L1851" s="761"/>
      <c r="M1851" s="761"/>
    </row>
    <row r="1852" spans="1:13" x14ac:dyDescent="0.3">
      <c r="A1852" s="733" t="s">
        <v>2089</v>
      </c>
      <c r="B1852" s="761" t="s">
        <v>645</v>
      </c>
      <c r="C1852" s="761" t="s">
        <v>2105</v>
      </c>
      <c r="D1852" s="761" t="s">
        <v>21</v>
      </c>
      <c r="E1852" s="761" t="s">
        <v>614</v>
      </c>
      <c r="F1852" s="761" t="s">
        <v>615</v>
      </c>
      <c r="G1852" s="761"/>
      <c r="H1852" s="761"/>
      <c r="I1852" s="761"/>
      <c r="J1852" s="761"/>
      <c r="K1852" s="761"/>
      <c r="L1852" s="761"/>
      <c r="M1852" s="761"/>
    </row>
    <row r="1853" spans="1:13" x14ac:dyDescent="0.3">
      <c r="A1853" s="733" t="s">
        <v>2090</v>
      </c>
      <c r="B1853" s="761"/>
      <c r="C1853" s="761"/>
      <c r="D1853" s="761"/>
      <c r="E1853" s="761"/>
      <c r="F1853" s="761"/>
      <c r="G1853" s="761"/>
      <c r="H1853" s="761"/>
      <c r="I1853" s="761"/>
      <c r="J1853" s="761"/>
      <c r="K1853" s="761"/>
      <c r="L1853" s="761"/>
      <c r="M1853" s="761"/>
    </row>
    <row r="1854" spans="1:13" x14ac:dyDescent="0.3">
      <c r="A1854" s="733" t="s">
        <v>2089</v>
      </c>
      <c r="B1854" s="761" t="s">
        <v>645</v>
      </c>
      <c r="C1854" s="761" t="s">
        <v>2106</v>
      </c>
      <c r="D1854" s="761" t="s">
        <v>21</v>
      </c>
      <c r="E1854" s="761" t="s">
        <v>614</v>
      </c>
      <c r="F1854" s="761" t="s">
        <v>615</v>
      </c>
      <c r="G1854" s="761"/>
      <c r="H1854" s="761"/>
      <c r="I1854" s="761"/>
      <c r="J1854" s="761"/>
      <c r="K1854" s="761"/>
      <c r="L1854" s="761"/>
      <c r="M1854" s="761"/>
    </row>
    <row r="1855" spans="1:13" x14ac:dyDescent="0.3">
      <c r="A1855" s="733" t="s">
        <v>2090</v>
      </c>
      <c r="B1855" s="761"/>
      <c r="C1855" s="761"/>
      <c r="D1855" s="761"/>
      <c r="E1855" s="761"/>
      <c r="F1855" s="761"/>
      <c r="G1855" s="761"/>
      <c r="H1855" s="761"/>
      <c r="I1855" s="761"/>
      <c r="J1855" s="761"/>
      <c r="K1855" s="761"/>
      <c r="L1855" s="761"/>
      <c r="M1855" s="761"/>
    </row>
    <row r="1856" spans="1:13" x14ac:dyDescent="0.3">
      <c r="A1856" s="733" t="s">
        <v>2089</v>
      </c>
      <c r="B1856" s="761" t="s">
        <v>645</v>
      </c>
      <c r="C1856" s="761" t="s">
        <v>2107</v>
      </c>
      <c r="D1856" s="761" t="s">
        <v>21</v>
      </c>
      <c r="E1856" s="761" t="s">
        <v>614</v>
      </c>
      <c r="F1856" s="761" t="s">
        <v>615</v>
      </c>
      <c r="G1856" s="761"/>
      <c r="H1856" s="761"/>
      <c r="I1856" s="761"/>
      <c r="J1856" s="761"/>
      <c r="K1856" s="761"/>
      <c r="L1856" s="761"/>
      <c r="M1856" s="761"/>
    </row>
    <row r="1857" spans="1:13" x14ac:dyDescent="0.3">
      <c r="A1857" s="733" t="s">
        <v>2090</v>
      </c>
      <c r="B1857" s="761"/>
      <c r="C1857" s="761"/>
      <c r="D1857" s="761"/>
      <c r="E1857" s="761"/>
      <c r="F1857" s="761"/>
      <c r="G1857" s="761"/>
      <c r="H1857" s="761"/>
      <c r="I1857" s="761"/>
      <c r="J1857" s="761"/>
      <c r="K1857" s="761"/>
      <c r="L1857" s="761"/>
      <c r="M1857" s="761"/>
    </row>
    <row r="1858" spans="1:13" x14ac:dyDescent="0.3">
      <c r="A1858" s="733" t="s">
        <v>2089</v>
      </c>
      <c r="B1858" s="761" t="s">
        <v>645</v>
      </c>
      <c r="C1858" s="761" t="s">
        <v>1691</v>
      </c>
      <c r="D1858" s="761" t="s">
        <v>21</v>
      </c>
      <c r="E1858" s="761" t="s">
        <v>614</v>
      </c>
      <c r="F1858" s="761" t="s">
        <v>615</v>
      </c>
      <c r="G1858" s="761"/>
      <c r="H1858" s="761"/>
      <c r="I1858" s="761"/>
      <c r="J1858" s="761"/>
      <c r="K1858" s="761"/>
      <c r="L1858" s="761"/>
      <c r="M1858" s="761"/>
    </row>
    <row r="1859" spans="1:13" x14ac:dyDescent="0.3">
      <c r="A1859" s="733" t="s">
        <v>2090</v>
      </c>
      <c r="B1859" s="761"/>
      <c r="C1859" s="761"/>
      <c r="D1859" s="761"/>
      <c r="E1859" s="761"/>
      <c r="F1859" s="761"/>
      <c r="G1859" s="761"/>
      <c r="H1859" s="761"/>
      <c r="I1859" s="761"/>
      <c r="J1859" s="761"/>
      <c r="K1859" s="761"/>
      <c r="L1859" s="761"/>
      <c r="M1859" s="761"/>
    </row>
    <row r="1860" spans="1:13" x14ac:dyDescent="0.3">
      <c r="A1860" s="733" t="s">
        <v>2089</v>
      </c>
      <c r="B1860" s="761" t="s">
        <v>664</v>
      </c>
      <c r="C1860" s="761" t="s">
        <v>1891</v>
      </c>
      <c r="D1860" s="761" t="s">
        <v>21</v>
      </c>
      <c r="E1860" s="761" t="s">
        <v>614</v>
      </c>
      <c r="F1860" s="761" t="s">
        <v>615</v>
      </c>
      <c r="G1860" s="761"/>
      <c r="H1860" s="761"/>
      <c r="I1860" s="761"/>
      <c r="J1860" s="761"/>
      <c r="K1860" s="761"/>
      <c r="L1860" s="761"/>
      <c r="M1860" s="761"/>
    </row>
    <row r="1861" spans="1:13" x14ac:dyDescent="0.3">
      <c r="A1861" s="733" t="s">
        <v>2090</v>
      </c>
      <c r="B1861" s="761"/>
      <c r="C1861" s="761"/>
      <c r="D1861" s="761"/>
      <c r="E1861" s="761"/>
      <c r="F1861" s="761"/>
      <c r="G1861" s="761"/>
      <c r="H1861" s="761"/>
      <c r="I1861" s="761"/>
      <c r="J1861" s="761"/>
      <c r="K1861" s="761"/>
      <c r="L1861" s="761"/>
      <c r="M1861" s="761"/>
    </row>
    <row r="1862" spans="1:13" x14ac:dyDescent="0.3">
      <c r="A1862" s="733" t="s">
        <v>2089</v>
      </c>
      <c r="B1862" s="761" t="s">
        <v>664</v>
      </c>
      <c r="C1862" s="761" t="s">
        <v>2108</v>
      </c>
      <c r="D1862" s="761" t="s">
        <v>21</v>
      </c>
      <c r="E1862" s="761" t="s">
        <v>614</v>
      </c>
      <c r="F1862" s="761" t="s">
        <v>615</v>
      </c>
      <c r="G1862" s="761"/>
      <c r="H1862" s="761"/>
      <c r="I1862" s="761"/>
      <c r="J1862" s="761"/>
      <c r="K1862" s="761"/>
      <c r="L1862" s="761"/>
      <c r="M1862" s="761"/>
    </row>
    <row r="1863" spans="1:13" x14ac:dyDescent="0.3">
      <c r="A1863" s="733" t="s">
        <v>2090</v>
      </c>
      <c r="B1863" s="761"/>
      <c r="C1863" s="761"/>
      <c r="D1863" s="761"/>
      <c r="E1863" s="761"/>
      <c r="F1863" s="761"/>
      <c r="G1863" s="761"/>
      <c r="H1863" s="761"/>
      <c r="I1863" s="761"/>
      <c r="J1863" s="761"/>
      <c r="K1863" s="761"/>
      <c r="L1863" s="761"/>
      <c r="M1863" s="761"/>
    </row>
    <row r="1864" spans="1:13" x14ac:dyDescent="0.3">
      <c r="A1864" s="733" t="s">
        <v>2089</v>
      </c>
      <c r="B1864" s="761" t="s">
        <v>664</v>
      </c>
      <c r="C1864" s="761" t="s">
        <v>2109</v>
      </c>
      <c r="D1864" s="761" t="s">
        <v>21</v>
      </c>
      <c r="E1864" s="761" t="s">
        <v>614</v>
      </c>
      <c r="F1864" s="761" t="s">
        <v>615</v>
      </c>
      <c r="G1864" s="761"/>
      <c r="H1864" s="761"/>
      <c r="I1864" s="761"/>
      <c r="J1864" s="761"/>
      <c r="K1864" s="761"/>
      <c r="L1864" s="761"/>
      <c r="M1864" s="761"/>
    </row>
    <row r="1865" spans="1:13" x14ac:dyDescent="0.3">
      <c r="A1865" s="733" t="s">
        <v>2090</v>
      </c>
      <c r="B1865" s="761"/>
      <c r="C1865" s="761"/>
      <c r="D1865" s="761"/>
      <c r="E1865" s="761"/>
      <c r="F1865" s="761"/>
      <c r="G1865" s="761"/>
      <c r="H1865" s="761"/>
      <c r="I1865" s="761"/>
      <c r="J1865" s="761"/>
      <c r="K1865" s="761"/>
      <c r="L1865" s="761"/>
      <c r="M1865" s="761"/>
    </row>
    <row r="1866" spans="1:13" x14ac:dyDescent="0.3">
      <c r="A1866" s="733" t="s">
        <v>2089</v>
      </c>
      <c r="B1866" s="761" t="s">
        <v>664</v>
      </c>
      <c r="C1866" s="761" t="s">
        <v>1893</v>
      </c>
      <c r="D1866" s="761" t="s">
        <v>21</v>
      </c>
      <c r="E1866" s="761" t="s">
        <v>614</v>
      </c>
      <c r="F1866" s="761" t="s">
        <v>615</v>
      </c>
      <c r="G1866" s="761"/>
      <c r="H1866" s="761"/>
      <c r="I1866" s="761"/>
      <c r="J1866" s="761"/>
      <c r="K1866" s="761"/>
      <c r="L1866" s="761"/>
      <c r="M1866" s="761"/>
    </row>
    <row r="1867" spans="1:13" x14ac:dyDescent="0.3">
      <c r="A1867" s="733" t="s">
        <v>2090</v>
      </c>
      <c r="B1867" s="761"/>
      <c r="C1867" s="761"/>
      <c r="D1867" s="761"/>
      <c r="E1867" s="761"/>
      <c r="F1867" s="761"/>
      <c r="G1867" s="761"/>
      <c r="H1867" s="761"/>
      <c r="I1867" s="761"/>
      <c r="J1867" s="761"/>
      <c r="K1867" s="761"/>
      <c r="L1867" s="761"/>
      <c r="M1867" s="761"/>
    </row>
    <row r="1868" spans="1:13" x14ac:dyDescent="0.3">
      <c r="A1868" s="733" t="s">
        <v>2089</v>
      </c>
      <c r="B1868" s="761" t="s">
        <v>664</v>
      </c>
      <c r="C1868" s="761" t="s">
        <v>1753</v>
      </c>
      <c r="D1868" s="761" t="s">
        <v>21</v>
      </c>
      <c r="E1868" s="761" t="s">
        <v>614</v>
      </c>
      <c r="F1868" s="761" t="s">
        <v>615</v>
      </c>
      <c r="G1868" s="761"/>
      <c r="H1868" s="761"/>
      <c r="I1868" s="761"/>
      <c r="J1868" s="761"/>
      <c r="K1868" s="761"/>
      <c r="L1868" s="761"/>
      <c r="M1868" s="761"/>
    </row>
    <row r="1869" spans="1:13" x14ac:dyDescent="0.3">
      <c r="A1869" s="733" t="s">
        <v>2090</v>
      </c>
      <c r="B1869" s="761"/>
      <c r="C1869" s="761"/>
      <c r="D1869" s="761"/>
      <c r="E1869" s="761"/>
      <c r="F1869" s="761"/>
      <c r="G1869" s="761"/>
      <c r="H1869" s="761"/>
      <c r="I1869" s="761"/>
      <c r="J1869" s="761"/>
      <c r="K1869" s="761"/>
      <c r="L1869" s="761"/>
      <c r="M1869" s="761"/>
    </row>
    <row r="1870" spans="1:13" x14ac:dyDescent="0.3">
      <c r="A1870" s="733" t="s">
        <v>2089</v>
      </c>
      <c r="B1870" s="761" t="s">
        <v>664</v>
      </c>
      <c r="C1870" s="761" t="s">
        <v>1894</v>
      </c>
      <c r="D1870" s="761" t="s">
        <v>21</v>
      </c>
      <c r="E1870" s="761" t="s">
        <v>614</v>
      </c>
      <c r="F1870" s="761" t="s">
        <v>615</v>
      </c>
      <c r="G1870" s="761"/>
      <c r="H1870" s="761"/>
      <c r="I1870" s="761"/>
      <c r="J1870" s="761"/>
      <c r="K1870" s="761"/>
      <c r="L1870" s="761"/>
      <c r="M1870" s="761"/>
    </row>
    <row r="1871" spans="1:13" x14ac:dyDescent="0.3">
      <c r="A1871" s="733" t="s">
        <v>2090</v>
      </c>
      <c r="B1871" s="761"/>
      <c r="C1871" s="761"/>
      <c r="D1871" s="761"/>
      <c r="E1871" s="761"/>
      <c r="F1871" s="761"/>
      <c r="G1871" s="761"/>
      <c r="H1871" s="761"/>
      <c r="I1871" s="761"/>
      <c r="J1871" s="761"/>
      <c r="K1871" s="761"/>
      <c r="L1871" s="761"/>
      <c r="M1871" s="761"/>
    </row>
    <row r="1872" spans="1:13" x14ac:dyDescent="0.3">
      <c r="A1872" s="733" t="s">
        <v>2110</v>
      </c>
      <c r="B1872" s="733" t="s">
        <v>612</v>
      </c>
      <c r="C1872" s="733" t="s">
        <v>906</v>
      </c>
      <c r="D1872" s="733" t="s">
        <v>21</v>
      </c>
      <c r="E1872" s="733" t="s">
        <v>614</v>
      </c>
      <c r="F1872" s="733" t="s">
        <v>615</v>
      </c>
      <c r="G1872" s="733"/>
      <c r="H1872" s="733"/>
      <c r="I1872" s="733"/>
      <c r="J1872" s="733"/>
      <c r="K1872" s="733"/>
      <c r="L1872" s="733"/>
      <c r="M1872" s="733"/>
    </row>
    <row r="1873" spans="1:13" x14ac:dyDescent="0.3">
      <c r="A1873" s="733" t="s">
        <v>2110</v>
      </c>
      <c r="B1873" s="733" t="s">
        <v>612</v>
      </c>
      <c r="C1873" s="733" t="s">
        <v>907</v>
      </c>
      <c r="D1873" s="733" t="s">
        <v>21</v>
      </c>
      <c r="E1873" s="733" t="s">
        <v>614</v>
      </c>
      <c r="F1873" s="733" t="s">
        <v>615</v>
      </c>
      <c r="G1873" s="733"/>
      <c r="H1873" s="733"/>
      <c r="I1873" s="733"/>
      <c r="J1873" s="733"/>
      <c r="K1873" s="733"/>
      <c r="L1873" s="733"/>
      <c r="M1873" s="733"/>
    </row>
    <row r="1874" spans="1:13" x14ac:dyDescent="0.3">
      <c r="A1874" s="733" t="s">
        <v>2110</v>
      </c>
      <c r="B1874" s="733" t="s">
        <v>612</v>
      </c>
      <c r="C1874" s="733" t="s">
        <v>1794</v>
      </c>
      <c r="D1874" s="733" t="s">
        <v>21</v>
      </c>
      <c r="E1874" s="733" t="s">
        <v>614</v>
      </c>
      <c r="F1874" s="733" t="s">
        <v>615</v>
      </c>
      <c r="G1874" s="733"/>
      <c r="H1874" s="733"/>
      <c r="I1874" s="733"/>
      <c r="J1874" s="733"/>
      <c r="K1874" s="733"/>
      <c r="L1874" s="733"/>
      <c r="M1874" s="733"/>
    </row>
    <row r="1875" spans="1:13" x14ac:dyDescent="0.3">
      <c r="A1875" s="733" t="s">
        <v>2110</v>
      </c>
      <c r="B1875" s="733" t="s">
        <v>612</v>
      </c>
      <c r="C1875" s="733" t="s">
        <v>913</v>
      </c>
      <c r="D1875" s="733" t="s">
        <v>21</v>
      </c>
      <c r="E1875" s="733" t="s">
        <v>614</v>
      </c>
      <c r="F1875" s="733" t="s">
        <v>615</v>
      </c>
      <c r="G1875" s="733"/>
      <c r="H1875" s="733"/>
      <c r="I1875" s="733"/>
      <c r="J1875" s="733"/>
      <c r="K1875" s="733"/>
      <c r="L1875" s="733"/>
      <c r="M1875" s="733"/>
    </row>
    <row r="1876" spans="1:13" x14ac:dyDescent="0.3">
      <c r="A1876" s="733" t="s">
        <v>2110</v>
      </c>
      <c r="B1876" s="733" t="s">
        <v>612</v>
      </c>
      <c r="C1876" s="733" t="s">
        <v>915</v>
      </c>
      <c r="D1876" s="733" t="s">
        <v>21</v>
      </c>
      <c r="E1876" s="733" t="s">
        <v>614</v>
      </c>
      <c r="F1876" s="733" t="s">
        <v>615</v>
      </c>
      <c r="G1876" s="733"/>
      <c r="H1876" s="733"/>
      <c r="I1876" s="733"/>
      <c r="J1876" s="733"/>
      <c r="K1876" s="733"/>
      <c r="L1876" s="733"/>
      <c r="M1876" s="733"/>
    </row>
    <row r="1877" spans="1:13" x14ac:dyDescent="0.3">
      <c r="A1877" s="734" t="s">
        <v>2110</v>
      </c>
      <c r="B1877" s="734" t="s">
        <v>645</v>
      </c>
      <c r="C1877" s="734" t="s">
        <v>1641</v>
      </c>
      <c r="D1877" s="734" t="s">
        <v>21</v>
      </c>
      <c r="E1877" s="734" t="s">
        <v>614</v>
      </c>
      <c r="F1877" s="734" t="s">
        <v>736</v>
      </c>
      <c r="G1877" s="733"/>
      <c r="H1877" s="733"/>
      <c r="I1877" s="733"/>
      <c r="J1877" s="733"/>
      <c r="K1877" s="733"/>
      <c r="L1877" s="733"/>
      <c r="M1877" s="733"/>
    </row>
    <row r="1878" spans="1:13" x14ac:dyDescent="0.3">
      <c r="A1878" s="733" t="s">
        <v>2110</v>
      </c>
      <c r="B1878" s="733" t="s">
        <v>664</v>
      </c>
      <c r="C1878" s="733" t="s">
        <v>2111</v>
      </c>
      <c r="D1878" s="733" t="s">
        <v>21</v>
      </c>
      <c r="E1878" s="733" t="s">
        <v>614</v>
      </c>
      <c r="F1878" s="733" t="s">
        <v>615</v>
      </c>
      <c r="G1878" s="733"/>
      <c r="H1878" s="733"/>
      <c r="I1878" s="733"/>
      <c r="J1878" s="733"/>
      <c r="K1878" s="733"/>
      <c r="L1878" s="733"/>
      <c r="M1878" s="733"/>
    </row>
    <row r="1879" spans="1:13" x14ac:dyDescent="0.3">
      <c r="A1879" s="733" t="s">
        <v>2110</v>
      </c>
      <c r="B1879" s="733" t="s">
        <v>664</v>
      </c>
      <c r="C1879" s="733" t="s">
        <v>2112</v>
      </c>
      <c r="D1879" s="733" t="s">
        <v>21</v>
      </c>
      <c r="E1879" s="733" t="s">
        <v>614</v>
      </c>
      <c r="F1879" s="733" t="s">
        <v>615</v>
      </c>
      <c r="G1879" s="733"/>
      <c r="H1879" s="733"/>
      <c r="I1879" s="733"/>
      <c r="J1879" s="733"/>
      <c r="K1879" s="733"/>
      <c r="L1879" s="733"/>
      <c r="M1879" s="733"/>
    </row>
    <row r="1880" spans="1:13" x14ac:dyDescent="0.3">
      <c r="A1880" s="733" t="s">
        <v>2113</v>
      </c>
      <c r="B1880" s="733" t="s">
        <v>612</v>
      </c>
      <c r="C1880" s="733" t="s">
        <v>2114</v>
      </c>
      <c r="D1880" s="733" t="s">
        <v>21</v>
      </c>
      <c r="E1880" s="733" t="s">
        <v>614</v>
      </c>
      <c r="F1880" s="733" t="s">
        <v>615</v>
      </c>
      <c r="G1880" s="733"/>
      <c r="H1880" s="733"/>
      <c r="I1880" s="733"/>
      <c r="J1880" s="733"/>
      <c r="K1880" s="733"/>
      <c r="L1880" s="733"/>
      <c r="M1880" s="733"/>
    </row>
    <row r="1881" spans="1:13" x14ac:dyDescent="0.3">
      <c r="A1881" s="733" t="s">
        <v>2113</v>
      </c>
      <c r="B1881" s="733" t="s">
        <v>645</v>
      </c>
      <c r="C1881" s="733" t="s">
        <v>2115</v>
      </c>
      <c r="D1881" s="733" t="s">
        <v>21</v>
      </c>
      <c r="E1881" s="733" t="s">
        <v>614</v>
      </c>
      <c r="F1881" s="733" t="s">
        <v>615</v>
      </c>
      <c r="G1881" s="733"/>
      <c r="H1881" s="733"/>
      <c r="I1881" s="733"/>
      <c r="J1881" s="733"/>
      <c r="K1881" s="733"/>
      <c r="L1881" s="733"/>
      <c r="M1881" s="733"/>
    </row>
    <row r="1882" spans="1:13" x14ac:dyDescent="0.3">
      <c r="A1882" s="734" t="s">
        <v>2113</v>
      </c>
      <c r="B1882" s="734" t="s">
        <v>645</v>
      </c>
      <c r="C1882" s="734" t="s">
        <v>2116</v>
      </c>
      <c r="D1882" s="734" t="s">
        <v>21</v>
      </c>
      <c r="E1882" s="734" t="s">
        <v>614</v>
      </c>
      <c r="F1882" s="734" t="s">
        <v>736</v>
      </c>
      <c r="G1882" s="733"/>
      <c r="H1882" s="733"/>
      <c r="I1882" s="733"/>
      <c r="J1882" s="733"/>
      <c r="K1882" s="733"/>
      <c r="L1882" s="733"/>
      <c r="M1882" s="733"/>
    </row>
    <row r="1883" spans="1:13" x14ac:dyDescent="0.3">
      <c r="A1883" s="733" t="s">
        <v>2113</v>
      </c>
      <c r="B1883" s="733" t="s">
        <v>645</v>
      </c>
      <c r="C1883" s="733" t="s">
        <v>790</v>
      </c>
      <c r="D1883" s="733" t="s">
        <v>21</v>
      </c>
      <c r="E1883" s="733" t="s">
        <v>614</v>
      </c>
      <c r="F1883" s="733" t="s">
        <v>615</v>
      </c>
      <c r="G1883" s="733"/>
      <c r="H1883" s="733"/>
      <c r="I1883" s="733"/>
      <c r="J1883" s="733"/>
      <c r="K1883" s="733"/>
      <c r="L1883" s="733"/>
      <c r="M1883" s="733"/>
    </row>
    <row r="1884" spans="1:13" x14ac:dyDescent="0.3">
      <c r="A1884" s="733" t="s">
        <v>2113</v>
      </c>
      <c r="B1884" s="733" t="s">
        <v>664</v>
      </c>
      <c r="C1884" s="733" t="s">
        <v>793</v>
      </c>
      <c r="D1884" s="733" t="s">
        <v>21</v>
      </c>
      <c r="E1884" s="733" t="s">
        <v>614</v>
      </c>
      <c r="F1884" s="733" t="s">
        <v>615</v>
      </c>
      <c r="G1884" s="733"/>
      <c r="H1884" s="733"/>
      <c r="I1884" s="733"/>
      <c r="J1884" s="733"/>
      <c r="K1884" s="733"/>
      <c r="L1884" s="733"/>
      <c r="M1884" s="733"/>
    </row>
    <row r="1885" spans="1:13" x14ac:dyDescent="0.3">
      <c r="A1885" s="733" t="s">
        <v>2117</v>
      </c>
      <c r="B1885" s="733" t="s">
        <v>612</v>
      </c>
      <c r="C1885" s="733" t="s">
        <v>2118</v>
      </c>
      <c r="D1885" s="733" t="s">
        <v>21</v>
      </c>
      <c r="E1885" s="733" t="s">
        <v>614</v>
      </c>
      <c r="F1885" s="733" t="s">
        <v>615</v>
      </c>
      <c r="G1885" s="733"/>
      <c r="H1885" s="733"/>
      <c r="I1885" s="733"/>
      <c r="J1885" s="733"/>
      <c r="K1885" s="733"/>
      <c r="L1885" s="733"/>
      <c r="M1885" s="733"/>
    </row>
    <row r="1886" spans="1:13" x14ac:dyDescent="0.3">
      <c r="A1886" s="733" t="s">
        <v>2117</v>
      </c>
      <c r="B1886" s="733" t="s">
        <v>612</v>
      </c>
      <c r="C1886" s="733" t="s">
        <v>2119</v>
      </c>
      <c r="D1886" s="733" t="s">
        <v>21</v>
      </c>
      <c r="E1886" s="733" t="s">
        <v>614</v>
      </c>
      <c r="F1886" s="733" t="s">
        <v>615</v>
      </c>
      <c r="G1886" s="733"/>
      <c r="H1886" s="733"/>
      <c r="I1886" s="733"/>
      <c r="J1886" s="733"/>
      <c r="K1886" s="733"/>
      <c r="L1886" s="733"/>
      <c r="M1886" s="733"/>
    </row>
    <row r="1887" spans="1:13" x14ac:dyDescent="0.3">
      <c r="A1887" s="733" t="s">
        <v>2117</v>
      </c>
      <c r="B1887" s="733" t="s">
        <v>612</v>
      </c>
      <c r="C1887" s="733" t="s">
        <v>2120</v>
      </c>
      <c r="D1887" s="733" t="s">
        <v>21</v>
      </c>
      <c r="E1887" s="733" t="s">
        <v>614</v>
      </c>
      <c r="F1887" s="733" t="s">
        <v>615</v>
      </c>
      <c r="G1887" s="733"/>
      <c r="H1887" s="733"/>
      <c r="I1887" s="733"/>
      <c r="J1887" s="733"/>
      <c r="K1887" s="733"/>
      <c r="L1887" s="733"/>
      <c r="M1887" s="733"/>
    </row>
    <row r="1888" spans="1:13" x14ac:dyDescent="0.3">
      <c r="A1888" s="733" t="s">
        <v>2117</v>
      </c>
      <c r="B1888" s="733" t="s">
        <v>612</v>
      </c>
      <c r="C1888" s="733" t="s">
        <v>2121</v>
      </c>
      <c r="D1888" s="733" t="s">
        <v>21</v>
      </c>
      <c r="E1888" s="733" t="s">
        <v>614</v>
      </c>
      <c r="F1888" s="733" t="s">
        <v>615</v>
      </c>
      <c r="G1888" s="733"/>
      <c r="H1888" s="733"/>
      <c r="I1888" s="733"/>
      <c r="J1888" s="733"/>
      <c r="K1888" s="733"/>
      <c r="L1888" s="733"/>
      <c r="M1888" s="733"/>
    </row>
    <row r="1889" spans="1:13" x14ac:dyDescent="0.3">
      <c r="A1889" s="733" t="s">
        <v>2117</v>
      </c>
      <c r="B1889" s="733" t="s">
        <v>612</v>
      </c>
      <c r="C1889" s="733" t="s">
        <v>2122</v>
      </c>
      <c r="D1889" s="733" t="s">
        <v>21</v>
      </c>
      <c r="E1889" s="733" t="s">
        <v>614</v>
      </c>
      <c r="F1889" s="733" t="s">
        <v>615</v>
      </c>
      <c r="G1889" s="733"/>
      <c r="H1889" s="733"/>
      <c r="I1889" s="733"/>
      <c r="J1889" s="733"/>
      <c r="K1889" s="733"/>
      <c r="L1889" s="733"/>
      <c r="M1889" s="733"/>
    </row>
    <row r="1890" spans="1:13" x14ac:dyDescent="0.3">
      <c r="A1890" s="733" t="s">
        <v>2117</v>
      </c>
      <c r="B1890" s="733" t="s">
        <v>612</v>
      </c>
      <c r="C1890" s="733" t="s">
        <v>2123</v>
      </c>
      <c r="D1890" s="733" t="s">
        <v>21</v>
      </c>
      <c r="E1890" s="733" t="s">
        <v>614</v>
      </c>
      <c r="F1890" s="733" t="s">
        <v>615</v>
      </c>
      <c r="G1890" s="733"/>
      <c r="H1890" s="733"/>
      <c r="I1890" s="733"/>
      <c r="J1890" s="733"/>
      <c r="K1890" s="733"/>
      <c r="L1890" s="733"/>
      <c r="M1890" s="733"/>
    </row>
    <row r="1891" spans="1:13" x14ac:dyDescent="0.3">
      <c r="A1891" s="734" t="s">
        <v>2117</v>
      </c>
      <c r="B1891" s="734" t="s">
        <v>645</v>
      </c>
      <c r="C1891" s="734" t="s">
        <v>2124</v>
      </c>
      <c r="D1891" s="734" t="s">
        <v>21</v>
      </c>
      <c r="E1891" s="734" t="s">
        <v>614</v>
      </c>
      <c r="F1891" s="734" t="s">
        <v>736</v>
      </c>
      <c r="G1891" s="733"/>
      <c r="H1891" s="733"/>
      <c r="I1891" s="733"/>
      <c r="J1891" s="733"/>
      <c r="K1891" s="733"/>
      <c r="L1891" s="733"/>
      <c r="M1891" s="733"/>
    </row>
    <row r="1892" spans="1:13" x14ac:dyDescent="0.3">
      <c r="A1892" s="734" t="s">
        <v>2117</v>
      </c>
      <c r="B1892" s="734" t="s">
        <v>645</v>
      </c>
      <c r="C1892" s="734" t="s">
        <v>2125</v>
      </c>
      <c r="D1892" s="734" t="s">
        <v>21</v>
      </c>
      <c r="E1892" s="734" t="s">
        <v>614</v>
      </c>
      <c r="F1892" s="734" t="s">
        <v>736</v>
      </c>
      <c r="G1892" s="733"/>
      <c r="H1892" s="733"/>
      <c r="I1892" s="733"/>
      <c r="J1892" s="733"/>
      <c r="K1892" s="733"/>
      <c r="L1892" s="733"/>
      <c r="M1892" s="733"/>
    </row>
    <row r="1893" spans="1:13" x14ac:dyDescent="0.3">
      <c r="A1893" s="734" t="s">
        <v>2117</v>
      </c>
      <c r="B1893" s="734" t="s">
        <v>645</v>
      </c>
      <c r="C1893" s="734" t="s">
        <v>2126</v>
      </c>
      <c r="D1893" s="734" t="s">
        <v>21</v>
      </c>
      <c r="E1893" s="734" t="s">
        <v>614</v>
      </c>
      <c r="F1893" s="734" t="s">
        <v>736</v>
      </c>
      <c r="G1893" s="733"/>
      <c r="H1893" s="733"/>
      <c r="I1893" s="733"/>
      <c r="J1893" s="733"/>
      <c r="K1893" s="733"/>
      <c r="L1893" s="733"/>
      <c r="M1893" s="733"/>
    </row>
    <row r="1894" spans="1:13" x14ac:dyDescent="0.3">
      <c r="A1894" s="733" t="s">
        <v>2117</v>
      </c>
      <c r="B1894" s="733" t="s">
        <v>664</v>
      </c>
      <c r="C1894" s="733" t="s">
        <v>2127</v>
      </c>
      <c r="D1894" s="733" t="s">
        <v>21</v>
      </c>
      <c r="E1894" s="733" t="s">
        <v>614</v>
      </c>
      <c r="F1894" s="733" t="s">
        <v>615</v>
      </c>
      <c r="G1894" s="733"/>
      <c r="H1894" s="733"/>
      <c r="I1894" s="733"/>
      <c r="J1894" s="733"/>
      <c r="K1894" s="733"/>
      <c r="L1894" s="733"/>
      <c r="M1894" s="733"/>
    </row>
    <row r="1895" spans="1:13" x14ac:dyDescent="0.3">
      <c r="A1895" s="733" t="s">
        <v>2128</v>
      </c>
      <c r="B1895" s="733" t="s">
        <v>612</v>
      </c>
      <c r="C1895" s="733" t="s">
        <v>2129</v>
      </c>
      <c r="D1895" s="733" t="s">
        <v>21</v>
      </c>
      <c r="E1895" s="761"/>
      <c r="F1895" s="761"/>
      <c r="G1895" s="733"/>
      <c r="H1895" s="733"/>
      <c r="I1895" s="733"/>
      <c r="J1895" s="733"/>
      <c r="K1895" s="733"/>
      <c r="L1895" s="733"/>
      <c r="M1895" s="733"/>
    </row>
    <row r="1896" spans="1:13" x14ac:dyDescent="0.3">
      <c r="A1896" s="733" t="s">
        <v>2128</v>
      </c>
      <c r="B1896" s="733" t="s">
        <v>612</v>
      </c>
      <c r="C1896" s="733" t="s">
        <v>2118</v>
      </c>
      <c r="D1896" s="733" t="s">
        <v>21</v>
      </c>
      <c r="E1896" s="733" t="s">
        <v>614</v>
      </c>
      <c r="F1896" s="733" t="s">
        <v>615</v>
      </c>
      <c r="G1896" s="733"/>
      <c r="H1896" s="733"/>
      <c r="I1896" s="733"/>
      <c r="J1896" s="733"/>
      <c r="K1896" s="733"/>
      <c r="L1896" s="733"/>
      <c r="M1896" s="733"/>
    </row>
    <row r="1897" spans="1:13" x14ac:dyDescent="0.3">
      <c r="A1897" s="733" t="s">
        <v>2128</v>
      </c>
      <c r="B1897" s="733" t="s">
        <v>612</v>
      </c>
      <c r="C1897" s="733" t="s">
        <v>2119</v>
      </c>
      <c r="D1897" s="733" t="s">
        <v>21</v>
      </c>
      <c r="E1897" s="733" t="s">
        <v>614</v>
      </c>
      <c r="F1897" s="733" t="s">
        <v>615</v>
      </c>
      <c r="G1897" s="733"/>
      <c r="H1897" s="733"/>
      <c r="I1897" s="733"/>
      <c r="J1897" s="733"/>
      <c r="K1897" s="733"/>
      <c r="L1897" s="733"/>
      <c r="M1897" s="733"/>
    </row>
    <row r="1898" spans="1:13" x14ac:dyDescent="0.3">
      <c r="A1898" s="733" t="s">
        <v>2128</v>
      </c>
      <c r="B1898" s="733" t="s">
        <v>612</v>
      </c>
      <c r="C1898" s="733" t="s">
        <v>2120</v>
      </c>
      <c r="D1898" s="733" t="s">
        <v>21</v>
      </c>
      <c r="E1898" s="733" t="s">
        <v>614</v>
      </c>
      <c r="F1898" s="733" t="s">
        <v>615</v>
      </c>
      <c r="G1898" s="733"/>
      <c r="H1898" s="733"/>
      <c r="I1898" s="733"/>
      <c r="J1898" s="733"/>
      <c r="K1898" s="733"/>
      <c r="L1898" s="733"/>
      <c r="M1898" s="733"/>
    </row>
    <row r="1899" spans="1:13" x14ac:dyDescent="0.3">
      <c r="A1899" s="733" t="s">
        <v>2128</v>
      </c>
      <c r="B1899" s="733" t="s">
        <v>612</v>
      </c>
      <c r="C1899" s="733" t="s">
        <v>2121</v>
      </c>
      <c r="D1899" s="733" t="s">
        <v>21</v>
      </c>
      <c r="E1899" s="733" t="s">
        <v>614</v>
      </c>
      <c r="F1899" s="733" t="s">
        <v>615</v>
      </c>
      <c r="G1899" s="733"/>
      <c r="H1899" s="733"/>
      <c r="I1899" s="733"/>
      <c r="J1899" s="733"/>
      <c r="K1899" s="733"/>
      <c r="L1899" s="733"/>
      <c r="M1899" s="733"/>
    </row>
    <row r="1900" spans="1:13" x14ac:dyDescent="0.3">
      <c r="A1900" s="733" t="s">
        <v>2128</v>
      </c>
      <c r="B1900" s="733" t="s">
        <v>612</v>
      </c>
      <c r="C1900" s="733" t="s">
        <v>2130</v>
      </c>
      <c r="D1900" s="733" t="s">
        <v>21</v>
      </c>
      <c r="E1900" s="733" t="s">
        <v>614</v>
      </c>
      <c r="F1900" s="733" t="s">
        <v>615</v>
      </c>
      <c r="G1900" s="733"/>
      <c r="H1900" s="733"/>
      <c r="I1900" s="733"/>
      <c r="J1900" s="733"/>
      <c r="K1900" s="733"/>
      <c r="L1900" s="733"/>
      <c r="M1900" s="733"/>
    </row>
    <row r="1901" spans="1:13" x14ac:dyDescent="0.3">
      <c r="A1901" s="733" t="s">
        <v>2128</v>
      </c>
      <c r="B1901" s="733" t="s">
        <v>612</v>
      </c>
      <c r="C1901" s="733" t="s">
        <v>2131</v>
      </c>
      <c r="D1901" s="733" t="s">
        <v>21</v>
      </c>
      <c r="E1901" s="733" t="s">
        <v>614</v>
      </c>
      <c r="F1901" s="733" t="s">
        <v>615</v>
      </c>
      <c r="G1901" s="733"/>
      <c r="H1901" s="733"/>
      <c r="I1901" s="733"/>
      <c r="J1901" s="733"/>
      <c r="K1901" s="733"/>
      <c r="L1901" s="733"/>
      <c r="M1901" s="733"/>
    </row>
    <row r="1902" spans="1:13" x14ac:dyDescent="0.3">
      <c r="A1902" s="733" t="s">
        <v>2128</v>
      </c>
      <c r="B1902" s="733" t="s">
        <v>612</v>
      </c>
      <c r="C1902" s="733" t="s">
        <v>2132</v>
      </c>
      <c r="D1902" s="733" t="s">
        <v>21</v>
      </c>
      <c r="E1902" s="761"/>
      <c r="F1902" s="761"/>
      <c r="G1902" s="733"/>
      <c r="H1902" s="733"/>
      <c r="I1902" s="733"/>
      <c r="J1902" s="733"/>
      <c r="K1902" s="733"/>
      <c r="L1902" s="733"/>
      <c r="M1902" s="733"/>
    </row>
    <row r="1903" spans="1:13" x14ac:dyDescent="0.3">
      <c r="A1903" s="733" t="s">
        <v>2128</v>
      </c>
      <c r="B1903" s="733" t="s">
        <v>612</v>
      </c>
      <c r="C1903" s="733" t="s">
        <v>2133</v>
      </c>
      <c r="D1903" s="733" t="s">
        <v>21</v>
      </c>
      <c r="E1903" s="761"/>
      <c r="F1903" s="761"/>
      <c r="G1903" s="733"/>
      <c r="H1903" s="733"/>
      <c r="I1903" s="733"/>
      <c r="J1903" s="733"/>
      <c r="K1903" s="733"/>
      <c r="L1903" s="733"/>
      <c r="M1903" s="733"/>
    </row>
    <row r="1904" spans="1:13" x14ac:dyDescent="0.3">
      <c r="A1904" s="733" t="s">
        <v>2128</v>
      </c>
      <c r="B1904" s="733" t="s">
        <v>612</v>
      </c>
      <c r="C1904" s="733" t="s">
        <v>2134</v>
      </c>
      <c r="D1904" s="733" t="s">
        <v>21</v>
      </c>
      <c r="E1904" s="761"/>
      <c r="F1904" s="761"/>
      <c r="G1904" s="733"/>
      <c r="H1904" s="733"/>
      <c r="I1904" s="733"/>
      <c r="J1904" s="733"/>
      <c r="K1904" s="733"/>
      <c r="L1904" s="733"/>
      <c r="M1904" s="733"/>
    </row>
    <row r="1905" spans="1:13" x14ac:dyDescent="0.3">
      <c r="A1905" s="733" t="s">
        <v>2128</v>
      </c>
      <c r="B1905" s="733" t="s">
        <v>612</v>
      </c>
      <c r="C1905" s="733" t="s">
        <v>2135</v>
      </c>
      <c r="D1905" s="733" t="s">
        <v>21</v>
      </c>
      <c r="E1905" s="761"/>
      <c r="F1905" s="761"/>
      <c r="G1905" s="733"/>
      <c r="H1905" s="733"/>
      <c r="I1905" s="733"/>
      <c r="J1905" s="733"/>
      <c r="K1905" s="733"/>
      <c r="L1905" s="733"/>
      <c r="M1905" s="733"/>
    </row>
    <row r="1906" spans="1:13" x14ac:dyDescent="0.3">
      <c r="A1906" s="733" t="s">
        <v>2128</v>
      </c>
      <c r="B1906" s="733" t="s">
        <v>645</v>
      </c>
      <c r="C1906" s="733" t="s">
        <v>2136</v>
      </c>
      <c r="D1906" s="733" t="s">
        <v>21</v>
      </c>
      <c r="E1906" s="761"/>
      <c r="F1906" s="761"/>
      <c r="G1906" s="733"/>
      <c r="H1906" s="733"/>
      <c r="I1906" s="733"/>
      <c r="J1906" s="733"/>
      <c r="K1906" s="733"/>
      <c r="L1906" s="733"/>
      <c r="M1906" s="733"/>
    </row>
    <row r="1907" spans="1:13" x14ac:dyDescent="0.3">
      <c r="A1907" s="733" t="s">
        <v>2128</v>
      </c>
      <c r="B1907" s="733" t="s">
        <v>645</v>
      </c>
      <c r="C1907" s="733" t="s">
        <v>2137</v>
      </c>
      <c r="D1907" s="733" t="s">
        <v>21</v>
      </c>
      <c r="E1907" s="761"/>
      <c r="F1907" s="761"/>
      <c r="G1907" s="733"/>
      <c r="H1907" s="733"/>
      <c r="I1907" s="733"/>
      <c r="J1907" s="733"/>
      <c r="K1907" s="733"/>
      <c r="L1907" s="733"/>
      <c r="M1907" s="733"/>
    </row>
    <row r="1908" spans="1:13" x14ac:dyDescent="0.3">
      <c r="A1908" s="733" t="s">
        <v>2128</v>
      </c>
      <c r="B1908" s="733" t="s">
        <v>645</v>
      </c>
      <c r="C1908" s="733" t="s">
        <v>2138</v>
      </c>
      <c r="D1908" s="733" t="s">
        <v>21</v>
      </c>
      <c r="E1908" s="761"/>
      <c r="F1908" s="761"/>
      <c r="G1908" s="733"/>
      <c r="H1908" s="733"/>
      <c r="I1908" s="733"/>
      <c r="J1908" s="733"/>
      <c r="K1908" s="733"/>
      <c r="L1908" s="733"/>
      <c r="M1908" s="733"/>
    </row>
    <row r="1909" spans="1:13" x14ac:dyDescent="0.3">
      <c r="A1909" s="733" t="s">
        <v>2128</v>
      </c>
      <c r="B1909" s="733" t="s">
        <v>645</v>
      </c>
      <c r="C1909" s="733" t="s">
        <v>2139</v>
      </c>
      <c r="D1909" s="733" t="s">
        <v>21</v>
      </c>
      <c r="E1909" s="761"/>
      <c r="F1909" s="761"/>
      <c r="G1909" s="733"/>
      <c r="H1909" s="733"/>
      <c r="I1909" s="733"/>
      <c r="J1909" s="733"/>
      <c r="K1909" s="733"/>
      <c r="L1909" s="733"/>
      <c r="M1909" s="733"/>
    </row>
    <row r="1910" spans="1:13" x14ac:dyDescent="0.3">
      <c r="A1910" s="733" t="s">
        <v>2128</v>
      </c>
      <c r="B1910" s="733" t="s">
        <v>645</v>
      </c>
      <c r="C1910" s="733" t="s">
        <v>2140</v>
      </c>
      <c r="D1910" s="733" t="s">
        <v>21</v>
      </c>
      <c r="E1910" s="761"/>
      <c r="F1910" s="761"/>
      <c r="G1910" s="733"/>
      <c r="H1910" s="733"/>
      <c r="I1910" s="733"/>
      <c r="J1910" s="733"/>
      <c r="K1910" s="733"/>
      <c r="L1910" s="733"/>
      <c r="M1910" s="733"/>
    </row>
    <row r="1911" spans="1:13" x14ac:dyDescent="0.3">
      <c r="A1911" s="733" t="s">
        <v>2128</v>
      </c>
      <c r="B1911" s="733" t="s">
        <v>664</v>
      </c>
      <c r="C1911" s="737" t="s">
        <v>2141</v>
      </c>
      <c r="D1911" s="733" t="s">
        <v>21</v>
      </c>
      <c r="E1911" s="761"/>
      <c r="F1911" s="761"/>
      <c r="G1911" s="733"/>
      <c r="H1911" s="733"/>
      <c r="I1911" s="733"/>
      <c r="J1911" s="733"/>
      <c r="K1911" s="733"/>
      <c r="L1911" s="733"/>
      <c r="M1911" s="733"/>
    </row>
    <row r="1912" spans="1:13" x14ac:dyDescent="0.3">
      <c r="A1912" s="733" t="s">
        <v>2128</v>
      </c>
      <c r="B1912" s="733" t="s">
        <v>664</v>
      </c>
      <c r="C1912" s="737" t="s">
        <v>2142</v>
      </c>
      <c r="D1912" s="733" t="s">
        <v>21</v>
      </c>
      <c r="E1912" s="761"/>
      <c r="F1912" s="761"/>
      <c r="G1912" s="733"/>
      <c r="H1912" s="733"/>
      <c r="I1912" s="733"/>
      <c r="J1912" s="733"/>
      <c r="K1912" s="733"/>
      <c r="L1912" s="733"/>
      <c r="M1912" s="733"/>
    </row>
    <row r="1913" spans="1:13" x14ac:dyDescent="0.3">
      <c r="A1913" s="733" t="s">
        <v>2128</v>
      </c>
      <c r="B1913" s="733" t="s">
        <v>664</v>
      </c>
      <c r="C1913" s="737" t="s">
        <v>2143</v>
      </c>
      <c r="D1913" s="733" t="s">
        <v>21</v>
      </c>
      <c r="E1913" s="761"/>
      <c r="F1913" s="761"/>
      <c r="G1913" s="733"/>
      <c r="H1913" s="733"/>
      <c r="I1913" s="733"/>
      <c r="J1913" s="733"/>
      <c r="K1913" s="733"/>
      <c r="L1913" s="733"/>
      <c r="M1913" s="733"/>
    </row>
    <row r="1914" spans="1:13" x14ac:dyDescent="0.3">
      <c r="A1914" s="733" t="s">
        <v>2128</v>
      </c>
      <c r="B1914" s="733" t="s">
        <v>664</v>
      </c>
      <c r="C1914" s="737" t="s">
        <v>2144</v>
      </c>
      <c r="D1914" s="733" t="s">
        <v>21</v>
      </c>
      <c r="E1914" s="761"/>
      <c r="F1914" s="761"/>
      <c r="G1914" s="733"/>
      <c r="H1914" s="733"/>
      <c r="I1914" s="733"/>
      <c r="J1914" s="733"/>
      <c r="K1914" s="733"/>
      <c r="L1914" s="733"/>
      <c r="M1914" s="733"/>
    </row>
    <row r="1915" spans="1:13" x14ac:dyDescent="0.3">
      <c r="A1915" s="733" t="s">
        <v>2128</v>
      </c>
      <c r="B1915" s="733" t="s">
        <v>664</v>
      </c>
      <c r="C1915" s="737" t="s">
        <v>2145</v>
      </c>
      <c r="D1915" s="733" t="s">
        <v>21</v>
      </c>
      <c r="E1915" s="761"/>
      <c r="F1915" s="761"/>
      <c r="G1915" s="733"/>
      <c r="H1915" s="733"/>
      <c r="I1915" s="733"/>
      <c r="J1915" s="733"/>
      <c r="K1915" s="733"/>
      <c r="L1915" s="733"/>
      <c r="M1915" s="733"/>
    </row>
    <row r="1916" spans="1:13" x14ac:dyDescent="0.3">
      <c r="A1916" s="733" t="s">
        <v>2146</v>
      </c>
      <c r="B1916" s="733" t="s">
        <v>612</v>
      </c>
      <c r="C1916" s="733" t="s">
        <v>2147</v>
      </c>
      <c r="D1916" s="733" t="s">
        <v>21</v>
      </c>
      <c r="E1916" s="761"/>
      <c r="F1916" s="761"/>
      <c r="G1916" s="733"/>
      <c r="H1916" s="733"/>
      <c r="I1916" s="733"/>
      <c r="J1916" s="733"/>
      <c r="K1916" s="733"/>
      <c r="L1916" s="733"/>
      <c r="M1916" s="733"/>
    </row>
    <row r="1917" spans="1:13" x14ac:dyDescent="0.3">
      <c r="A1917" s="733" t="s">
        <v>2146</v>
      </c>
      <c r="B1917" s="733" t="s">
        <v>612</v>
      </c>
      <c r="C1917" s="733" t="s">
        <v>2148</v>
      </c>
      <c r="D1917" s="733" t="s">
        <v>21</v>
      </c>
      <c r="E1917" s="761"/>
      <c r="F1917" s="761"/>
      <c r="G1917" s="733"/>
      <c r="H1917" s="733"/>
      <c r="I1917" s="733"/>
      <c r="J1917" s="733"/>
      <c r="K1917" s="733"/>
      <c r="L1917" s="733"/>
      <c r="M1917" s="733"/>
    </row>
    <row r="1918" spans="1:13" x14ac:dyDescent="0.3">
      <c r="A1918" s="733" t="s">
        <v>2146</v>
      </c>
      <c r="B1918" s="733" t="s">
        <v>612</v>
      </c>
      <c r="C1918" s="733" t="s">
        <v>2149</v>
      </c>
      <c r="D1918" s="733" t="s">
        <v>21</v>
      </c>
      <c r="E1918" s="761"/>
      <c r="F1918" s="761"/>
      <c r="G1918" s="733"/>
      <c r="H1918" s="733"/>
      <c r="I1918" s="733"/>
      <c r="J1918" s="733"/>
      <c r="K1918" s="733"/>
      <c r="L1918" s="733"/>
      <c r="M1918" s="733"/>
    </row>
    <row r="1919" spans="1:13" x14ac:dyDescent="0.3">
      <c r="A1919" s="733" t="s">
        <v>2146</v>
      </c>
      <c r="B1919" s="733" t="s">
        <v>612</v>
      </c>
      <c r="C1919" s="733" t="s">
        <v>2150</v>
      </c>
      <c r="D1919" s="733" t="s">
        <v>21</v>
      </c>
      <c r="E1919" s="761"/>
      <c r="F1919" s="761"/>
      <c r="G1919" s="733"/>
      <c r="H1919" s="733"/>
      <c r="I1919" s="733"/>
      <c r="J1919" s="733"/>
      <c r="K1919" s="733"/>
      <c r="L1919" s="733"/>
      <c r="M1919" s="733"/>
    </row>
    <row r="1920" spans="1:13" x14ac:dyDescent="0.3">
      <c r="A1920" s="733" t="s">
        <v>2146</v>
      </c>
      <c r="B1920" s="733" t="s">
        <v>612</v>
      </c>
      <c r="C1920" s="733" t="s">
        <v>2151</v>
      </c>
      <c r="D1920" s="733" t="s">
        <v>21</v>
      </c>
      <c r="E1920" s="761"/>
      <c r="F1920" s="761"/>
      <c r="G1920" s="733"/>
      <c r="H1920" s="733"/>
      <c r="I1920" s="733"/>
      <c r="J1920" s="733"/>
      <c r="K1920" s="733"/>
      <c r="L1920" s="733"/>
      <c r="M1920" s="733"/>
    </row>
    <row r="1921" spans="1:13" x14ac:dyDescent="0.3">
      <c r="A1921" s="733" t="s">
        <v>2146</v>
      </c>
      <c r="B1921" s="733" t="s">
        <v>645</v>
      </c>
      <c r="C1921" s="733" t="s">
        <v>2152</v>
      </c>
      <c r="D1921" s="733" t="s">
        <v>21</v>
      </c>
      <c r="E1921" s="761"/>
      <c r="F1921" s="761"/>
      <c r="G1921" s="733"/>
      <c r="H1921" s="733"/>
      <c r="I1921" s="733"/>
      <c r="J1921" s="733"/>
      <c r="K1921" s="733"/>
      <c r="L1921" s="733"/>
      <c r="M1921" s="733"/>
    </row>
    <row r="1922" spans="1:13" x14ac:dyDescent="0.3">
      <c r="A1922" s="733" t="s">
        <v>2146</v>
      </c>
      <c r="B1922" s="733" t="s">
        <v>645</v>
      </c>
      <c r="C1922" s="733" t="s">
        <v>2153</v>
      </c>
      <c r="D1922" s="733" t="s">
        <v>21</v>
      </c>
      <c r="E1922" s="761"/>
      <c r="F1922" s="761"/>
      <c r="G1922" s="733"/>
      <c r="H1922" s="733"/>
      <c r="I1922" s="733"/>
      <c r="J1922" s="733"/>
      <c r="K1922" s="733"/>
      <c r="L1922" s="733"/>
      <c r="M1922" s="733"/>
    </row>
    <row r="1923" spans="1:13" x14ac:dyDescent="0.3">
      <c r="A1923" s="733" t="s">
        <v>2146</v>
      </c>
      <c r="B1923" s="733" t="s">
        <v>645</v>
      </c>
      <c r="C1923" s="733" t="s">
        <v>2154</v>
      </c>
      <c r="D1923" s="733" t="s">
        <v>21</v>
      </c>
      <c r="E1923" s="761"/>
      <c r="F1923" s="761"/>
      <c r="G1923" s="733"/>
      <c r="H1923" s="733"/>
      <c r="I1923" s="733"/>
      <c r="J1923" s="733"/>
      <c r="K1923" s="733"/>
      <c r="L1923" s="733"/>
      <c r="M1923" s="733"/>
    </row>
    <row r="1924" spans="1:13" x14ac:dyDescent="0.3">
      <c r="A1924" s="733" t="s">
        <v>2146</v>
      </c>
      <c r="B1924" s="733" t="s">
        <v>645</v>
      </c>
      <c r="C1924" s="733" t="s">
        <v>2155</v>
      </c>
      <c r="D1924" s="733" t="s">
        <v>21</v>
      </c>
      <c r="E1924" s="761"/>
      <c r="F1924" s="761"/>
      <c r="G1924" s="733"/>
      <c r="H1924" s="733"/>
      <c r="I1924" s="733"/>
      <c r="J1924" s="733"/>
      <c r="K1924" s="733"/>
      <c r="L1924" s="733"/>
      <c r="M1924" s="733"/>
    </row>
    <row r="1925" spans="1:13" x14ac:dyDescent="0.3">
      <c r="A1925" s="733" t="s">
        <v>2146</v>
      </c>
      <c r="B1925" s="733" t="s">
        <v>645</v>
      </c>
      <c r="C1925" s="733" t="s">
        <v>2156</v>
      </c>
      <c r="D1925" s="733" t="s">
        <v>21</v>
      </c>
      <c r="E1925" s="761"/>
      <c r="F1925" s="761"/>
      <c r="G1925" s="733"/>
      <c r="H1925" s="733"/>
      <c r="I1925" s="733"/>
      <c r="J1925" s="733"/>
      <c r="K1925" s="733"/>
      <c r="L1925" s="733"/>
      <c r="M1925" s="733"/>
    </row>
    <row r="1926" spans="1:13" x14ac:dyDescent="0.3">
      <c r="A1926" s="733" t="s">
        <v>2146</v>
      </c>
      <c r="B1926" s="733" t="s">
        <v>664</v>
      </c>
      <c r="C1926" s="733" t="s">
        <v>2157</v>
      </c>
      <c r="D1926" s="733" t="s">
        <v>21</v>
      </c>
      <c r="E1926" s="761"/>
      <c r="F1926" s="761"/>
      <c r="G1926" s="733"/>
      <c r="H1926" s="733"/>
      <c r="I1926" s="733"/>
      <c r="J1926" s="733"/>
      <c r="K1926" s="733"/>
      <c r="L1926" s="733"/>
      <c r="M1926" s="733"/>
    </row>
    <row r="1927" spans="1:13" x14ac:dyDescent="0.3">
      <c r="A1927" s="733" t="s">
        <v>2146</v>
      </c>
      <c r="B1927" s="733" t="s">
        <v>664</v>
      </c>
      <c r="C1927" s="733" t="s">
        <v>2158</v>
      </c>
      <c r="D1927" s="733" t="s">
        <v>21</v>
      </c>
      <c r="E1927" s="761"/>
      <c r="F1927" s="761"/>
      <c r="G1927" s="733"/>
      <c r="H1927" s="733"/>
      <c r="I1927" s="733"/>
      <c r="J1927" s="733"/>
      <c r="K1927" s="733"/>
      <c r="L1927" s="733"/>
      <c r="M1927" s="733"/>
    </row>
    <row r="1928" spans="1:13" x14ac:dyDescent="0.3">
      <c r="A1928" s="733" t="s">
        <v>2146</v>
      </c>
      <c r="B1928" s="733" t="s">
        <v>664</v>
      </c>
      <c r="C1928" s="733" t="s">
        <v>2159</v>
      </c>
      <c r="D1928" s="733" t="s">
        <v>21</v>
      </c>
      <c r="E1928" s="761"/>
      <c r="F1928" s="761"/>
      <c r="G1928" s="733"/>
      <c r="H1928" s="733"/>
      <c r="I1928" s="733"/>
      <c r="J1928" s="733"/>
      <c r="K1928" s="733"/>
      <c r="L1928" s="733"/>
      <c r="M1928" s="733"/>
    </row>
    <row r="1929" spans="1:13" x14ac:dyDescent="0.3">
      <c r="A1929" s="733" t="s">
        <v>2146</v>
      </c>
      <c r="B1929" s="733" t="s">
        <v>664</v>
      </c>
      <c r="C1929" s="733" t="s">
        <v>2160</v>
      </c>
      <c r="D1929" s="733" t="s">
        <v>21</v>
      </c>
      <c r="E1929" s="761"/>
      <c r="F1929" s="761"/>
      <c r="G1929" s="733"/>
      <c r="H1929" s="733"/>
      <c r="I1929" s="733"/>
      <c r="J1929" s="733"/>
      <c r="K1929" s="733"/>
      <c r="L1929" s="733"/>
      <c r="M1929" s="733"/>
    </row>
    <row r="1930" spans="1:13" x14ac:dyDescent="0.3">
      <c r="A1930" s="733" t="s">
        <v>2146</v>
      </c>
      <c r="B1930" s="733" t="s">
        <v>664</v>
      </c>
      <c r="C1930" s="733" t="s">
        <v>2161</v>
      </c>
      <c r="D1930" s="733" t="s">
        <v>21</v>
      </c>
      <c r="E1930" s="761"/>
      <c r="F1930" s="761"/>
      <c r="G1930" s="733"/>
      <c r="H1930" s="733"/>
      <c r="I1930" s="733"/>
      <c r="J1930" s="733"/>
      <c r="K1930" s="733"/>
      <c r="L1930" s="733"/>
      <c r="M1930" s="733"/>
    </row>
    <row r="1931" spans="1:13" x14ac:dyDescent="0.3">
      <c r="A1931" s="733" t="s">
        <v>2162</v>
      </c>
      <c r="B1931" s="733" t="s">
        <v>612</v>
      </c>
      <c r="C1931" s="733" t="s">
        <v>619</v>
      </c>
      <c r="D1931" s="733" t="s">
        <v>21</v>
      </c>
      <c r="E1931" s="733" t="s">
        <v>614</v>
      </c>
      <c r="F1931" s="733" t="s">
        <v>615</v>
      </c>
      <c r="G1931" s="733"/>
      <c r="H1931" s="733"/>
      <c r="I1931" s="733"/>
      <c r="J1931" s="733"/>
      <c r="K1931" s="733"/>
      <c r="L1931" s="733"/>
      <c r="M1931" s="733"/>
    </row>
    <row r="1932" spans="1:13" x14ac:dyDescent="0.3">
      <c r="A1932" s="733" t="s">
        <v>2162</v>
      </c>
      <c r="B1932" s="733" t="s">
        <v>612</v>
      </c>
      <c r="C1932" s="733" t="s">
        <v>623</v>
      </c>
      <c r="D1932" s="733" t="s">
        <v>21</v>
      </c>
      <c r="E1932" s="733" t="s">
        <v>614</v>
      </c>
      <c r="F1932" s="733" t="s">
        <v>615</v>
      </c>
      <c r="G1932" s="733"/>
      <c r="H1932" s="733"/>
      <c r="I1932" s="733"/>
      <c r="J1932" s="733"/>
      <c r="K1932" s="733"/>
      <c r="L1932" s="733"/>
      <c r="M1932" s="733"/>
    </row>
    <row r="1933" spans="1:13" x14ac:dyDescent="0.3">
      <c r="A1933" s="733" t="s">
        <v>2162</v>
      </c>
      <c r="B1933" s="733" t="s">
        <v>612</v>
      </c>
      <c r="C1933" s="733" t="s">
        <v>624</v>
      </c>
      <c r="D1933" s="733" t="s">
        <v>21</v>
      </c>
      <c r="E1933" s="733" t="s">
        <v>614</v>
      </c>
      <c r="F1933" s="733" t="s">
        <v>615</v>
      </c>
      <c r="G1933" s="733"/>
      <c r="H1933" s="733"/>
      <c r="I1933" s="733"/>
      <c r="J1933" s="733"/>
      <c r="K1933" s="733"/>
      <c r="L1933" s="733"/>
      <c r="M1933" s="733"/>
    </row>
    <row r="1934" spans="1:13" x14ac:dyDescent="0.3">
      <c r="A1934" s="733" t="s">
        <v>2162</v>
      </c>
      <c r="B1934" s="733" t="s">
        <v>612</v>
      </c>
      <c r="C1934" s="733" t="s">
        <v>2163</v>
      </c>
      <c r="D1934" s="733" t="s">
        <v>21</v>
      </c>
      <c r="E1934" s="733" t="s">
        <v>614</v>
      </c>
      <c r="F1934" s="733" t="s">
        <v>615</v>
      </c>
      <c r="G1934" s="733"/>
      <c r="H1934" s="733"/>
      <c r="I1934" s="733"/>
      <c r="J1934" s="733"/>
      <c r="K1934" s="733"/>
      <c r="L1934" s="733"/>
      <c r="M1934" s="733"/>
    </row>
    <row r="1935" spans="1:13" x14ac:dyDescent="0.3">
      <c r="A1935" s="733" t="s">
        <v>2162</v>
      </c>
      <c r="B1935" s="733" t="s">
        <v>612</v>
      </c>
      <c r="C1935" s="733" t="s">
        <v>633</v>
      </c>
      <c r="D1935" s="733" t="s">
        <v>21</v>
      </c>
      <c r="E1935" s="733" t="s">
        <v>614</v>
      </c>
      <c r="F1935" s="733" t="s">
        <v>615</v>
      </c>
      <c r="G1935" s="733"/>
      <c r="H1935" s="733"/>
      <c r="I1935" s="733"/>
      <c r="J1935" s="733"/>
      <c r="K1935" s="733"/>
      <c r="L1935" s="733"/>
      <c r="M1935" s="733"/>
    </row>
    <row r="1936" spans="1:13" x14ac:dyDescent="0.3">
      <c r="A1936" s="733" t="s">
        <v>2162</v>
      </c>
      <c r="B1936" s="733" t="s">
        <v>612</v>
      </c>
      <c r="C1936" s="733" t="s">
        <v>641</v>
      </c>
      <c r="D1936" s="733" t="s">
        <v>21</v>
      </c>
      <c r="E1936" s="733" t="s">
        <v>614</v>
      </c>
      <c r="F1936" s="733" t="s">
        <v>615</v>
      </c>
      <c r="G1936" s="733"/>
      <c r="H1936" s="733"/>
      <c r="I1936" s="733"/>
      <c r="J1936" s="733"/>
      <c r="K1936" s="733"/>
      <c r="L1936" s="733"/>
      <c r="M1936" s="733"/>
    </row>
    <row r="1937" spans="1:13" x14ac:dyDescent="0.3">
      <c r="A1937" s="733" t="s">
        <v>2162</v>
      </c>
      <c r="B1937" s="733" t="s">
        <v>612</v>
      </c>
      <c r="C1937" s="733" t="s">
        <v>643</v>
      </c>
      <c r="D1937" s="733" t="s">
        <v>21</v>
      </c>
      <c r="E1937" s="733" t="s">
        <v>614</v>
      </c>
      <c r="F1937" s="733" t="s">
        <v>615</v>
      </c>
      <c r="G1937" s="733"/>
      <c r="H1937" s="733"/>
      <c r="I1937" s="733"/>
      <c r="J1937" s="733"/>
      <c r="K1937" s="733"/>
      <c r="L1937" s="733"/>
      <c r="M1937" s="733"/>
    </row>
    <row r="1938" spans="1:13" x14ac:dyDescent="0.3">
      <c r="A1938" s="733" t="s">
        <v>2162</v>
      </c>
      <c r="B1938" s="733" t="s">
        <v>612</v>
      </c>
      <c r="C1938" s="733" t="s">
        <v>766</v>
      </c>
      <c r="D1938" s="733" t="s">
        <v>21</v>
      </c>
      <c r="E1938" s="733" t="s">
        <v>614</v>
      </c>
      <c r="F1938" s="733" t="s">
        <v>615</v>
      </c>
      <c r="G1938" s="733"/>
      <c r="H1938" s="733"/>
      <c r="I1938" s="733"/>
      <c r="J1938" s="733"/>
      <c r="K1938" s="733"/>
      <c r="L1938" s="733"/>
      <c r="M1938" s="733"/>
    </row>
    <row r="1939" spans="1:13" x14ac:dyDescent="0.3">
      <c r="A1939" s="733" t="s">
        <v>2164</v>
      </c>
      <c r="B1939" s="733" t="s">
        <v>612</v>
      </c>
      <c r="C1939" s="733" t="s">
        <v>2165</v>
      </c>
      <c r="D1939" s="733" t="s">
        <v>21</v>
      </c>
      <c r="E1939" s="733" t="s">
        <v>614</v>
      </c>
      <c r="F1939" s="733" t="s">
        <v>615</v>
      </c>
      <c r="G1939" s="733"/>
      <c r="H1939" s="733"/>
      <c r="I1939" s="733"/>
      <c r="J1939" s="733"/>
      <c r="K1939" s="733"/>
      <c r="L1939" s="733"/>
      <c r="M1939" s="733"/>
    </row>
    <row r="1940" spans="1:13" x14ac:dyDescent="0.3">
      <c r="A1940" s="733" t="s">
        <v>2164</v>
      </c>
      <c r="B1940" s="733" t="s">
        <v>612</v>
      </c>
      <c r="C1940" s="733" t="s">
        <v>619</v>
      </c>
      <c r="D1940" s="733" t="s">
        <v>21</v>
      </c>
      <c r="E1940" s="733" t="s">
        <v>614</v>
      </c>
      <c r="F1940" s="733" t="s">
        <v>615</v>
      </c>
      <c r="G1940" s="733"/>
      <c r="H1940" s="733"/>
      <c r="I1940" s="733"/>
      <c r="J1940" s="733"/>
      <c r="K1940" s="733"/>
      <c r="L1940" s="733"/>
      <c r="M1940" s="733"/>
    </row>
    <row r="1941" spans="1:13" x14ac:dyDescent="0.3">
      <c r="A1941" s="733" t="s">
        <v>2164</v>
      </c>
      <c r="B1941" s="733" t="s">
        <v>612</v>
      </c>
      <c r="C1941" s="733" t="s">
        <v>625</v>
      </c>
      <c r="D1941" s="733" t="s">
        <v>21</v>
      </c>
      <c r="E1941" s="733" t="s">
        <v>614</v>
      </c>
      <c r="F1941" s="733" t="s">
        <v>615</v>
      </c>
      <c r="G1941" s="733"/>
      <c r="H1941" s="733"/>
      <c r="I1941" s="733"/>
      <c r="J1941" s="733"/>
      <c r="K1941" s="733"/>
      <c r="L1941" s="733"/>
      <c r="M1941" s="733"/>
    </row>
    <row r="1942" spans="1:13" x14ac:dyDescent="0.3">
      <c r="A1942" s="733" t="s">
        <v>2164</v>
      </c>
      <c r="B1942" s="733" t="s">
        <v>612</v>
      </c>
      <c r="C1942" s="733" t="s">
        <v>641</v>
      </c>
      <c r="D1942" s="733" t="s">
        <v>21</v>
      </c>
      <c r="E1942" s="733" t="s">
        <v>614</v>
      </c>
      <c r="F1942" s="733" t="s">
        <v>615</v>
      </c>
      <c r="G1942" s="733"/>
      <c r="H1942" s="733"/>
      <c r="I1942" s="733"/>
      <c r="J1942" s="733"/>
      <c r="K1942" s="733"/>
      <c r="L1942" s="733"/>
      <c r="M1942" s="733"/>
    </row>
    <row r="1943" spans="1:13" x14ac:dyDescent="0.3">
      <c r="A1943" s="733" t="s">
        <v>2164</v>
      </c>
      <c r="B1943" s="733" t="s">
        <v>612</v>
      </c>
      <c r="C1943" s="733" t="s">
        <v>766</v>
      </c>
      <c r="D1943" s="733" t="s">
        <v>21</v>
      </c>
      <c r="E1943" s="733" t="s">
        <v>614</v>
      </c>
      <c r="F1943" s="733" t="s">
        <v>615</v>
      </c>
      <c r="G1943" s="733"/>
      <c r="H1943" s="733"/>
      <c r="I1943" s="733"/>
      <c r="J1943" s="733"/>
      <c r="K1943" s="733"/>
      <c r="L1943" s="733"/>
      <c r="M1943" s="733"/>
    </row>
    <row r="1944" spans="1:13" x14ac:dyDescent="0.3">
      <c r="A1944" s="733" t="s">
        <v>2164</v>
      </c>
      <c r="B1944" s="733" t="s">
        <v>645</v>
      </c>
      <c r="C1944" s="733" t="s">
        <v>653</v>
      </c>
      <c r="D1944" s="733" t="s">
        <v>21</v>
      </c>
      <c r="E1944" s="733" t="s">
        <v>614</v>
      </c>
      <c r="F1944" s="733" t="s">
        <v>615</v>
      </c>
      <c r="G1944" s="733"/>
      <c r="H1944" s="733"/>
      <c r="I1944" s="733"/>
      <c r="J1944" s="733"/>
      <c r="K1944" s="733"/>
      <c r="L1944" s="733"/>
      <c r="M1944" s="733"/>
    </row>
    <row r="1945" spans="1:13" x14ac:dyDescent="0.3">
      <c r="A1945" s="733" t="s">
        <v>2164</v>
      </c>
      <c r="B1945" s="733" t="s">
        <v>645</v>
      </c>
      <c r="C1945" s="733" t="s">
        <v>2166</v>
      </c>
      <c r="D1945" s="733" t="s">
        <v>21</v>
      </c>
      <c r="E1945" s="733" t="s">
        <v>614</v>
      </c>
      <c r="F1945" s="733" t="s">
        <v>615</v>
      </c>
      <c r="G1945" s="733"/>
      <c r="H1945" s="733"/>
      <c r="I1945" s="733"/>
      <c r="J1945" s="733"/>
      <c r="K1945" s="733"/>
      <c r="L1945" s="733"/>
      <c r="M1945" s="733"/>
    </row>
    <row r="1946" spans="1:13" x14ac:dyDescent="0.3">
      <c r="A1946" s="733" t="s">
        <v>2164</v>
      </c>
      <c r="B1946" s="733" t="s">
        <v>645</v>
      </c>
      <c r="C1946" s="733" t="s">
        <v>2167</v>
      </c>
      <c r="D1946" s="733" t="s">
        <v>21</v>
      </c>
      <c r="E1946" s="733" t="s">
        <v>614</v>
      </c>
      <c r="F1946" s="733" t="s">
        <v>615</v>
      </c>
      <c r="G1946" s="733"/>
      <c r="H1946" s="733"/>
      <c r="I1946" s="733"/>
      <c r="J1946" s="733"/>
      <c r="K1946" s="733"/>
      <c r="L1946" s="733"/>
      <c r="M1946" s="733"/>
    </row>
    <row r="1947" spans="1:13" x14ac:dyDescent="0.3">
      <c r="A1947" s="733" t="s">
        <v>2164</v>
      </c>
      <c r="B1947" s="733" t="s">
        <v>645</v>
      </c>
      <c r="C1947" s="733" t="s">
        <v>1117</v>
      </c>
      <c r="D1947" s="733" t="s">
        <v>21</v>
      </c>
      <c r="E1947" s="733" t="s">
        <v>614</v>
      </c>
      <c r="F1947" s="733" t="s">
        <v>615</v>
      </c>
      <c r="G1947" s="733"/>
      <c r="H1947" s="733"/>
      <c r="I1947" s="733"/>
      <c r="J1947" s="733"/>
      <c r="K1947" s="733"/>
      <c r="L1947" s="733"/>
      <c r="M1947" s="733"/>
    </row>
    <row r="1948" spans="1:13" x14ac:dyDescent="0.3">
      <c r="A1948" s="733" t="s">
        <v>2164</v>
      </c>
      <c r="B1948" s="733" t="s">
        <v>645</v>
      </c>
      <c r="C1948" s="733" t="s">
        <v>2168</v>
      </c>
      <c r="D1948" s="733" t="s">
        <v>21</v>
      </c>
      <c r="E1948" s="733" t="s">
        <v>614</v>
      </c>
      <c r="F1948" s="733" t="s">
        <v>615</v>
      </c>
      <c r="G1948" s="733"/>
      <c r="H1948" s="733"/>
      <c r="I1948" s="733"/>
      <c r="J1948" s="733"/>
      <c r="K1948" s="733"/>
      <c r="L1948" s="733"/>
      <c r="M1948" s="733"/>
    </row>
    <row r="1949" spans="1:13" x14ac:dyDescent="0.3">
      <c r="A1949" s="733" t="s">
        <v>2164</v>
      </c>
      <c r="B1949" s="733" t="s">
        <v>645</v>
      </c>
      <c r="C1949" s="733" t="s">
        <v>662</v>
      </c>
      <c r="D1949" s="733" t="s">
        <v>21</v>
      </c>
      <c r="E1949" s="733" t="s">
        <v>614</v>
      </c>
      <c r="F1949" s="733" t="s">
        <v>615</v>
      </c>
      <c r="G1949" s="733"/>
      <c r="H1949" s="733"/>
      <c r="I1949" s="733"/>
      <c r="J1949" s="733"/>
      <c r="K1949" s="733"/>
      <c r="L1949" s="733"/>
      <c r="M1949" s="733"/>
    </row>
    <row r="1950" spans="1:13" x14ac:dyDescent="0.3">
      <c r="A1950" s="733" t="s">
        <v>2164</v>
      </c>
      <c r="B1950" s="733" t="s">
        <v>645</v>
      </c>
      <c r="C1950" s="733" t="s">
        <v>663</v>
      </c>
      <c r="D1950" s="733" t="s">
        <v>21</v>
      </c>
      <c r="E1950" s="733" t="s">
        <v>614</v>
      </c>
      <c r="F1950" s="733" t="s">
        <v>615</v>
      </c>
      <c r="G1950" s="733"/>
      <c r="H1950" s="733"/>
      <c r="I1950" s="733"/>
      <c r="J1950" s="733"/>
      <c r="K1950" s="733"/>
      <c r="L1950" s="733"/>
      <c r="M1950" s="733"/>
    </row>
    <row r="1951" spans="1:13" x14ac:dyDescent="0.3">
      <c r="A1951" s="733" t="s">
        <v>2164</v>
      </c>
      <c r="B1951" s="733" t="s">
        <v>664</v>
      </c>
      <c r="C1951" s="733" t="s">
        <v>2169</v>
      </c>
      <c r="D1951" s="733" t="s">
        <v>21</v>
      </c>
      <c r="E1951" s="733" t="s">
        <v>614</v>
      </c>
      <c r="F1951" s="733" t="s">
        <v>615</v>
      </c>
      <c r="G1951" s="733"/>
      <c r="H1951" s="733"/>
      <c r="I1951" s="733"/>
      <c r="J1951" s="733"/>
      <c r="K1951" s="733"/>
      <c r="L1951" s="733"/>
      <c r="M1951" s="733"/>
    </row>
    <row r="1952" spans="1:13" x14ac:dyDescent="0.3">
      <c r="A1952" s="733" t="s">
        <v>2164</v>
      </c>
      <c r="B1952" s="733" t="s">
        <v>664</v>
      </c>
      <c r="C1952" s="733" t="s">
        <v>2170</v>
      </c>
      <c r="D1952" s="733" t="s">
        <v>21</v>
      </c>
      <c r="E1952" s="733" t="s">
        <v>614</v>
      </c>
      <c r="F1952" s="733" t="s">
        <v>615</v>
      </c>
      <c r="G1952" s="733"/>
      <c r="H1952" s="733"/>
      <c r="I1952" s="733"/>
      <c r="J1952" s="733"/>
      <c r="K1952" s="733"/>
      <c r="L1952" s="733"/>
      <c r="M1952" s="733"/>
    </row>
    <row r="1953" spans="1:13" x14ac:dyDescent="0.3">
      <c r="A1953" s="733" t="s">
        <v>2164</v>
      </c>
      <c r="B1953" s="733" t="s">
        <v>664</v>
      </c>
      <c r="C1953" s="733" t="s">
        <v>2171</v>
      </c>
      <c r="D1953" s="733" t="s">
        <v>21</v>
      </c>
      <c r="E1953" s="733" t="s">
        <v>614</v>
      </c>
      <c r="F1953" s="733" t="s">
        <v>615</v>
      </c>
      <c r="G1953" s="733"/>
      <c r="H1953" s="733"/>
      <c r="I1953" s="733"/>
      <c r="J1953" s="733"/>
      <c r="K1953" s="733"/>
      <c r="L1953" s="733"/>
      <c r="M1953" s="733"/>
    </row>
    <row r="1954" spans="1:13" x14ac:dyDescent="0.3">
      <c r="A1954" s="733" t="s">
        <v>2172</v>
      </c>
      <c r="B1954" s="733" t="s">
        <v>612</v>
      </c>
      <c r="C1954" s="733" t="s">
        <v>1241</v>
      </c>
      <c r="D1954" s="733" t="s">
        <v>21</v>
      </c>
      <c r="E1954" s="733" t="s">
        <v>614</v>
      </c>
      <c r="F1954" s="733" t="s">
        <v>615</v>
      </c>
      <c r="G1954" s="733"/>
      <c r="H1954" s="733"/>
      <c r="I1954" s="733"/>
      <c r="J1954" s="733"/>
      <c r="K1954" s="733"/>
      <c r="L1954" s="733"/>
      <c r="M1954" s="733"/>
    </row>
    <row r="1955" spans="1:13" x14ac:dyDescent="0.3">
      <c r="A1955" s="733" t="s">
        <v>2172</v>
      </c>
      <c r="B1955" s="733" t="s">
        <v>612</v>
      </c>
      <c r="C1955" s="733" t="s">
        <v>2173</v>
      </c>
      <c r="D1955" s="733" t="s">
        <v>21</v>
      </c>
      <c r="E1955" s="733" t="s">
        <v>614</v>
      </c>
      <c r="F1955" s="733" t="s">
        <v>615</v>
      </c>
      <c r="G1955" s="733"/>
      <c r="H1955" s="733"/>
      <c r="I1955" s="733"/>
      <c r="J1955" s="733"/>
      <c r="K1955" s="733"/>
      <c r="L1955" s="733"/>
      <c r="M1955" s="733"/>
    </row>
    <row r="1956" spans="1:13" x14ac:dyDescent="0.3">
      <c r="A1956" s="733" t="s">
        <v>2172</v>
      </c>
      <c r="B1956" s="733" t="s">
        <v>612</v>
      </c>
      <c r="C1956" s="733" t="s">
        <v>2174</v>
      </c>
      <c r="D1956" s="733" t="s">
        <v>21</v>
      </c>
      <c r="E1956" s="733" t="s">
        <v>614</v>
      </c>
      <c r="F1956" s="733" t="s">
        <v>615</v>
      </c>
      <c r="G1956" s="733"/>
      <c r="H1956" s="733"/>
      <c r="I1956" s="733"/>
      <c r="J1956" s="733"/>
      <c r="K1956" s="733"/>
      <c r="L1956" s="733"/>
      <c r="M1956" s="733"/>
    </row>
    <row r="1957" spans="1:13" x14ac:dyDescent="0.3">
      <c r="A1957" s="733" t="s">
        <v>2172</v>
      </c>
      <c r="B1957" s="733" t="s">
        <v>612</v>
      </c>
      <c r="C1957" s="733" t="s">
        <v>1441</v>
      </c>
      <c r="D1957" s="733" t="s">
        <v>21</v>
      </c>
      <c r="E1957" s="733" t="s">
        <v>614</v>
      </c>
      <c r="F1957" s="733" t="s">
        <v>615</v>
      </c>
      <c r="G1957" s="733"/>
      <c r="H1957" s="733"/>
      <c r="I1957" s="733"/>
      <c r="J1957" s="733"/>
      <c r="K1957" s="733"/>
      <c r="L1957" s="733"/>
      <c r="M1957" s="733"/>
    </row>
    <row r="1958" spans="1:13" x14ac:dyDescent="0.3">
      <c r="A1958" s="733" t="s">
        <v>2172</v>
      </c>
      <c r="B1958" s="733" t="s">
        <v>612</v>
      </c>
      <c r="C1958" s="733" t="s">
        <v>2175</v>
      </c>
      <c r="D1958" s="733" t="s">
        <v>21</v>
      </c>
      <c r="E1958" s="733" t="s">
        <v>614</v>
      </c>
      <c r="F1958" s="733" t="s">
        <v>615</v>
      </c>
      <c r="G1958" s="733"/>
      <c r="H1958" s="733"/>
      <c r="I1958" s="733"/>
      <c r="J1958" s="733"/>
      <c r="K1958" s="733"/>
      <c r="L1958" s="733"/>
      <c r="M1958" s="733"/>
    </row>
    <row r="1959" spans="1:13" x14ac:dyDescent="0.3">
      <c r="A1959" s="733" t="s">
        <v>2172</v>
      </c>
      <c r="B1959" s="733" t="s">
        <v>612</v>
      </c>
      <c r="C1959" s="733" t="s">
        <v>1445</v>
      </c>
      <c r="D1959" s="733" t="s">
        <v>21</v>
      </c>
      <c r="E1959" s="733" t="s">
        <v>614</v>
      </c>
      <c r="F1959" s="733" t="s">
        <v>615</v>
      </c>
      <c r="G1959" s="733"/>
      <c r="H1959" s="733"/>
      <c r="I1959" s="733"/>
      <c r="J1959" s="733"/>
      <c r="K1959" s="733"/>
      <c r="L1959" s="733"/>
      <c r="M1959" s="733"/>
    </row>
    <row r="1960" spans="1:13" x14ac:dyDescent="0.3">
      <c r="A1960" s="734" t="s">
        <v>2172</v>
      </c>
      <c r="B1960" s="734" t="s">
        <v>612</v>
      </c>
      <c r="C1960" s="734" t="s">
        <v>2176</v>
      </c>
      <c r="D1960" s="733" t="s">
        <v>21</v>
      </c>
      <c r="E1960" s="734" t="s">
        <v>614</v>
      </c>
      <c r="F1960" s="734" t="s">
        <v>696</v>
      </c>
      <c r="G1960" s="733"/>
      <c r="H1960" s="733"/>
      <c r="I1960" s="733"/>
      <c r="J1960" s="733"/>
      <c r="K1960" s="733"/>
      <c r="L1960" s="733"/>
      <c r="M1960" s="733"/>
    </row>
    <row r="1961" spans="1:13" x14ac:dyDescent="0.3">
      <c r="A1961" s="733" t="s">
        <v>2172</v>
      </c>
      <c r="B1961" s="733" t="s">
        <v>612</v>
      </c>
      <c r="C1961" s="733" t="s">
        <v>1449</v>
      </c>
      <c r="D1961" s="733" t="s">
        <v>21</v>
      </c>
      <c r="E1961" s="733" t="s">
        <v>614</v>
      </c>
      <c r="F1961" s="733" t="s">
        <v>615</v>
      </c>
      <c r="G1961" s="733"/>
      <c r="H1961" s="733"/>
      <c r="I1961" s="733"/>
      <c r="J1961" s="733"/>
      <c r="K1961" s="733"/>
      <c r="L1961" s="733"/>
      <c r="M1961" s="733"/>
    </row>
    <row r="1962" spans="1:13" x14ac:dyDescent="0.3">
      <c r="A1962" s="733" t="s">
        <v>2172</v>
      </c>
      <c r="B1962" s="733" t="s">
        <v>612</v>
      </c>
      <c r="C1962" s="733" t="s">
        <v>1316</v>
      </c>
      <c r="D1962" s="733" t="s">
        <v>21</v>
      </c>
      <c r="E1962" s="733" t="s">
        <v>614</v>
      </c>
      <c r="F1962" s="733" t="s">
        <v>615</v>
      </c>
      <c r="G1962" s="733"/>
      <c r="H1962" s="733"/>
      <c r="I1962" s="733"/>
      <c r="J1962" s="733"/>
      <c r="K1962" s="733"/>
      <c r="L1962" s="733"/>
      <c r="M1962" s="733"/>
    </row>
    <row r="1963" spans="1:13" x14ac:dyDescent="0.3">
      <c r="A1963" s="733" t="s">
        <v>2172</v>
      </c>
      <c r="B1963" s="733" t="s">
        <v>612</v>
      </c>
      <c r="C1963" s="733" t="s">
        <v>1317</v>
      </c>
      <c r="D1963" s="733" t="s">
        <v>21</v>
      </c>
      <c r="E1963" s="733" t="s">
        <v>614</v>
      </c>
      <c r="F1963" s="733" t="s">
        <v>615</v>
      </c>
      <c r="G1963" s="733"/>
      <c r="H1963" s="733"/>
      <c r="I1963" s="733"/>
      <c r="J1963" s="733"/>
      <c r="K1963" s="733"/>
      <c r="L1963" s="733"/>
      <c r="M1963" s="733"/>
    </row>
    <row r="1964" spans="1:13" x14ac:dyDescent="0.3">
      <c r="A1964" s="733" t="s">
        <v>2172</v>
      </c>
      <c r="B1964" s="733" t="s">
        <v>612</v>
      </c>
      <c r="C1964" s="733" t="s">
        <v>2177</v>
      </c>
      <c r="D1964" s="733" t="s">
        <v>21</v>
      </c>
      <c r="E1964" s="733" t="s">
        <v>614</v>
      </c>
      <c r="F1964" s="733" t="s">
        <v>615</v>
      </c>
      <c r="G1964" s="733"/>
      <c r="H1964" s="733"/>
      <c r="I1964" s="733"/>
      <c r="J1964" s="733"/>
      <c r="K1964" s="733"/>
      <c r="L1964" s="733"/>
      <c r="M1964" s="733"/>
    </row>
    <row r="1965" spans="1:13" x14ac:dyDescent="0.3">
      <c r="A1965" s="733" t="s">
        <v>2172</v>
      </c>
      <c r="B1965" s="733" t="s">
        <v>612</v>
      </c>
      <c r="C1965" s="733" t="s">
        <v>987</v>
      </c>
      <c r="D1965" s="733" t="s">
        <v>21</v>
      </c>
      <c r="E1965" s="733" t="s">
        <v>614</v>
      </c>
      <c r="F1965" s="733" t="s">
        <v>615</v>
      </c>
      <c r="G1965" s="733"/>
      <c r="H1965" s="733"/>
      <c r="I1965" s="733"/>
      <c r="J1965" s="733"/>
      <c r="K1965" s="733"/>
      <c r="L1965" s="733"/>
      <c r="M1965" s="733"/>
    </row>
    <row r="1966" spans="1:13" x14ac:dyDescent="0.3">
      <c r="A1966" s="733" t="s">
        <v>2172</v>
      </c>
      <c r="B1966" s="733" t="s">
        <v>612</v>
      </c>
      <c r="C1966" s="733" t="s">
        <v>764</v>
      </c>
      <c r="D1966" s="733" t="s">
        <v>21</v>
      </c>
      <c r="E1966" s="733" t="s">
        <v>614</v>
      </c>
      <c r="F1966" s="733" t="s">
        <v>615</v>
      </c>
      <c r="G1966" s="733"/>
      <c r="H1966" s="733"/>
      <c r="I1966" s="733"/>
      <c r="J1966" s="733"/>
      <c r="K1966" s="733"/>
      <c r="L1966" s="733"/>
      <c r="M1966" s="733"/>
    </row>
    <row r="1967" spans="1:13" x14ac:dyDescent="0.3">
      <c r="A1967" s="733" t="s">
        <v>2172</v>
      </c>
      <c r="B1967" s="733" t="s">
        <v>612</v>
      </c>
      <c r="C1967" s="733" t="s">
        <v>1256</v>
      </c>
      <c r="D1967" s="733" t="s">
        <v>21</v>
      </c>
      <c r="E1967" s="733" t="s">
        <v>614</v>
      </c>
      <c r="F1967" s="733" t="s">
        <v>615</v>
      </c>
      <c r="G1967" s="733"/>
      <c r="H1967" s="733"/>
      <c r="I1967" s="733"/>
      <c r="J1967" s="733"/>
      <c r="K1967" s="733"/>
      <c r="L1967" s="733"/>
      <c r="M1967" s="733"/>
    </row>
    <row r="1968" spans="1:13" x14ac:dyDescent="0.3">
      <c r="A1968" s="734" t="s">
        <v>2172</v>
      </c>
      <c r="B1968" s="734" t="s">
        <v>612</v>
      </c>
      <c r="C1968" s="734" t="s">
        <v>765</v>
      </c>
      <c r="D1968" s="733" t="s">
        <v>21</v>
      </c>
      <c r="E1968" s="734" t="s">
        <v>614</v>
      </c>
      <c r="F1968" s="734" t="s">
        <v>696</v>
      </c>
      <c r="G1968" s="733"/>
      <c r="H1968" s="733"/>
      <c r="I1968" s="733"/>
      <c r="J1968" s="733"/>
      <c r="K1968" s="733"/>
      <c r="L1968" s="733"/>
      <c r="M1968" s="733"/>
    </row>
    <row r="1969" spans="1:13" x14ac:dyDescent="0.3">
      <c r="A1969" s="733" t="s">
        <v>2172</v>
      </c>
      <c r="B1969" s="733" t="s">
        <v>612</v>
      </c>
      <c r="C1969" s="733" t="s">
        <v>1320</v>
      </c>
      <c r="D1969" s="733" t="s">
        <v>21</v>
      </c>
      <c r="E1969" s="733" t="s">
        <v>614</v>
      </c>
      <c r="F1969" s="733" t="s">
        <v>615</v>
      </c>
      <c r="G1969" s="733"/>
      <c r="H1969" s="733"/>
      <c r="I1969" s="733"/>
      <c r="J1969" s="733"/>
      <c r="K1969" s="733"/>
      <c r="L1969" s="733"/>
      <c r="M1969" s="733"/>
    </row>
    <row r="1970" spans="1:13" x14ac:dyDescent="0.3">
      <c r="A1970" s="733" t="s">
        <v>2172</v>
      </c>
      <c r="B1970" s="733" t="s">
        <v>612</v>
      </c>
      <c r="C1970" s="733" t="s">
        <v>1243</v>
      </c>
      <c r="D1970" s="733" t="s">
        <v>21</v>
      </c>
      <c r="E1970" s="733" t="s">
        <v>614</v>
      </c>
      <c r="F1970" s="733" t="s">
        <v>615</v>
      </c>
      <c r="G1970" s="733"/>
      <c r="H1970" s="733"/>
      <c r="I1970" s="733"/>
      <c r="J1970" s="733"/>
      <c r="K1970" s="733"/>
      <c r="L1970" s="733"/>
      <c r="M1970" s="733"/>
    </row>
    <row r="1971" spans="1:13" x14ac:dyDescent="0.3">
      <c r="A1971" s="733" t="s">
        <v>2172</v>
      </c>
      <c r="B1971" s="733" t="s">
        <v>612</v>
      </c>
      <c r="C1971" s="733" t="s">
        <v>992</v>
      </c>
      <c r="D1971" s="733" t="s">
        <v>21</v>
      </c>
      <c r="E1971" s="733" t="s">
        <v>614</v>
      </c>
      <c r="F1971" s="733" t="s">
        <v>615</v>
      </c>
      <c r="G1971" s="733"/>
      <c r="H1971" s="733"/>
      <c r="I1971" s="733"/>
      <c r="J1971" s="733"/>
      <c r="K1971" s="733"/>
      <c r="L1971" s="733"/>
      <c r="M1971" s="733"/>
    </row>
    <row r="1972" spans="1:13" x14ac:dyDescent="0.3">
      <c r="A1972" s="733" t="s">
        <v>2172</v>
      </c>
      <c r="B1972" s="733" t="s">
        <v>612</v>
      </c>
      <c r="C1972" s="733" t="s">
        <v>2178</v>
      </c>
      <c r="D1972" s="733" t="s">
        <v>21</v>
      </c>
      <c r="E1972" s="733" t="s">
        <v>614</v>
      </c>
      <c r="F1972" s="733" t="s">
        <v>615</v>
      </c>
      <c r="G1972" s="733"/>
      <c r="H1972" s="733"/>
      <c r="I1972" s="733"/>
      <c r="J1972" s="733"/>
      <c r="K1972" s="733"/>
      <c r="L1972" s="733"/>
      <c r="M1972" s="733"/>
    </row>
    <row r="1973" spans="1:13" x14ac:dyDescent="0.3">
      <c r="A1973" s="734" t="s">
        <v>2172</v>
      </c>
      <c r="B1973" s="734" t="s">
        <v>645</v>
      </c>
      <c r="C1973" s="734" t="s">
        <v>2179</v>
      </c>
      <c r="D1973" s="733" t="s">
        <v>21</v>
      </c>
      <c r="E1973" s="734" t="s">
        <v>614</v>
      </c>
      <c r="F1973" s="734" t="s">
        <v>736</v>
      </c>
      <c r="G1973" s="733"/>
      <c r="H1973" s="733"/>
      <c r="I1973" s="733"/>
      <c r="J1973" s="733"/>
      <c r="K1973" s="733"/>
      <c r="L1973" s="733"/>
      <c r="M1973" s="733"/>
    </row>
    <row r="1974" spans="1:13" x14ac:dyDescent="0.3">
      <c r="A1974" s="733" t="s">
        <v>2172</v>
      </c>
      <c r="B1974" s="733" t="s">
        <v>645</v>
      </c>
      <c r="C1974" s="733" t="s">
        <v>2180</v>
      </c>
      <c r="D1974" s="733" t="s">
        <v>21</v>
      </c>
      <c r="E1974" s="733" t="s">
        <v>614</v>
      </c>
      <c r="F1974" s="733" t="s">
        <v>615</v>
      </c>
      <c r="G1974" s="733"/>
      <c r="H1974" s="733"/>
      <c r="I1974" s="733"/>
      <c r="J1974" s="733"/>
      <c r="K1974" s="733"/>
      <c r="L1974" s="733"/>
      <c r="M1974" s="733"/>
    </row>
    <row r="1975" spans="1:13" x14ac:dyDescent="0.3">
      <c r="A1975" s="733" t="s">
        <v>2172</v>
      </c>
      <c r="B1975" s="733" t="s">
        <v>645</v>
      </c>
      <c r="C1975" s="733" t="s">
        <v>2181</v>
      </c>
      <c r="D1975" s="733" t="s">
        <v>21</v>
      </c>
      <c r="E1975" s="733" t="s">
        <v>614</v>
      </c>
      <c r="F1975" s="733" t="s">
        <v>615</v>
      </c>
      <c r="G1975" s="733"/>
      <c r="H1975" s="733"/>
      <c r="I1975" s="733"/>
      <c r="J1975" s="733"/>
      <c r="K1975" s="733"/>
      <c r="L1975" s="733"/>
      <c r="M1975" s="733"/>
    </row>
    <row r="1976" spans="1:13" x14ac:dyDescent="0.3">
      <c r="A1976" s="734" t="s">
        <v>2172</v>
      </c>
      <c r="B1976" s="734" t="s">
        <v>645</v>
      </c>
      <c r="C1976" s="734" t="s">
        <v>2182</v>
      </c>
      <c r="D1976" s="733" t="s">
        <v>21</v>
      </c>
      <c r="E1976" s="734" t="s">
        <v>614</v>
      </c>
      <c r="F1976" s="734" t="s">
        <v>736</v>
      </c>
      <c r="G1976" s="733"/>
      <c r="H1976" s="733"/>
      <c r="I1976" s="733"/>
      <c r="J1976" s="733"/>
      <c r="K1976" s="733"/>
      <c r="L1976" s="733"/>
      <c r="M1976" s="733"/>
    </row>
    <row r="1977" spans="1:13" x14ac:dyDescent="0.3">
      <c r="A1977" s="733" t="s">
        <v>2172</v>
      </c>
      <c r="B1977" s="733" t="s">
        <v>645</v>
      </c>
      <c r="C1977" s="733" t="s">
        <v>2183</v>
      </c>
      <c r="D1977" s="733" t="s">
        <v>21</v>
      </c>
      <c r="E1977" s="733" t="s">
        <v>614</v>
      </c>
      <c r="F1977" s="733" t="s">
        <v>615</v>
      </c>
      <c r="G1977" s="733"/>
      <c r="H1977" s="733"/>
      <c r="I1977" s="733"/>
      <c r="J1977" s="733"/>
      <c r="K1977" s="733"/>
      <c r="L1977" s="733"/>
      <c r="M1977" s="733"/>
    </row>
    <row r="1978" spans="1:13" x14ac:dyDescent="0.3">
      <c r="A1978" s="733" t="s">
        <v>2172</v>
      </c>
      <c r="B1978" s="733" t="s">
        <v>645</v>
      </c>
      <c r="C1978" s="733" t="s">
        <v>2184</v>
      </c>
      <c r="D1978" s="733" t="s">
        <v>21</v>
      </c>
      <c r="E1978" s="733" t="s">
        <v>614</v>
      </c>
      <c r="F1978" s="733" t="s">
        <v>615</v>
      </c>
      <c r="G1978" s="733"/>
      <c r="H1978" s="733"/>
      <c r="I1978" s="733"/>
      <c r="J1978" s="733"/>
      <c r="K1978" s="733"/>
      <c r="L1978" s="733"/>
      <c r="M1978" s="733"/>
    </row>
    <row r="1979" spans="1:13" x14ac:dyDescent="0.3">
      <c r="A1979" s="733" t="s">
        <v>2172</v>
      </c>
      <c r="B1979" s="733" t="s">
        <v>645</v>
      </c>
      <c r="C1979" s="733" t="s">
        <v>2185</v>
      </c>
      <c r="D1979" s="733" t="s">
        <v>21</v>
      </c>
      <c r="E1979" s="733" t="s">
        <v>614</v>
      </c>
      <c r="F1979" s="733" t="s">
        <v>615</v>
      </c>
      <c r="G1979" s="733"/>
      <c r="H1979" s="733"/>
      <c r="I1979" s="733"/>
      <c r="J1979" s="733"/>
      <c r="K1979" s="733"/>
      <c r="L1979" s="733"/>
      <c r="M1979" s="733"/>
    </row>
    <row r="1980" spans="1:13" x14ac:dyDescent="0.3">
      <c r="A1980" s="734" t="s">
        <v>2172</v>
      </c>
      <c r="B1980" s="734" t="s">
        <v>645</v>
      </c>
      <c r="C1980" s="734" t="s">
        <v>2186</v>
      </c>
      <c r="D1980" s="733" t="s">
        <v>21</v>
      </c>
      <c r="E1980" s="734" t="s">
        <v>614</v>
      </c>
      <c r="F1980" s="734" t="s">
        <v>736</v>
      </c>
      <c r="G1980" s="733"/>
      <c r="H1980" s="733"/>
      <c r="I1980" s="733"/>
      <c r="J1980" s="733"/>
      <c r="K1980" s="733"/>
      <c r="L1980" s="733"/>
      <c r="M1980" s="733"/>
    </row>
    <row r="1981" spans="1:13" x14ac:dyDescent="0.3">
      <c r="A1981" s="733" t="s">
        <v>2172</v>
      </c>
      <c r="B1981" s="733" t="s">
        <v>645</v>
      </c>
      <c r="C1981" s="733" t="s">
        <v>2187</v>
      </c>
      <c r="D1981" s="733" t="s">
        <v>21</v>
      </c>
      <c r="E1981" s="733" t="s">
        <v>614</v>
      </c>
      <c r="F1981" s="733" t="s">
        <v>615</v>
      </c>
      <c r="G1981" s="733"/>
      <c r="H1981" s="733"/>
      <c r="I1981" s="733"/>
      <c r="J1981" s="733"/>
      <c r="K1981" s="733"/>
      <c r="L1981" s="733"/>
      <c r="M1981" s="733"/>
    </row>
    <row r="1982" spans="1:13" x14ac:dyDescent="0.3">
      <c r="A1982" s="734" t="s">
        <v>2172</v>
      </c>
      <c r="B1982" s="734" t="s">
        <v>645</v>
      </c>
      <c r="C1982" s="734" t="s">
        <v>2188</v>
      </c>
      <c r="D1982" s="733" t="s">
        <v>21</v>
      </c>
      <c r="E1982" s="734" t="s">
        <v>614</v>
      </c>
      <c r="F1982" s="734" t="s">
        <v>736</v>
      </c>
      <c r="G1982" s="733"/>
      <c r="H1982" s="733"/>
      <c r="I1982" s="733"/>
      <c r="J1982" s="733"/>
      <c r="K1982" s="733"/>
      <c r="L1982" s="733"/>
      <c r="M1982" s="733"/>
    </row>
    <row r="1983" spans="1:13" x14ac:dyDescent="0.3">
      <c r="A1983" s="733" t="s">
        <v>2172</v>
      </c>
      <c r="B1983" s="733" t="s">
        <v>645</v>
      </c>
      <c r="C1983" s="733" t="s">
        <v>2189</v>
      </c>
      <c r="D1983" s="733" t="s">
        <v>21</v>
      </c>
      <c r="E1983" s="733" t="s">
        <v>614</v>
      </c>
      <c r="F1983" s="733" t="s">
        <v>615</v>
      </c>
      <c r="G1983" s="733"/>
      <c r="H1983" s="733"/>
      <c r="I1983" s="733"/>
      <c r="J1983" s="733"/>
      <c r="K1983" s="733"/>
      <c r="L1983" s="733"/>
      <c r="M1983" s="733"/>
    </row>
    <row r="1984" spans="1:13" x14ac:dyDescent="0.3">
      <c r="A1984" s="733" t="s">
        <v>2172</v>
      </c>
      <c r="B1984" s="733" t="s">
        <v>645</v>
      </c>
      <c r="C1984" s="733" t="s">
        <v>2190</v>
      </c>
      <c r="D1984" s="733" t="s">
        <v>21</v>
      </c>
      <c r="E1984" s="733" t="s">
        <v>614</v>
      </c>
      <c r="F1984" s="733" t="s">
        <v>615</v>
      </c>
      <c r="G1984" s="733"/>
      <c r="H1984" s="733"/>
      <c r="I1984" s="733"/>
      <c r="J1984" s="733"/>
      <c r="K1984" s="733"/>
      <c r="L1984" s="733"/>
      <c r="M1984" s="733"/>
    </row>
    <row r="1985" spans="1:13" x14ac:dyDescent="0.3">
      <c r="A1985" s="733" t="s">
        <v>2172</v>
      </c>
      <c r="B1985" s="733" t="s">
        <v>645</v>
      </c>
      <c r="C1985" s="733" t="s">
        <v>2191</v>
      </c>
      <c r="D1985" s="733" t="s">
        <v>21</v>
      </c>
      <c r="E1985" s="733" t="s">
        <v>614</v>
      </c>
      <c r="F1985" s="733" t="s">
        <v>615</v>
      </c>
      <c r="G1985" s="733"/>
      <c r="H1985" s="733"/>
      <c r="I1985" s="733"/>
      <c r="J1985" s="733"/>
      <c r="K1985" s="733"/>
      <c r="L1985" s="733"/>
      <c r="M1985" s="733"/>
    </row>
    <row r="1986" spans="1:13" x14ac:dyDescent="0.3">
      <c r="A1986" s="733" t="s">
        <v>2172</v>
      </c>
      <c r="B1986" s="733" t="s">
        <v>645</v>
      </c>
      <c r="C1986" s="733" t="s">
        <v>2192</v>
      </c>
      <c r="D1986" s="733" t="s">
        <v>21</v>
      </c>
      <c r="E1986" s="733" t="s">
        <v>614</v>
      </c>
      <c r="F1986" s="733" t="s">
        <v>615</v>
      </c>
      <c r="G1986" s="733"/>
      <c r="H1986" s="733"/>
      <c r="I1986" s="733"/>
      <c r="J1986" s="733"/>
      <c r="K1986" s="733"/>
      <c r="L1986" s="733"/>
      <c r="M1986" s="733"/>
    </row>
    <row r="1987" spans="1:13" x14ac:dyDescent="0.3">
      <c r="A1987" s="733" t="s">
        <v>2172</v>
      </c>
      <c r="B1987" s="733" t="s">
        <v>664</v>
      </c>
      <c r="C1987" s="733" t="s">
        <v>2193</v>
      </c>
      <c r="D1987" s="733" t="s">
        <v>21</v>
      </c>
      <c r="E1987" s="733" t="s">
        <v>614</v>
      </c>
      <c r="F1987" s="733" t="s">
        <v>615</v>
      </c>
      <c r="G1987" s="733"/>
      <c r="H1987" s="733"/>
      <c r="I1987" s="733"/>
      <c r="J1987" s="733"/>
      <c r="K1987" s="733"/>
      <c r="L1987" s="733"/>
      <c r="M1987" s="733"/>
    </row>
    <row r="1988" spans="1:13" x14ac:dyDescent="0.3">
      <c r="A1988" s="733" t="s">
        <v>2172</v>
      </c>
      <c r="B1988" s="733" t="s">
        <v>664</v>
      </c>
      <c r="C1988" s="733" t="s">
        <v>2194</v>
      </c>
      <c r="D1988" s="733" t="s">
        <v>21</v>
      </c>
      <c r="E1988" s="733" t="s">
        <v>614</v>
      </c>
      <c r="F1988" s="733" t="s">
        <v>615</v>
      </c>
      <c r="G1988" s="733"/>
      <c r="H1988" s="733"/>
      <c r="I1988" s="733"/>
      <c r="J1988" s="733"/>
      <c r="K1988" s="733"/>
      <c r="L1988" s="733"/>
      <c r="M1988" s="733"/>
    </row>
    <row r="1989" spans="1:13" x14ac:dyDescent="0.3">
      <c r="A1989" s="733" t="s">
        <v>2172</v>
      </c>
      <c r="B1989" s="733" t="s">
        <v>664</v>
      </c>
      <c r="C1989" s="733" t="s">
        <v>1482</v>
      </c>
      <c r="D1989" s="733" t="s">
        <v>21</v>
      </c>
      <c r="E1989" s="733" t="s">
        <v>614</v>
      </c>
      <c r="F1989" s="733" t="s">
        <v>615</v>
      </c>
      <c r="G1989" s="733"/>
      <c r="H1989" s="733"/>
      <c r="I1989" s="733"/>
      <c r="J1989" s="733"/>
      <c r="K1989" s="733"/>
      <c r="L1989" s="733"/>
      <c r="M1989" s="733"/>
    </row>
    <row r="1990" spans="1:13" x14ac:dyDescent="0.3">
      <c r="A1990" s="733" t="s">
        <v>2172</v>
      </c>
      <c r="B1990" s="733" t="s">
        <v>664</v>
      </c>
      <c r="C1990" s="733" t="s">
        <v>1639</v>
      </c>
      <c r="D1990" s="733" t="s">
        <v>21</v>
      </c>
      <c r="E1990" s="733" t="s">
        <v>614</v>
      </c>
      <c r="F1990" s="733" t="s">
        <v>615</v>
      </c>
      <c r="G1990" s="733"/>
      <c r="H1990" s="733"/>
      <c r="I1990" s="733"/>
      <c r="J1990" s="733"/>
      <c r="K1990" s="733"/>
      <c r="L1990" s="733"/>
      <c r="M1990" s="733"/>
    </row>
    <row r="1991" spans="1:13" x14ac:dyDescent="0.3">
      <c r="A1991" s="733" t="s">
        <v>2172</v>
      </c>
      <c r="B1991" s="733" t="s">
        <v>664</v>
      </c>
      <c r="C1991" s="733" t="s">
        <v>1252</v>
      </c>
      <c r="D1991" s="733" t="s">
        <v>21</v>
      </c>
      <c r="E1991" s="733" t="s">
        <v>614</v>
      </c>
      <c r="F1991" s="733" t="s">
        <v>615</v>
      </c>
      <c r="G1991" s="733"/>
      <c r="H1991" s="733"/>
      <c r="I1991" s="733"/>
      <c r="J1991" s="733"/>
      <c r="K1991" s="733"/>
      <c r="L1991" s="733"/>
      <c r="M1991" s="733"/>
    </row>
    <row r="1992" spans="1:13" x14ac:dyDescent="0.3">
      <c r="A1992" s="733" t="s">
        <v>2172</v>
      </c>
      <c r="B1992" s="733" t="s">
        <v>664</v>
      </c>
      <c r="C1992" s="733" t="s">
        <v>2195</v>
      </c>
      <c r="D1992" s="733" t="s">
        <v>21</v>
      </c>
      <c r="E1992" s="733" t="s">
        <v>614</v>
      </c>
      <c r="F1992" s="733" t="s">
        <v>615</v>
      </c>
      <c r="G1992" s="733"/>
      <c r="H1992" s="733"/>
      <c r="I1992" s="733"/>
      <c r="J1992" s="733"/>
      <c r="K1992" s="733"/>
      <c r="L1992" s="733"/>
      <c r="M1992" s="733"/>
    </row>
    <row r="1993" spans="1:13" x14ac:dyDescent="0.3">
      <c r="A1993" s="733" t="s">
        <v>2172</v>
      </c>
      <c r="B1993" s="733" t="s">
        <v>664</v>
      </c>
      <c r="C1993" s="733" t="s">
        <v>2196</v>
      </c>
      <c r="D1993" s="733" t="s">
        <v>21</v>
      </c>
      <c r="E1993" s="733" t="s">
        <v>614</v>
      </c>
      <c r="F1993" s="733" t="s">
        <v>615</v>
      </c>
      <c r="G1993" s="733"/>
      <c r="H1993" s="733"/>
      <c r="I1993" s="733"/>
      <c r="J1993" s="733"/>
      <c r="K1993" s="733"/>
      <c r="L1993" s="733"/>
      <c r="M1993" s="733"/>
    </row>
    <row r="1994" spans="1:13" x14ac:dyDescent="0.3">
      <c r="A1994" s="733" t="s">
        <v>2172</v>
      </c>
      <c r="B1994" s="733" t="s">
        <v>664</v>
      </c>
      <c r="C1994" s="733" t="s">
        <v>2197</v>
      </c>
      <c r="D1994" s="733" t="s">
        <v>21</v>
      </c>
      <c r="E1994" s="733" t="s">
        <v>614</v>
      </c>
      <c r="F1994" s="733" t="s">
        <v>615</v>
      </c>
      <c r="G1994" s="733"/>
      <c r="H1994" s="733"/>
      <c r="I1994" s="733"/>
      <c r="J1994" s="733"/>
      <c r="K1994" s="733"/>
      <c r="L1994" s="733"/>
      <c r="M1994" s="733"/>
    </row>
    <row r="1995" spans="1:13" x14ac:dyDescent="0.3">
      <c r="A1995" s="733" t="s">
        <v>2198</v>
      </c>
      <c r="B1995" s="733" t="s">
        <v>612</v>
      </c>
      <c r="C1995" s="733" t="s">
        <v>1241</v>
      </c>
      <c r="D1995" s="733" t="s">
        <v>21</v>
      </c>
      <c r="E1995" s="733" t="s">
        <v>614</v>
      </c>
      <c r="F1995" s="733" t="s">
        <v>615</v>
      </c>
      <c r="G1995" s="733"/>
      <c r="H1995" s="733"/>
      <c r="I1995" s="733"/>
      <c r="J1995" s="733"/>
      <c r="K1995" s="733"/>
      <c r="L1995" s="733"/>
      <c r="M1995" s="733"/>
    </row>
    <row r="1996" spans="1:13" x14ac:dyDescent="0.3">
      <c r="A1996" s="733" t="s">
        <v>2198</v>
      </c>
      <c r="B1996" s="733" t="s">
        <v>612</v>
      </c>
      <c r="C1996" s="733" t="s">
        <v>2199</v>
      </c>
      <c r="D1996" s="733" t="s">
        <v>21</v>
      </c>
      <c r="E1996" s="733" t="s">
        <v>614</v>
      </c>
      <c r="F1996" s="733" t="s">
        <v>615</v>
      </c>
      <c r="G1996" s="733"/>
      <c r="H1996" s="733"/>
      <c r="I1996" s="733"/>
      <c r="J1996" s="733"/>
      <c r="K1996" s="733"/>
      <c r="L1996" s="733"/>
      <c r="M1996" s="733"/>
    </row>
    <row r="1997" spans="1:13" x14ac:dyDescent="0.3">
      <c r="A1997" s="733" t="s">
        <v>2198</v>
      </c>
      <c r="B1997" s="733" t="s">
        <v>612</v>
      </c>
      <c r="C1997" s="733" t="s">
        <v>2200</v>
      </c>
      <c r="D1997" s="733" t="s">
        <v>21</v>
      </c>
      <c r="E1997" s="733" t="s">
        <v>614</v>
      </c>
      <c r="F1997" s="733" t="s">
        <v>615</v>
      </c>
      <c r="G1997" s="733"/>
      <c r="H1997" s="733"/>
      <c r="I1997" s="733"/>
      <c r="J1997" s="733"/>
      <c r="K1997" s="733"/>
      <c r="L1997" s="733"/>
      <c r="M1997" s="733"/>
    </row>
    <row r="1998" spans="1:13" x14ac:dyDescent="0.3">
      <c r="A1998" s="733" t="s">
        <v>2198</v>
      </c>
      <c r="B1998" s="733" t="s">
        <v>612</v>
      </c>
      <c r="C1998" s="733" t="s">
        <v>1304</v>
      </c>
      <c r="D1998" s="733" t="s">
        <v>21</v>
      </c>
      <c r="E1998" s="733" t="s">
        <v>614</v>
      </c>
      <c r="F1998" s="733" t="s">
        <v>615</v>
      </c>
      <c r="G1998" s="733"/>
      <c r="H1998" s="733"/>
      <c r="I1998" s="733"/>
      <c r="J1998" s="733"/>
      <c r="K1998" s="733"/>
      <c r="L1998" s="733"/>
      <c r="M1998" s="733"/>
    </row>
    <row r="1999" spans="1:13" x14ac:dyDescent="0.3">
      <c r="A1999" s="733" t="s">
        <v>2198</v>
      </c>
      <c r="B1999" s="733" t="s">
        <v>612</v>
      </c>
      <c r="C1999" s="733" t="s">
        <v>2174</v>
      </c>
      <c r="D1999" s="733" t="s">
        <v>21</v>
      </c>
      <c r="E1999" s="733" t="s">
        <v>614</v>
      </c>
      <c r="F1999" s="733" t="s">
        <v>615</v>
      </c>
      <c r="G1999" s="733"/>
      <c r="H1999" s="733"/>
      <c r="I1999" s="733"/>
      <c r="J1999" s="733"/>
      <c r="K1999" s="733"/>
      <c r="L1999" s="733"/>
      <c r="M1999" s="733"/>
    </row>
    <row r="2000" spans="1:13" x14ac:dyDescent="0.3">
      <c r="A2000" s="733" t="s">
        <v>2198</v>
      </c>
      <c r="B2000" s="733" t="s">
        <v>612</v>
      </c>
      <c r="C2000" s="733" t="s">
        <v>1521</v>
      </c>
      <c r="D2000" s="733" t="s">
        <v>21</v>
      </c>
      <c r="E2000" s="733" t="s">
        <v>614</v>
      </c>
      <c r="F2000" s="733" t="s">
        <v>615</v>
      </c>
      <c r="G2000" s="733"/>
      <c r="H2000" s="733"/>
      <c r="I2000" s="733"/>
      <c r="J2000" s="733"/>
      <c r="K2000" s="733"/>
      <c r="L2000" s="733"/>
      <c r="M2000" s="733"/>
    </row>
    <row r="2001" spans="1:13" x14ac:dyDescent="0.3">
      <c r="A2001" s="733" t="s">
        <v>2198</v>
      </c>
      <c r="B2001" s="733" t="s">
        <v>612</v>
      </c>
      <c r="C2001" s="733" t="s">
        <v>2201</v>
      </c>
      <c r="D2001" s="733" t="s">
        <v>21</v>
      </c>
      <c r="E2001" s="733" t="s">
        <v>614</v>
      </c>
      <c r="F2001" s="733" t="s">
        <v>615</v>
      </c>
      <c r="G2001" s="733"/>
      <c r="H2001" s="733"/>
      <c r="I2001" s="733"/>
      <c r="J2001" s="733"/>
      <c r="K2001" s="733"/>
      <c r="L2001" s="733"/>
      <c r="M2001" s="733"/>
    </row>
    <row r="2002" spans="1:13" x14ac:dyDescent="0.3">
      <c r="A2002" s="733" t="s">
        <v>2198</v>
      </c>
      <c r="B2002" s="733" t="s">
        <v>612</v>
      </c>
      <c r="C2002" s="733" t="s">
        <v>2202</v>
      </c>
      <c r="D2002" s="733" t="s">
        <v>21</v>
      </c>
      <c r="E2002" s="733" t="s">
        <v>614</v>
      </c>
      <c r="F2002" s="733" t="s">
        <v>615</v>
      </c>
      <c r="G2002" s="733"/>
      <c r="H2002" s="733"/>
      <c r="I2002" s="733"/>
      <c r="J2002" s="733"/>
      <c r="K2002" s="733"/>
      <c r="L2002" s="733"/>
      <c r="M2002" s="733"/>
    </row>
    <row r="2003" spans="1:13" x14ac:dyDescent="0.3">
      <c r="A2003" s="734" t="s">
        <v>2198</v>
      </c>
      <c r="B2003" s="734" t="s">
        <v>612</v>
      </c>
      <c r="C2003" s="734" t="s">
        <v>2203</v>
      </c>
      <c r="D2003" s="733" t="s">
        <v>21</v>
      </c>
      <c r="E2003" s="734" t="s">
        <v>614</v>
      </c>
      <c r="F2003" s="734" t="s">
        <v>696</v>
      </c>
      <c r="G2003" s="733"/>
      <c r="H2003" s="733"/>
      <c r="I2003" s="733"/>
      <c r="J2003" s="733"/>
      <c r="K2003" s="733"/>
      <c r="L2003" s="733"/>
      <c r="M2003" s="733"/>
    </row>
    <row r="2004" spans="1:13" x14ac:dyDescent="0.3">
      <c r="A2004" s="733" t="s">
        <v>2198</v>
      </c>
      <c r="B2004" s="733" t="s">
        <v>612</v>
      </c>
      <c r="C2004" s="733" t="s">
        <v>2204</v>
      </c>
      <c r="D2004" s="733" t="s">
        <v>21</v>
      </c>
      <c r="E2004" s="733" t="s">
        <v>614</v>
      </c>
      <c r="F2004" s="733" t="s">
        <v>615</v>
      </c>
      <c r="G2004" s="733"/>
      <c r="H2004" s="733"/>
      <c r="I2004" s="733"/>
      <c r="J2004" s="733"/>
      <c r="K2004" s="733"/>
      <c r="L2004" s="733"/>
      <c r="M2004" s="733"/>
    </row>
    <row r="2005" spans="1:13" x14ac:dyDescent="0.3">
      <c r="A2005" s="733" t="s">
        <v>2198</v>
      </c>
      <c r="B2005" s="733" t="s">
        <v>612</v>
      </c>
      <c r="C2005" s="733" t="s">
        <v>2205</v>
      </c>
      <c r="D2005" s="733" t="s">
        <v>21</v>
      </c>
      <c r="E2005" s="733" t="s">
        <v>614</v>
      </c>
      <c r="F2005" s="733" t="s">
        <v>615</v>
      </c>
      <c r="G2005" s="733"/>
      <c r="H2005" s="733"/>
      <c r="I2005" s="733"/>
      <c r="J2005" s="733"/>
      <c r="K2005" s="733"/>
      <c r="L2005" s="733"/>
      <c r="M2005" s="733"/>
    </row>
    <row r="2006" spans="1:13" x14ac:dyDescent="0.3">
      <c r="A2006" s="733" t="s">
        <v>2198</v>
      </c>
      <c r="B2006" s="733" t="s">
        <v>612</v>
      </c>
      <c r="C2006" s="733" t="s">
        <v>2206</v>
      </c>
      <c r="D2006" s="733" t="s">
        <v>21</v>
      </c>
      <c r="E2006" s="733" t="s">
        <v>614</v>
      </c>
      <c r="F2006" s="733" t="s">
        <v>615</v>
      </c>
      <c r="G2006" s="733"/>
      <c r="H2006" s="733"/>
      <c r="I2006" s="733"/>
      <c r="J2006" s="733"/>
      <c r="K2006" s="733"/>
      <c r="L2006" s="733"/>
      <c r="M2006" s="733"/>
    </row>
    <row r="2007" spans="1:13" x14ac:dyDescent="0.3">
      <c r="A2007" s="733" t="s">
        <v>2198</v>
      </c>
      <c r="B2007" s="733" t="s">
        <v>612</v>
      </c>
      <c r="C2007" s="733" t="s">
        <v>987</v>
      </c>
      <c r="D2007" s="733" t="s">
        <v>21</v>
      </c>
      <c r="E2007" s="733" t="s">
        <v>614</v>
      </c>
      <c r="F2007" s="733" t="s">
        <v>615</v>
      </c>
      <c r="G2007" s="733"/>
      <c r="H2007" s="733"/>
      <c r="I2007" s="733"/>
      <c r="J2007" s="733"/>
      <c r="K2007" s="733"/>
      <c r="L2007" s="733"/>
      <c r="M2007" s="733"/>
    </row>
    <row r="2008" spans="1:13" x14ac:dyDescent="0.3">
      <c r="A2008" s="733" t="s">
        <v>2198</v>
      </c>
      <c r="B2008" s="733" t="s">
        <v>612</v>
      </c>
      <c r="C2008" s="733" t="s">
        <v>1256</v>
      </c>
      <c r="D2008" s="733" t="s">
        <v>21</v>
      </c>
      <c r="E2008" s="733" t="s">
        <v>614</v>
      </c>
      <c r="F2008" s="733" t="s">
        <v>615</v>
      </c>
      <c r="G2008" s="733"/>
      <c r="H2008" s="733"/>
      <c r="I2008" s="733"/>
      <c r="J2008" s="733"/>
      <c r="K2008" s="733"/>
      <c r="L2008" s="733"/>
      <c r="M2008" s="733"/>
    </row>
    <row r="2009" spans="1:13" x14ac:dyDescent="0.3">
      <c r="A2009" s="733" t="s">
        <v>2198</v>
      </c>
      <c r="B2009" s="733" t="s">
        <v>612</v>
      </c>
      <c r="C2009" s="733" t="s">
        <v>941</v>
      </c>
      <c r="D2009" s="733" t="s">
        <v>21</v>
      </c>
      <c r="E2009" s="733" t="s">
        <v>614</v>
      </c>
      <c r="F2009" s="733" t="s">
        <v>615</v>
      </c>
      <c r="G2009" s="733"/>
      <c r="H2009" s="733"/>
      <c r="I2009" s="733"/>
      <c r="J2009" s="733"/>
      <c r="K2009" s="733"/>
      <c r="L2009" s="733"/>
      <c r="M2009" s="733"/>
    </row>
    <row r="2010" spans="1:13" x14ac:dyDescent="0.3">
      <c r="A2010" s="733" t="s">
        <v>2198</v>
      </c>
      <c r="B2010" s="733" t="s">
        <v>612</v>
      </c>
      <c r="C2010" s="733" t="s">
        <v>1243</v>
      </c>
      <c r="D2010" s="733" t="s">
        <v>21</v>
      </c>
      <c r="E2010" s="733" t="s">
        <v>614</v>
      </c>
      <c r="F2010" s="733" t="s">
        <v>615</v>
      </c>
      <c r="G2010" s="733"/>
      <c r="H2010" s="733"/>
      <c r="I2010" s="733"/>
      <c r="J2010" s="733"/>
      <c r="K2010" s="733"/>
      <c r="L2010" s="733"/>
      <c r="M2010" s="733"/>
    </row>
    <row r="2011" spans="1:13" x14ac:dyDescent="0.3">
      <c r="A2011" s="733" t="s">
        <v>2198</v>
      </c>
      <c r="B2011" s="733" t="s">
        <v>612</v>
      </c>
      <c r="C2011" s="733" t="s">
        <v>992</v>
      </c>
      <c r="D2011" s="733" t="s">
        <v>21</v>
      </c>
      <c r="E2011" s="733" t="s">
        <v>614</v>
      </c>
      <c r="F2011" s="733" t="s">
        <v>615</v>
      </c>
      <c r="G2011" s="733"/>
      <c r="H2011" s="733"/>
      <c r="I2011" s="733"/>
      <c r="J2011" s="733"/>
      <c r="K2011" s="733"/>
      <c r="L2011" s="733"/>
      <c r="M2011" s="733"/>
    </row>
    <row r="2012" spans="1:13" x14ac:dyDescent="0.3">
      <c r="A2012" s="733" t="s">
        <v>2198</v>
      </c>
      <c r="B2012" s="733" t="s">
        <v>612</v>
      </c>
      <c r="C2012" s="733" t="s">
        <v>1672</v>
      </c>
      <c r="D2012" s="733" t="s">
        <v>21</v>
      </c>
      <c r="E2012" s="733" t="s">
        <v>614</v>
      </c>
      <c r="F2012" s="733" t="s">
        <v>615</v>
      </c>
      <c r="G2012" s="733"/>
      <c r="H2012" s="733"/>
      <c r="I2012" s="733"/>
      <c r="J2012" s="733"/>
      <c r="K2012" s="733"/>
      <c r="L2012" s="733"/>
      <c r="M2012" s="733"/>
    </row>
    <row r="2013" spans="1:13" x14ac:dyDescent="0.3">
      <c r="A2013" s="733" t="s">
        <v>2198</v>
      </c>
      <c r="B2013" s="733" t="s">
        <v>612</v>
      </c>
      <c r="C2013" s="733" t="s">
        <v>2207</v>
      </c>
      <c r="D2013" s="733" t="s">
        <v>21</v>
      </c>
      <c r="E2013" s="733" t="s">
        <v>614</v>
      </c>
      <c r="F2013" s="733" t="s">
        <v>615</v>
      </c>
      <c r="G2013" s="733"/>
      <c r="H2013" s="733"/>
      <c r="I2013" s="733"/>
      <c r="J2013" s="733"/>
      <c r="K2013" s="733"/>
      <c r="L2013" s="733"/>
      <c r="M2013" s="733"/>
    </row>
    <row r="2014" spans="1:13" x14ac:dyDescent="0.3">
      <c r="A2014" s="733" t="s">
        <v>2198</v>
      </c>
      <c r="B2014" s="733" t="s">
        <v>612</v>
      </c>
      <c r="C2014" s="733" t="s">
        <v>1458</v>
      </c>
      <c r="D2014" s="733" t="s">
        <v>21</v>
      </c>
      <c r="E2014" s="733" t="s">
        <v>614</v>
      </c>
      <c r="F2014" s="733" t="s">
        <v>615</v>
      </c>
      <c r="G2014" s="733"/>
      <c r="H2014" s="733"/>
      <c r="I2014" s="733"/>
      <c r="J2014" s="733"/>
      <c r="K2014" s="733"/>
      <c r="L2014" s="733"/>
      <c r="M2014" s="733"/>
    </row>
    <row r="2015" spans="1:13" x14ac:dyDescent="0.3">
      <c r="A2015" s="733" t="s">
        <v>2198</v>
      </c>
      <c r="B2015" s="733" t="s">
        <v>612</v>
      </c>
      <c r="C2015" s="733" t="s">
        <v>2208</v>
      </c>
      <c r="D2015" s="733" t="s">
        <v>21</v>
      </c>
      <c r="E2015" s="733" t="s">
        <v>614</v>
      </c>
      <c r="F2015" s="733" t="s">
        <v>615</v>
      </c>
      <c r="G2015" s="733"/>
      <c r="H2015" s="733"/>
      <c r="I2015" s="733"/>
      <c r="J2015" s="733"/>
      <c r="K2015" s="733"/>
      <c r="L2015" s="733"/>
      <c r="M2015" s="733"/>
    </row>
    <row r="2016" spans="1:13" x14ac:dyDescent="0.3">
      <c r="A2016" s="733" t="s">
        <v>2198</v>
      </c>
      <c r="B2016" s="733" t="s">
        <v>612</v>
      </c>
      <c r="C2016" s="733" t="s">
        <v>2209</v>
      </c>
      <c r="D2016" s="733" t="s">
        <v>21</v>
      </c>
      <c r="E2016" s="733" t="s">
        <v>614</v>
      </c>
      <c r="F2016" s="733" t="s">
        <v>615</v>
      </c>
      <c r="G2016" s="733"/>
      <c r="H2016" s="733"/>
      <c r="I2016" s="733"/>
      <c r="J2016" s="733"/>
      <c r="K2016" s="733"/>
      <c r="L2016" s="733"/>
      <c r="M2016" s="733"/>
    </row>
    <row r="2017" spans="1:13" x14ac:dyDescent="0.3">
      <c r="A2017" s="733" t="s">
        <v>2198</v>
      </c>
      <c r="B2017" s="733" t="s">
        <v>612</v>
      </c>
      <c r="C2017" s="733" t="s">
        <v>2210</v>
      </c>
      <c r="D2017" s="733" t="s">
        <v>21</v>
      </c>
      <c r="E2017" s="733" t="s">
        <v>614</v>
      </c>
      <c r="F2017" s="733" t="s">
        <v>615</v>
      </c>
      <c r="G2017" s="733"/>
      <c r="H2017" s="733"/>
      <c r="I2017" s="733"/>
      <c r="J2017" s="733"/>
      <c r="K2017" s="733"/>
      <c r="L2017" s="733"/>
      <c r="M2017" s="733"/>
    </row>
    <row r="2018" spans="1:13" x14ac:dyDescent="0.3">
      <c r="A2018" s="733" t="s">
        <v>2198</v>
      </c>
      <c r="B2018" s="733" t="s">
        <v>612</v>
      </c>
      <c r="C2018" s="733" t="s">
        <v>2211</v>
      </c>
      <c r="D2018" s="733" t="s">
        <v>21</v>
      </c>
      <c r="E2018" s="733" t="s">
        <v>614</v>
      </c>
      <c r="F2018" s="733" t="s">
        <v>615</v>
      </c>
      <c r="G2018" s="733"/>
      <c r="H2018" s="733"/>
      <c r="I2018" s="733"/>
      <c r="J2018" s="733"/>
      <c r="K2018" s="733"/>
      <c r="L2018" s="733"/>
      <c r="M2018" s="733"/>
    </row>
    <row r="2019" spans="1:13" x14ac:dyDescent="0.3">
      <c r="A2019" s="733" t="s">
        <v>2198</v>
      </c>
      <c r="B2019" s="733" t="s">
        <v>612</v>
      </c>
      <c r="C2019" s="733" t="s">
        <v>2212</v>
      </c>
      <c r="D2019" s="733" t="s">
        <v>21</v>
      </c>
      <c r="E2019" s="733" t="s">
        <v>614</v>
      </c>
      <c r="F2019" s="733" t="s">
        <v>615</v>
      </c>
      <c r="G2019" s="733"/>
      <c r="H2019" s="733"/>
      <c r="I2019" s="733"/>
      <c r="J2019" s="733"/>
      <c r="K2019" s="733"/>
      <c r="L2019" s="733"/>
      <c r="M2019" s="733"/>
    </row>
    <row r="2020" spans="1:13" x14ac:dyDescent="0.3">
      <c r="A2020" s="733" t="s">
        <v>2198</v>
      </c>
      <c r="B2020" s="733" t="s">
        <v>612</v>
      </c>
      <c r="C2020" s="733" t="s">
        <v>2213</v>
      </c>
      <c r="D2020" s="733" t="s">
        <v>21</v>
      </c>
      <c r="E2020" s="733" t="s">
        <v>614</v>
      </c>
      <c r="F2020" s="733" t="s">
        <v>615</v>
      </c>
      <c r="G2020" s="733"/>
      <c r="H2020" s="733"/>
      <c r="I2020" s="733"/>
      <c r="J2020" s="733"/>
      <c r="K2020" s="733"/>
      <c r="L2020" s="733"/>
      <c r="M2020" s="733"/>
    </row>
    <row r="2021" spans="1:13" x14ac:dyDescent="0.3">
      <c r="A2021" s="733" t="s">
        <v>2198</v>
      </c>
      <c r="B2021" s="733" t="s">
        <v>612</v>
      </c>
      <c r="C2021" s="733" t="s">
        <v>2214</v>
      </c>
      <c r="D2021" s="733" t="s">
        <v>21</v>
      </c>
      <c r="E2021" s="733" t="s">
        <v>614</v>
      </c>
      <c r="F2021" s="733" t="s">
        <v>615</v>
      </c>
      <c r="G2021" s="733"/>
      <c r="H2021" s="733"/>
      <c r="I2021" s="733"/>
      <c r="J2021" s="733"/>
      <c r="K2021" s="733"/>
      <c r="L2021" s="733"/>
      <c r="M2021" s="733"/>
    </row>
    <row r="2022" spans="1:13" x14ac:dyDescent="0.3">
      <c r="A2022" s="733" t="s">
        <v>2198</v>
      </c>
      <c r="B2022" s="733" t="s">
        <v>612</v>
      </c>
      <c r="C2022" s="733" t="s">
        <v>2215</v>
      </c>
      <c r="D2022" s="733" t="s">
        <v>21</v>
      </c>
      <c r="E2022" s="733" t="s">
        <v>614</v>
      </c>
      <c r="F2022" s="733" t="s">
        <v>615</v>
      </c>
      <c r="G2022" s="733"/>
      <c r="H2022" s="733"/>
      <c r="I2022" s="733"/>
      <c r="J2022" s="733"/>
      <c r="K2022" s="733"/>
      <c r="L2022" s="733"/>
      <c r="M2022" s="733"/>
    </row>
    <row r="2023" spans="1:13" x14ac:dyDescent="0.3">
      <c r="A2023" s="733" t="s">
        <v>2198</v>
      </c>
      <c r="B2023" s="733" t="s">
        <v>612</v>
      </c>
      <c r="C2023" s="733" t="s">
        <v>2216</v>
      </c>
      <c r="D2023" s="733" t="s">
        <v>21</v>
      </c>
      <c r="E2023" s="733" t="s">
        <v>614</v>
      </c>
      <c r="F2023" s="733" t="s">
        <v>615</v>
      </c>
      <c r="G2023" s="733"/>
      <c r="H2023" s="733"/>
      <c r="I2023" s="733"/>
      <c r="J2023" s="733"/>
      <c r="K2023" s="733"/>
      <c r="L2023" s="733"/>
      <c r="M2023" s="733"/>
    </row>
    <row r="2024" spans="1:13" x14ac:dyDescent="0.3">
      <c r="A2024" s="733" t="s">
        <v>2198</v>
      </c>
      <c r="B2024" s="733" t="s">
        <v>612</v>
      </c>
      <c r="C2024" s="733" t="s">
        <v>2217</v>
      </c>
      <c r="D2024" s="733" t="s">
        <v>21</v>
      </c>
      <c r="E2024" s="733" t="s">
        <v>614</v>
      </c>
      <c r="F2024" s="733" t="s">
        <v>615</v>
      </c>
      <c r="G2024" s="733"/>
      <c r="H2024" s="733"/>
      <c r="I2024" s="733"/>
      <c r="J2024" s="733"/>
      <c r="K2024" s="733"/>
      <c r="L2024" s="733"/>
      <c r="M2024" s="733"/>
    </row>
    <row r="2025" spans="1:13" x14ac:dyDescent="0.3">
      <c r="A2025" s="733" t="s">
        <v>2198</v>
      </c>
      <c r="B2025" s="733" t="s">
        <v>612</v>
      </c>
      <c r="C2025" s="733" t="s">
        <v>2218</v>
      </c>
      <c r="D2025" s="733" t="s">
        <v>21</v>
      </c>
      <c r="E2025" s="733" t="s">
        <v>614</v>
      </c>
      <c r="F2025" s="733" t="s">
        <v>615</v>
      </c>
      <c r="G2025" s="733"/>
      <c r="H2025" s="733"/>
      <c r="I2025" s="733"/>
      <c r="J2025" s="733"/>
      <c r="K2025" s="733"/>
      <c r="L2025" s="733"/>
      <c r="M2025" s="733"/>
    </row>
    <row r="2026" spans="1:13" x14ac:dyDescent="0.3">
      <c r="A2026" s="733" t="s">
        <v>2198</v>
      </c>
      <c r="B2026" s="733" t="s">
        <v>612</v>
      </c>
      <c r="C2026" s="733" t="s">
        <v>2219</v>
      </c>
      <c r="D2026" s="733" t="s">
        <v>21</v>
      </c>
      <c r="E2026" s="733" t="s">
        <v>614</v>
      </c>
      <c r="F2026" s="733" t="s">
        <v>615</v>
      </c>
      <c r="G2026" s="733"/>
      <c r="H2026" s="733"/>
      <c r="I2026" s="733"/>
      <c r="J2026" s="733"/>
      <c r="K2026" s="733"/>
      <c r="L2026" s="733"/>
      <c r="M2026" s="733"/>
    </row>
    <row r="2027" spans="1:13" x14ac:dyDescent="0.3">
      <c r="A2027" s="733" t="s">
        <v>2198</v>
      </c>
      <c r="B2027" s="733" t="s">
        <v>612</v>
      </c>
      <c r="C2027" s="733" t="s">
        <v>1327</v>
      </c>
      <c r="D2027" s="733" t="s">
        <v>21</v>
      </c>
      <c r="E2027" s="733" t="s">
        <v>614</v>
      </c>
      <c r="F2027" s="733" t="s">
        <v>615</v>
      </c>
      <c r="G2027" s="733"/>
      <c r="H2027" s="733"/>
      <c r="I2027" s="733"/>
      <c r="J2027" s="733"/>
      <c r="K2027" s="733"/>
      <c r="L2027" s="733"/>
      <c r="M2027" s="733"/>
    </row>
    <row r="2028" spans="1:13" x14ac:dyDescent="0.3">
      <c r="A2028" s="733" t="s">
        <v>2198</v>
      </c>
      <c r="B2028" s="733" t="s">
        <v>612</v>
      </c>
      <c r="C2028" s="733" t="s">
        <v>813</v>
      </c>
      <c r="D2028" s="733" t="s">
        <v>21</v>
      </c>
      <c r="E2028" s="733" t="s">
        <v>614</v>
      </c>
      <c r="F2028" s="733" t="s">
        <v>615</v>
      </c>
      <c r="G2028" s="733"/>
      <c r="H2028" s="733"/>
      <c r="I2028" s="733"/>
      <c r="J2028" s="733"/>
      <c r="K2028" s="733"/>
      <c r="L2028" s="733"/>
      <c r="M2028" s="733"/>
    </row>
    <row r="2029" spans="1:13" x14ac:dyDescent="0.3">
      <c r="A2029" s="733" t="s">
        <v>2198</v>
      </c>
      <c r="B2029" s="733" t="s">
        <v>612</v>
      </c>
      <c r="C2029" s="733" t="s">
        <v>817</v>
      </c>
      <c r="D2029" s="733" t="s">
        <v>21</v>
      </c>
      <c r="E2029" s="733" t="s">
        <v>614</v>
      </c>
      <c r="F2029" s="733" t="s">
        <v>615</v>
      </c>
      <c r="G2029" s="733"/>
      <c r="H2029" s="733"/>
      <c r="I2029" s="733"/>
      <c r="J2029" s="733"/>
      <c r="K2029" s="733"/>
      <c r="L2029" s="733"/>
      <c r="M2029" s="733"/>
    </row>
    <row r="2030" spans="1:13" x14ac:dyDescent="0.3">
      <c r="A2030" s="733" t="s">
        <v>2198</v>
      </c>
      <c r="B2030" s="733" t="s">
        <v>645</v>
      </c>
      <c r="C2030" s="733" t="s">
        <v>2220</v>
      </c>
      <c r="D2030" s="733" t="s">
        <v>21</v>
      </c>
      <c r="E2030" s="733" t="s">
        <v>614</v>
      </c>
      <c r="F2030" s="733" t="s">
        <v>615</v>
      </c>
      <c r="G2030" s="733"/>
      <c r="H2030" s="733"/>
      <c r="I2030" s="733"/>
      <c r="J2030" s="733"/>
      <c r="K2030" s="733"/>
      <c r="L2030" s="733"/>
      <c r="M2030" s="733"/>
    </row>
    <row r="2031" spans="1:13" x14ac:dyDescent="0.3">
      <c r="A2031" s="733" t="s">
        <v>2198</v>
      </c>
      <c r="B2031" s="733" t="s">
        <v>645</v>
      </c>
      <c r="C2031" s="733" t="s">
        <v>2221</v>
      </c>
      <c r="D2031" s="733" t="s">
        <v>21</v>
      </c>
      <c r="E2031" s="733" t="s">
        <v>614</v>
      </c>
      <c r="F2031" s="733" t="s">
        <v>615</v>
      </c>
      <c r="G2031" s="733"/>
      <c r="H2031" s="733"/>
      <c r="I2031" s="733"/>
      <c r="J2031" s="733"/>
      <c r="K2031" s="733"/>
      <c r="L2031" s="733"/>
      <c r="M2031" s="733"/>
    </row>
    <row r="2032" spans="1:13" x14ac:dyDescent="0.3">
      <c r="A2032" s="733" t="s">
        <v>2198</v>
      </c>
      <c r="B2032" s="733" t="s">
        <v>645</v>
      </c>
      <c r="C2032" s="733" t="s">
        <v>2222</v>
      </c>
      <c r="D2032" s="733" t="s">
        <v>21</v>
      </c>
      <c r="E2032" s="733" t="s">
        <v>614</v>
      </c>
      <c r="F2032" s="733" t="s">
        <v>615</v>
      </c>
      <c r="G2032" s="733"/>
      <c r="H2032" s="733"/>
      <c r="I2032" s="733"/>
      <c r="J2032" s="733"/>
      <c r="K2032" s="733"/>
      <c r="L2032" s="733"/>
      <c r="M2032" s="733"/>
    </row>
    <row r="2033" spans="1:13" x14ac:dyDescent="0.3">
      <c r="A2033" s="733" t="s">
        <v>2198</v>
      </c>
      <c r="B2033" s="733" t="s">
        <v>645</v>
      </c>
      <c r="C2033" s="733" t="s">
        <v>2223</v>
      </c>
      <c r="D2033" s="733" t="s">
        <v>21</v>
      </c>
      <c r="E2033" s="733" t="s">
        <v>614</v>
      </c>
      <c r="F2033" s="733" t="s">
        <v>615</v>
      </c>
      <c r="G2033" s="733"/>
      <c r="H2033" s="733"/>
      <c r="I2033" s="733"/>
      <c r="J2033" s="733"/>
      <c r="K2033" s="733"/>
      <c r="L2033" s="733"/>
      <c r="M2033" s="733"/>
    </row>
    <row r="2034" spans="1:13" x14ac:dyDescent="0.3">
      <c r="A2034" s="733" t="s">
        <v>2198</v>
      </c>
      <c r="B2034" s="733" t="s">
        <v>645</v>
      </c>
      <c r="C2034" s="733" t="s">
        <v>782</v>
      </c>
      <c r="D2034" s="733" t="s">
        <v>21</v>
      </c>
      <c r="E2034" s="733" t="s">
        <v>614</v>
      </c>
      <c r="F2034" s="733" t="s">
        <v>615</v>
      </c>
      <c r="G2034" s="733"/>
      <c r="H2034" s="733"/>
      <c r="I2034" s="733"/>
      <c r="J2034" s="733"/>
      <c r="K2034" s="733"/>
      <c r="L2034" s="733"/>
      <c r="M2034" s="733"/>
    </row>
    <row r="2035" spans="1:13" x14ac:dyDescent="0.3">
      <c r="A2035" s="733" t="s">
        <v>2198</v>
      </c>
      <c r="B2035" s="733" t="s">
        <v>645</v>
      </c>
      <c r="C2035" s="733" t="s">
        <v>2224</v>
      </c>
      <c r="D2035" s="733" t="s">
        <v>21</v>
      </c>
      <c r="E2035" s="733" t="s">
        <v>614</v>
      </c>
      <c r="F2035" s="733" t="s">
        <v>615</v>
      </c>
      <c r="G2035" s="733"/>
      <c r="H2035" s="733"/>
      <c r="I2035" s="733"/>
      <c r="J2035" s="733"/>
      <c r="K2035" s="733"/>
      <c r="L2035" s="733"/>
      <c r="M2035" s="733"/>
    </row>
    <row r="2036" spans="1:13" x14ac:dyDescent="0.3">
      <c r="A2036" s="734" t="s">
        <v>2198</v>
      </c>
      <c r="B2036" s="734" t="s">
        <v>645</v>
      </c>
      <c r="C2036" s="734" t="s">
        <v>2225</v>
      </c>
      <c r="D2036" s="733" t="s">
        <v>21</v>
      </c>
      <c r="E2036" s="734" t="s">
        <v>614</v>
      </c>
      <c r="F2036" s="734" t="s">
        <v>736</v>
      </c>
      <c r="G2036" s="733"/>
      <c r="H2036" s="733"/>
      <c r="I2036" s="733"/>
      <c r="J2036" s="733"/>
      <c r="K2036" s="733"/>
      <c r="L2036" s="733"/>
      <c r="M2036" s="733"/>
    </row>
    <row r="2037" spans="1:13" x14ac:dyDescent="0.3">
      <c r="A2037" s="734" t="s">
        <v>2198</v>
      </c>
      <c r="B2037" s="734" t="s">
        <v>645</v>
      </c>
      <c r="C2037" s="734" t="s">
        <v>2188</v>
      </c>
      <c r="D2037" s="733" t="s">
        <v>21</v>
      </c>
      <c r="E2037" s="734" t="s">
        <v>614</v>
      </c>
      <c r="F2037" s="734" t="s">
        <v>736</v>
      </c>
      <c r="G2037" s="733"/>
      <c r="H2037" s="733"/>
      <c r="I2037" s="733"/>
      <c r="J2037" s="733"/>
      <c r="K2037" s="733"/>
      <c r="L2037" s="733"/>
      <c r="M2037" s="733"/>
    </row>
    <row r="2038" spans="1:13" x14ac:dyDescent="0.3">
      <c r="A2038" s="733" t="s">
        <v>2198</v>
      </c>
      <c r="B2038" s="733" t="s">
        <v>645</v>
      </c>
      <c r="C2038" s="733" t="s">
        <v>2226</v>
      </c>
      <c r="D2038" s="733" t="s">
        <v>21</v>
      </c>
      <c r="E2038" s="733" t="s">
        <v>614</v>
      </c>
      <c r="F2038" s="733" t="s">
        <v>615</v>
      </c>
      <c r="G2038" s="733"/>
      <c r="H2038" s="733"/>
      <c r="I2038" s="733"/>
      <c r="J2038" s="733"/>
      <c r="K2038" s="733"/>
      <c r="L2038" s="733"/>
      <c r="M2038" s="733"/>
    </row>
    <row r="2039" spans="1:13" x14ac:dyDescent="0.3">
      <c r="A2039" s="733" t="s">
        <v>2198</v>
      </c>
      <c r="B2039" s="733" t="s">
        <v>645</v>
      </c>
      <c r="C2039" s="733" t="s">
        <v>1716</v>
      </c>
      <c r="D2039" s="733" t="s">
        <v>21</v>
      </c>
      <c r="E2039" s="733" t="s">
        <v>614</v>
      </c>
      <c r="F2039" s="733" t="s">
        <v>615</v>
      </c>
      <c r="G2039" s="733"/>
      <c r="H2039" s="733"/>
      <c r="I2039" s="733"/>
      <c r="J2039" s="733"/>
      <c r="K2039" s="733"/>
      <c r="L2039" s="733"/>
      <c r="M2039" s="733"/>
    </row>
    <row r="2040" spans="1:13" x14ac:dyDescent="0.3">
      <c r="A2040" s="733" t="s">
        <v>2198</v>
      </c>
      <c r="B2040" s="733" t="s">
        <v>645</v>
      </c>
      <c r="C2040" s="733" t="s">
        <v>709</v>
      </c>
      <c r="D2040" s="733" t="s">
        <v>21</v>
      </c>
      <c r="E2040" s="733" t="s">
        <v>614</v>
      </c>
      <c r="F2040" s="733" t="s">
        <v>615</v>
      </c>
      <c r="G2040" s="733"/>
      <c r="H2040" s="733"/>
      <c r="I2040" s="733"/>
      <c r="J2040" s="733"/>
      <c r="K2040" s="733"/>
      <c r="L2040" s="733"/>
      <c r="M2040" s="733"/>
    </row>
    <row r="2041" spans="1:13" x14ac:dyDescent="0.3">
      <c r="A2041" s="733" t="s">
        <v>2198</v>
      </c>
      <c r="B2041" s="733" t="s">
        <v>645</v>
      </c>
      <c r="C2041" s="733" t="s">
        <v>1390</v>
      </c>
      <c r="D2041" s="733" t="s">
        <v>21</v>
      </c>
      <c r="E2041" s="733" t="s">
        <v>614</v>
      </c>
      <c r="F2041" s="733" t="s">
        <v>615</v>
      </c>
      <c r="G2041" s="733"/>
      <c r="H2041" s="733"/>
      <c r="I2041" s="733"/>
      <c r="J2041" s="733"/>
      <c r="K2041" s="733"/>
      <c r="L2041" s="733"/>
      <c r="M2041" s="733"/>
    </row>
    <row r="2042" spans="1:13" x14ac:dyDescent="0.3">
      <c r="A2042" s="733" t="s">
        <v>2198</v>
      </c>
      <c r="B2042" s="733" t="s">
        <v>645</v>
      </c>
      <c r="C2042" s="733" t="s">
        <v>2227</v>
      </c>
      <c r="D2042" s="733" t="s">
        <v>21</v>
      </c>
      <c r="E2042" s="733" t="s">
        <v>614</v>
      </c>
      <c r="F2042" s="733" t="s">
        <v>615</v>
      </c>
      <c r="G2042" s="733"/>
      <c r="H2042" s="733"/>
      <c r="I2042" s="733"/>
      <c r="J2042" s="733"/>
      <c r="K2042" s="733"/>
      <c r="L2042" s="733"/>
      <c r="M2042" s="733"/>
    </row>
    <row r="2043" spans="1:13" x14ac:dyDescent="0.3">
      <c r="A2043" s="733" t="s">
        <v>2198</v>
      </c>
      <c r="B2043" s="733" t="s">
        <v>664</v>
      </c>
      <c r="C2043" s="733" t="s">
        <v>828</v>
      </c>
      <c r="D2043" s="733" t="s">
        <v>21</v>
      </c>
      <c r="E2043" s="733" t="s">
        <v>614</v>
      </c>
      <c r="F2043" s="733" t="s">
        <v>615</v>
      </c>
      <c r="G2043" s="733"/>
      <c r="H2043" s="733"/>
      <c r="I2043" s="733"/>
      <c r="J2043" s="733"/>
      <c r="K2043" s="733"/>
      <c r="L2043" s="733"/>
      <c r="M2043" s="733"/>
    </row>
    <row r="2044" spans="1:13" x14ac:dyDescent="0.3">
      <c r="A2044" s="733" t="s">
        <v>2198</v>
      </c>
      <c r="B2044" s="733" t="s">
        <v>664</v>
      </c>
      <c r="C2044" s="733" t="s">
        <v>2228</v>
      </c>
      <c r="D2044" s="733" t="s">
        <v>21</v>
      </c>
      <c r="E2044" s="733" t="s">
        <v>614</v>
      </c>
      <c r="F2044" s="733" t="s">
        <v>615</v>
      </c>
      <c r="G2044" s="733"/>
      <c r="H2044" s="733"/>
      <c r="I2044" s="733"/>
      <c r="J2044" s="733"/>
      <c r="K2044" s="733"/>
      <c r="L2044" s="733"/>
      <c r="M2044" s="733"/>
    </row>
    <row r="2045" spans="1:13" x14ac:dyDescent="0.3">
      <c r="A2045" s="733" t="s">
        <v>2198</v>
      </c>
      <c r="B2045" s="733" t="s">
        <v>664</v>
      </c>
      <c r="C2045" s="733" t="s">
        <v>1962</v>
      </c>
      <c r="D2045" s="733" t="s">
        <v>21</v>
      </c>
      <c r="E2045" s="733" t="s">
        <v>614</v>
      </c>
      <c r="F2045" s="733" t="s">
        <v>615</v>
      </c>
      <c r="G2045" s="733"/>
      <c r="H2045" s="733"/>
      <c r="I2045" s="733"/>
      <c r="J2045" s="733"/>
      <c r="K2045" s="733"/>
      <c r="L2045" s="733"/>
      <c r="M2045" s="733"/>
    </row>
    <row r="2046" spans="1:13" x14ac:dyDescent="0.3">
      <c r="A2046" s="733" t="s">
        <v>2198</v>
      </c>
      <c r="B2046" s="733" t="s">
        <v>664</v>
      </c>
      <c r="C2046" s="733" t="s">
        <v>2229</v>
      </c>
      <c r="D2046" s="733" t="s">
        <v>21</v>
      </c>
      <c r="E2046" s="733" t="s">
        <v>614</v>
      </c>
      <c r="F2046" s="733" t="s">
        <v>615</v>
      </c>
      <c r="G2046" s="733"/>
      <c r="H2046" s="733"/>
      <c r="I2046" s="733"/>
      <c r="J2046" s="733"/>
      <c r="K2046" s="733"/>
      <c r="L2046" s="733"/>
      <c r="M2046" s="733"/>
    </row>
    <row r="2047" spans="1:13" x14ac:dyDescent="0.3">
      <c r="A2047" s="733" t="s">
        <v>2198</v>
      </c>
      <c r="B2047" s="733" t="s">
        <v>664</v>
      </c>
      <c r="C2047" s="733" t="s">
        <v>2193</v>
      </c>
      <c r="D2047" s="733" t="s">
        <v>21</v>
      </c>
      <c r="E2047" s="733" t="s">
        <v>614</v>
      </c>
      <c r="F2047" s="733" t="s">
        <v>615</v>
      </c>
      <c r="G2047" s="733"/>
      <c r="H2047" s="733"/>
      <c r="I2047" s="733"/>
      <c r="J2047" s="733"/>
      <c r="K2047" s="733"/>
      <c r="L2047" s="733"/>
      <c r="M2047" s="733"/>
    </row>
    <row r="2048" spans="1:13" x14ac:dyDescent="0.3">
      <c r="A2048" s="733" t="s">
        <v>2198</v>
      </c>
      <c r="B2048" s="733" t="s">
        <v>664</v>
      </c>
      <c r="C2048" s="733" t="s">
        <v>2194</v>
      </c>
      <c r="D2048" s="733" t="s">
        <v>21</v>
      </c>
      <c r="E2048" s="733" t="s">
        <v>614</v>
      </c>
      <c r="F2048" s="733" t="s">
        <v>615</v>
      </c>
      <c r="G2048" s="733"/>
      <c r="H2048" s="733"/>
      <c r="I2048" s="733"/>
      <c r="J2048" s="733"/>
      <c r="K2048" s="733"/>
      <c r="L2048" s="733"/>
      <c r="M2048" s="733"/>
    </row>
    <row r="2049" spans="1:13" x14ac:dyDescent="0.3">
      <c r="A2049" s="733" t="s">
        <v>2198</v>
      </c>
      <c r="B2049" s="733" t="s">
        <v>664</v>
      </c>
      <c r="C2049" s="733" t="s">
        <v>1482</v>
      </c>
      <c r="D2049" s="733" t="s">
        <v>21</v>
      </c>
      <c r="E2049" s="733" t="s">
        <v>614</v>
      </c>
      <c r="F2049" s="733" t="s">
        <v>615</v>
      </c>
      <c r="G2049" s="733"/>
      <c r="H2049" s="733"/>
      <c r="I2049" s="733"/>
      <c r="J2049" s="733"/>
      <c r="K2049" s="733"/>
      <c r="L2049" s="733"/>
      <c r="M2049" s="733"/>
    </row>
    <row r="2050" spans="1:13" x14ac:dyDescent="0.3">
      <c r="A2050" s="733" t="s">
        <v>2198</v>
      </c>
      <c r="B2050" s="733" t="s">
        <v>664</v>
      </c>
      <c r="C2050" s="733" t="s">
        <v>1639</v>
      </c>
      <c r="D2050" s="733" t="s">
        <v>21</v>
      </c>
      <c r="E2050" s="733" t="s">
        <v>614</v>
      </c>
      <c r="F2050" s="733" t="s">
        <v>615</v>
      </c>
      <c r="G2050" s="733"/>
      <c r="H2050" s="733"/>
      <c r="I2050" s="733"/>
      <c r="J2050" s="733"/>
      <c r="K2050" s="733"/>
      <c r="L2050" s="733"/>
      <c r="M2050" s="733"/>
    </row>
    <row r="2051" spans="1:13" x14ac:dyDescent="0.3">
      <c r="A2051" s="733" t="s">
        <v>2198</v>
      </c>
      <c r="B2051" s="733" t="s">
        <v>664</v>
      </c>
      <c r="C2051" s="733" t="s">
        <v>1252</v>
      </c>
      <c r="D2051" s="733" t="s">
        <v>21</v>
      </c>
      <c r="E2051" s="733" t="s">
        <v>614</v>
      </c>
      <c r="F2051" s="733" t="s">
        <v>615</v>
      </c>
      <c r="G2051" s="733"/>
      <c r="H2051" s="733"/>
      <c r="I2051" s="733"/>
      <c r="J2051" s="733"/>
      <c r="K2051" s="733"/>
      <c r="L2051" s="733"/>
      <c r="M2051" s="733"/>
    </row>
    <row r="2052" spans="1:13" x14ac:dyDescent="0.3">
      <c r="A2052" s="733" t="s">
        <v>2198</v>
      </c>
      <c r="B2052" s="733" t="s">
        <v>664</v>
      </c>
      <c r="C2052" s="733" t="s">
        <v>837</v>
      </c>
      <c r="D2052" s="733" t="s">
        <v>21</v>
      </c>
      <c r="E2052" s="733" t="s">
        <v>614</v>
      </c>
      <c r="F2052" s="733" t="s">
        <v>615</v>
      </c>
      <c r="G2052" s="733"/>
      <c r="H2052" s="733"/>
      <c r="I2052" s="733"/>
      <c r="J2052" s="733"/>
      <c r="K2052" s="733"/>
      <c r="L2052" s="733"/>
      <c r="M2052" s="733"/>
    </row>
    <row r="2053" spans="1:13" x14ac:dyDescent="0.3">
      <c r="A2053" s="733" t="s">
        <v>2198</v>
      </c>
      <c r="B2053" s="733" t="s">
        <v>664</v>
      </c>
      <c r="C2053" s="733" t="s">
        <v>838</v>
      </c>
      <c r="D2053" s="733" t="s">
        <v>21</v>
      </c>
      <c r="E2053" s="733" t="s">
        <v>614</v>
      </c>
      <c r="F2053" s="733" t="s">
        <v>615</v>
      </c>
      <c r="G2053" s="733"/>
      <c r="H2053" s="733"/>
      <c r="I2053" s="733"/>
      <c r="J2053" s="733"/>
      <c r="K2053" s="733"/>
      <c r="L2053" s="733"/>
      <c r="M2053" s="733"/>
    </row>
    <row r="2054" spans="1:13" x14ac:dyDescent="0.3">
      <c r="A2054" s="733" t="s">
        <v>2198</v>
      </c>
      <c r="B2054" s="733" t="s">
        <v>664</v>
      </c>
      <c r="C2054" s="733" t="s">
        <v>839</v>
      </c>
      <c r="D2054" s="733" t="s">
        <v>21</v>
      </c>
      <c r="E2054" s="733" t="s">
        <v>614</v>
      </c>
      <c r="F2054" s="733" t="s">
        <v>615</v>
      </c>
      <c r="G2054" s="733"/>
      <c r="H2054" s="733"/>
      <c r="I2054" s="733"/>
      <c r="J2054" s="733"/>
      <c r="K2054" s="733"/>
      <c r="L2054" s="733"/>
      <c r="M2054" s="733"/>
    </row>
    <row r="2055" spans="1:13" x14ac:dyDescent="0.3">
      <c r="A2055" s="733" t="s">
        <v>2230</v>
      </c>
      <c r="B2055" s="733" t="s">
        <v>612</v>
      </c>
      <c r="C2055" s="733" t="s">
        <v>2231</v>
      </c>
      <c r="D2055" s="733" t="s">
        <v>21</v>
      </c>
      <c r="E2055" s="733" t="s">
        <v>614</v>
      </c>
      <c r="F2055" s="733" t="s">
        <v>615</v>
      </c>
      <c r="G2055" s="733"/>
      <c r="H2055" s="733"/>
      <c r="I2055" s="733"/>
      <c r="J2055" s="733"/>
      <c r="K2055" s="733"/>
      <c r="L2055" s="733"/>
      <c r="M2055" s="733"/>
    </row>
    <row r="2056" spans="1:13" x14ac:dyDescent="0.3">
      <c r="A2056" s="733" t="s">
        <v>2230</v>
      </c>
      <c r="B2056" s="733" t="s">
        <v>612</v>
      </c>
      <c r="C2056" s="733" t="s">
        <v>2232</v>
      </c>
      <c r="D2056" s="733" t="s">
        <v>21</v>
      </c>
      <c r="E2056" s="733" t="s">
        <v>614</v>
      </c>
      <c r="F2056" s="733" t="s">
        <v>615</v>
      </c>
      <c r="G2056" s="733"/>
      <c r="H2056" s="733"/>
      <c r="I2056" s="733"/>
      <c r="J2056" s="733"/>
      <c r="K2056" s="733"/>
      <c r="L2056" s="733"/>
      <c r="M2056" s="733"/>
    </row>
    <row r="2057" spans="1:13" x14ac:dyDescent="0.3">
      <c r="A2057" s="733" t="s">
        <v>2230</v>
      </c>
      <c r="B2057" s="733" t="s">
        <v>612</v>
      </c>
      <c r="C2057" s="733" t="s">
        <v>2233</v>
      </c>
      <c r="D2057" s="733" t="s">
        <v>21</v>
      </c>
      <c r="E2057" s="733" t="s">
        <v>614</v>
      </c>
      <c r="F2057" s="733" t="s">
        <v>615</v>
      </c>
      <c r="G2057" s="733"/>
      <c r="H2057" s="733"/>
      <c r="I2057" s="733"/>
      <c r="J2057" s="733"/>
      <c r="K2057" s="733"/>
      <c r="L2057" s="733"/>
      <c r="M2057" s="733"/>
    </row>
    <row r="2058" spans="1:13" x14ac:dyDescent="0.3">
      <c r="A2058" s="733" t="s">
        <v>2230</v>
      </c>
      <c r="B2058" s="733" t="s">
        <v>645</v>
      </c>
      <c r="C2058" s="733" t="s">
        <v>2234</v>
      </c>
      <c r="D2058" s="733" t="s">
        <v>21</v>
      </c>
      <c r="E2058" s="733" t="s">
        <v>614</v>
      </c>
      <c r="F2058" s="733" t="s">
        <v>615</v>
      </c>
      <c r="G2058" s="733"/>
      <c r="H2058" s="733"/>
      <c r="I2058" s="733"/>
      <c r="J2058" s="733"/>
      <c r="K2058" s="733"/>
      <c r="L2058" s="733"/>
      <c r="M2058" s="733"/>
    </row>
    <row r="2059" spans="1:13" x14ac:dyDescent="0.3">
      <c r="A2059" s="733" t="s">
        <v>2230</v>
      </c>
      <c r="B2059" s="733" t="s">
        <v>645</v>
      </c>
      <c r="C2059" s="733" t="s">
        <v>2235</v>
      </c>
      <c r="D2059" s="733" t="s">
        <v>21</v>
      </c>
      <c r="E2059" s="733" t="s">
        <v>614</v>
      </c>
      <c r="F2059" s="733" t="s">
        <v>615</v>
      </c>
      <c r="G2059" s="733"/>
      <c r="H2059" s="733"/>
      <c r="I2059" s="733"/>
      <c r="J2059" s="733"/>
      <c r="K2059" s="733"/>
      <c r="L2059" s="733"/>
      <c r="M2059" s="733"/>
    </row>
    <row r="2060" spans="1:13" x14ac:dyDescent="0.3">
      <c r="A2060" s="733" t="s">
        <v>2230</v>
      </c>
      <c r="B2060" s="733" t="s">
        <v>645</v>
      </c>
      <c r="C2060" s="733" t="s">
        <v>2236</v>
      </c>
      <c r="D2060" s="733" t="s">
        <v>21</v>
      </c>
      <c r="E2060" s="733" t="s">
        <v>614</v>
      </c>
      <c r="F2060" s="733" t="s">
        <v>615</v>
      </c>
      <c r="G2060" s="733"/>
      <c r="H2060" s="733"/>
      <c r="I2060" s="733"/>
      <c r="J2060" s="733"/>
      <c r="K2060" s="733"/>
      <c r="L2060" s="733"/>
      <c r="M2060" s="733"/>
    </row>
    <row r="2061" spans="1:13" x14ac:dyDescent="0.3">
      <c r="A2061" s="733" t="s">
        <v>2230</v>
      </c>
      <c r="B2061" s="733" t="s">
        <v>645</v>
      </c>
      <c r="C2061" s="733" t="s">
        <v>2237</v>
      </c>
      <c r="D2061" s="733" t="s">
        <v>21</v>
      </c>
      <c r="E2061" s="733" t="s">
        <v>614</v>
      </c>
      <c r="F2061" s="733" t="s">
        <v>615</v>
      </c>
      <c r="G2061" s="733"/>
      <c r="H2061" s="733"/>
      <c r="I2061" s="733"/>
      <c r="J2061" s="733"/>
      <c r="K2061" s="733"/>
      <c r="L2061" s="733"/>
      <c r="M2061" s="733"/>
    </row>
    <row r="2062" spans="1:13" x14ac:dyDescent="0.3">
      <c r="A2062" s="733" t="s">
        <v>2238</v>
      </c>
      <c r="B2062" s="733" t="s">
        <v>612</v>
      </c>
      <c r="C2062" s="733" t="s">
        <v>963</v>
      </c>
      <c r="D2062" s="733" t="s">
        <v>21</v>
      </c>
      <c r="E2062" s="733" t="s">
        <v>614</v>
      </c>
      <c r="F2062" s="733" t="s">
        <v>615</v>
      </c>
      <c r="G2062" s="733"/>
      <c r="H2062" s="733"/>
      <c r="I2062" s="733"/>
      <c r="J2062" s="733"/>
      <c r="K2062" s="733"/>
      <c r="L2062" s="733"/>
      <c r="M2062" s="733"/>
    </row>
    <row r="2063" spans="1:13" x14ac:dyDescent="0.3">
      <c r="A2063" s="734" t="s">
        <v>2238</v>
      </c>
      <c r="B2063" s="734" t="s">
        <v>612</v>
      </c>
      <c r="C2063" s="734" t="s">
        <v>1922</v>
      </c>
      <c r="D2063" s="733" t="s">
        <v>21</v>
      </c>
      <c r="E2063" s="734" t="s">
        <v>614</v>
      </c>
      <c r="F2063" s="734" t="s">
        <v>696</v>
      </c>
      <c r="G2063" s="733"/>
      <c r="H2063" s="733"/>
      <c r="I2063" s="733"/>
      <c r="J2063" s="733"/>
      <c r="K2063" s="733"/>
      <c r="L2063" s="733"/>
      <c r="M2063" s="733"/>
    </row>
    <row r="2064" spans="1:13" x14ac:dyDescent="0.3">
      <c r="A2064" s="733" t="s">
        <v>2238</v>
      </c>
      <c r="B2064" s="733" t="s">
        <v>612</v>
      </c>
      <c r="C2064" s="733" t="s">
        <v>2239</v>
      </c>
      <c r="D2064" s="733" t="s">
        <v>21</v>
      </c>
      <c r="E2064" s="733" t="s">
        <v>614</v>
      </c>
      <c r="F2064" s="733" t="s">
        <v>615</v>
      </c>
      <c r="G2064" s="733"/>
      <c r="H2064" s="733"/>
      <c r="I2064" s="733"/>
      <c r="J2064" s="733"/>
      <c r="K2064" s="733"/>
      <c r="L2064" s="733"/>
      <c r="M2064" s="733"/>
    </row>
    <row r="2065" spans="1:13" x14ac:dyDescent="0.3">
      <c r="A2065" s="733" t="s">
        <v>2238</v>
      </c>
      <c r="B2065" s="733" t="s">
        <v>645</v>
      </c>
      <c r="C2065" s="733" t="s">
        <v>963</v>
      </c>
      <c r="D2065" s="733" t="s">
        <v>21</v>
      </c>
      <c r="E2065" s="733" t="s">
        <v>614</v>
      </c>
      <c r="F2065" s="733" t="s">
        <v>615</v>
      </c>
      <c r="G2065" s="733"/>
      <c r="H2065" s="733"/>
      <c r="I2065" s="733"/>
      <c r="J2065" s="733"/>
      <c r="K2065" s="733"/>
      <c r="L2065" s="733"/>
      <c r="M2065" s="733"/>
    </row>
    <row r="2066" spans="1:13" x14ac:dyDescent="0.3">
      <c r="A2066" s="733" t="s">
        <v>2238</v>
      </c>
      <c r="B2066" s="733" t="s">
        <v>645</v>
      </c>
      <c r="C2066" s="733" t="s">
        <v>2240</v>
      </c>
      <c r="D2066" s="733" t="s">
        <v>21</v>
      </c>
      <c r="E2066" s="733" t="s">
        <v>614</v>
      </c>
      <c r="F2066" s="733" t="s">
        <v>615</v>
      </c>
      <c r="G2066" s="733"/>
      <c r="H2066" s="733"/>
      <c r="I2066" s="733"/>
      <c r="J2066" s="733"/>
      <c r="K2066" s="733"/>
      <c r="L2066" s="733"/>
      <c r="M2066" s="733"/>
    </row>
    <row r="2067" spans="1:13" x14ac:dyDescent="0.3">
      <c r="A2067" s="733" t="s">
        <v>2241</v>
      </c>
      <c r="B2067" s="733" t="s">
        <v>612</v>
      </c>
      <c r="C2067" s="733" t="s">
        <v>2242</v>
      </c>
      <c r="D2067" s="733" t="s">
        <v>21</v>
      </c>
      <c r="E2067" s="733" t="s">
        <v>614</v>
      </c>
      <c r="F2067" s="733" t="s">
        <v>615</v>
      </c>
      <c r="G2067" s="733"/>
      <c r="H2067" s="733"/>
      <c r="I2067" s="733"/>
      <c r="J2067" s="733"/>
      <c r="K2067" s="733"/>
      <c r="L2067" s="733"/>
      <c r="M2067" s="733"/>
    </row>
    <row r="2068" spans="1:13" x14ac:dyDescent="0.3">
      <c r="A2068" s="733" t="s">
        <v>2241</v>
      </c>
      <c r="B2068" s="733" t="s">
        <v>612</v>
      </c>
      <c r="C2068" s="733" t="s">
        <v>2243</v>
      </c>
      <c r="D2068" s="733" t="s">
        <v>21</v>
      </c>
      <c r="E2068" s="733" t="s">
        <v>614</v>
      </c>
      <c r="F2068" s="733" t="s">
        <v>615</v>
      </c>
      <c r="G2068" s="733"/>
      <c r="H2068" s="733"/>
      <c r="I2068" s="733"/>
      <c r="J2068" s="733"/>
      <c r="K2068" s="733"/>
      <c r="L2068" s="733"/>
      <c r="M2068" s="733"/>
    </row>
    <row r="2069" spans="1:13" x14ac:dyDescent="0.3">
      <c r="A2069" s="733" t="s">
        <v>2244</v>
      </c>
      <c r="B2069" s="733" t="s">
        <v>612</v>
      </c>
      <c r="C2069" s="733" t="s">
        <v>2245</v>
      </c>
      <c r="D2069" s="733" t="s">
        <v>21</v>
      </c>
      <c r="E2069" s="733" t="s">
        <v>614</v>
      </c>
      <c r="F2069" s="733" t="s">
        <v>615</v>
      </c>
      <c r="G2069" s="733"/>
      <c r="H2069" s="733"/>
      <c r="I2069" s="733"/>
      <c r="J2069" s="733"/>
      <c r="K2069" s="733"/>
      <c r="L2069" s="733"/>
      <c r="M2069" s="733"/>
    </row>
    <row r="2070" spans="1:13" x14ac:dyDescent="0.3">
      <c r="A2070" s="733" t="s">
        <v>2246</v>
      </c>
      <c r="B2070" s="733" t="s">
        <v>612</v>
      </c>
      <c r="C2070" s="733" t="s">
        <v>2247</v>
      </c>
      <c r="D2070" s="733" t="s">
        <v>21</v>
      </c>
      <c r="E2070" s="733" t="s">
        <v>614</v>
      </c>
      <c r="F2070" s="733" t="s">
        <v>615</v>
      </c>
      <c r="G2070" s="733"/>
      <c r="H2070" s="733"/>
      <c r="I2070" s="733"/>
      <c r="J2070" s="733"/>
      <c r="K2070" s="733"/>
      <c r="L2070" s="733"/>
      <c r="M2070" s="733"/>
    </row>
    <row r="2071" spans="1:13" x14ac:dyDescent="0.3">
      <c r="A2071" s="733" t="s">
        <v>2246</v>
      </c>
      <c r="B2071" s="733" t="s">
        <v>612</v>
      </c>
      <c r="C2071" s="733" t="s">
        <v>2248</v>
      </c>
      <c r="D2071" s="733" t="s">
        <v>21</v>
      </c>
      <c r="E2071" s="733" t="s">
        <v>614</v>
      </c>
      <c r="F2071" s="733" t="s">
        <v>615</v>
      </c>
      <c r="G2071" s="733"/>
      <c r="H2071" s="733"/>
      <c r="I2071" s="733"/>
      <c r="J2071" s="733"/>
      <c r="K2071" s="733"/>
      <c r="L2071" s="733"/>
      <c r="M2071" s="733"/>
    </row>
    <row r="2072" spans="1:13" x14ac:dyDescent="0.3">
      <c r="A2072" s="733" t="s">
        <v>2246</v>
      </c>
      <c r="B2072" s="733" t="s">
        <v>612</v>
      </c>
      <c r="C2072" s="733" t="s">
        <v>2249</v>
      </c>
      <c r="D2072" s="733" t="s">
        <v>21</v>
      </c>
      <c r="E2072" s="733" t="s">
        <v>614</v>
      </c>
      <c r="F2072" s="733" t="s">
        <v>615</v>
      </c>
      <c r="G2072" s="733"/>
      <c r="H2072" s="733"/>
      <c r="I2072" s="733"/>
      <c r="J2072" s="733"/>
      <c r="K2072" s="733"/>
      <c r="L2072" s="733"/>
      <c r="M2072" s="733"/>
    </row>
    <row r="2073" spans="1:13" x14ac:dyDescent="0.3">
      <c r="A2073" s="734" t="s">
        <v>2246</v>
      </c>
      <c r="B2073" s="734" t="s">
        <v>612</v>
      </c>
      <c r="C2073" s="734" t="s">
        <v>2250</v>
      </c>
      <c r="D2073" s="734" t="s">
        <v>21</v>
      </c>
      <c r="E2073" s="734" t="s">
        <v>614</v>
      </c>
      <c r="F2073" s="734" t="s">
        <v>696</v>
      </c>
      <c r="G2073" s="733"/>
      <c r="H2073" s="733"/>
      <c r="I2073" s="733"/>
      <c r="J2073" s="733"/>
      <c r="K2073" s="733"/>
      <c r="L2073" s="733"/>
      <c r="M2073" s="733"/>
    </row>
    <row r="2074" spans="1:13" x14ac:dyDescent="0.3">
      <c r="A2074" s="733" t="s">
        <v>2246</v>
      </c>
      <c r="B2074" s="733" t="s">
        <v>612</v>
      </c>
      <c r="C2074" s="733" t="s">
        <v>2251</v>
      </c>
      <c r="D2074" s="733" t="s">
        <v>21</v>
      </c>
      <c r="E2074" s="733" t="s">
        <v>614</v>
      </c>
      <c r="F2074" s="733" t="s">
        <v>615</v>
      </c>
      <c r="G2074" s="733"/>
      <c r="H2074" s="733"/>
      <c r="I2074" s="733"/>
      <c r="J2074" s="733"/>
      <c r="K2074" s="733"/>
      <c r="L2074" s="733"/>
      <c r="M2074" s="733"/>
    </row>
    <row r="2075" spans="1:13" x14ac:dyDescent="0.3">
      <c r="A2075" s="733" t="s">
        <v>2246</v>
      </c>
      <c r="B2075" s="733" t="s">
        <v>612</v>
      </c>
      <c r="C2075" s="733" t="s">
        <v>2252</v>
      </c>
      <c r="D2075" s="733" t="s">
        <v>21</v>
      </c>
      <c r="E2075" s="733" t="s">
        <v>614</v>
      </c>
      <c r="F2075" s="733" t="s">
        <v>615</v>
      </c>
      <c r="G2075" s="733"/>
      <c r="H2075" s="733"/>
      <c r="I2075" s="733"/>
      <c r="J2075" s="733"/>
      <c r="K2075" s="733"/>
      <c r="L2075" s="733"/>
      <c r="M2075" s="733"/>
    </row>
    <row r="2076" spans="1:13" x14ac:dyDescent="0.3">
      <c r="A2076" s="734" t="s">
        <v>2246</v>
      </c>
      <c r="B2076" s="734" t="s">
        <v>612</v>
      </c>
      <c r="C2076" s="734" t="s">
        <v>2253</v>
      </c>
      <c r="D2076" s="734" t="s">
        <v>21</v>
      </c>
      <c r="E2076" s="734" t="s">
        <v>614</v>
      </c>
      <c r="F2076" s="734" t="s">
        <v>696</v>
      </c>
      <c r="G2076" s="733"/>
      <c r="H2076" s="733"/>
      <c r="I2076" s="733"/>
      <c r="J2076" s="733"/>
      <c r="K2076" s="733"/>
      <c r="L2076" s="733"/>
      <c r="M2076" s="733"/>
    </row>
    <row r="2077" spans="1:13" x14ac:dyDescent="0.3">
      <c r="A2077" s="733" t="s">
        <v>2246</v>
      </c>
      <c r="B2077" s="733" t="s">
        <v>612</v>
      </c>
      <c r="C2077" s="733" t="s">
        <v>2254</v>
      </c>
      <c r="D2077" s="733" t="s">
        <v>21</v>
      </c>
      <c r="E2077" s="733" t="s">
        <v>614</v>
      </c>
      <c r="F2077" s="733" t="s">
        <v>615</v>
      </c>
      <c r="G2077" s="733"/>
      <c r="H2077" s="733"/>
      <c r="I2077" s="733"/>
      <c r="J2077" s="733"/>
      <c r="K2077" s="733"/>
      <c r="L2077" s="733"/>
      <c r="M2077" s="733"/>
    </row>
    <row r="2078" spans="1:13" x14ac:dyDescent="0.3">
      <c r="A2078" s="733" t="s">
        <v>2246</v>
      </c>
      <c r="B2078" s="733" t="s">
        <v>612</v>
      </c>
      <c r="C2078" s="733" t="s">
        <v>2255</v>
      </c>
      <c r="D2078" s="733" t="s">
        <v>21</v>
      </c>
      <c r="E2078" s="733" t="s">
        <v>614</v>
      </c>
      <c r="F2078" s="733" t="s">
        <v>615</v>
      </c>
      <c r="G2078" s="733"/>
      <c r="H2078" s="733"/>
      <c r="I2078" s="733"/>
      <c r="J2078" s="733"/>
      <c r="K2078" s="733"/>
      <c r="L2078" s="733"/>
      <c r="M2078" s="733"/>
    </row>
    <row r="2079" spans="1:13" x14ac:dyDescent="0.3">
      <c r="A2079" s="733" t="s">
        <v>2246</v>
      </c>
      <c r="B2079" s="733" t="s">
        <v>612</v>
      </c>
      <c r="C2079" s="733" t="s">
        <v>2256</v>
      </c>
      <c r="D2079" s="733" t="s">
        <v>21</v>
      </c>
      <c r="E2079" s="733" t="s">
        <v>614</v>
      </c>
      <c r="F2079" s="733" t="s">
        <v>615</v>
      </c>
      <c r="G2079" s="733"/>
      <c r="H2079" s="733"/>
      <c r="I2079" s="733"/>
      <c r="J2079" s="733"/>
      <c r="K2079" s="733"/>
      <c r="L2079" s="733"/>
      <c r="M2079" s="733"/>
    </row>
    <row r="2080" spans="1:13" x14ac:dyDescent="0.3">
      <c r="A2080" s="733" t="s">
        <v>2246</v>
      </c>
      <c r="B2080" s="733" t="s">
        <v>612</v>
      </c>
      <c r="C2080" s="733" t="s">
        <v>2257</v>
      </c>
      <c r="D2080" s="733" t="s">
        <v>21</v>
      </c>
      <c r="E2080" s="733" t="s">
        <v>614</v>
      </c>
      <c r="F2080" s="733" t="s">
        <v>615</v>
      </c>
      <c r="G2080" s="733"/>
      <c r="H2080" s="733"/>
      <c r="I2080" s="733"/>
      <c r="J2080" s="733"/>
      <c r="K2080" s="733"/>
      <c r="L2080" s="733"/>
      <c r="M2080" s="733"/>
    </row>
    <row r="2081" spans="1:13" x14ac:dyDescent="0.3">
      <c r="A2081" s="733" t="s">
        <v>2246</v>
      </c>
      <c r="B2081" s="733" t="s">
        <v>612</v>
      </c>
      <c r="C2081" s="733" t="s">
        <v>1582</v>
      </c>
      <c r="D2081" s="733" t="s">
        <v>21</v>
      </c>
      <c r="E2081" s="733" t="s">
        <v>614</v>
      </c>
      <c r="F2081" s="733" t="s">
        <v>615</v>
      </c>
      <c r="G2081" s="733"/>
      <c r="H2081" s="733"/>
      <c r="I2081" s="733"/>
      <c r="J2081" s="733"/>
      <c r="K2081" s="733"/>
      <c r="L2081" s="733"/>
      <c r="M2081" s="733"/>
    </row>
    <row r="2082" spans="1:13" x14ac:dyDescent="0.3">
      <c r="A2082" s="733" t="s">
        <v>2246</v>
      </c>
      <c r="B2082" s="733" t="s">
        <v>612</v>
      </c>
      <c r="C2082" s="733" t="s">
        <v>1605</v>
      </c>
      <c r="D2082" s="733" t="s">
        <v>21</v>
      </c>
      <c r="E2082" s="733" t="s">
        <v>614</v>
      </c>
      <c r="F2082" s="733" t="s">
        <v>615</v>
      </c>
      <c r="G2082" s="733"/>
      <c r="H2082" s="733"/>
      <c r="I2082" s="733"/>
      <c r="J2082" s="733"/>
      <c r="K2082" s="733"/>
      <c r="L2082" s="733"/>
      <c r="M2082" s="733"/>
    </row>
    <row r="2083" spans="1:13" x14ac:dyDescent="0.3">
      <c r="A2083" s="733" t="s">
        <v>2246</v>
      </c>
      <c r="B2083" s="733" t="s">
        <v>612</v>
      </c>
      <c r="C2083" s="733" t="s">
        <v>2258</v>
      </c>
      <c r="D2083" s="733" t="s">
        <v>21</v>
      </c>
      <c r="E2083" s="733" t="s">
        <v>614</v>
      </c>
      <c r="F2083" s="733" t="s">
        <v>615</v>
      </c>
      <c r="G2083" s="733"/>
      <c r="H2083" s="733"/>
      <c r="I2083" s="733"/>
      <c r="J2083" s="733"/>
      <c r="K2083" s="733"/>
      <c r="L2083" s="733"/>
      <c r="M2083" s="733"/>
    </row>
    <row r="2084" spans="1:13" x14ac:dyDescent="0.3">
      <c r="A2084" s="733" t="s">
        <v>2246</v>
      </c>
      <c r="B2084" s="733" t="s">
        <v>612</v>
      </c>
      <c r="C2084" s="733" t="s">
        <v>2259</v>
      </c>
      <c r="D2084" s="733" t="s">
        <v>21</v>
      </c>
      <c r="E2084" s="733" t="s">
        <v>614</v>
      </c>
      <c r="F2084" s="733" t="s">
        <v>615</v>
      </c>
      <c r="G2084" s="733"/>
      <c r="H2084" s="733"/>
      <c r="I2084" s="733"/>
      <c r="J2084" s="733"/>
      <c r="K2084" s="733"/>
      <c r="L2084" s="733"/>
      <c r="M2084" s="733"/>
    </row>
    <row r="2085" spans="1:13" x14ac:dyDescent="0.3">
      <c r="A2085" s="733" t="s">
        <v>2246</v>
      </c>
      <c r="B2085" s="733" t="s">
        <v>612</v>
      </c>
      <c r="C2085" s="733" t="s">
        <v>2260</v>
      </c>
      <c r="D2085" s="733" t="s">
        <v>21</v>
      </c>
      <c r="E2085" s="733" t="s">
        <v>614</v>
      </c>
      <c r="F2085" s="733" t="s">
        <v>615</v>
      </c>
      <c r="G2085" s="733"/>
      <c r="H2085" s="733"/>
      <c r="I2085" s="733"/>
      <c r="J2085" s="733"/>
      <c r="K2085" s="733"/>
      <c r="L2085" s="733"/>
      <c r="M2085" s="733"/>
    </row>
    <row r="2086" spans="1:13" x14ac:dyDescent="0.3">
      <c r="A2086" s="733" t="s">
        <v>2246</v>
      </c>
      <c r="B2086" s="733" t="s">
        <v>612</v>
      </c>
      <c r="C2086" s="733" t="s">
        <v>2261</v>
      </c>
      <c r="D2086" s="733" t="s">
        <v>21</v>
      </c>
      <c r="E2086" s="733" t="s">
        <v>614</v>
      </c>
      <c r="F2086" s="733" t="s">
        <v>615</v>
      </c>
      <c r="G2086" s="733"/>
      <c r="H2086" s="733"/>
      <c r="I2086" s="733"/>
      <c r="J2086" s="733"/>
      <c r="K2086" s="733"/>
      <c r="L2086" s="733"/>
      <c r="M2086" s="733"/>
    </row>
    <row r="2087" spans="1:13" x14ac:dyDescent="0.3">
      <c r="A2087" s="733" t="s">
        <v>2246</v>
      </c>
      <c r="B2087" s="733" t="s">
        <v>612</v>
      </c>
      <c r="C2087" s="733" t="s">
        <v>2262</v>
      </c>
      <c r="D2087" s="733" t="s">
        <v>21</v>
      </c>
      <c r="E2087" s="733" t="s">
        <v>614</v>
      </c>
      <c r="F2087" s="733" t="s">
        <v>615</v>
      </c>
      <c r="G2087" s="733"/>
      <c r="H2087" s="733"/>
      <c r="I2087" s="733"/>
      <c r="J2087" s="733"/>
      <c r="K2087" s="733"/>
      <c r="L2087" s="733"/>
      <c r="M2087" s="733"/>
    </row>
    <row r="2088" spans="1:13" x14ac:dyDescent="0.3">
      <c r="A2088" s="733" t="s">
        <v>2246</v>
      </c>
      <c r="B2088" s="733" t="s">
        <v>645</v>
      </c>
      <c r="C2088" s="733" t="s">
        <v>2263</v>
      </c>
      <c r="D2088" s="733" t="s">
        <v>21</v>
      </c>
      <c r="E2088" s="733" t="s">
        <v>614</v>
      </c>
      <c r="F2088" s="733" t="s">
        <v>615</v>
      </c>
      <c r="G2088" s="733"/>
      <c r="H2088" s="733"/>
      <c r="I2088" s="733"/>
      <c r="J2088" s="733"/>
      <c r="K2088" s="733"/>
      <c r="L2088" s="733"/>
      <c r="M2088" s="733"/>
    </row>
    <row r="2089" spans="1:13" x14ac:dyDescent="0.3">
      <c r="A2089" s="733" t="s">
        <v>2246</v>
      </c>
      <c r="B2089" s="733" t="s">
        <v>645</v>
      </c>
      <c r="C2089" s="733" t="s">
        <v>2264</v>
      </c>
      <c r="D2089" s="733" t="s">
        <v>21</v>
      </c>
      <c r="E2089" s="733" t="s">
        <v>614</v>
      </c>
      <c r="F2089" s="733" t="s">
        <v>615</v>
      </c>
      <c r="G2089" s="733"/>
      <c r="H2089" s="733"/>
      <c r="I2089" s="733"/>
      <c r="J2089" s="733"/>
      <c r="K2089" s="733"/>
      <c r="L2089" s="733"/>
      <c r="M2089" s="733"/>
    </row>
    <row r="2090" spans="1:13" x14ac:dyDescent="0.3">
      <c r="A2090" s="733" t="s">
        <v>2246</v>
      </c>
      <c r="B2090" s="733" t="s">
        <v>645</v>
      </c>
      <c r="C2090" s="733" t="s">
        <v>1886</v>
      </c>
      <c r="D2090" s="733" t="s">
        <v>21</v>
      </c>
      <c r="E2090" s="733" t="s">
        <v>614</v>
      </c>
      <c r="F2090" s="733" t="s">
        <v>615</v>
      </c>
      <c r="G2090" s="733"/>
      <c r="H2090" s="733"/>
      <c r="I2090" s="733"/>
      <c r="J2090" s="733"/>
      <c r="K2090" s="733"/>
      <c r="L2090" s="733"/>
      <c r="M2090" s="733"/>
    </row>
    <row r="2091" spans="1:13" x14ac:dyDescent="0.3">
      <c r="A2091" s="733" t="s">
        <v>2246</v>
      </c>
      <c r="B2091" s="733" t="s">
        <v>645</v>
      </c>
      <c r="C2091" s="733" t="s">
        <v>2265</v>
      </c>
      <c r="D2091" s="733" t="s">
        <v>21</v>
      </c>
      <c r="E2091" s="733" t="s">
        <v>614</v>
      </c>
      <c r="F2091" s="733" t="s">
        <v>615</v>
      </c>
      <c r="G2091" s="733"/>
      <c r="H2091" s="733"/>
      <c r="I2091" s="733"/>
      <c r="J2091" s="733"/>
      <c r="K2091" s="733"/>
      <c r="L2091" s="733"/>
      <c r="M2091" s="733"/>
    </row>
    <row r="2092" spans="1:13" x14ac:dyDescent="0.3">
      <c r="A2092" s="733" t="s">
        <v>2246</v>
      </c>
      <c r="B2092" s="733" t="s">
        <v>645</v>
      </c>
      <c r="C2092" s="733" t="s">
        <v>2266</v>
      </c>
      <c r="D2092" s="733" t="s">
        <v>21</v>
      </c>
      <c r="E2092" s="733" t="s">
        <v>614</v>
      </c>
      <c r="F2092" s="733" t="s">
        <v>615</v>
      </c>
      <c r="G2092" s="733"/>
      <c r="H2092" s="733"/>
      <c r="I2092" s="733"/>
      <c r="J2092" s="733"/>
      <c r="K2092" s="733"/>
      <c r="L2092" s="733"/>
      <c r="M2092" s="733"/>
    </row>
    <row r="2093" spans="1:13" x14ac:dyDescent="0.3">
      <c r="A2093" s="733" t="s">
        <v>2246</v>
      </c>
      <c r="B2093" s="733" t="s">
        <v>645</v>
      </c>
      <c r="C2093" s="733" t="s">
        <v>2267</v>
      </c>
      <c r="D2093" s="733" t="s">
        <v>21</v>
      </c>
      <c r="E2093" s="733" t="s">
        <v>614</v>
      </c>
      <c r="F2093" s="733" t="s">
        <v>615</v>
      </c>
      <c r="G2093" s="733"/>
      <c r="H2093" s="733"/>
      <c r="I2093" s="733"/>
      <c r="J2093" s="733"/>
      <c r="K2093" s="733"/>
      <c r="L2093" s="733"/>
      <c r="M2093" s="733"/>
    </row>
    <row r="2094" spans="1:13" x14ac:dyDescent="0.3">
      <c r="A2094" s="733" t="s">
        <v>2246</v>
      </c>
      <c r="B2094" s="733" t="s">
        <v>645</v>
      </c>
      <c r="C2094" s="733" t="s">
        <v>2268</v>
      </c>
      <c r="D2094" s="733" t="s">
        <v>21</v>
      </c>
      <c r="E2094" s="733" t="s">
        <v>614</v>
      </c>
      <c r="F2094" s="733" t="s">
        <v>615</v>
      </c>
      <c r="G2094" s="733"/>
      <c r="H2094" s="733"/>
      <c r="I2094" s="733"/>
      <c r="J2094" s="733"/>
      <c r="K2094" s="733"/>
      <c r="L2094" s="733"/>
      <c r="M2094" s="733"/>
    </row>
    <row r="2095" spans="1:13" x14ac:dyDescent="0.3">
      <c r="A2095" s="733" t="s">
        <v>2246</v>
      </c>
      <c r="B2095" s="733" t="s">
        <v>645</v>
      </c>
      <c r="C2095" s="733" t="s">
        <v>2269</v>
      </c>
      <c r="D2095" s="733" t="s">
        <v>21</v>
      </c>
      <c r="E2095" s="733" t="s">
        <v>614</v>
      </c>
      <c r="F2095" s="733" t="s">
        <v>615</v>
      </c>
      <c r="G2095" s="733"/>
      <c r="H2095" s="733"/>
      <c r="I2095" s="733"/>
      <c r="J2095" s="733"/>
      <c r="K2095" s="733"/>
      <c r="L2095" s="733"/>
      <c r="M2095" s="733"/>
    </row>
    <row r="2096" spans="1:13" x14ac:dyDescent="0.3">
      <c r="A2096" s="733" t="s">
        <v>2246</v>
      </c>
      <c r="B2096" s="733" t="s">
        <v>645</v>
      </c>
      <c r="C2096" s="733" t="s">
        <v>2270</v>
      </c>
      <c r="D2096" s="733" t="s">
        <v>21</v>
      </c>
      <c r="E2096" s="733" t="s">
        <v>614</v>
      </c>
      <c r="F2096" s="733" t="s">
        <v>615</v>
      </c>
      <c r="G2096" s="733"/>
      <c r="H2096" s="733"/>
      <c r="I2096" s="733"/>
      <c r="J2096" s="733"/>
      <c r="K2096" s="733"/>
      <c r="L2096" s="733"/>
      <c r="M2096" s="733"/>
    </row>
    <row r="2097" spans="1:13" x14ac:dyDescent="0.3">
      <c r="A2097" s="733" t="s">
        <v>2246</v>
      </c>
      <c r="B2097" s="733" t="s">
        <v>645</v>
      </c>
      <c r="C2097" s="733" t="s">
        <v>2271</v>
      </c>
      <c r="D2097" s="733" t="s">
        <v>21</v>
      </c>
      <c r="E2097" s="733" t="s">
        <v>614</v>
      </c>
      <c r="F2097" s="733" t="s">
        <v>615</v>
      </c>
      <c r="G2097" s="733"/>
      <c r="H2097" s="733"/>
      <c r="I2097" s="733"/>
      <c r="J2097" s="733"/>
      <c r="K2097" s="733"/>
      <c r="L2097" s="733"/>
      <c r="M2097" s="733"/>
    </row>
    <row r="2098" spans="1:13" x14ac:dyDescent="0.3">
      <c r="A2098" s="733" t="s">
        <v>2246</v>
      </c>
      <c r="B2098" s="733" t="s">
        <v>645</v>
      </c>
      <c r="C2098" s="733" t="s">
        <v>2272</v>
      </c>
      <c r="D2098" s="733" t="s">
        <v>21</v>
      </c>
      <c r="E2098" s="733" t="s">
        <v>614</v>
      </c>
      <c r="F2098" s="733" t="s">
        <v>615</v>
      </c>
      <c r="G2098" s="733"/>
      <c r="H2098" s="733"/>
      <c r="I2098" s="733"/>
      <c r="J2098" s="733"/>
      <c r="K2098" s="733"/>
      <c r="L2098" s="733"/>
      <c r="M2098" s="733"/>
    </row>
    <row r="2099" spans="1:13" x14ac:dyDescent="0.3">
      <c r="A2099" s="733" t="s">
        <v>2246</v>
      </c>
      <c r="B2099" s="733" t="s">
        <v>645</v>
      </c>
      <c r="C2099" s="733" t="s">
        <v>2273</v>
      </c>
      <c r="D2099" s="733" t="s">
        <v>21</v>
      </c>
      <c r="E2099" s="733" t="s">
        <v>614</v>
      </c>
      <c r="F2099" s="733" t="s">
        <v>615</v>
      </c>
      <c r="G2099" s="733"/>
      <c r="H2099" s="733"/>
      <c r="I2099" s="733"/>
      <c r="J2099" s="733"/>
      <c r="K2099" s="733"/>
      <c r="L2099" s="733"/>
      <c r="M2099" s="733"/>
    </row>
    <row r="2100" spans="1:13" x14ac:dyDescent="0.3">
      <c r="A2100" s="733" t="s">
        <v>2246</v>
      </c>
      <c r="B2100" s="733" t="s">
        <v>645</v>
      </c>
      <c r="C2100" s="733" t="s">
        <v>1197</v>
      </c>
      <c r="D2100" s="733" t="s">
        <v>21</v>
      </c>
      <c r="E2100" s="733" t="s">
        <v>614</v>
      </c>
      <c r="F2100" s="733" t="s">
        <v>615</v>
      </c>
      <c r="G2100" s="733"/>
      <c r="H2100" s="733"/>
      <c r="I2100" s="733"/>
      <c r="J2100" s="733"/>
      <c r="K2100" s="733"/>
      <c r="L2100" s="733"/>
      <c r="M2100" s="733"/>
    </row>
    <row r="2101" spans="1:13" x14ac:dyDescent="0.3">
      <c r="A2101" s="733" t="s">
        <v>2246</v>
      </c>
      <c r="B2101" s="733" t="s">
        <v>645</v>
      </c>
      <c r="C2101" s="733" t="s">
        <v>2274</v>
      </c>
      <c r="D2101" s="733" t="s">
        <v>21</v>
      </c>
      <c r="E2101" s="733" t="s">
        <v>614</v>
      </c>
      <c r="F2101" s="733" t="s">
        <v>615</v>
      </c>
      <c r="G2101" s="733"/>
      <c r="H2101" s="733"/>
      <c r="I2101" s="733"/>
      <c r="J2101" s="733"/>
      <c r="K2101" s="733"/>
      <c r="L2101" s="733"/>
      <c r="M2101" s="733"/>
    </row>
    <row r="2102" spans="1:13" x14ac:dyDescent="0.3">
      <c r="A2102" s="733" t="s">
        <v>2246</v>
      </c>
      <c r="B2102" s="733" t="s">
        <v>645</v>
      </c>
      <c r="C2102" s="733" t="s">
        <v>2275</v>
      </c>
      <c r="D2102" s="733" t="s">
        <v>21</v>
      </c>
      <c r="E2102" s="733" t="s">
        <v>614</v>
      </c>
      <c r="F2102" s="733" t="s">
        <v>615</v>
      </c>
      <c r="G2102" s="733"/>
      <c r="H2102" s="733"/>
      <c r="I2102" s="733"/>
      <c r="J2102" s="733"/>
      <c r="K2102" s="733"/>
      <c r="L2102" s="733"/>
      <c r="M2102" s="733"/>
    </row>
    <row r="2103" spans="1:13" x14ac:dyDescent="0.3">
      <c r="A2103" s="733" t="s">
        <v>2246</v>
      </c>
      <c r="B2103" s="733" t="s">
        <v>645</v>
      </c>
      <c r="C2103" s="733" t="s">
        <v>2276</v>
      </c>
      <c r="D2103" s="733" t="s">
        <v>21</v>
      </c>
      <c r="E2103" s="733" t="s">
        <v>614</v>
      </c>
      <c r="F2103" s="733" t="s">
        <v>615</v>
      </c>
      <c r="G2103" s="733"/>
      <c r="H2103" s="733"/>
      <c r="I2103" s="733"/>
      <c r="J2103" s="733"/>
      <c r="K2103" s="733"/>
      <c r="L2103" s="733"/>
      <c r="M2103" s="733"/>
    </row>
    <row r="2104" spans="1:13" x14ac:dyDescent="0.3">
      <c r="A2104" s="733" t="s">
        <v>2246</v>
      </c>
      <c r="B2104" s="733" t="s">
        <v>645</v>
      </c>
      <c r="C2104" s="733" t="s">
        <v>2277</v>
      </c>
      <c r="D2104" s="733" t="s">
        <v>21</v>
      </c>
      <c r="E2104" s="733" t="s">
        <v>614</v>
      </c>
      <c r="F2104" s="733" t="s">
        <v>615</v>
      </c>
      <c r="G2104" s="733"/>
      <c r="H2104" s="733"/>
      <c r="I2104" s="733"/>
      <c r="J2104" s="733"/>
      <c r="K2104" s="733"/>
      <c r="L2104" s="733"/>
      <c r="M2104" s="733"/>
    </row>
    <row r="2105" spans="1:13" x14ac:dyDescent="0.3">
      <c r="A2105" s="733" t="s">
        <v>2246</v>
      </c>
      <c r="B2105" s="733" t="s">
        <v>645</v>
      </c>
      <c r="C2105" s="733" t="s">
        <v>2278</v>
      </c>
      <c r="D2105" s="733" t="s">
        <v>21</v>
      </c>
      <c r="E2105" s="733" t="s">
        <v>614</v>
      </c>
      <c r="F2105" s="733" t="s">
        <v>615</v>
      </c>
      <c r="G2105" s="733"/>
      <c r="H2105" s="733"/>
      <c r="I2105" s="733"/>
      <c r="J2105" s="733"/>
      <c r="K2105" s="733"/>
      <c r="L2105" s="733"/>
      <c r="M2105" s="733"/>
    </row>
    <row r="2106" spans="1:13" x14ac:dyDescent="0.3">
      <c r="A2106" s="733" t="s">
        <v>2246</v>
      </c>
      <c r="B2106" s="733" t="s">
        <v>645</v>
      </c>
      <c r="C2106" s="733" t="s">
        <v>2279</v>
      </c>
      <c r="D2106" s="733" t="s">
        <v>21</v>
      </c>
      <c r="E2106" s="733" t="s">
        <v>614</v>
      </c>
      <c r="F2106" s="733" t="s">
        <v>615</v>
      </c>
      <c r="G2106" s="733"/>
      <c r="H2106" s="733"/>
      <c r="I2106" s="733"/>
      <c r="J2106" s="733"/>
      <c r="K2106" s="733"/>
      <c r="L2106" s="733"/>
      <c r="M2106" s="733"/>
    </row>
    <row r="2107" spans="1:13" x14ac:dyDescent="0.3">
      <c r="A2107" s="733" t="s">
        <v>2246</v>
      </c>
      <c r="B2107" s="733" t="s">
        <v>645</v>
      </c>
      <c r="C2107" s="733" t="s">
        <v>2280</v>
      </c>
      <c r="D2107" s="733" t="s">
        <v>21</v>
      </c>
      <c r="E2107" s="733" t="s">
        <v>614</v>
      </c>
      <c r="F2107" s="733" t="s">
        <v>615</v>
      </c>
      <c r="G2107" s="733"/>
      <c r="H2107" s="733"/>
      <c r="I2107" s="733"/>
      <c r="J2107" s="733"/>
      <c r="K2107" s="733"/>
      <c r="L2107" s="733"/>
      <c r="M2107" s="733"/>
    </row>
    <row r="2108" spans="1:13" x14ac:dyDescent="0.3">
      <c r="A2108" s="733" t="s">
        <v>2246</v>
      </c>
      <c r="B2108" s="733" t="s">
        <v>664</v>
      </c>
      <c r="C2108" s="733" t="s">
        <v>2249</v>
      </c>
      <c r="D2108" s="733" t="s">
        <v>21</v>
      </c>
      <c r="E2108" s="733" t="s">
        <v>614</v>
      </c>
      <c r="F2108" s="733" t="s">
        <v>615</v>
      </c>
      <c r="G2108" s="733"/>
      <c r="H2108" s="733"/>
      <c r="I2108" s="733"/>
      <c r="J2108" s="733"/>
      <c r="K2108" s="733"/>
      <c r="L2108" s="733"/>
      <c r="M2108" s="733"/>
    </row>
    <row r="2109" spans="1:13" x14ac:dyDescent="0.3">
      <c r="A2109" s="734" t="s">
        <v>2246</v>
      </c>
      <c r="B2109" s="734" t="s">
        <v>664</v>
      </c>
      <c r="C2109" s="734" t="s">
        <v>2250</v>
      </c>
      <c r="D2109" s="734" t="s">
        <v>21</v>
      </c>
      <c r="E2109" s="734" t="s">
        <v>614</v>
      </c>
      <c r="F2109" s="734" t="s">
        <v>696</v>
      </c>
      <c r="G2109" s="733"/>
      <c r="H2109" s="733"/>
      <c r="I2109" s="733"/>
      <c r="J2109" s="733"/>
      <c r="K2109" s="733"/>
      <c r="L2109" s="733"/>
      <c r="M2109" s="733"/>
    </row>
    <row r="2110" spans="1:13" x14ac:dyDescent="0.3">
      <c r="A2110" s="733" t="s">
        <v>2246</v>
      </c>
      <c r="B2110" s="733" t="s">
        <v>664</v>
      </c>
      <c r="C2110" s="733" t="s">
        <v>1839</v>
      </c>
      <c r="D2110" s="733" t="s">
        <v>21</v>
      </c>
      <c r="E2110" s="733" t="s">
        <v>614</v>
      </c>
      <c r="F2110" s="733" t="s">
        <v>615</v>
      </c>
      <c r="G2110" s="733"/>
      <c r="H2110" s="733"/>
      <c r="I2110" s="733"/>
      <c r="J2110" s="733"/>
      <c r="K2110" s="733"/>
      <c r="L2110" s="733"/>
      <c r="M2110" s="733"/>
    </row>
    <row r="2111" spans="1:13" x14ac:dyDescent="0.3">
      <c r="A2111" s="733" t="s">
        <v>2246</v>
      </c>
      <c r="B2111" s="733" t="s">
        <v>664</v>
      </c>
      <c r="C2111" s="733" t="s">
        <v>2281</v>
      </c>
      <c r="D2111" s="733" t="s">
        <v>21</v>
      </c>
      <c r="E2111" s="733" t="s">
        <v>614</v>
      </c>
      <c r="F2111" s="733" t="s">
        <v>615</v>
      </c>
      <c r="G2111" s="733"/>
      <c r="H2111" s="733"/>
      <c r="I2111" s="733"/>
      <c r="J2111" s="733"/>
      <c r="K2111" s="733"/>
      <c r="L2111" s="733"/>
      <c r="M2111" s="733"/>
    </row>
    <row r="2112" spans="1:13" x14ac:dyDescent="0.3">
      <c r="A2112" s="733" t="s">
        <v>2246</v>
      </c>
      <c r="B2112" s="733" t="s">
        <v>664</v>
      </c>
      <c r="C2112" s="733" t="s">
        <v>2282</v>
      </c>
      <c r="D2112" s="733" t="s">
        <v>21</v>
      </c>
      <c r="E2112" s="733" t="s">
        <v>614</v>
      </c>
      <c r="F2112" s="733" t="s">
        <v>615</v>
      </c>
      <c r="G2112" s="733"/>
      <c r="H2112" s="733"/>
      <c r="I2112" s="733"/>
      <c r="J2112" s="733"/>
      <c r="K2112" s="733"/>
      <c r="L2112" s="733"/>
      <c r="M2112" s="733"/>
    </row>
    <row r="2113" spans="1:13" x14ac:dyDescent="0.3">
      <c r="A2113" s="733" t="s">
        <v>2246</v>
      </c>
      <c r="B2113" s="733" t="s">
        <v>664</v>
      </c>
      <c r="C2113" s="733" t="s">
        <v>2283</v>
      </c>
      <c r="D2113" s="733" t="s">
        <v>21</v>
      </c>
      <c r="E2113" s="733" t="s">
        <v>614</v>
      </c>
      <c r="F2113" s="733" t="s">
        <v>615</v>
      </c>
      <c r="G2113" s="733"/>
      <c r="H2113" s="733"/>
      <c r="I2113" s="733"/>
      <c r="J2113" s="733"/>
      <c r="K2113" s="733"/>
      <c r="L2113" s="733"/>
      <c r="M2113" s="733"/>
    </row>
    <row r="2114" spans="1:13" x14ac:dyDescent="0.3">
      <c r="A2114" s="733" t="s">
        <v>2246</v>
      </c>
      <c r="B2114" s="733" t="s">
        <v>664</v>
      </c>
      <c r="C2114" s="733" t="s">
        <v>2255</v>
      </c>
      <c r="D2114" s="733" t="s">
        <v>21</v>
      </c>
      <c r="E2114" s="733" t="s">
        <v>614</v>
      </c>
      <c r="F2114" s="733" t="s">
        <v>615</v>
      </c>
      <c r="G2114" s="733"/>
      <c r="H2114" s="733"/>
      <c r="I2114" s="733"/>
      <c r="J2114" s="733"/>
      <c r="K2114" s="733"/>
      <c r="L2114" s="733"/>
      <c r="M2114" s="733"/>
    </row>
    <row r="2115" spans="1:13" x14ac:dyDescent="0.3">
      <c r="A2115" s="733" t="s">
        <v>2246</v>
      </c>
      <c r="B2115" s="733" t="s">
        <v>664</v>
      </c>
      <c r="C2115" s="733" t="s">
        <v>2284</v>
      </c>
      <c r="D2115" s="733" t="s">
        <v>21</v>
      </c>
      <c r="E2115" s="733" t="s">
        <v>614</v>
      </c>
      <c r="F2115" s="733" t="s">
        <v>615</v>
      </c>
      <c r="G2115" s="733"/>
      <c r="H2115" s="733"/>
      <c r="I2115" s="733"/>
      <c r="J2115" s="733"/>
      <c r="K2115" s="733"/>
      <c r="L2115" s="733"/>
      <c r="M2115" s="733"/>
    </row>
    <row r="2116" spans="1:13" x14ac:dyDescent="0.3">
      <c r="A2116" s="733" t="s">
        <v>2246</v>
      </c>
      <c r="B2116" s="733" t="s">
        <v>664</v>
      </c>
      <c r="C2116" s="733" t="s">
        <v>1605</v>
      </c>
      <c r="D2116" s="733" t="s">
        <v>21</v>
      </c>
      <c r="E2116" s="733" t="s">
        <v>614</v>
      </c>
      <c r="F2116" s="733" t="s">
        <v>615</v>
      </c>
      <c r="G2116" s="733"/>
      <c r="H2116" s="733"/>
      <c r="I2116" s="733"/>
      <c r="J2116" s="733"/>
      <c r="K2116" s="733"/>
      <c r="L2116" s="733"/>
      <c r="M2116" s="733"/>
    </row>
    <row r="2117" spans="1:13" x14ac:dyDescent="0.3">
      <c r="A2117" s="733" t="s">
        <v>2246</v>
      </c>
      <c r="B2117" s="733" t="s">
        <v>664</v>
      </c>
      <c r="C2117" s="733" t="s">
        <v>2285</v>
      </c>
      <c r="D2117" s="733" t="s">
        <v>21</v>
      </c>
      <c r="E2117" s="733" t="s">
        <v>614</v>
      </c>
      <c r="F2117" s="733" t="s">
        <v>615</v>
      </c>
      <c r="G2117" s="733"/>
      <c r="H2117" s="733"/>
      <c r="I2117" s="733"/>
      <c r="J2117" s="733"/>
      <c r="K2117" s="733"/>
      <c r="L2117" s="733"/>
      <c r="M2117" s="733"/>
    </row>
    <row r="2118" spans="1:13" x14ac:dyDescent="0.3">
      <c r="A2118" s="733" t="s">
        <v>2246</v>
      </c>
      <c r="B2118" s="733" t="s">
        <v>664</v>
      </c>
      <c r="C2118" s="733" t="s">
        <v>2286</v>
      </c>
      <c r="D2118" s="733" t="s">
        <v>21</v>
      </c>
      <c r="E2118" s="733" t="s">
        <v>614</v>
      </c>
      <c r="F2118" s="733" t="s">
        <v>615</v>
      </c>
      <c r="G2118" s="733"/>
      <c r="H2118" s="733"/>
      <c r="I2118" s="733"/>
      <c r="J2118" s="733"/>
      <c r="K2118" s="733"/>
      <c r="L2118" s="733"/>
      <c r="M2118" s="733"/>
    </row>
    <row r="2119" spans="1:13" x14ac:dyDescent="0.3">
      <c r="A2119" s="733" t="s">
        <v>2246</v>
      </c>
      <c r="B2119" s="733" t="s">
        <v>664</v>
      </c>
      <c r="C2119" s="733" t="s">
        <v>2287</v>
      </c>
      <c r="D2119" s="733" t="s">
        <v>21</v>
      </c>
      <c r="E2119" s="733" t="s">
        <v>614</v>
      </c>
      <c r="F2119" s="733" t="s">
        <v>615</v>
      </c>
      <c r="G2119" s="733"/>
      <c r="H2119" s="733"/>
      <c r="I2119" s="733"/>
      <c r="J2119" s="733"/>
      <c r="K2119" s="733"/>
      <c r="L2119" s="733"/>
      <c r="M2119" s="733"/>
    </row>
    <row r="2120" spans="1:13" x14ac:dyDescent="0.3">
      <c r="A2120" s="733" t="s">
        <v>2288</v>
      </c>
      <c r="B2120" s="733" t="s">
        <v>612</v>
      </c>
      <c r="C2120" s="733" t="s">
        <v>729</v>
      </c>
      <c r="D2120" s="733" t="s">
        <v>21</v>
      </c>
      <c r="E2120" s="733" t="s">
        <v>614</v>
      </c>
      <c r="F2120" s="733" t="s">
        <v>615</v>
      </c>
      <c r="G2120" s="733"/>
      <c r="H2120" s="733"/>
      <c r="I2120" s="733"/>
      <c r="J2120" s="733"/>
      <c r="K2120" s="733"/>
      <c r="L2120" s="733"/>
      <c r="M2120" s="733"/>
    </row>
    <row r="2121" spans="1:13" x14ac:dyDescent="0.3">
      <c r="A2121" s="733" t="s">
        <v>2288</v>
      </c>
      <c r="B2121" s="733" t="s">
        <v>612</v>
      </c>
      <c r="C2121" s="733" t="s">
        <v>2289</v>
      </c>
      <c r="D2121" s="733" t="s">
        <v>21</v>
      </c>
      <c r="E2121" s="733" t="s">
        <v>614</v>
      </c>
      <c r="F2121" s="733" t="s">
        <v>615</v>
      </c>
      <c r="G2121" s="733"/>
      <c r="H2121" s="733"/>
      <c r="I2121" s="733"/>
      <c r="J2121" s="733"/>
      <c r="K2121" s="733"/>
      <c r="L2121" s="733"/>
      <c r="M2121" s="733"/>
    </row>
    <row r="2122" spans="1:13" x14ac:dyDescent="0.3">
      <c r="A2122" s="733" t="s">
        <v>2288</v>
      </c>
      <c r="B2122" s="733" t="s">
        <v>612</v>
      </c>
      <c r="C2122" s="733" t="s">
        <v>911</v>
      </c>
      <c r="D2122" s="733" t="s">
        <v>21</v>
      </c>
      <c r="E2122" s="733" t="s">
        <v>614</v>
      </c>
      <c r="F2122" s="733" t="s">
        <v>615</v>
      </c>
      <c r="G2122" s="733"/>
      <c r="H2122" s="733"/>
      <c r="I2122" s="733"/>
      <c r="J2122" s="733"/>
      <c r="K2122" s="733"/>
      <c r="L2122" s="733"/>
      <c r="M2122" s="733"/>
    </row>
    <row r="2123" spans="1:13" x14ac:dyDescent="0.3">
      <c r="A2123" s="733" t="s">
        <v>2288</v>
      </c>
      <c r="B2123" s="733" t="s">
        <v>612</v>
      </c>
      <c r="C2123" s="733" t="s">
        <v>2290</v>
      </c>
      <c r="D2123" s="733" t="s">
        <v>21</v>
      </c>
      <c r="E2123" s="733" t="s">
        <v>614</v>
      </c>
      <c r="F2123" s="733" t="s">
        <v>615</v>
      </c>
      <c r="G2123" s="733"/>
      <c r="H2123" s="733"/>
      <c r="I2123" s="733"/>
      <c r="J2123" s="733"/>
      <c r="K2123" s="733"/>
      <c r="L2123" s="733"/>
      <c r="M2123" s="733"/>
    </row>
    <row r="2124" spans="1:13" x14ac:dyDescent="0.3">
      <c r="A2124" s="733" t="s">
        <v>2288</v>
      </c>
      <c r="B2124" s="733" t="s">
        <v>612</v>
      </c>
      <c r="C2124" s="733" t="s">
        <v>733</v>
      </c>
      <c r="D2124" s="733" t="s">
        <v>21</v>
      </c>
      <c r="E2124" s="733" t="s">
        <v>614</v>
      </c>
      <c r="F2124" s="733" t="s">
        <v>615</v>
      </c>
      <c r="G2124" s="733"/>
      <c r="H2124" s="733"/>
      <c r="I2124" s="733"/>
      <c r="J2124" s="733"/>
      <c r="K2124" s="733"/>
      <c r="L2124" s="733"/>
      <c r="M2124" s="733"/>
    </row>
    <row r="2125" spans="1:13" x14ac:dyDescent="0.3">
      <c r="A2125" s="733" t="s">
        <v>2288</v>
      </c>
      <c r="B2125" s="733" t="s">
        <v>612</v>
      </c>
      <c r="C2125" s="733" t="s">
        <v>2291</v>
      </c>
      <c r="D2125" s="733" t="s">
        <v>21</v>
      </c>
      <c r="E2125" s="733" t="s">
        <v>614</v>
      </c>
      <c r="F2125" s="733" t="s">
        <v>615</v>
      </c>
      <c r="G2125" s="733"/>
      <c r="H2125" s="733"/>
      <c r="I2125" s="733"/>
      <c r="J2125" s="733"/>
      <c r="K2125" s="733"/>
      <c r="L2125" s="733"/>
      <c r="M2125" s="733"/>
    </row>
    <row r="2126" spans="1:13" x14ac:dyDescent="0.3">
      <c r="A2126" s="733" t="s">
        <v>2288</v>
      </c>
      <c r="B2126" s="733" t="s">
        <v>612</v>
      </c>
      <c r="C2126" s="733" t="s">
        <v>2292</v>
      </c>
      <c r="D2126" s="733" t="s">
        <v>21</v>
      </c>
      <c r="E2126" s="733" t="s">
        <v>614</v>
      </c>
      <c r="F2126" s="733" t="s">
        <v>615</v>
      </c>
      <c r="G2126" s="733"/>
      <c r="H2126" s="733"/>
      <c r="I2126" s="733"/>
      <c r="J2126" s="733"/>
      <c r="K2126" s="733"/>
      <c r="L2126" s="733"/>
      <c r="M2126" s="733"/>
    </row>
    <row r="2127" spans="1:13" x14ac:dyDescent="0.3">
      <c r="A2127" s="733" t="s">
        <v>2288</v>
      </c>
      <c r="B2127" s="733" t="s">
        <v>645</v>
      </c>
      <c r="C2127" s="733" t="s">
        <v>2269</v>
      </c>
      <c r="D2127" s="733" t="s">
        <v>21</v>
      </c>
      <c r="E2127" s="733" t="s">
        <v>614</v>
      </c>
      <c r="F2127" s="733" t="s">
        <v>615</v>
      </c>
      <c r="G2127" s="733"/>
      <c r="H2127" s="733"/>
      <c r="I2127" s="733"/>
      <c r="J2127" s="733"/>
      <c r="K2127" s="733"/>
      <c r="L2127" s="733"/>
      <c r="M2127" s="733"/>
    </row>
    <row r="2128" spans="1:13" x14ac:dyDescent="0.3">
      <c r="A2128" s="733" t="s">
        <v>2288</v>
      </c>
      <c r="B2128" s="733" t="s">
        <v>645</v>
      </c>
      <c r="C2128" s="733" t="s">
        <v>2293</v>
      </c>
      <c r="D2128" s="733" t="s">
        <v>21</v>
      </c>
      <c r="E2128" s="733" t="s">
        <v>614</v>
      </c>
      <c r="F2128" s="733" t="s">
        <v>615</v>
      </c>
      <c r="G2128" s="733"/>
      <c r="H2128" s="733"/>
      <c r="I2128" s="733"/>
      <c r="J2128" s="733"/>
      <c r="K2128" s="733"/>
      <c r="L2128" s="733"/>
      <c r="M2128" s="733"/>
    </row>
    <row r="2129" spans="1:13" x14ac:dyDescent="0.3">
      <c r="A2129" s="733" t="s">
        <v>2288</v>
      </c>
      <c r="B2129" s="733" t="s">
        <v>645</v>
      </c>
      <c r="C2129" s="733" t="s">
        <v>2274</v>
      </c>
      <c r="D2129" s="733" t="s">
        <v>21</v>
      </c>
      <c r="E2129" s="733" t="s">
        <v>614</v>
      </c>
      <c r="F2129" s="733" t="s">
        <v>615</v>
      </c>
      <c r="G2129" s="733"/>
      <c r="H2129" s="733"/>
      <c r="I2129" s="733"/>
      <c r="J2129" s="733"/>
      <c r="K2129" s="733"/>
      <c r="L2129" s="733"/>
      <c r="M2129" s="733"/>
    </row>
    <row r="2130" spans="1:13" x14ac:dyDescent="0.3">
      <c r="A2130" s="733" t="s">
        <v>2288</v>
      </c>
      <c r="B2130" s="733" t="s">
        <v>645</v>
      </c>
      <c r="C2130" s="733" t="s">
        <v>2294</v>
      </c>
      <c r="D2130" s="733" t="s">
        <v>21</v>
      </c>
      <c r="E2130" s="733" t="s">
        <v>614</v>
      </c>
      <c r="F2130" s="733" t="s">
        <v>615</v>
      </c>
      <c r="G2130" s="733"/>
      <c r="H2130" s="733"/>
      <c r="I2130" s="733"/>
      <c r="J2130" s="733"/>
      <c r="K2130" s="733"/>
      <c r="L2130" s="733"/>
      <c r="M2130" s="733"/>
    </row>
    <row r="2131" spans="1:13" x14ac:dyDescent="0.3">
      <c r="A2131" s="733" t="s">
        <v>2288</v>
      </c>
      <c r="B2131" s="733" t="s">
        <v>664</v>
      </c>
      <c r="C2131" s="733" t="s">
        <v>2295</v>
      </c>
      <c r="D2131" s="733" t="s">
        <v>21</v>
      </c>
      <c r="E2131" s="733" t="s">
        <v>614</v>
      </c>
      <c r="F2131" s="733" t="s">
        <v>615</v>
      </c>
      <c r="G2131" s="733"/>
      <c r="H2131" s="733"/>
      <c r="I2131" s="733"/>
      <c r="J2131" s="733"/>
      <c r="K2131" s="733"/>
      <c r="L2131" s="733"/>
      <c r="M2131" s="733"/>
    </row>
    <row r="2132" spans="1:13" x14ac:dyDescent="0.3">
      <c r="A2132" s="733" t="s">
        <v>2288</v>
      </c>
      <c r="B2132" s="733" t="s">
        <v>664</v>
      </c>
      <c r="C2132" s="733" t="s">
        <v>2296</v>
      </c>
      <c r="D2132" s="733" t="s">
        <v>21</v>
      </c>
      <c r="E2132" s="733" t="s">
        <v>614</v>
      </c>
      <c r="F2132" s="733" t="s">
        <v>615</v>
      </c>
      <c r="G2132" s="733"/>
      <c r="H2132" s="733"/>
      <c r="I2132" s="733"/>
      <c r="J2132" s="733"/>
      <c r="K2132" s="733"/>
      <c r="L2132" s="733"/>
      <c r="M2132" s="733"/>
    </row>
    <row r="2133" spans="1:13" x14ac:dyDescent="0.3">
      <c r="A2133" s="733" t="s">
        <v>2297</v>
      </c>
      <c r="B2133" s="733" t="s">
        <v>612</v>
      </c>
      <c r="C2133" s="733" t="s">
        <v>1656</v>
      </c>
      <c r="D2133" s="733" t="s">
        <v>21</v>
      </c>
      <c r="E2133" s="733" t="s">
        <v>614</v>
      </c>
      <c r="F2133" s="733" t="s">
        <v>615</v>
      </c>
      <c r="G2133" s="733"/>
      <c r="H2133" s="733"/>
      <c r="I2133" s="733"/>
      <c r="J2133" s="733"/>
      <c r="K2133" s="733"/>
      <c r="L2133" s="733"/>
      <c r="M2133" s="733"/>
    </row>
    <row r="2134" spans="1:13" x14ac:dyDescent="0.3">
      <c r="A2134" s="733" t="s">
        <v>2297</v>
      </c>
      <c r="B2134" s="733" t="s">
        <v>612</v>
      </c>
      <c r="C2134" s="733" t="s">
        <v>2298</v>
      </c>
      <c r="D2134" s="733" t="s">
        <v>21</v>
      </c>
      <c r="E2134" s="733" t="s">
        <v>614</v>
      </c>
      <c r="F2134" s="733" t="s">
        <v>615</v>
      </c>
      <c r="G2134" s="733"/>
      <c r="H2134" s="733"/>
      <c r="I2134" s="733"/>
      <c r="J2134" s="733"/>
      <c r="K2134" s="733"/>
      <c r="L2134" s="733"/>
      <c r="M2134" s="733"/>
    </row>
    <row r="2135" spans="1:13" x14ac:dyDescent="0.3">
      <c r="A2135" s="733" t="s">
        <v>2297</v>
      </c>
      <c r="B2135" s="733" t="s">
        <v>612</v>
      </c>
      <c r="C2135" s="733" t="s">
        <v>2299</v>
      </c>
      <c r="D2135" s="733" t="s">
        <v>21</v>
      </c>
      <c r="E2135" s="733" t="s">
        <v>614</v>
      </c>
      <c r="F2135" s="733" t="s">
        <v>615</v>
      </c>
      <c r="G2135" s="733"/>
      <c r="H2135" s="733"/>
      <c r="I2135" s="733"/>
      <c r="J2135" s="733"/>
      <c r="K2135" s="733"/>
      <c r="L2135" s="733"/>
      <c r="M2135" s="733"/>
    </row>
    <row r="2136" spans="1:13" x14ac:dyDescent="0.3">
      <c r="A2136" s="733" t="s">
        <v>2297</v>
      </c>
      <c r="B2136" s="733" t="s">
        <v>612</v>
      </c>
      <c r="C2136" s="733" t="s">
        <v>2300</v>
      </c>
      <c r="D2136" s="733" t="s">
        <v>21</v>
      </c>
      <c r="E2136" s="733" t="s">
        <v>614</v>
      </c>
      <c r="F2136" s="733" t="s">
        <v>615</v>
      </c>
      <c r="G2136" s="733"/>
      <c r="H2136" s="733"/>
      <c r="I2136" s="733"/>
      <c r="J2136" s="733"/>
      <c r="K2136" s="733"/>
      <c r="L2136" s="733"/>
      <c r="M2136" s="733"/>
    </row>
    <row r="2137" spans="1:13" x14ac:dyDescent="0.3">
      <c r="A2137" s="733" t="s">
        <v>2297</v>
      </c>
      <c r="B2137" s="733" t="s">
        <v>612</v>
      </c>
      <c r="C2137" s="733" t="s">
        <v>2300</v>
      </c>
      <c r="D2137" s="733" t="s">
        <v>21</v>
      </c>
      <c r="E2137" s="733" t="s">
        <v>614</v>
      </c>
      <c r="F2137" s="733" t="s">
        <v>615</v>
      </c>
      <c r="G2137" s="733"/>
      <c r="H2137" s="733"/>
      <c r="I2137" s="733"/>
      <c r="J2137" s="733"/>
      <c r="K2137" s="733"/>
      <c r="L2137" s="733"/>
      <c r="M2137" s="733"/>
    </row>
    <row r="2138" spans="1:13" x14ac:dyDescent="0.3">
      <c r="A2138" s="733" t="s">
        <v>2297</v>
      </c>
      <c r="B2138" s="733" t="s">
        <v>612</v>
      </c>
      <c r="C2138" s="733" t="s">
        <v>1661</v>
      </c>
      <c r="D2138" s="733" t="s">
        <v>21</v>
      </c>
      <c r="E2138" s="733" t="s">
        <v>614</v>
      </c>
      <c r="F2138" s="733" t="s">
        <v>615</v>
      </c>
      <c r="G2138" s="733"/>
      <c r="H2138" s="733"/>
      <c r="I2138" s="733"/>
      <c r="J2138" s="733"/>
      <c r="K2138" s="733"/>
      <c r="L2138" s="733"/>
      <c r="M2138" s="733"/>
    </row>
    <row r="2139" spans="1:13" x14ac:dyDescent="0.3">
      <c r="A2139" s="733" t="s">
        <v>2297</v>
      </c>
      <c r="B2139" s="733" t="s">
        <v>612</v>
      </c>
      <c r="C2139" s="733" t="s">
        <v>2301</v>
      </c>
      <c r="D2139" s="733" t="s">
        <v>21</v>
      </c>
      <c r="E2139" s="733" t="s">
        <v>614</v>
      </c>
      <c r="F2139" s="733" t="s">
        <v>615</v>
      </c>
      <c r="G2139" s="733"/>
      <c r="H2139" s="733"/>
      <c r="I2139" s="733"/>
      <c r="J2139" s="733"/>
      <c r="K2139" s="733"/>
      <c r="L2139" s="733"/>
      <c r="M2139" s="733"/>
    </row>
    <row r="2140" spans="1:13" x14ac:dyDescent="0.3">
      <c r="A2140" s="733" t="s">
        <v>2297</v>
      </c>
      <c r="B2140" s="733" t="s">
        <v>612</v>
      </c>
      <c r="C2140" s="733" t="s">
        <v>2302</v>
      </c>
      <c r="D2140" s="733" t="s">
        <v>21</v>
      </c>
      <c r="E2140" s="733" t="s">
        <v>614</v>
      </c>
      <c r="F2140" s="733" t="s">
        <v>615</v>
      </c>
      <c r="G2140" s="733"/>
      <c r="H2140" s="733"/>
      <c r="I2140" s="733"/>
      <c r="J2140" s="733"/>
      <c r="K2140" s="733"/>
      <c r="L2140" s="733"/>
      <c r="M2140" s="733"/>
    </row>
    <row r="2141" spans="1:13" x14ac:dyDescent="0.3">
      <c r="A2141" s="733" t="s">
        <v>2297</v>
      </c>
      <c r="B2141" s="733" t="s">
        <v>612</v>
      </c>
      <c r="C2141" s="733" t="s">
        <v>2303</v>
      </c>
      <c r="D2141" s="733" t="s">
        <v>21</v>
      </c>
      <c r="E2141" s="733" t="s">
        <v>614</v>
      </c>
      <c r="F2141" s="733" t="s">
        <v>615</v>
      </c>
      <c r="G2141" s="733"/>
      <c r="H2141" s="733"/>
      <c r="I2141" s="733"/>
      <c r="J2141" s="733"/>
      <c r="K2141" s="733"/>
      <c r="L2141" s="733"/>
      <c r="M2141" s="733"/>
    </row>
    <row r="2142" spans="1:13" x14ac:dyDescent="0.3">
      <c r="A2142" s="733" t="s">
        <v>2297</v>
      </c>
      <c r="B2142" s="733" t="s">
        <v>612</v>
      </c>
      <c r="C2142" s="733" t="s">
        <v>2304</v>
      </c>
      <c r="D2142" s="733" t="s">
        <v>21</v>
      </c>
      <c r="E2142" s="733" t="s">
        <v>614</v>
      </c>
      <c r="F2142" s="733" t="s">
        <v>615</v>
      </c>
      <c r="G2142" s="733"/>
      <c r="H2142" s="733"/>
      <c r="I2142" s="733"/>
      <c r="J2142" s="733"/>
      <c r="K2142" s="733"/>
      <c r="L2142" s="733"/>
      <c r="M2142" s="733"/>
    </row>
    <row r="2143" spans="1:13" x14ac:dyDescent="0.3">
      <c r="A2143" s="733" t="s">
        <v>2297</v>
      </c>
      <c r="B2143" s="733" t="s">
        <v>612</v>
      </c>
      <c r="C2143" s="733" t="s">
        <v>2305</v>
      </c>
      <c r="D2143" s="733" t="s">
        <v>21</v>
      </c>
      <c r="E2143" s="733" t="s">
        <v>614</v>
      </c>
      <c r="F2143" s="733" t="s">
        <v>615</v>
      </c>
      <c r="G2143" s="733"/>
      <c r="H2143" s="733"/>
      <c r="I2143" s="733"/>
      <c r="J2143" s="733"/>
      <c r="K2143" s="733"/>
      <c r="L2143" s="733"/>
      <c r="M2143" s="733"/>
    </row>
    <row r="2144" spans="1:13" x14ac:dyDescent="0.3">
      <c r="A2144" s="733" t="s">
        <v>2297</v>
      </c>
      <c r="B2144" s="733" t="s">
        <v>612</v>
      </c>
      <c r="C2144" s="733" t="s">
        <v>2174</v>
      </c>
      <c r="D2144" s="733" t="s">
        <v>21</v>
      </c>
      <c r="E2144" s="733" t="s">
        <v>614</v>
      </c>
      <c r="F2144" s="733" t="s">
        <v>615</v>
      </c>
      <c r="G2144" s="733"/>
      <c r="H2144" s="733"/>
      <c r="I2144" s="733"/>
      <c r="J2144" s="733"/>
      <c r="K2144" s="733"/>
      <c r="L2144" s="733"/>
      <c r="M2144" s="733"/>
    </row>
    <row r="2145" spans="1:13" x14ac:dyDescent="0.3">
      <c r="A2145" s="733" t="s">
        <v>2297</v>
      </c>
      <c r="B2145" s="733" t="s">
        <v>612</v>
      </c>
      <c r="C2145" s="733" t="s">
        <v>2306</v>
      </c>
      <c r="D2145" s="733" t="s">
        <v>21</v>
      </c>
      <c r="E2145" s="733" t="s">
        <v>614</v>
      </c>
      <c r="F2145" s="733" t="s">
        <v>615</v>
      </c>
      <c r="G2145" s="733"/>
      <c r="H2145" s="733"/>
      <c r="I2145" s="733"/>
      <c r="J2145" s="733"/>
      <c r="K2145" s="733"/>
      <c r="L2145" s="733"/>
      <c r="M2145" s="733"/>
    </row>
    <row r="2146" spans="1:13" x14ac:dyDescent="0.3">
      <c r="A2146" s="733" t="s">
        <v>2297</v>
      </c>
      <c r="B2146" s="733" t="s">
        <v>612</v>
      </c>
      <c r="C2146" s="733" t="s">
        <v>2306</v>
      </c>
      <c r="D2146" s="733" t="s">
        <v>21</v>
      </c>
      <c r="E2146" s="733" t="s">
        <v>614</v>
      </c>
      <c r="F2146" s="733" t="s">
        <v>615</v>
      </c>
      <c r="G2146" s="733"/>
      <c r="H2146" s="733"/>
      <c r="I2146" s="733"/>
      <c r="J2146" s="733"/>
      <c r="K2146" s="733"/>
      <c r="L2146" s="733"/>
      <c r="M2146" s="733"/>
    </row>
    <row r="2147" spans="1:13" x14ac:dyDescent="0.3">
      <c r="A2147" s="733" t="s">
        <v>2297</v>
      </c>
      <c r="B2147" s="733" t="s">
        <v>612</v>
      </c>
      <c r="C2147" s="733" t="s">
        <v>987</v>
      </c>
      <c r="D2147" s="733" t="s">
        <v>21</v>
      </c>
      <c r="E2147" s="733" t="s">
        <v>614</v>
      </c>
      <c r="F2147" s="733" t="s">
        <v>615</v>
      </c>
      <c r="G2147" s="733"/>
      <c r="H2147" s="733"/>
      <c r="I2147" s="733"/>
      <c r="J2147" s="733"/>
      <c r="K2147" s="733"/>
      <c r="L2147" s="733"/>
      <c r="M2147" s="733"/>
    </row>
    <row r="2148" spans="1:13" x14ac:dyDescent="0.3">
      <c r="A2148" s="733" t="s">
        <v>2297</v>
      </c>
      <c r="B2148" s="733" t="s">
        <v>612</v>
      </c>
      <c r="C2148" s="733" t="s">
        <v>2307</v>
      </c>
      <c r="D2148" s="733" t="s">
        <v>21</v>
      </c>
      <c r="E2148" s="733" t="s">
        <v>614</v>
      </c>
      <c r="F2148" s="733" t="s">
        <v>615</v>
      </c>
      <c r="G2148" s="733"/>
      <c r="H2148" s="733"/>
      <c r="I2148" s="733"/>
      <c r="J2148" s="733"/>
      <c r="K2148" s="733"/>
      <c r="L2148" s="733"/>
      <c r="M2148" s="733"/>
    </row>
    <row r="2149" spans="1:13" x14ac:dyDescent="0.3">
      <c r="A2149" s="734" t="s">
        <v>2297</v>
      </c>
      <c r="B2149" s="734" t="s">
        <v>612</v>
      </c>
      <c r="C2149" s="734" t="s">
        <v>2308</v>
      </c>
      <c r="D2149" s="734" t="s">
        <v>21</v>
      </c>
      <c r="E2149" s="734" t="s">
        <v>614</v>
      </c>
      <c r="F2149" s="734" t="s">
        <v>696</v>
      </c>
      <c r="G2149" s="733"/>
      <c r="H2149" s="733"/>
      <c r="I2149" s="733"/>
      <c r="J2149" s="733"/>
      <c r="K2149" s="733"/>
      <c r="L2149" s="733"/>
      <c r="M2149" s="733"/>
    </row>
    <row r="2150" spans="1:13" x14ac:dyDescent="0.3">
      <c r="A2150" s="733" t="s">
        <v>2297</v>
      </c>
      <c r="B2150" s="733" t="s">
        <v>612</v>
      </c>
      <c r="C2150" s="733" t="s">
        <v>2309</v>
      </c>
      <c r="D2150" s="733" t="s">
        <v>21</v>
      </c>
      <c r="E2150" s="733" t="s">
        <v>614</v>
      </c>
      <c r="F2150" s="733" t="s">
        <v>615</v>
      </c>
      <c r="G2150" s="733"/>
      <c r="H2150" s="733"/>
      <c r="I2150" s="733"/>
      <c r="J2150" s="733"/>
      <c r="K2150" s="733"/>
      <c r="L2150" s="733"/>
      <c r="M2150" s="733"/>
    </row>
    <row r="2151" spans="1:13" x14ac:dyDescent="0.3">
      <c r="A2151" s="733" t="s">
        <v>2297</v>
      </c>
      <c r="B2151" s="733" t="s">
        <v>612</v>
      </c>
      <c r="C2151" s="733" t="s">
        <v>2309</v>
      </c>
      <c r="D2151" s="733" t="s">
        <v>21</v>
      </c>
      <c r="E2151" s="733" t="s">
        <v>614</v>
      </c>
      <c r="F2151" s="733" t="s">
        <v>615</v>
      </c>
      <c r="G2151" s="733"/>
      <c r="H2151" s="733"/>
      <c r="I2151" s="733"/>
      <c r="J2151" s="733"/>
      <c r="K2151" s="733"/>
      <c r="L2151" s="733"/>
      <c r="M2151" s="733"/>
    </row>
    <row r="2152" spans="1:13" x14ac:dyDescent="0.3">
      <c r="A2152" s="733" t="s">
        <v>2297</v>
      </c>
      <c r="B2152" s="733" t="s">
        <v>612</v>
      </c>
      <c r="C2152" s="733" t="s">
        <v>2310</v>
      </c>
      <c r="D2152" s="733" t="s">
        <v>21</v>
      </c>
      <c r="E2152" s="733" t="s">
        <v>614</v>
      </c>
      <c r="F2152" s="733" t="s">
        <v>615</v>
      </c>
      <c r="G2152" s="733"/>
      <c r="H2152" s="733"/>
      <c r="I2152" s="733"/>
      <c r="J2152" s="733"/>
      <c r="K2152" s="733"/>
      <c r="L2152" s="733"/>
      <c r="M2152" s="733"/>
    </row>
    <row r="2153" spans="1:13" x14ac:dyDescent="0.3">
      <c r="A2153" s="733" t="s">
        <v>2297</v>
      </c>
      <c r="B2153" s="733" t="s">
        <v>612</v>
      </c>
      <c r="C2153" s="733" t="s">
        <v>2310</v>
      </c>
      <c r="D2153" s="733" t="s">
        <v>21</v>
      </c>
      <c r="E2153" s="733" t="s">
        <v>614</v>
      </c>
      <c r="F2153" s="733" t="s">
        <v>615</v>
      </c>
      <c r="G2153" s="733"/>
      <c r="H2153" s="733"/>
      <c r="I2153" s="733"/>
      <c r="J2153" s="733"/>
      <c r="K2153" s="733"/>
      <c r="L2153" s="733"/>
      <c r="M2153" s="733"/>
    </row>
    <row r="2154" spans="1:13" x14ac:dyDescent="0.3">
      <c r="A2154" s="733" t="s">
        <v>2297</v>
      </c>
      <c r="B2154" s="733" t="s">
        <v>612</v>
      </c>
      <c r="C2154" s="733" t="s">
        <v>2311</v>
      </c>
      <c r="D2154" s="733" t="s">
        <v>21</v>
      </c>
      <c r="E2154" s="733" t="s">
        <v>614</v>
      </c>
      <c r="F2154" s="733" t="s">
        <v>615</v>
      </c>
      <c r="G2154" s="733"/>
      <c r="H2154" s="733"/>
      <c r="I2154" s="733"/>
      <c r="J2154" s="733"/>
      <c r="K2154" s="733"/>
      <c r="L2154" s="733"/>
      <c r="M2154" s="733"/>
    </row>
    <row r="2155" spans="1:13" x14ac:dyDescent="0.3">
      <c r="A2155" s="733" t="s">
        <v>2297</v>
      </c>
      <c r="B2155" s="733" t="s">
        <v>612</v>
      </c>
      <c r="C2155" s="733" t="s">
        <v>1457</v>
      </c>
      <c r="D2155" s="733" t="s">
        <v>21</v>
      </c>
      <c r="E2155" s="733" t="s">
        <v>614</v>
      </c>
      <c r="F2155" s="733" t="s">
        <v>615</v>
      </c>
      <c r="G2155" s="733"/>
      <c r="H2155" s="733"/>
      <c r="I2155" s="733"/>
      <c r="J2155" s="733"/>
      <c r="K2155" s="733"/>
      <c r="L2155" s="733"/>
      <c r="M2155" s="733"/>
    </row>
    <row r="2156" spans="1:13" x14ac:dyDescent="0.3">
      <c r="A2156" s="733" t="s">
        <v>2297</v>
      </c>
      <c r="B2156" s="733" t="s">
        <v>612</v>
      </c>
      <c r="C2156" s="733" t="s">
        <v>2312</v>
      </c>
      <c r="D2156" s="733" t="s">
        <v>21</v>
      </c>
      <c r="E2156" s="733" t="s">
        <v>614</v>
      </c>
      <c r="F2156" s="733" t="s">
        <v>615</v>
      </c>
      <c r="G2156" s="733"/>
      <c r="H2156" s="733"/>
      <c r="I2156" s="733"/>
      <c r="J2156" s="733"/>
      <c r="K2156" s="733"/>
      <c r="L2156" s="733"/>
      <c r="M2156" s="733"/>
    </row>
    <row r="2157" spans="1:13" x14ac:dyDescent="0.3">
      <c r="A2157" s="733" t="s">
        <v>2297</v>
      </c>
      <c r="B2157" s="733" t="s">
        <v>612</v>
      </c>
      <c r="C2157" s="733" t="s">
        <v>2313</v>
      </c>
      <c r="D2157" s="733" t="s">
        <v>21</v>
      </c>
      <c r="E2157" s="733" t="s">
        <v>614</v>
      </c>
      <c r="F2157" s="733" t="s">
        <v>615</v>
      </c>
      <c r="G2157" s="733"/>
      <c r="H2157" s="733"/>
      <c r="I2157" s="733"/>
      <c r="J2157" s="733"/>
      <c r="K2157" s="733"/>
      <c r="L2157" s="733"/>
      <c r="M2157" s="733"/>
    </row>
    <row r="2158" spans="1:13" x14ac:dyDescent="0.3">
      <c r="A2158" s="733" t="s">
        <v>2297</v>
      </c>
      <c r="B2158" s="733" t="s">
        <v>612</v>
      </c>
      <c r="C2158" s="733" t="s">
        <v>2314</v>
      </c>
      <c r="D2158" s="733" t="s">
        <v>21</v>
      </c>
      <c r="E2158" s="733" t="s">
        <v>614</v>
      </c>
      <c r="F2158" s="733" t="s">
        <v>615</v>
      </c>
      <c r="G2158" s="733"/>
      <c r="H2158" s="733"/>
      <c r="I2158" s="733"/>
      <c r="J2158" s="733"/>
      <c r="K2158" s="733"/>
      <c r="L2158" s="733"/>
      <c r="M2158" s="733"/>
    </row>
    <row r="2159" spans="1:13" x14ac:dyDescent="0.3">
      <c r="A2159" s="733" t="s">
        <v>2297</v>
      </c>
      <c r="B2159" s="733" t="s">
        <v>612</v>
      </c>
      <c r="C2159" s="733" t="s">
        <v>2314</v>
      </c>
      <c r="D2159" s="733" t="s">
        <v>21</v>
      </c>
      <c r="E2159" s="733" t="s">
        <v>614</v>
      </c>
      <c r="F2159" s="733" t="s">
        <v>615</v>
      </c>
      <c r="G2159" s="733"/>
      <c r="H2159" s="733"/>
      <c r="I2159" s="733"/>
      <c r="J2159" s="733"/>
      <c r="K2159" s="733"/>
      <c r="L2159" s="733"/>
      <c r="M2159" s="733"/>
    </row>
    <row r="2160" spans="1:13" x14ac:dyDescent="0.3">
      <c r="A2160" s="733" t="s">
        <v>2297</v>
      </c>
      <c r="B2160" s="733" t="s">
        <v>612</v>
      </c>
      <c r="C2160" s="733" t="s">
        <v>1109</v>
      </c>
      <c r="D2160" s="733" t="s">
        <v>21</v>
      </c>
      <c r="E2160" s="733" t="s">
        <v>614</v>
      </c>
      <c r="F2160" s="733" t="s">
        <v>615</v>
      </c>
      <c r="G2160" s="733"/>
      <c r="H2160" s="733"/>
      <c r="I2160" s="733"/>
      <c r="J2160" s="733"/>
      <c r="K2160" s="733"/>
      <c r="L2160" s="733"/>
      <c r="M2160" s="733"/>
    </row>
    <row r="2161" spans="1:13" x14ac:dyDescent="0.3">
      <c r="A2161" s="734" t="s">
        <v>2297</v>
      </c>
      <c r="B2161" s="734" t="s">
        <v>612</v>
      </c>
      <c r="C2161" s="734" t="s">
        <v>1110</v>
      </c>
      <c r="D2161" s="734" t="s">
        <v>21</v>
      </c>
      <c r="E2161" s="734" t="s">
        <v>614</v>
      </c>
      <c r="F2161" s="734" t="s">
        <v>696</v>
      </c>
      <c r="G2161" s="733"/>
      <c r="H2161" s="733"/>
      <c r="I2161" s="733"/>
      <c r="J2161" s="733"/>
      <c r="K2161" s="733"/>
      <c r="L2161" s="733"/>
      <c r="M2161" s="733"/>
    </row>
    <row r="2162" spans="1:13" x14ac:dyDescent="0.3">
      <c r="A2162" s="733" t="s">
        <v>2297</v>
      </c>
      <c r="B2162" s="733" t="s">
        <v>612</v>
      </c>
      <c r="C2162" s="733" t="s">
        <v>2315</v>
      </c>
      <c r="D2162" s="733" t="s">
        <v>21</v>
      </c>
      <c r="E2162" s="733" t="s">
        <v>614</v>
      </c>
      <c r="F2162" s="733" t="s">
        <v>615</v>
      </c>
      <c r="G2162" s="733"/>
      <c r="H2162" s="733"/>
      <c r="I2162" s="733"/>
      <c r="J2162" s="733"/>
      <c r="K2162" s="733"/>
      <c r="L2162" s="733"/>
      <c r="M2162" s="733"/>
    </row>
    <row r="2163" spans="1:13" x14ac:dyDescent="0.3">
      <c r="A2163" s="733" t="s">
        <v>2297</v>
      </c>
      <c r="B2163" s="733" t="s">
        <v>612</v>
      </c>
      <c r="C2163" s="733" t="s">
        <v>1987</v>
      </c>
      <c r="D2163" s="733" t="s">
        <v>21</v>
      </c>
      <c r="E2163" s="733" t="s">
        <v>614</v>
      </c>
      <c r="F2163" s="733" t="s">
        <v>615</v>
      </c>
      <c r="G2163" s="733"/>
      <c r="H2163" s="733"/>
      <c r="I2163" s="733"/>
      <c r="J2163" s="733"/>
      <c r="K2163" s="733"/>
      <c r="L2163" s="733"/>
      <c r="M2163" s="733"/>
    </row>
    <row r="2164" spans="1:13" x14ac:dyDescent="0.3">
      <c r="A2164" s="733" t="s">
        <v>2297</v>
      </c>
      <c r="B2164" s="733" t="s">
        <v>612</v>
      </c>
      <c r="C2164" s="733" t="s">
        <v>2316</v>
      </c>
      <c r="D2164" s="733" t="s">
        <v>21</v>
      </c>
      <c r="E2164" s="733" t="s">
        <v>614</v>
      </c>
      <c r="F2164" s="733" t="s">
        <v>615</v>
      </c>
      <c r="G2164" s="733"/>
      <c r="H2164" s="733"/>
      <c r="I2164" s="733"/>
      <c r="J2164" s="733"/>
      <c r="K2164" s="733"/>
      <c r="L2164" s="733"/>
      <c r="M2164" s="733"/>
    </row>
    <row r="2165" spans="1:13" x14ac:dyDescent="0.3">
      <c r="A2165" s="733" t="s">
        <v>2297</v>
      </c>
      <c r="B2165" s="733" t="s">
        <v>612</v>
      </c>
      <c r="C2165" s="733" t="s">
        <v>2317</v>
      </c>
      <c r="D2165" s="733" t="s">
        <v>21</v>
      </c>
      <c r="E2165" s="733" t="s">
        <v>614</v>
      </c>
      <c r="F2165" s="733" t="s">
        <v>615</v>
      </c>
      <c r="G2165" s="733"/>
      <c r="H2165" s="733"/>
      <c r="I2165" s="733"/>
      <c r="J2165" s="733"/>
      <c r="K2165" s="733"/>
      <c r="L2165" s="733"/>
      <c r="M2165" s="733"/>
    </row>
    <row r="2166" spans="1:13" x14ac:dyDescent="0.3">
      <c r="A2166" s="733" t="s">
        <v>2297</v>
      </c>
      <c r="B2166" s="733" t="s">
        <v>612</v>
      </c>
      <c r="C2166" s="733" t="s">
        <v>2318</v>
      </c>
      <c r="D2166" s="733" t="s">
        <v>21</v>
      </c>
      <c r="E2166" s="733" t="s">
        <v>614</v>
      </c>
      <c r="F2166" s="733" t="s">
        <v>615</v>
      </c>
      <c r="G2166" s="733"/>
      <c r="H2166" s="733"/>
      <c r="I2166" s="733"/>
      <c r="J2166" s="733"/>
      <c r="K2166" s="733"/>
      <c r="L2166" s="733"/>
      <c r="M2166" s="733"/>
    </row>
    <row r="2167" spans="1:13" x14ac:dyDescent="0.3">
      <c r="A2167" s="733" t="s">
        <v>2297</v>
      </c>
      <c r="B2167" s="733" t="s">
        <v>612</v>
      </c>
      <c r="C2167" s="733" t="s">
        <v>2318</v>
      </c>
      <c r="D2167" s="733" t="s">
        <v>21</v>
      </c>
      <c r="E2167" s="733" t="s">
        <v>614</v>
      </c>
      <c r="F2167" s="733" t="s">
        <v>615</v>
      </c>
      <c r="G2167" s="733"/>
      <c r="H2167" s="733"/>
      <c r="I2167" s="733"/>
      <c r="J2167" s="733"/>
      <c r="K2167" s="733"/>
      <c r="L2167" s="733"/>
      <c r="M2167" s="733"/>
    </row>
    <row r="2168" spans="1:13" x14ac:dyDescent="0.3">
      <c r="A2168" s="733" t="s">
        <v>2297</v>
      </c>
      <c r="B2168" s="733" t="s">
        <v>612</v>
      </c>
      <c r="C2168" s="733" t="s">
        <v>2319</v>
      </c>
      <c r="D2168" s="733" t="s">
        <v>21</v>
      </c>
      <c r="E2168" s="733" t="s">
        <v>614</v>
      </c>
      <c r="F2168" s="733" t="s">
        <v>615</v>
      </c>
      <c r="G2168" s="733"/>
      <c r="H2168" s="733"/>
      <c r="I2168" s="733"/>
      <c r="J2168" s="733"/>
      <c r="K2168" s="733"/>
      <c r="L2168" s="733"/>
      <c r="M2168" s="733"/>
    </row>
    <row r="2169" spans="1:13" x14ac:dyDescent="0.3">
      <c r="A2169" s="733" t="s">
        <v>2297</v>
      </c>
      <c r="B2169" s="733" t="s">
        <v>612</v>
      </c>
      <c r="C2169" s="733" t="s">
        <v>2319</v>
      </c>
      <c r="D2169" s="733" t="s">
        <v>21</v>
      </c>
      <c r="E2169" s="733" t="s">
        <v>614</v>
      </c>
      <c r="F2169" s="733" t="s">
        <v>615</v>
      </c>
      <c r="G2169" s="733"/>
      <c r="H2169" s="733"/>
      <c r="I2169" s="733"/>
      <c r="J2169" s="733"/>
      <c r="K2169" s="733"/>
      <c r="L2169" s="733"/>
      <c r="M2169" s="733"/>
    </row>
    <row r="2170" spans="1:13" x14ac:dyDescent="0.3">
      <c r="A2170" s="733" t="s">
        <v>2297</v>
      </c>
      <c r="B2170" s="733" t="s">
        <v>612</v>
      </c>
      <c r="C2170" s="733" t="s">
        <v>2320</v>
      </c>
      <c r="D2170" s="733" t="s">
        <v>21</v>
      </c>
      <c r="E2170" s="733" t="s">
        <v>614</v>
      </c>
      <c r="F2170" s="733" t="s">
        <v>615</v>
      </c>
      <c r="G2170" s="733"/>
      <c r="H2170" s="733"/>
      <c r="I2170" s="733"/>
      <c r="J2170" s="733"/>
      <c r="K2170" s="733"/>
      <c r="L2170" s="733"/>
      <c r="M2170" s="733"/>
    </row>
    <row r="2171" spans="1:13" x14ac:dyDescent="0.3">
      <c r="A2171" s="733" t="s">
        <v>2297</v>
      </c>
      <c r="B2171" s="733" t="s">
        <v>645</v>
      </c>
      <c r="C2171" s="733" t="s">
        <v>2321</v>
      </c>
      <c r="D2171" s="733" t="s">
        <v>21</v>
      </c>
      <c r="E2171" s="733" t="s">
        <v>614</v>
      </c>
      <c r="F2171" s="733" t="s">
        <v>615</v>
      </c>
      <c r="G2171" s="733"/>
      <c r="H2171" s="733"/>
      <c r="I2171" s="733"/>
      <c r="J2171" s="733"/>
      <c r="K2171" s="733"/>
      <c r="L2171" s="733"/>
      <c r="M2171" s="733"/>
    </row>
    <row r="2172" spans="1:13" x14ac:dyDescent="0.3">
      <c r="A2172" s="733" t="s">
        <v>2297</v>
      </c>
      <c r="B2172" s="733" t="s">
        <v>645</v>
      </c>
      <c r="C2172" s="733" t="s">
        <v>2321</v>
      </c>
      <c r="D2172" s="733" t="s">
        <v>21</v>
      </c>
      <c r="E2172" s="733" t="s">
        <v>614</v>
      </c>
      <c r="F2172" s="733" t="s">
        <v>615</v>
      </c>
      <c r="G2172" s="733"/>
      <c r="H2172" s="733"/>
      <c r="I2172" s="733"/>
      <c r="J2172" s="733"/>
      <c r="K2172" s="733"/>
      <c r="L2172" s="733"/>
      <c r="M2172" s="733"/>
    </row>
    <row r="2173" spans="1:13" x14ac:dyDescent="0.3">
      <c r="A2173" s="733" t="s">
        <v>2297</v>
      </c>
      <c r="B2173" s="733" t="s">
        <v>645</v>
      </c>
      <c r="C2173" s="733" t="s">
        <v>2322</v>
      </c>
      <c r="D2173" s="733" t="s">
        <v>21</v>
      </c>
      <c r="E2173" s="733" t="s">
        <v>614</v>
      </c>
      <c r="F2173" s="733" t="s">
        <v>615</v>
      </c>
      <c r="G2173" s="733"/>
      <c r="H2173" s="733"/>
      <c r="I2173" s="733"/>
      <c r="J2173" s="733"/>
      <c r="K2173" s="733"/>
      <c r="L2173" s="733"/>
      <c r="M2173" s="733"/>
    </row>
    <row r="2174" spans="1:13" x14ac:dyDescent="0.3">
      <c r="A2174" s="733" t="s">
        <v>2297</v>
      </c>
      <c r="B2174" s="733" t="s">
        <v>645</v>
      </c>
      <c r="C2174" s="733" t="s">
        <v>2322</v>
      </c>
      <c r="D2174" s="733" t="s">
        <v>21</v>
      </c>
      <c r="E2174" s="733" t="s">
        <v>614</v>
      </c>
      <c r="F2174" s="733" t="s">
        <v>615</v>
      </c>
      <c r="G2174" s="733"/>
      <c r="H2174" s="733"/>
      <c r="I2174" s="733"/>
      <c r="J2174" s="733"/>
      <c r="K2174" s="733"/>
      <c r="L2174" s="733"/>
      <c r="M2174" s="733"/>
    </row>
    <row r="2175" spans="1:13" x14ac:dyDescent="0.3">
      <c r="A2175" s="733" t="s">
        <v>2297</v>
      </c>
      <c r="B2175" s="733" t="s">
        <v>645</v>
      </c>
      <c r="C2175" s="733" t="s">
        <v>1742</v>
      </c>
      <c r="D2175" s="733" t="s">
        <v>21</v>
      </c>
      <c r="E2175" s="733" t="s">
        <v>614</v>
      </c>
      <c r="F2175" s="733" t="s">
        <v>615</v>
      </c>
      <c r="G2175" s="733"/>
      <c r="H2175" s="733"/>
      <c r="I2175" s="733"/>
      <c r="J2175" s="733"/>
      <c r="K2175" s="733"/>
      <c r="L2175" s="733"/>
      <c r="M2175" s="733"/>
    </row>
    <row r="2176" spans="1:13" x14ac:dyDescent="0.3">
      <c r="A2176" s="733" t="s">
        <v>2297</v>
      </c>
      <c r="B2176" s="733" t="s">
        <v>645</v>
      </c>
      <c r="C2176" s="733" t="s">
        <v>2323</v>
      </c>
      <c r="D2176" s="733" t="s">
        <v>21</v>
      </c>
      <c r="E2176" s="733" t="s">
        <v>614</v>
      </c>
      <c r="F2176" s="733" t="s">
        <v>615</v>
      </c>
      <c r="G2176" s="733"/>
      <c r="H2176" s="733"/>
      <c r="I2176" s="733"/>
      <c r="J2176" s="733"/>
      <c r="K2176" s="733"/>
      <c r="L2176" s="733"/>
      <c r="M2176" s="733"/>
    </row>
    <row r="2177" spans="1:13" x14ac:dyDescent="0.3">
      <c r="A2177" s="733" t="s">
        <v>2297</v>
      </c>
      <c r="B2177" s="733" t="s">
        <v>645</v>
      </c>
      <c r="C2177" s="733" t="s">
        <v>2324</v>
      </c>
      <c r="D2177" s="733" t="s">
        <v>21</v>
      </c>
      <c r="E2177" s="733" t="s">
        <v>614</v>
      </c>
      <c r="F2177" s="733" t="s">
        <v>615</v>
      </c>
      <c r="G2177" s="733"/>
      <c r="H2177" s="733"/>
      <c r="I2177" s="733"/>
      <c r="J2177" s="733"/>
      <c r="K2177" s="733"/>
      <c r="L2177" s="733"/>
      <c r="M2177" s="733"/>
    </row>
    <row r="2178" spans="1:13" x14ac:dyDescent="0.3">
      <c r="A2178" s="733" t="s">
        <v>2297</v>
      </c>
      <c r="B2178" s="733" t="s">
        <v>645</v>
      </c>
      <c r="C2178" s="733" t="s">
        <v>2324</v>
      </c>
      <c r="D2178" s="733" t="s">
        <v>21</v>
      </c>
      <c r="E2178" s="733" t="s">
        <v>614</v>
      </c>
      <c r="F2178" s="733" t="s">
        <v>615</v>
      </c>
      <c r="G2178" s="733"/>
      <c r="H2178" s="733"/>
      <c r="I2178" s="733"/>
      <c r="J2178" s="733"/>
      <c r="K2178" s="733"/>
      <c r="L2178" s="733"/>
      <c r="M2178" s="733"/>
    </row>
    <row r="2179" spans="1:13" x14ac:dyDescent="0.3">
      <c r="A2179" s="733" t="s">
        <v>2297</v>
      </c>
      <c r="B2179" s="733" t="s">
        <v>645</v>
      </c>
      <c r="C2179" s="733" t="s">
        <v>2325</v>
      </c>
      <c r="D2179" s="733" t="s">
        <v>21</v>
      </c>
      <c r="E2179" s="733" t="s">
        <v>614</v>
      </c>
      <c r="F2179" s="733" t="s">
        <v>615</v>
      </c>
      <c r="G2179" s="733"/>
      <c r="H2179" s="733"/>
      <c r="I2179" s="733"/>
      <c r="J2179" s="733"/>
      <c r="K2179" s="733"/>
      <c r="L2179" s="733"/>
      <c r="M2179" s="733"/>
    </row>
    <row r="2180" spans="1:13" x14ac:dyDescent="0.3">
      <c r="A2180" s="733" t="s">
        <v>2297</v>
      </c>
      <c r="B2180" s="733" t="s">
        <v>645</v>
      </c>
      <c r="C2180" s="733" t="s">
        <v>2325</v>
      </c>
      <c r="D2180" s="733" t="s">
        <v>21</v>
      </c>
      <c r="E2180" s="733" t="s">
        <v>614</v>
      </c>
      <c r="F2180" s="733" t="s">
        <v>615</v>
      </c>
      <c r="G2180" s="733"/>
      <c r="H2180" s="733"/>
      <c r="I2180" s="733"/>
      <c r="J2180" s="733"/>
      <c r="K2180" s="733"/>
      <c r="L2180" s="733"/>
      <c r="M2180" s="733"/>
    </row>
    <row r="2181" spans="1:13" x14ac:dyDescent="0.3">
      <c r="A2181" s="733" t="s">
        <v>2297</v>
      </c>
      <c r="B2181" s="733" t="s">
        <v>645</v>
      </c>
      <c r="C2181" s="733" t="s">
        <v>2326</v>
      </c>
      <c r="D2181" s="733" t="s">
        <v>21</v>
      </c>
      <c r="E2181" s="733" t="s">
        <v>614</v>
      </c>
      <c r="F2181" s="733" t="s">
        <v>615</v>
      </c>
      <c r="G2181" s="733"/>
      <c r="H2181" s="733"/>
      <c r="I2181" s="733"/>
      <c r="J2181" s="733"/>
      <c r="K2181" s="733"/>
      <c r="L2181" s="733"/>
      <c r="M2181" s="733"/>
    </row>
    <row r="2182" spans="1:13" x14ac:dyDescent="0.3">
      <c r="A2182" s="733" t="s">
        <v>2297</v>
      </c>
      <c r="B2182" s="733" t="s">
        <v>645</v>
      </c>
      <c r="C2182" s="733" t="s">
        <v>2327</v>
      </c>
      <c r="D2182" s="733" t="s">
        <v>21</v>
      </c>
      <c r="E2182" s="733" t="s">
        <v>614</v>
      </c>
      <c r="F2182" s="733" t="s">
        <v>615</v>
      </c>
      <c r="G2182" s="733"/>
      <c r="H2182" s="733"/>
      <c r="I2182" s="733"/>
      <c r="J2182" s="733"/>
      <c r="K2182" s="733"/>
      <c r="L2182" s="733"/>
      <c r="M2182" s="733"/>
    </row>
    <row r="2183" spans="1:13" x14ac:dyDescent="0.3">
      <c r="A2183" s="733" t="s">
        <v>2297</v>
      </c>
      <c r="B2183" s="733" t="s">
        <v>645</v>
      </c>
      <c r="C2183" s="733" t="s">
        <v>2327</v>
      </c>
      <c r="D2183" s="733" t="s">
        <v>21</v>
      </c>
      <c r="E2183" s="733" t="s">
        <v>614</v>
      </c>
      <c r="F2183" s="733" t="s">
        <v>615</v>
      </c>
      <c r="G2183" s="733"/>
      <c r="H2183" s="733"/>
      <c r="I2183" s="733"/>
      <c r="J2183" s="733"/>
      <c r="K2183" s="733"/>
      <c r="L2183" s="733"/>
      <c r="M2183" s="733"/>
    </row>
    <row r="2184" spans="1:13" x14ac:dyDescent="0.3">
      <c r="A2184" s="733" t="s">
        <v>2297</v>
      </c>
      <c r="B2184" s="733" t="s">
        <v>645</v>
      </c>
      <c r="C2184" s="733" t="s">
        <v>948</v>
      </c>
      <c r="D2184" s="733" t="s">
        <v>21</v>
      </c>
      <c r="E2184" s="733" t="s">
        <v>614</v>
      </c>
      <c r="F2184" s="733" t="s">
        <v>615</v>
      </c>
      <c r="G2184" s="733"/>
      <c r="H2184" s="733"/>
      <c r="I2184" s="733"/>
      <c r="J2184" s="733"/>
      <c r="K2184" s="733"/>
      <c r="L2184" s="733"/>
      <c r="M2184" s="733"/>
    </row>
    <row r="2185" spans="1:13" x14ac:dyDescent="0.3">
      <c r="A2185" s="733" t="s">
        <v>2297</v>
      </c>
      <c r="B2185" s="733" t="s">
        <v>645</v>
      </c>
      <c r="C2185" s="733" t="s">
        <v>2328</v>
      </c>
      <c r="D2185" s="733" t="s">
        <v>21</v>
      </c>
      <c r="E2185" s="733" t="s">
        <v>614</v>
      </c>
      <c r="F2185" s="733" t="s">
        <v>615</v>
      </c>
      <c r="G2185" s="733"/>
      <c r="H2185" s="733"/>
      <c r="I2185" s="733"/>
      <c r="J2185" s="733"/>
      <c r="K2185" s="733"/>
      <c r="L2185" s="733"/>
      <c r="M2185" s="733"/>
    </row>
    <row r="2186" spans="1:13" x14ac:dyDescent="0.3">
      <c r="A2186" s="733" t="s">
        <v>2297</v>
      </c>
      <c r="B2186" s="733" t="s">
        <v>645</v>
      </c>
      <c r="C2186" s="733" t="s">
        <v>2328</v>
      </c>
      <c r="D2186" s="733" t="s">
        <v>21</v>
      </c>
      <c r="E2186" s="733" t="s">
        <v>614</v>
      </c>
      <c r="F2186" s="733" t="s">
        <v>615</v>
      </c>
      <c r="G2186" s="733"/>
      <c r="H2186" s="733"/>
      <c r="I2186" s="733"/>
      <c r="J2186" s="733"/>
      <c r="K2186" s="733"/>
      <c r="L2186" s="733"/>
      <c r="M2186" s="733"/>
    </row>
    <row r="2187" spans="1:13" x14ac:dyDescent="0.3">
      <c r="A2187" s="733" t="s">
        <v>2297</v>
      </c>
      <c r="B2187" s="733" t="s">
        <v>645</v>
      </c>
      <c r="C2187" s="733" t="s">
        <v>2329</v>
      </c>
      <c r="D2187" s="733" t="s">
        <v>21</v>
      </c>
      <c r="E2187" s="733" t="s">
        <v>614</v>
      </c>
      <c r="F2187" s="733" t="s">
        <v>615</v>
      </c>
      <c r="G2187" s="733"/>
      <c r="H2187" s="733"/>
      <c r="I2187" s="733"/>
      <c r="J2187" s="733"/>
      <c r="K2187" s="733"/>
      <c r="L2187" s="733"/>
      <c r="M2187" s="733"/>
    </row>
    <row r="2188" spans="1:13" x14ac:dyDescent="0.3">
      <c r="A2188" s="733" t="s">
        <v>2297</v>
      </c>
      <c r="B2188" s="733" t="s">
        <v>645</v>
      </c>
      <c r="C2188" s="733" t="s">
        <v>1749</v>
      </c>
      <c r="D2188" s="733" t="s">
        <v>21</v>
      </c>
      <c r="E2188" s="733" t="s">
        <v>614</v>
      </c>
      <c r="F2188" s="733" t="s">
        <v>615</v>
      </c>
      <c r="G2188" s="733"/>
      <c r="H2188" s="733"/>
      <c r="I2188" s="733"/>
      <c r="J2188" s="733"/>
      <c r="K2188" s="733"/>
      <c r="L2188" s="733"/>
      <c r="M2188" s="733"/>
    </row>
    <row r="2189" spans="1:13" x14ac:dyDescent="0.3">
      <c r="A2189" s="734" t="s">
        <v>2297</v>
      </c>
      <c r="B2189" s="734" t="s">
        <v>645</v>
      </c>
      <c r="C2189" s="734" t="s">
        <v>2330</v>
      </c>
      <c r="D2189" s="734" t="s">
        <v>21</v>
      </c>
      <c r="E2189" s="734" t="s">
        <v>614</v>
      </c>
      <c r="F2189" s="734" t="s">
        <v>736</v>
      </c>
      <c r="G2189" s="733"/>
      <c r="H2189" s="733"/>
      <c r="I2189" s="733"/>
      <c r="J2189" s="733"/>
      <c r="K2189" s="733"/>
      <c r="L2189" s="733"/>
      <c r="M2189" s="733"/>
    </row>
    <row r="2190" spans="1:13" x14ac:dyDescent="0.3">
      <c r="A2190" s="734" t="s">
        <v>2297</v>
      </c>
      <c r="B2190" s="734" t="s">
        <v>645</v>
      </c>
      <c r="C2190" s="734" t="s">
        <v>2330</v>
      </c>
      <c r="D2190" s="734" t="s">
        <v>21</v>
      </c>
      <c r="E2190" s="734" t="s">
        <v>614</v>
      </c>
      <c r="F2190" s="734" t="s">
        <v>736</v>
      </c>
      <c r="G2190" s="733"/>
      <c r="H2190" s="733"/>
      <c r="I2190" s="733"/>
      <c r="J2190" s="733"/>
      <c r="K2190" s="733"/>
      <c r="L2190" s="733"/>
      <c r="M2190" s="733"/>
    </row>
    <row r="2191" spans="1:13" x14ac:dyDescent="0.3">
      <c r="A2191" s="733" t="s">
        <v>2297</v>
      </c>
      <c r="B2191" s="733" t="s">
        <v>645</v>
      </c>
      <c r="C2191" s="733" t="s">
        <v>2331</v>
      </c>
      <c r="D2191" s="733" t="s">
        <v>21</v>
      </c>
      <c r="E2191" s="733" t="s">
        <v>614</v>
      </c>
      <c r="F2191" s="733" t="s">
        <v>615</v>
      </c>
      <c r="G2191" s="733"/>
      <c r="H2191" s="733"/>
      <c r="I2191" s="733"/>
      <c r="J2191" s="733"/>
      <c r="K2191" s="733"/>
      <c r="L2191" s="733"/>
      <c r="M2191" s="733"/>
    </row>
    <row r="2192" spans="1:13" x14ac:dyDescent="0.3">
      <c r="A2192" s="733" t="s">
        <v>2297</v>
      </c>
      <c r="B2192" s="733" t="s">
        <v>645</v>
      </c>
      <c r="C2192" s="733" t="s">
        <v>2331</v>
      </c>
      <c r="D2192" s="733" t="s">
        <v>21</v>
      </c>
      <c r="E2192" s="733" t="s">
        <v>614</v>
      </c>
      <c r="F2192" s="733" t="s">
        <v>615</v>
      </c>
      <c r="G2192" s="733"/>
      <c r="H2192" s="733"/>
      <c r="I2192" s="733"/>
      <c r="J2192" s="733"/>
      <c r="K2192" s="733"/>
      <c r="L2192" s="733"/>
      <c r="M2192" s="733"/>
    </row>
    <row r="2193" spans="1:13" x14ac:dyDescent="0.3">
      <c r="A2193" s="733" t="s">
        <v>2297</v>
      </c>
      <c r="B2193" s="733" t="s">
        <v>645</v>
      </c>
      <c r="C2193" s="733" t="s">
        <v>2332</v>
      </c>
      <c r="D2193" s="733" t="s">
        <v>21</v>
      </c>
      <c r="E2193" s="733" t="s">
        <v>614</v>
      </c>
      <c r="F2193" s="733" t="s">
        <v>615</v>
      </c>
      <c r="G2193" s="733"/>
      <c r="H2193" s="733"/>
      <c r="I2193" s="733"/>
      <c r="J2193" s="733"/>
      <c r="K2193" s="733"/>
      <c r="L2193" s="733"/>
      <c r="M2193" s="733"/>
    </row>
    <row r="2194" spans="1:13" x14ac:dyDescent="0.3">
      <c r="A2194" s="733" t="s">
        <v>2297</v>
      </c>
      <c r="B2194" s="733" t="s">
        <v>645</v>
      </c>
      <c r="C2194" s="733" t="s">
        <v>2332</v>
      </c>
      <c r="D2194" s="733" t="s">
        <v>21</v>
      </c>
      <c r="E2194" s="733" t="s">
        <v>614</v>
      </c>
      <c r="F2194" s="733" t="s">
        <v>615</v>
      </c>
      <c r="G2194" s="733"/>
      <c r="H2194" s="733"/>
      <c r="I2194" s="733"/>
      <c r="J2194" s="733"/>
      <c r="K2194" s="733"/>
      <c r="L2194" s="733"/>
      <c r="M2194" s="733"/>
    </row>
    <row r="2195" spans="1:13" x14ac:dyDescent="0.3">
      <c r="A2195" s="733" t="s">
        <v>2297</v>
      </c>
      <c r="B2195" s="733" t="s">
        <v>664</v>
      </c>
      <c r="C2195" s="733" t="s">
        <v>2333</v>
      </c>
      <c r="D2195" s="733" t="s">
        <v>21</v>
      </c>
      <c r="E2195" s="733" t="s">
        <v>614</v>
      </c>
      <c r="F2195" s="733" t="s">
        <v>615</v>
      </c>
      <c r="G2195" s="733"/>
      <c r="H2195" s="733"/>
      <c r="I2195" s="733"/>
      <c r="J2195" s="733"/>
      <c r="K2195" s="733"/>
      <c r="L2195" s="733"/>
      <c r="M2195" s="733"/>
    </row>
    <row r="2196" spans="1:13" x14ac:dyDescent="0.3">
      <c r="A2196" s="733" t="s">
        <v>2297</v>
      </c>
      <c r="B2196" s="733" t="s">
        <v>664</v>
      </c>
      <c r="C2196" s="733" t="s">
        <v>2334</v>
      </c>
      <c r="D2196" s="733" t="s">
        <v>21</v>
      </c>
      <c r="E2196" s="733" t="s">
        <v>614</v>
      </c>
      <c r="F2196" s="733" t="s">
        <v>615</v>
      </c>
      <c r="G2196" s="733"/>
      <c r="H2196" s="733"/>
      <c r="I2196" s="733"/>
      <c r="J2196" s="733"/>
      <c r="K2196" s="733"/>
      <c r="L2196" s="733"/>
      <c r="M2196" s="733"/>
    </row>
    <row r="2197" spans="1:13" x14ac:dyDescent="0.3">
      <c r="A2197" s="733" t="s">
        <v>2297</v>
      </c>
      <c r="B2197" s="733" t="s">
        <v>664</v>
      </c>
      <c r="C2197" s="733" t="s">
        <v>2335</v>
      </c>
      <c r="D2197" s="733" t="s">
        <v>21</v>
      </c>
      <c r="E2197" s="733" t="s">
        <v>614</v>
      </c>
      <c r="F2197" s="733" t="s">
        <v>615</v>
      </c>
      <c r="G2197" s="733"/>
      <c r="H2197" s="733"/>
      <c r="I2197" s="733"/>
      <c r="J2197" s="733"/>
      <c r="K2197" s="733"/>
      <c r="L2197" s="733"/>
      <c r="M2197" s="733"/>
    </row>
    <row r="2198" spans="1:13" x14ac:dyDescent="0.3">
      <c r="A2198" s="733" t="s">
        <v>2297</v>
      </c>
      <c r="B2198" s="733" t="s">
        <v>664</v>
      </c>
      <c r="C2198" s="733" t="s">
        <v>2335</v>
      </c>
      <c r="D2198" s="733" t="s">
        <v>21</v>
      </c>
      <c r="E2198" s="733" t="s">
        <v>614</v>
      </c>
      <c r="F2198" s="733" t="s">
        <v>615</v>
      </c>
      <c r="G2198" s="733"/>
      <c r="H2198" s="733"/>
      <c r="I2198" s="733"/>
      <c r="J2198" s="733"/>
      <c r="K2198" s="733"/>
      <c r="L2198" s="733"/>
      <c r="M2198" s="733"/>
    </row>
    <row r="2199" spans="1:13" x14ac:dyDescent="0.3">
      <c r="A2199" s="733" t="s">
        <v>2297</v>
      </c>
      <c r="B2199" s="733" t="s">
        <v>664</v>
      </c>
      <c r="C2199" s="733" t="s">
        <v>2336</v>
      </c>
      <c r="D2199" s="733" t="s">
        <v>21</v>
      </c>
      <c r="E2199" s="733" t="s">
        <v>614</v>
      </c>
      <c r="F2199" s="733" t="s">
        <v>615</v>
      </c>
      <c r="G2199" s="733"/>
      <c r="H2199" s="733"/>
      <c r="I2199" s="733"/>
      <c r="J2199" s="733"/>
      <c r="K2199" s="733"/>
      <c r="L2199" s="733"/>
      <c r="M2199" s="733"/>
    </row>
    <row r="2200" spans="1:13" x14ac:dyDescent="0.3">
      <c r="A2200" s="733" t="s">
        <v>2297</v>
      </c>
      <c r="B2200" s="733" t="s">
        <v>664</v>
      </c>
      <c r="C2200" s="733" t="s">
        <v>2336</v>
      </c>
      <c r="D2200" s="733" t="s">
        <v>21</v>
      </c>
      <c r="E2200" s="733" t="s">
        <v>614</v>
      </c>
      <c r="F2200" s="733" t="s">
        <v>615</v>
      </c>
      <c r="G2200" s="733"/>
      <c r="H2200" s="733"/>
      <c r="I2200" s="733"/>
      <c r="J2200" s="733"/>
      <c r="K2200" s="733"/>
      <c r="L2200" s="733"/>
      <c r="M2200" s="733"/>
    </row>
    <row r="2201" spans="1:13" x14ac:dyDescent="0.3">
      <c r="A2201" s="733" t="s">
        <v>2297</v>
      </c>
      <c r="B2201" s="733" t="s">
        <v>664</v>
      </c>
      <c r="C2201" s="733" t="s">
        <v>2337</v>
      </c>
      <c r="D2201" s="733" t="s">
        <v>21</v>
      </c>
      <c r="E2201" s="733" t="s">
        <v>614</v>
      </c>
      <c r="F2201" s="733" t="s">
        <v>615</v>
      </c>
      <c r="G2201" s="733"/>
      <c r="H2201" s="733"/>
      <c r="I2201" s="733"/>
      <c r="J2201" s="733"/>
      <c r="K2201" s="733"/>
      <c r="L2201" s="733"/>
      <c r="M2201" s="733"/>
    </row>
    <row r="2202" spans="1:13" x14ac:dyDescent="0.3">
      <c r="A2202" s="733" t="s">
        <v>2297</v>
      </c>
      <c r="B2202" s="733" t="s">
        <v>664</v>
      </c>
      <c r="C2202" s="733" t="s">
        <v>1652</v>
      </c>
      <c r="D2202" s="733" t="s">
        <v>21</v>
      </c>
      <c r="E2202" s="733" t="s">
        <v>614</v>
      </c>
      <c r="F2202" s="733" t="s">
        <v>615</v>
      </c>
      <c r="G2202" s="733"/>
      <c r="H2202" s="733"/>
      <c r="I2202" s="733"/>
      <c r="J2202" s="733"/>
      <c r="K2202" s="733"/>
      <c r="L2202" s="733"/>
      <c r="M2202" s="733"/>
    </row>
    <row r="2203" spans="1:13" x14ac:dyDescent="0.3">
      <c r="A2203" s="733" t="s">
        <v>2297</v>
      </c>
      <c r="B2203" s="733" t="s">
        <v>664</v>
      </c>
      <c r="C2203" s="733" t="s">
        <v>1652</v>
      </c>
      <c r="D2203" s="733" t="s">
        <v>21</v>
      </c>
      <c r="E2203" s="733" t="s">
        <v>614</v>
      </c>
      <c r="F2203" s="733" t="s">
        <v>615</v>
      </c>
      <c r="G2203" s="733"/>
      <c r="H2203" s="733"/>
      <c r="I2203" s="733"/>
      <c r="J2203" s="733"/>
      <c r="K2203" s="733"/>
      <c r="L2203" s="733"/>
      <c r="M2203" s="733"/>
    </row>
    <row r="2204" spans="1:13" x14ac:dyDescent="0.3">
      <c r="A2204" s="733" t="s">
        <v>2297</v>
      </c>
      <c r="B2204" s="733" t="s">
        <v>664</v>
      </c>
      <c r="C2204" s="733" t="s">
        <v>2338</v>
      </c>
      <c r="D2204" s="733" t="s">
        <v>21</v>
      </c>
      <c r="E2204" s="733" t="s">
        <v>614</v>
      </c>
      <c r="F2204" s="733" t="s">
        <v>615</v>
      </c>
      <c r="G2204" s="733"/>
      <c r="H2204" s="733"/>
      <c r="I2204" s="733"/>
      <c r="J2204" s="733"/>
      <c r="K2204" s="733"/>
      <c r="L2204" s="733"/>
      <c r="M2204" s="733"/>
    </row>
    <row r="2205" spans="1:13" x14ac:dyDescent="0.3">
      <c r="A2205" s="733" t="s">
        <v>2297</v>
      </c>
      <c r="B2205" s="733" t="s">
        <v>664</v>
      </c>
      <c r="C2205" s="733" t="s">
        <v>2338</v>
      </c>
      <c r="D2205" s="733" t="s">
        <v>21</v>
      </c>
      <c r="E2205" s="733" t="s">
        <v>614</v>
      </c>
      <c r="F2205" s="733" t="s">
        <v>615</v>
      </c>
      <c r="G2205" s="733"/>
      <c r="H2205" s="733"/>
      <c r="I2205" s="733"/>
      <c r="J2205" s="733"/>
      <c r="K2205" s="733"/>
      <c r="L2205" s="733"/>
      <c r="M2205" s="733"/>
    </row>
    <row r="2206" spans="1:13" x14ac:dyDescent="0.3">
      <c r="A2206" s="733" t="s">
        <v>2297</v>
      </c>
      <c r="B2206" s="733" t="s">
        <v>664</v>
      </c>
      <c r="C2206" s="733" t="s">
        <v>1753</v>
      </c>
      <c r="D2206" s="733" t="s">
        <v>21</v>
      </c>
      <c r="E2206" s="733" t="s">
        <v>614</v>
      </c>
      <c r="F2206" s="733" t="s">
        <v>615</v>
      </c>
      <c r="G2206" s="733"/>
      <c r="H2206" s="733"/>
      <c r="I2206" s="733"/>
      <c r="J2206" s="733"/>
      <c r="K2206" s="733"/>
      <c r="L2206" s="733"/>
      <c r="M2206" s="733"/>
    </row>
    <row r="2207" spans="1:13" x14ac:dyDescent="0.3">
      <c r="A2207" s="733" t="s">
        <v>2297</v>
      </c>
      <c r="B2207" s="733" t="s">
        <v>664</v>
      </c>
      <c r="C2207" s="733" t="s">
        <v>1753</v>
      </c>
      <c r="D2207" s="733" t="s">
        <v>21</v>
      </c>
      <c r="E2207" s="733" t="s">
        <v>614</v>
      </c>
      <c r="F2207" s="733" t="s">
        <v>615</v>
      </c>
      <c r="G2207" s="733"/>
      <c r="H2207" s="733"/>
      <c r="I2207" s="733"/>
      <c r="J2207" s="733"/>
      <c r="K2207" s="733"/>
      <c r="L2207" s="733"/>
      <c r="M2207" s="733"/>
    </row>
    <row r="2208" spans="1:13" x14ac:dyDescent="0.3">
      <c r="A2208" s="733" t="s">
        <v>2339</v>
      </c>
      <c r="B2208" s="733" t="s">
        <v>612</v>
      </c>
      <c r="C2208" s="733" t="s">
        <v>909</v>
      </c>
      <c r="D2208" s="733" t="s">
        <v>21</v>
      </c>
      <c r="E2208" s="733" t="s">
        <v>614</v>
      </c>
      <c r="F2208" s="733" t="s">
        <v>615</v>
      </c>
      <c r="G2208" s="733"/>
      <c r="H2208" s="733"/>
      <c r="I2208" s="733"/>
      <c r="J2208" s="733"/>
      <c r="K2208" s="733"/>
      <c r="L2208" s="733"/>
      <c r="M2208" s="733"/>
    </row>
    <row r="2209" spans="1:13" x14ac:dyDescent="0.3">
      <c r="A2209" s="733" t="s">
        <v>2339</v>
      </c>
      <c r="B2209" s="733" t="s">
        <v>612</v>
      </c>
      <c r="C2209" s="733" t="s">
        <v>911</v>
      </c>
      <c r="D2209" s="733" t="s">
        <v>21</v>
      </c>
      <c r="E2209" s="733" t="s">
        <v>614</v>
      </c>
      <c r="F2209" s="733" t="s">
        <v>615</v>
      </c>
      <c r="G2209" s="733"/>
      <c r="H2209" s="733"/>
      <c r="I2209" s="733"/>
      <c r="J2209" s="733"/>
      <c r="K2209" s="733"/>
      <c r="L2209" s="733"/>
      <c r="M2209" s="733"/>
    </row>
    <row r="2210" spans="1:13" x14ac:dyDescent="0.3">
      <c r="A2210" s="733" t="s">
        <v>2339</v>
      </c>
      <c r="B2210" s="733" t="s">
        <v>612</v>
      </c>
      <c r="C2210" s="733" t="s">
        <v>1164</v>
      </c>
      <c r="D2210" s="733" t="s">
        <v>21</v>
      </c>
      <c r="E2210" s="733" t="s">
        <v>614</v>
      </c>
      <c r="F2210" s="733" t="s">
        <v>615</v>
      </c>
      <c r="G2210" s="733"/>
      <c r="H2210" s="733"/>
      <c r="I2210" s="733"/>
      <c r="J2210" s="733"/>
      <c r="K2210" s="733"/>
      <c r="L2210" s="733"/>
      <c r="M2210" s="733"/>
    </row>
    <row r="2211" spans="1:13" x14ac:dyDescent="0.3">
      <c r="A2211" s="733" t="s">
        <v>2339</v>
      </c>
      <c r="B2211" s="733" t="s">
        <v>612</v>
      </c>
      <c r="C2211" s="733" t="s">
        <v>1605</v>
      </c>
      <c r="D2211" s="733" t="s">
        <v>21</v>
      </c>
      <c r="E2211" s="733" t="s">
        <v>614</v>
      </c>
      <c r="F2211" s="733" t="s">
        <v>615</v>
      </c>
      <c r="G2211" s="733"/>
      <c r="H2211" s="733"/>
      <c r="I2211" s="733"/>
      <c r="J2211" s="733"/>
      <c r="K2211" s="733"/>
      <c r="L2211" s="733"/>
      <c r="M2211" s="733"/>
    </row>
    <row r="2212" spans="1:13" x14ac:dyDescent="0.3">
      <c r="A2212" s="733" t="s">
        <v>2339</v>
      </c>
      <c r="B2212" s="733" t="s">
        <v>612</v>
      </c>
      <c r="C2212" s="733" t="s">
        <v>733</v>
      </c>
      <c r="D2212" s="733" t="s">
        <v>21</v>
      </c>
      <c r="E2212" s="733" t="s">
        <v>614</v>
      </c>
      <c r="F2212" s="733" t="s">
        <v>615</v>
      </c>
      <c r="G2212" s="733"/>
      <c r="H2212" s="733"/>
      <c r="I2212" s="733"/>
      <c r="J2212" s="733"/>
      <c r="K2212" s="733"/>
      <c r="L2212" s="733"/>
      <c r="M2212" s="733"/>
    </row>
    <row r="2213" spans="1:13" x14ac:dyDescent="0.3">
      <c r="A2213" s="733" t="s">
        <v>2339</v>
      </c>
      <c r="B2213" s="733" t="s">
        <v>612</v>
      </c>
      <c r="C2213" s="733" t="s">
        <v>1188</v>
      </c>
      <c r="D2213" s="733" t="s">
        <v>21</v>
      </c>
      <c r="E2213" s="733" t="s">
        <v>614</v>
      </c>
      <c r="F2213" s="733" t="s">
        <v>615</v>
      </c>
      <c r="G2213" s="733"/>
      <c r="H2213" s="733"/>
      <c r="I2213" s="733"/>
      <c r="J2213" s="733"/>
      <c r="K2213" s="733"/>
      <c r="L2213" s="733"/>
      <c r="M2213" s="733"/>
    </row>
    <row r="2214" spans="1:13" x14ac:dyDescent="0.3">
      <c r="A2214" s="733" t="s">
        <v>2339</v>
      </c>
      <c r="B2214" s="733" t="s">
        <v>612</v>
      </c>
      <c r="C2214" s="733" t="s">
        <v>1167</v>
      </c>
      <c r="D2214" s="733" t="s">
        <v>21</v>
      </c>
      <c r="E2214" s="733" t="s">
        <v>614</v>
      </c>
      <c r="F2214" s="733" t="s">
        <v>615</v>
      </c>
      <c r="G2214" s="733"/>
      <c r="H2214" s="733"/>
      <c r="I2214" s="733"/>
      <c r="J2214" s="733"/>
      <c r="K2214" s="733"/>
      <c r="L2214" s="733"/>
      <c r="M2214" s="733"/>
    </row>
    <row r="2215" spans="1:13" x14ac:dyDescent="0.3">
      <c r="A2215" s="733" t="s">
        <v>2339</v>
      </c>
      <c r="B2215" s="733" t="s">
        <v>645</v>
      </c>
      <c r="C2215" s="733" t="s">
        <v>1168</v>
      </c>
      <c r="D2215" s="733" t="s">
        <v>21</v>
      </c>
      <c r="E2215" s="733" t="s">
        <v>614</v>
      </c>
      <c r="F2215" s="733" t="s">
        <v>615</v>
      </c>
      <c r="G2215" s="733"/>
      <c r="H2215" s="733"/>
      <c r="I2215" s="733"/>
      <c r="J2215" s="733"/>
      <c r="K2215" s="733"/>
      <c r="L2215" s="733"/>
      <c r="M2215" s="733"/>
    </row>
    <row r="2216" spans="1:13" x14ac:dyDescent="0.3">
      <c r="A2216" s="733" t="s">
        <v>2339</v>
      </c>
      <c r="B2216" s="733" t="s">
        <v>645</v>
      </c>
      <c r="C2216" s="733" t="s">
        <v>919</v>
      </c>
      <c r="D2216" s="733" t="s">
        <v>21</v>
      </c>
      <c r="E2216" s="733" t="s">
        <v>614</v>
      </c>
      <c r="F2216" s="733" t="s">
        <v>615</v>
      </c>
      <c r="G2216" s="733"/>
      <c r="H2216" s="733"/>
      <c r="I2216" s="733"/>
      <c r="J2216" s="733"/>
      <c r="K2216" s="733"/>
      <c r="L2216" s="733"/>
      <c r="M2216" s="733"/>
    </row>
    <row r="2217" spans="1:13" x14ac:dyDescent="0.3">
      <c r="A2217" s="733" t="s">
        <v>2339</v>
      </c>
      <c r="B2217" s="733" t="s">
        <v>645</v>
      </c>
      <c r="C2217" s="733" t="s">
        <v>920</v>
      </c>
      <c r="D2217" s="733" t="s">
        <v>21</v>
      </c>
      <c r="E2217" s="733" t="s">
        <v>614</v>
      </c>
      <c r="F2217" s="733" t="s">
        <v>615</v>
      </c>
      <c r="G2217" s="733"/>
      <c r="H2217" s="733"/>
      <c r="I2217" s="733"/>
      <c r="J2217" s="733"/>
      <c r="K2217" s="733"/>
      <c r="L2217" s="733"/>
      <c r="M2217" s="733"/>
    </row>
    <row r="2218" spans="1:13" x14ac:dyDescent="0.3">
      <c r="A2218" s="733" t="s">
        <v>2339</v>
      </c>
      <c r="B2218" s="733" t="s">
        <v>664</v>
      </c>
      <c r="C2218" s="733" t="s">
        <v>1169</v>
      </c>
      <c r="D2218" s="733" t="s">
        <v>21</v>
      </c>
      <c r="E2218" s="733" t="s">
        <v>614</v>
      </c>
      <c r="F2218" s="733" t="s">
        <v>615</v>
      </c>
      <c r="G2218" s="733"/>
      <c r="H2218" s="733"/>
      <c r="I2218" s="733"/>
      <c r="J2218" s="733"/>
      <c r="K2218" s="733"/>
      <c r="L2218" s="733"/>
      <c r="M2218" s="733"/>
    </row>
    <row r="2219" spans="1:13" x14ac:dyDescent="0.3">
      <c r="A2219" s="733" t="s">
        <v>2339</v>
      </c>
      <c r="B2219" s="733" t="s">
        <v>664</v>
      </c>
      <c r="C2219" s="733" t="s">
        <v>1170</v>
      </c>
      <c r="D2219" s="733" t="s">
        <v>21</v>
      </c>
      <c r="E2219" s="733" t="s">
        <v>614</v>
      </c>
      <c r="F2219" s="733" t="s">
        <v>615</v>
      </c>
      <c r="G2219" s="733"/>
      <c r="H2219" s="733"/>
      <c r="I2219" s="733"/>
      <c r="J2219" s="733"/>
      <c r="K2219" s="733"/>
      <c r="L2219" s="733"/>
      <c r="M2219" s="733"/>
    </row>
    <row r="2220" spans="1:13" x14ac:dyDescent="0.3">
      <c r="A2220" s="733" t="s">
        <v>2340</v>
      </c>
      <c r="B2220" s="733" t="s">
        <v>612</v>
      </c>
      <c r="C2220" s="733" t="s">
        <v>2341</v>
      </c>
      <c r="D2220" s="733" t="s">
        <v>21</v>
      </c>
      <c r="E2220" s="733" t="s">
        <v>614</v>
      </c>
      <c r="F2220" s="733" t="s">
        <v>615</v>
      </c>
      <c r="G2220" s="733"/>
      <c r="H2220" s="733"/>
      <c r="I2220" s="733"/>
      <c r="J2220" s="733"/>
      <c r="K2220" s="733"/>
      <c r="L2220" s="733"/>
      <c r="M2220" s="733"/>
    </row>
    <row r="2221" spans="1:13" x14ac:dyDescent="0.3">
      <c r="A2221" s="733" t="s">
        <v>2340</v>
      </c>
      <c r="B2221" s="733" t="s">
        <v>612</v>
      </c>
      <c r="C2221" s="733" t="s">
        <v>2342</v>
      </c>
      <c r="D2221" s="733" t="s">
        <v>21</v>
      </c>
      <c r="E2221" s="733" t="s">
        <v>614</v>
      </c>
      <c r="F2221" s="733" t="s">
        <v>615</v>
      </c>
      <c r="G2221" s="733"/>
      <c r="H2221" s="733"/>
      <c r="I2221" s="733"/>
      <c r="J2221" s="733"/>
      <c r="K2221" s="733"/>
      <c r="L2221" s="733"/>
      <c r="M2221" s="733"/>
    </row>
    <row r="2222" spans="1:13" x14ac:dyDescent="0.3">
      <c r="A2222" s="733" t="s">
        <v>2340</v>
      </c>
      <c r="B2222" s="733" t="s">
        <v>612</v>
      </c>
      <c r="C2222" s="733" t="s">
        <v>1915</v>
      </c>
      <c r="D2222" s="733" t="s">
        <v>21</v>
      </c>
      <c r="E2222" s="733" t="s">
        <v>614</v>
      </c>
      <c r="F2222" s="733" t="s">
        <v>615</v>
      </c>
      <c r="G2222" s="733"/>
      <c r="H2222" s="733"/>
      <c r="I2222" s="733"/>
      <c r="J2222" s="733"/>
      <c r="K2222" s="733"/>
      <c r="L2222" s="733"/>
      <c r="M2222" s="733"/>
    </row>
    <row r="2223" spans="1:13" x14ac:dyDescent="0.3">
      <c r="A2223" s="733" t="s">
        <v>2340</v>
      </c>
      <c r="B2223" s="733" t="s">
        <v>612</v>
      </c>
      <c r="C2223" s="733" t="s">
        <v>2343</v>
      </c>
      <c r="D2223" s="733" t="s">
        <v>21</v>
      </c>
      <c r="E2223" s="761"/>
      <c r="F2223" s="761"/>
      <c r="G2223" s="733"/>
      <c r="H2223" s="733"/>
      <c r="I2223" s="733"/>
      <c r="J2223" s="733"/>
      <c r="K2223" s="733"/>
      <c r="L2223" s="733"/>
      <c r="M2223" s="733"/>
    </row>
    <row r="2224" spans="1:13" x14ac:dyDescent="0.3">
      <c r="A2224" s="733" t="s">
        <v>2340</v>
      </c>
      <c r="B2224" s="733" t="s">
        <v>612</v>
      </c>
      <c r="C2224" s="733" t="s">
        <v>2344</v>
      </c>
      <c r="D2224" s="733" t="s">
        <v>21</v>
      </c>
      <c r="E2224" s="733" t="s">
        <v>614</v>
      </c>
      <c r="F2224" s="733" t="s">
        <v>615</v>
      </c>
      <c r="G2224" s="733"/>
      <c r="H2224" s="733"/>
      <c r="I2224" s="733"/>
      <c r="J2224" s="733"/>
      <c r="K2224" s="733"/>
      <c r="L2224" s="733"/>
      <c r="M2224" s="733"/>
    </row>
    <row r="2225" spans="1:13" x14ac:dyDescent="0.3">
      <c r="A2225" s="733" t="s">
        <v>2345</v>
      </c>
      <c r="B2225" s="733" t="s">
        <v>612</v>
      </c>
      <c r="C2225" s="733" t="s">
        <v>2346</v>
      </c>
      <c r="D2225" s="733" t="s">
        <v>21</v>
      </c>
      <c r="E2225" s="733" t="s">
        <v>614</v>
      </c>
      <c r="F2225" s="733" t="s">
        <v>615</v>
      </c>
      <c r="G2225" s="733"/>
      <c r="H2225" s="733"/>
      <c r="I2225" s="733"/>
      <c r="J2225" s="733"/>
      <c r="K2225" s="733"/>
      <c r="L2225" s="733"/>
      <c r="M2225" s="733"/>
    </row>
    <row r="2226" spans="1:13" x14ac:dyDescent="0.3">
      <c r="A2226" s="733" t="s">
        <v>2345</v>
      </c>
      <c r="B2226" s="733" t="s">
        <v>612</v>
      </c>
      <c r="C2226" s="733" t="s">
        <v>1824</v>
      </c>
      <c r="D2226" s="733" t="s">
        <v>21</v>
      </c>
      <c r="E2226" s="733" t="s">
        <v>614</v>
      </c>
      <c r="F2226" s="733" t="s">
        <v>615</v>
      </c>
      <c r="G2226" s="733"/>
      <c r="H2226" s="733"/>
      <c r="I2226" s="733"/>
      <c r="J2226" s="733"/>
      <c r="K2226" s="733"/>
      <c r="L2226" s="733"/>
      <c r="M2226" s="733"/>
    </row>
    <row r="2227" spans="1:13" x14ac:dyDescent="0.3">
      <c r="A2227" s="733" t="s">
        <v>2345</v>
      </c>
      <c r="B2227" s="733" t="s">
        <v>612</v>
      </c>
      <c r="C2227" s="733" t="s">
        <v>909</v>
      </c>
      <c r="D2227" s="733" t="s">
        <v>21</v>
      </c>
      <c r="E2227" s="733" t="s">
        <v>614</v>
      </c>
      <c r="F2227" s="733" t="s">
        <v>615</v>
      </c>
      <c r="G2227" s="733"/>
      <c r="H2227" s="733"/>
      <c r="I2227" s="733"/>
      <c r="J2227" s="733"/>
      <c r="K2227" s="733"/>
      <c r="L2227" s="733"/>
      <c r="M2227" s="733"/>
    </row>
    <row r="2228" spans="1:13" x14ac:dyDescent="0.3">
      <c r="A2228" s="733" t="s">
        <v>2345</v>
      </c>
      <c r="B2228" s="733" t="s">
        <v>612</v>
      </c>
      <c r="C2228" s="733" t="s">
        <v>2347</v>
      </c>
      <c r="D2228" s="733" t="s">
        <v>21</v>
      </c>
      <c r="E2228" s="733" t="s">
        <v>614</v>
      </c>
      <c r="F2228" s="733" t="s">
        <v>615</v>
      </c>
      <c r="G2228" s="733"/>
      <c r="H2228" s="733"/>
      <c r="I2228" s="733"/>
      <c r="J2228" s="733"/>
      <c r="K2228" s="733"/>
      <c r="L2228" s="733"/>
      <c r="M2228" s="733"/>
    </row>
    <row r="2229" spans="1:13" x14ac:dyDescent="0.3">
      <c r="A2229" s="733" t="s">
        <v>2345</v>
      </c>
      <c r="B2229" s="733" t="s">
        <v>612</v>
      </c>
      <c r="C2229" s="733" t="s">
        <v>2348</v>
      </c>
      <c r="D2229" s="733" t="s">
        <v>21</v>
      </c>
      <c r="E2229" s="733" t="s">
        <v>614</v>
      </c>
      <c r="F2229" s="733" t="s">
        <v>615</v>
      </c>
      <c r="G2229" s="733"/>
      <c r="H2229" s="733"/>
      <c r="I2229" s="733"/>
      <c r="J2229" s="733"/>
      <c r="K2229" s="733"/>
      <c r="L2229" s="733"/>
      <c r="M2229" s="733"/>
    </row>
    <row r="2230" spans="1:13" x14ac:dyDescent="0.3">
      <c r="A2230" s="733" t="s">
        <v>2345</v>
      </c>
      <c r="B2230" s="733" t="s">
        <v>612</v>
      </c>
      <c r="C2230" s="733" t="s">
        <v>923</v>
      </c>
      <c r="D2230" s="733" t="s">
        <v>21</v>
      </c>
      <c r="E2230" s="733" t="s">
        <v>614</v>
      </c>
      <c r="F2230" s="733" t="s">
        <v>615</v>
      </c>
      <c r="G2230" s="733"/>
      <c r="H2230" s="733"/>
      <c r="I2230" s="733"/>
      <c r="J2230" s="733"/>
      <c r="K2230" s="733"/>
      <c r="L2230" s="733"/>
      <c r="M2230" s="733"/>
    </row>
    <row r="2231" spans="1:13" x14ac:dyDescent="0.3">
      <c r="A2231" s="733" t="s">
        <v>2345</v>
      </c>
      <c r="B2231" s="733" t="s">
        <v>612</v>
      </c>
      <c r="C2231" s="733" t="s">
        <v>2349</v>
      </c>
      <c r="D2231" s="733" t="s">
        <v>21</v>
      </c>
      <c r="E2231" s="733" t="s">
        <v>614</v>
      </c>
      <c r="F2231" s="733" t="s">
        <v>615</v>
      </c>
      <c r="G2231" s="733"/>
      <c r="H2231" s="733"/>
      <c r="I2231" s="733"/>
      <c r="J2231" s="733"/>
      <c r="K2231" s="733"/>
      <c r="L2231" s="733"/>
      <c r="M2231" s="733"/>
    </row>
    <row r="2232" spans="1:13" x14ac:dyDescent="0.3">
      <c r="A2232" s="733" t="s">
        <v>2345</v>
      </c>
      <c r="B2232" s="733" t="s">
        <v>612</v>
      </c>
      <c r="C2232" s="733" t="s">
        <v>1826</v>
      </c>
      <c r="D2232" s="733" t="s">
        <v>21</v>
      </c>
      <c r="E2232" s="733" t="s">
        <v>614</v>
      </c>
      <c r="F2232" s="733" t="s">
        <v>615</v>
      </c>
      <c r="G2232" s="733"/>
      <c r="H2232" s="733"/>
      <c r="I2232" s="733"/>
      <c r="J2232" s="733"/>
      <c r="K2232" s="733"/>
      <c r="L2232" s="733"/>
      <c r="M2232" s="733"/>
    </row>
    <row r="2233" spans="1:13" x14ac:dyDescent="0.3">
      <c r="A2233" s="733" t="s">
        <v>2345</v>
      </c>
      <c r="B2233" s="733" t="s">
        <v>612</v>
      </c>
      <c r="C2233" s="733" t="s">
        <v>1605</v>
      </c>
      <c r="D2233" s="733" t="s">
        <v>21</v>
      </c>
      <c r="E2233" s="733" t="s">
        <v>614</v>
      </c>
      <c r="F2233" s="733" t="s">
        <v>615</v>
      </c>
      <c r="G2233" s="733"/>
      <c r="H2233" s="733"/>
      <c r="I2233" s="733"/>
      <c r="J2233" s="733"/>
      <c r="K2233" s="733"/>
      <c r="L2233" s="733"/>
      <c r="M2233" s="733"/>
    </row>
    <row r="2234" spans="1:13" x14ac:dyDescent="0.3">
      <c r="A2234" s="733" t="s">
        <v>2345</v>
      </c>
      <c r="B2234" s="733" t="s">
        <v>612</v>
      </c>
      <c r="C2234" s="733" t="s">
        <v>1174</v>
      </c>
      <c r="D2234" s="733" t="s">
        <v>21</v>
      </c>
      <c r="E2234" s="733" t="s">
        <v>614</v>
      </c>
      <c r="F2234" s="733" t="s">
        <v>615</v>
      </c>
      <c r="G2234" s="733"/>
      <c r="H2234" s="733"/>
      <c r="I2234" s="733"/>
      <c r="J2234" s="733"/>
      <c r="K2234" s="733"/>
      <c r="L2234" s="733"/>
      <c r="M2234" s="733"/>
    </row>
    <row r="2235" spans="1:13" x14ac:dyDescent="0.3">
      <c r="A2235" s="733" t="s">
        <v>2345</v>
      </c>
      <c r="B2235" s="733" t="s">
        <v>612</v>
      </c>
      <c r="C2235" s="733" t="s">
        <v>2350</v>
      </c>
      <c r="D2235" s="733" t="s">
        <v>21</v>
      </c>
      <c r="E2235" s="733" t="s">
        <v>614</v>
      </c>
      <c r="F2235" s="733" t="s">
        <v>615</v>
      </c>
      <c r="G2235" s="733"/>
      <c r="H2235" s="733"/>
      <c r="I2235" s="733"/>
      <c r="J2235" s="733"/>
      <c r="K2235" s="733"/>
      <c r="L2235" s="733"/>
      <c r="M2235" s="733"/>
    </row>
    <row r="2236" spans="1:13" x14ac:dyDescent="0.3">
      <c r="A2236" s="733" t="s">
        <v>2345</v>
      </c>
      <c r="B2236" s="733" t="s">
        <v>612</v>
      </c>
      <c r="C2236" s="733" t="s">
        <v>2351</v>
      </c>
      <c r="D2236" s="733" t="s">
        <v>21</v>
      </c>
      <c r="E2236" s="733" t="s">
        <v>614</v>
      </c>
      <c r="F2236" s="733" t="s">
        <v>615</v>
      </c>
      <c r="G2236" s="733"/>
      <c r="H2236" s="733"/>
      <c r="I2236" s="733"/>
      <c r="J2236" s="733"/>
      <c r="K2236" s="733"/>
      <c r="L2236" s="733"/>
      <c r="M2236" s="733"/>
    </row>
    <row r="2237" spans="1:13" x14ac:dyDescent="0.3">
      <c r="A2237" s="733" t="s">
        <v>2345</v>
      </c>
      <c r="B2237" s="733" t="s">
        <v>612</v>
      </c>
      <c r="C2237" s="733" t="s">
        <v>1971</v>
      </c>
      <c r="D2237" s="733" t="s">
        <v>21</v>
      </c>
      <c r="E2237" s="733" t="s">
        <v>614</v>
      </c>
      <c r="F2237" s="733" t="s">
        <v>615</v>
      </c>
      <c r="G2237" s="733"/>
      <c r="H2237" s="733"/>
      <c r="I2237" s="733"/>
      <c r="J2237" s="733"/>
      <c r="K2237" s="733"/>
      <c r="L2237" s="733"/>
      <c r="M2237" s="733"/>
    </row>
    <row r="2238" spans="1:13" x14ac:dyDescent="0.3">
      <c r="A2238" s="733" t="s">
        <v>2345</v>
      </c>
      <c r="B2238" s="733" t="s">
        <v>612</v>
      </c>
      <c r="C2238" s="733" t="s">
        <v>2352</v>
      </c>
      <c r="D2238" s="733" t="s">
        <v>21</v>
      </c>
      <c r="E2238" s="733" t="s">
        <v>614</v>
      </c>
      <c r="F2238" s="733" t="s">
        <v>615</v>
      </c>
      <c r="G2238" s="733"/>
      <c r="H2238" s="733"/>
      <c r="I2238" s="733"/>
      <c r="J2238" s="733"/>
      <c r="K2238" s="733"/>
      <c r="L2238" s="733"/>
      <c r="M2238" s="733"/>
    </row>
    <row r="2239" spans="1:13" x14ac:dyDescent="0.3">
      <c r="A2239" s="733" t="s">
        <v>2345</v>
      </c>
      <c r="B2239" s="733" t="s">
        <v>612</v>
      </c>
      <c r="C2239" s="733" t="s">
        <v>1191</v>
      </c>
      <c r="D2239" s="733" t="s">
        <v>21</v>
      </c>
      <c r="E2239" s="733" t="s">
        <v>614</v>
      </c>
      <c r="F2239" s="733" t="s">
        <v>615</v>
      </c>
      <c r="G2239" s="733"/>
      <c r="H2239" s="733"/>
      <c r="I2239" s="733"/>
      <c r="J2239" s="733"/>
      <c r="K2239" s="733"/>
      <c r="L2239" s="733"/>
      <c r="M2239" s="733"/>
    </row>
    <row r="2240" spans="1:13" x14ac:dyDescent="0.3">
      <c r="A2240" s="733" t="s">
        <v>2345</v>
      </c>
      <c r="B2240" s="733" t="s">
        <v>612</v>
      </c>
      <c r="C2240" s="733" t="s">
        <v>2353</v>
      </c>
      <c r="D2240" s="733" t="s">
        <v>21</v>
      </c>
      <c r="E2240" s="733" t="s">
        <v>614</v>
      </c>
      <c r="F2240" s="733" t="s">
        <v>615</v>
      </c>
      <c r="G2240" s="733"/>
      <c r="H2240" s="733"/>
      <c r="I2240" s="733"/>
      <c r="J2240" s="733"/>
      <c r="K2240" s="733"/>
      <c r="L2240" s="733"/>
      <c r="M2240" s="733"/>
    </row>
    <row r="2241" spans="1:13" x14ac:dyDescent="0.3">
      <c r="A2241" s="733" t="s">
        <v>2345</v>
      </c>
      <c r="B2241" s="733" t="s">
        <v>612</v>
      </c>
      <c r="C2241" s="733" t="s">
        <v>1828</v>
      </c>
      <c r="D2241" s="733" t="s">
        <v>21</v>
      </c>
      <c r="E2241" s="733" t="s">
        <v>614</v>
      </c>
      <c r="F2241" s="733" t="s">
        <v>615</v>
      </c>
      <c r="G2241" s="733"/>
      <c r="H2241" s="733"/>
      <c r="I2241" s="733"/>
      <c r="J2241" s="733"/>
      <c r="K2241" s="733"/>
      <c r="L2241" s="733"/>
      <c r="M2241" s="733"/>
    </row>
    <row r="2242" spans="1:13" x14ac:dyDescent="0.3">
      <c r="A2242" s="733" t="s">
        <v>2345</v>
      </c>
      <c r="B2242" s="733" t="s">
        <v>612</v>
      </c>
      <c r="C2242" s="733" t="s">
        <v>2354</v>
      </c>
      <c r="D2242" s="733" t="s">
        <v>21</v>
      </c>
      <c r="E2242" s="733" t="s">
        <v>614</v>
      </c>
      <c r="F2242" s="733" t="s">
        <v>615</v>
      </c>
      <c r="G2242" s="733"/>
      <c r="H2242" s="733"/>
      <c r="I2242" s="733"/>
      <c r="J2242" s="733"/>
      <c r="K2242" s="733"/>
      <c r="L2242" s="733"/>
      <c r="M2242" s="733"/>
    </row>
    <row r="2243" spans="1:13" x14ac:dyDescent="0.3">
      <c r="A2243" s="733" t="s">
        <v>2345</v>
      </c>
      <c r="B2243" s="733" t="s">
        <v>612</v>
      </c>
      <c r="C2243" s="733" t="s">
        <v>2355</v>
      </c>
      <c r="D2243" s="733" t="s">
        <v>21</v>
      </c>
      <c r="E2243" s="733" t="s">
        <v>614</v>
      </c>
      <c r="F2243" s="733" t="s">
        <v>615</v>
      </c>
      <c r="G2243" s="733"/>
      <c r="H2243" s="733"/>
      <c r="I2243" s="733"/>
      <c r="J2243" s="733"/>
      <c r="K2243" s="733"/>
      <c r="L2243" s="733"/>
      <c r="M2243" s="733"/>
    </row>
    <row r="2244" spans="1:13" x14ac:dyDescent="0.3">
      <c r="A2244" s="733" t="s">
        <v>2345</v>
      </c>
      <c r="B2244" s="733" t="s">
        <v>612</v>
      </c>
      <c r="C2244" s="733" t="s">
        <v>1915</v>
      </c>
      <c r="D2244" s="733" t="s">
        <v>21</v>
      </c>
      <c r="E2244" s="733" t="s">
        <v>614</v>
      </c>
      <c r="F2244" s="733" t="s">
        <v>615</v>
      </c>
      <c r="G2244" s="733"/>
      <c r="H2244" s="733"/>
      <c r="I2244" s="733"/>
      <c r="J2244" s="733"/>
      <c r="K2244" s="733"/>
      <c r="L2244" s="733"/>
      <c r="M2244" s="733"/>
    </row>
    <row r="2245" spans="1:13" x14ac:dyDescent="0.3">
      <c r="A2245" s="733" t="s">
        <v>2345</v>
      </c>
      <c r="B2245" s="733" t="s">
        <v>612</v>
      </c>
      <c r="C2245" s="733" t="s">
        <v>2356</v>
      </c>
      <c r="D2245" s="733" t="s">
        <v>21</v>
      </c>
      <c r="E2245" s="733" t="s">
        <v>614</v>
      </c>
      <c r="F2245" s="733" t="s">
        <v>615</v>
      </c>
      <c r="G2245" s="733"/>
      <c r="H2245" s="733"/>
      <c r="I2245" s="733"/>
      <c r="J2245" s="733"/>
      <c r="K2245" s="733"/>
      <c r="L2245" s="733"/>
      <c r="M2245" s="733"/>
    </row>
    <row r="2246" spans="1:13" x14ac:dyDescent="0.3">
      <c r="A2246" s="733" t="s">
        <v>2345</v>
      </c>
      <c r="B2246" s="733" t="s">
        <v>612</v>
      </c>
      <c r="C2246" s="733" t="s">
        <v>1831</v>
      </c>
      <c r="D2246" s="733" t="s">
        <v>21</v>
      </c>
      <c r="E2246" s="733" t="s">
        <v>614</v>
      </c>
      <c r="F2246" s="733" t="s">
        <v>615</v>
      </c>
      <c r="G2246" s="733"/>
      <c r="H2246" s="733"/>
      <c r="I2246" s="733"/>
      <c r="J2246" s="733"/>
      <c r="K2246" s="733"/>
      <c r="L2246" s="733"/>
      <c r="M2246" s="733"/>
    </row>
    <row r="2247" spans="1:13" x14ac:dyDescent="0.3">
      <c r="A2247" s="733" t="s">
        <v>2345</v>
      </c>
      <c r="B2247" s="733" t="s">
        <v>612</v>
      </c>
      <c r="C2247" s="733" t="s">
        <v>1220</v>
      </c>
      <c r="D2247" s="733" t="s">
        <v>21</v>
      </c>
      <c r="E2247" s="733" t="s">
        <v>614</v>
      </c>
      <c r="F2247" s="733" t="s">
        <v>615</v>
      </c>
      <c r="G2247" s="733"/>
      <c r="H2247" s="733"/>
      <c r="I2247" s="733"/>
      <c r="J2247" s="733"/>
      <c r="K2247" s="733"/>
      <c r="L2247" s="733"/>
      <c r="M2247" s="733"/>
    </row>
    <row r="2248" spans="1:13" x14ac:dyDescent="0.3">
      <c r="A2248" s="733" t="s">
        <v>2345</v>
      </c>
      <c r="B2248" s="733" t="s">
        <v>612</v>
      </c>
      <c r="C2248" s="733" t="s">
        <v>2357</v>
      </c>
      <c r="D2248" s="733" t="s">
        <v>21</v>
      </c>
      <c r="E2248" s="733" t="s">
        <v>614</v>
      </c>
      <c r="F2248" s="733" t="s">
        <v>615</v>
      </c>
      <c r="G2248" s="733"/>
      <c r="H2248" s="733"/>
      <c r="I2248" s="733"/>
      <c r="J2248" s="733"/>
      <c r="K2248" s="733"/>
      <c r="L2248" s="733"/>
      <c r="M2248" s="733"/>
    </row>
    <row r="2249" spans="1:13" x14ac:dyDescent="0.3">
      <c r="A2249" s="733" t="s">
        <v>2345</v>
      </c>
      <c r="B2249" s="733" t="s">
        <v>645</v>
      </c>
      <c r="C2249" s="733" t="s">
        <v>2358</v>
      </c>
      <c r="D2249" s="733" t="s">
        <v>21</v>
      </c>
      <c r="E2249" s="733" t="s">
        <v>614</v>
      </c>
      <c r="F2249" s="733" t="s">
        <v>615</v>
      </c>
      <c r="G2249" s="733"/>
      <c r="H2249" s="733"/>
      <c r="I2249" s="733"/>
      <c r="J2249" s="733"/>
      <c r="K2249" s="733"/>
      <c r="L2249" s="733"/>
      <c r="M2249" s="733"/>
    </row>
    <row r="2250" spans="1:13" x14ac:dyDescent="0.3">
      <c r="A2250" s="733" t="s">
        <v>2345</v>
      </c>
      <c r="B2250" s="733" t="s">
        <v>645</v>
      </c>
      <c r="C2250" s="733" t="s">
        <v>2359</v>
      </c>
      <c r="D2250" s="733" t="s">
        <v>21</v>
      </c>
      <c r="E2250" s="733" t="s">
        <v>614</v>
      </c>
      <c r="F2250" s="733" t="s">
        <v>615</v>
      </c>
      <c r="G2250" s="733"/>
      <c r="H2250" s="733"/>
      <c r="I2250" s="733"/>
      <c r="J2250" s="733"/>
      <c r="K2250" s="733"/>
      <c r="L2250" s="733"/>
      <c r="M2250" s="733"/>
    </row>
    <row r="2251" spans="1:13" x14ac:dyDescent="0.3">
      <c r="A2251" s="733" t="s">
        <v>2345</v>
      </c>
      <c r="B2251" s="733" t="s">
        <v>645</v>
      </c>
      <c r="C2251" s="733" t="s">
        <v>2360</v>
      </c>
      <c r="D2251" s="733" t="s">
        <v>21</v>
      </c>
      <c r="E2251" s="733" t="s">
        <v>614</v>
      </c>
      <c r="F2251" s="733" t="s">
        <v>615</v>
      </c>
      <c r="G2251" s="733"/>
      <c r="H2251" s="733"/>
      <c r="I2251" s="733"/>
      <c r="J2251" s="733"/>
      <c r="K2251" s="733"/>
      <c r="L2251" s="733"/>
      <c r="M2251" s="733"/>
    </row>
    <row r="2252" spans="1:13" x14ac:dyDescent="0.3">
      <c r="A2252" s="733" t="s">
        <v>2345</v>
      </c>
      <c r="B2252" s="733" t="s">
        <v>645</v>
      </c>
      <c r="C2252" s="733" t="s">
        <v>1212</v>
      </c>
      <c r="D2252" s="733" t="s">
        <v>21</v>
      </c>
      <c r="E2252" s="733" t="s">
        <v>614</v>
      </c>
      <c r="F2252" s="733" t="s">
        <v>615</v>
      </c>
      <c r="G2252" s="733"/>
      <c r="H2252" s="733"/>
      <c r="I2252" s="733"/>
      <c r="J2252" s="733"/>
      <c r="K2252" s="733"/>
      <c r="L2252" s="733"/>
      <c r="M2252" s="733"/>
    </row>
    <row r="2253" spans="1:13" x14ac:dyDescent="0.3">
      <c r="A2253" s="733" t="s">
        <v>2345</v>
      </c>
      <c r="B2253" s="733" t="s">
        <v>645</v>
      </c>
      <c r="C2253" s="733" t="s">
        <v>2361</v>
      </c>
      <c r="D2253" s="733" t="s">
        <v>21</v>
      </c>
      <c r="E2253" s="733" t="s">
        <v>614</v>
      </c>
      <c r="F2253" s="733" t="s">
        <v>615</v>
      </c>
      <c r="G2253" s="733"/>
      <c r="H2253" s="733"/>
      <c r="I2253" s="733"/>
      <c r="J2253" s="733"/>
      <c r="K2253" s="733"/>
      <c r="L2253" s="733"/>
      <c r="M2253" s="733"/>
    </row>
    <row r="2254" spans="1:13" x14ac:dyDescent="0.3">
      <c r="A2254" s="733" t="s">
        <v>2345</v>
      </c>
      <c r="B2254" s="733" t="s">
        <v>645</v>
      </c>
      <c r="C2254" s="733" t="s">
        <v>2362</v>
      </c>
      <c r="D2254" s="733" t="s">
        <v>21</v>
      </c>
      <c r="E2254" s="733" t="s">
        <v>614</v>
      </c>
      <c r="F2254" s="733" t="s">
        <v>615</v>
      </c>
      <c r="G2254" s="733"/>
      <c r="H2254" s="733"/>
      <c r="I2254" s="733"/>
      <c r="J2254" s="733"/>
      <c r="K2254" s="733"/>
      <c r="L2254" s="733"/>
      <c r="M2254" s="733"/>
    </row>
    <row r="2255" spans="1:13" x14ac:dyDescent="0.3">
      <c r="A2255" s="733" t="s">
        <v>2345</v>
      </c>
      <c r="B2255" s="733" t="s">
        <v>664</v>
      </c>
      <c r="C2255" s="733" t="s">
        <v>2363</v>
      </c>
      <c r="D2255" s="733" t="s">
        <v>21</v>
      </c>
      <c r="E2255" s="733" t="s">
        <v>614</v>
      </c>
      <c r="F2255" s="733" t="s">
        <v>615</v>
      </c>
      <c r="G2255" s="733"/>
      <c r="H2255" s="733"/>
      <c r="I2255" s="733"/>
      <c r="J2255" s="733"/>
      <c r="K2255" s="733"/>
      <c r="L2255" s="733"/>
      <c r="M2255" s="733"/>
    </row>
    <row r="2256" spans="1:13" x14ac:dyDescent="0.3">
      <c r="A2256" s="733" t="s">
        <v>2345</v>
      </c>
      <c r="B2256" s="733" t="s">
        <v>664</v>
      </c>
      <c r="C2256" s="733" t="s">
        <v>1836</v>
      </c>
      <c r="D2256" s="733" t="s">
        <v>21</v>
      </c>
      <c r="E2256" s="733" t="s">
        <v>614</v>
      </c>
      <c r="F2256" s="733" t="s">
        <v>615</v>
      </c>
      <c r="G2256" s="733"/>
      <c r="H2256" s="733"/>
      <c r="I2256" s="733"/>
      <c r="J2256" s="733"/>
      <c r="K2256" s="733"/>
      <c r="L2256" s="733"/>
      <c r="M2256" s="733"/>
    </row>
    <row r="2257" spans="1:13" x14ac:dyDescent="0.3">
      <c r="A2257" s="733" t="s">
        <v>2345</v>
      </c>
      <c r="B2257" s="733" t="s">
        <v>664</v>
      </c>
      <c r="C2257" s="733" t="s">
        <v>745</v>
      </c>
      <c r="D2257" s="733" t="s">
        <v>21</v>
      </c>
      <c r="E2257" s="733" t="s">
        <v>614</v>
      </c>
      <c r="F2257" s="733" t="s">
        <v>615</v>
      </c>
      <c r="G2257" s="733"/>
      <c r="H2257" s="733"/>
      <c r="I2257" s="733"/>
      <c r="J2257" s="733"/>
      <c r="K2257" s="733"/>
      <c r="L2257" s="733"/>
      <c r="M2257" s="733"/>
    </row>
    <row r="2258" spans="1:13" x14ac:dyDescent="0.3">
      <c r="A2258" s="733" t="s">
        <v>2345</v>
      </c>
      <c r="B2258" s="733" t="s">
        <v>664</v>
      </c>
      <c r="C2258" s="733" t="s">
        <v>1837</v>
      </c>
      <c r="D2258" s="733" t="s">
        <v>21</v>
      </c>
      <c r="E2258" s="733" t="s">
        <v>614</v>
      </c>
      <c r="F2258" s="733" t="s">
        <v>615</v>
      </c>
      <c r="G2258" s="733"/>
      <c r="H2258" s="733"/>
      <c r="I2258" s="733"/>
      <c r="J2258" s="733"/>
      <c r="K2258" s="733"/>
      <c r="L2258" s="733"/>
      <c r="M2258" s="733"/>
    </row>
    <row r="2259" spans="1:13" x14ac:dyDescent="0.3">
      <c r="A2259" s="733" t="s">
        <v>2364</v>
      </c>
      <c r="B2259" s="733" t="s">
        <v>612</v>
      </c>
      <c r="C2259" s="733" t="s">
        <v>2365</v>
      </c>
      <c r="D2259" s="733" t="s">
        <v>21</v>
      </c>
      <c r="E2259" s="761"/>
      <c r="F2259" s="761"/>
      <c r="G2259" s="733"/>
      <c r="H2259" s="733"/>
      <c r="I2259" s="733"/>
      <c r="J2259" s="733"/>
      <c r="K2259" s="733"/>
      <c r="L2259" s="733"/>
      <c r="M2259" s="733"/>
    </row>
    <row r="2260" spans="1:13" x14ac:dyDescent="0.3">
      <c r="A2260" s="733" t="s">
        <v>2364</v>
      </c>
      <c r="B2260" s="733" t="s">
        <v>612</v>
      </c>
      <c r="C2260" s="733" t="s">
        <v>2366</v>
      </c>
      <c r="D2260" s="733" t="s">
        <v>21</v>
      </c>
      <c r="E2260" s="761"/>
      <c r="F2260" s="761"/>
      <c r="G2260" s="733"/>
      <c r="H2260" s="733"/>
      <c r="I2260" s="733"/>
      <c r="J2260" s="733"/>
      <c r="K2260" s="733"/>
      <c r="L2260" s="733"/>
      <c r="M2260" s="733"/>
    </row>
    <row r="2261" spans="1:13" x14ac:dyDescent="0.3">
      <c r="A2261" s="733" t="s">
        <v>2364</v>
      </c>
      <c r="B2261" s="733" t="s">
        <v>612</v>
      </c>
      <c r="C2261" s="733" t="s">
        <v>2367</v>
      </c>
      <c r="D2261" s="733" t="s">
        <v>21</v>
      </c>
      <c r="E2261" s="761"/>
      <c r="F2261" s="761"/>
      <c r="G2261" s="733"/>
      <c r="H2261" s="733"/>
      <c r="I2261" s="733"/>
      <c r="J2261" s="733"/>
      <c r="K2261" s="733"/>
      <c r="L2261" s="733"/>
      <c r="M2261" s="733"/>
    </row>
    <row r="2262" spans="1:13" x14ac:dyDescent="0.3">
      <c r="A2262" s="733" t="s">
        <v>2364</v>
      </c>
      <c r="B2262" s="733" t="s">
        <v>612</v>
      </c>
      <c r="C2262" s="733" t="s">
        <v>2368</v>
      </c>
      <c r="D2262" s="733" t="s">
        <v>21</v>
      </c>
      <c r="E2262" s="761"/>
      <c r="F2262" s="761"/>
      <c r="G2262" s="733"/>
      <c r="H2262" s="733"/>
      <c r="I2262" s="733"/>
      <c r="J2262" s="733"/>
      <c r="K2262" s="733"/>
      <c r="L2262" s="733"/>
      <c r="M2262" s="733"/>
    </row>
    <row r="2263" spans="1:13" x14ac:dyDescent="0.3">
      <c r="A2263" s="733" t="s">
        <v>2364</v>
      </c>
      <c r="B2263" s="733" t="s">
        <v>612</v>
      </c>
      <c r="C2263" s="733" t="s">
        <v>2369</v>
      </c>
      <c r="D2263" s="733" t="s">
        <v>21</v>
      </c>
      <c r="E2263" s="761"/>
      <c r="F2263" s="761"/>
      <c r="G2263" s="733"/>
      <c r="H2263" s="733"/>
      <c r="I2263" s="733"/>
      <c r="J2263" s="733"/>
      <c r="K2263" s="733"/>
      <c r="L2263" s="733"/>
      <c r="M2263" s="733"/>
    </row>
    <row r="2264" spans="1:13" x14ac:dyDescent="0.3">
      <c r="A2264" s="733" t="s">
        <v>2364</v>
      </c>
      <c r="B2264" s="733" t="s">
        <v>645</v>
      </c>
      <c r="C2264" s="733" t="s">
        <v>2370</v>
      </c>
      <c r="D2264" s="733" t="s">
        <v>21</v>
      </c>
      <c r="E2264" s="761"/>
      <c r="F2264" s="761"/>
      <c r="G2264" s="733"/>
      <c r="H2264" s="733"/>
      <c r="I2264" s="733"/>
      <c r="J2264" s="733"/>
      <c r="K2264" s="733"/>
      <c r="L2264" s="733"/>
      <c r="M2264" s="733"/>
    </row>
    <row r="2265" spans="1:13" x14ac:dyDescent="0.3">
      <c r="A2265" s="733" t="s">
        <v>2364</v>
      </c>
      <c r="B2265" s="733" t="s">
        <v>645</v>
      </c>
      <c r="C2265" s="733" t="s">
        <v>2371</v>
      </c>
      <c r="D2265" s="733" t="s">
        <v>21</v>
      </c>
      <c r="E2265" s="761"/>
      <c r="F2265" s="761"/>
      <c r="G2265" s="733"/>
      <c r="H2265" s="733"/>
      <c r="I2265" s="733"/>
      <c r="J2265" s="733"/>
      <c r="K2265" s="733"/>
      <c r="L2265" s="733"/>
      <c r="M2265" s="733"/>
    </row>
    <row r="2266" spans="1:13" x14ac:dyDescent="0.3">
      <c r="A2266" s="733" t="s">
        <v>2364</v>
      </c>
      <c r="B2266" s="733" t="s">
        <v>645</v>
      </c>
      <c r="C2266" s="733" t="s">
        <v>2372</v>
      </c>
      <c r="D2266" s="733" t="s">
        <v>21</v>
      </c>
      <c r="E2266" s="761"/>
      <c r="F2266" s="761"/>
      <c r="G2266" s="733"/>
      <c r="H2266" s="733"/>
      <c r="I2266" s="733"/>
      <c r="J2266" s="733"/>
      <c r="K2266" s="733"/>
      <c r="L2266" s="733"/>
      <c r="M2266" s="733"/>
    </row>
    <row r="2267" spans="1:13" x14ac:dyDescent="0.3">
      <c r="A2267" s="733" t="s">
        <v>2364</v>
      </c>
      <c r="B2267" s="733" t="s">
        <v>645</v>
      </c>
      <c r="C2267" s="733" t="s">
        <v>2373</v>
      </c>
      <c r="D2267" s="733" t="s">
        <v>21</v>
      </c>
      <c r="E2267" s="761"/>
      <c r="F2267" s="761"/>
      <c r="G2267" s="733"/>
      <c r="H2267" s="733"/>
      <c r="I2267" s="733"/>
      <c r="J2267" s="733"/>
      <c r="K2267" s="733"/>
      <c r="L2267" s="733"/>
      <c r="M2267" s="733"/>
    </row>
    <row r="2268" spans="1:13" x14ac:dyDescent="0.3">
      <c r="A2268" s="733" t="s">
        <v>2364</v>
      </c>
      <c r="B2268" s="733" t="s">
        <v>645</v>
      </c>
      <c r="C2268" s="733" t="s">
        <v>2374</v>
      </c>
      <c r="D2268" s="733" t="s">
        <v>21</v>
      </c>
      <c r="E2268" s="761"/>
      <c r="F2268" s="761"/>
      <c r="G2268" s="733"/>
      <c r="H2268" s="733"/>
      <c r="I2268" s="733"/>
      <c r="J2268" s="733"/>
      <c r="K2268" s="733"/>
      <c r="L2268" s="733"/>
      <c r="M2268" s="733"/>
    </row>
    <row r="2269" spans="1:13" x14ac:dyDescent="0.3">
      <c r="A2269" s="733" t="s">
        <v>2364</v>
      </c>
      <c r="B2269" s="733" t="s">
        <v>664</v>
      </c>
      <c r="C2269" s="733" t="s">
        <v>2375</v>
      </c>
      <c r="D2269" s="733" t="s">
        <v>21</v>
      </c>
      <c r="E2269" s="761"/>
      <c r="F2269" s="761"/>
      <c r="G2269" s="733"/>
      <c r="H2269" s="733"/>
      <c r="I2269" s="733"/>
      <c r="J2269" s="733"/>
      <c r="K2269" s="733"/>
      <c r="L2269" s="733"/>
      <c r="M2269" s="733"/>
    </row>
    <row r="2270" spans="1:13" x14ac:dyDescent="0.3">
      <c r="A2270" s="733" t="s">
        <v>2364</v>
      </c>
      <c r="B2270" s="733" t="s">
        <v>664</v>
      </c>
      <c r="C2270" s="733" t="s">
        <v>2376</v>
      </c>
      <c r="D2270" s="733" t="s">
        <v>21</v>
      </c>
      <c r="E2270" s="761"/>
      <c r="F2270" s="761"/>
      <c r="G2270" s="733"/>
      <c r="H2270" s="733"/>
      <c r="I2270" s="733"/>
      <c r="J2270" s="733"/>
      <c r="K2270" s="733"/>
      <c r="L2270" s="733"/>
      <c r="M2270" s="733"/>
    </row>
    <row r="2271" spans="1:13" x14ac:dyDescent="0.3">
      <c r="A2271" s="733" t="s">
        <v>2364</v>
      </c>
      <c r="B2271" s="733" t="s">
        <v>664</v>
      </c>
      <c r="C2271" s="733" t="s">
        <v>2377</v>
      </c>
      <c r="D2271" s="733" t="s">
        <v>21</v>
      </c>
      <c r="E2271" s="761"/>
      <c r="F2271" s="761"/>
      <c r="G2271" s="733"/>
      <c r="H2271" s="733"/>
      <c r="I2271" s="733"/>
      <c r="J2271" s="733"/>
      <c r="K2271" s="733"/>
      <c r="L2271" s="733"/>
      <c r="M2271" s="733"/>
    </row>
    <row r="2272" spans="1:13" x14ac:dyDescent="0.3">
      <c r="A2272" s="733" t="s">
        <v>2364</v>
      </c>
      <c r="B2272" s="733" t="s">
        <v>664</v>
      </c>
      <c r="C2272" s="733" t="s">
        <v>2378</v>
      </c>
      <c r="D2272" s="733" t="s">
        <v>21</v>
      </c>
      <c r="E2272" s="761"/>
      <c r="F2272" s="761"/>
      <c r="G2272" s="733"/>
      <c r="H2272" s="733"/>
      <c r="I2272" s="733"/>
      <c r="J2272" s="733"/>
      <c r="K2272" s="733"/>
      <c r="L2272" s="733"/>
      <c r="M2272" s="733"/>
    </row>
    <row r="2273" spans="1:13" x14ac:dyDescent="0.3">
      <c r="A2273" s="733" t="s">
        <v>2364</v>
      </c>
      <c r="B2273" s="733" t="s">
        <v>664</v>
      </c>
      <c r="C2273" s="733" t="s">
        <v>2379</v>
      </c>
      <c r="D2273" s="733" t="s">
        <v>21</v>
      </c>
      <c r="E2273" s="761"/>
      <c r="F2273" s="761"/>
      <c r="G2273" s="733"/>
      <c r="H2273" s="733"/>
      <c r="I2273" s="733"/>
      <c r="J2273" s="733"/>
      <c r="K2273" s="733"/>
      <c r="L2273" s="733"/>
      <c r="M2273" s="733"/>
    </row>
    <row r="2274" spans="1:13" x14ac:dyDescent="0.3">
      <c r="A2274" s="733" t="s">
        <v>2380</v>
      </c>
      <c r="B2274" s="733" t="s">
        <v>612</v>
      </c>
      <c r="C2274" s="733" t="s">
        <v>2381</v>
      </c>
      <c r="D2274" s="733" t="s">
        <v>21</v>
      </c>
      <c r="E2274" s="733" t="s">
        <v>614</v>
      </c>
      <c r="F2274" s="733" t="s">
        <v>615</v>
      </c>
      <c r="G2274" s="733"/>
      <c r="H2274" s="733"/>
      <c r="I2274" s="733"/>
      <c r="J2274" s="733"/>
      <c r="K2274" s="733"/>
      <c r="L2274" s="733"/>
      <c r="M2274" s="733"/>
    </row>
    <row r="2275" spans="1:13" x14ac:dyDescent="0.3">
      <c r="A2275" s="733" t="s">
        <v>2380</v>
      </c>
      <c r="B2275" s="733" t="s">
        <v>612</v>
      </c>
      <c r="C2275" s="733" t="s">
        <v>2382</v>
      </c>
      <c r="D2275" s="733" t="s">
        <v>21</v>
      </c>
      <c r="E2275" s="733" t="s">
        <v>614</v>
      </c>
      <c r="F2275" s="733" t="s">
        <v>615</v>
      </c>
      <c r="G2275" s="733"/>
      <c r="H2275" s="733"/>
      <c r="I2275" s="733"/>
      <c r="J2275" s="733"/>
      <c r="K2275" s="733"/>
      <c r="L2275" s="733"/>
      <c r="M2275" s="733"/>
    </row>
    <row r="2276" spans="1:13" x14ac:dyDescent="0.3">
      <c r="A2276" s="733" t="s">
        <v>2380</v>
      </c>
      <c r="B2276" s="733" t="s">
        <v>612</v>
      </c>
      <c r="C2276" s="733" t="s">
        <v>2383</v>
      </c>
      <c r="D2276" s="733" t="s">
        <v>21</v>
      </c>
      <c r="E2276" s="733" t="s">
        <v>614</v>
      </c>
      <c r="F2276" s="733" t="s">
        <v>615</v>
      </c>
      <c r="G2276" s="733"/>
      <c r="H2276" s="733"/>
      <c r="I2276" s="733"/>
      <c r="J2276" s="733"/>
      <c r="K2276" s="733"/>
      <c r="L2276" s="733"/>
      <c r="M2276" s="733"/>
    </row>
    <row r="2277" spans="1:13" x14ac:dyDescent="0.3">
      <c r="A2277" s="733" t="s">
        <v>2380</v>
      </c>
      <c r="B2277" s="733" t="s">
        <v>612</v>
      </c>
      <c r="C2277" s="733" t="s">
        <v>2384</v>
      </c>
      <c r="D2277" s="733" t="s">
        <v>21</v>
      </c>
      <c r="E2277" s="733" t="s">
        <v>614</v>
      </c>
      <c r="F2277" s="733" t="s">
        <v>615</v>
      </c>
      <c r="G2277" s="733"/>
      <c r="H2277" s="733"/>
      <c r="I2277" s="733"/>
      <c r="J2277" s="733"/>
      <c r="K2277" s="733"/>
      <c r="L2277" s="733"/>
      <c r="M2277" s="733"/>
    </row>
    <row r="2278" spans="1:13" x14ac:dyDescent="0.3">
      <c r="A2278" s="733" t="s">
        <v>2380</v>
      </c>
      <c r="B2278" s="733" t="s">
        <v>612</v>
      </c>
      <c r="C2278" s="733" t="s">
        <v>2385</v>
      </c>
      <c r="D2278" s="733" t="s">
        <v>21</v>
      </c>
      <c r="E2278" s="733" t="s">
        <v>614</v>
      </c>
      <c r="F2278" s="733" t="s">
        <v>615</v>
      </c>
      <c r="G2278" s="733"/>
      <c r="H2278" s="733"/>
      <c r="I2278" s="733"/>
      <c r="J2278" s="733"/>
      <c r="K2278" s="733"/>
      <c r="L2278" s="733"/>
      <c r="M2278" s="733"/>
    </row>
    <row r="2279" spans="1:13" x14ac:dyDescent="0.3">
      <c r="A2279" s="733" t="s">
        <v>2380</v>
      </c>
      <c r="B2279" s="733" t="s">
        <v>612</v>
      </c>
      <c r="C2279" s="733" t="s">
        <v>2386</v>
      </c>
      <c r="D2279" s="733" t="s">
        <v>21</v>
      </c>
      <c r="E2279" s="733" t="s">
        <v>614</v>
      </c>
      <c r="F2279" s="733" t="s">
        <v>615</v>
      </c>
      <c r="G2279" s="733"/>
      <c r="H2279" s="733"/>
      <c r="I2279" s="733"/>
      <c r="J2279" s="733"/>
      <c r="K2279" s="733"/>
      <c r="L2279" s="733"/>
      <c r="M2279" s="733"/>
    </row>
    <row r="2280" spans="1:13" x14ac:dyDescent="0.3">
      <c r="A2280" s="733" t="s">
        <v>2380</v>
      </c>
      <c r="B2280" s="733" t="s">
        <v>612</v>
      </c>
      <c r="C2280" s="733" t="s">
        <v>2387</v>
      </c>
      <c r="D2280" s="733" t="s">
        <v>21</v>
      </c>
      <c r="E2280" s="733" t="s">
        <v>614</v>
      </c>
      <c r="F2280" s="733" t="s">
        <v>615</v>
      </c>
      <c r="G2280" s="733"/>
      <c r="H2280" s="733"/>
      <c r="I2280" s="733"/>
      <c r="J2280" s="733"/>
      <c r="K2280" s="733"/>
      <c r="L2280" s="733"/>
      <c r="M2280" s="733"/>
    </row>
    <row r="2281" spans="1:13" x14ac:dyDescent="0.3">
      <c r="A2281" s="733" t="s">
        <v>2380</v>
      </c>
      <c r="B2281" s="733" t="s">
        <v>612</v>
      </c>
      <c r="C2281" s="733" t="s">
        <v>2388</v>
      </c>
      <c r="D2281" s="733" t="s">
        <v>21</v>
      </c>
      <c r="E2281" s="733" t="s">
        <v>614</v>
      </c>
      <c r="F2281" s="733" t="s">
        <v>615</v>
      </c>
      <c r="G2281" s="733"/>
      <c r="H2281" s="733"/>
      <c r="I2281" s="733"/>
      <c r="J2281" s="733"/>
      <c r="K2281" s="733"/>
      <c r="L2281" s="733"/>
      <c r="M2281" s="733"/>
    </row>
    <row r="2282" spans="1:13" x14ac:dyDescent="0.3">
      <c r="A2282" s="733" t="s">
        <v>2380</v>
      </c>
      <c r="B2282" s="733" t="s">
        <v>612</v>
      </c>
      <c r="C2282" s="733" t="s">
        <v>2389</v>
      </c>
      <c r="D2282" s="733" t="s">
        <v>21</v>
      </c>
      <c r="E2282" s="733" t="s">
        <v>614</v>
      </c>
      <c r="F2282" s="733" t="s">
        <v>615</v>
      </c>
      <c r="G2282" s="733"/>
      <c r="H2282" s="733"/>
      <c r="I2282" s="733"/>
      <c r="J2282" s="733"/>
      <c r="K2282" s="733"/>
      <c r="L2282" s="733"/>
      <c r="M2282" s="733"/>
    </row>
    <row r="2283" spans="1:13" x14ac:dyDescent="0.3">
      <c r="A2283" s="733" t="s">
        <v>2380</v>
      </c>
      <c r="B2283" s="733" t="s">
        <v>612</v>
      </c>
      <c r="C2283" s="733" t="s">
        <v>2390</v>
      </c>
      <c r="D2283" s="733" t="s">
        <v>21</v>
      </c>
      <c r="E2283" s="733" t="s">
        <v>614</v>
      </c>
      <c r="F2283" s="733" t="s">
        <v>615</v>
      </c>
      <c r="G2283" s="733"/>
      <c r="H2283" s="733"/>
      <c r="I2283" s="733"/>
      <c r="J2283" s="733"/>
      <c r="K2283" s="733"/>
      <c r="L2283" s="733"/>
      <c r="M2283" s="733"/>
    </row>
    <row r="2284" spans="1:13" ht="19.2" x14ac:dyDescent="0.45">
      <c r="A2284" s="733" t="s">
        <v>2380</v>
      </c>
      <c r="B2284" s="733" t="s">
        <v>612</v>
      </c>
      <c r="C2284" s="736" t="s">
        <v>2391</v>
      </c>
      <c r="D2284" s="733" t="s">
        <v>21</v>
      </c>
      <c r="E2284" s="733" t="s">
        <v>614</v>
      </c>
      <c r="F2284" s="733" t="s">
        <v>615</v>
      </c>
      <c r="G2284" s="733"/>
      <c r="H2284" s="733"/>
      <c r="I2284" s="733"/>
      <c r="J2284" s="733"/>
      <c r="K2284" s="733"/>
      <c r="L2284" s="733"/>
      <c r="M2284" s="733"/>
    </row>
    <row r="2285" spans="1:13" x14ac:dyDescent="0.3">
      <c r="A2285" s="733" t="s">
        <v>2380</v>
      </c>
      <c r="B2285" s="733" t="s">
        <v>612</v>
      </c>
      <c r="C2285" s="733" t="s">
        <v>2392</v>
      </c>
      <c r="D2285" s="733" t="s">
        <v>21</v>
      </c>
      <c r="E2285" s="733" t="s">
        <v>614</v>
      </c>
      <c r="F2285" s="733" t="s">
        <v>615</v>
      </c>
      <c r="G2285" s="733"/>
      <c r="H2285" s="733"/>
      <c r="I2285" s="733"/>
      <c r="J2285" s="733"/>
      <c r="K2285" s="733"/>
      <c r="L2285" s="733"/>
      <c r="M2285" s="733"/>
    </row>
    <row r="2286" spans="1:13" x14ac:dyDescent="0.3">
      <c r="A2286" s="733" t="s">
        <v>2380</v>
      </c>
      <c r="B2286" s="733" t="s">
        <v>612</v>
      </c>
      <c r="C2286" s="733" t="s">
        <v>2393</v>
      </c>
      <c r="D2286" s="733" t="s">
        <v>21</v>
      </c>
      <c r="E2286" s="733" t="s">
        <v>614</v>
      </c>
      <c r="F2286" s="733" t="s">
        <v>615</v>
      </c>
      <c r="G2286" s="733"/>
      <c r="H2286" s="733"/>
      <c r="I2286" s="733"/>
      <c r="J2286" s="733"/>
      <c r="K2286" s="733"/>
      <c r="L2286" s="733"/>
      <c r="M2286" s="733"/>
    </row>
    <row r="2287" spans="1:13" x14ac:dyDescent="0.3">
      <c r="A2287" s="733" t="s">
        <v>2380</v>
      </c>
      <c r="B2287" s="733" t="s">
        <v>612</v>
      </c>
      <c r="C2287" s="733" t="s">
        <v>2394</v>
      </c>
      <c r="D2287" s="733" t="s">
        <v>21</v>
      </c>
      <c r="E2287" s="733" t="s">
        <v>614</v>
      </c>
      <c r="F2287" s="733" t="s">
        <v>615</v>
      </c>
      <c r="G2287" s="733"/>
      <c r="H2287" s="733"/>
      <c r="I2287" s="733"/>
      <c r="J2287" s="733"/>
      <c r="K2287" s="733"/>
      <c r="L2287" s="733"/>
      <c r="M2287" s="733"/>
    </row>
    <row r="2288" spans="1:13" x14ac:dyDescent="0.3">
      <c r="A2288" s="733" t="s">
        <v>2380</v>
      </c>
      <c r="B2288" s="733" t="s">
        <v>612</v>
      </c>
      <c r="C2288" s="733" t="s">
        <v>2395</v>
      </c>
      <c r="D2288" s="733" t="s">
        <v>21</v>
      </c>
      <c r="E2288" s="733" t="s">
        <v>614</v>
      </c>
      <c r="F2288" s="733" t="s">
        <v>615</v>
      </c>
      <c r="G2288" s="733"/>
      <c r="H2288" s="733"/>
      <c r="I2288" s="733"/>
      <c r="J2288" s="733"/>
      <c r="K2288" s="733"/>
      <c r="L2288" s="733"/>
      <c r="M2288" s="733"/>
    </row>
    <row r="2289" spans="1:13" x14ac:dyDescent="0.3">
      <c r="A2289" s="733" t="s">
        <v>2380</v>
      </c>
      <c r="B2289" s="733" t="s">
        <v>612</v>
      </c>
      <c r="C2289" s="733" t="s">
        <v>2396</v>
      </c>
      <c r="D2289" s="733" t="s">
        <v>21</v>
      </c>
      <c r="E2289" s="733" t="s">
        <v>614</v>
      </c>
      <c r="F2289" s="733" t="s">
        <v>615</v>
      </c>
      <c r="G2289" s="733"/>
      <c r="H2289" s="733"/>
      <c r="I2289" s="733"/>
      <c r="J2289" s="733"/>
      <c r="K2289" s="733"/>
      <c r="L2289" s="733"/>
      <c r="M2289" s="733"/>
    </row>
    <row r="2290" spans="1:13" x14ac:dyDescent="0.3">
      <c r="A2290" s="733" t="s">
        <v>2380</v>
      </c>
      <c r="B2290" s="733" t="s">
        <v>612</v>
      </c>
      <c r="C2290" s="733" t="s">
        <v>2397</v>
      </c>
      <c r="D2290" s="733" t="s">
        <v>21</v>
      </c>
      <c r="E2290" s="733" t="s">
        <v>614</v>
      </c>
      <c r="F2290" s="733" t="s">
        <v>615</v>
      </c>
      <c r="G2290" s="733"/>
      <c r="H2290" s="733"/>
      <c r="I2290" s="733"/>
      <c r="J2290" s="733"/>
      <c r="K2290" s="733"/>
      <c r="L2290" s="733"/>
      <c r="M2290" s="733"/>
    </row>
    <row r="2291" spans="1:13" x14ac:dyDescent="0.3">
      <c r="A2291" s="733" t="s">
        <v>2380</v>
      </c>
      <c r="B2291" s="733" t="s">
        <v>612</v>
      </c>
      <c r="C2291" s="733" t="s">
        <v>2398</v>
      </c>
      <c r="D2291" s="733" t="s">
        <v>21</v>
      </c>
      <c r="E2291" s="733" t="s">
        <v>614</v>
      </c>
      <c r="F2291" s="733" t="s">
        <v>615</v>
      </c>
      <c r="G2291" s="733"/>
      <c r="H2291" s="733"/>
      <c r="I2291" s="733"/>
      <c r="J2291" s="733"/>
      <c r="K2291" s="733"/>
      <c r="L2291" s="733"/>
      <c r="M2291" s="733"/>
    </row>
    <row r="2292" spans="1:13" x14ac:dyDescent="0.3">
      <c r="A2292" s="733" t="s">
        <v>2380</v>
      </c>
      <c r="B2292" s="733" t="s">
        <v>612</v>
      </c>
      <c r="C2292" s="733" t="s">
        <v>2399</v>
      </c>
      <c r="D2292" s="733" t="s">
        <v>21</v>
      </c>
      <c r="E2292" s="733" t="s">
        <v>614</v>
      </c>
      <c r="F2292" s="733" t="s">
        <v>615</v>
      </c>
      <c r="G2292" s="733"/>
      <c r="H2292" s="733"/>
      <c r="I2292" s="733"/>
      <c r="J2292" s="733"/>
      <c r="K2292" s="733"/>
      <c r="L2292" s="733"/>
      <c r="M2292" s="733"/>
    </row>
    <row r="2293" spans="1:13" x14ac:dyDescent="0.3">
      <c r="A2293" s="734" t="s">
        <v>2380</v>
      </c>
      <c r="B2293" s="734" t="s">
        <v>612</v>
      </c>
      <c r="C2293" s="734" t="s">
        <v>2400</v>
      </c>
      <c r="D2293" s="733" t="s">
        <v>21</v>
      </c>
      <c r="E2293" s="734" t="s">
        <v>614</v>
      </c>
      <c r="F2293" s="734" t="s">
        <v>696</v>
      </c>
      <c r="G2293" s="733"/>
      <c r="H2293" s="733"/>
      <c r="I2293" s="733"/>
      <c r="J2293" s="733"/>
      <c r="K2293" s="733"/>
      <c r="L2293" s="733"/>
      <c r="M2293" s="733"/>
    </row>
    <row r="2294" spans="1:13" x14ac:dyDescent="0.3">
      <c r="A2294" s="733" t="s">
        <v>2380</v>
      </c>
      <c r="B2294" s="733" t="s">
        <v>612</v>
      </c>
      <c r="C2294" s="733" t="s">
        <v>2401</v>
      </c>
      <c r="D2294" s="733" t="s">
        <v>21</v>
      </c>
      <c r="E2294" s="733" t="s">
        <v>614</v>
      </c>
      <c r="F2294" s="733" t="s">
        <v>615</v>
      </c>
      <c r="G2294" s="733"/>
      <c r="H2294" s="733"/>
      <c r="I2294" s="733"/>
      <c r="J2294" s="733"/>
      <c r="K2294" s="733"/>
      <c r="L2294" s="733"/>
      <c r="M2294" s="733"/>
    </row>
    <row r="2295" spans="1:13" x14ac:dyDescent="0.3">
      <c r="A2295" s="733" t="s">
        <v>2380</v>
      </c>
      <c r="B2295" s="733" t="s">
        <v>612</v>
      </c>
      <c r="C2295" s="733" t="s">
        <v>2402</v>
      </c>
      <c r="D2295" s="733" t="s">
        <v>21</v>
      </c>
      <c r="E2295" s="733" t="s">
        <v>614</v>
      </c>
      <c r="F2295" s="733" t="s">
        <v>615</v>
      </c>
      <c r="G2295" s="733"/>
      <c r="H2295" s="733"/>
      <c r="I2295" s="733"/>
      <c r="J2295" s="733"/>
      <c r="K2295" s="733"/>
      <c r="L2295" s="733"/>
      <c r="M2295" s="733"/>
    </row>
    <row r="2296" spans="1:13" x14ac:dyDescent="0.3">
      <c r="A2296" s="733" t="s">
        <v>2380</v>
      </c>
      <c r="B2296" s="733" t="s">
        <v>612</v>
      </c>
      <c r="C2296" s="733" t="s">
        <v>2403</v>
      </c>
      <c r="D2296" s="733" t="s">
        <v>21</v>
      </c>
      <c r="E2296" s="733" t="s">
        <v>614</v>
      </c>
      <c r="F2296" s="733" t="s">
        <v>615</v>
      </c>
      <c r="G2296" s="733"/>
      <c r="H2296" s="733"/>
      <c r="I2296" s="733"/>
      <c r="J2296" s="733"/>
      <c r="K2296" s="733"/>
      <c r="L2296" s="733"/>
      <c r="M2296" s="733"/>
    </row>
    <row r="2297" spans="1:13" x14ac:dyDescent="0.3">
      <c r="A2297" s="733" t="s">
        <v>2380</v>
      </c>
      <c r="B2297" s="733" t="s">
        <v>612</v>
      </c>
      <c r="C2297" s="733" t="s">
        <v>2404</v>
      </c>
      <c r="D2297" s="733" t="s">
        <v>21</v>
      </c>
      <c r="E2297" s="733" t="s">
        <v>614</v>
      </c>
      <c r="F2297" s="733" t="s">
        <v>615</v>
      </c>
      <c r="G2297" s="733"/>
      <c r="H2297" s="733"/>
      <c r="I2297" s="733"/>
      <c r="J2297" s="733"/>
      <c r="K2297" s="733"/>
      <c r="L2297" s="733"/>
      <c r="M2297" s="733"/>
    </row>
    <row r="2298" spans="1:13" x14ac:dyDescent="0.3">
      <c r="A2298" s="733" t="s">
        <v>2380</v>
      </c>
      <c r="B2298" s="733" t="s">
        <v>612</v>
      </c>
      <c r="C2298" s="733" t="s">
        <v>2405</v>
      </c>
      <c r="D2298" s="733" t="s">
        <v>21</v>
      </c>
      <c r="E2298" s="733" t="s">
        <v>614</v>
      </c>
      <c r="F2298" s="733" t="s">
        <v>615</v>
      </c>
      <c r="G2298" s="733"/>
      <c r="H2298" s="733"/>
      <c r="I2298" s="733"/>
      <c r="J2298" s="733"/>
      <c r="K2298" s="733"/>
      <c r="L2298" s="733"/>
      <c r="M2298" s="733"/>
    </row>
    <row r="2299" spans="1:13" x14ac:dyDescent="0.3">
      <c r="A2299" s="733" t="s">
        <v>2380</v>
      </c>
      <c r="B2299" s="733" t="s">
        <v>612</v>
      </c>
      <c r="C2299" s="733" t="s">
        <v>2406</v>
      </c>
      <c r="D2299" s="733" t="s">
        <v>21</v>
      </c>
      <c r="E2299" s="733" t="s">
        <v>614</v>
      </c>
      <c r="F2299" s="733" t="s">
        <v>615</v>
      </c>
      <c r="G2299" s="733"/>
      <c r="H2299" s="733"/>
      <c r="I2299" s="733"/>
      <c r="J2299" s="733"/>
      <c r="K2299" s="733"/>
      <c r="L2299" s="733"/>
      <c r="M2299" s="733"/>
    </row>
    <row r="2300" spans="1:13" x14ac:dyDescent="0.3">
      <c r="A2300" s="733" t="s">
        <v>2380</v>
      </c>
      <c r="B2300" s="733" t="s">
        <v>612</v>
      </c>
      <c r="C2300" s="733" t="s">
        <v>1324</v>
      </c>
      <c r="D2300" s="733" t="s">
        <v>21</v>
      </c>
      <c r="E2300" s="733" t="s">
        <v>614</v>
      </c>
      <c r="F2300" s="733" t="s">
        <v>615</v>
      </c>
      <c r="G2300" s="733"/>
      <c r="H2300" s="733"/>
      <c r="I2300" s="733"/>
      <c r="J2300" s="733"/>
      <c r="K2300" s="733"/>
      <c r="L2300" s="733"/>
      <c r="M2300" s="733"/>
    </row>
    <row r="2301" spans="1:13" x14ac:dyDescent="0.3">
      <c r="A2301" s="733" t="s">
        <v>2380</v>
      </c>
      <c r="B2301" s="733" t="s">
        <v>612</v>
      </c>
      <c r="C2301" s="733" t="s">
        <v>2407</v>
      </c>
      <c r="D2301" s="733" t="s">
        <v>21</v>
      </c>
      <c r="E2301" s="733" t="s">
        <v>614</v>
      </c>
      <c r="F2301" s="733" t="s">
        <v>615</v>
      </c>
      <c r="G2301" s="733"/>
      <c r="H2301" s="733"/>
      <c r="I2301" s="733"/>
      <c r="J2301" s="733"/>
      <c r="K2301" s="733"/>
      <c r="L2301" s="733"/>
      <c r="M2301" s="733"/>
    </row>
    <row r="2302" spans="1:13" x14ac:dyDescent="0.3">
      <c r="A2302" s="733" t="s">
        <v>2380</v>
      </c>
      <c r="B2302" s="733" t="s">
        <v>612</v>
      </c>
      <c r="C2302" s="733" t="s">
        <v>1327</v>
      </c>
      <c r="D2302" s="733" t="s">
        <v>21</v>
      </c>
      <c r="E2302" s="733" t="s">
        <v>614</v>
      </c>
      <c r="F2302" s="733" t="s">
        <v>615</v>
      </c>
      <c r="G2302" s="733"/>
      <c r="H2302" s="733"/>
      <c r="I2302" s="733"/>
      <c r="J2302" s="733"/>
      <c r="K2302" s="733"/>
      <c r="L2302" s="733"/>
      <c r="M2302" s="733"/>
    </row>
    <row r="2303" spans="1:13" x14ac:dyDescent="0.3">
      <c r="A2303" s="733" t="s">
        <v>2380</v>
      </c>
      <c r="B2303" s="733" t="s">
        <v>612</v>
      </c>
      <c r="C2303" s="733" t="s">
        <v>2408</v>
      </c>
      <c r="D2303" s="733" t="s">
        <v>21</v>
      </c>
      <c r="E2303" s="733" t="s">
        <v>614</v>
      </c>
      <c r="F2303" s="733" t="s">
        <v>615</v>
      </c>
      <c r="G2303" s="733"/>
      <c r="H2303" s="733"/>
      <c r="I2303" s="733"/>
      <c r="J2303" s="733"/>
      <c r="K2303" s="733"/>
      <c r="L2303" s="733"/>
      <c r="M2303" s="733"/>
    </row>
    <row r="2304" spans="1:13" x14ac:dyDescent="0.3">
      <c r="A2304" s="733" t="s">
        <v>2380</v>
      </c>
      <c r="B2304" s="733" t="s">
        <v>612</v>
      </c>
      <c r="C2304" s="733" t="s">
        <v>2409</v>
      </c>
      <c r="D2304" s="733" t="s">
        <v>21</v>
      </c>
      <c r="E2304" s="733" t="s">
        <v>614</v>
      </c>
      <c r="F2304" s="733" t="s">
        <v>615</v>
      </c>
      <c r="G2304" s="733"/>
      <c r="H2304" s="733"/>
      <c r="I2304" s="733"/>
      <c r="J2304" s="733"/>
      <c r="K2304" s="733"/>
      <c r="L2304" s="733"/>
      <c r="M2304" s="733"/>
    </row>
    <row r="2305" spans="1:13" x14ac:dyDescent="0.3">
      <c r="A2305" s="734" t="s">
        <v>2380</v>
      </c>
      <c r="B2305" s="734" t="s">
        <v>645</v>
      </c>
      <c r="C2305" s="733" t="s">
        <v>2410</v>
      </c>
      <c r="D2305" s="734" t="s">
        <v>21</v>
      </c>
      <c r="E2305" s="734" t="s">
        <v>614</v>
      </c>
      <c r="F2305" s="734" t="s">
        <v>736</v>
      </c>
      <c r="G2305" s="733"/>
      <c r="H2305" s="733"/>
      <c r="I2305" s="733"/>
      <c r="J2305" s="733"/>
      <c r="K2305" s="733"/>
      <c r="L2305" s="733"/>
      <c r="M2305" s="733"/>
    </row>
    <row r="2306" spans="1:13" x14ac:dyDescent="0.3">
      <c r="A2306" s="733" t="s">
        <v>2380</v>
      </c>
      <c r="B2306" s="733" t="s">
        <v>645</v>
      </c>
      <c r="C2306" s="733" t="s">
        <v>2411</v>
      </c>
      <c r="D2306" s="733" t="s">
        <v>21</v>
      </c>
      <c r="E2306" s="733" t="s">
        <v>614</v>
      </c>
      <c r="F2306" s="733" t="s">
        <v>615</v>
      </c>
      <c r="G2306" s="733"/>
      <c r="H2306" s="733"/>
      <c r="I2306" s="733"/>
      <c r="J2306" s="733"/>
      <c r="K2306" s="733"/>
      <c r="L2306" s="733"/>
      <c r="M2306" s="733"/>
    </row>
    <row r="2307" spans="1:13" x14ac:dyDescent="0.3">
      <c r="A2307" s="733" t="s">
        <v>2380</v>
      </c>
      <c r="B2307" s="733" t="s">
        <v>645</v>
      </c>
      <c r="C2307" s="733" t="s">
        <v>2412</v>
      </c>
      <c r="D2307" s="733" t="s">
        <v>21</v>
      </c>
      <c r="E2307" s="733" t="s">
        <v>614</v>
      </c>
      <c r="F2307" s="733" t="s">
        <v>615</v>
      </c>
      <c r="G2307" s="733"/>
      <c r="H2307" s="733"/>
      <c r="I2307" s="733"/>
      <c r="J2307" s="733"/>
      <c r="K2307" s="733"/>
      <c r="L2307" s="733"/>
      <c r="M2307" s="733"/>
    </row>
    <row r="2308" spans="1:13" x14ac:dyDescent="0.3">
      <c r="A2308" s="733" t="s">
        <v>2380</v>
      </c>
      <c r="B2308" s="733" t="s">
        <v>645</v>
      </c>
      <c r="C2308" s="733" t="s">
        <v>2413</v>
      </c>
      <c r="D2308" s="733" t="s">
        <v>21</v>
      </c>
      <c r="E2308" s="733" t="s">
        <v>614</v>
      </c>
      <c r="F2308" s="733" t="s">
        <v>615</v>
      </c>
      <c r="G2308" s="733"/>
      <c r="H2308" s="733"/>
      <c r="I2308" s="733"/>
      <c r="J2308" s="733"/>
      <c r="K2308" s="733"/>
      <c r="L2308" s="733"/>
      <c r="M2308" s="733"/>
    </row>
    <row r="2309" spans="1:13" x14ac:dyDescent="0.3">
      <c r="A2309" s="733" t="s">
        <v>2380</v>
      </c>
      <c r="B2309" s="733" t="s">
        <v>645</v>
      </c>
      <c r="C2309" s="733" t="s">
        <v>2414</v>
      </c>
      <c r="D2309" s="733" t="s">
        <v>21</v>
      </c>
      <c r="E2309" s="733" t="s">
        <v>614</v>
      </c>
      <c r="F2309" s="733" t="s">
        <v>615</v>
      </c>
      <c r="G2309" s="733"/>
      <c r="H2309" s="733"/>
      <c r="I2309" s="733"/>
      <c r="J2309" s="733"/>
      <c r="K2309" s="733"/>
      <c r="L2309" s="733"/>
      <c r="M2309" s="733"/>
    </row>
    <row r="2310" spans="1:13" x14ac:dyDescent="0.3">
      <c r="A2310" s="733" t="s">
        <v>2380</v>
      </c>
      <c r="B2310" s="733" t="s">
        <v>645</v>
      </c>
      <c r="C2310" s="733" t="s">
        <v>2415</v>
      </c>
      <c r="D2310" s="733" t="s">
        <v>21</v>
      </c>
      <c r="E2310" s="733" t="s">
        <v>614</v>
      </c>
      <c r="F2310" s="733" t="s">
        <v>615</v>
      </c>
      <c r="G2310" s="733"/>
      <c r="H2310" s="733"/>
      <c r="I2310" s="733"/>
      <c r="J2310" s="733"/>
      <c r="K2310" s="733"/>
      <c r="L2310" s="733"/>
      <c r="M2310" s="733"/>
    </row>
    <row r="2311" spans="1:13" x14ac:dyDescent="0.3">
      <c r="A2311" s="733" t="s">
        <v>2380</v>
      </c>
      <c r="B2311" s="733" t="s">
        <v>645</v>
      </c>
      <c r="C2311" s="733" t="s">
        <v>2416</v>
      </c>
      <c r="D2311" s="733" t="s">
        <v>21</v>
      </c>
      <c r="E2311" s="733" t="s">
        <v>614</v>
      </c>
      <c r="F2311" s="733" t="s">
        <v>615</v>
      </c>
      <c r="G2311" s="733"/>
      <c r="H2311" s="733"/>
      <c r="I2311" s="733"/>
      <c r="J2311" s="733"/>
      <c r="K2311" s="733"/>
      <c r="L2311" s="733"/>
      <c r="M2311" s="733"/>
    </row>
    <row r="2312" spans="1:13" x14ac:dyDescent="0.3">
      <c r="A2312" s="734" t="s">
        <v>2380</v>
      </c>
      <c r="B2312" s="734" t="s">
        <v>645</v>
      </c>
      <c r="C2312" s="733" t="s">
        <v>2417</v>
      </c>
      <c r="D2312" s="734" t="s">
        <v>21</v>
      </c>
      <c r="E2312" s="734" t="s">
        <v>614</v>
      </c>
      <c r="F2312" s="734" t="s">
        <v>736</v>
      </c>
      <c r="G2312" s="733"/>
      <c r="H2312" s="733"/>
      <c r="I2312" s="733"/>
      <c r="J2312" s="733"/>
      <c r="K2312" s="733"/>
      <c r="L2312" s="733"/>
      <c r="M2312" s="733"/>
    </row>
    <row r="2313" spans="1:13" x14ac:dyDescent="0.3">
      <c r="A2313" s="733" t="s">
        <v>2380</v>
      </c>
      <c r="B2313" s="733" t="s">
        <v>645</v>
      </c>
      <c r="C2313" s="733" t="s">
        <v>2418</v>
      </c>
      <c r="D2313" s="733" t="s">
        <v>21</v>
      </c>
      <c r="E2313" s="733" t="s">
        <v>614</v>
      </c>
      <c r="F2313" s="733" t="s">
        <v>615</v>
      </c>
      <c r="G2313" s="733"/>
      <c r="H2313" s="733"/>
      <c r="I2313" s="733"/>
      <c r="J2313" s="733"/>
      <c r="K2313" s="733"/>
      <c r="L2313" s="733"/>
      <c r="M2313" s="733"/>
    </row>
    <row r="2314" spans="1:13" x14ac:dyDescent="0.3">
      <c r="A2314" s="733" t="s">
        <v>2380</v>
      </c>
      <c r="B2314" s="733" t="s">
        <v>645</v>
      </c>
      <c r="C2314" s="733" t="s">
        <v>2419</v>
      </c>
      <c r="D2314" s="733" t="s">
        <v>21</v>
      </c>
      <c r="E2314" s="733" t="s">
        <v>614</v>
      </c>
      <c r="F2314" s="733" t="s">
        <v>615</v>
      </c>
      <c r="G2314" s="733"/>
      <c r="H2314" s="733"/>
      <c r="I2314" s="733"/>
      <c r="J2314" s="733"/>
      <c r="K2314" s="733"/>
      <c r="L2314" s="733"/>
      <c r="M2314" s="733"/>
    </row>
    <row r="2315" spans="1:13" x14ac:dyDescent="0.3">
      <c r="A2315" s="734" t="s">
        <v>2380</v>
      </c>
      <c r="B2315" s="734" t="s">
        <v>645</v>
      </c>
      <c r="C2315" s="734" t="s">
        <v>2420</v>
      </c>
      <c r="D2315" s="734" t="s">
        <v>21</v>
      </c>
      <c r="E2315" s="734" t="s">
        <v>614</v>
      </c>
      <c r="F2315" s="734" t="s">
        <v>736</v>
      </c>
      <c r="G2315" s="733"/>
      <c r="H2315" s="733"/>
      <c r="I2315" s="733"/>
      <c r="J2315" s="733"/>
      <c r="K2315" s="733"/>
      <c r="L2315" s="733"/>
      <c r="M2315" s="733"/>
    </row>
    <row r="2316" spans="1:13" x14ac:dyDescent="0.3">
      <c r="A2316" s="733" t="s">
        <v>2380</v>
      </c>
      <c r="B2316" s="733" t="s">
        <v>645</v>
      </c>
      <c r="C2316" s="733" t="s">
        <v>2421</v>
      </c>
      <c r="D2316" s="733" t="s">
        <v>21</v>
      </c>
      <c r="E2316" s="733" t="s">
        <v>614</v>
      </c>
      <c r="F2316" s="733" t="s">
        <v>615</v>
      </c>
      <c r="G2316" s="733"/>
      <c r="H2316" s="733"/>
      <c r="I2316" s="733"/>
      <c r="J2316" s="733"/>
      <c r="K2316" s="733"/>
      <c r="L2316" s="733"/>
      <c r="M2316" s="733"/>
    </row>
    <row r="2317" spans="1:13" x14ac:dyDescent="0.3">
      <c r="A2317" s="733" t="s">
        <v>2380</v>
      </c>
      <c r="B2317" s="733" t="s">
        <v>645</v>
      </c>
      <c r="C2317" s="733" t="s">
        <v>2422</v>
      </c>
      <c r="D2317" s="733" t="s">
        <v>21</v>
      </c>
      <c r="E2317" s="733" t="s">
        <v>614</v>
      </c>
      <c r="F2317" s="733" t="s">
        <v>615</v>
      </c>
      <c r="G2317" s="733"/>
      <c r="H2317" s="733"/>
      <c r="I2317" s="733"/>
      <c r="J2317" s="733"/>
      <c r="K2317" s="733"/>
      <c r="L2317" s="733"/>
      <c r="M2317" s="733"/>
    </row>
    <row r="2318" spans="1:13" x14ac:dyDescent="0.3">
      <c r="A2318" s="734" t="s">
        <v>2380</v>
      </c>
      <c r="B2318" s="734" t="s">
        <v>645</v>
      </c>
      <c r="C2318" s="734" t="s">
        <v>826</v>
      </c>
      <c r="D2318" s="734" t="s">
        <v>21</v>
      </c>
      <c r="E2318" s="734" t="s">
        <v>614</v>
      </c>
      <c r="F2318" s="734" t="s">
        <v>736</v>
      </c>
      <c r="G2318" s="733"/>
      <c r="H2318" s="733"/>
      <c r="I2318" s="733"/>
      <c r="J2318" s="733"/>
      <c r="K2318" s="733"/>
      <c r="L2318" s="733"/>
      <c r="M2318" s="733"/>
    </row>
    <row r="2319" spans="1:13" x14ac:dyDescent="0.3">
      <c r="A2319" s="733" t="s">
        <v>2380</v>
      </c>
      <c r="B2319" s="733" t="s">
        <v>645</v>
      </c>
      <c r="C2319" s="733" t="s">
        <v>2423</v>
      </c>
      <c r="D2319" s="733" t="s">
        <v>21</v>
      </c>
      <c r="E2319" s="733" t="s">
        <v>614</v>
      </c>
      <c r="F2319" s="733" t="s">
        <v>615</v>
      </c>
      <c r="G2319" s="733"/>
      <c r="H2319" s="733"/>
      <c r="I2319" s="733"/>
      <c r="J2319" s="733"/>
      <c r="K2319" s="733"/>
      <c r="L2319" s="733"/>
      <c r="M2319" s="733"/>
    </row>
    <row r="2320" spans="1:13" x14ac:dyDescent="0.3">
      <c r="A2320" s="733" t="s">
        <v>2380</v>
      </c>
      <c r="B2320" s="733" t="s">
        <v>645</v>
      </c>
      <c r="C2320" s="733" t="s">
        <v>2424</v>
      </c>
      <c r="D2320" s="733" t="s">
        <v>21</v>
      </c>
      <c r="E2320" s="733" t="s">
        <v>614</v>
      </c>
      <c r="F2320" s="733" t="s">
        <v>615</v>
      </c>
      <c r="G2320" s="733"/>
      <c r="H2320" s="733"/>
      <c r="I2320" s="733"/>
      <c r="J2320" s="733"/>
      <c r="K2320" s="733"/>
      <c r="L2320" s="733"/>
      <c r="M2320" s="733"/>
    </row>
    <row r="2321" spans="1:13" x14ac:dyDescent="0.3">
      <c r="A2321" s="733" t="s">
        <v>2380</v>
      </c>
      <c r="B2321" s="733" t="s">
        <v>664</v>
      </c>
      <c r="C2321" s="733" t="s">
        <v>2425</v>
      </c>
      <c r="D2321" s="733" t="s">
        <v>21</v>
      </c>
      <c r="E2321" s="733" t="s">
        <v>614</v>
      </c>
      <c r="F2321" s="733" t="s">
        <v>615</v>
      </c>
      <c r="G2321" s="733"/>
      <c r="H2321" s="733"/>
      <c r="I2321" s="733"/>
      <c r="J2321" s="733"/>
      <c r="K2321" s="733"/>
      <c r="L2321" s="733"/>
      <c r="M2321" s="733"/>
    </row>
    <row r="2322" spans="1:13" x14ac:dyDescent="0.3">
      <c r="A2322" s="733" t="s">
        <v>2380</v>
      </c>
      <c r="B2322" s="733" t="s">
        <v>664</v>
      </c>
      <c r="C2322" s="733" t="s">
        <v>2426</v>
      </c>
      <c r="D2322" s="733" t="s">
        <v>21</v>
      </c>
      <c r="E2322" s="733" t="s">
        <v>614</v>
      </c>
      <c r="F2322" s="733" t="s">
        <v>615</v>
      </c>
      <c r="G2322" s="733"/>
      <c r="H2322" s="733"/>
      <c r="I2322" s="733"/>
      <c r="J2322" s="733"/>
      <c r="K2322" s="733"/>
      <c r="L2322" s="733"/>
      <c r="M2322" s="733"/>
    </row>
    <row r="2323" spans="1:13" x14ac:dyDescent="0.3">
      <c r="A2323" s="733" t="s">
        <v>2380</v>
      </c>
      <c r="B2323" s="733" t="s">
        <v>664</v>
      </c>
      <c r="C2323" s="733" t="s">
        <v>2427</v>
      </c>
      <c r="D2323" s="733" t="s">
        <v>21</v>
      </c>
      <c r="E2323" s="733" t="s">
        <v>614</v>
      </c>
      <c r="F2323" s="733" t="s">
        <v>615</v>
      </c>
      <c r="G2323" s="733"/>
      <c r="H2323" s="733"/>
      <c r="I2323" s="733"/>
      <c r="J2323" s="733"/>
      <c r="K2323" s="733"/>
      <c r="L2323" s="733"/>
      <c r="M2323" s="733"/>
    </row>
    <row r="2324" spans="1:13" x14ac:dyDescent="0.3">
      <c r="A2324" s="733" t="s">
        <v>2380</v>
      </c>
      <c r="B2324" s="733" t="s">
        <v>664</v>
      </c>
      <c r="C2324" s="733" t="s">
        <v>2428</v>
      </c>
      <c r="D2324" s="733" t="s">
        <v>21</v>
      </c>
      <c r="E2324" s="733" t="s">
        <v>614</v>
      </c>
      <c r="F2324" s="733" t="s">
        <v>615</v>
      </c>
      <c r="G2324" s="733"/>
      <c r="H2324" s="733"/>
      <c r="I2324" s="733"/>
      <c r="J2324" s="733"/>
      <c r="K2324" s="733"/>
      <c r="L2324" s="733"/>
      <c r="M2324" s="733"/>
    </row>
    <row r="2325" spans="1:13" x14ac:dyDescent="0.3">
      <c r="A2325" s="733" t="s">
        <v>2380</v>
      </c>
      <c r="B2325" s="733" t="s">
        <v>664</v>
      </c>
      <c r="C2325" s="733" t="s">
        <v>2429</v>
      </c>
      <c r="D2325" s="733" t="s">
        <v>21</v>
      </c>
      <c r="E2325" s="733" t="s">
        <v>614</v>
      </c>
      <c r="F2325" s="733" t="s">
        <v>615</v>
      </c>
      <c r="G2325" s="733"/>
      <c r="H2325" s="733"/>
      <c r="I2325" s="733"/>
      <c r="J2325" s="733"/>
      <c r="K2325" s="733"/>
      <c r="L2325" s="733"/>
      <c r="M2325" s="733"/>
    </row>
    <row r="2326" spans="1:13" x14ac:dyDescent="0.3">
      <c r="A2326" s="733" t="s">
        <v>2380</v>
      </c>
      <c r="B2326" s="733" t="s">
        <v>664</v>
      </c>
      <c r="C2326" s="733" t="s">
        <v>2430</v>
      </c>
      <c r="D2326" s="733" t="s">
        <v>21</v>
      </c>
      <c r="E2326" s="733" t="s">
        <v>614</v>
      </c>
      <c r="F2326" s="733" t="s">
        <v>615</v>
      </c>
      <c r="G2326" s="733"/>
      <c r="H2326" s="733"/>
      <c r="I2326" s="733"/>
      <c r="J2326" s="733"/>
      <c r="K2326" s="733"/>
      <c r="L2326" s="733"/>
      <c r="M2326" s="733"/>
    </row>
    <row r="2327" spans="1:13" x14ac:dyDescent="0.3">
      <c r="A2327" s="733" t="s">
        <v>2380</v>
      </c>
      <c r="B2327" s="733" t="s">
        <v>664</v>
      </c>
      <c r="C2327" s="733" t="s">
        <v>2431</v>
      </c>
      <c r="D2327" s="733" t="s">
        <v>21</v>
      </c>
      <c r="E2327" s="733" t="s">
        <v>614</v>
      </c>
      <c r="F2327" s="733" t="s">
        <v>615</v>
      </c>
      <c r="G2327" s="733"/>
      <c r="H2327" s="733"/>
      <c r="I2327" s="733"/>
      <c r="J2327" s="733"/>
      <c r="K2327" s="733"/>
      <c r="L2327" s="733"/>
      <c r="M2327" s="733"/>
    </row>
    <row r="2328" spans="1:13" x14ac:dyDescent="0.3">
      <c r="A2328" s="733" t="s">
        <v>2380</v>
      </c>
      <c r="B2328" s="733" t="s">
        <v>664</v>
      </c>
      <c r="C2328" s="733" t="s">
        <v>2432</v>
      </c>
      <c r="D2328" s="733" t="s">
        <v>21</v>
      </c>
      <c r="E2328" s="733" t="s">
        <v>614</v>
      </c>
      <c r="F2328" s="733" t="s">
        <v>615</v>
      </c>
      <c r="G2328" s="733"/>
      <c r="H2328" s="733"/>
      <c r="I2328" s="733"/>
      <c r="J2328" s="733"/>
      <c r="K2328" s="733"/>
      <c r="L2328" s="733"/>
      <c r="M2328" s="733"/>
    </row>
    <row r="2329" spans="1:13" x14ac:dyDescent="0.3">
      <c r="A2329" s="733" t="s">
        <v>2380</v>
      </c>
      <c r="B2329" s="733" t="s">
        <v>664</v>
      </c>
      <c r="C2329" s="733" t="s">
        <v>2433</v>
      </c>
      <c r="D2329" s="733" t="s">
        <v>21</v>
      </c>
      <c r="E2329" s="733" t="s">
        <v>614</v>
      </c>
      <c r="F2329" s="733" t="s">
        <v>615</v>
      </c>
      <c r="G2329" s="733"/>
      <c r="H2329" s="733"/>
      <c r="I2329" s="733"/>
      <c r="J2329" s="733"/>
      <c r="K2329" s="733"/>
      <c r="L2329" s="733"/>
      <c r="M2329" s="733"/>
    </row>
    <row r="2330" spans="1:13" x14ac:dyDescent="0.3">
      <c r="A2330" s="733" t="s">
        <v>2380</v>
      </c>
      <c r="B2330" s="733" t="s">
        <v>664</v>
      </c>
      <c r="C2330" s="733" t="s">
        <v>2434</v>
      </c>
      <c r="D2330" s="733" t="s">
        <v>21</v>
      </c>
      <c r="E2330" s="733" t="s">
        <v>614</v>
      </c>
      <c r="F2330" s="733" t="s">
        <v>615</v>
      </c>
      <c r="G2330" s="733"/>
      <c r="H2330" s="733"/>
      <c r="I2330" s="733"/>
      <c r="J2330" s="733"/>
      <c r="K2330" s="733"/>
      <c r="L2330" s="733"/>
      <c r="M2330" s="733"/>
    </row>
    <row r="2331" spans="1:13" x14ac:dyDescent="0.3">
      <c r="A2331" s="733" t="s">
        <v>2435</v>
      </c>
      <c r="B2331" s="733" t="s">
        <v>612</v>
      </c>
      <c r="C2331" s="733" t="s">
        <v>1132</v>
      </c>
      <c r="D2331" s="733" t="s">
        <v>21</v>
      </c>
      <c r="E2331" s="733" t="s">
        <v>614</v>
      </c>
      <c r="F2331" s="733" t="s">
        <v>615</v>
      </c>
      <c r="G2331" s="733"/>
      <c r="H2331" s="733"/>
      <c r="I2331" s="733"/>
      <c r="J2331" s="733"/>
      <c r="K2331" s="733"/>
      <c r="L2331" s="733"/>
      <c r="M2331" s="733"/>
    </row>
    <row r="2332" spans="1:13" x14ac:dyDescent="0.3">
      <c r="A2332" s="734" t="s">
        <v>2435</v>
      </c>
      <c r="B2332" s="734" t="s">
        <v>645</v>
      </c>
      <c r="C2332" s="734" t="s">
        <v>2436</v>
      </c>
      <c r="D2332" s="734" t="s">
        <v>21</v>
      </c>
      <c r="E2332" s="734" t="s">
        <v>614</v>
      </c>
      <c r="F2332" s="734" t="s">
        <v>736</v>
      </c>
      <c r="G2332" s="733"/>
      <c r="H2332" s="733"/>
      <c r="I2332" s="733"/>
      <c r="J2332" s="733"/>
      <c r="K2332" s="733"/>
      <c r="L2332" s="733"/>
      <c r="M2332" s="733"/>
    </row>
    <row r="2333" spans="1:13" x14ac:dyDescent="0.3">
      <c r="A2333" s="733" t="s">
        <v>2435</v>
      </c>
      <c r="B2333" s="733" t="s">
        <v>664</v>
      </c>
      <c r="C2333" s="733" t="s">
        <v>1363</v>
      </c>
      <c r="D2333" s="733" t="s">
        <v>21</v>
      </c>
      <c r="E2333" s="733" t="s">
        <v>614</v>
      </c>
      <c r="F2333" s="733" t="s">
        <v>615</v>
      </c>
      <c r="G2333" s="733"/>
      <c r="H2333" s="733"/>
      <c r="I2333" s="733"/>
      <c r="J2333" s="733"/>
      <c r="K2333" s="733"/>
      <c r="L2333" s="733"/>
      <c r="M2333" s="733"/>
    </row>
    <row r="2334" spans="1:13" x14ac:dyDescent="0.3">
      <c r="A2334" s="733" t="s">
        <v>2437</v>
      </c>
      <c r="B2334" s="733" t="s">
        <v>612</v>
      </c>
      <c r="C2334" s="733" t="s">
        <v>931</v>
      </c>
      <c r="D2334" s="733" t="s">
        <v>21</v>
      </c>
      <c r="E2334" s="733" t="s">
        <v>614</v>
      </c>
      <c r="F2334" s="733" t="s">
        <v>615</v>
      </c>
      <c r="G2334" s="733"/>
      <c r="H2334" s="733"/>
      <c r="I2334" s="733"/>
      <c r="J2334" s="733"/>
      <c r="K2334" s="733"/>
      <c r="L2334" s="733"/>
      <c r="M2334" s="733"/>
    </row>
    <row r="2335" spans="1:13" x14ac:dyDescent="0.3">
      <c r="A2335" s="733" t="s">
        <v>2437</v>
      </c>
      <c r="B2335" s="733" t="s">
        <v>612</v>
      </c>
      <c r="C2335" s="733" t="s">
        <v>1985</v>
      </c>
      <c r="D2335" s="733" t="s">
        <v>21</v>
      </c>
      <c r="E2335" s="733" t="s">
        <v>614</v>
      </c>
      <c r="F2335" s="733" t="s">
        <v>615</v>
      </c>
      <c r="G2335" s="733"/>
      <c r="H2335" s="733"/>
      <c r="I2335" s="733"/>
      <c r="J2335" s="733"/>
      <c r="K2335" s="733"/>
      <c r="L2335" s="733"/>
      <c r="M2335" s="733"/>
    </row>
    <row r="2336" spans="1:13" x14ac:dyDescent="0.3">
      <c r="A2336" s="734" t="s">
        <v>2437</v>
      </c>
      <c r="B2336" s="734" t="s">
        <v>612</v>
      </c>
      <c r="C2336" s="734" t="s">
        <v>975</v>
      </c>
      <c r="D2336" s="734" t="s">
        <v>21</v>
      </c>
      <c r="E2336" s="734" t="s">
        <v>614</v>
      </c>
      <c r="F2336" s="734" t="s">
        <v>696</v>
      </c>
      <c r="G2336" s="733"/>
      <c r="H2336" s="733"/>
      <c r="I2336" s="733"/>
      <c r="J2336" s="733"/>
      <c r="K2336" s="733"/>
      <c r="L2336" s="733"/>
      <c r="M2336" s="733"/>
    </row>
    <row r="2337" spans="1:13" x14ac:dyDescent="0.3">
      <c r="A2337" s="734" t="s">
        <v>2437</v>
      </c>
      <c r="B2337" s="734" t="s">
        <v>612</v>
      </c>
      <c r="C2337" s="734" t="s">
        <v>2438</v>
      </c>
      <c r="D2337" s="734" t="s">
        <v>21</v>
      </c>
      <c r="E2337" s="734" t="s">
        <v>614</v>
      </c>
      <c r="F2337" s="734" t="s">
        <v>696</v>
      </c>
      <c r="G2337" s="733"/>
      <c r="H2337" s="733"/>
      <c r="I2337" s="733"/>
      <c r="J2337" s="733"/>
      <c r="K2337" s="733"/>
      <c r="L2337" s="733"/>
      <c r="M2337" s="733"/>
    </row>
    <row r="2338" spans="1:13" x14ac:dyDescent="0.3">
      <c r="A2338" s="734" t="s">
        <v>2437</v>
      </c>
      <c r="B2338" s="734" t="s">
        <v>612</v>
      </c>
      <c r="C2338" s="734" t="s">
        <v>2439</v>
      </c>
      <c r="D2338" s="734" t="s">
        <v>21</v>
      </c>
      <c r="E2338" s="734" t="s">
        <v>614</v>
      </c>
      <c r="F2338" s="734" t="s">
        <v>696</v>
      </c>
      <c r="G2338" s="733"/>
      <c r="H2338" s="733"/>
      <c r="I2338" s="733"/>
      <c r="J2338" s="733"/>
      <c r="K2338" s="733"/>
      <c r="L2338" s="733"/>
      <c r="M2338" s="733"/>
    </row>
    <row r="2339" spans="1:13" x14ac:dyDescent="0.3">
      <c r="A2339" s="733" t="s">
        <v>2437</v>
      </c>
      <c r="B2339" s="733" t="s">
        <v>612</v>
      </c>
      <c r="C2339" s="733" t="s">
        <v>1987</v>
      </c>
      <c r="D2339" s="733" t="s">
        <v>21</v>
      </c>
      <c r="E2339" s="733" t="s">
        <v>614</v>
      </c>
      <c r="F2339" s="733" t="s">
        <v>615</v>
      </c>
      <c r="G2339" s="733"/>
      <c r="H2339" s="733"/>
      <c r="I2339" s="733"/>
      <c r="J2339" s="733"/>
      <c r="K2339" s="733"/>
      <c r="L2339" s="733"/>
      <c r="M2339" s="733"/>
    </row>
    <row r="2340" spans="1:13" x14ac:dyDescent="0.3">
      <c r="A2340" s="733" t="s">
        <v>2437</v>
      </c>
      <c r="B2340" s="733" t="s">
        <v>612</v>
      </c>
      <c r="C2340" s="733" t="s">
        <v>1988</v>
      </c>
      <c r="D2340" s="733" t="s">
        <v>21</v>
      </c>
      <c r="E2340" s="733" t="s">
        <v>614</v>
      </c>
      <c r="F2340" s="733" t="s">
        <v>615</v>
      </c>
      <c r="G2340" s="733"/>
      <c r="H2340" s="733"/>
      <c r="I2340" s="733"/>
      <c r="J2340" s="733"/>
      <c r="K2340" s="733"/>
      <c r="L2340" s="733"/>
      <c r="M2340" s="733"/>
    </row>
    <row r="2341" spans="1:13" x14ac:dyDescent="0.3">
      <c r="A2341" s="733" t="s">
        <v>2437</v>
      </c>
      <c r="B2341" s="733" t="s">
        <v>645</v>
      </c>
      <c r="C2341" s="733" t="s">
        <v>2440</v>
      </c>
      <c r="D2341" s="733" t="s">
        <v>21</v>
      </c>
      <c r="E2341" s="733" t="s">
        <v>614</v>
      </c>
      <c r="F2341" s="733" t="s">
        <v>615</v>
      </c>
      <c r="G2341" s="733"/>
      <c r="H2341" s="733"/>
      <c r="I2341" s="733"/>
      <c r="J2341" s="733"/>
      <c r="K2341" s="733"/>
      <c r="L2341" s="733"/>
      <c r="M2341" s="733"/>
    </row>
    <row r="2342" spans="1:13" x14ac:dyDescent="0.3">
      <c r="A2342" s="733" t="s">
        <v>2437</v>
      </c>
      <c r="B2342" s="733" t="s">
        <v>645</v>
      </c>
      <c r="C2342" s="733" t="s">
        <v>2441</v>
      </c>
      <c r="D2342" s="733" t="s">
        <v>21</v>
      </c>
      <c r="E2342" s="733" t="s">
        <v>614</v>
      </c>
      <c r="F2342" s="733" t="s">
        <v>615</v>
      </c>
      <c r="G2342" s="733"/>
      <c r="H2342" s="733"/>
      <c r="I2342" s="733"/>
      <c r="J2342" s="733"/>
      <c r="K2342" s="733"/>
      <c r="L2342" s="733"/>
      <c r="M2342" s="733"/>
    </row>
    <row r="2343" spans="1:13" x14ac:dyDescent="0.3">
      <c r="A2343" s="734" t="s">
        <v>2437</v>
      </c>
      <c r="B2343" s="734" t="s">
        <v>645</v>
      </c>
      <c r="C2343" s="734" t="s">
        <v>2442</v>
      </c>
      <c r="D2343" s="734" t="s">
        <v>21</v>
      </c>
      <c r="E2343" s="734" t="s">
        <v>614</v>
      </c>
      <c r="F2343" s="734" t="s">
        <v>736</v>
      </c>
      <c r="G2343" s="733"/>
      <c r="H2343" s="733"/>
      <c r="I2343" s="733"/>
      <c r="J2343" s="733"/>
      <c r="K2343" s="733"/>
      <c r="L2343" s="733"/>
      <c r="M2343" s="733"/>
    </row>
    <row r="2344" spans="1:13" x14ac:dyDescent="0.3">
      <c r="A2344" s="733" t="s">
        <v>2437</v>
      </c>
      <c r="B2344" s="733" t="s">
        <v>664</v>
      </c>
      <c r="C2344" s="733" t="s">
        <v>2443</v>
      </c>
      <c r="D2344" s="733" t="s">
        <v>21</v>
      </c>
      <c r="E2344" s="733" t="s">
        <v>614</v>
      </c>
      <c r="F2344" s="733" t="s">
        <v>615</v>
      </c>
      <c r="G2344" s="733"/>
      <c r="H2344" s="733"/>
      <c r="I2344" s="733"/>
      <c r="J2344" s="733"/>
      <c r="K2344" s="733"/>
      <c r="L2344" s="733"/>
      <c r="M2344" s="733"/>
    </row>
    <row r="2345" spans="1:13" x14ac:dyDescent="0.3">
      <c r="A2345" s="733" t="s">
        <v>2437</v>
      </c>
      <c r="B2345" s="733" t="s">
        <v>664</v>
      </c>
      <c r="C2345" s="733" t="s">
        <v>2444</v>
      </c>
      <c r="D2345" s="733" t="s">
        <v>21</v>
      </c>
      <c r="E2345" s="733" t="s">
        <v>614</v>
      </c>
      <c r="F2345" s="733" t="s">
        <v>615</v>
      </c>
      <c r="G2345" s="733"/>
      <c r="H2345" s="733"/>
      <c r="I2345" s="733"/>
      <c r="J2345" s="733"/>
      <c r="K2345" s="733"/>
      <c r="L2345" s="733"/>
      <c r="M2345" s="733"/>
    </row>
    <row r="2346" spans="1:13" x14ac:dyDescent="0.3">
      <c r="A2346" s="733" t="s">
        <v>2437</v>
      </c>
      <c r="B2346" s="733" t="s">
        <v>664</v>
      </c>
      <c r="C2346" s="733" t="s">
        <v>2445</v>
      </c>
      <c r="D2346" s="733" t="s">
        <v>21</v>
      </c>
      <c r="E2346" s="733" t="s">
        <v>614</v>
      </c>
      <c r="F2346" s="733" t="s">
        <v>615</v>
      </c>
      <c r="G2346" s="733"/>
      <c r="H2346" s="733"/>
      <c r="I2346" s="733"/>
      <c r="J2346" s="733"/>
      <c r="K2346" s="733"/>
      <c r="L2346" s="733"/>
      <c r="M2346" s="733"/>
    </row>
    <row r="2347" spans="1:13" x14ac:dyDescent="0.3">
      <c r="A2347" s="733" t="s">
        <v>2446</v>
      </c>
      <c r="B2347" s="733" t="s">
        <v>612</v>
      </c>
      <c r="C2347" s="733" t="s">
        <v>2447</v>
      </c>
      <c r="D2347" s="733" t="s">
        <v>21</v>
      </c>
      <c r="E2347" s="733" t="s">
        <v>614</v>
      </c>
      <c r="F2347" s="733" t="s">
        <v>615</v>
      </c>
      <c r="G2347" s="733"/>
      <c r="H2347" s="733"/>
      <c r="I2347" s="733"/>
      <c r="J2347" s="733"/>
      <c r="K2347" s="733"/>
      <c r="L2347" s="733"/>
      <c r="M2347" s="733"/>
    </row>
    <row r="2348" spans="1:13" x14ac:dyDescent="0.3">
      <c r="A2348" s="733" t="s">
        <v>2446</v>
      </c>
      <c r="B2348" s="733" t="s">
        <v>645</v>
      </c>
      <c r="C2348" s="733" t="s">
        <v>919</v>
      </c>
      <c r="D2348" s="733" t="s">
        <v>21</v>
      </c>
      <c r="E2348" s="733" t="s">
        <v>614</v>
      </c>
      <c r="F2348" s="733" t="s">
        <v>615</v>
      </c>
      <c r="G2348" s="733"/>
      <c r="H2348" s="733"/>
      <c r="I2348" s="733"/>
      <c r="J2348" s="733"/>
      <c r="K2348" s="733"/>
      <c r="L2348" s="733"/>
      <c r="M2348" s="733"/>
    </row>
    <row r="2349" spans="1:13" x14ac:dyDescent="0.3">
      <c r="A2349" s="733" t="s">
        <v>2446</v>
      </c>
      <c r="B2349" s="733" t="s">
        <v>645</v>
      </c>
      <c r="C2349" s="733" t="s">
        <v>2448</v>
      </c>
      <c r="D2349" s="733" t="s">
        <v>21</v>
      </c>
      <c r="E2349" s="733" t="s">
        <v>614</v>
      </c>
      <c r="F2349" s="733" t="s">
        <v>615</v>
      </c>
      <c r="G2349" s="733"/>
      <c r="H2349" s="733"/>
      <c r="I2349" s="733"/>
      <c r="J2349" s="733"/>
      <c r="K2349" s="733"/>
      <c r="L2349" s="733"/>
      <c r="M2349" s="733"/>
    </row>
    <row r="2350" spans="1:13" x14ac:dyDescent="0.3">
      <c r="A2350" s="733" t="s">
        <v>2446</v>
      </c>
      <c r="B2350" s="733" t="s">
        <v>664</v>
      </c>
      <c r="C2350" s="733" t="s">
        <v>2449</v>
      </c>
      <c r="D2350" s="733" t="s">
        <v>21</v>
      </c>
      <c r="E2350" s="733" t="s">
        <v>614</v>
      </c>
      <c r="F2350" s="733" t="s">
        <v>615</v>
      </c>
      <c r="G2350" s="733"/>
      <c r="H2350" s="733"/>
      <c r="I2350" s="733"/>
      <c r="J2350" s="733"/>
      <c r="K2350" s="733"/>
      <c r="L2350" s="733"/>
      <c r="M2350" s="733"/>
    </row>
    <row r="2351" spans="1:13" x14ac:dyDescent="0.3">
      <c r="A2351" s="733" t="s">
        <v>2450</v>
      </c>
      <c r="B2351" s="733" t="s">
        <v>612</v>
      </c>
      <c r="C2351" s="733" t="s">
        <v>2451</v>
      </c>
      <c r="D2351" s="733" t="s">
        <v>21</v>
      </c>
      <c r="E2351" s="761"/>
      <c r="F2351" s="761"/>
      <c r="G2351" s="733"/>
      <c r="H2351" s="733"/>
      <c r="I2351" s="733"/>
      <c r="J2351" s="733"/>
      <c r="K2351" s="733"/>
      <c r="L2351" s="733"/>
      <c r="M2351" s="733"/>
    </row>
    <row r="2352" spans="1:13" x14ac:dyDescent="0.3">
      <c r="A2352" s="733" t="s">
        <v>2450</v>
      </c>
      <c r="B2352" s="733" t="s">
        <v>612</v>
      </c>
      <c r="C2352" s="733" t="s">
        <v>2452</v>
      </c>
      <c r="D2352" s="733" t="s">
        <v>21</v>
      </c>
      <c r="E2352" s="761"/>
      <c r="F2352" s="761"/>
      <c r="G2352" s="733"/>
      <c r="H2352" s="733"/>
      <c r="I2352" s="733"/>
      <c r="J2352" s="733"/>
      <c r="K2352" s="733"/>
      <c r="L2352" s="733"/>
      <c r="M2352" s="733"/>
    </row>
    <row r="2353" spans="1:13" x14ac:dyDescent="0.3">
      <c r="A2353" s="733" t="s">
        <v>2450</v>
      </c>
      <c r="B2353" s="733" t="s">
        <v>612</v>
      </c>
      <c r="C2353" s="733" t="s">
        <v>2453</v>
      </c>
      <c r="D2353" s="733" t="s">
        <v>21</v>
      </c>
      <c r="E2353" s="761"/>
      <c r="F2353" s="761"/>
      <c r="G2353" s="733"/>
      <c r="H2353" s="733"/>
      <c r="I2353" s="733"/>
      <c r="J2353" s="733"/>
      <c r="K2353" s="733"/>
      <c r="L2353" s="733"/>
      <c r="M2353" s="733"/>
    </row>
    <row r="2354" spans="1:13" x14ac:dyDescent="0.3">
      <c r="A2354" s="733" t="s">
        <v>2450</v>
      </c>
      <c r="B2354" s="733" t="s">
        <v>612</v>
      </c>
      <c r="C2354" s="733" t="s">
        <v>2454</v>
      </c>
      <c r="D2354" s="733" t="s">
        <v>21</v>
      </c>
      <c r="E2354" s="761"/>
      <c r="F2354" s="761"/>
      <c r="G2354" s="733"/>
      <c r="H2354" s="733"/>
      <c r="I2354" s="733"/>
      <c r="J2354" s="733"/>
      <c r="K2354" s="733"/>
      <c r="L2354" s="733"/>
      <c r="M2354" s="733"/>
    </row>
    <row r="2355" spans="1:13" x14ac:dyDescent="0.3">
      <c r="A2355" s="733" t="s">
        <v>2450</v>
      </c>
      <c r="B2355" s="733" t="s">
        <v>612</v>
      </c>
      <c r="C2355" s="733" t="s">
        <v>2455</v>
      </c>
      <c r="D2355" s="733" t="s">
        <v>21</v>
      </c>
      <c r="E2355" s="761"/>
      <c r="F2355" s="761"/>
      <c r="G2355" s="733"/>
      <c r="H2355" s="733"/>
      <c r="I2355" s="733"/>
      <c r="J2355" s="733"/>
      <c r="K2355" s="733"/>
      <c r="L2355" s="733"/>
      <c r="M2355" s="733"/>
    </row>
    <row r="2356" spans="1:13" x14ac:dyDescent="0.3">
      <c r="A2356" s="733" t="s">
        <v>2450</v>
      </c>
      <c r="B2356" s="733" t="s">
        <v>645</v>
      </c>
      <c r="C2356" s="733" t="s">
        <v>2456</v>
      </c>
      <c r="D2356" s="733" t="s">
        <v>21</v>
      </c>
      <c r="E2356" s="761"/>
      <c r="F2356" s="761"/>
      <c r="G2356" s="733"/>
      <c r="H2356" s="733"/>
      <c r="I2356" s="733"/>
      <c r="J2356" s="733"/>
      <c r="K2356" s="733"/>
      <c r="L2356" s="733"/>
      <c r="M2356" s="733"/>
    </row>
    <row r="2357" spans="1:13" x14ac:dyDescent="0.3">
      <c r="A2357" s="733" t="s">
        <v>2450</v>
      </c>
      <c r="B2357" s="733" t="s">
        <v>645</v>
      </c>
      <c r="C2357" s="733" t="s">
        <v>2457</v>
      </c>
      <c r="D2357" s="733" t="s">
        <v>21</v>
      </c>
      <c r="E2357" s="761"/>
      <c r="F2357" s="761"/>
      <c r="G2357" s="733"/>
      <c r="H2357" s="733"/>
      <c r="I2357" s="733"/>
      <c r="J2357" s="733"/>
      <c r="K2357" s="733"/>
      <c r="L2357" s="733"/>
      <c r="M2357" s="733"/>
    </row>
    <row r="2358" spans="1:13" x14ac:dyDescent="0.3">
      <c r="A2358" s="733" t="s">
        <v>2450</v>
      </c>
      <c r="B2358" s="733" t="s">
        <v>645</v>
      </c>
      <c r="C2358" s="733" t="s">
        <v>2458</v>
      </c>
      <c r="D2358" s="733" t="s">
        <v>21</v>
      </c>
      <c r="E2358" s="761"/>
      <c r="F2358" s="761"/>
      <c r="G2358" s="733"/>
      <c r="H2358" s="733"/>
      <c r="I2358" s="733"/>
      <c r="J2358" s="733"/>
      <c r="K2358" s="733"/>
      <c r="L2358" s="733"/>
      <c r="M2358" s="733"/>
    </row>
    <row r="2359" spans="1:13" x14ac:dyDescent="0.3">
      <c r="A2359" s="733" t="s">
        <v>2450</v>
      </c>
      <c r="B2359" s="733" t="s">
        <v>645</v>
      </c>
      <c r="C2359" s="733" t="s">
        <v>2459</v>
      </c>
      <c r="D2359" s="733" t="s">
        <v>21</v>
      </c>
      <c r="E2359" s="761"/>
      <c r="F2359" s="761"/>
      <c r="G2359" s="733"/>
      <c r="H2359" s="733"/>
      <c r="I2359" s="733"/>
      <c r="J2359" s="733"/>
      <c r="K2359" s="733"/>
      <c r="L2359" s="733"/>
      <c r="M2359" s="733"/>
    </row>
    <row r="2360" spans="1:13" x14ac:dyDescent="0.3">
      <c r="A2360" s="733" t="s">
        <v>2450</v>
      </c>
      <c r="B2360" s="733" t="s">
        <v>645</v>
      </c>
      <c r="C2360" s="733" t="s">
        <v>2460</v>
      </c>
      <c r="D2360" s="733" t="s">
        <v>21</v>
      </c>
      <c r="E2360" s="761"/>
      <c r="F2360" s="761"/>
      <c r="G2360" s="733"/>
      <c r="H2360" s="733"/>
      <c r="I2360" s="733"/>
      <c r="J2360" s="733"/>
      <c r="K2360" s="733"/>
      <c r="L2360" s="733"/>
      <c r="M2360" s="733"/>
    </row>
    <row r="2361" spans="1:13" x14ac:dyDescent="0.3">
      <c r="A2361" s="733" t="s">
        <v>2450</v>
      </c>
      <c r="B2361" s="733" t="s">
        <v>664</v>
      </c>
      <c r="C2361" s="733" t="s">
        <v>2461</v>
      </c>
      <c r="D2361" s="733" t="s">
        <v>21</v>
      </c>
      <c r="E2361" s="761"/>
      <c r="F2361" s="761"/>
      <c r="G2361" s="733"/>
      <c r="H2361" s="733"/>
      <c r="I2361" s="733"/>
      <c r="J2361" s="733"/>
      <c r="K2361" s="733"/>
      <c r="L2361" s="733"/>
      <c r="M2361" s="733"/>
    </row>
    <row r="2362" spans="1:13" x14ac:dyDescent="0.3">
      <c r="A2362" s="733" t="s">
        <v>2450</v>
      </c>
      <c r="B2362" s="733" t="s">
        <v>664</v>
      </c>
      <c r="C2362" s="733" t="s">
        <v>2462</v>
      </c>
      <c r="D2362" s="733" t="s">
        <v>21</v>
      </c>
      <c r="E2362" s="761"/>
      <c r="F2362" s="761"/>
      <c r="G2362" s="733"/>
      <c r="H2362" s="733"/>
      <c r="I2362" s="733"/>
      <c r="J2362" s="733"/>
      <c r="K2362" s="733"/>
      <c r="L2362" s="733"/>
      <c r="M2362" s="733"/>
    </row>
    <row r="2363" spans="1:13" x14ac:dyDescent="0.3">
      <c r="A2363" s="733" t="s">
        <v>2450</v>
      </c>
      <c r="B2363" s="733" t="s">
        <v>664</v>
      </c>
      <c r="C2363" s="733" t="s">
        <v>2463</v>
      </c>
      <c r="D2363" s="733" t="s">
        <v>21</v>
      </c>
      <c r="E2363" s="761"/>
      <c r="F2363" s="761"/>
      <c r="G2363" s="733"/>
      <c r="H2363" s="733"/>
      <c r="I2363" s="733"/>
      <c r="J2363" s="733"/>
      <c r="K2363" s="733"/>
      <c r="L2363" s="733"/>
      <c r="M2363" s="733"/>
    </row>
    <row r="2364" spans="1:13" x14ac:dyDescent="0.3">
      <c r="A2364" s="733" t="s">
        <v>2450</v>
      </c>
      <c r="B2364" s="733" t="s">
        <v>664</v>
      </c>
      <c r="C2364" s="733" t="s">
        <v>2464</v>
      </c>
      <c r="D2364" s="733" t="s">
        <v>21</v>
      </c>
      <c r="E2364" s="761"/>
      <c r="F2364" s="761"/>
      <c r="G2364" s="733"/>
      <c r="H2364" s="733"/>
      <c r="I2364" s="733"/>
      <c r="J2364" s="733"/>
      <c r="K2364" s="733"/>
      <c r="L2364" s="733"/>
      <c r="M2364" s="733"/>
    </row>
    <row r="2365" spans="1:13" x14ac:dyDescent="0.3">
      <c r="A2365" s="733" t="s">
        <v>2450</v>
      </c>
      <c r="B2365" s="733" t="s">
        <v>664</v>
      </c>
      <c r="C2365" s="733" t="s">
        <v>2465</v>
      </c>
      <c r="D2365" s="733" t="s">
        <v>21</v>
      </c>
      <c r="E2365" s="761"/>
      <c r="F2365" s="761"/>
      <c r="G2365" s="733"/>
      <c r="H2365" s="733"/>
      <c r="I2365" s="733"/>
      <c r="J2365" s="733"/>
      <c r="K2365" s="733"/>
      <c r="L2365" s="733"/>
      <c r="M2365" s="733"/>
    </row>
    <row r="2366" spans="1:13" x14ac:dyDescent="0.3">
      <c r="A2366" s="733" t="s">
        <v>2466</v>
      </c>
      <c r="B2366" s="733" t="s">
        <v>612</v>
      </c>
      <c r="C2366" s="733" t="s">
        <v>2055</v>
      </c>
      <c r="D2366" s="733" t="s">
        <v>21</v>
      </c>
      <c r="E2366" s="733" t="s">
        <v>614</v>
      </c>
      <c r="F2366" s="733" t="s">
        <v>615</v>
      </c>
      <c r="G2366" s="733"/>
      <c r="H2366" s="733"/>
      <c r="I2366" s="733"/>
      <c r="J2366" s="733"/>
      <c r="K2366" s="733"/>
      <c r="L2366" s="733"/>
      <c r="M2366" s="733"/>
    </row>
    <row r="2367" spans="1:13" x14ac:dyDescent="0.3">
      <c r="A2367" s="733" t="s">
        <v>2466</v>
      </c>
      <c r="B2367" s="733" t="s">
        <v>612</v>
      </c>
      <c r="C2367" s="733" t="s">
        <v>2057</v>
      </c>
      <c r="D2367" s="733" t="s">
        <v>21</v>
      </c>
      <c r="E2367" s="733" t="s">
        <v>614</v>
      </c>
      <c r="F2367" s="733" t="s">
        <v>615</v>
      </c>
      <c r="G2367" s="733"/>
      <c r="H2367" s="733"/>
      <c r="I2367" s="733"/>
      <c r="J2367" s="733"/>
      <c r="K2367" s="733"/>
      <c r="L2367" s="733"/>
      <c r="M2367" s="733"/>
    </row>
    <row r="2368" spans="1:13" x14ac:dyDescent="0.3">
      <c r="A2368" s="734" t="s">
        <v>2466</v>
      </c>
      <c r="B2368" s="734" t="s">
        <v>645</v>
      </c>
      <c r="C2368" s="734" t="s">
        <v>2467</v>
      </c>
      <c r="D2368" s="734" t="s">
        <v>21</v>
      </c>
      <c r="E2368" s="734" t="s">
        <v>614</v>
      </c>
      <c r="F2368" s="734" t="s">
        <v>736</v>
      </c>
      <c r="G2368" s="733"/>
      <c r="H2368" s="733"/>
      <c r="I2368" s="733"/>
      <c r="J2368" s="733"/>
      <c r="K2368" s="733"/>
      <c r="L2368" s="733"/>
      <c r="M2368" s="733"/>
    </row>
    <row r="2369" spans="1:13" x14ac:dyDescent="0.3">
      <c r="A2369" s="733" t="s">
        <v>2468</v>
      </c>
      <c r="B2369" s="733" t="s">
        <v>612</v>
      </c>
      <c r="C2369" s="733" t="s">
        <v>2469</v>
      </c>
      <c r="D2369" s="733" t="s">
        <v>21</v>
      </c>
      <c r="E2369" s="733" t="s">
        <v>614</v>
      </c>
      <c r="F2369" s="733" t="s">
        <v>615</v>
      </c>
      <c r="G2369" s="733"/>
      <c r="H2369" s="733"/>
      <c r="I2369" s="733"/>
      <c r="J2369" s="733"/>
      <c r="K2369" s="733"/>
      <c r="L2369" s="733"/>
      <c r="M2369" s="733"/>
    </row>
    <row r="2370" spans="1:13" x14ac:dyDescent="0.3">
      <c r="A2370" s="733" t="s">
        <v>2468</v>
      </c>
      <c r="B2370" s="733" t="s">
        <v>612</v>
      </c>
      <c r="C2370" s="733" t="s">
        <v>909</v>
      </c>
      <c r="D2370" s="733" t="s">
        <v>21</v>
      </c>
      <c r="E2370" s="733" t="s">
        <v>614</v>
      </c>
      <c r="F2370" s="733" t="s">
        <v>615</v>
      </c>
      <c r="G2370" s="733"/>
      <c r="H2370" s="733"/>
      <c r="I2370" s="733"/>
      <c r="J2370" s="733"/>
      <c r="K2370" s="733"/>
      <c r="L2370" s="733"/>
      <c r="M2370" s="733"/>
    </row>
    <row r="2371" spans="1:13" x14ac:dyDescent="0.3">
      <c r="A2371" s="733" t="s">
        <v>2468</v>
      </c>
      <c r="B2371" s="733" t="s">
        <v>612</v>
      </c>
      <c r="C2371" s="733" t="s">
        <v>2470</v>
      </c>
      <c r="D2371" s="733" t="s">
        <v>21</v>
      </c>
      <c r="E2371" s="733" t="s">
        <v>614</v>
      </c>
      <c r="F2371" s="733" t="s">
        <v>615</v>
      </c>
      <c r="G2371" s="733"/>
      <c r="H2371" s="733"/>
      <c r="I2371" s="733"/>
      <c r="J2371" s="733"/>
      <c r="K2371" s="733"/>
      <c r="L2371" s="733"/>
      <c r="M2371" s="733"/>
    </row>
    <row r="2372" spans="1:13" x14ac:dyDescent="0.3">
      <c r="A2372" s="733" t="s">
        <v>2468</v>
      </c>
      <c r="B2372" s="733" t="s">
        <v>612</v>
      </c>
      <c r="C2372" s="733" t="s">
        <v>1605</v>
      </c>
      <c r="D2372" s="733" t="s">
        <v>21</v>
      </c>
      <c r="E2372" s="733" t="s">
        <v>614</v>
      </c>
      <c r="F2372" s="733" t="s">
        <v>615</v>
      </c>
      <c r="G2372" s="733"/>
      <c r="H2372" s="733"/>
      <c r="I2372" s="733"/>
      <c r="J2372" s="733"/>
      <c r="K2372" s="733"/>
      <c r="L2372" s="733"/>
      <c r="M2372" s="733"/>
    </row>
    <row r="2373" spans="1:13" x14ac:dyDescent="0.3">
      <c r="A2373" s="733" t="s">
        <v>2468</v>
      </c>
      <c r="B2373" s="733" t="s">
        <v>612</v>
      </c>
      <c r="C2373" s="733" t="s">
        <v>2471</v>
      </c>
      <c r="D2373" s="733" t="s">
        <v>21</v>
      </c>
      <c r="E2373" s="733" t="s">
        <v>614</v>
      </c>
      <c r="F2373" s="733" t="s">
        <v>615</v>
      </c>
      <c r="G2373" s="733"/>
      <c r="H2373" s="733"/>
      <c r="I2373" s="733"/>
      <c r="J2373" s="733"/>
      <c r="K2373" s="733"/>
      <c r="L2373" s="733"/>
      <c r="M2373" s="733"/>
    </row>
    <row r="2374" spans="1:13" x14ac:dyDescent="0.3">
      <c r="A2374" s="733" t="s">
        <v>2468</v>
      </c>
      <c r="B2374" s="733" t="s">
        <v>612</v>
      </c>
      <c r="C2374" s="733" t="s">
        <v>2472</v>
      </c>
      <c r="D2374" s="733" t="s">
        <v>21</v>
      </c>
      <c r="E2374" s="733" t="s">
        <v>614</v>
      </c>
      <c r="F2374" s="733" t="s">
        <v>615</v>
      </c>
      <c r="G2374" s="733"/>
      <c r="H2374" s="733"/>
      <c r="I2374" s="733"/>
      <c r="J2374" s="733"/>
      <c r="K2374" s="733"/>
      <c r="L2374" s="733"/>
      <c r="M2374" s="733"/>
    </row>
    <row r="2375" spans="1:13" x14ac:dyDescent="0.3">
      <c r="A2375" s="733" t="s">
        <v>2468</v>
      </c>
      <c r="B2375" s="733" t="s">
        <v>612</v>
      </c>
      <c r="C2375" s="733" t="s">
        <v>2473</v>
      </c>
      <c r="D2375" s="733" t="s">
        <v>21</v>
      </c>
      <c r="E2375" s="733" t="s">
        <v>614</v>
      </c>
      <c r="F2375" s="733" t="s">
        <v>615</v>
      </c>
      <c r="G2375" s="733"/>
      <c r="H2375" s="733"/>
      <c r="I2375" s="733"/>
      <c r="J2375" s="733"/>
      <c r="K2375" s="733"/>
      <c r="L2375" s="733"/>
      <c r="M2375" s="733"/>
    </row>
    <row r="2376" spans="1:13" x14ac:dyDescent="0.3">
      <c r="A2376" s="733" t="s">
        <v>2468</v>
      </c>
      <c r="B2376" s="733" t="s">
        <v>612</v>
      </c>
      <c r="C2376" s="733" t="s">
        <v>2262</v>
      </c>
      <c r="D2376" s="733" t="s">
        <v>21</v>
      </c>
      <c r="E2376" s="733" t="s">
        <v>614</v>
      </c>
      <c r="F2376" s="733" t="s">
        <v>615</v>
      </c>
      <c r="G2376" s="733"/>
      <c r="H2376" s="733"/>
      <c r="I2376" s="733"/>
      <c r="J2376" s="733"/>
      <c r="K2376" s="733"/>
      <c r="L2376" s="733"/>
      <c r="M2376" s="733"/>
    </row>
    <row r="2377" spans="1:13" x14ac:dyDescent="0.3">
      <c r="A2377" s="733" t="s">
        <v>2468</v>
      </c>
      <c r="B2377" s="733" t="s">
        <v>645</v>
      </c>
      <c r="C2377" s="733" t="s">
        <v>2474</v>
      </c>
      <c r="D2377" s="733" t="s">
        <v>21</v>
      </c>
      <c r="E2377" s="733" t="s">
        <v>614</v>
      </c>
      <c r="F2377" s="733" t="s">
        <v>615</v>
      </c>
      <c r="G2377" s="733"/>
      <c r="H2377" s="733"/>
      <c r="I2377" s="733"/>
      <c r="J2377" s="733"/>
      <c r="K2377" s="733"/>
      <c r="L2377" s="733"/>
      <c r="M2377" s="733"/>
    </row>
    <row r="2378" spans="1:13" x14ac:dyDescent="0.3">
      <c r="A2378" s="734" t="s">
        <v>2468</v>
      </c>
      <c r="B2378" s="734" t="s">
        <v>645</v>
      </c>
      <c r="C2378" s="734" t="s">
        <v>2475</v>
      </c>
      <c r="D2378" s="734" t="s">
        <v>21</v>
      </c>
      <c r="E2378" s="734" t="s">
        <v>614</v>
      </c>
      <c r="F2378" s="734" t="s">
        <v>696</v>
      </c>
      <c r="G2378" s="733"/>
      <c r="H2378" s="733"/>
      <c r="I2378" s="733"/>
      <c r="J2378" s="733"/>
      <c r="K2378" s="733"/>
      <c r="L2378" s="733"/>
      <c r="M2378" s="733"/>
    </row>
    <row r="2379" spans="1:13" x14ac:dyDescent="0.3">
      <c r="A2379" s="733" t="s">
        <v>2468</v>
      </c>
      <c r="B2379" s="733" t="s">
        <v>645</v>
      </c>
      <c r="C2379" s="733" t="s">
        <v>2476</v>
      </c>
      <c r="D2379" s="733" t="s">
        <v>21</v>
      </c>
      <c r="E2379" s="733" t="s">
        <v>614</v>
      </c>
      <c r="F2379" s="733" t="s">
        <v>615</v>
      </c>
      <c r="G2379" s="733"/>
      <c r="H2379" s="733"/>
      <c r="I2379" s="733"/>
      <c r="J2379" s="733"/>
      <c r="K2379" s="733"/>
      <c r="L2379" s="733"/>
      <c r="M2379" s="733"/>
    </row>
    <row r="2380" spans="1:13" x14ac:dyDescent="0.3">
      <c r="A2380" s="733" t="s">
        <v>2468</v>
      </c>
      <c r="B2380" s="733" t="s">
        <v>645</v>
      </c>
      <c r="C2380" s="733" t="s">
        <v>2477</v>
      </c>
      <c r="D2380" s="733" t="s">
        <v>21</v>
      </c>
      <c r="E2380" s="733" t="s">
        <v>614</v>
      </c>
      <c r="F2380" s="733" t="s">
        <v>615</v>
      </c>
      <c r="G2380" s="733"/>
      <c r="H2380" s="733"/>
      <c r="I2380" s="733"/>
      <c r="J2380" s="733"/>
      <c r="K2380" s="733"/>
      <c r="L2380" s="733"/>
      <c r="M2380" s="733"/>
    </row>
    <row r="2381" spans="1:13" x14ac:dyDescent="0.3">
      <c r="A2381" s="733" t="s">
        <v>2468</v>
      </c>
      <c r="B2381" s="733" t="s">
        <v>645</v>
      </c>
      <c r="C2381" s="733" t="s">
        <v>2478</v>
      </c>
      <c r="D2381" s="733" t="s">
        <v>21</v>
      </c>
      <c r="E2381" s="733" t="s">
        <v>614</v>
      </c>
      <c r="F2381" s="733" t="s">
        <v>615</v>
      </c>
      <c r="G2381" s="733"/>
      <c r="H2381" s="733"/>
      <c r="I2381" s="733"/>
      <c r="J2381" s="733"/>
      <c r="K2381" s="733"/>
      <c r="L2381" s="733"/>
      <c r="M2381" s="733"/>
    </row>
    <row r="2382" spans="1:13" x14ac:dyDescent="0.3">
      <c r="A2382" s="733" t="s">
        <v>2479</v>
      </c>
      <c r="B2382" s="733" t="s">
        <v>612</v>
      </c>
      <c r="C2382" s="733" t="s">
        <v>2480</v>
      </c>
      <c r="D2382" s="733" t="s">
        <v>21</v>
      </c>
      <c r="E2382" s="733" t="s">
        <v>614</v>
      </c>
      <c r="F2382" s="733" t="s">
        <v>615</v>
      </c>
      <c r="G2382" s="733"/>
      <c r="H2382" s="733"/>
      <c r="I2382" s="733"/>
      <c r="J2382" s="733"/>
      <c r="K2382" s="733"/>
      <c r="L2382" s="733"/>
      <c r="M2382" s="733"/>
    </row>
    <row r="2383" spans="1:13" x14ac:dyDescent="0.3">
      <c r="A2383" s="733" t="s">
        <v>2479</v>
      </c>
      <c r="B2383" s="733" t="s">
        <v>612</v>
      </c>
      <c r="C2383" s="733" t="s">
        <v>2481</v>
      </c>
      <c r="D2383" s="733" t="s">
        <v>21</v>
      </c>
      <c r="E2383" s="733" t="s">
        <v>614</v>
      </c>
      <c r="F2383" s="733" t="s">
        <v>615</v>
      </c>
      <c r="G2383" s="733"/>
      <c r="H2383" s="733"/>
      <c r="I2383" s="733"/>
      <c r="J2383" s="733"/>
      <c r="K2383" s="733"/>
      <c r="L2383" s="733"/>
      <c r="M2383" s="733"/>
    </row>
    <row r="2384" spans="1:13" x14ac:dyDescent="0.3">
      <c r="A2384" s="733" t="s">
        <v>2479</v>
      </c>
      <c r="B2384" s="733" t="s">
        <v>612</v>
      </c>
      <c r="C2384" s="733" t="s">
        <v>931</v>
      </c>
      <c r="D2384" s="733" t="s">
        <v>21</v>
      </c>
      <c r="E2384" s="733" t="s">
        <v>614</v>
      </c>
      <c r="F2384" s="733" t="s">
        <v>615</v>
      </c>
      <c r="G2384" s="733"/>
      <c r="H2384" s="733"/>
      <c r="I2384" s="733"/>
      <c r="J2384" s="733"/>
      <c r="K2384" s="733"/>
      <c r="L2384" s="733"/>
      <c r="M2384" s="733"/>
    </row>
    <row r="2385" spans="1:13" x14ac:dyDescent="0.3">
      <c r="A2385" s="734" t="s">
        <v>2479</v>
      </c>
      <c r="B2385" s="734" t="s">
        <v>612</v>
      </c>
      <c r="C2385" s="734" t="s">
        <v>2482</v>
      </c>
      <c r="D2385" s="733" t="s">
        <v>21</v>
      </c>
      <c r="E2385" s="734" t="s">
        <v>614</v>
      </c>
      <c r="F2385" s="734" t="s">
        <v>696</v>
      </c>
      <c r="G2385" s="733"/>
      <c r="H2385" s="733"/>
      <c r="I2385" s="733"/>
      <c r="J2385" s="733"/>
      <c r="K2385" s="733"/>
      <c r="L2385" s="733"/>
      <c r="M2385" s="733"/>
    </row>
    <row r="2386" spans="1:13" x14ac:dyDescent="0.3">
      <c r="A2386" s="733" t="s">
        <v>2479</v>
      </c>
      <c r="B2386" s="733" t="s">
        <v>612</v>
      </c>
      <c r="C2386" s="733" t="s">
        <v>2483</v>
      </c>
      <c r="D2386" s="733" t="s">
        <v>21</v>
      </c>
      <c r="E2386" s="733" t="s">
        <v>614</v>
      </c>
      <c r="F2386" s="733" t="s">
        <v>615</v>
      </c>
      <c r="G2386" s="733"/>
      <c r="H2386" s="733"/>
      <c r="I2386" s="733"/>
      <c r="J2386" s="733"/>
      <c r="K2386" s="733"/>
      <c r="L2386" s="733"/>
      <c r="M2386" s="733"/>
    </row>
    <row r="2387" spans="1:13" x14ac:dyDescent="0.3">
      <c r="A2387" s="733" t="s">
        <v>2479</v>
      </c>
      <c r="B2387" s="733" t="s">
        <v>612</v>
      </c>
      <c r="C2387" s="733" t="s">
        <v>909</v>
      </c>
      <c r="D2387" s="733" t="s">
        <v>21</v>
      </c>
      <c r="E2387" s="733" t="s">
        <v>614</v>
      </c>
      <c r="F2387" s="733" t="s">
        <v>615</v>
      </c>
      <c r="G2387" s="733"/>
      <c r="H2387" s="733"/>
      <c r="I2387" s="733"/>
      <c r="J2387" s="733"/>
      <c r="K2387" s="733"/>
      <c r="L2387" s="733"/>
      <c r="M2387" s="733"/>
    </row>
    <row r="2388" spans="1:13" x14ac:dyDescent="0.3">
      <c r="A2388" s="733" t="s">
        <v>2479</v>
      </c>
      <c r="B2388" s="733" t="s">
        <v>612</v>
      </c>
      <c r="C2388" s="733" t="s">
        <v>2484</v>
      </c>
      <c r="D2388" s="733" t="s">
        <v>21</v>
      </c>
      <c r="E2388" s="733" t="s">
        <v>614</v>
      </c>
      <c r="F2388" s="733" t="s">
        <v>615</v>
      </c>
      <c r="G2388" s="733"/>
      <c r="H2388" s="733"/>
      <c r="I2388" s="733"/>
      <c r="J2388" s="733"/>
      <c r="K2388" s="733"/>
      <c r="L2388" s="733"/>
      <c r="M2388" s="733"/>
    </row>
    <row r="2389" spans="1:13" x14ac:dyDescent="0.3">
      <c r="A2389" s="733" t="s">
        <v>2479</v>
      </c>
      <c r="B2389" s="733" t="s">
        <v>612</v>
      </c>
      <c r="C2389" s="733" t="s">
        <v>2485</v>
      </c>
      <c r="D2389" s="733" t="s">
        <v>21</v>
      </c>
      <c r="E2389" s="733" t="s">
        <v>614</v>
      </c>
      <c r="F2389" s="733" t="s">
        <v>615</v>
      </c>
      <c r="G2389" s="733"/>
      <c r="H2389" s="733"/>
      <c r="I2389" s="733"/>
      <c r="J2389" s="733"/>
      <c r="K2389" s="733"/>
      <c r="L2389" s="733"/>
      <c r="M2389" s="733"/>
    </row>
    <row r="2390" spans="1:13" x14ac:dyDescent="0.3">
      <c r="A2390" s="733" t="s">
        <v>2479</v>
      </c>
      <c r="B2390" s="733" t="s">
        <v>612</v>
      </c>
      <c r="C2390" s="733" t="s">
        <v>2486</v>
      </c>
      <c r="D2390" s="733" t="s">
        <v>21</v>
      </c>
      <c r="E2390" s="733" t="s">
        <v>614</v>
      </c>
      <c r="F2390" s="733" t="s">
        <v>615</v>
      </c>
      <c r="G2390" s="733"/>
      <c r="H2390" s="733"/>
      <c r="I2390" s="733"/>
      <c r="J2390" s="733"/>
      <c r="K2390" s="733"/>
      <c r="L2390" s="733"/>
      <c r="M2390" s="733"/>
    </row>
    <row r="2391" spans="1:13" x14ac:dyDescent="0.3">
      <c r="A2391" s="733" t="s">
        <v>2479</v>
      </c>
      <c r="B2391" s="733" t="s">
        <v>612</v>
      </c>
      <c r="C2391" s="733" t="s">
        <v>2487</v>
      </c>
      <c r="D2391" s="733" t="s">
        <v>21</v>
      </c>
      <c r="E2391" s="733" t="s">
        <v>614</v>
      </c>
      <c r="F2391" s="733" t="s">
        <v>615</v>
      </c>
      <c r="G2391" s="733"/>
      <c r="H2391" s="733"/>
      <c r="I2391" s="733"/>
      <c r="J2391" s="733"/>
      <c r="K2391" s="733"/>
      <c r="L2391" s="733"/>
      <c r="M2391" s="733"/>
    </row>
    <row r="2392" spans="1:13" x14ac:dyDescent="0.3">
      <c r="A2392" s="733" t="s">
        <v>2479</v>
      </c>
      <c r="B2392" s="733" t="s">
        <v>612</v>
      </c>
      <c r="C2392" s="733" t="s">
        <v>978</v>
      </c>
      <c r="D2392" s="733" t="s">
        <v>21</v>
      </c>
      <c r="E2392" s="733" t="s">
        <v>614</v>
      </c>
      <c r="F2392" s="733" t="s">
        <v>615</v>
      </c>
      <c r="G2392" s="733"/>
      <c r="H2392" s="733"/>
      <c r="I2392" s="733"/>
      <c r="J2392" s="733"/>
      <c r="K2392" s="733"/>
      <c r="L2392" s="733"/>
      <c r="M2392" s="733"/>
    </row>
    <row r="2393" spans="1:13" x14ac:dyDescent="0.3">
      <c r="A2393" s="733" t="s">
        <v>2479</v>
      </c>
      <c r="B2393" s="733" t="s">
        <v>612</v>
      </c>
      <c r="C2393" s="733" t="s">
        <v>1140</v>
      </c>
      <c r="D2393" s="733" t="s">
        <v>21</v>
      </c>
      <c r="E2393" s="733" t="s">
        <v>614</v>
      </c>
      <c r="F2393" s="733" t="s">
        <v>615</v>
      </c>
      <c r="G2393" s="733"/>
      <c r="H2393" s="733"/>
      <c r="I2393" s="733"/>
      <c r="J2393" s="733"/>
      <c r="K2393" s="733"/>
      <c r="L2393" s="733"/>
      <c r="M2393" s="733"/>
    </row>
    <row r="2394" spans="1:13" x14ac:dyDescent="0.3">
      <c r="A2394" s="733" t="s">
        <v>2479</v>
      </c>
      <c r="B2394" s="733" t="s">
        <v>612</v>
      </c>
      <c r="C2394" s="733" t="s">
        <v>2488</v>
      </c>
      <c r="D2394" s="733" t="s">
        <v>21</v>
      </c>
      <c r="E2394" s="733" t="s">
        <v>614</v>
      </c>
      <c r="F2394" s="733" t="s">
        <v>615</v>
      </c>
      <c r="G2394" s="733"/>
      <c r="H2394" s="733"/>
      <c r="I2394" s="733"/>
      <c r="J2394" s="733"/>
      <c r="K2394" s="733"/>
      <c r="L2394" s="733"/>
      <c r="M2394" s="733"/>
    </row>
    <row r="2395" spans="1:13" x14ac:dyDescent="0.3">
      <c r="A2395" s="733" t="s">
        <v>2479</v>
      </c>
      <c r="B2395" s="733" t="s">
        <v>612</v>
      </c>
      <c r="C2395" s="733" t="s">
        <v>2489</v>
      </c>
      <c r="D2395" s="733" t="s">
        <v>21</v>
      </c>
      <c r="E2395" s="733" t="s">
        <v>614</v>
      </c>
      <c r="F2395" s="733" t="s">
        <v>615</v>
      </c>
      <c r="G2395" s="733"/>
      <c r="H2395" s="733"/>
      <c r="I2395" s="733"/>
      <c r="J2395" s="733"/>
      <c r="K2395" s="733"/>
      <c r="L2395" s="733"/>
      <c r="M2395" s="733"/>
    </row>
    <row r="2396" spans="1:13" x14ac:dyDescent="0.3">
      <c r="A2396" s="733" t="s">
        <v>2479</v>
      </c>
      <c r="B2396" s="733" t="s">
        <v>612</v>
      </c>
      <c r="C2396" s="733" t="s">
        <v>981</v>
      </c>
      <c r="D2396" s="733" t="s">
        <v>21</v>
      </c>
      <c r="E2396" s="733" t="s">
        <v>614</v>
      </c>
      <c r="F2396" s="733" t="s">
        <v>615</v>
      </c>
      <c r="G2396" s="733"/>
      <c r="H2396" s="733"/>
      <c r="I2396" s="733"/>
      <c r="J2396" s="733"/>
      <c r="K2396" s="733"/>
      <c r="L2396" s="733"/>
      <c r="M2396" s="733"/>
    </row>
    <row r="2397" spans="1:13" x14ac:dyDescent="0.3">
      <c r="A2397" s="733" t="s">
        <v>2479</v>
      </c>
      <c r="B2397" s="733" t="s">
        <v>612</v>
      </c>
      <c r="C2397" s="733" t="s">
        <v>2490</v>
      </c>
      <c r="D2397" s="733" t="s">
        <v>21</v>
      </c>
      <c r="E2397" s="733" t="s">
        <v>614</v>
      </c>
      <c r="F2397" s="733" t="s">
        <v>615</v>
      </c>
      <c r="G2397" s="733"/>
      <c r="H2397" s="733"/>
      <c r="I2397" s="733"/>
      <c r="J2397" s="733"/>
      <c r="K2397" s="733"/>
      <c r="L2397" s="733"/>
      <c r="M2397" s="733"/>
    </row>
    <row r="2398" spans="1:13" x14ac:dyDescent="0.3">
      <c r="A2398" s="733" t="s">
        <v>2479</v>
      </c>
      <c r="B2398" s="733" t="s">
        <v>612</v>
      </c>
      <c r="C2398" s="733" t="s">
        <v>2491</v>
      </c>
      <c r="D2398" s="733" t="s">
        <v>21</v>
      </c>
      <c r="E2398" s="733" t="s">
        <v>614</v>
      </c>
      <c r="F2398" s="733" t="s">
        <v>615</v>
      </c>
      <c r="G2398" s="733"/>
      <c r="H2398" s="733"/>
      <c r="I2398" s="733"/>
      <c r="J2398" s="733"/>
      <c r="K2398" s="733"/>
      <c r="L2398" s="733"/>
      <c r="M2398" s="733"/>
    </row>
    <row r="2399" spans="1:13" x14ac:dyDescent="0.3">
      <c r="A2399" s="733" t="s">
        <v>2479</v>
      </c>
      <c r="B2399" s="733" t="s">
        <v>612</v>
      </c>
      <c r="C2399" s="733" t="s">
        <v>2492</v>
      </c>
      <c r="D2399" s="733" t="s">
        <v>21</v>
      </c>
      <c r="E2399" s="733" t="s">
        <v>614</v>
      </c>
      <c r="F2399" s="733" t="s">
        <v>615</v>
      </c>
      <c r="G2399" s="733"/>
      <c r="H2399" s="733"/>
      <c r="I2399" s="733"/>
      <c r="J2399" s="733"/>
      <c r="K2399" s="733"/>
      <c r="L2399" s="733"/>
      <c r="M2399" s="733"/>
    </row>
    <row r="2400" spans="1:13" x14ac:dyDescent="0.3">
      <c r="A2400" s="733" t="s">
        <v>2479</v>
      </c>
      <c r="B2400" s="733" t="s">
        <v>612</v>
      </c>
      <c r="C2400" s="733" t="s">
        <v>2493</v>
      </c>
      <c r="D2400" s="733" t="s">
        <v>21</v>
      </c>
      <c r="E2400" s="733" t="s">
        <v>614</v>
      </c>
      <c r="F2400" s="733" t="s">
        <v>615</v>
      </c>
      <c r="G2400" s="733"/>
      <c r="H2400" s="733"/>
      <c r="I2400" s="733"/>
      <c r="J2400" s="733"/>
      <c r="K2400" s="733"/>
      <c r="L2400" s="733"/>
      <c r="M2400" s="733"/>
    </row>
    <row r="2401" spans="1:13" x14ac:dyDescent="0.3">
      <c r="A2401" s="733" t="s">
        <v>2479</v>
      </c>
      <c r="B2401" s="733" t="s">
        <v>612</v>
      </c>
      <c r="C2401" s="733" t="s">
        <v>2494</v>
      </c>
      <c r="D2401" s="733" t="s">
        <v>21</v>
      </c>
      <c r="E2401" s="733" t="s">
        <v>614</v>
      </c>
      <c r="F2401" s="733" t="s">
        <v>615</v>
      </c>
      <c r="G2401" s="733"/>
      <c r="H2401" s="733"/>
      <c r="I2401" s="733"/>
      <c r="J2401" s="733"/>
      <c r="K2401" s="733"/>
      <c r="L2401" s="733"/>
      <c r="M2401" s="733"/>
    </row>
    <row r="2402" spans="1:13" x14ac:dyDescent="0.3">
      <c r="A2402" s="733" t="s">
        <v>2479</v>
      </c>
      <c r="B2402" s="733" t="s">
        <v>612</v>
      </c>
      <c r="C2402" s="733" t="s">
        <v>2495</v>
      </c>
      <c r="D2402" s="733" t="s">
        <v>21</v>
      </c>
      <c r="E2402" s="733" t="s">
        <v>614</v>
      </c>
      <c r="F2402" s="733" t="s">
        <v>615</v>
      </c>
      <c r="G2402" s="733"/>
      <c r="H2402" s="733"/>
      <c r="I2402" s="733"/>
      <c r="J2402" s="733"/>
      <c r="K2402" s="733"/>
      <c r="L2402" s="733"/>
      <c r="M2402" s="733"/>
    </row>
    <row r="2403" spans="1:13" x14ac:dyDescent="0.3">
      <c r="A2403" s="733" t="s">
        <v>2479</v>
      </c>
      <c r="B2403" s="733" t="s">
        <v>612</v>
      </c>
      <c r="C2403" s="733" t="s">
        <v>2496</v>
      </c>
      <c r="D2403" s="733" t="s">
        <v>21</v>
      </c>
      <c r="E2403" s="733" t="s">
        <v>614</v>
      </c>
      <c r="F2403" s="733" t="s">
        <v>615</v>
      </c>
      <c r="G2403" s="733"/>
      <c r="H2403" s="733"/>
      <c r="I2403" s="733"/>
      <c r="J2403" s="733"/>
      <c r="K2403" s="733"/>
      <c r="L2403" s="733"/>
      <c r="M2403" s="733"/>
    </row>
    <row r="2404" spans="1:13" x14ac:dyDescent="0.3">
      <c r="A2404" s="733" t="s">
        <v>2479</v>
      </c>
      <c r="B2404" s="733" t="s">
        <v>612</v>
      </c>
      <c r="C2404" s="733" t="s">
        <v>2497</v>
      </c>
      <c r="D2404" s="733" t="s">
        <v>21</v>
      </c>
      <c r="E2404" s="733" t="s">
        <v>614</v>
      </c>
      <c r="F2404" s="733" t="s">
        <v>615</v>
      </c>
      <c r="G2404" s="733"/>
      <c r="H2404" s="733"/>
      <c r="I2404" s="733"/>
      <c r="J2404" s="733"/>
      <c r="K2404" s="733"/>
      <c r="L2404" s="733"/>
      <c r="M2404" s="733"/>
    </row>
    <row r="2405" spans="1:13" x14ac:dyDescent="0.3">
      <c r="A2405" s="733" t="s">
        <v>2479</v>
      </c>
      <c r="B2405" s="733" t="s">
        <v>612</v>
      </c>
      <c r="C2405" s="733" t="s">
        <v>2498</v>
      </c>
      <c r="D2405" s="733" t="s">
        <v>21</v>
      </c>
      <c r="E2405" s="733" t="s">
        <v>614</v>
      </c>
      <c r="F2405" s="733" t="s">
        <v>615</v>
      </c>
      <c r="G2405" s="733"/>
      <c r="H2405" s="733"/>
      <c r="I2405" s="733"/>
      <c r="J2405" s="733"/>
      <c r="K2405" s="733"/>
      <c r="L2405" s="733"/>
      <c r="M2405" s="733"/>
    </row>
    <row r="2406" spans="1:13" x14ac:dyDescent="0.3">
      <c r="A2406" s="733" t="s">
        <v>2479</v>
      </c>
      <c r="B2406" s="733" t="s">
        <v>612</v>
      </c>
      <c r="C2406" s="733" t="s">
        <v>2499</v>
      </c>
      <c r="D2406" s="733" t="s">
        <v>21</v>
      </c>
      <c r="E2406" s="733" t="s">
        <v>614</v>
      </c>
      <c r="F2406" s="733" t="s">
        <v>615</v>
      </c>
      <c r="G2406" s="733"/>
      <c r="H2406" s="733"/>
      <c r="I2406" s="733"/>
      <c r="J2406" s="733"/>
      <c r="K2406" s="733"/>
      <c r="L2406" s="733"/>
      <c r="M2406" s="733"/>
    </row>
    <row r="2407" spans="1:13" x14ac:dyDescent="0.3">
      <c r="A2407" s="733" t="s">
        <v>2479</v>
      </c>
      <c r="B2407" s="733" t="s">
        <v>612</v>
      </c>
      <c r="C2407" s="733" t="s">
        <v>2500</v>
      </c>
      <c r="D2407" s="733" t="s">
        <v>21</v>
      </c>
      <c r="E2407" s="733" t="s">
        <v>614</v>
      </c>
      <c r="F2407" s="733" t="s">
        <v>615</v>
      </c>
      <c r="G2407" s="733"/>
      <c r="H2407" s="733"/>
      <c r="I2407" s="733"/>
      <c r="J2407" s="733"/>
      <c r="K2407" s="733"/>
      <c r="L2407" s="733"/>
      <c r="M2407" s="733"/>
    </row>
    <row r="2408" spans="1:13" x14ac:dyDescent="0.3">
      <c r="A2408" s="733" t="s">
        <v>2479</v>
      </c>
      <c r="B2408" s="733" t="s">
        <v>612</v>
      </c>
      <c r="C2408" s="733" t="s">
        <v>2501</v>
      </c>
      <c r="D2408" s="733" t="s">
        <v>21</v>
      </c>
      <c r="E2408" s="733" t="s">
        <v>614</v>
      </c>
      <c r="F2408" s="733" t="s">
        <v>615</v>
      </c>
      <c r="G2408" s="733"/>
      <c r="H2408" s="733"/>
      <c r="I2408" s="733"/>
      <c r="J2408" s="733"/>
      <c r="K2408" s="733"/>
      <c r="L2408" s="733"/>
      <c r="M2408" s="733"/>
    </row>
    <row r="2409" spans="1:13" x14ac:dyDescent="0.3">
      <c r="A2409" s="734" t="s">
        <v>2479</v>
      </c>
      <c r="B2409" s="734" t="s">
        <v>612</v>
      </c>
      <c r="C2409" s="733" t="s">
        <v>2502</v>
      </c>
      <c r="D2409" s="733" t="s">
        <v>21</v>
      </c>
      <c r="E2409" s="734" t="s">
        <v>614</v>
      </c>
      <c r="F2409" s="734" t="s">
        <v>696</v>
      </c>
      <c r="G2409" s="733"/>
      <c r="H2409" s="733"/>
      <c r="I2409" s="733"/>
      <c r="J2409" s="733"/>
      <c r="K2409" s="733"/>
      <c r="L2409" s="733"/>
      <c r="M2409" s="733"/>
    </row>
    <row r="2410" spans="1:13" x14ac:dyDescent="0.3">
      <c r="A2410" s="734" t="s">
        <v>2479</v>
      </c>
      <c r="B2410" s="734" t="s">
        <v>612</v>
      </c>
      <c r="C2410" s="734" t="s">
        <v>2503</v>
      </c>
      <c r="D2410" s="733" t="s">
        <v>21</v>
      </c>
      <c r="E2410" s="734" t="s">
        <v>614</v>
      </c>
      <c r="F2410" s="734" t="s">
        <v>696</v>
      </c>
      <c r="G2410" s="733"/>
      <c r="H2410" s="733"/>
      <c r="I2410" s="733"/>
      <c r="J2410" s="733"/>
      <c r="K2410" s="733"/>
      <c r="L2410" s="733"/>
      <c r="M2410" s="733"/>
    </row>
    <row r="2411" spans="1:13" x14ac:dyDescent="0.3">
      <c r="A2411" s="733" t="s">
        <v>2479</v>
      </c>
      <c r="B2411" s="733" t="s">
        <v>612</v>
      </c>
      <c r="C2411" s="733" t="s">
        <v>2504</v>
      </c>
      <c r="D2411" s="733" t="s">
        <v>21</v>
      </c>
      <c r="E2411" s="733" t="s">
        <v>614</v>
      </c>
      <c r="F2411" s="733" t="s">
        <v>615</v>
      </c>
      <c r="G2411" s="733"/>
      <c r="H2411" s="733"/>
      <c r="I2411" s="733"/>
      <c r="J2411" s="733"/>
      <c r="K2411" s="733"/>
      <c r="L2411" s="733"/>
      <c r="M2411" s="733"/>
    </row>
    <row r="2412" spans="1:13" x14ac:dyDescent="0.3">
      <c r="A2412" s="733" t="s">
        <v>2479</v>
      </c>
      <c r="B2412" s="733" t="s">
        <v>612</v>
      </c>
      <c r="C2412" s="733" t="s">
        <v>2505</v>
      </c>
      <c r="D2412" s="733" t="s">
        <v>21</v>
      </c>
      <c r="E2412" s="733" t="s">
        <v>614</v>
      </c>
      <c r="F2412" s="733" t="s">
        <v>615</v>
      </c>
      <c r="G2412" s="733"/>
      <c r="H2412" s="733"/>
      <c r="I2412" s="733"/>
      <c r="J2412" s="733"/>
      <c r="K2412" s="733"/>
      <c r="L2412" s="733"/>
      <c r="M2412" s="733"/>
    </row>
    <row r="2413" spans="1:13" x14ac:dyDescent="0.3">
      <c r="A2413" s="733" t="s">
        <v>2479</v>
      </c>
      <c r="B2413" s="733" t="s">
        <v>612</v>
      </c>
      <c r="C2413" s="733" t="s">
        <v>2506</v>
      </c>
      <c r="D2413" s="733" t="s">
        <v>21</v>
      </c>
      <c r="E2413" s="733" t="s">
        <v>614</v>
      </c>
      <c r="F2413" s="733" t="s">
        <v>615</v>
      </c>
      <c r="G2413" s="733"/>
      <c r="H2413" s="733"/>
      <c r="I2413" s="733"/>
      <c r="J2413" s="733"/>
      <c r="K2413" s="733"/>
      <c r="L2413" s="733"/>
      <c r="M2413" s="733"/>
    </row>
    <row r="2414" spans="1:13" x14ac:dyDescent="0.3">
      <c r="A2414" s="733" t="s">
        <v>2479</v>
      </c>
      <c r="B2414" s="733" t="s">
        <v>612</v>
      </c>
      <c r="C2414" s="733" t="s">
        <v>2507</v>
      </c>
      <c r="D2414" s="733" t="s">
        <v>21</v>
      </c>
      <c r="E2414" s="733" t="s">
        <v>614</v>
      </c>
      <c r="F2414" s="733" t="s">
        <v>615</v>
      </c>
      <c r="G2414" s="733"/>
      <c r="H2414" s="733"/>
      <c r="I2414" s="733"/>
      <c r="J2414" s="733"/>
      <c r="K2414" s="733"/>
      <c r="L2414" s="733"/>
      <c r="M2414" s="733"/>
    </row>
    <row r="2415" spans="1:13" x14ac:dyDescent="0.3">
      <c r="A2415" s="733" t="s">
        <v>2479</v>
      </c>
      <c r="B2415" s="733" t="s">
        <v>612</v>
      </c>
      <c r="C2415" s="733" t="s">
        <v>2508</v>
      </c>
      <c r="D2415" s="733" t="s">
        <v>21</v>
      </c>
      <c r="E2415" s="733" t="s">
        <v>614</v>
      </c>
      <c r="F2415" s="733" t="s">
        <v>615</v>
      </c>
      <c r="G2415" s="733"/>
      <c r="H2415" s="733"/>
      <c r="I2415" s="733"/>
      <c r="J2415" s="733"/>
      <c r="K2415" s="733"/>
      <c r="L2415" s="733"/>
      <c r="M2415" s="733"/>
    </row>
    <row r="2416" spans="1:13" x14ac:dyDescent="0.3">
      <c r="A2416" s="733" t="s">
        <v>2479</v>
      </c>
      <c r="B2416" s="733" t="s">
        <v>612</v>
      </c>
      <c r="C2416" s="733" t="s">
        <v>2509</v>
      </c>
      <c r="D2416" s="733" t="s">
        <v>21</v>
      </c>
      <c r="E2416" s="733" t="s">
        <v>614</v>
      </c>
      <c r="F2416" s="733" t="s">
        <v>615</v>
      </c>
      <c r="G2416" s="733"/>
      <c r="H2416" s="733"/>
      <c r="I2416" s="733"/>
      <c r="J2416" s="733"/>
      <c r="K2416" s="733"/>
      <c r="L2416" s="733"/>
      <c r="M2416" s="733"/>
    </row>
    <row r="2417" spans="1:13" x14ac:dyDescent="0.3">
      <c r="A2417" s="733" t="s">
        <v>2479</v>
      </c>
      <c r="B2417" s="733" t="s">
        <v>612</v>
      </c>
      <c r="C2417" s="733" t="s">
        <v>2510</v>
      </c>
      <c r="D2417" s="733" t="s">
        <v>21</v>
      </c>
      <c r="E2417" s="733" t="s">
        <v>614</v>
      </c>
      <c r="F2417" s="733" t="s">
        <v>615</v>
      </c>
      <c r="G2417" s="733"/>
      <c r="H2417" s="733"/>
      <c r="I2417" s="733"/>
      <c r="J2417" s="733"/>
      <c r="K2417" s="733"/>
      <c r="L2417" s="733"/>
      <c r="M2417" s="733"/>
    </row>
    <row r="2418" spans="1:13" x14ac:dyDescent="0.3">
      <c r="A2418" s="733" t="s">
        <v>2479</v>
      </c>
      <c r="B2418" s="733" t="s">
        <v>612</v>
      </c>
      <c r="C2418" s="733" t="s">
        <v>2511</v>
      </c>
      <c r="D2418" s="733" t="s">
        <v>21</v>
      </c>
      <c r="E2418" s="733" t="s">
        <v>614</v>
      </c>
      <c r="F2418" s="733" t="s">
        <v>615</v>
      </c>
      <c r="G2418" s="733"/>
      <c r="H2418" s="733"/>
      <c r="I2418" s="733"/>
      <c r="J2418" s="733"/>
      <c r="K2418" s="733"/>
      <c r="L2418" s="733"/>
      <c r="M2418" s="733"/>
    </row>
    <row r="2419" spans="1:13" x14ac:dyDescent="0.3">
      <c r="A2419" s="733" t="s">
        <v>2479</v>
      </c>
      <c r="B2419" s="733" t="s">
        <v>612</v>
      </c>
      <c r="C2419" s="733" t="s">
        <v>2512</v>
      </c>
      <c r="D2419" s="733" t="s">
        <v>21</v>
      </c>
      <c r="E2419" s="733" t="s">
        <v>614</v>
      </c>
      <c r="F2419" s="733" t="s">
        <v>615</v>
      </c>
      <c r="G2419" s="733"/>
      <c r="H2419" s="733"/>
      <c r="I2419" s="733"/>
      <c r="J2419" s="733"/>
      <c r="K2419" s="733"/>
      <c r="L2419" s="733"/>
      <c r="M2419" s="733"/>
    </row>
    <row r="2420" spans="1:13" x14ac:dyDescent="0.3">
      <c r="A2420" s="733" t="s">
        <v>2479</v>
      </c>
      <c r="B2420" s="733" t="s">
        <v>612</v>
      </c>
      <c r="C2420" s="733" t="s">
        <v>2513</v>
      </c>
      <c r="D2420" s="733" t="s">
        <v>21</v>
      </c>
      <c r="E2420" s="733" t="s">
        <v>614</v>
      </c>
      <c r="F2420" s="733" t="s">
        <v>615</v>
      </c>
      <c r="G2420" s="733"/>
      <c r="H2420" s="733"/>
      <c r="I2420" s="733"/>
      <c r="J2420" s="733"/>
      <c r="K2420" s="733"/>
      <c r="L2420" s="733"/>
      <c r="M2420" s="733"/>
    </row>
    <row r="2421" spans="1:13" x14ac:dyDescent="0.3">
      <c r="A2421" s="733" t="s">
        <v>2479</v>
      </c>
      <c r="B2421" s="733" t="s">
        <v>612</v>
      </c>
      <c r="C2421" s="733" t="s">
        <v>984</v>
      </c>
      <c r="D2421" s="733" t="s">
        <v>21</v>
      </c>
      <c r="E2421" s="733" t="s">
        <v>614</v>
      </c>
      <c r="F2421" s="733" t="s">
        <v>615</v>
      </c>
      <c r="G2421" s="733"/>
      <c r="H2421" s="733"/>
      <c r="I2421" s="733"/>
      <c r="J2421" s="733"/>
      <c r="K2421" s="733"/>
      <c r="L2421" s="733"/>
      <c r="M2421" s="733"/>
    </row>
    <row r="2422" spans="1:13" x14ac:dyDescent="0.3">
      <c r="A2422" s="733" t="s">
        <v>2479</v>
      </c>
      <c r="B2422" s="733" t="s">
        <v>612</v>
      </c>
      <c r="C2422" s="733" t="s">
        <v>985</v>
      </c>
      <c r="D2422" s="733" t="s">
        <v>21</v>
      </c>
      <c r="E2422" s="733" t="s">
        <v>614</v>
      </c>
      <c r="F2422" s="733" t="s">
        <v>615</v>
      </c>
      <c r="G2422" s="733"/>
      <c r="H2422" s="733"/>
      <c r="I2422" s="733"/>
      <c r="J2422" s="733"/>
      <c r="K2422" s="733"/>
      <c r="L2422" s="733"/>
      <c r="M2422" s="733"/>
    </row>
    <row r="2423" spans="1:13" x14ac:dyDescent="0.3">
      <c r="A2423" s="733" t="s">
        <v>2479</v>
      </c>
      <c r="B2423" s="733" t="s">
        <v>612</v>
      </c>
      <c r="C2423" s="733" t="s">
        <v>2514</v>
      </c>
      <c r="D2423" s="733" t="s">
        <v>21</v>
      </c>
      <c r="E2423" s="733" t="s">
        <v>614</v>
      </c>
      <c r="F2423" s="733" t="s">
        <v>615</v>
      </c>
      <c r="G2423" s="733"/>
      <c r="H2423" s="733"/>
      <c r="I2423" s="733"/>
      <c r="J2423" s="733"/>
      <c r="K2423" s="733"/>
      <c r="L2423" s="733"/>
      <c r="M2423" s="733"/>
    </row>
    <row r="2424" spans="1:13" x14ac:dyDescent="0.3">
      <c r="A2424" s="733" t="s">
        <v>2479</v>
      </c>
      <c r="B2424" s="733" t="s">
        <v>612</v>
      </c>
      <c r="C2424" s="733" t="s">
        <v>2515</v>
      </c>
      <c r="D2424" s="733" t="s">
        <v>21</v>
      </c>
      <c r="E2424" s="733" t="s">
        <v>614</v>
      </c>
      <c r="F2424" s="733" t="s">
        <v>615</v>
      </c>
      <c r="G2424" s="733"/>
      <c r="H2424" s="733"/>
      <c r="I2424" s="733"/>
      <c r="J2424" s="733"/>
      <c r="K2424" s="733"/>
      <c r="L2424" s="733"/>
      <c r="M2424" s="733"/>
    </row>
    <row r="2425" spans="1:13" x14ac:dyDescent="0.3">
      <c r="A2425" s="733" t="s">
        <v>2479</v>
      </c>
      <c r="B2425" s="733" t="s">
        <v>612</v>
      </c>
      <c r="C2425" s="733" t="s">
        <v>2516</v>
      </c>
      <c r="D2425" s="733" t="s">
        <v>21</v>
      </c>
      <c r="E2425" s="733" t="s">
        <v>614</v>
      </c>
      <c r="F2425" s="733" t="s">
        <v>615</v>
      </c>
      <c r="G2425" s="733"/>
      <c r="H2425" s="733"/>
      <c r="I2425" s="733"/>
      <c r="J2425" s="733"/>
      <c r="K2425" s="733"/>
      <c r="L2425" s="733"/>
      <c r="M2425" s="733"/>
    </row>
    <row r="2426" spans="1:13" x14ac:dyDescent="0.3">
      <c r="A2426" s="733" t="s">
        <v>2479</v>
      </c>
      <c r="B2426" s="733" t="s">
        <v>612</v>
      </c>
      <c r="C2426" s="733" t="s">
        <v>987</v>
      </c>
      <c r="D2426" s="733" t="s">
        <v>21</v>
      </c>
      <c r="E2426" s="733" t="s">
        <v>614</v>
      </c>
      <c r="F2426" s="733" t="s">
        <v>615</v>
      </c>
      <c r="G2426" s="733"/>
      <c r="H2426" s="733"/>
      <c r="I2426" s="733"/>
      <c r="J2426" s="733"/>
      <c r="K2426" s="733"/>
      <c r="L2426" s="733"/>
      <c r="M2426" s="733"/>
    </row>
    <row r="2427" spans="1:13" x14ac:dyDescent="0.3">
      <c r="A2427" s="733" t="s">
        <v>2479</v>
      </c>
      <c r="B2427" s="733" t="s">
        <v>612</v>
      </c>
      <c r="C2427" s="733" t="s">
        <v>988</v>
      </c>
      <c r="D2427" s="733" t="s">
        <v>21</v>
      </c>
      <c r="E2427" s="733" t="s">
        <v>614</v>
      </c>
      <c r="F2427" s="733" t="s">
        <v>615</v>
      </c>
      <c r="G2427" s="733"/>
      <c r="H2427" s="733"/>
      <c r="I2427" s="733"/>
      <c r="J2427" s="733"/>
      <c r="K2427" s="733"/>
      <c r="L2427" s="733"/>
      <c r="M2427" s="733"/>
    </row>
    <row r="2428" spans="1:13" x14ac:dyDescent="0.3">
      <c r="A2428" s="733" t="s">
        <v>2479</v>
      </c>
      <c r="B2428" s="733" t="s">
        <v>612</v>
      </c>
      <c r="C2428" s="733" t="s">
        <v>990</v>
      </c>
      <c r="D2428" s="733" t="s">
        <v>21</v>
      </c>
      <c r="E2428" s="733" t="s">
        <v>614</v>
      </c>
      <c r="F2428" s="733" t="s">
        <v>615</v>
      </c>
      <c r="G2428" s="733"/>
      <c r="H2428" s="733"/>
      <c r="I2428" s="733"/>
      <c r="J2428" s="733"/>
      <c r="K2428" s="733"/>
      <c r="L2428" s="733"/>
      <c r="M2428" s="733"/>
    </row>
    <row r="2429" spans="1:13" x14ac:dyDescent="0.3">
      <c r="A2429" s="733" t="s">
        <v>2479</v>
      </c>
      <c r="B2429" s="733" t="s">
        <v>612</v>
      </c>
      <c r="C2429" s="733" t="s">
        <v>2309</v>
      </c>
      <c r="D2429" s="733" t="s">
        <v>21</v>
      </c>
      <c r="E2429" s="733" t="s">
        <v>614</v>
      </c>
      <c r="F2429" s="733" t="s">
        <v>615</v>
      </c>
      <c r="G2429" s="733"/>
      <c r="H2429" s="733"/>
      <c r="I2429" s="733"/>
      <c r="J2429" s="733"/>
      <c r="K2429" s="733"/>
      <c r="L2429" s="733"/>
      <c r="M2429" s="733"/>
    </row>
    <row r="2430" spans="1:13" x14ac:dyDescent="0.3">
      <c r="A2430" s="733" t="s">
        <v>2479</v>
      </c>
      <c r="B2430" s="733" t="s">
        <v>612</v>
      </c>
      <c r="C2430" s="733" t="s">
        <v>2517</v>
      </c>
      <c r="D2430" s="733" t="s">
        <v>21</v>
      </c>
      <c r="E2430" s="733" t="s">
        <v>614</v>
      </c>
      <c r="F2430" s="733" t="s">
        <v>615</v>
      </c>
      <c r="G2430" s="733"/>
      <c r="H2430" s="733"/>
      <c r="I2430" s="733"/>
      <c r="J2430" s="733"/>
      <c r="K2430" s="733"/>
      <c r="L2430" s="733"/>
      <c r="M2430" s="733"/>
    </row>
    <row r="2431" spans="1:13" x14ac:dyDescent="0.3">
      <c r="A2431" s="733" t="s">
        <v>2479</v>
      </c>
      <c r="B2431" s="733" t="s">
        <v>612</v>
      </c>
      <c r="C2431" s="733" t="s">
        <v>2310</v>
      </c>
      <c r="D2431" s="733" t="s">
        <v>21</v>
      </c>
      <c r="E2431" s="733" t="s">
        <v>614</v>
      </c>
      <c r="F2431" s="733" t="s">
        <v>615</v>
      </c>
      <c r="G2431" s="733"/>
      <c r="H2431" s="733"/>
      <c r="I2431" s="733"/>
      <c r="J2431" s="733"/>
      <c r="K2431" s="733"/>
      <c r="L2431" s="733"/>
      <c r="M2431" s="733"/>
    </row>
    <row r="2432" spans="1:13" x14ac:dyDescent="0.3">
      <c r="A2432" s="733" t="s">
        <v>2479</v>
      </c>
      <c r="B2432" s="733" t="s">
        <v>612</v>
      </c>
      <c r="C2432" s="733" t="s">
        <v>2311</v>
      </c>
      <c r="D2432" s="733" t="s">
        <v>21</v>
      </c>
      <c r="E2432" s="733" t="s">
        <v>614</v>
      </c>
      <c r="F2432" s="733" t="s">
        <v>615</v>
      </c>
      <c r="G2432" s="733"/>
      <c r="H2432" s="733"/>
      <c r="I2432" s="733"/>
      <c r="J2432" s="733"/>
      <c r="K2432" s="733"/>
      <c r="L2432" s="733"/>
      <c r="M2432" s="733"/>
    </row>
    <row r="2433" spans="1:13" x14ac:dyDescent="0.3">
      <c r="A2433" s="733" t="s">
        <v>2479</v>
      </c>
      <c r="B2433" s="733" t="s">
        <v>612</v>
      </c>
      <c r="C2433" s="733" t="s">
        <v>994</v>
      </c>
      <c r="D2433" s="733" t="s">
        <v>21</v>
      </c>
      <c r="E2433" s="733" t="s">
        <v>614</v>
      </c>
      <c r="F2433" s="733" t="s">
        <v>615</v>
      </c>
      <c r="G2433" s="733"/>
      <c r="H2433" s="733"/>
      <c r="I2433" s="733"/>
      <c r="J2433" s="733"/>
      <c r="K2433" s="733"/>
      <c r="L2433" s="733"/>
      <c r="M2433" s="733"/>
    </row>
    <row r="2434" spans="1:13" x14ac:dyDescent="0.3">
      <c r="A2434" s="733" t="s">
        <v>2479</v>
      </c>
      <c r="B2434" s="733" t="s">
        <v>612</v>
      </c>
      <c r="C2434" s="733" t="s">
        <v>2518</v>
      </c>
      <c r="D2434" s="733" t="s">
        <v>21</v>
      </c>
      <c r="E2434" s="733" t="s">
        <v>614</v>
      </c>
      <c r="F2434" s="733" t="s">
        <v>615</v>
      </c>
      <c r="G2434" s="733"/>
      <c r="H2434" s="733"/>
      <c r="I2434" s="733"/>
      <c r="J2434" s="733"/>
      <c r="K2434" s="733"/>
      <c r="L2434" s="733"/>
      <c r="M2434" s="733"/>
    </row>
    <row r="2435" spans="1:13" x14ac:dyDescent="0.3">
      <c r="A2435" s="733" t="s">
        <v>2479</v>
      </c>
      <c r="B2435" s="733" t="s">
        <v>612</v>
      </c>
      <c r="C2435" s="733" t="s">
        <v>2519</v>
      </c>
      <c r="D2435" s="733" t="s">
        <v>21</v>
      </c>
      <c r="E2435" s="733" t="s">
        <v>614</v>
      </c>
      <c r="F2435" s="733" t="s">
        <v>615</v>
      </c>
      <c r="G2435" s="733"/>
      <c r="H2435" s="733"/>
      <c r="I2435" s="733"/>
      <c r="J2435" s="733"/>
      <c r="K2435" s="733"/>
      <c r="L2435" s="733"/>
      <c r="M2435" s="733"/>
    </row>
    <row r="2436" spans="1:13" x14ac:dyDescent="0.3">
      <c r="A2436" s="733" t="s">
        <v>2479</v>
      </c>
      <c r="B2436" s="733" t="s">
        <v>612</v>
      </c>
      <c r="C2436" s="733" t="s">
        <v>2313</v>
      </c>
      <c r="D2436" s="733" t="s">
        <v>21</v>
      </c>
      <c r="E2436" s="733" t="s">
        <v>614</v>
      </c>
      <c r="F2436" s="733" t="s">
        <v>615</v>
      </c>
      <c r="G2436" s="733"/>
      <c r="H2436" s="733"/>
      <c r="I2436" s="733"/>
      <c r="J2436" s="733"/>
      <c r="K2436" s="733"/>
      <c r="L2436" s="733"/>
      <c r="M2436" s="733"/>
    </row>
    <row r="2437" spans="1:13" x14ac:dyDescent="0.3">
      <c r="A2437" s="733" t="s">
        <v>2479</v>
      </c>
      <c r="B2437" s="733" t="s">
        <v>612</v>
      </c>
      <c r="C2437" s="733" t="s">
        <v>1942</v>
      </c>
      <c r="D2437" s="733" t="s">
        <v>21</v>
      </c>
      <c r="E2437" s="733" t="s">
        <v>614</v>
      </c>
      <c r="F2437" s="733" t="s">
        <v>615</v>
      </c>
      <c r="G2437" s="733"/>
      <c r="H2437" s="733"/>
      <c r="I2437" s="733"/>
      <c r="J2437" s="733"/>
      <c r="K2437" s="733"/>
      <c r="L2437" s="733"/>
      <c r="M2437" s="733"/>
    </row>
    <row r="2438" spans="1:13" x14ac:dyDescent="0.3">
      <c r="A2438" s="734" t="s">
        <v>2479</v>
      </c>
      <c r="B2438" s="734" t="s">
        <v>612</v>
      </c>
      <c r="C2438" s="733" t="s">
        <v>2520</v>
      </c>
      <c r="D2438" s="733" t="s">
        <v>21</v>
      </c>
      <c r="E2438" s="734" t="s">
        <v>614</v>
      </c>
      <c r="F2438" s="734" t="s">
        <v>696</v>
      </c>
      <c r="G2438" s="733"/>
      <c r="H2438" s="733"/>
      <c r="I2438" s="733"/>
      <c r="J2438" s="733"/>
      <c r="K2438" s="733"/>
      <c r="L2438" s="733"/>
      <c r="M2438" s="733"/>
    </row>
    <row r="2439" spans="1:13" x14ac:dyDescent="0.3">
      <c r="A2439" s="733" t="s">
        <v>2479</v>
      </c>
      <c r="B2439" s="733" t="s">
        <v>612</v>
      </c>
      <c r="C2439" s="733" t="s">
        <v>2521</v>
      </c>
      <c r="D2439" s="733" t="s">
        <v>21</v>
      </c>
      <c r="E2439" s="733" t="s">
        <v>614</v>
      </c>
      <c r="F2439" s="733" t="s">
        <v>615</v>
      </c>
      <c r="G2439" s="733"/>
      <c r="H2439" s="733"/>
      <c r="I2439" s="733"/>
      <c r="J2439" s="733"/>
      <c r="K2439" s="733"/>
      <c r="L2439" s="733"/>
      <c r="M2439" s="733"/>
    </row>
    <row r="2440" spans="1:13" x14ac:dyDescent="0.3">
      <c r="A2440" s="733" t="s">
        <v>2479</v>
      </c>
      <c r="B2440" s="733" t="s">
        <v>612</v>
      </c>
      <c r="C2440" s="733" t="s">
        <v>1987</v>
      </c>
      <c r="D2440" s="733" t="s">
        <v>21</v>
      </c>
      <c r="E2440" s="733" t="s">
        <v>614</v>
      </c>
      <c r="F2440" s="733" t="s">
        <v>615</v>
      </c>
      <c r="G2440" s="733"/>
      <c r="H2440" s="733"/>
      <c r="I2440" s="733"/>
      <c r="J2440" s="733"/>
      <c r="K2440" s="733"/>
      <c r="L2440" s="733"/>
      <c r="M2440" s="733"/>
    </row>
    <row r="2441" spans="1:13" x14ac:dyDescent="0.3">
      <c r="A2441" s="733" t="s">
        <v>2479</v>
      </c>
      <c r="B2441" s="733" t="s">
        <v>612</v>
      </c>
      <c r="C2441" s="733" t="s">
        <v>2522</v>
      </c>
      <c r="D2441" s="733" t="s">
        <v>21</v>
      </c>
      <c r="E2441" s="733" t="s">
        <v>614</v>
      </c>
      <c r="F2441" s="733" t="s">
        <v>615</v>
      </c>
      <c r="G2441" s="733"/>
      <c r="H2441" s="733"/>
      <c r="I2441" s="733"/>
      <c r="J2441" s="733"/>
      <c r="K2441" s="733"/>
      <c r="L2441" s="733"/>
      <c r="M2441" s="733"/>
    </row>
    <row r="2442" spans="1:13" x14ac:dyDescent="0.3">
      <c r="A2442" s="733" t="s">
        <v>2479</v>
      </c>
      <c r="B2442" s="733" t="s">
        <v>612</v>
      </c>
      <c r="C2442" s="733" t="s">
        <v>2523</v>
      </c>
      <c r="D2442" s="733" t="s">
        <v>21</v>
      </c>
      <c r="E2442" s="733" t="s">
        <v>614</v>
      </c>
      <c r="F2442" s="733" t="s">
        <v>615</v>
      </c>
      <c r="G2442" s="733"/>
      <c r="H2442" s="733"/>
      <c r="I2442" s="733"/>
      <c r="J2442" s="733"/>
      <c r="K2442" s="733"/>
      <c r="L2442" s="733"/>
      <c r="M2442" s="733"/>
    </row>
    <row r="2443" spans="1:13" x14ac:dyDescent="0.3">
      <c r="A2443" s="733" t="s">
        <v>2479</v>
      </c>
      <c r="B2443" s="733" t="s">
        <v>612</v>
      </c>
      <c r="C2443" s="733" t="s">
        <v>2524</v>
      </c>
      <c r="D2443" s="733" t="s">
        <v>21</v>
      </c>
      <c r="E2443" s="733" t="s">
        <v>614</v>
      </c>
      <c r="F2443" s="733" t="s">
        <v>615</v>
      </c>
      <c r="G2443" s="733"/>
      <c r="H2443" s="733"/>
      <c r="I2443" s="733"/>
      <c r="J2443" s="733"/>
      <c r="K2443" s="733"/>
      <c r="L2443" s="733"/>
      <c r="M2443" s="733"/>
    </row>
    <row r="2444" spans="1:13" x14ac:dyDescent="0.3">
      <c r="A2444" s="733" t="s">
        <v>2479</v>
      </c>
      <c r="B2444" s="733" t="s">
        <v>612</v>
      </c>
      <c r="C2444" s="733" t="s">
        <v>2525</v>
      </c>
      <c r="D2444" s="733" t="s">
        <v>21</v>
      </c>
      <c r="E2444" s="733" t="s">
        <v>614</v>
      </c>
      <c r="F2444" s="733" t="s">
        <v>615</v>
      </c>
      <c r="G2444" s="733"/>
      <c r="H2444" s="733"/>
      <c r="I2444" s="733"/>
      <c r="J2444" s="733"/>
      <c r="K2444" s="733"/>
      <c r="L2444" s="733"/>
      <c r="M2444" s="733"/>
    </row>
    <row r="2445" spans="1:13" x14ac:dyDescent="0.3">
      <c r="A2445" s="733" t="s">
        <v>2479</v>
      </c>
      <c r="B2445" s="733" t="s">
        <v>612</v>
      </c>
      <c r="C2445" s="733" t="s">
        <v>1000</v>
      </c>
      <c r="D2445" s="733" t="s">
        <v>21</v>
      </c>
      <c r="E2445" s="733" t="s">
        <v>614</v>
      </c>
      <c r="F2445" s="733" t="s">
        <v>615</v>
      </c>
      <c r="G2445" s="733"/>
      <c r="H2445" s="733"/>
      <c r="I2445" s="733"/>
      <c r="J2445" s="733"/>
      <c r="K2445" s="733"/>
      <c r="L2445" s="733"/>
      <c r="M2445" s="733"/>
    </row>
    <row r="2446" spans="1:13" x14ac:dyDescent="0.3">
      <c r="A2446" s="733" t="s">
        <v>2479</v>
      </c>
      <c r="B2446" s="733" t="s">
        <v>612</v>
      </c>
      <c r="C2446" s="733" t="s">
        <v>2526</v>
      </c>
      <c r="D2446" s="733" t="s">
        <v>21</v>
      </c>
      <c r="E2446" s="733" t="s">
        <v>614</v>
      </c>
      <c r="F2446" s="733" t="s">
        <v>615</v>
      </c>
      <c r="G2446" s="733"/>
      <c r="H2446" s="733"/>
      <c r="I2446" s="733"/>
      <c r="J2446" s="733"/>
      <c r="K2446" s="733"/>
      <c r="L2446" s="733"/>
      <c r="M2446" s="733"/>
    </row>
    <row r="2447" spans="1:13" x14ac:dyDescent="0.3">
      <c r="A2447" s="733" t="s">
        <v>2479</v>
      </c>
      <c r="B2447" s="733" t="s">
        <v>612</v>
      </c>
      <c r="C2447" s="733" t="s">
        <v>1001</v>
      </c>
      <c r="D2447" s="733" t="s">
        <v>21</v>
      </c>
      <c r="E2447" s="733" t="s">
        <v>614</v>
      </c>
      <c r="F2447" s="733" t="s">
        <v>615</v>
      </c>
      <c r="G2447" s="733"/>
      <c r="H2447" s="733"/>
      <c r="I2447" s="733"/>
      <c r="J2447" s="733"/>
      <c r="K2447" s="733"/>
      <c r="L2447" s="733"/>
      <c r="M2447" s="733"/>
    </row>
    <row r="2448" spans="1:13" x14ac:dyDescent="0.3">
      <c r="A2448" s="733" t="s">
        <v>2479</v>
      </c>
      <c r="B2448" s="733" t="s">
        <v>612</v>
      </c>
      <c r="C2448" s="733" t="s">
        <v>1002</v>
      </c>
      <c r="D2448" s="733" t="s">
        <v>21</v>
      </c>
      <c r="E2448" s="733" t="s">
        <v>614</v>
      </c>
      <c r="F2448" s="733" t="s">
        <v>615</v>
      </c>
      <c r="G2448" s="733"/>
      <c r="H2448" s="733"/>
      <c r="I2448" s="733"/>
      <c r="J2448" s="733"/>
      <c r="K2448" s="733"/>
      <c r="L2448" s="733"/>
      <c r="M2448" s="733"/>
    </row>
    <row r="2449" spans="1:13" x14ac:dyDescent="0.3">
      <c r="A2449" s="734" t="s">
        <v>2479</v>
      </c>
      <c r="B2449" s="734" t="s">
        <v>645</v>
      </c>
      <c r="C2449" s="734" t="s">
        <v>2527</v>
      </c>
      <c r="D2449" s="734" t="s">
        <v>21</v>
      </c>
      <c r="E2449" s="734" t="s">
        <v>614</v>
      </c>
      <c r="F2449" s="734" t="s">
        <v>736</v>
      </c>
      <c r="G2449" s="733"/>
      <c r="H2449" s="733"/>
      <c r="I2449" s="733"/>
      <c r="J2449" s="733"/>
      <c r="K2449" s="733"/>
      <c r="L2449" s="733"/>
      <c r="M2449" s="733"/>
    </row>
    <row r="2450" spans="1:13" x14ac:dyDescent="0.3">
      <c r="A2450" s="733" t="s">
        <v>2479</v>
      </c>
      <c r="B2450" s="733" t="s">
        <v>645</v>
      </c>
      <c r="C2450" s="733" t="s">
        <v>1680</v>
      </c>
      <c r="D2450" s="733" t="s">
        <v>21</v>
      </c>
      <c r="E2450" s="733" t="s">
        <v>614</v>
      </c>
      <c r="F2450" s="733" t="s">
        <v>615</v>
      </c>
      <c r="G2450" s="733"/>
      <c r="H2450" s="733"/>
      <c r="I2450" s="733"/>
      <c r="J2450" s="733"/>
      <c r="K2450" s="733"/>
      <c r="L2450" s="733"/>
      <c r="M2450" s="733"/>
    </row>
    <row r="2451" spans="1:13" x14ac:dyDescent="0.3">
      <c r="A2451" s="733" t="s">
        <v>2479</v>
      </c>
      <c r="B2451" s="733" t="s">
        <v>645</v>
      </c>
      <c r="C2451" s="733" t="s">
        <v>2528</v>
      </c>
      <c r="D2451" s="733" t="s">
        <v>21</v>
      </c>
      <c r="E2451" s="733" t="s">
        <v>614</v>
      </c>
      <c r="F2451" s="733" t="s">
        <v>615</v>
      </c>
      <c r="G2451" s="733"/>
      <c r="H2451" s="733"/>
      <c r="I2451" s="733"/>
      <c r="J2451" s="733"/>
      <c r="K2451" s="733"/>
      <c r="L2451" s="733"/>
      <c r="M2451" s="733"/>
    </row>
    <row r="2452" spans="1:13" x14ac:dyDescent="0.3">
      <c r="A2452" s="733" t="s">
        <v>2479</v>
      </c>
      <c r="B2452" s="733" t="s">
        <v>645</v>
      </c>
      <c r="C2452" s="733" t="s">
        <v>1008</v>
      </c>
      <c r="D2452" s="733" t="s">
        <v>21</v>
      </c>
      <c r="E2452" s="733" t="s">
        <v>614</v>
      </c>
      <c r="F2452" s="733" t="s">
        <v>615</v>
      </c>
      <c r="G2452" s="733"/>
      <c r="H2452" s="733"/>
      <c r="I2452" s="733"/>
      <c r="J2452" s="733"/>
      <c r="K2452" s="733"/>
      <c r="L2452" s="733"/>
      <c r="M2452" s="733"/>
    </row>
    <row r="2453" spans="1:13" x14ac:dyDescent="0.3">
      <c r="A2453" s="734" t="s">
        <v>2479</v>
      </c>
      <c r="B2453" s="734" t="s">
        <v>645</v>
      </c>
      <c r="C2453" s="734" t="s">
        <v>2529</v>
      </c>
      <c r="D2453" s="734" t="s">
        <v>21</v>
      </c>
      <c r="E2453" s="734" t="s">
        <v>614</v>
      </c>
      <c r="F2453" s="734" t="s">
        <v>736</v>
      </c>
      <c r="G2453" s="733"/>
      <c r="H2453" s="733"/>
      <c r="I2453" s="733"/>
      <c r="J2453" s="733"/>
      <c r="K2453" s="733"/>
      <c r="L2453" s="733"/>
      <c r="M2453" s="733"/>
    </row>
    <row r="2454" spans="1:13" x14ac:dyDescent="0.3">
      <c r="A2454" s="733" t="s">
        <v>2479</v>
      </c>
      <c r="B2454" s="733" t="s">
        <v>645</v>
      </c>
      <c r="C2454" s="733" t="s">
        <v>1009</v>
      </c>
      <c r="D2454" s="733" t="s">
        <v>21</v>
      </c>
      <c r="E2454" s="733" t="s">
        <v>614</v>
      </c>
      <c r="F2454" s="733" t="s">
        <v>615</v>
      </c>
      <c r="G2454" s="733"/>
      <c r="H2454" s="733"/>
      <c r="I2454" s="733"/>
      <c r="J2454" s="733"/>
      <c r="K2454" s="733"/>
      <c r="L2454" s="733"/>
      <c r="M2454" s="733"/>
    </row>
    <row r="2455" spans="1:13" x14ac:dyDescent="0.3">
      <c r="A2455" s="733" t="s">
        <v>2479</v>
      </c>
      <c r="B2455" s="733" t="s">
        <v>645</v>
      </c>
      <c r="C2455" s="733" t="s">
        <v>1949</v>
      </c>
      <c r="D2455" s="733" t="s">
        <v>21</v>
      </c>
      <c r="E2455" s="733" t="s">
        <v>614</v>
      </c>
      <c r="F2455" s="733" t="s">
        <v>615</v>
      </c>
      <c r="G2455" s="733"/>
      <c r="H2455" s="733"/>
      <c r="I2455" s="733"/>
      <c r="J2455" s="733"/>
      <c r="K2455" s="733"/>
      <c r="L2455" s="733"/>
      <c r="M2455" s="733"/>
    </row>
    <row r="2456" spans="1:13" x14ac:dyDescent="0.3">
      <c r="A2456" s="733" t="s">
        <v>2479</v>
      </c>
      <c r="B2456" s="733" t="s">
        <v>645</v>
      </c>
      <c r="C2456" s="733" t="s">
        <v>1950</v>
      </c>
      <c r="D2456" s="733" t="s">
        <v>21</v>
      </c>
      <c r="E2456" s="733" t="s">
        <v>614</v>
      </c>
      <c r="F2456" s="733" t="s">
        <v>615</v>
      </c>
      <c r="G2456" s="733"/>
      <c r="H2456" s="733"/>
      <c r="I2456" s="733"/>
      <c r="J2456" s="733"/>
      <c r="K2456" s="733"/>
      <c r="L2456" s="733"/>
      <c r="M2456" s="733"/>
    </row>
    <row r="2457" spans="1:13" x14ac:dyDescent="0.3">
      <c r="A2457" s="733" t="s">
        <v>2479</v>
      </c>
      <c r="B2457" s="733" t="s">
        <v>645</v>
      </c>
      <c r="C2457" s="733" t="s">
        <v>1010</v>
      </c>
      <c r="D2457" s="733" t="s">
        <v>21</v>
      </c>
      <c r="E2457" s="733" t="s">
        <v>614</v>
      </c>
      <c r="F2457" s="733" t="s">
        <v>615</v>
      </c>
      <c r="G2457" s="733"/>
      <c r="H2457" s="733"/>
      <c r="I2457" s="733"/>
      <c r="J2457" s="733"/>
      <c r="K2457" s="733"/>
      <c r="L2457" s="733"/>
      <c r="M2457" s="733"/>
    </row>
    <row r="2458" spans="1:13" x14ac:dyDescent="0.3">
      <c r="A2458" s="733" t="s">
        <v>2479</v>
      </c>
      <c r="B2458" s="733" t="s">
        <v>645</v>
      </c>
      <c r="C2458" s="733" t="s">
        <v>2530</v>
      </c>
      <c r="D2458" s="733" t="s">
        <v>21</v>
      </c>
      <c r="E2458" s="733" t="s">
        <v>614</v>
      </c>
      <c r="F2458" s="733" t="s">
        <v>615</v>
      </c>
      <c r="G2458" s="733"/>
      <c r="H2458" s="733"/>
      <c r="I2458" s="733"/>
      <c r="J2458" s="733"/>
      <c r="K2458" s="733"/>
      <c r="L2458" s="733"/>
      <c r="M2458" s="733"/>
    </row>
    <row r="2459" spans="1:13" x14ac:dyDescent="0.3">
      <c r="A2459" s="733" t="s">
        <v>2479</v>
      </c>
      <c r="B2459" s="733" t="s">
        <v>645</v>
      </c>
      <c r="C2459" s="733" t="s">
        <v>2531</v>
      </c>
      <c r="D2459" s="733" t="s">
        <v>21</v>
      </c>
      <c r="E2459" s="733" t="s">
        <v>614</v>
      </c>
      <c r="F2459" s="733" t="s">
        <v>615</v>
      </c>
      <c r="G2459" s="733"/>
      <c r="H2459" s="733"/>
      <c r="I2459" s="733"/>
      <c r="J2459" s="733"/>
      <c r="K2459" s="733"/>
      <c r="L2459" s="733"/>
      <c r="M2459" s="733"/>
    </row>
    <row r="2460" spans="1:13" x14ac:dyDescent="0.3">
      <c r="A2460" s="733" t="s">
        <v>2479</v>
      </c>
      <c r="B2460" s="733" t="s">
        <v>645</v>
      </c>
      <c r="C2460" s="733" t="s">
        <v>1745</v>
      </c>
      <c r="D2460" s="733" t="s">
        <v>21</v>
      </c>
      <c r="E2460" s="733" t="s">
        <v>614</v>
      </c>
      <c r="F2460" s="733" t="s">
        <v>615</v>
      </c>
      <c r="G2460" s="733"/>
      <c r="H2460" s="733"/>
      <c r="I2460" s="733"/>
      <c r="J2460" s="733"/>
      <c r="K2460" s="733"/>
      <c r="L2460" s="733"/>
      <c r="M2460" s="733"/>
    </row>
    <row r="2461" spans="1:13" x14ac:dyDescent="0.3">
      <c r="A2461" s="733" t="s">
        <v>2479</v>
      </c>
      <c r="B2461" s="733" t="s">
        <v>645</v>
      </c>
      <c r="C2461" s="733" t="s">
        <v>2532</v>
      </c>
      <c r="D2461" s="733" t="s">
        <v>21</v>
      </c>
      <c r="E2461" s="733" t="s">
        <v>614</v>
      </c>
      <c r="F2461" s="733" t="s">
        <v>615</v>
      </c>
      <c r="G2461" s="733"/>
      <c r="H2461" s="733"/>
      <c r="I2461" s="733"/>
      <c r="J2461" s="733"/>
      <c r="K2461" s="733"/>
      <c r="L2461" s="733"/>
      <c r="M2461" s="733"/>
    </row>
    <row r="2462" spans="1:13" x14ac:dyDescent="0.3">
      <c r="A2462" s="733" t="s">
        <v>2479</v>
      </c>
      <c r="B2462" s="733" t="s">
        <v>645</v>
      </c>
      <c r="C2462" s="733" t="s">
        <v>2533</v>
      </c>
      <c r="D2462" s="733" t="s">
        <v>21</v>
      </c>
      <c r="E2462" s="733" t="s">
        <v>614</v>
      </c>
      <c r="F2462" s="733" t="s">
        <v>615</v>
      </c>
      <c r="G2462" s="733"/>
      <c r="H2462" s="733"/>
      <c r="I2462" s="733"/>
      <c r="J2462" s="733"/>
      <c r="K2462" s="733"/>
      <c r="L2462" s="733"/>
      <c r="M2462" s="733"/>
    </row>
    <row r="2463" spans="1:13" x14ac:dyDescent="0.3">
      <c r="A2463" s="733" t="s">
        <v>2479</v>
      </c>
      <c r="B2463" s="733" t="s">
        <v>645</v>
      </c>
      <c r="C2463" s="733" t="s">
        <v>1748</v>
      </c>
      <c r="D2463" s="733" t="s">
        <v>21</v>
      </c>
      <c r="E2463" s="733" t="s">
        <v>614</v>
      </c>
      <c r="F2463" s="733" t="s">
        <v>615</v>
      </c>
      <c r="G2463" s="733"/>
      <c r="H2463" s="733"/>
      <c r="I2463" s="733"/>
      <c r="J2463" s="733"/>
      <c r="K2463" s="733"/>
      <c r="L2463" s="733"/>
      <c r="M2463" s="733"/>
    </row>
    <row r="2464" spans="1:13" x14ac:dyDescent="0.3">
      <c r="A2464" s="733" t="s">
        <v>2479</v>
      </c>
      <c r="B2464" s="733" t="s">
        <v>645</v>
      </c>
      <c r="C2464" s="733" t="s">
        <v>1013</v>
      </c>
      <c r="D2464" s="733" t="s">
        <v>21</v>
      </c>
      <c r="E2464" s="733" t="s">
        <v>614</v>
      </c>
      <c r="F2464" s="733" t="s">
        <v>615</v>
      </c>
      <c r="G2464" s="733"/>
      <c r="H2464" s="733"/>
      <c r="I2464" s="733"/>
      <c r="J2464" s="733"/>
      <c r="K2464" s="733"/>
      <c r="L2464" s="733"/>
      <c r="M2464" s="733"/>
    </row>
    <row r="2465" spans="1:13" x14ac:dyDescent="0.3">
      <c r="A2465" s="733" t="s">
        <v>2479</v>
      </c>
      <c r="B2465" s="733" t="s">
        <v>645</v>
      </c>
      <c r="C2465" s="733" t="s">
        <v>2534</v>
      </c>
      <c r="D2465" s="733" t="s">
        <v>21</v>
      </c>
      <c r="E2465" s="733" t="s">
        <v>614</v>
      </c>
      <c r="F2465" s="733" t="s">
        <v>615</v>
      </c>
      <c r="G2465" s="733"/>
      <c r="H2465" s="733"/>
      <c r="I2465" s="733"/>
      <c r="J2465" s="733"/>
      <c r="K2465" s="733"/>
      <c r="L2465" s="733"/>
      <c r="M2465" s="733"/>
    </row>
    <row r="2466" spans="1:13" x14ac:dyDescent="0.3">
      <c r="A2466" s="733" t="s">
        <v>2479</v>
      </c>
      <c r="B2466" s="733" t="s">
        <v>645</v>
      </c>
      <c r="C2466" s="733" t="s">
        <v>2535</v>
      </c>
      <c r="D2466" s="733" t="s">
        <v>21</v>
      </c>
      <c r="E2466" s="733" t="s">
        <v>614</v>
      </c>
      <c r="F2466" s="733" t="s">
        <v>615</v>
      </c>
      <c r="G2466" s="733"/>
      <c r="H2466" s="733"/>
      <c r="I2466" s="733"/>
      <c r="J2466" s="733"/>
      <c r="K2466" s="733"/>
      <c r="L2466" s="733"/>
      <c r="M2466" s="733"/>
    </row>
    <row r="2467" spans="1:13" x14ac:dyDescent="0.3">
      <c r="A2467" s="733" t="s">
        <v>2479</v>
      </c>
      <c r="B2467" s="733" t="s">
        <v>645</v>
      </c>
      <c r="C2467" s="733" t="s">
        <v>2536</v>
      </c>
      <c r="D2467" s="733" t="s">
        <v>21</v>
      </c>
      <c r="E2467" s="733" t="s">
        <v>614</v>
      </c>
      <c r="F2467" s="733" t="s">
        <v>615</v>
      </c>
      <c r="G2467" s="733"/>
      <c r="H2467" s="733"/>
      <c r="I2467" s="733"/>
      <c r="J2467" s="733"/>
      <c r="K2467" s="733"/>
      <c r="L2467" s="733"/>
      <c r="M2467" s="733"/>
    </row>
    <row r="2468" spans="1:13" x14ac:dyDescent="0.3">
      <c r="A2468" s="734" t="s">
        <v>2479</v>
      </c>
      <c r="B2468" s="734" t="s">
        <v>645</v>
      </c>
      <c r="C2468" s="733" t="s">
        <v>2537</v>
      </c>
      <c r="D2468" s="734" t="s">
        <v>21</v>
      </c>
      <c r="E2468" s="734" t="s">
        <v>614</v>
      </c>
      <c r="F2468" s="734" t="s">
        <v>736</v>
      </c>
      <c r="G2468" s="733"/>
      <c r="H2468" s="733"/>
      <c r="I2468" s="733"/>
      <c r="J2468" s="733"/>
      <c r="K2468" s="733"/>
      <c r="L2468" s="733"/>
      <c r="M2468" s="733"/>
    </row>
    <row r="2469" spans="1:13" x14ac:dyDescent="0.3">
      <c r="A2469" s="733" t="s">
        <v>2479</v>
      </c>
      <c r="B2469" s="733" t="s">
        <v>645</v>
      </c>
      <c r="C2469" s="733" t="s">
        <v>2538</v>
      </c>
      <c r="D2469" s="733" t="s">
        <v>21</v>
      </c>
      <c r="E2469" s="733" t="s">
        <v>614</v>
      </c>
      <c r="F2469" s="733" t="s">
        <v>615</v>
      </c>
      <c r="G2469" s="733"/>
      <c r="H2469" s="733"/>
      <c r="I2469" s="733"/>
      <c r="J2469" s="733"/>
      <c r="K2469" s="733"/>
      <c r="L2469" s="733"/>
      <c r="M2469" s="733"/>
    </row>
    <row r="2470" spans="1:13" x14ac:dyDescent="0.3">
      <c r="A2470" s="733" t="s">
        <v>2479</v>
      </c>
      <c r="B2470" s="733" t="s">
        <v>645</v>
      </c>
      <c r="C2470" s="733" t="s">
        <v>2539</v>
      </c>
      <c r="D2470" s="733" t="s">
        <v>21</v>
      </c>
      <c r="E2470" s="733" t="s">
        <v>614</v>
      </c>
      <c r="F2470" s="733" t="s">
        <v>615</v>
      </c>
      <c r="G2470" s="733"/>
      <c r="H2470" s="733"/>
      <c r="I2470" s="733"/>
      <c r="J2470" s="733"/>
      <c r="K2470" s="733"/>
      <c r="L2470" s="733"/>
      <c r="M2470" s="733"/>
    </row>
    <row r="2471" spans="1:13" x14ac:dyDescent="0.3">
      <c r="A2471" s="733" t="s">
        <v>2479</v>
      </c>
      <c r="B2471" s="733" t="s">
        <v>645</v>
      </c>
      <c r="C2471" s="733" t="s">
        <v>2540</v>
      </c>
      <c r="D2471" s="733" t="s">
        <v>21</v>
      </c>
      <c r="E2471" s="733" t="s">
        <v>614</v>
      </c>
      <c r="F2471" s="733" t="s">
        <v>615</v>
      </c>
      <c r="G2471" s="733"/>
      <c r="H2471" s="733"/>
      <c r="I2471" s="733"/>
      <c r="J2471" s="733"/>
      <c r="K2471" s="733"/>
      <c r="L2471" s="733"/>
      <c r="M2471" s="733"/>
    </row>
    <row r="2472" spans="1:13" x14ac:dyDescent="0.3">
      <c r="A2472" s="733" t="s">
        <v>2479</v>
      </c>
      <c r="B2472" s="733" t="s">
        <v>645</v>
      </c>
      <c r="C2472" s="733" t="s">
        <v>2541</v>
      </c>
      <c r="D2472" s="733" t="s">
        <v>21</v>
      </c>
      <c r="E2472" s="733" t="s">
        <v>614</v>
      </c>
      <c r="F2472" s="733" t="s">
        <v>615</v>
      </c>
      <c r="G2472" s="733"/>
      <c r="H2472" s="733"/>
      <c r="I2472" s="733"/>
      <c r="J2472" s="733"/>
      <c r="K2472" s="733"/>
      <c r="L2472" s="733"/>
      <c r="M2472" s="733"/>
    </row>
    <row r="2473" spans="1:13" x14ac:dyDescent="0.3">
      <c r="A2473" s="733" t="s">
        <v>2479</v>
      </c>
      <c r="B2473" s="733" t="s">
        <v>645</v>
      </c>
      <c r="C2473" s="733" t="s">
        <v>2542</v>
      </c>
      <c r="D2473" s="733" t="s">
        <v>21</v>
      </c>
      <c r="E2473" s="733" t="s">
        <v>614</v>
      </c>
      <c r="F2473" s="733" t="s">
        <v>615</v>
      </c>
      <c r="G2473" s="733"/>
      <c r="H2473" s="733"/>
      <c r="I2473" s="733"/>
      <c r="J2473" s="733"/>
      <c r="K2473" s="733"/>
      <c r="L2473" s="733"/>
      <c r="M2473" s="733"/>
    </row>
    <row r="2474" spans="1:13" x14ac:dyDescent="0.3">
      <c r="A2474" s="733" t="s">
        <v>2479</v>
      </c>
      <c r="B2474" s="733" t="s">
        <v>645</v>
      </c>
      <c r="C2474" s="733" t="s">
        <v>2543</v>
      </c>
      <c r="D2474" s="733" t="s">
        <v>21</v>
      </c>
      <c r="E2474" s="733" t="s">
        <v>614</v>
      </c>
      <c r="F2474" s="733" t="s">
        <v>615</v>
      </c>
      <c r="G2474" s="733"/>
      <c r="H2474" s="733"/>
      <c r="I2474" s="733"/>
      <c r="J2474" s="733"/>
      <c r="K2474" s="733"/>
      <c r="L2474" s="733"/>
      <c r="M2474" s="733"/>
    </row>
    <row r="2475" spans="1:13" x14ac:dyDescent="0.3">
      <c r="A2475" s="733" t="s">
        <v>2479</v>
      </c>
      <c r="B2475" s="733" t="s">
        <v>645</v>
      </c>
      <c r="C2475" s="733" t="s">
        <v>2544</v>
      </c>
      <c r="D2475" s="733" t="s">
        <v>21</v>
      </c>
      <c r="E2475" s="733" t="s">
        <v>614</v>
      </c>
      <c r="F2475" s="733" t="s">
        <v>615</v>
      </c>
      <c r="G2475" s="733"/>
      <c r="H2475" s="733"/>
      <c r="I2475" s="733"/>
      <c r="J2475" s="733"/>
      <c r="K2475" s="733"/>
      <c r="L2475" s="733"/>
      <c r="M2475" s="733"/>
    </row>
    <row r="2476" spans="1:13" x14ac:dyDescent="0.3">
      <c r="A2476" s="733" t="s">
        <v>2479</v>
      </c>
      <c r="B2476" s="733" t="s">
        <v>645</v>
      </c>
      <c r="C2476" s="733" t="s">
        <v>2545</v>
      </c>
      <c r="D2476" s="733" t="s">
        <v>21</v>
      </c>
      <c r="E2476" s="733" t="s">
        <v>614</v>
      </c>
      <c r="F2476" s="733" t="s">
        <v>615</v>
      </c>
      <c r="G2476" s="733"/>
      <c r="H2476" s="733"/>
      <c r="I2476" s="733"/>
      <c r="J2476" s="733"/>
      <c r="K2476" s="733"/>
      <c r="L2476" s="733"/>
      <c r="M2476" s="733"/>
    </row>
    <row r="2477" spans="1:13" x14ac:dyDescent="0.3">
      <c r="A2477" s="733" t="s">
        <v>2479</v>
      </c>
      <c r="B2477" s="733" t="s">
        <v>645</v>
      </c>
      <c r="C2477" s="733" t="s">
        <v>2546</v>
      </c>
      <c r="D2477" s="733" t="s">
        <v>21</v>
      </c>
      <c r="E2477" s="733" t="s">
        <v>614</v>
      </c>
      <c r="F2477" s="733" t="s">
        <v>615</v>
      </c>
      <c r="G2477" s="733"/>
      <c r="H2477" s="733"/>
      <c r="I2477" s="733"/>
      <c r="J2477" s="733"/>
      <c r="K2477" s="733"/>
      <c r="L2477" s="733"/>
      <c r="M2477" s="733"/>
    </row>
    <row r="2478" spans="1:13" x14ac:dyDescent="0.3">
      <c r="A2478" s="733" t="s">
        <v>2479</v>
      </c>
      <c r="B2478" s="733" t="s">
        <v>645</v>
      </c>
      <c r="C2478" s="733" t="s">
        <v>2547</v>
      </c>
      <c r="D2478" s="733" t="s">
        <v>21</v>
      </c>
      <c r="E2478" s="733" t="s">
        <v>614</v>
      </c>
      <c r="F2478" s="733" t="s">
        <v>615</v>
      </c>
      <c r="G2478" s="733"/>
      <c r="H2478" s="733"/>
      <c r="I2478" s="733"/>
      <c r="J2478" s="733"/>
      <c r="K2478" s="733"/>
      <c r="L2478" s="733"/>
      <c r="M2478" s="733"/>
    </row>
    <row r="2479" spans="1:13" x14ac:dyDescent="0.3">
      <c r="A2479" s="733" t="s">
        <v>2479</v>
      </c>
      <c r="B2479" s="733" t="s">
        <v>645</v>
      </c>
      <c r="C2479" s="733" t="s">
        <v>2548</v>
      </c>
      <c r="D2479" s="733" t="s">
        <v>21</v>
      </c>
      <c r="E2479" s="733" t="s">
        <v>614</v>
      </c>
      <c r="F2479" s="733" t="s">
        <v>615</v>
      </c>
      <c r="G2479" s="733"/>
      <c r="H2479" s="733"/>
      <c r="I2479" s="733"/>
      <c r="J2479" s="733"/>
      <c r="K2479" s="733"/>
      <c r="L2479" s="733"/>
      <c r="M2479" s="733"/>
    </row>
    <row r="2480" spans="1:13" x14ac:dyDescent="0.3">
      <c r="A2480" s="733" t="s">
        <v>2479</v>
      </c>
      <c r="B2480" s="733" t="s">
        <v>645</v>
      </c>
      <c r="C2480" s="733" t="s">
        <v>2549</v>
      </c>
      <c r="D2480" s="733" t="s">
        <v>21</v>
      </c>
      <c r="E2480" s="733" t="s">
        <v>614</v>
      </c>
      <c r="F2480" s="733" t="s">
        <v>615</v>
      </c>
      <c r="G2480" s="733"/>
      <c r="H2480" s="733"/>
      <c r="I2480" s="733"/>
      <c r="J2480" s="733"/>
      <c r="K2480" s="733"/>
      <c r="L2480" s="733"/>
      <c r="M2480" s="733"/>
    </row>
    <row r="2481" spans="1:13" x14ac:dyDescent="0.3">
      <c r="A2481" s="733" t="s">
        <v>2479</v>
      </c>
      <c r="B2481" s="733" t="s">
        <v>645</v>
      </c>
      <c r="C2481" s="733" t="s">
        <v>2550</v>
      </c>
      <c r="D2481" s="733" t="s">
        <v>21</v>
      </c>
      <c r="E2481" s="733" t="s">
        <v>614</v>
      </c>
      <c r="F2481" s="733" t="s">
        <v>615</v>
      </c>
      <c r="G2481" s="733"/>
      <c r="H2481" s="733"/>
      <c r="I2481" s="733"/>
      <c r="J2481" s="733"/>
      <c r="K2481" s="733"/>
      <c r="L2481" s="733"/>
      <c r="M2481" s="733"/>
    </row>
    <row r="2482" spans="1:13" x14ac:dyDescent="0.3">
      <c r="A2482" s="733" t="s">
        <v>2479</v>
      </c>
      <c r="B2482" s="733" t="s">
        <v>645</v>
      </c>
      <c r="C2482" s="733" t="s">
        <v>2551</v>
      </c>
      <c r="D2482" s="733" t="s">
        <v>21</v>
      </c>
      <c r="E2482" s="733" t="s">
        <v>614</v>
      </c>
      <c r="F2482" s="733" t="s">
        <v>615</v>
      </c>
      <c r="G2482" s="733"/>
      <c r="H2482" s="733"/>
      <c r="I2482" s="733"/>
      <c r="J2482" s="733"/>
      <c r="K2482" s="733"/>
      <c r="L2482" s="733"/>
      <c r="M2482" s="733"/>
    </row>
    <row r="2483" spans="1:13" x14ac:dyDescent="0.3">
      <c r="A2483" s="733" t="s">
        <v>2479</v>
      </c>
      <c r="B2483" s="733" t="s">
        <v>645</v>
      </c>
      <c r="C2483" s="733" t="s">
        <v>2552</v>
      </c>
      <c r="D2483" s="733" t="s">
        <v>21</v>
      </c>
      <c r="E2483" s="733" t="s">
        <v>614</v>
      </c>
      <c r="F2483" s="733" t="s">
        <v>615</v>
      </c>
      <c r="G2483" s="733"/>
      <c r="H2483" s="733"/>
      <c r="I2483" s="733"/>
      <c r="J2483" s="733"/>
      <c r="K2483" s="733"/>
      <c r="L2483" s="733"/>
      <c r="M2483" s="733"/>
    </row>
    <row r="2484" spans="1:13" x14ac:dyDescent="0.3">
      <c r="A2484" s="734" t="s">
        <v>2479</v>
      </c>
      <c r="B2484" s="734" t="s">
        <v>645</v>
      </c>
      <c r="C2484" s="734" t="s">
        <v>2553</v>
      </c>
      <c r="D2484" s="734" t="s">
        <v>21</v>
      </c>
      <c r="E2484" s="734" t="s">
        <v>614</v>
      </c>
      <c r="F2484" s="734" t="s">
        <v>736</v>
      </c>
      <c r="G2484" s="733"/>
      <c r="H2484" s="733"/>
      <c r="I2484" s="733"/>
      <c r="J2484" s="733"/>
      <c r="K2484" s="733"/>
      <c r="L2484" s="733"/>
      <c r="M2484" s="733"/>
    </row>
    <row r="2485" spans="1:13" x14ac:dyDescent="0.3">
      <c r="A2485" s="733" t="s">
        <v>2479</v>
      </c>
      <c r="B2485" s="733" t="s">
        <v>645</v>
      </c>
      <c r="C2485" s="733" t="s">
        <v>2554</v>
      </c>
      <c r="D2485" s="733" t="s">
        <v>21</v>
      </c>
      <c r="E2485" s="733" t="s">
        <v>614</v>
      </c>
      <c r="F2485" s="733" t="s">
        <v>615</v>
      </c>
      <c r="G2485" s="733"/>
      <c r="H2485" s="733"/>
      <c r="I2485" s="733"/>
      <c r="J2485" s="733"/>
      <c r="K2485" s="733"/>
      <c r="L2485" s="733"/>
      <c r="M2485" s="733"/>
    </row>
    <row r="2486" spans="1:13" x14ac:dyDescent="0.3">
      <c r="A2486" s="733" t="s">
        <v>2479</v>
      </c>
      <c r="B2486" s="733" t="s">
        <v>645</v>
      </c>
      <c r="C2486" s="733" t="s">
        <v>2555</v>
      </c>
      <c r="D2486" s="733" t="s">
        <v>21</v>
      </c>
      <c r="E2486" s="733" t="s">
        <v>614</v>
      </c>
      <c r="F2486" s="733" t="s">
        <v>615</v>
      </c>
      <c r="G2486" s="733"/>
      <c r="H2486" s="733"/>
      <c r="I2486" s="733"/>
      <c r="J2486" s="733"/>
      <c r="K2486" s="733"/>
      <c r="L2486" s="733"/>
      <c r="M2486" s="733"/>
    </row>
    <row r="2487" spans="1:13" x14ac:dyDescent="0.3">
      <c r="A2487" s="733" t="s">
        <v>2479</v>
      </c>
      <c r="B2487" s="733" t="s">
        <v>664</v>
      </c>
      <c r="C2487" s="733" t="s">
        <v>2556</v>
      </c>
      <c r="D2487" s="733" t="s">
        <v>21</v>
      </c>
      <c r="E2487" s="733" t="s">
        <v>614</v>
      </c>
      <c r="F2487" s="733" t="s">
        <v>615</v>
      </c>
      <c r="G2487" s="733"/>
      <c r="H2487" s="733"/>
      <c r="I2487" s="733"/>
      <c r="J2487" s="733"/>
      <c r="K2487" s="733"/>
      <c r="L2487" s="733"/>
      <c r="M2487" s="733"/>
    </row>
    <row r="2488" spans="1:13" x14ac:dyDescent="0.3">
      <c r="A2488" s="733" t="s">
        <v>2479</v>
      </c>
      <c r="B2488" s="733" t="s">
        <v>664</v>
      </c>
      <c r="C2488" s="733" t="s">
        <v>2557</v>
      </c>
      <c r="D2488" s="733" t="s">
        <v>21</v>
      </c>
      <c r="E2488" s="733" t="s">
        <v>614</v>
      </c>
      <c r="F2488" s="733" t="s">
        <v>615</v>
      </c>
      <c r="G2488" s="733"/>
      <c r="H2488" s="733"/>
      <c r="I2488" s="733"/>
      <c r="J2488" s="733"/>
      <c r="K2488" s="733"/>
      <c r="L2488" s="733"/>
      <c r="M2488" s="733"/>
    </row>
    <row r="2489" spans="1:13" x14ac:dyDescent="0.3">
      <c r="A2489" s="733" t="s">
        <v>2479</v>
      </c>
      <c r="B2489" s="733" t="s">
        <v>664</v>
      </c>
      <c r="C2489" s="733" t="s">
        <v>1965</v>
      </c>
      <c r="D2489" s="733" t="s">
        <v>21</v>
      </c>
      <c r="E2489" s="733" t="s">
        <v>614</v>
      </c>
      <c r="F2489" s="733" t="s">
        <v>615</v>
      </c>
      <c r="G2489" s="733"/>
      <c r="H2489" s="733"/>
      <c r="I2489" s="733"/>
      <c r="J2489" s="733"/>
      <c r="K2489" s="733"/>
      <c r="L2489" s="733"/>
      <c r="M2489" s="733"/>
    </row>
    <row r="2490" spans="1:13" x14ac:dyDescent="0.3">
      <c r="A2490" s="733" t="s">
        <v>2479</v>
      </c>
      <c r="B2490" s="733" t="s">
        <v>664</v>
      </c>
      <c r="C2490" s="733" t="s">
        <v>1934</v>
      </c>
      <c r="D2490" s="733" t="s">
        <v>21</v>
      </c>
      <c r="E2490" s="733" t="s">
        <v>614</v>
      </c>
      <c r="F2490" s="733" t="s">
        <v>615</v>
      </c>
      <c r="G2490" s="733"/>
      <c r="H2490" s="733"/>
      <c r="I2490" s="733"/>
      <c r="J2490" s="733"/>
      <c r="K2490" s="733"/>
      <c r="L2490" s="733"/>
      <c r="M2490" s="733"/>
    </row>
    <row r="2491" spans="1:13" x14ac:dyDescent="0.3">
      <c r="A2491" s="733" t="s">
        <v>2479</v>
      </c>
      <c r="B2491" s="733" t="s">
        <v>664</v>
      </c>
      <c r="C2491" s="733" t="s">
        <v>1966</v>
      </c>
      <c r="D2491" s="733" t="s">
        <v>21</v>
      </c>
      <c r="E2491" s="733" t="s">
        <v>614</v>
      </c>
      <c r="F2491" s="733" t="s">
        <v>615</v>
      </c>
      <c r="G2491" s="733"/>
      <c r="H2491" s="733"/>
      <c r="I2491" s="733"/>
      <c r="J2491" s="733"/>
      <c r="K2491" s="733"/>
      <c r="L2491" s="733"/>
      <c r="M2491" s="733"/>
    </row>
    <row r="2492" spans="1:13" x14ac:dyDescent="0.3">
      <c r="A2492" s="733" t="s">
        <v>2479</v>
      </c>
      <c r="B2492" s="733" t="s">
        <v>664</v>
      </c>
      <c r="C2492" s="733" t="s">
        <v>2558</v>
      </c>
      <c r="D2492" s="733" t="s">
        <v>21</v>
      </c>
      <c r="E2492" s="733" t="s">
        <v>614</v>
      </c>
      <c r="F2492" s="733" t="s">
        <v>615</v>
      </c>
      <c r="G2492" s="733"/>
      <c r="H2492" s="733"/>
      <c r="I2492" s="733"/>
      <c r="J2492" s="733"/>
      <c r="K2492" s="733"/>
      <c r="L2492" s="733"/>
      <c r="M2492" s="733"/>
    </row>
    <row r="2493" spans="1:13" x14ac:dyDescent="0.3">
      <c r="A2493" s="733" t="s">
        <v>2479</v>
      </c>
      <c r="B2493" s="733" t="s">
        <v>664</v>
      </c>
      <c r="C2493" s="733" t="s">
        <v>1753</v>
      </c>
      <c r="D2493" s="733" t="s">
        <v>21</v>
      </c>
      <c r="E2493" s="733" t="s">
        <v>614</v>
      </c>
      <c r="F2493" s="733" t="s">
        <v>615</v>
      </c>
      <c r="G2493" s="733"/>
      <c r="H2493" s="733"/>
      <c r="I2493" s="733"/>
      <c r="J2493" s="733"/>
      <c r="K2493" s="733"/>
      <c r="L2493" s="733"/>
      <c r="M2493" s="733"/>
    </row>
    <row r="2494" spans="1:13" x14ac:dyDescent="0.3">
      <c r="A2494" s="733" t="s">
        <v>2479</v>
      </c>
      <c r="B2494" s="733" t="s">
        <v>664</v>
      </c>
      <c r="C2494" s="733" t="s">
        <v>2559</v>
      </c>
      <c r="D2494" s="733" t="s">
        <v>21</v>
      </c>
      <c r="E2494" s="733" t="s">
        <v>614</v>
      </c>
      <c r="F2494" s="733" t="s">
        <v>615</v>
      </c>
      <c r="G2494" s="733"/>
      <c r="H2494" s="733"/>
      <c r="I2494" s="733"/>
      <c r="J2494" s="733"/>
      <c r="K2494" s="733"/>
      <c r="L2494" s="733"/>
      <c r="M2494" s="733"/>
    </row>
    <row r="2495" spans="1:13" x14ac:dyDescent="0.3">
      <c r="A2495" s="733" t="s">
        <v>2560</v>
      </c>
      <c r="B2495" s="733" t="s">
        <v>612</v>
      </c>
      <c r="C2495" s="733" t="s">
        <v>963</v>
      </c>
      <c r="D2495" s="733" t="s">
        <v>21</v>
      </c>
      <c r="E2495" s="733" t="s">
        <v>614</v>
      </c>
      <c r="F2495" s="733" t="s">
        <v>615</v>
      </c>
      <c r="G2495" s="733"/>
      <c r="H2495" s="733"/>
      <c r="I2495" s="733"/>
      <c r="J2495" s="733"/>
      <c r="K2495" s="733"/>
      <c r="L2495" s="733"/>
      <c r="M2495" s="733"/>
    </row>
    <row r="2496" spans="1:13" x14ac:dyDescent="0.3">
      <c r="A2496" s="733" t="s">
        <v>2560</v>
      </c>
      <c r="B2496" s="733" t="s">
        <v>612</v>
      </c>
      <c r="C2496" s="733" t="s">
        <v>909</v>
      </c>
      <c r="D2496" s="733" t="s">
        <v>21</v>
      </c>
      <c r="E2496" s="733" t="s">
        <v>614</v>
      </c>
      <c r="F2496" s="733" t="s">
        <v>615</v>
      </c>
      <c r="G2496" s="733"/>
      <c r="H2496" s="733"/>
      <c r="I2496" s="733"/>
      <c r="J2496" s="733"/>
      <c r="K2496" s="733"/>
      <c r="L2496" s="733"/>
      <c r="M2496" s="733"/>
    </row>
    <row r="2497" spans="1:13" x14ac:dyDescent="0.3">
      <c r="A2497" s="733" t="s">
        <v>2560</v>
      </c>
      <c r="B2497" s="733" t="s">
        <v>612</v>
      </c>
      <c r="C2497" s="733" t="s">
        <v>2030</v>
      </c>
      <c r="D2497" s="733" t="s">
        <v>21</v>
      </c>
      <c r="E2497" s="733" t="s">
        <v>614</v>
      </c>
      <c r="F2497" s="733" t="s">
        <v>615</v>
      </c>
      <c r="G2497" s="733"/>
      <c r="H2497" s="733"/>
      <c r="I2497" s="733"/>
      <c r="J2497" s="733"/>
      <c r="K2497" s="733"/>
      <c r="L2497" s="733"/>
      <c r="M2497" s="733"/>
    </row>
    <row r="2498" spans="1:13" x14ac:dyDescent="0.3">
      <c r="A2498" s="733" t="s">
        <v>2560</v>
      </c>
      <c r="B2498" s="733" t="s">
        <v>612</v>
      </c>
      <c r="C2498" s="733" t="s">
        <v>2561</v>
      </c>
      <c r="D2498" s="733" t="s">
        <v>21</v>
      </c>
      <c r="E2498" s="733" t="s">
        <v>614</v>
      </c>
      <c r="F2498" s="733" t="s">
        <v>615</v>
      </c>
      <c r="G2498" s="733"/>
      <c r="H2498" s="733"/>
      <c r="I2498" s="733"/>
      <c r="J2498" s="733"/>
      <c r="K2498" s="733"/>
      <c r="L2498" s="733"/>
      <c r="M2498" s="733"/>
    </row>
    <row r="2499" spans="1:13" x14ac:dyDescent="0.3">
      <c r="A2499" s="733" t="s">
        <v>2560</v>
      </c>
      <c r="B2499" s="733" t="s">
        <v>612</v>
      </c>
      <c r="C2499" s="733" t="s">
        <v>2562</v>
      </c>
      <c r="D2499" s="733" t="s">
        <v>21</v>
      </c>
      <c r="E2499" s="733" t="s">
        <v>614</v>
      </c>
      <c r="F2499" s="733" t="s">
        <v>615</v>
      </c>
      <c r="G2499" s="733"/>
      <c r="H2499" s="733"/>
      <c r="I2499" s="733"/>
      <c r="J2499" s="733"/>
      <c r="K2499" s="733"/>
      <c r="L2499" s="733"/>
      <c r="M2499" s="733"/>
    </row>
    <row r="2500" spans="1:13" x14ac:dyDescent="0.3">
      <c r="A2500" s="733" t="s">
        <v>2560</v>
      </c>
      <c r="B2500" s="733" t="s">
        <v>612</v>
      </c>
      <c r="C2500" s="733" t="s">
        <v>2239</v>
      </c>
      <c r="D2500" s="733" t="s">
        <v>21</v>
      </c>
      <c r="E2500" s="733" t="s">
        <v>614</v>
      </c>
      <c r="F2500" s="733" t="s">
        <v>615</v>
      </c>
      <c r="G2500" s="733"/>
      <c r="H2500" s="733"/>
      <c r="I2500" s="733"/>
      <c r="J2500" s="733"/>
      <c r="K2500" s="733"/>
      <c r="L2500" s="733"/>
      <c r="M2500" s="733"/>
    </row>
    <row r="2501" spans="1:13" x14ac:dyDescent="0.3">
      <c r="A2501" s="733" t="s">
        <v>2560</v>
      </c>
      <c r="B2501" s="733" t="s">
        <v>612</v>
      </c>
      <c r="C2501" s="733" t="s">
        <v>2563</v>
      </c>
      <c r="D2501" s="733" t="s">
        <v>21</v>
      </c>
      <c r="E2501" s="733" t="s">
        <v>614</v>
      </c>
      <c r="F2501" s="733" t="s">
        <v>615</v>
      </c>
      <c r="G2501" s="733"/>
      <c r="H2501" s="733"/>
      <c r="I2501" s="733"/>
      <c r="J2501" s="733"/>
      <c r="K2501" s="733"/>
      <c r="L2501" s="733"/>
      <c r="M2501" s="733"/>
    </row>
    <row r="2502" spans="1:13" x14ac:dyDescent="0.3">
      <c r="A2502" s="733" t="s">
        <v>2560</v>
      </c>
      <c r="B2502" s="733" t="s">
        <v>612</v>
      </c>
      <c r="C2502" s="733" t="s">
        <v>2564</v>
      </c>
      <c r="D2502" s="733" t="s">
        <v>21</v>
      </c>
      <c r="E2502" s="733" t="s">
        <v>614</v>
      </c>
      <c r="F2502" s="733" t="s">
        <v>615</v>
      </c>
      <c r="G2502" s="733"/>
      <c r="H2502" s="733"/>
      <c r="I2502" s="733"/>
      <c r="J2502" s="733"/>
      <c r="K2502" s="733"/>
      <c r="L2502" s="733"/>
      <c r="M2502" s="733"/>
    </row>
    <row r="2503" spans="1:13" x14ac:dyDescent="0.3">
      <c r="A2503" s="734" t="s">
        <v>2560</v>
      </c>
      <c r="B2503" s="734" t="s">
        <v>612</v>
      </c>
      <c r="C2503" s="734" t="s">
        <v>2033</v>
      </c>
      <c r="D2503" s="734" t="s">
        <v>21</v>
      </c>
      <c r="E2503" s="734" t="s">
        <v>614</v>
      </c>
      <c r="F2503" s="734" t="s">
        <v>696</v>
      </c>
      <c r="G2503" s="733"/>
      <c r="H2503" s="733"/>
      <c r="I2503" s="733"/>
      <c r="J2503" s="733"/>
      <c r="K2503" s="733"/>
      <c r="L2503" s="733"/>
      <c r="M2503" s="733"/>
    </row>
    <row r="2504" spans="1:13" x14ac:dyDescent="0.3">
      <c r="A2504" s="733" t="s">
        <v>2560</v>
      </c>
      <c r="B2504" s="733" t="s">
        <v>612</v>
      </c>
      <c r="C2504" s="733" t="s">
        <v>2565</v>
      </c>
      <c r="D2504" s="733" t="s">
        <v>21</v>
      </c>
      <c r="E2504" s="733" t="s">
        <v>614</v>
      </c>
      <c r="F2504" s="733" t="s">
        <v>615</v>
      </c>
      <c r="G2504" s="733"/>
      <c r="H2504" s="733"/>
      <c r="I2504" s="733"/>
      <c r="J2504" s="733"/>
      <c r="K2504" s="733"/>
      <c r="L2504" s="733"/>
      <c r="M2504" s="733"/>
    </row>
    <row r="2505" spans="1:13" x14ac:dyDescent="0.3">
      <c r="A2505" s="733" t="s">
        <v>2560</v>
      </c>
      <c r="B2505" s="733" t="s">
        <v>645</v>
      </c>
      <c r="C2505" s="733" t="s">
        <v>963</v>
      </c>
      <c r="D2505" s="733" t="s">
        <v>21</v>
      </c>
      <c r="E2505" s="733" t="s">
        <v>614</v>
      </c>
      <c r="F2505" s="733" t="s">
        <v>615</v>
      </c>
      <c r="G2505" s="733"/>
      <c r="H2505" s="733"/>
      <c r="I2505" s="733"/>
      <c r="J2505" s="733"/>
      <c r="K2505" s="733"/>
      <c r="L2505" s="733"/>
      <c r="M2505" s="733"/>
    </row>
    <row r="2506" spans="1:13" x14ac:dyDescent="0.3">
      <c r="A2506" s="734" t="s">
        <v>2560</v>
      </c>
      <c r="B2506" s="734" t="s">
        <v>645</v>
      </c>
      <c r="C2506" s="734" t="s">
        <v>2566</v>
      </c>
      <c r="D2506" s="734" t="s">
        <v>21</v>
      </c>
      <c r="E2506" s="734" t="s">
        <v>614</v>
      </c>
      <c r="F2506" s="734" t="s">
        <v>736</v>
      </c>
      <c r="G2506" s="733"/>
      <c r="H2506" s="733"/>
      <c r="I2506" s="733"/>
      <c r="J2506" s="733"/>
      <c r="K2506" s="733"/>
      <c r="L2506" s="733"/>
      <c r="M2506" s="733"/>
    </row>
    <row r="2507" spans="1:13" x14ac:dyDescent="0.3">
      <c r="A2507" s="733" t="s">
        <v>2560</v>
      </c>
      <c r="B2507" s="733" t="s">
        <v>645</v>
      </c>
      <c r="C2507" s="733" t="s">
        <v>2240</v>
      </c>
      <c r="D2507" s="733" t="s">
        <v>21</v>
      </c>
      <c r="E2507" s="733" t="s">
        <v>614</v>
      </c>
      <c r="F2507" s="733" t="s">
        <v>615</v>
      </c>
      <c r="G2507" s="733"/>
      <c r="H2507" s="733"/>
      <c r="I2507" s="733"/>
      <c r="J2507" s="733"/>
      <c r="K2507" s="733"/>
      <c r="L2507" s="733"/>
      <c r="M2507" s="733"/>
    </row>
    <row r="2508" spans="1:13" x14ac:dyDescent="0.3">
      <c r="A2508" s="733" t="s">
        <v>2560</v>
      </c>
      <c r="B2508" s="733" t="s">
        <v>645</v>
      </c>
      <c r="C2508" s="733" t="s">
        <v>2476</v>
      </c>
      <c r="D2508" s="733" t="s">
        <v>21</v>
      </c>
      <c r="E2508" s="733" t="s">
        <v>614</v>
      </c>
      <c r="F2508" s="733" t="s">
        <v>615</v>
      </c>
      <c r="G2508" s="733"/>
      <c r="H2508" s="733"/>
      <c r="I2508" s="733"/>
      <c r="J2508" s="733"/>
      <c r="K2508" s="733"/>
      <c r="L2508" s="733"/>
      <c r="M2508" s="733"/>
    </row>
    <row r="2509" spans="1:13" x14ac:dyDescent="0.3">
      <c r="A2509" s="733" t="s">
        <v>2560</v>
      </c>
      <c r="B2509" s="733" t="s">
        <v>645</v>
      </c>
      <c r="C2509" s="738" t="s">
        <v>2567</v>
      </c>
      <c r="D2509" s="733" t="s">
        <v>21</v>
      </c>
      <c r="E2509" s="733" t="s">
        <v>614</v>
      </c>
      <c r="F2509" s="733" t="s">
        <v>615</v>
      </c>
      <c r="G2509" s="733"/>
      <c r="H2509" s="733"/>
      <c r="I2509" s="733"/>
      <c r="J2509" s="733"/>
      <c r="K2509" s="733"/>
      <c r="L2509" s="733"/>
      <c r="M2509" s="733"/>
    </row>
    <row r="2510" spans="1:13" x14ac:dyDescent="0.3">
      <c r="A2510" s="733" t="s">
        <v>2560</v>
      </c>
      <c r="B2510" s="733" t="s">
        <v>645</v>
      </c>
      <c r="C2510" s="733" t="s">
        <v>2568</v>
      </c>
      <c r="D2510" s="733" t="s">
        <v>21</v>
      </c>
      <c r="E2510" s="733" t="s">
        <v>614</v>
      </c>
      <c r="F2510" s="733" t="s">
        <v>615</v>
      </c>
      <c r="G2510" s="733"/>
      <c r="H2510" s="733"/>
      <c r="I2510" s="733"/>
      <c r="J2510" s="733"/>
      <c r="K2510" s="733"/>
      <c r="L2510" s="733"/>
      <c r="M2510" s="733"/>
    </row>
    <row r="2511" spans="1:13" x14ac:dyDescent="0.3">
      <c r="A2511" s="733" t="s">
        <v>2560</v>
      </c>
      <c r="B2511" s="733" t="s">
        <v>645</v>
      </c>
      <c r="C2511" s="733" t="s">
        <v>2569</v>
      </c>
      <c r="D2511" s="733" t="s">
        <v>21</v>
      </c>
      <c r="E2511" s="733" t="s">
        <v>614</v>
      </c>
      <c r="F2511" s="733" t="s">
        <v>615</v>
      </c>
      <c r="G2511" s="733"/>
      <c r="H2511" s="733"/>
      <c r="I2511" s="733"/>
      <c r="J2511" s="733"/>
      <c r="K2511" s="733"/>
      <c r="L2511" s="733"/>
      <c r="M2511" s="733"/>
    </row>
    <row r="2512" spans="1:13" x14ac:dyDescent="0.3">
      <c r="A2512" s="733" t="s">
        <v>2560</v>
      </c>
      <c r="B2512" s="733" t="s">
        <v>645</v>
      </c>
      <c r="C2512" s="733" t="s">
        <v>2570</v>
      </c>
      <c r="D2512" s="733" t="s">
        <v>21</v>
      </c>
      <c r="E2512" s="733" t="s">
        <v>614</v>
      </c>
      <c r="F2512" s="733" t="s">
        <v>615</v>
      </c>
      <c r="G2512" s="733"/>
      <c r="H2512" s="733"/>
      <c r="I2512" s="733"/>
      <c r="J2512" s="733"/>
      <c r="K2512" s="733"/>
      <c r="L2512" s="733"/>
      <c r="M2512" s="733"/>
    </row>
    <row r="2513" spans="1:13" x14ac:dyDescent="0.3">
      <c r="A2513" s="733" t="s">
        <v>2560</v>
      </c>
      <c r="B2513" s="733" t="s">
        <v>664</v>
      </c>
      <c r="C2513" s="733" t="s">
        <v>2571</v>
      </c>
      <c r="D2513" s="733" t="s">
        <v>21</v>
      </c>
      <c r="E2513" s="733" t="s">
        <v>614</v>
      </c>
      <c r="F2513" s="733" t="s">
        <v>615</v>
      </c>
      <c r="G2513" s="733"/>
      <c r="H2513" s="733"/>
      <c r="I2513" s="733"/>
      <c r="J2513" s="733"/>
      <c r="K2513" s="733"/>
      <c r="L2513" s="733"/>
      <c r="M2513" s="733"/>
    </row>
    <row r="2514" spans="1:13" x14ac:dyDescent="0.3">
      <c r="A2514" s="733" t="s">
        <v>2560</v>
      </c>
      <c r="B2514" s="733" t="s">
        <v>664</v>
      </c>
      <c r="C2514" s="733" t="s">
        <v>968</v>
      </c>
      <c r="D2514" s="733" t="s">
        <v>21</v>
      </c>
      <c r="E2514" s="733" t="s">
        <v>614</v>
      </c>
      <c r="F2514" s="733" t="s">
        <v>615</v>
      </c>
      <c r="G2514" s="733"/>
      <c r="H2514" s="733"/>
      <c r="I2514" s="733"/>
      <c r="J2514" s="733"/>
      <c r="K2514" s="733"/>
      <c r="L2514" s="733"/>
      <c r="M2514" s="733"/>
    </row>
    <row r="2515" spans="1:13" x14ac:dyDescent="0.3">
      <c r="A2515" s="733" t="s">
        <v>2560</v>
      </c>
      <c r="B2515" s="733" t="s">
        <v>664</v>
      </c>
      <c r="C2515" s="733" t="s">
        <v>2572</v>
      </c>
      <c r="D2515" s="733" t="s">
        <v>21</v>
      </c>
      <c r="E2515" s="733" t="s">
        <v>614</v>
      </c>
      <c r="F2515" s="733" t="s">
        <v>615</v>
      </c>
      <c r="G2515" s="733"/>
      <c r="H2515" s="733"/>
      <c r="I2515" s="733"/>
      <c r="J2515" s="733"/>
      <c r="K2515" s="733"/>
      <c r="L2515" s="733"/>
      <c r="M2515" s="733"/>
    </row>
    <row r="2516" spans="1:13" x14ac:dyDescent="0.3">
      <c r="A2516" s="733" t="s">
        <v>2573</v>
      </c>
      <c r="B2516" s="733" t="s">
        <v>612</v>
      </c>
      <c r="C2516" s="733" t="s">
        <v>2574</v>
      </c>
      <c r="D2516" s="733" t="s">
        <v>21</v>
      </c>
      <c r="E2516" s="733" t="s">
        <v>614</v>
      </c>
      <c r="F2516" s="733" t="s">
        <v>615</v>
      </c>
      <c r="G2516" s="733"/>
      <c r="H2516" s="733"/>
      <c r="I2516" s="733"/>
      <c r="J2516" s="733"/>
      <c r="K2516" s="733"/>
      <c r="L2516" s="733"/>
      <c r="M2516" s="733"/>
    </row>
    <row r="2517" spans="1:13" x14ac:dyDescent="0.3">
      <c r="A2517" s="733" t="s">
        <v>2573</v>
      </c>
      <c r="B2517" s="733" t="s">
        <v>612</v>
      </c>
      <c r="C2517" s="733" t="s">
        <v>2575</v>
      </c>
      <c r="D2517" s="733" t="s">
        <v>21</v>
      </c>
      <c r="E2517" s="733" t="s">
        <v>614</v>
      </c>
      <c r="F2517" s="733" t="s">
        <v>615</v>
      </c>
      <c r="G2517" s="733"/>
      <c r="H2517" s="733"/>
      <c r="I2517" s="733"/>
      <c r="J2517" s="733"/>
      <c r="K2517" s="733"/>
      <c r="L2517" s="733"/>
      <c r="M2517" s="733"/>
    </row>
    <row r="2518" spans="1:13" x14ac:dyDescent="0.3">
      <c r="A2518" s="733" t="s">
        <v>2573</v>
      </c>
      <c r="B2518" s="733" t="s">
        <v>612</v>
      </c>
      <c r="C2518" s="733" t="s">
        <v>2576</v>
      </c>
      <c r="D2518" s="733" t="s">
        <v>21</v>
      </c>
      <c r="E2518" s="733" t="s">
        <v>614</v>
      </c>
      <c r="F2518" s="733" t="s">
        <v>615</v>
      </c>
      <c r="G2518" s="733"/>
      <c r="H2518" s="733"/>
      <c r="I2518" s="733"/>
      <c r="J2518" s="733"/>
      <c r="K2518" s="733"/>
      <c r="L2518" s="733"/>
      <c r="M2518" s="733"/>
    </row>
    <row r="2519" spans="1:13" x14ac:dyDescent="0.3">
      <c r="A2519" s="733" t="s">
        <v>2573</v>
      </c>
      <c r="B2519" s="733" t="s">
        <v>612</v>
      </c>
      <c r="C2519" s="733" t="s">
        <v>2449</v>
      </c>
      <c r="D2519" s="733" t="s">
        <v>21</v>
      </c>
      <c r="E2519" s="733" t="s">
        <v>614</v>
      </c>
      <c r="F2519" s="733" t="s">
        <v>615</v>
      </c>
      <c r="G2519" s="733"/>
      <c r="H2519" s="733"/>
      <c r="I2519" s="733"/>
      <c r="J2519" s="733"/>
      <c r="K2519" s="733"/>
      <c r="L2519" s="733"/>
      <c r="M2519" s="733"/>
    </row>
    <row r="2520" spans="1:13" x14ac:dyDescent="0.3">
      <c r="A2520" s="733" t="s">
        <v>2573</v>
      </c>
      <c r="B2520" s="733" t="s">
        <v>612</v>
      </c>
      <c r="C2520" s="733" t="s">
        <v>2577</v>
      </c>
      <c r="D2520" s="733" t="s">
        <v>21</v>
      </c>
      <c r="E2520" s="733" t="s">
        <v>614</v>
      </c>
      <c r="F2520" s="733" t="s">
        <v>615</v>
      </c>
      <c r="G2520" s="733"/>
      <c r="H2520" s="733"/>
      <c r="I2520" s="733"/>
      <c r="J2520" s="733"/>
      <c r="K2520" s="733"/>
      <c r="L2520" s="733"/>
      <c r="M2520" s="733"/>
    </row>
    <row r="2521" spans="1:13" x14ac:dyDescent="0.3">
      <c r="A2521" s="733" t="s">
        <v>2573</v>
      </c>
      <c r="B2521" s="733" t="s">
        <v>612</v>
      </c>
      <c r="C2521" s="733" t="s">
        <v>2578</v>
      </c>
      <c r="D2521" s="733" t="s">
        <v>21</v>
      </c>
      <c r="E2521" s="733" t="s">
        <v>614</v>
      </c>
      <c r="F2521" s="733" t="s">
        <v>615</v>
      </c>
      <c r="G2521" s="733"/>
      <c r="H2521" s="733"/>
      <c r="I2521" s="733"/>
      <c r="J2521" s="733"/>
      <c r="K2521" s="733"/>
      <c r="L2521" s="733"/>
      <c r="M2521" s="733"/>
    </row>
    <row r="2522" spans="1:13" x14ac:dyDescent="0.3">
      <c r="A2522" s="733" t="s">
        <v>2573</v>
      </c>
      <c r="B2522" s="733" t="s">
        <v>612</v>
      </c>
      <c r="C2522" s="733" t="s">
        <v>2579</v>
      </c>
      <c r="D2522" s="733" t="s">
        <v>21</v>
      </c>
      <c r="E2522" s="733" t="s">
        <v>614</v>
      </c>
      <c r="F2522" s="733" t="s">
        <v>615</v>
      </c>
      <c r="G2522" s="733"/>
      <c r="H2522" s="733"/>
      <c r="I2522" s="733"/>
      <c r="J2522" s="733"/>
      <c r="K2522" s="733"/>
      <c r="L2522" s="733"/>
      <c r="M2522" s="733"/>
    </row>
    <row r="2523" spans="1:13" x14ac:dyDescent="0.3">
      <c r="A2523" s="733" t="s">
        <v>2573</v>
      </c>
      <c r="B2523" s="733" t="s">
        <v>612</v>
      </c>
      <c r="C2523" s="733" t="s">
        <v>2580</v>
      </c>
      <c r="D2523" s="733" t="s">
        <v>21</v>
      </c>
      <c r="E2523" s="733" t="s">
        <v>614</v>
      </c>
      <c r="F2523" s="733" t="s">
        <v>615</v>
      </c>
      <c r="G2523" s="733"/>
      <c r="H2523" s="733"/>
      <c r="I2523" s="733"/>
      <c r="J2523" s="733"/>
      <c r="K2523" s="733"/>
      <c r="L2523" s="733"/>
      <c r="M2523" s="733"/>
    </row>
    <row r="2524" spans="1:13" x14ac:dyDescent="0.3">
      <c r="A2524" s="733" t="s">
        <v>2573</v>
      </c>
      <c r="B2524" s="733" t="s">
        <v>645</v>
      </c>
      <c r="C2524" s="733" t="s">
        <v>2581</v>
      </c>
      <c r="D2524" s="733" t="s">
        <v>21</v>
      </c>
      <c r="E2524" s="733" t="s">
        <v>614</v>
      </c>
      <c r="F2524" s="733" t="s">
        <v>615</v>
      </c>
      <c r="G2524" s="733"/>
      <c r="H2524" s="733"/>
      <c r="I2524" s="733"/>
      <c r="J2524" s="733"/>
      <c r="K2524" s="733"/>
      <c r="L2524" s="733"/>
      <c r="M2524" s="733"/>
    </row>
    <row r="2525" spans="1:13" x14ac:dyDescent="0.3">
      <c r="A2525" s="733" t="s">
        <v>2582</v>
      </c>
      <c r="B2525" s="733" t="s">
        <v>612</v>
      </c>
      <c r="C2525" s="733" t="s">
        <v>2118</v>
      </c>
      <c r="D2525" s="733" t="s">
        <v>21</v>
      </c>
      <c r="E2525" s="733" t="s">
        <v>614</v>
      </c>
      <c r="F2525" s="733" t="s">
        <v>615</v>
      </c>
      <c r="G2525" s="733"/>
      <c r="H2525" s="733"/>
      <c r="I2525" s="733"/>
      <c r="J2525" s="733"/>
      <c r="K2525" s="733"/>
      <c r="L2525" s="733"/>
      <c r="M2525" s="733"/>
    </row>
    <row r="2526" spans="1:13" x14ac:dyDescent="0.3">
      <c r="A2526" s="733" t="s">
        <v>2582</v>
      </c>
      <c r="B2526" s="733" t="s">
        <v>612</v>
      </c>
      <c r="C2526" s="733" t="s">
        <v>2583</v>
      </c>
      <c r="D2526" s="733" t="s">
        <v>21</v>
      </c>
      <c r="E2526" s="733" t="s">
        <v>614</v>
      </c>
      <c r="F2526" s="733" t="s">
        <v>615</v>
      </c>
      <c r="G2526" s="733"/>
      <c r="H2526" s="733"/>
      <c r="I2526" s="733"/>
      <c r="J2526" s="733"/>
      <c r="K2526" s="733"/>
      <c r="L2526" s="733"/>
      <c r="M2526" s="733"/>
    </row>
    <row r="2527" spans="1:13" x14ac:dyDescent="0.3">
      <c r="A2527" s="733" t="s">
        <v>2582</v>
      </c>
      <c r="B2527" s="733" t="s">
        <v>612</v>
      </c>
      <c r="C2527" s="733" t="s">
        <v>2584</v>
      </c>
      <c r="D2527" s="733" t="s">
        <v>21</v>
      </c>
      <c r="E2527" s="733" t="s">
        <v>614</v>
      </c>
      <c r="F2527" s="733" t="s">
        <v>615</v>
      </c>
      <c r="G2527" s="733"/>
      <c r="H2527" s="733"/>
      <c r="I2527" s="733"/>
      <c r="J2527" s="733"/>
      <c r="K2527" s="733"/>
      <c r="L2527" s="733"/>
      <c r="M2527" s="733"/>
    </row>
    <row r="2528" spans="1:13" x14ac:dyDescent="0.3">
      <c r="A2528" s="733" t="s">
        <v>2582</v>
      </c>
      <c r="B2528" s="733" t="s">
        <v>612</v>
      </c>
      <c r="C2528" s="733" t="s">
        <v>2585</v>
      </c>
      <c r="D2528" s="733" t="s">
        <v>21</v>
      </c>
      <c r="E2528" s="733" t="s">
        <v>614</v>
      </c>
      <c r="F2528" s="733" t="s">
        <v>615</v>
      </c>
      <c r="G2528" s="733"/>
      <c r="H2528" s="733"/>
      <c r="I2528" s="733"/>
      <c r="J2528" s="733"/>
      <c r="K2528" s="733"/>
      <c r="L2528" s="733"/>
      <c r="M2528" s="733"/>
    </row>
    <row r="2529" spans="1:13" x14ac:dyDescent="0.3">
      <c r="A2529" s="733" t="s">
        <v>2582</v>
      </c>
      <c r="B2529" s="733" t="s">
        <v>612</v>
      </c>
      <c r="C2529" s="733" t="s">
        <v>2586</v>
      </c>
      <c r="D2529" s="733" t="s">
        <v>21</v>
      </c>
      <c r="E2529" s="733" t="s">
        <v>614</v>
      </c>
      <c r="F2529" s="733" t="s">
        <v>615</v>
      </c>
      <c r="G2529" s="733"/>
      <c r="H2529" s="733"/>
      <c r="I2529" s="733"/>
      <c r="J2529" s="733"/>
      <c r="K2529" s="733"/>
      <c r="L2529" s="733"/>
      <c r="M2529" s="733"/>
    </row>
    <row r="2530" spans="1:13" x14ac:dyDescent="0.3">
      <c r="A2530" s="733" t="s">
        <v>2582</v>
      </c>
      <c r="B2530" s="733" t="s">
        <v>612</v>
      </c>
      <c r="C2530" s="733" t="s">
        <v>2587</v>
      </c>
      <c r="D2530" s="733" t="s">
        <v>21</v>
      </c>
      <c r="E2530" s="733" t="s">
        <v>614</v>
      </c>
      <c r="F2530" s="733" t="s">
        <v>615</v>
      </c>
      <c r="G2530" s="733"/>
      <c r="H2530" s="733"/>
      <c r="I2530" s="733"/>
      <c r="J2530" s="733"/>
      <c r="K2530" s="733"/>
      <c r="L2530" s="733"/>
      <c r="M2530" s="733"/>
    </row>
    <row r="2531" spans="1:13" x14ac:dyDescent="0.3">
      <c r="A2531" s="733" t="s">
        <v>2582</v>
      </c>
      <c r="B2531" s="733" t="s">
        <v>612</v>
      </c>
      <c r="C2531" s="733" t="s">
        <v>2588</v>
      </c>
      <c r="D2531" s="733" t="s">
        <v>21</v>
      </c>
      <c r="E2531" s="733" t="s">
        <v>614</v>
      </c>
      <c r="F2531" s="733" t="s">
        <v>615</v>
      </c>
      <c r="G2531" s="733"/>
      <c r="H2531" s="733"/>
      <c r="I2531" s="733"/>
      <c r="J2531" s="733"/>
      <c r="K2531" s="733"/>
      <c r="L2531" s="733"/>
      <c r="M2531" s="733"/>
    </row>
    <row r="2532" spans="1:13" x14ac:dyDescent="0.3">
      <c r="A2532" s="733" t="s">
        <v>2582</v>
      </c>
      <c r="B2532" s="733" t="s">
        <v>612</v>
      </c>
      <c r="C2532" s="733" t="s">
        <v>2589</v>
      </c>
      <c r="D2532" s="733" t="s">
        <v>21</v>
      </c>
      <c r="E2532" s="733" t="s">
        <v>614</v>
      </c>
      <c r="F2532" s="733" t="s">
        <v>615</v>
      </c>
      <c r="G2532" s="733"/>
      <c r="H2532" s="733"/>
      <c r="I2532" s="733"/>
      <c r="J2532" s="733"/>
      <c r="K2532" s="733"/>
      <c r="L2532" s="733"/>
      <c r="M2532" s="733"/>
    </row>
    <row r="2533" spans="1:13" x14ac:dyDescent="0.3">
      <c r="A2533" s="734" t="s">
        <v>2582</v>
      </c>
      <c r="B2533" s="734" t="s">
        <v>645</v>
      </c>
      <c r="C2533" s="734" t="s">
        <v>2590</v>
      </c>
      <c r="D2533" s="734" t="s">
        <v>21</v>
      </c>
      <c r="E2533" s="734" t="s">
        <v>614</v>
      </c>
      <c r="F2533" s="734" t="s">
        <v>736</v>
      </c>
      <c r="G2533" s="733"/>
      <c r="H2533" s="733"/>
      <c r="I2533" s="733"/>
      <c r="J2533" s="733"/>
      <c r="K2533" s="733"/>
      <c r="L2533" s="733"/>
      <c r="M2533" s="733"/>
    </row>
    <row r="2534" spans="1:13" x14ac:dyDescent="0.3">
      <c r="A2534" s="734" t="s">
        <v>2582</v>
      </c>
      <c r="B2534" s="734" t="s">
        <v>645</v>
      </c>
      <c r="C2534" s="734" t="s">
        <v>2124</v>
      </c>
      <c r="D2534" s="734" t="s">
        <v>21</v>
      </c>
      <c r="E2534" s="734" t="s">
        <v>614</v>
      </c>
      <c r="F2534" s="734" t="s">
        <v>736</v>
      </c>
      <c r="G2534" s="733"/>
      <c r="H2534" s="733"/>
      <c r="I2534" s="733"/>
      <c r="J2534" s="733"/>
      <c r="K2534" s="733"/>
      <c r="L2534" s="733"/>
      <c r="M2534" s="733"/>
    </row>
    <row r="2535" spans="1:13" x14ac:dyDescent="0.3">
      <c r="A2535" s="734" t="s">
        <v>2582</v>
      </c>
      <c r="B2535" s="734" t="s">
        <v>645</v>
      </c>
      <c r="C2535" s="734" t="s">
        <v>2591</v>
      </c>
      <c r="D2535" s="734" t="s">
        <v>21</v>
      </c>
      <c r="E2535" s="734" t="s">
        <v>614</v>
      </c>
      <c r="F2535" s="734" t="s">
        <v>736</v>
      </c>
      <c r="G2535" s="733"/>
      <c r="H2535" s="733"/>
      <c r="I2535" s="733"/>
      <c r="J2535" s="733"/>
      <c r="K2535" s="733"/>
      <c r="L2535" s="733"/>
      <c r="M2535" s="733"/>
    </row>
    <row r="2536" spans="1:13" x14ac:dyDescent="0.3">
      <c r="A2536" s="734" t="s">
        <v>2582</v>
      </c>
      <c r="B2536" s="734" t="s">
        <v>645</v>
      </c>
      <c r="C2536" s="734" t="s">
        <v>2592</v>
      </c>
      <c r="D2536" s="734" t="s">
        <v>21</v>
      </c>
      <c r="E2536" s="734" t="s">
        <v>614</v>
      </c>
      <c r="F2536" s="734" t="s">
        <v>736</v>
      </c>
      <c r="G2536" s="733"/>
      <c r="H2536" s="733"/>
      <c r="I2536" s="733"/>
      <c r="J2536" s="733"/>
      <c r="K2536" s="733"/>
      <c r="L2536" s="733"/>
      <c r="M2536" s="733"/>
    </row>
    <row r="2537" spans="1:13" x14ac:dyDescent="0.3">
      <c r="A2537" s="733" t="s">
        <v>2582</v>
      </c>
      <c r="B2537" s="733" t="s">
        <v>664</v>
      </c>
      <c r="C2537" s="733" t="s">
        <v>2593</v>
      </c>
      <c r="D2537" s="733" t="s">
        <v>21</v>
      </c>
      <c r="E2537" s="733" t="s">
        <v>614</v>
      </c>
      <c r="F2537" s="733" t="s">
        <v>615</v>
      </c>
      <c r="G2537" s="733"/>
      <c r="H2537" s="733"/>
      <c r="I2537" s="733"/>
      <c r="J2537" s="733"/>
      <c r="K2537" s="733"/>
      <c r="L2537" s="733"/>
      <c r="M2537" s="733"/>
    </row>
    <row r="2538" spans="1:13" x14ac:dyDescent="0.3">
      <c r="A2538" s="733" t="s">
        <v>2582</v>
      </c>
      <c r="B2538" s="733" t="s">
        <v>664</v>
      </c>
      <c r="C2538" s="733" t="s">
        <v>2594</v>
      </c>
      <c r="D2538" s="733" t="s">
        <v>21</v>
      </c>
      <c r="E2538" s="733" t="s">
        <v>614</v>
      </c>
      <c r="F2538" s="733" t="s">
        <v>615</v>
      </c>
      <c r="G2538" s="733"/>
      <c r="H2538" s="733"/>
      <c r="I2538" s="733"/>
      <c r="J2538" s="733"/>
      <c r="K2538" s="733"/>
      <c r="L2538" s="733"/>
      <c r="M2538" s="733"/>
    </row>
    <row r="2539" spans="1:13" x14ac:dyDescent="0.3">
      <c r="A2539" s="733" t="s">
        <v>2595</v>
      </c>
      <c r="B2539" s="733" t="s">
        <v>612</v>
      </c>
      <c r="C2539" s="733" t="s">
        <v>2118</v>
      </c>
      <c r="D2539" s="733" t="s">
        <v>21</v>
      </c>
      <c r="E2539" s="733" t="s">
        <v>614</v>
      </c>
      <c r="F2539" s="733" t="s">
        <v>615</v>
      </c>
      <c r="G2539" s="733"/>
      <c r="H2539" s="733"/>
      <c r="I2539" s="733"/>
      <c r="J2539" s="733"/>
      <c r="K2539" s="733"/>
      <c r="L2539" s="733"/>
      <c r="M2539" s="733"/>
    </row>
    <row r="2540" spans="1:13" x14ac:dyDescent="0.3">
      <c r="A2540" s="733" t="s">
        <v>2595</v>
      </c>
      <c r="B2540" s="733" t="s">
        <v>612</v>
      </c>
      <c r="C2540" s="733" t="s">
        <v>2596</v>
      </c>
      <c r="D2540" s="733" t="s">
        <v>21</v>
      </c>
      <c r="E2540" s="733" t="s">
        <v>614</v>
      </c>
      <c r="F2540" s="733" t="s">
        <v>615</v>
      </c>
      <c r="G2540" s="733"/>
      <c r="H2540" s="733"/>
      <c r="I2540" s="733"/>
      <c r="J2540" s="733"/>
      <c r="K2540" s="733"/>
      <c r="L2540" s="733"/>
      <c r="M2540" s="733"/>
    </row>
    <row r="2541" spans="1:13" x14ac:dyDescent="0.3">
      <c r="A2541" s="733" t="s">
        <v>2595</v>
      </c>
      <c r="B2541" s="733" t="s">
        <v>612</v>
      </c>
      <c r="C2541" s="733" t="s">
        <v>2597</v>
      </c>
      <c r="D2541" s="733" t="s">
        <v>21</v>
      </c>
      <c r="E2541" s="733" t="s">
        <v>614</v>
      </c>
      <c r="F2541" s="733" t="s">
        <v>615</v>
      </c>
      <c r="G2541" s="733"/>
      <c r="H2541" s="733"/>
      <c r="I2541" s="733"/>
      <c r="J2541" s="733"/>
      <c r="K2541" s="733"/>
      <c r="L2541" s="733"/>
      <c r="M2541" s="733"/>
    </row>
    <row r="2542" spans="1:13" x14ac:dyDescent="0.3">
      <c r="A2542" s="733" t="s">
        <v>2595</v>
      </c>
      <c r="B2542" s="733" t="s">
        <v>612</v>
      </c>
      <c r="C2542" s="733" t="s">
        <v>2588</v>
      </c>
      <c r="D2542" s="733" t="s">
        <v>21</v>
      </c>
      <c r="E2542" s="733" t="s">
        <v>614</v>
      </c>
      <c r="F2542" s="733" t="s">
        <v>615</v>
      </c>
      <c r="G2542" s="733"/>
      <c r="H2542" s="733"/>
      <c r="I2542" s="733"/>
      <c r="J2542" s="733"/>
      <c r="K2542" s="733"/>
      <c r="L2542" s="733"/>
      <c r="M2542" s="733"/>
    </row>
    <row r="2543" spans="1:13" x14ac:dyDescent="0.3">
      <c r="A2543" s="733" t="s">
        <v>2598</v>
      </c>
      <c r="B2543" s="733" t="s">
        <v>612</v>
      </c>
      <c r="C2543" s="733" t="s">
        <v>1915</v>
      </c>
      <c r="D2543" s="733" t="s">
        <v>21</v>
      </c>
      <c r="E2543" s="733" t="s">
        <v>614</v>
      </c>
      <c r="F2543" s="733" t="s">
        <v>615</v>
      </c>
      <c r="G2543" s="733"/>
      <c r="H2543" s="733"/>
      <c r="I2543" s="733"/>
      <c r="J2543" s="733"/>
      <c r="K2543" s="733"/>
      <c r="L2543" s="733"/>
      <c r="M2543" s="733"/>
    </row>
    <row r="2544" spans="1:13" x14ac:dyDescent="0.3">
      <c r="A2544" s="734" t="s">
        <v>2598</v>
      </c>
      <c r="B2544" s="734" t="s">
        <v>645</v>
      </c>
      <c r="C2544" s="734" t="s">
        <v>2599</v>
      </c>
      <c r="D2544" s="734" t="s">
        <v>21</v>
      </c>
      <c r="E2544" s="734" t="s">
        <v>614</v>
      </c>
      <c r="F2544" s="734" t="s">
        <v>696</v>
      </c>
      <c r="G2544" s="733"/>
      <c r="H2544" s="733"/>
      <c r="I2544" s="733"/>
      <c r="J2544" s="733"/>
      <c r="K2544" s="733"/>
      <c r="L2544" s="733"/>
      <c r="M2544" s="733"/>
    </row>
    <row r="2545" spans="1:13" x14ac:dyDescent="0.3">
      <c r="A2545" s="734" t="s">
        <v>2598</v>
      </c>
      <c r="B2545" s="734" t="s">
        <v>645</v>
      </c>
      <c r="C2545" s="734" t="s">
        <v>2600</v>
      </c>
      <c r="D2545" s="734" t="s">
        <v>21</v>
      </c>
      <c r="E2545" s="734" t="s">
        <v>614</v>
      </c>
      <c r="F2545" s="734" t="s">
        <v>736</v>
      </c>
      <c r="G2545" s="733"/>
      <c r="H2545" s="733"/>
      <c r="I2545" s="733"/>
      <c r="J2545" s="733"/>
      <c r="K2545" s="733"/>
      <c r="L2545" s="733"/>
      <c r="M2545" s="733"/>
    </row>
    <row r="2546" spans="1:13" x14ac:dyDescent="0.3">
      <c r="A2546" s="733" t="s">
        <v>2598</v>
      </c>
      <c r="B2546" s="733" t="s">
        <v>645</v>
      </c>
      <c r="C2546" s="733" t="s">
        <v>2601</v>
      </c>
      <c r="D2546" s="733" t="s">
        <v>21</v>
      </c>
      <c r="E2546" s="733" t="s">
        <v>614</v>
      </c>
      <c r="F2546" s="733" t="s">
        <v>615</v>
      </c>
      <c r="G2546" s="733"/>
      <c r="H2546" s="733"/>
      <c r="I2546" s="733"/>
      <c r="J2546" s="733"/>
      <c r="K2546" s="733"/>
      <c r="L2546" s="733"/>
      <c r="M2546" s="733"/>
    </row>
    <row r="2547" spans="1:13" x14ac:dyDescent="0.3">
      <c r="A2547" s="733" t="s">
        <v>2598</v>
      </c>
      <c r="B2547" s="733" t="s">
        <v>664</v>
      </c>
      <c r="C2547" s="733" t="s">
        <v>2602</v>
      </c>
      <c r="D2547" s="733" t="s">
        <v>21</v>
      </c>
      <c r="E2547" s="733" t="s">
        <v>614</v>
      </c>
      <c r="F2547" s="733" t="s">
        <v>615</v>
      </c>
      <c r="G2547" s="733"/>
      <c r="H2547" s="733"/>
      <c r="I2547" s="733"/>
      <c r="J2547" s="733"/>
      <c r="K2547" s="733"/>
      <c r="L2547" s="733"/>
      <c r="M2547" s="733"/>
    </row>
    <row r="2548" spans="1:13" x14ac:dyDescent="0.3">
      <c r="A2548" s="733" t="s">
        <v>2598</v>
      </c>
      <c r="B2548" s="733" t="s">
        <v>664</v>
      </c>
      <c r="C2548" s="733" t="s">
        <v>2576</v>
      </c>
      <c r="D2548" s="733" t="s">
        <v>21</v>
      </c>
      <c r="E2548" s="733" t="s">
        <v>614</v>
      </c>
      <c r="F2548" s="733" t="s">
        <v>615</v>
      </c>
      <c r="G2548" s="733"/>
      <c r="H2548" s="733"/>
      <c r="I2548" s="733"/>
      <c r="J2548" s="733"/>
      <c r="K2548" s="733"/>
      <c r="L2548" s="733"/>
      <c r="M2548" s="733"/>
    </row>
    <row r="2549" spans="1:13" x14ac:dyDescent="0.3">
      <c r="A2549" s="733" t="s">
        <v>2603</v>
      </c>
      <c r="B2549" s="733" t="s">
        <v>612</v>
      </c>
      <c r="C2549" s="733" t="s">
        <v>2604</v>
      </c>
      <c r="D2549" s="733" t="s">
        <v>21</v>
      </c>
      <c r="E2549" s="761"/>
      <c r="F2549" s="761"/>
      <c r="G2549" s="733"/>
      <c r="H2549" s="733"/>
      <c r="I2549" s="733"/>
      <c r="J2549" s="733"/>
      <c r="K2549" s="733"/>
      <c r="L2549" s="733"/>
      <c r="M2549" s="733"/>
    </row>
    <row r="2550" spans="1:13" x14ac:dyDescent="0.3">
      <c r="A2550" s="733" t="s">
        <v>2603</v>
      </c>
      <c r="B2550" s="733" t="s">
        <v>612</v>
      </c>
      <c r="C2550" s="733" t="s">
        <v>2605</v>
      </c>
      <c r="D2550" s="733" t="s">
        <v>21</v>
      </c>
      <c r="E2550" s="761"/>
      <c r="F2550" s="761"/>
      <c r="G2550" s="733"/>
      <c r="H2550" s="733"/>
      <c r="I2550" s="733"/>
      <c r="J2550" s="733"/>
      <c r="K2550" s="733"/>
      <c r="L2550" s="733"/>
      <c r="M2550" s="733"/>
    </row>
    <row r="2551" spans="1:13" x14ac:dyDescent="0.3">
      <c r="A2551" s="733" t="s">
        <v>2603</v>
      </c>
      <c r="B2551" s="733" t="s">
        <v>612</v>
      </c>
      <c r="C2551" s="733" t="s">
        <v>2606</v>
      </c>
      <c r="D2551" s="733" t="s">
        <v>21</v>
      </c>
      <c r="E2551" s="761"/>
      <c r="F2551" s="761"/>
      <c r="G2551" s="733"/>
      <c r="H2551" s="733"/>
      <c r="I2551" s="733"/>
      <c r="J2551" s="733"/>
      <c r="K2551" s="733"/>
      <c r="L2551" s="733"/>
      <c r="M2551" s="733"/>
    </row>
    <row r="2552" spans="1:13" x14ac:dyDescent="0.3">
      <c r="A2552" s="733" t="s">
        <v>2603</v>
      </c>
      <c r="B2552" s="733" t="s">
        <v>612</v>
      </c>
      <c r="C2552" s="733" t="s">
        <v>2607</v>
      </c>
      <c r="D2552" s="733" t="s">
        <v>21</v>
      </c>
      <c r="E2552" s="761"/>
      <c r="F2552" s="761"/>
      <c r="G2552" s="733"/>
      <c r="H2552" s="733"/>
      <c r="I2552" s="733"/>
      <c r="J2552" s="733"/>
      <c r="K2552" s="733"/>
      <c r="L2552" s="733"/>
      <c r="M2552" s="733"/>
    </row>
    <row r="2553" spans="1:13" x14ac:dyDescent="0.3">
      <c r="A2553" s="733" t="s">
        <v>2603</v>
      </c>
      <c r="B2553" s="733" t="s">
        <v>612</v>
      </c>
      <c r="C2553" s="733" t="s">
        <v>2608</v>
      </c>
      <c r="D2553" s="733" t="s">
        <v>21</v>
      </c>
      <c r="E2553" s="761"/>
      <c r="F2553" s="761"/>
      <c r="G2553" s="733"/>
      <c r="H2553" s="733"/>
      <c r="I2553" s="733"/>
      <c r="J2553" s="733"/>
      <c r="K2553" s="733"/>
      <c r="L2553" s="733"/>
      <c r="M2553" s="733"/>
    </row>
    <row r="2554" spans="1:13" x14ac:dyDescent="0.3">
      <c r="A2554" s="733" t="s">
        <v>2603</v>
      </c>
      <c r="B2554" s="733" t="s">
        <v>645</v>
      </c>
      <c r="C2554" s="733" t="s">
        <v>2609</v>
      </c>
      <c r="D2554" s="733" t="s">
        <v>21</v>
      </c>
      <c r="E2554" s="761"/>
      <c r="F2554" s="761"/>
      <c r="G2554" s="733"/>
      <c r="H2554" s="733"/>
      <c r="I2554" s="733"/>
      <c r="J2554" s="733"/>
      <c r="K2554" s="733"/>
      <c r="L2554" s="733"/>
      <c r="M2554" s="733"/>
    </row>
    <row r="2555" spans="1:13" x14ac:dyDescent="0.3">
      <c r="A2555" s="733" t="s">
        <v>2603</v>
      </c>
      <c r="B2555" s="733" t="s">
        <v>645</v>
      </c>
      <c r="C2555" s="733" t="s">
        <v>2610</v>
      </c>
      <c r="D2555" s="733" t="s">
        <v>21</v>
      </c>
      <c r="E2555" s="761"/>
      <c r="F2555" s="761"/>
      <c r="G2555" s="733"/>
      <c r="H2555" s="733"/>
      <c r="I2555" s="733"/>
      <c r="J2555" s="733"/>
      <c r="K2555" s="733"/>
      <c r="L2555" s="733"/>
      <c r="M2555" s="733"/>
    </row>
    <row r="2556" spans="1:13" x14ac:dyDescent="0.3">
      <c r="A2556" s="733" t="s">
        <v>2603</v>
      </c>
      <c r="B2556" s="733" t="s">
        <v>645</v>
      </c>
      <c r="C2556" s="733" t="s">
        <v>2611</v>
      </c>
      <c r="D2556" s="733" t="s">
        <v>21</v>
      </c>
      <c r="E2556" s="761"/>
      <c r="F2556" s="761"/>
      <c r="G2556" s="733"/>
      <c r="H2556" s="733"/>
      <c r="I2556" s="733"/>
      <c r="J2556" s="733"/>
      <c r="K2556" s="733"/>
      <c r="L2556" s="733"/>
      <c r="M2556" s="733"/>
    </row>
    <row r="2557" spans="1:13" x14ac:dyDescent="0.3">
      <c r="A2557" s="733" t="s">
        <v>2603</v>
      </c>
      <c r="B2557" s="733" t="s">
        <v>645</v>
      </c>
      <c r="C2557" s="733" t="s">
        <v>2612</v>
      </c>
      <c r="D2557" s="733" t="s">
        <v>21</v>
      </c>
      <c r="E2557" s="761"/>
      <c r="F2557" s="761"/>
      <c r="G2557" s="733"/>
      <c r="H2557" s="733"/>
      <c r="I2557" s="733"/>
      <c r="J2557" s="733"/>
      <c r="K2557" s="733"/>
      <c r="L2557" s="733"/>
      <c r="M2557" s="733"/>
    </row>
    <row r="2558" spans="1:13" x14ac:dyDescent="0.3">
      <c r="A2558" s="733" t="s">
        <v>2603</v>
      </c>
      <c r="B2558" s="733" t="s">
        <v>645</v>
      </c>
      <c r="C2558" s="733" t="s">
        <v>2613</v>
      </c>
      <c r="D2558" s="733" t="s">
        <v>21</v>
      </c>
      <c r="E2558" s="761"/>
      <c r="F2558" s="761"/>
      <c r="G2558" s="733"/>
      <c r="H2558" s="733"/>
      <c r="I2558" s="733"/>
      <c r="J2558" s="733"/>
      <c r="K2558" s="733"/>
      <c r="L2558" s="733"/>
      <c r="M2558" s="733"/>
    </row>
    <row r="2559" spans="1:13" x14ac:dyDescent="0.3">
      <c r="A2559" s="733" t="s">
        <v>2603</v>
      </c>
      <c r="B2559" s="733" t="s">
        <v>664</v>
      </c>
      <c r="C2559" s="733" t="s">
        <v>2614</v>
      </c>
      <c r="D2559" s="733" t="s">
        <v>21</v>
      </c>
      <c r="E2559" s="761"/>
      <c r="F2559" s="761"/>
      <c r="G2559" s="733"/>
      <c r="H2559" s="733"/>
      <c r="I2559" s="733"/>
      <c r="J2559" s="733"/>
      <c r="K2559" s="733"/>
      <c r="L2559" s="733"/>
      <c r="M2559" s="733"/>
    </row>
    <row r="2560" spans="1:13" x14ac:dyDescent="0.3">
      <c r="A2560" s="733" t="s">
        <v>2603</v>
      </c>
      <c r="B2560" s="733" t="s">
        <v>664</v>
      </c>
      <c r="C2560" s="733" t="s">
        <v>2615</v>
      </c>
      <c r="D2560" s="733" t="s">
        <v>21</v>
      </c>
      <c r="E2560" s="761"/>
      <c r="F2560" s="761"/>
      <c r="G2560" s="733"/>
      <c r="H2560" s="733"/>
      <c r="I2560" s="733"/>
      <c r="J2560" s="733"/>
      <c r="K2560" s="733"/>
      <c r="L2560" s="733"/>
      <c r="M2560" s="733"/>
    </row>
    <row r="2561" spans="1:13" x14ac:dyDescent="0.3">
      <c r="A2561" s="733" t="s">
        <v>2603</v>
      </c>
      <c r="B2561" s="733" t="s">
        <v>664</v>
      </c>
      <c r="C2561" s="733" t="s">
        <v>2616</v>
      </c>
      <c r="D2561" s="733" t="s">
        <v>21</v>
      </c>
      <c r="E2561" s="761"/>
      <c r="F2561" s="761"/>
      <c r="G2561" s="733"/>
      <c r="H2561" s="733"/>
      <c r="I2561" s="733"/>
      <c r="J2561" s="733"/>
      <c r="K2561" s="733"/>
      <c r="L2561" s="733"/>
      <c r="M2561" s="733"/>
    </row>
    <row r="2562" spans="1:13" x14ac:dyDescent="0.3">
      <c r="A2562" s="733" t="s">
        <v>2603</v>
      </c>
      <c r="B2562" s="733" t="s">
        <v>664</v>
      </c>
      <c r="C2562" s="733" t="s">
        <v>2617</v>
      </c>
      <c r="D2562" s="733" t="s">
        <v>21</v>
      </c>
      <c r="E2562" s="761"/>
      <c r="F2562" s="761"/>
      <c r="G2562" s="733"/>
      <c r="H2562" s="733"/>
      <c r="I2562" s="733"/>
      <c r="J2562" s="733"/>
      <c r="K2562" s="733"/>
      <c r="L2562" s="733"/>
      <c r="M2562" s="733"/>
    </row>
    <row r="2563" spans="1:13" x14ac:dyDescent="0.3">
      <c r="A2563" s="733" t="s">
        <v>2603</v>
      </c>
      <c r="B2563" s="733" t="s">
        <v>664</v>
      </c>
      <c r="C2563" s="733" t="s">
        <v>2618</v>
      </c>
      <c r="D2563" s="733" t="s">
        <v>21</v>
      </c>
      <c r="E2563" s="761"/>
      <c r="F2563" s="761"/>
      <c r="G2563" s="733"/>
      <c r="H2563" s="733"/>
      <c r="I2563" s="733"/>
      <c r="J2563" s="733"/>
      <c r="K2563" s="733"/>
      <c r="L2563" s="733"/>
      <c r="M2563" s="733"/>
    </row>
    <row r="2564" spans="1:13" x14ac:dyDescent="0.3">
      <c r="A2564" s="733" t="s">
        <v>2619</v>
      </c>
      <c r="B2564" s="733" t="s">
        <v>645</v>
      </c>
      <c r="C2564" s="733" t="s">
        <v>1757</v>
      </c>
      <c r="D2564" s="733" t="s">
        <v>21</v>
      </c>
      <c r="E2564" s="733" t="s">
        <v>614</v>
      </c>
      <c r="F2564" s="733" t="s">
        <v>615</v>
      </c>
      <c r="G2564" s="733"/>
      <c r="H2564" s="733"/>
      <c r="I2564" s="733"/>
      <c r="J2564" s="733"/>
      <c r="K2564" s="733"/>
      <c r="L2564" s="733"/>
      <c r="M2564" s="733"/>
    </row>
    <row r="2565" spans="1:13" x14ac:dyDescent="0.3">
      <c r="A2565" s="734" t="s">
        <v>2619</v>
      </c>
      <c r="B2565" s="734" t="s">
        <v>645</v>
      </c>
      <c r="C2565" s="734" t="s">
        <v>1758</v>
      </c>
      <c r="D2565" s="734" t="s">
        <v>21</v>
      </c>
      <c r="E2565" s="734" t="s">
        <v>614</v>
      </c>
      <c r="F2565" s="734" t="s">
        <v>736</v>
      </c>
      <c r="G2565" s="733"/>
      <c r="H2565" s="733"/>
      <c r="I2565" s="733"/>
      <c r="J2565" s="733"/>
      <c r="K2565" s="733"/>
      <c r="L2565" s="733"/>
      <c r="M2565" s="733"/>
    </row>
    <row r="2566" spans="1:13" x14ac:dyDescent="0.3">
      <c r="A2566" s="733" t="s">
        <v>2619</v>
      </c>
      <c r="B2566" s="733" t="s">
        <v>645</v>
      </c>
      <c r="C2566" s="733" t="s">
        <v>1759</v>
      </c>
      <c r="D2566" s="733" t="s">
        <v>21</v>
      </c>
      <c r="E2566" s="733" t="s">
        <v>614</v>
      </c>
      <c r="F2566" s="733" t="s">
        <v>615</v>
      </c>
      <c r="G2566" s="733"/>
      <c r="H2566" s="733"/>
      <c r="I2566" s="733"/>
      <c r="J2566" s="733"/>
      <c r="K2566" s="733"/>
      <c r="L2566" s="733"/>
      <c r="M2566" s="733"/>
    </row>
    <row r="2567" spans="1:13" x14ac:dyDescent="0.3">
      <c r="A2567" s="733" t="s">
        <v>2620</v>
      </c>
      <c r="B2567" s="733" t="s">
        <v>612</v>
      </c>
      <c r="C2567" s="733" t="s">
        <v>2621</v>
      </c>
      <c r="D2567" s="733" t="s">
        <v>21</v>
      </c>
      <c r="E2567" s="733" t="s">
        <v>614</v>
      </c>
      <c r="F2567" s="733" t="s">
        <v>615</v>
      </c>
      <c r="G2567" s="733"/>
      <c r="H2567" s="733"/>
      <c r="I2567" s="733"/>
      <c r="J2567" s="733"/>
      <c r="K2567" s="733"/>
      <c r="L2567" s="733"/>
      <c r="M2567" s="733"/>
    </row>
    <row r="2568" spans="1:13" x14ac:dyDescent="0.3">
      <c r="A2568" s="733" t="s">
        <v>2620</v>
      </c>
      <c r="B2568" s="733" t="s">
        <v>612</v>
      </c>
      <c r="C2568" s="733" t="s">
        <v>2622</v>
      </c>
      <c r="D2568" s="733" t="s">
        <v>21</v>
      </c>
      <c r="E2568" s="733" t="s">
        <v>614</v>
      </c>
      <c r="F2568" s="733" t="s">
        <v>615</v>
      </c>
      <c r="G2568" s="733"/>
      <c r="H2568" s="733"/>
      <c r="I2568" s="733"/>
      <c r="J2568" s="733"/>
      <c r="K2568" s="733"/>
      <c r="L2568" s="733"/>
      <c r="M2568" s="733"/>
    </row>
    <row r="2569" spans="1:13" x14ac:dyDescent="0.3">
      <c r="A2569" s="733" t="s">
        <v>2620</v>
      </c>
      <c r="B2569" s="733" t="s">
        <v>612</v>
      </c>
      <c r="C2569" s="733" t="s">
        <v>2514</v>
      </c>
      <c r="D2569" s="733" t="s">
        <v>21</v>
      </c>
      <c r="E2569" s="733" t="s">
        <v>614</v>
      </c>
      <c r="F2569" s="733" t="s">
        <v>615</v>
      </c>
      <c r="G2569" s="733"/>
      <c r="H2569" s="733"/>
      <c r="I2569" s="733"/>
      <c r="J2569" s="733"/>
      <c r="K2569" s="733"/>
      <c r="L2569" s="733"/>
      <c r="M2569" s="733"/>
    </row>
    <row r="2570" spans="1:13" x14ac:dyDescent="0.3">
      <c r="A2570" s="733" t="s">
        <v>2620</v>
      </c>
      <c r="B2570" s="733" t="s">
        <v>612</v>
      </c>
      <c r="C2570" s="733" t="s">
        <v>2623</v>
      </c>
      <c r="D2570" s="733" t="s">
        <v>21</v>
      </c>
      <c r="E2570" s="733" t="s">
        <v>614</v>
      </c>
      <c r="F2570" s="733" t="s">
        <v>615</v>
      </c>
      <c r="G2570" s="733"/>
      <c r="H2570" s="733"/>
      <c r="I2570" s="733"/>
      <c r="J2570" s="733"/>
      <c r="K2570" s="733"/>
      <c r="L2570" s="733"/>
      <c r="M2570" s="733"/>
    </row>
    <row r="2571" spans="1:13" x14ac:dyDescent="0.3">
      <c r="A2571" s="733" t="s">
        <v>2620</v>
      </c>
      <c r="B2571" s="733" t="s">
        <v>612</v>
      </c>
      <c r="C2571" s="733" t="s">
        <v>2624</v>
      </c>
      <c r="D2571" s="733" t="s">
        <v>21</v>
      </c>
      <c r="E2571" s="733" t="s">
        <v>614</v>
      </c>
      <c r="F2571" s="733" t="s">
        <v>615</v>
      </c>
      <c r="G2571" s="733"/>
      <c r="H2571" s="733"/>
      <c r="I2571" s="733"/>
      <c r="J2571" s="733"/>
      <c r="K2571" s="733"/>
      <c r="L2571" s="733"/>
      <c r="M2571" s="733"/>
    </row>
    <row r="2572" spans="1:13" x14ac:dyDescent="0.3">
      <c r="A2572" s="733" t="s">
        <v>2620</v>
      </c>
      <c r="B2572" s="733" t="s">
        <v>645</v>
      </c>
      <c r="C2572" s="733" t="s">
        <v>2625</v>
      </c>
      <c r="D2572" s="733" t="s">
        <v>21</v>
      </c>
      <c r="E2572" s="733" t="s">
        <v>614</v>
      </c>
      <c r="F2572" s="733" t="s">
        <v>615</v>
      </c>
      <c r="G2572" s="733"/>
      <c r="H2572" s="733"/>
      <c r="I2572" s="733"/>
      <c r="J2572" s="733"/>
      <c r="K2572" s="733"/>
      <c r="L2572" s="733"/>
      <c r="M2572" s="733"/>
    </row>
    <row r="2573" spans="1:13" x14ac:dyDescent="0.3">
      <c r="A2573" s="734" t="s">
        <v>2620</v>
      </c>
      <c r="B2573" s="734" t="s">
        <v>645</v>
      </c>
      <c r="C2573" s="734" t="s">
        <v>2626</v>
      </c>
      <c r="D2573" s="734" t="s">
        <v>21</v>
      </c>
      <c r="E2573" s="734" t="s">
        <v>614</v>
      </c>
      <c r="F2573" s="734" t="s">
        <v>736</v>
      </c>
      <c r="G2573" s="733"/>
      <c r="H2573" s="733"/>
      <c r="I2573" s="733"/>
      <c r="J2573" s="733"/>
      <c r="K2573" s="733"/>
      <c r="L2573" s="733"/>
      <c r="M2573" s="733"/>
    </row>
    <row r="2574" spans="1:13" x14ac:dyDescent="0.3">
      <c r="A2574" s="733" t="s">
        <v>2620</v>
      </c>
      <c r="B2574" s="733" t="s">
        <v>645</v>
      </c>
      <c r="C2574" s="733" t="s">
        <v>726</v>
      </c>
      <c r="D2574" s="733" t="s">
        <v>21</v>
      </c>
      <c r="E2574" s="733" t="s">
        <v>614</v>
      </c>
      <c r="F2574" s="733" t="s">
        <v>615</v>
      </c>
      <c r="G2574" s="733"/>
      <c r="H2574" s="733"/>
      <c r="I2574" s="733"/>
      <c r="J2574" s="733"/>
      <c r="K2574" s="733"/>
      <c r="L2574" s="733"/>
      <c r="M2574" s="733"/>
    </row>
    <row r="2575" spans="1:13" x14ac:dyDescent="0.3">
      <c r="A2575" s="733" t="s">
        <v>2620</v>
      </c>
      <c r="B2575" s="733" t="s">
        <v>664</v>
      </c>
      <c r="C2575" s="733" t="s">
        <v>2627</v>
      </c>
      <c r="D2575" s="733" t="s">
        <v>21</v>
      </c>
      <c r="E2575" s="733" t="s">
        <v>614</v>
      </c>
      <c r="F2575" s="733" t="s">
        <v>615</v>
      </c>
      <c r="G2575" s="733"/>
      <c r="H2575" s="733"/>
      <c r="I2575" s="733"/>
      <c r="J2575" s="733"/>
      <c r="K2575" s="733"/>
      <c r="L2575" s="733"/>
      <c r="M2575" s="733"/>
    </row>
    <row r="2576" spans="1:13" x14ac:dyDescent="0.3">
      <c r="A2576" s="733" t="s">
        <v>2620</v>
      </c>
      <c r="B2576" s="733" t="s">
        <v>664</v>
      </c>
      <c r="C2576" s="733" t="s">
        <v>2556</v>
      </c>
      <c r="D2576" s="733" t="s">
        <v>21</v>
      </c>
      <c r="E2576" s="733" t="s">
        <v>614</v>
      </c>
      <c r="F2576" s="733" t="s">
        <v>615</v>
      </c>
      <c r="G2576" s="733"/>
      <c r="H2576" s="733"/>
      <c r="I2576" s="733"/>
      <c r="J2576" s="733"/>
      <c r="K2576" s="733"/>
      <c r="L2576" s="733"/>
      <c r="M2576" s="733"/>
    </row>
    <row r="2577" spans="1:13" x14ac:dyDescent="0.3">
      <c r="A2577" s="733" t="s">
        <v>2620</v>
      </c>
      <c r="B2577" s="733" t="s">
        <v>664</v>
      </c>
      <c r="C2577" s="733" t="s">
        <v>1653</v>
      </c>
      <c r="D2577" s="733" t="s">
        <v>21</v>
      </c>
      <c r="E2577" s="733" t="s">
        <v>614</v>
      </c>
      <c r="F2577" s="733" t="s">
        <v>615</v>
      </c>
      <c r="G2577" s="733"/>
      <c r="H2577" s="733"/>
      <c r="I2577" s="733"/>
      <c r="J2577" s="733"/>
      <c r="K2577" s="733"/>
      <c r="L2577" s="733"/>
      <c r="M2577" s="733"/>
    </row>
    <row r="2578" spans="1:13" x14ac:dyDescent="0.3">
      <c r="A2578" s="733" t="s">
        <v>2628</v>
      </c>
      <c r="B2578" s="733" t="s">
        <v>645</v>
      </c>
      <c r="C2578" s="733" t="s">
        <v>1757</v>
      </c>
      <c r="D2578" s="733" t="s">
        <v>21</v>
      </c>
      <c r="E2578" s="733" t="s">
        <v>614</v>
      </c>
      <c r="F2578" s="733" t="s">
        <v>615</v>
      </c>
      <c r="G2578" s="733"/>
      <c r="H2578" s="733"/>
      <c r="I2578" s="733"/>
      <c r="J2578" s="733"/>
      <c r="K2578" s="733"/>
      <c r="L2578" s="733"/>
      <c r="M2578" s="733"/>
    </row>
    <row r="2579" spans="1:13" x14ac:dyDescent="0.3">
      <c r="A2579" s="733" t="s">
        <v>2628</v>
      </c>
      <c r="B2579" s="733" t="s">
        <v>645</v>
      </c>
      <c r="C2579" s="733" t="s">
        <v>2629</v>
      </c>
      <c r="D2579" s="733" t="s">
        <v>21</v>
      </c>
      <c r="E2579" s="733" t="s">
        <v>614</v>
      </c>
      <c r="F2579" s="733" t="s">
        <v>615</v>
      </c>
      <c r="G2579" s="733"/>
      <c r="H2579" s="733"/>
      <c r="I2579" s="733"/>
      <c r="J2579" s="733"/>
      <c r="K2579" s="733"/>
      <c r="L2579" s="733"/>
      <c r="M2579" s="733"/>
    </row>
    <row r="2580" spans="1:13" x14ac:dyDescent="0.3">
      <c r="A2580" s="733" t="s">
        <v>2628</v>
      </c>
      <c r="B2580" s="733" t="s">
        <v>645</v>
      </c>
      <c r="C2580" s="733" t="s">
        <v>2630</v>
      </c>
      <c r="D2580" s="733" t="s">
        <v>21</v>
      </c>
      <c r="E2580" s="733" t="s">
        <v>614</v>
      </c>
      <c r="F2580" s="733" t="s">
        <v>615</v>
      </c>
      <c r="G2580" s="733"/>
      <c r="H2580" s="733"/>
      <c r="I2580" s="733"/>
      <c r="J2580" s="733"/>
      <c r="K2580" s="733"/>
      <c r="L2580" s="733"/>
      <c r="M2580" s="733"/>
    </row>
    <row r="2581" spans="1:13" x14ac:dyDescent="0.3">
      <c r="A2581" s="733" t="s">
        <v>2628</v>
      </c>
      <c r="B2581" s="733" t="s">
        <v>645</v>
      </c>
      <c r="C2581" s="733" t="s">
        <v>652</v>
      </c>
      <c r="D2581" s="733" t="s">
        <v>21</v>
      </c>
      <c r="E2581" s="733" t="s">
        <v>614</v>
      </c>
      <c r="F2581" s="733" t="s">
        <v>615</v>
      </c>
      <c r="G2581" s="733"/>
      <c r="H2581" s="733"/>
      <c r="I2581" s="733"/>
      <c r="J2581" s="733"/>
      <c r="K2581" s="733"/>
      <c r="L2581" s="733"/>
      <c r="M2581" s="733"/>
    </row>
    <row r="2582" spans="1:13" x14ac:dyDescent="0.3">
      <c r="A2582" s="734" t="s">
        <v>2628</v>
      </c>
      <c r="B2582" s="734" t="s">
        <v>645</v>
      </c>
      <c r="C2582" s="734" t="s">
        <v>1758</v>
      </c>
      <c r="D2582" s="734" t="s">
        <v>21</v>
      </c>
      <c r="E2582" s="734" t="s">
        <v>614</v>
      </c>
      <c r="F2582" s="734" t="s">
        <v>736</v>
      </c>
      <c r="G2582" s="733"/>
      <c r="H2582" s="733"/>
      <c r="I2582" s="733"/>
      <c r="J2582" s="733"/>
      <c r="K2582" s="733"/>
      <c r="L2582" s="733"/>
      <c r="M2582" s="733"/>
    </row>
    <row r="2583" spans="1:13" x14ac:dyDescent="0.3">
      <c r="A2583" s="733" t="s">
        <v>2628</v>
      </c>
      <c r="B2583" s="733" t="s">
        <v>645</v>
      </c>
      <c r="C2583" s="733" t="s">
        <v>1759</v>
      </c>
      <c r="D2583" s="733" t="s">
        <v>21</v>
      </c>
      <c r="E2583" s="733" t="s">
        <v>614</v>
      </c>
      <c r="F2583" s="733" t="s">
        <v>615</v>
      </c>
      <c r="G2583" s="733"/>
      <c r="H2583" s="733"/>
      <c r="I2583" s="733"/>
      <c r="J2583" s="733"/>
      <c r="K2583" s="733"/>
      <c r="L2583" s="733"/>
      <c r="M2583" s="733"/>
    </row>
    <row r="2584" spans="1:13" x14ac:dyDescent="0.3">
      <c r="A2584" s="733" t="s">
        <v>2628</v>
      </c>
      <c r="B2584" s="733" t="s">
        <v>645</v>
      </c>
      <c r="C2584" s="733" t="s">
        <v>719</v>
      </c>
      <c r="D2584" s="733" t="s">
        <v>21</v>
      </c>
      <c r="E2584" s="733" t="s">
        <v>614</v>
      </c>
      <c r="F2584" s="733" t="s">
        <v>615</v>
      </c>
      <c r="G2584" s="733"/>
      <c r="H2584" s="733"/>
      <c r="I2584" s="733"/>
      <c r="J2584" s="733"/>
      <c r="K2584" s="733"/>
      <c r="L2584" s="733"/>
      <c r="M2584" s="733"/>
    </row>
    <row r="2585" spans="1:13" x14ac:dyDescent="0.3">
      <c r="A2585" s="733" t="s">
        <v>2628</v>
      </c>
      <c r="B2585" s="733" t="s">
        <v>664</v>
      </c>
      <c r="C2585" s="733" t="s">
        <v>2629</v>
      </c>
      <c r="D2585" s="733" t="s">
        <v>21</v>
      </c>
      <c r="E2585" s="733" t="s">
        <v>614</v>
      </c>
      <c r="F2585" s="733" t="s">
        <v>615</v>
      </c>
      <c r="G2585" s="733"/>
      <c r="H2585" s="733"/>
      <c r="I2585" s="733"/>
      <c r="J2585" s="733"/>
      <c r="K2585" s="733"/>
      <c r="L2585" s="733"/>
      <c r="M2585" s="733"/>
    </row>
    <row r="2586" spans="1:13" x14ac:dyDescent="0.3">
      <c r="A2586" s="733" t="s">
        <v>2628</v>
      </c>
      <c r="B2586" s="733" t="s">
        <v>664</v>
      </c>
      <c r="C2586" s="733" t="s">
        <v>2630</v>
      </c>
      <c r="D2586" s="733" t="s">
        <v>21</v>
      </c>
      <c r="E2586" s="733" t="s">
        <v>614</v>
      </c>
      <c r="F2586" s="733" t="s">
        <v>615</v>
      </c>
      <c r="G2586" s="733"/>
      <c r="H2586" s="733"/>
      <c r="I2586" s="733"/>
      <c r="J2586" s="733"/>
      <c r="K2586" s="733"/>
      <c r="L2586" s="733"/>
      <c r="M2586" s="733"/>
    </row>
    <row r="2587" spans="1:13" x14ac:dyDescent="0.3">
      <c r="A2587" s="733" t="s">
        <v>2628</v>
      </c>
      <c r="B2587" s="733" t="s">
        <v>664</v>
      </c>
      <c r="C2587" s="733" t="s">
        <v>719</v>
      </c>
      <c r="D2587" s="733" t="s">
        <v>21</v>
      </c>
      <c r="E2587" s="733" t="s">
        <v>614</v>
      </c>
      <c r="F2587" s="733" t="s">
        <v>615</v>
      </c>
      <c r="G2587" s="733"/>
      <c r="H2587" s="733"/>
      <c r="I2587" s="733"/>
      <c r="J2587" s="733"/>
      <c r="K2587" s="733"/>
      <c r="L2587" s="733"/>
      <c r="M2587" s="733"/>
    </row>
    <row r="2588" spans="1:13" x14ac:dyDescent="0.3">
      <c r="A2588" s="733" t="s">
        <v>2631</v>
      </c>
      <c r="B2588" s="733" t="s">
        <v>612</v>
      </c>
      <c r="C2588" s="733" t="s">
        <v>739</v>
      </c>
      <c r="D2588" s="733" t="s">
        <v>21</v>
      </c>
      <c r="E2588" s="733" t="s">
        <v>614</v>
      </c>
      <c r="F2588" s="733" t="s">
        <v>615</v>
      </c>
      <c r="G2588" s="733"/>
      <c r="H2588" s="733"/>
      <c r="I2588" s="733"/>
      <c r="J2588" s="733"/>
      <c r="K2588" s="733"/>
      <c r="L2588" s="733"/>
      <c r="M2588" s="733"/>
    </row>
    <row r="2589" spans="1:13" x14ac:dyDescent="0.3">
      <c r="A2589" s="733" t="s">
        <v>2631</v>
      </c>
      <c r="B2589" s="733" t="s">
        <v>612</v>
      </c>
      <c r="C2589" s="733" t="s">
        <v>740</v>
      </c>
      <c r="D2589" s="733" t="s">
        <v>21</v>
      </c>
      <c r="E2589" s="733" t="s">
        <v>614</v>
      </c>
      <c r="F2589" s="733" t="s">
        <v>615</v>
      </c>
      <c r="G2589" s="733"/>
      <c r="H2589" s="733"/>
      <c r="I2589" s="733"/>
      <c r="J2589" s="733"/>
      <c r="K2589" s="733"/>
      <c r="L2589" s="733"/>
      <c r="M2589" s="733"/>
    </row>
    <row r="2590" spans="1:13" x14ac:dyDescent="0.3">
      <c r="A2590" s="733" t="s">
        <v>2631</v>
      </c>
      <c r="B2590" s="733" t="s">
        <v>612</v>
      </c>
      <c r="C2590" s="733" t="s">
        <v>750</v>
      </c>
      <c r="D2590" s="733" t="s">
        <v>21</v>
      </c>
      <c r="E2590" s="733" t="s">
        <v>614</v>
      </c>
      <c r="F2590" s="733" t="s">
        <v>615</v>
      </c>
      <c r="G2590" s="733"/>
      <c r="H2590" s="733"/>
      <c r="I2590" s="733"/>
      <c r="J2590" s="733"/>
      <c r="K2590" s="733"/>
      <c r="L2590" s="733"/>
      <c r="M2590" s="733"/>
    </row>
    <row r="2591" spans="1:13" x14ac:dyDescent="0.3">
      <c r="A2591" s="733" t="s">
        <v>2631</v>
      </c>
      <c r="B2591" s="733" t="s">
        <v>612</v>
      </c>
      <c r="C2591" s="733" t="s">
        <v>751</v>
      </c>
      <c r="D2591" s="733" t="s">
        <v>21</v>
      </c>
      <c r="E2591" s="733" t="s">
        <v>614</v>
      </c>
      <c r="F2591" s="733" t="s">
        <v>615</v>
      </c>
      <c r="G2591" s="733"/>
      <c r="H2591" s="733"/>
      <c r="I2591" s="733"/>
      <c r="J2591" s="733"/>
      <c r="K2591" s="733"/>
      <c r="L2591" s="733"/>
      <c r="M2591" s="733"/>
    </row>
    <row r="2592" spans="1:13" x14ac:dyDescent="0.3">
      <c r="A2592" s="733" t="s">
        <v>2631</v>
      </c>
      <c r="B2592" s="733" t="s">
        <v>612</v>
      </c>
      <c r="C2592" s="733" t="s">
        <v>1755</v>
      </c>
      <c r="D2592" s="733" t="s">
        <v>21</v>
      </c>
      <c r="E2592" s="733" t="s">
        <v>614</v>
      </c>
      <c r="F2592" s="733" t="s">
        <v>615</v>
      </c>
      <c r="G2592" s="733"/>
      <c r="H2592" s="733"/>
      <c r="I2592" s="733"/>
      <c r="J2592" s="733"/>
      <c r="K2592" s="733"/>
      <c r="L2592" s="733"/>
      <c r="M2592" s="733"/>
    </row>
    <row r="2593" spans="1:13" x14ac:dyDescent="0.3">
      <c r="A2593" s="733" t="s">
        <v>2631</v>
      </c>
      <c r="B2593" s="733" t="s">
        <v>612</v>
      </c>
      <c r="C2593" s="733" t="s">
        <v>1756</v>
      </c>
      <c r="D2593" s="733" t="s">
        <v>21</v>
      </c>
      <c r="E2593" s="733" t="s">
        <v>614</v>
      </c>
      <c r="F2593" s="733" t="s">
        <v>615</v>
      </c>
      <c r="G2593" s="733"/>
      <c r="H2593" s="733"/>
      <c r="I2593" s="733"/>
      <c r="J2593" s="733"/>
      <c r="K2593" s="733"/>
      <c r="L2593" s="733"/>
      <c r="M2593" s="733"/>
    </row>
    <row r="2594" spans="1:13" x14ac:dyDescent="0.3">
      <c r="A2594" s="733" t="s">
        <v>2631</v>
      </c>
      <c r="B2594" s="733" t="s">
        <v>645</v>
      </c>
      <c r="C2594" s="733" t="s">
        <v>1757</v>
      </c>
      <c r="D2594" s="733" t="s">
        <v>21</v>
      </c>
      <c r="E2594" s="733" t="s">
        <v>614</v>
      </c>
      <c r="F2594" s="733" t="s">
        <v>615</v>
      </c>
      <c r="G2594" s="733"/>
      <c r="H2594" s="733"/>
      <c r="I2594" s="733"/>
      <c r="J2594" s="733"/>
      <c r="K2594" s="733"/>
      <c r="L2594" s="733"/>
      <c r="M2594" s="733"/>
    </row>
    <row r="2595" spans="1:13" x14ac:dyDescent="0.3">
      <c r="A2595" s="733" t="s">
        <v>2631</v>
      </c>
      <c r="B2595" s="733" t="s">
        <v>645</v>
      </c>
      <c r="C2595" s="733" t="s">
        <v>652</v>
      </c>
      <c r="D2595" s="733" t="s">
        <v>21</v>
      </c>
      <c r="E2595" s="733" t="s">
        <v>614</v>
      </c>
      <c r="F2595" s="733" t="s">
        <v>615</v>
      </c>
      <c r="G2595" s="733"/>
      <c r="H2595" s="733"/>
      <c r="I2595" s="733"/>
      <c r="J2595" s="733"/>
      <c r="K2595" s="733"/>
      <c r="L2595" s="733"/>
      <c r="M2595" s="733"/>
    </row>
    <row r="2596" spans="1:13" x14ac:dyDescent="0.3">
      <c r="A2596" s="734" t="s">
        <v>2631</v>
      </c>
      <c r="B2596" s="734" t="s">
        <v>645</v>
      </c>
      <c r="C2596" s="734" t="s">
        <v>2632</v>
      </c>
      <c r="D2596" s="734" t="s">
        <v>21</v>
      </c>
      <c r="E2596" s="734" t="s">
        <v>614</v>
      </c>
      <c r="F2596" s="734" t="s">
        <v>736</v>
      </c>
      <c r="G2596" s="733"/>
      <c r="H2596" s="733"/>
      <c r="I2596" s="733"/>
      <c r="J2596" s="733"/>
      <c r="K2596" s="733"/>
      <c r="L2596" s="733"/>
      <c r="M2596" s="733"/>
    </row>
    <row r="2597" spans="1:13" x14ac:dyDescent="0.3">
      <c r="A2597" s="733" t="s">
        <v>2631</v>
      </c>
      <c r="B2597" s="733" t="s">
        <v>645</v>
      </c>
      <c r="C2597" s="733" t="s">
        <v>1759</v>
      </c>
      <c r="D2597" s="733" t="s">
        <v>21</v>
      </c>
      <c r="E2597" s="733" t="s">
        <v>614</v>
      </c>
      <c r="F2597" s="733" t="s">
        <v>615</v>
      </c>
      <c r="G2597" s="733"/>
      <c r="H2597" s="733"/>
      <c r="I2597" s="733"/>
      <c r="J2597" s="733"/>
      <c r="K2597" s="733"/>
      <c r="L2597" s="733"/>
      <c r="M2597" s="733"/>
    </row>
    <row r="2598" spans="1:13" x14ac:dyDescent="0.3">
      <c r="A2598" s="733" t="s">
        <v>2631</v>
      </c>
      <c r="B2598" s="733" t="s">
        <v>664</v>
      </c>
      <c r="C2598" s="733" t="s">
        <v>2629</v>
      </c>
      <c r="D2598" s="733" t="s">
        <v>21</v>
      </c>
      <c r="E2598" s="733" t="s">
        <v>614</v>
      </c>
      <c r="F2598" s="733" t="s">
        <v>615</v>
      </c>
      <c r="G2598" s="733"/>
      <c r="H2598" s="733"/>
      <c r="I2598" s="733"/>
      <c r="J2598" s="733"/>
      <c r="K2598" s="733"/>
      <c r="L2598" s="733"/>
      <c r="M2598" s="733"/>
    </row>
    <row r="2599" spans="1:13" x14ac:dyDescent="0.3">
      <c r="A2599" s="733" t="s">
        <v>2631</v>
      </c>
      <c r="B2599" s="733" t="s">
        <v>664</v>
      </c>
      <c r="C2599" s="733" t="s">
        <v>2630</v>
      </c>
      <c r="D2599" s="733" t="s">
        <v>21</v>
      </c>
      <c r="E2599" s="733" t="s">
        <v>614</v>
      </c>
      <c r="F2599" s="733" t="s">
        <v>615</v>
      </c>
      <c r="G2599" s="733"/>
      <c r="H2599" s="733"/>
      <c r="I2599" s="733"/>
      <c r="J2599" s="733"/>
      <c r="K2599" s="733"/>
      <c r="L2599" s="733"/>
      <c r="M2599" s="733"/>
    </row>
    <row r="2600" spans="1:13" x14ac:dyDescent="0.3">
      <c r="A2600" s="733" t="s">
        <v>2631</v>
      </c>
      <c r="B2600" s="733" t="s">
        <v>664</v>
      </c>
      <c r="C2600" s="733" t="s">
        <v>719</v>
      </c>
      <c r="D2600" s="733" t="s">
        <v>21</v>
      </c>
      <c r="E2600" s="733" t="s">
        <v>614</v>
      </c>
      <c r="F2600" s="733" t="s">
        <v>615</v>
      </c>
      <c r="G2600" s="733"/>
      <c r="H2600" s="733"/>
      <c r="I2600" s="733"/>
      <c r="J2600" s="733"/>
      <c r="K2600" s="733"/>
      <c r="L2600" s="733"/>
      <c r="M2600" s="733"/>
    </row>
    <row r="2601" spans="1:13" x14ac:dyDescent="0.3">
      <c r="A2601" s="734" t="s">
        <v>2633</v>
      </c>
      <c r="B2601" s="734" t="s">
        <v>612</v>
      </c>
      <c r="C2601" s="734" t="s">
        <v>1447</v>
      </c>
      <c r="D2601" s="734" t="s">
        <v>21</v>
      </c>
      <c r="E2601" s="734" t="s">
        <v>614</v>
      </c>
      <c r="F2601" s="734" t="s">
        <v>696</v>
      </c>
      <c r="G2601" s="733"/>
      <c r="H2601" s="733"/>
      <c r="I2601" s="733"/>
      <c r="J2601" s="733"/>
      <c r="K2601" s="733"/>
      <c r="L2601" s="733"/>
      <c r="M2601" s="733"/>
    </row>
    <row r="2602" spans="1:13" x14ac:dyDescent="0.3">
      <c r="A2602" s="734" t="s">
        <v>2633</v>
      </c>
      <c r="B2602" s="734" t="s">
        <v>612</v>
      </c>
      <c r="C2602" s="734" t="s">
        <v>2308</v>
      </c>
      <c r="D2602" s="734" t="s">
        <v>21</v>
      </c>
      <c r="E2602" s="734" t="s">
        <v>614</v>
      </c>
      <c r="F2602" s="734" t="s">
        <v>696</v>
      </c>
      <c r="G2602" s="733"/>
      <c r="H2602" s="733"/>
      <c r="I2602" s="733"/>
      <c r="J2602" s="733"/>
      <c r="K2602" s="733"/>
      <c r="L2602" s="733"/>
      <c r="M2602" s="733"/>
    </row>
    <row r="2603" spans="1:13" x14ac:dyDescent="0.3">
      <c r="A2603" s="733" t="s">
        <v>2633</v>
      </c>
      <c r="B2603" s="733" t="s">
        <v>612</v>
      </c>
      <c r="C2603" s="733" t="s">
        <v>1320</v>
      </c>
      <c r="D2603" s="733" t="s">
        <v>21</v>
      </c>
      <c r="E2603" s="733" t="s">
        <v>614</v>
      </c>
      <c r="F2603" s="733" t="s">
        <v>615</v>
      </c>
      <c r="G2603" s="733"/>
      <c r="H2603" s="733"/>
      <c r="I2603" s="733"/>
      <c r="J2603" s="733"/>
      <c r="K2603" s="733"/>
      <c r="L2603" s="733"/>
      <c r="M2603" s="733" t="s">
        <v>610</v>
      </c>
    </row>
    <row r="2604" spans="1:13" x14ac:dyDescent="0.3">
      <c r="A2604" s="733" t="s">
        <v>2634</v>
      </c>
      <c r="B2604" s="733" t="s">
        <v>612</v>
      </c>
      <c r="C2604" s="733" t="s">
        <v>739</v>
      </c>
      <c r="D2604" s="733" t="s">
        <v>21</v>
      </c>
      <c r="E2604" s="733" t="s">
        <v>614</v>
      </c>
      <c r="F2604" s="733" t="s">
        <v>615</v>
      </c>
      <c r="G2604" s="733"/>
      <c r="H2604" s="733"/>
      <c r="I2604" s="733"/>
      <c r="J2604" s="733"/>
      <c r="K2604" s="733"/>
      <c r="L2604" s="733"/>
      <c r="M2604" s="733"/>
    </row>
    <row r="2605" spans="1:13" x14ac:dyDescent="0.3">
      <c r="A2605" s="733" t="s">
        <v>2634</v>
      </c>
      <c r="B2605" s="733" t="s">
        <v>612</v>
      </c>
      <c r="C2605" s="733" t="s">
        <v>740</v>
      </c>
      <c r="D2605" s="733" t="s">
        <v>21</v>
      </c>
      <c r="E2605" s="733" t="s">
        <v>614</v>
      </c>
      <c r="F2605" s="733" t="s">
        <v>615</v>
      </c>
      <c r="G2605" s="733"/>
      <c r="H2605" s="733"/>
      <c r="I2605" s="733"/>
      <c r="J2605" s="733"/>
      <c r="K2605" s="733"/>
      <c r="L2605" s="733"/>
      <c r="M2605" s="733"/>
    </row>
    <row r="2606" spans="1:13" x14ac:dyDescent="0.3">
      <c r="A2606" s="733" t="s">
        <v>2634</v>
      </c>
      <c r="B2606" s="733" t="s">
        <v>612</v>
      </c>
      <c r="C2606" s="733" t="s">
        <v>750</v>
      </c>
      <c r="D2606" s="733" t="s">
        <v>21</v>
      </c>
      <c r="E2606" s="733" t="s">
        <v>614</v>
      </c>
      <c r="F2606" s="733" t="s">
        <v>615</v>
      </c>
      <c r="G2606" s="733"/>
      <c r="H2606" s="733"/>
      <c r="I2606" s="733"/>
      <c r="J2606" s="733"/>
      <c r="K2606" s="733"/>
      <c r="L2606" s="733"/>
      <c r="M2606" s="733"/>
    </row>
    <row r="2607" spans="1:13" x14ac:dyDescent="0.3">
      <c r="A2607" s="733" t="s">
        <v>2634</v>
      </c>
      <c r="B2607" s="733" t="s">
        <v>612</v>
      </c>
      <c r="C2607" s="733" t="s">
        <v>751</v>
      </c>
      <c r="D2607" s="733" t="s">
        <v>21</v>
      </c>
      <c r="E2607" s="733" t="s">
        <v>614</v>
      </c>
      <c r="F2607" s="733" t="s">
        <v>615</v>
      </c>
      <c r="G2607" s="733"/>
      <c r="H2607" s="733"/>
      <c r="I2607" s="733"/>
      <c r="J2607" s="733"/>
      <c r="K2607" s="733"/>
      <c r="L2607" s="733"/>
      <c r="M2607" s="733"/>
    </row>
    <row r="2608" spans="1:13" x14ac:dyDescent="0.3">
      <c r="A2608" s="733" t="s">
        <v>2634</v>
      </c>
      <c r="B2608" s="733" t="s">
        <v>612</v>
      </c>
      <c r="C2608" s="733" t="s">
        <v>2635</v>
      </c>
      <c r="D2608" s="733" t="s">
        <v>21</v>
      </c>
      <c r="E2608" s="733" t="s">
        <v>614</v>
      </c>
      <c r="F2608" s="733" t="s">
        <v>615</v>
      </c>
      <c r="G2608" s="733"/>
      <c r="H2608" s="733"/>
      <c r="I2608" s="733"/>
      <c r="J2608" s="733"/>
      <c r="K2608" s="733"/>
      <c r="L2608" s="733"/>
      <c r="M2608" s="733"/>
    </row>
    <row r="2609" spans="1:13" x14ac:dyDescent="0.3">
      <c r="A2609" s="733" t="s">
        <v>2634</v>
      </c>
      <c r="B2609" s="733" t="s">
        <v>612</v>
      </c>
      <c r="C2609" s="733" t="s">
        <v>2636</v>
      </c>
      <c r="D2609" s="733" t="s">
        <v>21</v>
      </c>
      <c r="E2609" s="733" t="s">
        <v>614</v>
      </c>
      <c r="F2609" s="733" t="s">
        <v>615</v>
      </c>
      <c r="G2609" s="733"/>
      <c r="H2609" s="733"/>
      <c r="I2609" s="733"/>
      <c r="J2609" s="733"/>
      <c r="K2609" s="733"/>
      <c r="L2609" s="733"/>
      <c r="M2609" s="733"/>
    </row>
    <row r="2610" spans="1:13" x14ac:dyDescent="0.3">
      <c r="A2610" s="733" t="s">
        <v>2634</v>
      </c>
      <c r="B2610" s="733" t="s">
        <v>664</v>
      </c>
      <c r="C2610" s="733" t="s">
        <v>2637</v>
      </c>
      <c r="D2610" s="733" t="s">
        <v>21</v>
      </c>
      <c r="E2610" s="733" t="s">
        <v>614</v>
      </c>
      <c r="F2610" s="733" t="s">
        <v>615</v>
      </c>
      <c r="G2610" s="733"/>
      <c r="H2610" s="733"/>
      <c r="I2610" s="733"/>
      <c r="J2610" s="733"/>
      <c r="K2610" s="733"/>
      <c r="L2610" s="733"/>
      <c r="M2610" s="733"/>
    </row>
    <row r="2611" spans="1:13" x14ac:dyDescent="0.3">
      <c r="A2611" s="733" t="s">
        <v>2634</v>
      </c>
      <c r="B2611" s="733" t="s">
        <v>664</v>
      </c>
      <c r="C2611" s="733" t="s">
        <v>2638</v>
      </c>
      <c r="D2611" s="733" t="s">
        <v>21</v>
      </c>
      <c r="E2611" s="733" t="s">
        <v>614</v>
      </c>
      <c r="F2611" s="733" t="s">
        <v>615</v>
      </c>
      <c r="G2611" s="733"/>
      <c r="H2611" s="733"/>
      <c r="I2611" s="733"/>
      <c r="J2611" s="733"/>
      <c r="K2611" s="733"/>
      <c r="L2611" s="733"/>
      <c r="M2611" s="733"/>
    </row>
    <row r="2612" spans="1:13" x14ac:dyDescent="0.3">
      <c r="A2612" s="733" t="s">
        <v>2634</v>
      </c>
      <c r="B2612" s="733" t="s">
        <v>664</v>
      </c>
      <c r="C2612" s="733" t="s">
        <v>2639</v>
      </c>
      <c r="D2612" s="733" t="s">
        <v>21</v>
      </c>
      <c r="E2612" s="733" t="s">
        <v>614</v>
      </c>
      <c r="F2612" s="733" t="s">
        <v>615</v>
      </c>
      <c r="G2612" s="733"/>
      <c r="H2612" s="733"/>
      <c r="I2612" s="733"/>
      <c r="J2612" s="733"/>
      <c r="K2612" s="733"/>
      <c r="L2612" s="733"/>
      <c r="M2612" s="733"/>
    </row>
    <row r="2613" spans="1:13" x14ac:dyDescent="0.3">
      <c r="A2613" s="733" t="s">
        <v>2634</v>
      </c>
      <c r="B2613" s="733" t="s">
        <v>664</v>
      </c>
      <c r="C2613" s="733" t="s">
        <v>2640</v>
      </c>
      <c r="D2613" s="733" t="s">
        <v>21</v>
      </c>
      <c r="E2613" s="733" t="s">
        <v>614</v>
      </c>
      <c r="F2613" s="733" t="s">
        <v>615</v>
      </c>
      <c r="G2613" s="733"/>
      <c r="H2613" s="733"/>
      <c r="I2613" s="733"/>
      <c r="J2613" s="733"/>
      <c r="K2613" s="733"/>
      <c r="L2613" s="733"/>
      <c r="M2613" s="733"/>
    </row>
    <row r="2614" spans="1:13" x14ac:dyDescent="0.3">
      <c r="A2614" s="733" t="s">
        <v>2641</v>
      </c>
      <c r="B2614" s="733" t="s">
        <v>612</v>
      </c>
      <c r="C2614" s="733" t="s">
        <v>2642</v>
      </c>
      <c r="D2614" s="733" t="s">
        <v>21</v>
      </c>
      <c r="E2614" s="733" t="s">
        <v>614</v>
      </c>
      <c r="F2614" s="733" t="s">
        <v>615</v>
      </c>
      <c r="G2614" s="733"/>
      <c r="H2614" s="733"/>
      <c r="I2614" s="733"/>
      <c r="J2614" s="733"/>
      <c r="K2614" s="733"/>
      <c r="L2614" s="733"/>
      <c r="M2614" s="733"/>
    </row>
    <row r="2615" spans="1:13" x14ac:dyDescent="0.3">
      <c r="A2615" s="733" t="s">
        <v>2641</v>
      </c>
      <c r="B2615" s="733" t="s">
        <v>612</v>
      </c>
      <c r="C2615" s="733" t="s">
        <v>2643</v>
      </c>
      <c r="D2615" s="733" t="s">
        <v>21</v>
      </c>
      <c r="E2615" s="733" t="s">
        <v>614</v>
      </c>
      <c r="F2615" s="733" t="s">
        <v>615</v>
      </c>
      <c r="G2615" s="733"/>
      <c r="H2615" s="733"/>
      <c r="I2615" s="733"/>
      <c r="J2615" s="733"/>
      <c r="K2615" s="733"/>
      <c r="L2615" s="733"/>
      <c r="M2615" s="733"/>
    </row>
    <row r="2616" spans="1:13" x14ac:dyDescent="0.3">
      <c r="A2616" s="733" t="s">
        <v>2641</v>
      </c>
      <c r="B2616" s="733" t="s">
        <v>612</v>
      </c>
      <c r="C2616" s="733" t="s">
        <v>1915</v>
      </c>
      <c r="D2616" s="733" t="s">
        <v>21</v>
      </c>
      <c r="E2616" s="733" t="s">
        <v>614</v>
      </c>
      <c r="F2616" s="733" t="s">
        <v>615</v>
      </c>
      <c r="G2616" s="733"/>
      <c r="H2616" s="733"/>
      <c r="I2616" s="733"/>
      <c r="J2616" s="733"/>
      <c r="K2616" s="733"/>
      <c r="L2616" s="733"/>
      <c r="M2616" s="733"/>
    </row>
    <row r="2617" spans="1:13" x14ac:dyDescent="0.3">
      <c r="A2617" s="733" t="s">
        <v>2641</v>
      </c>
      <c r="B2617" s="733" t="s">
        <v>645</v>
      </c>
      <c r="C2617" s="733" t="s">
        <v>919</v>
      </c>
      <c r="D2617" s="733" t="s">
        <v>21</v>
      </c>
      <c r="E2617" s="733" t="s">
        <v>614</v>
      </c>
      <c r="F2617" s="733" t="s">
        <v>615</v>
      </c>
      <c r="G2617" s="733"/>
      <c r="H2617" s="733"/>
      <c r="I2617" s="733"/>
      <c r="J2617" s="733"/>
      <c r="K2617" s="733"/>
      <c r="L2617" s="733"/>
      <c r="M2617" s="733"/>
    </row>
    <row r="2618" spans="1:13" x14ac:dyDescent="0.3">
      <c r="A2618" s="733" t="s">
        <v>2641</v>
      </c>
      <c r="B2618" s="733" t="s">
        <v>645</v>
      </c>
      <c r="C2618" s="733" t="s">
        <v>2448</v>
      </c>
      <c r="D2618" s="733" t="s">
        <v>21</v>
      </c>
      <c r="E2618" s="733" t="s">
        <v>614</v>
      </c>
      <c r="F2618" s="733" t="s">
        <v>615</v>
      </c>
      <c r="G2618" s="733"/>
      <c r="H2618" s="733"/>
      <c r="I2618" s="733"/>
      <c r="J2618" s="733"/>
      <c r="K2618" s="733"/>
      <c r="L2618" s="733"/>
      <c r="M2618" s="733"/>
    </row>
    <row r="2619" spans="1:13" x14ac:dyDescent="0.3">
      <c r="A2619" s="733" t="s">
        <v>2641</v>
      </c>
      <c r="B2619" s="733" t="s">
        <v>664</v>
      </c>
      <c r="C2619" s="733" t="s">
        <v>2644</v>
      </c>
      <c r="D2619" s="733" t="s">
        <v>21</v>
      </c>
      <c r="E2619" s="733" t="s">
        <v>614</v>
      </c>
      <c r="F2619" s="733" t="s">
        <v>615</v>
      </c>
      <c r="G2619" s="733"/>
      <c r="H2619" s="733"/>
      <c r="I2619" s="733"/>
      <c r="J2619" s="733"/>
      <c r="K2619" s="733"/>
      <c r="L2619" s="733"/>
      <c r="M2619" s="733"/>
    </row>
    <row r="2620" spans="1:13" x14ac:dyDescent="0.3">
      <c r="A2620" s="733" t="s">
        <v>2645</v>
      </c>
      <c r="B2620" s="733" t="s">
        <v>612</v>
      </c>
      <c r="C2620" s="733" t="s">
        <v>2646</v>
      </c>
      <c r="D2620" s="733" t="s">
        <v>21</v>
      </c>
      <c r="E2620" s="733" t="s">
        <v>614</v>
      </c>
      <c r="F2620" s="733" t="s">
        <v>615</v>
      </c>
      <c r="G2620" s="733"/>
      <c r="H2620" s="733"/>
      <c r="I2620" s="733"/>
      <c r="J2620" s="733"/>
      <c r="K2620" s="733"/>
      <c r="L2620" s="733"/>
      <c r="M2620" s="733"/>
    </row>
    <row r="2621" spans="1:13" x14ac:dyDescent="0.3">
      <c r="A2621" s="733" t="s">
        <v>2645</v>
      </c>
      <c r="B2621" s="733" t="s">
        <v>612</v>
      </c>
      <c r="C2621" s="733" t="s">
        <v>2647</v>
      </c>
      <c r="D2621" s="733" t="s">
        <v>21</v>
      </c>
      <c r="E2621" s="733" t="s">
        <v>614</v>
      </c>
      <c r="F2621" s="733" t="s">
        <v>615</v>
      </c>
      <c r="G2621" s="733"/>
      <c r="H2621" s="733"/>
      <c r="I2621" s="733"/>
      <c r="J2621" s="733"/>
      <c r="K2621" s="733"/>
      <c r="L2621" s="733"/>
      <c r="M2621" s="733"/>
    </row>
    <row r="2622" spans="1:13" x14ac:dyDescent="0.3">
      <c r="A2622" s="733" t="s">
        <v>2645</v>
      </c>
      <c r="B2622" s="733" t="s">
        <v>612</v>
      </c>
      <c r="C2622" s="733" t="s">
        <v>2648</v>
      </c>
      <c r="D2622" s="733" t="s">
        <v>21</v>
      </c>
      <c r="E2622" s="733" t="s">
        <v>614</v>
      </c>
      <c r="F2622" s="733" t="s">
        <v>615</v>
      </c>
      <c r="G2622" s="733"/>
      <c r="H2622" s="733"/>
      <c r="I2622" s="733"/>
      <c r="J2622" s="733"/>
      <c r="K2622" s="733"/>
      <c r="L2622" s="733"/>
      <c r="M2622" s="733"/>
    </row>
    <row r="2623" spans="1:13" x14ac:dyDescent="0.3">
      <c r="A2623" s="733" t="s">
        <v>2645</v>
      </c>
      <c r="B2623" s="733" t="s">
        <v>612</v>
      </c>
      <c r="C2623" s="733" t="s">
        <v>2649</v>
      </c>
      <c r="D2623" s="733" t="s">
        <v>21</v>
      </c>
      <c r="E2623" s="733" t="s">
        <v>614</v>
      </c>
      <c r="F2623" s="733" t="s">
        <v>615</v>
      </c>
      <c r="G2623" s="733"/>
      <c r="H2623" s="733"/>
      <c r="I2623" s="733"/>
      <c r="J2623" s="733"/>
      <c r="K2623" s="733"/>
      <c r="L2623" s="733"/>
      <c r="M2623" s="733"/>
    </row>
    <row r="2624" spans="1:13" x14ac:dyDescent="0.3">
      <c r="A2624" s="733" t="s">
        <v>2645</v>
      </c>
      <c r="B2624" s="733" t="s">
        <v>612</v>
      </c>
      <c r="C2624" s="733" t="s">
        <v>2650</v>
      </c>
      <c r="D2624" s="733" t="s">
        <v>21</v>
      </c>
      <c r="E2624" s="733" t="s">
        <v>614</v>
      </c>
      <c r="F2624" s="733" t="s">
        <v>615</v>
      </c>
      <c r="G2624" s="733"/>
      <c r="H2624" s="733"/>
      <c r="I2624" s="733"/>
      <c r="J2624" s="733"/>
      <c r="K2624" s="733"/>
      <c r="L2624" s="733"/>
      <c r="M2624" s="733"/>
    </row>
    <row r="2625" spans="1:13" x14ac:dyDescent="0.3">
      <c r="A2625" s="733" t="s">
        <v>2645</v>
      </c>
      <c r="B2625" s="733" t="s">
        <v>612</v>
      </c>
      <c r="C2625" s="733" t="s">
        <v>1572</v>
      </c>
      <c r="D2625" s="733" t="s">
        <v>21</v>
      </c>
      <c r="E2625" s="733" t="s">
        <v>614</v>
      </c>
      <c r="F2625" s="733" t="s">
        <v>615</v>
      </c>
      <c r="G2625" s="733"/>
      <c r="H2625" s="733"/>
      <c r="I2625" s="733"/>
      <c r="J2625" s="733"/>
      <c r="K2625" s="733"/>
      <c r="L2625" s="733"/>
      <c r="M2625" s="733"/>
    </row>
    <row r="2626" spans="1:13" x14ac:dyDescent="0.3">
      <c r="A2626" s="733" t="s">
        <v>2645</v>
      </c>
      <c r="B2626" s="733" t="s">
        <v>612</v>
      </c>
      <c r="C2626" s="733" t="s">
        <v>2651</v>
      </c>
      <c r="D2626" s="733" t="s">
        <v>21</v>
      </c>
      <c r="E2626" s="733" t="s">
        <v>614</v>
      </c>
      <c r="F2626" s="733" t="s">
        <v>615</v>
      </c>
      <c r="G2626" s="733"/>
      <c r="H2626" s="733"/>
      <c r="I2626" s="733"/>
      <c r="J2626" s="733"/>
      <c r="K2626" s="733"/>
      <c r="L2626" s="733"/>
      <c r="M2626" s="733"/>
    </row>
    <row r="2627" spans="1:13" x14ac:dyDescent="0.3">
      <c r="A2627" s="733" t="s">
        <v>2645</v>
      </c>
      <c r="B2627" s="733" t="s">
        <v>612</v>
      </c>
      <c r="C2627" s="733" t="s">
        <v>2652</v>
      </c>
      <c r="D2627" s="733" t="s">
        <v>21</v>
      </c>
      <c r="E2627" s="733" t="s">
        <v>614</v>
      </c>
      <c r="F2627" s="733" t="s">
        <v>615</v>
      </c>
      <c r="G2627" s="733"/>
      <c r="H2627" s="733"/>
      <c r="I2627" s="733"/>
      <c r="J2627" s="733"/>
      <c r="K2627" s="733"/>
      <c r="L2627" s="733"/>
      <c r="M2627" s="733"/>
    </row>
    <row r="2628" spans="1:13" x14ac:dyDescent="0.3">
      <c r="A2628" s="733" t="s">
        <v>2645</v>
      </c>
      <c r="B2628" s="733" t="s">
        <v>612</v>
      </c>
      <c r="C2628" s="733" t="s">
        <v>1140</v>
      </c>
      <c r="D2628" s="733" t="s">
        <v>21</v>
      </c>
      <c r="E2628" s="733" t="s">
        <v>614</v>
      </c>
      <c r="F2628" s="733" t="s">
        <v>615</v>
      </c>
      <c r="G2628" s="733"/>
      <c r="H2628" s="733"/>
      <c r="I2628" s="733"/>
      <c r="J2628" s="733"/>
      <c r="K2628" s="733"/>
      <c r="L2628" s="733"/>
      <c r="M2628" s="733"/>
    </row>
    <row r="2629" spans="1:13" x14ac:dyDescent="0.3">
      <c r="A2629" s="733" t="s">
        <v>2653</v>
      </c>
      <c r="B2629" s="733" t="s">
        <v>612</v>
      </c>
      <c r="C2629" s="733" t="s">
        <v>2654</v>
      </c>
      <c r="D2629" s="733" t="s">
        <v>21</v>
      </c>
      <c r="E2629" s="733" t="s">
        <v>614</v>
      </c>
      <c r="F2629" s="733" t="s">
        <v>615</v>
      </c>
      <c r="G2629" s="733"/>
      <c r="H2629" s="733"/>
      <c r="I2629" s="733"/>
      <c r="J2629" s="733"/>
      <c r="K2629" s="733"/>
      <c r="L2629" s="733"/>
      <c r="M2629" s="733"/>
    </row>
    <row r="2630" spans="1:13" x14ac:dyDescent="0.3">
      <c r="A2630" s="733" t="s">
        <v>2653</v>
      </c>
      <c r="B2630" s="733" t="s">
        <v>645</v>
      </c>
      <c r="C2630" s="733" t="s">
        <v>2655</v>
      </c>
      <c r="D2630" s="733" t="s">
        <v>21</v>
      </c>
      <c r="E2630" s="733" t="s">
        <v>614</v>
      </c>
      <c r="F2630" s="733" t="s">
        <v>615</v>
      </c>
      <c r="G2630" s="733"/>
      <c r="H2630" s="733"/>
      <c r="I2630" s="733"/>
      <c r="J2630" s="733"/>
      <c r="K2630" s="733"/>
      <c r="L2630" s="733"/>
      <c r="M2630" s="733"/>
    </row>
    <row r="2631" spans="1:13" x14ac:dyDescent="0.3">
      <c r="A2631" s="733" t="s">
        <v>2656</v>
      </c>
      <c r="B2631" s="733" t="s">
        <v>612</v>
      </c>
      <c r="C2631" s="733" t="s">
        <v>1053</v>
      </c>
      <c r="D2631" s="733" t="s">
        <v>21</v>
      </c>
      <c r="E2631" s="733" t="s">
        <v>614</v>
      </c>
      <c r="F2631" s="733" t="s">
        <v>615</v>
      </c>
      <c r="G2631" s="733"/>
      <c r="H2631" s="733"/>
      <c r="I2631" s="733"/>
      <c r="J2631" s="733"/>
      <c r="K2631" s="733"/>
      <c r="L2631" s="733"/>
      <c r="M2631" s="733"/>
    </row>
    <row r="2632" spans="1:13" x14ac:dyDescent="0.3">
      <c r="A2632" s="733" t="s">
        <v>2656</v>
      </c>
      <c r="B2632" s="733" t="s">
        <v>612</v>
      </c>
      <c r="C2632" s="733" t="s">
        <v>2049</v>
      </c>
      <c r="D2632" s="733" t="s">
        <v>21</v>
      </c>
      <c r="E2632" s="733" t="s">
        <v>614</v>
      </c>
      <c r="F2632" s="733" t="s">
        <v>615</v>
      </c>
      <c r="G2632" s="733"/>
      <c r="H2632" s="733"/>
      <c r="I2632" s="733"/>
      <c r="J2632" s="733"/>
      <c r="K2632" s="733"/>
      <c r="L2632" s="733"/>
      <c r="M2632" s="733"/>
    </row>
    <row r="2633" spans="1:13" x14ac:dyDescent="0.3">
      <c r="A2633" s="733" t="s">
        <v>2656</v>
      </c>
      <c r="B2633" s="733" t="s">
        <v>612</v>
      </c>
      <c r="C2633" s="733" t="s">
        <v>2657</v>
      </c>
      <c r="D2633" s="733" t="s">
        <v>21</v>
      </c>
      <c r="E2633" s="733" t="s">
        <v>614</v>
      </c>
      <c r="F2633" s="733" t="s">
        <v>615</v>
      </c>
      <c r="G2633" s="733"/>
      <c r="H2633" s="733"/>
      <c r="I2633" s="733"/>
      <c r="J2633" s="733"/>
      <c r="K2633" s="733"/>
      <c r="L2633" s="733"/>
      <c r="M2633" s="733"/>
    </row>
    <row r="2634" spans="1:13" x14ac:dyDescent="0.3">
      <c r="A2634" s="733" t="s">
        <v>2656</v>
      </c>
      <c r="B2634" s="733" t="s">
        <v>612</v>
      </c>
      <c r="C2634" s="733" t="s">
        <v>985</v>
      </c>
      <c r="D2634" s="733" t="s">
        <v>21</v>
      </c>
      <c r="E2634" s="733" t="s">
        <v>614</v>
      </c>
      <c r="F2634" s="733" t="s">
        <v>615</v>
      </c>
      <c r="G2634" s="733"/>
      <c r="H2634" s="733"/>
      <c r="I2634" s="733"/>
      <c r="J2634" s="733"/>
      <c r="K2634" s="733"/>
      <c r="L2634" s="733"/>
      <c r="M2634" s="733"/>
    </row>
    <row r="2635" spans="1:13" x14ac:dyDescent="0.3">
      <c r="A2635" s="733" t="s">
        <v>2656</v>
      </c>
      <c r="B2635" s="733" t="s">
        <v>612</v>
      </c>
      <c r="C2635" s="733" t="s">
        <v>2053</v>
      </c>
      <c r="D2635" s="733" t="s">
        <v>21</v>
      </c>
      <c r="E2635" s="733" t="s">
        <v>614</v>
      </c>
      <c r="F2635" s="733" t="s">
        <v>615</v>
      </c>
      <c r="G2635" s="733"/>
      <c r="H2635" s="733"/>
      <c r="I2635" s="733"/>
      <c r="J2635" s="733"/>
      <c r="K2635" s="733"/>
      <c r="L2635" s="733"/>
      <c r="M2635" s="733"/>
    </row>
    <row r="2636" spans="1:13" x14ac:dyDescent="0.3">
      <c r="A2636" s="733" t="s">
        <v>2656</v>
      </c>
      <c r="B2636" s="733" t="s">
        <v>612</v>
      </c>
      <c r="C2636" s="733" t="s">
        <v>995</v>
      </c>
      <c r="D2636" s="733" t="s">
        <v>21</v>
      </c>
      <c r="E2636" s="733" t="s">
        <v>614</v>
      </c>
      <c r="F2636" s="733" t="s">
        <v>615</v>
      </c>
      <c r="G2636" s="733"/>
      <c r="H2636" s="733"/>
      <c r="I2636" s="733"/>
      <c r="J2636" s="733"/>
      <c r="K2636" s="733"/>
      <c r="L2636" s="733"/>
      <c r="M2636" s="733"/>
    </row>
    <row r="2637" spans="1:13" x14ac:dyDescent="0.3">
      <c r="A2637" s="733" t="s">
        <v>2656</v>
      </c>
      <c r="B2637" s="733" t="s">
        <v>612</v>
      </c>
      <c r="C2637" s="733" t="s">
        <v>1068</v>
      </c>
      <c r="D2637" s="733" t="s">
        <v>21</v>
      </c>
      <c r="E2637" s="733" t="s">
        <v>614</v>
      </c>
      <c r="F2637" s="733" t="s">
        <v>615</v>
      </c>
      <c r="G2637" s="733"/>
      <c r="H2637" s="733"/>
      <c r="I2637" s="733"/>
      <c r="J2637" s="733"/>
      <c r="K2637" s="733"/>
      <c r="L2637" s="733"/>
      <c r="M2637" s="733"/>
    </row>
    <row r="2638" spans="1:13" x14ac:dyDescent="0.3">
      <c r="A2638" s="733" t="s">
        <v>2656</v>
      </c>
      <c r="B2638" s="733" t="s">
        <v>612</v>
      </c>
      <c r="C2638" s="733" t="s">
        <v>996</v>
      </c>
      <c r="D2638" s="733" t="s">
        <v>21</v>
      </c>
      <c r="E2638" s="733" t="s">
        <v>614</v>
      </c>
      <c r="F2638" s="733" t="s">
        <v>615</v>
      </c>
      <c r="G2638" s="733"/>
      <c r="H2638" s="733"/>
      <c r="I2638" s="733"/>
      <c r="J2638" s="733"/>
      <c r="K2638" s="733"/>
      <c r="L2638" s="733"/>
      <c r="M2638" s="733"/>
    </row>
    <row r="2639" spans="1:13" x14ac:dyDescent="0.3">
      <c r="A2639" s="733" t="s">
        <v>2656</v>
      </c>
      <c r="B2639" s="733" t="s">
        <v>612</v>
      </c>
      <c r="C2639" s="733" t="s">
        <v>2055</v>
      </c>
      <c r="D2639" s="733" t="s">
        <v>21</v>
      </c>
      <c r="E2639" s="733" t="s">
        <v>614</v>
      </c>
      <c r="F2639" s="733" t="s">
        <v>615</v>
      </c>
      <c r="G2639" s="733"/>
      <c r="H2639" s="733"/>
      <c r="I2639" s="733"/>
      <c r="J2639" s="733"/>
      <c r="K2639" s="733"/>
      <c r="L2639" s="733"/>
      <c r="M2639" s="733"/>
    </row>
    <row r="2640" spans="1:13" x14ac:dyDescent="0.3">
      <c r="A2640" s="733" t="s">
        <v>2656</v>
      </c>
      <c r="B2640" s="733" t="s">
        <v>612</v>
      </c>
      <c r="C2640" s="733" t="s">
        <v>1003</v>
      </c>
      <c r="D2640" s="733" t="s">
        <v>21</v>
      </c>
      <c r="E2640" s="733" t="s">
        <v>614</v>
      </c>
      <c r="F2640" s="733" t="s">
        <v>615</v>
      </c>
      <c r="G2640" s="733"/>
      <c r="H2640" s="733"/>
      <c r="I2640" s="733"/>
      <c r="J2640" s="733"/>
      <c r="K2640" s="733"/>
      <c r="L2640" s="733"/>
      <c r="M2640" s="733"/>
    </row>
    <row r="2641" spans="1:13" x14ac:dyDescent="0.3">
      <c r="A2641" s="733" t="s">
        <v>2656</v>
      </c>
      <c r="B2641" s="733" t="s">
        <v>612</v>
      </c>
      <c r="C2641" s="733" t="s">
        <v>1004</v>
      </c>
      <c r="D2641" s="733" t="s">
        <v>21</v>
      </c>
      <c r="E2641" s="733" t="s">
        <v>614</v>
      </c>
      <c r="F2641" s="733" t="s">
        <v>615</v>
      </c>
      <c r="G2641" s="733"/>
      <c r="H2641" s="733"/>
      <c r="I2641" s="733"/>
      <c r="J2641" s="733"/>
      <c r="K2641" s="733"/>
      <c r="L2641" s="733"/>
      <c r="M2641" s="733"/>
    </row>
    <row r="2642" spans="1:13" x14ac:dyDescent="0.3">
      <c r="A2642" s="733" t="s">
        <v>2656</v>
      </c>
      <c r="B2642" s="733" t="s">
        <v>612</v>
      </c>
      <c r="C2642" s="733" t="s">
        <v>2057</v>
      </c>
      <c r="D2642" s="733" t="s">
        <v>21</v>
      </c>
      <c r="E2642" s="733" t="s">
        <v>614</v>
      </c>
      <c r="F2642" s="733" t="s">
        <v>615</v>
      </c>
      <c r="G2642" s="733"/>
      <c r="H2642" s="733"/>
      <c r="I2642" s="733"/>
      <c r="J2642" s="733"/>
      <c r="K2642" s="733"/>
      <c r="L2642" s="733"/>
      <c r="M2642" s="733"/>
    </row>
    <row r="2643" spans="1:13" x14ac:dyDescent="0.3">
      <c r="A2643" s="733" t="s">
        <v>2656</v>
      </c>
      <c r="B2643" s="733" t="s">
        <v>612</v>
      </c>
      <c r="C2643" s="733" t="s">
        <v>2058</v>
      </c>
      <c r="D2643" s="733" t="s">
        <v>21</v>
      </c>
      <c r="E2643" s="733" t="s">
        <v>614</v>
      </c>
      <c r="F2643" s="733" t="s">
        <v>615</v>
      </c>
      <c r="G2643" s="733"/>
      <c r="H2643" s="733"/>
      <c r="I2643" s="733"/>
      <c r="J2643" s="733"/>
      <c r="K2643" s="733"/>
      <c r="L2643" s="733"/>
      <c r="M2643" s="733"/>
    </row>
    <row r="2644" spans="1:13" x14ac:dyDescent="0.3">
      <c r="A2644" s="733" t="s">
        <v>2656</v>
      </c>
      <c r="B2644" s="733" t="s">
        <v>612</v>
      </c>
      <c r="C2644" s="733" t="s">
        <v>1006</v>
      </c>
      <c r="D2644" s="733" t="s">
        <v>21</v>
      </c>
      <c r="E2644" s="733" t="s">
        <v>614</v>
      </c>
      <c r="F2644" s="733" t="s">
        <v>615</v>
      </c>
      <c r="G2644" s="733"/>
      <c r="H2644" s="733"/>
      <c r="I2644" s="733"/>
      <c r="J2644" s="733"/>
      <c r="K2644" s="733"/>
      <c r="L2644" s="733"/>
      <c r="M2644" s="733"/>
    </row>
    <row r="2645" spans="1:13" x14ac:dyDescent="0.3">
      <c r="A2645" s="733" t="s">
        <v>2658</v>
      </c>
      <c r="B2645" s="733" t="s">
        <v>612</v>
      </c>
      <c r="C2645" s="733" t="s">
        <v>963</v>
      </c>
      <c r="D2645" s="733" t="s">
        <v>21</v>
      </c>
      <c r="E2645" s="733" t="s">
        <v>614</v>
      </c>
      <c r="F2645" s="733" t="s">
        <v>615</v>
      </c>
      <c r="G2645" s="733"/>
      <c r="H2645" s="733"/>
      <c r="I2645" s="733"/>
      <c r="J2645" s="733"/>
      <c r="K2645" s="733"/>
      <c r="L2645" s="733"/>
      <c r="M2645" s="733"/>
    </row>
    <row r="2646" spans="1:13" x14ac:dyDescent="0.3">
      <c r="A2646" s="733" t="s">
        <v>2658</v>
      </c>
      <c r="B2646" s="733" t="s">
        <v>612</v>
      </c>
      <c r="C2646" s="733" t="s">
        <v>1647</v>
      </c>
      <c r="D2646" s="733" t="s">
        <v>21</v>
      </c>
      <c r="E2646" s="733" t="s">
        <v>614</v>
      </c>
      <c r="F2646" s="733" t="s">
        <v>615</v>
      </c>
      <c r="G2646" s="733"/>
      <c r="H2646" s="733"/>
      <c r="I2646" s="733"/>
      <c r="J2646" s="733"/>
      <c r="K2646" s="733"/>
      <c r="L2646" s="733"/>
      <c r="M2646" s="733"/>
    </row>
    <row r="2647" spans="1:13" x14ac:dyDescent="0.3">
      <c r="A2647" s="733" t="s">
        <v>2658</v>
      </c>
      <c r="B2647" s="733" t="s">
        <v>612</v>
      </c>
      <c r="C2647" s="733" t="s">
        <v>931</v>
      </c>
      <c r="D2647" s="733" t="s">
        <v>21</v>
      </c>
      <c r="E2647" s="733" t="s">
        <v>614</v>
      </c>
      <c r="F2647" s="733" t="s">
        <v>615</v>
      </c>
      <c r="G2647" s="733"/>
      <c r="H2647" s="733"/>
      <c r="I2647" s="733"/>
      <c r="J2647" s="733"/>
      <c r="K2647" s="733"/>
      <c r="L2647" s="733"/>
      <c r="M2647" s="733"/>
    </row>
    <row r="2648" spans="1:13" x14ac:dyDescent="0.3">
      <c r="A2648" s="733" t="s">
        <v>2658</v>
      </c>
      <c r="B2648" s="733" t="s">
        <v>612</v>
      </c>
      <c r="C2648" s="733" t="s">
        <v>910</v>
      </c>
      <c r="D2648" s="733" t="s">
        <v>21</v>
      </c>
      <c r="E2648" s="733" t="s">
        <v>614</v>
      </c>
      <c r="F2648" s="733" t="s">
        <v>615</v>
      </c>
      <c r="G2648" s="733"/>
      <c r="H2648" s="733"/>
      <c r="I2648" s="733"/>
      <c r="J2648" s="733"/>
      <c r="K2648" s="733"/>
      <c r="L2648" s="733"/>
      <c r="M2648" s="733"/>
    </row>
    <row r="2649" spans="1:13" x14ac:dyDescent="0.3">
      <c r="A2649" s="733" t="s">
        <v>2658</v>
      </c>
      <c r="B2649" s="733" t="s">
        <v>612</v>
      </c>
      <c r="C2649" s="733" t="s">
        <v>911</v>
      </c>
      <c r="D2649" s="733" t="s">
        <v>21</v>
      </c>
      <c r="E2649" s="733" t="s">
        <v>614</v>
      </c>
      <c r="F2649" s="733" t="s">
        <v>615</v>
      </c>
      <c r="G2649" s="733"/>
      <c r="H2649" s="733"/>
      <c r="I2649" s="733"/>
      <c r="J2649" s="733"/>
      <c r="K2649" s="733"/>
      <c r="L2649" s="733"/>
      <c r="M2649" s="733"/>
    </row>
    <row r="2650" spans="1:13" x14ac:dyDescent="0.3">
      <c r="A2650" s="734" t="s">
        <v>2658</v>
      </c>
      <c r="B2650" s="734" t="s">
        <v>612</v>
      </c>
      <c r="C2650" s="734" t="s">
        <v>1922</v>
      </c>
      <c r="D2650" s="733" t="s">
        <v>21</v>
      </c>
      <c r="E2650" s="734" t="s">
        <v>614</v>
      </c>
      <c r="F2650" s="734" t="s">
        <v>696</v>
      </c>
      <c r="G2650" s="733"/>
      <c r="H2650" s="733"/>
      <c r="I2650" s="733"/>
      <c r="J2650" s="733"/>
      <c r="K2650" s="733"/>
      <c r="L2650" s="733"/>
      <c r="M2650" s="733"/>
    </row>
    <row r="2651" spans="1:13" x14ac:dyDescent="0.3">
      <c r="A2651" s="733" t="s">
        <v>2658</v>
      </c>
      <c r="B2651" s="733" t="s">
        <v>612</v>
      </c>
      <c r="C2651" s="733" t="s">
        <v>1160</v>
      </c>
      <c r="D2651" s="733" t="s">
        <v>21</v>
      </c>
      <c r="E2651" s="733" t="s">
        <v>614</v>
      </c>
      <c r="F2651" s="733" t="s">
        <v>615</v>
      </c>
      <c r="G2651" s="733"/>
      <c r="H2651" s="733"/>
      <c r="I2651" s="733"/>
      <c r="J2651" s="733"/>
      <c r="K2651" s="733"/>
      <c r="L2651" s="733"/>
      <c r="M2651" s="733"/>
    </row>
    <row r="2652" spans="1:13" x14ac:dyDescent="0.3">
      <c r="A2652" s="733" t="s">
        <v>2658</v>
      </c>
      <c r="B2652" s="733" t="s">
        <v>612</v>
      </c>
      <c r="C2652" s="733" t="s">
        <v>916</v>
      </c>
      <c r="D2652" s="733" t="s">
        <v>21</v>
      </c>
      <c r="E2652" s="733" t="s">
        <v>614</v>
      </c>
      <c r="F2652" s="733" t="s">
        <v>615</v>
      </c>
      <c r="G2652" s="733"/>
      <c r="H2652" s="733"/>
      <c r="I2652" s="733"/>
      <c r="J2652" s="733"/>
      <c r="K2652" s="733"/>
      <c r="L2652" s="733"/>
      <c r="M2652" s="733"/>
    </row>
    <row r="2653" spans="1:13" x14ac:dyDescent="0.3">
      <c r="A2653" s="733" t="s">
        <v>2658</v>
      </c>
      <c r="B2653" s="733" t="s">
        <v>645</v>
      </c>
      <c r="C2653" s="733" t="s">
        <v>963</v>
      </c>
      <c r="D2653" s="733" t="s">
        <v>21</v>
      </c>
      <c r="E2653" s="733" t="s">
        <v>614</v>
      </c>
      <c r="F2653" s="733" t="s">
        <v>615</v>
      </c>
      <c r="G2653" s="733"/>
      <c r="H2653" s="733"/>
      <c r="I2653" s="733"/>
      <c r="J2653" s="733"/>
      <c r="K2653" s="733"/>
      <c r="L2653" s="733"/>
      <c r="M2653" s="733"/>
    </row>
    <row r="2654" spans="1:13" x14ac:dyDescent="0.3">
      <c r="A2654" s="733" t="s">
        <v>2658</v>
      </c>
      <c r="B2654" s="733" t="s">
        <v>645</v>
      </c>
      <c r="C2654" s="733" t="s">
        <v>1684</v>
      </c>
      <c r="D2654" s="733" t="s">
        <v>21</v>
      </c>
      <c r="E2654" s="733" t="s">
        <v>614</v>
      </c>
      <c r="F2654" s="733" t="s">
        <v>615</v>
      </c>
      <c r="G2654" s="733"/>
      <c r="H2654" s="733"/>
      <c r="I2654" s="733"/>
      <c r="J2654" s="733"/>
      <c r="K2654" s="733"/>
      <c r="L2654" s="733"/>
      <c r="M2654" s="733"/>
    </row>
    <row r="2655" spans="1:13" x14ac:dyDescent="0.3">
      <c r="A2655" s="733" t="s">
        <v>2658</v>
      </c>
      <c r="B2655" s="733" t="s">
        <v>645</v>
      </c>
      <c r="C2655" s="733" t="s">
        <v>2659</v>
      </c>
      <c r="D2655" s="733" t="s">
        <v>21</v>
      </c>
      <c r="E2655" s="733" t="s">
        <v>614</v>
      </c>
      <c r="F2655" s="733" t="s">
        <v>615</v>
      </c>
      <c r="G2655" s="733"/>
      <c r="H2655" s="733"/>
      <c r="I2655" s="733"/>
      <c r="J2655" s="733"/>
      <c r="K2655" s="733"/>
      <c r="L2655" s="733"/>
      <c r="M2655" s="733"/>
    </row>
    <row r="2656" spans="1:13" x14ac:dyDescent="0.3">
      <c r="A2656" s="733" t="s">
        <v>2658</v>
      </c>
      <c r="B2656" s="733" t="s">
        <v>645</v>
      </c>
      <c r="C2656" s="733" t="s">
        <v>1687</v>
      </c>
      <c r="D2656" s="733" t="s">
        <v>21</v>
      </c>
      <c r="E2656" s="733" t="s">
        <v>614</v>
      </c>
      <c r="F2656" s="733" t="s">
        <v>615</v>
      </c>
      <c r="G2656" s="733"/>
      <c r="H2656" s="733"/>
      <c r="I2656" s="733"/>
      <c r="J2656" s="733"/>
      <c r="K2656" s="733"/>
      <c r="L2656" s="733"/>
      <c r="M2656" s="733"/>
    </row>
    <row r="2657" spans="1:13" x14ac:dyDescent="0.3">
      <c r="A2657" s="733" t="s">
        <v>2658</v>
      </c>
      <c r="B2657" s="733" t="s">
        <v>645</v>
      </c>
      <c r="C2657" s="733" t="s">
        <v>1688</v>
      </c>
      <c r="D2657" s="733" t="s">
        <v>21</v>
      </c>
      <c r="E2657" s="733" t="s">
        <v>614</v>
      </c>
      <c r="F2657" s="733" t="s">
        <v>615</v>
      </c>
      <c r="G2657" s="733"/>
      <c r="H2657" s="733"/>
      <c r="I2657" s="733"/>
      <c r="J2657" s="733"/>
      <c r="K2657" s="733"/>
      <c r="L2657" s="733"/>
      <c r="M2657" s="733"/>
    </row>
    <row r="2658" spans="1:13" x14ac:dyDescent="0.3">
      <c r="A2658" s="733" t="s">
        <v>2658</v>
      </c>
      <c r="B2658" s="733" t="s">
        <v>645</v>
      </c>
      <c r="C2658" s="733" t="s">
        <v>919</v>
      </c>
      <c r="D2658" s="733" t="s">
        <v>21</v>
      </c>
      <c r="E2658" s="733" t="s">
        <v>614</v>
      </c>
      <c r="F2658" s="733" t="s">
        <v>615</v>
      </c>
      <c r="G2658" s="733"/>
      <c r="H2658" s="733"/>
      <c r="I2658" s="733"/>
      <c r="J2658" s="733"/>
      <c r="K2658" s="733"/>
      <c r="L2658" s="733"/>
      <c r="M2658" s="733"/>
    </row>
    <row r="2659" spans="1:13" x14ac:dyDescent="0.3">
      <c r="A2659" s="733" t="s">
        <v>2660</v>
      </c>
      <c r="B2659" s="733" t="s">
        <v>612</v>
      </c>
      <c r="C2659" s="733" t="s">
        <v>963</v>
      </c>
      <c r="D2659" s="733" t="s">
        <v>21</v>
      </c>
      <c r="E2659" s="733" t="s">
        <v>614</v>
      </c>
      <c r="F2659" s="733" t="s">
        <v>615</v>
      </c>
      <c r="G2659" s="733"/>
      <c r="H2659" s="733"/>
      <c r="I2659" s="733"/>
      <c r="J2659" s="733"/>
      <c r="K2659" s="733"/>
      <c r="L2659" s="733"/>
      <c r="M2659" s="733"/>
    </row>
    <row r="2660" spans="1:13" x14ac:dyDescent="0.3">
      <c r="A2660" s="733" t="s">
        <v>2660</v>
      </c>
      <c r="B2660" s="733" t="s">
        <v>612</v>
      </c>
      <c r="C2660" s="733" t="s">
        <v>1647</v>
      </c>
      <c r="D2660" s="733" t="s">
        <v>21</v>
      </c>
      <c r="E2660" s="733" t="s">
        <v>614</v>
      </c>
      <c r="F2660" s="733" t="s">
        <v>615</v>
      </c>
      <c r="G2660" s="733"/>
      <c r="H2660" s="733"/>
      <c r="I2660" s="733"/>
      <c r="J2660" s="733"/>
      <c r="K2660" s="733"/>
      <c r="L2660" s="733"/>
      <c r="M2660" s="733"/>
    </row>
    <row r="2661" spans="1:13" x14ac:dyDescent="0.3">
      <c r="A2661" s="733" t="s">
        <v>2660</v>
      </c>
      <c r="B2661" s="733" t="s">
        <v>612</v>
      </c>
      <c r="C2661" s="733" t="s">
        <v>910</v>
      </c>
      <c r="D2661" s="733" t="s">
        <v>21</v>
      </c>
      <c r="E2661" s="733" t="s">
        <v>614</v>
      </c>
      <c r="F2661" s="733" t="s">
        <v>615</v>
      </c>
      <c r="G2661" s="733"/>
      <c r="H2661" s="733"/>
      <c r="I2661" s="733"/>
      <c r="J2661" s="733"/>
      <c r="K2661" s="733"/>
      <c r="L2661" s="733"/>
      <c r="M2661" s="733"/>
    </row>
    <row r="2662" spans="1:13" x14ac:dyDescent="0.3">
      <c r="A2662" s="733" t="s">
        <v>2660</v>
      </c>
      <c r="B2662" s="733" t="s">
        <v>612</v>
      </c>
      <c r="C2662" s="733" t="s">
        <v>911</v>
      </c>
      <c r="D2662" s="733" t="s">
        <v>21</v>
      </c>
      <c r="E2662" s="733" t="s">
        <v>614</v>
      </c>
      <c r="F2662" s="733" t="s">
        <v>615</v>
      </c>
      <c r="G2662" s="733"/>
      <c r="H2662" s="733"/>
      <c r="I2662" s="733"/>
      <c r="J2662" s="733"/>
      <c r="K2662" s="733"/>
      <c r="L2662" s="733"/>
      <c r="M2662" s="733"/>
    </row>
    <row r="2663" spans="1:13" x14ac:dyDescent="0.3">
      <c r="A2663" s="734" t="s">
        <v>2660</v>
      </c>
      <c r="B2663" s="734" t="s">
        <v>612</v>
      </c>
      <c r="C2663" s="734" t="s">
        <v>1922</v>
      </c>
      <c r="D2663" s="733" t="s">
        <v>21</v>
      </c>
      <c r="E2663" s="734" t="s">
        <v>614</v>
      </c>
      <c r="F2663" s="734" t="s">
        <v>696</v>
      </c>
      <c r="G2663" s="733"/>
      <c r="H2663" s="733"/>
      <c r="I2663" s="733"/>
      <c r="J2663" s="733"/>
      <c r="K2663" s="733"/>
      <c r="L2663" s="733"/>
      <c r="M2663" s="733"/>
    </row>
    <row r="2664" spans="1:13" x14ac:dyDescent="0.3">
      <c r="A2664" s="733" t="s">
        <v>2660</v>
      </c>
      <c r="B2664" s="733" t="s">
        <v>645</v>
      </c>
      <c r="C2664" s="733" t="s">
        <v>1687</v>
      </c>
      <c r="D2664" s="733" t="s">
        <v>21</v>
      </c>
      <c r="E2664" s="733" t="s">
        <v>614</v>
      </c>
      <c r="F2664" s="733" t="s">
        <v>615</v>
      </c>
      <c r="G2664" s="733"/>
      <c r="H2664" s="733"/>
      <c r="I2664" s="733"/>
      <c r="J2664" s="733"/>
      <c r="K2664" s="733"/>
      <c r="L2664" s="733"/>
      <c r="M2664" s="733"/>
    </row>
    <row r="2665" spans="1:13" x14ac:dyDescent="0.3">
      <c r="A2665" s="733" t="s">
        <v>2661</v>
      </c>
      <c r="B2665" s="733" t="s">
        <v>612</v>
      </c>
      <c r="C2665" s="733" t="s">
        <v>963</v>
      </c>
      <c r="D2665" s="733" t="s">
        <v>21</v>
      </c>
      <c r="E2665" s="733" t="s">
        <v>614</v>
      </c>
      <c r="F2665" s="733" t="s">
        <v>615</v>
      </c>
      <c r="G2665" s="733"/>
      <c r="H2665" s="733"/>
      <c r="I2665" s="733"/>
      <c r="J2665" s="733"/>
      <c r="K2665" s="733"/>
      <c r="L2665" s="733"/>
      <c r="M2665" s="733"/>
    </row>
    <row r="2666" spans="1:13" x14ac:dyDescent="0.3">
      <c r="A2666" s="733" t="s">
        <v>2661</v>
      </c>
      <c r="B2666" s="733" t="s">
        <v>612</v>
      </c>
      <c r="C2666" s="733" t="s">
        <v>2662</v>
      </c>
      <c r="D2666" s="733" t="s">
        <v>21</v>
      </c>
      <c r="E2666" s="733" t="s">
        <v>614</v>
      </c>
      <c r="F2666" s="733" t="s">
        <v>615</v>
      </c>
      <c r="G2666" s="733"/>
      <c r="H2666" s="733"/>
      <c r="I2666" s="733"/>
      <c r="J2666" s="733"/>
      <c r="K2666" s="733"/>
      <c r="L2666" s="733"/>
      <c r="M2666" s="733"/>
    </row>
    <row r="2667" spans="1:13" x14ac:dyDescent="0.3">
      <c r="A2667" s="733" t="s">
        <v>2661</v>
      </c>
      <c r="B2667" s="733" t="s">
        <v>612</v>
      </c>
      <c r="C2667" s="733" t="s">
        <v>973</v>
      </c>
      <c r="D2667" s="733" t="s">
        <v>21</v>
      </c>
      <c r="E2667" s="733" t="s">
        <v>614</v>
      </c>
      <c r="F2667" s="733" t="s">
        <v>615</v>
      </c>
      <c r="G2667" s="733"/>
      <c r="H2667" s="733"/>
      <c r="I2667" s="733"/>
      <c r="J2667" s="733"/>
      <c r="K2667" s="733"/>
      <c r="L2667" s="733"/>
      <c r="M2667" s="733"/>
    </row>
    <row r="2668" spans="1:13" x14ac:dyDescent="0.3">
      <c r="A2668" s="733" t="s">
        <v>2661</v>
      </c>
      <c r="B2668" s="733" t="s">
        <v>612</v>
      </c>
      <c r="C2668" s="733" t="s">
        <v>2663</v>
      </c>
      <c r="D2668" s="733" t="s">
        <v>21</v>
      </c>
      <c r="E2668" s="733" t="s">
        <v>614</v>
      </c>
      <c r="F2668" s="733" t="s">
        <v>615</v>
      </c>
      <c r="G2668" s="733"/>
      <c r="H2668" s="733"/>
      <c r="I2668" s="733"/>
      <c r="J2668" s="733"/>
      <c r="K2668" s="733"/>
      <c r="L2668" s="733"/>
      <c r="M2668" s="733"/>
    </row>
    <row r="2669" spans="1:13" x14ac:dyDescent="0.3">
      <c r="A2669" s="734" t="s">
        <v>2661</v>
      </c>
      <c r="B2669" s="734" t="s">
        <v>612</v>
      </c>
      <c r="C2669" s="734" t="s">
        <v>2664</v>
      </c>
      <c r="D2669" s="733" t="s">
        <v>21</v>
      </c>
      <c r="E2669" s="734" t="s">
        <v>614</v>
      </c>
      <c r="F2669" s="734" t="s">
        <v>696</v>
      </c>
      <c r="G2669" s="733"/>
      <c r="H2669" s="733"/>
      <c r="I2669" s="733"/>
      <c r="J2669" s="733"/>
      <c r="K2669" s="733"/>
      <c r="L2669" s="733"/>
      <c r="M2669" s="733"/>
    </row>
    <row r="2670" spans="1:13" x14ac:dyDescent="0.3">
      <c r="A2670" s="733" t="s">
        <v>2661</v>
      </c>
      <c r="B2670" s="733" t="s">
        <v>645</v>
      </c>
      <c r="C2670" s="733" t="s">
        <v>1684</v>
      </c>
      <c r="D2670" s="733" t="s">
        <v>21</v>
      </c>
      <c r="E2670" s="733" t="s">
        <v>614</v>
      </c>
      <c r="F2670" s="733" t="s">
        <v>615</v>
      </c>
      <c r="G2670" s="733"/>
      <c r="H2670" s="733"/>
      <c r="I2670" s="733"/>
      <c r="J2670" s="733"/>
      <c r="K2670" s="733"/>
      <c r="L2670" s="733"/>
      <c r="M2670" s="733"/>
    </row>
    <row r="2671" spans="1:13" x14ac:dyDescent="0.3">
      <c r="A2671" s="733" t="s">
        <v>2661</v>
      </c>
      <c r="B2671" s="733" t="s">
        <v>645</v>
      </c>
      <c r="C2671" s="733" t="s">
        <v>2659</v>
      </c>
      <c r="D2671" s="733" t="s">
        <v>21</v>
      </c>
      <c r="E2671" s="733" t="s">
        <v>614</v>
      </c>
      <c r="F2671" s="733" t="s">
        <v>615</v>
      </c>
      <c r="G2671" s="733"/>
      <c r="H2671" s="733"/>
      <c r="I2671" s="733"/>
      <c r="J2671" s="733"/>
      <c r="K2671" s="733"/>
      <c r="L2671" s="733"/>
      <c r="M2671" s="733"/>
    </row>
    <row r="2672" spans="1:13" x14ac:dyDescent="0.3">
      <c r="A2672" s="733" t="s">
        <v>2661</v>
      </c>
      <c r="B2672" s="733" t="s">
        <v>645</v>
      </c>
      <c r="C2672" s="733" t="s">
        <v>2665</v>
      </c>
      <c r="D2672" s="733" t="s">
        <v>21</v>
      </c>
      <c r="E2672" s="733" t="s">
        <v>614</v>
      </c>
      <c r="F2672" s="733" t="s">
        <v>615</v>
      </c>
      <c r="G2672" s="733"/>
      <c r="H2672" s="733"/>
      <c r="I2672" s="733"/>
      <c r="J2672" s="733"/>
      <c r="K2672" s="733"/>
      <c r="L2672" s="733"/>
      <c r="M2672" s="733"/>
    </row>
    <row r="2673" spans="1:13" x14ac:dyDescent="0.3">
      <c r="A2673" s="733" t="s">
        <v>2661</v>
      </c>
      <c r="B2673" s="733" t="s">
        <v>645</v>
      </c>
      <c r="C2673" s="733" t="s">
        <v>2666</v>
      </c>
      <c r="D2673" s="733" t="s">
        <v>21</v>
      </c>
      <c r="E2673" s="733" t="s">
        <v>614</v>
      </c>
      <c r="F2673" s="733" t="s">
        <v>615</v>
      </c>
      <c r="G2673" s="733"/>
      <c r="H2673" s="733"/>
      <c r="I2673" s="733"/>
      <c r="J2673" s="733"/>
      <c r="K2673" s="733"/>
      <c r="L2673" s="733"/>
      <c r="M2673" s="733"/>
    </row>
    <row r="2674" spans="1:13" x14ac:dyDescent="0.3">
      <c r="A2674" s="733" t="s">
        <v>2661</v>
      </c>
      <c r="B2674" s="733" t="s">
        <v>645</v>
      </c>
      <c r="C2674" s="733" t="s">
        <v>1014</v>
      </c>
      <c r="D2674" s="733" t="s">
        <v>21</v>
      </c>
      <c r="E2674" s="733" t="s">
        <v>614</v>
      </c>
      <c r="F2674" s="733" t="s">
        <v>615</v>
      </c>
      <c r="G2674" s="733"/>
      <c r="H2674" s="733"/>
      <c r="I2674" s="733"/>
      <c r="J2674" s="733"/>
      <c r="K2674" s="733"/>
      <c r="L2674" s="733"/>
      <c r="M2674" s="733"/>
    </row>
    <row r="2675" spans="1:13" x14ac:dyDescent="0.3">
      <c r="A2675" s="733" t="s">
        <v>2661</v>
      </c>
      <c r="B2675" s="733" t="s">
        <v>645</v>
      </c>
      <c r="C2675" s="733" t="s">
        <v>919</v>
      </c>
      <c r="D2675" s="733" t="s">
        <v>21</v>
      </c>
      <c r="E2675" s="733" t="s">
        <v>614</v>
      </c>
      <c r="F2675" s="733" t="s">
        <v>615</v>
      </c>
      <c r="G2675" s="733"/>
      <c r="H2675" s="733"/>
      <c r="I2675" s="733"/>
      <c r="J2675" s="733"/>
      <c r="K2675" s="733"/>
      <c r="L2675" s="733"/>
      <c r="M2675" s="733"/>
    </row>
    <row r="2676" spans="1:13" x14ac:dyDescent="0.3">
      <c r="A2676" s="733" t="s">
        <v>2667</v>
      </c>
      <c r="B2676" s="733" t="s">
        <v>612</v>
      </c>
      <c r="C2676" s="733" t="s">
        <v>963</v>
      </c>
      <c r="D2676" s="733" t="s">
        <v>21</v>
      </c>
      <c r="E2676" s="733" t="s">
        <v>614</v>
      </c>
      <c r="F2676" s="733" t="s">
        <v>615</v>
      </c>
      <c r="G2676" s="733"/>
      <c r="H2676" s="733"/>
      <c r="I2676" s="733"/>
      <c r="J2676" s="733"/>
      <c r="K2676" s="733"/>
      <c r="L2676" s="733"/>
      <c r="M2676" s="733"/>
    </row>
    <row r="2677" spans="1:13" x14ac:dyDescent="0.3">
      <c r="A2677" s="733" t="s">
        <v>2667</v>
      </c>
      <c r="B2677" s="733" t="s">
        <v>612</v>
      </c>
      <c r="C2677" s="733" t="s">
        <v>1647</v>
      </c>
      <c r="D2677" s="733" t="s">
        <v>21</v>
      </c>
      <c r="E2677" s="733" t="s">
        <v>614</v>
      </c>
      <c r="F2677" s="733" t="s">
        <v>615</v>
      </c>
      <c r="G2677" s="733"/>
      <c r="H2677" s="733"/>
      <c r="I2677" s="733"/>
      <c r="J2677" s="733"/>
      <c r="K2677" s="733"/>
      <c r="L2677" s="733"/>
      <c r="M2677" s="733"/>
    </row>
    <row r="2678" spans="1:13" x14ac:dyDescent="0.3">
      <c r="A2678" s="733" t="s">
        <v>2667</v>
      </c>
      <c r="B2678" s="733" t="s">
        <v>612</v>
      </c>
      <c r="C2678" s="733" t="s">
        <v>973</v>
      </c>
      <c r="D2678" s="733" t="s">
        <v>21</v>
      </c>
      <c r="E2678" s="733" t="s">
        <v>614</v>
      </c>
      <c r="F2678" s="733" t="s">
        <v>615</v>
      </c>
      <c r="G2678" s="733"/>
      <c r="H2678" s="733"/>
      <c r="I2678" s="733"/>
      <c r="J2678" s="733"/>
      <c r="K2678" s="733"/>
      <c r="L2678" s="733"/>
      <c r="M2678" s="733"/>
    </row>
    <row r="2679" spans="1:13" x14ac:dyDescent="0.3">
      <c r="A2679" s="734" t="s">
        <v>2667</v>
      </c>
      <c r="B2679" s="734" t="s">
        <v>612</v>
      </c>
      <c r="C2679" s="734" t="s">
        <v>1922</v>
      </c>
      <c r="D2679" s="734" t="s">
        <v>21</v>
      </c>
      <c r="E2679" s="734" t="s">
        <v>614</v>
      </c>
      <c r="F2679" s="734" t="s">
        <v>696</v>
      </c>
      <c r="G2679" s="733"/>
      <c r="H2679" s="733"/>
      <c r="I2679" s="733"/>
      <c r="J2679" s="733"/>
      <c r="K2679" s="733"/>
      <c r="L2679" s="733"/>
      <c r="M2679" s="733"/>
    </row>
    <row r="2680" spans="1:13" x14ac:dyDescent="0.3">
      <c r="A2680" s="733" t="s">
        <v>2667</v>
      </c>
      <c r="B2680" s="733" t="s">
        <v>612</v>
      </c>
      <c r="C2680" s="733" t="s">
        <v>1160</v>
      </c>
      <c r="D2680" s="733" t="s">
        <v>21</v>
      </c>
      <c r="E2680" s="733" t="s">
        <v>614</v>
      </c>
      <c r="F2680" s="733" t="s">
        <v>615</v>
      </c>
      <c r="G2680" s="733"/>
      <c r="H2680" s="733"/>
      <c r="I2680" s="733"/>
      <c r="J2680" s="733"/>
      <c r="K2680" s="733"/>
      <c r="L2680" s="733"/>
      <c r="M2680" s="733"/>
    </row>
    <row r="2681" spans="1:13" x14ac:dyDescent="0.3">
      <c r="A2681" s="733" t="s">
        <v>2667</v>
      </c>
      <c r="B2681" s="733" t="s">
        <v>612</v>
      </c>
      <c r="C2681" s="733" t="s">
        <v>2239</v>
      </c>
      <c r="D2681" s="733" t="s">
        <v>21</v>
      </c>
      <c r="E2681" s="733" t="s">
        <v>614</v>
      </c>
      <c r="F2681" s="733" t="s">
        <v>615</v>
      </c>
      <c r="G2681" s="733"/>
      <c r="H2681" s="733"/>
      <c r="I2681" s="733"/>
      <c r="J2681" s="733"/>
      <c r="K2681" s="733"/>
      <c r="L2681" s="733"/>
      <c r="M2681" s="733"/>
    </row>
    <row r="2682" spans="1:13" x14ac:dyDescent="0.3">
      <c r="A2682" s="733" t="s">
        <v>2667</v>
      </c>
      <c r="B2682" s="733" t="s">
        <v>612</v>
      </c>
      <c r="C2682" s="733" t="s">
        <v>916</v>
      </c>
      <c r="D2682" s="733" t="s">
        <v>21</v>
      </c>
      <c r="E2682" s="733" t="s">
        <v>614</v>
      </c>
      <c r="F2682" s="733" t="s">
        <v>615</v>
      </c>
      <c r="G2682" s="733"/>
      <c r="H2682" s="733"/>
      <c r="I2682" s="733"/>
      <c r="J2682" s="733"/>
      <c r="K2682" s="733"/>
      <c r="L2682" s="733"/>
      <c r="M2682" s="733"/>
    </row>
    <row r="2683" spans="1:13" x14ac:dyDescent="0.3">
      <c r="A2683" s="733" t="s">
        <v>2667</v>
      </c>
      <c r="B2683" s="733" t="s">
        <v>645</v>
      </c>
      <c r="C2683" s="733" t="s">
        <v>963</v>
      </c>
      <c r="D2683" s="733" t="s">
        <v>21</v>
      </c>
      <c r="E2683" s="733" t="s">
        <v>614</v>
      </c>
      <c r="F2683" s="733" t="s">
        <v>615</v>
      </c>
      <c r="G2683" s="733"/>
      <c r="H2683" s="733"/>
      <c r="I2683" s="733"/>
      <c r="J2683" s="733"/>
      <c r="K2683" s="733"/>
      <c r="L2683" s="733"/>
      <c r="M2683" s="733"/>
    </row>
    <row r="2684" spans="1:13" x14ac:dyDescent="0.3">
      <c r="A2684" s="733" t="s">
        <v>2667</v>
      </c>
      <c r="B2684" s="733" t="s">
        <v>645</v>
      </c>
      <c r="C2684" s="733" t="s">
        <v>2668</v>
      </c>
      <c r="D2684" s="733" t="s">
        <v>21</v>
      </c>
      <c r="E2684" s="733" t="s">
        <v>614</v>
      </c>
      <c r="F2684" s="733" t="s">
        <v>615</v>
      </c>
      <c r="G2684" s="733"/>
      <c r="H2684" s="733"/>
      <c r="I2684" s="733"/>
      <c r="J2684" s="733"/>
      <c r="K2684" s="733"/>
      <c r="L2684" s="733"/>
      <c r="M2684" s="733"/>
    </row>
    <row r="2685" spans="1:13" x14ac:dyDescent="0.3">
      <c r="A2685" s="733" t="s">
        <v>2667</v>
      </c>
      <c r="B2685" s="733" t="s">
        <v>645</v>
      </c>
      <c r="C2685" s="733" t="s">
        <v>2240</v>
      </c>
      <c r="D2685" s="733" t="s">
        <v>21</v>
      </c>
      <c r="E2685" s="733" t="s">
        <v>614</v>
      </c>
      <c r="F2685" s="733" t="s">
        <v>615</v>
      </c>
      <c r="G2685" s="733"/>
      <c r="H2685" s="733"/>
      <c r="I2685" s="733"/>
      <c r="J2685" s="733"/>
      <c r="K2685" s="733"/>
      <c r="L2685" s="733"/>
      <c r="M2685" s="733"/>
    </row>
    <row r="2686" spans="1:13" x14ac:dyDescent="0.3">
      <c r="A2686" s="733" t="s">
        <v>2669</v>
      </c>
      <c r="B2686" s="733" t="s">
        <v>612</v>
      </c>
      <c r="C2686" s="733" t="s">
        <v>963</v>
      </c>
      <c r="D2686" s="733" t="s">
        <v>21</v>
      </c>
      <c r="E2686" s="733" t="s">
        <v>614</v>
      </c>
      <c r="F2686" s="733" t="s">
        <v>615</v>
      </c>
      <c r="G2686" s="733"/>
      <c r="H2686" s="733"/>
      <c r="I2686" s="733"/>
      <c r="J2686" s="733"/>
      <c r="K2686" s="733"/>
      <c r="L2686" s="733"/>
      <c r="M2686" s="733"/>
    </row>
    <row r="2687" spans="1:13" x14ac:dyDescent="0.3">
      <c r="A2687" s="733" t="s">
        <v>2669</v>
      </c>
      <c r="B2687" s="733" t="s">
        <v>612</v>
      </c>
      <c r="C2687" s="733" t="s">
        <v>1647</v>
      </c>
      <c r="D2687" s="733" t="s">
        <v>21</v>
      </c>
      <c r="E2687" s="733" t="s">
        <v>614</v>
      </c>
      <c r="F2687" s="733" t="s">
        <v>615</v>
      </c>
      <c r="G2687" s="733"/>
      <c r="H2687" s="733"/>
      <c r="I2687" s="733"/>
      <c r="J2687" s="733"/>
      <c r="K2687" s="733"/>
      <c r="L2687" s="733"/>
      <c r="M2687" s="733"/>
    </row>
    <row r="2688" spans="1:13" x14ac:dyDescent="0.3">
      <c r="A2688" s="734" t="s">
        <v>2669</v>
      </c>
      <c r="B2688" s="734" t="s">
        <v>612</v>
      </c>
      <c r="C2688" s="734" t="s">
        <v>1922</v>
      </c>
      <c r="D2688" s="733" t="s">
        <v>21</v>
      </c>
      <c r="E2688" s="734" t="s">
        <v>614</v>
      </c>
      <c r="F2688" s="734" t="s">
        <v>696</v>
      </c>
      <c r="G2688" s="733"/>
      <c r="H2688" s="733"/>
      <c r="I2688" s="733"/>
      <c r="J2688" s="733"/>
      <c r="K2688" s="733"/>
      <c r="L2688" s="733"/>
      <c r="M2688" s="733"/>
    </row>
    <row r="2689" spans="1:13" x14ac:dyDescent="0.3">
      <c r="A2689" s="733" t="s">
        <v>2669</v>
      </c>
      <c r="B2689" s="733" t="s">
        <v>612</v>
      </c>
      <c r="C2689" s="733" t="s">
        <v>2239</v>
      </c>
      <c r="D2689" s="733" t="s">
        <v>21</v>
      </c>
      <c r="E2689" s="733" t="s">
        <v>614</v>
      </c>
      <c r="F2689" s="733" t="s">
        <v>615</v>
      </c>
      <c r="G2689" s="733"/>
      <c r="H2689" s="733"/>
      <c r="I2689" s="733"/>
      <c r="J2689" s="733"/>
      <c r="K2689" s="733"/>
      <c r="L2689" s="733"/>
      <c r="M2689" s="733"/>
    </row>
    <row r="2690" spans="1:13" x14ac:dyDescent="0.3">
      <c r="A2690" s="733" t="s">
        <v>2669</v>
      </c>
      <c r="B2690" s="733" t="s">
        <v>645</v>
      </c>
      <c r="C2690" s="733" t="s">
        <v>2670</v>
      </c>
      <c r="D2690" s="733" t="s">
        <v>21</v>
      </c>
      <c r="E2690" s="733" t="s">
        <v>614</v>
      </c>
      <c r="F2690" s="733" t="s">
        <v>615</v>
      </c>
      <c r="G2690" s="733"/>
      <c r="H2690" s="733"/>
      <c r="I2690" s="733"/>
      <c r="J2690" s="733"/>
      <c r="K2690" s="733"/>
      <c r="L2690" s="733"/>
      <c r="M2690" s="733"/>
    </row>
    <row r="2691" spans="1:13" x14ac:dyDescent="0.3">
      <c r="A2691" s="733" t="s">
        <v>2671</v>
      </c>
      <c r="B2691" s="733" t="s">
        <v>645</v>
      </c>
      <c r="C2691" s="733" t="s">
        <v>2672</v>
      </c>
      <c r="D2691" s="733" t="s">
        <v>21</v>
      </c>
      <c r="E2691" s="733" t="s">
        <v>614</v>
      </c>
      <c r="F2691" s="733" t="s">
        <v>615</v>
      </c>
      <c r="G2691" s="733"/>
      <c r="H2691" s="733"/>
      <c r="I2691" s="733"/>
      <c r="J2691" s="733"/>
      <c r="K2691" s="733"/>
      <c r="L2691" s="733"/>
      <c r="M2691" s="733"/>
    </row>
    <row r="2692" spans="1:13" x14ac:dyDescent="0.3">
      <c r="A2692" s="733" t="s">
        <v>2673</v>
      </c>
      <c r="B2692" s="733" t="s">
        <v>612</v>
      </c>
      <c r="C2692" s="733" t="s">
        <v>1095</v>
      </c>
      <c r="D2692" s="733" t="s">
        <v>21</v>
      </c>
      <c r="E2692" s="733" t="s">
        <v>614</v>
      </c>
      <c r="F2692" s="733" t="s">
        <v>615</v>
      </c>
      <c r="G2692" s="733"/>
      <c r="H2692" s="733"/>
      <c r="I2692" s="733"/>
      <c r="J2692" s="733"/>
      <c r="K2692" s="733"/>
      <c r="L2692" s="733"/>
      <c r="M2692" s="733"/>
    </row>
    <row r="2693" spans="1:13" x14ac:dyDescent="0.3">
      <c r="A2693" s="733" t="s">
        <v>2673</v>
      </c>
      <c r="B2693" s="733" t="s">
        <v>612</v>
      </c>
      <c r="C2693" s="733" t="s">
        <v>1096</v>
      </c>
      <c r="D2693" s="733" t="s">
        <v>21</v>
      </c>
      <c r="E2693" s="733" t="s">
        <v>614</v>
      </c>
      <c r="F2693" s="733" t="s">
        <v>615</v>
      </c>
      <c r="G2693" s="733"/>
      <c r="H2693" s="733"/>
      <c r="I2693" s="733"/>
      <c r="J2693" s="733"/>
      <c r="K2693" s="733"/>
      <c r="L2693" s="733"/>
      <c r="M2693" s="733"/>
    </row>
    <row r="2694" spans="1:13" x14ac:dyDescent="0.3">
      <c r="A2694" s="733" t="s">
        <v>2673</v>
      </c>
      <c r="B2694" s="733" t="s">
        <v>612</v>
      </c>
      <c r="C2694" s="733" t="s">
        <v>1097</v>
      </c>
      <c r="D2694" s="733" t="s">
        <v>21</v>
      </c>
      <c r="E2694" s="733" t="s">
        <v>614</v>
      </c>
      <c r="F2694" s="733" t="s">
        <v>615</v>
      </c>
      <c r="G2694" s="733"/>
      <c r="H2694" s="733"/>
      <c r="I2694" s="733"/>
      <c r="J2694" s="733"/>
      <c r="K2694" s="733"/>
      <c r="L2694" s="733"/>
      <c r="M2694" s="733"/>
    </row>
    <row r="2695" spans="1:13" x14ac:dyDescent="0.3">
      <c r="A2695" s="734" t="s">
        <v>2673</v>
      </c>
      <c r="B2695" s="734" t="s">
        <v>612</v>
      </c>
      <c r="C2695" s="734" t="s">
        <v>1098</v>
      </c>
      <c r="D2695" s="734" t="s">
        <v>21</v>
      </c>
      <c r="E2695" s="734" t="s">
        <v>614</v>
      </c>
      <c r="F2695" s="734" t="s">
        <v>696</v>
      </c>
      <c r="G2695" s="733"/>
      <c r="H2695" s="733"/>
      <c r="I2695" s="733"/>
      <c r="J2695" s="733"/>
      <c r="K2695" s="733"/>
      <c r="L2695" s="733"/>
      <c r="M2695" s="733"/>
    </row>
    <row r="2696" spans="1:13" x14ac:dyDescent="0.3">
      <c r="A2696" s="733" t="s">
        <v>2673</v>
      </c>
      <c r="B2696" s="733" t="s">
        <v>612</v>
      </c>
      <c r="C2696" s="733" t="s">
        <v>1099</v>
      </c>
      <c r="D2696" s="733" t="s">
        <v>21</v>
      </c>
      <c r="E2696" s="733" t="s">
        <v>614</v>
      </c>
      <c r="F2696" s="733" t="s">
        <v>615</v>
      </c>
      <c r="G2696" s="733"/>
      <c r="H2696" s="733"/>
      <c r="I2696" s="733"/>
      <c r="J2696" s="733"/>
      <c r="K2696" s="733"/>
      <c r="L2696" s="733"/>
      <c r="M2696" s="733"/>
    </row>
    <row r="2697" spans="1:13" x14ac:dyDescent="0.3">
      <c r="A2697" s="733" t="s">
        <v>2673</v>
      </c>
      <c r="B2697" s="733" t="s">
        <v>612</v>
      </c>
      <c r="C2697" s="733" t="s">
        <v>1100</v>
      </c>
      <c r="D2697" s="733" t="s">
        <v>21</v>
      </c>
      <c r="E2697" s="733" t="s">
        <v>614</v>
      </c>
      <c r="F2697" s="733" t="s">
        <v>615</v>
      </c>
      <c r="G2697" s="733"/>
      <c r="H2697" s="733"/>
      <c r="I2697" s="733"/>
      <c r="J2697" s="733"/>
      <c r="K2697" s="733"/>
      <c r="L2697" s="733"/>
      <c r="M2697" s="733"/>
    </row>
    <row r="2698" spans="1:13" x14ac:dyDescent="0.3">
      <c r="A2698" s="733" t="s">
        <v>2673</v>
      </c>
      <c r="B2698" s="733" t="s">
        <v>612</v>
      </c>
      <c r="C2698" s="733" t="s">
        <v>1101</v>
      </c>
      <c r="D2698" s="733" t="s">
        <v>21</v>
      </c>
      <c r="E2698" s="733" t="s">
        <v>614</v>
      </c>
      <c r="F2698" s="733" t="s">
        <v>615</v>
      </c>
      <c r="G2698" s="733"/>
      <c r="H2698" s="733"/>
      <c r="I2698" s="733"/>
      <c r="J2698" s="733"/>
      <c r="K2698" s="733"/>
      <c r="L2698" s="733"/>
      <c r="M2698" s="733"/>
    </row>
    <row r="2699" spans="1:13" x14ac:dyDescent="0.3">
      <c r="A2699" s="733" t="s">
        <v>2673</v>
      </c>
      <c r="B2699" s="733" t="s">
        <v>645</v>
      </c>
      <c r="C2699" s="733" t="s">
        <v>1833</v>
      </c>
      <c r="D2699" s="733" t="s">
        <v>21</v>
      </c>
      <c r="E2699" s="733" t="s">
        <v>614</v>
      </c>
      <c r="F2699" s="733" t="s">
        <v>615</v>
      </c>
      <c r="G2699" s="733"/>
      <c r="H2699" s="733"/>
      <c r="I2699" s="733"/>
      <c r="J2699" s="733"/>
      <c r="K2699" s="733"/>
      <c r="L2699" s="733"/>
      <c r="M2699" s="733"/>
    </row>
    <row r="2700" spans="1:13" x14ac:dyDescent="0.3">
      <c r="A2700" s="733" t="s">
        <v>2673</v>
      </c>
      <c r="B2700" s="733" t="s">
        <v>645</v>
      </c>
      <c r="C2700" s="733" t="s">
        <v>1889</v>
      </c>
      <c r="D2700" s="733" t="s">
        <v>21</v>
      </c>
      <c r="E2700" s="733" t="s">
        <v>614</v>
      </c>
      <c r="F2700" s="733" t="s">
        <v>615</v>
      </c>
      <c r="G2700" s="733"/>
      <c r="H2700" s="733"/>
      <c r="I2700" s="733"/>
      <c r="J2700" s="733"/>
      <c r="K2700" s="733"/>
      <c r="L2700" s="733"/>
      <c r="M2700" s="733"/>
    </row>
    <row r="2701" spans="1:13" x14ac:dyDescent="0.3">
      <c r="A2701" s="733" t="s">
        <v>2673</v>
      </c>
      <c r="B2701" s="733" t="s">
        <v>645</v>
      </c>
      <c r="C2701" s="733" t="s">
        <v>2674</v>
      </c>
      <c r="D2701" s="733" t="s">
        <v>21</v>
      </c>
      <c r="E2701" s="733" t="s">
        <v>614</v>
      </c>
      <c r="F2701" s="733" t="s">
        <v>615</v>
      </c>
      <c r="G2701" s="733"/>
      <c r="H2701" s="733"/>
      <c r="I2701" s="733"/>
      <c r="J2701" s="733"/>
      <c r="K2701" s="733"/>
      <c r="L2701" s="733"/>
      <c r="M2701" s="733"/>
    </row>
    <row r="2702" spans="1:13" x14ac:dyDescent="0.3">
      <c r="A2702" s="733" t="s">
        <v>2673</v>
      </c>
      <c r="B2702" s="733" t="s">
        <v>645</v>
      </c>
      <c r="C2702" s="733" t="s">
        <v>2675</v>
      </c>
      <c r="D2702" s="733" t="s">
        <v>21</v>
      </c>
      <c r="E2702" s="733" t="s">
        <v>614</v>
      </c>
      <c r="F2702" s="733" t="s">
        <v>615</v>
      </c>
      <c r="G2702" s="733"/>
      <c r="H2702" s="733"/>
      <c r="I2702" s="733"/>
      <c r="J2702" s="733"/>
      <c r="K2702" s="733"/>
      <c r="L2702" s="733"/>
      <c r="M2702" s="733"/>
    </row>
    <row r="2703" spans="1:13" x14ac:dyDescent="0.3">
      <c r="A2703" s="733" t="s">
        <v>2673</v>
      </c>
      <c r="B2703" s="733" t="s">
        <v>664</v>
      </c>
      <c r="C2703" s="733" t="s">
        <v>2676</v>
      </c>
      <c r="D2703" s="733" t="s">
        <v>21</v>
      </c>
      <c r="E2703" s="733" t="s">
        <v>614</v>
      </c>
      <c r="F2703" s="733" t="s">
        <v>615</v>
      </c>
      <c r="G2703" s="733"/>
      <c r="H2703" s="733"/>
      <c r="I2703" s="733"/>
      <c r="J2703" s="733"/>
      <c r="K2703" s="733"/>
      <c r="L2703" s="733"/>
      <c r="M2703" s="733"/>
    </row>
    <row r="2704" spans="1:13" x14ac:dyDescent="0.3">
      <c r="A2704" s="733" t="s">
        <v>2677</v>
      </c>
      <c r="B2704" s="733" t="s">
        <v>612</v>
      </c>
      <c r="C2704" s="733" t="s">
        <v>2678</v>
      </c>
      <c r="D2704" s="734" t="s">
        <v>21</v>
      </c>
      <c r="E2704" s="733" t="s">
        <v>614</v>
      </c>
      <c r="F2704" s="733" t="s">
        <v>615</v>
      </c>
      <c r="G2704" s="733"/>
      <c r="H2704" s="733"/>
      <c r="I2704" s="733"/>
      <c r="J2704" s="733"/>
      <c r="K2704" s="733"/>
      <c r="L2704" s="733"/>
      <c r="M2704" s="733"/>
    </row>
    <row r="2705" spans="1:13" ht="19.2" x14ac:dyDescent="0.45">
      <c r="A2705" s="734" t="s">
        <v>2677</v>
      </c>
      <c r="B2705" s="734" t="s">
        <v>612</v>
      </c>
      <c r="C2705" s="736" t="s">
        <v>2679</v>
      </c>
      <c r="D2705" s="734" t="s">
        <v>21</v>
      </c>
      <c r="E2705" s="734" t="s">
        <v>614</v>
      </c>
      <c r="F2705" s="734" t="s">
        <v>696</v>
      </c>
      <c r="G2705" s="733"/>
      <c r="H2705" s="733"/>
      <c r="I2705" s="733"/>
      <c r="J2705" s="733"/>
      <c r="K2705" s="733"/>
      <c r="L2705" s="733"/>
      <c r="M2705" s="733"/>
    </row>
    <row r="2706" spans="1:13" ht="19.2" x14ac:dyDescent="0.45">
      <c r="A2706" s="733" t="s">
        <v>2677</v>
      </c>
      <c r="B2706" s="733" t="s">
        <v>612</v>
      </c>
      <c r="C2706" s="736" t="s">
        <v>2680</v>
      </c>
      <c r="D2706" s="734" t="s">
        <v>21</v>
      </c>
      <c r="E2706" s="733" t="s">
        <v>614</v>
      </c>
      <c r="F2706" s="733" t="s">
        <v>615</v>
      </c>
      <c r="G2706" s="733"/>
      <c r="H2706" s="733"/>
      <c r="I2706" s="733"/>
      <c r="J2706" s="733"/>
      <c r="K2706" s="733"/>
      <c r="L2706" s="733"/>
      <c r="M2706" s="733"/>
    </row>
    <row r="2707" spans="1:13" x14ac:dyDescent="0.3">
      <c r="A2707" s="733" t="s">
        <v>2677</v>
      </c>
      <c r="B2707" s="733" t="s">
        <v>612</v>
      </c>
      <c r="C2707" s="733" t="s">
        <v>2681</v>
      </c>
      <c r="D2707" s="734" t="s">
        <v>21</v>
      </c>
      <c r="E2707" s="733" t="s">
        <v>614</v>
      </c>
      <c r="F2707" s="733" t="s">
        <v>615</v>
      </c>
      <c r="G2707" s="733"/>
      <c r="H2707" s="733"/>
      <c r="I2707" s="733"/>
      <c r="J2707" s="733"/>
      <c r="K2707" s="733"/>
      <c r="L2707" s="733"/>
      <c r="M2707" s="733"/>
    </row>
    <row r="2708" spans="1:13" ht="19.2" x14ac:dyDescent="0.45">
      <c r="A2708" s="734" t="s">
        <v>2677</v>
      </c>
      <c r="B2708" s="734" t="s">
        <v>612</v>
      </c>
      <c r="C2708" s="736" t="s">
        <v>2682</v>
      </c>
      <c r="D2708" s="734" t="s">
        <v>21</v>
      </c>
      <c r="E2708" s="734" t="s">
        <v>614</v>
      </c>
      <c r="F2708" s="734" t="s">
        <v>696</v>
      </c>
      <c r="G2708" s="733"/>
      <c r="H2708" s="733"/>
      <c r="I2708" s="733"/>
      <c r="J2708" s="733"/>
      <c r="K2708" s="733"/>
      <c r="L2708" s="733"/>
      <c r="M2708" s="733"/>
    </row>
    <row r="2709" spans="1:13" x14ac:dyDescent="0.3">
      <c r="A2709" s="733" t="s">
        <v>2677</v>
      </c>
      <c r="B2709" s="733" t="s">
        <v>612</v>
      </c>
      <c r="C2709" s="733" t="s">
        <v>2683</v>
      </c>
      <c r="D2709" s="734" t="s">
        <v>21</v>
      </c>
      <c r="E2709" s="733" t="s">
        <v>614</v>
      </c>
      <c r="F2709" s="733" t="s">
        <v>615</v>
      </c>
      <c r="G2709" s="733"/>
      <c r="H2709" s="733"/>
      <c r="I2709" s="733"/>
      <c r="J2709" s="733"/>
      <c r="K2709" s="733"/>
      <c r="L2709" s="733"/>
      <c r="M2709" s="733"/>
    </row>
    <row r="2710" spans="1:13" x14ac:dyDescent="0.3">
      <c r="A2710" s="733" t="s">
        <v>2677</v>
      </c>
      <c r="B2710" s="733" t="s">
        <v>612</v>
      </c>
      <c r="C2710" s="733" t="s">
        <v>2684</v>
      </c>
      <c r="D2710" s="734" t="s">
        <v>21</v>
      </c>
      <c r="E2710" s="733" t="s">
        <v>614</v>
      </c>
      <c r="F2710" s="733" t="s">
        <v>615</v>
      </c>
      <c r="G2710" s="733"/>
      <c r="H2710" s="733"/>
      <c r="I2710" s="733"/>
      <c r="J2710" s="733"/>
      <c r="K2710" s="733"/>
      <c r="L2710" s="733"/>
      <c r="M2710" s="733"/>
    </row>
    <row r="2711" spans="1:13" x14ac:dyDescent="0.3">
      <c r="A2711" s="733" t="s">
        <v>2677</v>
      </c>
      <c r="B2711" s="733" t="s">
        <v>612</v>
      </c>
      <c r="C2711" s="733" t="s">
        <v>2685</v>
      </c>
      <c r="D2711" s="734" t="s">
        <v>21</v>
      </c>
      <c r="E2711" s="733" t="s">
        <v>614</v>
      </c>
      <c r="F2711" s="733" t="s">
        <v>615</v>
      </c>
      <c r="G2711" s="733"/>
      <c r="H2711" s="733"/>
      <c r="I2711" s="733"/>
      <c r="J2711" s="733"/>
      <c r="K2711" s="733"/>
      <c r="L2711" s="733"/>
      <c r="M2711" s="733"/>
    </row>
    <row r="2712" spans="1:13" x14ac:dyDescent="0.3">
      <c r="A2712" s="733" t="s">
        <v>2677</v>
      </c>
      <c r="B2712" s="733" t="s">
        <v>612</v>
      </c>
      <c r="C2712" s="733" t="s">
        <v>2686</v>
      </c>
      <c r="D2712" s="734" t="s">
        <v>21</v>
      </c>
      <c r="E2712" s="733" t="s">
        <v>614</v>
      </c>
      <c r="F2712" s="733" t="s">
        <v>615</v>
      </c>
      <c r="G2712" s="733"/>
      <c r="H2712" s="733"/>
      <c r="I2712" s="733"/>
      <c r="J2712" s="733"/>
      <c r="K2712" s="733"/>
      <c r="L2712" s="733"/>
      <c r="M2712" s="733"/>
    </row>
    <row r="2713" spans="1:13" ht="19.2" x14ac:dyDescent="0.45">
      <c r="A2713" s="733" t="s">
        <v>2677</v>
      </c>
      <c r="B2713" s="733" t="s">
        <v>612</v>
      </c>
      <c r="C2713" s="736" t="s">
        <v>2687</v>
      </c>
      <c r="D2713" s="734" t="s">
        <v>21</v>
      </c>
      <c r="E2713" s="733" t="s">
        <v>614</v>
      </c>
      <c r="F2713" s="733" t="s">
        <v>615</v>
      </c>
      <c r="G2713" s="733"/>
      <c r="H2713" s="733"/>
      <c r="I2713" s="733"/>
      <c r="J2713" s="733"/>
      <c r="K2713" s="733"/>
      <c r="L2713" s="733"/>
      <c r="M2713" s="733"/>
    </row>
    <row r="2714" spans="1:13" x14ac:dyDescent="0.3">
      <c r="A2714" s="733" t="s">
        <v>2677</v>
      </c>
      <c r="B2714" s="733" t="s">
        <v>612</v>
      </c>
      <c r="C2714" s="733" t="s">
        <v>2688</v>
      </c>
      <c r="D2714" s="734" t="s">
        <v>21</v>
      </c>
      <c r="E2714" s="733" t="s">
        <v>614</v>
      </c>
      <c r="F2714" s="733" t="s">
        <v>615</v>
      </c>
      <c r="G2714" s="733"/>
      <c r="H2714" s="733"/>
      <c r="I2714" s="733"/>
      <c r="J2714" s="733"/>
      <c r="K2714" s="733"/>
      <c r="L2714" s="733"/>
      <c r="M2714" s="733"/>
    </row>
    <row r="2715" spans="1:13" x14ac:dyDescent="0.3">
      <c r="A2715" s="733" t="s">
        <v>2677</v>
      </c>
      <c r="B2715" s="733" t="s">
        <v>645</v>
      </c>
      <c r="C2715" s="733" t="s">
        <v>2689</v>
      </c>
      <c r="D2715" s="734" t="s">
        <v>21</v>
      </c>
      <c r="E2715" s="733" t="s">
        <v>614</v>
      </c>
      <c r="F2715" s="733" t="s">
        <v>615</v>
      </c>
      <c r="G2715" s="733"/>
      <c r="H2715" s="733"/>
      <c r="I2715" s="733"/>
      <c r="J2715" s="733"/>
      <c r="K2715" s="733"/>
      <c r="L2715" s="733"/>
      <c r="M2715" s="733"/>
    </row>
    <row r="2716" spans="1:13" x14ac:dyDescent="0.3">
      <c r="A2716" s="734" t="s">
        <v>2677</v>
      </c>
      <c r="B2716" s="734" t="s">
        <v>645</v>
      </c>
      <c r="C2716" s="733" t="s">
        <v>2690</v>
      </c>
      <c r="D2716" s="734" t="s">
        <v>21</v>
      </c>
      <c r="E2716" s="734" t="s">
        <v>614</v>
      </c>
      <c r="F2716" s="734" t="s">
        <v>736</v>
      </c>
      <c r="G2716" s="733"/>
      <c r="H2716" s="733"/>
      <c r="I2716" s="733"/>
      <c r="J2716" s="733"/>
      <c r="K2716" s="733"/>
      <c r="L2716" s="733"/>
      <c r="M2716" s="733"/>
    </row>
    <row r="2717" spans="1:13" x14ac:dyDescent="0.3">
      <c r="A2717" s="734" t="s">
        <v>2677</v>
      </c>
      <c r="B2717" s="734" t="s">
        <v>645</v>
      </c>
      <c r="C2717" s="733" t="s">
        <v>2691</v>
      </c>
      <c r="D2717" s="734" t="s">
        <v>21</v>
      </c>
      <c r="E2717" s="734" t="s">
        <v>614</v>
      </c>
      <c r="F2717" s="734" t="s">
        <v>736</v>
      </c>
      <c r="G2717" s="733"/>
      <c r="H2717" s="733"/>
      <c r="I2717" s="733"/>
      <c r="J2717" s="733"/>
      <c r="K2717" s="733"/>
      <c r="L2717" s="733"/>
      <c r="M2717" s="733"/>
    </row>
    <row r="2718" spans="1:13" x14ac:dyDescent="0.3">
      <c r="A2718" s="734" t="s">
        <v>2677</v>
      </c>
      <c r="B2718" s="734" t="s">
        <v>645</v>
      </c>
      <c r="C2718" s="733" t="s">
        <v>2692</v>
      </c>
      <c r="D2718" s="734" t="s">
        <v>21</v>
      </c>
      <c r="E2718" s="734" t="s">
        <v>614</v>
      </c>
      <c r="F2718" s="734" t="s">
        <v>736</v>
      </c>
      <c r="G2718" s="733"/>
      <c r="H2718" s="733"/>
      <c r="I2718" s="733"/>
      <c r="J2718" s="733"/>
      <c r="K2718" s="733"/>
      <c r="L2718" s="733"/>
      <c r="M2718" s="733"/>
    </row>
    <row r="2719" spans="1:13" x14ac:dyDescent="0.3">
      <c r="A2719" s="733" t="s">
        <v>2677</v>
      </c>
      <c r="B2719" s="733" t="s">
        <v>664</v>
      </c>
      <c r="C2719" s="733" t="s">
        <v>2693</v>
      </c>
      <c r="D2719" s="733" t="s">
        <v>21</v>
      </c>
      <c r="E2719" s="733" t="s">
        <v>614</v>
      </c>
      <c r="F2719" s="733" t="s">
        <v>615</v>
      </c>
      <c r="G2719" s="733"/>
      <c r="H2719" s="733"/>
      <c r="I2719" s="733"/>
      <c r="J2719" s="733"/>
      <c r="K2719" s="733"/>
      <c r="L2719" s="733"/>
      <c r="M2719" s="733"/>
    </row>
    <row r="2720" spans="1:13" x14ac:dyDescent="0.3">
      <c r="A2720" s="733" t="s">
        <v>2677</v>
      </c>
      <c r="B2720" s="733" t="s">
        <v>664</v>
      </c>
      <c r="C2720" s="733" t="s">
        <v>2694</v>
      </c>
      <c r="D2720" s="734" t="s">
        <v>21</v>
      </c>
      <c r="E2720" s="733" t="s">
        <v>614</v>
      </c>
      <c r="F2720" s="733" t="s">
        <v>615</v>
      </c>
      <c r="G2720" s="733"/>
      <c r="H2720" s="733"/>
      <c r="I2720" s="733"/>
      <c r="J2720" s="733"/>
      <c r="K2720" s="733"/>
      <c r="L2720" s="733"/>
      <c r="M2720" s="733"/>
    </row>
    <row r="2721" spans="1:13" x14ac:dyDescent="0.3">
      <c r="A2721" s="733" t="s">
        <v>2695</v>
      </c>
      <c r="B2721" s="733" t="s">
        <v>612</v>
      </c>
      <c r="C2721" s="733" t="s">
        <v>2696</v>
      </c>
      <c r="D2721" s="733" t="s">
        <v>21</v>
      </c>
      <c r="E2721" s="733" t="s">
        <v>614</v>
      </c>
      <c r="F2721" s="733" t="s">
        <v>615</v>
      </c>
      <c r="G2721" s="733"/>
      <c r="H2721" s="733"/>
      <c r="I2721" s="733"/>
      <c r="J2721" s="733"/>
      <c r="K2721" s="733"/>
      <c r="L2721" s="733"/>
      <c r="M2721" s="733"/>
    </row>
    <row r="2722" spans="1:13" x14ac:dyDescent="0.3">
      <c r="A2722" s="733" t="s">
        <v>2697</v>
      </c>
      <c r="B2722" s="733" t="s">
        <v>612</v>
      </c>
      <c r="C2722" s="733" t="s">
        <v>2698</v>
      </c>
      <c r="D2722" s="733" t="s">
        <v>21</v>
      </c>
      <c r="E2722" s="733" t="s">
        <v>614</v>
      </c>
      <c r="F2722" s="733" t="s">
        <v>615</v>
      </c>
      <c r="G2722" s="733"/>
      <c r="H2722" s="733"/>
      <c r="I2722" s="733"/>
      <c r="J2722" s="733"/>
      <c r="K2722" s="733"/>
      <c r="L2722" s="733"/>
      <c r="M2722" s="733"/>
    </row>
    <row r="2723" spans="1:13" x14ac:dyDescent="0.3">
      <c r="A2723" s="734" t="s">
        <v>2697</v>
      </c>
      <c r="B2723" s="734" t="s">
        <v>612</v>
      </c>
      <c r="C2723" s="734" t="s">
        <v>2699</v>
      </c>
      <c r="D2723" s="733" t="s">
        <v>21</v>
      </c>
      <c r="E2723" s="734" t="s">
        <v>614</v>
      </c>
      <c r="F2723" s="734" t="s">
        <v>696</v>
      </c>
      <c r="G2723" s="733"/>
      <c r="H2723" s="733"/>
      <c r="I2723" s="733"/>
      <c r="J2723" s="733"/>
      <c r="K2723" s="733"/>
      <c r="L2723" s="733"/>
      <c r="M2723" s="733"/>
    </row>
    <row r="2724" spans="1:13" x14ac:dyDescent="0.3">
      <c r="A2724" s="733" t="s">
        <v>2697</v>
      </c>
      <c r="B2724" s="733" t="s">
        <v>612</v>
      </c>
      <c r="C2724" s="733" t="s">
        <v>2700</v>
      </c>
      <c r="D2724" s="733" t="s">
        <v>21</v>
      </c>
      <c r="E2724" s="733" t="s">
        <v>614</v>
      </c>
      <c r="F2724" s="733" t="s">
        <v>615</v>
      </c>
      <c r="G2724" s="733"/>
      <c r="H2724" s="733"/>
      <c r="I2724" s="733"/>
      <c r="J2724" s="733"/>
      <c r="K2724" s="733"/>
      <c r="L2724" s="733"/>
      <c r="M2724" s="733"/>
    </row>
    <row r="2725" spans="1:13" x14ac:dyDescent="0.3">
      <c r="A2725" s="733" t="s">
        <v>2697</v>
      </c>
      <c r="B2725" s="733" t="s">
        <v>612</v>
      </c>
      <c r="C2725" s="733" t="s">
        <v>2701</v>
      </c>
      <c r="D2725" s="733" t="s">
        <v>21</v>
      </c>
      <c r="E2725" s="733" t="s">
        <v>614</v>
      </c>
      <c r="F2725" s="733" t="s">
        <v>615</v>
      </c>
      <c r="G2725" s="733"/>
      <c r="H2725" s="733"/>
      <c r="I2725" s="733"/>
      <c r="J2725" s="733"/>
      <c r="K2725" s="733"/>
      <c r="L2725" s="733"/>
      <c r="M2725" s="733"/>
    </row>
    <row r="2726" spans="1:13" x14ac:dyDescent="0.3">
      <c r="A2726" s="733" t="s">
        <v>2697</v>
      </c>
      <c r="B2726" s="733" t="s">
        <v>612</v>
      </c>
      <c r="C2726" s="733" t="s">
        <v>2702</v>
      </c>
      <c r="D2726" s="733" t="s">
        <v>21</v>
      </c>
      <c r="E2726" s="733" t="s">
        <v>614</v>
      </c>
      <c r="F2726" s="733" t="s">
        <v>615</v>
      </c>
      <c r="G2726" s="733"/>
      <c r="H2726" s="733"/>
      <c r="I2726" s="733"/>
      <c r="J2726" s="733"/>
      <c r="K2726" s="733"/>
      <c r="L2726" s="733"/>
      <c r="M2726" s="733"/>
    </row>
    <row r="2727" spans="1:13" x14ac:dyDescent="0.3">
      <c r="A2727" s="734" t="s">
        <v>2697</v>
      </c>
      <c r="B2727" s="734" t="s">
        <v>612</v>
      </c>
      <c r="C2727" s="734" t="s">
        <v>2703</v>
      </c>
      <c r="D2727" s="733" t="s">
        <v>21</v>
      </c>
      <c r="E2727" s="734" t="s">
        <v>614</v>
      </c>
      <c r="F2727" s="734" t="s">
        <v>696</v>
      </c>
      <c r="G2727" s="733"/>
      <c r="H2727" s="733"/>
      <c r="I2727" s="733"/>
      <c r="J2727" s="733"/>
      <c r="K2727" s="733"/>
      <c r="L2727" s="733"/>
      <c r="M2727" s="733"/>
    </row>
    <row r="2728" spans="1:13" x14ac:dyDescent="0.3">
      <c r="A2728" s="733" t="s">
        <v>2697</v>
      </c>
      <c r="B2728" s="733" t="s">
        <v>612</v>
      </c>
      <c r="C2728" s="733" t="s">
        <v>2704</v>
      </c>
      <c r="D2728" s="733" t="s">
        <v>21</v>
      </c>
      <c r="E2728" s="733" t="s">
        <v>614</v>
      </c>
      <c r="F2728" s="733" t="s">
        <v>615</v>
      </c>
      <c r="G2728" s="733"/>
      <c r="H2728" s="733"/>
      <c r="I2728" s="733"/>
      <c r="J2728" s="733"/>
      <c r="K2728" s="733"/>
      <c r="L2728" s="733"/>
      <c r="M2728" s="733"/>
    </row>
    <row r="2729" spans="1:13" x14ac:dyDescent="0.3">
      <c r="A2729" s="733" t="s">
        <v>2697</v>
      </c>
      <c r="B2729" s="733" t="s">
        <v>612</v>
      </c>
      <c r="C2729" s="733" t="s">
        <v>2705</v>
      </c>
      <c r="D2729" s="733" t="s">
        <v>21</v>
      </c>
      <c r="E2729" s="733" t="s">
        <v>614</v>
      </c>
      <c r="F2729" s="733" t="s">
        <v>615</v>
      </c>
      <c r="G2729" s="733"/>
      <c r="H2729" s="733"/>
      <c r="I2729" s="733"/>
      <c r="J2729" s="733"/>
      <c r="K2729" s="733"/>
      <c r="L2729" s="733"/>
      <c r="M2729" s="733"/>
    </row>
    <row r="2730" spans="1:13" x14ac:dyDescent="0.3">
      <c r="A2730" s="733" t="s">
        <v>2697</v>
      </c>
      <c r="B2730" s="733" t="s">
        <v>645</v>
      </c>
      <c r="C2730" s="733" t="s">
        <v>2706</v>
      </c>
      <c r="D2730" s="733" t="s">
        <v>21</v>
      </c>
      <c r="E2730" s="733" t="s">
        <v>614</v>
      </c>
      <c r="F2730" s="733" t="s">
        <v>615</v>
      </c>
      <c r="G2730" s="733"/>
      <c r="H2730" s="733"/>
      <c r="I2730" s="733"/>
      <c r="J2730" s="733"/>
      <c r="K2730" s="733"/>
      <c r="L2730" s="733"/>
      <c r="M2730" s="733"/>
    </row>
    <row r="2731" spans="1:13" x14ac:dyDescent="0.3">
      <c r="A2731" s="734" t="s">
        <v>2697</v>
      </c>
      <c r="B2731" s="734" t="s">
        <v>645</v>
      </c>
      <c r="C2731" s="734" t="s">
        <v>2707</v>
      </c>
      <c r="D2731" s="734" t="s">
        <v>21</v>
      </c>
      <c r="E2731" s="734" t="s">
        <v>614</v>
      </c>
      <c r="F2731" s="734" t="s">
        <v>736</v>
      </c>
      <c r="G2731" s="733"/>
      <c r="H2731" s="733"/>
      <c r="I2731" s="733"/>
      <c r="J2731" s="733"/>
      <c r="K2731" s="733"/>
      <c r="L2731" s="733"/>
      <c r="M2731" s="733"/>
    </row>
    <row r="2732" spans="1:13" x14ac:dyDescent="0.3">
      <c r="A2732" s="733" t="s">
        <v>2697</v>
      </c>
      <c r="B2732" s="733" t="s">
        <v>645</v>
      </c>
      <c r="C2732" s="733" t="s">
        <v>2708</v>
      </c>
      <c r="D2732" s="733" t="s">
        <v>21</v>
      </c>
      <c r="E2732" s="733" t="s">
        <v>614</v>
      </c>
      <c r="F2732" s="733" t="s">
        <v>615</v>
      </c>
      <c r="G2732" s="733"/>
      <c r="H2732" s="733"/>
      <c r="I2732" s="733"/>
      <c r="J2732" s="733"/>
      <c r="K2732" s="733"/>
      <c r="L2732" s="733"/>
      <c r="M2732" s="733"/>
    </row>
    <row r="2733" spans="1:13" x14ac:dyDescent="0.3">
      <c r="A2733" s="733" t="s">
        <v>2697</v>
      </c>
      <c r="B2733" s="733" t="s">
        <v>645</v>
      </c>
      <c r="C2733" s="733" t="s">
        <v>2709</v>
      </c>
      <c r="D2733" s="733" t="s">
        <v>21</v>
      </c>
      <c r="E2733" s="733" t="s">
        <v>614</v>
      </c>
      <c r="F2733" s="733" t="s">
        <v>615</v>
      </c>
      <c r="G2733" s="733"/>
      <c r="H2733" s="733"/>
      <c r="I2733" s="733"/>
      <c r="J2733" s="733"/>
      <c r="K2733" s="733"/>
      <c r="L2733" s="733"/>
      <c r="M2733" s="733"/>
    </row>
    <row r="2734" spans="1:13" x14ac:dyDescent="0.3">
      <c r="A2734" s="733" t="s">
        <v>2697</v>
      </c>
      <c r="B2734" s="733" t="s">
        <v>645</v>
      </c>
      <c r="C2734" s="733" t="s">
        <v>2710</v>
      </c>
      <c r="D2734" s="733" t="s">
        <v>21</v>
      </c>
      <c r="E2734" s="733" t="s">
        <v>614</v>
      </c>
      <c r="F2734" s="733" t="s">
        <v>615</v>
      </c>
      <c r="G2734" s="733"/>
      <c r="H2734" s="733"/>
      <c r="I2734" s="733"/>
      <c r="J2734" s="733"/>
      <c r="K2734" s="733"/>
      <c r="L2734" s="733"/>
      <c r="M2734" s="733"/>
    </row>
    <row r="2735" spans="1:13" x14ac:dyDescent="0.3">
      <c r="A2735" s="733" t="s">
        <v>2697</v>
      </c>
      <c r="B2735" s="733" t="s">
        <v>645</v>
      </c>
      <c r="C2735" s="733" t="s">
        <v>2711</v>
      </c>
      <c r="D2735" s="733" t="s">
        <v>21</v>
      </c>
      <c r="E2735" s="733" t="s">
        <v>614</v>
      </c>
      <c r="F2735" s="733" t="s">
        <v>615</v>
      </c>
      <c r="G2735" s="733"/>
      <c r="H2735" s="733"/>
      <c r="I2735" s="733"/>
      <c r="J2735" s="733"/>
      <c r="K2735" s="733"/>
      <c r="L2735" s="733"/>
      <c r="M2735" s="733"/>
    </row>
    <row r="2736" spans="1:13" x14ac:dyDescent="0.3">
      <c r="A2736" s="733" t="s">
        <v>2697</v>
      </c>
      <c r="B2736" s="733" t="s">
        <v>645</v>
      </c>
      <c r="C2736" s="733" t="s">
        <v>2712</v>
      </c>
      <c r="D2736" s="733" t="s">
        <v>21</v>
      </c>
      <c r="E2736" s="733" t="s">
        <v>614</v>
      </c>
      <c r="F2736" s="733" t="s">
        <v>615</v>
      </c>
      <c r="G2736" s="733"/>
      <c r="H2736" s="733"/>
      <c r="I2736" s="733"/>
      <c r="J2736" s="733"/>
      <c r="K2736" s="733"/>
      <c r="L2736" s="733"/>
      <c r="M2736" s="733"/>
    </row>
    <row r="2737" spans="1:13" x14ac:dyDescent="0.3">
      <c r="A2737" s="733" t="s">
        <v>2697</v>
      </c>
      <c r="B2737" s="733" t="s">
        <v>645</v>
      </c>
      <c r="C2737" s="733" t="s">
        <v>2713</v>
      </c>
      <c r="D2737" s="733" t="s">
        <v>21</v>
      </c>
      <c r="E2737" s="733" t="s">
        <v>614</v>
      </c>
      <c r="F2737" s="733" t="s">
        <v>615</v>
      </c>
      <c r="G2737" s="733"/>
      <c r="H2737" s="733"/>
      <c r="I2737" s="733"/>
      <c r="J2737" s="733"/>
      <c r="K2737" s="733"/>
      <c r="L2737" s="733"/>
      <c r="M2737" s="733"/>
    </row>
    <row r="2738" spans="1:13" x14ac:dyDescent="0.3">
      <c r="A2738" s="733" t="s">
        <v>2697</v>
      </c>
      <c r="B2738" s="733" t="s">
        <v>664</v>
      </c>
      <c r="C2738" s="733" t="s">
        <v>2714</v>
      </c>
      <c r="D2738" s="733" t="s">
        <v>21</v>
      </c>
      <c r="E2738" s="733" t="s">
        <v>614</v>
      </c>
      <c r="F2738" s="733" t="s">
        <v>615</v>
      </c>
      <c r="G2738" s="733"/>
      <c r="H2738" s="733"/>
      <c r="I2738" s="733"/>
      <c r="J2738" s="733"/>
      <c r="K2738" s="733"/>
      <c r="L2738" s="733"/>
      <c r="M2738" s="733"/>
    </row>
    <row r="2739" spans="1:13" x14ac:dyDescent="0.3">
      <c r="A2739" s="733" t="s">
        <v>2697</v>
      </c>
      <c r="B2739" s="733" t="s">
        <v>664</v>
      </c>
      <c r="C2739" s="733" t="s">
        <v>2715</v>
      </c>
      <c r="D2739" s="733" t="s">
        <v>21</v>
      </c>
      <c r="E2739" s="733" t="s">
        <v>614</v>
      </c>
      <c r="F2739" s="733" t="s">
        <v>615</v>
      </c>
      <c r="G2739" s="733"/>
      <c r="H2739" s="733"/>
      <c r="I2739" s="733"/>
      <c r="J2739" s="733"/>
      <c r="K2739" s="733"/>
      <c r="L2739" s="733"/>
      <c r="M2739" s="733"/>
    </row>
    <row r="2740" spans="1:13" x14ac:dyDescent="0.3">
      <c r="A2740" s="733" t="s">
        <v>2697</v>
      </c>
      <c r="B2740" s="733" t="s">
        <v>664</v>
      </c>
      <c r="C2740" s="733" t="s">
        <v>1893</v>
      </c>
      <c r="D2740" s="733" t="s">
        <v>21</v>
      </c>
      <c r="E2740" s="733" t="s">
        <v>614</v>
      </c>
      <c r="F2740" s="733" t="s">
        <v>615</v>
      </c>
      <c r="G2740" s="733"/>
      <c r="H2740" s="733"/>
      <c r="I2740" s="733"/>
      <c r="J2740" s="733"/>
      <c r="K2740" s="733"/>
      <c r="L2740" s="733"/>
      <c r="M2740" s="733"/>
    </row>
    <row r="2741" spans="1:13" x14ac:dyDescent="0.3">
      <c r="A2741" s="733" t="s">
        <v>2697</v>
      </c>
      <c r="B2741" s="733" t="s">
        <v>664</v>
      </c>
      <c r="C2741" s="733" t="s">
        <v>2716</v>
      </c>
      <c r="D2741" s="733" t="s">
        <v>21</v>
      </c>
      <c r="E2741" s="733" t="s">
        <v>614</v>
      </c>
      <c r="F2741" s="733" t="s">
        <v>615</v>
      </c>
      <c r="G2741" s="733"/>
      <c r="H2741" s="733"/>
      <c r="I2741" s="733"/>
      <c r="J2741" s="733"/>
      <c r="K2741" s="733"/>
      <c r="L2741" s="733"/>
      <c r="M2741" s="733"/>
    </row>
    <row r="2742" spans="1:13" x14ac:dyDescent="0.3">
      <c r="A2742" s="733" t="s">
        <v>2697</v>
      </c>
      <c r="B2742" s="733" t="s">
        <v>664</v>
      </c>
      <c r="C2742" s="733" t="s">
        <v>2717</v>
      </c>
      <c r="D2742" s="733" t="s">
        <v>21</v>
      </c>
      <c r="E2742" s="733" t="s">
        <v>614</v>
      </c>
      <c r="F2742" s="733" t="s">
        <v>615</v>
      </c>
      <c r="G2742" s="733"/>
      <c r="H2742" s="733"/>
      <c r="I2742" s="733"/>
      <c r="J2742" s="733"/>
      <c r="K2742" s="733"/>
      <c r="L2742" s="733"/>
      <c r="M2742" s="733"/>
    </row>
    <row r="2743" spans="1:13" x14ac:dyDescent="0.3">
      <c r="A2743" s="733" t="s">
        <v>2697</v>
      </c>
      <c r="B2743" s="733" t="s">
        <v>664</v>
      </c>
      <c r="C2743" s="733" t="s">
        <v>2718</v>
      </c>
      <c r="D2743" s="733" t="s">
        <v>21</v>
      </c>
      <c r="E2743" s="733" t="s">
        <v>614</v>
      </c>
      <c r="F2743" s="733" t="s">
        <v>615</v>
      </c>
      <c r="G2743" s="733"/>
      <c r="H2743" s="733"/>
      <c r="I2743" s="733"/>
      <c r="J2743" s="733"/>
      <c r="K2743" s="733"/>
      <c r="L2743" s="733"/>
      <c r="M2743" s="733"/>
    </row>
    <row r="2744" spans="1:13" x14ac:dyDescent="0.3">
      <c r="A2744" s="733" t="s">
        <v>2697</v>
      </c>
      <c r="B2744" s="733" t="s">
        <v>664</v>
      </c>
      <c r="C2744" s="733" t="s">
        <v>2719</v>
      </c>
      <c r="D2744" s="733" t="s">
        <v>21</v>
      </c>
      <c r="E2744" s="733" t="s">
        <v>614</v>
      </c>
      <c r="F2744" s="733" t="s">
        <v>615</v>
      </c>
      <c r="G2744" s="733"/>
      <c r="H2744" s="733"/>
      <c r="I2744" s="733"/>
      <c r="J2744" s="733"/>
      <c r="K2744" s="733"/>
      <c r="L2744" s="733"/>
      <c r="M2744" s="733"/>
    </row>
    <row r="2745" spans="1:13" x14ac:dyDescent="0.3">
      <c r="A2745" s="733" t="s">
        <v>2720</v>
      </c>
      <c r="B2745" s="733" t="s">
        <v>612</v>
      </c>
      <c r="C2745" s="733" t="s">
        <v>2721</v>
      </c>
      <c r="D2745" s="733" t="s">
        <v>21</v>
      </c>
      <c r="E2745" s="733" t="s">
        <v>614</v>
      </c>
      <c r="F2745" s="733" t="s">
        <v>615</v>
      </c>
      <c r="G2745" s="733"/>
      <c r="H2745" s="733"/>
      <c r="I2745" s="733"/>
      <c r="J2745" s="733"/>
      <c r="K2745" s="733"/>
      <c r="L2745" s="733"/>
      <c r="M2745" s="733"/>
    </row>
    <row r="2746" spans="1:13" x14ac:dyDescent="0.3">
      <c r="A2746" s="733" t="s">
        <v>2720</v>
      </c>
      <c r="B2746" s="733" t="s">
        <v>612</v>
      </c>
      <c r="C2746" s="733" t="s">
        <v>2722</v>
      </c>
      <c r="D2746" s="733" t="s">
        <v>21</v>
      </c>
      <c r="E2746" s="733" t="s">
        <v>614</v>
      </c>
      <c r="F2746" s="733" t="s">
        <v>615</v>
      </c>
      <c r="G2746" s="733"/>
      <c r="H2746" s="733"/>
      <c r="I2746" s="733"/>
      <c r="J2746" s="733"/>
      <c r="K2746" s="733"/>
      <c r="L2746" s="733"/>
      <c r="M2746" s="733"/>
    </row>
    <row r="2747" spans="1:13" x14ac:dyDescent="0.3">
      <c r="A2747" s="733" t="s">
        <v>2720</v>
      </c>
      <c r="B2747" s="733" t="s">
        <v>612</v>
      </c>
      <c r="C2747" s="733" t="s">
        <v>2723</v>
      </c>
      <c r="D2747" s="733" t="s">
        <v>21</v>
      </c>
      <c r="E2747" s="733" t="s">
        <v>614</v>
      </c>
      <c r="F2747" s="733" t="s">
        <v>615</v>
      </c>
      <c r="G2747" s="733"/>
      <c r="H2747" s="733"/>
      <c r="I2747" s="733"/>
      <c r="J2747" s="733"/>
      <c r="K2747" s="733"/>
      <c r="L2747" s="733"/>
      <c r="M2747" s="733"/>
    </row>
    <row r="2748" spans="1:13" x14ac:dyDescent="0.3">
      <c r="A2748" s="733" t="s">
        <v>2720</v>
      </c>
      <c r="B2748" s="733" t="s">
        <v>612</v>
      </c>
      <c r="C2748" s="733" t="s">
        <v>2724</v>
      </c>
      <c r="D2748" s="733" t="s">
        <v>21</v>
      </c>
      <c r="E2748" s="733" t="s">
        <v>614</v>
      </c>
      <c r="F2748" s="733" t="s">
        <v>615</v>
      </c>
      <c r="G2748" s="733"/>
      <c r="H2748" s="733"/>
      <c r="I2748" s="733"/>
      <c r="J2748" s="733"/>
      <c r="K2748" s="733"/>
      <c r="L2748" s="733"/>
      <c r="M2748" s="733"/>
    </row>
    <row r="2749" spans="1:13" x14ac:dyDescent="0.3">
      <c r="A2749" s="733" t="s">
        <v>2725</v>
      </c>
      <c r="B2749" s="733" t="s">
        <v>612</v>
      </c>
      <c r="C2749" s="733" t="s">
        <v>963</v>
      </c>
      <c r="D2749" s="733" t="s">
        <v>21</v>
      </c>
      <c r="E2749" s="733" t="s">
        <v>614</v>
      </c>
      <c r="F2749" s="733" t="s">
        <v>615</v>
      </c>
      <c r="G2749" s="733"/>
      <c r="H2749" s="733"/>
      <c r="I2749" s="733"/>
      <c r="J2749" s="733"/>
      <c r="K2749" s="733"/>
      <c r="L2749" s="733"/>
      <c r="M2749" s="733"/>
    </row>
    <row r="2750" spans="1:13" x14ac:dyDescent="0.3">
      <c r="A2750" s="733" t="s">
        <v>2725</v>
      </c>
      <c r="B2750" s="733" t="s">
        <v>612</v>
      </c>
      <c r="C2750" s="733" t="s">
        <v>2662</v>
      </c>
      <c r="D2750" s="733" t="s">
        <v>21</v>
      </c>
      <c r="E2750" s="733" t="s">
        <v>614</v>
      </c>
      <c r="F2750" s="733" t="s">
        <v>615</v>
      </c>
      <c r="G2750" s="733"/>
      <c r="H2750" s="733"/>
      <c r="I2750" s="733"/>
      <c r="J2750" s="733"/>
      <c r="K2750" s="733"/>
      <c r="L2750" s="733"/>
      <c r="M2750" s="733"/>
    </row>
    <row r="2751" spans="1:13" x14ac:dyDescent="0.3">
      <c r="A2751" s="734" t="s">
        <v>2725</v>
      </c>
      <c r="B2751" s="734" t="s">
        <v>612</v>
      </c>
      <c r="C2751" s="734" t="s">
        <v>2726</v>
      </c>
      <c r="D2751" s="734" t="s">
        <v>21</v>
      </c>
      <c r="E2751" s="734" t="s">
        <v>614</v>
      </c>
      <c r="F2751" s="734" t="s">
        <v>696</v>
      </c>
      <c r="G2751" s="733"/>
      <c r="H2751" s="733"/>
      <c r="I2751" s="733"/>
      <c r="J2751" s="733"/>
      <c r="K2751" s="733"/>
      <c r="L2751" s="733"/>
      <c r="M2751" s="733"/>
    </row>
    <row r="2752" spans="1:13" x14ac:dyDescent="0.3">
      <c r="A2752" s="733" t="s">
        <v>2725</v>
      </c>
      <c r="B2752" s="733" t="s">
        <v>612</v>
      </c>
      <c r="C2752" s="733" t="s">
        <v>959</v>
      </c>
      <c r="D2752" s="733" t="s">
        <v>21</v>
      </c>
      <c r="E2752" s="733" t="s">
        <v>614</v>
      </c>
      <c r="F2752" s="733" t="s">
        <v>615</v>
      </c>
      <c r="G2752" s="733"/>
      <c r="H2752" s="733"/>
      <c r="I2752" s="733"/>
      <c r="J2752" s="733"/>
      <c r="K2752" s="733"/>
      <c r="L2752" s="733"/>
      <c r="M2752" s="733"/>
    </row>
    <row r="2753" spans="1:13" x14ac:dyDescent="0.3">
      <c r="A2753" s="733" t="s">
        <v>2725</v>
      </c>
      <c r="B2753" s="733" t="s">
        <v>645</v>
      </c>
      <c r="C2753" s="733" t="s">
        <v>963</v>
      </c>
      <c r="D2753" s="733" t="s">
        <v>21</v>
      </c>
      <c r="E2753" s="733" t="s">
        <v>614</v>
      </c>
      <c r="F2753" s="733" t="s">
        <v>615</v>
      </c>
      <c r="G2753" s="733"/>
      <c r="H2753" s="733"/>
      <c r="I2753" s="733"/>
      <c r="J2753" s="733"/>
      <c r="K2753" s="733"/>
      <c r="L2753" s="733"/>
      <c r="M2753" s="733"/>
    </row>
    <row r="2754" spans="1:13" x14ac:dyDescent="0.3">
      <c r="A2754" s="733" t="s">
        <v>2725</v>
      </c>
      <c r="B2754" s="733" t="s">
        <v>645</v>
      </c>
      <c r="C2754" s="733" t="s">
        <v>2240</v>
      </c>
      <c r="D2754" s="733" t="s">
        <v>21</v>
      </c>
      <c r="E2754" s="733" t="s">
        <v>614</v>
      </c>
      <c r="F2754" s="733" t="s">
        <v>615</v>
      </c>
      <c r="G2754" s="733"/>
      <c r="H2754" s="733"/>
      <c r="I2754" s="733"/>
      <c r="J2754" s="733"/>
      <c r="K2754" s="733"/>
      <c r="L2754" s="733"/>
      <c r="M2754" s="733"/>
    </row>
    <row r="2755" spans="1:13" x14ac:dyDescent="0.3">
      <c r="A2755" s="733" t="s">
        <v>2725</v>
      </c>
      <c r="B2755" s="733" t="s">
        <v>664</v>
      </c>
      <c r="C2755" s="733" t="s">
        <v>2727</v>
      </c>
      <c r="D2755" s="733" t="s">
        <v>21</v>
      </c>
      <c r="E2755" s="733" t="s">
        <v>614</v>
      </c>
      <c r="F2755" s="733" t="s">
        <v>615</v>
      </c>
      <c r="G2755" s="733"/>
      <c r="H2755" s="733"/>
      <c r="I2755" s="733"/>
      <c r="J2755" s="733"/>
      <c r="K2755" s="733"/>
      <c r="L2755" s="733"/>
      <c r="M2755" s="733"/>
    </row>
    <row r="2756" spans="1:13" x14ac:dyDescent="0.3">
      <c r="A2756" s="733" t="s">
        <v>2728</v>
      </c>
      <c r="B2756" s="733" t="s">
        <v>612</v>
      </c>
      <c r="C2756" s="733" t="s">
        <v>2729</v>
      </c>
      <c r="D2756" s="733" t="s">
        <v>21</v>
      </c>
      <c r="E2756" s="733" t="s">
        <v>614</v>
      </c>
      <c r="F2756" s="733" t="s">
        <v>615</v>
      </c>
      <c r="G2756" s="733"/>
      <c r="H2756" s="733"/>
      <c r="I2756" s="733"/>
      <c r="J2756" s="733"/>
      <c r="K2756" s="733"/>
      <c r="L2756" s="733"/>
      <c r="M2756" s="733"/>
    </row>
    <row r="2757" spans="1:13" x14ac:dyDescent="0.3">
      <c r="A2757" s="733" t="s">
        <v>2728</v>
      </c>
      <c r="B2757" s="733" t="s">
        <v>612</v>
      </c>
      <c r="C2757" s="733" t="s">
        <v>975</v>
      </c>
      <c r="D2757" s="733" t="s">
        <v>21</v>
      </c>
      <c r="E2757" s="733" t="s">
        <v>614</v>
      </c>
      <c r="F2757" s="733" t="s">
        <v>615</v>
      </c>
      <c r="G2757" s="733"/>
      <c r="H2757" s="733"/>
      <c r="I2757" s="733"/>
      <c r="J2757" s="733"/>
      <c r="K2757" s="733"/>
      <c r="L2757" s="733"/>
      <c r="M2757" s="733"/>
    </row>
    <row r="2758" spans="1:13" x14ac:dyDescent="0.3">
      <c r="A2758" s="733" t="s">
        <v>2728</v>
      </c>
      <c r="B2758" s="733" t="s">
        <v>645</v>
      </c>
      <c r="C2758" s="733" t="s">
        <v>1018</v>
      </c>
      <c r="D2758" s="733" t="s">
        <v>21</v>
      </c>
      <c r="E2758" s="733" t="s">
        <v>614</v>
      </c>
      <c r="F2758" s="733" t="s">
        <v>615</v>
      </c>
      <c r="G2758" s="733"/>
      <c r="H2758" s="733"/>
      <c r="I2758" s="733"/>
      <c r="J2758" s="733"/>
      <c r="K2758" s="733"/>
      <c r="L2758" s="733"/>
      <c r="M2758" s="733"/>
    </row>
    <row r="2759" spans="1:13" x14ac:dyDescent="0.3">
      <c r="A2759" s="733" t="s">
        <v>2728</v>
      </c>
      <c r="B2759" s="733" t="s">
        <v>645</v>
      </c>
      <c r="C2759" s="733" t="s">
        <v>2730</v>
      </c>
      <c r="D2759" s="733" t="s">
        <v>21</v>
      </c>
      <c r="E2759" s="733" t="s">
        <v>614</v>
      </c>
      <c r="F2759" s="733" t="s">
        <v>615</v>
      </c>
      <c r="G2759" s="733"/>
      <c r="H2759" s="733"/>
      <c r="I2759" s="733"/>
      <c r="J2759" s="733"/>
      <c r="K2759" s="733"/>
      <c r="L2759" s="733"/>
      <c r="M2759" s="733"/>
    </row>
    <row r="2760" spans="1:13" x14ac:dyDescent="0.3">
      <c r="A2760" s="733" t="s">
        <v>2728</v>
      </c>
      <c r="B2760" s="733" t="s">
        <v>645</v>
      </c>
      <c r="C2760" s="733" t="s">
        <v>2731</v>
      </c>
      <c r="D2760" s="733" t="s">
        <v>21</v>
      </c>
      <c r="E2760" s="733" t="s">
        <v>614</v>
      </c>
      <c r="F2760" s="733" t="s">
        <v>615</v>
      </c>
      <c r="G2760" s="733"/>
      <c r="H2760" s="733"/>
      <c r="I2760" s="733"/>
      <c r="J2760" s="733"/>
      <c r="K2760" s="733"/>
      <c r="L2760" s="733"/>
      <c r="M2760" s="733"/>
    </row>
    <row r="2761" spans="1:13" x14ac:dyDescent="0.3">
      <c r="A2761" s="733" t="s">
        <v>2728</v>
      </c>
      <c r="B2761" s="733" t="s">
        <v>645</v>
      </c>
      <c r="C2761" s="733" t="s">
        <v>2732</v>
      </c>
      <c r="D2761" s="733" t="s">
        <v>21</v>
      </c>
      <c r="E2761" s="733" t="s">
        <v>614</v>
      </c>
      <c r="F2761" s="733" t="s">
        <v>615</v>
      </c>
      <c r="G2761" s="733"/>
      <c r="H2761" s="733"/>
      <c r="I2761" s="733"/>
      <c r="J2761" s="733"/>
      <c r="K2761" s="733"/>
      <c r="L2761" s="733"/>
      <c r="M2761" s="733"/>
    </row>
    <row r="2762" spans="1:13" x14ac:dyDescent="0.3">
      <c r="A2762" s="733" t="s">
        <v>2728</v>
      </c>
      <c r="B2762" s="733" t="s">
        <v>645</v>
      </c>
      <c r="C2762" s="733" t="s">
        <v>2733</v>
      </c>
      <c r="D2762" s="733" t="s">
        <v>21</v>
      </c>
      <c r="E2762" s="733" t="s">
        <v>614</v>
      </c>
      <c r="F2762" s="733" t="s">
        <v>615</v>
      </c>
      <c r="G2762" s="733"/>
      <c r="H2762" s="733"/>
      <c r="I2762" s="733"/>
      <c r="J2762" s="733"/>
      <c r="K2762" s="733"/>
      <c r="L2762" s="733"/>
      <c r="M2762" s="733"/>
    </row>
    <row r="2763" spans="1:13" x14ac:dyDescent="0.3">
      <c r="A2763" s="733" t="s">
        <v>2728</v>
      </c>
      <c r="B2763" s="733" t="s">
        <v>645</v>
      </c>
      <c r="C2763" s="733" t="s">
        <v>1687</v>
      </c>
      <c r="D2763" s="733" t="s">
        <v>21</v>
      </c>
      <c r="E2763" s="733" t="s">
        <v>614</v>
      </c>
      <c r="F2763" s="733" t="s">
        <v>615</v>
      </c>
      <c r="G2763" s="733"/>
      <c r="H2763" s="733"/>
      <c r="I2763" s="733"/>
      <c r="J2763" s="733"/>
      <c r="K2763" s="733"/>
      <c r="L2763" s="733"/>
      <c r="M2763" s="733"/>
    </row>
    <row r="2764" spans="1:13" x14ac:dyDescent="0.3">
      <c r="A2764" s="733" t="s">
        <v>2734</v>
      </c>
      <c r="B2764" s="733" t="s">
        <v>612</v>
      </c>
      <c r="C2764" s="733" t="s">
        <v>2735</v>
      </c>
      <c r="D2764" s="733" t="s">
        <v>21</v>
      </c>
      <c r="E2764" s="733" t="s">
        <v>614</v>
      </c>
      <c r="F2764" s="733" t="s">
        <v>615</v>
      </c>
      <c r="G2764" s="733"/>
      <c r="H2764" s="733"/>
      <c r="I2764" s="733"/>
      <c r="J2764" s="733"/>
      <c r="K2764" s="733"/>
      <c r="L2764" s="733"/>
      <c r="M2764" s="733"/>
    </row>
    <row r="2765" spans="1:13" x14ac:dyDescent="0.3">
      <c r="A2765" s="733" t="s">
        <v>2736</v>
      </c>
      <c r="B2765" s="733" t="s">
        <v>612</v>
      </c>
      <c r="C2765" s="733" t="s">
        <v>739</v>
      </c>
      <c r="D2765" s="733" t="s">
        <v>21</v>
      </c>
      <c r="E2765" s="733" t="s">
        <v>614</v>
      </c>
      <c r="F2765" s="733" t="s">
        <v>615</v>
      </c>
      <c r="G2765" s="733"/>
      <c r="H2765" s="733"/>
      <c r="I2765" s="733"/>
      <c r="J2765" s="733"/>
      <c r="K2765" s="733"/>
      <c r="L2765" s="733"/>
      <c r="M2765" s="733"/>
    </row>
    <row r="2766" spans="1:13" x14ac:dyDescent="0.3">
      <c r="A2766" s="733" t="s">
        <v>2736</v>
      </c>
      <c r="B2766" s="733" t="s">
        <v>612</v>
      </c>
      <c r="C2766" s="733" t="s">
        <v>740</v>
      </c>
      <c r="D2766" s="733" t="s">
        <v>21</v>
      </c>
      <c r="E2766" s="733" t="s">
        <v>614</v>
      </c>
      <c r="F2766" s="733" t="s">
        <v>615</v>
      </c>
      <c r="G2766" s="733"/>
      <c r="H2766" s="733"/>
      <c r="I2766" s="733"/>
      <c r="J2766" s="733"/>
      <c r="K2766" s="733"/>
      <c r="L2766" s="733"/>
      <c r="M2766" s="733"/>
    </row>
    <row r="2767" spans="1:13" x14ac:dyDescent="0.3">
      <c r="A2767" s="733" t="s">
        <v>2736</v>
      </c>
      <c r="B2767" s="733" t="s">
        <v>612</v>
      </c>
      <c r="C2767" s="733" t="s">
        <v>750</v>
      </c>
      <c r="D2767" s="733" t="s">
        <v>21</v>
      </c>
      <c r="E2767" s="733" t="s">
        <v>614</v>
      </c>
      <c r="F2767" s="733" t="s">
        <v>615</v>
      </c>
      <c r="G2767" s="733"/>
      <c r="H2767" s="733"/>
      <c r="I2767" s="733"/>
      <c r="J2767" s="733"/>
      <c r="K2767" s="733"/>
      <c r="L2767" s="733"/>
      <c r="M2767" s="733"/>
    </row>
    <row r="2768" spans="1:13" x14ac:dyDescent="0.3">
      <c r="A2768" s="733" t="s">
        <v>2736</v>
      </c>
      <c r="B2768" s="733" t="s">
        <v>612</v>
      </c>
      <c r="C2768" s="733" t="s">
        <v>751</v>
      </c>
      <c r="D2768" s="733" t="s">
        <v>21</v>
      </c>
      <c r="E2768" s="733" t="s">
        <v>614</v>
      </c>
      <c r="F2768" s="733" t="s">
        <v>615</v>
      </c>
      <c r="G2768" s="733"/>
      <c r="H2768" s="733"/>
      <c r="I2768" s="733"/>
      <c r="J2768" s="733"/>
      <c r="K2768" s="733"/>
      <c r="L2768" s="733"/>
      <c r="M2768" s="733"/>
    </row>
    <row r="2769" spans="1:13" x14ac:dyDescent="0.3">
      <c r="A2769" s="733" t="s">
        <v>2736</v>
      </c>
      <c r="B2769" s="733" t="s">
        <v>612</v>
      </c>
      <c r="C2769" s="733" t="s">
        <v>2635</v>
      </c>
      <c r="D2769" s="733" t="s">
        <v>21</v>
      </c>
      <c r="E2769" s="733" t="s">
        <v>614</v>
      </c>
      <c r="F2769" s="733" t="s">
        <v>615</v>
      </c>
      <c r="G2769" s="733"/>
      <c r="H2769" s="733"/>
      <c r="I2769" s="733"/>
      <c r="J2769" s="733"/>
      <c r="K2769" s="733"/>
      <c r="L2769" s="733"/>
      <c r="M2769" s="733"/>
    </row>
    <row r="2770" spans="1:13" x14ac:dyDescent="0.3">
      <c r="A2770" s="733" t="s">
        <v>2736</v>
      </c>
      <c r="B2770" s="733" t="s">
        <v>612</v>
      </c>
      <c r="C2770" s="733" t="s">
        <v>2636</v>
      </c>
      <c r="D2770" s="733" t="s">
        <v>21</v>
      </c>
      <c r="E2770" s="733" t="s">
        <v>614</v>
      </c>
      <c r="F2770" s="733" t="s">
        <v>615</v>
      </c>
      <c r="G2770" s="733"/>
      <c r="H2770" s="733"/>
      <c r="I2770" s="733"/>
      <c r="J2770" s="733"/>
      <c r="K2770" s="733"/>
      <c r="L2770" s="733"/>
      <c r="M2770" s="733"/>
    </row>
    <row r="2771" spans="1:13" x14ac:dyDescent="0.3">
      <c r="A2771" s="733" t="s">
        <v>2736</v>
      </c>
      <c r="B2771" s="733" t="s">
        <v>645</v>
      </c>
      <c r="C2771" s="733" t="s">
        <v>1757</v>
      </c>
      <c r="D2771" s="733" t="s">
        <v>21</v>
      </c>
      <c r="E2771" s="733" t="s">
        <v>614</v>
      </c>
      <c r="F2771" s="733" t="s">
        <v>615</v>
      </c>
      <c r="G2771" s="733"/>
      <c r="H2771" s="733"/>
      <c r="I2771" s="733"/>
      <c r="J2771" s="733"/>
      <c r="K2771" s="733"/>
      <c r="L2771" s="733"/>
      <c r="M2771" s="733"/>
    </row>
    <row r="2772" spans="1:13" x14ac:dyDescent="0.3">
      <c r="A2772" s="733" t="s">
        <v>2736</v>
      </c>
      <c r="B2772" s="733" t="s">
        <v>645</v>
      </c>
      <c r="C2772" s="733" t="s">
        <v>2737</v>
      </c>
      <c r="D2772" s="733" t="s">
        <v>21</v>
      </c>
      <c r="E2772" s="733" t="s">
        <v>614</v>
      </c>
      <c r="F2772" s="733" t="s">
        <v>615</v>
      </c>
      <c r="G2772" s="733"/>
      <c r="H2772" s="733"/>
      <c r="I2772" s="733"/>
      <c r="J2772" s="733"/>
      <c r="K2772" s="733"/>
      <c r="L2772" s="733"/>
      <c r="M2772" s="733"/>
    </row>
    <row r="2773" spans="1:13" x14ac:dyDescent="0.3">
      <c r="A2773" s="733" t="s">
        <v>2736</v>
      </c>
      <c r="B2773" s="733" t="s">
        <v>645</v>
      </c>
      <c r="C2773" s="733" t="s">
        <v>2738</v>
      </c>
      <c r="D2773" s="733" t="s">
        <v>21</v>
      </c>
      <c r="E2773" s="733" t="s">
        <v>614</v>
      </c>
      <c r="F2773" s="733" t="s">
        <v>615</v>
      </c>
      <c r="G2773" s="733"/>
      <c r="H2773" s="733"/>
      <c r="I2773" s="733"/>
      <c r="J2773" s="733"/>
      <c r="K2773" s="733"/>
      <c r="L2773" s="733"/>
      <c r="M2773" s="733"/>
    </row>
    <row r="2774" spans="1:13" x14ac:dyDescent="0.3">
      <c r="A2774" s="734" t="s">
        <v>2736</v>
      </c>
      <c r="B2774" s="734" t="s">
        <v>645</v>
      </c>
      <c r="C2774" s="734" t="s">
        <v>2739</v>
      </c>
      <c r="D2774" s="734" t="s">
        <v>21</v>
      </c>
      <c r="E2774" s="734" t="s">
        <v>614</v>
      </c>
      <c r="F2774" s="734" t="s">
        <v>736</v>
      </c>
      <c r="G2774" s="733"/>
      <c r="H2774" s="733"/>
      <c r="I2774" s="733"/>
      <c r="J2774" s="733"/>
      <c r="K2774" s="733"/>
      <c r="L2774" s="733"/>
      <c r="M2774" s="733"/>
    </row>
    <row r="2775" spans="1:13" x14ac:dyDescent="0.3">
      <c r="A2775" s="733" t="s">
        <v>2736</v>
      </c>
      <c r="B2775" s="733" t="s">
        <v>645</v>
      </c>
      <c r="C2775" s="733" t="s">
        <v>1117</v>
      </c>
      <c r="D2775" s="733" t="s">
        <v>21</v>
      </c>
      <c r="E2775" s="733" t="s">
        <v>614</v>
      </c>
      <c r="F2775" s="733" t="s">
        <v>615</v>
      </c>
      <c r="G2775" s="733"/>
      <c r="H2775" s="733"/>
      <c r="I2775" s="733"/>
      <c r="J2775" s="733"/>
      <c r="K2775" s="733"/>
      <c r="L2775" s="733"/>
      <c r="M2775" s="733"/>
    </row>
    <row r="2776" spans="1:13" x14ac:dyDescent="0.3">
      <c r="A2776" s="733" t="s">
        <v>2736</v>
      </c>
      <c r="B2776" s="733" t="s">
        <v>645</v>
      </c>
      <c r="C2776" s="733" t="s">
        <v>2740</v>
      </c>
      <c r="D2776" s="733" t="s">
        <v>21</v>
      </c>
      <c r="E2776" s="733" t="s">
        <v>614</v>
      </c>
      <c r="F2776" s="733" t="s">
        <v>615</v>
      </c>
      <c r="G2776" s="733"/>
      <c r="H2776" s="733"/>
      <c r="I2776" s="733"/>
      <c r="J2776" s="733"/>
      <c r="K2776" s="733"/>
      <c r="L2776" s="733"/>
      <c r="M2776" s="733"/>
    </row>
    <row r="2777" spans="1:13" x14ac:dyDescent="0.3">
      <c r="A2777" s="733" t="s">
        <v>2736</v>
      </c>
      <c r="B2777" s="733" t="s">
        <v>664</v>
      </c>
      <c r="C2777" s="733" t="s">
        <v>2741</v>
      </c>
      <c r="D2777" s="733" t="s">
        <v>21</v>
      </c>
      <c r="E2777" s="733" t="s">
        <v>614</v>
      </c>
      <c r="F2777" s="733" t="s">
        <v>615</v>
      </c>
      <c r="G2777" s="733"/>
      <c r="H2777" s="733"/>
      <c r="I2777" s="733"/>
      <c r="J2777" s="733"/>
      <c r="K2777" s="733"/>
      <c r="L2777" s="733"/>
      <c r="M2777" s="733"/>
    </row>
    <row r="2778" spans="1:13" x14ac:dyDescent="0.3">
      <c r="A2778" s="733" t="s">
        <v>2736</v>
      </c>
      <c r="B2778" s="733" t="s">
        <v>664</v>
      </c>
      <c r="C2778" s="733" t="s">
        <v>2742</v>
      </c>
      <c r="D2778" s="733" t="s">
        <v>21</v>
      </c>
      <c r="E2778" s="733" t="s">
        <v>614</v>
      </c>
      <c r="F2778" s="733" t="s">
        <v>615</v>
      </c>
      <c r="G2778" s="733"/>
      <c r="H2778" s="733"/>
      <c r="I2778" s="733"/>
      <c r="J2778" s="733"/>
      <c r="K2778" s="733"/>
      <c r="L2778" s="733"/>
      <c r="M2778" s="733"/>
    </row>
    <row r="2779" spans="1:13" x14ac:dyDescent="0.3">
      <c r="A2779" s="733" t="s">
        <v>2736</v>
      </c>
      <c r="B2779" s="733" t="s">
        <v>664</v>
      </c>
      <c r="C2779" s="733" t="s">
        <v>2743</v>
      </c>
      <c r="D2779" s="733" t="s">
        <v>21</v>
      </c>
      <c r="E2779" s="733" t="s">
        <v>614</v>
      </c>
      <c r="F2779" s="733" t="s">
        <v>615</v>
      </c>
      <c r="G2779" s="733"/>
      <c r="H2779" s="733"/>
      <c r="I2779" s="733"/>
      <c r="J2779" s="733"/>
      <c r="K2779" s="733"/>
      <c r="L2779" s="733"/>
      <c r="M2779" s="733"/>
    </row>
    <row r="2780" spans="1:13" x14ac:dyDescent="0.3">
      <c r="A2780" s="733" t="s">
        <v>2744</v>
      </c>
      <c r="B2780" s="733" t="s">
        <v>645</v>
      </c>
      <c r="C2780" s="733" t="s">
        <v>2745</v>
      </c>
      <c r="D2780" s="733" t="s">
        <v>21</v>
      </c>
      <c r="E2780" s="761"/>
      <c r="F2780" s="761"/>
      <c r="G2780" s="733"/>
      <c r="H2780" s="733"/>
      <c r="I2780" s="733"/>
      <c r="J2780" s="733"/>
      <c r="K2780" s="733"/>
      <c r="L2780" s="733"/>
      <c r="M2780" s="733"/>
    </row>
    <row r="2781" spans="1:13" x14ac:dyDescent="0.3">
      <c r="A2781" s="733" t="s">
        <v>2744</v>
      </c>
      <c r="B2781" s="733" t="s">
        <v>645</v>
      </c>
      <c r="C2781" s="733" t="s">
        <v>2746</v>
      </c>
      <c r="D2781" s="733" t="s">
        <v>21</v>
      </c>
      <c r="E2781" s="761"/>
      <c r="F2781" s="761"/>
      <c r="G2781" s="733"/>
      <c r="H2781" s="733"/>
      <c r="I2781" s="733"/>
      <c r="J2781" s="733"/>
      <c r="K2781" s="733"/>
      <c r="L2781" s="733"/>
      <c r="M2781" s="733"/>
    </row>
    <row r="2782" spans="1:13" x14ac:dyDescent="0.3">
      <c r="A2782" s="733" t="s">
        <v>2744</v>
      </c>
      <c r="B2782" s="733" t="s">
        <v>645</v>
      </c>
      <c r="C2782" s="733" t="s">
        <v>2747</v>
      </c>
      <c r="D2782" s="733" t="s">
        <v>21</v>
      </c>
      <c r="E2782" s="761"/>
      <c r="F2782" s="761"/>
      <c r="G2782" s="733"/>
      <c r="H2782" s="733"/>
      <c r="I2782" s="733"/>
      <c r="J2782" s="733"/>
      <c r="K2782" s="733"/>
      <c r="L2782" s="733"/>
      <c r="M2782" s="733"/>
    </row>
    <row r="2783" spans="1:13" x14ac:dyDescent="0.3">
      <c r="A2783" s="733" t="s">
        <v>2744</v>
      </c>
      <c r="B2783" s="733" t="s">
        <v>645</v>
      </c>
      <c r="C2783" s="733" t="s">
        <v>2748</v>
      </c>
      <c r="D2783" s="733" t="s">
        <v>21</v>
      </c>
      <c r="E2783" s="761"/>
      <c r="F2783" s="761"/>
      <c r="G2783" s="733"/>
      <c r="H2783" s="733"/>
      <c r="I2783" s="733"/>
      <c r="J2783" s="733"/>
      <c r="K2783" s="733"/>
      <c r="L2783" s="733"/>
      <c r="M2783" s="733"/>
    </row>
    <row r="2784" spans="1:13" x14ac:dyDescent="0.3">
      <c r="A2784" s="733" t="s">
        <v>2744</v>
      </c>
      <c r="B2784" s="733" t="s">
        <v>645</v>
      </c>
      <c r="C2784" s="733" t="s">
        <v>2749</v>
      </c>
      <c r="D2784" s="733" t="s">
        <v>21</v>
      </c>
      <c r="E2784" s="761"/>
      <c r="F2784" s="761"/>
      <c r="G2784" s="733"/>
      <c r="H2784" s="733"/>
      <c r="I2784" s="733"/>
      <c r="J2784" s="733"/>
      <c r="K2784" s="733"/>
      <c r="L2784" s="733"/>
      <c r="M2784" s="733"/>
    </row>
    <row r="2785" spans="1:13" x14ac:dyDescent="0.3">
      <c r="A2785" s="733" t="s">
        <v>2744</v>
      </c>
      <c r="B2785" s="733" t="s">
        <v>664</v>
      </c>
      <c r="C2785" s="733" t="s">
        <v>2750</v>
      </c>
      <c r="D2785" s="733" t="s">
        <v>21</v>
      </c>
      <c r="E2785" s="761"/>
      <c r="F2785" s="761"/>
      <c r="G2785" s="733"/>
      <c r="H2785" s="733"/>
      <c r="I2785" s="733"/>
      <c r="J2785" s="733"/>
      <c r="K2785" s="733"/>
      <c r="L2785" s="733"/>
      <c r="M2785" s="733"/>
    </row>
    <row r="2786" spans="1:13" x14ac:dyDescent="0.3">
      <c r="A2786" s="733" t="s">
        <v>2744</v>
      </c>
      <c r="B2786" s="733" t="s">
        <v>664</v>
      </c>
      <c r="C2786" s="733" t="s">
        <v>2751</v>
      </c>
      <c r="D2786" s="733" t="s">
        <v>21</v>
      </c>
      <c r="E2786" s="761"/>
      <c r="F2786" s="761"/>
      <c r="G2786" s="733"/>
      <c r="H2786" s="733"/>
      <c r="I2786" s="733"/>
      <c r="J2786" s="733"/>
      <c r="K2786" s="733"/>
      <c r="L2786" s="733"/>
      <c r="M2786" s="733"/>
    </row>
    <row r="2787" spans="1:13" x14ac:dyDescent="0.3">
      <c r="A2787" s="733" t="s">
        <v>2744</v>
      </c>
      <c r="B2787" s="733" t="s">
        <v>664</v>
      </c>
      <c r="C2787" s="733" t="s">
        <v>2752</v>
      </c>
      <c r="D2787" s="733" t="s">
        <v>21</v>
      </c>
      <c r="E2787" s="761"/>
      <c r="F2787" s="761"/>
      <c r="G2787" s="733"/>
      <c r="H2787" s="733"/>
      <c r="I2787" s="733"/>
      <c r="J2787" s="733"/>
      <c r="K2787" s="733"/>
      <c r="L2787" s="733"/>
      <c r="M2787" s="733"/>
    </row>
    <row r="2788" spans="1:13" x14ac:dyDescent="0.3">
      <c r="A2788" s="733" t="s">
        <v>2744</v>
      </c>
      <c r="B2788" s="733" t="s">
        <v>664</v>
      </c>
      <c r="C2788" s="733" t="s">
        <v>2753</v>
      </c>
      <c r="D2788" s="733" t="s">
        <v>21</v>
      </c>
      <c r="E2788" s="761"/>
      <c r="F2788" s="761"/>
      <c r="G2788" s="733"/>
      <c r="H2788" s="733"/>
      <c r="I2788" s="733"/>
      <c r="J2788" s="733"/>
      <c r="K2788" s="733"/>
      <c r="L2788" s="733"/>
      <c r="M2788" s="733"/>
    </row>
    <row r="2789" spans="1:13" x14ac:dyDescent="0.3">
      <c r="A2789" s="733" t="s">
        <v>2744</v>
      </c>
      <c r="B2789" s="733" t="s">
        <v>664</v>
      </c>
      <c r="C2789" s="733" t="s">
        <v>2754</v>
      </c>
      <c r="D2789" s="733" t="s">
        <v>21</v>
      </c>
      <c r="E2789" s="761"/>
      <c r="F2789" s="761"/>
      <c r="G2789" s="733"/>
      <c r="H2789" s="733"/>
      <c r="I2789" s="733"/>
      <c r="J2789" s="733"/>
      <c r="K2789" s="733"/>
      <c r="L2789" s="733"/>
      <c r="M2789" s="733"/>
    </row>
    <row r="2790" spans="1:13" x14ac:dyDescent="0.3">
      <c r="A2790" s="733" t="s">
        <v>2744</v>
      </c>
      <c r="B2790" s="733" t="s">
        <v>612</v>
      </c>
      <c r="C2790" s="733" t="s">
        <v>2755</v>
      </c>
      <c r="D2790" s="733" t="s">
        <v>21</v>
      </c>
      <c r="E2790" s="761"/>
      <c r="F2790" s="761"/>
      <c r="G2790" s="733"/>
      <c r="H2790" s="733"/>
      <c r="I2790" s="733"/>
      <c r="J2790" s="733"/>
      <c r="K2790" s="733"/>
      <c r="L2790" s="733"/>
      <c r="M2790" s="733"/>
    </row>
    <row r="2791" spans="1:13" x14ac:dyDescent="0.3">
      <c r="A2791" s="733" t="s">
        <v>2744</v>
      </c>
      <c r="B2791" s="733" t="s">
        <v>612</v>
      </c>
      <c r="C2791" s="733" t="s">
        <v>2756</v>
      </c>
      <c r="D2791" s="733" t="s">
        <v>21</v>
      </c>
      <c r="E2791" s="761"/>
      <c r="F2791" s="761"/>
      <c r="G2791" s="733"/>
      <c r="H2791" s="733"/>
      <c r="I2791" s="733"/>
      <c r="J2791" s="733"/>
      <c r="K2791" s="733"/>
      <c r="L2791" s="733"/>
      <c r="M2791" s="733"/>
    </row>
    <row r="2792" spans="1:13" x14ac:dyDescent="0.3">
      <c r="A2792" s="733" t="s">
        <v>2744</v>
      </c>
      <c r="B2792" s="733" t="s">
        <v>612</v>
      </c>
      <c r="C2792" s="733" t="s">
        <v>2757</v>
      </c>
      <c r="D2792" s="733" t="s">
        <v>21</v>
      </c>
      <c r="E2792" s="761"/>
      <c r="F2792" s="761"/>
      <c r="G2792" s="733"/>
      <c r="H2792" s="733"/>
      <c r="I2792" s="733"/>
      <c r="J2792" s="733"/>
      <c r="K2792" s="733"/>
      <c r="L2792" s="733"/>
      <c r="M2792" s="733"/>
    </row>
    <row r="2793" spans="1:13" x14ac:dyDescent="0.3">
      <c r="A2793" s="733" t="s">
        <v>2744</v>
      </c>
      <c r="B2793" s="733" t="s">
        <v>612</v>
      </c>
      <c r="C2793" s="733" t="s">
        <v>2758</v>
      </c>
      <c r="D2793" s="733" t="s">
        <v>21</v>
      </c>
      <c r="E2793" s="761"/>
      <c r="F2793" s="761"/>
      <c r="G2793" s="733"/>
      <c r="H2793" s="733"/>
      <c r="I2793" s="733"/>
      <c r="J2793" s="733"/>
      <c r="K2793" s="733"/>
      <c r="L2793" s="733"/>
      <c r="M2793" s="733"/>
    </row>
    <row r="2794" spans="1:13" x14ac:dyDescent="0.3">
      <c r="A2794" s="733" t="s">
        <v>2744</v>
      </c>
      <c r="B2794" s="733" t="s">
        <v>612</v>
      </c>
      <c r="C2794" s="733" t="s">
        <v>2759</v>
      </c>
      <c r="D2794" s="733" t="s">
        <v>21</v>
      </c>
      <c r="E2794" s="761"/>
      <c r="F2794" s="761"/>
      <c r="G2794" s="733"/>
      <c r="H2794" s="733"/>
      <c r="I2794" s="733"/>
      <c r="J2794" s="733"/>
      <c r="K2794" s="733"/>
      <c r="L2794" s="733"/>
      <c r="M2794" s="733"/>
    </row>
    <row r="2795" spans="1:13" x14ac:dyDescent="0.3">
      <c r="A2795" s="733" t="s">
        <v>2760</v>
      </c>
      <c r="B2795" s="733" t="s">
        <v>645</v>
      </c>
      <c r="C2795" s="733" t="s">
        <v>2761</v>
      </c>
      <c r="D2795" s="733" t="s">
        <v>21</v>
      </c>
      <c r="E2795" s="761"/>
      <c r="F2795" s="761"/>
      <c r="G2795" s="733"/>
      <c r="H2795" s="733"/>
      <c r="I2795" s="733"/>
      <c r="J2795" s="733"/>
      <c r="K2795" s="733"/>
      <c r="L2795" s="733"/>
      <c r="M2795" s="733"/>
    </row>
    <row r="2796" spans="1:13" x14ac:dyDescent="0.3">
      <c r="A2796" s="733" t="s">
        <v>2760</v>
      </c>
      <c r="B2796" s="733" t="s">
        <v>645</v>
      </c>
      <c r="C2796" s="733" t="s">
        <v>2762</v>
      </c>
      <c r="D2796" s="733" t="s">
        <v>21</v>
      </c>
      <c r="E2796" s="761"/>
      <c r="F2796" s="761"/>
      <c r="G2796" s="733"/>
      <c r="H2796" s="733"/>
      <c r="I2796" s="733"/>
      <c r="J2796" s="733"/>
      <c r="K2796" s="733"/>
      <c r="L2796" s="733"/>
      <c r="M2796" s="733"/>
    </row>
    <row r="2797" spans="1:13" x14ac:dyDescent="0.3">
      <c r="A2797" s="733" t="s">
        <v>2760</v>
      </c>
      <c r="B2797" s="733" t="s">
        <v>645</v>
      </c>
      <c r="C2797" s="733" t="s">
        <v>2763</v>
      </c>
      <c r="D2797" s="733" t="s">
        <v>21</v>
      </c>
      <c r="E2797" s="761"/>
      <c r="F2797" s="761"/>
      <c r="G2797" s="733"/>
      <c r="H2797" s="733"/>
      <c r="I2797" s="733"/>
      <c r="J2797" s="733"/>
      <c r="K2797" s="733"/>
      <c r="L2797" s="733"/>
      <c r="M2797" s="733"/>
    </row>
    <row r="2798" spans="1:13" x14ac:dyDescent="0.3">
      <c r="A2798" s="733" t="s">
        <v>2760</v>
      </c>
      <c r="B2798" s="733" t="s">
        <v>645</v>
      </c>
      <c r="C2798" s="733" t="s">
        <v>2764</v>
      </c>
      <c r="D2798" s="733" t="s">
        <v>21</v>
      </c>
      <c r="E2798" s="761"/>
      <c r="F2798" s="761"/>
      <c r="G2798" s="733"/>
      <c r="H2798" s="733"/>
      <c r="I2798" s="733"/>
      <c r="J2798" s="733"/>
      <c r="K2798" s="733"/>
      <c r="L2798" s="733"/>
      <c r="M2798" s="733"/>
    </row>
    <row r="2799" spans="1:13" x14ac:dyDescent="0.3">
      <c r="A2799" s="733" t="s">
        <v>2760</v>
      </c>
      <c r="B2799" s="733" t="s">
        <v>645</v>
      </c>
      <c r="C2799" s="733" t="s">
        <v>2765</v>
      </c>
      <c r="D2799" s="733" t="s">
        <v>21</v>
      </c>
      <c r="E2799" s="761"/>
      <c r="F2799" s="761"/>
      <c r="G2799" s="733"/>
      <c r="H2799" s="733"/>
      <c r="I2799" s="733"/>
      <c r="J2799" s="733"/>
      <c r="K2799" s="733"/>
      <c r="L2799" s="733"/>
      <c r="M2799" s="733"/>
    </row>
    <row r="2800" spans="1:13" x14ac:dyDescent="0.3">
      <c r="A2800" s="733" t="s">
        <v>2760</v>
      </c>
      <c r="B2800" s="733" t="s">
        <v>664</v>
      </c>
      <c r="C2800" s="733" t="s">
        <v>2766</v>
      </c>
      <c r="D2800" s="733" t="s">
        <v>21</v>
      </c>
      <c r="E2800" s="761"/>
      <c r="F2800" s="761"/>
      <c r="G2800" s="733"/>
      <c r="H2800" s="733"/>
      <c r="I2800" s="733"/>
      <c r="J2800" s="733"/>
      <c r="K2800" s="733"/>
      <c r="L2800" s="733"/>
      <c r="M2800" s="733"/>
    </row>
    <row r="2801" spans="1:13" x14ac:dyDescent="0.3">
      <c r="A2801" s="733" t="s">
        <v>2760</v>
      </c>
      <c r="B2801" s="733" t="s">
        <v>664</v>
      </c>
      <c r="C2801" s="733" t="s">
        <v>2767</v>
      </c>
      <c r="D2801" s="733" t="s">
        <v>21</v>
      </c>
      <c r="E2801" s="761"/>
      <c r="F2801" s="761"/>
      <c r="G2801" s="733"/>
      <c r="H2801" s="733"/>
      <c r="I2801" s="733"/>
      <c r="J2801" s="733"/>
      <c r="K2801" s="733"/>
      <c r="L2801" s="733"/>
      <c r="M2801" s="733"/>
    </row>
    <row r="2802" spans="1:13" x14ac:dyDescent="0.3">
      <c r="A2802" s="733" t="s">
        <v>2760</v>
      </c>
      <c r="B2802" s="733" t="s">
        <v>664</v>
      </c>
      <c r="C2802" s="733" t="s">
        <v>2768</v>
      </c>
      <c r="D2802" s="733" t="s">
        <v>21</v>
      </c>
      <c r="E2802" s="761"/>
      <c r="F2802" s="761"/>
      <c r="G2802" s="733"/>
      <c r="H2802" s="733"/>
      <c r="I2802" s="733"/>
      <c r="J2802" s="733"/>
      <c r="K2802" s="733"/>
      <c r="L2802" s="733"/>
      <c r="M2802" s="733"/>
    </row>
    <row r="2803" spans="1:13" x14ac:dyDescent="0.3">
      <c r="A2803" s="733" t="s">
        <v>2760</v>
      </c>
      <c r="B2803" s="733" t="s">
        <v>664</v>
      </c>
      <c r="C2803" s="733" t="s">
        <v>2769</v>
      </c>
      <c r="D2803" s="733" t="s">
        <v>21</v>
      </c>
      <c r="E2803" s="761"/>
      <c r="F2803" s="761"/>
      <c r="G2803" s="733"/>
      <c r="H2803" s="733"/>
      <c r="I2803" s="733"/>
      <c r="J2803" s="733"/>
      <c r="K2803" s="733"/>
      <c r="L2803" s="733"/>
      <c r="M2803" s="733"/>
    </row>
    <row r="2804" spans="1:13" x14ac:dyDescent="0.3">
      <c r="A2804" s="733" t="s">
        <v>2760</v>
      </c>
      <c r="B2804" s="733" t="s">
        <v>664</v>
      </c>
      <c r="C2804" s="733" t="s">
        <v>2770</v>
      </c>
      <c r="D2804" s="733" t="s">
        <v>21</v>
      </c>
      <c r="E2804" s="761"/>
      <c r="F2804" s="761"/>
      <c r="G2804" s="733"/>
      <c r="H2804" s="733"/>
      <c r="I2804" s="733"/>
      <c r="J2804" s="733"/>
      <c r="K2804" s="733"/>
      <c r="L2804" s="733"/>
      <c r="M2804" s="733"/>
    </row>
    <row r="2805" spans="1:13" x14ac:dyDescent="0.3">
      <c r="A2805" s="733" t="s">
        <v>2760</v>
      </c>
      <c r="B2805" s="733" t="s">
        <v>612</v>
      </c>
      <c r="C2805" s="733" t="s">
        <v>2771</v>
      </c>
      <c r="D2805" s="733" t="s">
        <v>21</v>
      </c>
      <c r="E2805" s="761"/>
      <c r="F2805" s="761"/>
      <c r="G2805" s="733"/>
      <c r="H2805" s="733"/>
      <c r="I2805" s="733"/>
      <c r="J2805" s="733"/>
      <c r="K2805" s="733"/>
      <c r="L2805" s="733"/>
      <c r="M2805" s="733"/>
    </row>
    <row r="2806" spans="1:13" x14ac:dyDescent="0.3">
      <c r="A2806" s="733" t="s">
        <v>2760</v>
      </c>
      <c r="B2806" s="733" t="s">
        <v>612</v>
      </c>
      <c r="C2806" s="733" t="s">
        <v>2772</v>
      </c>
      <c r="D2806" s="733" t="s">
        <v>21</v>
      </c>
      <c r="E2806" s="761"/>
      <c r="F2806" s="761"/>
      <c r="G2806" s="733"/>
      <c r="H2806" s="733"/>
      <c r="I2806" s="733"/>
      <c r="J2806" s="733"/>
      <c r="K2806" s="733"/>
      <c r="L2806" s="733"/>
      <c r="M2806" s="733"/>
    </row>
    <row r="2807" spans="1:13" x14ac:dyDescent="0.3">
      <c r="A2807" s="733" t="s">
        <v>2760</v>
      </c>
      <c r="B2807" s="733" t="s">
        <v>612</v>
      </c>
      <c r="C2807" s="733" t="s">
        <v>2773</v>
      </c>
      <c r="D2807" s="733" t="s">
        <v>21</v>
      </c>
      <c r="E2807" s="761"/>
      <c r="F2807" s="761"/>
      <c r="G2807" s="733"/>
      <c r="H2807" s="733"/>
      <c r="I2807" s="733"/>
      <c r="J2807" s="733"/>
      <c r="K2807" s="733"/>
      <c r="L2807" s="733"/>
      <c r="M2807" s="733"/>
    </row>
    <row r="2808" spans="1:13" x14ac:dyDescent="0.3">
      <c r="A2808" s="733" t="s">
        <v>2760</v>
      </c>
      <c r="B2808" s="733" t="s">
        <v>612</v>
      </c>
      <c r="C2808" s="733" t="s">
        <v>2774</v>
      </c>
      <c r="D2808" s="733" t="s">
        <v>21</v>
      </c>
      <c r="E2808" s="761"/>
      <c r="F2808" s="761"/>
      <c r="G2808" s="733"/>
      <c r="H2808" s="733"/>
      <c r="I2808" s="733"/>
      <c r="J2808" s="733"/>
      <c r="K2808" s="733"/>
      <c r="L2808" s="733"/>
      <c r="M2808" s="733"/>
    </row>
    <row r="2809" spans="1:13" x14ac:dyDescent="0.3">
      <c r="A2809" s="733" t="s">
        <v>2760</v>
      </c>
      <c r="B2809" s="733" t="s">
        <v>612</v>
      </c>
      <c r="C2809" s="733" t="s">
        <v>2775</v>
      </c>
      <c r="D2809" s="733" t="s">
        <v>21</v>
      </c>
      <c r="E2809" s="761"/>
      <c r="F2809" s="761"/>
      <c r="G2809" s="733"/>
      <c r="H2809" s="733"/>
      <c r="I2809" s="733"/>
      <c r="J2809" s="733"/>
      <c r="K2809" s="733"/>
      <c r="L2809" s="733"/>
      <c r="M2809" s="733"/>
    </row>
    <row r="2810" spans="1:13" x14ac:dyDescent="0.3">
      <c r="A2810" s="733" t="s">
        <v>2776</v>
      </c>
      <c r="B2810" s="733" t="s">
        <v>645</v>
      </c>
      <c r="C2810" s="733" t="s">
        <v>2777</v>
      </c>
      <c r="D2810" s="733" t="s">
        <v>21</v>
      </c>
      <c r="E2810" s="761"/>
      <c r="F2810" s="761"/>
      <c r="G2810" s="733"/>
      <c r="H2810" s="733"/>
      <c r="I2810" s="733"/>
      <c r="J2810" s="733"/>
      <c r="K2810" s="733"/>
      <c r="L2810" s="733"/>
      <c r="M2810" s="733"/>
    </row>
    <row r="2811" spans="1:13" x14ac:dyDescent="0.3">
      <c r="A2811" s="733" t="s">
        <v>2776</v>
      </c>
      <c r="B2811" s="733" t="s">
        <v>645</v>
      </c>
      <c r="C2811" s="733" t="s">
        <v>2778</v>
      </c>
      <c r="D2811" s="733" t="s">
        <v>21</v>
      </c>
      <c r="E2811" s="761"/>
      <c r="F2811" s="761"/>
      <c r="G2811" s="733"/>
      <c r="H2811" s="733"/>
      <c r="I2811" s="733"/>
      <c r="J2811" s="733"/>
      <c r="K2811" s="733"/>
      <c r="L2811" s="733"/>
      <c r="M2811" s="733"/>
    </row>
    <row r="2812" spans="1:13" x14ac:dyDescent="0.3">
      <c r="A2812" s="733" t="s">
        <v>2776</v>
      </c>
      <c r="B2812" s="733" t="s">
        <v>645</v>
      </c>
      <c r="C2812" s="733" t="s">
        <v>2779</v>
      </c>
      <c r="D2812" s="733" t="s">
        <v>21</v>
      </c>
      <c r="E2812" s="761"/>
      <c r="F2812" s="761"/>
      <c r="G2812" s="733"/>
      <c r="H2812" s="733"/>
      <c r="I2812" s="733"/>
      <c r="J2812" s="733"/>
      <c r="K2812" s="733"/>
      <c r="L2812" s="733"/>
      <c r="M2812" s="733"/>
    </row>
    <row r="2813" spans="1:13" x14ac:dyDescent="0.3">
      <c r="A2813" s="733" t="s">
        <v>2776</v>
      </c>
      <c r="B2813" s="733" t="s">
        <v>645</v>
      </c>
      <c r="C2813" s="733" t="s">
        <v>2780</v>
      </c>
      <c r="D2813" s="733" t="s">
        <v>21</v>
      </c>
      <c r="E2813" s="761"/>
      <c r="F2813" s="761"/>
      <c r="G2813" s="733"/>
      <c r="H2813" s="733"/>
      <c r="I2813" s="733"/>
      <c r="J2813" s="733"/>
      <c r="K2813" s="733"/>
      <c r="L2813" s="733"/>
      <c r="M2813" s="733"/>
    </row>
    <row r="2814" spans="1:13" x14ac:dyDescent="0.3">
      <c r="A2814" s="733" t="s">
        <v>2776</v>
      </c>
      <c r="B2814" s="733" t="s">
        <v>645</v>
      </c>
      <c r="C2814" s="733" t="s">
        <v>2781</v>
      </c>
      <c r="D2814" s="733" t="s">
        <v>21</v>
      </c>
      <c r="E2814" s="761"/>
      <c r="F2814" s="761"/>
      <c r="G2814" s="733"/>
      <c r="H2814" s="733"/>
      <c r="I2814" s="733"/>
      <c r="J2814" s="733"/>
      <c r="K2814" s="733"/>
      <c r="L2814" s="733"/>
      <c r="M2814" s="733"/>
    </row>
    <row r="2815" spans="1:13" x14ac:dyDescent="0.3">
      <c r="A2815" s="733" t="s">
        <v>2776</v>
      </c>
      <c r="B2815" s="733" t="s">
        <v>664</v>
      </c>
      <c r="C2815" s="733" t="s">
        <v>2782</v>
      </c>
      <c r="D2815" s="733" t="s">
        <v>21</v>
      </c>
      <c r="E2815" s="761"/>
      <c r="F2815" s="761"/>
      <c r="G2815" s="733"/>
      <c r="H2815" s="733"/>
      <c r="I2815" s="733"/>
      <c r="J2815" s="733"/>
      <c r="K2815" s="733"/>
      <c r="L2815" s="733"/>
      <c r="M2815" s="733"/>
    </row>
    <row r="2816" spans="1:13" x14ac:dyDescent="0.3">
      <c r="A2816" s="733" t="s">
        <v>2776</v>
      </c>
      <c r="B2816" s="733" t="s">
        <v>664</v>
      </c>
      <c r="C2816" s="733" t="s">
        <v>2783</v>
      </c>
      <c r="D2816" s="733" t="s">
        <v>21</v>
      </c>
      <c r="E2816" s="761"/>
      <c r="F2816" s="761"/>
      <c r="G2816" s="733"/>
      <c r="H2816" s="733"/>
      <c r="I2816" s="733"/>
      <c r="J2816" s="733"/>
      <c r="K2816" s="733"/>
      <c r="L2816" s="733"/>
      <c r="M2816" s="733"/>
    </row>
    <row r="2817" spans="1:13" x14ac:dyDescent="0.3">
      <c r="A2817" s="733" t="s">
        <v>2776</v>
      </c>
      <c r="B2817" s="733" t="s">
        <v>664</v>
      </c>
      <c r="C2817" s="733" t="s">
        <v>2784</v>
      </c>
      <c r="D2817" s="733" t="s">
        <v>21</v>
      </c>
      <c r="E2817" s="761"/>
      <c r="F2817" s="761"/>
      <c r="G2817" s="733"/>
      <c r="H2817" s="733"/>
      <c r="I2817" s="733"/>
      <c r="J2817" s="733"/>
      <c r="K2817" s="733"/>
      <c r="L2817" s="733"/>
      <c r="M2817" s="733"/>
    </row>
    <row r="2818" spans="1:13" x14ac:dyDescent="0.3">
      <c r="A2818" s="733" t="s">
        <v>2776</v>
      </c>
      <c r="B2818" s="733" t="s">
        <v>664</v>
      </c>
      <c r="C2818" s="733" t="s">
        <v>2785</v>
      </c>
      <c r="D2818" s="733" t="s">
        <v>21</v>
      </c>
      <c r="E2818" s="761"/>
      <c r="F2818" s="761"/>
      <c r="G2818" s="733"/>
      <c r="H2818" s="733"/>
      <c r="I2818" s="733"/>
      <c r="J2818" s="733"/>
      <c r="K2818" s="733"/>
      <c r="L2818" s="733"/>
      <c r="M2818" s="733"/>
    </row>
    <row r="2819" spans="1:13" x14ac:dyDescent="0.3">
      <c r="A2819" s="733" t="s">
        <v>2776</v>
      </c>
      <c r="B2819" s="733" t="s">
        <v>664</v>
      </c>
      <c r="C2819" s="733" t="s">
        <v>2786</v>
      </c>
      <c r="D2819" s="733" t="s">
        <v>21</v>
      </c>
      <c r="E2819" s="761"/>
      <c r="F2819" s="761"/>
      <c r="G2819" s="733"/>
      <c r="H2819" s="733"/>
      <c r="I2819" s="733"/>
      <c r="J2819" s="733"/>
      <c r="K2819" s="733"/>
      <c r="L2819" s="733"/>
      <c r="M2819" s="733"/>
    </row>
    <row r="2820" spans="1:13" x14ac:dyDescent="0.3">
      <c r="A2820" s="733" t="s">
        <v>2776</v>
      </c>
      <c r="B2820" s="733" t="s">
        <v>612</v>
      </c>
      <c r="C2820" s="733" t="s">
        <v>2787</v>
      </c>
      <c r="D2820" s="733" t="s">
        <v>21</v>
      </c>
      <c r="E2820" s="761"/>
      <c r="F2820" s="761"/>
      <c r="G2820" s="733"/>
      <c r="H2820" s="733"/>
      <c r="I2820" s="733"/>
      <c r="J2820" s="733"/>
      <c r="K2820" s="733"/>
      <c r="L2820" s="733"/>
      <c r="M2820" s="733"/>
    </row>
    <row r="2821" spans="1:13" x14ac:dyDescent="0.3">
      <c r="A2821" s="733" t="s">
        <v>2776</v>
      </c>
      <c r="B2821" s="733" t="s">
        <v>612</v>
      </c>
      <c r="C2821" s="733" t="s">
        <v>2788</v>
      </c>
      <c r="D2821" s="733" t="s">
        <v>21</v>
      </c>
      <c r="E2821" s="761"/>
      <c r="F2821" s="761"/>
      <c r="G2821" s="733"/>
      <c r="H2821" s="733"/>
      <c r="I2821" s="733"/>
      <c r="J2821" s="733"/>
      <c r="K2821" s="733"/>
      <c r="L2821" s="733"/>
      <c r="M2821" s="733"/>
    </row>
    <row r="2822" spans="1:13" x14ac:dyDescent="0.3">
      <c r="A2822" s="733" t="s">
        <v>2776</v>
      </c>
      <c r="B2822" s="733" t="s">
        <v>612</v>
      </c>
      <c r="C2822" s="733" t="s">
        <v>2789</v>
      </c>
      <c r="D2822" s="733" t="s">
        <v>21</v>
      </c>
      <c r="E2822" s="761"/>
      <c r="F2822" s="761"/>
      <c r="G2822" s="733"/>
      <c r="H2822" s="733"/>
      <c r="I2822" s="733"/>
      <c r="J2822" s="733"/>
      <c r="K2822" s="733"/>
      <c r="L2822" s="733"/>
      <c r="M2822" s="733"/>
    </row>
    <row r="2823" spans="1:13" x14ac:dyDescent="0.3">
      <c r="A2823" s="733" t="s">
        <v>2776</v>
      </c>
      <c r="B2823" s="733" t="s">
        <v>612</v>
      </c>
      <c r="C2823" s="733" t="s">
        <v>2790</v>
      </c>
      <c r="D2823" s="733" t="s">
        <v>21</v>
      </c>
      <c r="E2823" s="761"/>
      <c r="F2823" s="761"/>
      <c r="G2823" s="733"/>
      <c r="H2823" s="733"/>
      <c r="I2823" s="733"/>
      <c r="J2823" s="733"/>
      <c r="K2823" s="733"/>
      <c r="L2823" s="733"/>
      <c r="M2823" s="733"/>
    </row>
    <row r="2824" spans="1:13" x14ac:dyDescent="0.3">
      <c r="A2824" s="733" t="s">
        <v>2776</v>
      </c>
      <c r="B2824" s="733" t="s">
        <v>612</v>
      </c>
      <c r="C2824" s="733" t="s">
        <v>2791</v>
      </c>
      <c r="D2824" s="733" t="s">
        <v>21</v>
      </c>
      <c r="E2824" s="761"/>
      <c r="F2824" s="761"/>
      <c r="G2824" s="733"/>
      <c r="H2824" s="733"/>
      <c r="I2824" s="733"/>
      <c r="J2824" s="733"/>
      <c r="K2824" s="733"/>
      <c r="L2824" s="733"/>
      <c r="M2824" s="733"/>
    </row>
    <row r="2825" spans="1:13" x14ac:dyDescent="0.3">
      <c r="A2825" s="733" t="s">
        <v>2792</v>
      </c>
      <c r="B2825" s="733" t="s">
        <v>645</v>
      </c>
      <c r="C2825" s="733" t="s">
        <v>2793</v>
      </c>
      <c r="D2825" s="733" t="s">
        <v>21</v>
      </c>
      <c r="E2825" s="761"/>
      <c r="F2825" s="761"/>
      <c r="G2825" s="733"/>
      <c r="H2825" s="733"/>
      <c r="I2825" s="733"/>
      <c r="J2825" s="733"/>
      <c r="K2825" s="733"/>
      <c r="L2825" s="733"/>
      <c r="M2825" s="733"/>
    </row>
    <row r="2826" spans="1:13" x14ac:dyDescent="0.3">
      <c r="A2826" s="733" t="s">
        <v>2792</v>
      </c>
      <c r="B2826" s="733" t="s">
        <v>645</v>
      </c>
      <c r="C2826" s="733" t="s">
        <v>2794</v>
      </c>
      <c r="D2826" s="733" t="s">
        <v>21</v>
      </c>
      <c r="E2826" s="761"/>
      <c r="F2826" s="761"/>
      <c r="G2826" s="733"/>
      <c r="H2826" s="733"/>
      <c r="I2826" s="733"/>
      <c r="J2826" s="733"/>
      <c r="K2826" s="733"/>
      <c r="L2826" s="733"/>
      <c r="M2826" s="733"/>
    </row>
    <row r="2827" spans="1:13" x14ac:dyDescent="0.3">
      <c r="A2827" s="733" t="s">
        <v>2792</v>
      </c>
      <c r="B2827" s="733" t="s">
        <v>645</v>
      </c>
      <c r="C2827" s="733" t="s">
        <v>2795</v>
      </c>
      <c r="D2827" s="733" t="s">
        <v>21</v>
      </c>
      <c r="E2827" s="761"/>
      <c r="F2827" s="761"/>
      <c r="G2827" s="733"/>
      <c r="H2827" s="733"/>
      <c r="I2827" s="733"/>
      <c r="J2827" s="733"/>
      <c r="K2827" s="733"/>
      <c r="L2827" s="733"/>
      <c r="M2827" s="733"/>
    </row>
    <row r="2828" spans="1:13" x14ac:dyDescent="0.3">
      <c r="A2828" s="733" t="s">
        <v>2792</v>
      </c>
      <c r="B2828" s="733" t="s">
        <v>645</v>
      </c>
      <c r="C2828" s="733" t="s">
        <v>2796</v>
      </c>
      <c r="D2828" s="733" t="s">
        <v>21</v>
      </c>
      <c r="E2828" s="761"/>
      <c r="F2828" s="761"/>
      <c r="G2828" s="733"/>
      <c r="H2828" s="733"/>
      <c r="I2828" s="733"/>
      <c r="J2828" s="733"/>
      <c r="K2828" s="733"/>
      <c r="L2828" s="733"/>
      <c r="M2828" s="733"/>
    </row>
    <row r="2829" spans="1:13" x14ac:dyDescent="0.3">
      <c r="A2829" s="733" t="s">
        <v>2792</v>
      </c>
      <c r="B2829" s="733" t="s">
        <v>645</v>
      </c>
      <c r="C2829" s="733" t="s">
        <v>2797</v>
      </c>
      <c r="D2829" s="733" t="s">
        <v>21</v>
      </c>
      <c r="E2829" s="761"/>
      <c r="F2829" s="761"/>
      <c r="G2829" s="733"/>
      <c r="H2829" s="733"/>
      <c r="I2829" s="733"/>
      <c r="J2829" s="733"/>
      <c r="K2829" s="733"/>
      <c r="L2829" s="733"/>
      <c r="M2829" s="733"/>
    </row>
    <row r="2830" spans="1:13" x14ac:dyDescent="0.3">
      <c r="A2830" s="733" t="s">
        <v>2792</v>
      </c>
      <c r="B2830" s="733" t="s">
        <v>664</v>
      </c>
      <c r="C2830" s="733" t="s">
        <v>2798</v>
      </c>
      <c r="D2830" s="733" t="s">
        <v>21</v>
      </c>
      <c r="E2830" s="761"/>
      <c r="F2830" s="761"/>
      <c r="G2830" s="733"/>
      <c r="H2830" s="733"/>
      <c r="I2830" s="733"/>
      <c r="J2830" s="733"/>
      <c r="K2830" s="733"/>
      <c r="L2830" s="733"/>
      <c r="M2830" s="733"/>
    </row>
    <row r="2831" spans="1:13" x14ac:dyDescent="0.3">
      <c r="A2831" s="733" t="s">
        <v>2792</v>
      </c>
      <c r="B2831" s="733" t="s">
        <v>664</v>
      </c>
      <c r="C2831" s="733" t="s">
        <v>2799</v>
      </c>
      <c r="D2831" s="733" t="s">
        <v>21</v>
      </c>
      <c r="E2831" s="761"/>
      <c r="F2831" s="761"/>
      <c r="G2831" s="733"/>
      <c r="H2831" s="733"/>
      <c r="I2831" s="733"/>
      <c r="J2831" s="733"/>
      <c r="K2831" s="733"/>
      <c r="L2831" s="733"/>
      <c r="M2831" s="733"/>
    </row>
    <row r="2832" spans="1:13" x14ac:dyDescent="0.3">
      <c r="A2832" s="733" t="s">
        <v>2792</v>
      </c>
      <c r="B2832" s="733" t="s">
        <v>664</v>
      </c>
      <c r="C2832" s="733" t="s">
        <v>2800</v>
      </c>
      <c r="D2832" s="733" t="s">
        <v>21</v>
      </c>
      <c r="E2832" s="761"/>
      <c r="F2832" s="761"/>
      <c r="G2832" s="733"/>
      <c r="H2832" s="733"/>
      <c r="I2832" s="733"/>
      <c r="J2832" s="733"/>
      <c r="K2832" s="733"/>
      <c r="L2832" s="733"/>
      <c r="M2832" s="733"/>
    </row>
    <row r="2833" spans="1:13" x14ac:dyDescent="0.3">
      <c r="A2833" s="733" t="s">
        <v>2792</v>
      </c>
      <c r="B2833" s="733" t="s">
        <v>664</v>
      </c>
      <c r="C2833" s="733" t="s">
        <v>2801</v>
      </c>
      <c r="D2833" s="733" t="s">
        <v>21</v>
      </c>
      <c r="E2833" s="761"/>
      <c r="F2833" s="761"/>
      <c r="G2833" s="733"/>
      <c r="H2833" s="733"/>
      <c r="I2833" s="733"/>
      <c r="J2833" s="733"/>
      <c r="K2833" s="733"/>
      <c r="L2833" s="733"/>
      <c r="M2833" s="733"/>
    </row>
    <row r="2834" spans="1:13" x14ac:dyDescent="0.3">
      <c r="A2834" s="733" t="s">
        <v>2792</v>
      </c>
      <c r="B2834" s="733" t="s">
        <v>664</v>
      </c>
      <c r="C2834" s="733" t="s">
        <v>2802</v>
      </c>
      <c r="D2834" s="733" t="s">
        <v>21</v>
      </c>
      <c r="E2834" s="761"/>
      <c r="F2834" s="761"/>
      <c r="G2834" s="733"/>
      <c r="H2834" s="733"/>
      <c r="I2834" s="733"/>
      <c r="J2834" s="733"/>
      <c r="K2834" s="733"/>
      <c r="L2834" s="733"/>
      <c r="M2834" s="733"/>
    </row>
    <row r="2835" spans="1:13" x14ac:dyDescent="0.3">
      <c r="A2835" s="733" t="s">
        <v>2792</v>
      </c>
      <c r="B2835" s="733" t="s">
        <v>612</v>
      </c>
      <c r="C2835" s="733" t="s">
        <v>2803</v>
      </c>
      <c r="D2835" s="733" t="s">
        <v>21</v>
      </c>
      <c r="E2835" s="761"/>
      <c r="F2835" s="761"/>
      <c r="G2835" s="733"/>
      <c r="H2835" s="733"/>
      <c r="I2835" s="733"/>
      <c r="J2835" s="733"/>
      <c r="K2835" s="733"/>
      <c r="L2835" s="733"/>
      <c r="M2835" s="733"/>
    </row>
    <row r="2836" spans="1:13" x14ac:dyDescent="0.3">
      <c r="A2836" s="733" t="s">
        <v>2792</v>
      </c>
      <c r="B2836" s="733" t="s">
        <v>612</v>
      </c>
      <c r="C2836" s="733" t="s">
        <v>2804</v>
      </c>
      <c r="D2836" s="733" t="s">
        <v>21</v>
      </c>
      <c r="E2836" s="761"/>
      <c r="F2836" s="761"/>
      <c r="G2836" s="733"/>
      <c r="H2836" s="733"/>
      <c r="I2836" s="733"/>
      <c r="J2836" s="733"/>
      <c r="K2836" s="733"/>
      <c r="L2836" s="733"/>
      <c r="M2836" s="733"/>
    </row>
    <row r="2837" spans="1:13" x14ac:dyDescent="0.3">
      <c r="A2837" s="733" t="s">
        <v>2792</v>
      </c>
      <c r="B2837" s="733" t="s">
        <v>612</v>
      </c>
      <c r="C2837" s="733" t="s">
        <v>2805</v>
      </c>
      <c r="D2837" s="733" t="s">
        <v>21</v>
      </c>
      <c r="E2837" s="761"/>
      <c r="F2837" s="761"/>
      <c r="G2837" s="733"/>
      <c r="H2837" s="733"/>
      <c r="I2837" s="733"/>
      <c r="J2837" s="733"/>
      <c r="K2837" s="733"/>
      <c r="L2837" s="733"/>
      <c r="M2837" s="733"/>
    </row>
    <row r="2838" spans="1:13" x14ac:dyDescent="0.3">
      <c r="A2838" s="733" t="s">
        <v>2792</v>
      </c>
      <c r="B2838" s="733" t="s">
        <v>612</v>
      </c>
      <c r="C2838" s="733" t="s">
        <v>2806</v>
      </c>
      <c r="D2838" s="733" t="s">
        <v>21</v>
      </c>
      <c r="E2838" s="761"/>
      <c r="F2838" s="761"/>
      <c r="G2838" s="733"/>
      <c r="H2838" s="733"/>
      <c r="I2838" s="733"/>
      <c r="J2838" s="733"/>
      <c r="K2838" s="733"/>
      <c r="L2838" s="733"/>
      <c r="M2838" s="733"/>
    </row>
    <row r="2839" spans="1:13" x14ac:dyDescent="0.3">
      <c r="A2839" s="733" t="s">
        <v>2792</v>
      </c>
      <c r="B2839" s="733" t="s">
        <v>612</v>
      </c>
      <c r="C2839" s="733" t="s">
        <v>2807</v>
      </c>
      <c r="D2839" s="733" t="s">
        <v>21</v>
      </c>
      <c r="E2839" s="761"/>
      <c r="F2839" s="761"/>
      <c r="G2839" s="733"/>
      <c r="H2839" s="733"/>
      <c r="I2839" s="733"/>
      <c r="J2839" s="733"/>
      <c r="K2839" s="733"/>
      <c r="L2839" s="733"/>
      <c r="M2839" s="733"/>
    </row>
    <row r="2840" spans="1:13" x14ac:dyDescent="0.3">
      <c r="A2840" s="733" t="s">
        <v>2808</v>
      </c>
      <c r="B2840" s="733" t="s">
        <v>645</v>
      </c>
      <c r="C2840" s="733" t="s">
        <v>2809</v>
      </c>
      <c r="D2840" s="733" t="s">
        <v>21</v>
      </c>
      <c r="E2840" s="761"/>
      <c r="F2840" s="761"/>
      <c r="G2840" s="733"/>
      <c r="H2840" s="733"/>
      <c r="I2840" s="733"/>
      <c r="J2840" s="733"/>
      <c r="K2840" s="733"/>
      <c r="L2840" s="733"/>
      <c r="M2840" s="733"/>
    </row>
    <row r="2841" spans="1:13" x14ac:dyDescent="0.3">
      <c r="A2841" s="733" t="s">
        <v>2808</v>
      </c>
      <c r="B2841" s="733" t="s">
        <v>645</v>
      </c>
      <c r="C2841" s="733" t="s">
        <v>2810</v>
      </c>
      <c r="D2841" s="733" t="s">
        <v>21</v>
      </c>
      <c r="E2841" s="761"/>
      <c r="F2841" s="761"/>
      <c r="G2841" s="733"/>
      <c r="H2841" s="733"/>
      <c r="I2841" s="733"/>
      <c r="J2841" s="733"/>
      <c r="K2841" s="733"/>
      <c r="L2841" s="733"/>
      <c r="M2841" s="733"/>
    </row>
    <row r="2842" spans="1:13" x14ac:dyDescent="0.3">
      <c r="A2842" s="733" t="s">
        <v>2808</v>
      </c>
      <c r="B2842" s="733" t="s">
        <v>645</v>
      </c>
      <c r="C2842" s="733" t="s">
        <v>2811</v>
      </c>
      <c r="D2842" s="733" t="s">
        <v>21</v>
      </c>
      <c r="E2842" s="761"/>
      <c r="F2842" s="761"/>
      <c r="G2842" s="733"/>
      <c r="H2842" s="733"/>
      <c r="I2842" s="733"/>
      <c r="J2842" s="733"/>
      <c r="K2842" s="733"/>
      <c r="L2842" s="733"/>
      <c r="M2842" s="733"/>
    </row>
    <row r="2843" spans="1:13" x14ac:dyDescent="0.3">
      <c r="A2843" s="733" t="s">
        <v>2808</v>
      </c>
      <c r="B2843" s="733" t="s">
        <v>645</v>
      </c>
      <c r="C2843" s="733" t="s">
        <v>2812</v>
      </c>
      <c r="D2843" s="733" t="s">
        <v>21</v>
      </c>
      <c r="E2843" s="761"/>
      <c r="F2843" s="761"/>
      <c r="G2843" s="733"/>
      <c r="H2843" s="733"/>
      <c r="I2843" s="733"/>
      <c r="J2843" s="733"/>
      <c r="K2843" s="733"/>
      <c r="L2843" s="733"/>
      <c r="M2843" s="733"/>
    </row>
    <row r="2844" spans="1:13" x14ac:dyDescent="0.3">
      <c r="A2844" s="733" t="s">
        <v>2808</v>
      </c>
      <c r="B2844" s="733" t="s">
        <v>645</v>
      </c>
      <c r="C2844" s="733" t="s">
        <v>2813</v>
      </c>
      <c r="D2844" s="733" t="s">
        <v>21</v>
      </c>
      <c r="E2844" s="761"/>
      <c r="F2844" s="761"/>
      <c r="G2844" s="733"/>
      <c r="H2844" s="733"/>
      <c r="I2844" s="733"/>
      <c r="J2844" s="733"/>
      <c r="K2844" s="733"/>
      <c r="L2844" s="733"/>
      <c r="M2844" s="733"/>
    </row>
    <row r="2845" spans="1:13" x14ac:dyDescent="0.3">
      <c r="A2845" s="733" t="s">
        <v>2808</v>
      </c>
      <c r="B2845" s="733" t="s">
        <v>664</v>
      </c>
      <c r="C2845" s="733" t="s">
        <v>2814</v>
      </c>
      <c r="D2845" s="733" t="s">
        <v>21</v>
      </c>
      <c r="E2845" s="761"/>
      <c r="F2845" s="761"/>
      <c r="G2845" s="733"/>
      <c r="H2845" s="733"/>
      <c r="I2845" s="733"/>
      <c r="J2845" s="733"/>
      <c r="K2845" s="733"/>
      <c r="L2845" s="733"/>
      <c r="M2845" s="733"/>
    </row>
    <row r="2846" spans="1:13" x14ac:dyDescent="0.3">
      <c r="A2846" s="733" t="s">
        <v>2808</v>
      </c>
      <c r="B2846" s="733" t="s">
        <v>664</v>
      </c>
      <c r="C2846" s="733" t="s">
        <v>2815</v>
      </c>
      <c r="D2846" s="733" t="s">
        <v>21</v>
      </c>
      <c r="E2846" s="761"/>
      <c r="F2846" s="761"/>
      <c r="G2846" s="733"/>
      <c r="H2846" s="733"/>
      <c r="I2846" s="733"/>
      <c r="J2846" s="733"/>
      <c r="K2846" s="733"/>
      <c r="L2846" s="733"/>
      <c r="M2846" s="733"/>
    </row>
    <row r="2847" spans="1:13" x14ac:dyDescent="0.3">
      <c r="A2847" s="733" t="s">
        <v>2808</v>
      </c>
      <c r="B2847" s="733" t="s">
        <v>664</v>
      </c>
      <c r="C2847" s="733" t="s">
        <v>2816</v>
      </c>
      <c r="D2847" s="733" t="s">
        <v>21</v>
      </c>
      <c r="E2847" s="761"/>
      <c r="F2847" s="761"/>
      <c r="G2847" s="733"/>
      <c r="H2847" s="733"/>
      <c r="I2847" s="733"/>
      <c r="J2847" s="733"/>
      <c r="K2847" s="733"/>
      <c r="L2847" s="733"/>
      <c r="M2847" s="733"/>
    </row>
    <row r="2848" spans="1:13" x14ac:dyDescent="0.3">
      <c r="A2848" s="733" t="s">
        <v>2808</v>
      </c>
      <c r="B2848" s="733" t="s">
        <v>664</v>
      </c>
      <c r="C2848" s="733" t="s">
        <v>2817</v>
      </c>
      <c r="D2848" s="733" t="s">
        <v>21</v>
      </c>
      <c r="E2848" s="761"/>
      <c r="F2848" s="761"/>
      <c r="G2848" s="733"/>
      <c r="H2848" s="733"/>
      <c r="I2848" s="733"/>
      <c r="J2848" s="733"/>
      <c r="K2848" s="733"/>
      <c r="L2848" s="733"/>
      <c r="M2848" s="733"/>
    </row>
    <row r="2849" spans="1:13" x14ac:dyDescent="0.3">
      <c r="A2849" s="733" t="s">
        <v>2808</v>
      </c>
      <c r="B2849" s="733" t="s">
        <v>664</v>
      </c>
      <c r="C2849" s="733" t="s">
        <v>2818</v>
      </c>
      <c r="D2849" s="733" t="s">
        <v>21</v>
      </c>
      <c r="E2849" s="761"/>
      <c r="F2849" s="761"/>
      <c r="G2849" s="733"/>
      <c r="H2849" s="733"/>
      <c r="I2849" s="733"/>
      <c r="J2849" s="733"/>
      <c r="K2849" s="733"/>
      <c r="L2849" s="733"/>
      <c r="M2849" s="733"/>
    </row>
    <row r="2850" spans="1:13" x14ac:dyDescent="0.3">
      <c r="A2850" s="733" t="s">
        <v>2808</v>
      </c>
      <c r="B2850" s="733" t="s">
        <v>612</v>
      </c>
      <c r="C2850" s="733" t="s">
        <v>2819</v>
      </c>
      <c r="D2850" s="733" t="s">
        <v>21</v>
      </c>
      <c r="E2850" s="761"/>
      <c r="F2850" s="761"/>
      <c r="G2850" s="733"/>
      <c r="H2850" s="733"/>
      <c r="I2850" s="733"/>
      <c r="J2850" s="733"/>
      <c r="K2850" s="733"/>
      <c r="L2850" s="733"/>
      <c r="M2850" s="733"/>
    </row>
    <row r="2851" spans="1:13" x14ac:dyDescent="0.3">
      <c r="A2851" s="733" t="s">
        <v>2808</v>
      </c>
      <c r="B2851" s="733" t="s">
        <v>612</v>
      </c>
      <c r="C2851" s="733" t="s">
        <v>2820</v>
      </c>
      <c r="D2851" s="733" t="s">
        <v>21</v>
      </c>
      <c r="E2851" s="761"/>
      <c r="F2851" s="761"/>
      <c r="G2851" s="733"/>
      <c r="H2851" s="733"/>
      <c r="I2851" s="733"/>
      <c r="J2851" s="733"/>
      <c r="K2851" s="733"/>
      <c r="L2851" s="733"/>
      <c r="M2851" s="733"/>
    </row>
    <row r="2852" spans="1:13" x14ac:dyDescent="0.3">
      <c r="A2852" s="733" t="s">
        <v>2808</v>
      </c>
      <c r="B2852" s="733" t="s">
        <v>612</v>
      </c>
      <c r="C2852" s="733" t="s">
        <v>2821</v>
      </c>
      <c r="D2852" s="733" t="s">
        <v>21</v>
      </c>
      <c r="E2852" s="761"/>
      <c r="F2852" s="761"/>
      <c r="G2852" s="733"/>
      <c r="H2852" s="733"/>
      <c r="I2852" s="733"/>
      <c r="J2852" s="733"/>
      <c r="K2852" s="733"/>
      <c r="L2852" s="733"/>
      <c r="M2852" s="733"/>
    </row>
    <row r="2853" spans="1:13" x14ac:dyDescent="0.3">
      <c r="A2853" s="733" t="s">
        <v>2808</v>
      </c>
      <c r="B2853" s="733" t="s">
        <v>612</v>
      </c>
      <c r="C2853" s="733" t="s">
        <v>2822</v>
      </c>
      <c r="D2853" s="733" t="s">
        <v>21</v>
      </c>
      <c r="E2853" s="761"/>
      <c r="F2853" s="761"/>
      <c r="G2853" s="733"/>
      <c r="H2853" s="733"/>
      <c r="I2853" s="733"/>
      <c r="J2853" s="733"/>
      <c r="K2853" s="733"/>
      <c r="L2853" s="733"/>
      <c r="M2853" s="733"/>
    </row>
    <row r="2854" spans="1:13" x14ac:dyDescent="0.3">
      <c r="A2854" s="733" t="s">
        <v>2808</v>
      </c>
      <c r="B2854" s="733" t="s">
        <v>612</v>
      </c>
      <c r="C2854" s="733" t="s">
        <v>2823</v>
      </c>
      <c r="D2854" s="733" t="s">
        <v>21</v>
      </c>
      <c r="E2854" s="761"/>
      <c r="F2854" s="761"/>
      <c r="G2854" s="733"/>
      <c r="H2854" s="733"/>
      <c r="I2854" s="733"/>
      <c r="J2854" s="733"/>
      <c r="K2854" s="733"/>
      <c r="L2854" s="733"/>
      <c r="M2854" s="733"/>
    </row>
    <row r="2855" spans="1:13" x14ac:dyDescent="0.3">
      <c r="A2855" s="733" t="s">
        <v>2824</v>
      </c>
      <c r="B2855" s="733" t="s">
        <v>645</v>
      </c>
      <c r="C2855" s="733" t="s">
        <v>2825</v>
      </c>
      <c r="D2855" s="733" t="s">
        <v>21</v>
      </c>
      <c r="E2855" s="761"/>
      <c r="F2855" s="761"/>
      <c r="G2855" s="733"/>
      <c r="H2855" s="733"/>
      <c r="I2855" s="733"/>
      <c r="J2855" s="733"/>
      <c r="K2855" s="733"/>
      <c r="L2855" s="733"/>
      <c r="M2855" s="733"/>
    </row>
    <row r="2856" spans="1:13" x14ac:dyDescent="0.3">
      <c r="A2856" s="733" t="s">
        <v>2824</v>
      </c>
      <c r="B2856" s="733" t="s">
        <v>645</v>
      </c>
      <c r="C2856" s="733" t="s">
        <v>2826</v>
      </c>
      <c r="D2856" s="733" t="s">
        <v>21</v>
      </c>
      <c r="E2856" s="761"/>
      <c r="F2856" s="761"/>
      <c r="G2856" s="733"/>
      <c r="H2856" s="733"/>
      <c r="I2856" s="733"/>
      <c r="J2856" s="733"/>
      <c r="K2856" s="733"/>
      <c r="L2856" s="733"/>
      <c r="M2856" s="733"/>
    </row>
    <row r="2857" spans="1:13" x14ac:dyDescent="0.3">
      <c r="A2857" s="733" t="s">
        <v>2824</v>
      </c>
      <c r="B2857" s="733" t="s">
        <v>645</v>
      </c>
      <c r="C2857" s="733" t="s">
        <v>2827</v>
      </c>
      <c r="D2857" s="733" t="s">
        <v>21</v>
      </c>
      <c r="E2857" s="761"/>
      <c r="F2857" s="761"/>
      <c r="G2857" s="733"/>
      <c r="H2857" s="733"/>
      <c r="I2857" s="733"/>
      <c r="J2857" s="733"/>
      <c r="K2857" s="733"/>
      <c r="L2857" s="733"/>
      <c r="M2857" s="733"/>
    </row>
    <row r="2858" spans="1:13" x14ac:dyDescent="0.3">
      <c r="A2858" s="733" t="s">
        <v>2824</v>
      </c>
      <c r="B2858" s="733" t="s">
        <v>645</v>
      </c>
      <c r="C2858" s="733" t="s">
        <v>2828</v>
      </c>
      <c r="D2858" s="733" t="s">
        <v>21</v>
      </c>
      <c r="E2858" s="761"/>
      <c r="F2858" s="761"/>
      <c r="G2858" s="733"/>
      <c r="H2858" s="733"/>
      <c r="I2858" s="733"/>
      <c r="J2858" s="733"/>
      <c r="K2858" s="733"/>
      <c r="L2858" s="733"/>
      <c r="M2858" s="733"/>
    </row>
    <row r="2859" spans="1:13" x14ac:dyDescent="0.3">
      <c r="A2859" s="733" t="s">
        <v>2824</v>
      </c>
      <c r="B2859" s="733" t="s">
        <v>645</v>
      </c>
      <c r="C2859" s="733" t="s">
        <v>2829</v>
      </c>
      <c r="D2859" s="733" t="s">
        <v>21</v>
      </c>
      <c r="E2859" s="761"/>
      <c r="F2859" s="761"/>
      <c r="G2859" s="733"/>
      <c r="H2859" s="733"/>
      <c r="I2859" s="733"/>
      <c r="J2859" s="733"/>
      <c r="K2859" s="733"/>
      <c r="L2859" s="733"/>
      <c r="M2859" s="733"/>
    </row>
    <row r="2860" spans="1:13" x14ac:dyDescent="0.3">
      <c r="A2860" s="733" t="s">
        <v>2824</v>
      </c>
      <c r="B2860" s="733" t="s">
        <v>664</v>
      </c>
      <c r="C2860" s="733" t="s">
        <v>2830</v>
      </c>
      <c r="D2860" s="733" t="s">
        <v>21</v>
      </c>
      <c r="E2860" s="761"/>
      <c r="F2860" s="761"/>
      <c r="G2860" s="733"/>
      <c r="H2860" s="733"/>
      <c r="I2860" s="733"/>
      <c r="J2860" s="733"/>
      <c r="K2860" s="733"/>
      <c r="L2860" s="733"/>
      <c r="M2860" s="733"/>
    </row>
    <row r="2861" spans="1:13" x14ac:dyDescent="0.3">
      <c r="A2861" s="733" t="s">
        <v>2824</v>
      </c>
      <c r="B2861" s="733" t="s">
        <v>664</v>
      </c>
      <c r="C2861" s="733" t="s">
        <v>2831</v>
      </c>
      <c r="D2861" s="733" t="s">
        <v>21</v>
      </c>
      <c r="E2861" s="761"/>
      <c r="F2861" s="761"/>
      <c r="G2861" s="733"/>
      <c r="H2861" s="733"/>
      <c r="I2861" s="733"/>
      <c r="J2861" s="733"/>
      <c r="K2861" s="733"/>
      <c r="L2861" s="733"/>
      <c r="M2861" s="733"/>
    </row>
    <row r="2862" spans="1:13" x14ac:dyDescent="0.3">
      <c r="A2862" s="733" t="s">
        <v>2824</v>
      </c>
      <c r="B2862" s="733" t="s">
        <v>664</v>
      </c>
      <c r="C2862" s="733" t="s">
        <v>2832</v>
      </c>
      <c r="D2862" s="733" t="s">
        <v>21</v>
      </c>
      <c r="E2862" s="761"/>
      <c r="F2862" s="761"/>
      <c r="G2862" s="733"/>
      <c r="H2862" s="733"/>
      <c r="I2862" s="733"/>
      <c r="J2862" s="733"/>
      <c r="K2862" s="733"/>
      <c r="L2862" s="733"/>
      <c r="M2862" s="733"/>
    </row>
    <row r="2863" spans="1:13" x14ac:dyDescent="0.3">
      <c r="A2863" s="733" t="s">
        <v>2824</v>
      </c>
      <c r="B2863" s="733" t="s">
        <v>664</v>
      </c>
      <c r="C2863" s="733" t="s">
        <v>2833</v>
      </c>
      <c r="D2863" s="733" t="s">
        <v>21</v>
      </c>
      <c r="E2863" s="761"/>
      <c r="F2863" s="761"/>
      <c r="G2863" s="733"/>
      <c r="H2863" s="733"/>
      <c r="I2863" s="733"/>
      <c r="J2863" s="733"/>
      <c r="K2863" s="733"/>
      <c r="L2863" s="733"/>
      <c r="M2863" s="733"/>
    </row>
    <row r="2864" spans="1:13" x14ac:dyDescent="0.3">
      <c r="A2864" s="733" t="s">
        <v>2824</v>
      </c>
      <c r="B2864" s="733" t="s">
        <v>664</v>
      </c>
      <c r="C2864" s="733" t="s">
        <v>2834</v>
      </c>
      <c r="D2864" s="733" t="s">
        <v>21</v>
      </c>
      <c r="E2864" s="761"/>
      <c r="F2864" s="761"/>
      <c r="G2864" s="733"/>
      <c r="H2864" s="733"/>
      <c r="I2864" s="733"/>
      <c r="J2864" s="733"/>
      <c r="K2864" s="733"/>
      <c r="L2864" s="733"/>
      <c r="M2864" s="733"/>
    </row>
    <row r="2865" spans="1:13" x14ac:dyDescent="0.3">
      <c r="A2865" s="733" t="s">
        <v>2824</v>
      </c>
      <c r="B2865" s="733" t="s">
        <v>612</v>
      </c>
      <c r="C2865" s="733" t="s">
        <v>2835</v>
      </c>
      <c r="D2865" s="733" t="s">
        <v>21</v>
      </c>
      <c r="E2865" s="761"/>
      <c r="F2865" s="761"/>
      <c r="G2865" s="733"/>
      <c r="H2865" s="733"/>
      <c r="I2865" s="733"/>
      <c r="J2865" s="733"/>
      <c r="K2865" s="733"/>
      <c r="L2865" s="733"/>
      <c r="M2865" s="733"/>
    </row>
    <row r="2866" spans="1:13" x14ac:dyDescent="0.3">
      <c r="A2866" s="733" t="s">
        <v>2824</v>
      </c>
      <c r="B2866" s="733" t="s">
        <v>612</v>
      </c>
      <c r="C2866" s="733" t="s">
        <v>2836</v>
      </c>
      <c r="D2866" s="733" t="s">
        <v>21</v>
      </c>
      <c r="E2866" s="761"/>
      <c r="F2866" s="761"/>
      <c r="G2866" s="733"/>
      <c r="H2866" s="733"/>
      <c r="I2866" s="733"/>
      <c r="J2866" s="733"/>
      <c r="K2866" s="733"/>
      <c r="L2866" s="733"/>
      <c r="M2866" s="733"/>
    </row>
    <row r="2867" spans="1:13" x14ac:dyDescent="0.3">
      <c r="A2867" s="733" t="s">
        <v>2824</v>
      </c>
      <c r="B2867" s="733" t="s">
        <v>612</v>
      </c>
      <c r="C2867" s="733" t="s">
        <v>2837</v>
      </c>
      <c r="D2867" s="733" t="s">
        <v>21</v>
      </c>
      <c r="E2867" s="761"/>
      <c r="F2867" s="761"/>
      <c r="G2867" s="733"/>
      <c r="H2867" s="733"/>
      <c r="I2867" s="733"/>
      <c r="J2867" s="733"/>
      <c r="K2867" s="733"/>
      <c r="L2867" s="733"/>
      <c r="M2867" s="733"/>
    </row>
    <row r="2868" spans="1:13" x14ac:dyDescent="0.3">
      <c r="A2868" s="733" t="s">
        <v>2824</v>
      </c>
      <c r="B2868" s="733" t="s">
        <v>612</v>
      </c>
      <c r="C2868" s="733" t="s">
        <v>2838</v>
      </c>
      <c r="D2868" s="733" t="s">
        <v>21</v>
      </c>
      <c r="E2868" s="761"/>
      <c r="F2868" s="761"/>
      <c r="G2868" s="733"/>
      <c r="H2868" s="733"/>
      <c r="I2868" s="733"/>
      <c r="J2868" s="733"/>
      <c r="K2868" s="733"/>
      <c r="L2868" s="733"/>
      <c r="M2868" s="733"/>
    </row>
    <row r="2869" spans="1:13" x14ac:dyDescent="0.3">
      <c r="A2869" s="733" t="s">
        <v>2839</v>
      </c>
      <c r="B2869" s="733" t="s">
        <v>612</v>
      </c>
      <c r="C2869" s="733" t="s">
        <v>2840</v>
      </c>
      <c r="D2869" s="733" t="s">
        <v>21</v>
      </c>
      <c r="E2869" s="761"/>
      <c r="F2869" s="761"/>
      <c r="G2869" s="733"/>
      <c r="H2869" s="733"/>
      <c r="I2869" s="733"/>
      <c r="J2869" s="733"/>
      <c r="K2869" s="733"/>
      <c r="L2869" s="733"/>
      <c r="M2869" s="733"/>
    </row>
    <row r="2870" spans="1:13" x14ac:dyDescent="0.3">
      <c r="A2870" s="733" t="s">
        <v>2839</v>
      </c>
      <c r="B2870" s="733" t="s">
        <v>645</v>
      </c>
      <c r="C2870" s="733" t="s">
        <v>2841</v>
      </c>
      <c r="D2870" s="733" t="s">
        <v>21</v>
      </c>
      <c r="E2870" s="761"/>
      <c r="F2870" s="761"/>
      <c r="G2870" s="733"/>
      <c r="H2870" s="733"/>
      <c r="I2870" s="733"/>
      <c r="J2870" s="733"/>
      <c r="K2870" s="733"/>
      <c r="L2870" s="733"/>
      <c r="M2870" s="733"/>
    </row>
    <row r="2871" spans="1:13" x14ac:dyDescent="0.3">
      <c r="A2871" s="733" t="s">
        <v>2839</v>
      </c>
      <c r="B2871" s="733" t="s">
        <v>645</v>
      </c>
      <c r="C2871" s="733" t="s">
        <v>2842</v>
      </c>
      <c r="D2871" s="733" t="s">
        <v>21</v>
      </c>
      <c r="E2871" s="761"/>
      <c r="F2871" s="761"/>
      <c r="G2871" s="733"/>
      <c r="H2871" s="733"/>
      <c r="I2871" s="733"/>
      <c r="J2871" s="733"/>
      <c r="K2871" s="733"/>
      <c r="L2871" s="733"/>
      <c r="M2871" s="733"/>
    </row>
    <row r="2872" spans="1:13" x14ac:dyDescent="0.3">
      <c r="A2872" s="733" t="s">
        <v>2839</v>
      </c>
      <c r="B2872" s="733" t="s">
        <v>645</v>
      </c>
      <c r="C2872" s="733" t="s">
        <v>2843</v>
      </c>
      <c r="D2872" s="733" t="s">
        <v>21</v>
      </c>
      <c r="E2872" s="761"/>
      <c r="F2872" s="761"/>
      <c r="G2872" s="733"/>
      <c r="H2872" s="733"/>
      <c r="I2872" s="733"/>
      <c r="J2872" s="733"/>
      <c r="K2872" s="733"/>
      <c r="L2872" s="733"/>
      <c r="M2872" s="733"/>
    </row>
    <row r="2873" spans="1:13" x14ac:dyDescent="0.3">
      <c r="A2873" s="733" t="s">
        <v>2839</v>
      </c>
      <c r="B2873" s="733" t="s">
        <v>645</v>
      </c>
      <c r="C2873" s="733" t="s">
        <v>2844</v>
      </c>
      <c r="D2873" s="733" t="s">
        <v>21</v>
      </c>
      <c r="E2873" s="761"/>
      <c r="F2873" s="761"/>
      <c r="G2873" s="733"/>
      <c r="H2873" s="733"/>
      <c r="I2873" s="733"/>
      <c r="J2873" s="733"/>
      <c r="K2873" s="733"/>
      <c r="L2873" s="733"/>
      <c r="M2873" s="733"/>
    </row>
    <row r="2874" spans="1:13" x14ac:dyDescent="0.3">
      <c r="A2874" s="733" t="s">
        <v>2839</v>
      </c>
      <c r="B2874" s="733" t="s">
        <v>645</v>
      </c>
      <c r="C2874" s="733" t="s">
        <v>2845</v>
      </c>
      <c r="D2874" s="733" t="s">
        <v>21</v>
      </c>
      <c r="E2874" s="761"/>
      <c r="F2874" s="761"/>
      <c r="G2874" s="733"/>
      <c r="H2874" s="733"/>
      <c r="I2874" s="733"/>
      <c r="J2874" s="733"/>
      <c r="K2874" s="733"/>
      <c r="L2874" s="733"/>
      <c r="M2874" s="733"/>
    </row>
    <row r="2875" spans="1:13" x14ac:dyDescent="0.3">
      <c r="A2875" s="733" t="s">
        <v>2839</v>
      </c>
      <c r="B2875" s="733" t="s">
        <v>664</v>
      </c>
      <c r="C2875" s="733" t="s">
        <v>2846</v>
      </c>
      <c r="D2875" s="733" t="s">
        <v>21</v>
      </c>
      <c r="E2875" s="761"/>
      <c r="F2875" s="761"/>
      <c r="G2875" s="733"/>
      <c r="H2875" s="733"/>
      <c r="I2875" s="733"/>
      <c r="J2875" s="733"/>
      <c r="K2875" s="733"/>
      <c r="L2875" s="733"/>
      <c r="M2875" s="733"/>
    </row>
    <row r="2876" spans="1:13" x14ac:dyDescent="0.3">
      <c r="A2876" s="733" t="s">
        <v>2839</v>
      </c>
      <c r="B2876" s="733" t="s">
        <v>664</v>
      </c>
      <c r="C2876" s="733" t="s">
        <v>2847</v>
      </c>
      <c r="D2876" s="733" t="s">
        <v>21</v>
      </c>
      <c r="E2876" s="761"/>
      <c r="F2876" s="761"/>
      <c r="G2876" s="733"/>
      <c r="H2876" s="733"/>
      <c r="I2876" s="733"/>
      <c r="J2876" s="733"/>
      <c r="K2876" s="733"/>
      <c r="L2876" s="733"/>
      <c r="M2876" s="733"/>
    </row>
    <row r="2877" spans="1:13" x14ac:dyDescent="0.3">
      <c r="A2877" s="733" t="s">
        <v>2839</v>
      </c>
      <c r="B2877" s="733" t="s">
        <v>664</v>
      </c>
      <c r="C2877" s="733" t="s">
        <v>2848</v>
      </c>
      <c r="D2877" s="733" t="s">
        <v>21</v>
      </c>
      <c r="E2877" s="761"/>
      <c r="F2877" s="761"/>
      <c r="G2877" s="733"/>
      <c r="H2877" s="733"/>
      <c r="I2877" s="733"/>
      <c r="J2877" s="733"/>
      <c r="K2877" s="733"/>
      <c r="L2877" s="733"/>
      <c r="M2877" s="733"/>
    </row>
    <row r="2878" spans="1:13" x14ac:dyDescent="0.3">
      <c r="A2878" s="733" t="s">
        <v>2839</v>
      </c>
      <c r="B2878" s="733" t="s">
        <v>664</v>
      </c>
      <c r="C2878" s="733" t="s">
        <v>2849</v>
      </c>
      <c r="D2878" s="733" t="s">
        <v>21</v>
      </c>
      <c r="E2878" s="761"/>
      <c r="F2878" s="761"/>
      <c r="G2878" s="733"/>
      <c r="H2878" s="733"/>
      <c r="I2878" s="733"/>
      <c r="J2878" s="733"/>
      <c r="K2878" s="733"/>
      <c r="L2878" s="733"/>
      <c r="M2878" s="733"/>
    </row>
    <row r="2879" spans="1:13" x14ac:dyDescent="0.3">
      <c r="A2879" s="733" t="s">
        <v>2839</v>
      </c>
      <c r="B2879" s="733" t="s">
        <v>664</v>
      </c>
      <c r="C2879" s="733" t="s">
        <v>2850</v>
      </c>
      <c r="D2879" s="733" t="s">
        <v>21</v>
      </c>
      <c r="E2879" s="761"/>
      <c r="F2879" s="761"/>
      <c r="G2879" s="733"/>
      <c r="H2879" s="733"/>
      <c r="I2879" s="733"/>
      <c r="J2879" s="733"/>
      <c r="K2879" s="733"/>
      <c r="L2879" s="733"/>
      <c r="M2879" s="733"/>
    </row>
    <row r="2880" spans="1:13" x14ac:dyDescent="0.3">
      <c r="A2880" s="733" t="s">
        <v>2839</v>
      </c>
      <c r="B2880" s="733" t="s">
        <v>612</v>
      </c>
      <c r="C2880" s="733" t="s">
        <v>2851</v>
      </c>
      <c r="D2880" s="733" t="s">
        <v>21</v>
      </c>
      <c r="E2880" s="761"/>
      <c r="F2880" s="761"/>
      <c r="G2880" s="733"/>
      <c r="H2880" s="733"/>
      <c r="I2880" s="733"/>
      <c r="J2880" s="733"/>
      <c r="K2880" s="733"/>
      <c r="L2880" s="733"/>
      <c r="M2880" s="733"/>
    </row>
    <row r="2881" spans="1:13" x14ac:dyDescent="0.3">
      <c r="A2881" s="733" t="s">
        <v>2839</v>
      </c>
      <c r="B2881" s="733" t="s">
        <v>612</v>
      </c>
      <c r="C2881" s="733" t="s">
        <v>2852</v>
      </c>
      <c r="D2881" s="733" t="s">
        <v>21</v>
      </c>
      <c r="E2881" s="761"/>
      <c r="F2881" s="761"/>
      <c r="G2881" s="733"/>
      <c r="H2881" s="733"/>
      <c r="I2881" s="733"/>
      <c r="J2881" s="733"/>
      <c r="K2881" s="733"/>
      <c r="L2881" s="733"/>
      <c r="M2881" s="733"/>
    </row>
    <row r="2882" spans="1:13" x14ac:dyDescent="0.3">
      <c r="A2882" s="733" t="s">
        <v>2839</v>
      </c>
      <c r="B2882" s="733" t="s">
        <v>612</v>
      </c>
      <c r="C2882" s="733" t="s">
        <v>2853</v>
      </c>
      <c r="D2882" s="733" t="s">
        <v>21</v>
      </c>
      <c r="E2882" s="761"/>
      <c r="F2882" s="761"/>
      <c r="G2882" s="733"/>
      <c r="H2882" s="733"/>
      <c r="I2882" s="733"/>
      <c r="J2882" s="733"/>
      <c r="K2882" s="733"/>
      <c r="L2882" s="733"/>
      <c r="M2882" s="733"/>
    </row>
    <row r="2883" spans="1:13" x14ac:dyDescent="0.3">
      <c r="A2883" s="733" t="s">
        <v>2839</v>
      </c>
      <c r="B2883" s="733" t="s">
        <v>612</v>
      </c>
      <c r="C2883" s="733" t="s">
        <v>2854</v>
      </c>
      <c r="D2883" s="733" t="s">
        <v>21</v>
      </c>
      <c r="E2883" s="761"/>
      <c r="F2883" s="761"/>
      <c r="G2883" s="733"/>
      <c r="H2883" s="733"/>
      <c r="I2883" s="733"/>
      <c r="J2883" s="733"/>
      <c r="K2883" s="733"/>
      <c r="L2883" s="733"/>
      <c r="M2883" s="733"/>
    </row>
    <row r="2884" spans="1:13" x14ac:dyDescent="0.3">
      <c r="A2884" s="733" t="s">
        <v>2839</v>
      </c>
      <c r="B2884" s="733" t="s">
        <v>612</v>
      </c>
      <c r="C2884" s="733" t="s">
        <v>2855</v>
      </c>
      <c r="D2884" s="733" t="s">
        <v>21</v>
      </c>
      <c r="E2884" s="761"/>
      <c r="F2884" s="761"/>
      <c r="G2884" s="733"/>
      <c r="H2884" s="733"/>
      <c r="I2884" s="733"/>
      <c r="J2884" s="733"/>
      <c r="K2884" s="733"/>
      <c r="L2884" s="733"/>
      <c r="M2884" s="733"/>
    </row>
    <row r="2885" spans="1:13" x14ac:dyDescent="0.3">
      <c r="A2885" s="733" t="s">
        <v>2856</v>
      </c>
      <c r="B2885" s="733" t="s">
        <v>645</v>
      </c>
      <c r="C2885" s="733" t="s">
        <v>2857</v>
      </c>
      <c r="D2885" s="733" t="s">
        <v>21</v>
      </c>
      <c r="E2885" s="761"/>
      <c r="F2885" s="761"/>
      <c r="G2885" s="733"/>
      <c r="H2885" s="733"/>
      <c r="I2885" s="733"/>
      <c r="J2885" s="733"/>
      <c r="K2885" s="733"/>
      <c r="L2885" s="733"/>
      <c r="M2885" s="733"/>
    </row>
    <row r="2886" spans="1:13" x14ac:dyDescent="0.3">
      <c r="A2886" s="733" t="s">
        <v>2856</v>
      </c>
      <c r="B2886" s="733" t="s">
        <v>645</v>
      </c>
      <c r="C2886" s="733" t="s">
        <v>2858</v>
      </c>
      <c r="D2886" s="733" t="s">
        <v>21</v>
      </c>
      <c r="E2886" s="761"/>
      <c r="F2886" s="761"/>
      <c r="G2886" s="733"/>
      <c r="H2886" s="733"/>
      <c r="I2886" s="733"/>
      <c r="J2886" s="733"/>
      <c r="K2886" s="733"/>
      <c r="L2886" s="733"/>
      <c r="M2886" s="733"/>
    </row>
    <row r="2887" spans="1:13" x14ac:dyDescent="0.3">
      <c r="A2887" s="733" t="s">
        <v>2856</v>
      </c>
      <c r="B2887" s="733" t="s">
        <v>645</v>
      </c>
      <c r="C2887" s="733" t="s">
        <v>2859</v>
      </c>
      <c r="D2887" s="733" t="s">
        <v>21</v>
      </c>
      <c r="E2887" s="761"/>
      <c r="F2887" s="761"/>
      <c r="G2887" s="733"/>
      <c r="H2887" s="733"/>
      <c r="I2887" s="733"/>
      <c r="J2887" s="733"/>
      <c r="K2887" s="733"/>
      <c r="L2887" s="733"/>
      <c r="M2887" s="733"/>
    </row>
    <row r="2888" spans="1:13" x14ac:dyDescent="0.3">
      <c r="A2888" s="733" t="s">
        <v>2856</v>
      </c>
      <c r="B2888" s="733" t="s">
        <v>645</v>
      </c>
      <c r="C2888" s="733" t="s">
        <v>2860</v>
      </c>
      <c r="D2888" s="733" t="s">
        <v>21</v>
      </c>
      <c r="E2888" s="761"/>
      <c r="F2888" s="761"/>
      <c r="G2888" s="733"/>
      <c r="H2888" s="733"/>
      <c r="I2888" s="733"/>
      <c r="J2888" s="733"/>
      <c r="K2888" s="733"/>
      <c r="L2888" s="733"/>
      <c r="M2888" s="733"/>
    </row>
    <row r="2889" spans="1:13" x14ac:dyDescent="0.3">
      <c r="A2889" s="733" t="s">
        <v>2856</v>
      </c>
      <c r="B2889" s="733" t="s">
        <v>645</v>
      </c>
      <c r="C2889" s="733" t="s">
        <v>2861</v>
      </c>
      <c r="D2889" s="733" t="s">
        <v>21</v>
      </c>
      <c r="E2889" s="761"/>
      <c r="F2889" s="761"/>
      <c r="G2889" s="733"/>
      <c r="H2889" s="733"/>
      <c r="I2889" s="733"/>
      <c r="J2889" s="733"/>
      <c r="K2889" s="733"/>
      <c r="L2889" s="733"/>
      <c r="M2889" s="733"/>
    </row>
    <row r="2890" spans="1:13" x14ac:dyDescent="0.3">
      <c r="A2890" s="733" t="s">
        <v>2856</v>
      </c>
      <c r="B2890" s="733" t="s">
        <v>664</v>
      </c>
      <c r="C2890" s="733" t="s">
        <v>2862</v>
      </c>
      <c r="D2890" s="733" t="s">
        <v>21</v>
      </c>
      <c r="E2890" s="761"/>
      <c r="F2890" s="761"/>
      <c r="G2890" s="733"/>
      <c r="H2890" s="733"/>
      <c r="I2890" s="733"/>
      <c r="J2890" s="733"/>
      <c r="K2890" s="733"/>
      <c r="L2890" s="733"/>
      <c r="M2890" s="733"/>
    </row>
    <row r="2891" spans="1:13" x14ac:dyDescent="0.3">
      <c r="A2891" s="733" t="s">
        <v>2856</v>
      </c>
      <c r="B2891" s="733" t="s">
        <v>664</v>
      </c>
      <c r="C2891" s="733" t="s">
        <v>2863</v>
      </c>
      <c r="D2891" s="733" t="s">
        <v>21</v>
      </c>
      <c r="E2891" s="761"/>
      <c r="F2891" s="761"/>
      <c r="G2891" s="733"/>
      <c r="H2891" s="733"/>
      <c r="I2891" s="733"/>
      <c r="J2891" s="733"/>
      <c r="K2891" s="733"/>
      <c r="L2891" s="733"/>
      <c r="M2891" s="733"/>
    </row>
    <row r="2892" spans="1:13" x14ac:dyDescent="0.3">
      <c r="A2892" s="733" t="s">
        <v>2856</v>
      </c>
      <c r="B2892" s="733" t="s">
        <v>664</v>
      </c>
      <c r="C2892" s="733" t="s">
        <v>2864</v>
      </c>
      <c r="D2892" s="733" t="s">
        <v>21</v>
      </c>
      <c r="E2892" s="761"/>
      <c r="F2892" s="761"/>
      <c r="G2892" s="733"/>
      <c r="H2892" s="733"/>
      <c r="I2892" s="733"/>
      <c r="J2892" s="733"/>
      <c r="K2892" s="733"/>
      <c r="L2892" s="733"/>
      <c r="M2892" s="733"/>
    </row>
    <row r="2893" spans="1:13" x14ac:dyDescent="0.3">
      <c r="A2893" s="733" t="s">
        <v>2856</v>
      </c>
      <c r="B2893" s="733" t="s">
        <v>664</v>
      </c>
      <c r="C2893" s="733" t="s">
        <v>2865</v>
      </c>
      <c r="D2893" s="733" t="s">
        <v>21</v>
      </c>
      <c r="E2893" s="761"/>
      <c r="F2893" s="761"/>
      <c r="G2893" s="733"/>
      <c r="H2893" s="733"/>
      <c r="I2893" s="733"/>
      <c r="J2893" s="733"/>
      <c r="K2893" s="733"/>
      <c r="L2893" s="733"/>
      <c r="M2893" s="733"/>
    </row>
    <row r="2894" spans="1:13" x14ac:dyDescent="0.3">
      <c r="A2894" s="733" t="s">
        <v>2856</v>
      </c>
      <c r="B2894" s="733" t="s">
        <v>664</v>
      </c>
      <c r="C2894" s="733" t="s">
        <v>2866</v>
      </c>
      <c r="D2894" s="733" t="s">
        <v>21</v>
      </c>
      <c r="E2894" s="761"/>
      <c r="F2894" s="761"/>
      <c r="G2894" s="733"/>
      <c r="H2894" s="733"/>
      <c r="I2894" s="733"/>
      <c r="J2894" s="733"/>
      <c r="K2894" s="733"/>
      <c r="L2894" s="733"/>
      <c r="M2894" s="733"/>
    </row>
    <row r="2895" spans="1:13" x14ac:dyDescent="0.3">
      <c r="A2895" s="733" t="s">
        <v>2856</v>
      </c>
      <c r="B2895" s="733" t="s">
        <v>612</v>
      </c>
      <c r="C2895" s="733" t="s">
        <v>2867</v>
      </c>
      <c r="D2895" s="733" t="s">
        <v>21</v>
      </c>
      <c r="E2895" s="761"/>
      <c r="F2895" s="761"/>
      <c r="G2895" s="733"/>
      <c r="H2895" s="733"/>
      <c r="I2895" s="733"/>
      <c r="J2895" s="733"/>
      <c r="K2895" s="733"/>
      <c r="L2895" s="733"/>
      <c r="M2895" s="733"/>
    </row>
    <row r="2896" spans="1:13" x14ac:dyDescent="0.3">
      <c r="A2896" s="733" t="s">
        <v>2856</v>
      </c>
      <c r="B2896" s="733" t="s">
        <v>612</v>
      </c>
      <c r="C2896" s="733" t="s">
        <v>2868</v>
      </c>
      <c r="D2896" s="733" t="s">
        <v>21</v>
      </c>
      <c r="E2896" s="761"/>
      <c r="F2896" s="761"/>
      <c r="G2896" s="733"/>
      <c r="H2896" s="733"/>
      <c r="I2896" s="733"/>
      <c r="J2896" s="733"/>
      <c r="K2896" s="733"/>
      <c r="L2896" s="733"/>
      <c r="M2896" s="733"/>
    </row>
    <row r="2897" spans="1:13" x14ac:dyDescent="0.3">
      <c r="A2897" s="733" t="s">
        <v>2856</v>
      </c>
      <c r="B2897" s="733" t="s">
        <v>612</v>
      </c>
      <c r="C2897" s="733" t="s">
        <v>2869</v>
      </c>
      <c r="D2897" s="733" t="s">
        <v>21</v>
      </c>
      <c r="E2897" s="761"/>
      <c r="F2897" s="761"/>
      <c r="G2897" s="733"/>
      <c r="H2897" s="733"/>
      <c r="I2897" s="733"/>
      <c r="J2897" s="733"/>
      <c r="K2897" s="733"/>
      <c r="L2897" s="733"/>
      <c r="M2897" s="733"/>
    </row>
    <row r="2898" spans="1:13" x14ac:dyDescent="0.3">
      <c r="A2898" s="733" t="s">
        <v>2856</v>
      </c>
      <c r="B2898" s="733" t="s">
        <v>612</v>
      </c>
      <c r="C2898" s="733" t="s">
        <v>2870</v>
      </c>
      <c r="D2898" s="733" t="s">
        <v>21</v>
      </c>
      <c r="E2898" s="761"/>
      <c r="F2898" s="761"/>
      <c r="G2898" s="733"/>
      <c r="H2898" s="733"/>
      <c r="I2898" s="733"/>
      <c r="J2898" s="733"/>
      <c r="K2898" s="733"/>
      <c r="L2898" s="733"/>
      <c r="M2898" s="733"/>
    </row>
    <row r="2899" spans="1:13" x14ac:dyDescent="0.3">
      <c r="A2899" s="733" t="s">
        <v>2856</v>
      </c>
      <c r="B2899" s="733" t="s">
        <v>612</v>
      </c>
      <c r="C2899" s="733" t="s">
        <v>2871</v>
      </c>
      <c r="D2899" s="733" t="s">
        <v>21</v>
      </c>
      <c r="E2899" s="761"/>
      <c r="F2899" s="761"/>
      <c r="G2899" s="733"/>
      <c r="H2899" s="733"/>
      <c r="I2899" s="733"/>
      <c r="J2899" s="733"/>
      <c r="K2899" s="733"/>
      <c r="L2899" s="733"/>
      <c r="M2899" s="733"/>
    </row>
    <row r="2900" spans="1:13" x14ac:dyDescent="0.3">
      <c r="A2900" s="733" t="s">
        <v>2872</v>
      </c>
      <c r="B2900" s="733" t="s">
        <v>645</v>
      </c>
      <c r="C2900" s="733" t="s">
        <v>2873</v>
      </c>
      <c r="D2900" s="733" t="s">
        <v>21</v>
      </c>
      <c r="E2900" s="761"/>
      <c r="F2900" s="761"/>
      <c r="G2900" s="733"/>
      <c r="H2900" s="733"/>
      <c r="I2900" s="733"/>
      <c r="J2900" s="733"/>
      <c r="K2900" s="733"/>
      <c r="L2900" s="733"/>
      <c r="M2900" s="733"/>
    </row>
    <row r="2901" spans="1:13" x14ac:dyDescent="0.3">
      <c r="A2901" s="733" t="s">
        <v>2872</v>
      </c>
      <c r="B2901" s="733" t="s">
        <v>645</v>
      </c>
      <c r="C2901" s="733" t="s">
        <v>2874</v>
      </c>
      <c r="D2901" s="733" t="s">
        <v>21</v>
      </c>
      <c r="E2901" s="761"/>
      <c r="F2901" s="761"/>
      <c r="G2901" s="733"/>
      <c r="H2901" s="733"/>
      <c r="I2901" s="733"/>
      <c r="J2901" s="733"/>
      <c r="K2901" s="733"/>
      <c r="L2901" s="733"/>
      <c r="M2901" s="733"/>
    </row>
    <row r="2902" spans="1:13" x14ac:dyDescent="0.3">
      <c r="A2902" s="733" t="s">
        <v>2872</v>
      </c>
      <c r="B2902" s="733" t="s">
        <v>645</v>
      </c>
      <c r="C2902" s="733" t="s">
        <v>2875</v>
      </c>
      <c r="D2902" s="733" t="s">
        <v>21</v>
      </c>
      <c r="E2902" s="761"/>
      <c r="F2902" s="761"/>
      <c r="G2902" s="733"/>
      <c r="H2902" s="733"/>
      <c r="I2902" s="733"/>
      <c r="J2902" s="733"/>
      <c r="K2902" s="733"/>
      <c r="L2902" s="733"/>
      <c r="M2902" s="733"/>
    </row>
    <row r="2903" spans="1:13" x14ac:dyDescent="0.3">
      <c r="A2903" s="733" t="s">
        <v>2872</v>
      </c>
      <c r="B2903" s="733" t="s">
        <v>645</v>
      </c>
      <c r="C2903" s="733" t="s">
        <v>2876</v>
      </c>
      <c r="D2903" s="733" t="s">
        <v>21</v>
      </c>
      <c r="E2903" s="761"/>
      <c r="F2903" s="761"/>
      <c r="G2903" s="733"/>
      <c r="H2903" s="733"/>
      <c r="I2903" s="733"/>
      <c r="J2903" s="733"/>
      <c r="K2903" s="733"/>
      <c r="L2903" s="733"/>
      <c r="M2903" s="733"/>
    </row>
    <row r="2904" spans="1:13" x14ac:dyDescent="0.3">
      <c r="A2904" s="733" t="s">
        <v>2872</v>
      </c>
      <c r="B2904" s="733" t="s">
        <v>645</v>
      </c>
      <c r="C2904" s="733" t="s">
        <v>2877</v>
      </c>
      <c r="D2904" s="733" t="s">
        <v>21</v>
      </c>
      <c r="E2904" s="761"/>
      <c r="F2904" s="761"/>
      <c r="G2904" s="733"/>
      <c r="H2904" s="733"/>
      <c r="I2904" s="733"/>
      <c r="J2904" s="733"/>
      <c r="K2904" s="733"/>
      <c r="L2904" s="733"/>
      <c r="M2904" s="733"/>
    </row>
    <row r="2905" spans="1:13" x14ac:dyDescent="0.3">
      <c r="A2905" s="733" t="s">
        <v>2872</v>
      </c>
      <c r="B2905" s="733" t="s">
        <v>664</v>
      </c>
      <c r="C2905" s="733" t="s">
        <v>2878</v>
      </c>
      <c r="D2905" s="733" t="s">
        <v>21</v>
      </c>
      <c r="E2905" s="761"/>
      <c r="F2905" s="761"/>
      <c r="G2905" s="733"/>
      <c r="H2905" s="733"/>
      <c r="I2905" s="733"/>
      <c r="J2905" s="733"/>
      <c r="K2905" s="733"/>
      <c r="L2905" s="733"/>
      <c r="M2905" s="733"/>
    </row>
    <row r="2906" spans="1:13" x14ac:dyDescent="0.3">
      <c r="A2906" s="733" t="s">
        <v>2872</v>
      </c>
      <c r="B2906" s="733" t="s">
        <v>664</v>
      </c>
      <c r="C2906" s="733" t="s">
        <v>2879</v>
      </c>
      <c r="D2906" s="733" t="s">
        <v>21</v>
      </c>
      <c r="E2906" s="761"/>
      <c r="F2906" s="761"/>
      <c r="G2906" s="733"/>
      <c r="H2906" s="733"/>
      <c r="I2906" s="733"/>
      <c r="J2906" s="733"/>
      <c r="K2906" s="733"/>
      <c r="L2906" s="733"/>
      <c r="M2906" s="733"/>
    </row>
    <row r="2907" spans="1:13" x14ac:dyDescent="0.3">
      <c r="A2907" s="733" t="s">
        <v>2872</v>
      </c>
      <c r="B2907" s="733" t="s">
        <v>664</v>
      </c>
      <c r="C2907" s="733" t="s">
        <v>2880</v>
      </c>
      <c r="D2907" s="733" t="s">
        <v>21</v>
      </c>
      <c r="E2907" s="761"/>
      <c r="F2907" s="761"/>
      <c r="G2907" s="733"/>
      <c r="H2907" s="733"/>
      <c r="I2907" s="733"/>
      <c r="J2907" s="733"/>
      <c r="K2907" s="733"/>
      <c r="L2907" s="733"/>
      <c r="M2907" s="733"/>
    </row>
    <row r="2908" spans="1:13" x14ac:dyDescent="0.3">
      <c r="A2908" s="733" t="s">
        <v>2872</v>
      </c>
      <c r="B2908" s="733" t="s">
        <v>664</v>
      </c>
      <c r="C2908" s="733" t="s">
        <v>2881</v>
      </c>
      <c r="D2908" s="733" t="s">
        <v>21</v>
      </c>
      <c r="E2908" s="761"/>
      <c r="F2908" s="761"/>
      <c r="G2908" s="733"/>
      <c r="H2908" s="733"/>
      <c r="I2908" s="733"/>
      <c r="J2908" s="733"/>
      <c r="K2908" s="733"/>
      <c r="L2908" s="733"/>
      <c r="M2908" s="733"/>
    </row>
    <row r="2909" spans="1:13" x14ac:dyDescent="0.3">
      <c r="A2909" s="733" t="s">
        <v>2872</v>
      </c>
      <c r="B2909" s="733" t="s">
        <v>664</v>
      </c>
      <c r="C2909" s="733" t="s">
        <v>2882</v>
      </c>
      <c r="D2909" s="733" t="s">
        <v>21</v>
      </c>
      <c r="E2909" s="761"/>
      <c r="F2909" s="761"/>
      <c r="G2909" s="733"/>
      <c r="H2909" s="733"/>
      <c r="I2909" s="733"/>
      <c r="J2909" s="733"/>
      <c r="K2909" s="733"/>
      <c r="L2909" s="733"/>
      <c r="M2909" s="733"/>
    </row>
    <row r="2910" spans="1:13" x14ac:dyDescent="0.3">
      <c r="A2910" s="733" t="s">
        <v>2872</v>
      </c>
      <c r="B2910" s="733" t="s">
        <v>612</v>
      </c>
      <c r="C2910" s="733" t="s">
        <v>2883</v>
      </c>
      <c r="D2910" s="733" t="s">
        <v>21</v>
      </c>
      <c r="E2910" s="761"/>
      <c r="F2910" s="761"/>
      <c r="G2910" s="733"/>
      <c r="H2910" s="733"/>
      <c r="I2910" s="733"/>
      <c r="J2910" s="733"/>
      <c r="K2910" s="733"/>
      <c r="L2910" s="733"/>
      <c r="M2910" s="733"/>
    </row>
    <row r="2911" spans="1:13" x14ac:dyDescent="0.3">
      <c r="A2911" s="733" t="s">
        <v>2872</v>
      </c>
      <c r="B2911" s="733" t="s">
        <v>612</v>
      </c>
      <c r="C2911" s="733" t="s">
        <v>2884</v>
      </c>
      <c r="D2911" s="733" t="s">
        <v>21</v>
      </c>
      <c r="E2911" s="761"/>
      <c r="F2911" s="761"/>
      <c r="G2911" s="733"/>
      <c r="H2911" s="733"/>
      <c r="I2911" s="733"/>
      <c r="J2911" s="733"/>
      <c r="K2911" s="733"/>
      <c r="L2911" s="733"/>
      <c r="M2911" s="733"/>
    </row>
    <row r="2912" spans="1:13" x14ac:dyDescent="0.3">
      <c r="A2912" s="733" t="s">
        <v>2872</v>
      </c>
      <c r="B2912" s="733" t="s">
        <v>612</v>
      </c>
      <c r="C2912" s="733" t="s">
        <v>2885</v>
      </c>
      <c r="D2912" s="733" t="s">
        <v>21</v>
      </c>
      <c r="E2912" s="761"/>
      <c r="F2912" s="761"/>
      <c r="G2912" s="733"/>
      <c r="H2912" s="733"/>
      <c r="I2912" s="733"/>
      <c r="J2912" s="733"/>
      <c r="K2912" s="733"/>
      <c r="L2912" s="733"/>
      <c r="M2912" s="733"/>
    </row>
    <row r="2913" spans="1:13" x14ac:dyDescent="0.3">
      <c r="A2913" s="733" t="s">
        <v>2872</v>
      </c>
      <c r="B2913" s="733" t="s">
        <v>612</v>
      </c>
      <c r="C2913" s="733" t="s">
        <v>2886</v>
      </c>
      <c r="D2913" s="733" t="s">
        <v>21</v>
      </c>
      <c r="E2913" s="761"/>
      <c r="F2913" s="761"/>
      <c r="G2913" s="733"/>
      <c r="H2913" s="733"/>
      <c r="I2913" s="733"/>
      <c r="J2913" s="733"/>
      <c r="K2913" s="733"/>
      <c r="L2913" s="733"/>
      <c r="M2913" s="733"/>
    </row>
    <row r="2914" spans="1:13" x14ac:dyDescent="0.3">
      <c r="A2914" s="733" t="s">
        <v>2872</v>
      </c>
      <c r="B2914" s="733" t="s">
        <v>612</v>
      </c>
      <c r="C2914" s="733" t="s">
        <v>2887</v>
      </c>
      <c r="D2914" s="733" t="s">
        <v>21</v>
      </c>
      <c r="E2914" s="761"/>
      <c r="F2914" s="761"/>
      <c r="G2914" s="733"/>
      <c r="H2914" s="733"/>
      <c r="I2914" s="733"/>
      <c r="J2914" s="733"/>
      <c r="K2914" s="733"/>
      <c r="L2914" s="733"/>
      <c r="M2914" s="733"/>
    </row>
    <row r="2915" spans="1:13" x14ac:dyDescent="0.3">
      <c r="A2915" s="733" t="s">
        <v>2888</v>
      </c>
      <c r="B2915" s="733" t="s">
        <v>645</v>
      </c>
      <c r="C2915" s="733" t="s">
        <v>2889</v>
      </c>
      <c r="D2915" s="733" t="s">
        <v>21</v>
      </c>
      <c r="E2915" s="761"/>
      <c r="F2915" s="761"/>
      <c r="G2915" s="733"/>
      <c r="H2915" s="733"/>
      <c r="I2915" s="733"/>
      <c r="J2915" s="733"/>
      <c r="K2915" s="733"/>
      <c r="L2915" s="733"/>
      <c r="M2915" s="733"/>
    </row>
    <row r="2916" spans="1:13" x14ac:dyDescent="0.3">
      <c r="A2916" s="733" t="s">
        <v>2888</v>
      </c>
      <c r="B2916" s="733" t="s">
        <v>645</v>
      </c>
      <c r="C2916" s="733" t="s">
        <v>2890</v>
      </c>
      <c r="D2916" s="733" t="s">
        <v>21</v>
      </c>
      <c r="E2916" s="761"/>
      <c r="F2916" s="761"/>
      <c r="G2916" s="733"/>
      <c r="H2916" s="733"/>
      <c r="I2916" s="733"/>
      <c r="J2916" s="733"/>
      <c r="K2916" s="733"/>
      <c r="L2916" s="733"/>
      <c r="M2916" s="733"/>
    </row>
    <row r="2917" spans="1:13" x14ac:dyDescent="0.3">
      <c r="A2917" s="733" t="s">
        <v>2888</v>
      </c>
      <c r="B2917" s="733" t="s">
        <v>645</v>
      </c>
      <c r="C2917" s="733" t="s">
        <v>2891</v>
      </c>
      <c r="D2917" s="733" t="s">
        <v>21</v>
      </c>
      <c r="E2917" s="761"/>
      <c r="F2917" s="761"/>
      <c r="G2917" s="733"/>
      <c r="H2917" s="733"/>
      <c r="I2917" s="733"/>
      <c r="J2917" s="733"/>
      <c r="K2917" s="733"/>
      <c r="L2917" s="733"/>
      <c r="M2917" s="733"/>
    </row>
    <row r="2918" spans="1:13" x14ac:dyDescent="0.3">
      <c r="A2918" s="733" t="s">
        <v>2888</v>
      </c>
      <c r="B2918" s="733" t="s">
        <v>645</v>
      </c>
      <c r="C2918" s="733" t="s">
        <v>2892</v>
      </c>
      <c r="D2918" s="733" t="s">
        <v>21</v>
      </c>
      <c r="E2918" s="761"/>
      <c r="F2918" s="761"/>
      <c r="G2918" s="733"/>
      <c r="H2918" s="733"/>
      <c r="I2918" s="733"/>
      <c r="J2918" s="733"/>
      <c r="K2918" s="733"/>
      <c r="L2918" s="733"/>
      <c r="M2918" s="733"/>
    </row>
    <row r="2919" spans="1:13" x14ac:dyDescent="0.3">
      <c r="A2919" s="733" t="s">
        <v>2888</v>
      </c>
      <c r="B2919" s="733" t="s">
        <v>645</v>
      </c>
      <c r="C2919" s="733" t="s">
        <v>2893</v>
      </c>
      <c r="D2919" s="733" t="s">
        <v>21</v>
      </c>
      <c r="E2919" s="761"/>
      <c r="F2919" s="761"/>
      <c r="G2919" s="733"/>
      <c r="H2919" s="733"/>
      <c r="I2919" s="733"/>
      <c r="J2919" s="733"/>
      <c r="K2919" s="733"/>
      <c r="L2919" s="733"/>
      <c r="M2919" s="733"/>
    </row>
    <row r="2920" spans="1:13" x14ac:dyDescent="0.3">
      <c r="A2920" s="733" t="s">
        <v>2888</v>
      </c>
      <c r="B2920" s="733" t="s">
        <v>664</v>
      </c>
      <c r="C2920" s="733" t="s">
        <v>2894</v>
      </c>
      <c r="D2920" s="733" t="s">
        <v>21</v>
      </c>
      <c r="E2920" s="761"/>
      <c r="F2920" s="761"/>
      <c r="G2920" s="733"/>
      <c r="H2920" s="733"/>
      <c r="I2920" s="733"/>
      <c r="J2920" s="733"/>
      <c r="K2920" s="733"/>
      <c r="L2920" s="733"/>
      <c r="M2920" s="733"/>
    </row>
    <row r="2921" spans="1:13" x14ac:dyDescent="0.3">
      <c r="A2921" s="733" t="s">
        <v>2888</v>
      </c>
      <c r="B2921" s="733" t="s">
        <v>664</v>
      </c>
      <c r="C2921" s="733" t="s">
        <v>2895</v>
      </c>
      <c r="D2921" s="733" t="s">
        <v>21</v>
      </c>
      <c r="E2921" s="761"/>
      <c r="F2921" s="761"/>
      <c r="G2921" s="733"/>
      <c r="H2921" s="733"/>
      <c r="I2921" s="733"/>
      <c r="J2921" s="733"/>
      <c r="K2921" s="733"/>
      <c r="L2921" s="733"/>
      <c r="M2921" s="733"/>
    </row>
    <row r="2922" spans="1:13" x14ac:dyDescent="0.3">
      <c r="A2922" s="733" t="s">
        <v>2888</v>
      </c>
      <c r="B2922" s="733" t="s">
        <v>664</v>
      </c>
      <c r="C2922" s="733" t="s">
        <v>2896</v>
      </c>
      <c r="D2922" s="733" t="s">
        <v>21</v>
      </c>
      <c r="E2922" s="761"/>
      <c r="F2922" s="761"/>
      <c r="G2922" s="733"/>
      <c r="H2922" s="733"/>
      <c r="I2922" s="733"/>
      <c r="J2922" s="733"/>
      <c r="K2922" s="733"/>
      <c r="L2922" s="733"/>
      <c r="M2922" s="733"/>
    </row>
    <row r="2923" spans="1:13" x14ac:dyDescent="0.3">
      <c r="A2923" s="733" t="s">
        <v>2888</v>
      </c>
      <c r="B2923" s="733" t="s">
        <v>664</v>
      </c>
      <c r="C2923" s="733" t="s">
        <v>2897</v>
      </c>
      <c r="D2923" s="733" t="s">
        <v>21</v>
      </c>
      <c r="E2923" s="761"/>
      <c r="F2923" s="761"/>
      <c r="G2923" s="733"/>
      <c r="H2923" s="733"/>
      <c r="I2923" s="733"/>
      <c r="J2923" s="733"/>
      <c r="K2923" s="733"/>
      <c r="L2923" s="733"/>
      <c r="M2923" s="733"/>
    </row>
    <row r="2924" spans="1:13" x14ac:dyDescent="0.3">
      <c r="A2924" s="733" t="s">
        <v>2888</v>
      </c>
      <c r="B2924" s="733" t="s">
        <v>664</v>
      </c>
      <c r="C2924" s="733" t="s">
        <v>2898</v>
      </c>
      <c r="D2924" s="733" t="s">
        <v>21</v>
      </c>
      <c r="E2924" s="761"/>
      <c r="F2924" s="761"/>
      <c r="G2924" s="733"/>
      <c r="H2924" s="733"/>
      <c r="I2924" s="733"/>
      <c r="J2924" s="733"/>
      <c r="K2924" s="733"/>
      <c r="L2924" s="733"/>
      <c r="M2924" s="733"/>
    </row>
    <row r="2925" spans="1:13" x14ac:dyDescent="0.3">
      <c r="A2925" s="733" t="s">
        <v>2888</v>
      </c>
      <c r="B2925" s="733" t="s">
        <v>612</v>
      </c>
      <c r="C2925" s="733" t="s">
        <v>2899</v>
      </c>
      <c r="D2925" s="733" t="s">
        <v>21</v>
      </c>
      <c r="E2925" s="761"/>
      <c r="F2925" s="761"/>
      <c r="G2925" s="733"/>
      <c r="H2925" s="733"/>
      <c r="I2925" s="733"/>
      <c r="J2925" s="733"/>
      <c r="K2925" s="733"/>
      <c r="L2925" s="733"/>
      <c r="M2925" s="733"/>
    </row>
    <row r="2926" spans="1:13" x14ac:dyDescent="0.3">
      <c r="A2926" s="733" t="s">
        <v>2888</v>
      </c>
      <c r="B2926" s="733" t="s">
        <v>612</v>
      </c>
      <c r="C2926" s="733" t="s">
        <v>2900</v>
      </c>
      <c r="D2926" s="733" t="s">
        <v>21</v>
      </c>
      <c r="E2926" s="761"/>
      <c r="F2926" s="761"/>
      <c r="G2926" s="733"/>
      <c r="H2926" s="733"/>
      <c r="I2926" s="733"/>
      <c r="J2926" s="733"/>
      <c r="K2926" s="733"/>
      <c r="L2926" s="733"/>
      <c r="M2926" s="733"/>
    </row>
    <row r="2927" spans="1:13" x14ac:dyDescent="0.3">
      <c r="A2927" s="733" t="s">
        <v>2888</v>
      </c>
      <c r="B2927" s="733" t="s">
        <v>612</v>
      </c>
      <c r="C2927" s="733" t="s">
        <v>2901</v>
      </c>
      <c r="D2927" s="733" t="s">
        <v>21</v>
      </c>
      <c r="E2927" s="761"/>
      <c r="F2927" s="761"/>
      <c r="G2927" s="733"/>
      <c r="H2927" s="733"/>
      <c r="I2927" s="733"/>
      <c r="J2927" s="733"/>
      <c r="K2927" s="733"/>
      <c r="L2927" s="733"/>
      <c r="M2927" s="733"/>
    </row>
    <row r="2928" spans="1:13" x14ac:dyDescent="0.3">
      <c r="A2928" s="733" t="s">
        <v>2888</v>
      </c>
      <c r="B2928" s="733" t="s">
        <v>612</v>
      </c>
      <c r="C2928" s="733" t="s">
        <v>2902</v>
      </c>
      <c r="D2928" s="733" t="s">
        <v>21</v>
      </c>
      <c r="E2928" s="761"/>
      <c r="F2928" s="761"/>
      <c r="G2928" s="733"/>
      <c r="H2928" s="733"/>
      <c r="I2928" s="733"/>
      <c r="J2928" s="733"/>
      <c r="K2928" s="733"/>
      <c r="L2928" s="733"/>
      <c r="M2928" s="733"/>
    </row>
    <row r="2929" spans="1:13" x14ac:dyDescent="0.3">
      <c r="A2929" s="733" t="s">
        <v>2888</v>
      </c>
      <c r="B2929" s="733" t="s">
        <v>612</v>
      </c>
      <c r="C2929" s="733" t="s">
        <v>2903</v>
      </c>
      <c r="D2929" s="733" t="s">
        <v>21</v>
      </c>
      <c r="E2929" s="761"/>
      <c r="F2929" s="761"/>
      <c r="G2929" s="733"/>
      <c r="H2929" s="733"/>
      <c r="I2929" s="733"/>
      <c r="J2929" s="733"/>
      <c r="K2929" s="733"/>
      <c r="L2929" s="733"/>
      <c r="M2929" s="733"/>
    </row>
    <row r="2930" spans="1:13" x14ac:dyDescent="0.3">
      <c r="A2930" s="733" t="s">
        <v>2904</v>
      </c>
      <c r="B2930" s="733" t="s">
        <v>645</v>
      </c>
      <c r="C2930" s="733" t="s">
        <v>2905</v>
      </c>
      <c r="D2930" s="733" t="s">
        <v>21</v>
      </c>
      <c r="E2930" s="761"/>
      <c r="F2930" s="761"/>
      <c r="G2930" s="733"/>
      <c r="H2930" s="733"/>
      <c r="I2930" s="733"/>
      <c r="J2930" s="733"/>
      <c r="K2930" s="733"/>
      <c r="L2930" s="733"/>
      <c r="M2930" s="733"/>
    </row>
    <row r="2931" spans="1:13" x14ac:dyDescent="0.3">
      <c r="A2931" s="733" t="s">
        <v>2904</v>
      </c>
      <c r="B2931" s="733" t="s">
        <v>645</v>
      </c>
      <c r="C2931" s="733" t="s">
        <v>2906</v>
      </c>
      <c r="D2931" s="733" t="s">
        <v>21</v>
      </c>
      <c r="E2931" s="761"/>
      <c r="F2931" s="761"/>
      <c r="G2931" s="733"/>
      <c r="H2931" s="733"/>
      <c r="I2931" s="733"/>
      <c r="J2931" s="733"/>
      <c r="K2931" s="733"/>
      <c r="L2931" s="733"/>
      <c r="M2931" s="733"/>
    </row>
    <row r="2932" spans="1:13" x14ac:dyDescent="0.3">
      <c r="A2932" s="733" t="s">
        <v>2904</v>
      </c>
      <c r="B2932" s="733" t="s">
        <v>645</v>
      </c>
      <c r="C2932" s="733" t="s">
        <v>2907</v>
      </c>
      <c r="D2932" s="733" t="s">
        <v>21</v>
      </c>
      <c r="E2932" s="761"/>
      <c r="F2932" s="761"/>
      <c r="G2932" s="733"/>
      <c r="H2932" s="733"/>
      <c r="I2932" s="733"/>
      <c r="J2932" s="733"/>
      <c r="K2932" s="733"/>
      <c r="L2932" s="733"/>
      <c r="M2932" s="733"/>
    </row>
    <row r="2933" spans="1:13" x14ac:dyDescent="0.3">
      <c r="A2933" s="733" t="s">
        <v>2904</v>
      </c>
      <c r="B2933" s="733" t="s">
        <v>645</v>
      </c>
      <c r="C2933" s="733" t="s">
        <v>2908</v>
      </c>
      <c r="D2933" s="733" t="s">
        <v>21</v>
      </c>
      <c r="E2933" s="761"/>
      <c r="F2933" s="761"/>
      <c r="G2933" s="733"/>
      <c r="H2933" s="733"/>
      <c r="I2933" s="733"/>
      <c r="J2933" s="733"/>
      <c r="K2933" s="733"/>
      <c r="L2933" s="733"/>
      <c r="M2933" s="733"/>
    </row>
    <row r="2934" spans="1:13" x14ac:dyDescent="0.3">
      <c r="A2934" s="733" t="s">
        <v>2904</v>
      </c>
      <c r="B2934" s="733" t="s">
        <v>645</v>
      </c>
      <c r="C2934" s="733" t="s">
        <v>2909</v>
      </c>
      <c r="D2934" s="733" t="s">
        <v>21</v>
      </c>
      <c r="E2934" s="761"/>
      <c r="F2934" s="761"/>
      <c r="G2934" s="733"/>
      <c r="H2934" s="733"/>
      <c r="I2934" s="733"/>
      <c r="J2934" s="733"/>
      <c r="K2934" s="733"/>
      <c r="L2934" s="733"/>
      <c r="M2934" s="733"/>
    </row>
    <row r="2935" spans="1:13" x14ac:dyDescent="0.3">
      <c r="A2935" s="733" t="s">
        <v>2904</v>
      </c>
      <c r="B2935" s="733" t="s">
        <v>664</v>
      </c>
      <c r="C2935" s="733" t="s">
        <v>2910</v>
      </c>
      <c r="D2935" s="733" t="s">
        <v>21</v>
      </c>
      <c r="E2935" s="761"/>
      <c r="F2935" s="761"/>
      <c r="G2935" s="733"/>
      <c r="H2935" s="733"/>
      <c r="I2935" s="733"/>
      <c r="J2935" s="733"/>
      <c r="K2935" s="733"/>
      <c r="L2935" s="733"/>
      <c r="M2935" s="733"/>
    </row>
    <row r="2936" spans="1:13" x14ac:dyDescent="0.3">
      <c r="A2936" s="733" t="s">
        <v>2904</v>
      </c>
      <c r="B2936" s="733" t="s">
        <v>664</v>
      </c>
      <c r="C2936" s="733" t="s">
        <v>2911</v>
      </c>
      <c r="D2936" s="733" t="s">
        <v>21</v>
      </c>
      <c r="E2936" s="761"/>
      <c r="F2936" s="761"/>
      <c r="G2936" s="733"/>
      <c r="H2936" s="733"/>
      <c r="I2936" s="733"/>
      <c r="J2936" s="733"/>
      <c r="K2936" s="733"/>
      <c r="L2936" s="733"/>
      <c r="M2936" s="733"/>
    </row>
    <row r="2937" spans="1:13" x14ac:dyDescent="0.3">
      <c r="A2937" s="733" t="s">
        <v>2904</v>
      </c>
      <c r="B2937" s="733" t="s">
        <v>664</v>
      </c>
      <c r="C2937" s="733" t="s">
        <v>2912</v>
      </c>
      <c r="D2937" s="733" t="s">
        <v>21</v>
      </c>
      <c r="E2937" s="761"/>
      <c r="F2937" s="761"/>
      <c r="G2937" s="733"/>
      <c r="H2937" s="733"/>
      <c r="I2937" s="733"/>
      <c r="J2937" s="733"/>
      <c r="K2937" s="733"/>
      <c r="L2937" s="733"/>
      <c r="M2937" s="733"/>
    </row>
    <row r="2938" spans="1:13" x14ac:dyDescent="0.3">
      <c r="A2938" s="733" t="s">
        <v>2904</v>
      </c>
      <c r="B2938" s="733" t="s">
        <v>664</v>
      </c>
      <c r="C2938" s="733" t="s">
        <v>2913</v>
      </c>
      <c r="D2938" s="733" t="s">
        <v>21</v>
      </c>
      <c r="E2938" s="761"/>
      <c r="F2938" s="761"/>
      <c r="G2938" s="733"/>
      <c r="H2938" s="733"/>
      <c r="I2938" s="733"/>
      <c r="J2938" s="733"/>
      <c r="K2938" s="733"/>
      <c r="L2938" s="733"/>
      <c r="M2938" s="733"/>
    </row>
    <row r="2939" spans="1:13" x14ac:dyDescent="0.3">
      <c r="A2939" s="733" t="s">
        <v>2904</v>
      </c>
      <c r="B2939" s="733" t="s">
        <v>664</v>
      </c>
      <c r="C2939" s="733" t="s">
        <v>2914</v>
      </c>
      <c r="D2939" s="733" t="s">
        <v>21</v>
      </c>
      <c r="E2939" s="761"/>
      <c r="F2939" s="761"/>
      <c r="G2939" s="733"/>
      <c r="H2939" s="733"/>
      <c r="I2939" s="733"/>
      <c r="J2939" s="733"/>
      <c r="K2939" s="733"/>
      <c r="L2939" s="733"/>
      <c r="M2939" s="733"/>
    </row>
    <row r="2940" spans="1:13" x14ac:dyDescent="0.3">
      <c r="A2940" s="733" t="s">
        <v>2904</v>
      </c>
      <c r="B2940" s="733" t="s">
        <v>612</v>
      </c>
      <c r="C2940" s="733" t="s">
        <v>2915</v>
      </c>
      <c r="D2940" s="733" t="s">
        <v>21</v>
      </c>
      <c r="E2940" s="761"/>
      <c r="F2940" s="761"/>
      <c r="G2940" s="733"/>
      <c r="H2940" s="733"/>
      <c r="I2940" s="733"/>
      <c r="J2940" s="733"/>
      <c r="K2940" s="733"/>
      <c r="L2940" s="733"/>
      <c r="M2940" s="733"/>
    </row>
    <row r="2941" spans="1:13" x14ac:dyDescent="0.3">
      <c r="A2941" s="733" t="s">
        <v>2904</v>
      </c>
      <c r="B2941" s="733" t="s">
        <v>612</v>
      </c>
      <c r="C2941" s="733" t="s">
        <v>2916</v>
      </c>
      <c r="D2941" s="733" t="s">
        <v>21</v>
      </c>
      <c r="E2941" s="761"/>
      <c r="F2941" s="761"/>
      <c r="G2941" s="733"/>
      <c r="H2941" s="733"/>
      <c r="I2941" s="733"/>
      <c r="J2941" s="733"/>
      <c r="K2941" s="733"/>
      <c r="L2941" s="733"/>
      <c r="M2941" s="733"/>
    </row>
    <row r="2942" spans="1:13" x14ac:dyDescent="0.3">
      <c r="A2942" s="733" t="s">
        <v>2904</v>
      </c>
      <c r="B2942" s="733" t="s">
        <v>612</v>
      </c>
      <c r="C2942" s="733" t="s">
        <v>2917</v>
      </c>
      <c r="D2942" s="733" t="s">
        <v>21</v>
      </c>
      <c r="E2942" s="761"/>
      <c r="F2942" s="761"/>
      <c r="G2942" s="733"/>
      <c r="H2942" s="733"/>
      <c r="I2942" s="733"/>
      <c r="J2942" s="733"/>
      <c r="K2942" s="733"/>
      <c r="L2942" s="733"/>
      <c r="M2942" s="733"/>
    </row>
    <row r="2943" spans="1:13" x14ac:dyDescent="0.3">
      <c r="A2943" s="733" t="s">
        <v>2904</v>
      </c>
      <c r="B2943" s="733" t="s">
        <v>612</v>
      </c>
      <c r="C2943" s="733" t="s">
        <v>2918</v>
      </c>
      <c r="D2943" s="733" t="s">
        <v>21</v>
      </c>
      <c r="E2943" s="761"/>
      <c r="F2943" s="761"/>
      <c r="G2943" s="733"/>
      <c r="H2943" s="733"/>
      <c r="I2943" s="733"/>
      <c r="J2943" s="733"/>
      <c r="K2943" s="733"/>
      <c r="L2943" s="733"/>
      <c r="M2943" s="733"/>
    </row>
    <row r="2944" spans="1:13" x14ac:dyDescent="0.3">
      <c r="A2944" s="733" t="s">
        <v>2904</v>
      </c>
      <c r="B2944" s="733" t="s">
        <v>612</v>
      </c>
      <c r="C2944" s="733" t="s">
        <v>2919</v>
      </c>
      <c r="D2944" s="733" t="s">
        <v>21</v>
      </c>
      <c r="E2944" s="761"/>
      <c r="F2944" s="761"/>
      <c r="G2944" s="733"/>
      <c r="H2944" s="733"/>
      <c r="I2944" s="733"/>
      <c r="J2944" s="733"/>
      <c r="K2944" s="733"/>
      <c r="L2944" s="733"/>
      <c r="M2944" s="733"/>
    </row>
    <row r="2945" spans="1:13" x14ac:dyDescent="0.3">
      <c r="A2945" s="733" t="s">
        <v>2920</v>
      </c>
      <c r="B2945" s="733" t="s">
        <v>645</v>
      </c>
      <c r="C2945" s="733" t="s">
        <v>2921</v>
      </c>
      <c r="D2945" s="733" t="s">
        <v>21</v>
      </c>
      <c r="E2945" s="761"/>
      <c r="F2945" s="761"/>
      <c r="G2945" s="733"/>
      <c r="H2945" s="733"/>
      <c r="I2945" s="733"/>
      <c r="J2945" s="733"/>
      <c r="K2945" s="733"/>
      <c r="L2945" s="733"/>
      <c r="M2945" s="733"/>
    </row>
    <row r="2946" spans="1:13" x14ac:dyDescent="0.3">
      <c r="A2946" s="733" t="s">
        <v>2920</v>
      </c>
      <c r="B2946" s="733" t="s">
        <v>645</v>
      </c>
      <c r="C2946" s="733" t="s">
        <v>2922</v>
      </c>
      <c r="D2946" s="733" t="s">
        <v>21</v>
      </c>
      <c r="E2946" s="761"/>
      <c r="F2946" s="761"/>
      <c r="G2946" s="733"/>
      <c r="H2946" s="733"/>
      <c r="I2946" s="733"/>
      <c r="J2946" s="733"/>
      <c r="K2946" s="733"/>
      <c r="L2946" s="733"/>
      <c r="M2946" s="733"/>
    </row>
    <row r="2947" spans="1:13" x14ac:dyDescent="0.3">
      <c r="A2947" s="733" t="s">
        <v>2920</v>
      </c>
      <c r="B2947" s="733" t="s">
        <v>645</v>
      </c>
      <c r="C2947" s="733" t="s">
        <v>2923</v>
      </c>
      <c r="D2947" s="733" t="s">
        <v>21</v>
      </c>
      <c r="E2947" s="761"/>
      <c r="F2947" s="761"/>
      <c r="G2947" s="733"/>
      <c r="H2947" s="733"/>
      <c r="I2947" s="733"/>
      <c r="J2947" s="733"/>
      <c r="K2947" s="733"/>
      <c r="L2947" s="733"/>
      <c r="M2947" s="733"/>
    </row>
    <row r="2948" spans="1:13" x14ac:dyDescent="0.3">
      <c r="A2948" s="733" t="s">
        <v>2920</v>
      </c>
      <c r="B2948" s="733" t="s">
        <v>645</v>
      </c>
      <c r="C2948" s="733" t="s">
        <v>2924</v>
      </c>
      <c r="D2948" s="733" t="s">
        <v>21</v>
      </c>
      <c r="E2948" s="761"/>
      <c r="F2948" s="761"/>
      <c r="G2948" s="733"/>
      <c r="H2948" s="733"/>
      <c r="I2948" s="733"/>
      <c r="J2948" s="733"/>
      <c r="K2948" s="733"/>
      <c r="L2948" s="733"/>
      <c r="M2948" s="733"/>
    </row>
    <row r="2949" spans="1:13" x14ac:dyDescent="0.3">
      <c r="A2949" s="733" t="s">
        <v>2920</v>
      </c>
      <c r="B2949" s="733" t="s">
        <v>645</v>
      </c>
      <c r="C2949" s="733" t="s">
        <v>2925</v>
      </c>
      <c r="D2949" s="733" t="s">
        <v>21</v>
      </c>
      <c r="E2949" s="761"/>
      <c r="F2949" s="761"/>
      <c r="G2949" s="733"/>
      <c r="H2949" s="733"/>
      <c r="I2949" s="733"/>
      <c r="J2949" s="733"/>
      <c r="K2949" s="733"/>
      <c r="L2949" s="733"/>
      <c r="M2949" s="733"/>
    </row>
    <row r="2950" spans="1:13" x14ac:dyDescent="0.3">
      <c r="A2950" s="733" t="s">
        <v>2920</v>
      </c>
      <c r="B2950" s="733" t="s">
        <v>664</v>
      </c>
      <c r="C2950" s="733" t="s">
        <v>2926</v>
      </c>
      <c r="D2950" s="733" t="s">
        <v>21</v>
      </c>
      <c r="E2950" s="761"/>
      <c r="F2950" s="761"/>
      <c r="G2950" s="733"/>
      <c r="H2950" s="733"/>
      <c r="I2950" s="733"/>
      <c r="J2950" s="733"/>
      <c r="K2950" s="733"/>
      <c r="L2950" s="733"/>
      <c r="M2950" s="733"/>
    </row>
    <row r="2951" spans="1:13" x14ac:dyDescent="0.3">
      <c r="A2951" s="733" t="s">
        <v>2920</v>
      </c>
      <c r="B2951" s="733" t="s">
        <v>664</v>
      </c>
      <c r="C2951" s="733" t="s">
        <v>2927</v>
      </c>
      <c r="D2951" s="733" t="s">
        <v>21</v>
      </c>
      <c r="E2951" s="761"/>
      <c r="F2951" s="761"/>
      <c r="G2951" s="733"/>
      <c r="H2951" s="733"/>
      <c r="I2951" s="733"/>
      <c r="J2951" s="733"/>
      <c r="K2951" s="733"/>
      <c r="L2951" s="733"/>
      <c r="M2951" s="733"/>
    </row>
    <row r="2952" spans="1:13" x14ac:dyDescent="0.3">
      <c r="A2952" s="733" t="s">
        <v>2920</v>
      </c>
      <c r="B2952" s="733" t="s">
        <v>664</v>
      </c>
      <c r="C2952" s="733" t="s">
        <v>2928</v>
      </c>
      <c r="D2952" s="733" t="s">
        <v>21</v>
      </c>
      <c r="E2952" s="761"/>
      <c r="F2952" s="761"/>
      <c r="G2952" s="733"/>
      <c r="H2952" s="733"/>
      <c r="I2952" s="733"/>
      <c r="J2952" s="733"/>
      <c r="K2952" s="733"/>
      <c r="L2952" s="733"/>
      <c r="M2952" s="733"/>
    </row>
    <row r="2953" spans="1:13" x14ac:dyDescent="0.3">
      <c r="A2953" s="733" t="s">
        <v>2920</v>
      </c>
      <c r="B2953" s="733" t="s">
        <v>664</v>
      </c>
      <c r="C2953" s="733" t="s">
        <v>2929</v>
      </c>
      <c r="D2953" s="733" t="s">
        <v>21</v>
      </c>
      <c r="E2953" s="761"/>
      <c r="F2953" s="761"/>
      <c r="G2953" s="733"/>
      <c r="H2953" s="733"/>
      <c r="I2953" s="733"/>
      <c r="J2953" s="733"/>
      <c r="K2953" s="733"/>
      <c r="L2953" s="733"/>
      <c r="M2953" s="733"/>
    </row>
    <row r="2954" spans="1:13" x14ac:dyDescent="0.3">
      <c r="A2954" s="733" t="s">
        <v>2920</v>
      </c>
      <c r="B2954" s="733" t="s">
        <v>664</v>
      </c>
      <c r="C2954" s="733" t="s">
        <v>2930</v>
      </c>
      <c r="D2954" s="733" t="s">
        <v>21</v>
      </c>
      <c r="E2954" s="761"/>
      <c r="F2954" s="761"/>
      <c r="G2954" s="733"/>
      <c r="H2954" s="733"/>
      <c r="I2954" s="733"/>
      <c r="J2954" s="733"/>
      <c r="K2954" s="733"/>
      <c r="L2954" s="733"/>
      <c r="M2954" s="733"/>
    </row>
    <row r="2955" spans="1:13" x14ac:dyDescent="0.3">
      <c r="A2955" s="733" t="s">
        <v>2920</v>
      </c>
      <c r="B2955" s="733" t="s">
        <v>612</v>
      </c>
      <c r="C2955" s="733" t="s">
        <v>2931</v>
      </c>
      <c r="D2955" s="733" t="s">
        <v>21</v>
      </c>
      <c r="E2955" s="761"/>
      <c r="F2955" s="761"/>
      <c r="G2955" s="733"/>
      <c r="H2955" s="733"/>
      <c r="I2955" s="733"/>
      <c r="J2955" s="733"/>
      <c r="K2955" s="733"/>
      <c r="L2955" s="733"/>
      <c r="M2955" s="733"/>
    </row>
    <row r="2956" spans="1:13" x14ac:dyDescent="0.3">
      <c r="A2956" s="733" t="s">
        <v>2920</v>
      </c>
      <c r="B2956" s="733" t="s">
        <v>612</v>
      </c>
      <c r="C2956" s="733" t="s">
        <v>2932</v>
      </c>
      <c r="D2956" s="733" t="s">
        <v>21</v>
      </c>
      <c r="E2956" s="761"/>
      <c r="F2956" s="761"/>
      <c r="G2956" s="733"/>
      <c r="H2956" s="733"/>
      <c r="I2956" s="733"/>
      <c r="J2956" s="733"/>
      <c r="K2956" s="733"/>
      <c r="L2956" s="733"/>
      <c r="M2956" s="733"/>
    </row>
    <row r="2957" spans="1:13" x14ac:dyDescent="0.3">
      <c r="A2957" s="733" t="s">
        <v>2920</v>
      </c>
      <c r="B2957" s="733" t="s">
        <v>612</v>
      </c>
      <c r="C2957" s="733" t="s">
        <v>2933</v>
      </c>
      <c r="D2957" s="733" t="s">
        <v>21</v>
      </c>
      <c r="E2957" s="761"/>
      <c r="F2957" s="761"/>
      <c r="G2957" s="733"/>
      <c r="H2957" s="733"/>
      <c r="I2957" s="733"/>
      <c r="J2957" s="733"/>
      <c r="K2957" s="733"/>
      <c r="L2957" s="733"/>
      <c r="M2957" s="733"/>
    </row>
    <row r="2958" spans="1:13" x14ac:dyDescent="0.3">
      <c r="A2958" s="733" t="s">
        <v>2920</v>
      </c>
      <c r="B2958" s="733" t="s">
        <v>612</v>
      </c>
      <c r="C2958" s="733" t="s">
        <v>2934</v>
      </c>
      <c r="D2958" s="733" t="s">
        <v>21</v>
      </c>
      <c r="E2958" s="761"/>
      <c r="F2958" s="761"/>
      <c r="G2958" s="733"/>
      <c r="H2958" s="733"/>
      <c r="I2958" s="733"/>
      <c r="J2958" s="733"/>
      <c r="K2958" s="733"/>
      <c r="L2958" s="733"/>
      <c r="M2958" s="733"/>
    </row>
    <row r="2959" spans="1:13" x14ac:dyDescent="0.3">
      <c r="A2959" s="733" t="s">
        <v>2920</v>
      </c>
      <c r="B2959" s="733" t="s">
        <v>612</v>
      </c>
      <c r="C2959" s="733" t="s">
        <v>2935</v>
      </c>
      <c r="D2959" s="733" t="s">
        <v>21</v>
      </c>
      <c r="E2959" s="761"/>
      <c r="F2959" s="761"/>
      <c r="G2959" s="733"/>
      <c r="H2959" s="733"/>
      <c r="I2959" s="733"/>
      <c r="J2959" s="733"/>
      <c r="K2959" s="733"/>
      <c r="L2959" s="733"/>
      <c r="M2959" s="733"/>
    </row>
    <row r="2960" spans="1:13" x14ac:dyDescent="0.3">
      <c r="A2960" s="733" t="s">
        <v>2936</v>
      </c>
      <c r="B2960" s="733" t="s">
        <v>645</v>
      </c>
      <c r="C2960" s="733" t="s">
        <v>2937</v>
      </c>
      <c r="D2960" s="733" t="s">
        <v>21</v>
      </c>
      <c r="E2960" s="761"/>
      <c r="F2960" s="761"/>
      <c r="G2960" s="733"/>
      <c r="H2960" s="733"/>
      <c r="I2960" s="733"/>
      <c r="J2960" s="733"/>
      <c r="K2960" s="733"/>
      <c r="L2960" s="733"/>
      <c r="M2960" s="733"/>
    </row>
    <row r="2961" spans="1:13" x14ac:dyDescent="0.3">
      <c r="A2961" s="733" t="s">
        <v>2936</v>
      </c>
      <c r="B2961" s="733" t="s">
        <v>645</v>
      </c>
      <c r="C2961" s="733" t="s">
        <v>2938</v>
      </c>
      <c r="D2961" s="733" t="s">
        <v>21</v>
      </c>
      <c r="E2961" s="761"/>
      <c r="F2961" s="761"/>
      <c r="G2961" s="733"/>
      <c r="H2961" s="733"/>
      <c r="I2961" s="733"/>
      <c r="J2961" s="733"/>
      <c r="K2961" s="733"/>
      <c r="L2961" s="733"/>
      <c r="M2961" s="733"/>
    </row>
    <row r="2962" spans="1:13" x14ac:dyDescent="0.3">
      <c r="A2962" s="733" t="s">
        <v>2936</v>
      </c>
      <c r="B2962" s="733" t="s">
        <v>645</v>
      </c>
      <c r="C2962" s="733" t="s">
        <v>2939</v>
      </c>
      <c r="D2962" s="733" t="s">
        <v>21</v>
      </c>
      <c r="E2962" s="761"/>
      <c r="F2962" s="761"/>
      <c r="G2962" s="733"/>
      <c r="H2962" s="733"/>
      <c r="I2962" s="733"/>
      <c r="J2962" s="733"/>
      <c r="K2962" s="733"/>
      <c r="L2962" s="733"/>
      <c r="M2962" s="733"/>
    </row>
    <row r="2963" spans="1:13" x14ac:dyDescent="0.3">
      <c r="A2963" s="733" t="s">
        <v>2936</v>
      </c>
      <c r="B2963" s="733" t="s">
        <v>645</v>
      </c>
      <c r="C2963" s="733" t="s">
        <v>2940</v>
      </c>
      <c r="D2963" s="733" t="s">
        <v>21</v>
      </c>
      <c r="E2963" s="761"/>
      <c r="F2963" s="761"/>
      <c r="G2963" s="733"/>
      <c r="H2963" s="733"/>
      <c r="I2963" s="733"/>
      <c r="J2963" s="733"/>
      <c r="K2963" s="733"/>
      <c r="L2963" s="733"/>
      <c r="M2963" s="733"/>
    </row>
    <row r="2964" spans="1:13" x14ac:dyDescent="0.3">
      <c r="A2964" s="733" t="s">
        <v>2936</v>
      </c>
      <c r="B2964" s="733" t="s">
        <v>645</v>
      </c>
      <c r="C2964" s="733" t="s">
        <v>2941</v>
      </c>
      <c r="D2964" s="733" t="s">
        <v>21</v>
      </c>
      <c r="E2964" s="761"/>
      <c r="F2964" s="761"/>
      <c r="G2964" s="733"/>
      <c r="H2964" s="733"/>
      <c r="I2964" s="733"/>
      <c r="J2964" s="733"/>
      <c r="K2964" s="733"/>
      <c r="L2964" s="733"/>
      <c r="M2964" s="733"/>
    </row>
    <row r="2965" spans="1:13" x14ac:dyDescent="0.3">
      <c r="A2965" s="733" t="s">
        <v>2936</v>
      </c>
      <c r="B2965" s="733" t="s">
        <v>664</v>
      </c>
      <c r="C2965" s="733" t="s">
        <v>2942</v>
      </c>
      <c r="D2965" s="733" t="s">
        <v>21</v>
      </c>
      <c r="E2965" s="761"/>
      <c r="F2965" s="761"/>
      <c r="G2965" s="733"/>
      <c r="H2965" s="733"/>
      <c r="I2965" s="733"/>
      <c r="J2965" s="733"/>
      <c r="K2965" s="733"/>
      <c r="L2965" s="733"/>
      <c r="M2965" s="733"/>
    </row>
    <row r="2966" spans="1:13" x14ac:dyDescent="0.3">
      <c r="A2966" s="733" t="s">
        <v>2936</v>
      </c>
      <c r="B2966" s="733" t="s">
        <v>664</v>
      </c>
      <c r="C2966" s="733" t="s">
        <v>2943</v>
      </c>
      <c r="D2966" s="733" t="s">
        <v>21</v>
      </c>
      <c r="E2966" s="761"/>
      <c r="F2966" s="761"/>
      <c r="G2966" s="733"/>
      <c r="H2966" s="733"/>
      <c r="I2966" s="733"/>
      <c r="J2966" s="733"/>
      <c r="K2966" s="733"/>
      <c r="L2966" s="733"/>
      <c r="M2966" s="733"/>
    </row>
    <row r="2967" spans="1:13" x14ac:dyDescent="0.3">
      <c r="A2967" s="733" t="s">
        <v>2936</v>
      </c>
      <c r="B2967" s="733" t="s">
        <v>664</v>
      </c>
      <c r="C2967" s="733" t="s">
        <v>2944</v>
      </c>
      <c r="D2967" s="733" t="s">
        <v>21</v>
      </c>
      <c r="E2967" s="761"/>
      <c r="F2967" s="761"/>
      <c r="G2967" s="733"/>
      <c r="H2967" s="733"/>
      <c r="I2967" s="733"/>
      <c r="J2967" s="733"/>
      <c r="K2967" s="733"/>
      <c r="L2967" s="733"/>
      <c r="M2967" s="733"/>
    </row>
    <row r="2968" spans="1:13" x14ac:dyDescent="0.3">
      <c r="A2968" s="733" t="s">
        <v>2936</v>
      </c>
      <c r="B2968" s="733" t="s">
        <v>664</v>
      </c>
      <c r="C2968" s="733" t="s">
        <v>2945</v>
      </c>
      <c r="D2968" s="733" t="s">
        <v>21</v>
      </c>
      <c r="E2968" s="761"/>
      <c r="F2968" s="761"/>
      <c r="G2968" s="733"/>
      <c r="H2968" s="733"/>
      <c r="I2968" s="733"/>
      <c r="J2968" s="733"/>
      <c r="K2968" s="733"/>
      <c r="L2968" s="733"/>
      <c r="M2968" s="733"/>
    </row>
    <row r="2969" spans="1:13" x14ac:dyDescent="0.3">
      <c r="A2969" s="733" t="s">
        <v>2936</v>
      </c>
      <c r="B2969" s="733" t="s">
        <v>664</v>
      </c>
      <c r="C2969" s="733" t="s">
        <v>2946</v>
      </c>
      <c r="D2969" s="733" t="s">
        <v>21</v>
      </c>
      <c r="E2969" s="761"/>
      <c r="F2969" s="761"/>
      <c r="G2969" s="733"/>
      <c r="H2969" s="733"/>
      <c r="I2969" s="733"/>
      <c r="J2969" s="733"/>
      <c r="K2969" s="733"/>
      <c r="L2969" s="733"/>
      <c r="M2969" s="733"/>
    </row>
    <row r="2970" spans="1:13" x14ac:dyDescent="0.3">
      <c r="A2970" s="733" t="s">
        <v>2936</v>
      </c>
      <c r="B2970" s="733" t="s">
        <v>612</v>
      </c>
      <c r="C2970" s="733" t="s">
        <v>2947</v>
      </c>
      <c r="D2970" s="733" t="s">
        <v>21</v>
      </c>
      <c r="E2970" s="761"/>
      <c r="F2970" s="761"/>
      <c r="G2970" s="733"/>
      <c r="H2970" s="733"/>
      <c r="I2970" s="733"/>
      <c r="J2970" s="733"/>
      <c r="K2970" s="733"/>
      <c r="L2970" s="733"/>
      <c r="M2970" s="733"/>
    </row>
    <row r="2971" spans="1:13" x14ac:dyDescent="0.3">
      <c r="A2971" s="733" t="s">
        <v>2936</v>
      </c>
      <c r="B2971" s="733" t="s">
        <v>612</v>
      </c>
      <c r="C2971" s="733" t="s">
        <v>2948</v>
      </c>
      <c r="D2971" s="733" t="s">
        <v>21</v>
      </c>
      <c r="E2971" s="761"/>
      <c r="F2971" s="761"/>
      <c r="G2971" s="733"/>
      <c r="H2971" s="733"/>
      <c r="I2971" s="733"/>
      <c r="J2971" s="733"/>
      <c r="K2971" s="733"/>
      <c r="L2971" s="733"/>
      <c r="M2971" s="733"/>
    </row>
    <row r="2972" spans="1:13" x14ac:dyDescent="0.3">
      <c r="A2972" s="733" t="s">
        <v>2936</v>
      </c>
      <c r="B2972" s="733" t="s">
        <v>612</v>
      </c>
      <c r="C2972" s="733" t="s">
        <v>2949</v>
      </c>
      <c r="D2972" s="733" t="s">
        <v>21</v>
      </c>
      <c r="E2972" s="761"/>
      <c r="F2972" s="761"/>
      <c r="G2972" s="733"/>
      <c r="H2972" s="733"/>
      <c r="I2972" s="733"/>
      <c r="J2972" s="733"/>
      <c r="K2972" s="733"/>
      <c r="L2972" s="733"/>
      <c r="M2972" s="733"/>
    </row>
    <row r="2973" spans="1:13" x14ac:dyDescent="0.3">
      <c r="A2973" s="733" t="s">
        <v>2936</v>
      </c>
      <c r="B2973" s="733" t="s">
        <v>612</v>
      </c>
      <c r="C2973" s="733" t="s">
        <v>2950</v>
      </c>
      <c r="D2973" s="733" t="s">
        <v>21</v>
      </c>
      <c r="E2973" s="761"/>
      <c r="F2973" s="761"/>
      <c r="G2973" s="733"/>
      <c r="H2973" s="733"/>
      <c r="I2973" s="733"/>
      <c r="J2973" s="733"/>
      <c r="K2973" s="733"/>
      <c r="L2973" s="733"/>
      <c r="M2973" s="733"/>
    </row>
    <row r="2974" spans="1:13" x14ac:dyDescent="0.3">
      <c r="A2974" s="733" t="s">
        <v>2936</v>
      </c>
      <c r="B2974" s="733" t="s">
        <v>612</v>
      </c>
      <c r="C2974" s="733" t="s">
        <v>2951</v>
      </c>
      <c r="D2974" s="733" t="s">
        <v>21</v>
      </c>
      <c r="E2974" s="761"/>
      <c r="F2974" s="761"/>
      <c r="G2974" s="733"/>
      <c r="H2974" s="733"/>
      <c r="I2974" s="733"/>
      <c r="J2974" s="733"/>
      <c r="K2974" s="733"/>
      <c r="L2974" s="733"/>
      <c r="M2974" s="733"/>
    </row>
    <row r="2975" spans="1:13" x14ac:dyDescent="0.3">
      <c r="A2975" s="733" t="s">
        <v>2952</v>
      </c>
      <c r="B2975" s="733" t="s">
        <v>645</v>
      </c>
      <c r="C2975" s="733" t="s">
        <v>2953</v>
      </c>
      <c r="D2975" s="733" t="s">
        <v>21</v>
      </c>
      <c r="E2975" s="761"/>
      <c r="F2975" s="761"/>
      <c r="G2975" s="733"/>
      <c r="H2975" s="733"/>
      <c r="I2975" s="733"/>
      <c r="J2975" s="733"/>
      <c r="K2975" s="733"/>
      <c r="L2975" s="733"/>
      <c r="M2975" s="733"/>
    </row>
    <row r="2976" spans="1:13" x14ac:dyDescent="0.3">
      <c r="A2976" s="733" t="s">
        <v>2952</v>
      </c>
      <c r="B2976" s="733" t="s">
        <v>645</v>
      </c>
      <c r="C2976" s="733" t="s">
        <v>2954</v>
      </c>
      <c r="D2976" s="733" t="s">
        <v>21</v>
      </c>
      <c r="E2976" s="761"/>
      <c r="F2976" s="761"/>
      <c r="G2976" s="733"/>
      <c r="H2976" s="733"/>
      <c r="I2976" s="733"/>
      <c r="J2976" s="733"/>
      <c r="K2976" s="733"/>
      <c r="L2976" s="733"/>
      <c r="M2976" s="733"/>
    </row>
    <row r="2977" spans="1:13" x14ac:dyDescent="0.3">
      <c r="A2977" s="733" t="s">
        <v>2952</v>
      </c>
      <c r="B2977" s="733" t="s">
        <v>645</v>
      </c>
      <c r="C2977" s="733" t="s">
        <v>2955</v>
      </c>
      <c r="D2977" s="733" t="s">
        <v>21</v>
      </c>
      <c r="E2977" s="761"/>
      <c r="F2977" s="761"/>
      <c r="G2977" s="733"/>
      <c r="H2977" s="733"/>
      <c r="I2977" s="733"/>
      <c r="J2977" s="733"/>
      <c r="K2977" s="733"/>
      <c r="L2977" s="733"/>
      <c r="M2977" s="733"/>
    </row>
    <row r="2978" spans="1:13" x14ac:dyDescent="0.3">
      <c r="A2978" s="733" t="s">
        <v>2952</v>
      </c>
      <c r="B2978" s="733" t="s">
        <v>645</v>
      </c>
      <c r="C2978" s="733" t="s">
        <v>2956</v>
      </c>
      <c r="D2978" s="733" t="s">
        <v>21</v>
      </c>
      <c r="E2978" s="761"/>
      <c r="F2978" s="761"/>
      <c r="G2978" s="733"/>
      <c r="H2978" s="733"/>
      <c r="I2978" s="733"/>
      <c r="J2978" s="733"/>
      <c r="K2978" s="733"/>
      <c r="L2978" s="733"/>
      <c r="M2978" s="733"/>
    </row>
    <row r="2979" spans="1:13" x14ac:dyDescent="0.3">
      <c r="A2979" s="733" t="s">
        <v>2952</v>
      </c>
      <c r="B2979" s="733" t="s">
        <v>645</v>
      </c>
      <c r="C2979" s="733" t="s">
        <v>2957</v>
      </c>
      <c r="D2979" s="733" t="s">
        <v>21</v>
      </c>
      <c r="E2979" s="761"/>
      <c r="F2979" s="761"/>
      <c r="G2979" s="733"/>
      <c r="H2979" s="733"/>
      <c r="I2979" s="733"/>
      <c r="J2979" s="733"/>
      <c r="K2979" s="733"/>
      <c r="L2979" s="733"/>
      <c r="M2979" s="733"/>
    </row>
    <row r="2980" spans="1:13" x14ac:dyDescent="0.3">
      <c r="A2980" s="733" t="s">
        <v>2952</v>
      </c>
      <c r="B2980" s="733" t="s">
        <v>664</v>
      </c>
      <c r="C2980" s="733" t="s">
        <v>2958</v>
      </c>
      <c r="D2980" s="733" t="s">
        <v>21</v>
      </c>
      <c r="E2980" s="761"/>
      <c r="F2980" s="761"/>
      <c r="G2980" s="733"/>
      <c r="H2980" s="733"/>
      <c r="I2980" s="733"/>
      <c r="J2980" s="733"/>
      <c r="K2980" s="733"/>
      <c r="L2980" s="733"/>
      <c r="M2980" s="733"/>
    </row>
    <row r="2981" spans="1:13" x14ac:dyDescent="0.3">
      <c r="A2981" s="733" t="s">
        <v>2952</v>
      </c>
      <c r="B2981" s="733" t="s">
        <v>664</v>
      </c>
      <c r="C2981" s="733" t="s">
        <v>2959</v>
      </c>
      <c r="D2981" s="733" t="s">
        <v>21</v>
      </c>
      <c r="E2981" s="761"/>
      <c r="F2981" s="761"/>
      <c r="G2981" s="733"/>
      <c r="H2981" s="733"/>
      <c r="I2981" s="733"/>
      <c r="J2981" s="733"/>
      <c r="K2981" s="733"/>
      <c r="L2981" s="733"/>
      <c r="M2981" s="733"/>
    </row>
    <row r="2982" spans="1:13" x14ac:dyDescent="0.3">
      <c r="A2982" s="733" t="s">
        <v>2952</v>
      </c>
      <c r="B2982" s="733" t="s">
        <v>664</v>
      </c>
      <c r="C2982" s="733" t="s">
        <v>2960</v>
      </c>
      <c r="D2982" s="733" t="s">
        <v>21</v>
      </c>
      <c r="E2982" s="761"/>
      <c r="F2982" s="761"/>
      <c r="G2982" s="733"/>
      <c r="H2982" s="733"/>
      <c r="I2982" s="733"/>
      <c r="J2982" s="733"/>
      <c r="K2982" s="733"/>
      <c r="L2982" s="733"/>
      <c r="M2982" s="733"/>
    </row>
    <row r="2983" spans="1:13" x14ac:dyDescent="0.3">
      <c r="A2983" s="733" t="s">
        <v>2952</v>
      </c>
      <c r="B2983" s="733" t="s">
        <v>664</v>
      </c>
      <c r="C2983" s="733" t="s">
        <v>2961</v>
      </c>
      <c r="D2983" s="733" t="s">
        <v>21</v>
      </c>
      <c r="E2983" s="761"/>
      <c r="F2983" s="761"/>
      <c r="G2983" s="733"/>
      <c r="H2983" s="733"/>
      <c r="I2983" s="733"/>
      <c r="J2983" s="733"/>
      <c r="K2983" s="733"/>
      <c r="L2983" s="733"/>
      <c r="M2983" s="733"/>
    </row>
    <row r="2984" spans="1:13" x14ac:dyDescent="0.3">
      <c r="A2984" s="733" t="s">
        <v>2952</v>
      </c>
      <c r="B2984" s="733" t="s">
        <v>664</v>
      </c>
      <c r="C2984" s="733" t="s">
        <v>2962</v>
      </c>
      <c r="D2984" s="733" t="s">
        <v>21</v>
      </c>
      <c r="E2984" s="761"/>
      <c r="F2984" s="761"/>
      <c r="G2984" s="733"/>
      <c r="H2984" s="733"/>
      <c r="I2984" s="733"/>
      <c r="J2984" s="733"/>
      <c r="K2984" s="733"/>
      <c r="L2984" s="733"/>
      <c r="M2984" s="733"/>
    </row>
    <row r="2985" spans="1:13" x14ac:dyDescent="0.3">
      <c r="A2985" s="733" t="s">
        <v>2952</v>
      </c>
      <c r="B2985" s="733" t="s">
        <v>612</v>
      </c>
      <c r="C2985" s="733" t="s">
        <v>2963</v>
      </c>
      <c r="D2985" s="733" t="s">
        <v>21</v>
      </c>
      <c r="E2985" s="761"/>
      <c r="F2985" s="761"/>
      <c r="G2985" s="733"/>
      <c r="H2985" s="733"/>
      <c r="I2985" s="733"/>
      <c r="J2985" s="733"/>
      <c r="K2985" s="733"/>
      <c r="L2985" s="733"/>
      <c r="M2985" s="733"/>
    </row>
    <row r="2986" spans="1:13" x14ac:dyDescent="0.3">
      <c r="A2986" s="733" t="s">
        <v>2952</v>
      </c>
      <c r="B2986" s="733" t="s">
        <v>612</v>
      </c>
      <c r="C2986" s="733" t="s">
        <v>2964</v>
      </c>
      <c r="D2986" s="733" t="s">
        <v>21</v>
      </c>
      <c r="E2986" s="761"/>
      <c r="F2986" s="761"/>
      <c r="G2986" s="733"/>
      <c r="H2986" s="733"/>
      <c r="I2986" s="733"/>
      <c r="J2986" s="733"/>
      <c r="K2986" s="733"/>
      <c r="L2986" s="733"/>
      <c r="M2986" s="733"/>
    </row>
    <row r="2987" spans="1:13" x14ac:dyDescent="0.3">
      <c r="A2987" s="733" t="s">
        <v>2952</v>
      </c>
      <c r="B2987" s="733" t="s">
        <v>612</v>
      </c>
      <c r="C2987" s="733" t="s">
        <v>2965</v>
      </c>
      <c r="D2987" s="733" t="s">
        <v>21</v>
      </c>
      <c r="E2987" s="761"/>
      <c r="F2987" s="761"/>
      <c r="G2987" s="733"/>
      <c r="H2987" s="733"/>
      <c r="I2987" s="733"/>
      <c r="J2987" s="733"/>
      <c r="K2987" s="733"/>
      <c r="L2987" s="733"/>
      <c r="M2987" s="733"/>
    </row>
    <row r="2988" spans="1:13" x14ac:dyDescent="0.3">
      <c r="A2988" s="733" t="s">
        <v>2952</v>
      </c>
      <c r="B2988" s="733" t="s">
        <v>612</v>
      </c>
      <c r="C2988" s="733" t="s">
        <v>2966</v>
      </c>
      <c r="D2988" s="733" t="s">
        <v>21</v>
      </c>
      <c r="E2988" s="761"/>
      <c r="F2988" s="761"/>
      <c r="G2988" s="733"/>
      <c r="H2988" s="733"/>
      <c r="I2988" s="733"/>
      <c r="J2988" s="733"/>
      <c r="K2988" s="733"/>
      <c r="L2988" s="733"/>
      <c r="M2988" s="733"/>
    </row>
    <row r="2989" spans="1:13" x14ac:dyDescent="0.3">
      <c r="A2989" s="733" t="s">
        <v>2952</v>
      </c>
      <c r="B2989" s="733" t="s">
        <v>612</v>
      </c>
      <c r="C2989" s="733" t="s">
        <v>2967</v>
      </c>
      <c r="D2989" s="733" t="s">
        <v>21</v>
      </c>
      <c r="E2989" s="761"/>
      <c r="F2989" s="761"/>
      <c r="G2989" s="733"/>
      <c r="H2989" s="733"/>
      <c r="I2989" s="733"/>
      <c r="J2989" s="733"/>
      <c r="K2989" s="733"/>
      <c r="L2989" s="733"/>
      <c r="M2989" s="733"/>
    </row>
    <row r="2990" spans="1:13" x14ac:dyDescent="0.3">
      <c r="A2990" s="733" t="s">
        <v>2952</v>
      </c>
      <c r="B2990" s="733" t="s">
        <v>645</v>
      </c>
      <c r="C2990" s="733" t="s">
        <v>2968</v>
      </c>
      <c r="D2990" s="733" t="s">
        <v>21</v>
      </c>
      <c r="E2990" s="761"/>
      <c r="F2990" s="761"/>
      <c r="G2990" s="733"/>
      <c r="H2990" s="733"/>
      <c r="I2990" s="733"/>
      <c r="J2990" s="733"/>
      <c r="K2990" s="733"/>
      <c r="L2990" s="733"/>
      <c r="M2990" s="733"/>
    </row>
    <row r="2991" spans="1:13" x14ac:dyDescent="0.3">
      <c r="A2991" s="733" t="s">
        <v>2952</v>
      </c>
      <c r="B2991" s="733" t="s">
        <v>645</v>
      </c>
      <c r="C2991" s="733" t="s">
        <v>2969</v>
      </c>
      <c r="D2991" s="733" t="s">
        <v>21</v>
      </c>
      <c r="E2991" s="761"/>
      <c r="F2991" s="761"/>
      <c r="G2991" s="733"/>
      <c r="H2991" s="733"/>
      <c r="I2991" s="733"/>
      <c r="J2991" s="733"/>
      <c r="K2991" s="733"/>
      <c r="L2991" s="733"/>
      <c r="M2991" s="733"/>
    </row>
    <row r="2992" spans="1:13" x14ac:dyDescent="0.3">
      <c r="A2992" s="733" t="s">
        <v>2952</v>
      </c>
      <c r="B2992" s="733" t="s">
        <v>645</v>
      </c>
      <c r="C2992" s="733" t="s">
        <v>2970</v>
      </c>
      <c r="D2992" s="733" t="s">
        <v>21</v>
      </c>
      <c r="E2992" s="761"/>
      <c r="F2992" s="761"/>
      <c r="G2992" s="733"/>
      <c r="H2992" s="733"/>
      <c r="I2992" s="733"/>
      <c r="J2992" s="733"/>
      <c r="K2992" s="733"/>
      <c r="L2992" s="733"/>
      <c r="M2992" s="733"/>
    </row>
    <row r="2993" spans="1:13" x14ac:dyDescent="0.3">
      <c r="A2993" s="733" t="s">
        <v>2952</v>
      </c>
      <c r="B2993" s="733" t="s">
        <v>645</v>
      </c>
      <c r="C2993" s="733" t="s">
        <v>2971</v>
      </c>
      <c r="D2993" s="733" t="s">
        <v>21</v>
      </c>
      <c r="E2993" s="761"/>
      <c r="F2993" s="761"/>
      <c r="G2993" s="733"/>
      <c r="H2993" s="733"/>
      <c r="I2993" s="733"/>
      <c r="J2993" s="733"/>
      <c r="K2993" s="733"/>
      <c r="L2993" s="733"/>
      <c r="M2993" s="733"/>
    </row>
    <row r="2994" spans="1:13" x14ac:dyDescent="0.3">
      <c r="A2994" s="733" t="s">
        <v>2952</v>
      </c>
      <c r="B2994" s="733" t="s">
        <v>645</v>
      </c>
      <c r="C2994" s="733" t="s">
        <v>2972</v>
      </c>
      <c r="D2994" s="733" t="s">
        <v>21</v>
      </c>
      <c r="E2994" s="761"/>
      <c r="F2994" s="761"/>
      <c r="G2994" s="733"/>
      <c r="H2994" s="733"/>
      <c r="I2994" s="733"/>
      <c r="J2994" s="733"/>
      <c r="K2994" s="733"/>
      <c r="L2994" s="733"/>
      <c r="M2994" s="733"/>
    </row>
    <row r="2995" spans="1:13" x14ac:dyDescent="0.3">
      <c r="A2995" s="733" t="s">
        <v>2952</v>
      </c>
      <c r="B2995" s="733" t="s">
        <v>612</v>
      </c>
      <c r="C2995" s="733" t="s">
        <v>2973</v>
      </c>
      <c r="D2995" s="733" t="s">
        <v>21</v>
      </c>
      <c r="E2995" s="761"/>
      <c r="F2995" s="761"/>
      <c r="G2995" s="733"/>
      <c r="H2995" s="733"/>
      <c r="I2995" s="733"/>
      <c r="J2995" s="733"/>
      <c r="K2995" s="733"/>
      <c r="L2995" s="733"/>
      <c r="M2995" s="733"/>
    </row>
    <row r="2996" spans="1:13" x14ac:dyDescent="0.3">
      <c r="A2996" s="733" t="s">
        <v>2952</v>
      </c>
      <c r="B2996" s="733" t="s">
        <v>612</v>
      </c>
      <c r="C2996" s="733" t="s">
        <v>2974</v>
      </c>
      <c r="D2996" s="733" t="s">
        <v>21</v>
      </c>
      <c r="E2996" s="761"/>
      <c r="F2996" s="761"/>
      <c r="G2996" s="733"/>
      <c r="H2996" s="733"/>
      <c r="I2996" s="733"/>
      <c r="J2996" s="733"/>
      <c r="K2996" s="733"/>
      <c r="L2996" s="733"/>
      <c r="M2996" s="733"/>
    </row>
    <row r="2997" spans="1:13" x14ac:dyDescent="0.3">
      <c r="A2997" s="733" t="s">
        <v>2952</v>
      </c>
      <c r="B2997" s="733" t="s">
        <v>612</v>
      </c>
      <c r="C2997" s="733" t="s">
        <v>2975</v>
      </c>
      <c r="D2997" s="733" t="s">
        <v>21</v>
      </c>
      <c r="E2997" s="761"/>
      <c r="F2997" s="761"/>
      <c r="G2997" s="733"/>
      <c r="H2997" s="733"/>
      <c r="I2997" s="733"/>
      <c r="J2997" s="733"/>
      <c r="K2997" s="733"/>
      <c r="L2997" s="733"/>
      <c r="M2997" s="733"/>
    </row>
    <row r="2998" spans="1:13" x14ac:dyDescent="0.3">
      <c r="A2998" s="733" t="s">
        <v>2952</v>
      </c>
      <c r="B2998" s="733" t="s">
        <v>612</v>
      </c>
      <c r="C2998" s="733" t="s">
        <v>2976</v>
      </c>
      <c r="D2998" s="733" t="s">
        <v>21</v>
      </c>
      <c r="E2998" s="761"/>
      <c r="F2998" s="761"/>
      <c r="G2998" s="733"/>
      <c r="H2998" s="733"/>
      <c r="I2998" s="733"/>
      <c r="J2998" s="733"/>
      <c r="K2998" s="733"/>
      <c r="L2998" s="733"/>
      <c r="M2998" s="733"/>
    </row>
    <row r="2999" spans="1:13" x14ac:dyDescent="0.3">
      <c r="A2999" s="733" t="s">
        <v>2952</v>
      </c>
      <c r="B2999" s="733" t="s">
        <v>612</v>
      </c>
      <c r="C2999" s="733" t="s">
        <v>2977</v>
      </c>
      <c r="D2999" s="733" t="s">
        <v>21</v>
      </c>
      <c r="E2999" s="761"/>
      <c r="F2999" s="761"/>
      <c r="G2999" s="733"/>
      <c r="H2999" s="733"/>
      <c r="I2999" s="733"/>
      <c r="J2999" s="733"/>
      <c r="K2999" s="733"/>
      <c r="L2999" s="733"/>
      <c r="M2999" s="733"/>
    </row>
    <row r="3000" spans="1:13" x14ac:dyDescent="0.3">
      <c r="A3000" s="733" t="s">
        <v>2978</v>
      </c>
      <c r="B3000" s="733" t="s">
        <v>645</v>
      </c>
      <c r="C3000" s="733" t="s">
        <v>2979</v>
      </c>
      <c r="D3000" s="733" t="s">
        <v>21</v>
      </c>
      <c r="E3000" s="761"/>
      <c r="F3000" s="761"/>
      <c r="G3000" s="733"/>
      <c r="H3000" s="733"/>
      <c r="I3000" s="733"/>
      <c r="J3000" s="733"/>
      <c r="K3000" s="733"/>
      <c r="L3000" s="733"/>
      <c r="M3000" s="733"/>
    </row>
    <row r="3001" spans="1:13" x14ac:dyDescent="0.3">
      <c r="A3001" s="733" t="s">
        <v>2978</v>
      </c>
      <c r="B3001" s="733" t="s">
        <v>645</v>
      </c>
      <c r="C3001" s="733" t="s">
        <v>2980</v>
      </c>
      <c r="D3001" s="733" t="s">
        <v>21</v>
      </c>
      <c r="E3001" s="761"/>
      <c r="F3001" s="761"/>
      <c r="G3001" s="733"/>
      <c r="H3001" s="733"/>
      <c r="I3001" s="733"/>
      <c r="J3001" s="733"/>
      <c r="K3001" s="733"/>
      <c r="L3001" s="733"/>
      <c r="M3001" s="733"/>
    </row>
    <row r="3002" spans="1:13" x14ac:dyDescent="0.3">
      <c r="A3002" s="733" t="s">
        <v>2978</v>
      </c>
      <c r="B3002" s="733" t="s">
        <v>645</v>
      </c>
      <c r="C3002" s="733" t="s">
        <v>2981</v>
      </c>
      <c r="D3002" s="733" t="s">
        <v>21</v>
      </c>
      <c r="E3002" s="761"/>
      <c r="F3002" s="761"/>
      <c r="G3002" s="733"/>
      <c r="H3002" s="733"/>
      <c r="I3002" s="733"/>
      <c r="J3002" s="733"/>
      <c r="K3002" s="733"/>
      <c r="L3002" s="733"/>
      <c r="M3002" s="733"/>
    </row>
    <row r="3003" spans="1:13" x14ac:dyDescent="0.3">
      <c r="A3003" s="733" t="s">
        <v>2978</v>
      </c>
      <c r="B3003" s="733" t="s">
        <v>645</v>
      </c>
      <c r="C3003" s="733" t="s">
        <v>2982</v>
      </c>
      <c r="D3003" s="733" t="s">
        <v>21</v>
      </c>
      <c r="E3003" s="761"/>
      <c r="F3003" s="761"/>
      <c r="G3003" s="733"/>
      <c r="H3003" s="733"/>
      <c r="I3003" s="733"/>
      <c r="J3003" s="733"/>
      <c r="K3003" s="733"/>
      <c r="L3003" s="733"/>
      <c r="M3003" s="733"/>
    </row>
    <row r="3004" spans="1:13" x14ac:dyDescent="0.3">
      <c r="A3004" s="733" t="s">
        <v>2978</v>
      </c>
      <c r="B3004" s="733" t="s">
        <v>645</v>
      </c>
      <c r="C3004" s="733" t="s">
        <v>2983</v>
      </c>
      <c r="D3004" s="733" t="s">
        <v>21</v>
      </c>
      <c r="E3004" s="761"/>
      <c r="F3004" s="761"/>
      <c r="G3004" s="733"/>
      <c r="H3004" s="733"/>
      <c r="I3004" s="733"/>
      <c r="J3004" s="733"/>
      <c r="K3004" s="733"/>
      <c r="L3004" s="733"/>
      <c r="M3004" s="733"/>
    </row>
    <row r="3005" spans="1:13" x14ac:dyDescent="0.3">
      <c r="A3005" s="733" t="s">
        <v>2978</v>
      </c>
      <c r="B3005" s="733" t="s">
        <v>664</v>
      </c>
      <c r="C3005" s="733" t="s">
        <v>2984</v>
      </c>
      <c r="D3005" s="733" t="s">
        <v>21</v>
      </c>
      <c r="E3005" s="761"/>
      <c r="F3005" s="761"/>
      <c r="G3005" s="733"/>
      <c r="H3005" s="733"/>
      <c r="I3005" s="733"/>
      <c r="J3005" s="733"/>
      <c r="K3005" s="733"/>
      <c r="L3005" s="733"/>
      <c r="M3005" s="733"/>
    </row>
    <row r="3006" spans="1:13" x14ac:dyDescent="0.3">
      <c r="A3006" s="733" t="s">
        <v>2978</v>
      </c>
      <c r="B3006" s="733" t="s">
        <v>664</v>
      </c>
      <c r="C3006" s="733" t="s">
        <v>2985</v>
      </c>
      <c r="D3006" s="733" t="s">
        <v>21</v>
      </c>
      <c r="E3006" s="761"/>
      <c r="F3006" s="761"/>
      <c r="G3006" s="733"/>
      <c r="H3006" s="733"/>
      <c r="I3006" s="733"/>
      <c r="J3006" s="733"/>
      <c r="K3006" s="733"/>
      <c r="L3006" s="733"/>
      <c r="M3006" s="733"/>
    </row>
    <row r="3007" spans="1:13" x14ac:dyDescent="0.3">
      <c r="A3007" s="733" t="s">
        <v>2978</v>
      </c>
      <c r="B3007" s="733" t="s">
        <v>664</v>
      </c>
      <c r="C3007" s="733" t="s">
        <v>2986</v>
      </c>
      <c r="D3007" s="733" t="s">
        <v>21</v>
      </c>
      <c r="E3007" s="761"/>
      <c r="F3007" s="761"/>
      <c r="G3007" s="733"/>
      <c r="H3007" s="733"/>
      <c r="I3007" s="733"/>
      <c r="J3007" s="733"/>
      <c r="K3007" s="733"/>
      <c r="L3007" s="733"/>
      <c r="M3007" s="733"/>
    </row>
    <row r="3008" spans="1:13" x14ac:dyDescent="0.3">
      <c r="A3008" s="733" t="s">
        <v>2978</v>
      </c>
      <c r="B3008" s="733" t="s">
        <v>664</v>
      </c>
      <c r="C3008" s="733" t="s">
        <v>2987</v>
      </c>
      <c r="D3008" s="733" t="s">
        <v>21</v>
      </c>
      <c r="E3008" s="761"/>
      <c r="F3008" s="761"/>
      <c r="G3008" s="733"/>
      <c r="H3008" s="733"/>
      <c r="I3008" s="733"/>
      <c r="J3008" s="733"/>
      <c r="K3008" s="733"/>
      <c r="L3008" s="733"/>
      <c r="M3008" s="733"/>
    </row>
    <row r="3009" spans="1:13" x14ac:dyDescent="0.3">
      <c r="A3009" s="733" t="s">
        <v>2978</v>
      </c>
      <c r="B3009" s="733" t="s">
        <v>664</v>
      </c>
      <c r="C3009" s="733" t="s">
        <v>2988</v>
      </c>
      <c r="D3009" s="733" t="s">
        <v>21</v>
      </c>
      <c r="E3009" s="761"/>
      <c r="F3009" s="761"/>
      <c r="G3009" s="733"/>
      <c r="H3009" s="733"/>
      <c r="I3009" s="733"/>
      <c r="J3009" s="733"/>
      <c r="K3009" s="733"/>
      <c r="L3009" s="733"/>
      <c r="M3009" s="733"/>
    </row>
    <row r="3010" spans="1:13" x14ac:dyDescent="0.3">
      <c r="A3010" s="733" t="s">
        <v>2978</v>
      </c>
      <c r="B3010" s="733" t="s">
        <v>612</v>
      </c>
      <c r="C3010" s="733" t="s">
        <v>2989</v>
      </c>
      <c r="D3010" s="733" t="s">
        <v>21</v>
      </c>
      <c r="E3010" s="761"/>
      <c r="F3010" s="761"/>
      <c r="G3010" s="733"/>
      <c r="H3010" s="733"/>
      <c r="I3010" s="733"/>
      <c r="J3010" s="733"/>
      <c r="K3010" s="733"/>
      <c r="L3010" s="733"/>
      <c r="M3010" s="733"/>
    </row>
    <row r="3011" spans="1:13" x14ac:dyDescent="0.3">
      <c r="A3011" s="733" t="s">
        <v>2978</v>
      </c>
      <c r="B3011" s="733" t="s">
        <v>612</v>
      </c>
      <c r="C3011" s="733" t="s">
        <v>2990</v>
      </c>
      <c r="D3011" s="733" t="s">
        <v>21</v>
      </c>
      <c r="E3011" s="761"/>
      <c r="F3011" s="761"/>
      <c r="G3011" s="733"/>
      <c r="H3011" s="733"/>
      <c r="I3011" s="733"/>
      <c r="J3011" s="733"/>
      <c r="K3011" s="733"/>
      <c r="L3011" s="733"/>
      <c r="M3011" s="733"/>
    </row>
    <row r="3012" spans="1:13" x14ac:dyDescent="0.3">
      <c r="A3012" s="733" t="s">
        <v>2978</v>
      </c>
      <c r="B3012" s="733" t="s">
        <v>612</v>
      </c>
      <c r="C3012" s="733" t="s">
        <v>2991</v>
      </c>
      <c r="D3012" s="733" t="s">
        <v>21</v>
      </c>
      <c r="E3012" s="761"/>
      <c r="F3012" s="761"/>
      <c r="G3012" s="733"/>
      <c r="H3012" s="733"/>
      <c r="I3012" s="733"/>
      <c r="J3012" s="733"/>
      <c r="K3012" s="733"/>
      <c r="L3012" s="733"/>
      <c r="M3012" s="733"/>
    </row>
    <row r="3013" spans="1:13" x14ac:dyDescent="0.3">
      <c r="A3013" s="733" t="s">
        <v>2978</v>
      </c>
      <c r="B3013" s="733" t="s">
        <v>612</v>
      </c>
      <c r="C3013" s="733" t="s">
        <v>2992</v>
      </c>
      <c r="D3013" s="733" t="s">
        <v>21</v>
      </c>
      <c r="E3013" s="761"/>
      <c r="F3013" s="761"/>
      <c r="G3013" s="733"/>
      <c r="H3013" s="733"/>
      <c r="I3013" s="733"/>
      <c r="J3013" s="733"/>
      <c r="K3013" s="733"/>
      <c r="L3013" s="733"/>
      <c r="M3013" s="733"/>
    </row>
    <row r="3014" spans="1:13" x14ac:dyDescent="0.3">
      <c r="A3014" s="733" t="s">
        <v>2978</v>
      </c>
      <c r="B3014" s="733" t="s">
        <v>612</v>
      </c>
      <c r="C3014" s="733" t="s">
        <v>2993</v>
      </c>
      <c r="D3014" s="733" t="s">
        <v>21</v>
      </c>
      <c r="E3014" s="761"/>
      <c r="F3014" s="761"/>
      <c r="G3014" s="733"/>
      <c r="H3014" s="733"/>
      <c r="I3014" s="733"/>
      <c r="J3014" s="733"/>
      <c r="K3014" s="733"/>
      <c r="L3014" s="733"/>
      <c r="M3014" s="733"/>
    </row>
    <row r="3015" spans="1:13" x14ac:dyDescent="0.3">
      <c r="A3015" s="733" t="s">
        <v>2978</v>
      </c>
      <c r="B3015" s="733" t="s">
        <v>645</v>
      </c>
      <c r="C3015" s="733" t="s">
        <v>2994</v>
      </c>
      <c r="D3015" s="733" t="s">
        <v>21</v>
      </c>
      <c r="E3015" s="761"/>
      <c r="F3015" s="761"/>
      <c r="G3015" s="733"/>
      <c r="H3015" s="733"/>
      <c r="I3015" s="733"/>
      <c r="J3015" s="733"/>
      <c r="K3015" s="733"/>
      <c r="L3015" s="733"/>
      <c r="M3015" s="733"/>
    </row>
    <row r="3016" spans="1:13" x14ac:dyDescent="0.3">
      <c r="A3016" s="733" t="s">
        <v>2978</v>
      </c>
      <c r="B3016" s="733" t="s">
        <v>645</v>
      </c>
      <c r="C3016" s="733" t="s">
        <v>2995</v>
      </c>
      <c r="D3016" s="733" t="s">
        <v>21</v>
      </c>
      <c r="E3016" s="761"/>
      <c r="F3016" s="761"/>
      <c r="G3016" s="733"/>
      <c r="H3016" s="733"/>
      <c r="I3016" s="733"/>
      <c r="J3016" s="733"/>
      <c r="K3016" s="733"/>
      <c r="L3016" s="733"/>
      <c r="M3016" s="733"/>
    </row>
    <row r="3017" spans="1:13" x14ac:dyDescent="0.3">
      <c r="A3017" s="733" t="s">
        <v>2978</v>
      </c>
      <c r="B3017" s="733" t="s">
        <v>645</v>
      </c>
      <c r="C3017" s="733" t="s">
        <v>2996</v>
      </c>
      <c r="D3017" s="733" t="s">
        <v>21</v>
      </c>
      <c r="E3017" s="761"/>
      <c r="F3017" s="761"/>
      <c r="G3017" s="733"/>
      <c r="H3017" s="733"/>
      <c r="I3017" s="733"/>
      <c r="J3017" s="733"/>
      <c r="K3017" s="733"/>
      <c r="L3017" s="733"/>
      <c r="M3017" s="733"/>
    </row>
    <row r="3018" spans="1:13" x14ac:dyDescent="0.3">
      <c r="A3018" s="733" t="s">
        <v>2978</v>
      </c>
      <c r="B3018" s="733" t="s">
        <v>645</v>
      </c>
      <c r="C3018" s="733" t="s">
        <v>2997</v>
      </c>
      <c r="D3018" s="733" t="s">
        <v>21</v>
      </c>
      <c r="E3018" s="761"/>
      <c r="F3018" s="761"/>
      <c r="G3018" s="733"/>
      <c r="H3018" s="733"/>
      <c r="I3018" s="733"/>
      <c r="J3018" s="733"/>
      <c r="K3018" s="733"/>
      <c r="L3018" s="733"/>
      <c r="M3018" s="733"/>
    </row>
    <row r="3019" spans="1:13" x14ac:dyDescent="0.3">
      <c r="A3019" s="733" t="s">
        <v>2978</v>
      </c>
      <c r="B3019" s="733" t="s">
        <v>645</v>
      </c>
      <c r="C3019" s="733" t="s">
        <v>2998</v>
      </c>
      <c r="D3019" s="733" t="s">
        <v>21</v>
      </c>
      <c r="E3019" s="761"/>
      <c r="F3019" s="761"/>
      <c r="G3019" s="733"/>
      <c r="H3019" s="733"/>
      <c r="I3019" s="733"/>
      <c r="J3019" s="733"/>
      <c r="K3019" s="733"/>
      <c r="L3019" s="733"/>
      <c r="M3019" s="733"/>
    </row>
    <row r="3020" spans="1:13" x14ac:dyDescent="0.3">
      <c r="A3020" s="733" t="s">
        <v>2978</v>
      </c>
      <c r="B3020" s="733" t="s">
        <v>612</v>
      </c>
      <c r="C3020" s="733" t="s">
        <v>2999</v>
      </c>
      <c r="D3020" s="733" t="s">
        <v>21</v>
      </c>
      <c r="E3020" s="761"/>
      <c r="F3020" s="761"/>
      <c r="G3020" s="733"/>
      <c r="H3020" s="733"/>
      <c r="I3020" s="733"/>
      <c r="J3020" s="733"/>
      <c r="K3020" s="733"/>
      <c r="L3020" s="733"/>
      <c r="M3020" s="733"/>
    </row>
    <row r="3021" spans="1:13" x14ac:dyDescent="0.3">
      <c r="A3021" s="733" t="s">
        <v>2978</v>
      </c>
      <c r="B3021" s="733" t="s">
        <v>612</v>
      </c>
      <c r="C3021" s="733" t="s">
        <v>3000</v>
      </c>
      <c r="D3021" s="733" t="s">
        <v>21</v>
      </c>
      <c r="E3021" s="761"/>
      <c r="F3021" s="761"/>
      <c r="G3021" s="733"/>
      <c r="H3021" s="733"/>
      <c r="I3021" s="733"/>
      <c r="J3021" s="733"/>
      <c r="K3021" s="733"/>
      <c r="L3021" s="733"/>
      <c r="M3021" s="733"/>
    </row>
    <row r="3022" spans="1:13" x14ac:dyDescent="0.3">
      <c r="A3022" s="733" t="s">
        <v>2978</v>
      </c>
      <c r="B3022" s="733" t="s">
        <v>612</v>
      </c>
      <c r="C3022" s="733" t="s">
        <v>3001</v>
      </c>
      <c r="D3022" s="733" t="s">
        <v>21</v>
      </c>
      <c r="E3022" s="761"/>
      <c r="F3022" s="761"/>
      <c r="G3022" s="733"/>
      <c r="H3022" s="733"/>
      <c r="I3022" s="733"/>
      <c r="J3022" s="733"/>
      <c r="K3022" s="733"/>
      <c r="L3022" s="733"/>
      <c r="M3022" s="733"/>
    </row>
    <row r="3023" spans="1:13" x14ac:dyDescent="0.3">
      <c r="A3023" s="733" t="s">
        <v>2978</v>
      </c>
      <c r="B3023" s="733" t="s">
        <v>612</v>
      </c>
      <c r="C3023" s="733" t="s">
        <v>3002</v>
      </c>
      <c r="D3023" s="733" t="s">
        <v>21</v>
      </c>
      <c r="E3023" s="761"/>
      <c r="F3023" s="761"/>
      <c r="G3023" s="733"/>
      <c r="H3023" s="733"/>
      <c r="I3023" s="733"/>
      <c r="J3023" s="733"/>
      <c r="K3023" s="733"/>
      <c r="L3023" s="733"/>
      <c r="M3023" s="733"/>
    </row>
    <row r="3024" spans="1:13" x14ac:dyDescent="0.3">
      <c r="A3024" s="733" t="s">
        <v>2978</v>
      </c>
      <c r="B3024" s="733" t="s">
        <v>612</v>
      </c>
      <c r="C3024" s="733" t="s">
        <v>3003</v>
      </c>
      <c r="D3024" s="733" t="s">
        <v>21</v>
      </c>
      <c r="E3024" s="761"/>
      <c r="F3024" s="761"/>
      <c r="G3024" s="733"/>
      <c r="H3024" s="733"/>
      <c r="I3024" s="733"/>
      <c r="J3024" s="733"/>
      <c r="K3024" s="733"/>
      <c r="L3024" s="733"/>
      <c r="M3024" s="733"/>
    </row>
    <row r="3025" spans="1:13" x14ac:dyDescent="0.3">
      <c r="A3025" s="733" t="s">
        <v>3004</v>
      </c>
      <c r="B3025" s="733" t="s">
        <v>645</v>
      </c>
      <c r="C3025" s="733" t="s">
        <v>3005</v>
      </c>
      <c r="D3025" s="733" t="s">
        <v>21</v>
      </c>
      <c r="E3025" s="761"/>
      <c r="F3025" s="761"/>
      <c r="G3025" s="733"/>
      <c r="H3025" s="733"/>
      <c r="I3025" s="733"/>
      <c r="J3025" s="733"/>
      <c r="K3025" s="733"/>
      <c r="L3025" s="733"/>
      <c r="M3025" s="733"/>
    </row>
    <row r="3026" spans="1:13" x14ac:dyDescent="0.3">
      <c r="A3026" s="733" t="s">
        <v>3004</v>
      </c>
      <c r="B3026" s="733" t="s">
        <v>645</v>
      </c>
      <c r="C3026" s="733" t="s">
        <v>3006</v>
      </c>
      <c r="D3026" s="733" t="s">
        <v>21</v>
      </c>
      <c r="E3026" s="761"/>
      <c r="F3026" s="761"/>
      <c r="G3026" s="733"/>
      <c r="H3026" s="733"/>
      <c r="I3026" s="733"/>
      <c r="J3026" s="733"/>
      <c r="K3026" s="733"/>
      <c r="L3026" s="733"/>
      <c r="M3026" s="733"/>
    </row>
    <row r="3027" spans="1:13" x14ac:dyDescent="0.3">
      <c r="A3027" s="733" t="s">
        <v>3004</v>
      </c>
      <c r="B3027" s="733" t="s">
        <v>645</v>
      </c>
      <c r="C3027" s="733" t="s">
        <v>3007</v>
      </c>
      <c r="D3027" s="733" t="s">
        <v>21</v>
      </c>
      <c r="E3027" s="761"/>
      <c r="F3027" s="761"/>
      <c r="G3027" s="733"/>
      <c r="H3027" s="733"/>
      <c r="I3027" s="733"/>
      <c r="J3027" s="733"/>
      <c r="K3027" s="733"/>
      <c r="L3027" s="733"/>
      <c r="M3027" s="733"/>
    </row>
    <row r="3028" spans="1:13" x14ac:dyDescent="0.3">
      <c r="A3028" s="733" t="s">
        <v>3004</v>
      </c>
      <c r="B3028" s="733" t="s">
        <v>645</v>
      </c>
      <c r="C3028" s="733" t="s">
        <v>3008</v>
      </c>
      <c r="D3028" s="733" t="s">
        <v>21</v>
      </c>
      <c r="E3028" s="761"/>
      <c r="F3028" s="761"/>
      <c r="G3028" s="733"/>
      <c r="H3028" s="733"/>
      <c r="I3028" s="733"/>
      <c r="J3028" s="733"/>
      <c r="K3028" s="733"/>
      <c r="L3028" s="733"/>
      <c r="M3028" s="733"/>
    </row>
    <row r="3029" spans="1:13" x14ac:dyDescent="0.3">
      <c r="A3029" s="733" t="s">
        <v>3004</v>
      </c>
      <c r="B3029" s="733" t="s">
        <v>645</v>
      </c>
      <c r="C3029" s="733" t="s">
        <v>3009</v>
      </c>
      <c r="D3029" s="733" t="s">
        <v>21</v>
      </c>
      <c r="E3029" s="761"/>
      <c r="F3029" s="761"/>
      <c r="G3029" s="733"/>
      <c r="H3029" s="733"/>
      <c r="I3029" s="733"/>
      <c r="J3029" s="733"/>
      <c r="K3029" s="733"/>
      <c r="L3029" s="733"/>
      <c r="M3029" s="733"/>
    </row>
    <row r="3030" spans="1:13" x14ac:dyDescent="0.3">
      <c r="A3030" s="733" t="s">
        <v>3004</v>
      </c>
      <c r="B3030" s="733" t="s">
        <v>664</v>
      </c>
      <c r="C3030" s="733" t="s">
        <v>3010</v>
      </c>
      <c r="D3030" s="733" t="s">
        <v>21</v>
      </c>
      <c r="E3030" s="761"/>
      <c r="F3030" s="761"/>
      <c r="G3030" s="733"/>
      <c r="H3030" s="733"/>
      <c r="I3030" s="733"/>
      <c r="J3030" s="733"/>
      <c r="K3030" s="733"/>
      <c r="L3030" s="733"/>
      <c r="M3030" s="733"/>
    </row>
    <row r="3031" spans="1:13" x14ac:dyDescent="0.3">
      <c r="A3031" s="733" t="s">
        <v>3004</v>
      </c>
      <c r="B3031" s="733" t="s">
        <v>664</v>
      </c>
      <c r="C3031" s="733" t="s">
        <v>3011</v>
      </c>
      <c r="D3031" s="733" t="s">
        <v>21</v>
      </c>
      <c r="E3031" s="761"/>
      <c r="F3031" s="761"/>
      <c r="G3031" s="733"/>
      <c r="H3031" s="733"/>
      <c r="I3031" s="733"/>
      <c r="J3031" s="733"/>
      <c r="K3031" s="733"/>
      <c r="L3031" s="733"/>
      <c r="M3031" s="733"/>
    </row>
    <row r="3032" spans="1:13" x14ac:dyDescent="0.3">
      <c r="A3032" s="733" t="s">
        <v>3004</v>
      </c>
      <c r="B3032" s="733" t="s">
        <v>664</v>
      </c>
      <c r="C3032" s="733" t="s">
        <v>3012</v>
      </c>
      <c r="D3032" s="733" t="s">
        <v>21</v>
      </c>
      <c r="E3032" s="761"/>
      <c r="F3032" s="761"/>
      <c r="G3032" s="733"/>
      <c r="H3032" s="733"/>
      <c r="I3032" s="733"/>
      <c r="J3032" s="733"/>
      <c r="K3032" s="733"/>
      <c r="L3032" s="733"/>
      <c r="M3032" s="733"/>
    </row>
    <row r="3033" spans="1:13" x14ac:dyDescent="0.3">
      <c r="A3033" s="733" t="s">
        <v>3004</v>
      </c>
      <c r="B3033" s="733" t="s">
        <v>664</v>
      </c>
      <c r="C3033" s="733" t="s">
        <v>3013</v>
      </c>
      <c r="D3033" s="733" t="s">
        <v>21</v>
      </c>
      <c r="E3033" s="761"/>
      <c r="F3033" s="761"/>
      <c r="G3033" s="733"/>
      <c r="H3033" s="733"/>
      <c r="I3033" s="733"/>
      <c r="J3033" s="733"/>
      <c r="K3033" s="733"/>
      <c r="L3033" s="733"/>
      <c r="M3033" s="733"/>
    </row>
    <row r="3034" spans="1:13" x14ac:dyDescent="0.3">
      <c r="A3034" s="733" t="s">
        <v>3004</v>
      </c>
      <c r="B3034" s="733" t="s">
        <v>664</v>
      </c>
      <c r="C3034" s="733" t="s">
        <v>3014</v>
      </c>
      <c r="D3034" s="733" t="s">
        <v>21</v>
      </c>
      <c r="E3034" s="761"/>
      <c r="F3034" s="761"/>
      <c r="G3034" s="733"/>
      <c r="H3034" s="733"/>
      <c r="I3034" s="733"/>
      <c r="J3034" s="733"/>
      <c r="K3034" s="733"/>
      <c r="L3034" s="733"/>
      <c r="M3034" s="733"/>
    </row>
    <row r="3035" spans="1:13" x14ac:dyDescent="0.3">
      <c r="A3035" s="733" t="s">
        <v>3004</v>
      </c>
      <c r="B3035" s="733" t="s">
        <v>612</v>
      </c>
      <c r="C3035" s="733" t="s">
        <v>3015</v>
      </c>
      <c r="D3035" s="733" t="s">
        <v>21</v>
      </c>
      <c r="E3035" s="761"/>
      <c r="F3035" s="761"/>
      <c r="G3035" s="733"/>
      <c r="H3035" s="733"/>
      <c r="I3035" s="733"/>
      <c r="J3035" s="733"/>
      <c r="K3035" s="733"/>
      <c r="L3035" s="733"/>
      <c r="M3035" s="733"/>
    </row>
    <row r="3036" spans="1:13" x14ac:dyDescent="0.3">
      <c r="A3036" s="733" t="s">
        <v>3004</v>
      </c>
      <c r="B3036" s="733" t="s">
        <v>612</v>
      </c>
      <c r="C3036" s="733" t="s">
        <v>3016</v>
      </c>
      <c r="D3036" s="733" t="s">
        <v>21</v>
      </c>
      <c r="E3036" s="761"/>
      <c r="F3036" s="761"/>
      <c r="G3036" s="733"/>
      <c r="H3036" s="733"/>
      <c r="I3036" s="733"/>
      <c r="J3036" s="733"/>
      <c r="K3036" s="733"/>
      <c r="L3036" s="733"/>
      <c r="M3036" s="733"/>
    </row>
    <row r="3037" spans="1:13" x14ac:dyDescent="0.3">
      <c r="A3037" s="733" t="s">
        <v>3004</v>
      </c>
      <c r="B3037" s="733" t="s">
        <v>612</v>
      </c>
      <c r="C3037" s="733" t="s">
        <v>3017</v>
      </c>
      <c r="D3037" s="733" t="s">
        <v>21</v>
      </c>
      <c r="E3037" s="761"/>
      <c r="F3037" s="761"/>
      <c r="G3037" s="733"/>
      <c r="H3037" s="733"/>
      <c r="I3037" s="733"/>
      <c r="J3037" s="733"/>
      <c r="K3037" s="733"/>
      <c r="L3037" s="733"/>
      <c r="M3037" s="733"/>
    </row>
    <row r="3038" spans="1:13" x14ac:dyDescent="0.3">
      <c r="A3038" s="733" t="s">
        <v>3004</v>
      </c>
      <c r="B3038" s="733" t="s">
        <v>612</v>
      </c>
      <c r="C3038" s="733" t="s">
        <v>3018</v>
      </c>
      <c r="D3038" s="733" t="s">
        <v>21</v>
      </c>
      <c r="E3038" s="761"/>
      <c r="F3038" s="761"/>
      <c r="G3038" s="733"/>
      <c r="H3038" s="733"/>
      <c r="I3038" s="733"/>
      <c r="J3038" s="733"/>
      <c r="K3038" s="733"/>
      <c r="L3038" s="733"/>
      <c r="M3038" s="733"/>
    </row>
    <row r="3039" spans="1:13" x14ac:dyDescent="0.3">
      <c r="A3039" s="733" t="s">
        <v>3004</v>
      </c>
      <c r="B3039" s="733" t="s">
        <v>612</v>
      </c>
      <c r="C3039" s="733" t="s">
        <v>3019</v>
      </c>
      <c r="D3039" s="733" t="s">
        <v>21</v>
      </c>
      <c r="E3039" s="761"/>
      <c r="F3039" s="761"/>
      <c r="G3039" s="733"/>
      <c r="H3039" s="733"/>
      <c r="I3039" s="733"/>
      <c r="J3039" s="733"/>
      <c r="K3039" s="733"/>
      <c r="L3039" s="733"/>
      <c r="M3039" s="733"/>
    </row>
    <row r="3040" spans="1:13" x14ac:dyDescent="0.3">
      <c r="A3040" s="733" t="s">
        <v>3004</v>
      </c>
      <c r="B3040" s="733" t="s">
        <v>645</v>
      </c>
      <c r="C3040" s="733" t="s">
        <v>3020</v>
      </c>
      <c r="D3040" s="733" t="s">
        <v>21</v>
      </c>
      <c r="E3040" s="761"/>
      <c r="F3040" s="761"/>
      <c r="G3040" s="733"/>
      <c r="H3040" s="733"/>
      <c r="I3040" s="733"/>
      <c r="J3040" s="733"/>
      <c r="K3040" s="733"/>
      <c r="L3040" s="733"/>
      <c r="M3040" s="733"/>
    </row>
    <row r="3041" spans="1:13" x14ac:dyDescent="0.3">
      <c r="A3041" s="733" t="s">
        <v>3004</v>
      </c>
      <c r="B3041" s="733" t="s">
        <v>645</v>
      </c>
      <c r="C3041" s="733" t="s">
        <v>3021</v>
      </c>
      <c r="D3041" s="733" t="s">
        <v>21</v>
      </c>
      <c r="E3041" s="761"/>
      <c r="F3041" s="761"/>
      <c r="G3041" s="733"/>
      <c r="H3041" s="733"/>
      <c r="I3041" s="733"/>
      <c r="J3041" s="733"/>
      <c r="K3041" s="733"/>
      <c r="L3041" s="733"/>
      <c r="M3041" s="733"/>
    </row>
    <row r="3042" spans="1:13" x14ac:dyDescent="0.3">
      <c r="A3042" s="733" t="s">
        <v>3004</v>
      </c>
      <c r="B3042" s="733" t="s">
        <v>645</v>
      </c>
      <c r="C3042" s="733" t="s">
        <v>3022</v>
      </c>
      <c r="D3042" s="733" t="s">
        <v>21</v>
      </c>
      <c r="E3042" s="761"/>
      <c r="F3042" s="761"/>
      <c r="G3042" s="733"/>
      <c r="H3042" s="733"/>
      <c r="I3042" s="733"/>
      <c r="J3042" s="733"/>
      <c r="K3042" s="733"/>
      <c r="L3042" s="733"/>
      <c r="M3042" s="733"/>
    </row>
    <row r="3043" spans="1:13" x14ac:dyDescent="0.3">
      <c r="A3043" s="733" t="s">
        <v>3004</v>
      </c>
      <c r="B3043" s="733" t="s">
        <v>645</v>
      </c>
      <c r="C3043" s="733" t="s">
        <v>3023</v>
      </c>
      <c r="D3043" s="733" t="s">
        <v>21</v>
      </c>
      <c r="E3043" s="761"/>
      <c r="F3043" s="761"/>
      <c r="G3043" s="733"/>
      <c r="H3043" s="733"/>
      <c r="I3043" s="733"/>
      <c r="J3043" s="733"/>
      <c r="K3043" s="733"/>
      <c r="L3043" s="733"/>
      <c r="M3043" s="733"/>
    </row>
    <row r="3044" spans="1:13" x14ac:dyDescent="0.3">
      <c r="A3044" s="733" t="s">
        <v>3004</v>
      </c>
      <c r="B3044" s="733" t="s">
        <v>645</v>
      </c>
      <c r="C3044" s="733" t="s">
        <v>3024</v>
      </c>
      <c r="D3044" s="733" t="s">
        <v>21</v>
      </c>
      <c r="E3044" s="761"/>
      <c r="F3044" s="761"/>
      <c r="G3044" s="733"/>
      <c r="H3044" s="733"/>
      <c r="I3044" s="733"/>
      <c r="J3044" s="733"/>
      <c r="K3044" s="733"/>
      <c r="L3044" s="733"/>
      <c r="M3044" s="733"/>
    </row>
    <row r="3045" spans="1:13" x14ac:dyDescent="0.3">
      <c r="A3045" s="733" t="s">
        <v>3004</v>
      </c>
      <c r="B3045" s="733" t="s">
        <v>612</v>
      </c>
      <c r="C3045" s="733" t="s">
        <v>3025</v>
      </c>
      <c r="D3045" s="733" t="s">
        <v>21</v>
      </c>
      <c r="E3045" s="761"/>
      <c r="F3045" s="761"/>
      <c r="G3045" s="733"/>
      <c r="H3045" s="733"/>
      <c r="I3045" s="733"/>
      <c r="J3045" s="733"/>
      <c r="K3045" s="733"/>
      <c r="L3045" s="733"/>
      <c r="M3045" s="733"/>
    </row>
    <row r="3046" spans="1:13" x14ac:dyDescent="0.3">
      <c r="A3046" s="733" t="s">
        <v>3004</v>
      </c>
      <c r="B3046" s="733" t="s">
        <v>612</v>
      </c>
      <c r="C3046" s="733" t="s">
        <v>3026</v>
      </c>
      <c r="D3046" s="733" t="s">
        <v>21</v>
      </c>
      <c r="E3046" s="761"/>
      <c r="F3046" s="761"/>
      <c r="G3046" s="733"/>
      <c r="H3046" s="733"/>
      <c r="I3046" s="733"/>
      <c r="J3046" s="733"/>
      <c r="K3046" s="733"/>
      <c r="L3046" s="733"/>
      <c r="M3046" s="733"/>
    </row>
    <row r="3047" spans="1:13" x14ac:dyDescent="0.3">
      <c r="A3047" s="733" t="s">
        <v>3004</v>
      </c>
      <c r="B3047" s="733" t="s">
        <v>612</v>
      </c>
      <c r="C3047" s="733" t="s">
        <v>3027</v>
      </c>
      <c r="D3047" s="733" t="s">
        <v>21</v>
      </c>
      <c r="E3047" s="761"/>
      <c r="F3047" s="761"/>
      <c r="G3047" s="733"/>
      <c r="H3047" s="733"/>
      <c r="I3047" s="733"/>
      <c r="J3047" s="733"/>
      <c r="K3047" s="733"/>
      <c r="L3047" s="733"/>
      <c r="M3047" s="733"/>
    </row>
    <row r="3048" spans="1:13" x14ac:dyDescent="0.3">
      <c r="A3048" s="733" t="s">
        <v>3004</v>
      </c>
      <c r="B3048" s="733" t="s">
        <v>612</v>
      </c>
      <c r="C3048" s="733" t="s">
        <v>3028</v>
      </c>
      <c r="D3048" s="733" t="s">
        <v>21</v>
      </c>
      <c r="E3048" s="761"/>
      <c r="F3048" s="761"/>
      <c r="G3048" s="733"/>
      <c r="H3048" s="733"/>
      <c r="I3048" s="733"/>
      <c r="J3048" s="733"/>
      <c r="K3048" s="733"/>
      <c r="L3048" s="733"/>
      <c r="M3048" s="733"/>
    </row>
    <row r="3049" spans="1:13" x14ac:dyDescent="0.3">
      <c r="A3049" s="733" t="s">
        <v>3004</v>
      </c>
      <c r="B3049" s="733" t="s">
        <v>612</v>
      </c>
      <c r="C3049" s="733" t="s">
        <v>3029</v>
      </c>
      <c r="D3049" s="733" t="s">
        <v>21</v>
      </c>
      <c r="E3049" s="761"/>
      <c r="F3049" s="761"/>
      <c r="G3049" s="733"/>
      <c r="H3049" s="733"/>
      <c r="I3049" s="733"/>
      <c r="J3049" s="733"/>
      <c r="K3049" s="733"/>
      <c r="L3049" s="733"/>
      <c r="M3049" s="733"/>
    </row>
    <row r="3050" spans="1:13" x14ac:dyDescent="0.3">
      <c r="A3050" s="733" t="s">
        <v>3030</v>
      </c>
      <c r="B3050" s="733" t="s">
        <v>645</v>
      </c>
      <c r="C3050" s="733" t="s">
        <v>3031</v>
      </c>
      <c r="D3050" s="733" t="s">
        <v>21</v>
      </c>
      <c r="E3050" s="761"/>
      <c r="F3050" s="761"/>
      <c r="G3050" s="733"/>
      <c r="H3050" s="733"/>
      <c r="I3050" s="733"/>
      <c r="J3050" s="733"/>
      <c r="K3050" s="733"/>
      <c r="L3050" s="733"/>
      <c r="M3050" s="733"/>
    </row>
    <row r="3051" spans="1:13" x14ac:dyDescent="0.3">
      <c r="A3051" s="733" t="s">
        <v>3030</v>
      </c>
      <c r="B3051" s="733" t="s">
        <v>645</v>
      </c>
      <c r="C3051" s="733" t="s">
        <v>3032</v>
      </c>
      <c r="D3051" s="733" t="s">
        <v>21</v>
      </c>
      <c r="E3051" s="761"/>
      <c r="F3051" s="761"/>
      <c r="G3051" s="733"/>
      <c r="H3051" s="733"/>
      <c r="I3051" s="733"/>
      <c r="J3051" s="733"/>
      <c r="K3051" s="733"/>
      <c r="L3051" s="733"/>
      <c r="M3051" s="733"/>
    </row>
    <row r="3052" spans="1:13" x14ac:dyDescent="0.3">
      <c r="A3052" s="733" t="s">
        <v>3030</v>
      </c>
      <c r="B3052" s="733" t="s">
        <v>645</v>
      </c>
      <c r="C3052" s="733" t="s">
        <v>3033</v>
      </c>
      <c r="D3052" s="733" t="s">
        <v>21</v>
      </c>
      <c r="E3052" s="761"/>
      <c r="F3052" s="761"/>
      <c r="G3052" s="733"/>
      <c r="H3052" s="733"/>
      <c r="I3052" s="733"/>
      <c r="J3052" s="733"/>
      <c r="K3052" s="733"/>
      <c r="L3052" s="733"/>
      <c r="M3052" s="733"/>
    </row>
    <row r="3053" spans="1:13" x14ac:dyDescent="0.3">
      <c r="A3053" s="733" t="s">
        <v>3030</v>
      </c>
      <c r="B3053" s="733" t="s">
        <v>645</v>
      </c>
      <c r="C3053" s="733" t="s">
        <v>3034</v>
      </c>
      <c r="D3053" s="733" t="s">
        <v>21</v>
      </c>
      <c r="E3053" s="761"/>
      <c r="F3053" s="761"/>
      <c r="G3053" s="733"/>
      <c r="H3053" s="733"/>
      <c r="I3053" s="733"/>
      <c r="J3053" s="733"/>
      <c r="K3053" s="733"/>
      <c r="L3053" s="733"/>
      <c r="M3053" s="733"/>
    </row>
    <row r="3054" spans="1:13" x14ac:dyDescent="0.3">
      <c r="A3054" s="733" t="s">
        <v>3030</v>
      </c>
      <c r="B3054" s="733" t="s">
        <v>645</v>
      </c>
      <c r="C3054" s="733" t="s">
        <v>3035</v>
      </c>
      <c r="D3054" s="733" t="s">
        <v>21</v>
      </c>
      <c r="E3054" s="761"/>
      <c r="F3054" s="761"/>
      <c r="G3054" s="733"/>
      <c r="H3054" s="733"/>
      <c r="I3054" s="733"/>
      <c r="J3054" s="733"/>
      <c r="K3054" s="733"/>
      <c r="L3054" s="733"/>
      <c r="M3054" s="733"/>
    </row>
    <row r="3055" spans="1:13" x14ac:dyDescent="0.3">
      <c r="A3055" s="733" t="s">
        <v>3030</v>
      </c>
      <c r="B3055" s="733" t="s">
        <v>664</v>
      </c>
      <c r="C3055" s="733" t="s">
        <v>3036</v>
      </c>
      <c r="D3055" s="733" t="s">
        <v>21</v>
      </c>
      <c r="E3055" s="761"/>
      <c r="F3055" s="761"/>
      <c r="G3055" s="733"/>
      <c r="H3055" s="733"/>
      <c r="I3055" s="733"/>
      <c r="J3055" s="733"/>
      <c r="K3055" s="733"/>
      <c r="L3055" s="733"/>
      <c r="M3055" s="733"/>
    </row>
    <row r="3056" spans="1:13" x14ac:dyDescent="0.3">
      <c r="A3056" s="733" t="s">
        <v>3030</v>
      </c>
      <c r="B3056" s="733" t="s">
        <v>664</v>
      </c>
      <c r="C3056" s="733" t="s">
        <v>3037</v>
      </c>
      <c r="D3056" s="733" t="s">
        <v>21</v>
      </c>
      <c r="E3056" s="761"/>
      <c r="F3056" s="761"/>
      <c r="G3056" s="733"/>
      <c r="H3056" s="733"/>
      <c r="I3056" s="733"/>
      <c r="J3056" s="733"/>
      <c r="K3056" s="733"/>
      <c r="L3056" s="733"/>
      <c r="M3056" s="733"/>
    </row>
    <row r="3057" spans="1:13" x14ac:dyDescent="0.3">
      <c r="A3057" s="733" t="s">
        <v>3030</v>
      </c>
      <c r="B3057" s="733" t="s">
        <v>664</v>
      </c>
      <c r="C3057" s="733" t="s">
        <v>3038</v>
      </c>
      <c r="D3057" s="733" t="s">
        <v>21</v>
      </c>
      <c r="E3057" s="761"/>
      <c r="F3057" s="761"/>
      <c r="G3057" s="733"/>
      <c r="H3057" s="733"/>
      <c r="I3057" s="733"/>
      <c r="J3057" s="733"/>
      <c r="K3057" s="733"/>
      <c r="L3057" s="733"/>
      <c r="M3057" s="733"/>
    </row>
    <row r="3058" spans="1:13" x14ac:dyDescent="0.3">
      <c r="A3058" s="733" t="s">
        <v>3030</v>
      </c>
      <c r="B3058" s="733" t="s">
        <v>664</v>
      </c>
      <c r="C3058" s="733" t="s">
        <v>3039</v>
      </c>
      <c r="D3058" s="733" t="s">
        <v>21</v>
      </c>
      <c r="E3058" s="761"/>
      <c r="F3058" s="761"/>
      <c r="G3058" s="733"/>
      <c r="H3058" s="733"/>
      <c r="I3058" s="733"/>
      <c r="J3058" s="733"/>
      <c r="K3058" s="733"/>
      <c r="L3058" s="733"/>
      <c r="M3058" s="733"/>
    </row>
    <row r="3059" spans="1:13" x14ac:dyDescent="0.3">
      <c r="A3059" s="733" t="s">
        <v>3030</v>
      </c>
      <c r="B3059" s="733" t="s">
        <v>664</v>
      </c>
      <c r="C3059" s="733" t="s">
        <v>3040</v>
      </c>
      <c r="D3059" s="733" t="s">
        <v>21</v>
      </c>
      <c r="E3059" s="761"/>
      <c r="F3059" s="761"/>
      <c r="G3059" s="733"/>
      <c r="H3059" s="733"/>
      <c r="I3059" s="733"/>
      <c r="J3059" s="733"/>
      <c r="K3059" s="733"/>
      <c r="L3059" s="733"/>
      <c r="M3059" s="733"/>
    </row>
    <row r="3060" spans="1:13" x14ac:dyDescent="0.3">
      <c r="A3060" s="733" t="s">
        <v>3030</v>
      </c>
      <c r="B3060" s="733" t="s">
        <v>612</v>
      </c>
      <c r="C3060" s="733" t="s">
        <v>3041</v>
      </c>
      <c r="D3060" s="733" t="s">
        <v>21</v>
      </c>
      <c r="E3060" s="761"/>
      <c r="F3060" s="761"/>
      <c r="G3060" s="733"/>
      <c r="H3060" s="733"/>
      <c r="I3060" s="733"/>
      <c r="J3060" s="733"/>
      <c r="K3060" s="733"/>
      <c r="L3060" s="733"/>
      <c r="M3060" s="733"/>
    </row>
    <row r="3061" spans="1:13" x14ac:dyDescent="0.3">
      <c r="A3061" s="733" t="s">
        <v>3030</v>
      </c>
      <c r="B3061" s="733" t="s">
        <v>612</v>
      </c>
      <c r="C3061" s="733" t="s">
        <v>3042</v>
      </c>
      <c r="D3061" s="733" t="s">
        <v>21</v>
      </c>
      <c r="E3061" s="761"/>
      <c r="F3061" s="761"/>
      <c r="G3061" s="733"/>
      <c r="H3061" s="733"/>
      <c r="I3061" s="733"/>
      <c r="J3061" s="733"/>
      <c r="K3061" s="733"/>
      <c r="L3061" s="733"/>
      <c r="M3061" s="733"/>
    </row>
    <row r="3062" spans="1:13" x14ac:dyDescent="0.3">
      <c r="A3062" s="733" t="s">
        <v>3030</v>
      </c>
      <c r="B3062" s="733" t="s">
        <v>612</v>
      </c>
      <c r="C3062" s="733" t="s">
        <v>3043</v>
      </c>
      <c r="D3062" s="733" t="s">
        <v>21</v>
      </c>
      <c r="E3062" s="761"/>
      <c r="F3062" s="761"/>
      <c r="G3062" s="733"/>
      <c r="H3062" s="733"/>
      <c r="I3062" s="733"/>
      <c r="J3062" s="733"/>
      <c r="K3062" s="733"/>
      <c r="L3062" s="733"/>
      <c r="M3062" s="733"/>
    </row>
    <row r="3063" spans="1:13" x14ac:dyDescent="0.3">
      <c r="A3063" s="733" t="s">
        <v>3030</v>
      </c>
      <c r="B3063" s="733" t="s">
        <v>612</v>
      </c>
      <c r="C3063" s="733" t="s">
        <v>3044</v>
      </c>
      <c r="D3063" s="733" t="s">
        <v>21</v>
      </c>
      <c r="E3063" s="761"/>
      <c r="F3063" s="761"/>
      <c r="G3063" s="733"/>
      <c r="H3063" s="733"/>
      <c r="I3063" s="733"/>
      <c r="J3063" s="733"/>
      <c r="K3063" s="733"/>
      <c r="L3063" s="733"/>
      <c r="M3063" s="733"/>
    </row>
    <row r="3064" spans="1:13" x14ac:dyDescent="0.3">
      <c r="A3064" s="733" t="s">
        <v>3030</v>
      </c>
      <c r="B3064" s="733" t="s">
        <v>612</v>
      </c>
      <c r="C3064" s="733" t="s">
        <v>3045</v>
      </c>
      <c r="D3064" s="733" t="s">
        <v>21</v>
      </c>
      <c r="E3064" s="761"/>
      <c r="F3064" s="761"/>
      <c r="G3064" s="733"/>
      <c r="H3064" s="733"/>
      <c r="I3064" s="733"/>
      <c r="J3064" s="733"/>
      <c r="K3064" s="733"/>
      <c r="L3064" s="733"/>
      <c r="M3064" s="733"/>
    </row>
    <row r="3065" spans="1:13" x14ac:dyDescent="0.3">
      <c r="A3065" s="733" t="s">
        <v>3030</v>
      </c>
      <c r="B3065" s="733" t="s">
        <v>645</v>
      </c>
      <c r="C3065" s="733" t="s">
        <v>3046</v>
      </c>
      <c r="D3065" s="733" t="s">
        <v>21</v>
      </c>
      <c r="E3065" s="761"/>
      <c r="F3065" s="761"/>
      <c r="G3065" s="733"/>
      <c r="H3065" s="733"/>
      <c r="I3065" s="733"/>
      <c r="J3065" s="733"/>
      <c r="K3065" s="733"/>
      <c r="L3065" s="733"/>
      <c r="M3065" s="733"/>
    </row>
    <row r="3066" spans="1:13" x14ac:dyDescent="0.3">
      <c r="A3066" s="733" t="s">
        <v>3030</v>
      </c>
      <c r="B3066" s="733" t="s">
        <v>645</v>
      </c>
      <c r="C3066" s="733" t="s">
        <v>3047</v>
      </c>
      <c r="D3066" s="733" t="s">
        <v>21</v>
      </c>
      <c r="E3066" s="761"/>
      <c r="F3066" s="761"/>
      <c r="G3066" s="733"/>
      <c r="H3066" s="733"/>
      <c r="I3066" s="733"/>
      <c r="J3066" s="733"/>
      <c r="K3066" s="733"/>
      <c r="L3066" s="733"/>
      <c r="M3066" s="733"/>
    </row>
    <row r="3067" spans="1:13" x14ac:dyDescent="0.3">
      <c r="A3067" s="733" t="s">
        <v>3030</v>
      </c>
      <c r="B3067" s="733" t="s">
        <v>645</v>
      </c>
      <c r="C3067" s="733" t="s">
        <v>3048</v>
      </c>
      <c r="D3067" s="733" t="s">
        <v>21</v>
      </c>
      <c r="E3067" s="761"/>
      <c r="F3067" s="761"/>
      <c r="G3067" s="733"/>
      <c r="H3067" s="733"/>
      <c r="I3067" s="733"/>
      <c r="J3067" s="733"/>
      <c r="K3067" s="733"/>
      <c r="L3067" s="733"/>
      <c r="M3067" s="733"/>
    </row>
    <row r="3068" spans="1:13" x14ac:dyDescent="0.3">
      <c r="A3068" s="733" t="s">
        <v>3030</v>
      </c>
      <c r="B3068" s="733" t="s">
        <v>645</v>
      </c>
      <c r="C3068" s="733" t="s">
        <v>3049</v>
      </c>
      <c r="D3068" s="733" t="s">
        <v>21</v>
      </c>
      <c r="E3068" s="761"/>
      <c r="F3068" s="761"/>
      <c r="G3068" s="733"/>
      <c r="H3068" s="733"/>
      <c r="I3068" s="733"/>
      <c r="J3068" s="733"/>
      <c r="K3068" s="733"/>
      <c r="L3068" s="733"/>
      <c r="M3068" s="733"/>
    </row>
    <row r="3069" spans="1:13" x14ac:dyDescent="0.3">
      <c r="A3069" s="733" t="s">
        <v>3030</v>
      </c>
      <c r="B3069" s="733" t="s">
        <v>645</v>
      </c>
      <c r="C3069" s="733" t="s">
        <v>3050</v>
      </c>
      <c r="D3069" s="733" t="s">
        <v>21</v>
      </c>
      <c r="E3069" s="761"/>
      <c r="F3069" s="761"/>
      <c r="G3069" s="733"/>
      <c r="H3069" s="733"/>
      <c r="I3069" s="733"/>
      <c r="J3069" s="733"/>
      <c r="K3069" s="733"/>
      <c r="L3069" s="733"/>
      <c r="M3069" s="733"/>
    </row>
    <row r="3070" spans="1:13" x14ac:dyDescent="0.3">
      <c r="A3070" s="733" t="s">
        <v>3030</v>
      </c>
      <c r="B3070" s="733" t="s">
        <v>612</v>
      </c>
      <c r="C3070" s="733" t="s">
        <v>3051</v>
      </c>
      <c r="D3070" s="733" t="s">
        <v>21</v>
      </c>
      <c r="E3070" s="761"/>
      <c r="F3070" s="761"/>
      <c r="G3070" s="733"/>
      <c r="H3070" s="733"/>
      <c r="I3070" s="733"/>
      <c r="J3070" s="733"/>
      <c r="K3070" s="733"/>
      <c r="L3070" s="733"/>
      <c r="M3070" s="733"/>
    </row>
    <row r="3071" spans="1:13" x14ac:dyDescent="0.3">
      <c r="A3071" s="733" t="s">
        <v>3030</v>
      </c>
      <c r="B3071" s="733" t="s">
        <v>612</v>
      </c>
      <c r="C3071" s="733" t="s">
        <v>3052</v>
      </c>
      <c r="D3071" s="733" t="s">
        <v>21</v>
      </c>
      <c r="E3071" s="761"/>
      <c r="F3071" s="761"/>
      <c r="G3071" s="733"/>
      <c r="H3071" s="733"/>
      <c r="I3071" s="733"/>
      <c r="J3071" s="733"/>
      <c r="K3071" s="733"/>
      <c r="L3071" s="733"/>
      <c r="M3071" s="733"/>
    </row>
    <row r="3072" spans="1:13" x14ac:dyDescent="0.3">
      <c r="A3072" s="733" t="s">
        <v>3030</v>
      </c>
      <c r="B3072" s="733" t="s">
        <v>612</v>
      </c>
      <c r="C3072" s="733" t="s">
        <v>3053</v>
      </c>
      <c r="D3072" s="733" t="s">
        <v>21</v>
      </c>
      <c r="E3072" s="761"/>
      <c r="F3072" s="761"/>
      <c r="G3072" s="733"/>
      <c r="H3072" s="733"/>
      <c r="I3072" s="733"/>
      <c r="J3072" s="733"/>
      <c r="K3072" s="733"/>
      <c r="L3072" s="733"/>
      <c r="M3072" s="733"/>
    </row>
    <row r="3073" spans="1:13" x14ac:dyDescent="0.3">
      <c r="A3073" s="733" t="s">
        <v>3030</v>
      </c>
      <c r="B3073" s="733" t="s">
        <v>612</v>
      </c>
      <c r="C3073" s="733" t="s">
        <v>3054</v>
      </c>
      <c r="D3073" s="733" t="s">
        <v>21</v>
      </c>
      <c r="E3073" s="761"/>
      <c r="F3073" s="761"/>
      <c r="G3073" s="733"/>
      <c r="H3073" s="733"/>
      <c r="I3073" s="733"/>
      <c r="J3073" s="733"/>
      <c r="K3073" s="733"/>
      <c r="L3073" s="733"/>
      <c r="M3073" s="733"/>
    </row>
    <row r="3074" spans="1:13" x14ac:dyDescent="0.3">
      <c r="A3074" s="733" t="s">
        <v>3030</v>
      </c>
      <c r="B3074" s="733" t="s">
        <v>612</v>
      </c>
      <c r="C3074" s="733" t="s">
        <v>3055</v>
      </c>
      <c r="D3074" s="733" t="s">
        <v>21</v>
      </c>
      <c r="E3074" s="761"/>
      <c r="F3074" s="761"/>
      <c r="G3074" s="733"/>
      <c r="H3074" s="733"/>
      <c r="I3074" s="733"/>
      <c r="J3074" s="733"/>
      <c r="K3074" s="733"/>
      <c r="L3074" s="733"/>
      <c r="M3074" s="733"/>
    </row>
    <row r="3075" spans="1:13" x14ac:dyDescent="0.3">
      <c r="A3075" s="733" t="s">
        <v>3056</v>
      </c>
      <c r="B3075" s="733" t="s">
        <v>645</v>
      </c>
      <c r="C3075" s="733" t="s">
        <v>3057</v>
      </c>
      <c r="D3075" s="733" t="s">
        <v>21</v>
      </c>
      <c r="E3075" s="761"/>
      <c r="F3075" s="761"/>
      <c r="G3075" s="733"/>
      <c r="H3075" s="733"/>
      <c r="I3075" s="733"/>
      <c r="J3075" s="733"/>
      <c r="K3075" s="733"/>
      <c r="L3075" s="733"/>
      <c r="M3075" s="733"/>
    </row>
    <row r="3076" spans="1:13" x14ac:dyDescent="0.3">
      <c r="A3076" s="733" t="s">
        <v>3056</v>
      </c>
      <c r="B3076" s="733" t="s">
        <v>645</v>
      </c>
      <c r="C3076" s="733" t="s">
        <v>3058</v>
      </c>
      <c r="D3076" s="733" t="s">
        <v>21</v>
      </c>
      <c r="E3076" s="761"/>
      <c r="F3076" s="761"/>
      <c r="G3076" s="733"/>
      <c r="H3076" s="733"/>
      <c r="I3076" s="733"/>
      <c r="J3076" s="733"/>
      <c r="K3076" s="733"/>
      <c r="L3076" s="733"/>
      <c r="M3076" s="733"/>
    </row>
    <row r="3077" spans="1:13" x14ac:dyDescent="0.3">
      <c r="A3077" s="733" t="s">
        <v>3056</v>
      </c>
      <c r="B3077" s="733" t="s">
        <v>645</v>
      </c>
      <c r="C3077" s="733" t="s">
        <v>3059</v>
      </c>
      <c r="D3077" s="733" t="s">
        <v>21</v>
      </c>
      <c r="E3077" s="761"/>
      <c r="F3077" s="761"/>
      <c r="G3077" s="733"/>
      <c r="H3077" s="733"/>
      <c r="I3077" s="733"/>
      <c r="J3077" s="733"/>
      <c r="K3077" s="733"/>
      <c r="L3077" s="733"/>
      <c r="M3077" s="733"/>
    </row>
    <row r="3078" spans="1:13" x14ac:dyDescent="0.3">
      <c r="A3078" s="733" t="s">
        <v>3056</v>
      </c>
      <c r="B3078" s="733" t="s">
        <v>645</v>
      </c>
      <c r="C3078" s="733" t="s">
        <v>3060</v>
      </c>
      <c r="D3078" s="733" t="s">
        <v>21</v>
      </c>
      <c r="E3078" s="761"/>
      <c r="F3078" s="761"/>
      <c r="G3078" s="733"/>
      <c r="H3078" s="733"/>
      <c r="I3078" s="733"/>
      <c r="J3078" s="733"/>
      <c r="K3078" s="733"/>
      <c r="L3078" s="733"/>
      <c r="M3078" s="733"/>
    </row>
    <row r="3079" spans="1:13" x14ac:dyDescent="0.3">
      <c r="A3079" s="733" t="s">
        <v>3056</v>
      </c>
      <c r="B3079" s="733" t="s">
        <v>645</v>
      </c>
      <c r="C3079" s="733" t="s">
        <v>3061</v>
      </c>
      <c r="D3079" s="733" t="s">
        <v>21</v>
      </c>
      <c r="E3079" s="761"/>
      <c r="F3079" s="761"/>
      <c r="G3079" s="733"/>
      <c r="H3079" s="733"/>
      <c r="I3079" s="733"/>
      <c r="J3079" s="733"/>
      <c r="K3079" s="733"/>
      <c r="L3079" s="733"/>
      <c r="M3079" s="733"/>
    </row>
    <row r="3080" spans="1:13" x14ac:dyDescent="0.3">
      <c r="A3080" s="733" t="s">
        <v>3056</v>
      </c>
      <c r="B3080" s="733" t="s">
        <v>664</v>
      </c>
      <c r="C3080" s="733" t="s">
        <v>3062</v>
      </c>
      <c r="D3080" s="733" t="s">
        <v>21</v>
      </c>
      <c r="E3080" s="761"/>
      <c r="F3080" s="761"/>
      <c r="G3080" s="733"/>
      <c r="H3080" s="733"/>
      <c r="I3080" s="733"/>
      <c r="J3080" s="733"/>
      <c r="K3080" s="733"/>
      <c r="L3080" s="733"/>
      <c r="M3080" s="733"/>
    </row>
    <row r="3081" spans="1:13" x14ac:dyDescent="0.3">
      <c r="A3081" s="733" t="s">
        <v>3056</v>
      </c>
      <c r="B3081" s="733" t="s">
        <v>664</v>
      </c>
      <c r="C3081" s="733" t="s">
        <v>3063</v>
      </c>
      <c r="D3081" s="733" t="s">
        <v>21</v>
      </c>
      <c r="E3081" s="761"/>
      <c r="F3081" s="761"/>
      <c r="G3081" s="733"/>
      <c r="H3081" s="733"/>
      <c r="I3081" s="733"/>
      <c r="J3081" s="733"/>
      <c r="K3081" s="733"/>
      <c r="L3081" s="733"/>
      <c r="M3081" s="733"/>
    </row>
    <row r="3082" spans="1:13" x14ac:dyDescent="0.3">
      <c r="A3082" s="733" t="s">
        <v>3056</v>
      </c>
      <c r="B3082" s="733" t="s">
        <v>664</v>
      </c>
      <c r="C3082" s="733" t="s">
        <v>3064</v>
      </c>
      <c r="D3082" s="733" t="s">
        <v>21</v>
      </c>
      <c r="E3082" s="761"/>
      <c r="F3082" s="761"/>
      <c r="G3082" s="733"/>
      <c r="H3082" s="733"/>
      <c r="I3082" s="733"/>
      <c r="J3082" s="733"/>
      <c r="K3082" s="733"/>
      <c r="L3082" s="733"/>
      <c r="M3082" s="733"/>
    </row>
    <row r="3083" spans="1:13" x14ac:dyDescent="0.3">
      <c r="A3083" s="733" t="s">
        <v>3056</v>
      </c>
      <c r="B3083" s="733" t="s">
        <v>664</v>
      </c>
      <c r="C3083" s="733" t="s">
        <v>3065</v>
      </c>
      <c r="D3083" s="733" t="s">
        <v>21</v>
      </c>
      <c r="E3083" s="761"/>
      <c r="F3083" s="761"/>
      <c r="G3083" s="733"/>
      <c r="H3083" s="733"/>
      <c r="I3083" s="733"/>
      <c r="J3083" s="733"/>
      <c r="K3083" s="733"/>
      <c r="L3083" s="733"/>
      <c r="M3083" s="733"/>
    </row>
    <row r="3084" spans="1:13" x14ac:dyDescent="0.3">
      <c r="A3084" s="733" t="s">
        <v>3056</v>
      </c>
      <c r="B3084" s="733" t="s">
        <v>664</v>
      </c>
      <c r="C3084" s="733" t="s">
        <v>3066</v>
      </c>
      <c r="D3084" s="733" t="s">
        <v>21</v>
      </c>
      <c r="E3084" s="761"/>
      <c r="F3084" s="761"/>
      <c r="G3084" s="733"/>
      <c r="H3084" s="733"/>
      <c r="I3084" s="733"/>
      <c r="J3084" s="733"/>
      <c r="K3084" s="733"/>
      <c r="L3084" s="733"/>
      <c r="M3084" s="733"/>
    </row>
    <row r="3085" spans="1:13" x14ac:dyDescent="0.3">
      <c r="A3085" s="733" t="s">
        <v>3056</v>
      </c>
      <c r="B3085" s="733" t="s">
        <v>612</v>
      </c>
      <c r="C3085" s="733" t="s">
        <v>3067</v>
      </c>
      <c r="D3085" s="733" t="s">
        <v>21</v>
      </c>
      <c r="E3085" s="761"/>
      <c r="F3085" s="761"/>
      <c r="G3085" s="733"/>
      <c r="H3085" s="733"/>
      <c r="I3085" s="733"/>
      <c r="J3085" s="733"/>
      <c r="K3085" s="733"/>
      <c r="L3085" s="733"/>
      <c r="M3085" s="733"/>
    </row>
    <row r="3086" spans="1:13" x14ac:dyDescent="0.3">
      <c r="A3086" s="733" t="s">
        <v>3056</v>
      </c>
      <c r="B3086" s="733" t="s">
        <v>612</v>
      </c>
      <c r="C3086" s="733" t="s">
        <v>3068</v>
      </c>
      <c r="D3086" s="733" t="s">
        <v>21</v>
      </c>
      <c r="E3086" s="761"/>
      <c r="F3086" s="761"/>
      <c r="G3086" s="733"/>
      <c r="H3086" s="733"/>
      <c r="I3086" s="733"/>
      <c r="J3086" s="733"/>
      <c r="K3086" s="733"/>
      <c r="L3086" s="733"/>
      <c r="M3086" s="733"/>
    </row>
    <row r="3087" spans="1:13" x14ac:dyDescent="0.3">
      <c r="A3087" s="733" t="s">
        <v>3056</v>
      </c>
      <c r="B3087" s="733" t="s">
        <v>612</v>
      </c>
      <c r="C3087" s="733" t="s">
        <v>3069</v>
      </c>
      <c r="D3087" s="733" t="s">
        <v>21</v>
      </c>
      <c r="E3087" s="761"/>
      <c r="F3087" s="761"/>
      <c r="G3087" s="733"/>
      <c r="H3087" s="733"/>
      <c r="I3087" s="733"/>
      <c r="J3087" s="733"/>
      <c r="K3087" s="733"/>
      <c r="L3087" s="733"/>
      <c r="M3087" s="733"/>
    </row>
    <row r="3088" spans="1:13" x14ac:dyDescent="0.3">
      <c r="A3088" s="733" t="s">
        <v>3056</v>
      </c>
      <c r="B3088" s="733" t="s">
        <v>612</v>
      </c>
      <c r="C3088" s="733" t="s">
        <v>3070</v>
      </c>
      <c r="D3088" s="733" t="s">
        <v>21</v>
      </c>
      <c r="E3088" s="761"/>
      <c r="F3088" s="761"/>
      <c r="G3088" s="733"/>
      <c r="H3088" s="733"/>
      <c r="I3088" s="733"/>
      <c r="J3088" s="733"/>
      <c r="K3088" s="733"/>
      <c r="L3088" s="733"/>
      <c r="M3088" s="733"/>
    </row>
    <row r="3089" spans="1:13" x14ac:dyDescent="0.3">
      <c r="A3089" s="733" t="s">
        <v>3056</v>
      </c>
      <c r="B3089" s="733" t="s">
        <v>612</v>
      </c>
      <c r="C3089" s="733" t="s">
        <v>3071</v>
      </c>
      <c r="D3089" s="733" t="s">
        <v>21</v>
      </c>
      <c r="E3089" s="761"/>
      <c r="F3089" s="761"/>
      <c r="G3089" s="733"/>
      <c r="H3089" s="733"/>
      <c r="I3089" s="733"/>
      <c r="J3089" s="733"/>
      <c r="K3089" s="733"/>
      <c r="L3089" s="733"/>
      <c r="M3089" s="733"/>
    </row>
    <row r="3090" spans="1:13" x14ac:dyDescent="0.3">
      <c r="A3090" s="733" t="s">
        <v>3056</v>
      </c>
      <c r="B3090" s="733" t="s">
        <v>645</v>
      </c>
      <c r="C3090" s="733" t="s">
        <v>3072</v>
      </c>
      <c r="D3090" s="733" t="s">
        <v>21</v>
      </c>
      <c r="E3090" s="761"/>
      <c r="F3090" s="761"/>
      <c r="G3090" s="733"/>
      <c r="H3090" s="733"/>
      <c r="I3090" s="733"/>
      <c r="J3090" s="733"/>
      <c r="K3090" s="733"/>
      <c r="L3090" s="733"/>
      <c r="M3090" s="733"/>
    </row>
    <row r="3091" spans="1:13" x14ac:dyDescent="0.3">
      <c r="A3091" s="733" t="s">
        <v>3056</v>
      </c>
      <c r="B3091" s="733" t="s">
        <v>645</v>
      </c>
      <c r="C3091" s="733" t="s">
        <v>3073</v>
      </c>
      <c r="D3091" s="733" t="s">
        <v>21</v>
      </c>
      <c r="E3091" s="761"/>
      <c r="F3091" s="761"/>
      <c r="G3091" s="733"/>
      <c r="H3091" s="733"/>
      <c r="I3091" s="733"/>
      <c r="J3091" s="733"/>
      <c r="K3091" s="733"/>
      <c r="L3091" s="733"/>
      <c r="M3091" s="733"/>
    </row>
    <row r="3092" spans="1:13" x14ac:dyDescent="0.3">
      <c r="A3092" s="733" t="s">
        <v>3056</v>
      </c>
      <c r="B3092" s="733" t="s">
        <v>645</v>
      </c>
      <c r="C3092" s="733" t="s">
        <v>3074</v>
      </c>
      <c r="D3092" s="733" t="s">
        <v>21</v>
      </c>
      <c r="E3092" s="761"/>
      <c r="F3092" s="761"/>
      <c r="G3092" s="733"/>
      <c r="H3092" s="733"/>
      <c r="I3092" s="733"/>
      <c r="J3092" s="733"/>
      <c r="K3092" s="733"/>
      <c r="L3092" s="733"/>
      <c r="M3092" s="733"/>
    </row>
    <row r="3093" spans="1:13" x14ac:dyDescent="0.3">
      <c r="A3093" s="733" t="s">
        <v>3056</v>
      </c>
      <c r="B3093" s="733" t="s">
        <v>645</v>
      </c>
      <c r="C3093" s="733" t="s">
        <v>3075</v>
      </c>
      <c r="D3093" s="733" t="s">
        <v>21</v>
      </c>
      <c r="E3093" s="761"/>
      <c r="F3093" s="761"/>
      <c r="G3093" s="733"/>
      <c r="H3093" s="733"/>
      <c r="I3093" s="733"/>
      <c r="J3093" s="733"/>
      <c r="K3093" s="733"/>
      <c r="L3093" s="733"/>
      <c r="M3093" s="733"/>
    </row>
    <row r="3094" spans="1:13" x14ac:dyDescent="0.3">
      <c r="A3094" s="733" t="s">
        <v>3056</v>
      </c>
      <c r="B3094" s="733" t="s">
        <v>645</v>
      </c>
      <c r="C3094" s="733" t="s">
        <v>3076</v>
      </c>
      <c r="D3094" s="733" t="s">
        <v>21</v>
      </c>
      <c r="E3094" s="761"/>
      <c r="F3094" s="761"/>
      <c r="G3094" s="733"/>
      <c r="H3094" s="733"/>
      <c r="I3094" s="733"/>
      <c r="J3094" s="733"/>
      <c r="K3094" s="733"/>
      <c r="L3094" s="733"/>
      <c r="M3094" s="733"/>
    </row>
    <row r="3095" spans="1:13" x14ac:dyDescent="0.3">
      <c r="A3095" s="733" t="s">
        <v>3056</v>
      </c>
      <c r="B3095" s="733" t="s">
        <v>664</v>
      </c>
      <c r="C3095" s="733" t="s">
        <v>3077</v>
      </c>
      <c r="D3095" s="733" t="s">
        <v>21</v>
      </c>
      <c r="E3095" s="761"/>
      <c r="F3095" s="761"/>
      <c r="G3095" s="733"/>
      <c r="H3095" s="733"/>
      <c r="I3095" s="733"/>
      <c r="J3095" s="733"/>
      <c r="K3095" s="733"/>
      <c r="L3095" s="733"/>
      <c r="M3095" s="733"/>
    </row>
    <row r="3096" spans="1:13" x14ac:dyDescent="0.3">
      <c r="A3096" s="733" t="s">
        <v>3056</v>
      </c>
      <c r="B3096" s="733" t="s">
        <v>664</v>
      </c>
      <c r="C3096" s="733" t="s">
        <v>3078</v>
      </c>
      <c r="D3096" s="733" t="s">
        <v>21</v>
      </c>
      <c r="E3096" s="761"/>
      <c r="F3096" s="761"/>
      <c r="G3096" s="733"/>
      <c r="H3096" s="733"/>
      <c r="I3096" s="733"/>
      <c r="J3096" s="733"/>
      <c r="K3096" s="733"/>
      <c r="L3096" s="733"/>
      <c r="M3096" s="733"/>
    </row>
    <row r="3097" spans="1:13" x14ac:dyDescent="0.3">
      <c r="A3097" s="733" t="s">
        <v>3056</v>
      </c>
      <c r="B3097" s="733" t="s">
        <v>664</v>
      </c>
      <c r="C3097" s="733" t="s">
        <v>3079</v>
      </c>
      <c r="D3097" s="733" t="s">
        <v>21</v>
      </c>
      <c r="E3097" s="761"/>
      <c r="F3097" s="761"/>
      <c r="G3097" s="733"/>
      <c r="H3097" s="733"/>
      <c r="I3097" s="733"/>
      <c r="J3097" s="733"/>
      <c r="K3097" s="733"/>
      <c r="L3097" s="733"/>
      <c r="M3097" s="733"/>
    </row>
    <row r="3098" spans="1:13" x14ac:dyDescent="0.3">
      <c r="A3098" s="733" t="s">
        <v>3056</v>
      </c>
      <c r="B3098" s="733" t="s">
        <v>664</v>
      </c>
      <c r="C3098" s="733" t="s">
        <v>3080</v>
      </c>
      <c r="D3098" s="733" t="s">
        <v>21</v>
      </c>
      <c r="E3098" s="761"/>
      <c r="F3098" s="761"/>
      <c r="G3098" s="733"/>
      <c r="H3098" s="733"/>
      <c r="I3098" s="733"/>
      <c r="J3098" s="733"/>
      <c r="K3098" s="733"/>
      <c r="L3098" s="733"/>
      <c r="M3098" s="733"/>
    </row>
    <row r="3099" spans="1:13" x14ac:dyDescent="0.3">
      <c r="A3099" s="733" t="s">
        <v>3056</v>
      </c>
      <c r="B3099" s="733" t="s">
        <v>664</v>
      </c>
      <c r="C3099" s="733" t="s">
        <v>3081</v>
      </c>
      <c r="D3099" s="733" t="s">
        <v>21</v>
      </c>
      <c r="E3099" s="761"/>
      <c r="F3099" s="761"/>
      <c r="G3099" s="733"/>
      <c r="H3099" s="733"/>
      <c r="I3099" s="733"/>
      <c r="J3099" s="733"/>
      <c r="K3099" s="733"/>
      <c r="L3099" s="733"/>
      <c r="M3099" s="733"/>
    </row>
    <row r="3100" spans="1:13" x14ac:dyDescent="0.3">
      <c r="A3100" s="733" t="s">
        <v>3056</v>
      </c>
      <c r="B3100" s="733" t="s">
        <v>612</v>
      </c>
      <c r="C3100" s="733" t="s">
        <v>3082</v>
      </c>
      <c r="D3100" s="733" t="s">
        <v>21</v>
      </c>
      <c r="E3100" s="761"/>
      <c r="F3100" s="761"/>
      <c r="G3100" s="733"/>
      <c r="H3100" s="733"/>
      <c r="I3100" s="733"/>
      <c r="J3100" s="733"/>
      <c r="K3100" s="733"/>
      <c r="L3100" s="733"/>
      <c r="M3100" s="733"/>
    </row>
    <row r="3101" spans="1:13" x14ac:dyDescent="0.3">
      <c r="A3101" s="733" t="s">
        <v>3056</v>
      </c>
      <c r="B3101" s="733" t="s">
        <v>612</v>
      </c>
      <c r="C3101" s="733" t="s">
        <v>3083</v>
      </c>
      <c r="D3101" s="733" t="s">
        <v>21</v>
      </c>
      <c r="E3101" s="761"/>
      <c r="F3101" s="761"/>
      <c r="G3101" s="733"/>
      <c r="H3101" s="733"/>
      <c r="I3101" s="733"/>
      <c r="J3101" s="733"/>
      <c r="K3101" s="733"/>
      <c r="L3101" s="733"/>
      <c r="M3101" s="733"/>
    </row>
    <row r="3102" spans="1:13" x14ac:dyDescent="0.3">
      <c r="A3102" s="733" t="s">
        <v>3056</v>
      </c>
      <c r="B3102" s="733" t="s">
        <v>612</v>
      </c>
      <c r="C3102" s="733" t="s">
        <v>3084</v>
      </c>
      <c r="D3102" s="733" t="s">
        <v>21</v>
      </c>
      <c r="E3102" s="761"/>
      <c r="F3102" s="761"/>
      <c r="G3102" s="733"/>
      <c r="H3102" s="733"/>
      <c r="I3102" s="733"/>
      <c r="J3102" s="733"/>
      <c r="K3102" s="733"/>
      <c r="L3102" s="733"/>
      <c r="M3102" s="733"/>
    </row>
    <row r="3103" spans="1:13" x14ac:dyDescent="0.3">
      <c r="A3103" s="733" t="s">
        <v>3056</v>
      </c>
      <c r="B3103" s="733" t="s">
        <v>612</v>
      </c>
      <c r="C3103" s="733" t="s">
        <v>3085</v>
      </c>
      <c r="D3103" s="733" t="s">
        <v>21</v>
      </c>
      <c r="E3103" s="761"/>
      <c r="F3103" s="761"/>
      <c r="G3103" s="733"/>
      <c r="H3103" s="733"/>
      <c r="I3103" s="733"/>
      <c r="J3103" s="733"/>
      <c r="K3103" s="733"/>
      <c r="L3103" s="733"/>
      <c r="M3103" s="733"/>
    </row>
    <row r="3104" spans="1:13" x14ac:dyDescent="0.3">
      <c r="A3104" s="733" t="s">
        <v>3056</v>
      </c>
      <c r="B3104" s="733" t="s">
        <v>612</v>
      </c>
      <c r="C3104" s="733" t="s">
        <v>3086</v>
      </c>
      <c r="D3104" s="733" t="s">
        <v>21</v>
      </c>
      <c r="E3104" s="761"/>
      <c r="F3104" s="761"/>
      <c r="G3104" s="733"/>
      <c r="H3104" s="733"/>
      <c r="I3104" s="733"/>
      <c r="J3104" s="733"/>
      <c r="K3104" s="733"/>
      <c r="L3104" s="733"/>
      <c r="M3104" s="733"/>
    </row>
    <row r="3105" spans="1:13" x14ac:dyDescent="0.3">
      <c r="A3105" s="733" t="s">
        <v>3087</v>
      </c>
      <c r="B3105" s="733" t="s">
        <v>645</v>
      </c>
      <c r="C3105" s="738" t="s">
        <v>3088</v>
      </c>
      <c r="D3105" s="733" t="s">
        <v>21</v>
      </c>
      <c r="E3105" s="761"/>
      <c r="F3105" s="761"/>
      <c r="G3105" s="733"/>
      <c r="H3105" s="733"/>
      <c r="I3105" s="733"/>
      <c r="J3105" s="733"/>
      <c r="K3105" s="733"/>
      <c r="L3105" s="733"/>
      <c r="M3105" s="733"/>
    </row>
    <row r="3106" spans="1:13" x14ac:dyDescent="0.3">
      <c r="A3106" s="733" t="s">
        <v>3087</v>
      </c>
      <c r="B3106" s="733" t="s">
        <v>645</v>
      </c>
      <c r="C3106" s="738" t="s">
        <v>3089</v>
      </c>
      <c r="D3106" s="733" t="s">
        <v>21</v>
      </c>
      <c r="E3106" s="761"/>
      <c r="F3106" s="761"/>
      <c r="G3106" s="733"/>
      <c r="H3106" s="733"/>
      <c r="I3106" s="733"/>
      <c r="J3106" s="733"/>
      <c r="K3106" s="733"/>
      <c r="L3106" s="733"/>
      <c r="M3106" s="733"/>
    </row>
    <row r="3107" spans="1:13" x14ac:dyDescent="0.3">
      <c r="A3107" s="733" t="s">
        <v>3087</v>
      </c>
      <c r="B3107" s="733" t="s">
        <v>645</v>
      </c>
      <c r="C3107" s="738" t="s">
        <v>3090</v>
      </c>
      <c r="D3107" s="733" t="s">
        <v>21</v>
      </c>
      <c r="E3107" s="761"/>
      <c r="F3107" s="761"/>
      <c r="G3107" s="733"/>
      <c r="H3107" s="733"/>
      <c r="I3107" s="733"/>
      <c r="J3107" s="733"/>
      <c r="K3107" s="733"/>
      <c r="L3107" s="733"/>
      <c r="M3107" s="733"/>
    </row>
    <row r="3108" spans="1:13" x14ac:dyDescent="0.3">
      <c r="A3108" s="733" t="s">
        <v>3087</v>
      </c>
      <c r="B3108" s="733" t="s">
        <v>645</v>
      </c>
      <c r="C3108" s="738" t="s">
        <v>3091</v>
      </c>
      <c r="D3108" s="733" t="s">
        <v>21</v>
      </c>
      <c r="E3108" s="761"/>
      <c r="F3108" s="761"/>
      <c r="G3108" s="733"/>
      <c r="H3108" s="733"/>
      <c r="I3108" s="733"/>
      <c r="J3108" s="733"/>
      <c r="K3108" s="733"/>
      <c r="L3108" s="733"/>
      <c r="M3108" s="733"/>
    </row>
    <row r="3109" spans="1:13" x14ac:dyDescent="0.3">
      <c r="A3109" s="733" t="s">
        <v>3087</v>
      </c>
      <c r="B3109" s="733" t="s">
        <v>645</v>
      </c>
      <c r="C3109" s="738" t="s">
        <v>3092</v>
      </c>
      <c r="D3109" s="733" t="s">
        <v>21</v>
      </c>
      <c r="E3109" s="761"/>
      <c r="F3109" s="761"/>
      <c r="G3109" s="733"/>
      <c r="H3109" s="733"/>
      <c r="I3109" s="733"/>
      <c r="J3109" s="733"/>
      <c r="K3109" s="733"/>
      <c r="L3109" s="733"/>
      <c r="M3109" s="733"/>
    </row>
    <row r="3110" spans="1:13" x14ac:dyDescent="0.3">
      <c r="A3110" s="733" t="s">
        <v>3087</v>
      </c>
      <c r="B3110" s="733" t="s">
        <v>664</v>
      </c>
      <c r="C3110" s="738" t="s">
        <v>3093</v>
      </c>
      <c r="D3110" s="733" t="s">
        <v>21</v>
      </c>
      <c r="E3110" s="761"/>
      <c r="F3110" s="761"/>
      <c r="G3110" s="733"/>
      <c r="H3110" s="733"/>
      <c r="I3110" s="733"/>
      <c r="J3110" s="733"/>
      <c r="K3110" s="733"/>
      <c r="L3110" s="733"/>
      <c r="M3110" s="733"/>
    </row>
    <row r="3111" spans="1:13" x14ac:dyDescent="0.3">
      <c r="A3111" s="733" t="s">
        <v>3087</v>
      </c>
      <c r="B3111" s="733" t="s">
        <v>664</v>
      </c>
      <c r="C3111" s="738" t="s">
        <v>3094</v>
      </c>
      <c r="D3111" s="733" t="s">
        <v>21</v>
      </c>
      <c r="E3111" s="761"/>
      <c r="F3111" s="761"/>
      <c r="G3111" s="733"/>
      <c r="H3111" s="733"/>
      <c r="I3111" s="733"/>
      <c r="J3111" s="733"/>
      <c r="K3111" s="733"/>
      <c r="L3111" s="733"/>
      <c r="M3111" s="733"/>
    </row>
    <row r="3112" spans="1:13" x14ac:dyDescent="0.3">
      <c r="A3112" s="733" t="s">
        <v>3087</v>
      </c>
      <c r="B3112" s="733" t="s">
        <v>664</v>
      </c>
      <c r="C3112" s="738" t="s">
        <v>3095</v>
      </c>
      <c r="D3112" s="733" t="s">
        <v>21</v>
      </c>
      <c r="E3112" s="761"/>
      <c r="F3112" s="761"/>
      <c r="G3112" s="733"/>
      <c r="H3112" s="733"/>
      <c r="I3112" s="733"/>
      <c r="J3112" s="733"/>
      <c r="K3112" s="733"/>
      <c r="L3112" s="733"/>
      <c r="M3112" s="733"/>
    </row>
    <row r="3113" spans="1:13" x14ac:dyDescent="0.3">
      <c r="A3113" s="733" t="s">
        <v>3087</v>
      </c>
      <c r="B3113" s="733" t="s">
        <v>664</v>
      </c>
      <c r="C3113" s="738" t="s">
        <v>3096</v>
      </c>
      <c r="D3113" s="733" t="s">
        <v>21</v>
      </c>
      <c r="E3113" s="761"/>
      <c r="F3113" s="761"/>
      <c r="G3113" s="733"/>
      <c r="H3113" s="733"/>
      <c r="I3113" s="733"/>
      <c r="J3113" s="733"/>
      <c r="K3113" s="733"/>
      <c r="L3113" s="733"/>
      <c r="M3113" s="733"/>
    </row>
    <row r="3114" spans="1:13" x14ac:dyDescent="0.3">
      <c r="A3114" s="733" t="s">
        <v>3087</v>
      </c>
      <c r="B3114" s="733" t="s">
        <v>664</v>
      </c>
      <c r="C3114" s="738" t="s">
        <v>3097</v>
      </c>
      <c r="D3114" s="733" t="s">
        <v>21</v>
      </c>
      <c r="E3114" s="761"/>
      <c r="F3114" s="761"/>
      <c r="G3114" s="733"/>
      <c r="H3114" s="733"/>
      <c r="I3114" s="733"/>
      <c r="J3114" s="733"/>
      <c r="K3114" s="733"/>
      <c r="L3114" s="733"/>
      <c r="M3114" s="733"/>
    </row>
    <row r="3115" spans="1:13" x14ac:dyDescent="0.3">
      <c r="A3115" s="733" t="s">
        <v>3087</v>
      </c>
      <c r="B3115" s="733" t="s">
        <v>612</v>
      </c>
      <c r="C3115" s="738" t="s">
        <v>3098</v>
      </c>
      <c r="D3115" s="733" t="s">
        <v>21</v>
      </c>
      <c r="E3115" s="761"/>
      <c r="F3115" s="761"/>
      <c r="G3115" s="733"/>
      <c r="H3115" s="733"/>
      <c r="I3115" s="733"/>
      <c r="J3115" s="733"/>
      <c r="K3115" s="733"/>
      <c r="L3115" s="733"/>
      <c r="M3115" s="733"/>
    </row>
    <row r="3116" spans="1:13" x14ac:dyDescent="0.3">
      <c r="A3116" s="733" t="s">
        <v>3087</v>
      </c>
      <c r="B3116" s="733" t="s">
        <v>612</v>
      </c>
      <c r="C3116" s="738" t="s">
        <v>3099</v>
      </c>
      <c r="D3116" s="733" t="s">
        <v>21</v>
      </c>
      <c r="E3116" s="761"/>
      <c r="F3116" s="761"/>
      <c r="G3116" s="733"/>
      <c r="H3116" s="733"/>
      <c r="I3116" s="733"/>
      <c r="J3116" s="733"/>
      <c r="K3116" s="733"/>
      <c r="L3116" s="733"/>
      <c r="M3116" s="733"/>
    </row>
    <row r="3117" spans="1:13" x14ac:dyDescent="0.3">
      <c r="A3117" s="733" t="s">
        <v>3087</v>
      </c>
      <c r="B3117" s="733" t="s">
        <v>612</v>
      </c>
      <c r="C3117" s="738" t="s">
        <v>3100</v>
      </c>
      <c r="D3117" s="733" t="s">
        <v>21</v>
      </c>
      <c r="E3117" s="761"/>
      <c r="F3117" s="761"/>
      <c r="G3117" s="733"/>
      <c r="H3117" s="733"/>
      <c r="I3117" s="733"/>
      <c r="J3117" s="733"/>
      <c r="K3117" s="733"/>
      <c r="L3117" s="733"/>
      <c r="M3117" s="733"/>
    </row>
    <row r="3118" spans="1:13" x14ac:dyDescent="0.3">
      <c r="A3118" s="733" t="s">
        <v>3087</v>
      </c>
      <c r="B3118" s="733" t="s">
        <v>612</v>
      </c>
      <c r="C3118" s="738" t="s">
        <v>3101</v>
      </c>
      <c r="D3118" s="733" t="s">
        <v>21</v>
      </c>
      <c r="E3118" s="761"/>
      <c r="F3118" s="761"/>
      <c r="G3118" s="733"/>
      <c r="H3118" s="733"/>
      <c r="I3118" s="733"/>
      <c r="J3118" s="733"/>
      <c r="K3118" s="733"/>
      <c r="L3118" s="733"/>
      <c r="M3118" s="733"/>
    </row>
    <row r="3119" spans="1:13" x14ac:dyDescent="0.3">
      <c r="A3119" s="733" t="s">
        <v>3087</v>
      </c>
      <c r="B3119" s="733" t="s">
        <v>612</v>
      </c>
      <c r="C3119" s="738" t="s">
        <v>3102</v>
      </c>
      <c r="D3119" s="733" t="s">
        <v>21</v>
      </c>
      <c r="E3119" s="761"/>
      <c r="F3119" s="761"/>
      <c r="G3119" s="733"/>
      <c r="H3119" s="733"/>
      <c r="I3119" s="733"/>
      <c r="J3119" s="733"/>
      <c r="K3119" s="733"/>
      <c r="L3119" s="733"/>
      <c r="M3119" s="733"/>
    </row>
    <row r="3120" spans="1:13" x14ac:dyDescent="0.3">
      <c r="A3120" s="733" t="s">
        <v>3087</v>
      </c>
      <c r="B3120" s="733" t="s">
        <v>645</v>
      </c>
      <c r="C3120" s="738" t="s">
        <v>3103</v>
      </c>
      <c r="D3120" s="733" t="s">
        <v>21</v>
      </c>
      <c r="E3120" s="761"/>
      <c r="F3120" s="761"/>
      <c r="G3120" s="733"/>
      <c r="H3120" s="733"/>
      <c r="I3120" s="733"/>
      <c r="J3120" s="733"/>
      <c r="K3120" s="733"/>
      <c r="L3120" s="733"/>
      <c r="M3120" s="733"/>
    </row>
    <row r="3121" spans="1:13" x14ac:dyDescent="0.3">
      <c r="A3121" s="733" t="s">
        <v>3087</v>
      </c>
      <c r="B3121" s="733" t="s">
        <v>645</v>
      </c>
      <c r="C3121" s="738" t="s">
        <v>3104</v>
      </c>
      <c r="D3121" s="733" t="s">
        <v>21</v>
      </c>
      <c r="E3121" s="761"/>
      <c r="F3121" s="761"/>
      <c r="G3121" s="733"/>
      <c r="H3121" s="733"/>
      <c r="I3121" s="733"/>
      <c r="J3121" s="733"/>
      <c r="K3121" s="733"/>
      <c r="L3121" s="733"/>
      <c r="M3121" s="733"/>
    </row>
    <row r="3122" spans="1:13" x14ac:dyDescent="0.3">
      <c r="A3122" s="733" t="s">
        <v>3087</v>
      </c>
      <c r="B3122" s="733" t="s">
        <v>645</v>
      </c>
      <c r="C3122" s="738" t="s">
        <v>3105</v>
      </c>
      <c r="D3122" s="733" t="s">
        <v>21</v>
      </c>
      <c r="E3122" s="761"/>
      <c r="F3122" s="761"/>
      <c r="G3122" s="733"/>
      <c r="H3122" s="733"/>
      <c r="I3122" s="733"/>
      <c r="J3122" s="733"/>
      <c r="K3122" s="733"/>
      <c r="L3122" s="733"/>
      <c r="M3122" s="733"/>
    </row>
    <row r="3123" spans="1:13" x14ac:dyDescent="0.3">
      <c r="A3123" s="733" t="s">
        <v>3087</v>
      </c>
      <c r="B3123" s="733" t="s">
        <v>645</v>
      </c>
      <c r="C3123" s="738" t="s">
        <v>3106</v>
      </c>
      <c r="D3123" s="733" t="s">
        <v>21</v>
      </c>
      <c r="E3123" s="761"/>
      <c r="F3123" s="761"/>
      <c r="G3123" s="733"/>
      <c r="H3123" s="733"/>
      <c r="I3123" s="733"/>
      <c r="J3123" s="733"/>
      <c r="K3123" s="733"/>
      <c r="L3123" s="733"/>
      <c r="M3123" s="733"/>
    </row>
    <row r="3124" spans="1:13" x14ac:dyDescent="0.3">
      <c r="A3124" s="733" t="s">
        <v>3087</v>
      </c>
      <c r="B3124" s="733" t="s">
        <v>645</v>
      </c>
      <c r="C3124" s="738" t="s">
        <v>3107</v>
      </c>
      <c r="D3124" s="733" t="s">
        <v>21</v>
      </c>
      <c r="E3124" s="761"/>
      <c r="F3124" s="761"/>
      <c r="G3124" s="733"/>
      <c r="H3124" s="733"/>
      <c r="I3124" s="733"/>
      <c r="J3124" s="733"/>
      <c r="K3124" s="733"/>
      <c r="L3124" s="733"/>
      <c r="M3124" s="733"/>
    </row>
    <row r="3125" spans="1:13" x14ac:dyDescent="0.3">
      <c r="A3125" s="733" t="s">
        <v>3087</v>
      </c>
      <c r="B3125" s="733" t="s">
        <v>664</v>
      </c>
      <c r="C3125" s="738" t="s">
        <v>3108</v>
      </c>
      <c r="D3125" s="733" t="s">
        <v>21</v>
      </c>
      <c r="E3125" s="761"/>
      <c r="F3125" s="761"/>
      <c r="G3125" s="733"/>
      <c r="H3125" s="733"/>
      <c r="I3125" s="733"/>
      <c r="J3125" s="733"/>
      <c r="K3125" s="733"/>
      <c r="L3125" s="733"/>
      <c r="M3125" s="733"/>
    </row>
    <row r="3126" spans="1:13" x14ac:dyDescent="0.3">
      <c r="A3126" s="733" t="s">
        <v>3087</v>
      </c>
      <c r="B3126" s="733" t="s">
        <v>664</v>
      </c>
      <c r="C3126" s="738" t="s">
        <v>3109</v>
      </c>
      <c r="D3126" s="733" t="s">
        <v>21</v>
      </c>
      <c r="E3126" s="761"/>
      <c r="F3126" s="761"/>
      <c r="G3126" s="733"/>
      <c r="H3126" s="733"/>
      <c r="I3126" s="733"/>
      <c r="J3126" s="733"/>
      <c r="K3126" s="733"/>
      <c r="L3126" s="733"/>
      <c r="M3126" s="733"/>
    </row>
    <row r="3127" spans="1:13" x14ac:dyDescent="0.3">
      <c r="A3127" s="733" t="s">
        <v>3087</v>
      </c>
      <c r="B3127" s="733" t="s">
        <v>664</v>
      </c>
      <c r="C3127" s="738" t="s">
        <v>3110</v>
      </c>
      <c r="D3127" s="733" t="s">
        <v>21</v>
      </c>
      <c r="E3127" s="761"/>
      <c r="F3127" s="761"/>
      <c r="G3127" s="733"/>
      <c r="H3127" s="733"/>
      <c r="I3127" s="733"/>
      <c r="J3127" s="733"/>
      <c r="K3127" s="733"/>
      <c r="L3127" s="733"/>
      <c r="M3127" s="733"/>
    </row>
    <row r="3128" spans="1:13" x14ac:dyDescent="0.3">
      <c r="A3128" s="733" t="s">
        <v>3087</v>
      </c>
      <c r="B3128" s="733" t="s">
        <v>664</v>
      </c>
      <c r="C3128" s="738" t="s">
        <v>3111</v>
      </c>
      <c r="D3128" s="733" t="s">
        <v>21</v>
      </c>
      <c r="E3128" s="761"/>
      <c r="F3128" s="761"/>
      <c r="G3128" s="733"/>
      <c r="H3128" s="733"/>
      <c r="I3128" s="733"/>
      <c r="J3128" s="733"/>
      <c r="K3128" s="733"/>
      <c r="L3128" s="733"/>
      <c r="M3128" s="733"/>
    </row>
    <row r="3129" spans="1:13" x14ac:dyDescent="0.3">
      <c r="A3129" s="733" t="s">
        <v>3087</v>
      </c>
      <c r="B3129" s="733" t="s">
        <v>664</v>
      </c>
      <c r="C3129" s="738" t="s">
        <v>3112</v>
      </c>
      <c r="D3129" s="733" t="s">
        <v>21</v>
      </c>
      <c r="E3129" s="761"/>
      <c r="F3129" s="761"/>
      <c r="G3129" s="733"/>
      <c r="H3129" s="733"/>
      <c r="I3129" s="733"/>
      <c r="J3129" s="733"/>
      <c r="K3129" s="733"/>
      <c r="L3129" s="733"/>
      <c r="M3129" s="733"/>
    </row>
    <row r="3130" spans="1:13" x14ac:dyDescent="0.3">
      <c r="A3130" s="733" t="s">
        <v>3087</v>
      </c>
      <c r="B3130" s="733" t="s">
        <v>612</v>
      </c>
      <c r="C3130" s="738" t="s">
        <v>3113</v>
      </c>
      <c r="D3130" s="733" t="s">
        <v>21</v>
      </c>
      <c r="E3130" s="761"/>
      <c r="F3130" s="761"/>
      <c r="G3130" s="733"/>
      <c r="H3130" s="733"/>
      <c r="I3130" s="733"/>
      <c r="J3130" s="733"/>
      <c r="K3130" s="733"/>
      <c r="L3130" s="733"/>
      <c r="M3130" s="733"/>
    </row>
    <row r="3131" spans="1:13" x14ac:dyDescent="0.3">
      <c r="A3131" s="733" t="s">
        <v>3087</v>
      </c>
      <c r="B3131" s="733" t="s">
        <v>612</v>
      </c>
      <c r="C3131" s="738" t="s">
        <v>3114</v>
      </c>
      <c r="D3131" s="733" t="s">
        <v>21</v>
      </c>
      <c r="E3131" s="761"/>
      <c r="F3131" s="761"/>
      <c r="G3131" s="733"/>
      <c r="H3131" s="733"/>
      <c r="I3131" s="733"/>
      <c r="J3131" s="733"/>
      <c r="K3131" s="733"/>
      <c r="L3131" s="733"/>
      <c r="M3131" s="733"/>
    </row>
    <row r="3132" spans="1:13" x14ac:dyDescent="0.3">
      <c r="A3132" s="733" t="s">
        <v>3087</v>
      </c>
      <c r="B3132" s="733" t="s">
        <v>612</v>
      </c>
      <c r="C3132" s="738" t="s">
        <v>3115</v>
      </c>
      <c r="D3132" s="733" t="s">
        <v>21</v>
      </c>
      <c r="E3132" s="761"/>
      <c r="F3132" s="761"/>
      <c r="G3132" s="733"/>
      <c r="H3132" s="733"/>
      <c r="I3132" s="733"/>
      <c r="J3132" s="733"/>
      <c r="K3132" s="733"/>
      <c r="L3132" s="733"/>
      <c r="M3132" s="733"/>
    </row>
    <row r="3133" spans="1:13" x14ac:dyDescent="0.3">
      <c r="A3133" s="733" t="s">
        <v>3087</v>
      </c>
      <c r="B3133" s="733" t="s">
        <v>612</v>
      </c>
      <c r="C3133" s="738" t="s">
        <v>3116</v>
      </c>
      <c r="D3133" s="733" t="s">
        <v>21</v>
      </c>
      <c r="E3133" s="761"/>
      <c r="F3133" s="761"/>
      <c r="G3133" s="733"/>
      <c r="H3133" s="733"/>
      <c r="I3133" s="733"/>
      <c r="J3133" s="733"/>
      <c r="K3133" s="733"/>
      <c r="L3133" s="733"/>
      <c r="M3133" s="733"/>
    </row>
    <row r="3134" spans="1:13" x14ac:dyDescent="0.3">
      <c r="A3134" s="733" t="s">
        <v>3087</v>
      </c>
      <c r="B3134" s="733" t="s">
        <v>612</v>
      </c>
      <c r="C3134" s="738" t="s">
        <v>3117</v>
      </c>
      <c r="D3134" s="733" t="s">
        <v>21</v>
      </c>
      <c r="E3134" s="761"/>
      <c r="F3134" s="761"/>
      <c r="G3134" s="733"/>
      <c r="H3134" s="733"/>
      <c r="I3134" s="733"/>
      <c r="J3134" s="733"/>
      <c r="K3134" s="733"/>
      <c r="L3134" s="733"/>
      <c r="M3134" s="733"/>
    </row>
    <row r="3135" spans="1:13" x14ac:dyDescent="0.3">
      <c r="A3135" s="733" t="s">
        <v>3118</v>
      </c>
      <c r="B3135" s="733" t="s">
        <v>645</v>
      </c>
      <c r="C3135" s="738" t="s">
        <v>3119</v>
      </c>
      <c r="D3135" s="733" t="s">
        <v>21</v>
      </c>
      <c r="E3135" s="761"/>
      <c r="F3135" s="761"/>
      <c r="G3135" s="733"/>
      <c r="H3135" s="733"/>
      <c r="I3135" s="733"/>
      <c r="J3135" s="733"/>
      <c r="K3135" s="733"/>
      <c r="L3135" s="733"/>
      <c r="M3135" s="733"/>
    </row>
    <row r="3136" spans="1:13" x14ac:dyDescent="0.3">
      <c r="A3136" s="733" t="s">
        <v>3118</v>
      </c>
      <c r="B3136" s="733" t="s">
        <v>645</v>
      </c>
      <c r="C3136" s="738" t="s">
        <v>3120</v>
      </c>
      <c r="D3136" s="733" t="s">
        <v>21</v>
      </c>
      <c r="E3136" s="761"/>
      <c r="F3136" s="761"/>
      <c r="G3136" s="733"/>
      <c r="H3136" s="733"/>
      <c r="I3136" s="733"/>
      <c r="J3136" s="733"/>
      <c r="K3136" s="733"/>
      <c r="L3136" s="733"/>
      <c r="M3136" s="733"/>
    </row>
    <row r="3137" spans="1:13" x14ac:dyDescent="0.3">
      <c r="A3137" s="733" t="s">
        <v>3118</v>
      </c>
      <c r="B3137" s="733" t="s">
        <v>645</v>
      </c>
      <c r="C3137" s="738" t="s">
        <v>3121</v>
      </c>
      <c r="D3137" s="733" t="s">
        <v>21</v>
      </c>
      <c r="E3137" s="761"/>
      <c r="F3137" s="761"/>
      <c r="G3137" s="733"/>
      <c r="H3137" s="733"/>
      <c r="I3137" s="733"/>
      <c r="J3137" s="733"/>
      <c r="K3137" s="733"/>
      <c r="L3137" s="733"/>
      <c r="M3137" s="733"/>
    </row>
    <row r="3138" spans="1:13" x14ac:dyDescent="0.3">
      <c r="A3138" s="733" t="s">
        <v>3118</v>
      </c>
      <c r="B3138" s="733" t="s">
        <v>645</v>
      </c>
      <c r="C3138" s="738" t="s">
        <v>3122</v>
      </c>
      <c r="D3138" s="733" t="s">
        <v>21</v>
      </c>
      <c r="E3138" s="761"/>
      <c r="F3138" s="761"/>
      <c r="G3138" s="733"/>
      <c r="H3138" s="733"/>
      <c r="I3138" s="733"/>
      <c r="J3138" s="733"/>
      <c r="K3138" s="733"/>
      <c r="L3138" s="733"/>
      <c r="M3138" s="733"/>
    </row>
    <row r="3139" spans="1:13" x14ac:dyDescent="0.3">
      <c r="A3139" s="733" t="s">
        <v>3118</v>
      </c>
      <c r="B3139" s="733" t="s">
        <v>645</v>
      </c>
      <c r="C3139" s="738" t="s">
        <v>3123</v>
      </c>
      <c r="D3139" s="733" t="s">
        <v>21</v>
      </c>
      <c r="E3139" s="761"/>
      <c r="F3139" s="761"/>
      <c r="G3139" s="733"/>
      <c r="H3139" s="733"/>
      <c r="I3139" s="733"/>
      <c r="J3139" s="733"/>
      <c r="K3139" s="733"/>
      <c r="L3139" s="733"/>
      <c r="M3139" s="733"/>
    </row>
    <row r="3140" spans="1:13" x14ac:dyDescent="0.3">
      <c r="A3140" s="733" t="s">
        <v>3118</v>
      </c>
      <c r="B3140" s="733" t="s">
        <v>664</v>
      </c>
      <c r="C3140" s="738" t="s">
        <v>3124</v>
      </c>
      <c r="D3140" s="733" t="s">
        <v>21</v>
      </c>
      <c r="E3140" s="761"/>
      <c r="F3140" s="761"/>
      <c r="G3140" s="733"/>
      <c r="H3140" s="733"/>
      <c r="I3140" s="733"/>
      <c r="J3140" s="733"/>
      <c r="K3140" s="733"/>
      <c r="L3140" s="733"/>
      <c r="M3140" s="733"/>
    </row>
    <row r="3141" spans="1:13" x14ac:dyDescent="0.3">
      <c r="A3141" s="733" t="s">
        <v>3118</v>
      </c>
      <c r="B3141" s="733" t="s">
        <v>664</v>
      </c>
      <c r="C3141" s="738" t="s">
        <v>3125</v>
      </c>
      <c r="D3141" s="733" t="s">
        <v>21</v>
      </c>
      <c r="E3141" s="761"/>
      <c r="F3141" s="761"/>
      <c r="G3141" s="733"/>
      <c r="H3141" s="733"/>
      <c r="I3141" s="733"/>
      <c r="J3141" s="733"/>
      <c r="K3141" s="733"/>
      <c r="L3141" s="733"/>
      <c r="M3141" s="733"/>
    </row>
    <row r="3142" spans="1:13" x14ac:dyDescent="0.3">
      <c r="A3142" s="733" t="s">
        <v>3118</v>
      </c>
      <c r="B3142" s="733" t="s">
        <v>664</v>
      </c>
      <c r="C3142" s="738" t="s">
        <v>3126</v>
      </c>
      <c r="D3142" s="733" t="s">
        <v>21</v>
      </c>
      <c r="E3142" s="761"/>
      <c r="F3142" s="761"/>
      <c r="G3142" s="733"/>
      <c r="H3142" s="733"/>
      <c r="I3142" s="733"/>
      <c r="J3142" s="733"/>
      <c r="K3142" s="733"/>
      <c r="L3142" s="733"/>
      <c r="M3142" s="733"/>
    </row>
    <row r="3143" spans="1:13" x14ac:dyDescent="0.3">
      <c r="A3143" s="733" t="s">
        <v>3118</v>
      </c>
      <c r="B3143" s="733" t="s">
        <v>664</v>
      </c>
      <c r="C3143" s="738" t="s">
        <v>3127</v>
      </c>
      <c r="D3143" s="733" t="s">
        <v>21</v>
      </c>
      <c r="E3143" s="761"/>
      <c r="F3143" s="761"/>
      <c r="G3143" s="733"/>
      <c r="H3143" s="733"/>
      <c r="I3143" s="733"/>
      <c r="J3143" s="733"/>
      <c r="K3143" s="733"/>
      <c r="L3143" s="733"/>
      <c r="M3143" s="733"/>
    </row>
    <row r="3144" spans="1:13" x14ac:dyDescent="0.3">
      <c r="A3144" s="733" t="s">
        <v>3118</v>
      </c>
      <c r="B3144" s="733" t="s">
        <v>664</v>
      </c>
      <c r="C3144" s="738" t="s">
        <v>3128</v>
      </c>
      <c r="D3144" s="733" t="s">
        <v>21</v>
      </c>
      <c r="E3144" s="761"/>
      <c r="F3144" s="761"/>
      <c r="G3144" s="733"/>
      <c r="H3144" s="733"/>
      <c r="I3144" s="733"/>
      <c r="J3144" s="733"/>
      <c r="K3144" s="733"/>
      <c r="L3144" s="733"/>
      <c r="M3144" s="733"/>
    </row>
    <row r="3145" spans="1:13" x14ac:dyDescent="0.3">
      <c r="A3145" s="733" t="s">
        <v>3118</v>
      </c>
      <c r="B3145" s="733" t="s">
        <v>612</v>
      </c>
      <c r="C3145" s="738" t="s">
        <v>3129</v>
      </c>
      <c r="D3145" s="733" t="s">
        <v>21</v>
      </c>
      <c r="E3145" s="761"/>
      <c r="F3145" s="761"/>
      <c r="G3145" s="733"/>
      <c r="H3145" s="733"/>
      <c r="I3145" s="733"/>
      <c r="J3145" s="733"/>
      <c r="K3145" s="733"/>
      <c r="L3145" s="733"/>
      <c r="M3145" s="733"/>
    </row>
    <row r="3146" spans="1:13" x14ac:dyDescent="0.3">
      <c r="A3146" s="733" t="s">
        <v>3118</v>
      </c>
      <c r="B3146" s="733" t="s">
        <v>612</v>
      </c>
      <c r="C3146" s="738" t="s">
        <v>3130</v>
      </c>
      <c r="D3146" s="733" t="s">
        <v>21</v>
      </c>
      <c r="E3146" s="761"/>
      <c r="F3146" s="761"/>
      <c r="G3146" s="733"/>
      <c r="H3146" s="733"/>
      <c r="I3146" s="733"/>
      <c r="J3146" s="733"/>
      <c r="K3146" s="733"/>
      <c r="L3146" s="733"/>
      <c r="M3146" s="733"/>
    </row>
    <row r="3147" spans="1:13" x14ac:dyDescent="0.3">
      <c r="A3147" s="733" t="s">
        <v>3118</v>
      </c>
      <c r="B3147" s="733" t="s">
        <v>612</v>
      </c>
      <c r="C3147" s="738" t="s">
        <v>3131</v>
      </c>
      <c r="D3147" s="733" t="s">
        <v>21</v>
      </c>
      <c r="E3147" s="761"/>
      <c r="F3147" s="761"/>
      <c r="G3147" s="733"/>
      <c r="H3147" s="733"/>
      <c r="I3147" s="733"/>
      <c r="J3147" s="733"/>
      <c r="K3147" s="733"/>
      <c r="L3147" s="733"/>
      <c r="M3147" s="733"/>
    </row>
    <row r="3148" spans="1:13" x14ac:dyDescent="0.3">
      <c r="A3148" s="733" t="s">
        <v>3118</v>
      </c>
      <c r="B3148" s="733" t="s">
        <v>612</v>
      </c>
      <c r="C3148" s="738" t="s">
        <v>3132</v>
      </c>
      <c r="D3148" s="733" t="s">
        <v>21</v>
      </c>
      <c r="E3148" s="761"/>
      <c r="F3148" s="761"/>
      <c r="G3148" s="733"/>
      <c r="H3148" s="733"/>
      <c r="I3148" s="733"/>
      <c r="J3148" s="733"/>
      <c r="K3148" s="733"/>
      <c r="L3148" s="733"/>
      <c r="M3148" s="733"/>
    </row>
    <row r="3149" spans="1:13" x14ac:dyDescent="0.3">
      <c r="A3149" s="733" t="s">
        <v>3118</v>
      </c>
      <c r="B3149" s="733" t="s">
        <v>612</v>
      </c>
      <c r="C3149" s="738" t="s">
        <v>3133</v>
      </c>
      <c r="D3149" s="733" t="s">
        <v>21</v>
      </c>
      <c r="E3149" s="761"/>
      <c r="F3149" s="761"/>
      <c r="G3149" s="733"/>
      <c r="H3149" s="733"/>
      <c r="I3149" s="733"/>
      <c r="J3149" s="733"/>
      <c r="K3149" s="733"/>
      <c r="L3149" s="733"/>
      <c r="M3149" s="733"/>
    </row>
    <row r="3150" spans="1:13" x14ac:dyDescent="0.3">
      <c r="A3150" s="733" t="s">
        <v>3118</v>
      </c>
      <c r="B3150" s="733" t="s">
        <v>645</v>
      </c>
      <c r="C3150" s="738" t="s">
        <v>3134</v>
      </c>
      <c r="D3150" s="733" t="s">
        <v>21</v>
      </c>
      <c r="E3150" s="761"/>
      <c r="F3150" s="761"/>
      <c r="G3150" s="733"/>
      <c r="H3150" s="733"/>
      <c r="I3150" s="733"/>
      <c r="J3150" s="733"/>
      <c r="K3150" s="733"/>
      <c r="L3150" s="733"/>
      <c r="M3150" s="733"/>
    </row>
    <row r="3151" spans="1:13" x14ac:dyDescent="0.3">
      <c r="A3151" s="733" t="s">
        <v>3118</v>
      </c>
      <c r="B3151" s="733" t="s">
        <v>645</v>
      </c>
      <c r="C3151" s="738" t="s">
        <v>3135</v>
      </c>
      <c r="D3151" s="733" t="s">
        <v>21</v>
      </c>
      <c r="E3151" s="761"/>
      <c r="F3151" s="761"/>
      <c r="G3151" s="733"/>
      <c r="H3151" s="733"/>
      <c r="I3151" s="733"/>
      <c r="J3151" s="733"/>
      <c r="K3151" s="733"/>
      <c r="L3151" s="733"/>
      <c r="M3151" s="733"/>
    </row>
    <row r="3152" spans="1:13" x14ac:dyDescent="0.3">
      <c r="A3152" s="733" t="s">
        <v>3118</v>
      </c>
      <c r="B3152" s="733" t="s">
        <v>645</v>
      </c>
      <c r="C3152" s="738" t="s">
        <v>3136</v>
      </c>
      <c r="D3152" s="733" t="s">
        <v>21</v>
      </c>
      <c r="E3152" s="761"/>
      <c r="F3152" s="761"/>
      <c r="G3152" s="733"/>
      <c r="H3152" s="733"/>
      <c r="I3152" s="733"/>
      <c r="J3152" s="733"/>
      <c r="K3152" s="733"/>
      <c r="L3152" s="733"/>
      <c r="M3152" s="733"/>
    </row>
    <row r="3153" spans="1:13" x14ac:dyDescent="0.3">
      <c r="A3153" s="733" t="s">
        <v>3118</v>
      </c>
      <c r="B3153" s="733" t="s">
        <v>645</v>
      </c>
      <c r="C3153" s="738" t="s">
        <v>3137</v>
      </c>
      <c r="D3153" s="733" t="s">
        <v>21</v>
      </c>
      <c r="E3153" s="761"/>
      <c r="F3153" s="761"/>
      <c r="G3153" s="733"/>
      <c r="H3153" s="733"/>
      <c r="I3153" s="733"/>
      <c r="J3153" s="733"/>
      <c r="K3153" s="733"/>
      <c r="L3153" s="733"/>
      <c r="M3153" s="733"/>
    </row>
    <row r="3154" spans="1:13" x14ac:dyDescent="0.3">
      <c r="A3154" s="733" t="s">
        <v>3118</v>
      </c>
      <c r="B3154" s="733" t="s">
        <v>645</v>
      </c>
      <c r="C3154" s="738" t="s">
        <v>3138</v>
      </c>
      <c r="D3154" s="733" t="s">
        <v>21</v>
      </c>
      <c r="E3154" s="761"/>
      <c r="F3154" s="761"/>
      <c r="G3154" s="733"/>
      <c r="H3154" s="733"/>
      <c r="I3154" s="733"/>
      <c r="J3154" s="733"/>
      <c r="K3154" s="733"/>
      <c r="L3154" s="733"/>
      <c r="M3154" s="733"/>
    </row>
    <row r="3155" spans="1:13" x14ac:dyDescent="0.3">
      <c r="A3155" s="733" t="s">
        <v>3118</v>
      </c>
      <c r="B3155" s="733" t="s">
        <v>664</v>
      </c>
      <c r="C3155" s="738" t="s">
        <v>3139</v>
      </c>
      <c r="D3155" s="733" t="s">
        <v>21</v>
      </c>
      <c r="E3155" s="761"/>
      <c r="F3155" s="761"/>
      <c r="G3155" s="733"/>
      <c r="H3155" s="733"/>
      <c r="I3155" s="733"/>
      <c r="J3155" s="733"/>
      <c r="K3155" s="733"/>
      <c r="L3155" s="733"/>
      <c r="M3155" s="733"/>
    </row>
    <row r="3156" spans="1:13" x14ac:dyDescent="0.3">
      <c r="A3156" s="733" t="s">
        <v>3118</v>
      </c>
      <c r="B3156" s="733" t="s">
        <v>664</v>
      </c>
      <c r="C3156" s="738" t="s">
        <v>3140</v>
      </c>
      <c r="D3156" s="733" t="s">
        <v>21</v>
      </c>
      <c r="E3156" s="761"/>
      <c r="F3156" s="761"/>
      <c r="G3156" s="733"/>
      <c r="H3156" s="733"/>
      <c r="I3156" s="733"/>
      <c r="J3156" s="733"/>
      <c r="K3156" s="733"/>
      <c r="L3156" s="733"/>
      <c r="M3156" s="733"/>
    </row>
    <row r="3157" spans="1:13" x14ac:dyDescent="0.3">
      <c r="A3157" s="733" t="s">
        <v>3118</v>
      </c>
      <c r="B3157" s="733" t="s">
        <v>664</v>
      </c>
      <c r="C3157" s="738" t="s">
        <v>3141</v>
      </c>
      <c r="D3157" s="733" t="s">
        <v>21</v>
      </c>
      <c r="E3157" s="761"/>
      <c r="F3157" s="761"/>
      <c r="G3157" s="733"/>
      <c r="H3157" s="733"/>
      <c r="I3157" s="733"/>
      <c r="J3157" s="733"/>
      <c r="K3157" s="733"/>
      <c r="L3157" s="733"/>
      <c r="M3157" s="733"/>
    </row>
    <row r="3158" spans="1:13" x14ac:dyDescent="0.3">
      <c r="A3158" s="733" t="s">
        <v>3118</v>
      </c>
      <c r="B3158" s="733" t="s">
        <v>664</v>
      </c>
      <c r="C3158" s="738" t="s">
        <v>3142</v>
      </c>
      <c r="D3158" s="733" t="s">
        <v>21</v>
      </c>
      <c r="E3158" s="761"/>
      <c r="F3158" s="761"/>
      <c r="G3158" s="733"/>
      <c r="H3158" s="733"/>
      <c r="I3158" s="733"/>
      <c r="J3158" s="733"/>
      <c r="K3158" s="733"/>
      <c r="L3158" s="733"/>
      <c r="M3158" s="733"/>
    </row>
    <row r="3159" spans="1:13" x14ac:dyDescent="0.3">
      <c r="A3159" s="733" t="s">
        <v>3118</v>
      </c>
      <c r="B3159" s="733" t="s">
        <v>664</v>
      </c>
      <c r="C3159" s="738" t="s">
        <v>3143</v>
      </c>
      <c r="D3159" s="733" t="s">
        <v>21</v>
      </c>
      <c r="E3159" s="761"/>
      <c r="F3159" s="761"/>
      <c r="G3159" s="733"/>
      <c r="H3159" s="733"/>
      <c r="I3159" s="733"/>
      <c r="J3159" s="733"/>
      <c r="K3159" s="733"/>
      <c r="L3159" s="733"/>
      <c r="M3159" s="733"/>
    </row>
    <row r="3160" spans="1:13" x14ac:dyDescent="0.3">
      <c r="A3160" s="733" t="s">
        <v>3118</v>
      </c>
      <c r="B3160" s="733" t="s">
        <v>612</v>
      </c>
      <c r="C3160" s="738" t="s">
        <v>3144</v>
      </c>
      <c r="D3160" s="733" t="s">
        <v>21</v>
      </c>
      <c r="E3160" s="761"/>
      <c r="F3160" s="761"/>
      <c r="G3160" s="733"/>
      <c r="H3160" s="733"/>
      <c r="I3160" s="733"/>
      <c r="J3160" s="733"/>
      <c r="K3160" s="733"/>
      <c r="L3160" s="733"/>
      <c r="M3160" s="733"/>
    </row>
    <row r="3161" spans="1:13" x14ac:dyDescent="0.3">
      <c r="A3161" s="733" t="s">
        <v>3118</v>
      </c>
      <c r="B3161" s="733" t="s">
        <v>612</v>
      </c>
      <c r="C3161" s="738" t="s">
        <v>3145</v>
      </c>
      <c r="D3161" s="733" t="s">
        <v>21</v>
      </c>
      <c r="E3161" s="761"/>
      <c r="F3161" s="761"/>
      <c r="G3161" s="733"/>
      <c r="H3161" s="733"/>
      <c r="I3161" s="733"/>
      <c r="J3161" s="733"/>
      <c r="K3161" s="733"/>
      <c r="L3161" s="733"/>
      <c r="M3161" s="733"/>
    </row>
    <row r="3162" spans="1:13" x14ac:dyDescent="0.3">
      <c r="A3162" s="733" t="s">
        <v>3118</v>
      </c>
      <c r="B3162" s="733" t="s">
        <v>612</v>
      </c>
      <c r="C3162" s="738" t="s">
        <v>3146</v>
      </c>
      <c r="D3162" s="733" t="s">
        <v>21</v>
      </c>
      <c r="E3162" s="761"/>
      <c r="F3162" s="761"/>
      <c r="G3162" s="733"/>
      <c r="H3162" s="733"/>
      <c r="I3162" s="733"/>
      <c r="J3162" s="733"/>
      <c r="K3162" s="733"/>
      <c r="L3162" s="733"/>
      <c r="M3162" s="733"/>
    </row>
    <row r="3163" spans="1:13" x14ac:dyDescent="0.3">
      <c r="A3163" s="733" t="s">
        <v>3118</v>
      </c>
      <c r="B3163" s="733" t="s">
        <v>612</v>
      </c>
      <c r="C3163" s="738" t="s">
        <v>3147</v>
      </c>
      <c r="D3163" s="733" t="s">
        <v>21</v>
      </c>
      <c r="E3163" s="761"/>
      <c r="F3163" s="761"/>
      <c r="G3163" s="733"/>
      <c r="H3163" s="733"/>
      <c r="I3163" s="733"/>
      <c r="J3163" s="733"/>
      <c r="K3163" s="733"/>
      <c r="L3163" s="733"/>
      <c r="M3163" s="733"/>
    </row>
    <row r="3164" spans="1:13" x14ac:dyDescent="0.3">
      <c r="A3164" s="733" t="s">
        <v>3118</v>
      </c>
      <c r="B3164" s="733" t="s">
        <v>612</v>
      </c>
      <c r="C3164" s="738" t="s">
        <v>3148</v>
      </c>
      <c r="D3164" s="733" t="s">
        <v>21</v>
      </c>
      <c r="E3164" s="761"/>
      <c r="F3164" s="761"/>
      <c r="G3164" s="733"/>
      <c r="H3164" s="733"/>
      <c r="I3164" s="733"/>
      <c r="J3164" s="733"/>
      <c r="K3164" s="733"/>
      <c r="L3164" s="733"/>
      <c r="M3164" s="733"/>
    </row>
    <row r="3165" spans="1:13" x14ac:dyDescent="0.3">
      <c r="A3165" s="733" t="s">
        <v>3149</v>
      </c>
      <c r="B3165" s="733" t="s">
        <v>645</v>
      </c>
      <c r="C3165" s="738" t="s">
        <v>3150</v>
      </c>
      <c r="D3165" s="733" t="s">
        <v>21</v>
      </c>
      <c r="E3165" s="761"/>
      <c r="F3165" s="761"/>
      <c r="G3165" s="733"/>
      <c r="H3165" s="733"/>
      <c r="I3165" s="733"/>
      <c r="J3165" s="733"/>
      <c r="K3165" s="733"/>
      <c r="L3165" s="733"/>
      <c r="M3165" s="733"/>
    </row>
    <row r="3166" spans="1:13" x14ac:dyDescent="0.3">
      <c r="A3166" s="733" t="s">
        <v>3149</v>
      </c>
      <c r="B3166" s="733" t="s">
        <v>645</v>
      </c>
      <c r="C3166" s="738" t="s">
        <v>3151</v>
      </c>
      <c r="D3166" s="733" t="s">
        <v>21</v>
      </c>
      <c r="E3166" s="761"/>
      <c r="F3166" s="761"/>
      <c r="G3166" s="733"/>
      <c r="H3166" s="733"/>
      <c r="I3166" s="733"/>
      <c r="J3166" s="733"/>
      <c r="K3166" s="733"/>
      <c r="L3166" s="733"/>
      <c r="M3166" s="733"/>
    </row>
    <row r="3167" spans="1:13" x14ac:dyDescent="0.3">
      <c r="A3167" s="733" t="s">
        <v>3149</v>
      </c>
      <c r="B3167" s="733" t="s">
        <v>645</v>
      </c>
      <c r="C3167" s="738" t="s">
        <v>3152</v>
      </c>
      <c r="D3167" s="733" t="s">
        <v>21</v>
      </c>
      <c r="E3167" s="761"/>
      <c r="F3167" s="761"/>
      <c r="G3167" s="733"/>
      <c r="H3167" s="733"/>
      <c r="I3167" s="733"/>
      <c r="J3167" s="733"/>
      <c r="K3167" s="733"/>
      <c r="L3167" s="733"/>
      <c r="M3167" s="733"/>
    </row>
    <row r="3168" spans="1:13" x14ac:dyDescent="0.3">
      <c r="A3168" s="733" t="s">
        <v>3149</v>
      </c>
      <c r="B3168" s="733" t="s">
        <v>645</v>
      </c>
      <c r="C3168" s="738" t="s">
        <v>3153</v>
      </c>
      <c r="D3168" s="733" t="s">
        <v>21</v>
      </c>
      <c r="E3168" s="761"/>
      <c r="F3168" s="761"/>
      <c r="G3168" s="733"/>
      <c r="H3168" s="733"/>
      <c r="I3168" s="733"/>
      <c r="J3168" s="733"/>
      <c r="K3168" s="733"/>
      <c r="L3168" s="733"/>
      <c r="M3168" s="733"/>
    </row>
    <row r="3169" spans="1:13" x14ac:dyDescent="0.3">
      <c r="A3169" s="733" t="s">
        <v>3149</v>
      </c>
      <c r="B3169" s="733" t="s">
        <v>645</v>
      </c>
      <c r="C3169" s="738" t="s">
        <v>3154</v>
      </c>
      <c r="D3169" s="733" t="s">
        <v>21</v>
      </c>
      <c r="E3169" s="761"/>
      <c r="F3169" s="761"/>
      <c r="G3169" s="733"/>
      <c r="H3169" s="733"/>
      <c r="I3169" s="733"/>
      <c r="J3169" s="733"/>
      <c r="K3169" s="733"/>
      <c r="L3169" s="733"/>
      <c r="M3169" s="733"/>
    </row>
    <row r="3170" spans="1:13" x14ac:dyDescent="0.3">
      <c r="A3170" s="733" t="s">
        <v>3149</v>
      </c>
      <c r="B3170" s="733" t="s">
        <v>664</v>
      </c>
      <c r="C3170" s="738" t="s">
        <v>3155</v>
      </c>
      <c r="D3170" s="733" t="s">
        <v>21</v>
      </c>
      <c r="E3170" s="761"/>
      <c r="F3170" s="761"/>
      <c r="G3170" s="733"/>
      <c r="H3170" s="733"/>
      <c r="I3170" s="733"/>
      <c r="J3170" s="733"/>
      <c r="K3170" s="733"/>
      <c r="L3170" s="733"/>
      <c r="M3170" s="733"/>
    </row>
    <row r="3171" spans="1:13" x14ac:dyDescent="0.3">
      <c r="A3171" s="733" t="s">
        <v>3149</v>
      </c>
      <c r="B3171" s="733" t="s">
        <v>664</v>
      </c>
      <c r="C3171" s="738" t="s">
        <v>3156</v>
      </c>
      <c r="D3171" s="733" t="s">
        <v>21</v>
      </c>
      <c r="E3171" s="761"/>
      <c r="F3171" s="761"/>
      <c r="G3171" s="733"/>
      <c r="H3171" s="733"/>
      <c r="I3171" s="733"/>
      <c r="J3171" s="733"/>
      <c r="K3171" s="733"/>
      <c r="L3171" s="733"/>
      <c r="M3171" s="733"/>
    </row>
    <row r="3172" spans="1:13" x14ac:dyDescent="0.3">
      <c r="A3172" s="733" t="s">
        <v>3149</v>
      </c>
      <c r="B3172" s="733" t="s">
        <v>664</v>
      </c>
      <c r="C3172" s="738" t="s">
        <v>3157</v>
      </c>
      <c r="D3172" s="733" t="s">
        <v>21</v>
      </c>
      <c r="E3172" s="761"/>
      <c r="F3172" s="761"/>
      <c r="G3172" s="733"/>
      <c r="H3172" s="733"/>
      <c r="I3172" s="733"/>
      <c r="J3172" s="733"/>
      <c r="K3172" s="733"/>
      <c r="L3172" s="733"/>
      <c r="M3172" s="733"/>
    </row>
    <row r="3173" spans="1:13" x14ac:dyDescent="0.3">
      <c r="A3173" s="733" t="s">
        <v>3149</v>
      </c>
      <c r="B3173" s="733" t="s">
        <v>664</v>
      </c>
      <c r="C3173" s="738" t="s">
        <v>3158</v>
      </c>
      <c r="D3173" s="733" t="s">
        <v>21</v>
      </c>
      <c r="E3173" s="761"/>
      <c r="F3173" s="761"/>
      <c r="G3173" s="733"/>
      <c r="H3173" s="733"/>
      <c r="I3173" s="733"/>
      <c r="J3173" s="733"/>
      <c r="K3173" s="733"/>
      <c r="L3173" s="733"/>
      <c r="M3173" s="733"/>
    </row>
    <row r="3174" spans="1:13" x14ac:dyDescent="0.3">
      <c r="A3174" s="733" t="s">
        <v>3149</v>
      </c>
      <c r="B3174" s="733" t="s">
        <v>664</v>
      </c>
      <c r="C3174" s="738" t="s">
        <v>3159</v>
      </c>
      <c r="D3174" s="733" t="s">
        <v>21</v>
      </c>
      <c r="E3174" s="761"/>
      <c r="F3174" s="761"/>
      <c r="G3174" s="733"/>
      <c r="H3174" s="733"/>
      <c r="I3174" s="733"/>
      <c r="J3174" s="733"/>
      <c r="K3174" s="733"/>
      <c r="L3174" s="733"/>
      <c r="M3174" s="733"/>
    </row>
    <row r="3175" spans="1:13" x14ac:dyDescent="0.3">
      <c r="A3175" s="733" t="s">
        <v>3149</v>
      </c>
      <c r="B3175" s="733" t="s">
        <v>612</v>
      </c>
      <c r="C3175" s="738" t="s">
        <v>3160</v>
      </c>
      <c r="D3175" s="733" t="s">
        <v>21</v>
      </c>
      <c r="E3175" s="761"/>
      <c r="F3175" s="761"/>
      <c r="G3175" s="733"/>
      <c r="H3175" s="733"/>
      <c r="I3175" s="733"/>
      <c r="J3175" s="733"/>
      <c r="K3175" s="733"/>
      <c r="L3175" s="733"/>
      <c r="M3175" s="733"/>
    </row>
    <row r="3176" spans="1:13" x14ac:dyDescent="0.3">
      <c r="A3176" s="733" t="s">
        <v>3149</v>
      </c>
      <c r="B3176" s="733" t="s">
        <v>612</v>
      </c>
      <c r="C3176" s="738" t="s">
        <v>3161</v>
      </c>
      <c r="D3176" s="733" t="s">
        <v>21</v>
      </c>
      <c r="E3176" s="761"/>
      <c r="F3176" s="761"/>
      <c r="G3176" s="733"/>
      <c r="H3176" s="733"/>
      <c r="I3176" s="733"/>
      <c r="J3176" s="733"/>
      <c r="K3176" s="733"/>
      <c r="L3176" s="733"/>
      <c r="M3176" s="733"/>
    </row>
    <row r="3177" spans="1:13" x14ac:dyDescent="0.3">
      <c r="A3177" s="733" t="s">
        <v>3149</v>
      </c>
      <c r="B3177" s="733" t="s">
        <v>612</v>
      </c>
      <c r="C3177" s="738" t="s">
        <v>3162</v>
      </c>
      <c r="D3177" s="733" t="s">
        <v>21</v>
      </c>
      <c r="E3177" s="761"/>
      <c r="F3177" s="761"/>
      <c r="G3177" s="733"/>
      <c r="H3177" s="733"/>
      <c r="I3177" s="733"/>
      <c r="J3177" s="733"/>
      <c r="K3177" s="733"/>
      <c r="L3177" s="733"/>
      <c r="M3177" s="733"/>
    </row>
    <row r="3178" spans="1:13" x14ac:dyDescent="0.3">
      <c r="A3178" s="733" t="s">
        <v>3149</v>
      </c>
      <c r="B3178" s="733" t="s">
        <v>612</v>
      </c>
      <c r="C3178" s="738" t="s">
        <v>3163</v>
      </c>
      <c r="D3178" s="733" t="s">
        <v>21</v>
      </c>
      <c r="E3178" s="761"/>
      <c r="F3178" s="761"/>
      <c r="G3178" s="733"/>
      <c r="H3178" s="733"/>
      <c r="I3178" s="733"/>
      <c r="J3178" s="733"/>
      <c r="K3178" s="733"/>
      <c r="L3178" s="733"/>
      <c r="M3178" s="733"/>
    </row>
    <row r="3179" spans="1:13" ht="28.8" x14ac:dyDescent="0.3">
      <c r="A3179" s="733" t="s">
        <v>3149</v>
      </c>
      <c r="B3179" s="733" t="s">
        <v>612</v>
      </c>
      <c r="C3179" s="738" t="s">
        <v>3164</v>
      </c>
      <c r="D3179" s="733" t="s">
        <v>21</v>
      </c>
      <c r="E3179" s="761"/>
      <c r="F3179" s="761"/>
      <c r="G3179" s="733"/>
      <c r="H3179" s="733"/>
      <c r="I3179" s="733"/>
      <c r="J3179" s="733"/>
      <c r="K3179" s="733"/>
      <c r="L3179" s="733"/>
      <c r="M3179" s="733"/>
    </row>
    <row r="3180" spans="1:13" x14ac:dyDescent="0.3">
      <c r="A3180" s="733" t="s">
        <v>3149</v>
      </c>
      <c r="B3180" s="733" t="s">
        <v>645</v>
      </c>
      <c r="C3180" s="738" t="s">
        <v>3165</v>
      </c>
      <c r="D3180" s="733" t="s">
        <v>21</v>
      </c>
      <c r="E3180" s="761"/>
      <c r="F3180" s="761"/>
      <c r="G3180" s="733"/>
      <c r="H3180" s="733"/>
      <c r="I3180" s="733"/>
      <c r="J3180" s="733"/>
      <c r="K3180" s="733"/>
      <c r="L3180" s="733"/>
      <c r="M3180" s="733"/>
    </row>
    <row r="3181" spans="1:13" x14ac:dyDescent="0.3">
      <c r="A3181" s="733" t="s">
        <v>3149</v>
      </c>
      <c r="B3181" s="733" t="s">
        <v>645</v>
      </c>
      <c r="C3181" s="738" t="s">
        <v>3166</v>
      </c>
      <c r="D3181" s="733" t="s">
        <v>21</v>
      </c>
      <c r="E3181" s="761"/>
      <c r="F3181" s="761"/>
      <c r="G3181" s="733"/>
      <c r="H3181" s="733"/>
      <c r="I3181" s="733"/>
      <c r="J3181" s="733"/>
      <c r="K3181" s="733"/>
      <c r="L3181" s="733"/>
      <c r="M3181" s="733"/>
    </row>
    <row r="3182" spans="1:13" x14ac:dyDescent="0.3">
      <c r="A3182" s="733" t="s">
        <v>3149</v>
      </c>
      <c r="B3182" s="733" t="s">
        <v>645</v>
      </c>
      <c r="C3182" s="738" t="s">
        <v>3167</v>
      </c>
      <c r="D3182" s="733" t="s">
        <v>21</v>
      </c>
      <c r="E3182" s="761"/>
      <c r="F3182" s="761"/>
      <c r="G3182" s="733"/>
      <c r="H3182" s="733"/>
      <c r="I3182" s="733"/>
      <c r="J3182" s="733"/>
      <c r="K3182" s="733"/>
      <c r="L3182" s="733"/>
      <c r="M3182" s="733"/>
    </row>
    <row r="3183" spans="1:13" x14ac:dyDescent="0.3">
      <c r="A3183" s="733" t="s">
        <v>3149</v>
      </c>
      <c r="B3183" s="733" t="s">
        <v>645</v>
      </c>
      <c r="C3183" s="738" t="s">
        <v>3168</v>
      </c>
      <c r="D3183" s="733" t="s">
        <v>21</v>
      </c>
      <c r="E3183" s="761"/>
      <c r="F3183" s="761"/>
      <c r="G3183" s="733"/>
      <c r="H3183" s="733"/>
      <c r="I3183" s="733"/>
      <c r="J3183" s="733"/>
      <c r="K3183" s="733"/>
      <c r="L3183" s="733"/>
      <c r="M3183" s="733"/>
    </row>
    <row r="3184" spans="1:13" x14ac:dyDescent="0.3">
      <c r="A3184" s="733" t="s">
        <v>3149</v>
      </c>
      <c r="B3184" s="733" t="s">
        <v>645</v>
      </c>
      <c r="C3184" s="738" t="s">
        <v>3169</v>
      </c>
      <c r="D3184" s="733" t="s">
        <v>21</v>
      </c>
      <c r="E3184" s="761"/>
      <c r="F3184" s="761"/>
      <c r="G3184" s="733"/>
      <c r="H3184" s="733"/>
      <c r="I3184" s="733"/>
      <c r="J3184" s="733"/>
      <c r="K3184" s="733"/>
      <c r="L3184" s="733"/>
      <c r="M3184" s="733"/>
    </row>
    <row r="3185" spans="1:13" x14ac:dyDescent="0.3">
      <c r="A3185" s="733" t="s">
        <v>3149</v>
      </c>
      <c r="B3185" s="733" t="s">
        <v>664</v>
      </c>
      <c r="C3185" s="738" t="s">
        <v>3170</v>
      </c>
      <c r="D3185" s="733" t="s">
        <v>21</v>
      </c>
      <c r="E3185" s="761"/>
      <c r="F3185" s="761"/>
      <c r="G3185" s="733"/>
      <c r="H3185" s="733"/>
      <c r="I3185" s="733"/>
      <c r="J3185" s="733"/>
      <c r="K3185" s="733"/>
      <c r="L3185" s="733"/>
      <c r="M3185" s="733"/>
    </row>
    <row r="3186" spans="1:13" x14ac:dyDescent="0.3">
      <c r="A3186" s="733" t="s">
        <v>3149</v>
      </c>
      <c r="B3186" s="733" t="s">
        <v>664</v>
      </c>
      <c r="C3186" s="738" t="s">
        <v>3171</v>
      </c>
      <c r="D3186" s="733" t="s">
        <v>21</v>
      </c>
      <c r="E3186" s="761"/>
      <c r="F3186" s="761"/>
      <c r="G3186" s="733"/>
      <c r="H3186" s="733"/>
      <c r="I3186" s="733"/>
      <c r="J3186" s="733"/>
      <c r="K3186" s="733"/>
      <c r="L3186" s="733"/>
      <c r="M3186" s="733"/>
    </row>
    <row r="3187" spans="1:13" x14ac:dyDescent="0.3">
      <c r="A3187" s="733" t="s">
        <v>3149</v>
      </c>
      <c r="B3187" s="733" t="s">
        <v>664</v>
      </c>
      <c r="C3187" s="738" t="s">
        <v>3172</v>
      </c>
      <c r="D3187" s="733" t="s">
        <v>21</v>
      </c>
      <c r="E3187" s="761"/>
      <c r="F3187" s="761"/>
      <c r="G3187" s="733"/>
      <c r="H3187" s="733"/>
      <c r="I3187" s="733"/>
      <c r="J3187" s="733"/>
      <c r="K3187" s="733"/>
      <c r="L3187" s="733"/>
      <c r="M3187" s="733"/>
    </row>
    <row r="3188" spans="1:13" x14ac:dyDescent="0.3">
      <c r="A3188" s="733" t="s">
        <v>3149</v>
      </c>
      <c r="B3188" s="733" t="s">
        <v>664</v>
      </c>
      <c r="C3188" s="738" t="s">
        <v>3173</v>
      </c>
      <c r="D3188" s="733" t="s">
        <v>21</v>
      </c>
      <c r="E3188" s="761"/>
      <c r="F3188" s="761"/>
      <c r="G3188" s="733"/>
      <c r="H3188" s="733"/>
      <c r="I3188" s="733"/>
      <c r="J3188" s="733"/>
      <c r="K3188" s="733"/>
      <c r="L3188" s="733"/>
      <c r="M3188" s="733"/>
    </row>
    <row r="3189" spans="1:13" x14ac:dyDescent="0.3">
      <c r="A3189" s="733" t="s">
        <v>3149</v>
      </c>
      <c r="B3189" s="733" t="s">
        <v>664</v>
      </c>
      <c r="C3189" s="738" t="s">
        <v>3174</v>
      </c>
      <c r="D3189" s="733" t="s">
        <v>21</v>
      </c>
      <c r="E3189" s="761"/>
      <c r="F3189" s="761"/>
      <c r="G3189" s="733"/>
      <c r="H3189" s="733"/>
      <c r="I3189" s="733"/>
      <c r="J3189" s="733"/>
      <c r="K3189" s="733"/>
      <c r="L3189" s="733"/>
      <c r="M3189" s="733"/>
    </row>
    <row r="3190" spans="1:13" x14ac:dyDescent="0.3">
      <c r="A3190" s="733" t="s">
        <v>3149</v>
      </c>
      <c r="B3190" s="733" t="s">
        <v>612</v>
      </c>
      <c r="C3190" s="738" t="s">
        <v>3175</v>
      </c>
      <c r="D3190" s="733" t="s">
        <v>21</v>
      </c>
      <c r="E3190" s="761"/>
      <c r="F3190" s="761"/>
      <c r="G3190" s="733"/>
      <c r="H3190" s="733"/>
      <c r="I3190" s="733"/>
      <c r="J3190" s="733"/>
      <c r="K3190" s="733"/>
      <c r="L3190" s="733"/>
      <c r="M3190" s="733"/>
    </row>
    <row r="3191" spans="1:13" x14ac:dyDescent="0.3">
      <c r="A3191" s="733" t="s">
        <v>3149</v>
      </c>
      <c r="B3191" s="733" t="s">
        <v>612</v>
      </c>
      <c r="C3191" s="738" t="s">
        <v>3176</v>
      </c>
      <c r="D3191" s="733" t="s">
        <v>21</v>
      </c>
      <c r="E3191" s="761"/>
      <c r="F3191" s="761"/>
      <c r="G3191" s="733"/>
      <c r="H3191" s="733"/>
      <c r="I3191" s="733"/>
      <c r="J3191" s="733"/>
      <c r="K3191" s="733"/>
      <c r="L3191" s="733"/>
      <c r="M3191" s="733"/>
    </row>
    <row r="3192" spans="1:13" x14ac:dyDescent="0.3">
      <c r="A3192" s="733" t="s">
        <v>3149</v>
      </c>
      <c r="B3192" s="733" t="s">
        <v>612</v>
      </c>
      <c r="C3192" s="738" t="s">
        <v>3177</v>
      </c>
      <c r="D3192" s="733" t="s">
        <v>21</v>
      </c>
      <c r="E3192" s="761"/>
      <c r="F3192" s="761"/>
      <c r="G3192" s="733"/>
      <c r="H3192" s="733"/>
      <c r="I3192" s="733"/>
      <c r="J3192" s="733"/>
      <c r="K3192" s="733"/>
      <c r="L3192" s="733"/>
      <c r="M3192" s="733"/>
    </row>
    <row r="3193" spans="1:13" x14ac:dyDescent="0.3">
      <c r="A3193" s="733" t="s">
        <v>3149</v>
      </c>
      <c r="B3193" s="733" t="s">
        <v>612</v>
      </c>
      <c r="C3193" s="738" t="s">
        <v>3178</v>
      </c>
      <c r="D3193" s="733" t="s">
        <v>21</v>
      </c>
      <c r="E3193" s="761"/>
      <c r="F3193" s="761"/>
      <c r="G3193" s="733"/>
      <c r="H3193" s="733"/>
      <c r="I3193" s="733"/>
      <c r="J3193" s="733"/>
      <c r="K3193" s="733"/>
      <c r="L3193" s="733"/>
      <c r="M3193" s="733"/>
    </row>
    <row r="3194" spans="1:13" x14ac:dyDescent="0.3">
      <c r="A3194" s="733" t="s">
        <v>3149</v>
      </c>
      <c r="B3194" s="733" t="s">
        <v>612</v>
      </c>
      <c r="C3194" s="738" t="s">
        <v>3179</v>
      </c>
      <c r="D3194" s="733" t="s">
        <v>21</v>
      </c>
      <c r="E3194" s="761"/>
      <c r="F3194" s="761"/>
      <c r="G3194" s="733"/>
      <c r="H3194" s="733"/>
      <c r="I3194" s="733"/>
      <c r="J3194" s="733"/>
      <c r="K3194" s="733"/>
      <c r="L3194" s="733"/>
      <c r="M3194" s="733"/>
    </row>
    <row r="3195" spans="1:13" x14ac:dyDescent="0.3">
      <c r="A3195" s="733" t="s">
        <v>3180</v>
      </c>
      <c r="B3195" s="733" t="s">
        <v>645</v>
      </c>
      <c r="C3195" s="738" t="s">
        <v>3181</v>
      </c>
      <c r="D3195" s="733" t="s">
        <v>21</v>
      </c>
      <c r="E3195" s="761"/>
      <c r="F3195" s="761"/>
      <c r="G3195" s="733"/>
      <c r="H3195" s="733"/>
      <c r="I3195" s="733"/>
      <c r="J3195" s="733"/>
      <c r="K3195" s="733"/>
      <c r="L3195" s="733"/>
      <c r="M3195" s="733"/>
    </row>
    <row r="3196" spans="1:13" x14ac:dyDescent="0.3">
      <c r="A3196" s="733" t="s">
        <v>3180</v>
      </c>
      <c r="B3196" s="733" t="s">
        <v>645</v>
      </c>
      <c r="C3196" s="738" t="s">
        <v>3182</v>
      </c>
      <c r="D3196" s="733" t="s">
        <v>21</v>
      </c>
      <c r="E3196" s="761"/>
      <c r="F3196" s="761"/>
      <c r="G3196" s="733"/>
      <c r="H3196" s="733"/>
      <c r="I3196" s="733"/>
      <c r="J3196" s="733"/>
      <c r="K3196" s="733"/>
      <c r="L3196" s="733"/>
      <c r="M3196" s="733"/>
    </row>
    <row r="3197" spans="1:13" x14ac:dyDescent="0.3">
      <c r="A3197" s="733" t="s">
        <v>3180</v>
      </c>
      <c r="B3197" s="733" t="s">
        <v>645</v>
      </c>
      <c r="C3197" s="738" t="s">
        <v>3183</v>
      </c>
      <c r="D3197" s="733" t="s">
        <v>21</v>
      </c>
      <c r="E3197" s="761"/>
      <c r="F3197" s="761"/>
      <c r="G3197" s="733"/>
      <c r="H3197" s="733"/>
      <c r="I3197" s="733"/>
      <c r="J3197" s="733"/>
      <c r="K3197" s="733"/>
      <c r="L3197" s="733"/>
      <c r="M3197" s="733"/>
    </row>
    <row r="3198" spans="1:13" x14ac:dyDescent="0.3">
      <c r="A3198" s="733" t="s">
        <v>3180</v>
      </c>
      <c r="B3198" s="733" t="s">
        <v>645</v>
      </c>
      <c r="C3198" s="738" t="s">
        <v>3184</v>
      </c>
      <c r="D3198" s="733" t="s">
        <v>21</v>
      </c>
      <c r="E3198" s="761"/>
      <c r="F3198" s="761"/>
      <c r="G3198" s="733"/>
      <c r="H3198" s="733"/>
      <c r="I3198" s="733"/>
      <c r="J3198" s="733"/>
      <c r="K3198" s="733"/>
      <c r="L3198" s="733"/>
      <c r="M3198" s="733"/>
    </row>
    <row r="3199" spans="1:13" x14ac:dyDescent="0.3">
      <c r="A3199" s="733" t="s">
        <v>3180</v>
      </c>
      <c r="B3199" s="733" t="s">
        <v>645</v>
      </c>
      <c r="C3199" s="738" t="s">
        <v>3185</v>
      </c>
      <c r="D3199" s="733" t="s">
        <v>21</v>
      </c>
      <c r="E3199" s="761"/>
      <c r="F3199" s="761"/>
      <c r="G3199" s="733"/>
      <c r="H3199" s="733"/>
      <c r="I3199" s="733"/>
      <c r="J3199" s="733"/>
      <c r="K3199" s="733"/>
      <c r="L3199" s="733"/>
      <c r="M3199" s="733"/>
    </row>
    <row r="3200" spans="1:13" x14ac:dyDescent="0.3">
      <c r="A3200" s="733" t="s">
        <v>3180</v>
      </c>
      <c r="B3200" s="733" t="s">
        <v>664</v>
      </c>
      <c r="C3200" s="738" t="s">
        <v>3186</v>
      </c>
      <c r="D3200" s="733" t="s">
        <v>21</v>
      </c>
      <c r="E3200" s="761"/>
      <c r="F3200" s="761"/>
      <c r="G3200" s="733"/>
      <c r="H3200" s="733"/>
      <c r="I3200" s="733"/>
      <c r="J3200" s="733"/>
      <c r="K3200" s="733"/>
      <c r="L3200" s="733"/>
      <c r="M3200" s="733"/>
    </row>
    <row r="3201" spans="1:13" x14ac:dyDescent="0.3">
      <c r="A3201" s="733" t="s">
        <v>3180</v>
      </c>
      <c r="B3201" s="733" t="s">
        <v>664</v>
      </c>
      <c r="C3201" s="738" t="s">
        <v>3187</v>
      </c>
      <c r="D3201" s="733" t="s">
        <v>21</v>
      </c>
      <c r="E3201" s="761"/>
      <c r="F3201" s="761"/>
      <c r="G3201" s="733"/>
      <c r="H3201" s="733"/>
      <c r="I3201" s="733"/>
      <c r="J3201" s="733"/>
      <c r="K3201" s="733"/>
      <c r="L3201" s="733"/>
      <c r="M3201" s="733"/>
    </row>
    <row r="3202" spans="1:13" x14ac:dyDescent="0.3">
      <c r="A3202" s="733" t="s">
        <v>3180</v>
      </c>
      <c r="B3202" s="733" t="s">
        <v>664</v>
      </c>
      <c r="C3202" s="738" t="s">
        <v>3188</v>
      </c>
      <c r="D3202" s="733" t="s">
        <v>21</v>
      </c>
      <c r="E3202" s="761"/>
      <c r="F3202" s="761"/>
      <c r="G3202" s="733"/>
      <c r="H3202" s="733"/>
      <c r="I3202" s="733"/>
      <c r="J3202" s="733"/>
      <c r="K3202" s="733"/>
      <c r="L3202" s="733"/>
      <c r="M3202" s="733"/>
    </row>
    <row r="3203" spans="1:13" x14ac:dyDescent="0.3">
      <c r="A3203" s="733" t="s">
        <v>3180</v>
      </c>
      <c r="B3203" s="733" t="s">
        <v>664</v>
      </c>
      <c r="C3203" s="738" t="s">
        <v>3189</v>
      </c>
      <c r="D3203" s="733" t="s">
        <v>21</v>
      </c>
      <c r="E3203" s="761"/>
      <c r="F3203" s="761"/>
      <c r="G3203" s="733"/>
      <c r="H3203" s="733"/>
      <c r="I3203" s="733"/>
      <c r="J3203" s="733"/>
      <c r="K3203" s="733"/>
      <c r="L3203" s="733"/>
      <c r="M3203" s="733"/>
    </row>
    <row r="3204" spans="1:13" x14ac:dyDescent="0.3">
      <c r="A3204" s="733" t="s">
        <v>3180</v>
      </c>
      <c r="B3204" s="733" t="s">
        <v>664</v>
      </c>
      <c r="C3204" s="738" t="s">
        <v>3190</v>
      </c>
      <c r="D3204" s="733" t="s">
        <v>21</v>
      </c>
      <c r="E3204" s="761"/>
      <c r="F3204" s="761"/>
      <c r="G3204" s="733"/>
      <c r="H3204" s="733"/>
      <c r="I3204" s="733"/>
      <c r="J3204" s="733"/>
      <c r="K3204" s="733"/>
      <c r="L3204" s="733"/>
      <c r="M3204" s="733"/>
    </row>
    <row r="3205" spans="1:13" x14ac:dyDescent="0.3">
      <c r="A3205" s="733" t="s">
        <v>3180</v>
      </c>
      <c r="B3205" s="733" t="s">
        <v>612</v>
      </c>
      <c r="C3205" s="738" t="s">
        <v>3191</v>
      </c>
      <c r="D3205" s="733" t="s">
        <v>21</v>
      </c>
      <c r="E3205" s="761"/>
      <c r="F3205" s="761"/>
      <c r="G3205" s="733"/>
      <c r="H3205" s="733"/>
      <c r="I3205" s="733"/>
      <c r="J3205" s="733"/>
      <c r="K3205" s="733"/>
      <c r="L3205" s="733"/>
      <c r="M3205" s="733"/>
    </row>
    <row r="3206" spans="1:13" x14ac:dyDescent="0.3">
      <c r="A3206" s="733" t="s">
        <v>3180</v>
      </c>
      <c r="B3206" s="733" t="s">
        <v>612</v>
      </c>
      <c r="C3206" s="738" t="s">
        <v>3192</v>
      </c>
      <c r="D3206" s="733" t="s">
        <v>21</v>
      </c>
      <c r="E3206" s="761"/>
      <c r="F3206" s="761"/>
      <c r="G3206" s="733"/>
      <c r="H3206" s="733"/>
      <c r="I3206" s="733"/>
      <c r="J3206" s="733"/>
      <c r="K3206" s="733"/>
      <c r="L3206" s="733"/>
      <c r="M3206" s="733"/>
    </row>
    <row r="3207" spans="1:13" x14ac:dyDescent="0.3">
      <c r="A3207" s="733" t="s">
        <v>3180</v>
      </c>
      <c r="B3207" s="733" t="s">
        <v>612</v>
      </c>
      <c r="C3207" s="738" t="s">
        <v>3193</v>
      </c>
      <c r="D3207" s="733" t="s">
        <v>21</v>
      </c>
      <c r="E3207" s="761"/>
      <c r="F3207" s="761"/>
      <c r="G3207" s="733"/>
      <c r="H3207" s="733"/>
      <c r="I3207" s="733"/>
      <c r="J3207" s="733"/>
      <c r="K3207" s="733"/>
      <c r="L3207" s="733"/>
      <c r="M3207" s="733"/>
    </row>
    <row r="3208" spans="1:13" x14ac:dyDescent="0.3">
      <c r="A3208" s="733" t="s">
        <v>3180</v>
      </c>
      <c r="B3208" s="733" t="s">
        <v>612</v>
      </c>
      <c r="C3208" s="738" t="s">
        <v>3194</v>
      </c>
      <c r="D3208" s="733" t="s">
        <v>21</v>
      </c>
      <c r="E3208" s="761"/>
      <c r="F3208" s="761"/>
      <c r="G3208" s="733"/>
      <c r="H3208" s="733"/>
      <c r="I3208" s="733"/>
      <c r="J3208" s="733"/>
      <c r="K3208" s="733"/>
      <c r="L3208" s="733"/>
      <c r="M3208" s="733"/>
    </row>
    <row r="3209" spans="1:13" x14ac:dyDescent="0.3">
      <c r="A3209" s="733" t="s">
        <v>3180</v>
      </c>
      <c r="B3209" s="733" t="s">
        <v>612</v>
      </c>
      <c r="C3209" s="738" t="s">
        <v>3195</v>
      </c>
      <c r="D3209" s="733" t="s">
        <v>21</v>
      </c>
      <c r="E3209" s="761"/>
      <c r="F3209" s="761"/>
      <c r="G3209" s="733"/>
      <c r="H3209" s="733"/>
      <c r="I3209" s="733"/>
      <c r="J3209" s="733"/>
      <c r="K3209" s="733"/>
      <c r="L3209" s="733"/>
      <c r="M3209" s="733"/>
    </row>
    <row r="3210" spans="1:13" x14ac:dyDescent="0.3">
      <c r="A3210" s="733" t="s">
        <v>3180</v>
      </c>
      <c r="B3210" s="733" t="s">
        <v>645</v>
      </c>
      <c r="C3210" s="738" t="s">
        <v>3196</v>
      </c>
      <c r="D3210" s="733" t="s">
        <v>21</v>
      </c>
      <c r="E3210" s="761"/>
      <c r="F3210" s="761"/>
      <c r="G3210" s="733"/>
      <c r="H3210" s="733"/>
      <c r="I3210" s="733"/>
      <c r="J3210" s="733"/>
      <c r="K3210" s="733"/>
      <c r="L3210" s="733"/>
      <c r="M3210" s="733"/>
    </row>
    <row r="3211" spans="1:13" ht="28.8" x14ac:dyDescent="0.3">
      <c r="A3211" s="733" t="s">
        <v>3180</v>
      </c>
      <c r="B3211" s="733" t="s">
        <v>645</v>
      </c>
      <c r="C3211" s="738" t="s">
        <v>3197</v>
      </c>
      <c r="D3211" s="733" t="s">
        <v>21</v>
      </c>
      <c r="E3211" s="761"/>
      <c r="F3211" s="761"/>
      <c r="G3211" s="733"/>
      <c r="H3211" s="733"/>
      <c r="I3211" s="733"/>
      <c r="J3211" s="733"/>
      <c r="K3211" s="733"/>
      <c r="L3211" s="733"/>
      <c r="M3211" s="733"/>
    </row>
    <row r="3212" spans="1:13" x14ac:dyDescent="0.3">
      <c r="A3212" s="733" t="s">
        <v>3180</v>
      </c>
      <c r="B3212" s="733" t="s">
        <v>645</v>
      </c>
      <c r="C3212" s="738" t="s">
        <v>3198</v>
      </c>
      <c r="D3212" s="733" t="s">
        <v>21</v>
      </c>
      <c r="E3212" s="761"/>
      <c r="F3212" s="761"/>
      <c r="G3212" s="733"/>
      <c r="H3212" s="733"/>
      <c r="I3212" s="733"/>
      <c r="J3212" s="733"/>
      <c r="K3212" s="733"/>
      <c r="L3212" s="733"/>
      <c r="M3212" s="733"/>
    </row>
    <row r="3213" spans="1:13" x14ac:dyDescent="0.3">
      <c r="A3213" s="733" t="s">
        <v>3180</v>
      </c>
      <c r="B3213" s="733" t="s">
        <v>645</v>
      </c>
      <c r="C3213" s="738" t="s">
        <v>3199</v>
      </c>
      <c r="D3213" s="733" t="s">
        <v>21</v>
      </c>
      <c r="E3213" s="761"/>
      <c r="F3213" s="761"/>
      <c r="G3213" s="733"/>
      <c r="H3213" s="733"/>
      <c r="I3213" s="733"/>
      <c r="J3213" s="733"/>
      <c r="K3213" s="733"/>
      <c r="L3213" s="733"/>
      <c r="M3213" s="733"/>
    </row>
    <row r="3214" spans="1:13" x14ac:dyDescent="0.3">
      <c r="A3214" s="733" t="s">
        <v>3180</v>
      </c>
      <c r="B3214" s="733" t="s">
        <v>645</v>
      </c>
      <c r="C3214" s="738" t="s">
        <v>3200</v>
      </c>
      <c r="D3214" s="733" t="s">
        <v>21</v>
      </c>
      <c r="E3214" s="761"/>
      <c r="F3214" s="761"/>
      <c r="G3214" s="733"/>
      <c r="H3214" s="733"/>
      <c r="I3214" s="733"/>
      <c r="J3214" s="733"/>
      <c r="K3214" s="733"/>
      <c r="L3214" s="733"/>
      <c r="M3214" s="733"/>
    </row>
    <row r="3215" spans="1:13" x14ac:dyDescent="0.3">
      <c r="A3215" s="733" t="s">
        <v>3180</v>
      </c>
      <c r="B3215" s="733" t="s">
        <v>664</v>
      </c>
      <c r="C3215" s="738" t="s">
        <v>3201</v>
      </c>
      <c r="D3215" s="733" t="s">
        <v>21</v>
      </c>
      <c r="E3215" s="761"/>
      <c r="F3215" s="761"/>
      <c r="G3215" s="733"/>
      <c r="H3215" s="733"/>
      <c r="I3215" s="733"/>
      <c r="J3215" s="733"/>
      <c r="K3215" s="733"/>
      <c r="L3215" s="733"/>
      <c r="M3215" s="733"/>
    </row>
    <row r="3216" spans="1:13" x14ac:dyDescent="0.3">
      <c r="A3216" s="733" t="s">
        <v>3180</v>
      </c>
      <c r="B3216" s="733" t="s">
        <v>664</v>
      </c>
      <c r="C3216" s="738" t="s">
        <v>3202</v>
      </c>
      <c r="D3216" s="733" t="s">
        <v>21</v>
      </c>
      <c r="E3216" s="761"/>
      <c r="F3216" s="761"/>
      <c r="G3216" s="733"/>
      <c r="H3216" s="733"/>
      <c r="I3216" s="733"/>
      <c r="J3216" s="733"/>
      <c r="K3216" s="733"/>
      <c r="L3216" s="733"/>
      <c r="M3216" s="733"/>
    </row>
    <row r="3217" spans="1:13" x14ac:dyDescent="0.3">
      <c r="A3217" s="733" t="s">
        <v>3180</v>
      </c>
      <c r="B3217" s="733" t="s">
        <v>664</v>
      </c>
      <c r="C3217" s="738" t="s">
        <v>3203</v>
      </c>
      <c r="D3217" s="733" t="s">
        <v>21</v>
      </c>
      <c r="E3217" s="761"/>
      <c r="F3217" s="761"/>
      <c r="G3217" s="733"/>
      <c r="H3217" s="733"/>
      <c r="I3217" s="733"/>
      <c r="J3217" s="733"/>
      <c r="K3217" s="733"/>
      <c r="L3217" s="733"/>
      <c r="M3217" s="733"/>
    </row>
    <row r="3218" spans="1:13" x14ac:dyDescent="0.3">
      <c r="A3218" s="733" t="s">
        <v>3180</v>
      </c>
      <c r="B3218" s="733" t="s">
        <v>664</v>
      </c>
      <c r="C3218" s="738" t="s">
        <v>3204</v>
      </c>
      <c r="D3218" s="733" t="s">
        <v>21</v>
      </c>
      <c r="E3218" s="761"/>
      <c r="F3218" s="761"/>
      <c r="G3218" s="733"/>
      <c r="H3218" s="733"/>
      <c r="I3218" s="733"/>
      <c r="J3218" s="733"/>
      <c r="K3218" s="733"/>
      <c r="L3218" s="733"/>
      <c r="M3218" s="733"/>
    </row>
    <row r="3219" spans="1:13" x14ac:dyDescent="0.3">
      <c r="A3219" s="733" t="s">
        <v>3180</v>
      </c>
      <c r="B3219" s="733" t="s">
        <v>664</v>
      </c>
      <c r="C3219" s="738" t="s">
        <v>3205</v>
      </c>
      <c r="D3219" s="733" t="s">
        <v>21</v>
      </c>
      <c r="E3219" s="761"/>
      <c r="F3219" s="761"/>
      <c r="G3219" s="733"/>
      <c r="H3219" s="733"/>
      <c r="I3219" s="733"/>
      <c r="J3219" s="733"/>
      <c r="K3219" s="733"/>
      <c r="L3219" s="733"/>
      <c r="M3219" s="733"/>
    </row>
    <row r="3220" spans="1:13" x14ac:dyDescent="0.3">
      <c r="A3220" s="733" t="s">
        <v>3180</v>
      </c>
      <c r="B3220" s="733" t="s">
        <v>612</v>
      </c>
      <c r="C3220" s="738" t="s">
        <v>3206</v>
      </c>
      <c r="D3220" s="733" t="s">
        <v>21</v>
      </c>
      <c r="E3220" s="761"/>
      <c r="F3220" s="761"/>
      <c r="G3220" s="733"/>
      <c r="H3220" s="733"/>
      <c r="I3220" s="733"/>
      <c r="J3220" s="733"/>
      <c r="K3220" s="733"/>
      <c r="L3220" s="733"/>
      <c r="M3220" s="733"/>
    </row>
    <row r="3221" spans="1:13" x14ac:dyDescent="0.3">
      <c r="A3221" s="733" t="s">
        <v>3180</v>
      </c>
      <c r="B3221" s="733" t="s">
        <v>612</v>
      </c>
      <c r="C3221" s="738" t="s">
        <v>3207</v>
      </c>
      <c r="D3221" s="733" t="s">
        <v>21</v>
      </c>
      <c r="E3221" s="761"/>
      <c r="F3221" s="761"/>
      <c r="G3221" s="733"/>
      <c r="H3221" s="733"/>
      <c r="I3221" s="733"/>
      <c r="J3221" s="733"/>
      <c r="K3221" s="733"/>
      <c r="L3221" s="733"/>
      <c r="M3221" s="733"/>
    </row>
    <row r="3222" spans="1:13" x14ac:dyDescent="0.3">
      <c r="A3222" s="733" t="s">
        <v>3180</v>
      </c>
      <c r="B3222" s="733" t="s">
        <v>612</v>
      </c>
      <c r="C3222" s="738" t="s">
        <v>3208</v>
      </c>
      <c r="D3222" s="733" t="s">
        <v>21</v>
      </c>
      <c r="E3222" s="761"/>
      <c r="F3222" s="761"/>
      <c r="G3222" s="733"/>
      <c r="H3222" s="733"/>
      <c r="I3222" s="733"/>
      <c r="J3222" s="733"/>
      <c r="K3222" s="733"/>
      <c r="L3222" s="733"/>
      <c r="M3222" s="733"/>
    </row>
    <row r="3223" spans="1:13" x14ac:dyDescent="0.3">
      <c r="A3223" s="733" t="s">
        <v>3180</v>
      </c>
      <c r="B3223" s="733" t="s">
        <v>612</v>
      </c>
      <c r="C3223" s="738" t="s">
        <v>3209</v>
      </c>
      <c r="D3223" s="733" t="s">
        <v>21</v>
      </c>
      <c r="E3223" s="761"/>
      <c r="F3223" s="761"/>
      <c r="G3223" s="733"/>
      <c r="H3223" s="733"/>
      <c r="I3223" s="733"/>
      <c r="J3223" s="733"/>
      <c r="K3223" s="733"/>
      <c r="L3223" s="733"/>
      <c r="M3223" s="733"/>
    </row>
    <row r="3224" spans="1:13" x14ac:dyDescent="0.3">
      <c r="A3224" s="733" t="s">
        <v>3180</v>
      </c>
      <c r="B3224" s="733" t="s">
        <v>612</v>
      </c>
      <c r="C3224" s="738" t="s">
        <v>3210</v>
      </c>
      <c r="D3224" s="733" t="s">
        <v>21</v>
      </c>
      <c r="E3224" s="761"/>
      <c r="F3224" s="761"/>
      <c r="G3224" s="733"/>
      <c r="H3224" s="733"/>
      <c r="I3224" s="733"/>
      <c r="J3224" s="733"/>
      <c r="K3224" s="733"/>
      <c r="L3224" s="733"/>
      <c r="M3224" s="733"/>
    </row>
    <row r="3225" spans="1:13" x14ac:dyDescent="0.3">
      <c r="A3225" s="733" t="s">
        <v>3211</v>
      </c>
      <c r="B3225" s="733" t="s">
        <v>645</v>
      </c>
      <c r="C3225" s="738" t="s">
        <v>3212</v>
      </c>
      <c r="D3225" s="733" t="s">
        <v>21</v>
      </c>
      <c r="E3225" s="761"/>
      <c r="F3225" s="761"/>
      <c r="G3225" s="733"/>
      <c r="H3225" s="733"/>
      <c r="I3225" s="733"/>
      <c r="J3225" s="733"/>
      <c r="K3225" s="733"/>
      <c r="L3225" s="733"/>
      <c r="M3225" s="733"/>
    </row>
    <row r="3226" spans="1:13" x14ac:dyDescent="0.3">
      <c r="A3226" s="733" t="s">
        <v>3211</v>
      </c>
      <c r="B3226" s="733" t="s">
        <v>645</v>
      </c>
      <c r="C3226" s="738" t="s">
        <v>3213</v>
      </c>
      <c r="D3226" s="733" t="s">
        <v>21</v>
      </c>
      <c r="E3226" s="761"/>
      <c r="F3226" s="761"/>
      <c r="G3226" s="733"/>
      <c r="H3226" s="733"/>
      <c r="I3226" s="733"/>
      <c r="J3226" s="733"/>
      <c r="K3226" s="733"/>
      <c r="L3226" s="733"/>
      <c r="M3226" s="733"/>
    </row>
    <row r="3227" spans="1:13" x14ac:dyDescent="0.3">
      <c r="A3227" s="733" t="s">
        <v>3211</v>
      </c>
      <c r="B3227" s="733" t="s">
        <v>645</v>
      </c>
      <c r="C3227" s="738" t="s">
        <v>3214</v>
      </c>
      <c r="D3227" s="733" t="s">
        <v>21</v>
      </c>
      <c r="E3227" s="761"/>
      <c r="F3227" s="761"/>
      <c r="G3227" s="733"/>
      <c r="H3227" s="733"/>
      <c r="I3227" s="733"/>
      <c r="J3227" s="733"/>
      <c r="K3227" s="733"/>
      <c r="L3227" s="733"/>
      <c r="M3227" s="733"/>
    </row>
    <row r="3228" spans="1:13" ht="28.8" x14ac:dyDescent="0.3">
      <c r="A3228" s="733" t="s">
        <v>3211</v>
      </c>
      <c r="B3228" s="733" t="s">
        <v>645</v>
      </c>
      <c r="C3228" s="738" t="s">
        <v>3215</v>
      </c>
      <c r="D3228" s="733" t="s">
        <v>21</v>
      </c>
      <c r="E3228" s="761"/>
      <c r="F3228" s="761"/>
      <c r="G3228" s="733"/>
      <c r="H3228" s="733"/>
      <c r="I3228" s="733"/>
      <c r="J3228" s="733"/>
      <c r="K3228" s="733"/>
      <c r="L3228" s="733"/>
      <c r="M3228" s="733"/>
    </row>
    <row r="3229" spans="1:13" ht="28.8" x14ac:dyDescent="0.3">
      <c r="A3229" s="733" t="s">
        <v>3211</v>
      </c>
      <c r="B3229" s="733" t="s">
        <v>645</v>
      </c>
      <c r="C3229" s="738" t="s">
        <v>3216</v>
      </c>
      <c r="D3229" s="733" t="s">
        <v>21</v>
      </c>
      <c r="E3229" s="761"/>
      <c r="F3229" s="761"/>
      <c r="G3229" s="733"/>
      <c r="H3229" s="733"/>
      <c r="I3229" s="733"/>
      <c r="J3229" s="733"/>
      <c r="K3229" s="733"/>
      <c r="L3229" s="733"/>
      <c r="M3229" s="733"/>
    </row>
    <row r="3230" spans="1:13" x14ac:dyDescent="0.3">
      <c r="A3230" s="733" t="s">
        <v>3211</v>
      </c>
      <c r="B3230" s="733" t="s">
        <v>664</v>
      </c>
      <c r="C3230" s="738" t="s">
        <v>3217</v>
      </c>
      <c r="D3230" s="733" t="s">
        <v>21</v>
      </c>
      <c r="E3230" s="761"/>
      <c r="F3230" s="761"/>
      <c r="G3230" s="733"/>
      <c r="H3230" s="733"/>
      <c r="I3230" s="733"/>
      <c r="J3230" s="733"/>
      <c r="K3230" s="733"/>
      <c r="L3230" s="733"/>
      <c r="M3230" s="733"/>
    </row>
    <row r="3231" spans="1:13" x14ac:dyDescent="0.3">
      <c r="A3231" s="733" t="s">
        <v>3211</v>
      </c>
      <c r="B3231" s="733" t="s">
        <v>664</v>
      </c>
      <c r="C3231" s="738" t="s">
        <v>3218</v>
      </c>
      <c r="D3231" s="733" t="s">
        <v>21</v>
      </c>
      <c r="E3231" s="761"/>
      <c r="F3231" s="761"/>
      <c r="G3231" s="733"/>
      <c r="H3231" s="733"/>
      <c r="I3231" s="733"/>
      <c r="J3231" s="733"/>
      <c r="K3231" s="733"/>
      <c r="L3231" s="733"/>
      <c r="M3231" s="733"/>
    </row>
    <row r="3232" spans="1:13" x14ac:dyDescent="0.3">
      <c r="A3232" s="733" t="s">
        <v>3211</v>
      </c>
      <c r="B3232" s="733" t="s">
        <v>664</v>
      </c>
      <c r="C3232" s="738" t="s">
        <v>3219</v>
      </c>
      <c r="D3232" s="733" t="s">
        <v>21</v>
      </c>
      <c r="E3232" s="761"/>
      <c r="F3232" s="761"/>
      <c r="G3232" s="733"/>
      <c r="H3232" s="733"/>
      <c r="I3232" s="733"/>
      <c r="J3232" s="733"/>
      <c r="K3232" s="733"/>
      <c r="L3232" s="733"/>
      <c r="M3232" s="733"/>
    </row>
    <row r="3233" spans="1:13" x14ac:dyDescent="0.3">
      <c r="A3233" s="733" t="s">
        <v>3211</v>
      </c>
      <c r="B3233" s="733" t="s">
        <v>664</v>
      </c>
      <c r="C3233" s="738" t="s">
        <v>3220</v>
      </c>
      <c r="D3233" s="733" t="s">
        <v>21</v>
      </c>
      <c r="E3233" s="761"/>
      <c r="F3233" s="761"/>
      <c r="G3233" s="733"/>
      <c r="H3233" s="733"/>
      <c r="I3233" s="733"/>
      <c r="J3233" s="733"/>
      <c r="K3233" s="733"/>
      <c r="L3233" s="733"/>
      <c r="M3233" s="733"/>
    </row>
    <row r="3234" spans="1:13" x14ac:dyDescent="0.3">
      <c r="A3234" s="733" t="s">
        <v>3211</v>
      </c>
      <c r="B3234" s="733" t="s">
        <v>664</v>
      </c>
      <c r="C3234" s="738" t="s">
        <v>3221</v>
      </c>
      <c r="D3234" s="733" t="s">
        <v>21</v>
      </c>
      <c r="E3234" s="761"/>
      <c r="F3234" s="761"/>
      <c r="G3234" s="733"/>
      <c r="H3234" s="733"/>
      <c r="I3234" s="733"/>
      <c r="J3234" s="733"/>
      <c r="K3234" s="733"/>
      <c r="L3234" s="733"/>
      <c r="M3234" s="733"/>
    </row>
    <row r="3235" spans="1:13" x14ac:dyDescent="0.3">
      <c r="A3235" s="733" t="s">
        <v>3211</v>
      </c>
      <c r="B3235" s="733" t="s">
        <v>612</v>
      </c>
      <c r="C3235" s="738" t="s">
        <v>3222</v>
      </c>
      <c r="D3235" s="733" t="s">
        <v>21</v>
      </c>
      <c r="E3235" s="761"/>
      <c r="F3235" s="761"/>
      <c r="G3235" s="733"/>
      <c r="H3235" s="733"/>
      <c r="I3235" s="733"/>
      <c r="J3235" s="733"/>
      <c r="K3235" s="733"/>
      <c r="L3235" s="733"/>
      <c r="M3235" s="733"/>
    </row>
    <row r="3236" spans="1:13" x14ac:dyDescent="0.3">
      <c r="A3236" s="733" t="s">
        <v>3211</v>
      </c>
      <c r="B3236" s="733" t="s">
        <v>612</v>
      </c>
      <c r="C3236" s="738" t="s">
        <v>3223</v>
      </c>
      <c r="D3236" s="733" t="s">
        <v>21</v>
      </c>
      <c r="E3236" s="761"/>
      <c r="F3236" s="761"/>
      <c r="G3236" s="733"/>
      <c r="H3236" s="733"/>
      <c r="I3236" s="733"/>
      <c r="J3236" s="733"/>
      <c r="K3236" s="733"/>
      <c r="L3236" s="733"/>
      <c r="M3236" s="733"/>
    </row>
    <row r="3237" spans="1:13" x14ac:dyDescent="0.3">
      <c r="A3237" s="733" t="s">
        <v>3211</v>
      </c>
      <c r="B3237" s="733" t="s">
        <v>612</v>
      </c>
      <c r="C3237" s="738" t="s">
        <v>3224</v>
      </c>
      <c r="D3237" s="733" t="s">
        <v>21</v>
      </c>
      <c r="E3237" s="761"/>
      <c r="F3237" s="761"/>
      <c r="G3237" s="733"/>
      <c r="H3237" s="733"/>
      <c r="I3237" s="733"/>
      <c r="J3237" s="733"/>
      <c r="K3237" s="733"/>
      <c r="L3237" s="733"/>
      <c r="M3237" s="733"/>
    </row>
    <row r="3238" spans="1:13" x14ac:dyDescent="0.3">
      <c r="A3238" s="733" t="s">
        <v>3211</v>
      </c>
      <c r="B3238" s="733" t="s">
        <v>612</v>
      </c>
      <c r="C3238" s="738" t="s">
        <v>3225</v>
      </c>
      <c r="D3238" s="733" t="s">
        <v>21</v>
      </c>
      <c r="E3238" s="761"/>
      <c r="F3238" s="761"/>
      <c r="G3238" s="733"/>
      <c r="H3238" s="733"/>
      <c r="I3238" s="733"/>
      <c r="J3238" s="733"/>
      <c r="K3238" s="733"/>
      <c r="L3238" s="733"/>
      <c r="M3238" s="733"/>
    </row>
    <row r="3239" spans="1:13" ht="28.8" x14ac:dyDescent="0.3">
      <c r="A3239" s="733" t="s">
        <v>3211</v>
      </c>
      <c r="B3239" s="733" t="s">
        <v>612</v>
      </c>
      <c r="C3239" s="738" t="s">
        <v>3226</v>
      </c>
      <c r="D3239" s="733" t="s">
        <v>21</v>
      </c>
      <c r="E3239" s="761"/>
      <c r="F3239" s="761"/>
      <c r="G3239" s="733"/>
      <c r="H3239" s="733"/>
      <c r="I3239" s="733"/>
      <c r="J3239" s="733"/>
      <c r="K3239" s="733"/>
      <c r="L3239" s="733"/>
      <c r="M3239" s="733"/>
    </row>
    <row r="3240" spans="1:13" x14ac:dyDescent="0.3">
      <c r="A3240" s="733" t="s">
        <v>3211</v>
      </c>
      <c r="B3240" s="733" t="s">
        <v>645</v>
      </c>
      <c r="C3240" s="738" t="s">
        <v>3227</v>
      </c>
      <c r="D3240" s="733" t="s">
        <v>21</v>
      </c>
      <c r="E3240" s="761"/>
      <c r="F3240" s="761"/>
      <c r="G3240" s="733"/>
      <c r="H3240" s="733"/>
      <c r="I3240" s="733"/>
      <c r="J3240" s="733"/>
      <c r="K3240" s="733"/>
      <c r="L3240" s="733"/>
      <c r="M3240" s="733"/>
    </row>
    <row r="3241" spans="1:13" ht="28.8" x14ac:dyDescent="0.3">
      <c r="A3241" s="733" t="s">
        <v>3211</v>
      </c>
      <c r="B3241" s="733" t="s">
        <v>645</v>
      </c>
      <c r="C3241" s="738" t="s">
        <v>3228</v>
      </c>
      <c r="D3241" s="733" t="s">
        <v>21</v>
      </c>
      <c r="E3241" s="761"/>
      <c r="F3241" s="761"/>
      <c r="G3241" s="733"/>
      <c r="H3241" s="733"/>
      <c r="I3241" s="733"/>
      <c r="J3241" s="733"/>
      <c r="K3241" s="733"/>
      <c r="L3241" s="733"/>
      <c r="M3241" s="733"/>
    </row>
    <row r="3242" spans="1:13" ht="28.8" x14ac:dyDescent="0.3">
      <c r="A3242" s="733" t="s">
        <v>3211</v>
      </c>
      <c r="B3242" s="733" t="s">
        <v>645</v>
      </c>
      <c r="C3242" s="738" t="s">
        <v>3229</v>
      </c>
      <c r="D3242" s="733" t="s">
        <v>21</v>
      </c>
      <c r="E3242" s="761"/>
      <c r="F3242" s="761"/>
      <c r="G3242" s="733"/>
      <c r="H3242" s="733"/>
      <c r="I3242" s="733"/>
      <c r="J3242" s="733"/>
      <c r="K3242" s="733"/>
      <c r="L3242" s="733"/>
      <c r="M3242" s="733"/>
    </row>
    <row r="3243" spans="1:13" x14ac:dyDescent="0.3">
      <c r="A3243" s="733" t="s">
        <v>3211</v>
      </c>
      <c r="B3243" s="733" t="s">
        <v>645</v>
      </c>
      <c r="C3243" s="738" t="s">
        <v>3230</v>
      </c>
      <c r="D3243" s="733" t="s">
        <v>21</v>
      </c>
      <c r="E3243" s="761"/>
      <c r="F3243" s="761"/>
      <c r="G3243" s="733"/>
      <c r="H3243" s="733"/>
      <c r="I3243" s="733"/>
      <c r="J3243" s="733"/>
      <c r="K3243" s="733"/>
      <c r="L3243" s="733"/>
      <c r="M3243" s="733"/>
    </row>
    <row r="3244" spans="1:13" ht="28.8" x14ac:dyDescent="0.3">
      <c r="A3244" s="733" t="s">
        <v>3211</v>
      </c>
      <c r="B3244" s="733" t="s">
        <v>645</v>
      </c>
      <c r="C3244" s="738" t="s">
        <v>3231</v>
      </c>
      <c r="D3244" s="733" t="s">
        <v>21</v>
      </c>
      <c r="E3244" s="761"/>
      <c r="F3244" s="761"/>
      <c r="G3244" s="733"/>
      <c r="H3244" s="733"/>
      <c r="I3244" s="733"/>
      <c r="J3244" s="733"/>
      <c r="K3244" s="733"/>
      <c r="L3244" s="733"/>
      <c r="M3244" s="733"/>
    </row>
    <row r="3245" spans="1:13" x14ac:dyDescent="0.3">
      <c r="A3245" s="733" t="s">
        <v>3211</v>
      </c>
      <c r="B3245" s="733" t="s">
        <v>664</v>
      </c>
      <c r="C3245" s="738" t="s">
        <v>3232</v>
      </c>
      <c r="D3245" s="733" t="s">
        <v>21</v>
      </c>
      <c r="E3245" s="761"/>
      <c r="F3245" s="761"/>
      <c r="G3245" s="733"/>
      <c r="H3245" s="733"/>
      <c r="I3245" s="733"/>
      <c r="J3245" s="733"/>
      <c r="K3245" s="733"/>
      <c r="L3245" s="733"/>
      <c r="M3245" s="733"/>
    </row>
    <row r="3246" spans="1:13" ht="28.8" x14ac:dyDescent="0.3">
      <c r="A3246" s="733" t="s">
        <v>3211</v>
      </c>
      <c r="B3246" s="733" t="s">
        <v>664</v>
      </c>
      <c r="C3246" s="738" t="s">
        <v>3233</v>
      </c>
      <c r="D3246" s="733" t="s">
        <v>21</v>
      </c>
      <c r="E3246" s="761"/>
      <c r="F3246" s="761"/>
      <c r="G3246" s="733"/>
      <c r="H3246" s="733"/>
      <c r="I3246" s="733"/>
      <c r="J3246" s="733"/>
      <c r="K3246" s="733"/>
      <c r="L3246" s="733"/>
      <c r="M3246" s="733"/>
    </row>
    <row r="3247" spans="1:13" x14ac:dyDescent="0.3">
      <c r="A3247" s="733" t="s">
        <v>3211</v>
      </c>
      <c r="B3247" s="733" t="s">
        <v>664</v>
      </c>
      <c r="C3247" s="738" t="s">
        <v>3234</v>
      </c>
      <c r="D3247" s="733" t="s">
        <v>21</v>
      </c>
      <c r="E3247" s="761"/>
      <c r="F3247" s="761"/>
      <c r="G3247" s="733"/>
      <c r="H3247" s="733"/>
      <c r="I3247" s="733"/>
      <c r="J3247" s="733"/>
      <c r="K3247" s="733"/>
      <c r="L3247" s="733"/>
      <c r="M3247" s="733"/>
    </row>
    <row r="3248" spans="1:13" ht="28.8" x14ac:dyDescent="0.3">
      <c r="A3248" s="733" t="s">
        <v>3211</v>
      </c>
      <c r="B3248" s="733" t="s">
        <v>664</v>
      </c>
      <c r="C3248" s="738" t="s">
        <v>3235</v>
      </c>
      <c r="D3248" s="733" t="s">
        <v>21</v>
      </c>
      <c r="E3248" s="761"/>
      <c r="F3248" s="761"/>
      <c r="G3248" s="733"/>
      <c r="H3248" s="733"/>
      <c r="I3248" s="733"/>
      <c r="J3248" s="733"/>
      <c r="K3248" s="733"/>
      <c r="L3248" s="733"/>
      <c r="M3248" s="733"/>
    </row>
    <row r="3249" spans="1:13" ht="28.8" x14ac:dyDescent="0.3">
      <c r="A3249" s="733" t="s">
        <v>3211</v>
      </c>
      <c r="B3249" s="733" t="s">
        <v>664</v>
      </c>
      <c r="C3249" s="738" t="s">
        <v>3236</v>
      </c>
      <c r="D3249" s="733" t="s">
        <v>21</v>
      </c>
      <c r="E3249" s="761"/>
      <c r="F3249" s="761"/>
      <c r="G3249" s="733"/>
      <c r="H3249" s="733"/>
      <c r="I3249" s="733"/>
      <c r="J3249" s="733"/>
      <c r="K3249" s="733"/>
      <c r="L3249" s="733"/>
      <c r="M3249" s="733"/>
    </row>
    <row r="3250" spans="1:13" x14ac:dyDescent="0.3">
      <c r="A3250" s="733" t="s">
        <v>3211</v>
      </c>
      <c r="B3250" s="733" t="s">
        <v>612</v>
      </c>
      <c r="C3250" s="738" t="s">
        <v>3237</v>
      </c>
      <c r="D3250" s="733" t="s">
        <v>21</v>
      </c>
      <c r="E3250" s="761"/>
      <c r="F3250" s="761"/>
      <c r="G3250" s="733"/>
      <c r="H3250" s="733"/>
      <c r="I3250" s="733"/>
      <c r="J3250" s="733"/>
      <c r="K3250" s="733"/>
      <c r="L3250" s="733"/>
      <c r="M3250" s="733"/>
    </row>
    <row r="3251" spans="1:13" ht="28.8" x14ac:dyDescent="0.3">
      <c r="A3251" s="733" t="s">
        <v>3211</v>
      </c>
      <c r="B3251" s="733" t="s">
        <v>612</v>
      </c>
      <c r="C3251" s="738" t="s">
        <v>3238</v>
      </c>
      <c r="D3251" s="733" t="s">
        <v>21</v>
      </c>
      <c r="E3251" s="761"/>
      <c r="F3251" s="761"/>
      <c r="G3251" s="733"/>
      <c r="H3251" s="733"/>
      <c r="I3251" s="733"/>
      <c r="J3251" s="733"/>
      <c r="K3251" s="733"/>
      <c r="L3251" s="733"/>
      <c r="M3251" s="733"/>
    </row>
    <row r="3252" spans="1:13" x14ac:dyDescent="0.3">
      <c r="A3252" s="733" t="s">
        <v>3211</v>
      </c>
      <c r="B3252" s="733" t="s">
        <v>612</v>
      </c>
      <c r="C3252" s="738" t="s">
        <v>3239</v>
      </c>
      <c r="D3252" s="733" t="s">
        <v>21</v>
      </c>
      <c r="E3252" s="761"/>
      <c r="F3252" s="761"/>
      <c r="G3252" s="733"/>
      <c r="H3252" s="733"/>
      <c r="I3252" s="733"/>
      <c r="J3252" s="733"/>
      <c r="K3252" s="733"/>
      <c r="L3252" s="733"/>
      <c r="M3252" s="733"/>
    </row>
    <row r="3253" spans="1:13" ht="28.8" x14ac:dyDescent="0.3">
      <c r="A3253" s="733" t="s">
        <v>3211</v>
      </c>
      <c r="B3253" s="733" t="s">
        <v>612</v>
      </c>
      <c r="C3253" s="738" t="s">
        <v>3240</v>
      </c>
      <c r="D3253" s="733" t="s">
        <v>21</v>
      </c>
      <c r="E3253" s="761"/>
      <c r="F3253" s="761"/>
      <c r="G3253" s="733"/>
      <c r="H3253" s="733"/>
      <c r="I3253" s="733"/>
      <c r="J3253" s="733"/>
      <c r="K3253" s="733"/>
      <c r="L3253" s="733"/>
      <c r="M3253" s="733"/>
    </row>
    <row r="3254" spans="1:13" ht="28.8" x14ac:dyDescent="0.3">
      <c r="A3254" s="733" t="s">
        <v>3211</v>
      </c>
      <c r="B3254" s="733" t="s">
        <v>612</v>
      </c>
      <c r="C3254" s="738" t="s">
        <v>3241</v>
      </c>
      <c r="D3254" s="733" t="s">
        <v>21</v>
      </c>
      <c r="E3254" s="761"/>
      <c r="F3254" s="761"/>
      <c r="G3254" s="733"/>
      <c r="H3254" s="733"/>
      <c r="I3254" s="733"/>
      <c r="J3254" s="733"/>
      <c r="K3254" s="733"/>
      <c r="L3254" s="733"/>
      <c r="M3254" s="733"/>
    </row>
    <row r="3255" spans="1:13" ht="28.8" x14ac:dyDescent="0.3">
      <c r="A3255" s="733" t="s">
        <v>2128</v>
      </c>
      <c r="B3255" s="733" t="s">
        <v>645</v>
      </c>
      <c r="C3255" s="738" t="s">
        <v>3242</v>
      </c>
      <c r="D3255" s="733"/>
      <c r="E3255" s="761"/>
      <c r="F3255" s="761"/>
      <c r="G3255" s="733"/>
      <c r="H3255" s="733"/>
      <c r="I3255" s="733"/>
      <c r="J3255" s="733"/>
      <c r="K3255" s="733"/>
      <c r="L3255" s="733"/>
      <c r="M3255" s="733"/>
    </row>
    <row r="3256" spans="1:13" ht="28.8" x14ac:dyDescent="0.3">
      <c r="A3256" s="733" t="s">
        <v>2128</v>
      </c>
      <c r="B3256" s="733" t="s">
        <v>645</v>
      </c>
      <c r="C3256" s="738" t="s">
        <v>3243</v>
      </c>
      <c r="D3256" s="733"/>
      <c r="E3256" s="761"/>
      <c r="F3256" s="761"/>
      <c r="G3256" s="733"/>
      <c r="H3256" s="733"/>
      <c r="I3256" s="733"/>
      <c r="J3256" s="733"/>
      <c r="K3256" s="733"/>
      <c r="L3256" s="733"/>
      <c r="M3256" s="733"/>
    </row>
    <row r="3257" spans="1:13" ht="28.8" x14ac:dyDescent="0.3">
      <c r="A3257" s="733" t="s">
        <v>2128</v>
      </c>
      <c r="B3257" s="733" t="s">
        <v>645</v>
      </c>
      <c r="C3257" s="738" t="s">
        <v>3244</v>
      </c>
      <c r="D3257" s="733"/>
      <c r="E3257" s="761"/>
      <c r="F3257" s="761"/>
      <c r="G3257" s="733"/>
      <c r="H3257" s="733"/>
      <c r="I3257" s="733"/>
      <c r="J3257" s="733"/>
      <c r="K3257" s="733"/>
      <c r="L3257" s="733"/>
      <c r="M3257" s="733"/>
    </row>
    <row r="3258" spans="1:13" ht="28.8" x14ac:dyDescent="0.3">
      <c r="A3258" s="733" t="s">
        <v>2128</v>
      </c>
      <c r="B3258" s="733" t="s">
        <v>645</v>
      </c>
      <c r="C3258" s="738" t="s">
        <v>3245</v>
      </c>
      <c r="D3258" s="733"/>
      <c r="E3258" s="761"/>
      <c r="F3258" s="761"/>
      <c r="G3258" s="733"/>
      <c r="H3258" s="733"/>
      <c r="I3258" s="733"/>
      <c r="J3258" s="733"/>
      <c r="K3258" s="733"/>
      <c r="L3258" s="733"/>
      <c r="M3258" s="733"/>
    </row>
    <row r="3259" spans="1:13" ht="28.8" x14ac:dyDescent="0.3">
      <c r="A3259" s="733" t="s">
        <v>2128</v>
      </c>
      <c r="B3259" s="733" t="s">
        <v>645</v>
      </c>
      <c r="C3259" s="738" t="s">
        <v>3246</v>
      </c>
      <c r="D3259" s="733"/>
      <c r="E3259" s="761"/>
      <c r="F3259" s="761"/>
      <c r="G3259" s="733"/>
      <c r="H3259" s="733"/>
      <c r="I3259" s="733"/>
      <c r="J3259" s="733"/>
      <c r="K3259" s="733"/>
      <c r="L3259" s="733"/>
      <c r="M3259" s="733"/>
    </row>
    <row r="3260" spans="1:13" x14ac:dyDescent="0.3">
      <c r="A3260" s="733" t="s">
        <v>2128</v>
      </c>
      <c r="B3260" s="733" t="s">
        <v>664</v>
      </c>
      <c r="C3260" s="738" t="s">
        <v>3247</v>
      </c>
      <c r="D3260" s="733"/>
      <c r="E3260" s="761"/>
      <c r="F3260" s="761"/>
      <c r="G3260" s="733"/>
      <c r="H3260" s="733"/>
      <c r="I3260" s="733"/>
      <c r="J3260" s="733"/>
      <c r="K3260" s="733"/>
      <c r="L3260" s="733"/>
      <c r="M3260" s="733"/>
    </row>
    <row r="3261" spans="1:13" x14ac:dyDescent="0.3">
      <c r="A3261" s="733" t="s">
        <v>2128</v>
      </c>
      <c r="B3261" s="733" t="s">
        <v>664</v>
      </c>
      <c r="C3261" s="738" t="s">
        <v>3248</v>
      </c>
      <c r="D3261" s="733"/>
      <c r="E3261" s="761"/>
      <c r="F3261" s="761"/>
      <c r="G3261" s="733"/>
      <c r="H3261" s="733"/>
      <c r="I3261" s="733"/>
      <c r="J3261" s="733"/>
      <c r="K3261" s="733"/>
      <c r="L3261" s="733"/>
      <c r="M3261" s="733"/>
    </row>
    <row r="3262" spans="1:13" ht="28.8" x14ac:dyDescent="0.3">
      <c r="A3262" s="733" t="s">
        <v>2128</v>
      </c>
      <c r="B3262" s="733" t="s">
        <v>664</v>
      </c>
      <c r="C3262" s="738" t="s">
        <v>3249</v>
      </c>
      <c r="D3262" s="733"/>
      <c r="E3262" s="761"/>
      <c r="F3262" s="761"/>
      <c r="G3262" s="733"/>
      <c r="H3262" s="733"/>
      <c r="I3262" s="733"/>
      <c r="J3262" s="733"/>
      <c r="K3262" s="733"/>
      <c r="L3262" s="733"/>
      <c r="M3262" s="733"/>
    </row>
    <row r="3263" spans="1:13" ht="28.8" x14ac:dyDescent="0.3">
      <c r="A3263" s="733" t="s">
        <v>2128</v>
      </c>
      <c r="B3263" s="733" t="s">
        <v>664</v>
      </c>
      <c r="C3263" s="738" t="s">
        <v>3250</v>
      </c>
      <c r="D3263" s="733"/>
      <c r="E3263" s="761"/>
      <c r="F3263" s="761"/>
      <c r="G3263" s="733"/>
      <c r="H3263" s="733"/>
      <c r="I3263" s="733"/>
      <c r="J3263" s="733"/>
      <c r="K3263" s="733"/>
      <c r="L3263" s="733"/>
      <c r="M3263" s="733"/>
    </row>
    <row r="3264" spans="1:13" ht="28.8" x14ac:dyDescent="0.3">
      <c r="A3264" s="733" t="s">
        <v>2128</v>
      </c>
      <c r="B3264" s="733" t="s">
        <v>664</v>
      </c>
      <c r="C3264" s="738" t="s">
        <v>3251</v>
      </c>
      <c r="D3264" s="733"/>
      <c r="E3264" s="761"/>
      <c r="F3264" s="761"/>
      <c r="G3264" s="733"/>
      <c r="H3264" s="733"/>
      <c r="I3264" s="733"/>
      <c r="J3264" s="733"/>
      <c r="K3264" s="733"/>
      <c r="L3264" s="733"/>
      <c r="M3264" s="733"/>
    </row>
    <row r="3265" spans="1:13" ht="28.8" x14ac:dyDescent="0.3">
      <c r="A3265" s="733" t="s">
        <v>2128</v>
      </c>
      <c r="B3265" s="733" t="s">
        <v>612</v>
      </c>
      <c r="C3265" s="738" t="s">
        <v>3252</v>
      </c>
      <c r="D3265" s="733"/>
      <c r="E3265" s="761"/>
      <c r="F3265" s="761"/>
      <c r="G3265" s="733"/>
      <c r="H3265" s="733"/>
      <c r="I3265" s="733"/>
      <c r="J3265" s="733"/>
      <c r="K3265" s="733"/>
      <c r="L3265" s="733"/>
      <c r="M3265" s="733"/>
    </row>
    <row r="3266" spans="1:13" ht="28.8" x14ac:dyDescent="0.3">
      <c r="A3266" s="733" t="s">
        <v>2128</v>
      </c>
      <c r="B3266" s="733" t="s">
        <v>612</v>
      </c>
      <c r="C3266" s="738" t="s">
        <v>3253</v>
      </c>
      <c r="D3266" s="733"/>
      <c r="E3266" s="761"/>
      <c r="F3266" s="761"/>
      <c r="G3266" s="733"/>
      <c r="H3266" s="733"/>
      <c r="I3266" s="733"/>
      <c r="J3266" s="733"/>
      <c r="K3266" s="733"/>
      <c r="L3266" s="733"/>
      <c r="M3266" s="733"/>
    </row>
    <row r="3267" spans="1:13" x14ac:dyDescent="0.3">
      <c r="A3267" s="733" t="s">
        <v>2128</v>
      </c>
      <c r="B3267" s="733" t="s">
        <v>612</v>
      </c>
      <c r="C3267" s="738" t="s">
        <v>3254</v>
      </c>
      <c r="D3267" s="733"/>
      <c r="E3267" s="761"/>
      <c r="F3267" s="761"/>
      <c r="G3267" s="733"/>
      <c r="H3267" s="733"/>
      <c r="I3267" s="733"/>
      <c r="J3267" s="733"/>
      <c r="K3267" s="733"/>
      <c r="L3267" s="733"/>
      <c r="M3267" s="733"/>
    </row>
    <row r="3268" spans="1:13" ht="28.8" x14ac:dyDescent="0.3">
      <c r="A3268" s="733" t="s">
        <v>2128</v>
      </c>
      <c r="B3268" s="733" t="s">
        <v>612</v>
      </c>
      <c r="C3268" s="738" t="s">
        <v>3255</v>
      </c>
      <c r="D3268" s="733"/>
      <c r="E3268" s="761"/>
      <c r="F3268" s="761"/>
      <c r="G3268" s="733"/>
      <c r="H3268" s="733"/>
      <c r="I3268" s="733"/>
      <c r="J3268" s="733"/>
      <c r="K3268" s="733"/>
      <c r="L3268" s="733"/>
      <c r="M3268" s="733"/>
    </row>
    <row r="3269" spans="1:13" ht="28.8" x14ac:dyDescent="0.3">
      <c r="A3269" s="733" t="s">
        <v>2128</v>
      </c>
      <c r="B3269" s="733" t="s">
        <v>612</v>
      </c>
      <c r="C3269" s="738" t="s">
        <v>3256</v>
      </c>
      <c r="D3269" s="733"/>
      <c r="E3269" s="761"/>
      <c r="F3269" s="761"/>
      <c r="G3269" s="733"/>
      <c r="H3269" s="733"/>
      <c r="I3269" s="733"/>
      <c r="J3269" s="733"/>
      <c r="K3269" s="733"/>
      <c r="L3269" s="733"/>
      <c r="M3269" s="733"/>
    </row>
    <row r="3270" spans="1:13" x14ac:dyDescent="0.3">
      <c r="A3270" s="733" t="s">
        <v>1287</v>
      </c>
      <c r="B3270" s="733" t="s">
        <v>645</v>
      </c>
      <c r="C3270" s="738" t="s">
        <v>3257</v>
      </c>
      <c r="D3270" s="733"/>
      <c r="E3270" s="761"/>
      <c r="F3270" s="761"/>
      <c r="G3270" s="733"/>
      <c r="H3270" s="733"/>
      <c r="I3270" s="733"/>
      <c r="J3270" s="733"/>
      <c r="K3270" s="733"/>
      <c r="L3270" s="733"/>
      <c r="M3270" s="733"/>
    </row>
    <row r="3271" spans="1:13" ht="28.8" x14ac:dyDescent="0.3">
      <c r="A3271" s="733" t="s">
        <v>1287</v>
      </c>
      <c r="B3271" s="733" t="s">
        <v>645</v>
      </c>
      <c r="C3271" s="738" t="s">
        <v>3258</v>
      </c>
      <c r="D3271" s="733"/>
      <c r="E3271" s="761"/>
      <c r="F3271" s="761"/>
      <c r="G3271" s="733"/>
      <c r="H3271" s="733"/>
      <c r="I3271" s="733"/>
      <c r="J3271" s="733"/>
      <c r="K3271" s="733"/>
      <c r="L3271" s="733"/>
      <c r="M3271" s="733"/>
    </row>
    <row r="3272" spans="1:13" x14ac:dyDescent="0.3">
      <c r="A3272" s="733" t="s">
        <v>1287</v>
      </c>
      <c r="B3272" s="733" t="s">
        <v>645</v>
      </c>
      <c r="C3272" s="738" t="s">
        <v>3259</v>
      </c>
      <c r="D3272" s="733"/>
      <c r="E3272" s="761"/>
      <c r="F3272" s="761"/>
      <c r="G3272" s="733"/>
      <c r="H3272" s="733"/>
      <c r="I3272" s="733"/>
      <c r="J3272" s="733"/>
      <c r="K3272" s="733"/>
      <c r="L3272" s="733"/>
      <c r="M3272" s="733"/>
    </row>
    <row r="3273" spans="1:13" x14ac:dyDescent="0.3">
      <c r="A3273" s="733" t="s">
        <v>1287</v>
      </c>
      <c r="B3273" s="733" t="s">
        <v>645</v>
      </c>
      <c r="C3273" s="738" t="s">
        <v>3260</v>
      </c>
      <c r="D3273" s="733"/>
      <c r="E3273" s="761"/>
      <c r="F3273" s="761"/>
      <c r="G3273" s="733"/>
      <c r="H3273" s="733"/>
      <c r="I3273" s="733"/>
      <c r="J3273" s="733"/>
      <c r="K3273" s="733"/>
      <c r="L3273" s="733"/>
      <c r="M3273" s="733"/>
    </row>
    <row r="3274" spans="1:13" ht="28.8" x14ac:dyDescent="0.3">
      <c r="A3274" s="733" t="s">
        <v>1287</v>
      </c>
      <c r="B3274" s="733" t="s">
        <v>645</v>
      </c>
      <c r="C3274" s="738" t="s">
        <v>3261</v>
      </c>
      <c r="D3274" s="733"/>
      <c r="E3274" s="761"/>
      <c r="F3274" s="761"/>
      <c r="G3274" s="733"/>
      <c r="H3274" s="733"/>
      <c r="I3274" s="733"/>
      <c r="J3274" s="733"/>
      <c r="K3274" s="733"/>
      <c r="L3274" s="733"/>
      <c r="M3274" s="733"/>
    </row>
    <row r="3275" spans="1:13" x14ac:dyDescent="0.3">
      <c r="A3275" s="733" t="s">
        <v>1287</v>
      </c>
      <c r="B3275" s="733" t="s">
        <v>664</v>
      </c>
      <c r="C3275" s="738" t="s">
        <v>3262</v>
      </c>
      <c r="D3275" s="733"/>
      <c r="E3275" s="761"/>
      <c r="F3275" s="761"/>
      <c r="G3275" s="733"/>
      <c r="H3275" s="733"/>
      <c r="I3275" s="733"/>
      <c r="J3275" s="733"/>
      <c r="K3275" s="733"/>
      <c r="L3275" s="733"/>
      <c r="M3275" s="733"/>
    </row>
    <row r="3276" spans="1:13" x14ac:dyDescent="0.3">
      <c r="A3276" s="733" t="s">
        <v>1287</v>
      </c>
      <c r="B3276" s="733" t="s">
        <v>664</v>
      </c>
      <c r="C3276" s="738" t="s">
        <v>3263</v>
      </c>
      <c r="D3276" s="733"/>
      <c r="E3276" s="761"/>
      <c r="F3276" s="761"/>
      <c r="G3276" s="733"/>
      <c r="H3276" s="733"/>
      <c r="I3276" s="733"/>
      <c r="J3276" s="733"/>
      <c r="K3276" s="733"/>
      <c r="L3276" s="733"/>
      <c r="M3276" s="733"/>
    </row>
    <row r="3277" spans="1:13" ht="28.8" x14ac:dyDescent="0.3">
      <c r="A3277" s="733" t="s">
        <v>1287</v>
      </c>
      <c r="B3277" s="733" t="s">
        <v>664</v>
      </c>
      <c r="C3277" s="738" t="s">
        <v>3264</v>
      </c>
      <c r="D3277" s="733"/>
      <c r="E3277" s="761"/>
      <c r="F3277" s="761"/>
      <c r="G3277" s="733"/>
      <c r="H3277" s="733"/>
      <c r="I3277" s="733"/>
      <c r="J3277" s="733"/>
      <c r="K3277" s="733"/>
      <c r="L3277" s="733"/>
      <c r="M3277" s="733"/>
    </row>
    <row r="3278" spans="1:13" ht="28.8" x14ac:dyDescent="0.3">
      <c r="A3278" s="733" t="s">
        <v>1287</v>
      </c>
      <c r="B3278" s="733" t="s">
        <v>664</v>
      </c>
      <c r="C3278" s="738" t="s">
        <v>3265</v>
      </c>
      <c r="D3278" s="733"/>
      <c r="E3278" s="761"/>
      <c r="F3278" s="761"/>
      <c r="G3278" s="733"/>
      <c r="H3278" s="733"/>
      <c r="I3278" s="733"/>
      <c r="J3278" s="733"/>
      <c r="K3278" s="733"/>
      <c r="L3278" s="733"/>
      <c r="M3278" s="733"/>
    </row>
    <row r="3279" spans="1:13" ht="28.8" x14ac:dyDescent="0.3">
      <c r="A3279" s="733" t="s">
        <v>1287</v>
      </c>
      <c r="B3279" s="733" t="s">
        <v>664</v>
      </c>
      <c r="C3279" s="738" t="s">
        <v>3266</v>
      </c>
      <c r="D3279" s="733"/>
      <c r="E3279" s="761"/>
      <c r="F3279" s="761"/>
      <c r="G3279" s="733"/>
      <c r="H3279" s="733"/>
      <c r="I3279" s="733"/>
      <c r="J3279" s="733"/>
      <c r="K3279" s="733"/>
      <c r="L3279" s="733"/>
      <c r="M3279" s="733"/>
    </row>
    <row r="3280" spans="1:13" x14ac:dyDescent="0.3">
      <c r="A3280" s="733" t="s">
        <v>1287</v>
      </c>
      <c r="B3280" s="733" t="s">
        <v>612</v>
      </c>
      <c r="C3280" s="738" t="s">
        <v>3267</v>
      </c>
      <c r="D3280" s="733"/>
      <c r="E3280" s="761"/>
      <c r="F3280" s="761"/>
      <c r="G3280" s="733"/>
      <c r="H3280" s="733"/>
      <c r="I3280" s="733"/>
      <c r="J3280" s="733"/>
      <c r="K3280" s="733"/>
      <c r="L3280" s="733"/>
      <c r="M3280" s="733"/>
    </row>
    <row r="3281" spans="1:13" x14ac:dyDescent="0.3">
      <c r="A3281" s="733" t="s">
        <v>1287</v>
      </c>
      <c r="B3281" s="733" t="s">
        <v>612</v>
      </c>
      <c r="C3281" s="738" t="s">
        <v>3268</v>
      </c>
      <c r="D3281" s="733"/>
      <c r="E3281" s="761"/>
      <c r="F3281" s="761"/>
      <c r="G3281" s="733"/>
      <c r="H3281" s="733"/>
      <c r="I3281" s="733"/>
      <c r="J3281" s="733"/>
      <c r="K3281" s="733"/>
      <c r="L3281" s="733"/>
      <c r="M3281" s="733"/>
    </row>
    <row r="3282" spans="1:13" ht="28.8" x14ac:dyDescent="0.3">
      <c r="A3282" s="733" t="s">
        <v>1287</v>
      </c>
      <c r="B3282" s="733" t="s">
        <v>612</v>
      </c>
      <c r="C3282" s="738" t="s">
        <v>3269</v>
      </c>
      <c r="D3282" s="733"/>
      <c r="E3282" s="761"/>
      <c r="F3282" s="761"/>
      <c r="G3282" s="733"/>
      <c r="H3282" s="733"/>
      <c r="I3282" s="733"/>
      <c r="J3282" s="733"/>
      <c r="K3282" s="733"/>
      <c r="L3282" s="733"/>
      <c r="M3282" s="733"/>
    </row>
    <row r="3283" spans="1:13" ht="28.8" x14ac:dyDescent="0.3">
      <c r="A3283" s="733" t="s">
        <v>1287</v>
      </c>
      <c r="B3283" s="733" t="s">
        <v>612</v>
      </c>
      <c r="C3283" s="738" t="s">
        <v>3270</v>
      </c>
      <c r="D3283" s="733"/>
      <c r="E3283" s="761"/>
      <c r="F3283" s="761"/>
      <c r="G3283" s="733"/>
      <c r="H3283" s="733"/>
      <c r="I3283" s="733"/>
      <c r="J3283" s="733"/>
      <c r="K3283" s="733"/>
      <c r="L3283" s="733"/>
      <c r="M3283" s="733"/>
    </row>
    <row r="3284" spans="1:13" ht="28.8" x14ac:dyDescent="0.3">
      <c r="A3284" s="733" t="s">
        <v>1287</v>
      </c>
      <c r="B3284" s="733" t="s">
        <v>612</v>
      </c>
      <c r="C3284" s="738" t="s">
        <v>3271</v>
      </c>
      <c r="D3284" s="733"/>
      <c r="E3284" s="761"/>
      <c r="F3284" s="761"/>
      <c r="G3284" s="733"/>
      <c r="H3284" s="733"/>
      <c r="I3284" s="733"/>
      <c r="J3284" s="733"/>
      <c r="K3284" s="733"/>
      <c r="L3284" s="733"/>
      <c r="M3284" s="733"/>
    </row>
    <row r="3285" spans="1:13" ht="28.8" x14ac:dyDescent="0.3">
      <c r="A3285" s="733" t="s">
        <v>1287</v>
      </c>
      <c r="B3285" s="733" t="s">
        <v>645</v>
      </c>
      <c r="C3285" s="738" t="s">
        <v>3272</v>
      </c>
      <c r="D3285" s="733"/>
      <c r="E3285" s="761"/>
      <c r="F3285" s="761"/>
      <c r="G3285" s="733"/>
      <c r="H3285" s="733"/>
      <c r="I3285" s="733"/>
      <c r="J3285" s="733"/>
      <c r="K3285" s="733"/>
      <c r="L3285" s="733"/>
      <c r="M3285" s="733"/>
    </row>
    <row r="3286" spans="1:13" ht="28.8" x14ac:dyDescent="0.3">
      <c r="A3286" s="733" t="s">
        <v>1287</v>
      </c>
      <c r="B3286" s="733" t="s">
        <v>645</v>
      </c>
      <c r="C3286" s="738" t="s">
        <v>3273</v>
      </c>
      <c r="D3286" s="733"/>
      <c r="E3286" s="761"/>
      <c r="F3286" s="761"/>
      <c r="G3286" s="733"/>
      <c r="H3286" s="733"/>
      <c r="I3286" s="733"/>
      <c r="J3286" s="733"/>
      <c r="K3286" s="733"/>
      <c r="L3286" s="733"/>
      <c r="M3286" s="733"/>
    </row>
    <row r="3287" spans="1:13" ht="28.8" x14ac:dyDescent="0.3">
      <c r="A3287" s="733" t="s">
        <v>1287</v>
      </c>
      <c r="B3287" s="733" t="s">
        <v>645</v>
      </c>
      <c r="C3287" s="738" t="s">
        <v>3274</v>
      </c>
      <c r="D3287" s="733"/>
      <c r="E3287" s="761"/>
      <c r="F3287" s="761"/>
      <c r="G3287" s="733"/>
      <c r="H3287" s="733"/>
      <c r="I3287" s="733"/>
      <c r="J3287" s="733"/>
      <c r="K3287" s="733"/>
      <c r="L3287" s="733"/>
      <c r="M3287" s="733"/>
    </row>
    <row r="3288" spans="1:13" ht="28.8" x14ac:dyDescent="0.3">
      <c r="A3288" s="733" t="s">
        <v>1287</v>
      </c>
      <c r="B3288" s="733" t="s">
        <v>645</v>
      </c>
      <c r="C3288" s="738" t="s">
        <v>3275</v>
      </c>
      <c r="D3288" s="733"/>
      <c r="E3288" s="761"/>
      <c r="F3288" s="761"/>
      <c r="G3288" s="733"/>
      <c r="H3288" s="733"/>
      <c r="I3288" s="733"/>
      <c r="J3288" s="733"/>
      <c r="K3288" s="733"/>
      <c r="L3288" s="733"/>
      <c r="M3288" s="733"/>
    </row>
    <row r="3289" spans="1:13" ht="28.8" x14ac:dyDescent="0.3">
      <c r="A3289" s="733" t="s">
        <v>1287</v>
      </c>
      <c r="B3289" s="733" t="s">
        <v>645</v>
      </c>
      <c r="C3289" s="738" t="s">
        <v>3276</v>
      </c>
      <c r="D3289" s="733"/>
      <c r="E3289" s="761"/>
      <c r="F3289" s="761"/>
      <c r="G3289" s="733"/>
      <c r="H3289" s="733"/>
      <c r="I3289" s="733"/>
      <c r="J3289" s="733"/>
      <c r="K3289" s="733"/>
      <c r="L3289" s="733"/>
      <c r="M3289" s="733"/>
    </row>
    <row r="3290" spans="1:13" x14ac:dyDescent="0.3">
      <c r="A3290" s="733" t="s">
        <v>1287</v>
      </c>
      <c r="B3290" s="733" t="s">
        <v>664</v>
      </c>
      <c r="C3290" s="738" t="s">
        <v>3277</v>
      </c>
      <c r="D3290" s="733"/>
      <c r="E3290" s="761"/>
      <c r="F3290" s="761"/>
      <c r="G3290" s="733"/>
      <c r="H3290" s="733"/>
      <c r="I3290" s="733"/>
      <c r="J3290" s="733"/>
      <c r="K3290" s="733"/>
      <c r="L3290" s="733"/>
      <c r="M3290" s="733"/>
    </row>
    <row r="3291" spans="1:13" x14ac:dyDescent="0.3">
      <c r="A3291" s="733" t="s">
        <v>1287</v>
      </c>
      <c r="B3291" s="733" t="s">
        <v>664</v>
      </c>
      <c r="C3291" s="738" t="s">
        <v>3278</v>
      </c>
      <c r="D3291" s="733"/>
      <c r="E3291" s="761"/>
      <c r="F3291" s="761"/>
      <c r="G3291" s="733"/>
      <c r="H3291" s="733"/>
      <c r="I3291" s="733"/>
      <c r="J3291" s="733"/>
      <c r="K3291" s="733"/>
      <c r="L3291" s="733"/>
      <c r="M3291" s="733"/>
    </row>
    <row r="3292" spans="1:13" ht="28.8" x14ac:dyDescent="0.3">
      <c r="A3292" s="733" t="s">
        <v>1287</v>
      </c>
      <c r="B3292" s="733" t="s">
        <v>664</v>
      </c>
      <c r="C3292" s="738" t="s">
        <v>3279</v>
      </c>
      <c r="D3292" s="733"/>
      <c r="E3292" s="761"/>
      <c r="F3292" s="761"/>
      <c r="G3292" s="733"/>
      <c r="H3292" s="733"/>
      <c r="I3292" s="733"/>
      <c r="J3292" s="733"/>
      <c r="K3292" s="733"/>
      <c r="L3292" s="733"/>
      <c r="M3292" s="733"/>
    </row>
    <row r="3293" spans="1:13" ht="28.8" x14ac:dyDescent="0.3">
      <c r="A3293" s="733" t="s">
        <v>1287</v>
      </c>
      <c r="B3293" s="733" t="s">
        <v>664</v>
      </c>
      <c r="C3293" s="738" t="s">
        <v>3280</v>
      </c>
      <c r="D3293" s="733"/>
      <c r="E3293" s="761"/>
      <c r="F3293" s="761"/>
      <c r="G3293" s="733"/>
      <c r="H3293" s="733"/>
      <c r="I3293" s="733"/>
      <c r="J3293" s="733"/>
      <c r="K3293" s="733"/>
      <c r="L3293" s="733"/>
      <c r="M3293" s="733"/>
    </row>
    <row r="3294" spans="1:13" ht="28.8" x14ac:dyDescent="0.3">
      <c r="A3294" s="733" t="s">
        <v>1287</v>
      </c>
      <c r="B3294" s="733" t="s">
        <v>664</v>
      </c>
      <c r="C3294" s="738" t="s">
        <v>3281</v>
      </c>
      <c r="D3294" s="733"/>
      <c r="E3294" s="761"/>
      <c r="F3294" s="761"/>
      <c r="G3294" s="733"/>
      <c r="H3294" s="733"/>
      <c r="I3294" s="733"/>
      <c r="J3294" s="733"/>
      <c r="K3294" s="733"/>
      <c r="L3294" s="733"/>
      <c r="M3294" s="733"/>
    </row>
    <row r="3295" spans="1:13" x14ac:dyDescent="0.3">
      <c r="A3295" s="733" t="s">
        <v>1287</v>
      </c>
      <c r="B3295" s="733" t="s">
        <v>612</v>
      </c>
      <c r="C3295" s="738" t="s">
        <v>3282</v>
      </c>
      <c r="D3295" s="733"/>
      <c r="E3295" s="761"/>
      <c r="F3295" s="761"/>
      <c r="G3295" s="733"/>
      <c r="H3295" s="733"/>
      <c r="I3295" s="733"/>
      <c r="J3295" s="733"/>
      <c r="K3295" s="733"/>
      <c r="L3295" s="733"/>
      <c r="M3295" s="733"/>
    </row>
    <row r="3296" spans="1:13" ht="28.8" x14ac:dyDescent="0.3">
      <c r="A3296" s="733" t="s">
        <v>1287</v>
      </c>
      <c r="B3296" s="733" t="s">
        <v>612</v>
      </c>
      <c r="C3296" s="738" t="s">
        <v>3283</v>
      </c>
      <c r="D3296" s="733"/>
      <c r="E3296" s="761"/>
      <c r="F3296" s="761"/>
      <c r="G3296" s="733"/>
      <c r="H3296" s="733"/>
      <c r="I3296" s="733"/>
      <c r="J3296" s="733"/>
      <c r="K3296" s="733"/>
      <c r="L3296" s="733"/>
      <c r="M3296" s="733"/>
    </row>
    <row r="3297" spans="1:13" ht="28.8" x14ac:dyDescent="0.3">
      <c r="A3297" s="733" t="s">
        <v>1287</v>
      </c>
      <c r="B3297" s="733" t="s">
        <v>612</v>
      </c>
      <c r="C3297" s="738" t="s">
        <v>3284</v>
      </c>
      <c r="D3297" s="733"/>
      <c r="E3297" s="761"/>
      <c r="F3297" s="761"/>
      <c r="G3297" s="733"/>
      <c r="H3297" s="733"/>
      <c r="I3297" s="733"/>
      <c r="J3297" s="733"/>
      <c r="K3297" s="733"/>
      <c r="L3297" s="733"/>
      <c r="M3297" s="733"/>
    </row>
    <row r="3298" spans="1:13" ht="28.8" x14ac:dyDescent="0.3">
      <c r="A3298" s="733" t="s">
        <v>1287</v>
      </c>
      <c r="B3298" s="733" t="s">
        <v>612</v>
      </c>
      <c r="C3298" s="738" t="s">
        <v>3285</v>
      </c>
      <c r="D3298" s="733"/>
      <c r="E3298" s="761"/>
      <c r="F3298" s="761"/>
      <c r="G3298" s="733"/>
      <c r="H3298" s="733"/>
      <c r="I3298" s="733"/>
      <c r="J3298" s="733"/>
      <c r="K3298" s="733"/>
      <c r="L3298" s="733"/>
      <c r="M3298" s="733"/>
    </row>
    <row r="3299" spans="1:13" ht="28.8" x14ac:dyDescent="0.3">
      <c r="A3299" s="733" t="s">
        <v>1287</v>
      </c>
      <c r="B3299" s="733" t="s">
        <v>612</v>
      </c>
      <c r="C3299" s="738" t="s">
        <v>3286</v>
      </c>
      <c r="D3299" s="733"/>
      <c r="E3299" s="761"/>
      <c r="F3299" s="761"/>
      <c r="G3299" s="733"/>
      <c r="H3299" s="733"/>
      <c r="I3299" s="733"/>
      <c r="J3299" s="733"/>
      <c r="K3299" s="733"/>
      <c r="L3299" s="733"/>
      <c r="M3299" s="733"/>
    </row>
    <row r="3300" spans="1:13" x14ac:dyDescent="0.3">
      <c r="A3300" s="733" t="s">
        <v>2582</v>
      </c>
      <c r="B3300" s="733" t="s">
        <v>645</v>
      </c>
      <c r="C3300" s="738" t="s">
        <v>3287</v>
      </c>
      <c r="D3300" s="733"/>
      <c r="E3300" s="761"/>
      <c r="F3300" s="761"/>
      <c r="G3300" s="733"/>
      <c r="H3300" s="733"/>
      <c r="I3300" s="733"/>
      <c r="J3300" s="733"/>
      <c r="K3300" s="733"/>
      <c r="L3300" s="733"/>
      <c r="M3300" s="733"/>
    </row>
    <row r="3301" spans="1:13" x14ac:dyDescent="0.3">
      <c r="A3301" s="733" t="s">
        <v>2582</v>
      </c>
      <c r="B3301" s="733" t="s">
        <v>645</v>
      </c>
      <c r="C3301" s="738" t="s">
        <v>3288</v>
      </c>
      <c r="D3301" s="733"/>
      <c r="E3301" s="761"/>
      <c r="F3301" s="761"/>
      <c r="G3301" s="733"/>
      <c r="H3301" s="733"/>
      <c r="I3301" s="733"/>
      <c r="J3301" s="733"/>
      <c r="K3301" s="733"/>
      <c r="L3301" s="733"/>
      <c r="M3301" s="733"/>
    </row>
    <row r="3302" spans="1:13" x14ac:dyDescent="0.3">
      <c r="A3302" s="733" t="s">
        <v>2582</v>
      </c>
      <c r="B3302" s="733" t="s">
        <v>645</v>
      </c>
      <c r="C3302" s="738" t="s">
        <v>3289</v>
      </c>
      <c r="D3302" s="733"/>
      <c r="E3302" s="761"/>
      <c r="F3302" s="761"/>
      <c r="G3302" s="733"/>
      <c r="H3302" s="733"/>
      <c r="I3302" s="733"/>
      <c r="J3302" s="733"/>
      <c r="K3302" s="733"/>
      <c r="L3302" s="733"/>
      <c r="M3302" s="733"/>
    </row>
    <row r="3303" spans="1:13" x14ac:dyDescent="0.3">
      <c r="A3303" s="733" t="s">
        <v>2582</v>
      </c>
      <c r="B3303" s="733" t="s">
        <v>645</v>
      </c>
      <c r="C3303" s="738" t="s">
        <v>3290</v>
      </c>
      <c r="D3303" s="733"/>
      <c r="E3303" s="761"/>
      <c r="F3303" s="761"/>
      <c r="G3303" s="733"/>
      <c r="H3303" s="733"/>
      <c r="I3303" s="733"/>
      <c r="J3303" s="733"/>
      <c r="K3303" s="733"/>
      <c r="L3303" s="733"/>
      <c r="M3303" s="733"/>
    </row>
    <row r="3304" spans="1:13" x14ac:dyDescent="0.3">
      <c r="A3304" s="733" t="s">
        <v>2582</v>
      </c>
      <c r="B3304" s="733" t="s">
        <v>645</v>
      </c>
      <c r="C3304" s="738" t="s">
        <v>3291</v>
      </c>
      <c r="D3304" s="733"/>
      <c r="E3304" s="761"/>
      <c r="F3304" s="761"/>
      <c r="G3304" s="733"/>
      <c r="H3304" s="733"/>
      <c r="I3304" s="733"/>
      <c r="J3304" s="733"/>
      <c r="K3304" s="733"/>
      <c r="L3304" s="733"/>
      <c r="M3304" s="733"/>
    </row>
    <row r="3305" spans="1:13" x14ac:dyDescent="0.3">
      <c r="A3305" s="733" t="s">
        <v>2582</v>
      </c>
      <c r="B3305" s="733" t="s">
        <v>664</v>
      </c>
      <c r="C3305" s="738" t="s">
        <v>3292</v>
      </c>
      <c r="D3305" s="733"/>
      <c r="E3305" s="761"/>
      <c r="F3305" s="761"/>
      <c r="G3305" s="733"/>
      <c r="H3305" s="733"/>
      <c r="I3305" s="733"/>
      <c r="J3305" s="733"/>
      <c r="K3305" s="733"/>
      <c r="L3305" s="733"/>
      <c r="M3305" s="733"/>
    </row>
    <row r="3306" spans="1:13" x14ac:dyDescent="0.3">
      <c r="A3306" s="733" t="s">
        <v>2582</v>
      </c>
      <c r="B3306" s="733" t="s">
        <v>664</v>
      </c>
      <c r="C3306" s="738" t="s">
        <v>3293</v>
      </c>
      <c r="D3306" s="733"/>
      <c r="E3306" s="761"/>
      <c r="F3306" s="761"/>
      <c r="G3306" s="733"/>
      <c r="H3306" s="733"/>
      <c r="I3306" s="733"/>
      <c r="J3306" s="733"/>
      <c r="K3306" s="733"/>
      <c r="L3306" s="733"/>
      <c r="M3306" s="733"/>
    </row>
    <row r="3307" spans="1:13" x14ac:dyDescent="0.3">
      <c r="A3307" s="733" t="s">
        <v>2582</v>
      </c>
      <c r="B3307" s="733" t="s">
        <v>664</v>
      </c>
      <c r="C3307" s="738" t="s">
        <v>3294</v>
      </c>
      <c r="D3307" s="733"/>
      <c r="E3307" s="761"/>
      <c r="F3307" s="761"/>
      <c r="G3307" s="733"/>
      <c r="H3307" s="733"/>
      <c r="I3307" s="733"/>
      <c r="J3307" s="733"/>
      <c r="K3307" s="733"/>
      <c r="L3307" s="733"/>
      <c r="M3307" s="733"/>
    </row>
    <row r="3308" spans="1:13" x14ac:dyDescent="0.3">
      <c r="A3308" s="733" t="s">
        <v>2582</v>
      </c>
      <c r="B3308" s="733" t="s">
        <v>664</v>
      </c>
      <c r="C3308" s="738" t="s">
        <v>3295</v>
      </c>
      <c r="D3308" s="733"/>
      <c r="E3308" s="761"/>
      <c r="F3308" s="761"/>
      <c r="G3308" s="733"/>
      <c r="H3308" s="733"/>
      <c r="I3308" s="733"/>
      <c r="J3308" s="733"/>
      <c r="K3308" s="733"/>
      <c r="L3308" s="733"/>
      <c r="M3308" s="733"/>
    </row>
    <row r="3309" spans="1:13" x14ac:dyDescent="0.3">
      <c r="A3309" s="733" t="s">
        <v>2582</v>
      </c>
      <c r="B3309" s="733" t="s">
        <v>664</v>
      </c>
      <c r="C3309" s="738" t="s">
        <v>3296</v>
      </c>
      <c r="D3309" s="733"/>
      <c r="E3309" s="761"/>
      <c r="F3309" s="761"/>
      <c r="G3309" s="733"/>
      <c r="H3309" s="733"/>
      <c r="I3309" s="733"/>
      <c r="J3309" s="733"/>
      <c r="K3309" s="733"/>
      <c r="L3309" s="733"/>
      <c r="M3309" s="733"/>
    </row>
    <row r="3310" spans="1:13" x14ac:dyDescent="0.3">
      <c r="A3310" s="733" t="s">
        <v>2582</v>
      </c>
      <c r="B3310" s="733" t="s">
        <v>612</v>
      </c>
      <c r="C3310" s="738" t="s">
        <v>3297</v>
      </c>
      <c r="D3310" s="733"/>
      <c r="E3310" s="761"/>
      <c r="F3310" s="761"/>
      <c r="G3310" s="733"/>
      <c r="H3310" s="733"/>
      <c r="I3310" s="733"/>
      <c r="J3310" s="733"/>
      <c r="K3310" s="733"/>
      <c r="L3310" s="733"/>
      <c r="M3310" s="733"/>
    </row>
    <row r="3311" spans="1:13" x14ac:dyDescent="0.3">
      <c r="A3311" s="733" t="s">
        <v>2582</v>
      </c>
      <c r="B3311" s="733" t="s">
        <v>612</v>
      </c>
      <c r="C3311" s="738" t="s">
        <v>3298</v>
      </c>
      <c r="D3311" s="733"/>
      <c r="E3311" s="761"/>
      <c r="F3311" s="761"/>
      <c r="G3311" s="733"/>
      <c r="H3311" s="733"/>
      <c r="I3311" s="733"/>
      <c r="J3311" s="733"/>
      <c r="K3311" s="733"/>
      <c r="L3311" s="733"/>
      <c r="M3311" s="733"/>
    </row>
    <row r="3312" spans="1:13" x14ac:dyDescent="0.3">
      <c r="A3312" s="733" t="s">
        <v>2582</v>
      </c>
      <c r="B3312" s="733" t="s">
        <v>612</v>
      </c>
      <c r="C3312" s="738" t="s">
        <v>3299</v>
      </c>
      <c r="D3312" s="733"/>
      <c r="E3312" s="761"/>
      <c r="F3312" s="761"/>
      <c r="G3312" s="733"/>
      <c r="H3312" s="733"/>
      <c r="I3312" s="733"/>
      <c r="J3312" s="733"/>
      <c r="K3312" s="733"/>
      <c r="L3312" s="733"/>
      <c r="M3312" s="733"/>
    </row>
    <row r="3313" spans="1:13" x14ac:dyDescent="0.3">
      <c r="A3313" s="733" t="s">
        <v>2582</v>
      </c>
      <c r="B3313" s="733" t="s">
        <v>612</v>
      </c>
      <c r="C3313" s="738" t="s">
        <v>3300</v>
      </c>
      <c r="D3313" s="733"/>
      <c r="E3313" s="761"/>
      <c r="F3313" s="761"/>
      <c r="G3313" s="733"/>
      <c r="H3313" s="733"/>
      <c r="I3313" s="733"/>
      <c r="J3313" s="733"/>
      <c r="K3313" s="733"/>
      <c r="L3313" s="733"/>
      <c r="M3313" s="733"/>
    </row>
    <row r="3314" spans="1:13" x14ac:dyDescent="0.3">
      <c r="A3314" s="733" t="s">
        <v>2582</v>
      </c>
      <c r="B3314" s="733" t="s">
        <v>612</v>
      </c>
      <c r="C3314" s="738" t="s">
        <v>3301</v>
      </c>
      <c r="D3314" s="733"/>
      <c r="E3314" s="761"/>
      <c r="F3314" s="761"/>
      <c r="G3314" s="733"/>
      <c r="H3314" s="733"/>
      <c r="I3314" s="733"/>
      <c r="J3314" s="733"/>
      <c r="K3314" s="733"/>
      <c r="L3314" s="733"/>
      <c r="M3314" s="733"/>
    </row>
    <row r="3315" spans="1:13" x14ac:dyDescent="0.3">
      <c r="A3315" s="733" t="s">
        <v>3302</v>
      </c>
      <c r="B3315" s="733" t="s">
        <v>645</v>
      </c>
      <c r="C3315" s="738" t="s">
        <v>3303</v>
      </c>
      <c r="D3315" s="733"/>
      <c r="E3315" s="761"/>
      <c r="F3315" s="761"/>
      <c r="G3315" s="733"/>
      <c r="H3315" s="733"/>
      <c r="I3315" s="733"/>
      <c r="J3315" s="733"/>
      <c r="K3315" s="733"/>
      <c r="L3315" s="733"/>
      <c r="M3315" s="733"/>
    </row>
    <row r="3316" spans="1:13" x14ac:dyDescent="0.3">
      <c r="A3316" s="733" t="s">
        <v>3302</v>
      </c>
      <c r="B3316" s="733" t="s">
        <v>645</v>
      </c>
      <c r="C3316" s="738" t="s">
        <v>3304</v>
      </c>
      <c r="D3316" s="733"/>
      <c r="E3316" s="761"/>
      <c r="F3316" s="761"/>
      <c r="G3316" s="733"/>
      <c r="H3316" s="733"/>
      <c r="I3316" s="733"/>
      <c r="J3316" s="733"/>
      <c r="K3316" s="733"/>
      <c r="L3316" s="733"/>
      <c r="M3316" s="733"/>
    </row>
    <row r="3317" spans="1:13" x14ac:dyDescent="0.3">
      <c r="A3317" s="733" t="s">
        <v>3302</v>
      </c>
      <c r="B3317" s="733" t="s">
        <v>645</v>
      </c>
      <c r="C3317" s="738" t="s">
        <v>3305</v>
      </c>
      <c r="D3317" s="733"/>
      <c r="E3317" s="761"/>
      <c r="F3317" s="761"/>
      <c r="G3317" s="733"/>
      <c r="H3317" s="733"/>
      <c r="I3317" s="733"/>
      <c r="J3317" s="733"/>
      <c r="K3317" s="733"/>
      <c r="L3317" s="733"/>
      <c r="M3317" s="733"/>
    </row>
    <row r="3318" spans="1:13" x14ac:dyDescent="0.3">
      <c r="A3318" s="733" t="s">
        <v>3302</v>
      </c>
      <c r="B3318" s="733" t="s">
        <v>645</v>
      </c>
      <c r="C3318" s="738" t="s">
        <v>3306</v>
      </c>
      <c r="D3318" s="733"/>
      <c r="E3318" s="761"/>
      <c r="F3318" s="761"/>
      <c r="G3318" s="733"/>
      <c r="H3318" s="733"/>
      <c r="I3318" s="733"/>
      <c r="J3318" s="733"/>
      <c r="K3318" s="733"/>
      <c r="L3318" s="733"/>
      <c r="M3318" s="733"/>
    </row>
    <row r="3319" spans="1:13" x14ac:dyDescent="0.3">
      <c r="A3319" s="733" t="s">
        <v>3302</v>
      </c>
      <c r="B3319" s="733" t="s">
        <v>645</v>
      </c>
      <c r="C3319" s="738" t="s">
        <v>3307</v>
      </c>
      <c r="D3319" s="733"/>
      <c r="E3319" s="761"/>
      <c r="F3319" s="761"/>
      <c r="G3319" s="733"/>
      <c r="H3319" s="733"/>
      <c r="I3319" s="733"/>
      <c r="J3319" s="733"/>
      <c r="K3319" s="733"/>
      <c r="L3319" s="733"/>
      <c r="M3319" s="733"/>
    </row>
    <row r="3320" spans="1:13" x14ac:dyDescent="0.3">
      <c r="A3320" s="733" t="s">
        <v>3302</v>
      </c>
      <c r="B3320" s="733" t="s">
        <v>664</v>
      </c>
      <c r="C3320" s="738" t="s">
        <v>3308</v>
      </c>
      <c r="D3320" s="733"/>
      <c r="E3320" s="761"/>
      <c r="F3320" s="761"/>
      <c r="G3320" s="733"/>
      <c r="H3320" s="733"/>
      <c r="I3320" s="733"/>
      <c r="J3320" s="733"/>
      <c r="K3320" s="733"/>
      <c r="L3320" s="733"/>
      <c r="M3320" s="733"/>
    </row>
    <row r="3321" spans="1:13" x14ac:dyDescent="0.3">
      <c r="A3321" s="733" t="s">
        <v>3302</v>
      </c>
      <c r="B3321" s="733" t="s">
        <v>664</v>
      </c>
      <c r="C3321" s="738" t="s">
        <v>3309</v>
      </c>
      <c r="D3321" s="733"/>
      <c r="E3321" s="761"/>
      <c r="F3321" s="761"/>
      <c r="G3321" s="733"/>
      <c r="H3321" s="733"/>
      <c r="I3321" s="733"/>
      <c r="J3321" s="733"/>
      <c r="K3321" s="733"/>
      <c r="L3321" s="733"/>
      <c r="M3321" s="733"/>
    </row>
    <row r="3322" spans="1:13" x14ac:dyDescent="0.3">
      <c r="A3322" s="733" t="s">
        <v>3302</v>
      </c>
      <c r="B3322" s="733" t="s">
        <v>664</v>
      </c>
      <c r="C3322" s="738" t="s">
        <v>3310</v>
      </c>
      <c r="D3322" s="733"/>
      <c r="E3322" s="761"/>
      <c r="F3322" s="761"/>
      <c r="G3322" s="733"/>
      <c r="H3322" s="733"/>
      <c r="I3322" s="733"/>
      <c r="J3322" s="733"/>
      <c r="K3322" s="733"/>
      <c r="L3322" s="733"/>
      <c r="M3322" s="733"/>
    </row>
    <row r="3323" spans="1:13" x14ac:dyDescent="0.3">
      <c r="A3323" s="733" t="s">
        <v>3302</v>
      </c>
      <c r="B3323" s="733" t="s">
        <v>664</v>
      </c>
      <c r="C3323" s="738" t="s">
        <v>3311</v>
      </c>
      <c r="D3323" s="733"/>
      <c r="E3323" s="761"/>
      <c r="F3323" s="761"/>
      <c r="G3323" s="733"/>
      <c r="H3323" s="733"/>
      <c r="I3323" s="733"/>
      <c r="J3323" s="733"/>
      <c r="K3323" s="733"/>
      <c r="L3323" s="733"/>
      <c r="M3323" s="733"/>
    </row>
    <row r="3324" spans="1:13" x14ac:dyDescent="0.3">
      <c r="A3324" s="733" t="s">
        <v>3302</v>
      </c>
      <c r="B3324" s="733" t="s">
        <v>664</v>
      </c>
      <c r="C3324" s="738" t="s">
        <v>3312</v>
      </c>
      <c r="D3324" s="733"/>
      <c r="E3324" s="761"/>
      <c r="F3324" s="761"/>
      <c r="G3324" s="733"/>
      <c r="H3324" s="733"/>
      <c r="I3324" s="733"/>
      <c r="J3324" s="733"/>
      <c r="K3324" s="733"/>
      <c r="L3324" s="733"/>
      <c r="M3324" s="733"/>
    </row>
    <row r="3325" spans="1:13" x14ac:dyDescent="0.3">
      <c r="A3325" s="733" t="s">
        <v>3302</v>
      </c>
      <c r="B3325" s="733" t="s">
        <v>612</v>
      </c>
      <c r="C3325" s="738" t="s">
        <v>3313</v>
      </c>
      <c r="D3325" s="733"/>
      <c r="E3325" s="761"/>
      <c r="F3325" s="761"/>
      <c r="G3325" s="733"/>
      <c r="H3325" s="733"/>
      <c r="I3325" s="733"/>
      <c r="J3325" s="733"/>
      <c r="K3325" s="733"/>
      <c r="L3325" s="733"/>
      <c r="M3325" s="733"/>
    </row>
    <row r="3326" spans="1:13" x14ac:dyDescent="0.3">
      <c r="A3326" s="733" t="s">
        <v>3302</v>
      </c>
      <c r="B3326" s="733" t="s">
        <v>612</v>
      </c>
      <c r="C3326" s="738" t="s">
        <v>3314</v>
      </c>
      <c r="D3326" s="733"/>
      <c r="E3326" s="761"/>
      <c r="F3326" s="761"/>
      <c r="G3326" s="733"/>
      <c r="H3326" s="733"/>
      <c r="I3326" s="733"/>
      <c r="J3326" s="733"/>
      <c r="K3326" s="733"/>
      <c r="L3326" s="733"/>
      <c r="M3326" s="733"/>
    </row>
    <row r="3327" spans="1:13" x14ac:dyDescent="0.3">
      <c r="A3327" s="733" t="s">
        <v>3302</v>
      </c>
      <c r="B3327" s="733" t="s">
        <v>612</v>
      </c>
      <c r="C3327" s="738" t="s">
        <v>3315</v>
      </c>
      <c r="D3327" s="733"/>
      <c r="E3327" s="761"/>
      <c r="F3327" s="761"/>
      <c r="G3327" s="733"/>
      <c r="H3327" s="733"/>
      <c r="I3327" s="733"/>
      <c r="J3327" s="733"/>
      <c r="K3327" s="733"/>
      <c r="L3327" s="733"/>
      <c r="M3327" s="733"/>
    </row>
    <row r="3328" spans="1:13" x14ac:dyDescent="0.3">
      <c r="A3328" s="733" t="s">
        <v>3302</v>
      </c>
      <c r="B3328" s="733" t="s">
        <v>612</v>
      </c>
      <c r="C3328" s="738" t="s">
        <v>3316</v>
      </c>
      <c r="D3328" s="733"/>
      <c r="E3328" s="761"/>
      <c r="F3328" s="761"/>
      <c r="G3328" s="733"/>
      <c r="H3328" s="733"/>
      <c r="I3328" s="733"/>
      <c r="J3328" s="733"/>
      <c r="K3328" s="733"/>
      <c r="L3328" s="733"/>
      <c r="M3328" s="733"/>
    </row>
    <row r="3329" spans="1:13" x14ac:dyDescent="0.3">
      <c r="A3329" s="733" t="s">
        <v>3302</v>
      </c>
      <c r="B3329" s="733" t="s">
        <v>612</v>
      </c>
      <c r="C3329" s="738" t="s">
        <v>3317</v>
      </c>
      <c r="D3329" s="733"/>
      <c r="E3329" s="761"/>
      <c r="F3329" s="761"/>
      <c r="G3329" s="733"/>
      <c r="H3329" s="733"/>
      <c r="I3329" s="733"/>
      <c r="J3329" s="733"/>
      <c r="K3329" s="733"/>
      <c r="L3329" s="733"/>
      <c r="M3329" s="733"/>
    </row>
    <row r="3330" spans="1:13" x14ac:dyDescent="0.3">
      <c r="A3330" s="733" t="s">
        <v>3318</v>
      </c>
      <c r="B3330" s="733" t="s">
        <v>645</v>
      </c>
      <c r="C3330" s="738" t="s">
        <v>3319</v>
      </c>
      <c r="D3330" s="733"/>
      <c r="E3330" s="761"/>
      <c r="F3330" s="761"/>
      <c r="G3330" s="733"/>
      <c r="H3330" s="733"/>
      <c r="I3330" s="733"/>
      <c r="J3330" s="733"/>
      <c r="K3330" s="733"/>
      <c r="L3330" s="733"/>
      <c r="M3330" s="733"/>
    </row>
    <row r="3331" spans="1:13" x14ac:dyDescent="0.3">
      <c r="A3331" s="733" t="s">
        <v>3318</v>
      </c>
      <c r="B3331" s="733" t="s">
        <v>645</v>
      </c>
      <c r="C3331" s="738" t="s">
        <v>3320</v>
      </c>
      <c r="D3331" s="733"/>
      <c r="E3331" s="761"/>
      <c r="F3331" s="761"/>
      <c r="G3331" s="733"/>
      <c r="H3331" s="733"/>
      <c r="I3331" s="733"/>
      <c r="J3331" s="733"/>
      <c r="K3331" s="733"/>
      <c r="L3331" s="733"/>
      <c r="M3331" s="733"/>
    </row>
    <row r="3332" spans="1:13" x14ac:dyDescent="0.3">
      <c r="A3332" s="733" t="s">
        <v>3318</v>
      </c>
      <c r="B3332" s="733" t="s">
        <v>645</v>
      </c>
      <c r="C3332" s="738" t="s">
        <v>3321</v>
      </c>
      <c r="D3332" s="733"/>
      <c r="E3332" s="761"/>
      <c r="F3332" s="761"/>
      <c r="G3332" s="733"/>
      <c r="H3332" s="733"/>
      <c r="I3332" s="733"/>
      <c r="J3332" s="733"/>
      <c r="K3332" s="733"/>
      <c r="L3332" s="733"/>
      <c r="M3332" s="733"/>
    </row>
    <row r="3333" spans="1:13" x14ac:dyDescent="0.3">
      <c r="A3333" s="733" t="s">
        <v>3318</v>
      </c>
      <c r="B3333" s="733" t="s">
        <v>645</v>
      </c>
      <c r="C3333" s="738" t="s">
        <v>3322</v>
      </c>
      <c r="D3333" s="733"/>
      <c r="E3333" s="761"/>
      <c r="F3333" s="761"/>
      <c r="G3333" s="733"/>
      <c r="H3333" s="733"/>
      <c r="I3333" s="733"/>
      <c r="J3333" s="733"/>
      <c r="K3333" s="733"/>
      <c r="L3333" s="733"/>
      <c r="M3333" s="733"/>
    </row>
    <row r="3334" spans="1:13" x14ac:dyDescent="0.3">
      <c r="A3334" s="733" t="s">
        <v>3318</v>
      </c>
      <c r="B3334" s="733" t="s">
        <v>645</v>
      </c>
      <c r="C3334" s="738" t="s">
        <v>3323</v>
      </c>
      <c r="D3334" s="733"/>
      <c r="E3334" s="761"/>
      <c r="F3334" s="761"/>
      <c r="G3334" s="733"/>
      <c r="H3334" s="733"/>
      <c r="I3334" s="733"/>
      <c r="J3334" s="733"/>
      <c r="K3334" s="733"/>
      <c r="L3334" s="733"/>
      <c r="M3334" s="733"/>
    </row>
    <row r="3335" spans="1:13" ht="28.8" x14ac:dyDescent="0.3">
      <c r="A3335" s="733" t="s">
        <v>3318</v>
      </c>
      <c r="B3335" s="733" t="s">
        <v>664</v>
      </c>
      <c r="C3335" s="738" t="s">
        <v>3324</v>
      </c>
      <c r="D3335" s="733"/>
      <c r="E3335" s="761"/>
      <c r="F3335" s="761"/>
      <c r="G3335" s="733"/>
      <c r="H3335" s="733"/>
      <c r="I3335" s="733"/>
      <c r="J3335" s="733"/>
      <c r="K3335" s="733"/>
      <c r="L3335" s="733"/>
      <c r="M3335" s="733"/>
    </row>
    <row r="3336" spans="1:13" x14ac:dyDescent="0.3">
      <c r="A3336" s="733" t="s">
        <v>3318</v>
      </c>
      <c r="B3336" s="733" t="s">
        <v>664</v>
      </c>
      <c r="C3336" s="738" t="s">
        <v>3325</v>
      </c>
      <c r="D3336" s="733"/>
      <c r="E3336" s="761"/>
      <c r="F3336" s="761"/>
      <c r="G3336" s="733"/>
      <c r="H3336" s="733"/>
      <c r="I3336" s="733"/>
      <c r="J3336" s="733"/>
      <c r="K3336" s="733"/>
      <c r="L3336" s="733"/>
      <c r="M3336" s="733"/>
    </row>
    <row r="3337" spans="1:13" x14ac:dyDescent="0.3">
      <c r="A3337" s="733" t="s">
        <v>3318</v>
      </c>
      <c r="B3337" s="733" t="s">
        <v>664</v>
      </c>
      <c r="C3337" s="738" t="s">
        <v>3326</v>
      </c>
      <c r="D3337" s="733"/>
      <c r="E3337" s="761"/>
      <c r="F3337" s="761"/>
      <c r="G3337" s="733"/>
      <c r="H3337" s="733"/>
      <c r="I3337" s="733"/>
      <c r="J3337" s="733"/>
      <c r="K3337" s="733"/>
      <c r="L3337" s="733"/>
      <c r="M3337" s="733"/>
    </row>
    <row r="3338" spans="1:13" x14ac:dyDescent="0.3">
      <c r="A3338" s="733" t="s">
        <v>3318</v>
      </c>
      <c r="B3338" s="733" t="s">
        <v>664</v>
      </c>
      <c r="C3338" s="738" t="s">
        <v>3327</v>
      </c>
      <c r="D3338" s="733"/>
      <c r="E3338" s="761"/>
      <c r="F3338" s="761"/>
      <c r="G3338" s="733"/>
      <c r="H3338" s="733"/>
      <c r="I3338" s="733"/>
      <c r="J3338" s="733"/>
      <c r="K3338" s="733"/>
      <c r="L3338" s="733"/>
      <c r="M3338" s="733"/>
    </row>
    <row r="3339" spans="1:13" x14ac:dyDescent="0.3">
      <c r="A3339" s="733" t="s">
        <v>3318</v>
      </c>
      <c r="B3339" s="733" t="s">
        <v>664</v>
      </c>
      <c r="C3339" s="738" t="s">
        <v>3328</v>
      </c>
      <c r="D3339" s="733"/>
      <c r="E3339" s="761"/>
      <c r="F3339" s="761"/>
      <c r="G3339" s="733"/>
      <c r="H3339" s="733"/>
      <c r="I3339" s="733"/>
      <c r="J3339" s="733"/>
      <c r="K3339" s="733"/>
      <c r="L3339" s="733"/>
      <c r="M3339" s="733"/>
    </row>
    <row r="3340" spans="1:13" x14ac:dyDescent="0.3">
      <c r="A3340" s="733" t="s">
        <v>3318</v>
      </c>
      <c r="B3340" s="733" t="s">
        <v>612</v>
      </c>
      <c r="C3340" s="738" t="s">
        <v>3329</v>
      </c>
      <c r="D3340" s="733"/>
      <c r="E3340" s="761"/>
      <c r="F3340" s="761"/>
      <c r="G3340" s="733"/>
      <c r="H3340" s="733"/>
      <c r="I3340" s="733"/>
      <c r="J3340" s="733"/>
      <c r="K3340" s="733"/>
      <c r="L3340" s="733"/>
      <c r="M3340" s="733"/>
    </row>
    <row r="3341" spans="1:13" x14ac:dyDescent="0.3">
      <c r="A3341" s="733" t="s">
        <v>3318</v>
      </c>
      <c r="B3341" s="733" t="s">
        <v>612</v>
      </c>
      <c r="C3341" s="738" t="s">
        <v>3330</v>
      </c>
      <c r="D3341" s="733"/>
      <c r="E3341" s="761"/>
      <c r="F3341" s="761"/>
      <c r="G3341" s="733"/>
      <c r="H3341" s="733"/>
      <c r="I3341" s="733"/>
      <c r="J3341" s="733"/>
      <c r="K3341" s="733"/>
      <c r="L3341" s="733"/>
      <c r="M3341" s="733"/>
    </row>
    <row r="3342" spans="1:13" x14ac:dyDescent="0.3">
      <c r="A3342" s="733" t="s">
        <v>3318</v>
      </c>
      <c r="B3342" s="733" t="s">
        <v>612</v>
      </c>
      <c r="C3342" s="738" t="s">
        <v>3331</v>
      </c>
      <c r="D3342" s="733"/>
      <c r="E3342" s="761"/>
      <c r="F3342" s="761"/>
      <c r="G3342" s="733"/>
      <c r="H3342" s="733"/>
      <c r="I3342" s="733"/>
      <c r="J3342" s="733"/>
      <c r="K3342" s="733"/>
      <c r="L3342" s="733"/>
      <c r="M3342" s="733"/>
    </row>
    <row r="3343" spans="1:13" x14ac:dyDescent="0.3">
      <c r="A3343" s="733" t="s">
        <v>3318</v>
      </c>
      <c r="B3343" s="733" t="s">
        <v>612</v>
      </c>
      <c r="C3343" s="738" t="s">
        <v>3332</v>
      </c>
      <c r="D3343" s="733"/>
      <c r="E3343" s="761"/>
      <c r="F3343" s="761"/>
      <c r="G3343" s="733"/>
      <c r="H3343" s="733"/>
      <c r="I3343" s="733"/>
      <c r="J3343" s="733"/>
      <c r="K3343" s="733"/>
      <c r="L3343" s="733"/>
      <c r="M3343" s="733"/>
    </row>
    <row r="3344" spans="1:13" x14ac:dyDescent="0.3">
      <c r="A3344" s="733" t="s">
        <v>3318</v>
      </c>
      <c r="B3344" s="733" t="s">
        <v>612</v>
      </c>
      <c r="C3344" s="738" t="s">
        <v>3333</v>
      </c>
      <c r="D3344" s="733"/>
      <c r="E3344" s="761"/>
      <c r="F3344" s="761"/>
      <c r="G3344" s="733"/>
      <c r="H3344" s="733"/>
      <c r="I3344" s="733"/>
      <c r="J3344" s="733"/>
      <c r="K3344" s="733"/>
      <c r="L3344" s="733"/>
      <c r="M3344" s="733"/>
    </row>
    <row r="3345" spans="1:13" x14ac:dyDescent="0.3">
      <c r="A3345" s="733" t="s">
        <v>2824</v>
      </c>
      <c r="B3345" s="733" t="s">
        <v>645</v>
      </c>
      <c r="C3345" s="738" t="s">
        <v>3334</v>
      </c>
      <c r="D3345" s="733"/>
      <c r="E3345" s="761"/>
      <c r="F3345" s="761"/>
      <c r="G3345" s="733"/>
      <c r="H3345" s="733"/>
      <c r="I3345" s="733"/>
      <c r="J3345" s="733"/>
      <c r="K3345" s="733"/>
      <c r="L3345" s="733"/>
      <c r="M3345" s="733"/>
    </row>
    <row r="3346" spans="1:13" x14ac:dyDescent="0.3">
      <c r="A3346" s="733" t="s">
        <v>2824</v>
      </c>
      <c r="B3346" s="733" t="s">
        <v>645</v>
      </c>
      <c r="C3346" s="738" t="s">
        <v>3335</v>
      </c>
      <c r="D3346" s="733"/>
      <c r="E3346" s="761"/>
      <c r="F3346" s="761"/>
      <c r="G3346" s="733"/>
      <c r="H3346" s="733"/>
      <c r="I3346" s="733"/>
      <c r="J3346" s="733"/>
      <c r="K3346" s="733"/>
      <c r="L3346" s="733"/>
      <c r="M3346" s="733"/>
    </row>
    <row r="3347" spans="1:13" x14ac:dyDescent="0.3">
      <c r="A3347" s="733" t="s">
        <v>2824</v>
      </c>
      <c r="B3347" s="733" t="s">
        <v>645</v>
      </c>
      <c r="C3347" s="738" t="s">
        <v>3336</v>
      </c>
      <c r="D3347" s="733"/>
      <c r="E3347" s="761"/>
      <c r="F3347" s="761"/>
      <c r="G3347" s="733"/>
      <c r="H3347" s="733"/>
      <c r="I3347" s="733"/>
      <c r="J3347" s="733"/>
      <c r="K3347" s="733"/>
      <c r="L3347" s="733"/>
      <c r="M3347" s="733"/>
    </row>
    <row r="3348" spans="1:13" x14ac:dyDescent="0.3">
      <c r="A3348" s="733" t="s">
        <v>2824</v>
      </c>
      <c r="B3348" s="733" t="s">
        <v>645</v>
      </c>
      <c r="C3348" s="738" t="s">
        <v>3337</v>
      </c>
      <c r="D3348" s="733"/>
      <c r="E3348" s="761"/>
      <c r="F3348" s="761"/>
      <c r="G3348" s="733"/>
      <c r="H3348" s="733"/>
      <c r="I3348" s="733"/>
      <c r="J3348" s="733"/>
      <c r="K3348" s="733"/>
      <c r="L3348" s="733"/>
      <c r="M3348" s="733"/>
    </row>
    <row r="3349" spans="1:13" x14ac:dyDescent="0.3">
      <c r="A3349" s="733" t="s">
        <v>2824</v>
      </c>
      <c r="B3349" s="733" t="s">
        <v>645</v>
      </c>
      <c r="C3349" s="738" t="s">
        <v>3338</v>
      </c>
      <c r="D3349" s="733"/>
      <c r="E3349" s="761"/>
      <c r="F3349" s="761"/>
      <c r="G3349" s="733"/>
      <c r="H3349" s="733"/>
      <c r="I3349" s="733"/>
      <c r="J3349" s="733"/>
      <c r="K3349" s="733"/>
      <c r="L3349" s="733"/>
      <c r="M3349" s="733"/>
    </row>
    <row r="3350" spans="1:13" x14ac:dyDescent="0.3">
      <c r="A3350" s="733" t="s">
        <v>2824</v>
      </c>
      <c r="B3350" s="733" t="s">
        <v>664</v>
      </c>
      <c r="C3350" s="738" t="s">
        <v>3339</v>
      </c>
      <c r="D3350" s="733"/>
      <c r="E3350" s="761"/>
      <c r="F3350" s="761"/>
      <c r="G3350" s="733"/>
      <c r="H3350" s="733"/>
      <c r="I3350" s="733"/>
      <c r="J3350" s="733"/>
      <c r="K3350" s="733"/>
      <c r="L3350" s="733"/>
      <c r="M3350" s="733"/>
    </row>
    <row r="3351" spans="1:13" x14ac:dyDescent="0.3">
      <c r="A3351" s="733" t="s">
        <v>2824</v>
      </c>
      <c r="B3351" s="733" t="s">
        <v>664</v>
      </c>
      <c r="C3351" s="738" t="s">
        <v>3340</v>
      </c>
      <c r="D3351" s="733"/>
      <c r="E3351" s="761"/>
      <c r="F3351" s="761"/>
      <c r="G3351" s="733"/>
      <c r="H3351" s="733"/>
      <c r="I3351" s="733"/>
      <c r="J3351" s="733"/>
      <c r="K3351" s="733"/>
      <c r="L3351" s="733"/>
      <c r="M3351" s="733"/>
    </row>
    <row r="3352" spans="1:13" x14ac:dyDescent="0.3">
      <c r="A3352" s="733" t="s">
        <v>2824</v>
      </c>
      <c r="B3352" s="733" t="s">
        <v>664</v>
      </c>
      <c r="C3352" s="738" t="s">
        <v>3341</v>
      </c>
      <c r="D3352" s="733"/>
      <c r="E3352" s="761"/>
      <c r="F3352" s="761"/>
      <c r="G3352" s="733"/>
      <c r="H3352" s="733"/>
      <c r="I3352" s="733"/>
      <c r="J3352" s="733"/>
      <c r="K3352" s="733"/>
      <c r="L3352" s="733"/>
      <c r="M3352" s="733"/>
    </row>
    <row r="3353" spans="1:13" x14ac:dyDescent="0.3">
      <c r="A3353" s="733" t="s">
        <v>2824</v>
      </c>
      <c r="B3353" s="733" t="s">
        <v>664</v>
      </c>
      <c r="C3353" s="738" t="s">
        <v>3342</v>
      </c>
      <c r="D3353" s="733"/>
      <c r="E3353" s="761"/>
      <c r="F3353" s="761"/>
      <c r="G3353" s="733"/>
      <c r="H3353" s="733"/>
      <c r="I3353" s="733"/>
      <c r="J3353" s="733"/>
      <c r="K3353" s="733"/>
      <c r="L3353" s="733"/>
      <c r="M3353" s="733"/>
    </row>
    <row r="3354" spans="1:13" x14ac:dyDescent="0.3">
      <c r="A3354" s="733" t="s">
        <v>2824</v>
      </c>
      <c r="B3354" s="733" t="s">
        <v>664</v>
      </c>
      <c r="C3354" s="738" t="s">
        <v>3343</v>
      </c>
      <c r="D3354" s="733"/>
      <c r="E3354" s="761"/>
      <c r="F3354" s="761"/>
      <c r="G3354" s="733"/>
      <c r="H3354" s="733"/>
      <c r="I3354" s="733"/>
      <c r="J3354" s="733"/>
      <c r="K3354" s="733"/>
      <c r="L3354" s="733"/>
      <c r="M3354" s="733"/>
    </row>
    <row r="3355" spans="1:13" x14ac:dyDescent="0.3">
      <c r="A3355" s="733" t="s">
        <v>2824</v>
      </c>
      <c r="B3355" s="733" t="s">
        <v>612</v>
      </c>
      <c r="C3355" s="738" t="s">
        <v>3344</v>
      </c>
      <c r="D3355" s="733"/>
      <c r="E3355" s="761"/>
      <c r="F3355" s="761"/>
      <c r="G3355" s="733"/>
      <c r="H3355" s="733"/>
      <c r="I3355" s="733"/>
      <c r="J3355" s="733"/>
      <c r="K3355" s="733"/>
      <c r="L3355" s="733"/>
      <c r="M3355" s="733"/>
    </row>
    <row r="3356" spans="1:13" x14ac:dyDescent="0.3">
      <c r="A3356" s="733" t="s">
        <v>2824</v>
      </c>
      <c r="B3356" s="733" t="s">
        <v>612</v>
      </c>
      <c r="C3356" s="738" t="s">
        <v>3345</v>
      </c>
      <c r="D3356" s="733"/>
      <c r="E3356" s="761"/>
      <c r="F3356" s="761"/>
      <c r="G3356" s="733"/>
      <c r="H3356" s="733"/>
      <c r="I3356" s="733"/>
      <c r="J3356" s="733"/>
      <c r="K3356" s="733"/>
      <c r="L3356" s="733"/>
      <c r="M3356" s="733"/>
    </row>
    <row r="3357" spans="1:13" x14ac:dyDescent="0.3">
      <c r="A3357" s="733" t="s">
        <v>2824</v>
      </c>
      <c r="B3357" s="733" t="s">
        <v>612</v>
      </c>
      <c r="C3357" s="738" t="s">
        <v>3346</v>
      </c>
      <c r="D3357" s="733"/>
      <c r="E3357" s="761"/>
      <c r="F3357" s="761"/>
      <c r="G3357" s="733"/>
      <c r="H3357" s="733"/>
      <c r="I3357" s="733"/>
      <c r="J3357" s="733"/>
      <c r="K3357" s="733"/>
      <c r="L3357" s="733"/>
      <c r="M3357" s="733"/>
    </row>
    <row r="3358" spans="1:13" x14ac:dyDescent="0.3">
      <c r="A3358" s="733" t="s">
        <v>2824</v>
      </c>
      <c r="B3358" s="733" t="s">
        <v>612</v>
      </c>
      <c r="C3358" s="738" t="s">
        <v>3347</v>
      </c>
      <c r="D3358" s="733"/>
      <c r="E3358" s="761"/>
      <c r="F3358" s="761"/>
      <c r="G3358" s="733"/>
      <c r="H3358" s="733"/>
      <c r="I3358" s="733"/>
      <c r="J3358" s="733"/>
      <c r="K3358" s="733"/>
      <c r="L3358" s="733"/>
      <c r="M3358" s="733"/>
    </row>
    <row r="3359" spans="1:13" x14ac:dyDescent="0.3">
      <c r="A3359" s="733" t="s">
        <v>2824</v>
      </c>
      <c r="B3359" s="733" t="s">
        <v>612</v>
      </c>
      <c r="C3359" s="738" t="s">
        <v>3348</v>
      </c>
      <c r="D3359" s="733"/>
      <c r="E3359" s="761"/>
      <c r="F3359" s="761"/>
      <c r="G3359" s="733"/>
      <c r="H3359" s="733"/>
      <c r="I3359" s="733"/>
      <c r="J3359" s="733"/>
      <c r="K3359" s="733"/>
      <c r="L3359" s="733"/>
      <c r="M3359" s="733"/>
    </row>
    <row r="3360" spans="1:13" x14ac:dyDescent="0.3">
      <c r="A3360" s="733" t="s">
        <v>3349</v>
      </c>
      <c r="B3360" s="733" t="s">
        <v>645</v>
      </c>
      <c r="C3360" s="738" t="s">
        <v>3350</v>
      </c>
      <c r="D3360" s="733"/>
      <c r="E3360" s="761"/>
      <c r="F3360" s="761"/>
      <c r="G3360" s="733"/>
      <c r="H3360" s="733"/>
      <c r="I3360" s="733"/>
      <c r="J3360" s="733"/>
      <c r="K3360" s="733"/>
      <c r="L3360" s="733"/>
      <c r="M3360" s="733"/>
    </row>
    <row r="3361" spans="1:13" x14ac:dyDescent="0.3">
      <c r="A3361" s="733" t="s">
        <v>3349</v>
      </c>
      <c r="B3361" s="733" t="s">
        <v>645</v>
      </c>
      <c r="C3361" s="738" t="s">
        <v>3351</v>
      </c>
      <c r="D3361" s="733"/>
      <c r="E3361" s="761"/>
      <c r="F3361" s="761"/>
      <c r="G3361" s="733"/>
      <c r="H3361" s="733"/>
      <c r="I3361" s="733"/>
      <c r="J3361" s="733"/>
      <c r="K3361" s="733"/>
      <c r="L3361" s="733"/>
      <c r="M3361" s="733"/>
    </row>
    <row r="3362" spans="1:13" x14ac:dyDescent="0.3">
      <c r="A3362" s="733" t="s">
        <v>3349</v>
      </c>
      <c r="B3362" s="733" t="s">
        <v>645</v>
      </c>
      <c r="C3362" s="738" t="s">
        <v>3352</v>
      </c>
      <c r="D3362" s="733"/>
      <c r="E3362" s="761"/>
      <c r="F3362" s="761"/>
      <c r="G3362" s="733"/>
      <c r="H3362" s="733"/>
      <c r="I3362" s="733"/>
      <c r="J3362" s="733"/>
      <c r="K3362" s="733"/>
      <c r="L3362" s="733"/>
      <c r="M3362" s="733"/>
    </row>
    <row r="3363" spans="1:13" ht="28.8" x14ac:dyDescent="0.3">
      <c r="A3363" s="733" t="s">
        <v>3349</v>
      </c>
      <c r="B3363" s="733" t="s">
        <v>645</v>
      </c>
      <c r="C3363" s="738" t="s">
        <v>3353</v>
      </c>
      <c r="D3363" s="733"/>
      <c r="E3363" s="761"/>
      <c r="F3363" s="761"/>
      <c r="G3363" s="733"/>
      <c r="H3363" s="733"/>
      <c r="I3363" s="733"/>
      <c r="J3363" s="733"/>
      <c r="K3363" s="733"/>
      <c r="L3363" s="733"/>
      <c r="M3363" s="733"/>
    </row>
    <row r="3364" spans="1:13" x14ac:dyDescent="0.3">
      <c r="A3364" s="733" t="s">
        <v>3349</v>
      </c>
      <c r="B3364" s="733" t="s">
        <v>645</v>
      </c>
      <c r="C3364" s="738" t="s">
        <v>3354</v>
      </c>
      <c r="D3364" s="733"/>
      <c r="E3364" s="761"/>
      <c r="F3364" s="761"/>
      <c r="G3364" s="733"/>
      <c r="H3364" s="733"/>
      <c r="I3364" s="733"/>
      <c r="J3364" s="733"/>
      <c r="K3364" s="733"/>
      <c r="L3364" s="733"/>
      <c r="M3364" s="733"/>
    </row>
    <row r="3365" spans="1:13" x14ac:dyDescent="0.3">
      <c r="A3365" s="733" t="s">
        <v>3349</v>
      </c>
      <c r="B3365" s="733" t="s">
        <v>664</v>
      </c>
      <c r="C3365" s="738" t="s">
        <v>3355</v>
      </c>
      <c r="D3365" s="733"/>
      <c r="E3365" s="761"/>
      <c r="F3365" s="761"/>
      <c r="G3365" s="733"/>
      <c r="H3365" s="733"/>
      <c r="I3365" s="733"/>
      <c r="J3365" s="733"/>
      <c r="K3365" s="733"/>
      <c r="L3365" s="733"/>
      <c r="M3365" s="733"/>
    </row>
    <row r="3366" spans="1:13" x14ac:dyDescent="0.3">
      <c r="A3366" s="733" t="s">
        <v>3349</v>
      </c>
      <c r="B3366" s="733" t="s">
        <v>664</v>
      </c>
      <c r="C3366" s="738" t="s">
        <v>3356</v>
      </c>
      <c r="D3366" s="733"/>
      <c r="E3366" s="761"/>
      <c r="F3366" s="761"/>
      <c r="G3366" s="733"/>
      <c r="H3366" s="733"/>
      <c r="I3366" s="733"/>
      <c r="J3366" s="733"/>
      <c r="K3366" s="733"/>
      <c r="L3366" s="733"/>
      <c r="M3366" s="733"/>
    </row>
    <row r="3367" spans="1:13" x14ac:dyDescent="0.3">
      <c r="A3367" s="733" t="s">
        <v>3349</v>
      </c>
      <c r="B3367" s="733" t="s">
        <v>664</v>
      </c>
      <c r="C3367" s="738" t="s">
        <v>3357</v>
      </c>
      <c r="D3367" s="733"/>
      <c r="E3367" s="761"/>
      <c r="F3367" s="761"/>
      <c r="G3367" s="733"/>
      <c r="H3367" s="733"/>
      <c r="I3367" s="733"/>
      <c r="J3367" s="733"/>
      <c r="K3367" s="733"/>
      <c r="L3367" s="733"/>
      <c r="M3367" s="733"/>
    </row>
    <row r="3368" spans="1:13" x14ac:dyDescent="0.3">
      <c r="A3368" s="733" t="s">
        <v>3349</v>
      </c>
      <c r="B3368" s="733" t="s">
        <v>664</v>
      </c>
      <c r="C3368" s="738" t="s">
        <v>3358</v>
      </c>
      <c r="D3368" s="733"/>
      <c r="E3368" s="761"/>
      <c r="F3368" s="761"/>
      <c r="G3368" s="733"/>
      <c r="H3368" s="733"/>
      <c r="I3368" s="733"/>
      <c r="J3368" s="733"/>
      <c r="K3368" s="733"/>
      <c r="L3368" s="733"/>
      <c r="M3368" s="733"/>
    </row>
    <row r="3369" spans="1:13" x14ac:dyDescent="0.3">
      <c r="A3369" s="733" t="s">
        <v>3349</v>
      </c>
      <c r="B3369" s="733" t="s">
        <v>664</v>
      </c>
      <c r="C3369" s="738" t="s">
        <v>3359</v>
      </c>
      <c r="D3369" s="733"/>
      <c r="E3369" s="761"/>
      <c r="F3369" s="761"/>
      <c r="G3369" s="733"/>
      <c r="H3369" s="733"/>
      <c r="I3369" s="733"/>
      <c r="J3369" s="733"/>
      <c r="K3369" s="733"/>
      <c r="L3369" s="733"/>
      <c r="M3369" s="733"/>
    </row>
    <row r="3370" spans="1:13" x14ac:dyDescent="0.3">
      <c r="A3370" s="733" t="s">
        <v>3349</v>
      </c>
      <c r="B3370" s="733" t="s">
        <v>612</v>
      </c>
      <c r="C3370" s="738" t="s">
        <v>3360</v>
      </c>
      <c r="D3370" s="733"/>
      <c r="E3370" s="761"/>
      <c r="F3370" s="761"/>
      <c r="G3370" s="733"/>
      <c r="H3370" s="733"/>
      <c r="I3370" s="733"/>
      <c r="J3370" s="733"/>
      <c r="K3370" s="733"/>
      <c r="L3370" s="733"/>
      <c r="M3370" s="733"/>
    </row>
    <row r="3371" spans="1:13" x14ac:dyDescent="0.3">
      <c r="A3371" s="733" t="s">
        <v>3349</v>
      </c>
      <c r="B3371" s="733" t="s">
        <v>612</v>
      </c>
      <c r="C3371" s="738" t="s">
        <v>3361</v>
      </c>
      <c r="D3371" s="733"/>
      <c r="E3371" s="761"/>
      <c r="F3371" s="761"/>
      <c r="G3371" s="733"/>
      <c r="H3371" s="733"/>
      <c r="I3371" s="733"/>
      <c r="J3371" s="733"/>
      <c r="K3371" s="733"/>
      <c r="L3371" s="733"/>
      <c r="M3371" s="733"/>
    </row>
    <row r="3372" spans="1:13" x14ac:dyDescent="0.3">
      <c r="A3372" s="733" t="s">
        <v>3349</v>
      </c>
      <c r="B3372" s="733" t="s">
        <v>612</v>
      </c>
      <c r="C3372" s="738" t="s">
        <v>3362</v>
      </c>
      <c r="D3372" s="733"/>
      <c r="E3372" s="761"/>
      <c r="F3372" s="761"/>
      <c r="G3372" s="733"/>
      <c r="H3372" s="733"/>
      <c r="I3372" s="733"/>
      <c r="J3372" s="733"/>
      <c r="K3372" s="733"/>
      <c r="L3372" s="733"/>
      <c r="M3372" s="733"/>
    </row>
    <row r="3373" spans="1:13" x14ac:dyDescent="0.3">
      <c r="A3373" s="733" t="s">
        <v>3349</v>
      </c>
      <c r="B3373" s="733" t="s">
        <v>612</v>
      </c>
      <c r="C3373" s="738" t="s">
        <v>3363</v>
      </c>
      <c r="D3373" s="733"/>
      <c r="E3373" s="761"/>
      <c r="F3373" s="761"/>
      <c r="G3373" s="733"/>
      <c r="H3373" s="733"/>
      <c r="I3373" s="733"/>
      <c r="J3373" s="733"/>
      <c r="K3373" s="733"/>
      <c r="L3373" s="733"/>
      <c r="M3373" s="733"/>
    </row>
    <row r="3374" spans="1:13" x14ac:dyDescent="0.3">
      <c r="A3374" s="733" t="s">
        <v>3349</v>
      </c>
      <c r="B3374" s="733" t="s">
        <v>612</v>
      </c>
      <c r="C3374" s="738" t="s">
        <v>3364</v>
      </c>
      <c r="D3374" s="733"/>
      <c r="E3374" s="761"/>
      <c r="F3374" s="761"/>
      <c r="G3374" s="733"/>
      <c r="H3374" s="733"/>
      <c r="I3374" s="733"/>
      <c r="J3374" s="733"/>
      <c r="K3374" s="733"/>
      <c r="L3374" s="733"/>
      <c r="M3374" s="733"/>
    </row>
    <row r="3375" spans="1:13" x14ac:dyDescent="0.3">
      <c r="A3375" s="733" t="s">
        <v>3365</v>
      </c>
      <c r="B3375" s="733" t="s">
        <v>645</v>
      </c>
      <c r="C3375" s="738" t="s">
        <v>3366</v>
      </c>
      <c r="D3375" s="733"/>
      <c r="E3375" s="761"/>
      <c r="F3375" s="761"/>
      <c r="G3375" s="733"/>
      <c r="H3375" s="733"/>
      <c r="I3375" s="733"/>
      <c r="J3375" s="733"/>
      <c r="K3375" s="733"/>
      <c r="L3375" s="733"/>
      <c r="M3375" s="733"/>
    </row>
    <row r="3376" spans="1:13" x14ac:dyDescent="0.3">
      <c r="A3376" s="733" t="s">
        <v>3365</v>
      </c>
      <c r="B3376" s="733" t="s">
        <v>645</v>
      </c>
      <c r="C3376" s="738" t="s">
        <v>3367</v>
      </c>
      <c r="D3376" s="733"/>
      <c r="E3376" s="761"/>
      <c r="F3376" s="761"/>
      <c r="G3376" s="733"/>
      <c r="H3376" s="733"/>
      <c r="I3376" s="733"/>
      <c r="J3376" s="733"/>
      <c r="K3376" s="733"/>
      <c r="L3376" s="733"/>
      <c r="M3376" s="733"/>
    </row>
    <row r="3377" spans="1:13" x14ac:dyDescent="0.3">
      <c r="A3377" s="733" t="s">
        <v>3365</v>
      </c>
      <c r="B3377" s="733" t="s">
        <v>645</v>
      </c>
      <c r="C3377" s="738" t="s">
        <v>3368</v>
      </c>
      <c r="D3377" s="733"/>
      <c r="E3377" s="761"/>
      <c r="F3377" s="761"/>
      <c r="G3377" s="733"/>
      <c r="H3377" s="733"/>
      <c r="I3377" s="733"/>
      <c r="J3377" s="733"/>
      <c r="K3377" s="733"/>
      <c r="L3377" s="733"/>
      <c r="M3377" s="733"/>
    </row>
    <row r="3378" spans="1:13" ht="28.8" x14ac:dyDescent="0.3">
      <c r="A3378" s="733" t="s">
        <v>3365</v>
      </c>
      <c r="B3378" s="733" t="s">
        <v>645</v>
      </c>
      <c r="C3378" s="738" t="s">
        <v>3369</v>
      </c>
      <c r="D3378" s="733"/>
      <c r="E3378" s="761"/>
      <c r="F3378" s="761"/>
      <c r="G3378" s="733"/>
      <c r="H3378" s="733"/>
      <c r="I3378" s="733"/>
      <c r="J3378" s="733"/>
      <c r="K3378" s="733"/>
      <c r="L3378" s="733"/>
      <c r="M3378" s="733"/>
    </row>
    <row r="3379" spans="1:13" x14ac:dyDescent="0.3">
      <c r="A3379" s="733" t="s">
        <v>3365</v>
      </c>
      <c r="B3379" s="733" t="s">
        <v>645</v>
      </c>
      <c r="C3379" s="738" t="s">
        <v>3370</v>
      </c>
      <c r="D3379" s="733"/>
      <c r="E3379" s="761"/>
      <c r="F3379" s="761"/>
      <c r="G3379" s="733"/>
      <c r="H3379" s="733"/>
      <c r="I3379" s="733"/>
      <c r="J3379" s="733"/>
      <c r="K3379" s="733"/>
      <c r="L3379" s="733"/>
      <c r="M3379" s="733"/>
    </row>
    <row r="3380" spans="1:13" ht="28.8" x14ac:dyDescent="0.3">
      <c r="A3380" s="733" t="s">
        <v>3365</v>
      </c>
      <c r="B3380" s="733" t="s">
        <v>664</v>
      </c>
      <c r="C3380" s="738" t="s">
        <v>3371</v>
      </c>
      <c r="D3380" s="733"/>
      <c r="E3380" s="761"/>
      <c r="F3380" s="761"/>
      <c r="G3380" s="733"/>
      <c r="H3380" s="733"/>
      <c r="I3380" s="733"/>
      <c r="J3380" s="733"/>
      <c r="K3380" s="733"/>
      <c r="L3380" s="733"/>
      <c r="M3380" s="733"/>
    </row>
    <row r="3381" spans="1:13" x14ac:dyDescent="0.3">
      <c r="A3381" s="733" t="s">
        <v>3365</v>
      </c>
      <c r="B3381" s="733" t="s">
        <v>664</v>
      </c>
      <c r="C3381" s="738" t="s">
        <v>3372</v>
      </c>
      <c r="D3381" s="733"/>
      <c r="E3381" s="761"/>
      <c r="F3381" s="761"/>
      <c r="G3381" s="733"/>
      <c r="H3381" s="733"/>
      <c r="I3381" s="733"/>
      <c r="J3381" s="733"/>
      <c r="K3381" s="733"/>
      <c r="L3381" s="733"/>
      <c r="M3381" s="733"/>
    </row>
    <row r="3382" spans="1:13" x14ac:dyDescent="0.3">
      <c r="A3382" s="733" t="s">
        <v>3365</v>
      </c>
      <c r="B3382" s="733" t="s">
        <v>664</v>
      </c>
      <c r="C3382" s="738" t="s">
        <v>3373</v>
      </c>
      <c r="D3382" s="733"/>
      <c r="E3382" s="761"/>
      <c r="F3382" s="761"/>
      <c r="G3382" s="733"/>
      <c r="H3382" s="733"/>
      <c r="I3382" s="733"/>
      <c r="J3382" s="733"/>
      <c r="K3382" s="733"/>
      <c r="L3382" s="733"/>
      <c r="M3382" s="733"/>
    </row>
    <row r="3383" spans="1:13" x14ac:dyDescent="0.3">
      <c r="A3383" s="733" t="s">
        <v>3365</v>
      </c>
      <c r="B3383" s="733" t="s">
        <v>664</v>
      </c>
      <c r="C3383" s="738" t="s">
        <v>3374</v>
      </c>
      <c r="D3383" s="733"/>
      <c r="E3383" s="761"/>
      <c r="F3383" s="761"/>
      <c r="G3383" s="733"/>
      <c r="H3383" s="733"/>
      <c r="I3383" s="733"/>
      <c r="J3383" s="733"/>
      <c r="K3383" s="733"/>
      <c r="L3383" s="733"/>
      <c r="M3383" s="733"/>
    </row>
    <row r="3384" spans="1:13" x14ac:dyDescent="0.3">
      <c r="A3384" s="733" t="s">
        <v>3365</v>
      </c>
      <c r="B3384" s="733" t="s">
        <v>664</v>
      </c>
      <c r="C3384" s="738" t="s">
        <v>3375</v>
      </c>
      <c r="D3384" s="733"/>
      <c r="E3384" s="761"/>
      <c r="F3384" s="761"/>
      <c r="G3384" s="733"/>
      <c r="H3384" s="733"/>
      <c r="I3384" s="733"/>
      <c r="J3384" s="733"/>
      <c r="K3384" s="733"/>
      <c r="L3384" s="733"/>
      <c r="M3384" s="733"/>
    </row>
    <row r="3385" spans="1:13" x14ac:dyDescent="0.3">
      <c r="A3385" s="733" t="s">
        <v>3365</v>
      </c>
      <c r="B3385" s="733" t="s">
        <v>612</v>
      </c>
      <c r="C3385" s="738" t="s">
        <v>3376</v>
      </c>
      <c r="D3385" s="733"/>
      <c r="E3385" s="761"/>
      <c r="F3385" s="761"/>
      <c r="G3385" s="733"/>
      <c r="H3385" s="733"/>
      <c r="I3385" s="733"/>
      <c r="J3385" s="733"/>
      <c r="K3385" s="733"/>
      <c r="L3385" s="733"/>
      <c r="M3385" s="733"/>
    </row>
    <row r="3386" spans="1:13" x14ac:dyDescent="0.3">
      <c r="A3386" s="733" t="s">
        <v>3365</v>
      </c>
      <c r="B3386" s="733" t="s">
        <v>612</v>
      </c>
      <c r="C3386" s="738" t="s">
        <v>3377</v>
      </c>
      <c r="D3386" s="733"/>
      <c r="E3386" s="761"/>
      <c r="F3386" s="761"/>
      <c r="G3386" s="733"/>
      <c r="H3386" s="733"/>
      <c r="I3386" s="733"/>
      <c r="J3386" s="733"/>
      <c r="K3386" s="733"/>
      <c r="L3386" s="733"/>
      <c r="M3386" s="733"/>
    </row>
    <row r="3387" spans="1:13" x14ac:dyDescent="0.3">
      <c r="A3387" s="733" t="s">
        <v>3365</v>
      </c>
      <c r="B3387" s="733" t="s">
        <v>612</v>
      </c>
      <c r="C3387" s="738" t="s">
        <v>3378</v>
      </c>
      <c r="D3387" s="733"/>
      <c r="E3387" s="761"/>
      <c r="F3387" s="761"/>
      <c r="G3387" s="733"/>
      <c r="H3387" s="733"/>
      <c r="I3387" s="733"/>
      <c r="J3387" s="733"/>
      <c r="K3387" s="733"/>
      <c r="L3387" s="733"/>
      <c r="M3387" s="733"/>
    </row>
    <row r="3388" spans="1:13" x14ac:dyDescent="0.3">
      <c r="A3388" s="733" t="s">
        <v>3365</v>
      </c>
      <c r="B3388" s="733" t="s">
        <v>612</v>
      </c>
      <c r="C3388" s="738" t="s">
        <v>3379</v>
      </c>
      <c r="D3388" s="733"/>
      <c r="E3388" s="761"/>
      <c r="F3388" s="761"/>
      <c r="G3388" s="733"/>
      <c r="H3388" s="733"/>
      <c r="I3388" s="733"/>
      <c r="J3388" s="733"/>
      <c r="K3388" s="733"/>
      <c r="L3388" s="733"/>
      <c r="M3388" s="733"/>
    </row>
    <row r="3389" spans="1:13" x14ac:dyDescent="0.3">
      <c r="A3389" s="733" t="s">
        <v>3365</v>
      </c>
      <c r="B3389" s="733" t="s">
        <v>612</v>
      </c>
      <c r="C3389" s="738" t="s">
        <v>3380</v>
      </c>
      <c r="D3389" s="733"/>
      <c r="E3389" s="761"/>
      <c r="F3389" s="761"/>
      <c r="G3389" s="733"/>
      <c r="H3389" s="733"/>
      <c r="I3389" s="733"/>
      <c r="J3389" s="733"/>
      <c r="K3389" s="733"/>
      <c r="L3389" s="733"/>
      <c r="M3389" s="733"/>
    </row>
    <row r="3390" spans="1:13" x14ac:dyDescent="0.3">
      <c r="A3390" s="733" t="s">
        <v>2839</v>
      </c>
      <c r="B3390" s="733" t="s">
        <v>645</v>
      </c>
      <c r="C3390" s="738" t="s">
        <v>3381</v>
      </c>
      <c r="D3390" s="733"/>
      <c r="E3390" s="761"/>
      <c r="F3390" s="761"/>
      <c r="G3390" s="733"/>
      <c r="H3390" s="733"/>
      <c r="I3390" s="733"/>
      <c r="J3390" s="733"/>
      <c r="K3390" s="733"/>
      <c r="L3390" s="733"/>
      <c r="M3390" s="733"/>
    </row>
    <row r="3391" spans="1:13" ht="28.8" x14ac:dyDescent="0.3">
      <c r="A3391" s="733" t="s">
        <v>2839</v>
      </c>
      <c r="B3391" s="733" t="s">
        <v>645</v>
      </c>
      <c r="C3391" s="738" t="s">
        <v>3382</v>
      </c>
      <c r="D3391" s="733"/>
      <c r="E3391" s="761"/>
      <c r="F3391" s="761"/>
      <c r="G3391" s="733"/>
      <c r="H3391" s="733"/>
      <c r="I3391" s="733"/>
      <c r="J3391" s="733"/>
      <c r="K3391" s="733"/>
      <c r="L3391" s="733"/>
      <c r="M3391" s="733"/>
    </row>
    <row r="3392" spans="1:13" x14ac:dyDescent="0.3">
      <c r="A3392" s="733" t="s">
        <v>2839</v>
      </c>
      <c r="B3392" s="733" t="s">
        <v>645</v>
      </c>
      <c r="C3392" s="738" t="s">
        <v>3383</v>
      </c>
      <c r="D3392" s="733"/>
      <c r="E3392" s="761"/>
      <c r="F3392" s="761"/>
      <c r="G3392" s="733"/>
      <c r="H3392" s="733"/>
      <c r="I3392" s="733"/>
      <c r="J3392" s="733"/>
      <c r="K3392" s="733"/>
      <c r="L3392" s="733"/>
      <c r="M3392" s="733"/>
    </row>
    <row r="3393" spans="1:13" x14ac:dyDescent="0.3">
      <c r="A3393" s="733" t="s">
        <v>2839</v>
      </c>
      <c r="B3393" s="733" t="s">
        <v>645</v>
      </c>
      <c r="C3393" s="738" t="s">
        <v>3384</v>
      </c>
      <c r="D3393" s="733"/>
      <c r="E3393" s="761"/>
      <c r="F3393" s="761"/>
      <c r="G3393" s="733"/>
      <c r="H3393" s="733"/>
      <c r="I3393" s="733"/>
      <c r="J3393" s="733"/>
      <c r="K3393" s="733"/>
      <c r="L3393" s="733"/>
      <c r="M3393" s="733"/>
    </row>
    <row r="3394" spans="1:13" x14ac:dyDescent="0.3">
      <c r="A3394" s="733" t="s">
        <v>2839</v>
      </c>
      <c r="B3394" s="733" t="s">
        <v>645</v>
      </c>
      <c r="C3394" s="738" t="s">
        <v>3385</v>
      </c>
      <c r="D3394" s="733"/>
      <c r="E3394" s="761"/>
      <c r="F3394" s="761"/>
      <c r="G3394" s="733"/>
      <c r="H3394" s="733"/>
      <c r="I3394" s="733"/>
      <c r="J3394" s="733"/>
      <c r="K3394" s="733"/>
      <c r="L3394" s="733"/>
      <c r="M3394" s="733"/>
    </row>
    <row r="3395" spans="1:13" x14ac:dyDescent="0.3">
      <c r="A3395" s="733" t="s">
        <v>2839</v>
      </c>
      <c r="B3395" s="733" t="s">
        <v>664</v>
      </c>
      <c r="C3395" s="738" t="s">
        <v>3386</v>
      </c>
      <c r="D3395" s="733"/>
      <c r="E3395" s="761"/>
      <c r="F3395" s="761"/>
      <c r="G3395" s="733"/>
      <c r="H3395" s="733"/>
      <c r="I3395" s="733"/>
      <c r="J3395" s="733"/>
      <c r="K3395" s="733"/>
      <c r="L3395" s="733"/>
      <c r="M3395" s="733"/>
    </row>
    <row r="3396" spans="1:13" x14ac:dyDescent="0.3">
      <c r="A3396" s="733" t="s">
        <v>2839</v>
      </c>
      <c r="B3396" s="733" t="s">
        <v>664</v>
      </c>
      <c r="C3396" s="738" t="s">
        <v>3387</v>
      </c>
      <c r="D3396" s="733"/>
      <c r="E3396" s="761"/>
      <c r="F3396" s="761"/>
      <c r="G3396" s="733"/>
      <c r="H3396" s="733"/>
      <c r="I3396" s="733"/>
      <c r="J3396" s="733"/>
      <c r="K3396" s="733"/>
      <c r="L3396" s="733"/>
      <c r="M3396" s="733"/>
    </row>
    <row r="3397" spans="1:13" ht="28.8" x14ac:dyDescent="0.3">
      <c r="A3397" s="733" t="s">
        <v>2839</v>
      </c>
      <c r="B3397" s="733" t="s">
        <v>664</v>
      </c>
      <c r="C3397" s="738" t="s">
        <v>3388</v>
      </c>
      <c r="D3397" s="733"/>
      <c r="E3397" s="761"/>
      <c r="F3397" s="761"/>
      <c r="G3397" s="733"/>
      <c r="H3397" s="733"/>
      <c r="I3397" s="733"/>
      <c r="J3397" s="733"/>
      <c r="K3397" s="733"/>
      <c r="L3397" s="733"/>
      <c r="M3397" s="733"/>
    </row>
    <row r="3398" spans="1:13" x14ac:dyDescent="0.3">
      <c r="A3398" s="733" t="s">
        <v>2839</v>
      </c>
      <c r="B3398" s="733" t="s">
        <v>664</v>
      </c>
      <c r="C3398" s="738" t="s">
        <v>3389</v>
      </c>
      <c r="D3398" s="733"/>
      <c r="E3398" s="761"/>
      <c r="F3398" s="761"/>
      <c r="G3398" s="733"/>
      <c r="H3398" s="733"/>
      <c r="I3398" s="733"/>
      <c r="J3398" s="733"/>
      <c r="K3398" s="733"/>
      <c r="L3398" s="733"/>
      <c r="M3398" s="733"/>
    </row>
    <row r="3399" spans="1:13" x14ac:dyDescent="0.3">
      <c r="A3399" s="733" t="s">
        <v>2839</v>
      </c>
      <c r="B3399" s="733" t="s">
        <v>664</v>
      </c>
      <c r="C3399" s="738" t="s">
        <v>3390</v>
      </c>
      <c r="D3399" s="733"/>
      <c r="E3399" s="761"/>
      <c r="F3399" s="761"/>
      <c r="G3399" s="733"/>
      <c r="H3399" s="733"/>
      <c r="I3399" s="733"/>
      <c r="J3399" s="733"/>
      <c r="K3399" s="733"/>
      <c r="L3399" s="733"/>
      <c r="M3399" s="733"/>
    </row>
    <row r="3400" spans="1:13" x14ac:dyDescent="0.3">
      <c r="A3400" s="733" t="s">
        <v>2839</v>
      </c>
      <c r="B3400" s="733" t="s">
        <v>612</v>
      </c>
      <c r="C3400" s="738" t="s">
        <v>3391</v>
      </c>
      <c r="D3400" s="733"/>
      <c r="E3400" s="761"/>
      <c r="F3400" s="761"/>
      <c r="G3400" s="733"/>
      <c r="H3400" s="733"/>
      <c r="I3400" s="733"/>
      <c r="J3400" s="733"/>
      <c r="K3400" s="733"/>
      <c r="L3400" s="733"/>
      <c r="M3400" s="733"/>
    </row>
    <row r="3401" spans="1:13" ht="28.8" x14ac:dyDescent="0.3">
      <c r="A3401" s="733" t="s">
        <v>2839</v>
      </c>
      <c r="B3401" s="733" t="s">
        <v>612</v>
      </c>
      <c r="C3401" s="738" t="s">
        <v>3392</v>
      </c>
      <c r="D3401" s="733"/>
      <c r="E3401" s="761"/>
      <c r="F3401" s="761"/>
      <c r="G3401" s="733"/>
      <c r="H3401" s="733"/>
      <c r="I3401" s="733"/>
      <c r="J3401" s="733"/>
      <c r="K3401" s="733"/>
      <c r="L3401" s="733"/>
      <c r="M3401" s="733"/>
    </row>
    <row r="3402" spans="1:13" x14ac:dyDescent="0.3">
      <c r="A3402" s="733" t="s">
        <v>2839</v>
      </c>
      <c r="B3402" s="733" t="s">
        <v>612</v>
      </c>
      <c r="C3402" s="738" t="s">
        <v>3393</v>
      </c>
      <c r="D3402" s="733"/>
      <c r="E3402" s="761"/>
      <c r="F3402" s="761"/>
      <c r="G3402" s="733"/>
      <c r="H3402" s="733"/>
      <c r="I3402" s="733"/>
      <c r="J3402" s="733"/>
      <c r="K3402" s="733"/>
      <c r="L3402" s="733"/>
      <c r="M3402" s="733"/>
    </row>
    <row r="3403" spans="1:13" x14ac:dyDescent="0.3">
      <c r="A3403" s="733" t="s">
        <v>2839</v>
      </c>
      <c r="B3403" s="733" t="s">
        <v>612</v>
      </c>
      <c r="C3403" s="738" t="s">
        <v>3394</v>
      </c>
      <c r="D3403" s="733"/>
      <c r="E3403" s="761"/>
      <c r="F3403" s="761"/>
      <c r="G3403" s="733"/>
      <c r="H3403" s="733"/>
      <c r="I3403" s="733"/>
      <c r="J3403" s="733"/>
      <c r="K3403" s="733"/>
      <c r="L3403" s="733"/>
      <c r="M3403" s="733"/>
    </row>
    <row r="3404" spans="1:13" ht="28.8" x14ac:dyDescent="0.3">
      <c r="A3404" s="733" t="s">
        <v>2839</v>
      </c>
      <c r="B3404" s="733" t="s">
        <v>612</v>
      </c>
      <c r="C3404" s="738" t="s">
        <v>3395</v>
      </c>
      <c r="D3404" s="733"/>
      <c r="E3404" s="761"/>
      <c r="F3404" s="761"/>
      <c r="G3404" s="733"/>
      <c r="H3404" s="733"/>
      <c r="I3404" s="733"/>
      <c r="J3404" s="733"/>
      <c r="K3404" s="733"/>
      <c r="L3404" s="733"/>
      <c r="M3404" s="733"/>
    </row>
    <row r="3405" spans="1:13" x14ac:dyDescent="0.3">
      <c r="A3405" s="733" t="s">
        <v>3396</v>
      </c>
      <c r="B3405" s="733" t="s">
        <v>645</v>
      </c>
      <c r="C3405" s="738" t="s">
        <v>3397</v>
      </c>
      <c r="D3405" s="733"/>
      <c r="E3405" s="761"/>
      <c r="F3405" s="761"/>
      <c r="G3405" s="733"/>
      <c r="H3405" s="733"/>
      <c r="I3405" s="733"/>
      <c r="J3405" s="733"/>
      <c r="K3405" s="733"/>
      <c r="L3405" s="733"/>
      <c r="M3405" s="733"/>
    </row>
    <row r="3406" spans="1:13" x14ac:dyDescent="0.3">
      <c r="A3406" s="733" t="s">
        <v>3396</v>
      </c>
      <c r="B3406" s="733" t="s">
        <v>645</v>
      </c>
      <c r="C3406" s="738" t="s">
        <v>3398</v>
      </c>
      <c r="D3406" s="733"/>
      <c r="E3406" s="761"/>
      <c r="F3406" s="761"/>
      <c r="G3406" s="733"/>
      <c r="H3406" s="733"/>
      <c r="I3406" s="733"/>
      <c r="J3406" s="733"/>
      <c r="K3406" s="733"/>
      <c r="L3406" s="733"/>
      <c r="M3406" s="733"/>
    </row>
    <row r="3407" spans="1:13" x14ac:dyDescent="0.3">
      <c r="A3407" s="733" t="s">
        <v>3396</v>
      </c>
      <c r="B3407" s="733" t="s">
        <v>645</v>
      </c>
      <c r="C3407" s="738" t="s">
        <v>3399</v>
      </c>
      <c r="D3407" s="733"/>
      <c r="E3407" s="761"/>
      <c r="F3407" s="761"/>
      <c r="G3407" s="733"/>
      <c r="H3407" s="733"/>
      <c r="I3407" s="733"/>
      <c r="J3407" s="733"/>
      <c r="K3407" s="733"/>
      <c r="L3407" s="733"/>
      <c r="M3407" s="733"/>
    </row>
    <row r="3408" spans="1:13" x14ac:dyDescent="0.3">
      <c r="A3408" s="733" t="s">
        <v>3396</v>
      </c>
      <c r="B3408" s="733" t="s">
        <v>645</v>
      </c>
      <c r="C3408" s="738" t="s">
        <v>3400</v>
      </c>
      <c r="D3408" s="733"/>
      <c r="E3408" s="761"/>
      <c r="F3408" s="761"/>
      <c r="G3408" s="733"/>
      <c r="H3408" s="733"/>
      <c r="I3408" s="733"/>
      <c r="J3408" s="733"/>
      <c r="K3408" s="733"/>
      <c r="L3408" s="733"/>
      <c r="M3408" s="733"/>
    </row>
    <row r="3409" spans="1:13" ht="28.8" x14ac:dyDescent="0.3">
      <c r="A3409" s="733" t="s">
        <v>3396</v>
      </c>
      <c r="B3409" s="733" t="s">
        <v>645</v>
      </c>
      <c r="C3409" s="738" t="s">
        <v>3401</v>
      </c>
      <c r="D3409" s="733"/>
      <c r="E3409" s="761"/>
      <c r="F3409" s="761"/>
      <c r="G3409" s="733"/>
      <c r="H3409" s="733"/>
      <c r="I3409" s="733"/>
      <c r="J3409" s="733"/>
      <c r="K3409" s="733"/>
      <c r="L3409" s="733"/>
      <c r="M3409" s="733"/>
    </row>
    <row r="3410" spans="1:13" x14ac:dyDescent="0.3">
      <c r="A3410" s="733" t="s">
        <v>3396</v>
      </c>
      <c r="B3410" s="733" t="s">
        <v>664</v>
      </c>
      <c r="C3410" s="738" t="s">
        <v>3402</v>
      </c>
      <c r="D3410" s="733"/>
      <c r="E3410" s="761"/>
      <c r="F3410" s="761"/>
      <c r="G3410" s="733"/>
      <c r="H3410" s="733"/>
      <c r="I3410" s="733"/>
      <c r="J3410" s="733"/>
      <c r="K3410" s="733"/>
      <c r="L3410" s="733"/>
      <c r="M3410" s="733"/>
    </row>
    <row r="3411" spans="1:13" x14ac:dyDescent="0.3">
      <c r="A3411" s="733" t="s">
        <v>3396</v>
      </c>
      <c r="B3411" s="733" t="s">
        <v>664</v>
      </c>
      <c r="C3411" s="738" t="s">
        <v>3403</v>
      </c>
      <c r="D3411" s="733"/>
      <c r="E3411" s="761"/>
      <c r="F3411" s="761"/>
      <c r="G3411" s="733"/>
      <c r="H3411" s="733"/>
      <c r="I3411" s="733"/>
      <c r="J3411" s="733"/>
      <c r="K3411" s="733"/>
      <c r="L3411" s="733"/>
      <c r="M3411" s="733"/>
    </row>
    <row r="3412" spans="1:13" x14ac:dyDescent="0.3">
      <c r="A3412" s="733" t="s">
        <v>3396</v>
      </c>
      <c r="B3412" s="733" t="s">
        <v>664</v>
      </c>
      <c r="C3412" s="738" t="s">
        <v>3404</v>
      </c>
      <c r="D3412" s="733"/>
      <c r="E3412" s="761"/>
      <c r="F3412" s="761"/>
      <c r="G3412" s="733"/>
      <c r="H3412" s="733"/>
      <c r="I3412" s="733"/>
      <c r="J3412" s="733"/>
      <c r="K3412" s="733"/>
      <c r="L3412" s="733"/>
      <c r="M3412" s="733"/>
    </row>
    <row r="3413" spans="1:13" x14ac:dyDescent="0.3">
      <c r="A3413" s="733" t="s">
        <v>3396</v>
      </c>
      <c r="B3413" s="733" t="s">
        <v>664</v>
      </c>
      <c r="C3413" s="738" t="s">
        <v>3405</v>
      </c>
      <c r="D3413" s="733"/>
      <c r="E3413" s="761"/>
      <c r="F3413" s="761"/>
      <c r="G3413" s="733"/>
      <c r="H3413" s="733"/>
      <c r="I3413" s="733"/>
      <c r="J3413" s="733"/>
      <c r="K3413" s="733"/>
      <c r="L3413" s="733"/>
      <c r="M3413" s="733"/>
    </row>
    <row r="3414" spans="1:13" x14ac:dyDescent="0.3">
      <c r="A3414" s="733" t="s">
        <v>3396</v>
      </c>
      <c r="B3414" s="733" t="s">
        <v>664</v>
      </c>
      <c r="C3414" s="738" t="s">
        <v>3406</v>
      </c>
      <c r="D3414" s="733"/>
      <c r="E3414" s="761"/>
      <c r="F3414" s="761"/>
      <c r="G3414" s="733"/>
      <c r="H3414" s="733"/>
      <c r="I3414" s="733"/>
      <c r="J3414" s="733"/>
      <c r="K3414" s="733"/>
      <c r="L3414" s="733"/>
      <c r="M3414" s="733"/>
    </row>
    <row r="3415" spans="1:13" ht="28.8" x14ac:dyDescent="0.3">
      <c r="A3415" s="733" t="s">
        <v>3396</v>
      </c>
      <c r="B3415" s="733" t="s">
        <v>612</v>
      </c>
      <c r="C3415" s="738" t="s">
        <v>3407</v>
      </c>
      <c r="D3415" s="733"/>
      <c r="E3415" s="761"/>
      <c r="F3415" s="761"/>
      <c r="G3415" s="733"/>
      <c r="H3415" s="733"/>
      <c r="I3415" s="733"/>
      <c r="J3415" s="733"/>
      <c r="K3415" s="733"/>
      <c r="L3415" s="733"/>
      <c r="M3415" s="733"/>
    </row>
    <row r="3416" spans="1:13" x14ac:dyDescent="0.3">
      <c r="A3416" s="733" t="s">
        <v>3396</v>
      </c>
      <c r="B3416" s="733" t="s">
        <v>612</v>
      </c>
      <c r="C3416" s="738" t="s">
        <v>3408</v>
      </c>
      <c r="D3416" s="733"/>
      <c r="E3416" s="761"/>
      <c r="F3416" s="761"/>
      <c r="G3416" s="733"/>
      <c r="H3416" s="733"/>
      <c r="I3416" s="733"/>
      <c r="J3416" s="733"/>
      <c r="K3416" s="733"/>
      <c r="L3416" s="733"/>
      <c r="M3416" s="733"/>
    </row>
    <row r="3417" spans="1:13" ht="28.8" x14ac:dyDescent="0.3">
      <c r="A3417" s="733" t="s">
        <v>3396</v>
      </c>
      <c r="B3417" s="733" t="s">
        <v>612</v>
      </c>
      <c r="C3417" s="738" t="s">
        <v>3409</v>
      </c>
      <c r="D3417" s="733"/>
      <c r="E3417" s="761"/>
      <c r="F3417" s="761"/>
      <c r="G3417" s="733"/>
      <c r="H3417" s="733"/>
      <c r="I3417" s="733"/>
      <c r="J3417" s="733"/>
      <c r="K3417" s="733"/>
      <c r="L3417" s="733"/>
      <c r="M3417" s="733"/>
    </row>
    <row r="3418" spans="1:13" ht="28.8" x14ac:dyDescent="0.3">
      <c r="A3418" s="733" t="s">
        <v>3396</v>
      </c>
      <c r="B3418" s="733" t="s">
        <v>612</v>
      </c>
      <c r="C3418" s="738" t="s">
        <v>3410</v>
      </c>
      <c r="D3418" s="733"/>
      <c r="E3418" s="761"/>
      <c r="F3418" s="761"/>
      <c r="G3418" s="733"/>
      <c r="H3418" s="733"/>
      <c r="I3418" s="733"/>
      <c r="J3418" s="733"/>
      <c r="K3418" s="733"/>
      <c r="L3418" s="733"/>
      <c r="M3418" s="733"/>
    </row>
    <row r="3419" spans="1:13" ht="28.8" x14ac:dyDescent="0.3">
      <c r="A3419" s="733" t="s">
        <v>3396</v>
      </c>
      <c r="B3419" s="733" t="s">
        <v>612</v>
      </c>
      <c r="C3419" s="738" t="s">
        <v>3411</v>
      </c>
      <c r="D3419" s="733"/>
      <c r="E3419" s="761"/>
      <c r="F3419" s="761"/>
      <c r="G3419" s="733"/>
      <c r="H3419" s="733"/>
      <c r="I3419" s="733"/>
      <c r="J3419" s="733"/>
      <c r="K3419" s="733"/>
      <c r="L3419" s="733"/>
      <c r="M3419" s="733"/>
    </row>
    <row r="3420" spans="1:13" x14ac:dyDescent="0.3">
      <c r="A3420" s="733" t="s">
        <v>3396</v>
      </c>
      <c r="B3420" s="733" t="s">
        <v>645</v>
      </c>
      <c r="C3420" s="738" t="s">
        <v>3412</v>
      </c>
      <c r="D3420" s="733"/>
      <c r="E3420" s="761"/>
      <c r="F3420" s="761"/>
      <c r="G3420" s="733"/>
      <c r="H3420" s="733"/>
      <c r="I3420" s="733"/>
      <c r="J3420" s="733"/>
      <c r="K3420" s="733"/>
      <c r="L3420" s="733"/>
      <c r="M3420" s="733"/>
    </row>
    <row r="3421" spans="1:13" ht="28.8" x14ac:dyDescent="0.3">
      <c r="A3421" s="733" t="s">
        <v>3396</v>
      </c>
      <c r="B3421" s="733" t="s">
        <v>645</v>
      </c>
      <c r="C3421" s="738" t="s">
        <v>3413</v>
      </c>
      <c r="D3421" s="733"/>
      <c r="E3421" s="761"/>
      <c r="F3421" s="761"/>
      <c r="G3421" s="733"/>
      <c r="H3421" s="733"/>
      <c r="I3421" s="733"/>
      <c r="J3421" s="733"/>
      <c r="K3421" s="733"/>
      <c r="L3421" s="733"/>
      <c r="M3421" s="733"/>
    </row>
    <row r="3422" spans="1:13" ht="28.8" x14ac:dyDescent="0.3">
      <c r="A3422" s="733" t="s">
        <v>3396</v>
      </c>
      <c r="B3422" s="733" t="s">
        <v>645</v>
      </c>
      <c r="C3422" s="738" t="s">
        <v>3414</v>
      </c>
      <c r="D3422" s="733"/>
      <c r="E3422" s="761"/>
      <c r="F3422" s="761"/>
      <c r="G3422" s="733"/>
      <c r="H3422" s="733"/>
      <c r="I3422" s="733"/>
      <c r="J3422" s="733"/>
      <c r="K3422" s="733"/>
      <c r="L3422" s="733"/>
      <c r="M3422" s="733"/>
    </row>
    <row r="3423" spans="1:13" ht="28.8" x14ac:dyDescent="0.3">
      <c r="A3423" s="733" t="s">
        <v>3396</v>
      </c>
      <c r="B3423" s="733" t="s">
        <v>645</v>
      </c>
      <c r="C3423" s="738" t="s">
        <v>3415</v>
      </c>
      <c r="D3423" s="733"/>
      <c r="E3423" s="761"/>
      <c r="F3423" s="761"/>
      <c r="G3423" s="733"/>
      <c r="H3423" s="733"/>
      <c r="I3423" s="733"/>
      <c r="J3423" s="733"/>
      <c r="K3423" s="733"/>
      <c r="L3423" s="733"/>
      <c r="M3423" s="733"/>
    </row>
    <row r="3424" spans="1:13" ht="28.8" x14ac:dyDescent="0.3">
      <c r="A3424" s="733" t="s">
        <v>3396</v>
      </c>
      <c r="B3424" s="733" t="s">
        <v>645</v>
      </c>
      <c r="C3424" s="738" t="s">
        <v>3416</v>
      </c>
      <c r="D3424" s="733"/>
      <c r="E3424" s="761"/>
      <c r="F3424" s="761"/>
      <c r="G3424" s="733"/>
      <c r="H3424" s="733"/>
      <c r="I3424" s="733"/>
      <c r="J3424" s="733"/>
      <c r="K3424" s="733"/>
      <c r="L3424" s="733"/>
      <c r="M3424" s="733"/>
    </row>
    <row r="3425" spans="1:13" x14ac:dyDescent="0.3">
      <c r="A3425" s="733" t="s">
        <v>3396</v>
      </c>
      <c r="B3425" s="733" t="s">
        <v>664</v>
      </c>
      <c r="C3425" s="738" t="s">
        <v>3417</v>
      </c>
      <c r="D3425" s="733"/>
      <c r="E3425" s="761"/>
      <c r="F3425" s="761"/>
      <c r="G3425" s="733"/>
      <c r="H3425" s="733"/>
      <c r="I3425" s="733"/>
      <c r="J3425" s="733"/>
      <c r="K3425" s="733"/>
      <c r="L3425" s="733"/>
      <c r="M3425" s="733"/>
    </row>
    <row r="3426" spans="1:13" ht="28.8" x14ac:dyDescent="0.3">
      <c r="A3426" s="733" t="s">
        <v>3396</v>
      </c>
      <c r="B3426" s="733" t="s">
        <v>664</v>
      </c>
      <c r="C3426" s="738" t="s">
        <v>3418</v>
      </c>
      <c r="D3426" s="733"/>
      <c r="E3426" s="761"/>
      <c r="F3426" s="761"/>
      <c r="G3426" s="733"/>
      <c r="H3426" s="733"/>
      <c r="I3426" s="733"/>
      <c r="J3426" s="733"/>
      <c r="K3426" s="733"/>
      <c r="L3426" s="733"/>
      <c r="M3426" s="733"/>
    </row>
    <row r="3427" spans="1:13" ht="28.8" x14ac:dyDescent="0.3">
      <c r="A3427" s="733" t="s">
        <v>3396</v>
      </c>
      <c r="B3427" s="733" t="s">
        <v>664</v>
      </c>
      <c r="C3427" s="738" t="s">
        <v>3419</v>
      </c>
      <c r="D3427" s="733"/>
      <c r="E3427" s="761"/>
      <c r="F3427" s="761"/>
      <c r="G3427" s="733"/>
      <c r="H3427" s="733"/>
      <c r="I3427" s="733"/>
      <c r="J3427" s="733"/>
      <c r="K3427" s="733"/>
      <c r="L3427" s="733"/>
      <c r="M3427" s="733"/>
    </row>
    <row r="3428" spans="1:13" ht="28.8" x14ac:dyDescent="0.3">
      <c r="A3428" s="733" t="s">
        <v>3396</v>
      </c>
      <c r="B3428" s="733" t="s">
        <v>664</v>
      </c>
      <c r="C3428" s="738" t="s">
        <v>3420</v>
      </c>
      <c r="D3428" s="733"/>
      <c r="E3428" s="761"/>
      <c r="F3428" s="761"/>
      <c r="G3428" s="733"/>
      <c r="H3428" s="733"/>
      <c r="I3428" s="733"/>
      <c r="J3428" s="733"/>
      <c r="K3428" s="733"/>
      <c r="L3428" s="733"/>
      <c r="M3428" s="733"/>
    </row>
    <row r="3429" spans="1:13" ht="28.8" x14ac:dyDescent="0.3">
      <c r="A3429" s="733" t="s">
        <v>3396</v>
      </c>
      <c r="B3429" s="733" t="s">
        <v>664</v>
      </c>
      <c r="C3429" s="738" t="s">
        <v>3421</v>
      </c>
      <c r="D3429" s="733"/>
      <c r="E3429" s="761"/>
      <c r="F3429" s="761"/>
      <c r="G3429" s="733"/>
      <c r="H3429" s="733"/>
      <c r="I3429" s="733"/>
      <c r="J3429" s="733"/>
      <c r="K3429" s="733"/>
      <c r="L3429" s="733"/>
      <c r="M3429" s="733"/>
    </row>
    <row r="3430" spans="1:13" ht="28.8" x14ac:dyDescent="0.3">
      <c r="A3430" s="733" t="s">
        <v>3396</v>
      </c>
      <c r="B3430" s="733" t="s">
        <v>612</v>
      </c>
      <c r="C3430" s="738" t="s">
        <v>3422</v>
      </c>
      <c r="D3430" s="733"/>
      <c r="E3430" s="761"/>
      <c r="F3430" s="761"/>
      <c r="G3430" s="733"/>
      <c r="H3430" s="733"/>
      <c r="I3430" s="733"/>
      <c r="J3430" s="733"/>
      <c r="K3430" s="733"/>
      <c r="L3430" s="733"/>
      <c r="M3430" s="733"/>
    </row>
    <row r="3431" spans="1:13" ht="28.8" x14ac:dyDescent="0.3">
      <c r="A3431" s="733" t="s">
        <v>3396</v>
      </c>
      <c r="B3431" s="733" t="s">
        <v>612</v>
      </c>
      <c r="C3431" s="738" t="s">
        <v>3423</v>
      </c>
      <c r="D3431" s="733"/>
      <c r="E3431" s="761"/>
      <c r="F3431" s="761"/>
      <c r="G3431" s="733"/>
      <c r="H3431" s="733"/>
      <c r="I3431" s="733"/>
      <c r="J3431" s="733"/>
      <c r="K3431" s="733"/>
      <c r="L3431" s="733"/>
      <c r="M3431" s="733"/>
    </row>
    <row r="3432" spans="1:13" ht="28.8" x14ac:dyDescent="0.3">
      <c r="A3432" s="733" t="s">
        <v>3396</v>
      </c>
      <c r="B3432" s="733" t="s">
        <v>612</v>
      </c>
      <c r="C3432" s="738" t="s">
        <v>3424</v>
      </c>
      <c r="D3432" s="733"/>
      <c r="E3432" s="761"/>
      <c r="F3432" s="761"/>
      <c r="G3432" s="733"/>
      <c r="H3432" s="733"/>
      <c r="I3432" s="733"/>
      <c r="J3432" s="733"/>
      <c r="K3432" s="733"/>
      <c r="L3432" s="733"/>
      <c r="M3432" s="733"/>
    </row>
    <row r="3433" spans="1:13" ht="28.8" x14ac:dyDescent="0.3">
      <c r="A3433" s="733" t="s">
        <v>3396</v>
      </c>
      <c r="B3433" s="733" t="s">
        <v>612</v>
      </c>
      <c r="C3433" s="738" t="s">
        <v>3425</v>
      </c>
      <c r="D3433" s="733"/>
      <c r="E3433" s="761"/>
      <c r="F3433" s="761"/>
      <c r="G3433" s="733"/>
      <c r="H3433" s="733"/>
      <c r="I3433" s="733"/>
      <c r="J3433" s="733"/>
      <c r="K3433" s="733"/>
      <c r="L3433" s="733"/>
      <c r="M3433" s="733"/>
    </row>
    <row r="3434" spans="1:13" ht="28.8" x14ac:dyDescent="0.3">
      <c r="A3434" s="733" t="s">
        <v>3396</v>
      </c>
      <c r="B3434" s="733" t="s">
        <v>612</v>
      </c>
      <c r="C3434" s="738" t="s">
        <v>3426</v>
      </c>
      <c r="D3434" s="733"/>
      <c r="E3434" s="761"/>
      <c r="F3434" s="761"/>
      <c r="G3434" s="733"/>
      <c r="H3434" s="733"/>
      <c r="I3434" s="733"/>
      <c r="J3434" s="733"/>
      <c r="K3434" s="733"/>
      <c r="L3434" s="733"/>
      <c r="M3434" s="733"/>
    </row>
    <row r="3435" spans="1:13" x14ac:dyDescent="0.3">
      <c r="A3435" s="733" t="s">
        <v>3427</v>
      </c>
      <c r="B3435" s="733" t="s">
        <v>645</v>
      </c>
      <c r="C3435" s="738" t="s">
        <v>3428</v>
      </c>
      <c r="D3435" s="733"/>
      <c r="E3435" s="761"/>
      <c r="F3435" s="761"/>
      <c r="G3435" s="733"/>
      <c r="H3435" s="733"/>
      <c r="I3435" s="733"/>
      <c r="J3435" s="733"/>
      <c r="K3435" s="733"/>
      <c r="L3435" s="733"/>
      <c r="M3435" s="733"/>
    </row>
    <row r="3436" spans="1:13" x14ac:dyDescent="0.3">
      <c r="A3436" s="733" t="s">
        <v>3427</v>
      </c>
      <c r="B3436" s="733" t="s">
        <v>645</v>
      </c>
      <c r="C3436" s="738" t="s">
        <v>3429</v>
      </c>
      <c r="D3436" s="733"/>
      <c r="E3436" s="761"/>
      <c r="F3436" s="761"/>
      <c r="G3436" s="733"/>
      <c r="H3436" s="733"/>
      <c r="I3436" s="733"/>
      <c r="J3436" s="733"/>
      <c r="K3436" s="733"/>
      <c r="L3436" s="733"/>
      <c r="M3436" s="733"/>
    </row>
    <row r="3437" spans="1:13" x14ac:dyDescent="0.3">
      <c r="A3437" s="733" t="s">
        <v>3427</v>
      </c>
      <c r="B3437" s="733" t="s">
        <v>645</v>
      </c>
      <c r="C3437" s="738" t="s">
        <v>3430</v>
      </c>
      <c r="D3437" s="733"/>
      <c r="E3437" s="761"/>
      <c r="F3437" s="761"/>
      <c r="G3437" s="733"/>
      <c r="H3437" s="733"/>
      <c r="I3437" s="733"/>
      <c r="J3437" s="733"/>
      <c r="K3437" s="733"/>
      <c r="L3437" s="733"/>
      <c r="M3437" s="733"/>
    </row>
    <row r="3438" spans="1:13" x14ac:dyDescent="0.3">
      <c r="A3438" s="733" t="s">
        <v>3427</v>
      </c>
      <c r="B3438" s="733" t="s">
        <v>645</v>
      </c>
      <c r="C3438" s="738" t="s">
        <v>3431</v>
      </c>
      <c r="D3438" s="733"/>
      <c r="E3438" s="761"/>
      <c r="F3438" s="761"/>
      <c r="G3438" s="733"/>
      <c r="H3438" s="733"/>
      <c r="I3438" s="733"/>
      <c r="J3438" s="733"/>
      <c r="K3438" s="733"/>
      <c r="L3438" s="733"/>
      <c r="M3438" s="733"/>
    </row>
    <row r="3439" spans="1:13" x14ac:dyDescent="0.3">
      <c r="A3439" s="733" t="s">
        <v>3427</v>
      </c>
      <c r="B3439" s="733" t="s">
        <v>645</v>
      </c>
      <c r="C3439" s="738" t="s">
        <v>3432</v>
      </c>
      <c r="D3439" s="733"/>
      <c r="E3439" s="761"/>
      <c r="F3439" s="761"/>
      <c r="G3439" s="733"/>
      <c r="H3439" s="733"/>
      <c r="I3439" s="733"/>
      <c r="J3439" s="733"/>
      <c r="K3439" s="733"/>
      <c r="L3439" s="733"/>
      <c r="M3439" s="733"/>
    </row>
    <row r="3440" spans="1:13" ht="28.8" x14ac:dyDescent="0.3">
      <c r="A3440" s="733" t="s">
        <v>3427</v>
      </c>
      <c r="B3440" s="733" t="s">
        <v>664</v>
      </c>
      <c r="C3440" s="738" t="s">
        <v>3433</v>
      </c>
      <c r="D3440" s="733"/>
      <c r="E3440" s="761"/>
      <c r="F3440" s="761"/>
      <c r="G3440" s="733"/>
      <c r="H3440" s="733"/>
      <c r="I3440" s="733"/>
      <c r="J3440" s="733"/>
      <c r="K3440" s="733"/>
      <c r="L3440" s="733"/>
      <c r="M3440" s="733"/>
    </row>
    <row r="3441" spans="1:13" ht="28.8" x14ac:dyDescent="0.3">
      <c r="A3441" s="733" t="s">
        <v>3427</v>
      </c>
      <c r="B3441" s="733" t="s">
        <v>664</v>
      </c>
      <c r="C3441" s="738" t="s">
        <v>3434</v>
      </c>
      <c r="D3441" s="733"/>
      <c r="E3441" s="761"/>
      <c r="F3441" s="761"/>
      <c r="G3441" s="733"/>
      <c r="H3441" s="733"/>
      <c r="I3441" s="733"/>
      <c r="J3441" s="733"/>
      <c r="K3441" s="733"/>
      <c r="L3441" s="733"/>
      <c r="M3441" s="733"/>
    </row>
    <row r="3442" spans="1:13" x14ac:dyDescent="0.3">
      <c r="A3442" s="733" t="s">
        <v>3427</v>
      </c>
      <c r="B3442" s="733" t="s">
        <v>664</v>
      </c>
      <c r="C3442" s="738" t="s">
        <v>3435</v>
      </c>
      <c r="D3442" s="733"/>
      <c r="E3442" s="761"/>
      <c r="F3442" s="761"/>
      <c r="G3442" s="733"/>
      <c r="H3442" s="733"/>
      <c r="I3442" s="733"/>
      <c r="J3442" s="733"/>
      <c r="K3442" s="733"/>
      <c r="L3442" s="733"/>
      <c r="M3442" s="733"/>
    </row>
    <row r="3443" spans="1:13" x14ac:dyDescent="0.3">
      <c r="A3443" s="733" t="s">
        <v>3427</v>
      </c>
      <c r="B3443" s="733" t="s">
        <v>664</v>
      </c>
      <c r="C3443" s="738" t="s">
        <v>3436</v>
      </c>
      <c r="D3443" s="733"/>
      <c r="E3443" s="761"/>
      <c r="F3443" s="761"/>
      <c r="G3443" s="733"/>
      <c r="H3443" s="733"/>
      <c r="I3443" s="733"/>
      <c r="J3443" s="733"/>
      <c r="K3443" s="733"/>
      <c r="L3443" s="733"/>
      <c r="M3443" s="733"/>
    </row>
    <row r="3444" spans="1:13" ht="28.8" x14ac:dyDescent="0.3">
      <c r="A3444" s="733" t="s">
        <v>3427</v>
      </c>
      <c r="B3444" s="733" t="s">
        <v>664</v>
      </c>
      <c r="C3444" s="738" t="s">
        <v>3437</v>
      </c>
      <c r="D3444" s="733"/>
      <c r="E3444" s="761"/>
      <c r="F3444" s="761"/>
      <c r="G3444" s="733"/>
      <c r="H3444" s="733"/>
      <c r="I3444" s="733"/>
      <c r="J3444" s="733"/>
      <c r="K3444" s="733"/>
      <c r="L3444" s="733"/>
      <c r="M3444" s="733"/>
    </row>
    <row r="3445" spans="1:13" ht="28.8" x14ac:dyDescent="0.3">
      <c r="A3445" s="733" t="s">
        <v>3427</v>
      </c>
      <c r="B3445" s="733" t="s">
        <v>612</v>
      </c>
      <c r="C3445" s="738" t="s">
        <v>3438</v>
      </c>
      <c r="D3445" s="733"/>
      <c r="E3445" s="761"/>
      <c r="F3445" s="761"/>
      <c r="G3445" s="733"/>
      <c r="H3445" s="733"/>
      <c r="I3445" s="733"/>
      <c r="J3445" s="733"/>
      <c r="K3445" s="733"/>
      <c r="L3445" s="733"/>
      <c r="M3445" s="733"/>
    </row>
    <row r="3446" spans="1:13" x14ac:dyDescent="0.3">
      <c r="A3446" s="733" t="s">
        <v>3427</v>
      </c>
      <c r="B3446" s="733" t="s">
        <v>612</v>
      </c>
      <c r="C3446" s="738" t="s">
        <v>3439</v>
      </c>
      <c r="D3446" s="733"/>
      <c r="E3446" s="761"/>
      <c r="F3446" s="761"/>
      <c r="G3446" s="733"/>
      <c r="H3446" s="733"/>
      <c r="I3446" s="733"/>
      <c r="J3446" s="733"/>
      <c r="K3446" s="733"/>
      <c r="L3446" s="733"/>
      <c r="M3446" s="733"/>
    </row>
    <row r="3447" spans="1:13" ht="28.8" x14ac:dyDescent="0.3">
      <c r="A3447" s="733" t="s">
        <v>3427</v>
      </c>
      <c r="B3447" s="733" t="s">
        <v>612</v>
      </c>
      <c r="C3447" s="738" t="s">
        <v>3440</v>
      </c>
      <c r="D3447" s="733"/>
      <c r="E3447" s="761"/>
      <c r="F3447" s="761"/>
      <c r="G3447" s="733"/>
      <c r="H3447" s="733"/>
      <c r="I3447" s="733"/>
      <c r="J3447" s="733"/>
      <c r="K3447" s="733"/>
      <c r="L3447" s="733"/>
      <c r="M3447" s="733"/>
    </row>
    <row r="3448" spans="1:13" ht="28.8" x14ac:dyDescent="0.3">
      <c r="A3448" s="733" t="s">
        <v>3427</v>
      </c>
      <c r="B3448" s="733" t="s">
        <v>612</v>
      </c>
      <c r="C3448" s="738" t="s">
        <v>3441</v>
      </c>
      <c r="D3448" s="733"/>
      <c r="E3448" s="761"/>
      <c r="F3448" s="761"/>
      <c r="G3448" s="733"/>
      <c r="H3448" s="733"/>
      <c r="I3448" s="733"/>
      <c r="J3448" s="733"/>
      <c r="K3448" s="733"/>
      <c r="L3448" s="733"/>
      <c r="M3448" s="733"/>
    </row>
    <row r="3449" spans="1:13" ht="28.8" x14ac:dyDescent="0.3">
      <c r="A3449" s="733" t="s">
        <v>3427</v>
      </c>
      <c r="B3449" s="733" t="s">
        <v>612</v>
      </c>
      <c r="C3449" s="738" t="s">
        <v>3442</v>
      </c>
      <c r="D3449" s="733"/>
      <c r="E3449" s="761"/>
      <c r="F3449" s="761"/>
      <c r="G3449" s="733"/>
      <c r="H3449" s="733"/>
      <c r="I3449" s="733"/>
      <c r="J3449" s="733"/>
      <c r="K3449" s="733"/>
      <c r="L3449" s="733"/>
      <c r="M3449" s="733"/>
    </row>
    <row r="3450" spans="1:13" ht="28.8" x14ac:dyDescent="0.3">
      <c r="A3450" s="733" t="s">
        <v>3427</v>
      </c>
      <c r="B3450" s="733" t="s">
        <v>645</v>
      </c>
      <c r="C3450" s="738" t="s">
        <v>3443</v>
      </c>
      <c r="D3450" s="733"/>
      <c r="E3450" s="761"/>
      <c r="F3450" s="761"/>
      <c r="G3450" s="733"/>
      <c r="H3450" s="733"/>
      <c r="I3450" s="733"/>
      <c r="J3450" s="733"/>
      <c r="K3450" s="733"/>
      <c r="L3450" s="733"/>
      <c r="M3450" s="733"/>
    </row>
    <row r="3451" spans="1:13" x14ac:dyDescent="0.3">
      <c r="A3451" s="733" t="s">
        <v>3427</v>
      </c>
      <c r="B3451" s="733" t="s">
        <v>645</v>
      </c>
      <c r="C3451" s="738" t="s">
        <v>3444</v>
      </c>
      <c r="D3451" s="733"/>
      <c r="E3451" s="761"/>
      <c r="F3451" s="761"/>
      <c r="G3451" s="733"/>
      <c r="H3451" s="733"/>
      <c r="I3451" s="733"/>
      <c r="J3451" s="733"/>
      <c r="K3451" s="733"/>
      <c r="L3451" s="733"/>
      <c r="M3451" s="733"/>
    </row>
    <row r="3452" spans="1:13" ht="28.8" x14ac:dyDescent="0.3">
      <c r="A3452" s="733" t="s">
        <v>3427</v>
      </c>
      <c r="B3452" s="733" t="s">
        <v>645</v>
      </c>
      <c r="C3452" s="738" t="s">
        <v>3445</v>
      </c>
      <c r="D3452" s="733"/>
      <c r="E3452" s="761"/>
      <c r="F3452" s="761"/>
      <c r="G3452" s="733"/>
      <c r="H3452" s="733"/>
      <c r="I3452" s="733"/>
      <c r="J3452" s="733"/>
      <c r="K3452" s="733"/>
      <c r="L3452" s="733"/>
      <c r="M3452" s="733"/>
    </row>
    <row r="3453" spans="1:13" x14ac:dyDescent="0.3">
      <c r="A3453" s="733" t="s">
        <v>3427</v>
      </c>
      <c r="B3453" s="733" t="s">
        <v>645</v>
      </c>
      <c r="C3453" s="738" t="s">
        <v>3446</v>
      </c>
      <c r="D3453" s="733"/>
      <c r="E3453" s="761"/>
      <c r="F3453" s="761"/>
      <c r="G3453" s="733"/>
      <c r="H3453" s="733"/>
      <c r="I3453" s="733"/>
      <c r="J3453" s="733"/>
      <c r="K3453" s="733"/>
      <c r="L3453" s="733"/>
      <c r="M3453" s="733"/>
    </row>
    <row r="3454" spans="1:13" x14ac:dyDescent="0.3">
      <c r="A3454" s="733" t="s">
        <v>3427</v>
      </c>
      <c r="B3454" s="733" t="s">
        <v>645</v>
      </c>
      <c r="C3454" s="738" t="s">
        <v>3447</v>
      </c>
      <c r="D3454" s="733"/>
      <c r="E3454" s="761"/>
      <c r="F3454" s="761"/>
      <c r="G3454" s="733"/>
      <c r="H3454" s="733"/>
      <c r="I3454" s="733"/>
      <c r="J3454" s="733"/>
      <c r="K3454" s="733"/>
      <c r="L3454" s="733"/>
      <c r="M3454" s="733"/>
    </row>
    <row r="3455" spans="1:13" ht="28.8" x14ac:dyDescent="0.3">
      <c r="A3455" s="733" t="s">
        <v>3427</v>
      </c>
      <c r="B3455" s="733" t="s">
        <v>664</v>
      </c>
      <c r="C3455" s="738" t="s">
        <v>3448</v>
      </c>
      <c r="D3455" s="733"/>
      <c r="E3455" s="761"/>
      <c r="F3455" s="761"/>
      <c r="G3455" s="733"/>
      <c r="H3455" s="733"/>
      <c r="I3455" s="733"/>
      <c r="J3455" s="733"/>
      <c r="K3455" s="733"/>
      <c r="L3455" s="733"/>
      <c r="M3455" s="733"/>
    </row>
    <row r="3456" spans="1:13" x14ac:dyDescent="0.3">
      <c r="A3456" s="733" t="s">
        <v>3427</v>
      </c>
      <c r="B3456" s="733" t="s">
        <v>664</v>
      </c>
      <c r="C3456" s="738" t="s">
        <v>3449</v>
      </c>
      <c r="D3456" s="733"/>
      <c r="E3456" s="761"/>
      <c r="F3456" s="761"/>
      <c r="G3456" s="733"/>
      <c r="H3456" s="733"/>
      <c r="I3456" s="733"/>
      <c r="J3456" s="733"/>
      <c r="K3456" s="733"/>
      <c r="L3456" s="733"/>
      <c r="M3456" s="733"/>
    </row>
    <row r="3457" spans="1:13" x14ac:dyDescent="0.3">
      <c r="A3457" s="733" t="s">
        <v>3427</v>
      </c>
      <c r="B3457" s="733" t="s">
        <v>664</v>
      </c>
      <c r="C3457" s="738" t="s">
        <v>3450</v>
      </c>
      <c r="D3457" s="733"/>
      <c r="E3457" s="761"/>
      <c r="F3457" s="761"/>
      <c r="G3457" s="733"/>
      <c r="H3457" s="733"/>
      <c r="I3457" s="733"/>
      <c r="J3457" s="733"/>
      <c r="K3457" s="733"/>
      <c r="L3457" s="733"/>
      <c r="M3457" s="733"/>
    </row>
    <row r="3458" spans="1:13" ht="28.8" x14ac:dyDescent="0.3">
      <c r="A3458" s="733" t="s">
        <v>3427</v>
      </c>
      <c r="B3458" s="733" t="s">
        <v>664</v>
      </c>
      <c r="C3458" s="738" t="s">
        <v>3451</v>
      </c>
      <c r="D3458" s="733"/>
      <c r="E3458" s="761"/>
      <c r="F3458" s="761"/>
      <c r="G3458" s="733"/>
      <c r="H3458" s="733"/>
      <c r="I3458" s="733"/>
      <c r="J3458" s="733"/>
      <c r="K3458" s="733"/>
      <c r="L3458" s="733"/>
      <c r="M3458" s="733"/>
    </row>
    <row r="3459" spans="1:13" x14ac:dyDescent="0.3">
      <c r="A3459" s="733" t="s">
        <v>3427</v>
      </c>
      <c r="B3459" s="733" t="s">
        <v>664</v>
      </c>
      <c r="C3459" s="738" t="s">
        <v>3452</v>
      </c>
      <c r="D3459" s="733"/>
      <c r="E3459" s="761"/>
      <c r="F3459" s="761"/>
      <c r="G3459" s="733"/>
      <c r="H3459" s="733"/>
      <c r="I3459" s="733"/>
      <c r="J3459" s="733"/>
      <c r="K3459" s="733"/>
      <c r="L3459" s="733"/>
      <c r="M3459" s="733"/>
    </row>
    <row r="3460" spans="1:13" x14ac:dyDescent="0.3">
      <c r="A3460" s="733" t="s">
        <v>3427</v>
      </c>
      <c r="B3460" s="733" t="s">
        <v>612</v>
      </c>
      <c r="C3460" s="738" t="s">
        <v>3453</v>
      </c>
      <c r="D3460" s="733"/>
      <c r="E3460" s="761"/>
      <c r="F3460" s="761"/>
      <c r="G3460" s="733"/>
      <c r="H3460" s="733"/>
      <c r="I3460" s="733"/>
      <c r="J3460" s="733"/>
      <c r="K3460" s="733"/>
      <c r="L3460" s="733"/>
      <c r="M3460" s="733"/>
    </row>
    <row r="3461" spans="1:13" x14ac:dyDescent="0.3">
      <c r="A3461" s="733" t="s">
        <v>3427</v>
      </c>
      <c r="B3461" s="733" t="s">
        <v>612</v>
      </c>
      <c r="C3461" s="738" t="s">
        <v>3454</v>
      </c>
      <c r="D3461" s="733"/>
      <c r="E3461" s="761"/>
      <c r="F3461" s="761"/>
      <c r="G3461" s="733"/>
      <c r="H3461" s="733"/>
      <c r="I3461" s="733"/>
      <c r="J3461" s="733"/>
      <c r="K3461" s="733"/>
      <c r="L3461" s="733"/>
      <c r="M3461" s="733"/>
    </row>
    <row r="3462" spans="1:13" x14ac:dyDescent="0.3">
      <c r="A3462" s="733" t="s">
        <v>3427</v>
      </c>
      <c r="B3462" s="733" t="s">
        <v>612</v>
      </c>
      <c r="C3462" s="738" t="s">
        <v>3455</v>
      </c>
      <c r="D3462" s="733"/>
      <c r="E3462" s="761"/>
      <c r="F3462" s="761"/>
      <c r="G3462" s="733"/>
      <c r="H3462" s="733"/>
      <c r="I3462" s="733"/>
      <c r="J3462" s="733"/>
      <c r="K3462" s="733"/>
      <c r="L3462" s="733"/>
      <c r="M3462" s="733"/>
    </row>
    <row r="3463" spans="1:13" x14ac:dyDescent="0.3">
      <c r="A3463" s="733" t="s">
        <v>3427</v>
      </c>
      <c r="B3463" s="733" t="s">
        <v>612</v>
      </c>
      <c r="C3463" s="738" t="s">
        <v>3456</v>
      </c>
      <c r="D3463" s="733"/>
      <c r="E3463" s="761"/>
      <c r="F3463" s="761"/>
      <c r="G3463" s="733"/>
      <c r="H3463" s="733"/>
      <c r="I3463" s="733"/>
      <c r="J3463" s="733"/>
      <c r="K3463" s="733"/>
      <c r="L3463" s="733"/>
      <c r="M3463" s="733"/>
    </row>
    <row r="3464" spans="1:13" ht="28.8" x14ac:dyDescent="0.3">
      <c r="A3464" s="733" t="s">
        <v>3427</v>
      </c>
      <c r="B3464" s="733" t="s">
        <v>612</v>
      </c>
      <c r="C3464" s="738" t="s">
        <v>3457</v>
      </c>
      <c r="D3464" s="733"/>
      <c r="E3464" s="761"/>
      <c r="F3464" s="761"/>
      <c r="G3464" s="733"/>
      <c r="H3464" s="733"/>
      <c r="I3464" s="733"/>
      <c r="J3464" s="733"/>
      <c r="K3464" s="733"/>
      <c r="L3464" s="733"/>
      <c r="M3464" s="733"/>
    </row>
    <row r="3465" spans="1:13" ht="28.8" x14ac:dyDescent="0.3">
      <c r="A3465" s="733" t="s">
        <v>3458</v>
      </c>
      <c r="B3465" s="733" t="s">
        <v>645</v>
      </c>
      <c r="C3465" s="738" t="s">
        <v>3459</v>
      </c>
      <c r="D3465" s="733"/>
      <c r="E3465" s="761"/>
      <c r="F3465" s="761"/>
      <c r="G3465" s="733"/>
      <c r="H3465" s="733"/>
      <c r="I3465" s="733"/>
      <c r="J3465" s="733"/>
      <c r="K3465" s="733"/>
      <c r="L3465" s="733"/>
      <c r="M3465" s="733"/>
    </row>
    <row r="3466" spans="1:13" ht="28.8" x14ac:dyDescent="0.3">
      <c r="A3466" s="733" t="s">
        <v>3458</v>
      </c>
      <c r="B3466" s="733" t="s">
        <v>645</v>
      </c>
      <c r="C3466" s="738" t="s">
        <v>3460</v>
      </c>
      <c r="D3466" s="733"/>
      <c r="E3466" s="761"/>
      <c r="F3466" s="761"/>
      <c r="G3466" s="733"/>
      <c r="H3466" s="733"/>
      <c r="I3466" s="733"/>
      <c r="J3466" s="733"/>
      <c r="K3466" s="733"/>
      <c r="L3466" s="733"/>
      <c r="M3466" s="733"/>
    </row>
    <row r="3467" spans="1:13" ht="28.8" x14ac:dyDescent="0.3">
      <c r="A3467" s="733" t="s">
        <v>3458</v>
      </c>
      <c r="B3467" s="733" t="s">
        <v>645</v>
      </c>
      <c r="C3467" s="738" t="s">
        <v>3461</v>
      </c>
      <c r="D3467" s="733"/>
      <c r="E3467" s="761"/>
      <c r="F3467" s="761"/>
      <c r="G3467" s="733"/>
      <c r="H3467" s="733"/>
      <c r="I3467" s="733"/>
      <c r="J3467" s="733"/>
      <c r="K3467" s="733"/>
      <c r="L3467" s="733"/>
      <c r="M3467" s="733"/>
    </row>
    <row r="3468" spans="1:13" ht="28.8" x14ac:dyDescent="0.3">
      <c r="A3468" s="733" t="s">
        <v>3458</v>
      </c>
      <c r="B3468" s="733" t="s">
        <v>645</v>
      </c>
      <c r="C3468" s="738" t="s">
        <v>3462</v>
      </c>
      <c r="D3468" s="733"/>
      <c r="E3468" s="761"/>
      <c r="F3468" s="761"/>
      <c r="G3468" s="733"/>
      <c r="H3468" s="733"/>
      <c r="I3468" s="733"/>
      <c r="J3468" s="733"/>
      <c r="K3468" s="733"/>
      <c r="L3468" s="733"/>
      <c r="M3468" s="733"/>
    </row>
    <row r="3469" spans="1:13" ht="28.8" x14ac:dyDescent="0.3">
      <c r="A3469" s="733" t="s">
        <v>3458</v>
      </c>
      <c r="B3469" s="733" t="s">
        <v>645</v>
      </c>
      <c r="C3469" s="738" t="s">
        <v>3463</v>
      </c>
      <c r="D3469" s="733"/>
      <c r="E3469" s="761"/>
      <c r="F3469" s="761"/>
      <c r="G3469" s="733"/>
      <c r="H3469" s="733"/>
      <c r="I3469" s="733"/>
      <c r="J3469" s="733"/>
      <c r="K3469" s="733"/>
      <c r="L3469" s="733"/>
      <c r="M3469" s="733"/>
    </row>
    <row r="3470" spans="1:13" ht="28.8" x14ac:dyDescent="0.3">
      <c r="A3470" s="733" t="s">
        <v>3458</v>
      </c>
      <c r="B3470" s="733" t="s">
        <v>664</v>
      </c>
      <c r="C3470" s="738" t="s">
        <v>3464</v>
      </c>
      <c r="D3470" s="733"/>
      <c r="E3470" s="761"/>
      <c r="F3470" s="761"/>
      <c r="G3470" s="733"/>
      <c r="H3470" s="733"/>
      <c r="I3470" s="733"/>
      <c r="J3470" s="733"/>
      <c r="K3470" s="733"/>
      <c r="L3470" s="733"/>
      <c r="M3470" s="733"/>
    </row>
    <row r="3471" spans="1:13" ht="28.8" x14ac:dyDescent="0.3">
      <c r="A3471" s="733" t="s">
        <v>3458</v>
      </c>
      <c r="B3471" s="733" t="s">
        <v>664</v>
      </c>
      <c r="C3471" s="738" t="s">
        <v>3465</v>
      </c>
      <c r="D3471" s="733"/>
      <c r="E3471" s="761"/>
      <c r="F3471" s="761"/>
      <c r="G3471" s="733"/>
      <c r="H3471" s="733"/>
      <c r="I3471" s="733"/>
      <c r="J3471" s="733"/>
      <c r="K3471" s="733"/>
      <c r="L3471" s="733"/>
      <c r="M3471" s="733"/>
    </row>
    <row r="3472" spans="1:13" ht="28.8" x14ac:dyDescent="0.3">
      <c r="A3472" s="733" t="s">
        <v>3458</v>
      </c>
      <c r="B3472" s="733" t="s">
        <v>664</v>
      </c>
      <c r="C3472" s="738" t="s">
        <v>3466</v>
      </c>
      <c r="D3472" s="733"/>
      <c r="E3472" s="761"/>
      <c r="F3472" s="761"/>
      <c r="G3472" s="733"/>
      <c r="H3472" s="733"/>
      <c r="I3472" s="733"/>
      <c r="J3472" s="733"/>
      <c r="K3472" s="733"/>
      <c r="L3472" s="733"/>
      <c r="M3472" s="733"/>
    </row>
    <row r="3473" spans="1:13" ht="28.8" x14ac:dyDescent="0.3">
      <c r="A3473" s="733" t="s">
        <v>3458</v>
      </c>
      <c r="B3473" s="733" t="s">
        <v>664</v>
      </c>
      <c r="C3473" s="738" t="s">
        <v>3467</v>
      </c>
      <c r="D3473" s="733"/>
      <c r="E3473" s="761"/>
      <c r="F3473" s="761"/>
      <c r="G3473" s="733"/>
      <c r="H3473" s="733"/>
      <c r="I3473" s="733"/>
      <c r="J3473" s="733"/>
      <c r="K3473" s="733"/>
      <c r="L3473" s="733"/>
      <c r="M3473" s="733"/>
    </row>
    <row r="3474" spans="1:13" ht="28.8" x14ac:dyDescent="0.3">
      <c r="A3474" s="733" t="s">
        <v>3458</v>
      </c>
      <c r="B3474" s="733" t="s">
        <v>664</v>
      </c>
      <c r="C3474" s="738" t="s">
        <v>3468</v>
      </c>
      <c r="D3474" s="733"/>
      <c r="E3474" s="761"/>
      <c r="F3474" s="761"/>
      <c r="G3474" s="733"/>
      <c r="H3474" s="733"/>
      <c r="I3474" s="733"/>
      <c r="J3474" s="733"/>
      <c r="K3474" s="733"/>
      <c r="L3474" s="733"/>
      <c r="M3474" s="733"/>
    </row>
    <row r="3475" spans="1:13" ht="28.8" x14ac:dyDescent="0.3">
      <c r="A3475" s="733" t="s">
        <v>3458</v>
      </c>
      <c r="B3475" s="733" t="s">
        <v>612</v>
      </c>
      <c r="C3475" s="738" t="s">
        <v>3469</v>
      </c>
      <c r="D3475" s="733"/>
      <c r="E3475" s="761"/>
      <c r="F3475" s="761"/>
      <c r="G3475" s="733"/>
      <c r="H3475" s="733"/>
      <c r="I3475" s="733"/>
      <c r="J3475" s="733"/>
      <c r="K3475" s="733"/>
      <c r="L3475" s="733"/>
      <c r="M3475" s="733"/>
    </row>
    <row r="3476" spans="1:13" ht="28.8" x14ac:dyDescent="0.3">
      <c r="A3476" s="733" t="s">
        <v>3458</v>
      </c>
      <c r="B3476" s="733" t="s">
        <v>612</v>
      </c>
      <c r="C3476" s="738" t="s">
        <v>3470</v>
      </c>
      <c r="D3476" s="733"/>
      <c r="E3476" s="761"/>
      <c r="F3476" s="761"/>
      <c r="G3476" s="733"/>
      <c r="H3476" s="733"/>
      <c r="I3476" s="733"/>
      <c r="J3476" s="733"/>
      <c r="K3476" s="733"/>
      <c r="L3476" s="733"/>
      <c r="M3476" s="733"/>
    </row>
    <row r="3477" spans="1:13" ht="28.8" x14ac:dyDescent="0.3">
      <c r="A3477" s="733" t="s">
        <v>3458</v>
      </c>
      <c r="B3477" s="733" t="s">
        <v>612</v>
      </c>
      <c r="C3477" s="738" t="s">
        <v>3471</v>
      </c>
      <c r="D3477" s="733"/>
      <c r="E3477" s="761"/>
      <c r="F3477" s="761"/>
      <c r="G3477" s="733"/>
      <c r="H3477" s="733"/>
      <c r="I3477" s="733"/>
      <c r="J3477" s="733"/>
      <c r="K3477" s="733"/>
      <c r="L3477" s="733"/>
      <c r="M3477" s="733"/>
    </row>
    <row r="3478" spans="1:13" ht="28.8" x14ac:dyDescent="0.3">
      <c r="A3478" s="733" t="s">
        <v>3458</v>
      </c>
      <c r="B3478" s="733" t="s">
        <v>612</v>
      </c>
      <c r="C3478" s="738" t="s">
        <v>3472</v>
      </c>
      <c r="D3478" s="733"/>
      <c r="E3478" s="761"/>
      <c r="F3478" s="761"/>
      <c r="G3478" s="733"/>
      <c r="H3478" s="733"/>
      <c r="I3478" s="733"/>
      <c r="J3478" s="733"/>
      <c r="K3478" s="733"/>
      <c r="L3478" s="733"/>
      <c r="M3478" s="733"/>
    </row>
    <row r="3479" spans="1:13" ht="28.8" x14ac:dyDescent="0.3">
      <c r="A3479" s="733" t="s">
        <v>3458</v>
      </c>
      <c r="B3479" s="733" t="s">
        <v>612</v>
      </c>
      <c r="C3479" s="738" t="s">
        <v>3473</v>
      </c>
      <c r="D3479" s="733"/>
      <c r="E3479" s="761"/>
      <c r="F3479" s="761"/>
      <c r="G3479" s="733"/>
      <c r="H3479" s="733"/>
      <c r="I3479" s="733"/>
      <c r="J3479" s="733"/>
      <c r="K3479" s="733"/>
      <c r="L3479" s="733"/>
      <c r="M3479" s="733"/>
    </row>
    <row r="3480" spans="1:13" ht="28.8" x14ac:dyDescent="0.3">
      <c r="A3480" s="733" t="s">
        <v>3458</v>
      </c>
      <c r="B3480" s="733" t="s">
        <v>645</v>
      </c>
      <c r="C3480" s="738" t="s">
        <v>3474</v>
      </c>
      <c r="D3480" s="733"/>
      <c r="E3480" s="761"/>
      <c r="F3480" s="761"/>
      <c r="G3480" s="733"/>
      <c r="H3480" s="733"/>
      <c r="I3480" s="733"/>
      <c r="J3480" s="733"/>
      <c r="K3480" s="733"/>
      <c r="L3480" s="733"/>
      <c r="M3480" s="733"/>
    </row>
    <row r="3481" spans="1:13" ht="28.8" x14ac:dyDescent="0.3">
      <c r="A3481" s="733" t="s">
        <v>3458</v>
      </c>
      <c r="B3481" s="733" t="s">
        <v>645</v>
      </c>
      <c r="C3481" s="738" t="s">
        <v>3475</v>
      </c>
      <c r="D3481" s="733"/>
      <c r="E3481" s="761"/>
      <c r="F3481" s="761"/>
      <c r="G3481" s="733"/>
      <c r="H3481" s="733"/>
      <c r="I3481" s="733"/>
      <c r="J3481" s="733"/>
      <c r="K3481" s="733"/>
      <c r="L3481" s="733"/>
      <c r="M3481" s="733"/>
    </row>
    <row r="3482" spans="1:13" ht="28.8" x14ac:dyDescent="0.3">
      <c r="A3482" s="733" t="s">
        <v>3458</v>
      </c>
      <c r="B3482" s="733" t="s">
        <v>645</v>
      </c>
      <c r="C3482" s="738" t="s">
        <v>3476</v>
      </c>
      <c r="D3482" s="733"/>
      <c r="E3482" s="761"/>
      <c r="F3482" s="761"/>
      <c r="G3482" s="733"/>
      <c r="H3482" s="733"/>
      <c r="I3482" s="733"/>
      <c r="J3482" s="733"/>
      <c r="K3482" s="733"/>
      <c r="L3482" s="733"/>
      <c r="M3482" s="733"/>
    </row>
    <row r="3483" spans="1:13" ht="28.8" x14ac:dyDescent="0.3">
      <c r="A3483" s="733" t="s">
        <v>3458</v>
      </c>
      <c r="B3483" s="733" t="s">
        <v>645</v>
      </c>
      <c r="C3483" s="738" t="s">
        <v>3477</v>
      </c>
      <c r="D3483" s="733"/>
      <c r="E3483" s="761"/>
      <c r="F3483" s="761"/>
      <c r="G3483" s="733"/>
      <c r="H3483" s="733"/>
      <c r="I3483" s="733"/>
      <c r="J3483" s="733"/>
      <c r="K3483" s="733"/>
      <c r="L3483" s="733"/>
      <c r="M3483" s="733"/>
    </row>
    <row r="3484" spans="1:13" ht="28.8" x14ac:dyDescent="0.3">
      <c r="A3484" s="733" t="s">
        <v>3458</v>
      </c>
      <c r="B3484" s="733" t="s">
        <v>645</v>
      </c>
      <c r="C3484" s="738" t="s">
        <v>3478</v>
      </c>
      <c r="D3484" s="733"/>
      <c r="E3484" s="761"/>
      <c r="F3484" s="761"/>
      <c r="G3484" s="733"/>
      <c r="H3484" s="733"/>
      <c r="I3484" s="733"/>
      <c r="J3484" s="733"/>
      <c r="K3484" s="733"/>
      <c r="L3484" s="733"/>
      <c r="M3484" s="733"/>
    </row>
    <row r="3485" spans="1:13" ht="28.8" x14ac:dyDescent="0.3">
      <c r="A3485" s="733" t="s">
        <v>3458</v>
      </c>
      <c r="B3485" s="733" t="s">
        <v>664</v>
      </c>
      <c r="C3485" s="738" t="s">
        <v>3479</v>
      </c>
      <c r="D3485" s="733"/>
      <c r="E3485" s="761"/>
      <c r="F3485" s="761"/>
      <c r="G3485" s="733"/>
      <c r="H3485" s="733"/>
      <c r="I3485" s="733"/>
      <c r="J3485" s="733"/>
      <c r="K3485" s="733"/>
      <c r="L3485" s="733"/>
      <c r="M3485" s="733"/>
    </row>
    <row r="3486" spans="1:13" ht="28.8" x14ac:dyDescent="0.3">
      <c r="A3486" s="733" t="s">
        <v>3458</v>
      </c>
      <c r="B3486" s="733" t="s">
        <v>664</v>
      </c>
      <c r="C3486" s="738" t="s">
        <v>3480</v>
      </c>
      <c r="D3486" s="733"/>
      <c r="E3486" s="761"/>
      <c r="F3486" s="761"/>
      <c r="G3486" s="733"/>
      <c r="H3486" s="733"/>
      <c r="I3486" s="733"/>
      <c r="J3486" s="733"/>
      <c r="K3486" s="733"/>
      <c r="L3486" s="733"/>
      <c r="M3486" s="733"/>
    </row>
    <row r="3487" spans="1:13" ht="28.8" x14ac:dyDescent="0.3">
      <c r="A3487" s="733" t="s">
        <v>3458</v>
      </c>
      <c r="B3487" s="733" t="s">
        <v>664</v>
      </c>
      <c r="C3487" s="738" t="s">
        <v>3481</v>
      </c>
      <c r="D3487" s="733"/>
      <c r="E3487" s="761"/>
      <c r="F3487" s="761"/>
      <c r="G3487" s="733"/>
      <c r="H3487" s="733"/>
      <c r="I3487" s="733"/>
      <c r="J3487" s="733"/>
      <c r="K3487" s="733"/>
      <c r="L3487" s="733"/>
      <c r="M3487" s="733"/>
    </row>
    <row r="3488" spans="1:13" ht="28.8" x14ac:dyDescent="0.3">
      <c r="A3488" s="733" t="s">
        <v>3458</v>
      </c>
      <c r="B3488" s="733" t="s">
        <v>664</v>
      </c>
      <c r="C3488" s="738" t="s">
        <v>3482</v>
      </c>
      <c r="D3488" s="733"/>
      <c r="E3488" s="761"/>
      <c r="F3488" s="761"/>
      <c r="G3488" s="733"/>
      <c r="H3488" s="733"/>
      <c r="I3488" s="733"/>
      <c r="J3488" s="733"/>
      <c r="K3488" s="733"/>
      <c r="L3488" s="733"/>
      <c r="M3488" s="733"/>
    </row>
    <row r="3489" spans="1:13" ht="28.8" x14ac:dyDescent="0.3">
      <c r="A3489" s="733" t="s">
        <v>3458</v>
      </c>
      <c r="B3489" s="733" t="s">
        <v>664</v>
      </c>
      <c r="C3489" s="738" t="s">
        <v>3483</v>
      </c>
      <c r="D3489" s="733"/>
      <c r="E3489" s="761"/>
      <c r="F3489" s="761"/>
      <c r="G3489" s="733"/>
      <c r="H3489" s="733"/>
      <c r="I3489" s="733"/>
      <c r="J3489" s="733"/>
      <c r="K3489" s="733"/>
      <c r="L3489" s="733"/>
      <c r="M3489" s="733"/>
    </row>
    <row r="3490" spans="1:13" ht="28.8" x14ac:dyDescent="0.3">
      <c r="A3490" s="733" t="s">
        <v>3458</v>
      </c>
      <c r="B3490" s="733" t="s">
        <v>612</v>
      </c>
      <c r="C3490" s="738" t="s">
        <v>3484</v>
      </c>
      <c r="D3490" s="733"/>
      <c r="E3490" s="761"/>
      <c r="F3490" s="761"/>
      <c r="G3490" s="733"/>
      <c r="H3490" s="733"/>
      <c r="I3490" s="733"/>
      <c r="J3490" s="733"/>
      <c r="K3490" s="733"/>
      <c r="L3490" s="733"/>
      <c r="M3490" s="733"/>
    </row>
    <row r="3491" spans="1:13" ht="28.8" x14ac:dyDescent="0.3">
      <c r="A3491" s="733" t="s">
        <v>3458</v>
      </c>
      <c r="B3491" s="733" t="s">
        <v>612</v>
      </c>
      <c r="C3491" s="738" t="s">
        <v>3485</v>
      </c>
      <c r="D3491" s="733"/>
      <c r="E3491" s="761"/>
      <c r="F3491" s="761"/>
      <c r="G3491" s="733"/>
      <c r="H3491" s="733"/>
      <c r="I3491" s="733"/>
      <c r="J3491" s="733"/>
      <c r="K3491" s="733"/>
      <c r="L3491" s="733"/>
      <c r="M3491" s="733"/>
    </row>
    <row r="3492" spans="1:13" ht="28.8" x14ac:dyDescent="0.3">
      <c r="A3492" s="733" t="s">
        <v>3458</v>
      </c>
      <c r="B3492" s="733" t="s">
        <v>612</v>
      </c>
      <c r="C3492" s="738" t="s">
        <v>3486</v>
      </c>
      <c r="D3492" s="733"/>
      <c r="E3492" s="761"/>
      <c r="F3492" s="761"/>
      <c r="G3492" s="733"/>
      <c r="H3492" s="733"/>
      <c r="I3492" s="733"/>
      <c r="J3492" s="733"/>
      <c r="K3492" s="733"/>
      <c r="L3492" s="733"/>
      <c r="M3492" s="733"/>
    </row>
    <row r="3493" spans="1:13" ht="28.8" x14ac:dyDescent="0.3">
      <c r="A3493" s="733" t="s">
        <v>3458</v>
      </c>
      <c r="B3493" s="733" t="s">
        <v>612</v>
      </c>
      <c r="C3493" s="738" t="s">
        <v>3487</v>
      </c>
      <c r="D3493" s="733"/>
      <c r="E3493" s="761"/>
      <c r="F3493" s="761"/>
      <c r="G3493" s="733"/>
      <c r="H3493" s="733"/>
      <c r="I3493" s="733"/>
      <c r="J3493" s="733"/>
      <c r="K3493" s="733"/>
      <c r="L3493" s="733"/>
      <c r="M3493" s="733"/>
    </row>
    <row r="3494" spans="1:13" ht="28.8" x14ac:dyDescent="0.3">
      <c r="A3494" s="733" t="s">
        <v>3458</v>
      </c>
      <c r="B3494" s="733" t="s">
        <v>612</v>
      </c>
      <c r="C3494" s="738" t="s">
        <v>3488</v>
      </c>
      <c r="D3494" s="733"/>
      <c r="E3494" s="761"/>
      <c r="F3494" s="761"/>
      <c r="G3494" s="733"/>
      <c r="H3494" s="733"/>
      <c r="I3494" s="733"/>
      <c r="J3494" s="733"/>
      <c r="K3494" s="733"/>
      <c r="L3494" s="733"/>
      <c r="M3494" s="733"/>
    </row>
    <row r="3495" spans="1:13" ht="28.8" x14ac:dyDescent="0.3">
      <c r="A3495" s="733" t="s">
        <v>3489</v>
      </c>
      <c r="B3495" s="733" t="s">
        <v>645</v>
      </c>
      <c r="C3495" s="738" t="s">
        <v>3490</v>
      </c>
      <c r="D3495" s="733"/>
      <c r="E3495" s="761"/>
      <c r="F3495" s="761"/>
      <c r="G3495" s="733"/>
      <c r="H3495" s="733"/>
      <c r="I3495" s="733"/>
      <c r="J3495" s="733"/>
      <c r="K3495" s="733"/>
      <c r="L3495" s="733"/>
      <c r="M3495" s="733"/>
    </row>
    <row r="3496" spans="1:13" ht="28.8" x14ac:dyDescent="0.3">
      <c r="A3496" s="733" t="s">
        <v>3489</v>
      </c>
      <c r="B3496" s="733" t="s">
        <v>645</v>
      </c>
      <c r="C3496" s="738" t="s">
        <v>3491</v>
      </c>
      <c r="D3496" s="733"/>
      <c r="E3496" s="761"/>
      <c r="F3496" s="761"/>
      <c r="G3496" s="733"/>
      <c r="H3496" s="733"/>
      <c r="I3496" s="733"/>
      <c r="J3496" s="733"/>
      <c r="K3496" s="733"/>
      <c r="L3496" s="733"/>
      <c r="M3496" s="733"/>
    </row>
    <row r="3497" spans="1:13" ht="28.8" x14ac:dyDescent="0.3">
      <c r="A3497" s="733" t="s">
        <v>3489</v>
      </c>
      <c r="B3497" s="733" t="s">
        <v>645</v>
      </c>
      <c r="C3497" s="738" t="s">
        <v>3492</v>
      </c>
      <c r="D3497" s="733"/>
      <c r="E3497" s="761"/>
      <c r="F3497" s="761"/>
      <c r="G3497" s="733"/>
      <c r="H3497" s="733"/>
      <c r="I3497" s="733"/>
      <c r="J3497" s="733"/>
      <c r="K3497" s="733"/>
      <c r="L3497" s="733"/>
      <c r="M3497" s="733"/>
    </row>
    <row r="3498" spans="1:13" ht="28.8" x14ac:dyDescent="0.3">
      <c r="A3498" s="733" t="s">
        <v>3489</v>
      </c>
      <c r="B3498" s="733" t="s">
        <v>645</v>
      </c>
      <c r="C3498" s="738" t="s">
        <v>3493</v>
      </c>
      <c r="D3498" s="733"/>
      <c r="E3498" s="761"/>
      <c r="F3498" s="761"/>
      <c r="G3498" s="733"/>
      <c r="H3498" s="733"/>
      <c r="I3498" s="733"/>
      <c r="J3498" s="733"/>
      <c r="K3498" s="733"/>
      <c r="L3498" s="733"/>
      <c r="M3498" s="733"/>
    </row>
    <row r="3499" spans="1:13" ht="28.8" x14ac:dyDescent="0.3">
      <c r="A3499" s="733" t="s">
        <v>3489</v>
      </c>
      <c r="B3499" s="733" t="s">
        <v>645</v>
      </c>
      <c r="C3499" s="738" t="s">
        <v>3494</v>
      </c>
      <c r="D3499" s="733"/>
      <c r="E3499" s="761"/>
      <c r="F3499" s="761"/>
      <c r="G3499" s="733"/>
      <c r="H3499" s="733"/>
      <c r="I3499" s="733"/>
      <c r="J3499" s="733"/>
      <c r="K3499" s="733"/>
      <c r="L3499" s="733"/>
      <c r="M3499" s="733"/>
    </row>
    <row r="3500" spans="1:13" ht="28.8" x14ac:dyDescent="0.3">
      <c r="A3500" s="733" t="s">
        <v>3489</v>
      </c>
      <c r="B3500" s="733" t="s">
        <v>664</v>
      </c>
      <c r="C3500" s="738" t="s">
        <v>3495</v>
      </c>
      <c r="D3500" s="733"/>
      <c r="E3500" s="761"/>
      <c r="F3500" s="761"/>
      <c r="G3500" s="733"/>
      <c r="H3500" s="733"/>
      <c r="I3500" s="733"/>
      <c r="J3500" s="733"/>
      <c r="K3500" s="733"/>
      <c r="L3500" s="733"/>
      <c r="M3500" s="733"/>
    </row>
    <row r="3501" spans="1:13" ht="28.8" x14ac:dyDescent="0.3">
      <c r="A3501" s="733" t="s">
        <v>3489</v>
      </c>
      <c r="B3501" s="733" t="s">
        <v>664</v>
      </c>
      <c r="C3501" s="738" t="s">
        <v>3496</v>
      </c>
      <c r="D3501" s="733"/>
      <c r="E3501" s="761"/>
      <c r="F3501" s="761"/>
      <c r="G3501" s="733"/>
      <c r="H3501" s="733"/>
      <c r="I3501" s="733"/>
      <c r="J3501" s="733"/>
      <c r="K3501" s="733"/>
      <c r="L3501" s="733"/>
      <c r="M3501" s="733"/>
    </row>
    <row r="3502" spans="1:13" ht="28.8" x14ac:dyDescent="0.3">
      <c r="A3502" s="733" t="s">
        <v>3489</v>
      </c>
      <c r="B3502" s="733" t="s">
        <v>664</v>
      </c>
      <c r="C3502" s="738" t="s">
        <v>3497</v>
      </c>
      <c r="D3502" s="733"/>
      <c r="E3502" s="761"/>
      <c r="F3502" s="761"/>
      <c r="G3502" s="733"/>
      <c r="H3502" s="733"/>
      <c r="I3502" s="733"/>
      <c r="J3502" s="733"/>
      <c r="K3502" s="733"/>
      <c r="L3502" s="733"/>
      <c r="M3502" s="733"/>
    </row>
    <row r="3503" spans="1:13" ht="28.8" x14ac:dyDescent="0.3">
      <c r="A3503" s="733" t="s">
        <v>3489</v>
      </c>
      <c r="B3503" s="733" t="s">
        <v>664</v>
      </c>
      <c r="C3503" s="738" t="s">
        <v>3498</v>
      </c>
      <c r="D3503" s="733"/>
      <c r="E3503" s="761"/>
      <c r="F3503" s="761"/>
      <c r="G3503" s="733"/>
      <c r="H3503" s="733"/>
      <c r="I3503" s="733"/>
      <c r="J3503" s="733"/>
      <c r="K3503" s="733"/>
      <c r="L3503" s="733"/>
      <c r="M3503" s="733"/>
    </row>
    <row r="3504" spans="1:13" ht="28.8" x14ac:dyDescent="0.3">
      <c r="A3504" s="733" t="s">
        <v>3489</v>
      </c>
      <c r="B3504" s="733" t="s">
        <v>664</v>
      </c>
      <c r="C3504" s="738" t="s">
        <v>3499</v>
      </c>
      <c r="D3504" s="733"/>
      <c r="E3504" s="761"/>
      <c r="F3504" s="761"/>
      <c r="G3504" s="733"/>
      <c r="H3504" s="733"/>
      <c r="I3504" s="733"/>
      <c r="J3504" s="733"/>
      <c r="K3504" s="733"/>
      <c r="L3504" s="733"/>
      <c r="M3504" s="733"/>
    </row>
    <row r="3505" spans="1:13" ht="28.8" x14ac:dyDescent="0.3">
      <c r="A3505" s="733" t="s">
        <v>3489</v>
      </c>
      <c r="B3505" s="733" t="s">
        <v>612</v>
      </c>
      <c r="C3505" s="738" t="s">
        <v>3500</v>
      </c>
      <c r="D3505" s="733"/>
      <c r="E3505" s="761"/>
      <c r="F3505" s="761"/>
      <c r="G3505" s="733"/>
      <c r="H3505" s="733"/>
      <c r="I3505" s="733"/>
      <c r="J3505" s="733"/>
      <c r="K3505" s="733"/>
      <c r="L3505" s="733"/>
      <c r="M3505" s="733"/>
    </row>
    <row r="3506" spans="1:13" ht="28.8" x14ac:dyDescent="0.3">
      <c r="A3506" s="733" t="s">
        <v>3489</v>
      </c>
      <c r="B3506" s="733" t="s">
        <v>612</v>
      </c>
      <c r="C3506" s="738" t="s">
        <v>3501</v>
      </c>
      <c r="D3506" s="733"/>
      <c r="E3506" s="761"/>
      <c r="F3506" s="761"/>
      <c r="G3506" s="733"/>
      <c r="H3506" s="733"/>
      <c r="I3506" s="733"/>
      <c r="J3506" s="733"/>
      <c r="K3506" s="733"/>
      <c r="L3506" s="733"/>
      <c r="M3506" s="733"/>
    </row>
    <row r="3507" spans="1:13" ht="28.8" x14ac:dyDescent="0.3">
      <c r="A3507" s="733" t="s">
        <v>3489</v>
      </c>
      <c r="B3507" s="733" t="s">
        <v>612</v>
      </c>
      <c r="C3507" s="738" t="s">
        <v>3502</v>
      </c>
      <c r="D3507" s="733"/>
      <c r="E3507" s="761"/>
      <c r="F3507" s="761"/>
      <c r="G3507" s="733"/>
      <c r="H3507" s="733"/>
      <c r="I3507" s="733"/>
      <c r="J3507" s="733"/>
      <c r="K3507" s="733"/>
      <c r="L3507" s="733"/>
      <c r="M3507" s="733"/>
    </row>
    <row r="3508" spans="1:13" ht="28.8" x14ac:dyDescent="0.3">
      <c r="A3508" s="733" t="s">
        <v>3489</v>
      </c>
      <c r="B3508" s="733" t="s">
        <v>612</v>
      </c>
      <c r="C3508" s="738" t="s">
        <v>3503</v>
      </c>
      <c r="D3508" s="733"/>
      <c r="E3508" s="761"/>
      <c r="F3508" s="761"/>
      <c r="G3508" s="733"/>
      <c r="H3508" s="733"/>
      <c r="I3508" s="733"/>
      <c r="J3508" s="733"/>
      <c r="K3508" s="733"/>
      <c r="L3508" s="733"/>
      <c r="M3508" s="733"/>
    </row>
    <row r="3509" spans="1:13" ht="28.8" x14ac:dyDescent="0.3">
      <c r="A3509" s="733" t="s">
        <v>3489</v>
      </c>
      <c r="B3509" s="733" t="s">
        <v>612</v>
      </c>
      <c r="C3509" s="738" t="s">
        <v>3504</v>
      </c>
      <c r="D3509" s="733"/>
      <c r="E3509" s="761"/>
      <c r="F3509" s="761"/>
      <c r="G3509" s="733"/>
      <c r="H3509" s="733"/>
      <c r="I3509" s="733"/>
      <c r="J3509" s="733"/>
      <c r="K3509" s="733"/>
      <c r="L3509" s="733"/>
      <c r="M3509" s="733"/>
    </row>
    <row r="3510" spans="1:13" ht="28.8" x14ac:dyDescent="0.3">
      <c r="A3510" s="733" t="s">
        <v>3489</v>
      </c>
      <c r="B3510" s="733" t="s">
        <v>645</v>
      </c>
      <c r="C3510" s="738" t="s">
        <v>3505</v>
      </c>
      <c r="D3510" s="733"/>
      <c r="E3510" s="761"/>
      <c r="F3510" s="761"/>
      <c r="G3510" s="733"/>
      <c r="H3510" s="733"/>
      <c r="I3510" s="733"/>
      <c r="J3510" s="733"/>
      <c r="K3510" s="733"/>
      <c r="L3510" s="733"/>
      <c r="M3510" s="733"/>
    </row>
    <row r="3511" spans="1:13" ht="28.8" x14ac:dyDescent="0.3">
      <c r="A3511" s="733" t="s">
        <v>3489</v>
      </c>
      <c r="B3511" s="733" t="s">
        <v>645</v>
      </c>
      <c r="C3511" s="738" t="s">
        <v>3506</v>
      </c>
      <c r="D3511" s="733"/>
      <c r="E3511" s="761"/>
      <c r="F3511" s="761"/>
      <c r="G3511" s="733"/>
      <c r="H3511" s="733"/>
      <c r="I3511" s="733"/>
      <c r="J3511" s="733"/>
      <c r="K3511" s="733"/>
      <c r="L3511" s="733"/>
      <c r="M3511" s="733"/>
    </row>
    <row r="3512" spans="1:13" ht="28.8" x14ac:dyDescent="0.3">
      <c r="A3512" s="733" t="s">
        <v>3489</v>
      </c>
      <c r="B3512" s="733" t="s">
        <v>645</v>
      </c>
      <c r="C3512" s="738" t="s">
        <v>3507</v>
      </c>
      <c r="D3512" s="733"/>
      <c r="E3512" s="761"/>
      <c r="F3512" s="761"/>
      <c r="G3512" s="733"/>
      <c r="H3512" s="733"/>
      <c r="I3512" s="733"/>
      <c r="J3512" s="733"/>
      <c r="K3512" s="733"/>
      <c r="L3512" s="733"/>
      <c r="M3512" s="733"/>
    </row>
    <row r="3513" spans="1:13" ht="28.8" x14ac:dyDescent="0.3">
      <c r="A3513" s="733" t="s">
        <v>3489</v>
      </c>
      <c r="B3513" s="733" t="s">
        <v>645</v>
      </c>
      <c r="C3513" s="738" t="s">
        <v>3508</v>
      </c>
      <c r="D3513" s="733"/>
      <c r="E3513" s="761"/>
      <c r="F3513" s="761"/>
      <c r="G3513" s="733"/>
      <c r="H3513" s="733"/>
      <c r="I3513" s="733"/>
      <c r="J3513" s="733"/>
      <c r="K3513" s="733"/>
      <c r="L3513" s="733"/>
      <c r="M3513" s="733"/>
    </row>
    <row r="3514" spans="1:13" ht="28.8" x14ac:dyDescent="0.3">
      <c r="A3514" s="733" t="s">
        <v>3489</v>
      </c>
      <c r="B3514" s="733" t="s">
        <v>645</v>
      </c>
      <c r="C3514" s="738" t="s">
        <v>3509</v>
      </c>
      <c r="D3514" s="733"/>
      <c r="E3514" s="761"/>
      <c r="F3514" s="761"/>
      <c r="G3514" s="733"/>
      <c r="H3514" s="733"/>
      <c r="I3514" s="733"/>
      <c r="J3514" s="733"/>
      <c r="K3514" s="733"/>
      <c r="L3514" s="733"/>
      <c r="M3514" s="733"/>
    </row>
    <row r="3515" spans="1:13" ht="28.8" x14ac:dyDescent="0.3">
      <c r="A3515" s="733" t="s">
        <v>3489</v>
      </c>
      <c r="B3515" s="733" t="s">
        <v>664</v>
      </c>
      <c r="C3515" s="738" t="s">
        <v>3510</v>
      </c>
      <c r="D3515" s="733"/>
      <c r="E3515" s="761"/>
      <c r="F3515" s="761"/>
      <c r="G3515" s="733"/>
      <c r="H3515" s="733"/>
      <c r="I3515" s="733"/>
      <c r="J3515" s="733"/>
      <c r="K3515" s="733"/>
      <c r="L3515" s="733"/>
      <c r="M3515" s="733"/>
    </row>
    <row r="3516" spans="1:13" ht="28.8" x14ac:dyDescent="0.3">
      <c r="A3516" s="733" t="s">
        <v>3489</v>
      </c>
      <c r="B3516" s="733" t="s">
        <v>664</v>
      </c>
      <c r="C3516" s="738" t="s">
        <v>3511</v>
      </c>
      <c r="D3516" s="733"/>
      <c r="E3516" s="761"/>
      <c r="F3516" s="761"/>
      <c r="G3516" s="733"/>
      <c r="H3516" s="733"/>
      <c r="I3516" s="733"/>
      <c r="J3516" s="733"/>
      <c r="K3516" s="733"/>
      <c r="L3516" s="733"/>
      <c r="M3516" s="733"/>
    </row>
    <row r="3517" spans="1:13" ht="28.8" x14ac:dyDescent="0.3">
      <c r="A3517" s="733" t="s">
        <v>3489</v>
      </c>
      <c r="B3517" s="733" t="s">
        <v>664</v>
      </c>
      <c r="C3517" s="738" t="s">
        <v>3512</v>
      </c>
      <c r="D3517" s="733"/>
      <c r="E3517" s="761"/>
      <c r="F3517" s="761"/>
      <c r="G3517" s="733"/>
      <c r="H3517" s="733"/>
      <c r="I3517" s="733"/>
      <c r="J3517" s="733"/>
      <c r="K3517" s="733"/>
      <c r="L3517" s="733"/>
      <c r="M3517" s="733"/>
    </row>
    <row r="3518" spans="1:13" ht="28.8" x14ac:dyDescent="0.3">
      <c r="A3518" s="733" t="s">
        <v>3489</v>
      </c>
      <c r="B3518" s="733" t="s">
        <v>664</v>
      </c>
      <c r="C3518" s="738" t="s">
        <v>3513</v>
      </c>
      <c r="D3518" s="733"/>
      <c r="E3518" s="761"/>
      <c r="F3518" s="761"/>
      <c r="G3518" s="733"/>
      <c r="H3518" s="733"/>
      <c r="I3518" s="733"/>
      <c r="J3518" s="733"/>
      <c r="K3518" s="733"/>
      <c r="L3518" s="733"/>
      <c r="M3518" s="733"/>
    </row>
    <row r="3519" spans="1:13" ht="28.8" x14ac:dyDescent="0.3">
      <c r="A3519" s="733" t="s">
        <v>3489</v>
      </c>
      <c r="B3519" s="733" t="s">
        <v>664</v>
      </c>
      <c r="C3519" s="738" t="s">
        <v>3514</v>
      </c>
      <c r="D3519" s="733"/>
      <c r="E3519" s="761"/>
      <c r="F3519" s="761"/>
      <c r="G3519" s="733"/>
      <c r="H3519" s="733"/>
      <c r="I3519" s="733"/>
      <c r="J3519" s="733"/>
      <c r="K3519" s="733"/>
      <c r="L3519" s="733"/>
      <c r="M3519" s="733"/>
    </row>
    <row r="3520" spans="1:13" x14ac:dyDescent="0.3">
      <c r="A3520" s="733" t="s">
        <v>3489</v>
      </c>
      <c r="B3520" s="733" t="s">
        <v>612</v>
      </c>
      <c r="C3520" s="733" t="s">
        <v>3515</v>
      </c>
      <c r="D3520" s="733"/>
      <c r="E3520" s="761"/>
      <c r="F3520" s="761"/>
      <c r="G3520" s="733"/>
      <c r="H3520" s="733"/>
      <c r="I3520" s="733"/>
      <c r="J3520" s="733"/>
      <c r="K3520" s="733"/>
      <c r="L3520" s="733"/>
      <c r="M3520" s="733"/>
    </row>
    <row r="3521" spans="1:13" x14ac:dyDescent="0.3">
      <c r="A3521" s="733" t="s">
        <v>3489</v>
      </c>
      <c r="B3521" s="733" t="s">
        <v>612</v>
      </c>
      <c r="C3521" s="733" t="s">
        <v>3516</v>
      </c>
      <c r="D3521" s="733"/>
      <c r="E3521" s="761"/>
      <c r="F3521" s="761"/>
      <c r="G3521" s="733"/>
      <c r="H3521" s="733"/>
      <c r="I3521" s="733"/>
      <c r="J3521" s="733"/>
      <c r="K3521" s="733"/>
      <c r="L3521" s="733"/>
      <c r="M3521" s="733"/>
    </row>
    <row r="3522" spans="1:13" x14ac:dyDescent="0.3">
      <c r="A3522" s="733" t="s">
        <v>3489</v>
      </c>
      <c r="B3522" s="733" t="s">
        <v>612</v>
      </c>
      <c r="C3522" s="733" t="s">
        <v>3517</v>
      </c>
      <c r="D3522" s="733"/>
      <c r="E3522" s="761"/>
      <c r="F3522" s="761"/>
      <c r="G3522" s="733"/>
      <c r="H3522" s="733"/>
      <c r="I3522" s="733"/>
      <c r="J3522" s="733"/>
      <c r="K3522" s="733"/>
      <c r="L3522" s="733"/>
      <c r="M3522" s="733"/>
    </row>
    <row r="3523" spans="1:13" x14ac:dyDescent="0.3">
      <c r="A3523" s="733" t="s">
        <v>3489</v>
      </c>
      <c r="B3523" s="733" t="s">
        <v>612</v>
      </c>
      <c r="C3523" s="733" t="s">
        <v>3518</v>
      </c>
      <c r="D3523" s="733"/>
      <c r="E3523" s="761"/>
      <c r="F3523" s="761"/>
      <c r="G3523" s="733"/>
      <c r="H3523" s="733"/>
      <c r="I3523" s="733"/>
      <c r="J3523" s="733"/>
      <c r="K3523" s="733"/>
      <c r="L3523" s="733"/>
      <c r="M3523" s="733"/>
    </row>
    <row r="3524" spans="1:13" x14ac:dyDescent="0.3">
      <c r="A3524" s="733" t="s">
        <v>3489</v>
      </c>
      <c r="B3524" s="733" t="s">
        <v>612</v>
      </c>
      <c r="C3524" s="733" t="s">
        <v>3519</v>
      </c>
      <c r="D3524" s="733"/>
      <c r="E3524" s="761"/>
      <c r="F3524" s="761"/>
      <c r="G3524" s="733"/>
      <c r="H3524" s="733"/>
      <c r="I3524" s="733"/>
      <c r="J3524" s="733"/>
      <c r="K3524" s="733"/>
      <c r="L3524" s="733"/>
      <c r="M3524" s="733"/>
    </row>
    <row r="3525" spans="1:13" ht="28.8" x14ac:dyDescent="0.3">
      <c r="A3525" s="733" t="s">
        <v>3520</v>
      </c>
      <c r="B3525" s="733" t="s">
        <v>645</v>
      </c>
      <c r="C3525" s="738" t="s">
        <v>3521</v>
      </c>
      <c r="D3525" s="733"/>
      <c r="E3525" s="761"/>
      <c r="F3525" s="761"/>
      <c r="G3525" s="733"/>
      <c r="H3525" s="733"/>
      <c r="I3525" s="733"/>
      <c r="J3525" s="733"/>
      <c r="K3525" s="733"/>
      <c r="L3525" s="733"/>
      <c r="M3525" s="733"/>
    </row>
    <row r="3526" spans="1:13" ht="28.8" x14ac:dyDescent="0.3">
      <c r="A3526" s="733" t="s">
        <v>3520</v>
      </c>
      <c r="B3526" s="733" t="s">
        <v>645</v>
      </c>
      <c r="C3526" s="738" t="s">
        <v>3522</v>
      </c>
      <c r="D3526" s="733"/>
      <c r="E3526" s="761"/>
      <c r="F3526" s="761"/>
      <c r="G3526" s="733"/>
      <c r="H3526" s="733"/>
      <c r="I3526" s="733"/>
      <c r="J3526" s="733"/>
      <c r="K3526" s="733"/>
      <c r="L3526" s="733"/>
      <c r="M3526" s="733"/>
    </row>
    <row r="3527" spans="1:13" ht="28.8" x14ac:dyDescent="0.3">
      <c r="A3527" s="733" t="s">
        <v>3520</v>
      </c>
      <c r="B3527" s="733" t="s">
        <v>645</v>
      </c>
      <c r="C3527" s="738" t="s">
        <v>3523</v>
      </c>
      <c r="D3527" s="733"/>
      <c r="E3527" s="761"/>
      <c r="F3527" s="761"/>
      <c r="G3527" s="733"/>
      <c r="H3527" s="733"/>
      <c r="I3527" s="733"/>
      <c r="J3527" s="733"/>
      <c r="K3527" s="733"/>
      <c r="L3527" s="733"/>
      <c r="M3527" s="733"/>
    </row>
    <row r="3528" spans="1:13" ht="28.8" x14ac:dyDescent="0.3">
      <c r="A3528" s="733" t="s">
        <v>3520</v>
      </c>
      <c r="B3528" s="733" t="s">
        <v>645</v>
      </c>
      <c r="C3528" s="738" t="s">
        <v>3524</v>
      </c>
      <c r="D3528" s="733"/>
      <c r="E3528" s="761"/>
      <c r="F3528" s="761"/>
      <c r="G3528" s="733"/>
      <c r="H3528" s="733"/>
      <c r="I3528" s="733"/>
      <c r="J3528" s="733"/>
      <c r="K3528" s="733"/>
      <c r="L3528" s="733"/>
      <c r="M3528" s="733"/>
    </row>
    <row r="3529" spans="1:13" ht="28.8" x14ac:dyDescent="0.3">
      <c r="A3529" s="733" t="s">
        <v>3520</v>
      </c>
      <c r="B3529" s="733" t="s">
        <v>645</v>
      </c>
      <c r="C3529" s="738" t="s">
        <v>3525</v>
      </c>
      <c r="D3529" s="733"/>
      <c r="E3529" s="761"/>
      <c r="F3529" s="761"/>
      <c r="G3529" s="733"/>
      <c r="H3529" s="733"/>
      <c r="I3529" s="733"/>
      <c r="J3529" s="733"/>
      <c r="K3529" s="733"/>
      <c r="L3529" s="733"/>
      <c r="M3529" s="733"/>
    </row>
    <row r="3530" spans="1:13" ht="28.8" x14ac:dyDescent="0.3">
      <c r="A3530" s="733" t="s">
        <v>3520</v>
      </c>
      <c r="B3530" s="733" t="s">
        <v>664</v>
      </c>
      <c r="C3530" s="738" t="s">
        <v>3526</v>
      </c>
      <c r="D3530" s="733"/>
      <c r="E3530" s="761"/>
      <c r="F3530" s="761"/>
      <c r="G3530" s="733"/>
      <c r="H3530" s="733"/>
      <c r="I3530" s="733"/>
      <c r="J3530" s="733"/>
      <c r="K3530" s="733"/>
      <c r="L3530" s="733"/>
      <c r="M3530" s="733"/>
    </row>
    <row r="3531" spans="1:13" ht="28.8" x14ac:dyDescent="0.3">
      <c r="A3531" s="733" t="s">
        <v>3520</v>
      </c>
      <c r="B3531" s="733" t="s">
        <v>664</v>
      </c>
      <c r="C3531" s="738" t="s">
        <v>3527</v>
      </c>
      <c r="D3531" s="733"/>
      <c r="E3531" s="761"/>
      <c r="F3531" s="761"/>
      <c r="G3531" s="733"/>
      <c r="H3531" s="733"/>
      <c r="I3531" s="733"/>
      <c r="J3531" s="733"/>
      <c r="K3531" s="733"/>
      <c r="L3531" s="733"/>
      <c r="M3531" s="733"/>
    </row>
    <row r="3532" spans="1:13" ht="28.8" x14ac:dyDescent="0.3">
      <c r="A3532" s="733" t="s">
        <v>3520</v>
      </c>
      <c r="B3532" s="733" t="s">
        <v>664</v>
      </c>
      <c r="C3532" s="738" t="s">
        <v>3528</v>
      </c>
      <c r="D3532" s="733"/>
      <c r="E3532" s="761"/>
      <c r="F3532" s="761"/>
      <c r="G3532" s="733"/>
      <c r="H3532" s="733"/>
      <c r="I3532" s="733"/>
      <c r="J3532" s="733"/>
      <c r="K3532" s="733"/>
      <c r="L3532" s="733"/>
      <c r="M3532" s="733"/>
    </row>
    <row r="3533" spans="1:13" ht="28.8" x14ac:dyDescent="0.3">
      <c r="A3533" s="733" t="s">
        <v>3520</v>
      </c>
      <c r="B3533" s="733" t="s">
        <v>664</v>
      </c>
      <c r="C3533" s="738" t="s">
        <v>3529</v>
      </c>
      <c r="D3533" s="733"/>
      <c r="E3533" s="761"/>
      <c r="F3533" s="761"/>
      <c r="G3533" s="733"/>
      <c r="H3533" s="733"/>
      <c r="I3533" s="733"/>
      <c r="J3533" s="733"/>
      <c r="K3533" s="733"/>
      <c r="L3533" s="733"/>
      <c r="M3533" s="733"/>
    </row>
    <row r="3534" spans="1:13" ht="28.8" x14ac:dyDescent="0.3">
      <c r="A3534" s="733" t="s">
        <v>3520</v>
      </c>
      <c r="B3534" s="733" t="s">
        <v>664</v>
      </c>
      <c r="C3534" s="738" t="s">
        <v>3530</v>
      </c>
      <c r="D3534" s="733"/>
      <c r="E3534" s="761"/>
      <c r="F3534" s="761"/>
      <c r="G3534" s="733"/>
      <c r="H3534" s="733"/>
      <c r="I3534" s="733"/>
      <c r="J3534" s="733"/>
      <c r="K3534" s="733"/>
      <c r="L3534" s="733"/>
      <c r="M3534" s="733"/>
    </row>
    <row r="3535" spans="1:13" x14ac:dyDescent="0.3">
      <c r="A3535" s="733" t="s">
        <v>3520</v>
      </c>
      <c r="B3535" s="733" t="s">
        <v>612</v>
      </c>
      <c r="C3535" s="733" t="s">
        <v>3531</v>
      </c>
      <c r="D3535" s="733"/>
      <c r="E3535" s="761"/>
      <c r="F3535" s="761"/>
      <c r="G3535" s="733"/>
      <c r="H3535" s="733"/>
      <c r="I3535" s="733"/>
      <c r="J3535" s="733"/>
      <c r="K3535" s="733"/>
      <c r="L3535" s="733"/>
      <c r="M3535" s="733"/>
    </row>
    <row r="3536" spans="1:13" x14ac:dyDescent="0.3">
      <c r="A3536" s="733" t="s">
        <v>3520</v>
      </c>
      <c r="B3536" s="733" t="s">
        <v>612</v>
      </c>
      <c r="C3536" s="733" t="s">
        <v>3532</v>
      </c>
      <c r="D3536" s="733"/>
      <c r="E3536" s="761"/>
      <c r="F3536" s="761"/>
      <c r="G3536" s="733"/>
      <c r="H3536" s="733"/>
      <c r="I3536" s="733"/>
      <c r="J3536" s="733"/>
      <c r="K3536" s="733"/>
      <c r="L3536" s="733"/>
      <c r="M3536" s="733"/>
    </row>
    <row r="3537" spans="1:13" x14ac:dyDescent="0.3">
      <c r="A3537" s="733" t="s">
        <v>3520</v>
      </c>
      <c r="B3537" s="733" t="s">
        <v>612</v>
      </c>
      <c r="C3537" s="733" t="s">
        <v>3533</v>
      </c>
      <c r="D3537" s="733"/>
      <c r="E3537" s="761"/>
      <c r="F3537" s="761"/>
      <c r="G3537" s="733"/>
      <c r="H3537" s="733"/>
      <c r="I3537" s="733"/>
      <c r="J3537" s="733"/>
      <c r="K3537" s="733"/>
      <c r="L3537" s="733"/>
      <c r="M3537" s="733"/>
    </row>
    <row r="3538" spans="1:13" x14ac:dyDescent="0.3">
      <c r="A3538" s="733" t="s">
        <v>3520</v>
      </c>
      <c r="B3538" s="733" t="s">
        <v>612</v>
      </c>
      <c r="C3538" s="733" t="s">
        <v>3534</v>
      </c>
      <c r="D3538" s="733"/>
      <c r="E3538" s="761"/>
      <c r="F3538" s="761"/>
      <c r="G3538" s="733"/>
      <c r="H3538" s="733"/>
      <c r="I3538" s="733"/>
      <c r="J3538" s="733"/>
      <c r="K3538" s="733"/>
      <c r="L3538" s="733"/>
      <c r="M3538" s="733"/>
    </row>
    <row r="3539" spans="1:13" x14ac:dyDescent="0.3">
      <c r="A3539" s="733" t="s">
        <v>3520</v>
      </c>
      <c r="B3539" s="733" t="s">
        <v>612</v>
      </c>
      <c r="C3539" s="733" t="s">
        <v>3535</v>
      </c>
      <c r="D3539" s="733"/>
      <c r="E3539" s="761"/>
      <c r="F3539" s="761"/>
      <c r="G3539" s="733"/>
      <c r="H3539" s="733"/>
      <c r="I3539" s="733"/>
      <c r="J3539" s="733"/>
      <c r="K3539" s="733"/>
      <c r="L3539" s="733"/>
      <c r="M3539" s="733"/>
    </row>
    <row r="3540" spans="1:13" ht="28.8" x14ac:dyDescent="0.3">
      <c r="A3540" s="733" t="s">
        <v>3520</v>
      </c>
      <c r="B3540" s="733" t="s">
        <v>645</v>
      </c>
      <c r="C3540" s="738" t="s">
        <v>3536</v>
      </c>
      <c r="D3540" s="733"/>
      <c r="E3540" s="761"/>
      <c r="F3540" s="761"/>
      <c r="G3540" s="733"/>
      <c r="H3540" s="733"/>
      <c r="I3540" s="733"/>
      <c r="J3540" s="733"/>
      <c r="K3540" s="733"/>
      <c r="L3540" s="733"/>
      <c r="M3540" s="733"/>
    </row>
    <row r="3541" spans="1:13" ht="28.8" x14ac:dyDescent="0.3">
      <c r="A3541" s="733" t="s">
        <v>3520</v>
      </c>
      <c r="B3541" s="733" t="s">
        <v>645</v>
      </c>
      <c r="C3541" s="738" t="s">
        <v>3537</v>
      </c>
      <c r="D3541" s="733"/>
      <c r="E3541" s="761"/>
      <c r="F3541" s="761"/>
      <c r="G3541" s="733"/>
      <c r="H3541" s="733"/>
      <c r="I3541" s="733"/>
      <c r="J3541" s="733"/>
      <c r="K3541" s="733"/>
      <c r="L3541" s="733"/>
      <c r="M3541" s="733"/>
    </row>
    <row r="3542" spans="1:13" ht="28.8" x14ac:dyDescent="0.3">
      <c r="A3542" s="733" t="s">
        <v>3520</v>
      </c>
      <c r="B3542" s="733" t="s">
        <v>645</v>
      </c>
      <c r="C3542" s="738" t="s">
        <v>3538</v>
      </c>
      <c r="D3542" s="733"/>
      <c r="E3542" s="761"/>
      <c r="F3542" s="761"/>
      <c r="G3542" s="733"/>
      <c r="H3542" s="733"/>
      <c r="I3542" s="733"/>
      <c r="J3542" s="733"/>
      <c r="K3542" s="733"/>
      <c r="L3542" s="733"/>
      <c r="M3542" s="733"/>
    </row>
    <row r="3543" spans="1:13" ht="28.8" x14ac:dyDescent="0.3">
      <c r="A3543" s="733" t="s">
        <v>3520</v>
      </c>
      <c r="B3543" s="733" t="s">
        <v>645</v>
      </c>
      <c r="C3543" s="738" t="s">
        <v>3539</v>
      </c>
      <c r="D3543" s="733"/>
      <c r="E3543" s="761"/>
      <c r="F3543" s="761"/>
      <c r="G3543" s="733"/>
      <c r="H3543" s="733"/>
      <c r="I3543" s="733"/>
      <c r="J3543" s="733"/>
      <c r="K3543" s="733"/>
      <c r="L3543" s="733"/>
      <c r="M3543" s="733"/>
    </row>
    <row r="3544" spans="1:13" ht="28.8" x14ac:dyDescent="0.3">
      <c r="A3544" s="733" t="s">
        <v>3520</v>
      </c>
      <c r="B3544" s="733" t="s">
        <v>645</v>
      </c>
      <c r="C3544" s="738" t="s">
        <v>3540</v>
      </c>
      <c r="D3544" s="733"/>
      <c r="E3544" s="761"/>
      <c r="F3544" s="761"/>
      <c r="G3544" s="733"/>
      <c r="H3544" s="733"/>
      <c r="I3544" s="733"/>
      <c r="J3544" s="733"/>
      <c r="K3544" s="733"/>
      <c r="L3544" s="733"/>
      <c r="M3544" s="733"/>
    </row>
    <row r="3545" spans="1:13" ht="28.8" x14ac:dyDescent="0.3">
      <c r="A3545" s="733" t="s">
        <v>3520</v>
      </c>
      <c r="B3545" s="733" t="s">
        <v>664</v>
      </c>
      <c r="C3545" s="738" t="s">
        <v>3541</v>
      </c>
      <c r="D3545" s="733"/>
      <c r="E3545" s="761"/>
      <c r="F3545" s="761"/>
      <c r="G3545" s="733"/>
      <c r="H3545" s="733"/>
      <c r="I3545" s="733"/>
      <c r="J3545" s="733"/>
      <c r="K3545" s="733"/>
      <c r="L3545" s="733"/>
      <c r="M3545" s="733"/>
    </row>
    <row r="3546" spans="1:13" ht="28.8" x14ac:dyDescent="0.3">
      <c r="A3546" s="733" t="s">
        <v>3520</v>
      </c>
      <c r="B3546" s="733" t="s">
        <v>664</v>
      </c>
      <c r="C3546" s="738" t="s">
        <v>3542</v>
      </c>
      <c r="D3546" s="733"/>
      <c r="E3546" s="761"/>
      <c r="F3546" s="761"/>
      <c r="G3546" s="733"/>
      <c r="H3546" s="733"/>
      <c r="I3546" s="733"/>
      <c r="J3546" s="733"/>
      <c r="K3546" s="733"/>
      <c r="L3546" s="733"/>
      <c r="M3546" s="733"/>
    </row>
    <row r="3547" spans="1:13" ht="28.8" x14ac:dyDescent="0.3">
      <c r="A3547" s="733" t="s">
        <v>3520</v>
      </c>
      <c r="B3547" s="733" t="s">
        <v>664</v>
      </c>
      <c r="C3547" s="738" t="s">
        <v>3543</v>
      </c>
      <c r="D3547" s="733"/>
      <c r="E3547" s="761"/>
      <c r="F3547" s="761"/>
      <c r="G3547" s="733"/>
      <c r="H3547" s="733"/>
      <c r="I3547" s="733"/>
      <c r="J3547" s="733"/>
      <c r="K3547" s="733"/>
      <c r="L3547" s="733"/>
      <c r="M3547" s="733"/>
    </row>
    <row r="3548" spans="1:13" ht="28.8" x14ac:dyDescent="0.3">
      <c r="A3548" s="733" t="s">
        <v>3520</v>
      </c>
      <c r="B3548" s="733" t="s">
        <v>664</v>
      </c>
      <c r="C3548" s="738" t="s">
        <v>3544</v>
      </c>
      <c r="D3548" s="733"/>
      <c r="E3548" s="761"/>
      <c r="F3548" s="761"/>
      <c r="G3548" s="733"/>
      <c r="H3548" s="733"/>
      <c r="I3548" s="733"/>
      <c r="J3548" s="733"/>
      <c r="K3548" s="733"/>
      <c r="L3548" s="733"/>
      <c r="M3548" s="733"/>
    </row>
    <row r="3549" spans="1:13" ht="28.8" x14ac:dyDescent="0.3">
      <c r="A3549" s="733" t="s">
        <v>3520</v>
      </c>
      <c r="B3549" s="733" t="s">
        <v>664</v>
      </c>
      <c r="C3549" s="738" t="s">
        <v>3545</v>
      </c>
      <c r="D3549" s="733"/>
      <c r="E3549" s="761"/>
      <c r="F3549" s="761"/>
      <c r="G3549" s="733"/>
      <c r="H3549" s="733"/>
      <c r="I3549" s="733"/>
      <c r="J3549" s="733"/>
      <c r="K3549" s="733"/>
      <c r="L3549" s="733"/>
      <c r="M3549" s="733"/>
    </row>
    <row r="3550" spans="1:13" x14ac:dyDescent="0.3">
      <c r="A3550" s="733" t="s">
        <v>3520</v>
      </c>
      <c r="B3550" s="733" t="s">
        <v>612</v>
      </c>
      <c r="C3550" s="733" t="s">
        <v>3546</v>
      </c>
      <c r="D3550" s="733"/>
      <c r="E3550" s="761"/>
      <c r="F3550" s="761"/>
      <c r="G3550" s="733"/>
      <c r="H3550" s="733"/>
      <c r="I3550" s="733"/>
      <c r="J3550" s="733"/>
      <c r="K3550" s="733"/>
      <c r="L3550" s="733"/>
      <c r="M3550" s="733"/>
    </row>
    <row r="3551" spans="1:13" x14ac:dyDescent="0.3">
      <c r="A3551" s="733" t="s">
        <v>3520</v>
      </c>
      <c r="B3551" s="733" t="s">
        <v>612</v>
      </c>
      <c r="C3551" s="733" t="s">
        <v>3547</v>
      </c>
      <c r="D3551" s="733"/>
      <c r="E3551" s="761"/>
      <c r="F3551" s="761"/>
      <c r="G3551" s="733"/>
      <c r="H3551" s="733"/>
      <c r="I3551" s="733"/>
      <c r="J3551" s="733"/>
      <c r="K3551" s="733"/>
      <c r="L3551" s="733"/>
      <c r="M3551" s="733"/>
    </row>
    <row r="3552" spans="1:13" x14ac:dyDescent="0.3">
      <c r="A3552" s="733" t="s">
        <v>3520</v>
      </c>
      <c r="B3552" s="733" t="s">
        <v>612</v>
      </c>
      <c r="C3552" s="733" t="s">
        <v>3548</v>
      </c>
      <c r="D3552" s="733"/>
      <c r="E3552" s="761"/>
      <c r="F3552" s="761"/>
      <c r="G3552" s="733"/>
      <c r="H3552" s="733"/>
      <c r="I3552" s="733"/>
      <c r="J3552" s="733"/>
      <c r="K3552" s="733"/>
      <c r="L3552" s="733"/>
      <c r="M3552" s="733"/>
    </row>
    <row r="3553" spans="1:13" x14ac:dyDescent="0.3">
      <c r="A3553" s="733" t="s">
        <v>3520</v>
      </c>
      <c r="B3553" s="733" t="s">
        <v>612</v>
      </c>
      <c r="C3553" s="733" t="s">
        <v>3549</v>
      </c>
      <c r="D3553" s="733"/>
      <c r="E3553" s="761"/>
      <c r="F3553" s="761"/>
      <c r="G3553" s="733"/>
      <c r="H3553" s="733"/>
      <c r="I3553" s="733"/>
      <c r="J3553" s="733"/>
      <c r="K3553" s="733"/>
      <c r="L3553" s="733"/>
      <c r="M3553" s="733"/>
    </row>
    <row r="3554" spans="1:13" x14ac:dyDescent="0.3">
      <c r="A3554" s="733" t="s">
        <v>3520</v>
      </c>
      <c r="B3554" s="733" t="s">
        <v>612</v>
      </c>
      <c r="C3554" s="733" t="s">
        <v>3550</v>
      </c>
      <c r="D3554" s="733"/>
      <c r="E3554" s="761"/>
      <c r="F3554" s="761"/>
      <c r="G3554" s="733"/>
      <c r="H3554" s="733"/>
      <c r="I3554" s="733"/>
      <c r="J3554" s="733"/>
      <c r="K3554" s="733"/>
      <c r="L3554" s="733"/>
      <c r="M3554" s="733"/>
    </row>
    <row r="3555" spans="1:13" ht="28.8" x14ac:dyDescent="0.3">
      <c r="A3555" s="733" t="s">
        <v>3551</v>
      </c>
      <c r="B3555" s="733" t="s">
        <v>645</v>
      </c>
      <c r="C3555" s="738" t="s">
        <v>3552</v>
      </c>
      <c r="D3555" s="733"/>
      <c r="E3555" s="761"/>
      <c r="F3555" s="761"/>
      <c r="G3555" s="733"/>
      <c r="H3555" s="733"/>
      <c r="I3555" s="733"/>
      <c r="J3555" s="733"/>
      <c r="K3555" s="733"/>
      <c r="L3555" s="733"/>
      <c r="M3555" s="733"/>
    </row>
    <row r="3556" spans="1:13" ht="28.8" x14ac:dyDescent="0.3">
      <c r="A3556" s="733" t="s">
        <v>3551</v>
      </c>
      <c r="B3556" s="733" t="s">
        <v>645</v>
      </c>
      <c r="C3556" s="738" t="s">
        <v>3553</v>
      </c>
      <c r="D3556" s="733"/>
      <c r="E3556" s="761"/>
      <c r="F3556" s="761"/>
      <c r="G3556" s="733"/>
      <c r="H3556" s="733"/>
      <c r="I3556" s="733"/>
      <c r="J3556" s="733"/>
      <c r="K3556" s="733"/>
      <c r="L3556" s="733"/>
      <c r="M3556" s="733"/>
    </row>
    <row r="3557" spans="1:13" ht="28.8" x14ac:dyDescent="0.3">
      <c r="A3557" s="733" t="s">
        <v>3551</v>
      </c>
      <c r="B3557" s="733" t="s">
        <v>645</v>
      </c>
      <c r="C3557" s="738" t="s">
        <v>3554</v>
      </c>
      <c r="D3557" s="733"/>
      <c r="E3557" s="761"/>
      <c r="F3557" s="761"/>
      <c r="G3557" s="733"/>
      <c r="H3557" s="733"/>
      <c r="I3557" s="733"/>
      <c r="J3557" s="733"/>
      <c r="K3557" s="733"/>
      <c r="L3557" s="733"/>
      <c r="M3557" s="733"/>
    </row>
    <row r="3558" spans="1:13" ht="28.8" x14ac:dyDescent="0.3">
      <c r="A3558" s="733" t="s">
        <v>3551</v>
      </c>
      <c r="B3558" s="733" t="s">
        <v>645</v>
      </c>
      <c r="C3558" s="738" t="s">
        <v>3555</v>
      </c>
      <c r="D3558" s="733"/>
      <c r="E3558" s="761"/>
      <c r="F3558" s="761"/>
      <c r="G3558" s="733"/>
      <c r="H3558" s="733"/>
      <c r="I3558" s="733"/>
      <c r="J3558" s="733"/>
      <c r="K3558" s="733"/>
      <c r="L3558" s="733"/>
      <c r="M3558" s="733"/>
    </row>
    <row r="3559" spans="1:13" ht="28.8" x14ac:dyDescent="0.3">
      <c r="A3559" s="733" t="s">
        <v>3551</v>
      </c>
      <c r="B3559" s="733" t="s">
        <v>645</v>
      </c>
      <c r="C3559" s="738" t="s">
        <v>3556</v>
      </c>
      <c r="D3559" s="733"/>
      <c r="E3559" s="761"/>
      <c r="F3559" s="761"/>
      <c r="G3559" s="733"/>
      <c r="H3559" s="733"/>
      <c r="I3559" s="733"/>
      <c r="J3559" s="733"/>
      <c r="K3559" s="733"/>
      <c r="L3559" s="733"/>
      <c r="M3559" s="733"/>
    </row>
    <row r="3560" spans="1:13" ht="28.8" x14ac:dyDescent="0.3">
      <c r="A3560" s="733" t="s">
        <v>3551</v>
      </c>
      <c r="B3560" s="733" t="s">
        <v>664</v>
      </c>
      <c r="C3560" s="738" t="s">
        <v>3557</v>
      </c>
      <c r="D3560" s="733"/>
      <c r="E3560" s="761"/>
      <c r="F3560" s="761"/>
      <c r="G3560" s="733"/>
      <c r="H3560" s="733"/>
      <c r="I3560" s="733"/>
      <c r="J3560" s="733"/>
      <c r="K3560" s="733"/>
      <c r="L3560" s="733"/>
      <c r="M3560" s="733"/>
    </row>
    <row r="3561" spans="1:13" ht="28.8" x14ac:dyDescent="0.3">
      <c r="A3561" s="733" t="s">
        <v>3551</v>
      </c>
      <c r="B3561" s="733" t="s">
        <v>664</v>
      </c>
      <c r="C3561" s="738" t="s">
        <v>3558</v>
      </c>
      <c r="D3561" s="733"/>
      <c r="E3561" s="761"/>
      <c r="F3561" s="761"/>
      <c r="G3561" s="733"/>
      <c r="H3561" s="733"/>
      <c r="I3561" s="733"/>
      <c r="J3561" s="733"/>
      <c r="K3561" s="733"/>
      <c r="L3561" s="733"/>
      <c r="M3561" s="733"/>
    </row>
    <row r="3562" spans="1:13" ht="28.8" x14ac:dyDescent="0.3">
      <c r="A3562" s="733" t="s">
        <v>3551</v>
      </c>
      <c r="B3562" s="733" t="s">
        <v>664</v>
      </c>
      <c r="C3562" s="738" t="s">
        <v>3559</v>
      </c>
      <c r="D3562" s="733"/>
      <c r="E3562" s="761"/>
      <c r="F3562" s="761"/>
      <c r="G3562" s="733"/>
      <c r="H3562" s="733"/>
      <c r="I3562" s="733"/>
      <c r="J3562" s="733"/>
      <c r="K3562" s="733"/>
      <c r="L3562" s="733"/>
      <c r="M3562" s="733"/>
    </row>
    <row r="3563" spans="1:13" ht="28.8" x14ac:dyDescent="0.3">
      <c r="A3563" s="733" t="s">
        <v>3551</v>
      </c>
      <c r="B3563" s="733" t="s">
        <v>664</v>
      </c>
      <c r="C3563" s="738" t="s">
        <v>3560</v>
      </c>
      <c r="D3563" s="733"/>
      <c r="E3563" s="761"/>
      <c r="F3563" s="761"/>
      <c r="G3563" s="733"/>
      <c r="H3563" s="733"/>
      <c r="I3563" s="733"/>
      <c r="J3563" s="733"/>
      <c r="K3563" s="733"/>
      <c r="L3563" s="733"/>
      <c r="M3563" s="733"/>
    </row>
    <row r="3564" spans="1:13" ht="28.8" x14ac:dyDescent="0.3">
      <c r="A3564" s="733" t="s">
        <v>3551</v>
      </c>
      <c r="B3564" s="733" t="s">
        <v>664</v>
      </c>
      <c r="C3564" s="738" t="s">
        <v>3561</v>
      </c>
      <c r="D3564" s="733"/>
      <c r="E3564" s="761"/>
      <c r="F3564" s="761"/>
      <c r="G3564" s="733"/>
      <c r="H3564" s="733"/>
      <c r="I3564" s="733"/>
      <c r="J3564" s="733"/>
      <c r="K3564" s="733"/>
      <c r="L3564" s="733"/>
      <c r="M3564" s="733"/>
    </row>
    <row r="3565" spans="1:13" ht="28.8" x14ac:dyDescent="0.3">
      <c r="A3565" s="733" t="s">
        <v>3551</v>
      </c>
      <c r="B3565" s="733" t="s">
        <v>612</v>
      </c>
      <c r="C3565" s="738" t="s">
        <v>3562</v>
      </c>
      <c r="D3565" s="733"/>
      <c r="E3565" s="761"/>
      <c r="F3565" s="761"/>
      <c r="G3565" s="733"/>
      <c r="H3565" s="733"/>
      <c r="I3565" s="733"/>
      <c r="J3565" s="733"/>
      <c r="K3565" s="733"/>
      <c r="L3565" s="733"/>
      <c r="M3565" s="733"/>
    </row>
    <row r="3566" spans="1:13" ht="28.8" x14ac:dyDescent="0.3">
      <c r="A3566" s="733" t="s">
        <v>3551</v>
      </c>
      <c r="B3566" s="733" t="s">
        <v>612</v>
      </c>
      <c r="C3566" s="738" t="s">
        <v>3563</v>
      </c>
      <c r="D3566" s="733"/>
      <c r="E3566" s="761"/>
      <c r="F3566" s="761"/>
      <c r="G3566" s="733"/>
      <c r="H3566" s="733"/>
      <c r="I3566" s="733"/>
      <c r="J3566" s="733"/>
      <c r="K3566" s="733"/>
      <c r="L3566" s="733"/>
      <c r="M3566" s="733"/>
    </row>
    <row r="3567" spans="1:13" ht="28.8" x14ac:dyDescent="0.3">
      <c r="A3567" s="733" t="s">
        <v>3551</v>
      </c>
      <c r="B3567" s="733" t="s">
        <v>612</v>
      </c>
      <c r="C3567" s="738" t="s">
        <v>3564</v>
      </c>
      <c r="D3567" s="733"/>
      <c r="E3567" s="761"/>
      <c r="F3567" s="761"/>
      <c r="G3567" s="733"/>
      <c r="H3567" s="733"/>
      <c r="I3567" s="733"/>
      <c r="J3567" s="733"/>
      <c r="K3567" s="733"/>
      <c r="L3567" s="733"/>
      <c r="M3567" s="733"/>
    </row>
    <row r="3568" spans="1:13" ht="28.8" x14ac:dyDescent="0.3">
      <c r="A3568" s="733" t="s">
        <v>3551</v>
      </c>
      <c r="B3568" s="733" t="s">
        <v>612</v>
      </c>
      <c r="C3568" s="738" t="s">
        <v>3565</v>
      </c>
      <c r="D3568" s="733"/>
      <c r="E3568" s="761"/>
      <c r="F3568" s="761"/>
      <c r="G3568" s="733"/>
      <c r="H3568" s="733"/>
      <c r="I3568" s="733"/>
      <c r="J3568" s="733"/>
      <c r="K3568" s="733"/>
      <c r="L3568" s="733"/>
      <c r="M3568" s="733"/>
    </row>
    <row r="3569" spans="1:13" ht="28.8" x14ac:dyDescent="0.3">
      <c r="A3569" s="733" t="s">
        <v>3551</v>
      </c>
      <c r="B3569" s="733" t="s">
        <v>612</v>
      </c>
      <c r="C3569" s="738" t="s">
        <v>3566</v>
      </c>
      <c r="D3569" s="733"/>
      <c r="E3569" s="761"/>
      <c r="F3569" s="761"/>
      <c r="G3569" s="733"/>
      <c r="H3569" s="733"/>
      <c r="I3569" s="733"/>
      <c r="J3569" s="733"/>
      <c r="K3569" s="733"/>
      <c r="L3569" s="733"/>
      <c r="M3569" s="733"/>
    </row>
    <row r="3570" spans="1:13" ht="28.8" x14ac:dyDescent="0.3">
      <c r="A3570" s="733" t="s">
        <v>3551</v>
      </c>
      <c r="B3570" s="733" t="s">
        <v>645</v>
      </c>
      <c r="C3570" s="738" t="s">
        <v>3567</v>
      </c>
      <c r="D3570" s="733"/>
      <c r="E3570" s="761"/>
      <c r="F3570" s="761"/>
      <c r="G3570" s="733"/>
      <c r="H3570" s="733"/>
      <c r="I3570" s="733"/>
      <c r="J3570" s="733"/>
      <c r="K3570" s="733"/>
      <c r="L3570" s="733"/>
      <c r="M3570" s="733"/>
    </row>
    <row r="3571" spans="1:13" ht="28.8" x14ac:dyDescent="0.3">
      <c r="A3571" s="733" t="s">
        <v>3551</v>
      </c>
      <c r="B3571" s="733" t="s">
        <v>645</v>
      </c>
      <c r="C3571" s="738" t="s">
        <v>3568</v>
      </c>
      <c r="D3571" s="733"/>
      <c r="E3571" s="761"/>
      <c r="F3571" s="761"/>
      <c r="G3571" s="733"/>
      <c r="H3571" s="733"/>
      <c r="I3571" s="733"/>
      <c r="J3571" s="733"/>
      <c r="K3571" s="733"/>
      <c r="L3571" s="733"/>
      <c r="M3571" s="733"/>
    </row>
    <row r="3572" spans="1:13" ht="28.8" x14ac:dyDescent="0.3">
      <c r="A3572" s="733" t="s">
        <v>3551</v>
      </c>
      <c r="B3572" s="733" t="s">
        <v>645</v>
      </c>
      <c r="C3572" s="738" t="s">
        <v>3569</v>
      </c>
      <c r="D3572" s="733"/>
      <c r="E3572" s="761"/>
      <c r="F3572" s="761"/>
      <c r="G3572" s="733"/>
      <c r="H3572" s="733"/>
      <c r="I3572" s="733"/>
      <c r="J3572" s="733"/>
      <c r="K3572" s="733"/>
      <c r="L3572" s="733"/>
      <c r="M3572" s="733"/>
    </row>
    <row r="3573" spans="1:13" ht="28.8" x14ac:dyDescent="0.3">
      <c r="A3573" s="733" t="s">
        <v>3551</v>
      </c>
      <c r="B3573" s="733" t="s">
        <v>645</v>
      </c>
      <c r="C3573" s="738" t="s">
        <v>3570</v>
      </c>
      <c r="D3573" s="733"/>
      <c r="E3573" s="761"/>
      <c r="F3573" s="761"/>
      <c r="G3573" s="733"/>
      <c r="H3573" s="733"/>
      <c r="I3573" s="733"/>
      <c r="J3573" s="733"/>
      <c r="K3573" s="733"/>
      <c r="L3573" s="733"/>
      <c r="M3573" s="733"/>
    </row>
    <row r="3574" spans="1:13" ht="28.8" x14ac:dyDescent="0.3">
      <c r="A3574" s="733" t="s">
        <v>3551</v>
      </c>
      <c r="B3574" s="733" t="s">
        <v>645</v>
      </c>
      <c r="C3574" s="738" t="s">
        <v>3571</v>
      </c>
      <c r="D3574" s="733"/>
      <c r="E3574" s="761"/>
      <c r="F3574" s="761"/>
      <c r="G3574" s="733"/>
      <c r="H3574" s="733"/>
      <c r="I3574" s="733"/>
      <c r="J3574" s="733"/>
      <c r="K3574" s="733"/>
      <c r="L3574" s="733"/>
      <c r="M3574" s="733"/>
    </row>
    <row r="3575" spans="1:13" ht="28.8" x14ac:dyDescent="0.3">
      <c r="A3575" s="733" t="s">
        <v>3551</v>
      </c>
      <c r="B3575" s="733" t="s">
        <v>664</v>
      </c>
      <c r="C3575" s="738" t="s">
        <v>3572</v>
      </c>
      <c r="D3575" s="733"/>
      <c r="E3575" s="761"/>
      <c r="F3575" s="761"/>
      <c r="G3575" s="733"/>
      <c r="H3575" s="733"/>
      <c r="I3575" s="733"/>
      <c r="J3575" s="733"/>
      <c r="K3575" s="733"/>
      <c r="L3575" s="733"/>
      <c r="M3575" s="733"/>
    </row>
    <row r="3576" spans="1:13" ht="28.8" x14ac:dyDescent="0.3">
      <c r="A3576" s="733" t="s">
        <v>3551</v>
      </c>
      <c r="B3576" s="733" t="s">
        <v>664</v>
      </c>
      <c r="C3576" s="738" t="s">
        <v>3573</v>
      </c>
      <c r="D3576" s="733"/>
      <c r="E3576" s="761"/>
      <c r="F3576" s="761"/>
      <c r="G3576" s="733"/>
      <c r="H3576" s="733"/>
      <c r="I3576" s="733"/>
      <c r="J3576" s="733"/>
      <c r="K3576" s="733"/>
      <c r="L3576" s="733"/>
      <c r="M3576" s="733"/>
    </row>
    <row r="3577" spans="1:13" ht="28.8" x14ac:dyDescent="0.3">
      <c r="A3577" s="733" t="s">
        <v>3551</v>
      </c>
      <c r="B3577" s="733" t="s">
        <v>664</v>
      </c>
      <c r="C3577" s="738" t="s">
        <v>3574</v>
      </c>
      <c r="D3577" s="733"/>
      <c r="E3577" s="761"/>
      <c r="F3577" s="761"/>
      <c r="G3577" s="733"/>
      <c r="H3577" s="733"/>
      <c r="I3577" s="733"/>
      <c r="J3577" s="733"/>
      <c r="K3577" s="733"/>
      <c r="L3577" s="733"/>
      <c r="M3577" s="733"/>
    </row>
    <row r="3578" spans="1:13" ht="28.8" x14ac:dyDescent="0.3">
      <c r="A3578" s="733" t="s">
        <v>3551</v>
      </c>
      <c r="B3578" s="733" t="s">
        <v>664</v>
      </c>
      <c r="C3578" s="738" t="s">
        <v>3575</v>
      </c>
      <c r="D3578" s="733"/>
      <c r="E3578" s="761"/>
      <c r="F3578" s="761"/>
      <c r="G3578" s="733"/>
      <c r="H3578" s="733"/>
      <c r="I3578" s="733"/>
      <c r="J3578" s="733"/>
      <c r="K3578" s="733"/>
      <c r="L3578" s="733"/>
      <c r="M3578" s="733"/>
    </row>
    <row r="3579" spans="1:13" ht="28.8" x14ac:dyDescent="0.3">
      <c r="A3579" s="733" t="s">
        <v>3551</v>
      </c>
      <c r="B3579" s="733" t="s">
        <v>664</v>
      </c>
      <c r="C3579" s="738" t="s">
        <v>3576</v>
      </c>
      <c r="D3579" s="733"/>
      <c r="E3579" s="761"/>
      <c r="F3579" s="761"/>
      <c r="G3579" s="733"/>
      <c r="H3579" s="733"/>
      <c r="I3579" s="733"/>
      <c r="J3579" s="733"/>
      <c r="K3579" s="733"/>
      <c r="L3579" s="733"/>
      <c r="M3579" s="733"/>
    </row>
    <row r="3580" spans="1:13" ht="28.8" x14ac:dyDescent="0.3">
      <c r="A3580" s="733" t="s">
        <v>3551</v>
      </c>
      <c r="B3580" s="733" t="s">
        <v>612</v>
      </c>
      <c r="C3580" s="738" t="s">
        <v>3577</v>
      </c>
      <c r="D3580" s="733"/>
      <c r="E3580" s="761"/>
      <c r="F3580" s="761"/>
      <c r="G3580" s="733"/>
      <c r="H3580" s="733"/>
      <c r="I3580" s="733"/>
      <c r="J3580" s="733"/>
      <c r="K3580" s="733"/>
      <c r="L3580" s="733"/>
      <c r="M3580" s="733"/>
    </row>
    <row r="3581" spans="1:13" ht="28.8" x14ac:dyDescent="0.3">
      <c r="A3581" s="733" t="s">
        <v>3551</v>
      </c>
      <c r="B3581" s="733" t="s">
        <v>612</v>
      </c>
      <c r="C3581" s="738" t="s">
        <v>3578</v>
      </c>
      <c r="D3581" s="733"/>
      <c r="E3581" s="761"/>
      <c r="F3581" s="761"/>
      <c r="G3581" s="733"/>
      <c r="H3581" s="733"/>
      <c r="I3581" s="733"/>
      <c r="J3581" s="733"/>
      <c r="K3581" s="733"/>
      <c r="L3581" s="733"/>
      <c r="M3581" s="733"/>
    </row>
    <row r="3582" spans="1:13" ht="28.8" x14ac:dyDescent="0.3">
      <c r="A3582" s="733" t="s">
        <v>3551</v>
      </c>
      <c r="B3582" s="733" t="s">
        <v>612</v>
      </c>
      <c r="C3582" s="738" t="s">
        <v>3579</v>
      </c>
      <c r="D3582" s="733"/>
      <c r="E3582" s="761"/>
      <c r="F3582" s="761"/>
      <c r="G3582" s="733"/>
      <c r="H3582" s="733"/>
      <c r="I3582" s="733"/>
      <c r="J3582" s="733"/>
      <c r="K3582" s="733"/>
      <c r="L3582" s="733"/>
      <c r="M3582" s="733"/>
    </row>
    <row r="3583" spans="1:13" ht="28.8" x14ac:dyDescent="0.3">
      <c r="A3583" s="733" t="s">
        <v>3551</v>
      </c>
      <c r="B3583" s="733" t="s">
        <v>612</v>
      </c>
      <c r="C3583" s="738" t="s">
        <v>3580</v>
      </c>
      <c r="D3583" s="733"/>
      <c r="E3583" s="761"/>
      <c r="F3583" s="761"/>
      <c r="G3583" s="733"/>
      <c r="H3583" s="733"/>
      <c r="I3583" s="733"/>
      <c r="J3583" s="733"/>
      <c r="K3583" s="733"/>
      <c r="L3583" s="733"/>
      <c r="M3583" s="733"/>
    </row>
    <row r="3584" spans="1:13" ht="28.8" x14ac:dyDescent="0.3">
      <c r="A3584" s="733" t="s">
        <v>3551</v>
      </c>
      <c r="B3584" s="733" t="s">
        <v>612</v>
      </c>
      <c r="C3584" s="738" t="s">
        <v>3581</v>
      </c>
      <c r="D3584" s="733"/>
      <c r="E3584" s="761"/>
      <c r="F3584" s="761"/>
      <c r="G3584" s="733"/>
      <c r="H3584" s="733"/>
      <c r="I3584" s="733"/>
      <c r="J3584" s="733"/>
      <c r="K3584" s="733"/>
      <c r="L3584" s="733"/>
      <c r="M3584" s="733"/>
    </row>
    <row r="3585" spans="1:13" ht="28.8" x14ac:dyDescent="0.3">
      <c r="A3585" s="733" t="s">
        <v>3582</v>
      </c>
      <c r="B3585" s="733" t="s">
        <v>645</v>
      </c>
      <c r="C3585" s="738" t="s">
        <v>3583</v>
      </c>
      <c r="D3585" s="733"/>
      <c r="E3585" s="761"/>
      <c r="F3585" s="761"/>
      <c r="G3585" s="733"/>
      <c r="H3585" s="733"/>
      <c r="I3585" s="733"/>
      <c r="J3585" s="733"/>
      <c r="K3585" s="733"/>
      <c r="L3585" s="733"/>
      <c r="M3585" s="733"/>
    </row>
    <row r="3586" spans="1:13" ht="28.8" x14ac:dyDescent="0.3">
      <c r="A3586" s="733" t="s">
        <v>3582</v>
      </c>
      <c r="B3586" s="733" t="s">
        <v>645</v>
      </c>
      <c r="C3586" s="738" t="s">
        <v>3584</v>
      </c>
      <c r="D3586" s="733"/>
      <c r="E3586" s="761"/>
      <c r="F3586" s="761"/>
      <c r="G3586" s="733"/>
      <c r="H3586" s="733"/>
      <c r="I3586" s="733"/>
      <c r="J3586" s="733"/>
      <c r="K3586" s="733"/>
      <c r="L3586" s="733"/>
      <c r="M3586" s="733"/>
    </row>
    <row r="3587" spans="1:13" ht="28.8" x14ac:dyDescent="0.3">
      <c r="A3587" s="733" t="s">
        <v>3582</v>
      </c>
      <c r="B3587" s="733" t="s">
        <v>645</v>
      </c>
      <c r="C3587" s="738" t="s">
        <v>3585</v>
      </c>
      <c r="D3587" s="733"/>
      <c r="E3587" s="761"/>
      <c r="F3587" s="761"/>
      <c r="G3587" s="733"/>
      <c r="H3587" s="733"/>
      <c r="I3587" s="733"/>
      <c r="J3587" s="733"/>
      <c r="K3587" s="733"/>
      <c r="L3587" s="733"/>
      <c r="M3587" s="733"/>
    </row>
    <row r="3588" spans="1:13" ht="28.8" x14ac:dyDescent="0.3">
      <c r="A3588" s="733" t="s">
        <v>3582</v>
      </c>
      <c r="B3588" s="733" t="s">
        <v>645</v>
      </c>
      <c r="C3588" s="738" t="s">
        <v>3586</v>
      </c>
      <c r="D3588" s="733"/>
      <c r="E3588" s="761"/>
      <c r="F3588" s="761"/>
      <c r="G3588" s="733"/>
      <c r="H3588" s="733"/>
      <c r="I3588" s="733"/>
      <c r="J3588" s="733"/>
      <c r="K3588" s="733"/>
      <c r="L3588" s="733"/>
      <c r="M3588" s="733"/>
    </row>
    <row r="3589" spans="1:13" ht="28.8" x14ac:dyDescent="0.3">
      <c r="A3589" s="733" t="s">
        <v>3582</v>
      </c>
      <c r="B3589" s="733" t="s">
        <v>645</v>
      </c>
      <c r="C3589" s="738" t="s">
        <v>3587</v>
      </c>
      <c r="D3589" s="733"/>
      <c r="E3589" s="761"/>
      <c r="F3589" s="761"/>
      <c r="G3589" s="733"/>
      <c r="H3589" s="733"/>
      <c r="I3589" s="733"/>
      <c r="J3589" s="733"/>
      <c r="K3589" s="733"/>
      <c r="L3589" s="733"/>
      <c r="M3589" s="733"/>
    </row>
    <row r="3590" spans="1:13" ht="28.8" x14ac:dyDescent="0.3">
      <c r="A3590" s="733" t="s">
        <v>3582</v>
      </c>
      <c r="B3590" s="733" t="s">
        <v>664</v>
      </c>
      <c r="C3590" s="738" t="s">
        <v>3588</v>
      </c>
      <c r="D3590" s="733"/>
      <c r="E3590" s="761"/>
      <c r="F3590" s="761"/>
      <c r="G3590" s="733"/>
      <c r="H3590" s="733"/>
      <c r="I3590" s="733"/>
      <c r="J3590" s="733"/>
      <c r="K3590" s="733"/>
      <c r="L3590" s="733"/>
      <c r="M3590" s="733"/>
    </row>
    <row r="3591" spans="1:13" ht="28.8" x14ac:dyDescent="0.3">
      <c r="A3591" s="733" t="s">
        <v>3582</v>
      </c>
      <c r="B3591" s="733" t="s">
        <v>664</v>
      </c>
      <c r="C3591" s="738" t="s">
        <v>3589</v>
      </c>
      <c r="D3591" s="733"/>
      <c r="E3591" s="761"/>
      <c r="F3591" s="761"/>
      <c r="G3591" s="733"/>
      <c r="H3591" s="733"/>
      <c r="I3591" s="733"/>
      <c r="J3591" s="733"/>
      <c r="K3591" s="733"/>
      <c r="L3591" s="733"/>
      <c r="M3591" s="733"/>
    </row>
    <row r="3592" spans="1:13" ht="28.8" x14ac:dyDescent="0.3">
      <c r="A3592" s="733" t="s">
        <v>3582</v>
      </c>
      <c r="B3592" s="733" t="s">
        <v>664</v>
      </c>
      <c r="C3592" s="738" t="s">
        <v>3590</v>
      </c>
      <c r="D3592" s="733"/>
      <c r="E3592" s="761"/>
      <c r="F3592" s="761"/>
      <c r="G3592" s="733"/>
      <c r="H3592" s="733"/>
      <c r="I3592" s="733"/>
      <c r="J3592" s="733"/>
      <c r="K3592" s="733"/>
      <c r="L3592" s="733"/>
      <c r="M3592" s="733"/>
    </row>
    <row r="3593" spans="1:13" ht="28.8" x14ac:dyDescent="0.3">
      <c r="A3593" s="733" t="s">
        <v>3582</v>
      </c>
      <c r="B3593" s="733" t="s">
        <v>664</v>
      </c>
      <c r="C3593" s="738" t="s">
        <v>3591</v>
      </c>
      <c r="D3593" s="733"/>
      <c r="E3593" s="761"/>
      <c r="F3593" s="761"/>
      <c r="G3593" s="733"/>
      <c r="H3593" s="733"/>
      <c r="I3593" s="733"/>
      <c r="J3593" s="733"/>
      <c r="K3593" s="733"/>
      <c r="L3593" s="733"/>
      <c r="M3593" s="733"/>
    </row>
    <row r="3594" spans="1:13" ht="28.8" x14ac:dyDescent="0.3">
      <c r="A3594" s="733" t="s">
        <v>3582</v>
      </c>
      <c r="B3594" s="733" t="s">
        <v>664</v>
      </c>
      <c r="C3594" s="738" t="s">
        <v>3592</v>
      </c>
      <c r="D3594" s="733"/>
      <c r="E3594" s="761"/>
      <c r="F3594" s="761"/>
      <c r="G3594" s="733"/>
      <c r="H3594" s="733"/>
      <c r="I3594" s="733"/>
      <c r="J3594" s="733"/>
      <c r="K3594" s="733"/>
      <c r="L3594" s="733"/>
      <c r="M3594" s="733"/>
    </row>
    <row r="3595" spans="1:13" ht="28.8" x14ac:dyDescent="0.3">
      <c r="A3595" s="733" t="s">
        <v>3582</v>
      </c>
      <c r="B3595" s="733" t="s">
        <v>612</v>
      </c>
      <c r="C3595" s="738" t="s">
        <v>3593</v>
      </c>
      <c r="D3595" s="733"/>
      <c r="E3595" s="761"/>
      <c r="F3595" s="761"/>
      <c r="G3595" s="733"/>
      <c r="H3595" s="733"/>
      <c r="I3595" s="733"/>
      <c r="J3595" s="733"/>
      <c r="K3595" s="733"/>
      <c r="L3595" s="733"/>
      <c r="M3595" s="733"/>
    </row>
    <row r="3596" spans="1:13" ht="28.8" x14ac:dyDescent="0.3">
      <c r="A3596" s="733" t="s">
        <v>3582</v>
      </c>
      <c r="B3596" s="733" t="s">
        <v>612</v>
      </c>
      <c r="C3596" s="738" t="s">
        <v>3594</v>
      </c>
      <c r="D3596" s="733"/>
      <c r="E3596" s="761"/>
      <c r="F3596" s="761"/>
      <c r="G3596" s="733"/>
      <c r="H3596" s="733"/>
      <c r="I3596" s="733"/>
      <c r="J3596" s="733"/>
      <c r="K3596" s="733"/>
      <c r="L3596" s="733"/>
      <c r="M3596" s="733"/>
    </row>
    <row r="3597" spans="1:13" ht="28.8" x14ac:dyDescent="0.3">
      <c r="A3597" s="733" t="s">
        <v>3582</v>
      </c>
      <c r="B3597" s="733" t="s">
        <v>612</v>
      </c>
      <c r="C3597" s="738" t="s">
        <v>3595</v>
      </c>
      <c r="D3597" s="733"/>
      <c r="E3597" s="761"/>
      <c r="F3597" s="761"/>
      <c r="G3597" s="733"/>
      <c r="H3597" s="733"/>
      <c r="I3597" s="733"/>
      <c r="J3597" s="733"/>
      <c r="K3597" s="733"/>
      <c r="L3597" s="733"/>
      <c r="M3597" s="733"/>
    </row>
    <row r="3598" spans="1:13" ht="28.8" x14ac:dyDescent="0.3">
      <c r="A3598" s="733" t="s">
        <v>3582</v>
      </c>
      <c r="B3598" s="733" t="s">
        <v>612</v>
      </c>
      <c r="C3598" s="738" t="s">
        <v>3596</v>
      </c>
      <c r="D3598" s="733"/>
      <c r="E3598" s="761"/>
      <c r="F3598" s="761"/>
      <c r="G3598" s="733"/>
      <c r="H3598" s="733"/>
      <c r="I3598" s="733"/>
      <c r="J3598" s="733"/>
      <c r="K3598" s="733"/>
      <c r="L3598" s="733"/>
      <c r="M3598" s="733"/>
    </row>
    <row r="3599" spans="1:13" ht="28.8" x14ac:dyDescent="0.3">
      <c r="A3599" s="733" t="s">
        <v>3582</v>
      </c>
      <c r="B3599" s="733" t="s">
        <v>612</v>
      </c>
      <c r="C3599" s="738" t="s">
        <v>3597</v>
      </c>
      <c r="D3599" s="733"/>
      <c r="E3599" s="761"/>
      <c r="F3599" s="761"/>
      <c r="G3599" s="733"/>
      <c r="H3599" s="733"/>
      <c r="I3599" s="733"/>
      <c r="J3599" s="733"/>
      <c r="K3599" s="733"/>
      <c r="L3599" s="733"/>
      <c r="M3599" s="733"/>
    </row>
    <row r="3600" spans="1:13" ht="28.8" x14ac:dyDescent="0.3">
      <c r="A3600" s="733" t="s">
        <v>3582</v>
      </c>
      <c r="B3600" s="733" t="s">
        <v>645</v>
      </c>
      <c r="C3600" s="738" t="s">
        <v>3598</v>
      </c>
      <c r="D3600" s="733"/>
      <c r="E3600" s="761"/>
      <c r="F3600" s="761"/>
      <c r="G3600" s="733"/>
      <c r="H3600" s="733"/>
      <c r="I3600" s="733"/>
      <c r="J3600" s="733"/>
      <c r="K3600" s="733"/>
      <c r="L3600" s="733"/>
      <c r="M3600" s="733"/>
    </row>
    <row r="3601" spans="1:13" ht="28.8" x14ac:dyDescent="0.3">
      <c r="A3601" s="733" t="s">
        <v>3582</v>
      </c>
      <c r="B3601" s="733" t="s">
        <v>645</v>
      </c>
      <c r="C3601" s="738" t="s">
        <v>3599</v>
      </c>
      <c r="D3601" s="733"/>
      <c r="E3601" s="761"/>
      <c r="F3601" s="761"/>
      <c r="G3601" s="733"/>
      <c r="H3601" s="733"/>
      <c r="I3601" s="733"/>
      <c r="J3601" s="733"/>
      <c r="K3601" s="733"/>
      <c r="L3601" s="733"/>
      <c r="M3601" s="733"/>
    </row>
    <row r="3602" spans="1:13" ht="28.8" x14ac:dyDescent="0.3">
      <c r="A3602" s="733" t="s">
        <v>3582</v>
      </c>
      <c r="B3602" s="733" t="s">
        <v>645</v>
      </c>
      <c r="C3602" s="738" t="s">
        <v>3600</v>
      </c>
      <c r="D3602" s="733"/>
      <c r="E3602" s="761"/>
      <c r="F3602" s="761"/>
      <c r="G3602" s="733"/>
      <c r="H3602" s="733"/>
      <c r="I3602" s="733"/>
      <c r="J3602" s="733"/>
      <c r="K3602" s="733"/>
      <c r="L3602" s="733"/>
      <c r="M3602" s="733"/>
    </row>
    <row r="3603" spans="1:13" ht="28.8" x14ac:dyDescent="0.3">
      <c r="A3603" s="733" t="s">
        <v>3582</v>
      </c>
      <c r="B3603" s="733" t="s">
        <v>645</v>
      </c>
      <c r="C3603" s="738" t="s">
        <v>3601</v>
      </c>
      <c r="D3603" s="733"/>
      <c r="E3603" s="761"/>
      <c r="F3603" s="761"/>
      <c r="G3603" s="733"/>
      <c r="H3603" s="733"/>
      <c r="I3603" s="733"/>
      <c r="J3603" s="733"/>
      <c r="K3603" s="733"/>
      <c r="L3603" s="733"/>
      <c r="M3603" s="733"/>
    </row>
    <row r="3604" spans="1:13" ht="28.8" x14ac:dyDescent="0.3">
      <c r="A3604" s="733" t="s">
        <v>3582</v>
      </c>
      <c r="B3604" s="733" t="s">
        <v>645</v>
      </c>
      <c r="C3604" s="738" t="s">
        <v>3602</v>
      </c>
      <c r="D3604" s="733"/>
      <c r="E3604" s="761"/>
      <c r="F3604" s="761"/>
      <c r="G3604" s="733"/>
      <c r="H3604" s="733"/>
      <c r="I3604" s="733"/>
      <c r="J3604" s="733"/>
      <c r="K3604" s="733"/>
      <c r="L3604" s="733"/>
      <c r="M3604" s="733"/>
    </row>
    <row r="3605" spans="1:13" ht="28.8" x14ac:dyDescent="0.3">
      <c r="A3605" s="733" t="s">
        <v>3582</v>
      </c>
      <c r="B3605" s="733" t="s">
        <v>664</v>
      </c>
      <c r="C3605" s="738" t="s">
        <v>3603</v>
      </c>
      <c r="D3605" s="733"/>
      <c r="E3605" s="761"/>
      <c r="F3605" s="761"/>
      <c r="G3605" s="733"/>
      <c r="H3605" s="733"/>
      <c r="I3605" s="733"/>
      <c r="J3605" s="733"/>
      <c r="K3605" s="733"/>
      <c r="L3605" s="733"/>
      <c r="M3605" s="733"/>
    </row>
    <row r="3606" spans="1:13" ht="28.8" x14ac:dyDescent="0.3">
      <c r="A3606" s="733" t="s">
        <v>3582</v>
      </c>
      <c r="B3606" s="733" t="s">
        <v>664</v>
      </c>
      <c r="C3606" s="738" t="s">
        <v>3604</v>
      </c>
      <c r="D3606" s="733"/>
      <c r="E3606" s="761"/>
      <c r="F3606" s="761"/>
      <c r="G3606" s="733"/>
      <c r="H3606" s="733"/>
      <c r="I3606" s="733"/>
      <c r="J3606" s="733"/>
      <c r="K3606" s="733"/>
      <c r="L3606" s="733"/>
      <c r="M3606" s="733"/>
    </row>
    <row r="3607" spans="1:13" ht="28.8" x14ac:dyDescent="0.3">
      <c r="A3607" s="733" t="s">
        <v>3582</v>
      </c>
      <c r="B3607" s="733" t="s">
        <v>664</v>
      </c>
      <c r="C3607" s="738" t="s">
        <v>3605</v>
      </c>
      <c r="D3607" s="733"/>
      <c r="E3607" s="761"/>
      <c r="F3607" s="761"/>
      <c r="G3607" s="733"/>
      <c r="H3607" s="733"/>
      <c r="I3607" s="733"/>
      <c r="J3607" s="733"/>
      <c r="K3607" s="733"/>
      <c r="L3607" s="733"/>
      <c r="M3607" s="733"/>
    </row>
    <row r="3608" spans="1:13" ht="28.8" x14ac:dyDescent="0.3">
      <c r="A3608" s="733" t="s">
        <v>3582</v>
      </c>
      <c r="B3608" s="733" t="s">
        <v>664</v>
      </c>
      <c r="C3608" s="738" t="s">
        <v>3606</v>
      </c>
      <c r="D3608" s="733"/>
      <c r="E3608" s="761"/>
      <c r="F3608" s="761"/>
      <c r="G3608" s="733"/>
      <c r="H3608" s="733"/>
      <c r="I3608" s="733"/>
      <c r="J3608" s="733"/>
      <c r="K3608" s="733"/>
      <c r="L3608" s="733"/>
      <c r="M3608" s="733"/>
    </row>
    <row r="3609" spans="1:13" ht="28.8" x14ac:dyDescent="0.3">
      <c r="A3609" s="733" t="s">
        <v>3582</v>
      </c>
      <c r="B3609" s="733" t="s">
        <v>664</v>
      </c>
      <c r="C3609" s="738" t="s">
        <v>3607</v>
      </c>
      <c r="D3609" s="733"/>
      <c r="E3609" s="761"/>
      <c r="F3609" s="761"/>
      <c r="G3609" s="733"/>
      <c r="H3609" s="733"/>
      <c r="I3609" s="733"/>
      <c r="J3609" s="733"/>
      <c r="K3609" s="733"/>
      <c r="L3609" s="733"/>
      <c r="M3609" s="733"/>
    </row>
    <row r="3610" spans="1:13" ht="28.8" x14ac:dyDescent="0.3">
      <c r="A3610" s="733" t="s">
        <v>3582</v>
      </c>
      <c r="B3610" s="733" t="s">
        <v>612</v>
      </c>
      <c r="C3610" s="738" t="s">
        <v>3608</v>
      </c>
      <c r="D3610" s="733"/>
      <c r="E3610" s="761"/>
      <c r="F3610" s="761"/>
      <c r="G3610" s="733"/>
      <c r="H3610" s="733"/>
      <c r="I3610" s="733"/>
      <c r="J3610" s="733"/>
      <c r="K3610" s="733"/>
      <c r="L3610" s="733"/>
      <c r="M3610" s="733"/>
    </row>
    <row r="3611" spans="1:13" ht="28.8" x14ac:dyDescent="0.3">
      <c r="A3611" s="733" t="s">
        <v>3582</v>
      </c>
      <c r="B3611" s="733" t="s">
        <v>612</v>
      </c>
      <c r="C3611" s="738" t="s">
        <v>3609</v>
      </c>
      <c r="D3611" s="733"/>
      <c r="E3611" s="761"/>
      <c r="F3611" s="761"/>
      <c r="G3611" s="733"/>
      <c r="H3611" s="733"/>
      <c r="I3611" s="733"/>
      <c r="J3611" s="733"/>
      <c r="K3611" s="733"/>
      <c r="L3611" s="733"/>
      <c r="M3611" s="733"/>
    </row>
    <row r="3612" spans="1:13" ht="28.8" x14ac:dyDescent="0.3">
      <c r="A3612" s="733" t="s">
        <v>3582</v>
      </c>
      <c r="B3612" s="733" t="s">
        <v>612</v>
      </c>
      <c r="C3612" s="738" t="s">
        <v>3610</v>
      </c>
      <c r="D3612" s="733"/>
      <c r="E3612" s="761"/>
      <c r="F3612" s="761"/>
      <c r="G3612" s="733"/>
      <c r="H3612" s="733"/>
      <c r="I3612" s="733"/>
      <c r="J3612" s="733"/>
      <c r="K3612" s="733"/>
      <c r="L3612" s="733"/>
      <c r="M3612" s="733"/>
    </row>
    <row r="3613" spans="1:13" ht="28.8" x14ac:dyDescent="0.3">
      <c r="A3613" s="733" t="s">
        <v>3582</v>
      </c>
      <c r="B3613" s="733" t="s">
        <v>612</v>
      </c>
      <c r="C3613" s="738" t="s">
        <v>3611</v>
      </c>
      <c r="D3613" s="733"/>
      <c r="E3613" s="761"/>
      <c r="F3613" s="761"/>
      <c r="G3613" s="733"/>
      <c r="H3613" s="733"/>
      <c r="I3613" s="733"/>
      <c r="J3613" s="733"/>
      <c r="K3613" s="733"/>
      <c r="L3613" s="733"/>
      <c r="M3613" s="733"/>
    </row>
    <row r="3614" spans="1:13" ht="28.8" x14ac:dyDescent="0.3">
      <c r="A3614" s="733" t="s">
        <v>3582</v>
      </c>
      <c r="B3614" s="733" t="s">
        <v>612</v>
      </c>
      <c r="C3614" s="738" t="s">
        <v>3612</v>
      </c>
      <c r="D3614" s="733"/>
      <c r="E3614" s="761"/>
      <c r="F3614" s="761"/>
      <c r="G3614" s="733"/>
      <c r="H3614" s="733"/>
      <c r="I3614" s="733"/>
      <c r="J3614" s="733"/>
      <c r="K3614" s="733"/>
      <c r="L3614" s="733"/>
      <c r="M3614" s="733"/>
    </row>
    <row r="3615" spans="1:13" x14ac:dyDescent="0.3">
      <c r="A3615" s="733" t="s">
        <v>3613</v>
      </c>
      <c r="B3615" s="733" t="s">
        <v>645</v>
      </c>
      <c r="C3615" s="738" t="s">
        <v>3614</v>
      </c>
      <c r="D3615" s="733"/>
      <c r="E3615" s="761"/>
      <c r="F3615" s="761"/>
      <c r="G3615" s="733"/>
      <c r="H3615" s="733"/>
      <c r="I3615" s="733"/>
      <c r="J3615" s="733"/>
      <c r="K3615" s="733"/>
      <c r="L3615" s="733"/>
      <c r="M3615" s="733"/>
    </row>
    <row r="3616" spans="1:13" x14ac:dyDescent="0.3">
      <c r="A3616" s="733" t="s">
        <v>3613</v>
      </c>
      <c r="B3616" s="733" t="s">
        <v>645</v>
      </c>
      <c r="C3616" s="738" t="s">
        <v>3615</v>
      </c>
      <c r="D3616" s="733"/>
      <c r="E3616" s="761"/>
      <c r="F3616" s="761"/>
      <c r="G3616" s="733"/>
      <c r="H3616" s="733"/>
      <c r="I3616" s="733"/>
      <c r="J3616" s="733"/>
      <c r="K3616" s="733"/>
      <c r="L3616" s="733"/>
      <c r="M3616" s="733"/>
    </row>
    <row r="3617" spans="1:13" x14ac:dyDescent="0.3">
      <c r="A3617" s="733" t="s">
        <v>3613</v>
      </c>
      <c r="B3617" s="733" t="s">
        <v>645</v>
      </c>
      <c r="C3617" s="738" t="s">
        <v>3616</v>
      </c>
      <c r="D3617" s="733"/>
      <c r="E3617" s="761"/>
      <c r="F3617" s="761"/>
      <c r="G3617" s="733"/>
      <c r="H3617" s="733"/>
      <c r="I3617" s="733"/>
      <c r="J3617" s="733"/>
      <c r="K3617" s="733"/>
      <c r="L3617" s="733"/>
      <c r="M3617" s="733"/>
    </row>
    <row r="3618" spans="1:13" x14ac:dyDescent="0.3">
      <c r="A3618" s="733" t="s">
        <v>3613</v>
      </c>
      <c r="B3618" s="733" t="s">
        <v>645</v>
      </c>
      <c r="C3618" s="738" t="s">
        <v>3617</v>
      </c>
      <c r="D3618" s="733"/>
      <c r="E3618" s="761"/>
      <c r="F3618" s="761"/>
      <c r="G3618" s="733"/>
      <c r="H3618" s="733"/>
      <c r="I3618" s="733"/>
      <c r="J3618" s="733"/>
      <c r="K3618" s="733"/>
      <c r="L3618" s="733"/>
      <c r="M3618" s="733"/>
    </row>
    <row r="3619" spans="1:13" x14ac:dyDescent="0.3">
      <c r="A3619" s="733" t="s">
        <v>3613</v>
      </c>
      <c r="B3619" s="733" t="s">
        <v>645</v>
      </c>
      <c r="C3619" s="738" t="s">
        <v>3618</v>
      </c>
      <c r="D3619" s="733"/>
      <c r="E3619" s="761"/>
      <c r="F3619" s="761"/>
      <c r="G3619" s="733"/>
      <c r="H3619" s="733"/>
      <c r="I3619" s="733"/>
      <c r="J3619" s="733"/>
      <c r="K3619" s="733"/>
      <c r="L3619" s="733"/>
      <c r="M3619" s="733"/>
    </row>
    <row r="3620" spans="1:13" x14ac:dyDescent="0.3">
      <c r="A3620" s="733" t="s">
        <v>3613</v>
      </c>
      <c r="B3620" s="733" t="s">
        <v>664</v>
      </c>
      <c r="C3620" s="738" t="s">
        <v>3619</v>
      </c>
      <c r="D3620" s="733"/>
      <c r="E3620" s="761"/>
      <c r="F3620" s="761"/>
      <c r="G3620" s="733"/>
      <c r="H3620" s="733"/>
      <c r="I3620" s="733"/>
      <c r="J3620" s="733"/>
      <c r="K3620" s="733"/>
      <c r="L3620" s="733"/>
      <c r="M3620" s="733"/>
    </row>
    <row r="3621" spans="1:13" x14ac:dyDescent="0.3">
      <c r="A3621" s="733" t="s">
        <v>3613</v>
      </c>
      <c r="B3621" s="733" t="s">
        <v>664</v>
      </c>
      <c r="C3621" s="738" t="s">
        <v>3620</v>
      </c>
      <c r="D3621" s="733"/>
      <c r="E3621" s="761"/>
      <c r="F3621" s="761"/>
      <c r="G3621" s="733"/>
      <c r="H3621" s="733"/>
      <c r="I3621" s="733"/>
      <c r="J3621" s="733"/>
      <c r="K3621" s="733"/>
      <c r="L3621" s="733"/>
      <c r="M3621" s="733"/>
    </row>
    <row r="3622" spans="1:13" x14ac:dyDescent="0.3">
      <c r="A3622" s="733" t="s">
        <v>3613</v>
      </c>
      <c r="B3622" s="733" t="s">
        <v>664</v>
      </c>
      <c r="C3622" s="738" t="s">
        <v>3621</v>
      </c>
      <c r="D3622" s="733"/>
      <c r="E3622" s="761"/>
      <c r="F3622" s="761"/>
      <c r="G3622" s="733"/>
      <c r="H3622" s="733"/>
      <c r="I3622" s="733"/>
      <c r="J3622" s="733"/>
      <c r="K3622" s="733"/>
      <c r="L3622" s="733"/>
      <c r="M3622" s="733"/>
    </row>
    <row r="3623" spans="1:13" x14ac:dyDescent="0.3">
      <c r="A3623" s="733" t="s">
        <v>3613</v>
      </c>
      <c r="B3623" s="733" t="s">
        <v>664</v>
      </c>
      <c r="C3623" s="738" t="s">
        <v>3622</v>
      </c>
      <c r="D3623" s="733"/>
      <c r="E3623" s="761"/>
      <c r="F3623" s="761"/>
      <c r="G3623" s="733"/>
      <c r="H3623" s="733"/>
      <c r="I3623" s="733"/>
      <c r="J3623" s="733"/>
      <c r="K3623" s="733"/>
      <c r="L3623" s="733"/>
      <c r="M3623" s="733"/>
    </row>
    <row r="3624" spans="1:13" x14ac:dyDescent="0.3">
      <c r="A3624" s="733" t="s">
        <v>3613</v>
      </c>
      <c r="B3624" s="733" t="s">
        <v>664</v>
      </c>
      <c r="C3624" s="738" t="s">
        <v>3623</v>
      </c>
      <c r="D3624" s="733"/>
      <c r="E3624" s="761"/>
      <c r="F3624" s="761"/>
      <c r="G3624" s="733"/>
      <c r="H3624" s="733"/>
      <c r="I3624" s="733"/>
      <c r="J3624" s="733"/>
      <c r="K3624" s="733"/>
      <c r="L3624" s="733"/>
      <c r="M3624" s="733"/>
    </row>
    <row r="3625" spans="1:13" x14ac:dyDescent="0.3">
      <c r="A3625" s="733" t="s">
        <v>3613</v>
      </c>
      <c r="B3625" s="733" t="s">
        <v>612</v>
      </c>
      <c r="C3625" s="738" t="s">
        <v>3624</v>
      </c>
      <c r="D3625" s="733"/>
      <c r="E3625" s="761"/>
      <c r="F3625" s="761"/>
      <c r="G3625" s="733"/>
      <c r="H3625" s="733"/>
      <c r="I3625" s="733"/>
      <c r="J3625" s="733"/>
      <c r="K3625" s="733"/>
      <c r="L3625" s="733"/>
      <c r="M3625" s="733"/>
    </row>
    <row r="3626" spans="1:13" x14ac:dyDescent="0.3">
      <c r="A3626" s="733" t="s">
        <v>3613</v>
      </c>
      <c r="B3626" s="733" t="s">
        <v>612</v>
      </c>
      <c r="C3626" s="738" t="s">
        <v>3625</v>
      </c>
      <c r="D3626" s="733"/>
      <c r="E3626" s="761"/>
      <c r="F3626" s="761"/>
      <c r="G3626" s="733"/>
      <c r="H3626" s="733"/>
      <c r="I3626" s="733"/>
      <c r="J3626" s="733"/>
      <c r="K3626" s="733"/>
      <c r="L3626" s="733"/>
      <c r="M3626" s="733"/>
    </row>
    <row r="3627" spans="1:13" x14ac:dyDescent="0.3">
      <c r="A3627" s="733" t="s">
        <v>3613</v>
      </c>
      <c r="B3627" s="733" t="s">
        <v>612</v>
      </c>
      <c r="C3627" s="738" t="s">
        <v>3626</v>
      </c>
      <c r="D3627" s="733"/>
      <c r="E3627" s="761"/>
      <c r="F3627" s="761"/>
      <c r="G3627" s="733"/>
      <c r="H3627" s="733"/>
      <c r="I3627" s="733"/>
      <c r="J3627" s="733"/>
      <c r="K3627" s="733"/>
      <c r="L3627" s="733"/>
      <c r="M3627" s="733"/>
    </row>
    <row r="3628" spans="1:13" x14ac:dyDescent="0.3">
      <c r="A3628" s="733" t="s">
        <v>3613</v>
      </c>
      <c r="B3628" s="733" t="s">
        <v>612</v>
      </c>
      <c r="C3628" s="738" t="s">
        <v>3627</v>
      </c>
      <c r="D3628" s="733"/>
      <c r="E3628" s="761"/>
      <c r="F3628" s="761"/>
      <c r="G3628" s="733"/>
      <c r="H3628" s="733"/>
      <c r="I3628" s="733"/>
      <c r="J3628" s="733"/>
      <c r="K3628" s="733"/>
      <c r="L3628" s="733"/>
      <c r="M3628" s="733"/>
    </row>
    <row r="3629" spans="1:13" x14ac:dyDescent="0.3">
      <c r="A3629" s="733" t="s">
        <v>3613</v>
      </c>
      <c r="B3629" s="733" t="s">
        <v>612</v>
      </c>
      <c r="C3629" s="738" t="s">
        <v>3628</v>
      </c>
      <c r="D3629" s="733"/>
      <c r="E3629" s="761"/>
      <c r="F3629" s="761"/>
      <c r="G3629" s="733"/>
      <c r="H3629" s="733"/>
      <c r="I3629" s="733"/>
      <c r="J3629" s="733"/>
      <c r="K3629" s="733"/>
      <c r="L3629" s="733"/>
      <c r="M3629" s="733"/>
    </row>
    <row r="3630" spans="1:13" x14ac:dyDescent="0.3">
      <c r="A3630" s="733" t="s">
        <v>3613</v>
      </c>
      <c r="B3630" s="733" t="s">
        <v>645</v>
      </c>
      <c r="C3630" s="738" t="s">
        <v>3629</v>
      </c>
      <c r="D3630" s="733"/>
      <c r="E3630" s="761"/>
      <c r="F3630" s="761"/>
      <c r="G3630" s="733"/>
      <c r="H3630" s="733"/>
      <c r="I3630" s="733"/>
      <c r="J3630" s="733"/>
      <c r="K3630" s="733"/>
      <c r="L3630" s="733"/>
      <c r="M3630" s="733"/>
    </row>
    <row r="3631" spans="1:13" x14ac:dyDescent="0.3">
      <c r="A3631" s="733" t="s">
        <v>3613</v>
      </c>
      <c r="B3631" s="733" t="s">
        <v>645</v>
      </c>
      <c r="C3631" s="738" t="s">
        <v>3630</v>
      </c>
      <c r="D3631" s="733"/>
      <c r="E3631" s="761"/>
      <c r="F3631" s="761"/>
      <c r="G3631" s="733"/>
      <c r="H3631" s="733"/>
      <c r="I3631" s="733"/>
      <c r="J3631" s="733"/>
      <c r="K3631" s="733"/>
      <c r="L3631" s="733"/>
      <c r="M3631" s="733"/>
    </row>
    <row r="3632" spans="1:13" x14ac:dyDescent="0.3">
      <c r="A3632" s="733" t="s">
        <v>3613</v>
      </c>
      <c r="B3632" s="733" t="s">
        <v>645</v>
      </c>
      <c r="C3632" s="738" t="s">
        <v>3631</v>
      </c>
      <c r="D3632" s="733"/>
      <c r="E3632" s="761"/>
      <c r="F3632" s="761"/>
      <c r="G3632" s="733"/>
      <c r="H3632" s="733"/>
      <c r="I3632" s="733"/>
      <c r="J3632" s="733"/>
      <c r="K3632" s="733"/>
      <c r="L3632" s="733"/>
      <c r="M3632" s="733"/>
    </row>
    <row r="3633" spans="1:13" x14ac:dyDescent="0.3">
      <c r="A3633" s="733" t="s">
        <v>3613</v>
      </c>
      <c r="B3633" s="733" t="s">
        <v>645</v>
      </c>
      <c r="C3633" s="738" t="s">
        <v>3632</v>
      </c>
      <c r="D3633" s="733"/>
      <c r="E3633" s="761"/>
      <c r="F3633" s="761"/>
      <c r="G3633" s="733"/>
      <c r="H3633" s="733"/>
      <c r="I3633" s="733"/>
      <c r="J3633" s="733"/>
      <c r="K3633" s="733"/>
      <c r="L3633" s="733"/>
      <c r="M3633" s="733"/>
    </row>
    <row r="3634" spans="1:13" x14ac:dyDescent="0.3">
      <c r="A3634" s="733" t="s">
        <v>3613</v>
      </c>
      <c r="B3634" s="733" t="s">
        <v>645</v>
      </c>
      <c r="C3634" s="738" t="s">
        <v>3633</v>
      </c>
      <c r="D3634" s="733"/>
      <c r="E3634" s="761"/>
      <c r="F3634" s="761"/>
      <c r="G3634" s="733"/>
      <c r="H3634" s="733"/>
      <c r="I3634" s="733"/>
      <c r="J3634" s="733"/>
      <c r="K3634" s="733"/>
      <c r="L3634" s="733"/>
      <c r="M3634" s="733"/>
    </row>
    <row r="3635" spans="1:13" x14ac:dyDescent="0.3">
      <c r="A3635" s="733" t="s">
        <v>3613</v>
      </c>
      <c r="B3635" s="733" t="s">
        <v>664</v>
      </c>
      <c r="C3635" s="738" t="s">
        <v>3634</v>
      </c>
      <c r="D3635" s="733"/>
      <c r="E3635" s="761"/>
      <c r="F3635" s="761"/>
      <c r="G3635" s="733"/>
      <c r="H3635" s="733"/>
      <c r="I3635" s="733"/>
      <c r="J3635" s="733"/>
      <c r="K3635" s="733"/>
      <c r="L3635" s="733"/>
      <c r="M3635" s="733"/>
    </row>
    <row r="3636" spans="1:13" x14ac:dyDescent="0.3">
      <c r="A3636" s="733" t="s">
        <v>3613</v>
      </c>
      <c r="B3636" s="733" t="s">
        <v>664</v>
      </c>
      <c r="C3636" s="738" t="s">
        <v>3635</v>
      </c>
      <c r="D3636" s="733"/>
      <c r="E3636" s="761"/>
      <c r="F3636" s="761"/>
      <c r="G3636" s="733"/>
      <c r="H3636" s="733"/>
      <c r="I3636" s="733"/>
      <c r="J3636" s="733"/>
      <c r="K3636" s="733"/>
      <c r="L3636" s="733"/>
      <c r="M3636" s="733"/>
    </row>
    <row r="3637" spans="1:13" x14ac:dyDescent="0.3">
      <c r="A3637" s="733" t="s">
        <v>3613</v>
      </c>
      <c r="B3637" s="733" t="s">
        <v>664</v>
      </c>
      <c r="C3637" s="738" t="s">
        <v>3636</v>
      </c>
      <c r="D3637" s="733"/>
      <c r="E3637" s="761"/>
      <c r="F3637" s="761"/>
      <c r="G3637" s="733"/>
      <c r="H3637" s="733"/>
      <c r="I3637" s="733"/>
      <c r="J3637" s="733"/>
      <c r="K3637" s="733"/>
      <c r="L3637" s="733"/>
      <c r="M3637" s="733"/>
    </row>
    <row r="3638" spans="1:13" x14ac:dyDescent="0.3">
      <c r="A3638" s="733" t="s">
        <v>3613</v>
      </c>
      <c r="B3638" s="733" t="s">
        <v>664</v>
      </c>
      <c r="C3638" s="738" t="s">
        <v>3637</v>
      </c>
      <c r="D3638" s="733"/>
      <c r="E3638" s="761"/>
      <c r="F3638" s="761"/>
      <c r="G3638" s="733"/>
      <c r="H3638" s="733"/>
      <c r="I3638" s="733"/>
      <c r="J3638" s="733"/>
      <c r="K3638" s="733"/>
      <c r="L3638" s="733"/>
      <c r="M3638" s="733"/>
    </row>
    <row r="3639" spans="1:13" x14ac:dyDescent="0.3">
      <c r="A3639" s="733" t="s">
        <v>3613</v>
      </c>
      <c r="B3639" s="733" t="s">
        <v>664</v>
      </c>
      <c r="C3639" s="738" t="s">
        <v>3638</v>
      </c>
      <c r="D3639" s="733"/>
      <c r="E3639" s="761"/>
      <c r="F3639" s="761"/>
      <c r="G3639" s="733"/>
      <c r="H3639" s="733"/>
      <c r="I3639" s="733"/>
      <c r="J3639" s="733"/>
      <c r="K3639" s="733"/>
      <c r="L3639" s="733"/>
      <c r="M3639" s="733"/>
    </row>
    <row r="3640" spans="1:13" x14ac:dyDescent="0.3">
      <c r="A3640" s="733" t="s">
        <v>3613</v>
      </c>
      <c r="B3640" s="733" t="s">
        <v>612</v>
      </c>
      <c r="C3640" s="738" t="s">
        <v>3639</v>
      </c>
      <c r="D3640" s="733"/>
      <c r="E3640" s="761"/>
      <c r="F3640" s="761"/>
      <c r="G3640" s="733"/>
      <c r="H3640" s="733"/>
      <c r="I3640" s="733"/>
      <c r="J3640" s="733"/>
      <c r="K3640" s="733"/>
      <c r="L3640" s="733"/>
      <c r="M3640" s="733"/>
    </row>
    <row r="3641" spans="1:13" x14ac:dyDescent="0.3">
      <c r="A3641" s="733" t="s">
        <v>3613</v>
      </c>
      <c r="B3641" s="733" t="s">
        <v>612</v>
      </c>
      <c r="C3641" s="738" t="s">
        <v>3640</v>
      </c>
      <c r="D3641" s="733"/>
      <c r="E3641" s="761"/>
      <c r="F3641" s="761"/>
      <c r="G3641" s="733"/>
      <c r="H3641" s="733"/>
      <c r="I3641" s="733"/>
      <c r="J3641" s="733"/>
      <c r="K3641" s="733"/>
      <c r="L3641" s="733"/>
      <c r="M3641" s="733"/>
    </row>
    <row r="3642" spans="1:13" x14ac:dyDescent="0.3">
      <c r="A3642" s="733" t="s">
        <v>3613</v>
      </c>
      <c r="B3642" s="733" t="s">
        <v>612</v>
      </c>
      <c r="C3642" s="738" t="s">
        <v>3641</v>
      </c>
      <c r="D3642" s="733"/>
      <c r="E3642" s="761"/>
      <c r="F3642" s="761"/>
      <c r="G3642" s="733"/>
      <c r="H3642" s="733"/>
      <c r="I3642" s="733"/>
      <c r="J3642" s="733"/>
      <c r="K3642" s="733"/>
      <c r="L3642" s="733"/>
      <c r="M3642" s="733"/>
    </row>
    <row r="3643" spans="1:13" x14ac:dyDescent="0.3">
      <c r="A3643" s="733" t="s">
        <v>3613</v>
      </c>
      <c r="B3643" s="733" t="s">
        <v>612</v>
      </c>
      <c r="C3643" s="738" t="s">
        <v>3642</v>
      </c>
      <c r="D3643" s="733"/>
      <c r="E3643" s="761"/>
      <c r="F3643" s="761"/>
      <c r="G3643" s="733"/>
      <c r="H3643" s="733"/>
      <c r="I3643" s="733"/>
      <c r="J3643" s="733"/>
      <c r="K3643" s="733"/>
      <c r="L3643" s="733"/>
      <c r="M3643" s="733"/>
    </row>
    <row r="3644" spans="1:13" x14ac:dyDescent="0.3">
      <c r="A3644" s="733" t="s">
        <v>3613</v>
      </c>
      <c r="B3644" s="733" t="s">
        <v>612</v>
      </c>
      <c r="C3644" s="738" t="s">
        <v>3643</v>
      </c>
      <c r="D3644" s="733"/>
      <c r="E3644" s="761"/>
      <c r="F3644" s="761"/>
      <c r="G3644" s="733"/>
      <c r="H3644" s="733"/>
      <c r="I3644" s="733"/>
      <c r="J3644" s="733"/>
      <c r="K3644" s="733"/>
      <c r="L3644" s="733"/>
      <c r="M3644" s="733"/>
    </row>
    <row r="3645" spans="1:13" x14ac:dyDescent="0.3">
      <c r="A3645" s="733" t="s">
        <v>3644</v>
      </c>
      <c r="B3645" s="733" t="s">
        <v>645</v>
      </c>
      <c r="C3645" s="738" t="s">
        <v>3645</v>
      </c>
      <c r="D3645" s="733"/>
      <c r="E3645" s="761"/>
      <c r="F3645" s="761"/>
      <c r="G3645" s="733"/>
      <c r="H3645" s="733"/>
      <c r="I3645" s="733"/>
      <c r="J3645" s="733"/>
      <c r="K3645" s="733"/>
      <c r="L3645" s="733"/>
      <c r="M3645" s="733"/>
    </row>
    <row r="3646" spans="1:13" x14ac:dyDescent="0.3">
      <c r="A3646" s="733" t="s">
        <v>3644</v>
      </c>
      <c r="B3646" s="733" t="s">
        <v>645</v>
      </c>
      <c r="C3646" s="738" t="s">
        <v>3646</v>
      </c>
      <c r="D3646" s="733"/>
      <c r="E3646" s="761"/>
      <c r="F3646" s="761"/>
      <c r="G3646" s="733"/>
      <c r="H3646" s="733"/>
      <c r="I3646" s="733"/>
      <c r="J3646" s="733"/>
      <c r="K3646" s="733"/>
      <c r="L3646" s="733"/>
      <c r="M3646" s="733"/>
    </row>
    <row r="3647" spans="1:13" x14ac:dyDescent="0.3">
      <c r="A3647" s="733" t="s">
        <v>3644</v>
      </c>
      <c r="B3647" s="733" t="s">
        <v>645</v>
      </c>
      <c r="C3647" s="738" t="s">
        <v>3647</v>
      </c>
      <c r="D3647" s="733"/>
      <c r="E3647" s="761"/>
      <c r="F3647" s="761"/>
      <c r="G3647" s="733"/>
      <c r="H3647" s="733"/>
      <c r="I3647" s="733"/>
      <c r="J3647" s="733"/>
      <c r="K3647" s="733"/>
      <c r="L3647" s="733"/>
      <c r="M3647" s="733"/>
    </row>
    <row r="3648" spans="1:13" x14ac:dyDescent="0.3">
      <c r="A3648" s="733" t="s">
        <v>3644</v>
      </c>
      <c r="B3648" s="733" t="s">
        <v>645</v>
      </c>
      <c r="C3648" s="738" t="s">
        <v>3648</v>
      </c>
      <c r="D3648" s="733"/>
      <c r="E3648" s="761"/>
      <c r="F3648" s="761"/>
      <c r="G3648" s="733"/>
      <c r="H3648" s="733"/>
      <c r="I3648" s="733"/>
      <c r="J3648" s="733"/>
      <c r="K3648" s="733"/>
      <c r="L3648" s="733"/>
      <c r="M3648" s="733"/>
    </row>
    <row r="3649" spans="1:13" x14ac:dyDescent="0.3">
      <c r="A3649" s="733" t="s">
        <v>3644</v>
      </c>
      <c r="B3649" s="733" t="s">
        <v>645</v>
      </c>
      <c r="C3649" s="738" t="s">
        <v>3649</v>
      </c>
      <c r="D3649" s="733"/>
      <c r="E3649" s="761"/>
      <c r="F3649" s="761"/>
      <c r="G3649" s="733"/>
      <c r="H3649" s="733"/>
      <c r="I3649" s="733"/>
      <c r="J3649" s="733"/>
      <c r="K3649" s="733"/>
      <c r="L3649" s="733"/>
      <c r="M3649" s="733"/>
    </row>
    <row r="3650" spans="1:13" x14ac:dyDescent="0.3">
      <c r="A3650" s="733" t="s">
        <v>3644</v>
      </c>
      <c r="B3650" s="733" t="s">
        <v>664</v>
      </c>
      <c r="C3650" s="738" t="s">
        <v>3650</v>
      </c>
      <c r="D3650" s="733"/>
      <c r="E3650" s="761"/>
      <c r="F3650" s="761"/>
      <c r="G3650" s="733"/>
      <c r="H3650" s="733"/>
      <c r="I3650" s="733"/>
      <c r="J3650" s="733"/>
      <c r="K3650" s="733"/>
      <c r="L3650" s="733"/>
      <c r="M3650" s="733"/>
    </row>
    <row r="3651" spans="1:13" x14ac:dyDescent="0.3">
      <c r="A3651" s="733" t="s">
        <v>3644</v>
      </c>
      <c r="B3651" s="733" t="s">
        <v>664</v>
      </c>
      <c r="C3651" s="738" t="s">
        <v>3651</v>
      </c>
      <c r="D3651" s="733"/>
      <c r="E3651" s="761"/>
      <c r="F3651" s="761"/>
      <c r="G3651" s="733"/>
      <c r="H3651" s="733"/>
      <c r="I3651" s="733"/>
      <c r="J3651" s="733"/>
      <c r="K3651" s="733"/>
      <c r="L3651" s="733"/>
      <c r="M3651" s="733"/>
    </row>
    <row r="3652" spans="1:13" x14ac:dyDescent="0.3">
      <c r="A3652" s="733" t="s">
        <v>3644</v>
      </c>
      <c r="B3652" s="733" t="s">
        <v>664</v>
      </c>
      <c r="C3652" s="738" t="s">
        <v>3652</v>
      </c>
      <c r="D3652" s="733"/>
      <c r="E3652" s="761"/>
      <c r="F3652" s="761"/>
      <c r="G3652" s="733"/>
      <c r="H3652" s="733"/>
      <c r="I3652" s="733"/>
      <c r="J3652" s="733"/>
      <c r="K3652" s="733"/>
      <c r="L3652" s="733"/>
      <c r="M3652" s="733"/>
    </row>
    <row r="3653" spans="1:13" x14ac:dyDescent="0.3">
      <c r="A3653" s="733" t="s">
        <v>3644</v>
      </c>
      <c r="B3653" s="733" t="s">
        <v>664</v>
      </c>
      <c r="C3653" s="738" t="s">
        <v>3653</v>
      </c>
      <c r="D3653" s="733"/>
      <c r="E3653" s="761"/>
      <c r="F3653" s="761"/>
      <c r="G3653" s="733"/>
      <c r="H3653" s="733"/>
      <c r="I3653" s="733"/>
      <c r="J3653" s="733"/>
      <c r="K3653" s="733"/>
      <c r="L3653" s="733"/>
      <c r="M3653" s="733"/>
    </row>
    <row r="3654" spans="1:13" x14ac:dyDescent="0.3">
      <c r="A3654" s="733" t="s">
        <v>3644</v>
      </c>
      <c r="B3654" s="733" t="s">
        <v>664</v>
      </c>
      <c r="C3654" s="738" t="s">
        <v>3654</v>
      </c>
      <c r="D3654" s="733"/>
      <c r="E3654" s="761"/>
      <c r="F3654" s="761"/>
      <c r="G3654" s="733"/>
      <c r="H3654" s="733"/>
      <c r="I3654" s="733"/>
      <c r="J3654" s="733"/>
      <c r="K3654" s="733"/>
      <c r="L3654" s="733"/>
      <c r="M3654" s="733"/>
    </row>
    <row r="3655" spans="1:13" x14ac:dyDescent="0.3">
      <c r="A3655" s="733" t="s">
        <v>3644</v>
      </c>
      <c r="B3655" s="733" t="s">
        <v>612</v>
      </c>
      <c r="C3655" s="738" t="s">
        <v>3655</v>
      </c>
      <c r="D3655" s="733"/>
      <c r="E3655" s="761"/>
      <c r="F3655" s="761"/>
      <c r="G3655" s="733"/>
      <c r="H3655" s="733"/>
      <c r="I3655" s="733"/>
      <c r="J3655" s="733"/>
      <c r="K3655" s="733"/>
      <c r="L3655" s="733"/>
      <c r="M3655" s="733"/>
    </row>
    <row r="3656" spans="1:13" x14ac:dyDescent="0.3">
      <c r="A3656" s="733" t="s">
        <v>3644</v>
      </c>
      <c r="B3656" s="733" t="s">
        <v>612</v>
      </c>
      <c r="C3656" s="738" t="s">
        <v>3656</v>
      </c>
      <c r="D3656" s="733"/>
      <c r="E3656" s="761"/>
      <c r="F3656" s="761"/>
      <c r="G3656" s="733"/>
      <c r="H3656" s="733"/>
      <c r="I3656" s="733"/>
      <c r="J3656" s="733"/>
      <c r="K3656" s="733"/>
      <c r="L3656" s="733"/>
      <c r="M3656" s="733"/>
    </row>
    <row r="3657" spans="1:13" x14ac:dyDescent="0.3">
      <c r="A3657" s="733" t="s">
        <v>3644</v>
      </c>
      <c r="B3657" s="733" t="s">
        <v>612</v>
      </c>
      <c r="C3657" s="738" t="s">
        <v>3657</v>
      </c>
      <c r="D3657" s="733"/>
      <c r="E3657" s="761"/>
      <c r="F3657" s="761"/>
      <c r="G3657" s="733"/>
      <c r="H3657" s="733"/>
      <c r="I3657" s="733"/>
      <c r="J3657" s="733"/>
      <c r="K3657" s="733"/>
      <c r="L3657" s="733"/>
      <c r="M3657" s="733"/>
    </row>
    <row r="3658" spans="1:13" x14ac:dyDescent="0.3">
      <c r="A3658" s="733" t="s">
        <v>3644</v>
      </c>
      <c r="B3658" s="733" t="s">
        <v>612</v>
      </c>
      <c r="C3658" s="738" t="s">
        <v>3658</v>
      </c>
      <c r="D3658" s="733"/>
      <c r="E3658" s="761"/>
      <c r="F3658" s="761"/>
      <c r="G3658" s="733"/>
      <c r="H3658" s="733"/>
      <c r="I3658" s="733"/>
      <c r="J3658" s="733"/>
      <c r="K3658" s="733"/>
      <c r="L3658" s="733"/>
      <c r="M3658" s="733"/>
    </row>
    <row r="3659" spans="1:13" x14ac:dyDescent="0.3">
      <c r="A3659" s="733" t="s">
        <v>3644</v>
      </c>
      <c r="B3659" s="733" t="s">
        <v>612</v>
      </c>
      <c r="C3659" s="738" t="s">
        <v>3659</v>
      </c>
      <c r="D3659" s="733"/>
      <c r="E3659" s="761"/>
      <c r="F3659" s="761"/>
      <c r="G3659" s="733"/>
      <c r="H3659" s="733"/>
      <c r="I3659" s="733"/>
      <c r="J3659" s="733"/>
      <c r="K3659" s="733"/>
      <c r="L3659" s="733"/>
      <c r="M3659" s="733"/>
    </row>
    <row r="3660" spans="1:13" x14ac:dyDescent="0.3">
      <c r="A3660" s="733" t="s">
        <v>3644</v>
      </c>
      <c r="B3660" s="733" t="s">
        <v>645</v>
      </c>
      <c r="C3660" s="738" t="s">
        <v>3660</v>
      </c>
      <c r="D3660" s="733"/>
      <c r="E3660" s="761"/>
      <c r="F3660" s="761"/>
      <c r="G3660" s="733"/>
      <c r="H3660" s="733"/>
      <c r="I3660" s="733"/>
      <c r="J3660" s="733"/>
      <c r="K3660" s="733"/>
      <c r="L3660" s="733"/>
      <c r="M3660" s="733"/>
    </row>
    <row r="3661" spans="1:13" x14ac:dyDescent="0.3">
      <c r="A3661" s="733" t="s">
        <v>3644</v>
      </c>
      <c r="B3661" s="733" t="s">
        <v>645</v>
      </c>
      <c r="C3661" s="738" t="s">
        <v>3661</v>
      </c>
      <c r="D3661" s="733"/>
      <c r="E3661" s="761"/>
      <c r="F3661" s="761"/>
      <c r="G3661" s="733"/>
      <c r="H3661" s="733"/>
      <c r="I3661" s="733"/>
      <c r="J3661" s="733"/>
      <c r="K3661" s="733"/>
      <c r="L3661" s="733"/>
      <c r="M3661" s="733"/>
    </row>
    <row r="3662" spans="1:13" x14ac:dyDescent="0.3">
      <c r="A3662" s="733" t="s">
        <v>3644</v>
      </c>
      <c r="B3662" s="733" t="s">
        <v>645</v>
      </c>
      <c r="C3662" s="738" t="s">
        <v>3662</v>
      </c>
      <c r="D3662" s="733"/>
      <c r="E3662" s="761"/>
      <c r="F3662" s="761"/>
      <c r="G3662" s="733"/>
      <c r="H3662" s="733"/>
      <c r="I3662" s="733"/>
      <c r="J3662" s="733"/>
      <c r="K3662" s="733"/>
      <c r="L3662" s="733"/>
      <c r="M3662" s="733"/>
    </row>
    <row r="3663" spans="1:13" x14ac:dyDescent="0.3">
      <c r="A3663" s="733" t="s">
        <v>3644</v>
      </c>
      <c r="B3663" s="733" t="s">
        <v>645</v>
      </c>
      <c r="C3663" s="738" t="s">
        <v>3663</v>
      </c>
      <c r="D3663" s="733"/>
      <c r="E3663" s="761"/>
      <c r="F3663" s="761"/>
      <c r="G3663" s="733"/>
      <c r="H3663" s="733"/>
      <c r="I3663" s="733"/>
      <c r="J3663" s="733"/>
      <c r="K3663" s="733"/>
      <c r="L3663" s="733"/>
      <c r="M3663" s="733"/>
    </row>
    <row r="3664" spans="1:13" x14ac:dyDescent="0.3">
      <c r="A3664" s="733" t="s">
        <v>3644</v>
      </c>
      <c r="B3664" s="733" t="s">
        <v>645</v>
      </c>
      <c r="C3664" s="738" t="s">
        <v>3664</v>
      </c>
      <c r="D3664" s="733"/>
      <c r="E3664" s="761"/>
      <c r="F3664" s="761"/>
      <c r="G3664" s="733"/>
      <c r="H3664" s="733"/>
      <c r="I3664" s="733"/>
      <c r="J3664" s="733"/>
      <c r="K3664" s="733"/>
      <c r="L3664" s="733"/>
      <c r="M3664" s="733"/>
    </row>
    <row r="3665" spans="1:13" x14ac:dyDescent="0.3">
      <c r="A3665" s="733" t="s">
        <v>3644</v>
      </c>
      <c r="B3665" s="733" t="s">
        <v>664</v>
      </c>
      <c r="C3665" s="738" t="s">
        <v>3665</v>
      </c>
      <c r="D3665" s="733"/>
      <c r="E3665" s="761"/>
      <c r="F3665" s="761"/>
      <c r="G3665" s="733"/>
      <c r="H3665" s="733"/>
      <c r="I3665" s="733"/>
      <c r="J3665" s="733"/>
      <c r="K3665" s="733"/>
      <c r="L3665" s="733"/>
      <c r="M3665" s="733"/>
    </row>
    <row r="3666" spans="1:13" ht="28.8" x14ac:dyDescent="0.3">
      <c r="A3666" s="733" t="s">
        <v>3644</v>
      </c>
      <c r="B3666" s="733" t="s">
        <v>664</v>
      </c>
      <c r="C3666" s="738" t="s">
        <v>3666</v>
      </c>
      <c r="D3666" s="733"/>
      <c r="E3666" s="761"/>
      <c r="F3666" s="761"/>
      <c r="G3666" s="733"/>
      <c r="H3666" s="733"/>
      <c r="I3666" s="733"/>
      <c r="J3666" s="733"/>
      <c r="K3666" s="733"/>
      <c r="L3666" s="733"/>
      <c r="M3666" s="733"/>
    </row>
    <row r="3667" spans="1:13" x14ac:dyDescent="0.3">
      <c r="A3667" s="733" t="s">
        <v>3644</v>
      </c>
      <c r="B3667" s="733" t="s">
        <v>664</v>
      </c>
      <c r="C3667" s="738" t="s">
        <v>3667</v>
      </c>
      <c r="D3667" s="733"/>
      <c r="E3667" s="761"/>
      <c r="F3667" s="761"/>
      <c r="G3667" s="733"/>
      <c r="H3667" s="733"/>
      <c r="I3667" s="733"/>
      <c r="J3667" s="733"/>
      <c r="K3667" s="733"/>
      <c r="L3667" s="733"/>
      <c r="M3667" s="733"/>
    </row>
    <row r="3668" spans="1:13" x14ac:dyDescent="0.3">
      <c r="A3668" s="733" t="s">
        <v>3644</v>
      </c>
      <c r="B3668" s="733" t="s">
        <v>664</v>
      </c>
      <c r="C3668" s="738" t="s">
        <v>3668</v>
      </c>
      <c r="D3668" s="733"/>
      <c r="E3668" s="761"/>
      <c r="F3668" s="761"/>
      <c r="G3668" s="733"/>
      <c r="H3668" s="733"/>
      <c r="I3668" s="733"/>
      <c r="J3668" s="733"/>
      <c r="K3668" s="733"/>
      <c r="L3668" s="733"/>
      <c r="M3668" s="733"/>
    </row>
    <row r="3669" spans="1:13" x14ac:dyDescent="0.3">
      <c r="A3669" s="733" t="s">
        <v>3644</v>
      </c>
      <c r="B3669" s="733" t="s">
        <v>664</v>
      </c>
      <c r="C3669" s="738" t="s">
        <v>3669</v>
      </c>
      <c r="D3669" s="733"/>
      <c r="E3669" s="761"/>
      <c r="F3669" s="761"/>
      <c r="G3669" s="733"/>
      <c r="H3669" s="733"/>
      <c r="I3669" s="733"/>
      <c r="J3669" s="733"/>
      <c r="K3669" s="733"/>
      <c r="L3669" s="733"/>
      <c r="M3669" s="733"/>
    </row>
    <row r="3670" spans="1:13" x14ac:dyDescent="0.3">
      <c r="A3670" s="733" t="s">
        <v>3644</v>
      </c>
      <c r="B3670" s="733" t="s">
        <v>612</v>
      </c>
      <c r="C3670" s="738" t="s">
        <v>3670</v>
      </c>
      <c r="D3670" s="733"/>
      <c r="E3670" s="761"/>
      <c r="F3670" s="761"/>
      <c r="G3670" s="733"/>
      <c r="H3670" s="733"/>
      <c r="I3670" s="733"/>
      <c r="J3670" s="733"/>
      <c r="K3670" s="733"/>
      <c r="L3670" s="733"/>
      <c r="M3670" s="733"/>
    </row>
    <row r="3671" spans="1:13" x14ac:dyDescent="0.3">
      <c r="A3671" s="733" t="s">
        <v>3644</v>
      </c>
      <c r="B3671" s="733" t="s">
        <v>612</v>
      </c>
      <c r="C3671" s="738" t="s">
        <v>3671</v>
      </c>
      <c r="D3671" s="733"/>
      <c r="E3671" s="761"/>
      <c r="F3671" s="761"/>
      <c r="G3671" s="733"/>
      <c r="H3671" s="733"/>
      <c r="I3671" s="733"/>
      <c r="J3671" s="733"/>
      <c r="K3671" s="733"/>
      <c r="L3671" s="733"/>
      <c r="M3671" s="733"/>
    </row>
    <row r="3672" spans="1:13" x14ac:dyDescent="0.3">
      <c r="A3672" s="733" t="s">
        <v>3644</v>
      </c>
      <c r="B3672" s="733" t="s">
        <v>612</v>
      </c>
      <c r="C3672" s="738" t="s">
        <v>3672</v>
      </c>
      <c r="D3672" s="733"/>
      <c r="E3672" s="761"/>
      <c r="F3672" s="761"/>
      <c r="G3672" s="733"/>
      <c r="H3672" s="733"/>
      <c r="I3672" s="733"/>
      <c r="J3672" s="733"/>
      <c r="K3672" s="733"/>
      <c r="L3672" s="733"/>
      <c r="M3672" s="733"/>
    </row>
    <row r="3673" spans="1:13" x14ac:dyDescent="0.3">
      <c r="A3673" s="733" t="s">
        <v>3644</v>
      </c>
      <c r="B3673" s="733" t="s">
        <v>612</v>
      </c>
      <c r="C3673" s="738" t="s">
        <v>3673</v>
      </c>
      <c r="D3673" s="733"/>
      <c r="E3673" s="761"/>
      <c r="F3673" s="761"/>
      <c r="G3673" s="733"/>
      <c r="H3673" s="733"/>
      <c r="I3673" s="733"/>
      <c r="J3673" s="733"/>
      <c r="K3673" s="733"/>
      <c r="L3673" s="733"/>
      <c r="M3673" s="733"/>
    </row>
    <row r="3674" spans="1:13" x14ac:dyDescent="0.3">
      <c r="A3674" s="733" t="s">
        <v>3644</v>
      </c>
      <c r="B3674" s="733" t="s">
        <v>612</v>
      </c>
      <c r="C3674" s="738" t="s">
        <v>3674</v>
      </c>
      <c r="D3674" s="733"/>
      <c r="E3674" s="761"/>
      <c r="F3674" s="761"/>
      <c r="G3674" s="733"/>
      <c r="H3674" s="733"/>
      <c r="I3674" s="733"/>
      <c r="J3674" s="733"/>
      <c r="K3674" s="733"/>
      <c r="L3674" s="733"/>
      <c r="M3674" s="733"/>
    </row>
    <row r="3675" spans="1:13" x14ac:dyDescent="0.3">
      <c r="A3675" s="733" t="s">
        <v>3675</v>
      </c>
      <c r="B3675" s="733" t="s">
        <v>645</v>
      </c>
      <c r="C3675" s="738" t="s">
        <v>3676</v>
      </c>
      <c r="D3675" s="733"/>
      <c r="E3675" s="761"/>
      <c r="F3675" s="761"/>
      <c r="G3675" s="733"/>
      <c r="H3675" s="733"/>
      <c r="I3675" s="733"/>
      <c r="J3675" s="733"/>
      <c r="K3675" s="733"/>
      <c r="L3675" s="733"/>
      <c r="M3675" s="733"/>
    </row>
    <row r="3676" spans="1:13" x14ac:dyDescent="0.3">
      <c r="A3676" s="733" t="s">
        <v>3675</v>
      </c>
      <c r="B3676" s="733" t="s">
        <v>645</v>
      </c>
      <c r="C3676" s="738" t="s">
        <v>3677</v>
      </c>
      <c r="D3676" s="733"/>
      <c r="E3676" s="761"/>
      <c r="F3676" s="761"/>
      <c r="G3676" s="733"/>
      <c r="H3676" s="733"/>
      <c r="I3676" s="733"/>
      <c r="J3676" s="733"/>
      <c r="K3676" s="733"/>
      <c r="L3676" s="733"/>
      <c r="M3676" s="733"/>
    </row>
    <row r="3677" spans="1:13" x14ac:dyDescent="0.3">
      <c r="A3677" s="733" t="s">
        <v>3675</v>
      </c>
      <c r="B3677" s="733" t="s">
        <v>645</v>
      </c>
      <c r="C3677" s="738" t="s">
        <v>3678</v>
      </c>
      <c r="D3677" s="733"/>
      <c r="E3677" s="761"/>
      <c r="F3677" s="761"/>
      <c r="G3677" s="733"/>
      <c r="H3677" s="733"/>
      <c r="I3677" s="733"/>
      <c r="J3677" s="733"/>
      <c r="K3677" s="733"/>
      <c r="L3677" s="733"/>
      <c r="M3677" s="733"/>
    </row>
    <row r="3678" spans="1:13" ht="28.8" x14ac:dyDescent="0.3">
      <c r="A3678" s="733" t="s">
        <v>3675</v>
      </c>
      <c r="B3678" s="733" t="s">
        <v>645</v>
      </c>
      <c r="C3678" s="738" t="s">
        <v>3679</v>
      </c>
      <c r="D3678" s="733"/>
      <c r="E3678" s="761"/>
      <c r="F3678" s="761"/>
      <c r="G3678" s="733"/>
      <c r="H3678" s="733"/>
      <c r="I3678" s="733"/>
      <c r="J3678" s="733"/>
      <c r="K3678" s="733"/>
      <c r="L3678" s="733"/>
      <c r="M3678" s="733"/>
    </row>
    <row r="3679" spans="1:13" x14ac:dyDescent="0.3">
      <c r="A3679" s="733" t="s">
        <v>3675</v>
      </c>
      <c r="B3679" s="733" t="s">
        <v>645</v>
      </c>
      <c r="C3679" s="738" t="s">
        <v>3680</v>
      </c>
      <c r="D3679" s="733"/>
      <c r="E3679" s="761"/>
      <c r="F3679" s="761"/>
      <c r="G3679" s="733"/>
      <c r="H3679" s="733"/>
      <c r="I3679" s="733"/>
      <c r="J3679" s="733"/>
      <c r="K3679" s="733"/>
      <c r="L3679" s="733"/>
      <c r="M3679" s="733"/>
    </row>
    <row r="3680" spans="1:13" ht="28.8" x14ac:dyDescent="0.3">
      <c r="A3680" s="733" t="s">
        <v>3675</v>
      </c>
      <c r="B3680" s="733" t="s">
        <v>664</v>
      </c>
      <c r="C3680" s="738" t="s">
        <v>3681</v>
      </c>
      <c r="D3680" s="733"/>
      <c r="E3680" s="761"/>
      <c r="F3680" s="761"/>
      <c r="G3680" s="733"/>
      <c r="H3680" s="733"/>
      <c r="I3680" s="733"/>
      <c r="J3680" s="733"/>
      <c r="K3680" s="733"/>
      <c r="L3680" s="733"/>
      <c r="M3680" s="733"/>
    </row>
    <row r="3681" spans="1:13" x14ac:dyDescent="0.3">
      <c r="A3681" s="733" t="s">
        <v>3675</v>
      </c>
      <c r="B3681" s="733" t="s">
        <v>664</v>
      </c>
      <c r="C3681" s="738" t="s">
        <v>3682</v>
      </c>
      <c r="D3681" s="733"/>
      <c r="E3681" s="761"/>
      <c r="F3681" s="761"/>
      <c r="G3681" s="733"/>
      <c r="H3681" s="733"/>
      <c r="I3681" s="733"/>
      <c r="J3681" s="733"/>
      <c r="K3681" s="733"/>
      <c r="L3681" s="733"/>
      <c r="M3681" s="733"/>
    </row>
    <row r="3682" spans="1:13" x14ac:dyDescent="0.3">
      <c r="A3682" s="733" t="s">
        <v>3675</v>
      </c>
      <c r="B3682" s="733" t="s">
        <v>664</v>
      </c>
      <c r="C3682" s="738" t="s">
        <v>3683</v>
      </c>
      <c r="D3682" s="733"/>
      <c r="E3682" s="761"/>
      <c r="F3682" s="761"/>
      <c r="G3682" s="733"/>
      <c r="H3682" s="733"/>
      <c r="I3682" s="733"/>
      <c r="J3682" s="733"/>
      <c r="K3682" s="733"/>
      <c r="L3682" s="733"/>
      <c r="M3682" s="733"/>
    </row>
    <row r="3683" spans="1:13" x14ac:dyDescent="0.3">
      <c r="A3683" s="733" t="s">
        <v>3675</v>
      </c>
      <c r="B3683" s="733" t="s">
        <v>664</v>
      </c>
      <c r="C3683" s="738" t="s">
        <v>3684</v>
      </c>
      <c r="D3683" s="733"/>
      <c r="E3683" s="761"/>
      <c r="F3683" s="761"/>
      <c r="G3683" s="733"/>
      <c r="H3683" s="733"/>
      <c r="I3683" s="733"/>
      <c r="J3683" s="733"/>
      <c r="K3683" s="733"/>
      <c r="L3683" s="733"/>
      <c r="M3683" s="733"/>
    </row>
    <row r="3684" spans="1:13" x14ac:dyDescent="0.3">
      <c r="A3684" s="733" t="s">
        <v>3675</v>
      </c>
      <c r="B3684" s="733" t="s">
        <v>664</v>
      </c>
      <c r="C3684" s="738" t="s">
        <v>3685</v>
      </c>
      <c r="D3684" s="733"/>
      <c r="E3684" s="761"/>
      <c r="F3684" s="761"/>
      <c r="G3684" s="733"/>
      <c r="H3684" s="733"/>
      <c r="I3684" s="733"/>
      <c r="J3684" s="733"/>
      <c r="K3684" s="733"/>
      <c r="L3684" s="733"/>
      <c r="M3684" s="733"/>
    </row>
    <row r="3685" spans="1:13" x14ac:dyDescent="0.3">
      <c r="A3685" s="733" t="s">
        <v>3675</v>
      </c>
      <c r="B3685" s="733" t="s">
        <v>612</v>
      </c>
      <c r="C3685" s="738" t="s">
        <v>3686</v>
      </c>
      <c r="D3685" s="733"/>
      <c r="E3685" s="761"/>
      <c r="F3685" s="761"/>
      <c r="G3685" s="733"/>
      <c r="H3685" s="733"/>
      <c r="I3685" s="733"/>
      <c r="J3685" s="733"/>
      <c r="K3685" s="733"/>
      <c r="L3685" s="733"/>
      <c r="M3685" s="733"/>
    </row>
    <row r="3686" spans="1:13" x14ac:dyDescent="0.3">
      <c r="A3686" s="733" t="s">
        <v>3675</v>
      </c>
      <c r="B3686" s="733" t="s">
        <v>612</v>
      </c>
      <c r="C3686" s="738" t="s">
        <v>3687</v>
      </c>
      <c r="D3686" s="733"/>
      <c r="E3686" s="761"/>
      <c r="F3686" s="761"/>
      <c r="G3686" s="733"/>
      <c r="H3686" s="733"/>
      <c r="I3686" s="733"/>
      <c r="J3686" s="733"/>
      <c r="K3686" s="733"/>
      <c r="L3686" s="733"/>
      <c r="M3686" s="733"/>
    </row>
    <row r="3687" spans="1:13" x14ac:dyDescent="0.3">
      <c r="A3687" s="733" t="s">
        <v>3675</v>
      </c>
      <c r="B3687" s="733" t="s">
        <v>612</v>
      </c>
      <c r="C3687" s="738" t="s">
        <v>3688</v>
      </c>
      <c r="D3687" s="733"/>
      <c r="E3687" s="761"/>
      <c r="F3687" s="761"/>
      <c r="G3687" s="733"/>
      <c r="H3687" s="733"/>
      <c r="I3687" s="733"/>
      <c r="J3687" s="733"/>
      <c r="K3687" s="733"/>
      <c r="L3687" s="733"/>
      <c r="M3687" s="733"/>
    </row>
    <row r="3688" spans="1:13" x14ac:dyDescent="0.3">
      <c r="A3688" s="733" t="s">
        <v>3675</v>
      </c>
      <c r="B3688" s="733" t="s">
        <v>612</v>
      </c>
      <c r="C3688" s="738" t="s">
        <v>3689</v>
      </c>
      <c r="D3688" s="733"/>
      <c r="E3688" s="761"/>
      <c r="F3688" s="761"/>
      <c r="G3688" s="733"/>
      <c r="H3688" s="733"/>
      <c r="I3688" s="733"/>
      <c r="J3688" s="733"/>
      <c r="K3688" s="733"/>
      <c r="L3688" s="733"/>
      <c r="M3688" s="733"/>
    </row>
    <row r="3689" spans="1:13" ht="28.8" x14ac:dyDescent="0.3">
      <c r="A3689" s="733" t="s">
        <v>3675</v>
      </c>
      <c r="B3689" s="733" t="s">
        <v>612</v>
      </c>
      <c r="C3689" s="738" t="s">
        <v>3690</v>
      </c>
      <c r="D3689" s="733"/>
      <c r="E3689" s="761"/>
      <c r="F3689" s="761"/>
      <c r="G3689" s="733"/>
      <c r="H3689" s="733"/>
      <c r="I3689" s="733"/>
      <c r="J3689" s="733"/>
      <c r="K3689" s="733"/>
      <c r="L3689" s="733"/>
      <c r="M3689" s="733"/>
    </row>
    <row r="3690" spans="1:13" x14ac:dyDescent="0.3">
      <c r="A3690" s="733" t="s">
        <v>3675</v>
      </c>
      <c r="B3690" s="733" t="s">
        <v>645</v>
      </c>
      <c r="C3690" s="738" t="s">
        <v>3691</v>
      </c>
      <c r="D3690" s="733"/>
      <c r="E3690" s="761"/>
      <c r="F3690" s="761"/>
      <c r="G3690" s="733"/>
      <c r="H3690" s="733"/>
      <c r="I3690" s="733"/>
      <c r="J3690" s="733"/>
      <c r="K3690" s="733"/>
      <c r="L3690" s="733"/>
      <c r="M3690" s="733"/>
    </row>
    <row r="3691" spans="1:13" x14ac:dyDescent="0.3">
      <c r="A3691" s="733" t="s">
        <v>3675</v>
      </c>
      <c r="B3691" s="733" t="s">
        <v>645</v>
      </c>
      <c r="C3691" s="738" t="s">
        <v>3692</v>
      </c>
      <c r="D3691" s="733"/>
      <c r="E3691" s="761"/>
      <c r="F3691" s="761"/>
      <c r="G3691" s="733"/>
      <c r="H3691" s="733"/>
      <c r="I3691" s="733"/>
      <c r="J3691" s="733"/>
      <c r="K3691" s="733"/>
      <c r="L3691" s="733"/>
      <c r="M3691" s="733"/>
    </row>
    <row r="3692" spans="1:13" x14ac:dyDescent="0.3">
      <c r="A3692" s="733" t="s">
        <v>3675</v>
      </c>
      <c r="B3692" s="733" t="s">
        <v>645</v>
      </c>
      <c r="C3692" s="738" t="s">
        <v>3693</v>
      </c>
      <c r="D3692" s="733"/>
      <c r="E3692" s="761"/>
      <c r="F3692" s="761"/>
      <c r="G3692" s="733"/>
      <c r="H3692" s="733"/>
      <c r="I3692" s="733"/>
      <c r="J3692" s="733"/>
      <c r="K3692" s="733"/>
      <c r="L3692" s="733"/>
      <c r="M3692" s="733"/>
    </row>
    <row r="3693" spans="1:13" x14ac:dyDescent="0.3">
      <c r="A3693" s="733" t="s">
        <v>3675</v>
      </c>
      <c r="B3693" s="733" t="s">
        <v>645</v>
      </c>
      <c r="C3693" s="738" t="s">
        <v>3694</v>
      </c>
      <c r="D3693" s="733"/>
      <c r="E3693" s="761"/>
      <c r="F3693" s="761"/>
      <c r="G3693" s="733"/>
      <c r="H3693" s="733"/>
      <c r="I3693" s="733"/>
      <c r="J3693" s="733"/>
      <c r="K3693" s="733"/>
      <c r="L3693" s="733"/>
      <c r="M3693" s="733"/>
    </row>
    <row r="3694" spans="1:13" x14ac:dyDescent="0.3">
      <c r="A3694" s="733" t="s">
        <v>3675</v>
      </c>
      <c r="B3694" s="733" t="s">
        <v>645</v>
      </c>
      <c r="C3694" s="738" t="s">
        <v>3695</v>
      </c>
      <c r="D3694" s="733"/>
      <c r="E3694" s="761"/>
      <c r="F3694" s="761"/>
      <c r="G3694" s="733"/>
      <c r="H3694" s="733"/>
      <c r="I3694" s="733"/>
      <c r="J3694" s="733"/>
      <c r="K3694" s="733"/>
      <c r="L3694" s="733"/>
      <c r="M3694" s="733"/>
    </row>
    <row r="3695" spans="1:13" x14ac:dyDescent="0.3">
      <c r="A3695" s="733" t="s">
        <v>3675</v>
      </c>
      <c r="B3695" s="733" t="s">
        <v>664</v>
      </c>
      <c r="C3695" s="738" t="s">
        <v>3696</v>
      </c>
      <c r="D3695" s="733"/>
      <c r="E3695" s="761"/>
      <c r="F3695" s="761"/>
      <c r="G3695" s="733"/>
      <c r="H3695" s="733"/>
      <c r="I3695" s="733"/>
      <c r="J3695" s="733"/>
      <c r="K3695" s="733"/>
      <c r="L3695" s="733"/>
      <c r="M3695" s="733"/>
    </row>
    <row r="3696" spans="1:13" x14ac:dyDescent="0.3">
      <c r="A3696" s="733" t="s">
        <v>3675</v>
      </c>
      <c r="B3696" s="733" t="s">
        <v>664</v>
      </c>
      <c r="C3696" s="738" t="s">
        <v>3697</v>
      </c>
      <c r="D3696" s="733"/>
      <c r="E3696" s="761"/>
      <c r="F3696" s="761"/>
      <c r="G3696" s="733"/>
      <c r="H3696" s="733"/>
      <c r="I3696" s="733"/>
      <c r="J3696" s="733"/>
      <c r="K3696" s="733"/>
      <c r="L3696" s="733"/>
      <c r="M3696" s="733"/>
    </row>
    <row r="3697" spans="1:13" x14ac:dyDescent="0.3">
      <c r="A3697" s="733" t="s">
        <v>3675</v>
      </c>
      <c r="B3697" s="733" t="s">
        <v>664</v>
      </c>
      <c r="C3697" s="738" t="s">
        <v>3698</v>
      </c>
      <c r="D3697" s="733"/>
      <c r="E3697" s="761"/>
      <c r="F3697" s="761"/>
      <c r="G3697" s="733"/>
      <c r="H3697" s="733"/>
      <c r="I3697" s="733"/>
      <c r="J3697" s="733"/>
      <c r="K3697" s="733"/>
      <c r="L3697" s="733"/>
      <c r="M3697" s="733"/>
    </row>
    <row r="3698" spans="1:13" x14ac:dyDescent="0.3">
      <c r="A3698" s="733" t="s">
        <v>3675</v>
      </c>
      <c r="B3698" s="733" t="s">
        <v>664</v>
      </c>
      <c r="C3698" s="738" t="s">
        <v>3699</v>
      </c>
      <c r="D3698" s="733"/>
      <c r="E3698" s="761"/>
      <c r="F3698" s="761"/>
      <c r="G3698" s="733"/>
      <c r="H3698" s="733"/>
      <c r="I3698" s="733"/>
      <c r="J3698" s="733"/>
      <c r="K3698" s="733"/>
      <c r="L3698" s="733"/>
      <c r="M3698" s="733"/>
    </row>
    <row r="3699" spans="1:13" x14ac:dyDescent="0.3">
      <c r="A3699" s="733" t="s">
        <v>3675</v>
      </c>
      <c r="B3699" s="733" t="s">
        <v>664</v>
      </c>
      <c r="C3699" s="738" t="s">
        <v>3700</v>
      </c>
      <c r="D3699" s="733"/>
      <c r="E3699" s="761"/>
      <c r="F3699" s="761"/>
      <c r="G3699" s="733"/>
      <c r="H3699" s="733"/>
      <c r="I3699" s="733"/>
      <c r="J3699" s="733"/>
      <c r="K3699" s="733"/>
      <c r="L3699" s="733"/>
      <c r="M3699" s="733"/>
    </row>
    <row r="3700" spans="1:13" x14ac:dyDescent="0.3">
      <c r="A3700" s="733" t="s">
        <v>3675</v>
      </c>
      <c r="B3700" s="733" t="s">
        <v>612</v>
      </c>
      <c r="C3700" s="738" t="s">
        <v>3701</v>
      </c>
      <c r="D3700" s="733"/>
      <c r="E3700" s="761"/>
      <c r="F3700" s="761"/>
      <c r="G3700" s="733"/>
      <c r="H3700" s="733"/>
      <c r="I3700" s="733"/>
      <c r="J3700" s="733"/>
      <c r="K3700" s="733"/>
      <c r="L3700" s="733"/>
      <c r="M3700" s="733"/>
    </row>
    <row r="3701" spans="1:13" x14ac:dyDescent="0.3">
      <c r="A3701" s="733" t="s">
        <v>3675</v>
      </c>
      <c r="B3701" s="733" t="s">
        <v>612</v>
      </c>
      <c r="C3701" s="738" t="s">
        <v>3702</v>
      </c>
      <c r="D3701" s="733"/>
      <c r="E3701" s="761"/>
      <c r="F3701" s="761"/>
      <c r="G3701" s="733"/>
      <c r="H3701" s="733"/>
      <c r="I3701" s="733"/>
      <c r="J3701" s="733"/>
      <c r="K3701" s="733"/>
      <c r="L3701" s="733"/>
      <c r="M3701" s="733"/>
    </row>
    <row r="3702" spans="1:13" x14ac:dyDescent="0.3">
      <c r="A3702" s="733" t="s">
        <v>3675</v>
      </c>
      <c r="B3702" s="733" t="s">
        <v>612</v>
      </c>
      <c r="C3702" s="738" t="s">
        <v>3703</v>
      </c>
      <c r="D3702" s="733"/>
      <c r="E3702" s="761"/>
      <c r="F3702" s="761"/>
      <c r="G3702" s="733"/>
      <c r="H3702" s="733"/>
      <c r="I3702" s="733"/>
      <c r="J3702" s="733"/>
      <c r="K3702" s="733"/>
      <c r="L3702" s="733"/>
      <c r="M3702" s="733"/>
    </row>
    <row r="3703" spans="1:13" x14ac:dyDescent="0.3">
      <c r="A3703" s="733" t="s">
        <v>3675</v>
      </c>
      <c r="B3703" s="733" t="s">
        <v>612</v>
      </c>
      <c r="C3703" s="738" t="s">
        <v>3704</v>
      </c>
      <c r="D3703" s="733"/>
      <c r="E3703" s="761"/>
      <c r="F3703" s="761"/>
      <c r="G3703" s="733"/>
      <c r="H3703" s="733"/>
      <c r="I3703" s="733"/>
      <c r="J3703" s="733"/>
      <c r="K3703" s="733"/>
      <c r="L3703" s="733"/>
      <c r="M3703" s="733"/>
    </row>
    <row r="3704" spans="1:13" x14ac:dyDescent="0.3">
      <c r="A3704" s="733" t="s">
        <v>3675</v>
      </c>
      <c r="B3704" s="733" t="s">
        <v>612</v>
      </c>
      <c r="C3704" s="738" t="s">
        <v>3705</v>
      </c>
      <c r="D3704" s="733"/>
      <c r="E3704" s="761"/>
      <c r="F3704" s="761"/>
      <c r="G3704" s="733"/>
      <c r="H3704" s="733"/>
      <c r="I3704" s="733"/>
      <c r="J3704" s="733"/>
      <c r="K3704" s="733"/>
      <c r="L3704" s="733"/>
      <c r="M3704" s="733"/>
    </row>
    <row r="3705" spans="1:13" x14ac:dyDescent="0.3">
      <c r="A3705" s="733" t="s">
        <v>3706</v>
      </c>
      <c r="B3705" s="733" t="s">
        <v>645</v>
      </c>
      <c r="C3705" s="733" t="s">
        <v>3707</v>
      </c>
      <c r="D3705" s="733"/>
      <c r="E3705" s="761"/>
      <c r="F3705" s="761"/>
      <c r="G3705" s="733"/>
      <c r="H3705" s="733"/>
      <c r="I3705" s="733"/>
      <c r="J3705" s="733"/>
      <c r="K3705" s="733"/>
      <c r="L3705" s="733"/>
      <c r="M3705" s="733"/>
    </row>
    <row r="3706" spans="1:13" x14ac:dyDescent="0.3">
      <c r="A3706" s="733" t="s">
        <v>3706</v>
      </c>
      <c r="B3706" s="733" t="s">
        <v>645</v>
      </c>
      <c r="C3706" s="733" t="s">
        <v>3708</v>
      </c>
      <c r="D3706" s="733"/>
      <c r="E3706" s="761"/>
      <c r="F3706" s="761"/>
      <c r="G3706" s="733"/>
      <c r="H3706" s="733"/>
      <c r="I3706" s="733"/>
      <c r="J3706" s="733"/>
      <c r="K3706" s="733"/>
      <c r="L3706" s="733"/>
      <c r="M3706" s="733"/>
    </row>
    <row r="3707" spans="1:13" x14ac:dyDescent="0.3">
      <c r="A3707" s="733" t="s">
        <v>3706</v>
      </c>
      <c r="B3707" s="733" t="s">
        <v>645</v>
      </c>
      <c r="C3707" s="733" t="s">
        <v>3709</v>
      </c>
      <c r="D3707" s="733"/>
      <c r="E3707" s="761"/>
      <c r="F3707" s="761"/>
      <c r="G3707" s="733"/>
      <c r="H3707" s="733"/>
      <c r="I3707" s="733"/>
      <c r="J3707" s="733"/>
      <c r="K3707" s="733"/>
      <c r="L3707" s="733"/>
      <c r="M3707" s="733"/>
    </row>
    <row r="3708" spans="1:13" x14ac:dyDescent="0.3">
      <c r="A3708" s="733" t="s">
        <v>3706</v>
      </c>
      <c r="B3708" s="733" t="s">
        <v>645</v>
      </c>
      <c r="C3708" s="733" t="s">
        <v>3710</v>
      </c>
      <c r="D3708" s="733"/>
      <c r="E3708" s="761"/>
      <c r="F3708" s="761"/>
      <c r="G3708" s="733"/>
      <c r="H3708" s="733"/>
      <c r="I3708" s="733"/>
      <c r="J3708" s="733"/>
      <c r="K3708" s="733"/>
      <c r="L3708" s="733"/>
      <c r="M3708" s="733"/>
    </row>
    <row r="3709" spans="1:13" x14ac:dyDescent="0.3">
      <c r="A3709" s="733" t="s">
        <v>3706</v>
      </c>
      <c r="B3709" s="733" t="s">
        <v>645</v>
      </c>
      <c r="C3709" s="733" t="s">
        <v>3711</v>
      </c>
      <c r="D3709" s="733"/>
      <c r="E3709" s="761"/>
      <c r="F3709" s="761"/>
      <c r="G3709" s="733"/>
      <c r="H3709" s="733"/>
      <c r="I3709" s="733"/>
      <c r="J3709" s="733"/>
      <c r="K3709" s="733"/>
      <c r="L3709" s="733"/>
      <c r="M3709" s="733"/>
    </row>
    <row r="3710" spans="1:13" x14ac:dyDescent="0.3">
      <c r="A3710" s="733" t="s">
        <v>3706</v>
      </c>
      <c r="B3710" s="733" t="s">
        <v>645</v>
      </c>
      <c r="C3710" s="733" t="s">
        <v>3712</v>
      </c>
      <c r="D3710" s="733"/>
      <c r="E3710" s="761"/>
      <c r="F3710" s="761"/>
      <c r="G3710" s="733"/>
      <c r="H3710" s="733"/>
      <c r="I3710" s="733"/>
      <c r="J3710" s="733"/>
      <c r="K3710" s="733"/>
      <c r="L3710" s="733"/>
      <c r="M3710" s="733"/>
    </row>
    <row r="3711" spans="1:13" x14ac:dyDescent="0.3">
      <c r="A3711" s="733" t="s">
        <v>3706</v>
      </c>
      <c r="B3711" s="733" t="s">
        <v>645</v>
      </c>
      <c r="C3711" s="733" t="s">
        <v>3713</v>
      </c>
      <c r="D3711" s="733"/>
      <c r="E3711" s="761"/>
      <c r="F3711" s="761"/>
      <c r="G3711" s="733"/>
      <c r="H3711" s="733"/>
      <c r="I3711" s="733"/>
      <c r="J3711" s="733"/>
      <c r="K3711" s="733"/>
      <c r="L3711" s="733"/>
      <c r="M3711" s="733"/>
    </row>
    <row r="3712" spans="1:13" x14ac:dyDescent="0.3">
      <c r="A3712" s="733" t="s">
        <v>3706</v>
      </c>
      <c r="B3712" s="733" t="s">
        <v>645</v>
      </c>
      <c r="C3712" s="733" t="s">
        <v>3714</v>
      </c>
      <c r="D3712" s="733"/>
      <c r="E3712" s="761"/>
      <c r="F3712" s="761"/>
      <c r="G3712" s="733"/>
      <c r="H3712" s="733"/>
      <c r="I3712" s="733"/>
      <c r="J3712" s="733"/>
      <c r="K3712" s="733"/>
      <c r="L3712" s="733"/>
      <c r="M3712" s="733"/>
    </row>
    <row r="3713" spans="1:13" x14ac:dyDescent="0.3">
      <c r="A3713" s="733" t="s">
        <v>3706</v>
      </c>
      <c r="B3713" s="733" t="s">
        <v>645</v>
      </c>
      <c r="C3713" s="733" t="s">
        <v>3715</v>
      </c>
      <c r="D3713" s="733"/>
      <c r="E3713" s="761"/>
      <c r="F3713" s="761"/>
      <c r="G3713" s="733"/>
      <c r="H3713" s="733"/>
      <c r="I3713" s="733"/>
      <c r="J3713" s="733"/>
      <c r="K3713" s="733"/>
      <c r="L3713" s="733"/>
      <c r="M3713" s="733"/>
    </row>
    <row r="3714" spans="1:13" x14ac:dyDescent="0.3">
      <c r="A3714" s="733" t="s">
        <v>3706</v>
      </c>
      <c r="B3714" s="733" t="s">
        <v>645</v>
      </c>
      <c r="C3714" s="733" t="s">
        <v>3716</v>
      </c>
      <c r="D3714" s="733"/>
      <c r="E3714" s="761"/>
      <c r="F3714" s="761"/>
      <c r="G3714" s="733"/>
      <c r="H3714" s="733"/>
      <c r="I3714" s="733"/>
      <c r="J3714" s="733"/>
      <c r="K3714" s="733"/>
      <c r="L3714" s="733"/>
      <c r="M3714" s="733"/>
    </row>
    <row r="3715" spans="1:13" x14ac:dyDescent="0.3">
      <c r="A3715" s="733" t="s">
        <v>3706</v>
      </c>
      <c r="B3715" s="733" t="s">
        <v>664</v>
      </c>
      <c r="C3715" s="733" t="s">
        <v>3717</v>
      </c>
      <c r="D3715" s="733"/>
      <c r="E3715" s="761"/>
      <c r="F3715" s="761"/>
      <c r="G3715" s="733"/>
      <c r="H3715" s="733"/>
      <c r="I3715" s="733"/>
      <c r="J3715" s="733"/>
      <c r="K3715" s="733"/>
      <c r="L3715" s="733"/>
      <c r="M3715" s="733"/>
    </row>
    <row r="3716" spans="1:13" x14ac:dyDescent="0.3">
      <c r="A3716" s="733" t="s">
        <v>3706</v>
      </c>
      <c r="B3716" s="733" t="s">
        <v>664</v>
      </c>
      <c r="C3716" s="733" t="s">
        <v>3718</v>
      </c>
      <c r="D3716" s="733"/>
      <c r="E3716" s="761"/>
      <c r="F3716" s="761"/>
      <c r="G3716" s="733"/>
      <c r="H3716" s="733"/>
      <c r="I3716" s="733"/>
      <c r="J3716" s="733"/>
      <c r="K3716" s="733"/>
      <c r="L3716" s="733"/>
      <c r="M3716" s="733"/>
    </row>
    <row r="3717" spans="1:13" x14ac:dyDescent="0.3">
      <c r="A3717" s="733" t="s">
        <v>3706</v>
      </c>
      <c r="B3717" s="733" t="s">
        <v>664</v>
      </c>
      <c r="C3717" s="733" t="s">
        <v>3719</v>
      </c>
      <c r="D3717" s="733"/>
      <c r="E3717" s="761"/>
      <c r="F3717" s="761"/>
      <c r="G3717" s="733"/>
      <c r="H3717" s="733"/>
      <c r="I3717" s="733"/>
      <c r="J3717" s="733"/>
      <c r="K3717" s="733"/>
      <c r="L3717" s="733"/>
      <c r="M3717" s="733"/>
    </row>
    <row r="3718" spans="1:13" x14ac:dyDescent="0.3">
      <c r="A3718" s="733" t="s">
        <v>3706</v>
      </c>
      <c r="B3718" s="733" t="s">
        <v>664</v>
      </c>
      <c r="C3718" s="733" t="s">
        <v>3720</v>
      </c>
      <c r="D3718" s="733"/>
      <c r="E3718" s="761"/>
      <c r="F3718" s="761"/>
      <c r="G3718" s="733"/>
      <c r="H3718" s="733"/>
      <c r="I3718" s="733"/>
      <c r="J3718" s="733"/>
      <c r="K3718" s="733"/>
      <c r="L3718" s="733"/>
      <c r="M3718" s="733"/>
    </row>
    <row r="3719" spans="1:13" x14ac:dyDescent="0.3">
      <c r="A3719" s="733" t="s">
        <v>3706</v>
      </c>
      <c r="B3719" s="733" t="s">
        <v>664</v>
      </c>
      <c r="C3719" s="733" t="s">
        <v>3721</v>
      </c>
      <c r="D3719" s="733"/>
      <c r="E3719" s="761"/>
      <c r="F3719" s="761"/>
      <c r="G3719" s="733"/>
      <c r="H3719" s="733"/>
      <c r="I3719" s="733"/>
      <c r="J3719" s="733"/>
      <c r="K3719" s="733"/>
      <c r="L3719" s="733"/>
      <c r="M3719" s="733"/>
    </row>
    <row r="3720" spans="1:13" x14ac:dyDescent="0.3">
      <c r="A3720" s="733" t="s">
        <v>3706</v>
      </c>
      <c r="B3720" s="733" t="s">
        <v>664</v>
      </c>
      <c r="C3720" s="733" t="s">
        <v>3722</v>
      </c>
      <c r="D3720" s="733"/>
      <c r="E3720" s="761"/>
      <c r="F3720" s="761"/>
      <c r="G3720" s="733"/>
      <c r="H3720" s="733"/>
      <c r="I3720" s="733"/>
      <c r="J3720" s="733"/>
      <c r="K3720" s="733"/>
      <c r="L3720" s="733"/>
      <c r="M3720" s="733"/>
    </row>
    <row r="3721" spans="1:13" x14ac:dyDescent="0.3">
      <c r="A3721" s="733" t="s">
        <v>3706</v>
      </c>
      <c r="B3721" s="733" t="s">
        <v>664</v>
      </c>
      <c r="C3721" s="733" t="s">
        <v>3723</v>
      </c>
      <c r="D3721" s="733"/>
      <c r="E3721" s="761"/>
      <c r="F3721" s="761"/>
      <c r="G3721" s="733"/>
      <c r="H3721" s="733"/>
      <c r="I3721" s="733"/>
      <c r="J3721" s="733"/>
      <c r="K3721" s="733"/>
      <c r="L3721" s="733"/>
      <c r="M3721" s="733"/>
    </row>
    <row r="3722" spans="1:13" x14ac:dyDescent="0.3">
      <c r="A3722" s="733" t="s">
        <v>3706</v>
      </c>
      <c r="B3722" s="733" t="s">
        <v>664</v>
      </c>
      <c r="C3722" s="733" t="s">
        <v>3724</v>
      </c>
      <c r="D3722" s="733"/>
      <c r="E3722" s="761"/>
      <c r="F3722" s="761"/>
      <c r="G3722" s="733"/>
      <c r="H3722" s="733"/>
      <c r="I3722" s="733"/>
      <c r="J3722" s="733"/>
      <c r="K3722" s="733"/>
      <c r="L3722" s="733"/>
      <c r="M3722" s="733"/>
    </row>
    <row r="3723" spans="1:13" x14ac:dyDescent="0.3">
      <c r="A3723" s="733" t="s">
        <v>3706</v>
      </c>
      <c r="B3723" s="733" t="s">
        <v>664</v>
      </c>
      <c r="C3723" s="733" t="s">
        <v>3725</v>
      </c>
      <c r="D3723" s="733"/>
      <c r="E3723" s="761"/>
      <c r="F3723" s="761"/>
      <c r="G3723" s="733"/>
      <c r="H3723" s="733"/>
      <c r="I3723" s="733"/>
      <c r="J3723" s="733"/>
      <c r="K3723" s="733"/>
      <c r="L3723" s="733"/>
      <c r="M3723" s="733"/>
    </row>
    <row r="3724" spans="1:13" x14ac:dyDescent="0.3">
      <c r="A3724" s="733" t="s">
        <v>3706</v>
      </c>
      <c r="B3724" s="733" t="s">
        <v>664</v>
      </c>
      <c r="C3724" s="733" t="s">
        <v>3726</v>
      </c>
      <c r="D3724" s="733"/>
      <c r="E3724" s="761"/>
      <c r="F3724" s="761"/>
      <c r="G3724" s="733"/>
      <c r="H3724" s="733"/>
      <c r="I3724" s="733"/>
      <c r="J3724" s="733"/>
      <c r="K3724" s="733"/>
      <c r="L3724" s="733"/>
      <c r="M3724" s="733"/>
    </row>
    <row r="3725" spans="1:13" x14ac:dyDescent="0.3">
      <c r="A3725" s="733" t="s">
        <v>3706</v>
      </c>
      <c r="B3725" s="733" t="s">
        <v>612</v>
      </c>
      <c r="C3725" s="733" t="s">
        <v>3727</v>
      </c>
      <c r="D3725" s="733"/>
      <c r="E3725" s="761"/>
      <c r="F3725" s="761"/>
      <c r="G3725" s="733"/>
      <c r="H3725" s="733"/>
      <c r="I3725" s="733"/>
      <c r="J3725" s="733"/>
      <c r="K3725" s="733"/>
      <c r="L3725" s="733"/>
      <c r="M3725" s="733"/>
    </row>
    <row r="3726" spans="1:13" x14ac:dyDescent="0.3">
      <c r="A3726" s="733" t="s">
        <v>3706</v>
      </c>
      <c r="B3726" s="733" t="s">
        <v>612</v>
      </c>
      <c r="C3726" s="733" t="s">
        <v>3728</v>
      </c>
      <c r="D3726" s="733"/>
      <c r="E3726" s="761"/>
      <c r="F3726" s="761"/>
      <c r="G3726" s="733"/>
      <c r="H3726" s="733"/>
      <c r="I3726" s="733"/>
      <c r="J3726" s="733"/>
      <c r="K3726" s="733"/>
      <c r="L3726" s="733"/>
      <c r="M3726" s="733"/>
    </row>
    <row r="3727" spans="1:13" x14ac:dyDescent="0.3">
      <c r="A3727" s="733" t="s">
        <v>3706</v>
      </c>
      <c r="B3727" s="733" t="s">
        <v>612</v>
      </c>
      <c r="C3727" s="733" t="s">
        <v>3729</v>
      </c>
      <c r="D3727" s="733"/>
      <c r="E3727" s="761"/>
      <c r="F3727" s="761"/>
      <c r="G3727" s="733"/>
      <c r="H3727" s="733"/>
      <c r="I3727" s="733"/>
      <c r="J3727" s="733"/>
      <c r="K3727" s="733"/>
      <c r="L3727" s="733"/>
      <c r="M3727" s="733"/>
    </row>
    <row r="3728" spans="1:13" x14ac:dyDescent="0.3">
      <c r="A3728" s="733" t="s">
        <v>3706</v>
      </c>
      <c r="B3728" s="733" t="s">
        <v>612</v>
      </c>
      <c r="C3728" s="733" t="s">
        <v>3730</v>
      </c>
      <c r="D3728" s="733"/>
      <c r="E3728" s="761"/>
      <c r="F3728" s="761"/>
      <c r="G3728" s="733"/>
      <c r="H3728" s="733"/>
      <c r="I3728" s="733"/>
      <c r="J3728" s="733"/>
      <c r="K3728" s="733"/>
      <c r="L3728" s="733"/>
      <c r="M3728" s="733"/>
    </row>
    <row r="3729" spans="1:13" x14ac:dyDescent="0.3">
      <c r="A3729" s="733" t="s">
        <v>3706</v>
      </c>
      <c r="B3729" s="733" t="s">
        <v>612</v>
      </c>
      <c r="C3729" s="733" t="s">
        <v>3731</v>
      </c>
      <c r="D3729" s="733"/>
      <c r="E3729" s="761"/>
      <c r="F3729" s="761"/>
      <c r="G3729" s="733"/>
      <c r="H3729" s="733"/>
      <c r="I3729" s="733"/>
      <c r="J3729" s="733"/>
      <c r="K3729" s="733"/>
      <c r="L3729" s="733"/>
      <c r="M3729" s="733"/>
    </row>
    <row r="3730" spans="1:13" x14ac:dyDescent="0.3">
      <c r="A3730" s="733" t="s">
        <v>3706</v>
      </c>
      <c r="B3730" s="733" t="s">
        <v>612</v>
      </c>
      <c r="C3730" s="733" t="s">
        <v>3732</v>
      </c>
      <c r="D3730" s="733"/>
      <c r="E3730" s="761"/>
      <c r="F3730" s="761"/>
      <c r="G3730" s="733"/>
      <c r="H3730" s="733"/>
      <c r="I3730" s="733"/>
      <c r="J3730" s="733"/>
      <c r="K3730" s="733"/>
      <c r="L3730" s="733"/>
      <c r="M3730" s="733"/>
    </row>
    <row r="3731" spans="1:13" x14ac:dyDescent="0.3">
      <c r="A3731" s="733" t="s">
        <v>3706</v>
      </c>
      <c r="B3731" s="733" t="s">
        <v>612</v>
      </c>
      <c r="C3731" s="733" t="s">
        <v>3733</v>
      </c>
      <c r="D3731" s="733"/>
      <c r="E3731" s="761"/>
      <c r="F3731" s="761"/>
      <c r="G3731" s="733"/>
      <c r="H3731" s="733"/>
      <c r="I3731" s="733"/>
      <c r="J3731" s="733"/>
      <c r="K3731" s="733"/>
      <c r="L3731" s="733"/>
      <c r="M3731" s="733"/>
    </row>
    <row r="3732" spans="1:13" x14ac:dyDescent="0.3">
      <c r="A3732" s="733" t="s">
        <v>3706</v>
      </c>
      <c r="B3732" s="733" t="s">
        <v>612</v>
      </c>
      <c r="C3732" s="733" t="s">
        <v>3734</v>
      </c>
      <c r="D3732" s="733"/>
      <c r="E3732" s="761"/>
      <c r="F3732" s="761"/>
      <c r="G3732" s="733"/>
      <c r="H3732" s="733"/>
      <c r="I3732" s="733"/>
      <c r="J3732" s="733"/>
      <c r="K3732" s="733"/>
      <c r="L3732" s="733"/>
      <c r="M3732" s="733"/>
    </row>
    <row r="3733" spans="1:13" x14ac:dyDescent="0.3">
      <c r="A3733" s="733" t="s">
        <v>3706</v>
      </c>
      <c r="B3733" s="733" t="s">
        <v>612</v>
      </c>
      <c r="C3733" s="733" t="s">
        <v>3735</v>
      </c>
      <c r="D3733" s="733"/>
      <c r="E3733" s="761"/>
      <c r="F3733" s="761"/>
      <c r="G3733" s="733"/>
      <c r="H3733" s="733"/>
      <c r="I3733" s="733"/>
      <c r="J3733" s="733"/>
      <c r="K3733" s="733"/>
      <c r="L3733" s="733"/>
      <c r="M3733" s="733"/>
    </row>
    <row r="3734" spans="1:13" x14ac:dyDescent="0.3">
      <c r="A3734" s="733" t="s">
        <v>3706</v>
      </c>
      <c r="B3734" s="733" t="s">
        <v>612</v>
      </c>
      <c r="C3734" s="733" t="s">
        <v>3736</v>
      </c>
      <c r="D3734" s="733"/>
      <c r="E3734" s="761"/>
      <c r="F3734" s="761"/>
      <c r="G3734" s="733"/>
      <c r="H3734" s="733"/>
      <c r="I3734" s="733"/>
      <c r="J3734" s="733"/>
      <c r="K3734" s="733"/>
      <c r="L3734" s="733"/>
      <c r="M3734" s="733"/>
    </row>
    <row r="3735" spans="1:13" x14ac:dyDescent="0.3">
      <c r="A3735" s="733" t="s">
        <v>2888</v>
      </c>
      <c r="B3735" s="733" t="s">
        <v>645</v>
      </c>
      <c r="C3735" s="733" t="s">
        <v>3737</v>
      </c>
      <c r="D3735" s="733"/>
      <c r="E3735" s="761"/>
      <c r="F3735" s="761"/>
      <c r="G3735" s="733"/>
      <c r="H3735" s="733"/>
      <c r="I3735" s="733"/>
      <c r="J3735" s="733"/>
      <c r="K3735" s="733"/>
      <c r="L3735" s="733"/>
      <c r="M3735" s="733"/>
    </row>
    <row r="3736" spans="1:13" x14ac:dyDescent="0.3">
      <c r="A3736" s="733" t="s">
        <v>2888</v>
      </c>
      <c r="B3736" s="733" t="s">
        <v>645</v>
      </c>
      <c r="C3736" s="733" t="s">
        <v>3738</v>
      </c>
      <c r="D3736" s="733"/>
      <c r="E3736" s="761"/>
      <c r="F3736" s="761"/>
      <c r="G3736" s="733"/>
      <c r="H3736" s="733"/>
      <c r="I3736" s="733"/>
      <c r="J3736" s="733"/>
      <c r="K3736" s="733"/>
      <c r="L3736" s="733"/>
      <c r="M3736" s="733"/>
    </row>
    <row r="3737" spans="1:13" x14ac:dyDescent="0.3">
      <c r="A3737" s="733" t="s">
        <v>2888</v>
      </c>
      <c r="B3737" s="733" t="s">
        <v>645</v>
      </c>
      <c r="C3737" s="733" t="s">
        <v>3739</v>
      </c>
      <c r="D3737" s="733"/>
      <c r="E3737" s="761"/>
      <c r="F3737" s="761"/>
      <c r="G3737" s="733"/>
      <c r="H3737" s="733"/>
      <c r="I3737" s="733"/>
      <c r="J3737" s="733"/>
      <c r="K3737" s="733"/>
      <c r="L3737" s="733"/>
      <c r="M3737" s="733"/>
    </row>
    <row r="3738" spans="1:13" x14ac:dyDescent="0.3">
      <c r="A3738" s="733" t="s">
        <v>2888</v>
      </c>
      <c r="B3738" s="733" t="s">
        <v>645</v>
      </c>
      <c r="C3738" s="733" t="s">
        <v>3740</v>
      </c>
      <c r="D3738" s="733"/>
      <c r="E3738" s="761"/>
      <c r="F3738" s="761"/>
      <c r="G3738" s="733"/>
      <c r="H3738" s="733"/>
      <c r="I3738" s="733"/>
      <c r="J3738" s="733"/>
      <c r="K3738" s="733"/>
      <c r="L3738" s="733"/>
      <c r="M3738" s="733"/>
    </row>
    <row r="3739" spans="1:13" x14ac:dyDescent="0.3">
      <c r="A3739" s="733" t="s">
        <v>2888</v>
      </c>
      <c r="B3739" s="733" t="s">
        <v>645</v>
      </c>
      <c r="C3739" s="733" t="s">
        <v>3741</v>
      </c>
      <c r="D3739" s="733"/>
      <c r="E3739" s="761"/>
      <c r="F3739" s="761"/>
      <c r="G3739" s="733"/>
      <c r="H3739" s="733"/>
      <c r="I3739" s="733"/>
      <c r="J3739" s="733"/>
      <c r="K3739" s="733"/>
      <c r="L3739" s="733"/>
      <c r="M3739" s="733"/>
    </row>
    <row r="3740" spans="1:13" x14ac:dyDescent="0.3">
      <c r="A3740" s="733" t="s">
        <v>2888</v>
      </c>
      <c r="B3740" s="733" t="s">
        <v>645</v>
      </c>
      <c r="C3740" s="733" t="s">
        <v>3742</v>
      </c>
      <c r="D3740" s="733"/>
      <c r="E3740" s="761"/>
      <c r="F3740" s="761"/>
      <c r="G3740" s="733"/>
      <c r="H3740" s="733"/>
      <c r="I3740" s="733"/>
      <c r="J3740" s="733"/>
      <c r="K3740" s="733"/>
      <c r="L3740" s="733"/>
      <c r="M3740" s="733"/>
    </row>
    <row r="3741" spans="1:13" x14ac:dyDescent="0.3">
      <c r="A3741" s="733" t="s">
        <v>2888</v>
      </c>
      <c r="B3741" s="733" t="s">
        <v>645</v>
      </c>
      <c r="C3741" s="733" t="s">
        <v>3743</v>
      </c>
      <c r="D3741" s="733"/>
      <c r="E3741" s="761"/>
      <c r="F3741" s="761"/>
      <c r="G3741" s="733"/>
      <c r="H3741" s="733"/>
      <c r="I3741" s="733"/>
      <c r="J3741" s="733"/>
      <c r="K3741" s="733"/>
      <c r="L3741" s="733"/>
      <c r="M3741" s="733"/>
    </row>
    <row r="3742" spans="1:13" x14ac:dyDescent="0.3">
      <c r="A3742" s="733" t="s">
        <v>2888</v>
      </c>
      <c r="B3742" s="733" t="s">
        <v>645</v>
      </c>
      <c r="C3742" s="733" t="s">
        <v>3744</v>
      </c>
      <c r="D3742" s="733"/>
      <c r="E3742" s="761"/>
      <c r="F3742" s="761"/>
      <c r="G3742" s="733"/>
      <c r="H3742" s="733"/>
      <c r="I3742" s="733"/>
      <c r="J3742" s="733"/>
      <c r="K3742" s="733"/>
      <c r="L3742" s="733"/>
      <c r="M3742" s="733"/>
    </row>
    <row r="3743" spans="1:13" x14ac:dyDescent="0.3">
      <c r="A3743" s="733" t="s">
        <v>2888</v>
      </c>
      <c r="B3743" s="733" t="s">
        <v>645</v>
      </c>
      <c r="C3743" s="733" t="s">
        <v>3745</v>
      </c>
      <c r="D3743" s="733"/>
      <c r="E3743" s="761"/>
      <c r="F3743" s="761"/>
      <c r="G3743" s="733"/>
      <c r="H3743" s="733"/>
      <c r="I3743" s="733"/>
      <c r="J3743" s="733"/>
      <c r="K3743" s="733"/>
      <c r="L3743" s="733"/>
      <c r="M3743" s="733"/>
    </row>
    <row r="3744" spans="1:13" x14ac:dyDescent="0.3">
      <c r="A3744" s="733" t="s">
        <v>2888</v>
      </c>
      <c r="B3744" s="733" t="s">
        <v>645</v>
      </c>
      <c r="C3744" s="733" t="s">
        <v>3746</v>
      </c>
      <c r="D3744" s="733"/>
      <c r="E3744" s="761"/>
      <c r="F3744" s="761"/>
      <c r="G3744" s="733"/>
      <c r="H3744" s="733"/>
      <c r="I3744" s="733"/>
      <c r="J3744" s="733"/>
      <c r="K3744" s="733"/>
      <c r="L3744" s="733"/>
      <c r="M3744" s="733"/>
    </row>
    <row r="3745" spans="1:13" x14ac:dyDescent="0.3">
      <c r="A3745" s="733" t="s">
        <v>2888</v>
      </c>
      <c r="B3745" s="733" t="s">
        <v>664</v>
      </c>
      <c r="C3745" s="733" t="s">
        <v>3747</v>
      </c>
      <c r="D3745" s="733"/>
      <c r="E3745" s="761"/>
      <c r="F3745" s="761"/>
      <c r="G3745" s="733"/>
      <c r="H3745" s="733"/>
      <c r="I3745" s="733"/>
      <c r="J3745" s="733"/>
      <c r="K3745" s="733"/>
      <c r="L3745" s="733"/>
      <c r="M3745" s="733"/>
    </row>
    <row r="3746" spans="1:13" x14ac:dyDescent="0.3">
      <c r="A3746" s="733" t="s">
        <v>2888</v>
      </c>
      <c r="B3746" s="733" t="s">
        <v>664</v>
      </c>
      <c r="C3746" s="733" t="s">
        <v>3748</v>
      </c>
      <c r="D3746" s="733"/>
      <c r="E3746" s="761"/>
      <c r="F3746" s="761"/>
      <c r="G3746" s="733"/>
      <c r="H3746" s="733"/>
      <c r="I3746" s="733"/>
      <c r="J3746" s="733"/>
      <c r="K3746" s="733"/>
      <c r="L3746" s="733"/>
      <c r="M3746" s="733"/>
    </row>
    <row r="3747" spans="1:13" x14ac:dyDescent="0.3">
      <c r="A3747" s="733" t="s">
        <v>2888</v>
      </c>
      <c r="B3747" s="733" t="s">
        <v>664</v>
      </c>
      <c r="C3747" s="733" t="s">
        <v>3749</v>
      </c>
      <c r="D3747" s="733"/>
      <c r="E3747" s="761"/>
      <c r="F3747" s="761"/>
      <c r="G3747" s="733"/>
      <c r="H3747" s="733"/>
      <c r="I3747" s="733"/>
      <c r="J3747" s="733"/>
      <c r="K3747" s="733"/>
      <c r="L3747" s="733"/>
      <c r="M3747" s="733"/>
    </row>
    <row r="3748" spans="1:13" x14ac:dyDescent="0.3">
      <c r="A3748" s="733" t="s">
        <v>2888</v>
      </c>
      <c r="B3748" s="733" t="s">
        <v>664</v>
      </c>
      <c r="C3748" s="733" t="s">
        <v>3750</v>
      </c>
      <c r="D3748" s="733"/>
      <c r="E3748" s="761"/>
      <c r="F3748" s="761"/>
      <c r="G3748" s="733"/>
      <c r="H3748" s="733"/>
      <c r="I3748" s="733"/>
      <c r="J3748" s="733"/>
      <c r="K3748" s="733"/>
      <c r="L3748" s="733"/>
      <c r="M3748" s="733"/>
    </row>
    <row r="3749" spans="1:13" x14ac:dyDescent="0.3">
      <c r="A3749" s="733" t="s">
        <v>2888</v>
      </c>
      <c r="B3749" s="733" t="s">
        <v>664</v>
      </c>
      <c r="C3749" s="733" t="s">
        <v>3751</v>
      </c>
      <c r="D3749" s="733"/>
      <c r="E3749" s="761"/>
      <c r="F3749" s="761"/>
      <c r="G3749" s="733"/>
      <c r="H3749" s="733"/>
      <c r="I3749" s="733"/>
      <c r="J3749" s="733"/>
      <c r="K3749" s="733"/>
      <c r="L3749" s="733"/>
      <c r="M3749" s="733"/>
    </row>
    <row r="3750" spans="1:13" x14ac:dyDescent="0.3">
      <c r="A3750" s="733" t="s">
        <v>2888</v>
      </c>
      <c r="B3750" s="733" t="s">
        <v>664</v>
      </c>
      <c r="C3750" s="733" t="s">
        <v>3752</v>
      </c>
      <c r="D3750" s="733"/>
      <c r="E3750" s="761"/>
      <c r="F3750" s="761"/>
      <c r="G3750" s="733"/>
      <c r="H3750" s="733"/>
      <c r="I3750" s="733"/>
      <c r="J3750" s="733"/>
      <c r="K3750" s="733"/>
      <c r="L3750" s="733"/>
      <c r="M3750" s="733"/>
    </row>
    <row r="3751" spans="1:13" x14ac:dyDescent="0.3">
      <c r="A3751" s="733" t="s">
        <v>2888</v>
      </c>
      <c r="B3751" s="733" t="s">
        <v>664</v>
      </c>
      <c r="C3751" s="733" t="s">
        <v>3753</v>
      </c>
      <c r="D3751" s="733"/>
      <c r="E3751" s="761"/>
      <c r="F3751" s="761"/>
      <c r="G3751" s="733"/>
      <c r="H3751" s="733"/>
      <c r="I3751" s="733"/>
      <c r="J3751" s="733"/>
      <c r="K3751" s="733"/>
      <c r="L3751" s="733"/>
      <c r="M3751" s="733"/>
    </row>
    <row r="3752" spans="1:13" x14ac:dyDescent="0.3">
      <c r="A3752" s="733" t="s">
        <v>2888</v>
      </c>
      <c r="B3752" s="733" t="s">
        <v>664</v>
      </c>
      <c r="C3752" s="733" t="s">
        <v>3754</v>
      </c>
      <c r="D3752" s="733"/>
      <c r="E3752" s="761"/>
      <c r="F3752" s="761"/>
      <c r="G3752" s="733"/>
      <c r="H3752" s="733"/>
      <c r="I3752" s="733"/>
      <c r="J3752" s="733"/>
      <c r="K3752" s="733"/>
      <c r="L3752" s="733"/>
      <c r="M3752" s="733"/>
    </row>
    <row r="3753" spans="1:13" x14ac:dyDescent="0.3">
      <c r="A3753" s="733" t="s">
        <v>2888</v>
      </c>
      <c r="B3753" s="733" t="s">
        <v>664</v>
      </c>
      <c r="C3753" s="733" t="s">
        <v>3755</v>
      </c>
      <c r="D3753" s="733"/>
      <c r="E3753" s="761"/>
      <c r="F3753" s="761"/>
      <c r="G3753" s="733"/>
      <c r="H3753" s="733"/>
      <c r="I3753" s="733"/>
      <c r="J3753" s="733"/>
      <c r="K3753" s="733"/>
      <c r="L3753" s="733"/>
      <c r="M3753" s="733"/>
    </row>
    <row r="3754" spans="1:13" x14ac:dyDescent="0.3">
      <c r="A3754" s="733" t="s">
        <v>2888</v>
      </c>
      <c r="B3754" s="733" t="s">
        <v>664</v>
      </c>
      <c r="C3754" s="733" t="s">
        <v>3756</v>
      </c>
      <c r="D3754" s="733"/>
      <c r="E3754" s="761"/>
      <c r="F3754" s="761"/>
      <c r="G3754" s="733"/>
      <c r="H3754" s="733"/>
      <c r="I3754" s="733"/>
      <c r="J3754" s="733"/>
      <c r="K3754" s="733"/>
      <c r="L3754" s="733"/>
      <c r="M3754" s="733"/>
    </row>
    <row r="3755" spans="1:13" x14ac:dyDescent="0.3">
      <c r="A3755" s="733" t="s">
        <v>2888</v>
      </c>
      <c r="B3755" s="733" t="s">
        <v>612</v>
      </c>
      <c r="C3755" s="739" t="s">
        <v>3757</v>
      </c>
      <c r="D3755" s="733"/>
      <c r="E3755" s="761"/>
      <c r="F3755" s="761"/>
      <c r="G3755" s="733"/>
      <c r="H3755" s="733"/>
      <c r="I3755" s="733"/>
      <c r="J3755" s="733"/>
      <c r="K3755" s="733"/>
      <c r="L3755" s="733"/>
      <c r="M3755" s="733"/>
    </row>
    <row r="3756" spans="1:13" x14ac:dyDescent="0.3">
      <c r="A3756" s="733" t="s">
        <v>2888</v>
      </c>
      <c r="B3756" s="733" t="s">
        <v>612</v>
      </c>
      <c r="C3756" s="739" t="s">
        <v>3758</v>
      </c>
      <c r="D3756" s="733"/>
      <c r="E3756" s="761"/>
      <c r="F3756" s="761"/>
      <c r="G3756" s="733"/>
      <c r="H3756" s="733"/>
      <c r="I3756" s="733"/>
      <c r="J3756" s="733"/>
      <c r="K3756" s="733"/>
      <c r="L3756" s="733"/>
      <c r="M3756" s="733"/>
    </row>
    <row r="3757" spans="1:13" x14ac:dyDescent="0.3">
      <c r="A3757" s="733" t="s">
        <v>2888</v>
      </c>
      <c r="B3757" s="733" t="s">
        <v>612</v>
      </c>
      <c r="C3757" s="739" t="s">
        <v>3759</v>
      </c>
      <c r="D3757" s="733"/>
      <c r="E3757" s="761"/>
      <c r="F3757" s="761"/>
      <c r="G3757" s="733"/>
      <c r="H3757" s="733"/>
      <c r="I3757" s="733"/>
      <c r="J3757" s="733"/>
      <c r="K3757" s="733"/>
      <c r="L3757" s="733"/>
      <c r="M3757" s="733"/>
    </row>
    <row r="3758" spans="1:13" x14ac:dyDescent="0.3">
      <c r="A3758" s="733" t="s">
        <v>2888</v>
      </c>
      <c r="B3758" s="733" t="s">
        <v>612</v>
      </c>
      <c r="C3758" s="739" t="s">
        <v>3760</v>
      </c>
      <c r="D3758" s="733"/>
      <c r="E3758" s="761"/>
      <c r="F3758" s="761"/>
      <c r="G3758" s="733"/>
      <c r="H3758" s="733"/>
      <c r="I3758" s="733"/>
      <c r="J3758" s="733"/>
      <c r="K3758" s="733"/>
      <c r="L3758" s="733"/>
      <c r="M3758" s="733"/>
    </row>
    <row r="3759" spans="1:13" x14ac:dyDescent="0.3">
      <c r="A3759" s="733" t="s">
        <v>2888</v>
      </c>
      <c r="B3759" s="733" t="s">
        <v>612</v>
      </c>
      <c r="C3759" s="739" t="s">
        <v>3761</v>
      </c>
      <c r="D3759" s="733"/>
      <c r="E3759" s="761"/>
      <c r="F3759" s="761"/>
      <c r="G3759" s="733"/>
      <c r="H3759" s="733"/>
      <c r="I3759" s="733"/>
      <c r="J3759" s="733"/>
      <c r="K3759" s="733"/>
      <c r="L3759" s="733"/>
      <c r="M3759" s="733"/>
    </row>
    <row r="3760" spans="1:13" x14ac:dyDescent="0.3">
      <c r="A3760" s="733" t="s">
        <v>2888</v>
      </c>
      <c r="B3760" s="733" t="s">
        <v>612</v>
      </c>
      <c r="C3760" s="739" t="s">
        <v>3762</v>
      </c>
      <c r="D3760" s="733"/>
      <c r="E3760" s="761"/>
      <c r="F3760" s="761"/>
      <c r="G3760" s="733"/>
      <c r="H3760" s="733"/>
      <c r="I3760" s="733"/>
      <c r="J3760" s="733"/>
      <c r="K3760" s="733"/>
      <c r="L3760" s="733"/>
      <c r="M3760" s="733"/>
    </row>
    <row r="3761" spans="1:13" x14ac:dyDescent="0.3">
      <c r="A3761" s="733" t="s">
        <v>2888</v>
      </c>
      <c r="B3761" s="733" t="s">
        <v>612</v>
      </c>
      <c r="C3761" s="739" t="s">
        <v>3763</v>
      </c>
      <c r="D3761" s="733"/>
      <c r="E3761" s="761"/>
      <c r="F3761" s="761"/>
      <c r="G3761" s="733"/>
      <c r="H3761" s="733"/>
      <c r="I3761" s="733"/>
      <c r="J3761" s="733"/>
      <c r="K3761" s="733"/>
      <c r="L3761" s="733"/>
      <c r="M3761" s="733"/>
    </row>
    <row r="3762" spans="1:13" x14ac:dyDescent="0.3">
      <c r="A3762" s="733" t="s">
        <v>2888</v>
      </c>
      <c r="B3762" s="733" t="s">
        <v>612</v>
      </c>
      <c r="C3762" s="739" t="s">
        <v>3764</v>
      </c>
      <c r="D3762" s="733"/>
      <c r="E3762" s="761"/>
      <c r="F3762" s="761"/>
      <c r="G3762" s="733"/>
      <c r="H3762" s="733"/>
      <c r="I3762" s="733"/>
      <c r="J3762" s="733"/>
      <c r="K3762" s="733"/>
      <c r="L3762" s="733"/>
      <c r="M3762" s="733"/>
    </row>
    <row r="3763" spans="1:13" x14ac:dyDescent="0.3">
      <c r="A3763" s="733" t="s">
        <v>2888</v>
      </c>
      <c r="B3763" s="733" t="s">
        <v>612</v>
      </c>
      <c r="C3763" s="739" t="s">
        <v>3765</v>
      </c>
      <c r="D3763" s="733"/>
      <c r="E3763" s="761"/>
      <c r="F3763" s="761"/>
      <c r="G3763" s="733"/>
      <c r="H3763" s="733"/>
      <c r="I3763" s="733"/>
      <c r="J3763" s="733"/>
      <c r="K3763" s="733"/>
      <c r="L3763" s="733"/>
      <c r="M3763" s="733"/>
    </row>
    <row r="3764" spans="1:13" x14ac:dyDescent="0.3">
      <c r="A3764" s="733" t="s">
        <v>2888</v>
      </c>
      <c r="B3764" s="733" t="s">
        <v>612</v>
      </c>
      <c r="C3764" s="739" t="s">
        <v>3766</v>
      </c>
      <c r="D3764" s="733"/>
      <c r="E3764" s="761"/>
      <c r="F3764" s="761"/>
      <c r="G3764" s="733"/>
      <c r="H3764" s="733"/>
      <c r="I3764" s="733"/>
      <c r="J3764" s="733"/>
      <c r="K3764" s="733"/>
      <c r="L3764" s="733"/>
      <c r="M3764" s="733"/>
    </row>
    <row r="3765" spans="1:13" x14ac:dyDescent="0.3">
      <c r="A3765" s="733" t="s">
        <v>3767</v>
      </c>
      <c r="B3765" s="733" t="s">
        <v>645</v>
      </c>
      <c r="C3765" s="733" t="s">
        <v>3768</v>
      </c>
      <c r="D3765" s="733"/>
      <c r="E3765" s="761"/>
      <c r="F3765" s="761"/>
      <c r="G3765" s="733"/>
      <c r="H3765" s="733"/>
      <c r="I3765" s="733"/>
      <c r="J3765" s="733"/>
      <c r="K3765" s="733"/>
      <c r="L3765" s="733"/>
      <c r="M3765" s="733"/>
    </row>
    <row r="3766" spans="1:13" x14ac:dyDescent="0.3">
      <c r="A3766" s="733" t="s">
        <v>3767</v>
      </c>
      <c r="B3766" s="733" t="s">
        <v>645</v>
      </c>
      <c r="C3766" s="733" t="s">
        <v>3769</v>
      </c>
      <c r="D3766" s="733"/>
      <c r="E3766" s="761"/>
      <c r="F3766" s="761"/>
      <c r="G3766" s="733"/>
      <c r="H3766" s="733"/>
      <c r="I3766" s="733"/>
      <c r="J3766" s="733"/>
      <c r="K3766" s="733"/>
      <c r="L3766" s="733"/>
      <c r="M3766" s="733"/>
    </row>
    <row r="3767" spans="1:13" x14ac:dyDescent="0.3">
      <c r="A3767" s="733" t="s">
        <v>3767</v>
      </c>
      <c r="B3767" s="733" t="s">
        <v>645</v>
      </c>
      <c r="C3767" s="733" t="s">
        <v>3770</v>
      </c>
      <c r="D3767" s="733"/>
      <c r="E3767" s="761"/>
      <c r="F3767" s="761"/>
      <c r="G3767" s="733"/>
      <c r="H3767" s="733"/>
      <c r="I3767" s="733"/>
      <c r="J3767" s="733"/>
      <c r="K3767" s="733"/>
      <c r="L3767" s="733"/>
      <c r="M3767" s="733"/>
    </row>
    <row r="3768" spans="1:13" x14ac:dyDescent="0.3">
      <c r="A3768" s="733" t="s">
        <v>3767</v>
      </c>
      <c r="B3768" s="733" t="s">
        <v>645</v>
      </c>
      <c r="C3768" s="733" t="s">
        <v>3771</v>
      </c>
      <c r="D3768" s="733"/>
      <c r="E3768" s="761"/>
      <c r="F3768" s="761"/>
      <c r="G3768" s="733"/>
      <c r="H3768" s="733"/>
      <c r="I3768" s="733"/>
      <c r="J3768" s="733"/>
      <c r="K3768" s="733"/>
      <c r="L3768" s="733"/>
      <c r="M3768" s="733"/>
    </row>
    <row r="3769" spans="1:13" x14ac:dyDescent="0.3">
      <c r="A3769" s="733" t="s">
        <v>3767</v>
      </c>
      <c r="B3769" s="733" t="s">
        <v>645</v>
      </c>
      <c r="C3769" s="733" t="s">
        <v>3772</v>
      </c>
      <c r="D3769" s="733"/>
      <c r="E3769" s="761"/>
      <c r="F3769" s="761"/>
      <c r="G3769" s="733"/>
      <c r="H3769" s="733"/>
      <c r="I3769" s="733"/>
      <c r="J3769" s="733"/>
      <c r="K3769" s="733"/>
      <c r="L3769" s="733"/>
      <c r="M3769" s="733"/>
    </row>
    <row r="3770" spans="1:13" x14ac:dyDescent="0.3">
      <c r="A3770" s="733" t="s">
        <v>3767</v>
      </c>
      <c r="B3770" s="733" t="s">
        <v>645</v>
      </c>
      <c r="C3770" s="733" t="s">
        <v>3773</v>
      </c>
      <c r="D3770" s="733"/>
      <c r="E3770" s="761"/>
      <c r="F3770" s="761"/>
      <c r="G3770" s="733"/>
      <c r="H3770" s="733"/>
      <c r="I3770" s="733"/>
      <c r="J3770" s="733"/>
      <c r="K3770" s="733"/>
      <c r="L3770" s="733"/>
      <c r="M3770" s="733"/>
    </row>
    <row r="3771" spans="1:13" x14ac:dyDescent="0.3">
      <c r="A3771" s="733" t="s">
        <v>3767</v>
      </c>
      <c r="B3771" s="733" t="s">
        <v>645</v>
      </c>
      <c r="C3771" s="733" t="s">
        <v>3774</v>
      </c>
      <c r="D3771" s="733"/>
      <c r="E3771" s="761"/>
      <c r="F3771" s="761"/>
      <c r="G3771" s="733"/>
      <c r="H3771" s="733"/>
      <c r="I3771" s="733"/>
      <c r="J3771" s="733"/>
      <c r="K3771" s="733"/>
      <c r="L3771" s="733"/>
      <c r="M3771" s="733"/>
    </row>
    <row r="3772" spans="1:13" x14ac:dyDescent="0.3">
      <c r="A3772" s="733" t="s">
        <v>3767</v>
      </c>
      <c r="B3772" s="733" t="s">
        <v>645</v>
      </c>
      <c r="C3772" s="733" t="s">
        <v>3775</v>
      </c>
      <c r="D3772" s="733"/>
      <c r="E3772" s="761"/>
      <c r="F3772" s="761"/>
      <c r="G3772" s="733"/>
      <c r="H3772" s="733"/>
      <c r="I3772" s="733"/>
      <c r="J3772" s="733"/>
      <c r="K3772" s="733"/>
      <c r="L3772" s="733"/>
      <c r="M3772" s="733"/>
    </row>
    <row r="3773" spans="1:13" x14ac:dyDescent="0.3">
      <c r="A3773" s="733" t="s">
        <v>3767</v>
      </c>
      <c r="B3773" s="733" t="s">
        <v>645</v>
      </c>
      <c r="C3773" s="733" t="s">
        <v>3776</v>
      </c>
      <c r="D3773" s="733"/>
      <c r="E3773" s="761"/>
      <c r="F3773" s="761"/>
      <c r="G3773" s="733"/>
      <c r="H3773" s="733"/>
      <c r="I3773" s="733"/>
      <c r="J3773" s="733"/>
      <c r="K3773" s="733"/>
      <c r="L3773" s="733"/>
      <c r="M3773" s="733"/>
    </row>
    <row r="3774" spans="1:13" x14ac:dyDescent="0.3">
      <c r="A3774" s="733" t="s">
        <v>3767</v>
      </c>
      <c r="B3774" s="733" t="s">
        <v>645</v>
      </c>
      <c r="C3774" s="733" t="s">
        <v>3777</v>
      </c>
      <c r="D3774" s="733"/>
      <c r="E3774" s="761"/>
      <c r="F3774" s="761"/>
      <c r="G3774" s="733"/>
      <c r="H3774" s="733"/>
      <c r="I3774" s="733"/>
      <c r="J3774" s="733"/>
      <c r="K3774" s="733"/>
      <c r="L3774" s="733"/>
      <c r="M3774" s="733"/>
    </row>
    <row r="3775" spans="1:13" x14ac:dyDescent="0.3">
      <c r="A3775" s="733" t="s">
        <v>3767</v>
      </c>
      <c r="B3775" s="733" t="s">
        <v>664</v>
      </c>
      <c r="C3775" s="733" t="s">
        <v>3778</v>
      </c>
      <c r="D3775" s="733"/>
      <c r="E3775" s="761"/>
      <c r="F3775" s="761"/>
      <c r="G3775" s="733"/>
      <c r="H3775" s="733"/>
      <c r="I3775" s="733"/>
      <c r="J3775" s="733"/>
      <c r="K3775" s="733"/>
      <c r="L3775" s="733"/>
      <c r="M3775" s="733"/>
    </row>
    <row r="3776" spans="1:13" x14ac:dyDescent="0.3">
      <c r="A3776" s="733" t="s">
        <v>3767</v>
      </c>
      <c r="B3776" s="733" t="s">
        <v>664</v>
      </c>
      <c r="C3776" s="733" t="s">
        <v>3779</v>
      </c>
      <c r="D3776" s="733"/>
      <c r="E3776" s="761"/>
      <c r="F3776" s="761"/>
      <c r="G3776" s="733"/>
      <c r="H3776" s="733"/>
      <c r="I3776" s="733"/>
      <c r="J3776" s="733"/>
      <c r="K3776" s="733"/>
      <c r="L3776" s="733"/>
      <c r="M3776" s="733"/>
    </row>
    <row r="3777" spans="1:13" x14ac:dyDescent="0.3">
      <c r="A3777" s="733" t="s">
        <v>3767</v>
      </c>
      <c r="B3777" s="733" t="s">
        <v>664</v>
      </c>
      <c r="C3777" s="733" t="s">
        <v>3780</v>
      </c>
      <c r="D3777" s="733"/>
      <c r="E3777" s="761"/>
      <c r="F3777" s="761"/>
      <c r="G3777" s="733"/>
      <c r="H3777" s="733"/>
      <c r="I3777" s="733"/>
      <c r="J3777" s="733"/>
      <c r="K3777" s="733"/>
      <c r="L3777" s="733"/>
      <c r="M3777" s="733"/>
    </row>
    <row r="3778" spans="1:13" x14ac:dyDescent="0.3">
      <c r="A3778" s="733" t="s">
        <v>3767</v>
      </c>
      <c r="B3778" s="733" t="s">
        <v>664</v>
      </c>
      <c r="C3778" s="733" t="s">
        <v>3781</v>
      </c>
      <c r="D3778" s="733"/>
      <c r="E3778" s="761"/>
      <c r="F3778" s="761"/>
      <c r="G3778" s="733"/>
      <c r="H3778" s="733"/>
      <c r="I3778" s="733"/>
      <c r="J3778" s="733"/>
      <c r="K3778" s="733"/>
      <c r="L3778" s="733"/>
      <c r="M3778" s="733"/>
    </row>
    <row r="3779" spans="1:13" x14ac:dyDescent="0.3">
      <c r="A3779" s="733" t="s">
        <v>3767</v>
      </c>
      <c r="B3779" s="733" t="s">
        <v>664</v>
      </c>
      <c r="C3779" s="733" t="s">
        <v>3782</v>
      </c>
      <c r="D3779" s="733"/>
      <c r="E3779" s="761"/>
      <c r="F3779" s="761"/>
      <c r="G3779" s="733"/>
      <c r="H3779" s="733"/>
      <c r="I3779" s="733"/>
      <c r="J3779" s="733"/>
      <c r="K3779" s="733"/>
      <c r="L3779" s="733"/>
      <c r="M3779" s="733"/>
    </row>
    <row r="3780" spans="1:13" x14ac:dyDescent="0.3">
      <c r="A3780" s="733" t="s">
        <v>3767</v>
      </c>
      <c r="B3780" s="733" t="s">
        <v>664</v>
      </c>
      <c r="C3780" s="733" t="s">
        <v>3783</v>
      </c>
      <c r="D3780" s="733"/>
      <c r="E3780" s="761"/>
      <c r="F3780" s="761"/>
      <c r="G3780" s="733"/>
      <c r="H3780" s="733"/>
      <c r="I3780" s="733"/>
      <c r="J3780" s="733"/>
      <c r="K3780" s="733"/>
      <c r="L3780" s="733"/>
      <c r="M3780" s="733"/>
    </row>
    <row r="3781" spans="1:13" x14ac:dyDescent="0.3">
      <c r="A3781" s="733" t="s">
        <v>3767</v>
      </c>
      <c r="B3781" s="733" t="s">
        <v>664</v>
      </c>
      <c r="C3781" s="733" t="s">
        <v>3784</v>
      </c>
      <c r="D3781" s="733"/>
      <c r="E3781" s="761"/>
      <c r="F3781" s="761"/>
      <c r="G3781" s="733"/>
      <c r="H3781" s="733"/>
      <c r="I3781" s="733"/>
      <c r="J3781" s="733"/>
      <c r="K3781" s="733"/>
      <c r="L3781" s="733"/>
      <c r="M3781" s="733"/>
    </row>
    <row r="3782" spans="1:13" x14ac:dyDescent="0.3">
      <c r="A3782" s="733" t="s">
        <v>3767</v>
      </c>
      <c r="B3782" s="733" t="s">
        <v>664</v>
      </c>
      <c r="C3782" s="733" t="s">
        <v>3785</v>
      </c>
      <c r="D3782" s="733"/>
      <c r="E3782" s="761"/>
      <c r="F3782" s="761"/>
      <c r="G3782" s="733"/>
      <c r="H3782" s="733"/>
      <c r="I3782" s="733"/>
      <c r="J3782" s="733"/>
      <c r="K3782" s="733"/>
      <c r="L3782" s="733"/>
      <c r="M3782" s="733"/>
    </row>
    <row r="3783" spans="1:13" x14ac:dyDescent="0.3">
      <c r="A3783" s="733" t="s">
        <v>3767</v>
      </c>
      <c r="B3783" s="733" t="s">
        <v>664</v>
      </c>
      <c r="C3783" s="733" t="s">
        <v>3786</v>
      </c>
      <c r="D3783" s="733"/>
      <c r="E3783" s="761"/>
      <c r="F3783" s="761"/>
      <c r="G3783" s="733"/>
      <c r="H3783" s="733"/>
      <c r="I3783" s="733"/>
      <c r="J3783" s="733"/>
      <c r="K3783" s="733"/>
      <c r="L3783" s="733"/>
      <c r="M3783" s="733"/>
    </row>
    <row r="3784" spans="1:13" x14ac:dyDescent="0.3">
      <c r="A3784" s="733" t="s">
        <v>3767</v>
      </c>
      <c r="B3784" s="733" t="s">
        <v>664</v>
      </c>
      <c r="C3784" s="733" t="s">
        <v>3787</v>
      </c>
      <c r="D3784" s="733"/>
      <c r="E3784" s="761"/>
      <c r="F3784" s="761"/>
      <c r="G3784" s="733"/>
      <c r="H3784" s="733"/>
      <c r="I3784" s="733"/>
      <c r="J3784" s="733"/>
      <c r="K3784" s="733"/>
      <c r="L3784" s="733"/>
      <c r="M3784" s="733"/>
    </row>
    <row r="3785" spans="1:13" x14ac:dyDescent="0.3">
      <c r="A3785" s="733" t="s">
        <v>3767</v>
      </c>
      <c r="B3785" s="733" t="s">
        <v>612</v>
      </c>
      <c r="C3785" s="733" t="s">
        <v>3788</v>
      </c>
      <c r="D3785" s="733"/>
      <c r="E3785" s="761"/>
      <c r="F3785" s="761"/>
      <c r="G3785" s="733"/>
      <c r="H3785" s="733"/>
      <c r="I3785" s="733"/>
      <c r="J3785" s="733"/>
      <c r="K3785" s="733"/>
      <c r="L3785" s="733"/>
      <c r="M3785" s="733"/>
    </row>
    <row r="3786" spans="1:13" x14ac:dyDescent="0.3">
      <c r="A3786" s="733" t="s">
        <v>3767</v>
      </c>
      <c r="B3786" s="733" t="s">
        <v>612</v>
      </c>
      <c r="C3786" s="733" t="s">
        <v>3789</v>
      </c>
      <c r="D3786" s="733"/>
      <c r="E3786" s="761"/>
      <c r="F3786" s="761"/>
      <c r="G3786" s="733"/>
      <c r="H3786" s="733"/>
      <c r="I3786" s="733"/>
      <c r="J3786" s="733"/>
      <c r="K3786" s="733"/>
      <c r="L3786" s="733"/>
      <c r="M3786" s="733"/>
    </row>
    <row r="3787" spans="1:13" x14ac:dyDescent="0.3">
      <c r="A3787" s="733" t="s">
        <v>3767</v>
      </c>
      <c r="B3787" s="733" t="s">
        <v>612</v>
      </c>
      <c r="C3787" s="733" t="s">
        <v>3790</v>
      </c>
      <c r="D3787" s="733"/>
      <c r="E3787" s="761"/>
      <c r="F3787" s="761"/>
      <c r="G3787" s="733"/>
      <c r="H3787" s="733"/>
      <c r="I3787" s="733"/>
      <c r="J3787" s="733"/>
      <c r="K3787" s="733"/>
      <c r="L3787" s="733"/>
      <c r="M3787" s="733"/>
    </row>
    <row r="3788" spans="1:13" x14ac:dyDescent="0.3">
      <c r="A3788" s="733" t="s">
        <v>3767</v>
      </c>
      <c r="B3788" s="733" t="s">
        <v>612</v>
      </c>
      <c r="C3788" s="733" t="s">
        <v>3791</v>
      </c>
      <c r="D3788" s="733"/>
      <c r="E3788" s="761"/>
      <c r="F3788" s="761"/>
      <c r="G3788" s="733"/>
      <c r="H3788" s="733"/>
      <c r="I3788" s="733"/>
      <c r="J3788" s="733"/>
      <c r="K3788" s="733"/>
      <c r="L3788" s="733"/>
      <c r="M3788" s="733"/>
    </row>
    <row r="3789" spans="1:13" x14ac:dyDescent="0.3">
      <c r="A3789" s="733" t="s">
        <v>3767</v>
      </c>
      <c r="B3789" s="733" t="s">
        <v>612</v>
      </c>
      <c r="C3789" s="733" t="s">
        <v>3792</v>
      </c>
      <c r="D3789" s="733"/>
      <c r="E3789" s="761"/>
      <c r="F3789" s="761"/>
      <c r="G3789" s="733"/>
      <c r="H3789" s="733"/>
      <c r="I3789" s="733"/>
      <c r="J3789" s="733"/>
      <c r="K3789" s="733"/>
      <c r="L3789" s="733"/>
      <c r="M3789" s="733"/>
    </row>
    <row r="3790" spans="1:13" x14ac:dyDescent="0.3">
      <c r="A3790" s="733" t="s">
        <v>3767</v>
      </c>
      <c r="B3790" s="733" t="s">
        <v>612</v>
      </c>
      <c r="C3790" s="733" t="s">
        <v>3793</v>
      </c>
      <c r="D3790" s="733"/>
      <c r="E3790" s="761"/>
      <c r="F3790" s="761"/>
      <c r="G3790" s="733"/>
      <c r="H3790" s="733"/>
      <c r="I3790" s="733"/>
      <c r="J3790" s="733"/>
      <c r="K3790" s="733"/>
      <c r="L3790" s="733"/>
      <c r="M3790" s="733"/>
    </row>
    <row r="3791" spans="1:13" x14ac:dyDescent="0.3">
      <c r="A3791" s="733" t="s">
        <v>3767</v>
      </c>
      <c r="B3791" s="733" t="s">
        <v>612</v>
      </c>
      <c r="C3791" s="733" t="s">
        <v>3794</v>
      </c>
      <c r="D3791" s="733"/>
      <c r="E3791" s="761"/>
      <c r="F3791" s="761"/>
      <c r="G3791" s="733"/>
      <c r="H3791" s="733"/>
      <c r="I3791" s="733"/>
      <c r="J3791" s="733"/>
      <c r="K3791" s="733"/>
      <c r="L3791" s="733"/>
      <c r="M3791" s="733"/>
    </row>
    <row r="3792" spans="1:13" x14ac:dyDescent="0.3">
      <c r="A3792" s="733" t="s">
        <v>3767</v>
      </c>
      <c r="B3792" s="733" t="s">
        <v>612</v>
      </c>
      <c r="C3792" s="733" t="s">
        <v>3795</v>
      </c>
      <c r="D3792" s="733"/>
      <c r="E3792" s="761"/>
      <c r="F3792" s="761"/>
      <c r="G3792" s="733"/>
      <c r="H3792" s="733"/>
      <c r="I3792" s="733"/>
      <c r="J3792" s="733"/>
      <c r="K3792" s="733"/>
      <c r="L3792" s="733"/>
      <c r="M3792" s="733"/>
    </row>
    <row r="3793" spans="1:13" x14ac:dyDescent="0.3">
      <c r="A3793" s="733" t="s">
        <v>3767</v>
      </c>
      <c r="B3793" s="733" t="s">
        <v>612</v>
      </c>
      <c r="C3793" s="733" t="s">
        <v>3796</v>
      </c>
      <c r="D3793" s="733"/>
      <c r="E3793" s="761"/>
      <c r="F3793" s="761"/>
      <c r="G3793" s="733"/>
      <c r="H3793" s="733"/>
      <c r="I3793" s="733"/>
      <c r="J3793" s="733"/>
      <c r="K3793" s="733"/>
      <c r="L3793" s="733"/>
      <c r="M3793" s="733"/>
    </row>
    <row r="3794" spans="1:13" x14ac:dyDescent="0.3">
      <c r="A3794" s="733" t="s">
        <v>3767</v>
      </c>
      <c r="B3794" s="733" t="s">
        <v>612</v>
      </c>
      <c r="C3794" s="733" t="s">
        <v>3797</v>
      </c>
      <c r="D3794" s="733"/>
      <c r="E3794" s="761"/>
      <c r="F3794" s="761"/>
      <c r="G3794" s="733"/>
      <c r="H3794" s="733"/>
      <c r="I3794" s="733"/>
      <c r="J3794" s="733"/>
      <c r="K3794" s="733"/>
      <c r="L3794" s="733"/>
      <c r="M3794" s="733"/>
    </row>
    <row r="3795" spans="1:13" x14ac:dyDescent="0.3">
      <c r="A3795" s="733" t="s">
        <v>3798</v>
      </c>
      <c r="B3795" s="733" t="s">
        <v>645</v>
      </c>
      <c r="C3795" s="733" t="s">
        <v>3799</v>
      </c>
      <c r="D3795" s="733"/>
      <c r="E3795" s="761"/>
      <c r="F3795" s="761"/>
      <c r="G3795" s="733"/>
      <c r="H3795" s="733"/>
      <c r="I3795" s="733"/>
      <c r="J3795" s="733"/>
      <c r="K3795" s="733"/>
      <c r="L3795" s="733"/>
      <c r="M3795" s="733"/>
    </row>
    <row r="3796" spans="1:13" x14ac:dyDescent="0.3">
      <c r="A3796" s="733" t="s">
        <v>3798</v>
      </c>
      <c r="B3796" s="733" t="s">
        <v>645</v>
      </c>
      <c r="C3796" s="733" t="s">
        <v>3800</v>
      </c>
      <c r="D3796" s="733"/>
      <c r="E3796" s="761"/>
      <c r="F3796" s="761"/>
      <c r="G3796" s="733"/>
      <c r="H3796" s="733"/>
      <c r="I3796" s="733"/>
      <c r="J3796" s="733"/>
      <c r="K3796" s="733"/>
      <c r="L3796" s="733"/>
      <c r="M3796" s="733"/>
    </row>
    <row r="3797" spans="1:13" x14ac:dyDescent="0.3">
      <c r="A3797" s="733" t="s">
        <v>3798</v>
      </c>
      <c r="B3797" s="733" t="s">
        <v>645</v>
      </c>
      <c r="C3797" s="733" t="s">
        <v>3801</v>
      </c>
      <c r="D3797" s="733"/>
      <c r="E3797" s="761"/>
      <c r="F3797" s="761"/>
      <c r="G3797" s="733"/>
      <c r="H3797" s="733"/>
      <c r="I3797" s="733"/>
      <c r="J3797" s="733"/>
      <c r="K3797" s="733"/>
      <c r="L3797" s="733"/>
      <c r="M3797" s="733"/>
    </row>
    <row r="3798" spans="1:13" x14ac:dyDescent="0.3">
      <c r="A3798" s="733" t="s">
        <v>3798</v>
      </c>
      <c r="B3798" s="733" t="s">
        <v>645</v>
      </c>
      <c r="C3798" s="733" t="s">
        <v>3802</v>
      </c>
      <c r="D3798" s="733"/>
      <c r="E3798" s="761"/>
      <c r="F3798" s="761"/>
      <c r="G3798" s="733"/>
      <c r="H3798" s="733"/>
      <c r="I3798" s="733"/>
      <c r="J3798" s="733"/>
      <c r="K3798" s="733"/>
      <c r="L3798" s="733"/>
      <c r="M3798" s="733"/>
    </row>
    <row r="3799" spans="1:13" x14ac:dyDescent="0.3">
      <c r="A3799" s="733" t="s">
        <v>3798</v>
      </c>
      <c r="B3799" s="733" t="s">
        <v>645</v>
      </c>
      <c r="C3799" s="733" t="s">
        <v>3803</v>
      </c>
      <c r="D3799" s="733"/>
      <c r="E3799" s="761"/>
      <c r="F3799" s="761"/>
      <c r="G3799" s="733"/>
      <c r="H3799" s="733"/>
      <c r="I3799" s="733"/>
      <c r="J3799" s="733"/>
      <c r="K3799" s="733"/>
      <c r="L3799" s="733"/>
      <c r="M3799" s="733"/>
    </row>
    <row r="3800" spans="1:13" x14ac:dyDescent="0.3">
      <c r="A3800" s="733" t="s">
        <v>3798</v>
      </c>
      <c r="B3800" s="733" t="s">
        <v>645</v>
      </c>
      <c r="C3800" s="733" t="s">
        <v>3804</v>
      </c>
      <c r="D3800" s="733"/>
      <c r="E3800" s="761"/>
      <c r="F3800" s="761"/>
      <c r="G3800" s="733"/>
      <c r="H3800" s="733"/>
      <c r="I3800" s="733"/>
      <c r="J3800" s="733"/>
      <c r="K3800" s="733"/>
      <c r="L3800" s="733"/>
      <c r="M3800" s="733"/>
    </row>
    <row r="3801" spans="1:13" x14ac:dyDescent="0.3">
      <c r="A3801" s="733" t="s">
        <v>3798</v>
      </c>
      <c r="B3801" s="733" t="s">
        <v>645</v>
      </c>
      <c r="C3801" s="733" t="s">
        <v>3805</v>
      </c>
      <c r="D3801" s="733"/>
      <c r="E3801" s="761"/>
      <c r="F3801" s="761"/>
      <c r="G3801" s="733"/>
      <c r="H3801" s="733"/>
      <c r="I3801" s="733"/>
      <c r="J3801" s="733"/>
      <c r="K3801" s="733"/>
      <c r="L3801" s="733"/>
      <c r="M3801" s="733"/>
    </row>
    <row r="3802" spans="1:13" x14ac:dyDescent="0.3">
      <c r="A3802" s="733" t="s">
        <v>3798</v>
      </c>
      <c r="B3802" s="733" t="s">
        <v>645</v>
      </c>
      <c r="C3802" s="733" t="s">
        <v>3806</v>
      </c>
      <c r="D3802" s="733"/>
      <c r="E3802" s="761"/>
      <c r="F3802" s="761"/>
      <c r="G3802" s="733"/>
      <c r="H3802" s="733"/>
      <c r="I3802" s="733"/>
      <c r="J3802" s="733"/>
      <c r="K3802" s="733"/>
      <c r="L3802" s="733"/>
      <c r="M3802" s="733"/>
    </row>
    <row r="3803" spans="1:13" x14ac:dyDescent="0.3">
      <c r="A3803" s="733" t="s">
        <v>3798</v>
      </c>
      <c r="B3803" s="733" t="s">
        <v>645</v>
      </c>
      <c r="C3803" s="733" t="s">
        <v>3807</v>
      </c>
      <c r="D3803" s="733"/>
      <c r="E3803" s="761"/>
      <c r="F3803" s="761"/>
      <c r="G3803" s="733"/>
      <c r="H3803" s="733"/>
      <c r="I3803" s="733"/>
      <c r="J3803" s="733"/>
      <c r="K3803" s="733"/>
      <c r="L3803" s="733"/>
      <c r="M3803" s="733"/>
    </row>
    <row r="3804" spans="1:13" x14ac:dyDescent="0.3">
      <c r="A3804" s="733" t="s">
        <v>3798</v>
      </c>
      <c r="B3804" s="733" t="s">
        <v>645</v>
      </c>
      <c r="C3804" s="733" t="s">
        <v>3808</v>
      </c>
      <c r="D3804" s="733"/>
      <c r="E3804" s="761"/>
      <c r="F3804" s="761"/>
      <c r="G3804" s="733"/>
      <c r="H3804" s="733"/>
      <c r="I3804" s="733"/>
      <c r="J3804" s="733"/>
      <c r="K3804" s="733"/>
      <c r="L3804" s="733"/>
      <c r="M3804" s="733"/>
    </row>
    <row r="3805" spans="1:13" x14ac:dyDescent="0.3">
      <c r="A3805" s="733" t="s">
        <v>3798</v>
      </c>
      <c r="B3805" s="733" t="s">
        <v>664</v>
      </c>
      <c r="C3805" s="733" t="s">
        <v>3809</v>
      </c>
      <c r="D3805" s="733"/>
      <c r="E3805" s="761"/>
      <c r="F3805" s="761"/>
      <c r="G3805" s="733"/>
      <c r="H3805" s="733"/>
      <c r="I3805" s="733"/>
      <c r="J3805" s="733"/>
      <c r="K3805" s="733"/>
      <c r="L3805" s="733"/>
      <c r="M3805" s="733"/>
    </row>
    <row r="3806" spans="1:13" x14ac:dyDescent="0.3">
      <c r="A3806" s="733" t="s">
        <v>3798</v>
      </c>
      <c r="B3806" s="733" t="s">
        <v>664</v>
      </c>
      <c r="C3806" s="733" t="s">
        <v>3810</v>
      </c>
      <c r="D3806" s="733"/>
      <c r="E3806" s="761"/>
      <c r="F3806" s="761"/>
      <c r="G3806" s="733"/>
      <c r="H3806" s="733"/>
      <c r="I3806" s="733"/>
      <c r="J3806" s="733"/>
      <c r="K3806" s="733"/>
      <c r="L3806" s="733"/>
      <c r="M3806" s="733"/>
    </row>
    <row r="3807" spans="1:13" x14ac:dyDescent="0.3">
      <c r="A3807" s="733" t="s">
        <v>3798</v>
      </c>
      <c r="B3807" s="733" t="s">
        <v>664</v>
      </c>
      <c r="C3807" s="733" t="s">
        <v>3811</v>
      </c>
      <c r="D3807" s="733"/>
      <c r="E3807" s="761"/>
      <c r="F3807" s="761"/>
      <c r="G3807" s="733"/>
      <c r="H3807" s="733"/>
      <c r="I3807" s="733"/>
      <c r="J3807" s="733"/>
      <c r="K3807" s="733"/>
      <c r="L3807" s="733"/>
      <c r="M3807" s="733"/>
    </row>
    <row r="3808" spans="1:13" x14ac:dyDescent="0.3">
      <c r="A3808" s="733" t="s">
        <v>3798</v>
      </c>
      <c r="B3808" s="733" t="s">
        <v>664</v>
      </c>
      <c r="C3808" s="733" t="s">
        <v>3812</v>
      </c>
      <c r="D3808" s="733"/>
      <c r="E3808" s="761"/>
      <c r="F3808" s="761"/>
      <c r="G3808" s="733"/>
      <c r="H3808" s="733"/>
      <c r="I3808" s="733"/>
      <c r="J3808" s="733"/>
      <c r="K3808" s="733"/>
      <c r="L3808" s="733"/>
      <c r="M3808" s="733"/>
    </row>
    <row r="3809" spans="1:13" x14ac:dyDescent="0.3">
      <c r="A3809" s="733" t="s">
        <v>3798</v>
      </c>
      <c r="B3809" s="733" t="s">
        <v>664</v>
      </c>
      <c r="C3809" s="733" t="s">
        <v>3813</v>
      </c>
      <c r="D3809" s="733"/>
      <c r="E3809" s="761"/>
      <c r="F3809" s="761"/>
      <c r="G3809" s="733"/>
      <c r="H3809" s="733"/>
      <c r="I3809" s="733"/>
      <c r="J3809" s="733"/>
      <c r="K3809" s="733"/>
      <c r="L3809" s="733"/>
      <c r="M3809" s="733"/>
    </row>
    <row r="3810" spans="1:13" x14ac:dyDescent="0.3">
      <c r="A3810" s="733" t="s">
        <v>3798</v>
      </c>
      <c r="B3810" s="733" t="s">
        <v>664</v>
      </c>
      <c r="C3810" s="733" t="s">
        <v>3814</v>
      </c>
      <c r="D3810" s="733"/>
      <c r="E3810" s="761"/>
      <c r="F3810" s="761"/>
      <c r="G3810" s="733"/>
      <c r="H3810" s="733"/>
      <c r="I3810" s="733"/>
      <c r="J3810" s="733"/>
      <c r="K3810" s="733"/>
      <c r="L3810" s="733"/>
      <c r="M3810" s="733"/>
    </row>
    <row r="3811" spans="1:13" x14ac:dyDescent="0.3">
      <c r="A3811" s="733" t="s">
        <v>3798</v>
      </c>
      <c r="B3811" s="733" t="s">
        <v>664</v>
      </c>
      <c r="C3811" s="733" t="s">
        <v>3815</v>
      </c>
      <c r="D3811" s="733"/>
      <c r="E3811" s="761"/>
      <c r="F3811" s="761"/>
      <c r="G3811" s="733"/>
      <c r="H3811" s="733"/>
      <c r="I3811" s="733"/>
      <c r="J3811" s="733"/>
      <c r="K3811" s="733"/>
      <c r="L3811" s="733"/>
      <c r="M3811" s="733"/>
    </row>
    <row r="3812" spans="1:13" x14ac:dyDescent="0.3">
      <c r="A3812" s="733" t="s">
        <v>3798</v>
      </c>
      <c r="B3812" s="733" t="s">
        <v>664</v>
      </c>
      <c r="C3812" s="733" t="s">
        <v>3816</v>
      </c>
      <c r="D3812" s="733"/>
      <c r="E3812" s="761"/>
      <c r="F3812" s="761"/>
      <c r="G3812" s="733"/>
      <c r="H3812" s="733"/>
      <c r="I3812" s="733"/>
      <c r="J3812" s="733"/>
      <c r="K3812" s="733"/>
      <c r="L3812" s="733"/>
      <c r="M3812" s="733"/>
    </row>
    <row r="3813" spans="1:13" x14ac:dyDescent="0.3">
      <c r="A3813" s="733" t="s">
        <v>3798</v>
      </c>
      <c r="B3813" s="733" t="s">
        <v>664</v>
      </c>
      <c r="C3813" s="733" t="s">
        <v>3817</v>
      </c>
      <c r="D3813" s="733"/>
      <c r="E3813" s="761"/>
      <c r="F3813" s="761"/>
      <c r="G3813" s="733"/>
      <c r="H3813" s="733"/>
      <c r="I3813" s="733"/>
      <c r="J3813" s="733"/>
      <c r="K3813" s="733"/>
      <c r="L3813" s="733"/>
      <c r="M3813" s="733"/>
    </row>
    <row r="3814" spans="1:13" x14ac:dyDescent="0.3">
      <c r="A3814" s="733" t="s">
        <v>3798</v>
      </c>
      <c r="B3814" s="733" t="s">
        <v>664</v>
      </c>
      <c r="C3814" s="733" t="s">
        <v>3818</v>
      </c>
      <c r="D3814" s="733"/>
      <c r="E3814" s="761"/>
      <c r="F3814" s="761"/>
      <c r="G3814" s="733"/>
      <c r="H3814" s="733"/>
      <c r="I3814" s="733"/>
      <c r="J3814" s="733"/>
      <c r="K3814" s="733"/>
      <c r="L3814" s="733"/>
      <c r="M3814" s="733"/>
    </row>
    <row r="3815" spans="1:13" x14ac:dyDescent="0.3">
      <c r="A3815" s="733" t="s">
        <v>3798</v>
      </c>
      <c r="B3815" s="733" t="s">
        <v>612</v>
      </c>
      <c r="C3815" s="733" t="s">
        <v>3819</v>
      </c>
      <c r="D3815" s="733"/>
      <c r="E3815" s="761"/>
      <c r="F3815" s="761"/>
      <c r="G3815" s="733"/>
      <c r="H3815" s="733"/>
      <c r="I3815" s="733"/>
      <c r="J3815" s="733"/>
      <c r="K3815" s="733"/>
      <c r="L3815" s="733"/>
      <c r="M3815" s="733"/>
    </row>
    <row r="3816" spans="1:13" x14ac:dyDescent="0.3">
      <c r="A3816" s="733" t="s">
        <v>3798</v>
      </c>
      <c r="B3816" s="733" t="s">
        <v>612</v>
      </c>
      <c r="C3816" s="733" t="s">
        <v>3820</v>
      </c>
      <c r="D3816" s="733"/>
      <c r="E3816" s="761"/>
      <c r="F3816" s="761"/>
      <c r="G3816" s="733"/>
      <c r="H3816" s="733"/>
      <c r="I3816" s="733"/>
      <c r="J3816" s="733"/>
      <c r="K3816" s="733"/>
      <c r="L3816" s="733"/>
      <c r="M3816" s="733"/>
    </row>
    <row r="3817" spans="1:13" x14ac:dyDescent="0.3">
      <c r="A3817" s="733" t="s">
        <v>3798</v>
      </c>
      <c r="B3817" s="733" t="s">
        <v>612</v>
      </c>
      <c r="C3817" s="733" t="s">
        <v>3821</v>
      </c>
      <c r="D3817" s="733"/>
      <c r="E3817" s="761"/>
      <c r="F3817" s="761"/>
      <c r="G3817" s="733"/>
      <c r="H3817" s="733"/>
      <c r="I3817" s="733"/>
      <c r="J3817" s="733"/>
      <c r="K3817" s="733"/>
      <c r="L3817" s="733"/>
      <c r="M3817" s="733"/>
    </row>
    <row r="3818" spans="1:13" x14ac:dyDescent="0.3">
      <c r="A3818" s="733" t="s">
        <v>3798</v>
      </c>
      <c r="B3818" s="733" t="s">
        <v>612</v>
      </c>
      <c r="C3818" s="733" t="s">
        <v>3822</v>
      </c>
      <c r="D3818" s="733"/>
      <c r="E3818" s="761"/>
      <c r="F3818" s="761"/>
      <c r="G3818" s="733"/>
      <c r="H3818" s="733"/>
      <c r="I3818" s="733"/>
      <c r="J3818" s="733"/>
      <c r="K3818" s="733"/>
      <c r="L3818" s="733"/>
      <c r="M3818" s="733"/>
    </row>
    <row r="3819" spans="1:13" x14ac:dyDescent="0.3">
      <c r="A3819" s="733" t="s">
        <v>3798</v>
      </c>
      <c r="B3819" s="733" t="s">
        <v>612</v>
      </c>
      <c r="C3819" s="733" t="s">
        <v>3823</v>
      </c>
      <c r="D3819" s="733"/>
      <c r="E3819" s="761"/>
      <c r="F3819" s="761"/>
      <c r="G3819" s="733"/>
      <c r="H3819" s="733"/>
      <c r="I3819" s="733"/>
      <c r="J3819" s="733"/>
      <c r="K3819" s="733"/>
      <c r="L3819" s="733"/>
      <c r="M3819" s="733"/>
    </row>
    <row r="3820" spans="1:13" x14ac:dyDescent="0.3">
      <c r="A3820" s="733" t="s">
        <v>3798</v>
      </c>
      <c r="B3820" s="733" t="s">
        <v>612</v>
      </c>
      <c r="C3820" s="733" t="s">
        <v>3824</v>
      </c>
      <c r="D3820" s="733"/>
      <c r="E3820" s="761"/>
      <c r="F3820" s="761"/>
      <c r="G3820" s="733"/>
      <c r="H3820" s="733"/>
      <c r="I3820" s="733"/>
      <c r="J3820" s="733"/>
      <c r="K3820" s="733"/>
      <c r="L3820" s="733"/>
      <c r="M3820" s="733"/>
    </row>
    <row r="3821" spans="1:13" x14ac:dyDescent="0.3">
      <c r="A3821" s="733" t="s">
        <v>3798</v>
      </c>
      <c r="B3821" s="733" t="s">
        <v>612</v>
      </c>
      <c r="C3821" s="733" t="s">
        <v>3825</v>
      </c>
      <c r="D3821" s="733"/>
      <c r="E3821" s="761"/>
      <c r="F3821" s="761"/>
      <c r="G3821" s="733"/>
      <c r="H3821" s="733"/>
      <c r="I3821" s="733"/>
      <c r="J3821" s="733"/>
      <c r="K3821" s="733"/>
      <c r="L3821" s="733"/>
      <c r="M3821" s="733"/>
    </row>
    <row r="3822" spans="1:13" x14ac:dyDescent="0.3">
      <c r="A3822" s="733" t="s">
        <v>3798</v>
      </c>
      <c r="B3822" s="733" t="s">
        <v>612</v>
      </c>
      <c r="C3822" s="733" t="s">
        <v>3826</v>
      </c>
      <c r="D3822" s="733"/>
      <c r="E3822" s="761"/>
      <c r="F3822" s="761"/>
      <c r="G3822" s="733"/>
      <c r="H3822" s="733"/>
      <c r="I3822" s="733"/>
      <c r="J3822" s="733"/>
      <c r="K3822" s="733"/>
      <c r="L3822" s="733"/>
      <c r="M3822" s="733"/>
    </row>
    <row r="3823" spans="1:13" x14ac:dyDescent="0.3">
      <c r="A3823" s="733" t="s">
        <v>3798</v>
      </c>
      <c r="B3823" s="733" t="s">
        <v>612</v>
      </c>
      <c r="C3823" s="733" t="s">
        <v>3827</v>
      </c>
      <c r="D3823" s="733"/>
      <c r="E3823" s="761"/>
      <c r="F3823" s="761"/>
      <c r="G3823" s="733"/>
      <c r="H3823" s="733"/>
      <c r="I3823" s="733"/>
      <c r="J3823" s="733"/>
      <c r="K3823" s="733"/>
      <c r="L3823" s="733"/>
      <c r="M3823" s="733"/>
    </row>
    <row r="3824" spans="1:13" x14ac:dyDescent="0.3">
      <c r="A3824" s="733" t="s">
        <v>3798</v>
      </c>
      <c r="B3824" s="733" t="s">
        <v>612</v>
      </c>
      <c r="C3824" s="733" t="s">
        <v>3828</v>
      </c>
      <c r="D3824" s="733"/>
      <c r="E3824" s="761"/>
      <c r="F3824" s="761"/>
      <c r="G3824" s="733"/>
      <c r="H3824" s="733"/>
      <c r="I3824" s="733"/>
      <c r="J3824" s="733"/>
      <c r="K3824" s="733"/>
      <c r="L3824" s="733"/>
      <c r="M3824" s="733"/>
    </row>
    <row r="3825" spans="1:13" x14ac:dyDescent="0.3">
      <c r="A3825" s="733" t="s">
        <v>3829</v>
      </c>
      <c r="B3825" s="733" t="s">
        <v>645</v>
      </c>
      <c r="C3825" s="733" t="s">
        <v>3830</v>
      </c>
      <c r="D3825" s="733"/>
      <c r="E3825" s="761"/>
      <c r="F3825" s="761"/>
      <c r="G3825" s="733"/>
      <c r="H3825" s="733"/>
      <c r="I3825" s="733"/>
      <c r="J3825" s="733"/>
      <c r="K3825" s="733"/>
      <c r="L3825" s="733"/>
      <c r="M3825" s="733"/>
    </row>
    <row r="3826" spans="1:13" x14ac:dyDescent="0.3">
      <c r="A3826" s="733" t="s">
        <v>3829</v>
      </c>
      <c r="B3826" s="733" t="s">
        <v>645</v>
      </c>
      <c r="C3826" s="733" t="s">
        <v>3831</v>
      </c>
      <c r="D3826" s="733"/>
      <c r="E3826" s="761"/>
      <c r="F3826" s="761"/>
      <c r="G3826" s="733"/>
      <c r="H3826" s="733"/>
      <c r="I3826" s="733"/>
      <c r="J3826" s="733"/>
      <c r="K3826" s="733"/>
      <c r="L3826" s="733"/>
      <c r="M3826" s="733"/>
    </row>
    <row r="3827" spans="1:13" x14ac:dyDescent="0.3">
      <c r="A3827" s="733" t="s">
        <v>3829</v>
      </c>
      <c r="B3827" s="733" t="s">
        <v>645</v>
      </c>
      <c r="C3827" s="733" t="s">
        <v>3832</v>
      </c>
      <c r="D3827" s="733"/>
      <c r="E3827" s="761"/>
      <c r="F3827" s="761"/>
      <c r="G3827" s="733"/>
      <c r="H3827" s="733"/>
      <c r="I3827" s="733"/>
      <c r="J3827" s="733"/>
      <c r="K3827" s="733"/>
      <c r="L3827" s="733"/>
      <c r="M3827" s="733"/>
    </row>
    <row r="3828" spans="1:13" x14ac:dyDescent="0.3">
      <c r="A3828" s="733" t="s">
        <v>3829</v>
      </c>
      <c r="B3828" s="733" t="s">
        <v>645</v>
      </c>
      <c r="C3828" s="733" t="s">
        <v>3833</v>
      </c>
      <c r="D3828" s="733"/>
      <c r="E3828" s="761"/>
      <c r="F3828" s="761"/>
      <c r="G3828" s="733"/>
      <c r="H3828" s="733"/>
      <c r="I3828" s="733"/>
      <c r="J3828" s="733"/>
      <c r="K3828" s="733"/>
      <c r="L3828" s="733"/>
      <c r="M3828" s="733"/>
    </row>
    <row r="3829" spans="1:13" x14ac:dyDescent="0.3">
      <c r="A3829" s="733" t="s">
        <v>3829</v>
      </c>
      <c r="B3829" s="733" t="s">
        <v>645</v>
      </c>
      <c r="C3829" s="733" t="s">
        <v>3834</v>
      </c>
      <c r="D3829" s="733"/>
      <c r="E3829" s="761"/>
      <c r="F3829" s="761"/>
      <c r="G3829" s="733"/>
      <c r="H3829" s="733"/>
      <c r="I3829" s="733"/>
      <c r="J3829" s="733"/>
      <c r="K3829" s="733"/>
      <c r="L3829" s="733"/>
      <c r="M3829" s="733"/>
    </row>
    <row r="3830" spans="1:13" x14ac:dyDescent="0.3">
      <c r="A3830" s="733" t="s">
        <v>3829</v>
      </c>
      <c r="B3830" s="733" t="s">
        <v>645</v>
      </c>
      <c r="C3830" s="733" t="s">
        <v>3835</v>
      </c>
      <c r="D3830" s="733"/>
      <c r="E3830" s="761"/>
      <c r="F3830" s="761"/>
      <c r="G3830" s="733"/>
      <c r="H3830" s="733"/>
      <c r="I3830" s="733"/>
      <c r="J3830" s="733"/>
      <c r="K3830" s="733"/>
      <c r="L3830" s="733"/>
      <c r="M3830" s="733"/>
    </row>
    <row r="3831" spans="1:13" x14ac:dyDescent="0.3">
      <c r="A3831" s="733" t="s">
        <v>3829</v>
      </c>
      <c r="B3831" s="733" t="s">
        <v>645</v>
      </c>
      <c r="C3831" s="733" t="s">
        <v>3836</v>
      </c>
      <c r="D3831" s="733"/>
      <c r="E3831" s="761"/>
      <c r="F3831" s="761"/>
      <c r="G3831" s="733"/>
      <c r="H3831" s="733"/>
      <c r="I3831" s="733"/>
      <c r="J3831" s="733"/>
      <c r="K3831" s="733"/>
      <c r="L3831" s="733"/>
      <c r="M3831" s="733"/>
    </row>
    <row r="3832" spans="1:13" x14ac:dyDescent="0.3">
      <c r="A3832" s="733" t="s">
        <v>3829</v>
      </c>
      <c r="B3832" s="733" t="s">
        <v>645</v>
      </c>
      <c r="C3832" s="733" t="s">
        <v>3837</v>
      </c>
      <c r="D3832" s="733"/>
      <c r="E3832" s="761"/>
      <c r="F3832" s="761"/>
      <c r="G3832" s="733"/>
      <c r="H3832" s="733"/>
      <c r="I3832" s="733"/>
      <c r="J3832" s="733"/>
      <c r="K3832" s="733"/>
      <c r="L3832" s="733"/>
      <c r="M3832" s="733"/>
    </row>
    <row r="3833" spans="1:13" x14ac:dyDescent="0.3">
      <c r="A3833" s="733" t="s">
        <v>3829</v>
      </c>
      <c r="B3833" s="733" t="s">
        <v>645</v>
      </c>
      <c r="C3833" s="733" t="s">
        <v>3838</v>
      </c>
      <c r="D3833" s="733"/>
      <c r="E3833" s="761"/>
      <c r="F3833" s="761"/>
      <c r="G3833" s="733"/>
      <c r="H3833" s="733"/>
      <c r="I3833" s="733"/>
      <c r="J3833" s="733"/>
      <c r="K3833" s="733"/>
      <c r="L3833" s="733"/>
      <c r="M3833" s="733"/>
    </row>
    <row r="3834" spans="1:13" x14ac:dyDescent="0.3">
      <c r="A3834" s="733" t="s">
        <v>3829</v>
      </c>
      <c r="B3834" s="733" t="s">
        <v>645</v>
      </c>
      <c r="C3834" s="733" t="s">
        <v>3839</v>
      </c>
      <c r="D3834" s="733"/>
      <c r="E3834" s="761"/>
      <c r="F3834" s="761"/>
      <c r="G3834" s="733"/>
      <c r="H3834" s="733"/>
      <c r="I3834" s="733"/>
      <c r="J3834" s="733"/>
      <c r="K3834" s="733"/>
      <c r="L3834" s="733"/>
      <c r="M3834" s="733"/>
    </row>
    <row r="3835" spans="1:13" x14ac:dyDescent="0.3">
      <c r="A3835" s="733" t="s">
        <v>3829</v>
      </c>
      <c r="B3835" s="733" t="s">
        <v>664</v>
      </c>
      <c r="C3835" s="733" t="s">
        <v>3840</v>
      </c>
      <c r="D3835" s="733"/>
      <c r="E3835" s="761"/>
      <c r="F3835" s="761"/>
      <c r="G3835" s="733"/>
      <c r="H3835" s="733"/>
      <c r="I3835" s="733"/>
      <c r="J3835" s="733"/>
      <c r="K3835" s="733"/>
      <c r="L3835" s="733"/>
      <c r="M3835" s="733"/>
    </row>
    <row r="3836" spans="1:13" x14ac:dyDescent="0.3">
      <c r="A3836" s="733" t="s">
        <v>3829</v>
      </c>
      <c r="B3836" s="733" t="s">
        <v>664</v>
      </c>
      <c r="C3836" s="733" t="s">
        <v>3841</v>
      </c>
      <c r="D3836" s="733"/>
      <c r="E3836" s="761"/>
      <c r="F3836" s="761"/>
      <c r="G3836" s="733"/>
      <c r="H3836" s="733"/>
      <c r="I3836" s="733"/>
      <c r="J3836" s="733"/>
      <c r="K3836" s="733"/>
      <c r="L3836" s="733"/>
      <c r="M3836" s="733"/>
    </row>
    <row r="3837" spans="1:13" x14ac:dyDescent="0.3">
      <c r="A3837" s="733" t="s">
        <v>3829</v>
      </c>
      <c r="B3837" s="733" t="s">
        <v>664</v>
      </c>
      <c r="C3837" s="733" t="s">
        <v>3842</v>
      </c>
      <c r="D3837" s="733"/>
      <c r="E3837" s="761"/>
      <c r="F3837" s="761"/>
      <c r="G3837" s="733"/>
      <c r="H3837" s="733"/>
      <c r="I3837" s="733"/>
      <c r="J3837" s="733"/>
      <c r="K3837" s="733"/>
      <c r="L3837" s="733"/>
      <c r="M3837" s="733"/>
    </row>
    <row r="3838" spans="1:13" x14ac:dyDescent="0.3">
      <c r="A3838" s="733" t="s">
        <v>3829</v>
      </c>
      <c r="B3838" s="733" t="s">
        <v>664</v>
      </c>
      <c r="C3838" s="733" t="s">
        <v>3843</v>
      </c>
      <c r="D3838" s="733"/>
      <c r="E3838" s="761"/>
      <c r="F3838" s="761"/>
      <c r="G3838" s="733"/>
      <c r="H3838" s="733"/>
      <c r="I3838" s="733"/>
      <c r="J3838" s="733"/>
      <c r="K3838" s="733"/>
      <c r="L3838" s="733"/>
      <c r="M3838" s="733"/>
    </row>
    <row r="3839" spans="1:13" x14ac:dyDescent="0.3">
      <c r="A3839" s="733" t="s">
        <v>3829</v>
      </c>
      <c r="B3839" s="733" t="s">
        <v>664</v>
      </c>
      <c r="C3839" s="733" t="s">
        <v>3844</v>
      </c>
      <c r="D3839" s="733"/>
      <c r="E3839" s="761"/>
      <c r="F3839" s="761"/>
      <c r="G3839" s="733"/>
      <c r="H3839" s="733"/>
      <c r="I3839" s="733"/>
      <c r="J3839" s="733"/>
      <c r="K3839" s="733"/>
      <c r="L3839" s="733"/>
      <c r="M3839" s="733"/>
    </row>
    <row r="3840" spans="1:13" x14ac:dyDescent="0.3">
      <c r="A3840" s="733" t="s">
        <v>3829</v>
      </c>
      <c r="B3840" s="733" t="s">
        <v>664</v>
      </c>
      <c r="C3840" s="733" t="s">
        <v>3845</v>
      </c>
      <c r="D3840" s="733"/>
      <c r="E3840" s="761"/>
      <c r="F3840" s="761"/>
      <c r="G3840" s="733"/>
      <c r="H3840" s="733"/>
      <c r="I3840" s="733"/>
      <c r="J3840" s="733"/>
      <c r="K3840" s="733"/>
      <c r="L3840" s="733"/>
      <c r="M3840" s="733"/>
    </row>
    <row r="3841" spans="1:13" x14ac:dyDescent="0.3">
      <c r="A3841" s="733" t="s">
        <v>3829</v>
      </c>
      <c r="B3841" s="733" t="s">
        <v>664</v>
      </c>
      <c r="C3841" s="733" t="s">
        <v>3846</v>
      </c>
      <c r="D3841" s="733"/>
      <c r="E3841" s="761"/>
      <c r="F3841" s="761"/>
      <c r="G3841" s="733"/>
      <c r="H3841" s="733"/>
      <c r="I3841" s="733"/>
      <c r="J3841" s="733"/>
      <c r="K3841" s="733"/>
      <c r="L3841" s="733"/>
      <c r="M3841" s="733"/>
    </row>
    <row r="3842" spans="1:13" x14ac:dyDescent="0.3">
      <c r="A3842" s="733" t="s">
        <v>3829</v>
      </c>
      <c r="B3842" s="733" t="s">
        <v>664</v>
      </c>
      <c r="C3842" s="733" t="s">
        <v>3847</v>
      </c>
      <c r="D3842" s="733"/>
      <c r="E3842" s="761"/>
      <c r="F3842" s="761"/>
      <c r="G3842" s="733"/>
      <c r="H3842" s="733"/>
      <c r="I3842" s="733"/>
      <c r="J3842" s="733"/>
      <c r="K3842" s="733"/>
      <c r="L3842" s="733"/>
      <c r="M3842" s="733"/>
    </row>
    <row r="3843" spans="1:13" x14ac:dyDescent="0.3">
      <c r="A3843" s="733" t="s">
        <v>3829</v>
      </c>
      <c r="B3843" s="733" t="s">
        <v>664</v>
      </c>
      <c r="C3843" s="733" t="s">
        <v>3848</v>
      </c>
      <c r="D3843" s="733"/>
      <c r="E3843" s="761"/>
      <c r="F3843" s="761"/>
      <c r="G3843" s="733"/>
      <c r="H3843" s="733"/>
      <c r="I3843" s="733"/>
      <c r="J3843" s="733"/>
      <c r="K3843" s="733"/>
      <c r="L3843" s="733"/>
      <c r="M3843" s="733"/>
    </row>
    <row r="3844" spans="1:13" x14ac:dyDescent="0.3">
      <c r="A3844" s="733" t="s">
        <v>3829</v>
      </c>
      <c r="B3844" s="733" t="s">
        <v>664</v>
      </c>
      <c r="C3844" s="733" t="s">
        <v>3849</v>
      </c>
      <c r="D3844" s="733"/>
      <c r="E3844" s="761"/>
      <c r="F3844" s="761"/>
      <c r="G3844" s="733"/>
      <c r="H3844" s="733"/>
      <c r="I3844" s="733"/>
      <c r="J3844" s="733"/>
      <c r="K3844" s="733"/>
      <c r="L3844" s="733"/>
      <c r="M3844" s="733"/>
    </row>
    <row r="3845" spans="1:13" x14ac:dyDescent="0.3">
      <c r="A3845" s="733" t="s">
        <v>3829</v>
      </c>
      <c r="B3845" s="733" t="s">
        <v>612</v>
      </c>
      <c r="C3845" s="733" t="s">
        <v>3850</v>
      </c>
      <c r="D3845" s="733"/>
      <c r="E3845" s="761"/>
      <c r="F3845" s="761"/>
      <c r="G3845" s="733"/>
      <c r="H3845" s="733"/>
      <c r="I3845" s="733"/>
      <c r="J3845" s="733"/>
      <c r="K3845" s="733"/>
      <c r="L3845" s="733"/>
      <c r="M3845" s="733"/>
    </row>
    <row r="3846" spans="1:13" x14ac:dyDescent="0.3">
      <c r="A3846" s="733" t="s">
        <v>3829</v>
      </c>
      <c r="B3846" s="733" t="s">
        <v>612</v>
      </c>
      <c r="C3846" s="733" t="s">
        <v>3851</v>
      </c>
      <c r="D3846" s="733"/>
      <c r="E3846" s="761"/>
      <c r="F3846" s="761"/>
      <c r="G3846" s="733"/>
      <c r="H3846" s="733"/>
      <c r="I3846" s="733"/>
      <c r="J3846" s="733"/>
      <c r="K3846" s="733"/>
      <c r="L3846" s="733"/>
      <c r="M3846" s="733"/>
    </row>
    <row r="3847" spans="1:13" x14ac:dyDescent="0.3">
      <c r="A3847" s="733" t="s">
        <v>3829</v>
      </c>
      <c r="B3847" s="733" t="s">
        <v>612</v>
      </c>
      <c r="C3847" s="733" t="s">
        <v>3852</v>
      </c>
      <c r="D3847" s="733"/>
      <c r="E3847" s="761"/>
      <c r="F3847" s="761"/>
      <c r="G3847" s="733"/>
      <c r="H3847" s="733"/>
      <c r="I3847" s="733"/>
      <c r="J3847" s="733"/>
      <c r="K3847" s="733"/>
      <c r="L3847" s="733"/>
      <c r="M3847" s="733"/>
    </row>
    <row r="3848" spans="1:13" x14ac:dyDescent="0.3">
      <c r="A3848" s="733" t="s">
        <v>3829</v>
      </c>
      <c r="B3848" s="733" t="s">
        <v>612</v>
      </c>
      <c r="C3848" s="733" t="s">
        <v>3853</v>
      </c>
      <c r="D3848" s="733"/>
      <c r="E3848" s="761"/>
      <c r="F3848" s="761"/>
      <c r="G3848" s="733"/>
      <c r="H3848" s="733"/>
      <c r="I3848" s="733"/>
      <c r="J3848" s="733"/>
      <c r="K3848" s="733"/>
      <c r="L3848" s="733"/>
      <c r="M3848" s="733"/>
    </row>
    <row r="3849" spans="1:13" x14ac:dyDescent="0.3">
      <c r="A3849" s="733" t="s">
        <v>3829</v>
      </c>
      <c r="B3849" s="733" t="s">
        <v>612</v>
      </c>
      <c r="C3849" s="733" t="s">
        <v>3854</v>
      </c>
      <c r="D3849" s="733"/>
      <c r="E3849" s="761"/>
      <c r="F3849" s="761"/>
      <c r="G3849" s="733"/>
      <c r="H3849" s="733"/>
      <c r="I3849" s="733"/>
      <c r="J3849" s="733"/>
      <c r="K3849" s="733"/>
      <c r="L3849" s="733"/>
      <c r="M3849" s="733"/>
    </row>
    <row r="3850" spans="1:13" x14ac:dyDescent="0.3">
      <c r="A3850" s="733" t="s">
        <v>3829</v>
      </c>
      <c r="B3850" s="733" t="s">
        <v>612</v>
      </c>
      <c r="C3850" s="733" t="s">
        <v>3855</v>
      </c>
      <c r="D3850" s="733"/>
      <c r="E3850" s="761"/>
      <c r="F3850" s="761"/>
      <c r="G3850" s="733"/>
      <c r="H3850" s="733"/>
      <c r="I3850" s="733"/>
      <c r="J3850" s="733"/>
      <c r="K3850" s="733"/>
      <c r="L3850" s="733"/>
      <c r="M3850" s="733"/>
    </row>
    <row r="3851" spans="1:13" x14ac:dyDescent="0.3">
      <c r="A3851" s="733" t="s">
        <v>3829</v>
      </c>
      <c r="B3851" s="733" t="s">
        <v>612</v>
      </c>
      <c r="C3851" s="733" t="s">
        <v>3856</v>
      </c>
      <c r="D3851" s="733"/>
      <c r="E3851" s="761"/>
      <c r="F3851" s="761"/>
      <c r="G3851" s="733"/>
      <c r="H3851" s="733"/>
      <c r="I3851" s="733"/>
      <c r="J3851" s="733"/>
      <c r="K3851" s="733"/>
      <c r="L3851" s="733"/>
      <c r="M3851" s="733"/>
    </row>
    <row r="3852" spans="1:13" x14ac:dyDescent="0.3">
      <c r="A3852" s="733" t="s">
        <v>3829</v>
      </c>
      <c r="B3852" s="733" t="s">
        <v>612</v>
      </c>
      <c r="C3852" s="733" t="s">
        <v>3857</v>
      </c>
      <c r="D3852" s="733"/>
      <c r="E3852" s="761"/>
      <c r="F3852" s="761"/>
      <c r="G3852" s="733"/>
      <c r="H3852" s="733"/>
      <c r="I3852" s="733"/>
      <c r="J3852" s="733"/>
      <c r="K3852" s="733"/>
      <c r="L3852" s="733"/>
      <c r="M3852" s="733"/>
    </row>
    <row r="3853" spans="1:13" x14ac:dyDescent="0.3">
      <c r="A3853" s="733" t="s">
        <v>3829</v>
      </c>
      <c r="B3853" s="733" t="s">
        <v>612</v>
      </c>
      <c r="C3853" s="733" t="s">
        <v>3858</v>
      </c>
      <c r="D3853" s="733"/>
      <c r="E3853" s="761"/>
      <c r="F3853" s="761"/>
      <c r="G3853" s="733"/>
      <c r="H3853" s="733"/>
      <c r="I3853" s="733"/>
      <c r="J3853" s="733"/>
      <c r="K3853" s="733"/>
      <c r="L3853" s="733"/>
      <c r="M3853" s="733"/>
    </row>
    <row r="3854" spans="1:13" x14ac:dyDescent="0.3">
      <c r="A3854" s="733" t="s">
        <v>3829</v>
      </c>
      <c r="B3854" s="733" t="s">
        <v>612</v>
      </c>
      <c r="C3854" s="733" t="s">
        <v>3859</v>
      </c>
      <c r="D3854" s="733"/>
      <c r="E3854" s="761"/>
      <c r="F3854" s="761"/>
      <c r="G3854" s="733"/>
      <c r="H3854" s="733"/>
      <c r="I3854" s="733"/>
      <c r="J3854" s="733"/>
      <c r="K3854" s="733"/>
      <c r="L3854" s="733"/>
      <c r="M3854" s="733"/>
    </row>
    <row r="3855" spans="1:13" x14ac:dyDescent="0.3">
      <c r="A3855" s="733" t="s">
        <v>3860</v>
      </c>
      <c r="B3855" s="733" t="s">
        <v>645</v>
      </c>
      <c r="C3855" s="733" t="s">
        <v>3861</v>
      </c>
      <c r="D3855" s="733"/>
      <c r="E3855" s="761"/>
      <c r="F3855" s="761"/>
      <c r="G3855" s="733"/>
      <c r="H3855" s="733"/>
      <c r="I3855" s="733"/>
      <c r="J3855" s="733"/>
      <c r="K3855" s="733"/>
      <c r="L3855" s="733"/>
      <c r="M3855" s="733"/>
    </row>
    <row r="3856" spans="1:13" x14ac:dyDescent="0.3">
      <c r="A3856" s="733" t="s">
        <v>3860</v>
      </c>
      <c r="B3856" s="733" t="s">
        <v>645</v>
      </c>
      <c r="C3856" s="733" t="s">
        <v>3862</v>
      </c>
      <c r="D3856" s="733"/>
      <c r="E3856" s="761"/>
      <c r="F3856" s="761"/>
      <c r="G3856" s="733"/>
      <c r="H3856" s="733"/>
      <c r="I3856" s="733"/>
      <c r="J3856" s="733"/>
      <c r="K3856" s="733"/>
      <c r="L3856" s="733"/>
      <c r="M3856" s="733"/>
    </row>
    <row r="3857" spans="1:13" x14ac:dyDescent="0.3">
      <c r="A3857" s="733" t="s">
        <v>3860</v>
      </c>
      <c r="B3857" s="733" t="s">
        <v>645</v>
      </c>
      <c r="C3857" s="733" t="s">
        <v>3863</v>
      </c>
      <c r="D3857" s="733"/>
      <c r="E3857" s="761"/>
      <c r="F3857" s="761"/>
      <c r="G3857" s="733"/>
      <c r="H3857" s="733"/>
      <c r="I3857" s="733"/>
      <c r="J3857" s="733"/>
      <c r="K3857" s="733"/>
      <c r="L3857" s="733"/>
      <c r="M3857" s="733"/>
    </row>
    <row r="3858" spans="1:13" x14ac:dyDescent="0.3">
      <c r="A3858" s="733" t="s">
        <v>3860</v>
      </c>
      <c r="B3858" s="733" t="s">
        <v>645</v>
      </c>
      <c r="C3858" s="733" t="s">
        <v>3864</v>
      </c>
      <c r="D3858" s="733"/>
      <c r="E3858" s="761"/>
      <c r="F3858" s="761"/>
      <c r="G3858" s="733"/>
      <c r="H3858" s="733"/>
      <c r="I3858" s="733"/>
      <c r="J3858" s="733"/>
      <c r="K3858" s="733"/>
      <c r="L3858" s="733"/>
      <c r="M3858" s="733"/>
    </row>
    <row r="3859" spans="1:13" x14ac:dyDescent="0.3">
      <c r="A3859" s="733" t="s">
        <v>3860</v>
      </c>
      <c r="B3859" s="733" t="s">
        <v>645</v>
      </c>
      <c r="C3859" s="733" t="s">
        <v>3865</v>
      </c>
      <c r="D3859" s="733"/>
      <c r="E3859" s="761"/>
      <c r="F3859" s="761"/>
      <c r="G3859" s="733"/>
      <c r="H3859" s="733"/>
      <c r="I3859" s="733"/>
      <c r="J3859" s="733"/>
      <c r="K3859" s="733"/>
      <c r="L3859" s="733"/>
      <c r="M3859" s="733"/>
    </row>
    <row r="3860" spans="1:13" x14ac:dyDescent="0.3">
      <c r="A3860" s="733" t="s">
        <v>3860</v>
      </c>
      <c r="B3860" s="733" t="s">
        <v>645</v>
      </c>
      <c r="C3860" s="733" t="s">
        <v>3866</v>
      </c>
      <c r="D3860" s="733"/>
      <c r="E3860" s="761"/>
      <c r="F3860" s="761"/>
      <c r="G3860" s="733"/>
      <c r="H3860" s="733"/>
      <c r="I3860" s="733"/>
      <c r="J3860" s="733"/>
      <c r="K3860" s="733"/>
      <c r="L3860" s="733"/>
      <c r="M3860" s="733"/>
    </row>
    <row r="3861" spans="1:13" x14ac:dyDescent="0.3">
      <c r="A3861" s="733" t="s">
        <v>3860</v>
      </c>
      <c r="B3861" s="733" t="s">
        <v>645</v>
      </c>
      <c r="C3861" s="733" t="s">
        <v>3867</v>
      </c>
      <c r="D3861" s="733"/>
      <c r="E3861" s="761"/>
      <c r="F3861" s="761"/>
      <c r="G3861" s="733"/>
      <c r="H3861" s="733"/>
      <c r="I3861" s="733"/>
      <c r="J3861" s="733"/>
      <c r="K3861" s="733"/>
      <c r="L3861" s="733"/>
      <c r="M3861" s="733"/>
    </row>
    <row r="3862" spans="1:13" x14ac:dyDescent="0.3">
      <c r="A3862" s="733" t="s">
        <v>3860</v>
      </c>
      <c r="B3862" s="733" t="s">
        <v>645</v>
      </c>
      <c r="C3862" s="733" t="s">
        <v>3868</v>
      </c>
      <c r="D3862" s="733"/>
      <c r="E3862" s="761"/>
      <c r="F3862" s="761"/>
      <c r="G3862" s="733"/>
      <c r="H3862" s="733"/>
      <c r="I3862" s="733"/>
      <c r="J3862" s="733"/>
      <c r="K3862" s="733"/>
      <c r="L3862" s="733"/>
      <c r="M3862" s="733"/>
    </row>
    <row r="3863" spans="1:13" x14ac:dyDescent="0.3">
      <c r="A3863" s="733" t="s">
        <v>3860</v>
      </c>
      <c r="B3863" s="733" t="s">
        <v>645</v>
      </c>
      <c r="C3863" s="733" t="s">
        <v>3869</v>
      </c>
      <c r="D3863" s="733"/>
      <c r="E3863" s="761"/>
      <c r="F3863" s="761"/>
      <c r="G3863" s="733"/>
      <c r="H3863" s="733"/>
      <c r="I3863" s="733"/>
      <c r="J3863" s="733"/>
      <c r="K3863" s="733"/>
      <c r="L3863" s="733"/>
      <c r="M3863" s="733"/>
    </row>
    <row r="3864" spans="1:13" x14ac:dyDescent="0.3">
      <c r="A3864" s="733" t="s">
        <v>3860</v>
      </c>
      <c r="B3864" s="733" t="s">
        <v>645</v>
      </c>
      <c r="C3864" s="733" t="s">
        <v>3870</v>
      </c>
      <c r="D3864" s="733"/>
      <c r="E3864" s="761"/>
      <c r="F3864" s="761"/>
      <c r="G3864" s="733"/>
      <c r="H3864" s="733"/>
      <c r="I3864" s="733"/>
      <c r="J3864" s="733"/>
      <c r="K3864" s="733"/>
      <c r="L3864" s="733"/>
      <c r="M3864" s="733"/>
    </row>
    <row r="3865" spans="1:13" x14ac:dyDescent="0.3">
      <c r="A3865" s="733" t="s">
        <v>3860</v>
      </c>
      <c r="B3865" s="733" t="s">
        <v>664</v>
      </c>
      <c r="C3865" s="733" t="s">
        <v>3871</v>
      </c>
      <c r="D3865" s="733"/>
      <c r="E3865" s="761"/>
      <c r="F3865" s="761"/>
      <c r="G3865" s="733"/>
      <c r="H3865" s="733"/>
      <c r="I3865" s="733"/>
      <c r="J3865" s="733"/>
      <c r="K3865" s="733"/>
      <c r="L3865" s="733"/>
      <c r="M3865" s="733"/>
    </row>
    <row r="3866" spans="1:13" x14ac:dyDescent="0.3">
      <c r="A3866" s="733" t="s">
        <v>3860</v>
      </c>
      <c r="B3866" s="733" t="s">
        <v>664</v>
      </c>
      <c r="C3866" s="733" t="s">
        <v>3872</v>
      </c>
      <c r="D3866" s="733"/>
      <c r="E3866" s="761"/>
      <c r="F3866" s="761"/>
      <c r="G3866" s="733"/>
      <c r="H3866" s="733"/>
      <c r="I3866" s="733"/>
      <c r="J3866" s="733"/>
      <c r="K3866" s="733"/>
      <c r="L3866" s="733"/>
      <c r="M3866" s="733"/>
    </row>
    <row r="3867" spans="1:13" x14ac:dyDescent="0.3">
      <c r="A3867" s="733" t="s">
        <v>3860</v>
      </c>
      <c r="B3867" s="733" t="s">
        <v>664</v>
      </c>
      <c r="C3867" s="733" t="s">
        <v>3873</v>
      </c>
      <c r="D3867" s="733"/>
      <c r="E3867" s="761"/>
      <c r="F3867" s="761"/>
      <c r="G3867" s="733"/>
      <c r="H3867" s="733"/>
      <c r="I3867" s="733"/>
      <c r="J3867" s="733"/>
      <c r="K3867" s="733"/>
      <c r="L3867" s="733"/>
      <c r="M3867" s="733"/>
    </row>
    <row r="3868" spans="1:13" x14ac:dyDescent="0.3">
      <c r="A3868" s="733" t="s">
        <v>3860</v>
      </c>
      <c r="B3868" s="733" t="s">
        <v>664</v>
      </c>
      <c r="C3868" s="733" t="s">
        <v>3874</v>
      </c>
      <c r="D3868" s="733"/>
      <c r="E3868" s="761"/>
      <c r="F3868" s="761"/>
      <c r="G3868" s="733"/>
      <c r="H3868" s="733"/>
      <c r="I3868" s="733"/>
      <c r="J3868" s="733"/>
      <c r="K3868" s="733"/>
      <c r="L3868" s="733"/>
      <c r="M3868" s="733"/>
    </row>
    <row r="3869" spans="1:13" x14ac:dyDescent="0.3">
      <c r="A3869" s="733" t="s">
        <v>3860</v>
      </c>
      <c r="B3869" s="733" t="s">
        <v>664</v>
      </c>
      <c r="C3869" s="733" t="s">
        <v>3875</v>
      </c>
      <c r="D3869" s="733"/>
      <c r="E3869" s="761"/>
      <c r="F3869" s="761"/>
      <c r="G3869" s="733"/>
      <c r="H3869" s="733"/>
      <c r="I3869" s="733"/>
      <c r="J3869" s="733"/>
      <c r="K3869" s="733"/>
      <c r="L3869" s="733"/>
      <c r="M3869" s="733"/>
    </row>
    <row r="3870" spans="1:13" x14ac:dyDescent="0.3">
      <c r="A3870" s="733" t="s">
        <v>3860</v>
      </c>
      <c r="B3870" s="733" t="s">
        <v>664</v>
      </c>
      <c r="C3870" s="733" t="s">
        <v>3876</v>
      </c>
      <c r="D3870" s="733"/>
      <c r="E3870" s="761"/>
      <c r="F3870" s="761"/>
      <c r="G3870" s="733"/>
      <c r="H3870" s="733"/>
      <c r="I3870" s="733"/>
      <c r="J3870" s="733"/>
      <c r="K3870" s="733"/>
      <c r="L3870" s="733"/>
      <c r="M3870" s="733"/>
    </row>
    <row r="3871" spans="1:13" x14ac:dyDescent="0.3">
      <c r="A3871" s="733" t="s">
        <v>3860</v>
      </c>
      <c r="B3871" s="733" t="s">
        <v>664</v>
      </c>
      <c r="C3871" s="733" t="s">
        <v>3784</v>
      </c>
      <c r="D3871" s="733"/>
      <c r="E3871" s="761"/>
      <c r="F3871" s="761"/>
      <c r="G3871" s="733"/>
      <c r="H3871" s="733"/>
      <c r="I3871" s="733"/>
      <c r="J3871" s="733"/>
      <c r="K3871" s="733"/>
      <c r="L3871" s="733"/>
      <c r="M3871" s="733"/>
    </row>
    <row r="3872" spans="1:13" x14ac:dyDescent="0.3">
      <c r="A3872" s="733" t="s">
        <v>3860</v>
      </c>
      <c r="B3872" s="733" t="s">
        <v>664</v>
      </c>
      <c r="C3872" s="733" t="s">
        <v>3877</v>
      </c>
      <c r="D3872" s="733"/>
      <c r="E3872" s="761"/>
      <c r="F3872" s="761"/>
      <c r="G3872" s="733"/>
      <c r="H3872" s="733"/>
      <c r="I3872" s="733"/>
      <c r="J3872" s="733"/>
      <c r="K3872" s="733"/>
      <c r="L3872" s="733"/>
      <c r="M3872" s="733"/>
    </row>
    <row r="3873" spans="1:13" x14ac:dyDescent="0.3">
      <c r="A3873" s="733" t="s">
        <v>3860</v>
      </c>
      <c r="B3873" s="733" t="s">
        <v>664</v>
      </c>
      <c r="C3873" s="733" t="s">
        <v>3878</v>
      </c>
      <c r="D3873" s="733"/>
      <c r="E3873" s="761"/>
      <c r="F3873" s="761"/>
      <c r="G3873" s="733"/>
      <c r="H3873" s="733"/>
      <c r="I3873" s="733"/>
      <c r="J3873" s="733"/>
      <c r="K3873" s="733"/>
      <c r="L3873" s="733"/>
      <c r="M3873" s="733"/>
    </row>
    <row r="3874" spans="1:13" x14ac:dyDescent="0.3">
      <c r="A3874" s="733" t="s">
        <v>3860</v>
      </c>
      <c r="B3874" s="733" t="s">
        <v>664</v>
      </c>
      <c r="C3874" s="733" t="s">
        <v>3879</v>
      </c>
      <c r="D3874" s="733"/>
      <c r="E3874" s="761"/>
      <c r="F3874" s="761"/>
      <c r="G3874" s="733"/>
      <c r="H3874" s="733"/>
      <c r="I3874" s="733"/>
      <c r="J3874" s="733"/>
      <c r="K3874" s="733"/>
      <c r="L3874" s="733"/>
      <c r="M3874" s="733"/>
    </row>
    <row r="3875" spans="1:13" x14ac:dyDescent="0.3">
      <c r="A3875" s="733" t="s">
        <v>3860</v>
      </c>
      <c r="B3875" s="733" t="s">
        <v>612</v>
      </c>
      <c r="C3875" s="733" t="s">
        <v>3880</v>
      </c>
      <c r="D3875" s="733"/>
      <c r="E3875" s="761"/>
      <c r="F3875" s="761"/>
      <c r="G3875" s="733"/>
      <c r="H3875" s="733"/>
      <c r="I3875" s="733"/>
      <c r="J3875" s="733"/>
      <c r="K3875" s="733"/>
      <c r="L3875" s="733"/>
      <c r="M3875" s="733"/>
    </row>
    <row r="3876" spans="1:13" x14ac:dyDescent="0.3">
      <c r="A3876" s="733" t="s">
        <v>3860</v>
      </c>
      <c r="B3876" s="733" t="s">
        <v>612</v>
      </c>
      <c r="C3876" s="733" t="s">
        <v>3881</v>
      </c>
      <c r="D3876" s="733"/>
      <c r="E3876" s="761"/>
      <c r="F3876" s="761"/>
      <c r="G3876" s="733"/>
      <c r="H3876" s="733"/>
      <c r="I3876" s="733"/>
      <c r="J3876" s="733"/>
      <c r="K3876" s="733"/>
      <c r="L3876" s="733"/>
      <c r="M3876" s="733"/>
    </row>
    <row r="3877" spans="1:13" x14ac:dyDescent="0.3">
      <c r="A3877" s="733" t="s">
        <v>3860</v>
      </c>
      <c r="B3877" s="733" t="s">
        <v>612</v>
      </c>
      <c r="C3877" s="733" t="s">
        <v>3882</v>
      </c>
      <c r="D3877" s="733"/>
      <c r="E3877" s="761"/>
      <c r="F3877" s="761"/>
      <c r="G3877" s="733"/>
      <c r="H3877" s="733"/>
      <c r="I3877" s="733"/>
      <c r="J3877" s="733"/>
      <c r="K3877" s="733"/>
      <c r="L3877" s="733"/>
      <c r="M3877" s="733"/>
    </row>
    <row r="3878" spans="1:13" x14ac:dyDescent="0.3">
      <c r="A3878" s="733" t="s">
        <v>3860</v>
      </c>
      <c r="B3878" s="733" t="s">
        <v>612</v>
      </c>
      <c r="C3878" s="733" t="s">
        <v>3883</v>
      </c>
      <c r="D3878" s="733"/>
      <c r="E3878" s="761"/>
      <c r="F3878" s="761"/>
      <c r="G3878" s="733"/>
      <c r="H3878" s="733"/>
      <c r="I3878" s="733"/>
      <c r="J3878" s="733"/>
      <c r="K3878" s="733"/>
      <c r="L3878" s="733"/>
      <c r="M3878" s="733"/>
    </row>
    <row r="3879" spans="1:13" x14ac:dyDescent="0.3">
      <c r="A3879" s="733" t="s">
        <v>3860</v>
      </c>
      <c r="B3879" s="733" t="s">
        <v>612</v>
      </c>
      <c r="C3879" s="733" t="s">
        <v>3884</v>
      </c>
      <c r="D3879" s="733"/>
      <c r="E3879" s="761"/>
      <c r="F3879" s="761"/>
      <c r="G3879" s="733"/>
      <c r="H3879" s="733"/>
      <c r="I3879" s="733"/>
      <c r="J3879" s="733"/>
      <c r="K3879" s="733"/>
      <c r="L3879" s="733"/>
      <c r="M3879" s="733"/>
    </row>
    <row r="3880" spans="1:13" x14ac:dyDescent="0.3">
      <c r="A3880" s="733" t="s">
        <v>3860</v>
      </c>
      <c r="B3880" s="733" t="s">
        <v>612</v>
      </c>
      <c r="C3880" s="733" t="s">
        <v>3885</v>
      </c>
      <c r="D3880" s="733"/>
      <c r="E3880" s="761"/>
      <c r="F3880" s="761"/>
      <c r="G3880" s="733"/>
      <c r="H3880" s="733"/>
      <c r="I3880" s="733"/>
      <c r="J3880" s="733"/>
      <c r="K3880" s="733"/>
      <c r="L3880" s="733"/>
      <c r="M3880" s="733"/>
    </row>
    <row r="3881" spans="1:13" x14ac:dyDescent="0.3">
      <c r="A3881" s="733" t="s">
        <v>3860</v>
      </c>
      <c r="B3881" s="733" t="s">
        <v>612</v>
      </c>
      <c r="C3881" s="733" t="s">
        <v>3886</v>
      </c>
      <c r="D3881" s="733"/>
      <c r="E3881" s="761"/>
      <c r="F3881" s="761"/>
      <c r="G3881" s="733"/>
      <c r="H3881" s="733"/>
      <c r="I3881" s="733"/>
      <c r="J3881" s="733"/>
      <c r="K3881" s="733"/>
      <c r="L3881" s="733"/>
      <c r="M3881" s="733"/>
    </row>
    <row r="3882" spans="1:13" x14ac:dyDescent="0.3">
      <c r="A3882" s="733" t="s">
        <v>3860</v>
      </c>
      <c r="B3882" s="733" t="s">
        <v>612</v>
      </c>
      <c r="C3882" s="733" t="s">
        <v>3887</v>
      </c>
      <c r="D3882" s="733"/>
      <c r="E3882" s="761"/>
      <c r="F3882" s="761"/>
      <c r="G3882" s="733"/>
      <c r="H3882" s="733"/>
      <c r="I3882" s="733"/>
      <c r="J3882" s="733"/>
      <c r="K3882" s="733"/>
      <c r="L3882" s="733"/>
      <c r="M3882" s="733"/>
    </row>
    <row r="3883" spans="1:13" x14ac:dyDescent="0.3">
      <c r="A3883" s="733" t="s">
        <v>3860</v>
      </c>
      <c r="B3883" s="733" t="s">
        <v>612</v>
      </c>
      <c r="C3883" s="733" t="s">
        <v>3888</v>
      </c>
      <c r="D3883" s="733"/>
      <c r="E3883" s="761"/>
      <c r="F3883" s="761"/>
      <c r="G3883" s="733"/>
      <c r="H3883" s="733"/>
      <c r="I3883" s="733"/>
      <c r="J3883" s="733"/>
      <c r="K3883" s="733"/>
      <c r="L3883" s="733"/>
      <c r="M3883" s="733"/>
    </row>
    <row r="3884" spans="1:13" x14ac:dyDescent="0.3">
      <c r="A3884" s="733" t="s">
        <v>3860</v>
      </c>
      <c r="B3884" s="733" t="s">
        <v>612</v>
      </c>
      <c r="C3884" s="733" t="s">
        <v>3889</v>
      </c>
      <c r="D3884" s="733"/>
      <c r="E3884" s="761"/>
      <c r="F3884" s="761"/>
      <c r="G3884" s="733"/>
      <c r="H3884" s="733"/>
      <c r="I3884" s="733"/>
      <c r="J3884" s="733"/>
      <c r="K3884" s="733"/>
      <c r="L3884" s="733"/>
      <c r="M3884" s="733"/>
    </row>
    <row r="3885" spans="1:13" x14ac:dyDescent="0.3">
      <c r="A3885" s="733" t="s">
        <v>2792</v>
      </c>
      <c r="B3885" s="733" t="s">
        <v>645</v>
      </c>
      <c r="C3885" s="733" t="s">
        <v>3890</v>
      </c>
      <c r="D3885" s="733"/>
      <c r="E3885" s="761"/>
      <c r="F3885" s="761"/>
      <c r="G3885" s="733"/>
      <c r="H3885" s="733"/>
      <c r="I3885" s="733"/>
      <c r="J3885" s="733"/>
      <c r="K3885" s="733"/>
      <c r="L3885" s="733"/>
      <c r="M3885" s="733"/>
    </row>
    <row r="3886" spans="1:13" x14ac:dyDescent="0.3">
      <c r="A3886" s="733" t="s">
        <v>2792</v>
      </c>
      <c r="B3886" s="733" t="s">
        <v>645</v>
      </c>
      <c r="C3886" s="733" t="s">
        <v>3891</v>
      </c>
      <c r="D3886" s="733"/>
      <c r="E3886" s="761"/>
      <c r="F3886" s="761"/>
      <c r="G3886" s="733"/>
      <c r="H3886" s="733"/>
      <c r="I3886" s="733"/>
      <c r="J3886" s="733"/>
      <c r="K3886" s="733"/>
      <c r="L3886" s="733"/>
      <c r="M3886" s="733"/>
    </row>
    <row r="3887" spans="1:13" x14ac:dyDescent="0.3">
      <c r="A3887" s="733" t="s">
        <v>2792</v>
      </c>
      <c r="B3887" s="733" t="s">
        <v>645</v>
      </c>
      <c r="C3887" s="733" t="s">
        <v>3892</v>
      </c>
      <c r="D3887" s="733"/>
      <c r="E3887" s="761"/>
      <c r="F3887" s="761"/>
      <c r="G3887" s="733"/>
      <c r="H3887" s="733"/>
      <c r="I3887" s="733"/>
      <c r="J3887" s="733"/>
      <c r="K3887" s="733"/>
      <c r="L3887" s="733"/>
      <c r="M3887" s="733"/>
    </row>
    <row r="3888" spans="1:13" x14ac:dyDescent="0.3">
      <c r="A3888" s="733" t="s">
        <v>2792</v>
      </c>
      <c r="B3888" s="733" t="s">
        <v>645</v>
      </c>
      <c r="C3888" s="733" t="s">
        <v>3893</v>
      </c>
      <c r="D3888" s="733"/>
      <c r="E3888" s="761"/>
      <c r="F3888" s="761"/>
      <c r="G3888" s="733"/>
      <c r="H3888" s="733"/>
      <c r="I3888" s="733"/>
      <c r="J3888" s="733"/>
      <c r="K3888" s="733"/>
      <c r="L3888" s="733"/>
      <c r="M3888" s="733"/>
    </row>
    <row r="3889" spans="1:13" x14ac:dyDescent="0.3">
      <c r="A3889" s="733" t="s">
        <v>2792</v>
      </c>
      <c r="B3889" s="733" t="s">
        <v>645</v>
      </c>
      <c r="C3889" s="733" t="s">
        <v>3894</v>
      </c>
      <c r="D3889" s="733"/>
      <c r="E3889" s="761"/>
      <c r="F3889" s="761"/>
      <c r="G3889" s="733"/>
      <c r="H3889" s="733"/>
      <c r="I3889" s="733"/>
      <c r="J3889" s="733"/>
      <c r="K3889" s="733"/>
      <c r="L3889" s="733"/>
      <c r="M3889" s="733"/>
    </row>
    <row r="3890" spans="1:13" x14ac:dyDescent="0.3">
      <c r="A3890" s="733" t="s">
        <v>2792</v>
      </c>
      <c r="B3890" s="733" t="s">
        <v>645</v>
      </c>
      <c r="C3890" s="733" t="s">
        <v>3895</v>
      </c>
      <c r="D3890" s="733"/>
      <c r="E3890" s="761"/>
      <c r="F3890" s="761"/>
      <c r="G3890" s="733"/>
      <c r="H3890" s="733"/>
      <c r="I3890" s="733"/>
      <c r="J3890" s="733"/>
      <c r="K3890" s="733"/>
      <c r="L3890" s="733"/>
      <c r="M3890" s="733"/>
    </row>
    <row r="3891" spans="1:13" x14ac:dyDescent="0.3">
      <c r="A3891" s="733" t="s">
        <v>2792</v>
      </c>
      <c r="B3891" s="733" t="s">
        <v>645</v>
      </c>
      <c r="C3891" s="733" t="s">
        <v>3896</v>
      </c>
      <c r="D3891" s="733"/>
      <c r="E3891" s="761"/>
      <c r="F3891" s="761"/>
      <c r="G3891" s="733"/>
      <c r="H3891" s="733"/>
      <c r="I3891" s="733"/>
      <c r="J3891" s="733"/>
      <c r="K3891" s="733"/>
      <c r="L3891" s="733"/>
      <c r="M3891" s="733"/>
    </row>
    <row r="3892" spans="1:13" x14ac:dyDescent="0.3">
      <c r="A3892" s="733" t="s">
        <v>2792</v>
      </c>
      <c r="B3892" s="733" t="s">
        <v>645</v>
      </c>
      <c r="C3892" s="733" t="s">
        <v>3897</v>
      </c>
      <c r="D3892" s="733"/>
      <c r="E3892" s="761"/>
      <c r="F3892" s="761"/>
      <c r="G3892" s="733"/>
      <c r="H3892" s="733"/>
      <c r="I3892" s="733"/>
      <c r="J3892" s="733"/>
      <c r="K3892" s="733"/>
      <c r="L3892" s="733"/>
      <c r="M3892" s="733"/>
    </row>
    <row r="3893" spans="1:13" x14ac:dyDescent="0.3">
      <c r="A3893" s="733" t="s">
        <v>2792</v>
      </c>
      <c r="B3893" s="733" t="s">
        <v>645</v>
      </c>
      <c r="C3893" s="733" t="s">
        <v>3898</v>
      </c>
      <c r="D3893" s="733"/>
      <c r="E3893" s="761"/>
      <c r="F3893" s="761"/>
      <c r="G3893" s="733"/>
      <c r="H3893" s="733"/>
      <c r="I3893" s="733"/>
      <c r="J3893" s="733"/>
      <c r="K3893" s="733"/>
      <c r="L3893" s="733"/>
      <c r="M3893" s="733"/>
    </row>
    <row r="3894" spans="1:13" x14ac:dyDescent="0.3">
      <c r="A3894" s="733" t="s">
        <v>2792</v>
      </c>
      <c r="B3894" s="733" t="s">
        <v>645</v>
      </c>
      <c r="C3894" s="733" t="s">
        <v>3899</v>
      </c>
      <c r="D3894" s="733"/>
      <c r="E3894" s="761"/>
      <c r="F3894" s="761"/>
      <c r="G3894" s="733"/>
      <c r="H3894" s="733"/>
      <c r="I3894" s="733"/>
      <c r="J3894" s="733"/>
      <c r="K3894" s="733"/>
      <c r="L3894" s="733"/>
      <c r="M3894" s="733"/>
    </row>
    <row r="3895" spans="1:13" x14ac:dyDescent="0.3">
      <c r="A3895" s="733" t="s">
        <v>2792</v>
      </c>
      <c r="B3895" s="733" t="s">
        <v>664</v>
      </c>
      <c r="C3895" s="733" t="s">
        <v>3900</v>
      </c>
      <c r="D3895" s="733"/>
      <c r="E3895" s="761"/>
      <c r="F3895" s="761"/>
      <c r="G3895" s="733"/>
      <c r="H3895" s="733"/>
      <c r="I3895" s="733"/>
      <c r="J3895" s="733"/>
      <c r="K3895" s="733"/>
      <c r="L3895" s="733"/>
      <c r="M3895" s="733"/>
    </row>
    <row r="3896" spans="1:13" x14ac:dyDescent="0.3">
      <c r="A3896" s="733" t="s">
        <v>2792</v>
      </c>
      <c r="B3896" s="733" t="s">
        <v>664</v>
      </c>
      <c r="C3896" s="733" t="s">
        <v>3901</v>
      </c>
      <c r="D3896" s="733"/>
      <c r="E3896" s="761"/>
      <c r="F3896" s="761"/>
      <c r="G3896" s="733"/>
      <c r="H3896" s="733"/>
      <c r="I3896" s="733"/>
      <c r="J3896" s="733"/>
      <c r="K3896" s="733"/>
      <c r="L3896" s="733"/>
      <c r="M3896" s="733"/>
    </row>
    <row r="3897" spans="1:13" x14ac:dyDescent="0.3">
      <c r="A3897" s="733" t="s">
        <v>2792</v>
      </c>
      <c r="B3897" s="733" t="s">
        <v>664</v>
      </c>
      <c r="C3897" s="733" t="s">
        <v>3902</v>
      </c>
      <c r="D3897" s="733"/>
      <c r="E3897" s="761"/>
      <c r="F3897" s="761"/>
      <c r="G3897" s="733"/>
      <c r="H3897" s="733"/>
      <c r="I3897" s="733"/>
      <c r="J3897" s="733"/>
      <c r="K3897" s="733"/>
      <c r="L3897" s="733"/>
      <c r="M3897" s="733"/>
    </row>
    <row r="3898" spans="1:13" x14ac:dyDescent="0.3">
      <c r="A3898" s="733" t="s">
        <v>2792</v>
      </c>
      <c r="B3898" s="733" t="s">
        <v>664</v>
      </c>
      <c r="C3898" s="733" t="s">
        <v>3903</v>
      </c>
      <c r="D3898" s="733"/>
      <c r="E3898" s="761"/>
      <c r="F3898" s="761"/>
      <c r="G3898" s="733"/>
      <c r="H3898" s="733"/>
      <c r="I3898" s="733"/>
      <c r="J3898" s="733"/>
      <c r="K3898" s="733"/>
      <c r="L3898" s="733"/>
      <c r="M3898" s="733"/>
    </row>
    <row r="3899" spans="1:13" x14ac:dyDescent="0.3">
      <c r="A3899" s="733" t="s">
        <v>2792</v>
      </c>
      <c r="B3899" s="733" t="s">
        <v>664</v>
      </c>
      <c r="C3899" s="733" t="s">
        <v>3904</v>
      </c>
      <c r="D3899" s="733"/>
      <c r="E3899" s="761"/>
      <c r="F3899" s="761"/>
      <c r="G3899" s="733"/>
      <c r="H3899" s="733"/>
      <c r="I3899" s="733"/>
      <c r="J3899" s="733"/>
      <c r="K3899" s="733"/>
      <c r="L3899" s="733"/>
      <c r="M3899" s="733"/>
    </row>
    <row r="3900" spans="1:13" x14ac:dyDescent="0.3">
      <c r="A3900" s="733" t="s">
        <v>2792</v>
      </c>
      <c r="B3900" s="733" t="s">
        <v>664</v>
      </c>
      <c r="C3900" s="733" t="s">
        <v>3905</v>
      </c>
      <c r="D3900" s="733"/>
      <c r="E3900" s="761"/>
      <c r="F3900" s="761"/>
      <c r="G3900" s="733"/>
      <c r="H3900" s="733"/>
      <c r="I3900" s="733"/>
      <c r="J3900" s="733"/>
      <c r="K3900" s="733"/>
      <c r="L3900" s="733"/>
      <c r="M3900" s="733"/>
    </row>
    <row r="3901" spans="1:13" x14ac:dyDescent="0.3">
      <c r="A3901" s="733" t="s">
        <v>2792</v>
      </c>
      <c r="B3901" s="733" t="s">
        <v>664</v>
      </c>
      <c r="C3901" s="733" t="s">
        <v>3906</v>
      </c>
      <c r="D3901" s="733"/>
      <c r="E3901" s="761"/>
      <c r="F3901" s="761"/>
      <c r="G3901" s="733"/>
      <c r="H3901" s="733"/>
      <c r="I3901" s="733"/>
      <c r="J3901" s="733"/>
      <c r="K3901" s="733"/>
      <c r="L3901" s="733"/>
      <c r="M3901" s="733"/>
    </row>
    <row r="3902" spans="1:13" x14ac:dyDescent="0.3">
      <c r="A3902" s="733" t="s">
        <v>2792</v>
      </c>
      <c r="B3902" s="733" t="s">
        <v>664</v>
      </c>
      <c r="C3902" s="733" t="s">
        <v>3907</v>
      </c>
      <c r="D3902" s="733"/>
      <c r="E3902" s="761"/>
      <c r="F3902" s="761"/>
      <c r="G3902" s="733"/>
      <c r="H3902" s="733"/>
      <c r="I3902" s="733"/>
      <c r="J3902" s="733"/>
      <c r="K3902" s="733"/>
      <c r="L3902" s="733"/>
      <c r="M3902" s="733"/>
    </row>
    <row r="3903" spans="1:13" x14ac:dyDescent="0.3">
      <c r="A3903" s="733" t="s">
        <v>2792</v>
      </c>
      <c r="B3903" s="733" t="s">
        <v>664</v>
      </c>
      <c r="C3903" s="733" t="s">
        <v>3908</v>
      </c>
      <c r="D3903" s="733"/>
      <c r="E3903" s="761"/>
      <c r="F3903" s="761"/>
      <c r="G3903" s="733"/>
      <c r="H3903" s="733"/>
      <c r="I3903" s="733"/>
      <c r="J3903" s="733"/>
      <c r="K3903" s="733"/>
      <c r="L3903" s="733"/>
      <c r="M3903" s="733"/>
    </row>
    <row r="3904" spans="1:13" x14ac:dyDescent="0.3">
      <c r="A3904" s="733" t="s">
        <v>2792</v>
      </c>
      <c r="B3904" s="733" t="s">
        <v>664</v>
      </c>
      <c r="C3904" s="733" t="s">
        <v>3909</v>
      </c>
      <c r="D3904" s="733"/>
      <c r="E3904" s="761"/>
      <c r="F3904" s="761"/>
      <c r="G3904" s="733"/>
      <c r="H3904" s="733"/>
      <c r="I3904" s="733"/>
      <c r="J3904" s="733"/>
      <c r="K3904" s="733"/>
      <c r="L3904" s="733"/>
      <c r="M3904" s="733"/>
    </row>
    <row r="3905" spans="1:13" x14ac:dyDescent="0.3">
      <c r="A3905" s="733" t="s">
        <v>2792</v>
      </c>
      <c r="B3905" s="733" t="s">
        <v>612</v>
      </c>
      <c r="C3905" s="733" t="s">
        <v>3910</v>
      </c>
      <c r="D3905" s="733"/>
      <c r="E3905" s="761"/>
      <c r="F3905" s="761"/>
      <c r="G3905" s="733"/>
      <c r="H3905" s="733"/>
      <c r="I3905" s="733"/>
      <c r="J3905" s="733"/>
      <c r="K3905" s="733"/>
      <c r="L3905" s="733"/>
      <c r="M3905" s="733"/>
    </row>
    <row r="3906" spans="1:13" x14ac:dyDescent="0.3">
      <c r="A3906" s="733" t="s">
        <v>2792</v>
      </c>
      <c r="B3906" s="733" t="s">
        <v>612</v>
      </c>
      <c r="C3906" s="733" t="s">
        <v>3911</v>
      </c>
      <c r="D3906" s="733"/>
      <c r="E3906" s="761"/>
      <c r="F3906" s="761"/>
      <c r="G3906" s="733"/>
      <c r="H3906" s="733"/>
      <c r="I3906" s="733"/>
      <c r="J3906" s="733"/>
      <c r="K3906" s="733"/>
      <c r="L3906" s="733"/>
      <c r="M3906" s="733"/>
    </row>
    <row r="3907" spans="1:13" x14ac:dyDescent="0.3">
      <c r="A3907" s="733" t="s">
        <v>2792</v>
      </c>
      <c r="B3907" s="733" t="s">
        <v>612</v>
      </c>
      <c r="C3907" s="733" t="s">
        <v>3912</v>
      </c>
      <c r="D3907" s="733"/>
      <c r="E3907" s="761"/>
      <c r="F3907" s="761"/>
      <c r="G3907" s="733"/>
      <c r="H3907" s="733"/>
      <c r="I3907" s="733"/>
      <c r="J3907" s="733"/>
      <c r="K3907" s="733"/>
      <c r="L3907" s="733"/>
      <c r="M3907" s="733"/>
    </row>
    <row r="3908" spans="1:13" x14ac:dyDescent="0.3">
      <c r="A3908" s="733" t="s">
        <v>2792</v>
      </c>
      <c r="B3908" s="733" t="s">
        <v>612</v>
      </c>
      <c r="C3908" s="733" t="s">
        <v>3913</v>
      </c>
      <c r="D3908" s="733"/>
      <c r="E3908" s="761"/>
      <c r="F3908" s="761"/>
      <c r="G3908" s="733"/>
      <c r="H3908" s="733"/>
      <c r="I3908" s="733"/>
      <c r="J3908" s="733"/>
      <c r="K3908" s="733"/>
      <c r="L3908" s="733"/>
      <c r="M3908" s="733"/>
    </row>
    <row r="3909" spans="1:13" x14ac:dyDescent="0.3">
      <c r="A3909" s="733" t="s">
        <v>2792</v>
      </c>
      <c r="B3909" s="733" t="s">
        <v>612</v>
      </c>
      <c r="C3909" s="733" t="s">
        <v>3914</v>
      </c>
      <c r="D3909" s="733"/>
      <c r="E3909" s="761"/>
      <c r="F3909" s="761"/>
      <c r="G3909" s="733"/>
      <c r="H3909" s="733"/>
      <c r="I3909" s="733"/>
      <c r="J3909" s="733"/>
      <c r="K3909" s="733"/>
      <c r="L3909" s="733"/>
      <c r="M3909" s="733"/>
    </row>
    <row r="3910" spans="1:13" x14ac:dyDescent="0.3">
      <c r="A3910" s="733" t="s">
        <v>2792</v>
      </c>
      <c r="B3910" s="733" t="s">
        <v>612</v>
      </c>
      <c r="C3910" s="733" t="s">
        <v>3915</v>
      </c>
      <c r="D3910" s="733"/>
      <c r="E3910" s="761"/>
      <c r="F3910" s="761"/>
      <c r="G3910" s="733"/>
      <c r="H3910" s="733"/>
      <c r="I3910" s="733"/>
      <c r="J3910" s="733"/>
      <c r="K3910" s="733"/>
      <c r="L3910" s="733"/>
      <c r="M3910" s="733"/>
    </row>
    <row r="3911" spans="1:13" x14ac:dyDescent="0.3">
      <c r="A3911" s="733" t="s">
        <v>2792</v>
      </c>
      <c r="B3911" s="733" t="s">
        <v>612</v>
      </c>
      <c r="C3911" s="733" t="s">
        <v>3916</v>
      </c>
      <c r="D3911" s="733"/>
      <c r="E3911" s="761"/>
      <c r="F3911" s="761"/>
      <c r="G3911" s="733"/>
      <c r="H3911" s="733"/>
      <c r="I3911" s="733"/>
      <c r="J3911" s="733"/>
      <c r="K3911" s="733"/>
      <c r="L3911" s="733"/>
      <c r="M3911" s="733"/>
    </row>
    <row r="3912" spans="1:13" x14ac:dyDescent="0.3">
      <c r="A3912" s="733" t="s">
        <v>2792</v>
      </c>
      <c r="B3912" s="733" t="s">
        <v>612</v>
      </c>
      <c r="C3912" s="733" t="s">
        <v>3917</v>
      </c>
      <c r="D3912" s="733"/>
      <c r="E3912" s="761"/>
      <c r="F3912" s="761"/>
      <c r="G3912" s="733"/>
      <c r="H3912" s="733"/>
      <c r="I3912" s="733"/>
      <c r="J3912" s="733"/>
      <c r="K3912" s="733"/>
      <c r="L3912" s="733"/>
      <c r="M3912" s="733"/>
    </row>
    <row r="3913" spans="1:13" x14ac:dyDescent="0.3">
      <c r="A3913" s="733" t="s">
        <v>2792</v>
      </c>
      <c r="B3913" s="733" t="s">
        <v>612</v>
      </c>
      <c r="C3913" s="733" t="s">
        <v>3918</v>
      </c>
      <c r="D3913" s="733"/>
      <c r="E3913" s="761"/>
      <c r="F3913" s="761"/>
      <c r="G3913" s="733"/>
      <c r="H3913" s="733"/>
      <c r="I3913" s="733"/>
      <c r="J3913" s="733"/>
      <c r="K3913" s="733"/>
      <c r="L3913" s="733"/>
      <c r="M3913" s="733"/>
    </row>
    <row r="3914" spans="1:13" x14ac:dyDescent="0.3">
      <c r="A3914" s="733" t="s">
        <v>2792</v>
      </c>
      <c r="B3914" s="733" t="s">
        <v>612</v>
      </c>
      <c r="C3914" s="733" t="s">
        <v>3919</v>
      </c>
      <c r="D3914" s="733"/>
      <c r="E3914" s="761"/>
      <c r="F3914" s="761"/>
      <c r="G3914" s="733"/>
      <c r="H3914" s="733"/>
      <c r="I3914" s="733"/>
      <c r="J3914" s="733"/>
      <c r="K3914" s="733"/>
      <c r="L3914" s="733"/>
      <c r="M3914" s="733"/>
    </row>
    <row r="3915" spans="1:13" x14ac:dyDescent="0.3">
      <c r="A3915" s="733" t="s">
        <v>3920</v>
      </c>
      <c r="B3915" s="733" t="s">
        <v>645</v>
      </c>
      <c r="C3915" s="733" t="s">
        <v>3921</v>
      </c>
      <c r="D3915" s="733"/>
      <c r="E3915" s="761"/>
      <c r="F3915" s="761"/>
      <c r="G3915" s="733"/>
      <c r="H3915" s="733"/>
      <c r="I3915" s="733"/>
      <c r="J3915" s="733"/>
      <c r="K3915" s="733"/>
      <c r="L3915" s="733"/>
      <c r="M3915" s="733"/>
    </row>
    <row r="3916" spans="1:13" x14ac:dyDescent="0.3">
      <c r="A3916" s="733" t="s">
        <v>3920</v>
      </c>
      <c r="B3916" s="733" t="s">
        <v>645</v>
      </c>
      <c r="C3916" s="733" t="s">
        <v>3922</v>
      </c>
      <c r="D3916" s="733"/>
      <c r="E3916" s="761"/>
      <c r="F3916" s="761"/>
      <c r="G3916" s="733"/>
      <c r="H3916" s="733"/>
      <c r="I3916" s="733"/>
      <c r="J3916" s="733"/>
      <c r="K3916" s="733"/>
      <c r="L3916" s="733"/>
      <c r="M3916" s="733"/>
    </row>
    <row r="3917" spans="1:13" x14ac:dyDescent="0.3">
      <c r="A3917" s="733" t="s">
        <v>3920</v>
      </c>
      <c r="B3917" s="733" t="s">
        <v>645</v>
      </c>
      <c r="C3917" s="733" t="s">
        <v>3800</v>
      </c>
      <c r="D3917" s="733"/>
      <c r="E3917" s="761"/>
      <c r="F3917" s="761"/>
      <c r="G3917" s="733"/>
      <c r="H3917" s="733"/>
      <c r="I3917" s="733"/>
      <c r="J3917" s="733"/>
      <c r="K3917" s="733"/>
      <c r="L3917" s="733"/>
      <c r="M3917" s="733"/>
    </row>
    <row r="3918" spans="1:13" x14ac:dyDescent="0.3">
      <c r="A3918" s="733" t="s">
        <v>3920</v>
      </c>
      <c r="B3918" s="733" t="s">
        <v>645</v>
      </c>
      <c r="C3918" s="733" t="s">
        <v>3923</v>
      </c>
      <c r="D3918" s="733"/>
      <c r="E3918" s="761"/>
      <c r="F3918" s="761"/>
      <c r="G3918" s="733"/>
      <c r="H3918" s="733"/>
      <c r="I3918" s="733"/>
      <c r="J3918" s="733"/>
      <c r="K3918" s="733"/>
      <c r="L3918" s="733"/>
      <c r="M3918" s="733"/>
    </row>
    <row r="3919" spans="1:13" x14ac:dyDescent="0.3">
      <c r="A3919" s="733" t="s">
        <v>3920</v>
      </c>
      <c r="B3919" s="733" t="s">
        <v>645</v>
      </c>
      <c r="C3919" s="733" t="s">
        <v>3924</v>
      </c>
      <c r="D3919" s="733"/>
      <c r="E3919" s="761"/>
      <c r="F3919" s="761"/>
      <c r="G3919" s="733"/>
      <c r="H3919" s="733"/>
      <c r="I3919" s="733"/>
      <c r="J3919" s="733"/>
      <c r="K3919" s="733"/>
      <c r="L3919" s="733"/>
      <c r="M3919" s="733"/>
    </row>
    <row r="3920" spans="1:13" x14ac:dyDescent="0.3">
      <c r="A3920" s="733" t="s">
        <v>3920</v>
      </c>
      <c r="B3920" s="733" t="s">
        <v>645</v>
      </c>
      <c r="C3920" s="733" t="s">
        <v>3925</v>
      </c>
      <c r="D3920" s="733"/>
      <c r="E3920" s="761"/>
      <c r="F3920" s="761"/>
      <c r="G3920" s="733"/>
      <c r="H3920" s="733"/>
      <c r="I3920" s="733"/>
      <c r="J3920" s="733"/>
      <c r="K3920" s="733"/>
      <c r="L3920" s="733"/>
      <c r="M3920" s="733"/>
    </row>
    <row r="3921" spans="1:13" x14ac:dyDescent="0.3">
      <c r="A3921" s="733" t="s">
        <v>3920</v>
      </c>
      <c r="B3921" s="733" t="s">
        <v>645</v>
      </c>
      <c r="C3921" s="733" t="s">
        <v>3926</v>
      </c>
      <c r="D3921" s="733"/>
      <c r="E3921" s="761"/>
      <c r="F3921" s="761"/>
      <c r="G3921" s="733"/>
      <c r="H3921" s="733"/>
      <c r="I3921" s="733"/>
      <c r="J3921" s="733"/>
      <c r="K3921" s="733"/>
      <c r="L3921" s="733"/>
      <c r="M3921" s="733"/>
    </row>
    <row r="3922" spans="1:13" x14ac:dyDescent="0.3">
      <c r="A3922" s="733" t="s">
        <v>3920</v>
      </c>
      <c r="B3922" s="733" t="s">
        <v>645</v>
      </c>
      <c r="C3922" s="733" t="s">
        <v>3927</v>
      </c>
      <c r="D3922" s="733"/>
      <c r="E3922" s="761"/>
      <c r="F3922" s="761"/>
      <c r="G3922" s="733"/>
      <c r="H3922" s="733"/>
      <c r="I3922" s="733"/>
      <c r="J3922" s="733"/>
      <c r="K3922" s="733"/>
      <c r="L3922" s="733"/>
      <c r="M3922" s="733"/>
    </row>
    <row r="3923" spans="1:13" x14ac:dyDescent="0.3">
      <c r="A3923" s="733" t="s">
        <v>3920</v>
      </c>
      <c r="B3923" s="733" t="s">
        <v>645</v>
      </c>
      <c r="C3923" s="733" t="s">
        <v>3928</v>
      </c>
      <c r="D3923" s="733"/>
      <c r="E3923" s="761"/>
      <c r="F3923" s="761"/>
      <c r="G3923" s="733"/>
      <c r="H3923" s="733"/>
      <c r="I3923" s="733"/>
      <c r="J3923" s="733"/>
      <c r="K3923" s="733"/>
      <c r="L3923" s="733"/>
      <c r="M3923" s="733"/>
    </row>
    <row r="3924" spans="1:13" x14ac:dyDescent="0.3">
      <c r="A3924" s="733" t="s">
        <v>3920</v>
      </c>
      <c r="B3924" s="733" t="s">
        <v>645</v>
      </c>
      <c r="C3924" s="733" t="s">
        <v>3929</v>
      </c>
      <c r="D3924" s="733"/>
      <c r="E3924" s="761"/>
      <c r="F3924" s="761"/>
      <c r="G3924" s="733"/>
      <c r="H3924" s="733"/>
      <c r="I3924" s="733"/>
      <c r="J3924" s="733"/>
      <c r="K3924" s="733"/>
      <c r="L3924" s="733"/>
      <c r="M3924" s="733"/>
    </row>
    <row r="3925" spans="1:13" x14ac:dyDescent="0.3">
      <c r="A3925" s="733" t="s">
        <v>3920</v>
      </c>
      <c r="B3925" s="733" t="s">
        <v>664</v>
      </c>
      <c r="C3925" s="733" t="s">
        <v>3930</v>
      </c>
      <c r="D3925" s="733"/>
      <c r="E3925" s="761"/>
      <c r="F3925" s="761"/>
      <c r="G3925" s="733"/>
      <c r="H3925" s="733"/>
      <c r="I3925" s="733"/>
      <c r="J3925" s="733"/>
      <c r="K3925" s="733"/>
      <c r="L3925" s="733"/>
      <c r="M3925" s="733"/>
    </row>
    <row r="3926" spans="1:13" x14ac:dyDescent="0.3">
      <c r="A3926" s="733" t="s">
        <v>3920</v>
      </c>
      <c r="B3926" s="733" t="s">
        <v>664</v>
      </c>
      <c r="C3926" s="733" t="s">
        <v>3931</v>
      </c>
      <c r="D3926" s="733"/>
      <c r="E3926" s="761"/>
      <c r="F3926" s="761"/>
      <c r="G3926" s="733"/>
      <c r="H3926" s="733"/>
      <c r="I3926" s="733"/>
      <c r="J3926" s="733"/>
      <c r="K3926" s="733"/>
      <c r="L3926" s="733"/>
      <c r="M3926" s="733"/>
    </row>
    <row r="3927" spans="1:13" x14ac:dyDescent="0.3">
      <c r="A3927" s="733" t="s">
        <v>3920</v>
      </c>
      <c r="B3927" s="733" t="s">
        <v>664</v>
      </c>
      <c r="C3927" s="733" t="s">
        <v>3932</v>
      </c>
      <c r="D3927" s="733"/>
      <c r="E3927" s="761"/>
      <c r="F3927" s="761"/>
      <c r="G3927" s="733"/>
      <c r="H3927" s="733"/>
      <c r="I3927" s="733"/>
      <c r="J3927" s="733"/>
      <c r="K3927" s="733"/>
      <c r="L3927" s="733"/>
      <c r="M3927" s="733"/>
    </row>
    <row r="3928" spans="1:13" x14ac:dyDescent="0.3">
      <c r="A3928" s="733" t="s">
        <v>3920</v>
      </c>
      <c r="B3928" s="733" t="s">
        <v>664</v>
      </c>
      <c r="C3928" s="733" t="s">
        <v>3933</v>
      </c>
      <c r="D3928" s="733"/>
      <c r="E3928" s="761"/>
      <c r="F3928" s="761"/>
      <c r="G3928" s="733"/>
      <c r="H3928" s="733"/>
      <c r="I3928" s="733"/>
      <c r="J3928" s="733"/>
      <c r="K3928" s="733"/>
      <c r="L3928" s="733"/>
      <c r="M3928" s="733"/>
    </row>
    <row r="3929" spans="1:13" x14ac:dyDescent="0.3">
      <c r="A3929" s="733" t="s">
        <v>3920</v>
      </c>
      <c r="B3929" s="733" t="s">
        <v>664</v>
      </c>
      <c r="C3929" s="733" t="s">
        <v>3934</v>
      </c>
      <c r="D3929" s="733"/>
      <c r="E3929" s="761"/>
      <c r="F3929" s="761"/>
      <c r="G3929" s="733"/>
      <c r="H3929" s="733"/>
      <c r="I3929" s="733"/>
      <c r="J3929" s="733"/>
      <c r="K3929" s="733"/>
      <c r="L3929" s="733"/>
      <c r="M3929" s="733"/>
    </row>
    <row r="3930" spans="1:13" x14ac:dyDescent="0.3">
      <c r="A3930" s="733" t="s">
        <v>3920</v>
      </c>
      <c r="B3930" s="733" t="s">
        <v>664</v>
      </c>
      <c r="C3930" s="733" t="s">
        <v>3935</v>
      </c>
      <c r="D3930" s="733"/>
      <c r="E3930" s="761"/>
      <c r="F3930" s="761"/>
      <c r="G3930" s="733"/>
      <c r="H3930" s="733"/>
      <c r="I3930" s="733"/>
      <c r="J3930" s="733"/>
      <c r="K3930" s="733"/>
      <c r="L3930" s="733"/>
      <c r="M3930" s="733"/>
    </row>
    <row r="3931" spans="1:13" x14ac:dyDescent="0.3">
      <c r="A3931" s="733" t="s">
        <v>3920</v>
      </c>
      <c r="B3931" s="733" t="s">
        <v>664</v>
      </c>
      <c r="C3931" s="733" t="s">
        <v>3936</v>
      </c>
      <c r="D3931" s="733"/>
      <c r="E3931" s="761"/>
      <c r="F3931" s="761"/>
      <c r="G3931" s="733"/>
      <c r="H3931" s="733"/>
      <c r="I3931" s="733"/>
      <c r="J3931" s="733"/>
      <c r="K3931" s="733"/>
      <c r="L3931" s="733"/>
      <c r="M3931" s="733"/>
    </row>
    <row r="3932" spans="1:13" x14ac:dyDescent="0.3">
      <c r="A3932" s="733" t="s">
        <v>3920</v>
      </c>
      <c r="B3932" s="733" t="s">
        <v>664</v>
      </c>
      <c r="C3932" s="733" t="s">
        <v>3937</v>
      </c>
      <c r="D3932" s="733"/>
      <c r="E3932" s="761"/>
      <c r="F3932" s="761"/>
      <c r="G3932" s="733"/>
      <c r="H3932" s="733"/>
      <c r="I3932" s="733"/>
      <c r="J3932" s="733"/>
      <c r="K3932" s="733"/>
      <c r="L3932" s="733"/>
      <c r="M3932" s="733"/>
    </row>
    <row r="3933" spans="1:13" x14ac:dyDescent="0.3">
      <c r="A3933" s="733" t="s">
        <v>3920</v>
      </c>
      <c r="B3933" s="733" t="s">
        <v>664</v>
      </c>
      <c r="C3933" s="733" t="s">
        <v>3938</v>
      </c>
      <c r="D3933" s="733"/>
      <c r="E3933" s="761"/>
      <c r="F3933" s="761"/>
      <c r="G3933" s="733"/>
      <c r="H3933" s="733"/>
      <c r="I3933" s="733"/>
      <c r="J3933" s="733"/>
      <c r="K3933" s="733"/>
      <c r="L3933" s="733"/>
      <c r="M3933" s="733"/>
    </row>
    <row r="3934" spans="1:13" x14ac:dyDescent="0.3">
      <c r="A3934" s="733" t="s">
        <v>3920</v>
      </c>
      <c r="B3934" s="733" t="s">
        <v>664</v>
      </c>
      <c r="C3934" s="733" t="s">
        <v>3939</v>
      </c>
      <c r="D3934" s="733"/>
      <c r="E3934" s="761"/>
      <c r="F3934" s="761"/>
      <c r="G3934" s="733"/>
      <c r="H3934" s="733"/>
      <c r="I3934" s="733"/>
      <c r="J3934" s="733"/>
      <c r="K3934" s="733"/>
      <c r="L3934" s="733"/>
      <c r="M3934" s="733"/>
    </row>
    <row r="3935" spans="1:13" x14ac:dyDescent="0.3">
      <c r="A3935" s="733" t="s">
        <v>3920</v>
      </c>
      <c r="B3935" s="733" t="s">
        <v>612</v>
      </c>
      <c r="C3935" s="733" t="s">
        <v>3940</v>
      </c>
      <c r="D3935" s="733"/>
      <c r="E3935" s="761"/>
      <c r="F3935" s="761"/>
      <c r="G3935" s="733"/>
      <c r="H3935" s="733"/>
      <c r="I3935" s="733"/>
      <c r="J3935" s="733"/>
      <c r="K3935" s="733"/>
      <c r="L3935" s="733"/>
      <c r="M3935" s="733"/>
    </row>
    <row r="3936" spans="1:13" x14ac:dyDescent="0.3">
      <c r="A3936" s="733" t="s">
        <v>3920</v>
      </c>
      <c r="B3936" s="733" t="s">
        <v>612</v>
      </c>
      <c r="C3936" s="733" t="s">
        <v>3941</v>
      </c>
      <c r="D3936" s="733"/>
      <c r="E3936" s="761"/>
      <c r="F3936" s="761"/>
      <c r="G3936" s="733"/>
      <c r="H3936" s="733"/>
      <c r="I3936" s="733"/>
      <c r="J3936" s="733"/>
      <c r="K3936" s="733"/>
      <c r="L3936" s="733"/>
      <c r="M3936" s="733"/>
    </row>
    <row r="3937" spans="1:13" x14ac:dyDescent="0.3">
      <c r="A3937" s="733" t="s">
        <v>3920</v>
      </c>
      <c r="B3937" s="733" t="s">
        <v>612</v>
      </c>
      <c r="C3937" s="733" t="s">
        <v>3942</v>
      </c>
      <c r="D3937" s="733"/>
      <c r="E3937" s="761"/>
      <c r="F3937" s="761"/>
      <c r="G3937" s="733"/>
      <c r="H3937" s="733"/>
      <c r="I3937" s="733"/>
      <c r="J3937" s="733"/>
      <c r="K3937" s="733"/>
      <c r="L3937" s="733"/>
      <c r="M3937" s="733"/>
    </row>
    <row r="3938" spans="1:13" x14ac:dyDescent="0.3">
      <c r="A3938" s="733" t="s">
        <v>3920</v>
      </c>
      <c r="B3938" s="733" t="s">
        <v>612</v>
      </c>
      <c r="C3938" s="733" t="s">
        <v>3943</v>
      </c>
      <c r="D3938" s="733"/>
      <c r="E3938" s="761"/>
      <c r="F3938" s="761"/>
      <c r="G3938" s="733"/>
      <c r="H3938" s="733"/>
      <c r="I3938" s="733"/>
      <c r="J3938" s="733"/>
      <c r="K3938" s="733"/>
      <c r="L3938" s="733"/>
      <c r="M3938" s="733"/>
    </row>
    <row r="3939" spans="1:13" x14ac:dyDescent="0.3">
      <c r="A3939" s="733" t="s">
        <v>3920</v>
      </c>
      <c r="B3939" s="733" t="s">
        <v>612</v>
      </c>
      <c r="C3939" s="733" t="s">
        <v>3944</v>
      </c>
      <c r="D3939" s="733"/>
      <c r="E3939" s="761"/>
      <c r="F3939" s="761"/>
      <c r="G3939" s="733"/>
      <c r="H3939" s="733"/>
      <c r="I3939" s="733"/>
      <c r="J3939" s="733"/>
      <c r="K3939" s="733"/>
      <c r="L3939" s="733"/>
      <c r="M3939" s="733"/>
    </row>
    <row r="3940" spans="1:13" x14ac:dyDescent="0.3">
      <c r="A3940" s="733" t="s">
        <v>3920</v>
      </c>
      <c r="B3940" s="733" t="s">
        <v>612</v>
      </c>
      <c r="C3940" s="733" t="s">
        <v>3945</v>
      </c>
      <c r="D3940" s="733"/>
      <c r="E3940" s="761"/>
      <c r="F3940" s="761"/>
      <c r="G3940" s="733"/>
      <c r="H3940" s="733"/>
      <c r="I3940" s="733"/>
      <c r="J3940" s="733"/>
      <c r="K3940" s="733"/>
      <c r="L3940" s="733"/>
      <c r="M3940" s="733"/>
    </row>
    <row r="3941" spans="1:13" x14ac:dyDescent="0.3">
      <c r="A3941" s="733" t="s">
        <v>3920</v>
      </c>
      <c r="B3941" s="733" t="s">
        <v>612</v>
      </c>
      <c r="C3941" s="733" t="s">
        <v>3946</v>
      </c>
      <c r="D3941" s="733"/>
      <c r="E3941" s="761"/>
      <c r="F3941" s="761"/>
      <c r="G3941" s="733"/>
      <c r="H3941" s="733"/>
      <c r="I3941" s="733"/>
      <c r="J3941" s="733"/>
      <c r="K3941" s="733"/>
      <c r="L3941" s="733"/>
      <c r="M3941" s="733"/>
    </row>
    <row r="3942" spans="1:13" x14ac:dyDescent="0.3">
      <c r="A3942" s="733" t="s">
        <v>3920</v>
      </c>
      <c r="B3942" s="733" t="s">
        <v>612</v>
      </c>
      <c r="C3942" s="733" t="s">
        <v>3947</v>
      </c>
      <c r="D3942" s="733"/>
      <c r="E3942" s="761"/>
      <c r="F3942" s="761"/>
      <c r="G3942" s="733"/>
      <c r="H3942" s="733"/>
      <c r="I3942" s="733"/>
      <c r="J3942" s="733"/>
      <c r="K3942" s="733"/>
      <c r="L3942" s="733"/>
      <c r="M3942" s="733"/>
    </row>
    <row r="3943" spans="1:13" x14ac:dyDescent="0.3">
      <c r="A3943" s="733" t="s">
        <v>3920</v>
      </c>
      <c r="B3943" s="733" t="s">
        <v>612</v>
      </c>
      <c r="C3943" s="733" t="s">
        <v>3948</v>
      </c>
      <c r="D3943" s="733"/>
      <c r="E3943" s="761"/>
      <c r="F3943" s="761"/>
      <c r="G3943" s="733"/>
      <c r="H3943" s="733"/>
      <c r="I3943" s="733"/>
      <c r="J3943" s="733"/>
      <c r="K3943" s="733"/>
      <c r="L3943" s="733"/>
      <c r="M3943" s="733"/>
    </row>
    <row r="3944" spans="1:13" x14ac:dyDescent="0.3">
      <c r="A3944" s="733" t="s">
        <v>3920</v>
      </c>
      <c r="B3944" s="733" t="s">
        <v>612</v>
      </c>
      <c r="C3944" s="733" t="s">
        <v>3949</v>
      </c>
      <c r="D3944" s="733"/>
      <c r="E3944" s="761"/>
      <c r="F3944" s="761"/>
      <c r="G3944" s="733"/>
      <c r="H3944" s="733"/>
      <c r="I3944" s="733"/>
      <c r="J3944" s="733"/>
      <c r="K3944" s="733"/>
      <c r="L3944" s="733"/>
      <c r="M3944" s="733"/>
    </row>
    <row r="3945" spans="1:13" x14ac:dyDescent="0.3">
      <c r="A3945" s="733" t="s">
        <v>3950</v>
      </c>
      <c r="B3945" s="733" t="s">
        <v>645</v>
      </c>
      <c r="C3945" s="733" t="s">
        <v>3951</v>
      </c>
      <c r="D3945" s="733"/>
      <c r="E3945" s="761"/>
      <c r="F3945" s="761"/>
      <c r="G3945" s="733"/>
      <c r="H3945" s="733"/>
      <c r="I3945" s="733"/>
      <c r="J3945" s="733"/>
      <c r="K3945" s="733"/>
      <c r="L3945" s="733"/>
      <c r="M3945" s="733"/>
    </row>
    <row r="3946" spans="1:13" x14ac:dyDescent="0.3">
      <c r="A3946" s="733" t="s">
        <v>3950</v>
      </c>
      <c r="B3946" s="733" t="s">
        <v>645</v>
      </c>
      <c r="C3946" s="733" t="s">
        <v>3952</v>
      </c>
      <c r="D3946" s="733"/>
      <c r="E3946" s="761"/>
      <c r="F3946" s="761"/>
      <c r="G3946" s="733"/>
      <c r="H3946" s="733"/>
      <c r="I3946" s="733"/>
      <c r="J3946" s="733"/>
      <c r="K3946" s="733"/>
      <c r="L3946" s="733"/>
      <c r="M3946" s="733"/>
    </row>
    <row r="3947" spans="1:13" x14ac:dyDescent="0.3">
      <c r="A3947" s="733" t="s">
        <v>3950</v>
      </c>
      <c r="B3947" s="733" t="s">
        <v>645</v>
      </c>
      <c r="C3947" s="733" t="s">
        <v>3953</v>
      </c>
      <c r="D3947" s="733"/>
      <c r="E3947" s="761"/>
      <c r="F3947" s="761"/>
      <c r="G3947" s="733"/>
      <c r="H3947" s="733"/>
      <c r="I3947" s="733"/>
      <c r="J3947" s="733"/>
      <c r="K3947" s="733"/>
      <c r="L3947" s="733"/>
      <c r="M3947" s="733"/>
    </row>
    <row r="3948" spans="1:13" x14ac:dyDescent="0.3">
      <c r="A3948" s="733" t="s">
        <v>3950</v>
      </c>
      <c r="B3948" s="733" t="s">
        <v>645</v>
      </c>
      <c r="C3948" s="733" t="s">
        <v>3954</v>
      </c>
      <c r="D3948" s="733"/>
      <c r="E3948" s="761"/>
      <c r="F3948" s="761"/>
      <c r="G3948" s="733"/>
      <c r="H3948" s="733"/>
      <c r="I3948" s="733"/>
      <c r="J3948" s="733"/>
      <c r="K3948" s="733"/>
      <c r="L3948" s="733"/>
      <c r="M3948" s="733"/>
    </row>
    <row r="3949" spans="1:13" x14ac:dyDescent="0.3">
      <c r="A3949" s="733" t="s">
        <v>3950</v>
      </c>
      <c r="B3949" s="733" t="s">
        <v>645</v>
      </c>
      <c r="C3949" s="733" t="s">
        <v>3955</v>
      </c>
      <c r="D3949" s="733"/>
      <c r="E3949" s="761"/>
      <c r="F3949" s="761"/>
      <c r="G3949" s="733"/>
      <c r="H3949" s="733"/>
      <c r="I3949" s="733"/>
      <c r="J3949" s="733"/>
      <c r="K3949" s="733"/>
      <c r="L3949" s="733"/>
      <c r="M3949" s="733"/>
    </row>
    <row r="3950" spans="1:13" x14ac:dyDescent="0.3">
      <c r="A3950" s="733" t="s">
        <v>3950</v>
      </c>
      <c r="B3950" s="733" t="s">
        <v>645</v>
      </c>
      <c r="C3950" s="733" t="s">
        <v>3956</v>
      </c>
      <c r="D3950" s="733"/>
      <c r="E3950" s="761"/>
      <c r="F3950" s="761"/>
      <c r="G3950" s="733"/>
      <c r="H3950" s="733"/>
      <c r="I3950" s="733"/>
      <c r="J3950" s="733"/>
      <c r="K3950" s="733"/>
      <c r="L3950" s="733"/>
      <c r="M3950" s="733"/>
    </row>
    <row r="3951" spans="1:13" x14ac:dyDescent="0.3">
      <c r="A3951" s="733" t="s">
        <v>3950</v>
      </c>
      <c r="B3951" s="733" t="s">
        <v>645</v>
      </c>
      <c r="C3951" s="733" t="s">
        <v>3957</v>
      </c>
      <c r="D3951" s="733"/>
      <c r="E3951" s="761"/>
      <c r="F3951" s="761"/>
      <c r="G3951" s="733"/>
      <c r="H3951" s="733"/>
      <c r="I3951" s="733"/>
      <c r="J3951" s="733"/>
      <c r="K3951" s="733"/>
      <c r="L3951" s="733"/>
      <c r="M3951" s="733"/>
    </row>
    <row r="3952" spans="1:13" x14ac:dyDescent="0.3">
      <c r="A3952" s="733" t="s">
        <v>3950</v>
      </c>
      <c r="B3952" s="733" t="s">
        <v>645</v>
      </c>
      <c r="C3952" s="733" t="s">
        <v>3958</v>
      </c>
      <c r="D3952" s="733"/>
      <c r="E3952" s="761"/>
      <c r="F3952" s="761"/>
      <c r="G3952" s="733"/>
      <c r="H3952" s="733"/>
      <c r="I3952" s="733"/>
      <c r="J3952" s="733"/>
      <c r="K3952" s="733"/>
      <c r="L3952" s="733"/>
      <c r="M3952" s="733"/>
    </row>
    <row r="3953" spans="1:13" x14ac:dyDescent="0.3">
      <c r="A3953" s="733" t="s">
        <v>3950</v>
      </c>
      <c r="B3953" s="733" t="s">
        <v>645</v>
      </c>
      <c r="C3953" s="733" t="s">
        <v>3959</v>
      </c>
      <c r="D3953" s="733"/>
      <c r="E3953" s="761"/>
      <c r="F3953" s="761"/>
      <c r="G3953" s="733"/>
      <c r="H3953" s="733"/>
      <c r="I3953" s="733"/>
      <c r="J3953" s="733"/>
      <c r="K3953" s="733"/>
      <c r="L3953" s="733"/>
      <c r="M3953" s="733"/>
    </row>
    <row r="3954" spans="1:13" x14ac:dyDescent="0.3">
      <c r="A3954" s="733" t="s">
        <v>3950</v>
      </c>
      <c r="B3954" s="733" t="s">
        <v>645</v>
      </c>
      <c r="C3954" s="733" t="s">
        <v>3960</v>
      </c>
      <c r="D3954" s="733"/>
      <c r="E3954" s="761"/>
      <c r="F3954" s="761"/>
      <c r="G3954" s="733"/>
      <c r="H3954" s="733"/>
      <c r="I3954" s="733"/>
      <c r="J3954" s="733"/>
      <c r="K3954" s="733"/>
      <c r="L3954" s="733"/>
      <c r="M3954" s="733"/>
    </row>
    <row r="3955" spans="1:13" x14ac:dyDescent="0.3">
      <c r="A3955" s="733" t="s">
        <v>3950</v>
      </c>
      <c r="B3955" s="733" t="s">
        <v>664</v>
      </c>
      <c r="C3955" s="733" t="s">
        <v>3961</v>
      </c>
      <c r="D3955" s="733"/>
      <c r="E3955" s="761"/>
      <c r="F3955" s="761"/>
      <c r="G3955" s="733"/>
      <c r="H3955" s="733"/>
      <c r="I3955" s="733"/>
      <c r="J3955" s="733"/>
      <c r="K3955" s="733"/>
      <c r="L3955" s="733"/>
      <c r="M3955" s="733"/>
    </row>
    <row r="3956" spans="1:13" x14ac:dyDescent="0.3">
      <c r="A3956" s="733" t="s">
        <v>3950</v>
      </c>
      <c r="B3956" s="733" t="s">
        <v>664</v>
      </c>
      <c r="C3956" s="733" t="s">
        <v>3962</v>
      </c>
      <c r="D3956" s="733"/>
      <c r="E3956" s="761"/>
      <c r="F3956" s="761"/>
      <c r="G3956" s="733"/>
      <c r="H3956" s="733"/>
      <c r="I3956" s="733"/>
      <c r="J3956" s="733"/>
      <c r="K3956" s="733"/>
      <c r="L3956" s="733"/>
      <c r="M3956" s="733"/>
    </row>
    <row r="3957" spans="1:13" x14ac:dyDescent="0.3">
      <c r="A3957" s="733" t="s">
        <v>3950</v>
      </c>
      <c r="B3957" s="733" t="s">
        <v>664</v>
      </c>
      <c r="C3957" s="733" t="s">
        <v>3963</v>
      </c>
      <c r="D3957" s="733"/>
      <c r="E3957" s="761"/>
      <c r="F3957" s="761"/>
      <c r="G3957" s="733"/>
      <c r="H3957" s="733"/>
      <c r="I3957" s="733"/>
      <c r="J3957" s="733"/>
      <c r="K3957" s="733"/>
      <c r="L3957" s="733"/>
      <c r="M3957" s="733"/>
    </row>
    <row r="3958" spans="1:13" x14ac:dyDescent="0.3">
      <c r="A3958" s="733" t="s">
        <v>3950</v>
      </c>
      <c r="B3958" s="733" t="s">
        <v>664</v>
      </c>
      <c r="C3958" s="733" t="s">
        <v>3964</v>
      </c>
      <c r="D3958" s="733"/>
      <c r="E3958" s="761"/>
      <c r="F3958" s="761"/>
      <c r="G3958" s="733"/>
      <c r="H3958" s="733"/>
      <c r="I3958" s="733"/>
      <c r="J3958" s="733"/>
      <c r="K3958" s="733"/>
      <c r="L3958" s="733"/>
      <c r="M3958" s="733"/>
    </row>
    <row r="3959" spans="1:13" x14ac:dyDescent="0.3">
      <c r="A3959" s="733" t="s">
        <v>3950</v>
      </c>
      <c r="B3959" s="733" t="s">
        <v>664</v>
      </c>
      <c r="C3959" s="733" t="s">
        <v>3965</v>
      </c>
      <c r="D3959" s="733"/>
      <c r="E3959" s="761"/>
      <c r="F3959" s="761"/>
      <c r="G3959" s="733"/>
      <c r="H3959" s="733"/>
      <c r="I3959" s="733"/>
      <c r="J3959" s="733"/>
      <c r="K3959" s="733"/>
      <c r="L3959" s="733"/>
      <c r="M3959" s="733"/>
    </row>
    <row r="3960" spans="1:13" x14ac:dyDescent="0.3">
      <c r="A3960" s="733" t="s">
        <v>3950</v>
      </c>
      <c r="B3960" s="733" t="s">
        <v>664</v>
      </c>
      <c r="C3960" s="733" t="s">
        <v>3966</v>
      </c>
      <c r="D3960" s="733"/>
      <c r="E3960" s="761"/>
      <c r="F3960" s="761"/>
      <c r="G3960" s="733"/>
      <c r="H3960" s="733"/>
      <c r="I3960" s="733"/>
      <c r="J3960" s="733"/>
      <c r="K3960" s="733"/>
      <c r="L3960" s="733"/>
      <c r="M3960" s="733"/>
    </row>
    <row r="3961" spans="1:13" x14ac:dyDescent="0.3">
      <c r="A3961" s="733" t="s">
        <v>3950</v>
      </c>
      <c r="B3961" s="733" t="s">
        <v>664</v>
      </c>
      <c r="C3961" s="733" t="s">
        <v>3967</v>
      </c>
      <c r="D3961" s="733"/>
      <c r="E3961" s="761"/>
      <c r="F3961" s="761"/>
      <c r="G3961" s="733"/>
      <c r="H3961" s="733"/>
      <c r="I3961" s="733"/>
      <c r="J3961" s="733"/>
      <c r="K3961" s="733"/>
      <c r="L3961" s="733"/>
      <c r="M3961" s="733"/>
    </row>
    <row r="3962" spans="1:13" x14ac:dyDescent="0.3">
      <c r="A3962" s="733" t="s">
        <v>3950</v>
      </c>
      <c r="B3962" s="733" t="s">
        <v>664</v>
      </c>
      <c r="C3962" s="733" t="s">
        <v>3968</v>
      </c>
      <c r="D3962" s="733"/>
      <c r="E3962" s="761"/>
      <c r="F3962" s="761"/>
      <c r="G3962" s="733"/>
      <c r="H3962" s="733"/>
      <c r="I3962" s="733"/>
      <c r="J3962" s="733"/>
      <c r="K3962" s="733"/>
      <c r="L3962" s="733"/>
      <c r="M3962" s="733"/>
    </row>
    <row r="3963" spans="1:13" x14ac:dyDescent="0.3">
      <c r="A3963" s="733" t="s">
        <v>3950</v>
      </c>
      <c r="B3963" s="733" t="s">
        <v>664</v>
      </c>
      <c r="C3963" s="733" t="s">
        <v>3969</v>
      </c>
      <c r="D3963" s="733"/>
      <c r="E3963" s="761"/>
      <c r="F3963" s="761"/>
      <c r="G3963" s="733"/>
      <c r="H3963" s="733"/>
      <c r="I3963" s="733"/>
      <c r="J3963" s="733"/>
      <c r="K3963" s="733"/>
      <c r="L3963" s="733"/>
      <c r="M3963" s="733"/>
    </row>
    <row r="3964" spans="1:13" x14ac:dyDescent="0.3">
      <c r="A3964" s="733" t="s">
        <v>3950</v>
      </c>
      <c r="B3964" s="733" t="s">
        <v>664</v>
      </c>
      <c r="C3964" s="733" t="s">
        <v>3970</v>
      </c>
      <c r="D3964" s="733"/>
      <c r="E3964" s="761"/>
      <c r="F3964" s="761"/>
      <c r="G3964" s="733"/>
      <c r="H3964" s="733"/>
      <c r="I3964" s="733"/>
      <c r="J3964" s="733"/>
      <c r="K3964" s="733"/>
      <c r="L3964" s="733"/>
      <c r="M3964" s="733"/>
    </row>
    <row r="3965" spans="1:13" x14ac:dyDescent="0.3">
      <c r="A3965" s="733" t="s">
        <v>3950</v>
      </c>
      <c r="B3965" s="733" t="s">
        <v>612</v>
      </c>
      <c r="C3965" s="733" t="s">
        <v>3971</v>
      </c>
      <c r="D3965" s="733"/>
      <c r="E3965" s="761"/>
      <c r="F3965" s="761"/>
      <c r="G3965" s="733"/>
      <c r="H3965" s="733"/>
      <c r="I3965" s="733"/>
      <c r="J3965" s="733"/>
      <c r="K3965" s="733"/>
      <c r="L3965" s="733"/>
      <c r="M3965" s="733"/>
    </row>
    <row r="3966" spans="1:13" x14ac:dyDescent="0.3">
      <c r="A3966" s="733" t="s">
        <v>3950</v>
      </c>
      <c r="B3966" s="733" t="s">
        <v>612</v>
      </c>
      <c r="C3966" s="733" t="s">
        <v>3972</v>
      </c>
      <c r="D3966" s="733"/>
      <c r="E3966" s="761"/>
      <c r="F3966" s="761"/>
      <c r="G3966" s="733"/>
      <c r="H3966" s="733"/>
      <c r="I3966" s="733"/>
      <c r="J3966" s="733"/>
      <c r="K3966" s="733"/>
      <c r="L3966" s="733"/>
      <c r="M3966" s="733"/>
    </row>
    <row r="3967" spans="1:13" x14ac:dyDescent="0.3">
      <c r="A3967" s="733" t="s">
        <v>3950</v>
      </c>
      <c r="B3967" s="733" t="s">
        <v>612</v>
      </c>
      <c r="C3967" s="733" t="s">
        <v>3973</v>
      </c>
      <c r="D3967" s="733"/>
      <c r="E3967" s="761"/>
      <c r="F3967" s="761"/>
      <c r="G3967" s="733"/>
      <c r="H3967" s="733"/>
      <c r="I3967" s="733"/>
      <c r="J3967" s="733"/>
      <c r="K3967" s="733"/>
      <c r="L3967" s="733"/>
      <c r="M3967" s="733"/>
    </row>
    <row r="3968" spans="1:13" x14ac:dyDescent="0.3">
      <c r="A3968" s="733" t="s">
        <v>3950</v>
      </c>
      <c r="B3968" s="733" t="s">
        <v>612</v>
      </c>
      <c r="C3968" s="733" t="s">
        <v>3974</v>
      </c>
      <c r="D3968" s="733"/>
      <c r="E3968" s="761"/>
      <c r="F3968" s="761"/>
      <c r="G3968" s="733"/>
      <c r="H3968" s="733"/>
      <c r="I3968" s="733"/>
      <c r="J3968" s="733"/>
      <c r="K3968" s="733"/>
      <c r="L3968" s="733"/>
      <c r="M3968" s="733"/>
    </row>
    <row r="3969" spans="1:13" x14ac:dyDescent="0.3">
      <c r="A3969" s="733" t="s">
        <v>3950</v>
      </c>
      <c r="B3969" s="733" t="s">
        <v>612</v>
      </c>
      <c r="C3969" s="733" t="s">
        <v>3975</v>
      </c>
      <c r="D3969" s="733"/>
      <c r="E3969" s="761"/>
      <c r="F3969" s="761"/>
      <c r="G3969" s="733"/>
      <c r="H3969" s="733"/>
      <c r="I3969" s="733"/>
      <c r="J3969" s="733"/>
      <c r="K3969" s="733"/>
      <c r="L3969" s="733"/>
      <c r="M3969" s="733"/>
    </row>
    <row r="3970" spans="1:13" x14ac:dyDescent="0.3">
      <c r="A3970" s="733" t="s">
        <v>3950</v>
      </c>
      <c r="B3970" s="733" t="s">
        <v>612</v>
      </c>
      <c r="C3970" s="733" t="s">
        <v>3976</v>
      </c>
      <c r="D3970" s="733"/>
      <c r="E3970" s="761"/>
      <c r="F3970" s="761"/>
      <c r="G3970" s="733"/>
      <c r="H3970" s="733"/>
      <c r="I3970" s="733"/>
      <c r="J3970" s="733"/>
      <c r="K3970" s="733"/>
      <c r="L3970" s="733"/>
      <c r="M3970" s="733"/>
    </row>
    <row r="3971" spans="1:13" x14ac:dyDescent="0.3">
      <c r="A3971" s="733" t="s">
        <v>3950</v>
      </c>
      <c r="B3971" s="733" t="s">
        <v>612</v>
      </c>
      <c r="C3971" s="733" t="s">
        <v>3977</v>
      </c>
      <c r="D3971" s="733"/>
      <c r="E3971" s="761"/>
      <c r="F3971" s="761"/>
      <c r="G3971" s="733"/>
      <c r="H3971" s="733"/>
      <c r="I3971" s="733"/>
      <c r="J3971" s="733"/>
      <c r="K3971" s="733"/>
      <c r="L3971" s="733"/>
      <c r="M3971" s="733"/>
    </row>
    <row r="3972" spans="1:13" x14ac:dyDescent="0.3">
      <c r="A3972" s="733" t="s">
        <v>3950</v>
      </c>
      <c r="B3972" s="733" t="s">
        <v>612</v>
      </c>
      <c r="C3972" s="733" t="s">
        <v>3978</v>
      </c>
      <c r="D3972" s="733"/>
      <c r="E3972" s="761"/>
      <c r="F3972" s="761"/>
      <c r="G3972" s="733"/>
      <c r="H3972" s="733"/>
      <c r="I3972" s="733"/>
      <c r="J3972" s="733"/>
      <c r="K3972" s="733"/>
      <c r="L3972" s="733"/>
      <c r="M3972" s="733"/>
    </row>
    <row r="3973" spans="1:13" x14ac:dyDescent="0.3">
      <c r="A3973" s="733" t="s">
        <v>3950</v>
      </c>
      <c r="B3973" s="733" t="s">
        <v>612</v>
      </c>
      <c r="C3973" s="733" t="s">
        <v>3979</v>
      </c>
      <c r="D3973" s="733"/>
      <c r="E3973" s="761"/>
      <c r="F3973" s="761"/>
      <c r="G3973" s="733"/>
      <c r="H3973" s="733"/>
      <c r="I3973" s="733"/>
      <c r="J3973" s="733"/>
      <c r="K3973" s="733"/>
      <c r="L3973" s="733"/>
      <c r="M3973" s="733"/>
    </row>
    <row r="3974" spans="1:13" x14ac:dyDescent="0.3">
      <c r="A3974" s="733" t="s">
        <v>3950</v>
      </c>
      <c r="B3974" s="733" t="s">
        <v>612</v>
      </c>
      <c r="C3974" s="733" t="s">
        <v>3980</v>
      </c>
      <c r="D3974" s="733"/>
      <c r="E3974" s="761"/>
      <c r="F3974" s="761"/>
      <c r="G3974" s="733"/>
      <c r="H3974" s="733"/>
      <c r="I3974" s="733"/>
      <c r="J3974" s="733"/>
      <c r="K3974" s="733"/>
      <c r="L3974" s="733"/>
      <c r="M3974" s="733"/>
    </row>
    <row r="3975" spans="1:13" x14ac:dyDescent="0.3">
      <c r="A3975" s="733" t="s">
        <v>3981</v>
      </c>
      <c r="B3975" s="733" t="s">
        <v>645</v>
      </c>
      <c r="C3975" s="733" t="s">
        <v>3982</v>
      </c>
      <c r="D3975" s="733"/>
      <c r="E3975" s="761"/>
      <c r="F3975" s="761"/>
      <c r="G3975" s="733"/>
      <c r="H3975" s="733"/>
      <c r="I3975" s="733"/>
      <c r="J3975" s="733"/>
      <c r="K3975" s="733"/>
      <c r="L3975" s="733"/>
      <c r="M3975" s="733"/>
    </row>
    <row r="3976" spans="1:13" x14ac:dyDescent="0.3">
      <c r="A3976" s="733" t="s">
        <v>3981</v>
      </c>
      <c r="B3976" s="733" t="s">
        <v>645</v>
      </c>
      <c r="C3976" s="733" t="s">
        <v>3983</v>
      </c>
      <c r="D3976" s="733"/>
      <c r="E3976" s="761"/>
      <c r="F3976" s="761"/>
      <c r="G3976" s="733"/>
      <c r="H3976" s="733"/>
      <c r="I3976" s="733"/>
      <c r="J3976" s="733"/>
      <c r="K3976" s="733"/>
      <c r="L3976" s="733"/>
      <c r="M3976" s="733"/>
    </row>
    <row r="3977" spans="1:13" x14ac:dyDescent="0.3">
      <c r="A3977" s="733" t="s">
        <v>3981</v>
      </c>
      <c r="B3977" s="733" t="s">
        <v>645</v>
      </c>
      <c r="C3977" s="733" t="s">
        <v>3984</v>
      </c>
      <c r="D3977" s="733"/>
      <c r="E3977" s="761"/>
      <c r="F3977" s="761"/>
      <c r="G3977" s="733"/>
      <c r="H3977" s="733"/>
      <c r="I3977" s="733"/>
      <c r="J3977" s="733"/>
      <c r="K3977" s="733"/>
      <c r="L3977" s="733"/>
      <c r="M3977" s="733"/>
    </row>
    <row r="3978" spans="1:13" x14ac:dyDescent="0.3">
      <c r="A3978" s="733" t="s">
        <v>3981</v>
      </c>
      <c r="B3978" s="733" t="s">
        <v>645</v>
      </c>
      <c r="C3978" s="733" t="s">
        <v>3985</v>
      </c>
      <c r="D3978" s="733"/>
      <c r="E3978" s="761"/>
      <c r="F3978" s="761"/>
      <c r="G3978" s="733"/>
      <c r="H3978" s="733"/>
      <c r="I3978" s="733"/>
      <c r="J3978" s="733"/>
      <c r="K3978" s="733"/>
      <c r="L3978" s="733"/>
      <c r="M3978" s="733"/>
    </row>
    <row r="3979" spans="1:13" x14ac:dyDescent="0.3">
      <c r="A3979" s="733" t="s">
        <v>3981</v>
      </c>
      <c r="B3979" s="733" t="s">
        <v>645</v>
      </c>
      <c r="C3979" s="733" t="s">
        <v>3986</v>
      </c>
      <c r="D3979" s="733"/>
      <c r="E3979" s="761"/>
      <c r="F3979" s="761"/>
      <c r="G3979" s="733"/>
      <c r="H3979" s="733"/>
      <c r="I3979" s="733"/>
      <c r="J3979" s="733"/>
      <c r="K3979" s="733"/>
      <c r="L3979" s="733"/>
      <c r="M3979" s="733"/>
    </row>
    <row r="3980" spans="1:13" x14ac:dyDescent="0.3">
      <c r="A3980" s="733" t="s">
        <v>3981</v>
      </c>
      <c r="B3980" s="733" t="s">
        <v>645</v>
      </c>
      <c r="C3980" s="733" t="s">
        <v>3987</v>
      </c>
      <c r="D3980" s="733"/>
      <c r="E3980" s="761"/>
      <c r="F3980" s="761"/>
      <c r="G3980" s="733"/>
      <c r="H3980" s="733"/>
      <c r="I3980" s="733"/>
      <c r="J3980" s="733"/>
      <c r="K3980" s="733"/>
      <c r="L3980" s="733"/>
      <c r="M3980" s="733"/>
    </row>
    <row r="3981" spans="1:13" x14ac:dyDescent="0.3">
      <c r="A3981" s="733" t="s">
        <v>3981</v>
      </c>
      <c r="B3981" s="733" t="s">
        <v>645</v>
      </c>
      <c r="C3981" s="733" t="s">
        <v>3988</v>
      </c>
      <c r="D3981" s="733"/>
      <c r="E3981" s="761"/>
      <c r="F3981" s="761"/>
      <c r="G3981" s="733"/>
      <c r="H3981" s="733"/>
      <c r="I3981" s="733"/>
      <c r="J3981" s="733"/>
      <c r="K3981" s="733"/>
      <c r="L3981" s="733"/>
      <c r="M3981" s="733"/>
    </row>
    <row r="3982" spans="1:13" x14ac:dyDescent="0.3">
      <c r="A3982" s="733" t="s">
        <v>3981</v>
      </c>
      <c r="B3982" s="733" t="s">
        <v>645</v>
      </c>
      <c r="C3982" s="733" t="s">
        <v>3989</v>
      </c>
      <c r="D3982" s="733"/>
      <c r="E3982" s="761"/>
      <c r="F3982" s="761"/>
      <c r="G3982" s="733"/>
      <c r="H3982" s="733"/>
      <c r="I3982" s="733"/>
      <c r="J3982" s="733"/>
      <c r="K3982" s="733"/>
      <c r="L3982" s="733"/>
      <c r="M3982" s="733"/>
    </row>
    <row r="3983" spans="1:13" x14ac:dyDescent="0.3">
      <c r="A3983" s="733" t="s">
        <v>3981</v>
      </c>
      <c r="B3983" s="733" t="s">
        <v>645</v>
      </c>
      <c r="C3983" s="733" t="s">
        <v>3990</v>
      </c>
      <c r="D3983" s="733"/>
      <c r="E3983" s="761"/>
      <c r="F3983" s="761"/>
      <c r="G3983" s="733"/>
      <c r="H3983" s="733"/>
      <c r="I3983" s="733"/>
      <c r="J3983" s="733"/>
      <c r="K3983" s="733"/>
      <c r="L3983" s="733"/>
      <c r="M3983" s="733"/>
    </row>
    <row r="3984" spans="1:13" x14ac:dyDescent="0.3">
      <c r="A3984" s="733" t="s">
        <v>3981</v>
      </c>
      <c r="B3984" s="733" t="s">
        <v>645</v>
      </c>
      <c r="C3984" s="733" t="s">
        <v>3991</v>
      </c>
      <c r="D3984" s="733"/>
      <c r="E3984" s="761"/>
      <c r="F3984" s="761"/>
      <c r="G3984" s="733"/>
      <c r="H3984" s="733"/>
      <c r="I3984" s="733"/>
      <c r="J3984" s="733"/>
      <c r="K3984" s="733"/>
      <c r="L3984" s="733"/>
      <c r="M3984" s="733"/>
    </row>
    <row r="3985" spans="1:13" x14ac:dyDescent="0.3">
      <c r="A3985" s="733" t="s">
        <v>3981</v>
      </c>
      <c r="B3985" s="733" t="s">
        <v>664</v>
      </c>
      <c r="C3985" s="733" t="s">
        <v>3992</v>
      </c>
      <c r="D3985" s="733"/>
      <c r="E3985" s="761"/>
      <c r="F3985" s="761"/>
      <c r="G3985" s="733"/>
      <c r="H3985" s="733"/>
      <c r="I3985" s="733"/>
      <c r="J3985" s="733"/>
      <c r="K3985" s="733"/>
      <c r="L3985" s="733"/>
      <c r="M3985" s="733"/>
    </row>
    <row r="3986" spans="1:13" x14ac:dyDescent="0.3">
      <c r="A3986" s="733" t="s">
        <v>3981</v>
      </c>
      <c r="B3986" s="733" t="s">
        <v>664</v>
      </c>
      <c r="C3986" s="733" t="s">
        <v>3993</v>
      </c>
      <c r="D3986" s="733"/>
      <c r="E3986" s="761"/>
      <c r="F3986" s="761"/>
      <c r="G3986" s="733"/>
      <c r="H3986" s="733"/>
      <c r="I3986" s="733"/>
      <c r="J3986" s="733"/>
      <c r="K3986" s="733"/>
      <c r="L3986" s="733"/>
      <c r="M3986" s="733"/>
    </row>
    <row r="3987" spans="1:13" x14ac:dyDescent="0.3">
      <c r="A3987" s="733" t="s">
        <v>3981</v>
      </c>
      <c r="B3987" s="733" t="s">
        <v>664</v>
      </c>
      <c r="C3987" s="733" t="s">
        <v>3994</v>
      </c>
      <c r="D3987" s="733"/>
      <c r="E3987" s="761"/>
      <c r="F3987" s="761"/>
      <c r="G3987" s="733"/>
      <c r="H3987" s="733"/>
      <c r="I3987" s="733"/>
      <c r="J3987" s="733"/>
      <c r="K3987" s="733"/>
      <c r="L3987" s="733"/>
      <c r="M3987" s="733"/>
    </row>
    <row r="3988" spans="1:13" x14ac:dyDescent="0.3">
      <c r="A3988" s="733" t="s">
        <v>3981</v>
      </c>
      <c r="B3988" s="733" t="s">
        <v>664</v>
      </c>
      <c r="C3988" s="733" t="s">
        <v>3995</v>
      </c>
      <c r="D3988" s="733"/>
      <c r="E3988" s="761"/>
      <c r="F3988" s="761"/>
      <c r="G3988" s="733"/>
      <c r="H3988" s="733"/>
      <c r="I3988" s="733"/>
      <c r="J3988" s="733"/>
      <c r="K3988" s="733"/>
      <c r="L3988" s="733"/>
      <c r="M3988" s="733"/>
    </row>
    <row r="3989" spans="1:13" x14ac:dyDescent="0.3">
      <c r="A3989" s="733" t="s">
        <v>3981</v>
      </c>
      <c r="B3989" s="733" t="s">
        <v>664</v>
      </c>
      <c r="C3989" s="733" t="s">
        <v>3996</v>
      </c>
      <c r="D3989" s="733"/>
      <c r="E3989" s="761"/>
      <c r="F3989" s="761"/>
      <c r="G3989" s="733"/>
      <c r="H3989" s="733"/>
      <c r="I3989" s="733"/>
      <c r="J3989" s="733"/>
      <c r="K3989" s="733"/>
      <c r="L3989" s="733"/>
      <c r="M3989" s="733"/>
    </row>
    <row r="3990" spans="1:13" x14ac:dyDescent="0.3">
      <c r="A3990" s="733" t="s">
        <v>3981</v>
      </c>
      <c r="B3990" s="733" t="s">
        <v>664</v>
      </c>
      <c r="C3990" s="733" t="s">
        <v>3997</v>
      </c>
      <c r="D3990" s="733"/>
      <c r="E3990" s="761"/>
      <c r="F3990" s="761"/>
      <c r="G3990" s="733"/>
      <c r="H3990" s="733"/>
      <c r="I3990" s="733"/>
      <c r="J3990" s="733"/>
      <c r="K3990" s="733"/>
      <c r="L3990" s="733"/>
      <c r="M3990" s="733"/>
    </row>
    <row r="3991" spans="1:13" x14ac:dyDescent="0.3">
      <c r="A3991" s="733" t="s">
        <v>3981</v>
      </c>
      <c r="B3991" s="733" t="s">
        <v>664</v>
      </c>
      <c r="C3991" s="733" t="s">
        <v>3998</v>
      </c>
      <c r="D3991" s="733"/>
      <c r="E3991" s="761"/>
      <c r="F3991" s="761"/>
      <c r="G3991" s="733"/>
      <c r="H3991" s="733"/>
      <c r="I3991" s="733"/>
      <c r="J3991" s="733"/>
      <c r="K3991" s="733"/>
      <c r="L3991" s="733"/>
      <c r="M3991" s="733"/>
    </row>
    <row r="3992" spans="1:13" x14ac:dyDescent="0.3">
      <c r="A3992" s="733" t="s">
        <v>3981</v>
      </c>
      <c r="B3992" s="733" t="s">
        <v>664</v>
      </c>
      <c r="C3992" s="733" t="s">
        <v>3999</v>
      </c>
      <c r="D3992" s="733"/>
      <c r="E3992" s="761"/>
      <c r="F3992" s="761"/>
      <c r="G3992" s="733"/>
      <c r="H3992" s="733"/>
      <c r="I3992" s="733"/>
      <c r="J3992" s="733"/>
      <c r="K3992" s="733"/>
      <c r="L3992" s="733"/>
      <c r="M3992" s="733"/>
    </row>
    <row r="3993" spans="1:13" x14ac:dyDescent="0.3">
      <c r="A3993" s="733" t="s">
        <v>3981</v>
      </c>
      <c r="B3993" s="733" t="s">
        <v>664</v>
      </c>
      <c r="C3993" s="733" t="s">
        <v>4000</v>
      </c>
      <c r="D3993" s="733"/>
      <c r="E3993" s="761"/>
      <c r="F3993" s="761"/>
      <c r="G3993" s="733"/>
      <c r="H3993" s="733"/>
      <c r="I3993" s="733"/>
      <c r="J3993" s="733"/>
      <c r="K3993" s="733"/>
      <c r="L3993" s="733"/>
      <c r="M3993" s="733"/>
    </row>
    <row r="3994" spans="1:13" x14ac:dyDescent="0.3">
      <c r="A3994" s="733" t="s">
        <v>3981</v>
      </c>
      <c r="B3994" s="733" t="s">
        <v>664</v>
      </c>
      <c r="C3994" s="733" t="s">
        <v>4001</v>
      </c>
      <c r="D3994" s="733"/>
      <c r="E3994" s="761"/>
      <c r="F3994" s="761"/>
      <c r="G3994" s="733"/>
      <c r="H3994" s="733"/>
      <c r="I3994" s="733"/>
      <c r="J3994" s="733"/>
      <c r="K3994" s="733"/>
      <c r="L3994" s="733"/>
      <c r="M3994" s="733"/>
    </row>
    <row r="3995" spans="1:13" x14ac:dyDescent="0.3">
      <c r="A3995" s="733" t="s">
        <v>3981</v>
      </c>
      <c r="B3995" s="733" t="s">
        <v>612</v>
      </c>
      <c r="C3995" s="733" t="s">
        <v>4002</v>
      </c>
      <c r="D3995" s="733"/>
      <c r="E3995" s="761"/>
      <c r="F3995" s="761"/>
      <c r="G3995" s="733"/>
      <c r="H3995" s="733"/>
      <c r="I3995" s="733"/>
      <c r="J3995" s="733"/>
      <c r="K3995" s="733"/>
      <c r="L3995" s="733"/>
      <c r="M3995" s="733"/>
    </row>
    <row r="3996" spans="1:13" x14ac:dyDescent="0.3">
      <c r="A3996" s="733" t="s">
        <v>3981</v>
      </c>
      <c r="B3996" s="733" t="s">
        <v>612</v>
      </c>
      <c r="C3996" s="733" t="s">
        <v>4003</v>
      </c>
      <c r="D3996" s="733"/>
      <c r="E3996" s="761"/>
      <c r="F3996" s="761"/>
      <c r="G3996" s="733"/>
      <c r="H3996" s="733"/>
      <c r="I3996" s="733"/>
      <c r="J3996" s="733"/>
      <c r="K3996" s="733"/>
      <c r="L3996" s="733"/>
      <c r="M3996" s="733"/>
    </row>
    <row r="3997" spans="1:13" x14ac:dyDescent="0.3">
      <c r="A3997" s="733" t="s">
        <v>3981</v>
      </c>
      <c r="B3997" s="733" t="s">
        <v>612</v>
      </c>
      <c r="C3997" s="733" t="s">
        <v>4004</v>
      </c>
      <c r="D3997" s="733"/>
      <c r="E3997" s="761"/>
      <c r="F3997" s="761"/>
      <c r="G3997" s="733"/>
      <c r="H3997" s="733"/>
      <c r="I3997" s="733"/>
      <c r="J3997" s="733"/>
      <c r="K3997" s="733"/>
      <c r="L3997" s="733"/>
      <c r="M3997" s="733"/>
    </row>
    <row r="3998" spans="1:13" x14ac:dyDescent="0.3">
      <c r="A3998" s="733" t="s">
        <v>3981</v>
      </c>
      <c r="B3998" s="733" t="s">
        <v>612</v>
      </c>
      <c r="C3998" s="733" t="s">
        <v>4005</v>
      </c>
      <c r="D3998" s="733"/>
      <c r="E3998" s="761"/>
      <c r="F3998" s="761"/>
      <c r="G3998" s="733"/>
      <c r="H3998" s="733"/>
      <c r="I3998" s="733"/>
      <c r="J3998" s="733"/>
      <c r="K3998" s="733"/>
      <c r="L3998" s="733"/>
      <c r="M3998" s="733"/>
    </row>
    <row r="3999" spans="1:13" x14ac:dyDescent="0.3">
      <c r="A3999" s="733" t="s">
        <v>3981</v>
      </c>
      <c r="B3999" s="733" t="s">
        <v>612</v>
      </c>
      <c r="C3999" s="733" t="s">
        <v>4006</v>
      </c>
      <c r="D3999" s="733"/>
      <c r="E3999" s="761"/>
      <c r="F3999" s="761"/>
      <c r="G3999" s="733"/>
      <c r="H3999" s="733"/>
      <c r="I3999" s="733"/>
      <c r="J3999" s="733"/>
      <c r="K3999" s="733"/>
      <c r="L3999" s="733"/>
      <c r="M3999" s="733"/>
    </row>
    <row r="4000" spans="1:13" x14ac:dyDescent="0.3">
      <c r="A4000" s="733" t="s">
        <v>3981</v>
      </c>
      <c r="B4000" s="733" t="s">
        <v>612</v>
      </c>
      <c r="C4000" s="733" t="s">
        <v>4007</v>
      </c>
      <c r="D4000" s="733"/>
      <c r="E4000" s="761"/>
      <c r="F4000" s="761"/>
      <c r="G4000" s="733"/>
      <c r="H4000" s="733"/>
      <c r="I4000" s="733"/>
      <c r="J4000" s="733"/>
      <c r="K4000" s="733"/>
      <c r="L4000" s="733"/>
      <c r="M4000" s="733"/>
    </row>
    <row r="4001" spans="1:13" x14ac:dyDescent="0.3">
      <c r="A4001" s="733" t="s">
        <v>3981</v>
      </c>
      <c r="B4001" s="733" t="s">
        <v>612</v>
      </c>
      <c r="C4001" s="733" t="s">
        <v>4008</v>
      </c>
      <c r="D4001" s="733"/>
      <c r="E4001" s="761"/>
      <c r="F4001" s="761"/>
      <c r="G4001" s="733"/>
      <c r="H4001" s="733"/>
      <c r="I4001" s="733"/>
      <c r="J4001" s="733"/>
      <c r="K4001" s="733"/>
      <c r="L4001" s="733"/>
      <c r="M4001" s="733"/>
    </row>
    <row r="4002" spans="1:13" x14ac:dyDescent="0.3">
      <c r="A4002" s="733" t="s">
        <v>3981</v>
      </c>
      <c r="B4002" s="733" t="s">
        <v>612</v>
      </c>
      <c r="C4002" s="733" t="s">
        <v>4009</v>
      </c>
      <c r="D4002" s="733"/>
      <c r="E4002" s="761"/>
      <c r="F4002" s="761"/>
      <c r="G4002" s="733"/>
      <c r="H4002" s="733"/>
      <c r="I4002" s="733"/>
      <c r="J4002" s="733"/>
      <c r="K4002" s="733"/>
      <c r="L4002" s="733"/>
      <c r="M4002" s="733"/>
    </row>
    <row r="4003" spans="1:13" x14ac:dyDescent="0.3">
      <c r="A4003" s="733" t="s">
        <v>3981</v>
      </c>
      <c r="B4003" s="733" t="s">
        <v>612</v>
      </c>
      <c r="C4003" s="733" t="s">
        <v>4010</v>
      </c>
      <c r="D4003" s="733"/>
      <c r="E4003" s="761"/>
      <c r="F4003" s="761"/>
      <c r="G4003" s="733"/>
      <c r="H4003" s="733"/>
      <c r="I4003" s="733"/>
      <c r="J4003" s="733"/>
      <c r="K4003" s="733"/>
      <c r="L4003" s="733"/>
      <c r="M4003" s="733"/>
    </row>
    <row r="4004" spans="1:13" x14ac:dyDescent="0.3">
      <c r="A4004" s="733" t="s">
        <v>3981</v>
      </c>
      <c r="B4004" s="733" t="s">
        <v>612</v>
      </c>
      <c r="C4004" s="733" t="s">
        <v>4011</v>
      </c>
      <c r="D4004" s="733"/>
      <c r="E4004" s="761"/>
      <c r="F4004" s="761"/>
      <c r="G4004" s="733"/>
      <c r="H4004" s="733"/>
      <c r="I4004" s="733"/>
      <c r="J4004" s="733"/>
      <c r="K4004" s="733"/>
      <c r="L4004" s="733"/>
      <c r="M4004" s="733"/>
    </row>
    <row r="4005" spans="1:13" x14ac:dyDescent="0.3">
      <c r="A4005" s="733" t="s">
        <v>4012</v>
      </c>
      <c r="B4005" s="733" t="s">
        <v>645</v>
      </c>
      <c r="C4005" s="733" t="s">
        <v>4013</v>
      </c>
      <c r="D4005" s="733"/>
      <c r="E4005" s="761"/>
      <c r="F4005" s="761"/>
      <c r="G4005" s="733"/>
      <c r="H4005" s="733"/>
      <c r="I4005" s="733"/>
      <c r="J4005" s="733"/>
      <c r="K4005" s="733"/>
      <c r="L4005" s="733"/>
      <c r="M4005" s="733"/>
    </row>
    <row r="4006" spans="1:13" x14ac:dyDescent="0.3">
      <c r="A4006" s="733" t="s">
        <v>4012</v>
      </c>
      <c r="B4006" s="733" t="s">
        <v>645</v>
      </c>
      <c r="C4006" s="733" t="s">
        <v>4014</v>
      </c>
      <c r="D4006" s="733"/>
      <c r="E4006" s="761"/>
      <c r="F4006" s="761"/>
      <c r="G4006" s="733"/>
      <c r="H4006" s="733"/>
      <c r="I4006" s="733"/>
      <c r="J4006" s="733"/>
      <c r="K4006" s="733"/>
      <c r="L4006" s="733"/>
      <c r="M4006" s="733"/>
    </row>
    <row r="4007" spans="1:13" x14ac:dyDescent="0.3">
      <c r="A4007" s="733" t="s">
        <v>4012</v>
      </c>
      <c r="B4007" s="733" t="s">
        <v>645</v>
      </c>
      <c r="C4007" s="733" t="s">
        <v>4015</v>
      </c>
      <c r="D4007" s="733"/>
      <c r="E4007" s="761"/>
      <c r="F4007" s="761"/>
      <c r="G4007" s="733"/>
      <c r="H4007" s="733"/>
      <c r="I4007" s="733"/>
      <c r="J4007" s="733"/>
      <c r="K4007" s="733"/>
      <c r="L4007" s="733"/>
      <c r="M4007" s="733"/>
    </row>
    <row r="4008" spans="1:13" x14ac:dyDescent="0.3">
      <c r="A4008" s="733" t="s">
        <v>4012</v>
      </c>
      <c r="B4008" s="733" t="s">
        <v>645</v>
      </c>
      <c r="C4008" s="733" t="s">
        <v>3800</v>
      </c>
      <c r="D4008" s="733"/>
      <c r="E4008" s="761"/>
      <c r="F4008" s="761"/>
      <c r="G4008" s="733"/>
      <c r="H4008" s="733"/>
      <c r="I4008" s="733"/>
      <c r="J4008" s="733"/>
      <c r="K4008" s="733"/>
      <c r="L4008" s="733"/>
      <c r="M4008" s="733"/>
    </row>
    <row r="4009" spans="1:13" x14ac:dyDescent="0.3">
      <c r="A4009" s="733" t="s">
        <v>4012</v>
      </c>
      <c r="B4009" s="733" t="s">
        <v>645</v>
      </c>
      <c r="C4009" s="733" t="s">
        <v>4016</v>
      </c>
      <c r="D4009" s="733"/>
      <c r="E4009" s="761"/>
      <c r="F4009" s="761"/>
      <c r="G4009" s="733"/>
      <c r="H4009" s="733"/>
      <c r="I4009" s="733"/>
      <c r="J4009" s="733"/>
      <c r="K4009" s="733"/>
      <c r="L4009" s="733"/>
      <c r="M4009" s="733"/>
    </row>
    <row r="4010" spans="1:13" x14ac:dyDescent="0.3">
      <c r="A4010" s="733" t="s">
        <v>4012</v>
      </c>
      <c r="B4010" s="733" t="s">
        <v>645</v>
      </c>
      <c r="C4010" s="733" t="s">
        <v>4017</v>
      </c>
      <c r="D4010" s="733"/>
      <c r="E4010" s="761"/>
      <c r="F4010" s="761"/>
      <c r="G4010" s="733"/>
      <c r="H4010" s="733"/>
      <c r="I4010" s="733"/>
      <c r="J4010" s="733"/>
      <c r="K4010" s="733"/>
      <c r="L4010" s="733"/>
      <c r="M4010" s="733"/>
    </row>
    <row r="4011" spans="1:13" x14ac:dyDescent="0.3">
      <c r="A4011" s="733" t="s">
        <v>4012</v>
      </c>
      <c r="B4011" s="733" t="s">
        <v>645</v>
      </c>
      <c r="C4011" s="733" t="s">
        <v>4018</v>
      </c>
      <c r="D4011" s="733"/>
      <c r="E4011" s="761"/>
      <c r="F4011" s="761"/>
      <c r="G4011" s="733"/>
      <c r="H4011" s="733"/>
      <c r="I4011" s="733"/>
      <c r="J4011" s="733"/>
      <c r="K4011" s="733"/>
      <c r="L4011" s="733"/>
      <c r="M4011" s="733"/>
    </row>
    <row r="4012" spans="1:13" x14ac:dyDescent="0.3">
      <c r="A4012" s="733" t="s">
        <v>4012</v>
      </c>
      <c r="B4012" s="733" t="s">
        <v>645</v>
      </c>
      <c r="C4012" s="733" t="s">
        <v>4019</v>
      </c>
      <c r="D4012" s="733"/>
      <c r="E4012" s="761"/>
      <c r="F4012" s="761"/>
      <c r="G4012" s="733"/>
      <c r="H4012" s="733"/>
      <c r="I4012" s="733"/>
      <c r="J4012" s="733"/>
      <c r="K4012" s="733"/>
      <c r="L4012" s="733"/>
      <c r="M4012" s="733"/>
    </row>
    <row r="4013" spans="1:13" x14ac:dyDescent="0.3">
      <c r="A4013" s="733" t="s">
        <v>4012</v>
      </c>
      <c r="B4013" s="733" t="s">
        <v>645</v>
      </c>
      <c r="C4013" s="733" t="s">
        <v>4020</v>
      </c>
      <c r="D4013" s="733"/>
      <c r="E4013" s="761"/>
      <c r="F4013" s="761"/>
      <c r="G4013" s="733"/>
      <c r="H4013" s="733"/>
      <c r="I4013" s="733"/>
      <c r="J4013" s="733"/>
      <c r="K4013" s="733"/>
      <c r="L4013" s="733"/>
      <c r="M4013" s="733"/>
    </row>
    <row r="4014" spans="1:13" x14ac:dyDescent="0.3">
      <c r="A4014" s="733" t="s">
        <v>4012</v>
      </c>
      <c r="B4014" s="733" t="s">
        <v>645</v>
      </c>
      <c r="C4014" s="733" t="s">
        <v>4021</v>
      </c>
      <c r="D4014" s="733"/>
      <c r="E4014" s="761"/>
      <c r="F4014" s="761"/>
      <c r="G4014" s="733"/>
      <c r="H4014" s="733"/>
      <c r="I4014" s="733"/>
      <c r="J4014" s="733"/>
      <c r="K4014" s="733"/>
      <c r="L4014" s="733"/>
      <c r="M4014" s="733"/>
    </row>
    <row r="4015" spans="1:13" x14ac:dyDescent="0.3">
      <c r="A4015" s="733" t="s">
        <v>4012</v>
      </c>
      <c r="B4015" s="733" t="s">
        <v>664</v>
      </c>
      <c r="C4015" s="733" t="s">
        <v>4022</v>
      </c>
      <c r="D4015" s="733"/>
      <c r="E4015" s="761"/>
      <c r="F4015" s="761"/>
      <c r="G4015" s="733"/>
      <c r="H4015" s="733"/>
      <c r="I4015" s="733"/>
      <c r="J4015" s="733"/>
      <c r="K4015" s="733"/>
      <c r="L4015" s="733"/>
      <c r="M4015" s="733"/>
    </row>
    <row r="4016" spans="1:13" x14ac:dyDescent="0.3">
      <c r="A4016" s="733" t="s">
        <v>4012</v>
      </c>
      <c r="B4016" s="733" t="s">
        <v>664</v>
      </c>
      <c r="C4016" s="733" t="s">
        <v>4023</v>
      </c>
      <c r="D4016" s="733"/>
      <c r="E4016" s="761"/>
      <c r="F4016" s="761"/>
      <c r="G4016" s="733"/>
      <c r="H4016" s="733"/>
      <c r="I4016" s="733"/>
      <c r="J4016" s="733"/>
      <c r="K4016" s="733"/>
      <c r="L4016" s="733"/>
      <c r="M4016" s="733"/>
    </row>
    <row r="4017" spans="1:13" x14ac:dyDescent="0.3">
      <c r="A4017" s="733" t="s">
        <v>4012</v>
      </c>
      <c r="B4017" s="733" t="s">
        <v>664</v>
      </c>
      <c r="C4017" s="733" t="s">
        <v>4024</v>
      </c>
      <c r="D4017" s="733"/>
      <c r="E4017" s="761"/>
      <c r="F4017" s="761"/>
      <c r="G4017" s="733"/>
      <c r="H4017" s="733"/>
      <c r="I4017" s="733"/>
      <c r="J4017" s="733"/>
      <c r="K4017" s="733"/>
      <c r="L4017" s="733"/>
      <c r="M4017" s="733"/>
    </row>
    <row r="4018" spans="1:13" x14ac:dyDescent="0.3">
      <c r="A4018" s="733" t="s">
        <v>4012</v>
      </c>
      <c r="B4018" s="733" t="s">
        <v>664</v>
      </c>
      <c r="C4018" s="733" t="s">
        <v>4025</v>
      </c>
      <c r="D4018" s="733"/>
      <c r="E4018" s="761"/>
      <c r="F4018" s="761"/>
      <c r="G4018" s="733"/>
      <c r="H4018" s="733"/>
      <c r="I4018" s="733"/>
      <c r="J4018" s="733"/>
      <c r="K4018" s="733"/>
      <c r="L4018" s="733"/>
      <c r="M4018" s="733"/>
    </row>
    <row r="4019" spans="1:13" x14ac:dyDescent="0.3">
      <c r="A4019" s="733" t="s">
        <v>4012</v>
      </c>
      <c r="B4019" s="733" t="s">
        <v>664</v>
      </c>
      <c r="C4019" s="733" t="s">
        <v>4026</v>
      </c>
      <c r="D4019" s="733"/>
      <c r="E4019" s="761"/>
      <c r="F4019" s="761"/>
      <c r="G4019" s="733"/>
      <c r="H4019" s="733"/>
      <c r="I4019" s="733"/>
      <c r="J4019" s="733"/>
      <c r="K4019" s="733"/>
      <c r="L4019" s="733"/>
      <c r="M4019" s="733"/>
    </row>
    <row r="4020" spans="1:13" x14ac:dyDescent="0.3">
      <c r="A4020" s="733" t="s">
        <v>4012</v>
      </c>
      <c r="B4020" s="733" t="s">
        <v>664</v>
      </c>
      <c r="C4020" s="733" t="s">
        <v>4027</v>
      </c>
      <c r="D4020" s="733"/>
      <c r="E4020" s="761"/>
      <c r="F4020" s="761"/>
      <c r="G4020" s="733"/>
      <c r="H4020" s="733"/>
      <c r="I4020" s="733"/>
      <c r="J4020" s="733"/>
      <c r="K4020" s="733"/>
      <c r="L4020" s="733"/>
      <c r="M4020" s="733"/>
    </row>
    <row r="4021" spans="1:13" x14ac:dyDescent="0.3">
      <c r="A4021" s="733" t="s">
        <v>4012</v>
      </c>
      <c r="B4021" s="733" t="s">
        <v>664</v>
      </c>
      <c r="C4021" s="733" t="s">
        <v>4028</v>
      </c>
      <c r="D4021" s="733"/>
      <c r="E4021" s="761"/>
      <c r="F4021" s="761"/>
      <c r="G4021" s="733"/>
      <c r="H4021" s="733"/>
      <c r="I4021" s="733"/>
      <c r="J4021" s="733"/>
      <c r="K4021" s="733"/>
      <c r="L4021" s="733"/>
      <c r="M4021" s="733"/>
    </row>
    <row r="4022" spans="1:13" x14ac:dyDescent="0.3">
      <c r="A4022" s="733" t="s">
        <v>4012</v>
      </c>
      <c r="B4022" s="733" t="s">
        <v>664</v>
      </c>
      <c r="C4022" s="733" t="s">
        <v>4029</v>
      </c>
      <c r="D4022" s="733"/>
      <c r="E4022" s="761"/>
      <c r="F4022" s="761"/>
      <c r="G4022" s="733"/>
      <c r="H4022" s="733"/>
      <c r="I4022" s="733"/>
      <c r="J4022" s="733"/>
      <c r="K4022" s="733"/>
      <c r="L4022" s="733"/>
      <c r="M4022" s="733"/>
    </row>
    <row r="4023" spans="1:13" x14ac:dyDescent="0.3">
      <c r="A4023" s="733" t="s">
        <v>4012</v>
      </c>
      <c r="B4023" s="733" t="s">
        <v>664</v>
      </c>
      <c r="C4023" s="733" t="s">
        <v>4030</v>
      </c>
      <c r="D4023" s="733"/>
      <c r="E4023" s="761"/>
      <c r="F4023" s="761"/>
      <c r="G4023" s="733"/>
      <c r="H4023" s="733"/>
      <c r="I4023" s="733"/>
      <c r="J4023" s="733"/>
      <c r="K4023" s="733"/>
      <c r="L4023" s="733"/>
      <c r="M4023" s="733"/>
    </row>
    <row r="4024" spans="1:13" x14ac:dyDescent="0.3">
      <c r="A4024" s="733" t="s">
        <v>4012</v>
      </c>
      <c r="B4024" s="733" t="s">
        <v>664</v>
      </c>
      <c r="C4024" s="733" t="s">
        <v>4031</v>
      </c>
      <c r="D4024" s="733"/>
      <c r="E4024" s="761"/>
      <c r="F4024" s="761"/>
      <c r="G4024" s="733"/>
      <c r="H4024" s="733"/>
      <c r="I4024" s="733"/>
      <c r="J4024" s="733"/>
      <c r="K4024" s="733"/>
      <c r="L4024" s="733"/>
      <c r="M4024" s="733"/>
    </row>
    <row r="4025" spans="1:13" x14ac:dyDescent="0.3">
      <c r="A4025" s="733" t="s">
        <v>4012</v>
      </c>
      <c r="B4025" s="733" t="s">
        <v>612</v>
      </c>
      <c r="C4025" s="733" t="s">
        <v>4032</v>
      </c>
      <c r="D4025" s="733"/>
      <c r="E4025" s="761"/>
      <c r="F4025" s="761"/>
      <c r="G4025" s="733"/>
      <c r="H4025" s="733"/>
      <c r="I4025" s="733"/>
      <c r="J4025" s="733"/>
      <c r="K4025" s="733"/>
      <c r="L4025" s="733"/>
      <c r="M4025" s="733"/>
    </row>
    <row r="4026" spans="1:13" x14ac:dyDescent="0.3">
      <c r="A4026" s="733" t="s">
        <v>4012</v>
      </c>
      <c r="B4026" s="733" t="s">
        <v>612</v>
      </c>
      <c r="C4026" s="733" t="s">
        <v>4033</v>
      </c>
      <c r="D4026" s="733"/>
      <c r="E4026" s="761"/>
      <c r="F4026" s="761"/>
      <c r="G4026" s="733"/>
      <c r="H4026" s="733"/>
      <c r="I4026" s="733"/>
      <c r="J4026" s="733"/>
      <c r="K4026" s="733"/>
      <c r="L4026" s="733"/>
      <c r="M4026" s="733"/>
    </row>
    <row r="4027" spans="1:13" x14ac:dyDescent="0.3">
      <c r="A4027" s="733" t="s">
        <v>4012</v>
      </c>
      <c r="B4027" s="733" t="s">
        <v>612</v>
      </c>
      <c r="C4027" s="733" t="s">
        <v>4034</v>
      </c>
      <c r="D4027" s="733"/>
      <c r="E4027" s="761"/>
      <c r="F4027" s="761"/>
      <c r="G4027" s="733"/>
      <c r="H4027" s="733"/>
      <c r="I4027" s="733"/>
      <c r="J4027" s="733"/>
      <c r="K4027" s="733"/>
      <c r="L4027" s="733"/>
      <c r="M4027" s="733"/>
    </row>
    <row r="4028" spans="1:13" x14ac:dyDescent="0.3">
      <c r="A4028" s="733" t="s">
        <v>4012</v>
      </c>
      <c r="B4028" s="733" t="s">
        <v>612</v>
      </c>
      <c r="C4028" s="733" t="s">
        <v>4035</v>
      </c>
      <c r="D4028" s="733"/>
      <c r="E4028" s="761"/>
      <c r="F4028" s="761"/>
      <c r="G4028" s="733"/>
      <c r="H4028" s="733"/>
      <c r="I4028" s="733"/>
      <c r="J4028" s="733"/>
      <c r="K4028" s="733"/>
      <c r="L4028" s="733"/>
      <c r="M4028" s="733"/>
    </row>
    <row r="4029" spans="1:13" x14ac:dyDescent="0.3">
      <c r="A4029" s="733" t="s">
        <v>4012</v>
      </c>
      <c r="B4029" s="733" t="s">
        <v>612</v>
      </c>
      <c r="C4029" s="733" t="s">
        <v>4036</v>
      </c>
      <c r="D4029" s="733"/>
      <c r="E4029" s="761"/>
      <c r="F4029" s="761"/>
      <c r="G4029" s="733"/>
      <c r="H4029" s="733"/>
      <c r="I4029" s="733"/>
      <c r="J4029" s="733"/>
      <c r="K4029" s="733"/>
      <c r="L4029" s="733"/>
      <c r="M4029" s="733"/>
    </row>
    <row r="4030" spans="1:13" x14ac:dyDescent="0.3">
      <c r="A4030" s="733" t="s">
        <v>4012</v>
      </c>
      <c r="B4030" s="733" t="s">
        <v>612</v>
      </c>
      <c r="C4030" s="733" t="s">
        <v>4037</v>
      </c>
      <c r="D4030" s="733"/>
      <c r="E4030" s="761"/>
      <c r="F4030" s="761"/>
      <c r="G4030" s="733"/>
      <c r="H4030" s="733"/>
      <c r="I4030" s="733"/>
      <c r="J4030" s="733"/>
      <c r="K4030" s="733"/>
      <c r="L4030" s="733"/>
      <c r="M4030" s="733"/>
    </row>
    <row r="4031" spans="1:13" x14ac:dyDescent="0.3">
      <c r="A4031" s="733" t="s">
        <v>4012</v>
      </c>
      <c r="B4031" s="733" t="s">
        <v>612</v>
      </c>
      <c r="C4031" s="733" t="s">
        <v>4038</v>
      </c>
      <c r="D4031" s="733"/>
      <c r="E4031" s="761"/>
      <c r="F4031" s="761"/>
      <c r="G4031" s="733"/>
      <c r="H4031" s="733"/>
      <c r="I4031" s="733"/>
      <c r="J4031" s="733"/>
      <c r="K4031" s="733"/>
      <c r="L4031" s="733"/>
      <c r="M4031" s="733"/>
    </row>
    <row r="4032" spans="1:13" x14ac:dyDescent="0.3">
      <c r="A4032" s="733" t="s">
        <v>4012</v>
      </c>
      <c r="B4032" s="733" t="s">
        <v>612</v>
      </c>
      <c r="C4032" s="733" t="s">
        <v>4039</v>
      </c>
      <c r="D4032" s="733"/>
      <c r="E4032" s="761"/>
      <c r="F4032" s="761"/>
      <c r="G4032" s="733"/>
      <c r="H4032" s="733"/>
      <c r="I4032" s="733"/>
      <c r="J4032" s="733"/>
      <c r="K4032" s="733"/>
      <c r="L4032" s="733"/>
      <c r="M4032" s="733"/>
    </row>
    <row r="4033" spans="1:13" x14ac:dyDescent="0.3">
      <c r="A4033" s="733" t="s">
        <v>4012</v>
      </c>
      <c r="B4033" s="733" t="s">
        <v>612</v>
      </c>
      <c r="C4033" s="733" t="s">
        <v>4040</v>
      </c>
      <c r="D4033" s="733"/>
      <c r="E4033" s="761"/>
      <c r="F4033" s="761"/>
      <c r="G4033" s="733"/>
      <c r="H4033" s="733"/>
      <c r="I4033" s="733"/>
      <c r="J4033" s="733"/>
      <c r="K4033" s="733"/>
      <c r="L4033" s="733"/>
      <c r="M4033" s="733"/>
    </row>
    <row r="4034" spans="1:13" x14ac:dyDescent="0.3">
      <c r="A4034" s="733" t="s">
        <v>4012</v>
      </c>
      <c r="B4034" s="733" t="s">
        <v>612</v>
      </c>
      <c r="C4034" s="733" t="s">
        <v>4041</v>
      </c>
      <c r="D4034" s="733"/>
      <c r="E4034" s="761"/>
      <c r="F4034" s="761"/>
      <c r="G4034" s="733"/>
      <c r="H4034" s="733"/>
      <c r="I4034" s="733"/>
      <c r="J4034" s="733"/>
      <c r="K4034" s="733"/>
      <c r="L4034" s="733"/>
      <c r="M4034" s="733"/>
    </row>
    <row r="4035" spans="1:13" x14ac:dyDescent="0.3">
      <c r="A4035" s="733" t="s">
        <v>4042</v>
      </c>
      <c r="B4035" s="733" t="s">
        <v>645</v>
      </c>
      <c r="C4035" s="733" t="s">
        <v>4043</v>
      </c>
      <c r="D4035" s="733"/>
      <c r="E4035" s="761"/>
      <c r="F4035" s="761"/>
      <c r="G4035" s="733"/>
      <c r="H4035" s="733"/>
      <c r="I4035" s="733"/>
      <c r="J4035" s="733"/>
      <c r="K4035" s="733"/>
      <c r="L4035" s="733"/>
      <c r="M4035" s="733"/>
    </row>
    <row r="4036" spans="1:13" x14ac:dyDescent="0.3">
      <c r="A4036" s="733" t="s">
        <v>4042</v>
      </c>
      <c r="B4036" s="733" t="s">
        <v>645</v>
      </c>
      <c r="C4036" s="733" t="s">
        <v>4044</v>
      </c>
      <c r="D4036" s="733"/>
      <c r="E4036" s="761"/>
      <c r="F4036" s="761"/>
      <c r="G4036" s="733"/>
      <c r="H4036" s="733"/>
      <c r="I4036" s="733"/>
      <c r="J4036" s="733"/>
      <c r="K4036" s="733"/>
      <c r="L4036" s="733"/>
      <c r="M4036" s="733"/>
    </row>
    <row r="4037" spans="1:13" x14ac:dyDescent="0.3">
      <c r="A4037" s="733" t="s">
        <v>4042</v>
      </c>
      <c r="B4037" s="733" t="s">
        <v>645</v>
      </c>
      <c r="C4037" s="733" t="s">
        <v>4045</v>
      </c>
      <c r="D4037" s="733"/>
      <c r="E4037" s="761"/>
      <c r="F4037" s="761"/>
      <c r="G4037" s="733"/>
      <c r="H4037" s="733"/>
      <c r="I4037" s="733"/>
      <c r="J4037" s="733"/>
      <c r="K4037" s="733"/>
      <c r="L4037" s="733"/>
      <c r="M4037" s="733"/>
    </row>
    <row r="4038" spans="1:13" x14ac:dyDescent="0.3">
      <c r="A4038" s="733" t="s">
        <v>4042</v>
      </c>
      <c r="B4038" s="733" t="s">
        <v>645</v>
      </c>
      <c r="C4038" s="733" t="s">
        <v>4046</v>
      </c>
      <c r="D4038" s="733"/>
      <c r="E4038" s="761"/>
      <c r="F4038" s="761"/>
      <c r="G4038" s="733"/>
      <c r="H4038" s="733"/>
      <c r="I4038" s="733"/>
      <c r="J4038" s="733"/>
      <c r="K4038" s="733"/>
      <c r="L4038" s="733"/>
      <c r="M4038" s="733"/>
    </row>
    <row r="4039" spans="1:13" x14ac:dyDescent="0.3">
      <c r="A4039" s="733" t="s">
        <v>4042</v>
      </c>
      <c r="B4039" s="733" t="s">
        <v>645</v>
      </c>
      <c r="C4039" s="733" t="s">
        <v>4047</v>
      </c>
      <c r="D4039" s="733"/>
      <c r="E4039" s="761"/>
      <c r="F4039" s="761"/>
      <c r="G4039" s="733"/>
      <c r="H4039" s="733"/>
      <c r="I4039" s="733"/>
      <c r="J4039" s="733"/>
      <c r="K4039" s="733"/>
      <c r="L4039" s="733"/>
      <c r="M4039" s="733"/>
    </row>
    <row r="4040" spans="1:13" x14ac:dyDescent="0.3">
      <c r="A4040" s="733" t="s">
        <v>4042</v>
      </c>
      <c r="B4040" s="733" t="s">
        <v>645</v>
      </c>
      <c r="C4040" s="733" t="s">
        <v>4048</v>
      </c>
      <c r="D4040" s="733"/>
      <c r="E4040" s="761"/>
      <c r="F4040" s="761"/>
      <c r="G4040" s="733"/>
      <c r="H4040" s="733"/>
      <c r="I4040" s="733"/>
      <c r="J4040" s="733"/>
      <c r="K4040" s="733"/>
      <c r="L4040" s="733"/>
      <c r="M4040" s="733"/>
    </row>
    <row r="4041" spans="1:13" x14ac:dyDescent="0.3">
      <c r="A4041" s="733" t="s">
        <v>4042</v>
      </c>
      <c r="B4041" s="733" t="s">
        <v>645</v>
      </c>
      <c r="C4041" s="733" t="s">
        <v>4049</v>
      </c>
      <c r="D4041" s="733"/>
      <c r="E4041" s="761"/>
      <c r="F4041" s="761"/>
      <c r="G4041" s="733"/>
      <c r="H4041" s="733"/>
      <c r="I4041" s="733"/>
      <c r="J4041" s="733"/>
      <c r="K4041" s="733"/>
      <c r="L4041" s="733"/>
      <c r="M4041" s="733"/>
    </row>
    <row r="4042" spans="1:13" x14ac:dyDescent="0.3">
      <c r="A4042" s="733" t="s">
        <v>4042</v>
      </c>
      <c r="B4042" s="733" t="s">
        <v>645</v>
      </c>
      <c r="C4042" s="733" t="s">
        <v>4050</v>
      </c>
      <c r="D4042" s="733"/>
      <c r="E4042" s="761"/>
      <c r="F4042" s="761"/>
      <c r="G4042" s="733"/>
      <c r="H4042" s="733"/>
      <c r="I4042" s="733"/>
      <c r="J4042" s="733"/>
      <c r="K4042" s="733"/>
      <c r="L4042" s="733"/>
      <c r="M4042" s="733"/>
    </row>
    <row r="4043" spans="1:13" x14ac:dyDescent="0.3">
      <c r="A4043" s="733" t="s">
        <v>4042</v>
      </c>
      <c r="B4043" s="733" t="s">
        <v>645</v>
      </c>
      <c r="C4043" s="733" t="s">
        <v>4051</v>
      </c>
      <c r="D4043" s="733"/>
      <c r="E4043" s="761"/>
      <c r="F4043" s="761"/>
      <c r="G4043" s="733"/>
      <c r="H4043" s="733"/>
      <c r="I4043" s="733"/>
      <c r="J4043" s="733"/>
      <c r="K4043" s="733"/>
      <c r="L4043" s="733"/>
      <c r="M4043" s="733"/>
    </row>
    <row r="4044" spans="1:13" x14ac:dyDescent="0.3">
      <c r="A4044" s="733" t="s">
        <v>4042</v>
      </c>
      <c r="B4044" s="733" t="s">
        <v>645</v>
      </c>
      <c r="C4044" s="733" t="s">
        <v>4052</v>
      </c>
      <c r="D4044" s="733"/>
      <c r="E4044" s="761"/>
      <c r="F4044" s="761"/>
      <c r="G4044" s="733"/>
      <c r="H4044" s="733"/>
      <c r="I4044" s="733"/>
      <c r="J4044" s="733"/>
      <c r="K4044" s="733"/>
      <c r="L4044" s="733"/>
      <c r="M4044" s="733"/>
    </row>
    <row r="4045" spans="1:13" x14ac:dyDescent="0.3">
      <c r="A4045" s="733" t="s">
        <v>4042</v>
      </c>
      <c r="B4045" s="733" t="s">
        <v>664</v>
      </c>
      <c r="C4045" s="733" t="s">
        <v>4053</v>
      </c>
      <c r="D4045" s="733"/>
      <c r="E4045" s="761"/>
      <c r="F4045" s="761"/>
      <c r="G4045" s="733"/>
      <c r="H4045" s="733"/>
      <c r="I4045" s="733"/>
      <c r="J4045" s="733"/>
      <c r="K4045" s="733"/>
      <c r="L4045" s="733"/>
      <c r="M4045" s="733"/>
    </row>
    <row r="4046" spans="1:13" x14ac:dyDescent="0.3">
      <c r="A4046" s="733" t="s">
        <v>4042</v>
      </c>
      <c r="B4046" s="733" t="s">
        <v>664</v>
      </c>
      <c r="C4046" s="733" t="s">
        <v>4054</v>
      </c>
      <c r="D4046" s="733"/>
      <c r="E4046" s="761"/>
      <c r="F4046" s="761"/>
      <c r="G4046" s="733"/>
      <c r="H4046" s="733"/>
      <c r="I4046" s="733"/>
      <c r="J4046" s="733"/>
      <c r="K4046" s="733"/>
      <c r="L4046" s="733"/>
      <c r="M4046" s="733"/>
    </row>
    <row r="4047" spans="1:13" x14ac:dyDescent="0.3">
      <c r="A4047" s="733" t="s">
        <v>4042</v>
      </c>
      <c r="B4047" s="733" t="s">
        <v>664</v>
      </c>
      <c r="C4047" s="733" t="s">
        <v>4055</v>
      </c>
      <c r="D4047" s="733"/>
      <c r="E4047" s="761"/>
      <c r="F4047" s="761"/>
      <c r="G4047" s="733"/>
      <c r="H4047" s="733"/>
      <c r="I4047" s="733"/>
      <c r="J4047" s="733"/>
      <c r="K4047" s="733"/>
      <c r="L4047" s="733"/>
      <c r="M4047" s="733"/>
    </row>
    <row r="4048" spans="1:13" x14ac:dyDescent="0.3">
      <c r="A4048" s="733" t="s">
        <v>4042</v>
      </c>
      <c r="B4048" s="733" t="s">
        <v>664</v>
      </c>
      <c r="C4048" s="733" t="s">
        <v>4056</v>
      </c>
      <c r="D4048" s="733"/>
      <c r="E4048" s="761"/>
      <c r="F4048" s="761"/>
      <c r="G4048" s="733"/>
      <c r="H4048" s="733"/>
      <c r="I4048" s="733"/>
      <c r="J4048" s="733"/>
      <c r="K4048" s="733"/>
      <c r="L4048" s="733"/>
      <c r="M4048" s="733"/>
    </row>
    <row r="4049" spans="1:13" x14ac:dyDescent="0.3">
      <c r="A4049" s="733" t="s">
        <v>4042</v>
      </c>
      <c r="B4049" s="733" t="s">
        <v>664</v>
      </c>
      <c r="C4049" s="733" t="s">
        <v>4057</v>
      </c>
      <c r="D4049" s="733"/>
      <c r="E4049" s="761"/>
      <c r="F4049" s="761"/>
      <c r="G4049" s="733"/>
      <c r="H4049" s="733"/>
      <c r="I4049" s="733"/>
      <c r="J4049" s="733"/>
      <c r="K4049" s="733"/>
      <c r="L4049" s="733"/>
      <c r="M4049" s="733"/>
    </row>
    <row r="4050" spans="1:13" x14ac:dyDescent="0.3">
      <c r="A4050" s="733" t="s">
        <v>4042</v>
      </c>
      <c r="B4050" s="733" t="s">
        <v>664</v>
      </c>
      <c r="C4050" s="733" t="s">
        <v>4058</v>
      </c>
      <c r="D4050" s="733"/>
      <c r="E4050" s="761"/>
      <c r="F4050" s="761"/>
      <c r="G4050" s="733"/>
      <c r="H4050" s="733"/>
      <c r="I4050" s="733"/>
      <c r="J4050" s="733"/>
      <c r="K4050" s="733"/>
      <c r="L4050" s="733"/>
      <c r="M4050" s="733"/>
    </row>
    <row r="4051" spans="1:13" x14ac:dyDescent="0.3">
      <c r="A4051" s="733" t="s">
        <v>4042</v>
      </c>
      <c r="B4051" s="733" t="s">
        <v>664</v>
      </c>
      <c r="C4051" s="733" t="s">
        <v>4059</v>
      </c>
      <c r="D4051" s="733"/>
      <c r="E4051" s="761"/>
      <c r="F4051" s="761"/>
      <c r="G4051" s="733"/>
      <c r="H4051" s="733"/>
      <c r="I4051" s="733"/>
      <c r="J4051" s="733"/>
      <c r="K4051" s="733"/>
      <c r="L4051" s="733"/>
      <c r="M4051" s="733"/>
    </row>
    <row r="4052" spans="1:13" x14ac:dyDescent="0.3">
      <c r="A4052" s="733" t="s">
        <v>4042</v>
      </c>
      <c r="B4052" s="733" t="s">
        <v>664</v>
      </c>
      <c r="C4052" s="733" t="s">
        <v>4060</v>
      </c>
      <c r="D4052" s="733"/>
      <c r="E4052" s="761"/>
      <c r="F4052" s="761"/>
      <c r="G4052" s="733"/>
      <c r="H4052" s="733"/>
      <c r="I4052" s="733"/>
      <c r="J4052" s="733"/>
      <c r="K4052" s="733"/>
      <c r="L4052" s="733"/>
      <c r="M4052" s="733"/>
    </row>
    <row r="4053" spans="1:13" x14ac:dyDescent="0.3">
      <c r="A4053" s="733" t="s">
        <v>4042</v>
      </c>
      <c r="B4053" s="733" t="s">
        <v>664</v>
      </c>
      <c r="C4053" s="733" t="s">
        <v>4061</v>
      </c>
      <c r="D4053" s="733"/>
      <c r="E4053" s="761"/>
      <c r="F4053" s="761"/>
      <c r="G4053" s="733"/>
      <c r="H4053" s="733"/>
      <c r="I4053" s="733"/>
      <c r="J4053" s="733"/>
      <c r="K4053" s="733"/>
      <c r="L4053" s="733"/>
      <c r="M4053" s="733"/>
    </row>
    <row r="4054" spans="1:13" x14ac:dyDescent="0.3">
      <c r="A4054" s="733" t="s">
        <v>4042</v>
      </c>
      <c r="B4054" s="733" t="s">
        <v>664</v>
      </c>
      <c r="C4054" s="733" t="s">
        <v>4062</v>
      </c>
      <c r="D4054" s="733"/>
      <c r="E4054" s="761"/>
      <c r="F4054" s="761"/>
      <c r="G4054" s="733"/>
      <c r="H4054" s="733"/>
      <c r="I4054" s="733"/>
      <c r="J4054" s="733"/>
      <c r="K4054" s="733"/>
      <c r="L4054" s="733"/>
      <c r="M4054" s="733"/>
    </row>
    <row r="4055" spans="1:13" x14ac:dyDescent="0.3">
      <c r="A4055" s="733" t="s">
        <v>4042</v>
      </c>
      <c r="B4055" s="733" t="s">
        <v>612</v>
      </c>
      <c r="C4055" s="733" t="s">
        <v>4063</v>
      </c>
      <c r="D4055" s="733"/>
      <c r="E4055" s="761"/>
      <c r="F4055" s="761"/>
      <c r="G4055" s="733"/>
      <c r="H4055" s="733"/>
      <c r="I4055" s="733"/>
      <c r="J4055" s="733"/>
      <c r="K4055" s="733"/>
      <c r="L4055" s="733"/>
      <c r="M4055" s="733"/>
    </row>
    <row r="4056" spans="1:13" x14ac:dyDescent="0.3">
      <c r="A4056" s="733" t="s">
        <v>4042</v>
      </c>
      <c r="B4056" s="733" t="s">
        <v>612</v>
      </c>
      <c r="C4056" s="733" t="s">
        <v>4064</v>
      </c>
      <c r="D4056" s="733"/>
      <c r="E4056" s="761"/>
      <c r="F4056" s="761"/>
      <c r="G4056" s="733"/>
      <c r="H4056" s="733"/>
      <c r="I4056" s="733"/>
      <c r="J4056" s="733"/>
      <c r="K4056" s="733"/>
      <c r="L4056" s="733"/>
      <c r="M4056" s="733"/>
    </row>
    <row r="4057" spans="1:13" x14ac:dyDescent="0.3">
      <c r="A4057" s="733" t="s">
        <v>4042</v>
      </c>
      <c r="B4057" s="733" t="s">
        <v>612</v>
      </c>
      <c r="C4057" s="733" t="s">
        <v>4065</v>
      </c>
      <c r="D4057" s="733"/>
      <c r="E4057" s="761"/>
      <c r="F4057" s="761"/>
      <c r="G4057" s="733"/>
      <c r="H4057" s="733"/>
      <c r="I4057" s="733"/>
      <c r="J4057" s="733"/>
      <c r="K4057" s="733"/>
      <c r="L4057" s="733"/>
      <c r="M4057" s="733"/>
    </row>
    <row r="4058" spans="1:13" x14ac:dyDescent="0.3">
      <c r="A4058" s="733" t="s">
        <v>4042</v>
      </c>
      <c r="B4058" s="733" t="s">
        <v>612</v>
      </c>
      <c r="C4058" s="733" t="s">
        <v>4066</v>
      </c>
      <c r="D4058" s="733"/>
      <c r="E4058" s="761"/>
      <c r="F4058" s="761"/>
      <c r="G4058" s="733"/>
      <c r="H4058" s="733"/>
      <c r="I4058" s="733"/>
      <c r="J4058" s="733"/>
      <c r="K4058" s="733"/>
      <c r="L4058" s="733"/>
      <c r="M4058" s="733"/>
    </row>
    <row r="4059" spans="1:13" x14ac:dyDescent="0.3">
      <c r="A4059" s="733" t="s">
        <v>4042</v>
      </c>
      <c r="B4059" s="733" t="s">
        <v>612</v>
      </c>
      <c r="C4059" s="733" t="s">
        <v>4067</v>
      </c>
      <c r="D4059" s="733"/>
      <c r="E4059" s="761"/>
      <c r="F4059" s="761"/>
      <c r="G4059" s="733"/>
      <c r="H4059" s="733"/>
      <c r="I4059" s="733"/>
      <c r="J4059" s="733"/>
      <c r="K4059" s="733"/>
      <c r="L4059" s="733"/>
      <c r="M4059" s="733"/>
    </row>
    <row r="4060" spans="1:13" x14ac:dyDescent="0.3">
      <c r="A4060" s="733" t="s">
        <v>4042</v>
      </c>
      <c r="B4060" s="733" t="s">
        <v>612</v>
      </c>
      <c r="C4060" s="733" t="s">
        <v>4068</v>
      </c>
      <c r="D4060" s="733"/>
      <c r="E4060" s="761"/>
      <c r="F4060" s="761"/>
      <c r="G4060" s="733"/>
      <c r="H4060" s="733"/>
      <c r="I4060" s="733"/>
      <c r="J4060" s="733"/>
      <c r="K4060" s="733"/>
      <c r="L4060" s="733"/>
      <c r="M4060" s="733"/>
    </row>
    <row r="4061" spans="1:13" x14ac:dyDescent="0.3">
      <c r="A4061" s="733" t="s">
        <v>4042</v>
      </c>
      <c r="B4061" s="733" t="s">
        <v>612</v>
      </c>
      <c r="C4061" s="733" t="s">
        <v>4069</v>
      </c>
      <c r="D4061" s="733"/>
      <c r="E4061" s="761"/>
      <c r="F4061" s="761"/>
      <c r="G4061" s="733"/>
      <c r="H4061" s="733"/>
      <c r="I4061" s="733"/>
      <c r="J4061" s="733"/>
      <c r="K4061" s="733"/>
      <c r="L4061" s="733"/>
      <c r="M4061" s="733"/>
    </row>
    <row r="4062" spans="1:13" x14ac:dyDescent="0.3">
      <c r="A4062" s="733" t="s">
        <v>4042</v>
      </c>
      <c r="B4062" s="733" t="s">
        <v>612</v>
      </c>
      <c r="C4062" s="733" t="s">
        <v>4070</v>
      </c>
      <c r="D4062" s="733"/>
      <c r="E4062" s="761"/>
      <c r="F4062" s="761"/>
      <c r="G4062" s="733"/>
      <c r="H4062" s="733"/>
      <c r="I4062" s="733"/>
      <c r="J4062" s="733"/>
      <c r="K4062" s="733"/>
      <c r="L4062" s="733"/>
      <c r="M4062" s="733"/>
    </row>
    <row r="4063" spans="1:13" x14ac:dyDescent="0.3">
      <c r="A4063" s="733" t="s">
        <v>4042</v>
      </c>
      <c r="B4063" s="733" t="s">
        <v>612</v>
      </c>
      <c r="C4063" s="733" t="s">
        <v>4071</v>
      </c>
      <c r="D4063" s="733"/>
      <c r="E4063" s="761"/>
      <c r="F4063" s="761"/>
      <c r="G4063" s="733"/>
      <c r="H4063" s="733"/>
      <c r="I4063" s="733"/>
      <c r="J4063" s="733"/>
      <c r="K4063" s="733"/>
      <c r="L4063" s="733"/>
      <c r="M4063" s="733"/>
    </row>
    <row r="4064" spans="1:13" x14ac:dyDescent="0.3">
      <c r="A4064" s="733" t="s">
        <v>4042</v>
      </c>
      <c r="B4064" s="733" t="s">
        <v>612</v>
      </c>
      <c r="C4064" s="733" t="s">
        <v>4072</v>
      </c>
      <c r="D4064" s="733"/>
      <c r="E4064" s="761"/>
      <c r="F4064" s="761"/>
      <c r="G4064" s="733"/>
      <c r="H4064" s="733"/>
      <c r="I4064" s="733"/>
      <c r="J4064" s="733"/>
      <c r="K4064" s="733"/>
      <c r="L4064" s="733"/>
      <c r="M4064" s="733"/>
    </row>
    <row r="4065" spans="1:13" x14ac:dyDescent="0.3">
      <c r="A4065" s="733" t="s">
        <v>2872</v>
      </c>
      <c r="B4065" s="733" t="s">
        <v>645</v>
      </c>
      <c r="C4065" s="733" t="s">
        <v>4073</v>
      </c>
      <c r="D4065" s="733"/>
      <c r="E4065" s="761"/>
      <c r="F4065" s="761"/>
      <c r="G4065" s="733"/>
      <c r="H4065" s="733"/>
      <c r="I4065" s="733"/>
      <c r="J4065" s="733"/>
      <c r="K4065" s="733"/>
      <c r="L4065" s="733"/>
      <c r="M4065" s="733"/>
    </row>
    <row r="4066" spans="1:13" x14ac:dyDescent="0.3">
      <c r="A4066" s="733" t="s">
        <v>2872</v>
      </c>
      <c r="B4066" s="733" t="s">
        <v>645</v>
      </c>
      <c r="C4066" s="733" t="s">
        <v>4074</v>
      </c>
      <c r="D4066" s="733"/>
      <c r="E4066" s="761"/>
      <c r="F4066" s="761"/>
      <c r="G4066" s="733"/>
      <c r="H4066" s="733"/>
      <c r="I4066" s="733"/>
      <c r="J4066" s="733"/>
      <c r="K4066" s="733"/>
      <c r="L4066" s="733"/>
      <c r="M4066" s="733"/>
    </row>
    <row r="4067" spans="1:13" x14ac:dyDescent="0.3">
      <c r="A4067" s="733" t="s">
        <v>2872</v>
      </c>
      <c r="B4067" s="733" t="s">
        <v>645</v>
      </c>
      <c r="C4067" s="733" t="s">
        <v>4075</v>
      </c>
      <c r="D4067" s="733"/>
      <c r="E4067" s="761"/>
      <c r="F4067" s="761"/>
      <c r="G4067" s="733"/>
      <c r="H4067" s="733"/>
      <c r="I4067" s="733"/>
      <c r="J4067" s="733"/>
      <c r="K4067" s="733"/>
      <c r="L4067" s="733"/>
      <c r="M4067" s="733"/>
    </row>
    <row r="4068" spans="1:13" x14ac:dyDescent="0.3">
      <c r="A4068" s="733" t="s">
        <v>2872</v>
      </c>
      <c r="B4068" s="733" t="s">
        <v>645</v>
      </c>
      <c r="C4068" s="733" t="s">
        <v>4076</v>
      </c>
      <c r="D4068" s="733"/>
      <c r="E4068" s="761"/>
      <c r="F4068" s="761"/>
      <c r="G4068" s="733"/>
      <c r="H4068" s="733"/>
      <c r="I4068" s="733"/>
      <c r="J4068" s="733"/>
      <c r="K4068" s="733"/>
      <c r="L4068" s="733"/>
      <c r="M4068" s="733"/>
    </row>
    <row r="4069" spans="1:13" x14ac:dyDescent="0.3">
      <c r="A4069" s="733" t="s">
        <v>2872</v>
      </c>
      <c r="B4069" s="733" t="s">
        <v>645</v>
      </c>
      <c r="C4069" s="733" t="s">
        <v>4077</v>
      </c>
      <c r="D4069" s="733"/>
      <c r="E4069" s="761"/>
      <c r="F4069" s="761"/>
      <c r="G4069" s="733"/>
      <c r="H4069" s="733"/>
      <c r="I4069" s="733"/>
      <c r="J4069" s="733"/>
      <c r="K4069" s="733"/>
      <c r="L4069" s="733"/>
      <c r="M4069" s="733"/>
    </row>
    <row r="4070" spans="1:13" x14ac:dyDescent="0.3">
      <c r="A4070" s="733" t="s">
        <v>2872</v>
      </c>
      <c r="B4070" s="733" t="s">
        <v>645</v>
      </c>
      <c r="C4070" s="733" t="s">
        <v>4078</v>
      </c>
      <c r="D4070" s="733"/>
      <c r="E4070" s="761"/>
      <c r="F4070" s="761"/>
      <c r="G4070" s="733"/>
      <c r="H4070" s="733"/>
      <c r="I4070" s="733"/>
      <c r="J4070" s="733"/>
      <c r="K4070" s="733"/>
      <c r="L4070" s="733"/>
      <c r="M4070" s="733"/>
    </row>
    <row r="4071" spans="1:13" x14ac:dyDescent="0.3">
      <c r="A4071" s="733" t="s">
        <v>2872</v>
      </c>
      <c r="B4071" s="733" t="s">
        <v>645</v>
      </c>
      <c r="C4071" s="733" t="s">
        <v>4079</v>
      </c>
      <c r="D4071" s="733"/>
      <c r="E4071" s="761"/>
      <c r="F4071" s="761"/>
      <c r="G4071" s="733"/>
      <c r="H4071" s="733"/>
      <c r="I4071" s="733"/>
      <c r="J4071" s="733"/>
      <c r="K4071" s="733"/>
      <c r="L4071" s="733"/>
      <c r="M4071" s="733"/>
    </row>
    <row r="4072" spans="1:13" x14ac:dyDescent="0.3">
      <c r="A4072" s="733" t="s">
        <v>2872</v>
      </c>
      <c r="B4072" s="733" t="s">
        <v>645</v>
      </c>
      <c r="C4072" s="733" t="s">
        <v>4080</v>
      </c>
      <c r="D4072" s="733"/>
      <c r="E4072" s="761"/>
      <c r="F4072" s="761"/>
      <c r="G4072" s="733"/>
      <c r="H4072" s="733"/>
      <c r="I4072" s="733"/>
      <c r="J4072" s="733"/>
      <c r="K4072" s="733"/>
      <c r="L4072" s="733"/>
      <c r="M4072" s="733"/>
    </row>
    <row r="4073" spans="1:13" x14ac:dyDescent="0.3">
      <c r="A4073" s="733" t="s">
        <v>2872</v>
      </c>
      <c r="B4073" s="733" t="s">
        <v>645</v>
      </c>
      <c r="C4073" s="733" t="s">
        <v>4081</v>
      </c>
      <c r="D4073" s="733"/>
      <c r="E4073" s="761"/>
      <c r="F4073" s="761"/>
      <c r="G4073" s="733"/>
      <c r="H4073" s="733"/>
      <c r="I4073" s="733"/>
      <c r="J4073" s="733"/>
      <c r="K4073" s="733"/>
      <c r="L4073" s="733"/>
      <c r="M4073" s="733"/>
    </row>
    <row r="4074" spans="1:13" x14ac:dyDescent="0.3">
      <c r="A4074" s="733" t="s">
        <v>2872</v>
      </c>
      <c r="B4074" s="733" t="s">
        <v>645</v>
      </c>
      <c r="C4074" s="733" t="s">
        <v>4082</v>
      </c>
      <c r="D4074" s="733"/>
      <c r="E4074" s="761"/>
      <c r="F4074" s="761"/>
      <c r="G4074" s="733"/>
      <c r="H4074" s="733"/>
      <c r="I4074" s="733"/>
      <c r="J4074" s="733"/>
      <c r="K4074" s="733"/>
      <c r="L4074" s="733"/>
      <c r="M4074" s="733"/>
    </row>
    <row r="4075" spans="1:13" x14ac:dyDescent="0.3">
      <c r="A4075" s="733" t="s">
        <v>2872</v>
      </c>
      <c r="B4075" s="733" t="s">
        <v>664</v>
      </c>
      <c r="C4075" s="733" t="s">
        <v>4083</v>
      </c>
      <c r="D4075" s="733"/>
      <c r="E4075" s="761"/>
      <c r="F4075" s="761"/>
      <c r="G4075" s="733"/>
      <c r="H4075" s="733"/>
      <c r="I4075" s="733"/>
      <c r="J4075" s="733"/>
      <c r="K4075" s="733"/>
      <c r="L4075" s="733"/>
      <c r="M4075" s="733"/>
    </row>
    <row r="4076" spans="1:13" x14ac:dyDescent="0.3">
      <c r="A4076" s="733" t="s">
        <v>2872</v>
      </c>
      <c r="B4076" s="733" t="s">
        <v>664</v>
      </c>
      <c r="C4076" s="733" t="s">
        <v>4084</v>
      </c>
      <c r="D4076" s="733"/>
      <c r="E4076" s="761"/>
      <c r="F4076" s="761"/>
      <c r="G4076" s="733"/>
      <c r="H4076" s="733"/>
      <c r="I4076" s="733"/>
      <c r="J4076" s="733"/>
      <c r="K4076" s="733"/>
      <c r="L4076" s="733"/>
      <c r="M4076" s="733"/>
    </row>
    <row r="4077" spans="1:13" x14ac:dyDescent="0.3">
      <c r="A4077" s="733" t="s">
        <v>2872</v>
      </c>
      <c r="B4077" s="733" t="s">
        <v>664</v>
      </c>
      <c r="C4077" s="733" t="s">
        <v>4085</v>
      </c>
      <c r="D4077" s="733"/>
      <c r="E4077" s="761"/>
      <c r="F4077" s="761"/>
      <c r="G4077" s="733"/>
      <c r="H4077" s="733"/>
      <c r="I4077" s="733"/>
      <c r="J4077" s="733"/>
      <c r="K4077" s="733"/>
      <c r="L4077" s="733"/>
      <c r="M4077" s="733"/>
    </row>
    <row r="4078" spans="1:13" x14ac:dyDescent="0.3">
      <c r="A4078" s="733" t="s">
        <v>2872</v>
      </c>
      <c r="B4078" s="733" t="s">
        <v>664</v>
      </c>
      <c r="C4078" s="733" t="s">
        <v>4086</v>
      </c>
      <c r="D4078" s="733"/>
      <c r="E4078" s="761"/>
      <c r="F4078" s="761"/>
      <c r="G4078" s="733"/>
      <c r="H4078" s="733"/>
      <c r="I4078" s="733"/>
      <c r="J4078" s="733"/>
      <c r="K4078" s="733"/>
      <c r="L4078" s="733"/>
      <c r="M4078" s="733"/>
    </row>
    <row r="4079" spans="1:13" x14ac:dyDescent="0.3">
      <c r="A4079" s="733" t="s">
        <v>2872</v>
      </c>
      <c r="B4079" s="733" t="s">
        <v>664</v>
      </c>
      <c r="C4079" s="733" t="s">
        <v>4087</v>
      </c>
      <c r="D4079" s="733"/>
      <c r="E4079" s="761"/>
      <c r="F4079" s="761"/>
      <c r="G4079" s="733"/>
      <c r="H4079" s="733"/>
      <c r="I4079" s="733"/>
      <c r="J4079" s="733"/>
      <c r="K4079" s="733"/>
      <c r="L4079" s="733"/>
      <c r="M4079" s="733"/>
    </row>
    <row r="4080" spans="1:13" x14ac:dyDescent="0.3">
      <c r="A4080" s="733" t="s">
        <v>2872</v>
      </c>
      <c r="B4080" s="733" t="s">
        <v>664</v>
      </c>
      <c r="C4080" s="733" t="s">
        <v>4088</v>
      </c>
      <c r="D4080" s="733"/>
      <c r="E4080" s="761"/>
      <c r="F4080" s="761"/>
      <c r="G4080" s="733"/>
      <c r="H4080" s="733"/>
      <c r="I4080" s="733"/>
      <c r="J4080" s="733"/>
      <c r="K4080" s="733"/>
      <c r="L4080" s="733"/>
      <c r="M4080" s="733"/>
    </row>
    <row r="4081" spans="1:13" x14ac:dyDescent="0.3">
      <c r="A4081" s="733" t="s">
        <v>2872</v>
      </c>
      <c r="B4081" s="733" t="s">
        <v>664</v>
      </c>
      <c r="C4081" s="733" t="s">
        <v>4089</v>
      </c>
      <c r="D4081" s="733"/>
      <c r="E4081" s="761"/>
      <c r="F4081" s="761"/>
      <c r="G4081" s="733"/>
      <c r="H4081" s="733"/>
      <c r="I4081" s="733"/>
      <c r="J4081" s="733"/>
      <c r="K4081" s="733"/>
      <c r="L4081" s="733"/>
      <c r="M4081" s="733"/>
    </row>
    <row r="4082" spans="1:13" x14ac:dyDescent="0.3">
      <c r="A4082" s="733" t="s">
        <v>2872</v>
      </c>
      <c r="B4082" s="733" t="s">
        <v>664</v>
      </c>
      <c r="C4082" s="733" t="s">
        <v>4090</v>
      </c>
      <c r="D4082" s="733"/>
      <c r="E4082" s="761"/>
      <c r="F4082" s="761"/>
      <c r="G4082" s="733"/>
      <c r="H4082" s="733"/>
      <c r="I4082" s="733"/>
      <c r="J4082" s="733"/>
      <c r="K4082" s="733"/>
      <c r="L4082" s="733"/>
      <c r="M4082" s="733"/>
    </row>
    <row r="4083" spans="1:13" x14ac:dyDescent="0.3">
      <c r="A4083" s="733" t="s">
        <v>2872</v>
      </c>
      <c r="B4083" s="733" t="s">
        <v>664</v>
      </c>
      <c r="C4083" s="733" t="s">
        <v>4091</v>
      </c>
      <c r="D4083" s="733"/>
      <c r="E4083" s="761"/>
      <c r="F4083" s="761"/>
      <c r="G4083" s="733"/>
      <c r="H4083" s="733"/>
      <c r="I4083" s="733"/>
      <c r="J4083" s="733"/>
      <c r="K4083" s="733"/>
      <c r="L4083" s="733"/>
      <c r="M4083" s="733"/>
    </row>
    <row r="4084" spans="1:13" x14ac:dyDescent="0.3">
      <c r="A4084" s="733" t="s">
        <v>2872</v>
      </c>
      <c r="B4084" s="733" t="s">
        <v>664</v>
      </c>
      <c r="C4084" s="733" t="s">
        <v>4092</v>
      </c>
      <c r="D4084" s="733"/>
      <c r="E4084" s="761"/>
      <c r="F4084" s="761"/>
      <c r="G4084" s="733"/>
      <c r="H4084" s="733"/>
      <c r="I4084" s="733"/>
      <c r="J4084" s="733"/>
      <c r="K4084" s="733"/>
      <c r="L4084" s="733"/>
      <c r="M4084" s="733"/>
    </row>
    <row r="4085" spans="1:13" x14ac:dyDescent="0.3">
      <c r="A4085" s="733" t="s">
        <v>2872</v>
      </c>
      <c r="B4085" s="733" t="s">
        <v>612</v>
      </c>
      <c r="C4085" s="733" t="s">
        <v>4093</v>
      </c>
      <c r="D4085" s="733"/>
      <c r="E4085" s="761"/>
      <c r="F4085" s="761"/>
      <c r="G4085" s="733"/>
      <c r="H4085" s="733"/>
      <c r="I4085" s="733"/>
      <c r="J4085" s="733"/>
      <c r="K4085" s="733"/>
      <c r="L4085" s="733"/>
      <c r="M4085" s="733"/>
    </row>
    <row r="4086" spans="1:13" x14ac:dyDescent="0.3">
      <c r="A4086" s="733" t="s">
        <v>2872</v>
      </c>
      <c r="B4086" s="733" t="s">
        <v>612</v>
      </c>
      <c r="C4086" s="733" t="s">
        <v>4094</v>
      </c>
      <c r="D4086" s="733"/>
      <c r="E4086" s="761"/>
      <c r="F4086" s="761"/>
      <c r="G4086" s="733"/>
      <c r="H4086" s="733"/>
      <c r="I4086" s="733"/>
      <c r="J4086" s="733"/>
      <c r="K4086" s="733"/>
      <c r="L4086" s="733"/>
      <c r="M4086" s="733"/>
    </row>
    <row r="4087" spans="1:13" x14ac:dyDescent="0.3">
      <c r="A4087" s="733" t="s">
        <v>2872</v>
      </c>
      <c r="B4087" s="733" t="s">
        <v>612</v>
      </c>
      <c r="C4087" s="733" t="s">
        <v>4095</v>
      </c>
      <c r="D4087" s="733"/>
      <c r="E4087" s="761"/>
      <c r="F4087" s="761"/>
      <c r="G4087" s="733"/>
      <c r="H4087" s="733"/>
      <c r="I4087" s="733"/>
      <c r="J4087" s="733"/>
      <c r="K4087" s="733"/>
      <c r="L4087" s="733"/>
      <c r="M4087" s="733"/>
    </row>
    <row r="4088" spans="1:13" x14ac:dyDescent="0.3">
      <c r="A4088" s="733" t="s">
        <v>2872</v>
      </c>
      <c r="B4088" s="733" t="s">
        <v>612</v>
      </c>
      <c r="C4088" s="733" t="s">
        <v>4096</v>
      </c>
      <c r="D4088" s="733"/>
      <c r="E4088" s="761"/>
      <c r="F4088" s="761"/>
      <c r="G4088" s="733"/>
      <c r="H4088" s="733"/>
      <c r="I4088" s="733"/>
      <c r="J4088" s="733"/>
      <c r="K4088" s="733"/>
      <c r="L4088" s="733"/>
      <c r="M4088" s="733"/>
    </row>
    <row r="4089" spans="1:13" x14ac:dyDescent="0.3">
      <c r="A4089" s="733" t="s">
        <v>2872</v>
      </c>
      <c r="B4089" s="733" t="s">
        <v>612</v>
      </c>
      <c r="C4089" s="733" t="s">
        <v>4097</v>
      </c>
      <c r="D4089" s="733"/>
      <c r="E4089" s="761"/>
      <c r="F4089" s="761"/>
      <c r="G4089" s="733"/>
      <c r="H4089" s="733"/>
      <c r="I4089" s="733"/>
      <c r="J4089" s="733"/>
      <c r="K4089" s="733"/>
      <c r="L4089" s="733"/>
      <c r="M4089" s="733"/>
    </row>
    <row r="4090" spans="1:13" x14ac:dyDescent="0.3">
      <c r="A4090" s="733" t="s">
        <v>2872</v>
      </c>
      <c r="B4090" s="733" t="s">
        <v>612</v>
      </c>
      <c r="C4090" s="733" t="s">
        <v>4098</v>
      </c>
      <c r="D4090" s="733"/>
      <c r="E4090" s="761"/>
      <c r="F4090" s="761"/>
      <c r="G4090" s="733"/>
      <c r="H4090" s="733"/>
      <c r="I4090" s="733"/>
      <c r="J4090" s="733"/>
      <c r="K4090" s="733"/>
      <c r="L4090" s="733"/>
      <c r="M4090" s="733"/>
    </row>
    <row r="4091" spans="1:13" x14ac:dyDescent="0.3">
      <c r="A4091" s="733" t="s">
        <v>2872</v>
      </c>
      <c r="B4091" s="733" t="s">
        <v>612</v>
      </c>
      <c r="C4091" s="733" t="s">
        <v>4099</v>
      </c>
      <c r="D4091" s="733"/>
      <c r="E4091" s="761"/>
      <c r="F4091" s="761"/>
      <c r="G4091" s="733"/>
      <c r="H4091" s="733"/>
      <c r="I4091" s="733"/>
      <c r="J4091" s="733"/>
      <c r="K4091" s="733"/>
      <c r="L4091" s="733"/>
      <c r="M4091" s="733"/>
    </row>
    <row r="4092" spans="1:13" x14ac:dyDescent="0.3">
      <c r="A4092" s="733" t="s">
        <v>2872</v>
      </c>
      <c r="B4092" s="733" t="s">
        <v>612</v>
      </c>
      <c r="C4092" s="733" t="s">
        <v>4100</v>
      </c>
      <c r="D4092" s="733"/>
      <c r="E4092" s="761"/>
      <c r="F4092" s="761"/>
      <c r="G4092" s="733"/>
      <c r="H4092" s="733"/>
      <c r="I4092" s="733"/>
      <c r="J4092" s="733"/>
      <c r="K4092" s="733"/>
      <c r="L4092" s="733"/>
      <c r="M4092" s="733"/>
    </row>
    <row r="4093" spans="1:13" x14ac:dyDescent="0.3">
      <c r="A4093" s="733" t="s">
        <v>2872</v>
      </c>
      <c r="B4093" s="733" t="s">
        <v>612</v>
      </c>
      <c r="C4093" s="733" t="s">
        <v>4101</v>
      </c>
      <c r="D4093" s="733"/>
      <c r="E4093" s="761"/>
      <c r="F4093" s="761"/>
      <c r="G4093" s="733"/>
      <c r="H4093" s="733"/>
      <c r="I4093" s="733"/>
      <c r="J4093" s="733"/>
      <c r="K4093" s="733"/>
      <c r="L4093" s="733"/>
      <c r="M4093" s="733"/>
    </row>
    <row r="4094" spans="1:13" x14ac:dyDescent="0.3">
      <c r="A4094" s="733" t="s">
        <v>2872</v>
      </c>
      <c r="B4094" s="733" t="s">
        <v>612</v>
      </c>
      <c r="C4094" s="733" t="s">
        <v>4102</v>
      </c>
      <c r="D4094" s="733"/>
      <c r="E4094" s="761"/>
      <c r="F4094" s="761"/>
      <c r="G4094" s="733"/>
      <c r="H4094" s="733"/>
      <c r="I4094" s="733"/>
      <c r="J4094" s="733"/>
      <c r="K4094" s="733"/>
      <c r="L4094" s="733"/>
      <c r="M4094" s="733"/>
    </row>
    <row r="4095" spans="1:13" x14ac:dyDescent="0.3">
      <c r="A4095" s="733" t="s">
        <v>4103</v>
      </c>
      <c r="B4095" s="733" t="s">
        <v>645</v>
      </c>
      <c r="C4095" s="733" t="s">
        <v>4104</v>
      </c>
      <c r="D4095" s="733"/>
      <c r="E4095" s="761"/>
      <c r="F4095" s="761"/>
      <c r="G4095" s="733"/>
      <c r="H4095" s="733"/>
      <c r="I4095" s="733"/>
      <c r="J4095" s="733"/>
      <c r="K4095" s="733"/>
      <c r="L4095" s="733"/>
      <c r="M4095" s="733"/>
    </row>
    <row r="4096" spans="1:13" x14ac:dyDescent="0.3">
      <c r="A4096" s="733" t="s">
        <v>4103</v>
      </c>
      <c r="B4096" s="733" t="s">
        <v>645</v>
      </c>
      <c r="C4096" s="733" t="s">
        <v>4105</v>
      </c>
      <c r="D4096" s="733"/>
      <c r="E4096" s="761"/>
      <c r="F4096" s="761"/>
      <c r="G4096" s="733"/>
      <c r="H4096" s="733"/>
      <c r="I4096" s="733"/>
      <c r="J4096" s="733"/>
      <c r="K4096" s="733"/>
      <c r="L4096" s="733"/>
      <c r="M4096" s="733"/>
    </row>
    <row r="4097" spans="1:13" x14ac:dyDescent="0.3">
      <c r="A4097" s="733" t="s">
        <v>4103</v>
      </c>
      <c r="B4097" s="733" t="s">
        <v>645</v>
      </c>
      <c r="C4097" s="733" t="s">
        <v>4106</v>
      </c>
      <c r="D4097" s="733"/>
      <c r="E4097" s="761"/>
      <c r="F4097" s="761"/>
      <c r="G4097" s="733"/>
      <c r="H4097" s="733"/>
      <c r="I4097" s="733"/>
      <c r="J4097" s="733"/>
      <c r="K4097" s="733"/>
      <c r="L4097" s="733"/>
      <c r="M4097" s="733"/>
    </row>
    <row r="4098" spans="1:13" x14ac:dyDescent="0.3">
      <c r="A4098" s="733" t="s">
        <v>4103</v>
      </c>
      <c r="B4098" s="733" t="s">
        <v>645</v>
      </c>
      <c r="C4098" s="733" t="s">
        <v>4107</v>
      </c>
      <c r="D4098" s="733"/>
      <c r="E4098" s="761"/>
      <c r="F4098" s="761"/>
      <c r="G4098" s="733"/>
      <c r="H4098" s="733"/>
      <c r="I4098" s="733"/>
      <c r="J4098" s="733"/>
      <c r="K4098" s="733"/>
      <c r="L4098" s="733"/>
      <c r="M4098" s="733"/>
    </row>
    <row r="4099" spans="1:13" x14ac:dyDescent="0.3">
      <c r="A4099" s="733" t="s">
        <v>4103</v>
      </c>
      <c r="B4099" s="733" t="s">
        <v>645</v>
      </c>
      <c r="C4099" s="733" t="s">
        <v>4108</v>
      </c>
      <c r="D4099" s="733"/>
      <c r="E4099" s="761"/>
      <c r="F4099" s="761"/>
      <c r="G4099" s="733"/>
      <c r="H4099" s="733"/>
      <c r="I4099" s="733"/>
      <c r="J4099" s="733"/>
      <c r="K4099" s="733"/>
      <c r="L4099" s="733"/>
      <c r="M4099" s="733"/>
    </row>
    <row r="4100" spans="1:13" x14ac:dyDescent="0.3">
      <c r="A4100" s="733" t="s">
        <v>4103</v>
      </c>
      <c r="B4100" s="733" t="s">
        <v>645</v>
      </c>
      <c r="C4100" s="733" t="s">
        <v>4109</v>
      </c>
      <c r="D4100" s="733"/>
      <c r="E4100" s="761"/>
      <c r="F4100" s="761"/>
      <c r="G4100" s="733"/>
      <c r="H4100" s="733"/>
      <c r="I4100" s="733"/>
      <c r="J4100" s="733"/>
      <c r="K4100" s="733"/>
      <c r="L4100" s="733"/>
      <c r="M4100" s="733"/>
    </row>
    <row r="4101" spans="1:13" x14ac:dyDescent="0.3">
      <c r="A4101" s="733" t="s">
        <v>4103</v>
      </c>
      <c r="B4101" s="733" t="s">
        <v>645</v>
      </c>
      <c r="C4101" s="733" t="s">
        <v>4110</v>
      </c>
      <c r="D4101" s="733"/>
      <c r="E4101" s="761"/>
      <c r="F4101" s="761"/>
      <c r="G4101" s="733"/>
      <c r="H4101" s="733"/>
      <c r="I4101" s="733"/>
      <c r="J4101" s="733"/>
      <c r="K4101" s="733"/>
      <c r="L4101" s="733"/>
      <c r="M4101" s="733"/>
    </row>
    <row r="4102" spans="1:13" x14ac:dyDescent="0.3">
      <c r="A4102" s="733" t="s">
        <v>4103</v>
      </c>
      <c r="B4102" s="733" t="s">
        <v>645</v>
      </c>
      <c r="C4102" s="733" t="s">
        <v>4111</v>
      </c>
      <c r="D4102" s="733"/>
      <c r="E4102" s="761"/>
      <c r="F4102" s="761"/>
      <c r="G4102" s="733"/>
      <c r="H4102" s="733"/>
      <c r="I4102" s="733"/>
      <c r="J4102" s="733"/>
      <c r="K4102" s="733"/>
      <c r="L4102" s="733"/>
      <c r="M4102" s="733"/>
    </row>
    <row r="4103" spans="1:13" x14ac:dyDescent="0.3">
      <c r="A4103" s="733" t="s">
        <v>4103</v>
      </c>
      <c r="B4103" s="733" t="s">
        <v>645</v>
      </c>
      <c r="C4103" s="733" t="s">
        <v>4112</v>
      </c>
      <c r="D4103" s="733"/>
      <c r="E4103" s="761"/>
      <c r="F4103" s="761"/>
      <c r="G4103" s="733"/>
      <c r="H4103" s="733"/>
      <c r="I4103" s="733"/>
      <c r="J4103" s="733"/>
      <c r="K4103" s="733"/>
      <c r="L4103" s="733"/>
      <c r="M4103" s="733"/>
    </row>
    <row r="4104" spans="1:13" x14ac:dyDescent="0.3">
      <c r="A4104" s="733" t="s">
        <v>4103</v>
      </c>
      <c r="B4104" s="733" t="s">
        <v>645</v>
      </c>
      <c r="C4104" s="733" t="s">
        <v>4113</v>
      </c>
      <c r="D4104" s="733"/>
      <c r="E4104" s="761"/>
      <c r="F4104" s="761"/>
      <c r="G4104" s="733"/>
      <c r="H4104" s="733"/>
      <c r="I4104" s="733"/>
      <c r="J4104" s="733"/>
      <c r="K4104" s="733"/>
      <c r="L4104" s="733"/>
      <c r="M4104" s="733"/>
    </row>
    <row r="4105" spans="1:13" x14ac:dyDescent="0.3">
      <c r="A4105" s="733" t="s">
        <v>4103</v>
      </c>
      <c r="B4105" s="733" t="s">
        <v>664</v>
      </c>
      <c r="C4105" s="733" t="s">
        <v>4114</v>
      </c>
      <c r="D4105" s="733"/>
      <c r="E4105" s="761"/>
      <c r="F4105" s="761"/>
      <c r="G4105" s="733"/>
      <c r="H4105" s="733"/>
      <c r="I4105" s="733"/>
      <c r="J4105" s="733"/>
      <c r="K4105" s="733"/>
      <c r="L4105" s="733"/>
      <c r="M4105" s="733"/>
    </row>
    <row r="4106" spans="1:13" x14ac:dyDescent="0.3">
      <c r="A4106" s="733" t="s">
        <v>4103</v>
      </c>
      <c r="B4106" s="733" t="s">
        <v>664</v>
      </c>
      <c r="C4106" s="733" t="s">
        <v>4115</v>
      </c>
      <c r="D4106" s="733"/>
      <c r="E4106" s="761"/>
      <c r="F4106" s="761"/>
      <c r="G4106" s="733"/>
      <c r="H4106" s="733"/>
      <c r="I4106" s="733"/>
      <c r="J4106" s="733"/>
      <c r="K4106" s="733"/>
      <c r="L4106" s="733"/>
      <c r="M4106" s="733"/>
    </row>
    <row r="4107" spans="1:13" x14ac:dyDescent="0.3">
      <c r="A4107" s="733" t="s">
        <v>4103</v>
      </c>
      <c r="B4107" s="733" t="s">
        <v>664</v>
      </c>
      <c r="C4107" s="733" t="s">
        <v>4116</v>
      </c>
      <c r="D4107" s="733"/>
      <c r="E4107" s="761"/>
      <c r="F4107" s="761"/>
      <c r="G4107" s="733"/>
      <c r="H4107" s="733"/>
      <c r="I4107" s="733"/>
      <c r="J4107" s="733"/>
      <c r="K4107" s="733"/>
      <c r="L4107" s="733"/>
      <c r="M4107" s="733"/>
    </row>
    <row r="4108" spans="1:13" x14ac:dyDescent="0.3">
      <c r="A4108" s="733" t="s">
        <v>4103</v>
      </c>
      <c r="B4108" s="733" t="s">
        <v>664</v>
      </c>
      <c r="C4108" s="733" t="s">
        <v>4117</v>
      </c>
      <c r="D4108" s="733"/>
      <c r="E4108" s="761"/>
      <c r="F4108" s="761"/>
      <c r="G4108" s="733"/>
      <c r="H4108" s="733"/>
      <c r="I4108" s="733"/>
      <c r="J4108" s="733"/>
      <c r="K4108" s="733"/>
      <c r="L4108" s="733"/>
      <c r="M4108" s="733"/>
    </row>
    <row r="4109" spans="1:13" x14ac:dyDescent="0.3">
      <c r="A4109" s="733" t="s">
        <v>4103</v>
      </c>
      <c r="B4109" s="733" t="s">
        <v>664</v>
      </c>
      <c r="C4109" s="733" t="s">
        <v>4118</v>
      </c>
      <c r="D4109" s="733"/>
      <c r="E4109" s="761"/>
      <c r="F4109" s="761"/>
      <c r="G4109" s="733"/>
      <c r="H4109" s="733"/>
      <c r="I4109" s="733"/>
      <c r="J4109" s="733"/>
      <c r="K4109" s="733"/>
      <c r="L4109" s="733"/>
      <c r="M4109" s="733"/>
    </row>
    <row r="4110" spans="1:13" x14ac:dyDescent="0.3">
      <c r="A4110" s="733" t="s">
        <v>4103</v>
      </c>
      <c r="B4110" s="733" t="s">
        <v>664</v>
      </c>
      <c r="C4110" s="733" t="s">
        <v>4119</v>
      </c>
      <c r="D4110" s="733"/>
      <c r="E4110" s="761"/>
      <c r="F4110" s="761"/>
      <c r="G4110" s="733"/>
      <c r="H4110" s="733"/>
      <c r="I4110" s="733"/>
      <c r="J4110" s="733"/>
      <c r="K4110" s="733"/>
      <c r="L4110" s="733"/>
      <c r="M4110" s="733"/>
    </row>
    <row r="4111" spans="1:13" x14ac:dyDescent="0.3">
      <c r="A4111" s="733" t="s">
        <v>4103</v>
      </c>
      <c r="B4111" s="733" t="s">
        <v>664</v>
      </c>
      <c r="C4111" s="733" t="s">
        <v>4120</v>
      </c>
      <c r="D4111" s="733"/>
      <c r="E4111" s="761"/>
      <c r="F4111" s="761"/>
      <c r="G4111" s="733"/>
      <c r="H4111" s="733"/>
      <c r="I4111" s="733"/>
      <c r="J4111" s="733"/>
      <c r="K4111" s="733"/>
      <c r="L4111" s="733"/>
      <c r="M4111" s="733"/>
    </row>
    <row r="4112" spans="1:13" x14ac:dyDescent="0.3">
      <c r="A4112" s="733" t="s">
        <v>4103</v>
      </c>
      <c r="B4112" s="733" t="s">
        <v>664</v>
      </c>
      <c r="C4112" s="733" t="s">
        <v>4121</v>
      </c>
      <c r="D4112" s="733"/>
      <c r="E4112" s="761"/>
      <c r="F4112" s="761"/>
      <c r="G4112" s="733"/>
      <c r="H4112" s="733"/>
      <c r="I4112" s="733"/>
      <c r="J4112" s="733"/>
      <c r="K4112" s="733"/>
      <c r="L4112" s="733"/>
      <c r="M4112" s="733"/>
    </row>
    <row r="4113" spans="1:13" x14ac:dyDescent="0.3">
      <c r="A4113" s="733" t="s">
        <v>4103</v>
      </c>
      <c r="B4113" s="733" t="s">
        <v>664</v>
      </c>
      <c r="C4113" s="733" t="s">
        <v>4122</v>
      </c>
      <c r="D4113" s="733"/>
      <c r="E4113" s="761"/>
      <c r="F4113" s="761"/>
      <c r="G4113" s="733"/>
      <c r="H4113" s="733"/>
      <c r="I4113" s="733"/>
      <c r="J4113" s="733"/>
      <c r="K4113" s="733"/>
      <c r="L4113" s="733"/>
      <c r="M4113" s="733"/>
    </row>
    <row r="4114" spans="1:13" x14ac:dyDescent="0.3">
      <c r="A4114" s="733" t="s">
        <v>4103</v>
      </c>
      <c r="B4114" s="733" t="s">
        <v>664</v>
      </c>
      <c r="C4114" s="733" t="s">
        <v>4123</v>
      </c>
      <c r="D4114" s="733"/>
      <c r="E4114" s="761"/>
      <c r="F4114" s="761"/>
      <c r="G4114" s="733"/>
      <c r="H4114" s="733"/>
      <c r="I4114" s="733"/>
      <c r="J4114" s="733"/>
      <c r="K4114" s="733"/>
      <c r="L4114" s="733"/>
      <c r="M4114" s="733"/>
    </row>
    <row r="4115" spans="1:13" x14ac:dyDescent="0.3">
      <c r="A4115" s="733" t="s">
        <v>4103</v>
      </c>
      <c r="B4115" s="733" t="s">
        <v>612</v>
      </c>
      <c r="C4115" s="733" t="s">
        <v>4124</v>
      </c>
      <c r="D4115" s="733"/>
      <c r="E4115" s="761"/>
      <c r="F4115" s="761"/>
      <c r="G4115" s="733"/>
      <c r="H4115" s="733"/>
      <c r="I4115" s="733"/>
      <c r="J4115" s="733"/>
      <c r="K4115" s="733"/>
      <c r="L4115" s="733"/>
      <c r="M4115" s="733"/>
    </row>
    <row r="4116" spans="1:13" x14ac:dyDescent="0.3">
      <c r="A4116" s="733" t="s">
        <v>4103</v>
      </c>
      <c r="B4116" s="733" t="s">
        <v>612</v>
      </c>
      <c r="C4116" s="733" t="s">
        <v>4125</v>
      </c>
      <c r="D4116" s="733"/>
      <c r="E4116" s="761"/>
      <c r="F4116" s="761"/>
      <c r="G4116" s="733"/>
      <c r="H4116" s="733"/>
      <c r="I4116" s="733"/>
      <c r="J4116" s="733"/>
      <c r="K4116" s="733"/>
      <c r="L4116" s="733"/>
      <c r="M4116" s="733"/>
    </row>
    <row r="4117" spans="1:13" x14ac:dyDescent="0.3">
      <c r="A4117" s="733" t="s">
        <v>4103</v>
      </c>
      <c r="B4117" s="733" t="s">
        <v>612</v>
      </c>
      <c r="C4117" s="733" t="s">
        <v>4126</v>
      </c>
      <c r="D4117" s="733"/>
      <c r="E4117" s="761"/>
      <c r="F4117" s="761"/>
      <c r="G4117" s="733"/>
      <c r="H4117" s="733"/>
      <c r="I4117" s="733"/>
      <c r="J4117" s="733"/>
      <c r="K4117" s="733"/>
      <c r="L4117" s="733"/>
      <c r="M4117" s="733"/>
    </row>
    <row r="4118" spans="1:13" x14ac:dyDescent="0.3">
      <c r="A4118" s="733" t="s">
        <v>4103</v>
      </c>
      <c r="B4118" s="733" t="s">
        <v>612</v>
      </c>
      <c r="C4118" s="733" t="s">
        <v>4127</v>
      </c>
      <c r="D4118" s="733"/>
      <c r="E4118" s="761"/>
      <c r="F4118" s="761"/>
      <c r="G4118" s="733"/>
      <c r="H4118" s="733"/>
      <c r="I4118" s="733"/>
      <c r="J4118" s="733"/>
      <c r="K4118" s="733"/>
      <c r="L4118" s="733"/>
      <c r="M4118" s="733"/>
    </row>
    <row r="4119" spans="1:13" x14ac:dyDescent="0.3">
      <c r="A4119" s="733" t="s">
        <v>4103</v>
      </c>
      <c r="B4119" s="733" t="s">
        <v>612</v>
      </c>
      <c r="C4119" s="733" t="s">
        <v>4128</v>
      </c>
      <c r="D4119" s="733"/>
      <c r="E4119" s="761"/>
      <c r="F4119" s="761"/>
      <c r="G4119" s="733"/>
      <c r="H4119" s="733"/>
      <c r="I4119" s="733"/>
      <c r="J4119" s="733"/>
      <c r="K4119" s="733"/>
      <c r="L4119" s="733"/>
      <c r="M4119" s="733"/>
    </row>
    <row r="4120" spans="1:13" x14ac:dyDescent="0.3">
      <c r="A4120" s="733" t="s">
        <v>4103</v>
      </c>
      <c r="B4120" s="733" t="s">
        <v>612</v>
      </c>
      <c r="C4120" s="733" t="s">
        <v>4129</v>
      </c>
      <c r="D4120" s="733"/>
      <c r="E4120" s="761"/>
      <c r="F4120" s="761"/>
      <c r="G4120" s="733"/>
      <c r="H4120" s="733"/>
      <c r="I4120" s="733"/>
      <c r="J4120" s="733"/>
      <c r="K4120" s="733"/>
      <c r="L4120" s="733"/>
      <c r="M4120" s="733"/>
    </row>
    <row r="4121" spans="1:13" x14ac:dyDescent="0.3">
      <c r="A4121" s="733" t="s">
        <v>4103</v>
      </c>
      <c r="B4121" s="733" t="s">
        <v>612</v>
      </c>
      <c r="C4121" s="733" t="s">
        <v>4130</v>
      </c>
      <c r="D4121" s="733"/>
      <c r="E4121" s="761"/>
      <c r="F4121" s="761"/>
      <c r="G4121" s="733"/>
      <c r="H4121" s="733"/>
      <c r="I4121" s="733"/>
      <c r="J4121" s="733"/>
      <c r="K4121" s="733"/>
      <c r="L4121" s="733"/>
      <c r="M4121" s="733"/>
    </row>
    <row r="4122" spans="1:13" x14ac:dyDescent="0.3">
      <c r="A4122" s="733" t="s">
        <v>4103</v>
      </c>
      <c r="B4122" s="733" t="s">
        <v>612</v>
      </c>
      <c r="C4122" s="733" t="s">
        <v>4131</v>
      </c>
      <c r="D4122" s="733"/>
      <c r="E4122" s="761"/>
      <c r="F4122" s="761"/>
      <c r="G4122" s="733"/>
      <c r="H4122" s="733"/>
      <c r="I4122" s="733"/>
      <c r="J4122" s="733"/>
      <c r="K4122" s="733"/>
      <c r="L4122" s="733"/>
      <c r="M4122" s="733"/>
    </row>
    <row r="4123" spans="1:13" x14ac:dyDescent="0.3">
      <c r="A4123" s="733" t="s">
        <v>4103</v>
      </c>
      <c r="B4123" s="733" t="s">
        <v>612</v>
      </c>
      <c r="C4123" s="733" t="s">
        <v>4132</v>
      </c>
      <c r="D4123" s="733"/>
      <c r="E4123" s="761"/>
      <c r="F4123" s="761"/>
      <c r="G4123" s="733"/>
      <c r="H4123" s="733"/>
      <c r="I4123" s="733"/>
      <c r="J4123" s="733"/>
      <c r="K4123" s="733"/>
      <c r="L4123" s="733"/>
      <c r="M4123" s="733"/>
    </row>
    <row r="4124" spans="1:13" x14ac:dyDescent="0.3">
      <c r="A4124" s="733" t="s">
        <v>4103</v>
      </c>
      <c r="B4124" s="733" t="s">
        <v>612</v>
      </c>
      <c r="C4124" s="733" t="s">
        <v>4133</v>
      </c>
      <c r="D4124" s="733"/>
      <c r="E4124" s="761"/>
      <c r="F4124" s="761"/>
      <c r="G4124" s="733"/>
      <c r="H4124" s="733"/>
      <c r="I4124" s="733"/>
      <c r="J4124" s="733"/>
      <c r="K4124" s="733"/>
      <c r="L4124" s="733"/>
      <c r="M4124" s="733"/>
    </row>
    <row r="4125" spans="1:13" x14ac:dyDescent="0.3">
      <c r="A4125" s="733" t="s">
        <v>4134</v>
      </c>
      <c r="B4125" s="733" t="s">
        <v>645</v>
      </c>
      <c r="C4125" s="733" t="s">
        <v>4135</v>
      </c>
      <c r="D4125" s="733"/>
      <c r="E4125" s="761"/>
      <c r="F4125" s="761"/>
      <c r="G4125" s="733"/>
      <c r="H4125" s="733"/>
      <c r="I4125" s="733"/>
      <c r="J4125" s="733"/>
      <c r="K4125" s="733"/>
      <c r="L4125" s="733"/>
      <c r="M4125" s="733"/>
    </row>
    <row r="4126" spans="1:13" x14ac:dyDescent="0.3">
      <c r="A4126" s="733" t="s">
        <v>4134</v>
      </c>
      <c r="B4126" s="733" t="s">
        <v>645</v>
      </c>
      <c r="C4126" s="733" t="s">
        <v>4136</v>
      </c>
      <c r="D4126" s="733"/>
      <c r="E4126" s="761"/>
      <c r="F4126" s="761"/>
      <c r="G4126" s="733"/>
      <c r="H4126" s="733"/>
      <c r="I4126" s="733"/>
      <c r="J4126" s="733"/>
      <c r="K4126" s="733"/>
      <c r="L4126" s="733"/>
      <c r="M4126" s="733"/>
    </row>
    <row r="4127" spans="1:13" x14ac:dyDescent="0.3">
      <c r="A4127" s="733" t="s">
        <v>4134</v>
      </c>
      <c r="B4127" s="733" t="s">
        <v>645</v>
      </c>
      <c r="C4127" s="733" t="s">
        <v>4137</v>
      </c>
      <c r="D4127" s="733"/>
      <c r="E4127" s="761"/>
      <c r="F4127" s="761"/>
      <c r="G4127" s="733"/>
      <c r="H4127" s="733"/>
      <c r="I4127" s="733"/>
      <c r="J4127" s="733"/>
      <c r="K4127" s="733"/>
      <c r="L4127" s="733"/>
      <c r="M4127" s="733"/>
    </row>
    <row r="4128" spans="1:13" x14ac:dyDescent="0.3">
      <c r="A4128" s="733" t="s">
        <v>4134</v>
      </c>
      <c r="B4128" s="733" t="s">
        <v>645</v>
      </c>
      <c r="C4128" s="733" t="s">
        <v>4138</v>
      </c>
      <c r="D4128" s="733"/>
      <c r="E4128" s="761"/>
      <c r="F4128" s="761"/>
      <c r="G4128" s="733"/>
      <c r="H4128" s="733"/>
      <c r="I4128" s="733"/>
      <c r="J4128" s="733"/>
      <c r="K4128" s="733"/>
      <c r="L4128" s="733"/>
      <c r="M4128" s="733"/>
    </row>
    <row r="4129" spans="1:13" x14ac:dyDescent="0.3">
      <c r="A4129" s="733" t="s">
        <v>4134</v>
      </c>
      <c r="B4129" s="733" t="s">
        <v>645</v>
      </c>
      <c r="C4129" s="733" t="s">
        <v>4139</v>
      </c>
      <c r="D4129" s="733"/>
      <c r="E4129" s="761"/>
      <c r="F4129" s="761"/>
      <c r="G4129" s="733"/>
      <c r="H4129" s="733"/>
      <c r="I4129" s="733"/>
      <c r="J4129" s="733"/>
      <c r="K4129" s="733"/>
      <c r="L4129" s="733"/>
      <c r="M4129" s="733"/>
    </row>
    <row r="4130" spans="1:13" x14ac:dyDescent="0.3">
      <c r="A4130" s="733" t="s">
        <v>4134</v>
      </c>
      <c r="B4130" s="733" t="s">
        <v>645</v>
      </c>
      <c r="C4130" s="733" t="s">
        <v>4140</v>
      </c>
      <c r="D4130" s="733"/>
      <c r="E4130" s="761"/>
      <c r="F4130" s="761"/>
      <c r="G4130" s="733"/>
      <c r="H4130" s="733"/>
      <c r="I4130" s="733"/>
      <c r="J4130" s="733"/>
      <c r="K4130" s="733"/>
      <c r="L4130" s="733"/>
      <c r="M4130" s="733"/>
    </row>
    <row r="4131" spans="1:13" x14ac:dyDescent="0.3">
      <c r="A4131" s="733" t="s">
        <v>4134</v>
      </c>
      <c r="B4131" s="733" t="s">
        <v>645</v>
      </c>
      <c r="C4131" s="733" t="s">
        <v>4141</v>
      </c>
      <c r="D4131" s="733"/>
      <c r="E4131" s="761"/>
      <c r="F4131" s="761"/>
      <c r="G4131" s="733"/>
      <c r="H4131" s="733"/>
      <c r="I4131" s="733"/>
      <c r="J4131" s="733"/>
      <c r="K4131" s="733"/>
      <c r="L4131" s="733"/>
      <c r="M4131" s="733"/>
    </row>
    <row r="4132" spans="1:13" x14ac:dyDescent="0.3">
      <c r="A4132" s="733" t="s">
        <v>4134</v>
      </c>
      <c r="B4132" s="733" t="s">
        <v>645</v>
      </c>
      <c r="C4132" s="733" t="s">
        <v>4142</v>
      </c>
      <c r="D4132" s="733"/>
      <c r="E4132" s="761"/>
      <c r="F4132" s="761"/>
      <c r="G4132" s="733"/>
      <c r="H4132" s="733"/>
      <c r="I4132" s="733"/>
      <c r="J4132" s="733"/>
      <c r="K4132" s="733"/>
      <c r="L4132" s="733"/>
      <c r="M4132" s="733"/>
    </row>
    <row r="4133" spans="1:13" x14ac:dyDescent="0.3">
      <c r="A4133" s="733" t="s">
        <v>4134</v>
      </c>
      <c r="B4133" s="733" t="s">
        <v>645</v>
      </c>
      <c r="C4133" s="733" t="s">
        <v>4143</v>
      </c>
      <c r="D4133" s="733"/>
      <c r="E4133" s="761"/>
      <c r="F4133" s="761"/>
      <c r="G4133" s="733"/>
      <c r="H4133" s="733"/>
      <c r="I4133" s="733"/>
      <c r="J4133" s="733"/>
      <c r="K4133" s="733"/>
      <c r="L4133" s="733"/>
      <c r="M4133" s="733"/>
    </row>
    <row r="4134" spans="1:13" x14ac:dyDescent="0.3">
      <c r="A4134" s="733" t="s">
        <v>4134</v>
      </c>
      <c r="B4134" s="733" t="s">
        <v>645</v>
      </c>
      <c r="C4134" s="733" t="s">
        <v>4144</v>
      </c>
      <c r="D4134" s="733"/>
      <c r="E4134" s="761"/>
      <c r="F4134" s="761"/>
      <c r="G4134" s="733"/>
      <c r="H4134" s="733"/>
      <c r="I4134" s="733"/>
      <c r="J4134" s="733"/>
      <c r="K4134" s="733"/>
      <c r="L4134" s="733"/>
      <c r="M4134" s="733"/>
    </row>
    <row r="4135" spans="1:13" x14ac:dyDescent="0.3">
      <c r="A4135" s="733" t="s">
        <v>4134</v>
      </c>
      <c r="B4135" s="733" t="s">
        <v>664</v>
      </c>
      <c r="C4135" s="733" t="s">
        <v>4145</v>
      </c>
      <c r="D4135" s="733"/>
      <c r="E4135" s="761"/>
      <c r="F4135" s="761"/>
      <c r="G4135" s="733"/>
      <c r="H4135" s="733"/>
      <c r="I4135" s="733"/>
      <c r="J4135" s="733"/>
      <c r="K4135" s="733"/>
      <c r="L4135" s="733"/>
      <c r="M4135" s="733"/>
    </row>
    <row r="4136" spans="1:13" x14ac:dyDescent="0.3">
      <c r="A4136" s="733" t="s">
        <v>4134</v>
      </c>
      <c r="B4136" s="733" t="s">
        <v>664</v>
      </c>
      <c r="C4136" s="733" t="s">
        <v>4146</v>
      </c>
      <c r="D4136" s="733"/>
      <c r="E4136" s="761"/>
      <c r="F4136" s="761"/>
      <c r="G4136" s="733"/>
      <c r="H4136" s="733"/>
      <c r="I4136" s="733"/>
      <c r="J4136" s="733"/>
      <c r="K4136" s="733"/>
      <c r="L4136" s="733"/>
      <c r="M4136" s="733"/>
    </row>
    <row r="4137" spans="1:13" x14ac:dyDescent="0.3">
      <c r="A4137" s="733" t="s">
        <v>4134</v>
      </c>
      <c r="B4137" s="733" t="s">
        <v>664</v>
      </c>
      <c r="C4137" s="733" t="s">
        <v>4147</v>
      </c>
      <c r="D4137" s="733"/>
      <c r="E4137" s="761"/>
      <c r="F4137" s="761"/>
      <c r="G4137" s="733"/>
      <c r="H4137" s="733"/>
      <c r="I4137" s="733"/>
      <c r="J4137" s="733"/>
      <c r="K4137" s="733"/>
      <c r="L4137" s="733"/>
      <c r="M4137" s="733"/>
    </row>
    <row r="4138" spans="1:13" x14ac:dyDescent="0.3">
      <c r="A4138" s="733" t="s">
        <v>4134</v>
      </c>
      <c r="B4138" s="733" t="s">
        <v>664</v>
      </c>
      <c r="C4138" s="733" t="s">
        <v>4148</v>
      </c>
      <c r="D4138" s="733"/>
      <c r="E4138" s="761"/>
      <c r="F4138" s="761"/>
      <c r="G4138" s="733"/>
      <c r="H4138" s="733"/>
      <c r="I4138" s="733"/>
      <c r="J4138" s="733"/>
      <c r="K4138" s="733"/>
      <c r="L4138" s="733"/>
      <c r="M4138" s="733"/>
    </row>
    <row r="4139" spans="1:13" x14ac:dyDescent="0.3">
      <c r="A4139" s="733" t="s">
        <v>4134</v>
      </c>
      <c r="B4139" s="733" t="s">
        <v>664</v>
      </c>
      <c r="C4139" s="733" t="s">
        <v>4149</v>
      </c>
      <c r="D4139" s="733"/>
      <c r="E4139" s="761"/>
      <c r="F4139" s="761"/>
      <c r="G4139" s="733"/>
      <c r="H4139" s="733"/>
      <c r="I4139" s="733"/>
      <c r="J4139" s="733"/>
      <c r="K4139" s="733"/>
      <c r="L4139" s="733"/>
      <c r="M4139" s="733"/>
    </row>
    <row r="4140" spans="1:13" x14ac:dyDescent="0.3">
      <c r="A4140" s="733" t="s">
        <v>4134</v>
      </c>
      <c r="B4140" s="733" t="s">
        <v>664</v>
      </c>
      <c r="C4140" s="733" t="s">
        <v>4150</v>
      </c>
      <c r="D4140" s="733"/>
      <c r="E4140" s="761"/>
      <c r="F4140" s="761"/>
      <c r="G4140" s="733"/>
      <c r="H4140" s="733"/>
      <c r="I4140" s="733"/>
      <c r="J4140" s="733"/>
      <c r="K4140" s="733"/>
      <c r="L4140" s="733"/>
      <c r="M4140" s="733"/>
    </row>
    <row r="4141" spans="1:13" x14ac:dyDescent="0.3">
      <c r="A4141" s="733" t="s">
        <v>4134</v>
      </c>
      <c r="B4141" s="733" t="s">
        <v>664</v>
      </c>
      <c r="C4141" s="733" t="s">
        <v>4151</v>
      </c>
      <c r="D4141" s="733"/>
      <c r="E4141" s="761"/>
      <c r="F4141" s="761"/>
      <c r="G4141" s="733"/>
      <c r="H4141" s="733"/>
      <c r="I4141" s="733"/>
      <c r="J4141" s="733"/>
      <c r="K4141" s="733"/>
      <c r="L4141" s="733"/>
      <c r="M4141" s="733"/>
    </row>
    <row r="4142" spans="1:13" x14ac:dyDescent="0.3">
      <c r="A4142" s="733" t="s">
        <v>4134</v>
      </c>
      <c r="B4142" s="733" t="s">
        <v>664</v>
      </c>
      <c r="C4142" s="733" t="s">
        <v>4152</v>
      </c>
      <c r="D4142" s="733"/>
      <c r="E4142" s="761"/>
      <c r="F4142" s="761"/>
      <c r="G4142" s="733"/>
      <c r="H4142" s="733"/>
      <c r="I4142" s="733"/>
      <c r="J4142" s="733"/>
      <c r="K4142" s="733"/>
      <c r="L4142" s="733"/>
      <c r="M4142" s="733"/>
    </row>
    <row r="4143" spans="1:13" x14ac:dyDescent="0.3">
      <c r="A4143" s="733" t="s">
        <v>4134</v>
      </c>
      <c r="B4143" s="733" t="s">
        <v>664</v>
      </c>
      <c r="C4143" s="733" t="s">
        <v>4153</v>
      </c>
      <c r="D4143" s="733"/>
      <c r="E4143" s="761"/>
      <c r="F4143" s="761"/>
      <c r="G4143" s="733"/>
      <c r="H4143" s="733"/>
      <c r="I4143" s="733"/>
      <c r="J4143" s="733"/>
      <c r="K4143" s="733"/>
      <c r="L4143" s="733"/>
      <c r="M4143" s="733"/>
    </row>
    <row r="4144" spans="1:13" x14ac:dyDescent="0.3">
      <c r="A4144" s="733" t="s">
        <v>4134</v>
      </c>
      <c r="B4144" s="733" t="s">
        <v>664</v>
      </c>
      <c r="C4144" s="733" t="s">
        <v>4154</v>
      </c>
      <c r="D4144" s="733"/>
      <c r="E4144" s="761"/>
      <c r="F4144" s="761"/>
      <c r="G4144" s="733"/>
      <c r="H4144" s="733"/>
      <c r="I4144" s="733"/>
      <c r="J4144" s="733"/>
      <c r="K4144" s="733"/>
      <c r="L4144" s="733"/>
      <c r="M4144" s="733"/>
    </row>
    <row r="4145" spans="1:13" x14ac:dyDescent="0.3">
      <c r="A4145" s="733" t="s">
        <v>4134</v>
      </c>
      <c r="B4145" s="733" t="s">
        <v>612</v>
      </c>
      <c r="C4145" s="733" t="s">
        <v>4155</v>
      </c>
      <c r="D4145" s="733"/>
      <c r="E4145" s="761"/>
      <c r="F4145" s="761"/>
      <c r="G4145" s="733"/>
      <c r="H4145" s="733"/>
      <c r="I4145" s="733"/>
      <c r="J4145" s="733"/>
      <c r="K4145" s="733"/>
      <c r="L4145" s="733"/>
      <c r="M4145" s="733"/>
    </row>
    <row r="4146" spans="1:13" x14ac:dyDescent="0.3">
      <c r="A4146" s="733" t="s">
        <v>4134</v>
      </c>
      <c r="B4146" s="733" t="s">
        <v>612</v>
      </c>
      <c r="C4146" s="733" t="s">
        <v>4156</v>
      </c>
      <c r="D4146" s="733"/>
      <c r="E4146" s="761"/>
      <c r="F4146" s="761"/>
      <c r="G4146" s="733"/>
      <c r="H4146" s="733"/>
      <c r="I4146" s="733"/>
      <c r="J4146" s="733"/>
      <c r="K4146" s="733"/>
      <c r="L4146" s="733"/>
      <c r="M4146" s="733"/>
    </row>
    <row r="4147" spans="1:13" x14ac:dyDescent="0.3">
      <c r="A4147" s="733" t="s">
        <v>4134</v>
      </c>
      <c r="B4147" s="733" t="s">
        <v>612</v>
      </c>
      <c r="C4147" s="733" t="s">
        <v>4157</v>
      </c>
      <c r="D4147" s="733"/>
      <c r="E4147" s="761"/>
      <c r="F4147" s="761"/>
      <c r="G4147" s="733"/>
      <c r="H4147" s="733"/>
      <c r="I4147" s="733"/>
      <c r="J4147" s="733"/>
      <c r="K4147" s="733"/>
      <c r="L4147" s="733"/>
      <c r="M4147" s="733"/>
    </row>
    <row r="4148" spans="1:13" x14ac:dyDescent="0.3">
      <c r="A4148" s="733" t="s">
        <v>4134</v>
      </c>
      <c r="B4148" s="733" t="s">
        <v>612</v>
      </c>
      <c r="C4148" s="733" t="s">
        <v>4158</v>
      </c>
      <c r="D4148" s="733"/>
      <c r="E4148" s="761"/>
      <c r="F4148" s="761"/>
      <c r="G4148" s="733"/>
      <c r="H4148" s="733"/>
      <c r="I4148" s="733"/>
      <c r="J4148" s="733"/>
      <c r="K4148" s="733"/>
      <c r="L4148" s="733"/>
      <c r="M4148" s="733"/>
    </row>
    <row r="4149" spans="1:13" x14ac:dyDescent="0.3">
      <c r="A4149" s="733" t="s">
        <v>4134</v>
      </c>
      <c r="B4149" s="733" t="s">
        <v>612</v>
      </c>
      <c r="C4149" s="733" t="s">
        <v>4159</v>
      </c>
      <c r="D4149" s="733"/>
      <c r="E4149" s="761"/>
      <c r="F4149" s="761"/>
      <c r="G4149" s="733"/>
      <c r="H4149" s="733"/>
      <c r="I4149" s="733"/>
      <c r="J4149" s="733"/>
      <c r="K4149" s="733"/>
      <c r="L4149" s="733"/>
      <c r="M4149" s="733"/>
    </row>
    <row r="4150" spans="1:13" x14ac:dyDescent="0.3">
      <c r="A4150" s="733" t="s">
        <v>4134</v>
      </c>
      <c r="B4150" s="733" t="s">
        <v>612</v>
      </c>
      <c r="C4150" s="733" t="s">
        <v>4160</v>
      </c>
      <c r="D4150" s="733"/>
      <c r="E4150" s="761"/>
      <c r="F4150" s="761"/>
      <c r="G4150" s="733"/>
      <c r="H4150" s="733"/>
      <c r="I4150" s="733"/>
      <c r="J4150" s="733"/>
      <c r="K4150" s="733"/>
      <c r="L4150" s="733"/>
      <c r="M4150" s="733"/>
    </row>
    <row r="4151" spans="1:13" x14ac:dyDescent="0.3">
      <c r="A4151" s="733" t="s">
        <v>4134</v>
      </c>
      <c r="B4151" s="733" t="s">
        <v>612</v>
      </c>
      <c r="C4151" s="733" t="s">
        <v>4161</v>
      </c>
      <c r="D4151" s="733"/>
      <c r="E4151" s="761"/>
      <c r="F4151" s="761"/>
      <c r="G4151" s="733"/>
      <c r="H4151" s="733"/>
      <c r="I4151" s="733"/>
      <c r="J4151" s="733"/>
      <c r="K4151" s="733"/>
      <c r="L4151" s="733"/>
      <c r="M4151" s="733"/>
    </row>
    <row r="4152" spans="1:13" x14ac:dyDescent="0.3">
      <c r="A4152" s="733" t="s">
        <v>4134</v>
      </c>
      <c r="B4152" s="733" t="s">
        <v>612</v>
      </c>
      <c r="C4152" s="733" t="s">
        <v>4162</v>
      </c>
      <c r="D4152" s="733"/>
      <c r="E4152" s="761"/>
      <c r="F4152" s="761"/>
      <c r="G4152" s="733"/>
      <c r="H4152" s="733"/>
      <c r="I4152" s="733"/>
      <c r="J4152" s="733"/>
      <c r="K4152" s="733"/>
      <c r="L4152" s="733"/>
      <c r="M4152" s="733"/>
    </row>
    <row r="4153" spans="1:13" x14ac:dyDescent="0.3">
      <c r="A4153" s="733" t="s">
        <v>4134</v>
      </c>
      <c r="B4153" s="733" t="s">
        <v>612</v>
      </c>
      <c r="C4153" s="733" t="s">
        <v>4163</v>
      </c>
      <c r="D4153" s="733"/>
      <c r="E4153" s="761"/>
      <c r="F4153" s="761"/>
      <c r="G4153" s="733"/>
      <c r="H4153" s="733"/>
      <c r="I4153" s="733"/>
      <c r="J4153" s="733"/>
      <c r="K4153" s="733"/>
      <c r="L4153" s="733"/>
      <c r="M4153" s="733"/>
    </row>
    <row r="4154" spans="1:13" x14ac:dyDescent="0.3">
      <c r="A4154" s="733" t="s">
        <v>4134</v>
      </c>
      <c r="B4154" s="733" t="s">
        <v>612</v>
      </c>
      <c r="C4154" s="733" t="s">
        <v>4164</v>
      </c>
      <c r="D4154" s="733"/>
      <c r="E4154" s="761"/>
      <c r="F4154" s="761"/>
      <c r="G4154" s="733"/>
      <c r="H4154" s="733"/>
      <c r="I4154" s="733"/>
      <c r="J4154" s="733"/>
      <c r="K4154" s="733"/>
      <c r="L4154" s="733"/>
      <c r="M4154" s="733"/>
    </row>
    <row r="4155" spans="1:13" x14ac:dyDescent="0.3">
      <c r="A4155" s="733" t="s">
        <v>4165</v>
      </c>
      <c r="B4155" s="733" t="s">
        <v>645</v>
      </c>
      <c r="C4155" s="733" t="s">
        <v>4166</v>
      </c>
      <c r="D4155" s="733"/>
      <c r="E4155" s="761"/>
      <c r="F4155" s="761"/>
      <c r="G4155" s="733"/>
      <c r="H4155" s="733"/>
      <c r="I4155" s="733"/>
      <c r="J4155" s="733"/>
      <c r="K4155" s="733"/>
      <c r="L4155" s="733"/>
      <c r="M4155" s="733"/>
    </row>
    <row r="4156" spans="1:13" x14ac:dyDescent="0.3">
      <c r="A4156" s="733" t="s">
        <v>4165</v>
      </c>
      <c r="B4156" s="733" t="s">
        <v>645</v>
      </c>
      <c r="C4156" s="733" t="s">
        <v>4167</v>
      </c>
      <c r="D4156" s="733"/>
      <c r="E4156" s="761"/>
      <c r="F4156" s="761"/>
      <c r="G4156" s="733"/>
      <c r="H4156" s="733"/>
      <c r="I4156" s="733"/>
      <c r="J4156" s="733"/>
      <c r="K4156" s="733"/>
      <c r="L4156" s="733"/>
      <c r="M4156" s="733"/>
    </row>
    <row r="4157" spans="1:13" x14ac:dyDescent="0.3">
      <c r="A4157" s="733" t="s">
        <v>4165</v>
      </c>
      <c r="B4157" s="733" t="s">
        <v>645</v>
      </c>
      <c r="C4157" s="733" t="s">
        <v>4168</v>
      </c>
      <c r="D4157" s="733"/>
      <c r="E4157" s="761"/>
      <c r="F4157" s="761"/>
      <c r="G4157" s="733"/>
      <c r="H4157" s="733"/>
      <c r="I4157" s="733"/>
      <c r="J4157" s="733"/>
      <c r="K4157" s="733"/>
      <c r="L4157" s="733"/>
      <c r="M4157" s="733"/>
    </row>
    <row r="4158" spans="1:13" x14ac:dyDescent="0.3">
      <c r="A4158" s="733" t="s">
        <v>4165</v>
      </c>
      <c r="B4158" s="733" t="s">
        <v>645</v>
      </c>
      <c r="C4158" s="733" t="s">
        <v>4169</v>
      </c>
      <c r="D4158" s="733"/>
      <c r="E4158" s="761"/>
      <c r="F4158" s="761"/>
      <c r="G4158" s="733"/>
      <c r="H4158" s="733"/>
      <c r="I4158" s="733"/>
      <c r="J4158" s="733"/>
      <c r="K4158" s="733"/>
      <c r="L4158" s="733"/>
      <c r="M4158" s="733"/>
    </row>
    <row r="4159" spans="1:13" x14ac:dyDescent="0.3">
      <c r="A4159" s="733" t="s">
        <v>4165</v>
      </c>
      <c r="B4159" s="733" t="s">
        <v>645</v>
      </c>
      <c r="C4159" s="733" t="s">
        <v>4170</v>
      </c>
      <c r="D4159" s="733"/>
      <c r="E4159" s="761"/>
      <c r="F4159" s="761"/>
      <c r="G4159" s="733"/>
      <c r="H4159" s="733"/>
      <c r="I4159" s="733"/>
      <c r="J4159" s="733"/>
      <c r="K4159" s="733"/>
      <c r="L4159" s="733"/>
      <c r="M4159" s="733"/>
    </row>
    <row r="4160" spans="1:13" x14ac:dyDescent="0.3">
      <c r="A4160" s="733" t="s">
        <v>4165</v>
      </c>
      <c r="B4160" s="733" t="s">
        <v>645</v>
      </c>
      <c r="C4160" s="733" t="s">
        <v>4171</v>
      </c>
      <c r="D4160" s="733"/>
      <c r="E4160" s="761"/>
      <c r="F4160" s="761"/>
      <c r="G4160" s="733"/>
      <c r="H4160" s="733"/>
      <c r="I4160" s="733"/>
      <c r="J4160" s="733"/>
      <c r="K4160" s="733"/>
      <c r="L4160" s="733"/>
      <c r="M4160" s="733"/>
    </row>
    <row r="4161" spans="1:13" x14ac:dyDescent="0.3">
      <c r="A4161" s="733" t="s">
        <v>4165</v>
      </c>
      <c r="B4161" s="733" t="s">
        <v>645</v>
      </c>
      <c r="C4161" s="733" t="s">
        <v>4172</v>
      </c>
      <c r="D4161" s="733"/>
      <c r="E4161" s="761"/>
      <c r="F4161" s="761"/>
      <c r="G4161" s="733"/>
      <c r="H4161" s="733"/>
      <c r="I4161" s="733"/>
      <c r="J4161" s="733"/>
      <c r="K4161" s="733"/>
      <c r="L4161" s="733"/>
      <c r="M4161" s="733"/>
    </row>
    <row r="4162" spans="1:13" x14ac:dyDescent="0.3">
      <c r="A4162" s="733" t="s">
        <v>4165</v>
      </c>
      <c r="B4162" s="733" t="s">
        <v>645</v>
      </c>
      <c r="C4162" s="733" t="s">
        <v>4173</v>
      </c>
      <c r="D4162" s="733"/>
      <c r="E4162" s="761"/>
      <c r="F4162" s="761"/>
      <c r="G4162" s="733"/>
      <c r="H4162" s="733"/>
      <c r="I4162" s="733"/>
      <c r="J4162" s="733"/>
      <c r="K4162" s="733"/>
      <c r="L4162" s="733"/>
      <c r="M4162" s="733"/>
    </row>
    <row r="4163" spans="1:13" x14ac:dyDescent="0.3">
      <c r="A4163" s="733" t="s">
        <v>4165</v>
      </c>
      <c r="B4163" s="733" t="s">
        <v>645</v>
      </c>
      <c r="C4163" s="733" t="s">
        <v>4174</v>
      </c>
      <c r="D4163" s="733"/>
      <c r="E4163" s="761"/>
      <c r="F4163" s="761"/>
      <c r="G4163" s="733"/>
      <c r="H4163" s="733"/>
      <c r="I4163" s="733"/>
      <c r="J4163" s="733"/>
      <c r="K4163" s="733"/>
      <c r="L4163" s="733"/>
      <c r="M4163" s="733"/>
    </row>
    <row r="4164" spans="1:13" x14ac:dyDescent="0.3">
      <c r="A4164" s="733" t="s">
        <v>4165</v>
      </c>
      <c r="B4164" s="733" t="s">
        <v>645</v>
      </c>
      <c r="C4164" s="733" t="s">
        <v>4175</v>
      </c>
      <c r="D4164" s="733"/>
      <c r="E4164" s="761"/>
      <c r="F4164" s="761"/>
      <c r="G4164" s="733"/>
      <c r="H4164" s="733"/>
      <c r="I4164" s="733"/>
      <c r="J4164" s="733"/>
      <c r="K4164" s="733"/>
      <c r="L4164" s="733"/>
      <c r="M4164" s="733"/>
    </row>
    <row r="4165" spans="1:13" x14ac:dyDescent="0.3">
      <c r="A4165" s="733" t="s">
        <v>4165</v>
      </c>
      <c r="B4165" s="733" t="s">
        <v>664</v>
      </c>
      <c r="C4165" s="733" t="s">
        <v>4176</v>
      </c>
      <c r="D4165" s="733"/>
      <c r="E4165" s="761"/>
      <c r="F4165" s="761"/>
      <c r="G4165" s="733"/>
      <c r="H4165" s="733"/>
      <c r="I4165" s="733"/>
      <c r="J4165" s="733"/>
      <c r="K4165" s="733"/>
      <c r="L4165" s="733"/>
      <c r="M4165" s="733"/>
    </row>
    <row r="4166" spans="1:13" x14ac:dyDescent="0.3">
      <c r="A4166" s="733" t="s">
        <v>4165</v>
      </c>
      <c r="B4166" s="733" t="s">
        <v>664</v>
      </c>
      <c r="C4166" s="733" t="s">
        <v>4177</v>
      </c>
      <c r="D4166" s="733"/>
      <c r="E4166" s="761"/>
      <c r="F4166" s="761"/>
      <c r="G4166" s="733"/>
      <c r="H4166" s="733"/>
      <c r="I4166" s="733"/>
      <c r="J4166" s="733"/>
      <c r="K4166" s="733"/>
      <c r="L4166" s="733"/>
      <c r="M4166" s="733"/>
    </row>
    <row r="4167" spans="1:13" x14ac:dyDescent="0.3">
      <c r="A4167" s="733" t="s">
        <v>4165</v>
      </c>
      <c r="B4167" s="733" t="s">
        <v>664</v>
      </c>
      <c r="C4167" s="733" t="s">
        <v>4178</v>
      </c>
      <c r="D4167" s="733"/>
      <c r="E4167" s="761"/>
      <c r="F4167" s="761"/>
      <c r="G4167" s="733"/>
      <c r="H4167" s="733"/>
      <c r="I4167" s="733"/>
      <c r="J4167" s="733"/>
      <c r="K4167" s="733"/>
      <c r="L4167" s="733"/>
      <c r="M4167" s="733"/>
    </row>
    <row r="4168" spans="1:13" x14ac:dyDescent="0.3">
      <c r="A4168" s="733" t="s">
        <v>4165</v>
      </c>
      <c r="B4168" s="733" t="s">
        <v>664</v>
      </c>
      <c r="C4168" s="733" t="s">
        <v>4179</v>
      </c>
      <c r="D4168" s="733"/>
      <c r="E4168" s="761"/>
      <c r="F4168" s="761"/>
      <c r="G4168" s="733"/>
      <c r="H4168" s="733"/>
      <c r="I4168" s="733"/>
      <c r="J4168" s="733"/>
      <c r="K4168" s="733"/>
      <c r="L4168" s="733"/>
      <c r="M4168" s="733"/>
    </row>
    <row r="4169" spans="1:13" x14ac:dyDescent="0.3">
      <c r="A4169" s="733" t="s">
        <v>4165</v>
      </c>
      <c r="B4169" s="733" t="s">
        <v>664</v>
      </c>
      <c r="C4169" s="733" t="s">
        <v>4180</v>
      </c>
      <c r="D4169" s="733"/>
      <c r="E4169" s="761"/>
      <c r="F4169" s="761"/>
      <c r="G4169" s="733"/>
      <c r="H4169" s="733"/>
      <c r="I4169" s="733"/>
      <c r="J4169" s="733"/>
      <c r="K4169" s="733"/>
      <c r="L4169" s="733"/>
      <c r="M4169" s="733"/>
    </row>
    <row r="4170" spans="1:13" x14ac:dyDescent="0.3">
      <c r="A4170" s="733" t="s">
        <v>4165</v>
      </c>
      <c r="B4170" s="733" t="s">
        <v>664</v>
      </c>
      <c r="C4170" s="733" t="s">
        <v>4181</v>
      </c>
      <c r="D4170" s="733"/>
      <c r="E4170" s="761"/>
      <c r="F4170" s="761"/>
      <c r="G4170" s="733"/>
      <c r="H4170" s="733"/>
      <c r="I4170" s="733"/>
      <c r="J4170" s="733"/>
      <c r="K4170" s="733"/>
      <c r="L4170" s="733"/>
      <c r="M4170" s="733"/>
    </row>
    <row r="4171" spans="1:13" x14ac:dyDescent="0.3">
      <c r="A4171" s="733" t="s">
        <v>4165</v>
      </c>
      <c r="B4171" s="733" t="s">
        <v>664</v>
      </c>
      <c r="C4171" s="733" t="s">
        <v>4182</v>
      </c>
      <c r="D4171" s="733"/>
      <c r="E4171" s="761"/>
      <c r="F4171" s="761"/>
      <c r="G4171" s="733"/>
      <c r="H4171" s="733"/>
      <c r="I4171" s="733"/>
      <c r="J4171" s="733"/>
      <c r="K4171" s="733"/>
      <c r="L4171" s="733"/>
      <c r="M4171" s="733"/>
    </row>
    <row r="4172" spans="1:13" x14ac:dyDescent="0.3">
      <c r="A4172" s="733" t="s">
        <v>4165</v>
      </c>
      <c r="B4172" s="733" t="s">
        <v>664</v>
      </c>
      <c r="C4172" s="733" t="s">
        <v>4183</v>
      </c>
      <c r="D4172" s="733"/>
      <c r="E4172" s="761"/>
      <c r="F4172" s="761"/>
      <c r="G4172" s="733"/>
      <c r="H4172" s="733"/>
      <c r="I4172" s="733"/>
      <c r="J4172" s="733"/>
      <c r="K4172" s="733"/>
      <c r="L4172" s="733"/>
      <c r="M4172" s="733"/>
    </row>
    <row r="4173" spans="1:13" x14ac:dyDescent="0.3">
      <c r="A4173" s="733" t="s">
        <v>4165</v>
      </c>
      <c r="B4173" s="733" t="s">
        <v>664</v>
      </c>
      <c r="C4173" s="733" t="s">
        <v>4184</v>
      </c>
      <c r="D4173" s="733"/>
      <c r="E4173" s="761"/>
      <c r="F4173" s="761"/>
      <c r="G4173" s="733"/>
      <c r="H4173" s="733"/>
      <c r="I4173" s="733"/>
      <c r="J4173" s="733"/>
      <c r="K4173" s="733"/>
      <c r="L4173" s="733"/>
      <c r="M4173" s="733"/>
    </row>
    <row r="4174" spans="1:13" x14ac:dyDescent="0.3">
      <c r="A4174" s="733" t="s">
        <v>4165</v>
      </c>
      <c r="B4174" s="733" t="s">
        <v>664</v>
      </c>
      <c r="C4174" s="733" t="s">
        <v>4185</v>
      </c>
      <c r="D4174" s="733"/>
      <c r="E4174" s="761"/>
      <c r="F4174" s="761"/>
      <c r="G4174" s="733"/>
      <c r="H4174" s="733"/>
      <c r="I4174" s="733"/>
      <c r="J4174" s="733"/>
      <c r="K4174" s="733"/>
      <c r="L4174" s="733"/>
      <c r="M4174" s="733"/>
    </row>
    <row r="4175" spans="1:13" x14ac:dyDescent="0.3">
      <c r="A4175" s="733" t="s">
        <v>4165</v>
      </c>
      <c r="B4175" s="733" t="s">
        <v>612</v>
      </c>
      <c r="C4175" s="733" t="s">
        <v>4186</v>
      </c>
      <c r="D4175" s="733"/>
      <c r="E4175" s="761"/>
      <c r="F4175" s="761"/>
      <c r="G4175" s="733"/>
      <c r="H4175" s="733"/>
      <c r="I4175" s="733"/>
      <c r="J4175" s="733"/>
      <c r="K4175" s="733"/>
      <c r="L4175" s="733"/>
      <c r="M4175" s="733"/>
    </row>
    <row r="4176" spans="1:13" x14ac:dyDescent="0.3">
      <c r="A4176" s="733" t="s">
        <v>4165</v>
      </c>
      <c r="B4176" s="733" t="s">
        <v>612</v>
      </c>
      <c r="C4176" s="733" t="s">
        <v>4187</v>
      </c>
      <c r="D4176" s="733"/>
      <c r="E4176" s="761"/>
      <c r="F4176" s="761"/>
      <c r="G4176" s="733"/>
      <c r="H4176" s="733"/>
      <c r="I4176" s="733"/>
      <c r="J4176" s="733"/>
      <c r="K4176" s="733"/>
      <c r="L4176" s="733"/>
      <c r="M4176" s="733"/>
    </row>
    <row r="4177" spans="1:13" x14ac:dyDescent="0.3">
      <c r="A4177" s="733" t="s">
        <v>4165</v>
      </c>
      <c r="B4177" s="733" t="s">
        <v>612</v>
      </c>
      <c r="C4177" s="733" t="s">
        <v>4188</v>
      </c>
      <c r="D4177" s="733"/>
      <c r="E4177" s="761"/>
      <c r="F4177" s="761"/>
      <c r="G4177" s="733"/>
      <c r="H4177" s="733"/>
      <c r="I4177" s="733"/>
      <c r="J4177" s="733"/>
      <c r="K4177" s="733"/>
      <c r="L4177" s="733"/>
      <c r="M4177" s="733"/>
    </row>
    <row r="4178" spans="1:13" x14ac:dyDescent="0.3">
      <c r="A4178" s="733" t="s">
        <v>4165</v>
      </c>
      <c r="B4178" s="733" t="s">
        <v>612</v>
      </c>
      <c r="C4178" s="733" t="s">
        <v>4189</v>
      </c>
      <c r="D4178" s="733"/>
      <c r="E4178" s="761"/>
      <c r="F4178" s="761"/>
      <c r="G4178" s="733"/>
      <c r="H4178" s="733"/>
      <c r="I4178" s="733"/>
      <c r="J4178" s="733"/>
      <c r="K4178" s="733"/>
      <c r="L4178" s="733"/>
      <c r="M4178" s="733"/>
    </row>
    <row r="4179" spans="1:13" x14ac:dyDescent="0.3">
      <c r="A4179" s="733" t="s">
        <v>4165</v>
      </c>
      <c r="B4179" s="733" t="s">
        <v>612</v>
      </c>
      <c r="C4179" s="733" t="s">
        <v>4190</v>
      </c>
      <c r="D4179" s="733"/>
      <c r="E4179" s="761"/>
      <c r="F4179" s="761"/>
      <c r="G4179" s="733"/>
      <c r="H4179" s="733"/>
      <c r="I4179" s="733"/>
      <c r="J4179" s="733"/>
      <c r="K4179" s="733"/>
      <c r="L4179" s="733"/>
      <c r="M4179" s="733"/>
    </row>
    <row r="4180" spans="1:13" x14ac:dyDescent="0.3">
      <c r="A4180" s="733" t="s">
        <v>4165</v>
      </c>
      <c r="B4180" s="733" t="s">
        <v>612</v>
      </c>
      <c r="C4180" s="733" t="s">
        <v>4191</v>
      </c>
      <c r="D4180" s="733"/>
      <c r="E4180" s="761"/>
      <c r="F4180" s="761"/>
      <c r="G4180" s="733"/>
      <c r="H4180" s="733"/>
      <c r="I4180" s="733"/>
      <c r="J4180" s="733"/>
      <c r="K4180" s="733"/>
      <c r="L4180" s="733"/>
      <c r="M4180" s="733"/>
    </row>
    <row r="4181" spans="1:13" x14ac:dyDescent="0.3">
      <c r="A4181" s="733" t="s">
        <v>4165</v>
      </c>
      <c r="B4181" s="733" t="s">
        <v>612</v>
      </c>
      <c r="C4181" s="733" t="s">
        <v>4192</v>
      </c>
      <c r="D4181" s="733"/>
      <c r="E4181" s="761"/>
      <c r="F4181" s="761"/>
      <c r="G4181" s="733"/>
      <c r="H4181" s="733"/>
      <c r="I4181" s="733"/>
      <c r="J4181" s="733"/>
      <c r="K4181" s="733"/>
      <c r="L4181" s="733"/>
      <c r="M4181" s="733"/>
    </row>
    <row r="4182" spans="1:13" x14ac:dyDescent="0.3">
      <c r="A4182" s="733" t="s">
        <v>4165</v>
      </c>
      <c r="B4182" s="733" t="s">
        <v>612</v>
      </c>
      <c r="C4182" s="733" t="s">
        <v>4193</v>
      </c>
      <c r="D4182" s="733"/>
      <c r="E4182" s="761"/>
      <c r="F4182" s="761"/>
      <c r="G4182" s="733"/>
      <c r="H4182" s="733"/>
      <c r="I4182" s="733"/>
      <c r="J4182" s="733"/>
      <c r="K4182" s="733"/>
      <c r="L4182" s="733"/>
      <c r="M4182" s="733"/>
    </row>
    <row r="4183" spans="1:13" x14ac:dyDescent="0.3">
      <c r="A4183" s="733" t="s">
        <v>4165</v>
      </c>
      <c r="B4183" s="733" t="s">
        <v>612</v>
      </c>
      <c r="C4183" s="733" t="s">
        <v>4194</v>
      </c>
      <c r="D4183" s="733"/>
      <c r="E4183" s="761"/>
      <c r="F4183" s="761"/>
      <c r="G4183" s="733"/>
      <c r="H4183" s="733"/>
      <c r="I4183" s="733"/>
      <c r="J4183" s="733"/>
      <c r="K4183" s="733"/>
      <c r="L4183" s="733"/>
      <c r="M4183" s="733"/>
    </row>
    <row r="4184" spans="1:13" x14ac:dyDescent="0.3">
      <c r="A4184" s="733" t="s">
        <v>4165</v>
      </c>
      <c r="B4184" s="733" t="s">
        <v>612</v>
      </c>
      <c r="C4184" s="733" t="s">
        <v>4195</v>
      </c>
      <c r="D4184" s="733"/>
      <c r="E4184" s="761"/>
      <c r="F4184" s="761"/>
      <c r="G4184" s="733"/>
      <c r="H4184" s="733"/>
      <c r="I4184" s="733"/>
      <c r="J4184" s="733"/>
      <c r="K4184" s="733"/>
      <c r="L4184" s="733"/>
      <c r="M4184" s="733"/>
    </row>
    <row r="4185" spans="1:13" x14ac:dyDescent="0.3">
      <c r="A4185" s="733" t="s">
        <v>2904</v>
      </c>
      <c r="B4185" s="733" t="s">
        <v>645</v>
      </c>
      <c r="C4185" s="733" t="s">
        <v>4196</v>
      </c>
      <c r="D4185" s="733"/>
      <c r="E4185" s="761"/>
      <c r="F4185" s="761"/>
      <c r="G4185" s="733"/>
      <c r="H4185" s="733"/>
      <c r="I4185" s="733"/>
      <c r="J4185" s="733"/>
      <c r="K4185" s="733"/>
      <c r="L4185" s="733"/>
      <c r="M4185" s="733"/>
    </row>
    <row r="4186" spans="1:13" x14ac:dyDescent="0.3">
      <c r="A4186" s="733" t="s">
        <v>2904</v>
      </c>
      <c r="B4186" s="733" t="s">
        <v>645</v>
      </c>
      <c r="C4186" s="733" t="s">
        <v>4197</v>
      </c>
      <c r="D4186" s="733"/>
      <c r="E4186" s="761"/>
      <c r="F4186" s="761"/>
      <c r="G4186" s="733"/>
      <c r="H4186" s="733"/>
      <c r="I4186" s="733"/>
      <c r="J4186" s="733"/>
      <c r="K4186" s="733"/>
      <c r="L4186" s="733"/>
      <c r="M4186" s="733"/>
    </row>
    <row r="4187" spans="1:13" x14ac:dyDescent="0.3">
      <c r="A4187" s="733" t="s">
        <v>2904</v>
      </c>
      <c r="B4187" s="733" t="s">
        <v>645</v>
      </c>
      <c r="C4187" s="733" t="s">
        <v>4198</v>
      </c>
      <c r="D4187" s="733"/>
      <c r="E4187" s="761"/>
      <c r="F4187" s="761"/>
      <c r="G4187" s="733"/>
      <c r="H4187" s="733"/>
      <c r="I4187" s="733"/>
      <c r="J4187" s="733"/>
      <c r="K4187" s="733"/>
      <c r="L4187" s="733"/>
      <c r="M4187" s="733"/>
    </row>
    <row r="4188" spans="1:13" x14ac:dyDescent="0.3">
      <c r="A4188" s="733" t="s">
        <v>2904</v>
      </c>
      <c r="B4188" s="733" t="s">
        <v>645</v>
      </c>
      <c r="C4188" s="733" t="s">
        <v>4199</v>
      </c>
      <c r="D4188" s="733"/>
      <c r="E4188" s="761"/>
      <c r="F4188" s="761"/>
      <c r="G4188" s="733"/>
      <c r="H4188" s="733"/>
      <c r="I4188" s="733"/>
      <c r="J4188" s="733"/>
      <c r="K4188" s="733"/>
      <c r="L4188" s="733"/>
      <c r="M4188" s="733"/>
    </row>
    <row r="4189" spans="1:13" x14ac:dyDescent="0.3">
      <c r="A4189" s="733" t="s">
        <v>2904</v>
      </c>
      <c r="B4189" s="733" t="s">
        <v>645</v>
      </c>
      <c r="C4189" s="733" t="s">
        <v>4200</v>
      </c>
      <c r="D4189" s="733"/>
      <c r="E4189" s="761"/>
      <c r="F4189" s="761"/>
      <c r="G4189" s="733"/>
      <c r="H4189" s="733"/>
      <c r="I4189" s="733"/>
      <c r="J4189" s="733"/>
      <c r="K4189" s="733"/>
      <c r="L4189" s="733"/>
      <c r="M4189" s="733"/>
    </row>
    <row r="4190" spans="1:13" x14ac:dyDescent="0.3">
      <c r="A4190" s="733" t="s">
        <v>2904</v>
      </c>
      <c r="B4190" s="733" t="s">
        <v>645</v>
      </c>
      <c r="C4190" s="733" t="s">
        <v>4201</v>
      </c>
      <c r="D4190" s="733"/>
      <c r="E4190" s="761"/>
      <c r="F4190" s="761"/>
      <c r="G4190" s="733"/>
      <c r="H4190" s="733"/>
      <c r="I4190" s="733"/>
      <c r="J4190" s="733"/>
      <c r="K4190" s="733"/>
      <c r="L4190" s="733"/>
      <c r="M4190" s="733"/>
    </row>
    <row r="4191" spans="1:13" x14ac:dyDescent="0.3">
      <c r="A4191" s="733" t="s">
        <v>2904</v>
      </c>
      <c r="B4191" s="733" t="s">
        <v>645</v>
      </c>
      <c r="C4191" s="733" t="s">
        <v>4202</v>
      </c>
      <c r="D4191" s="733"/>
      <c r="E4191" s="761"/>
      <c r="F4191" s="761"/>
      <c r="G4191" s="733"/>
      <c r="H4191" s="733"/>
      <c r="I4191" s="733"/>
      <c r="J4191" s="733"/>
      <c r="K4191" s="733"/>
      <c r="L4191" s="733"/>
      <c r="M4191" s="733"/>
    </row>
    <row r="4192" spans="1:13" x14ac:dyDescent="0.3">
      <c r="A4192" s="733" t="s">
        <v>2904</v>
      </c>
      <c r="B4192" s="733" t="s">
        <v>645</v>
      </c>
      <c r="C4192" s="733" t="s">
        <v>4203</v>
      </c>
      <c r="D4192" s="733"/>
      <c r="E4192" s="761"/>
      <c r="F4192" s="761"/>
      <c r="G4192" s="733"/>
      <c r="H4192" s="733"/>
      <c r="I4192" s="733"/>
      <c r="J4192" s="733"/>
      <c r="K4192" s="733"/>
      <c r="L4192" s="733"/>
      <c r="M4192" s="733"/>
    </row>
    <row r="4193" spans="1:13" x14ac:dyDescent="0.3">
      <c r="A4193" s="733" t="s">
        <v>2904</v>
      </c>
      <c r="B4193" s="733" t="s">
        <v>645</v>
      </c>
      <c r="C4193" s="733" t="s">
        <v>3861</v>
      </c>
      <c r="D4193" s="733"/>
      <c r="E4193" s="761"/>
      <c r="F4193" s="761"/>
      <c r="G4193" s="733"/>
      <c r="H4193" s="733"/>
      <c r="I4193" s="733"/>
      <c r="J4193" s="733"/>
      <c r="K4193" s="733"/>
      <c r="L4193" s="733"/>
      <c r="M4193" s="733"/>
    </row>
    <row r="4194" spans="1:13" x14ac:dyDescent="0.3">
      <c r="A4194" s="733" t="s">
        <v>2904</v>
      </c>
      <c r="B4194" s="733" t="s">
        <v>645</v>
      </c>
      <c r="C4194" s="733" t="s">
        <v>4204</v>
      </c>
      <c r="D4194" s="733"/>
      <c r="E4194" s="761"/>
      <c r="F4194" s="761"/>
      <c r="G4194" s="733"/>
      <c r="H4194" s="733"/>
      <c r="I4194" s="733"/>
      <c r="J4194" s="733"/>
      <c r="K4194" s="733"/>
      <c r="L4194" s="733"/>
      <c r="M4194" s="733"/>
    </row>
    <row r="4195" spans="1:13" x14ac:dyDescent="0.3">
      <c r="A4195" s="733" t="s">
        <v>2904</v>
      </c>
      <c r="B4195" s="733" t="s">
        <v>664</v>
      </c>
      <c r="C4195" s="733" t="s">
        <v>4205</v>
      </c>
      <c r="D4195" s="733"/>
      <c r="E4195" s="761"/>
      <c r="F4195" s="761"/>
      <c r="G4195" s="733"/>
      <c r="H4195" s="733"/>
      <c r="I4195" s="733"/>
      <c r="J4195" s="733"/>
      <c r="K4195" s="733"/>
      <c r="L4195" s="733"/>
      <c r="M4195" s="733"/>
    </row>
    <row r="4196" spans="1:13" x14ac:dyDescent="0.3">
      <c r="A4196" s="733" t="s">
        <v>2904</v>
      </c>
      <c r="B4196" s="733" t="s">
        <v>664</v>
      </c>
      <c r="C4196" s="733" t="s">
        <v>4206</v>
      </c>
      <c r="D4196" s="733"/>
      <c r="E4196" s="761"/>
      <c r="F4196" s="761"/>
      <c r="G4196" s="733"/>
      <c r="H4196" s="733"/>
      <c r="I4196" s="733"/>
      <c r="J4196" s="733"/>
      <c r="K4196" s="733"/>
      <c r="L4196" s="733"/>
      <c r="M4196" s="733"/>
    </row>
    <row r="4197" spans="1:13" x14ac:dyDescent="0.3">
      <c r="A4197" s="733" t="s">
        <v>2904</v>
      </c>
      <c r="B4197" s="733" t="s">
        <v>664</v>
      </c>
      <c r="C4197" s="733" t="s">
        <v>4207</v>
      </c>
      <c r="D4197" s="733"/>
      <c r="E4197" s="761"/>
      <c r="F4197" s="761"/>
      <c r="G4197" s="733"/>
      <c r="H4197" s="733"/>
      <c r="I4197" s="733"/>
      <c r="J4197" s="733"/>
      <c r="K4197" s="733"/>
      <c r="L4197" s="733"/>
      <c r="M4197" s="733"/>
    </row>
    <row r="4198" spans="1:13" x14ac:dyDescent="0.3">
      <c r="A4198" s="733" t="s">
        <v>2904</v>
      </c>
      <c r="B4198" s="733" t="s">
        <v>664</v>
      </c>
      <c r="C4198" s="733" t="s">
        <v>4208</v>
      </c>
      <c r="D4198" s="733"/>
      <c r="E4198" s="761"/>
      <c r="F4198" s="761"/>
      <c r="G4198" s="733"/>
      <c r="H4198" s="733"/>
      <c r="I4198" s="733"/>
      <c r="J4198" s="733"/>
      <c r="K4198" s="733"/>
      <c r="L4198" s="733"/>
      <c r="M4198" s="733"/>
    </row>
    <row r="4199" spans="1:13" x14ac:dyDescent="0.3">
      <c r="A4199" s="733" t="s">
        <v>2904</v>
      </c>
      <c r="B4199" s="733" t="s">
        <v>664</v>
      </c>
      <c r="C4199" s="733" t="s">
        <v>4209</v>
      </c>
      <c r="D4199" s="733"/>
      <c r="E4199" s="761"/>
      <c r="F4199" s="761"/>
      <c r="G4199" s="733"/>
      <c r="H4199" s="733"/>
      <c r="I4199" s="733"/>
      <c r="J4199" s="733"/>
      <c r="K4199" s="733"/>
      <c r="L4199" s="733"/>
      <c r="M4199" s="733"/>
    </row>
    <row r="4200" spans="1:13" x14ac:dyDescent="0.3">
      <c r="A4200" s="733" t="s">
        <v>2904</v>
      </c>
      <c r="B4200" s="733" t="s">
        <v>664</v>
      </c>
      <c r="C4200" s="733" t="s">
        <v>4210</v>
      </c>
      <c r="D4200" s="733"/>
      <c r="E4200" s="761"/>
      <c r="F4200" s="761"/>
      <c r="G4200" s="733"/>
      <c r="H4200" s="733"/>
      <c r="I4200" s="733"/>
      <c r="J4200" s="733"/>
      <c r="K4200" s="733"/>
      <c r="L4200" s="733"/>
      <c r="M4200" s="733"/>
    </row>
    <row r="4201" spans="1:13" x14ac:dyDescent="0.3">
      <c r="A4201" s="733" t="s">
        <v>2904</v>
      </c>
      <c r="B4201" s="733" t="s">
        <v>664</v>
      </c>
      <c r="C4201" s="733" t="s">
        <v>4211</v>
      </c>
      <c r="D4201" s="733"/>
      <c r="E4201" s="761"/>
      <c r="F4201" s="761"/>
      <c r="G4201" s="733"/>
      <c r="H4201" s="733"/>
      <c r="I4201" s="733"/>
      <c r="J4201" s="733"/>
      <c r="K4201" s="733"/>
      <c r="L4201" s="733"/>
      <c r="M4201" s="733"/>
    </row>
    <row r="4202" spans="1:13" x14ac:dyDescent="0.3">
      <c r="A4202" s="733" t="s">
        <v>2904</v>
      </c>
      <c r="B4202" s="733" t="s">
        <v>664</v>
      </c>
      <c r="C4202" s="733" t="s">
        <v>4212</v>
      </c>
      <c r="D4202" s="733"/>
      <c r="E4202" s="761"/>
      <c r="F4202" s="761"/>
      <c r="G4202" s="733"/>
      <c r="H4202" s="733"/>
      <c r="I4202" s="733"/>
      <c r="J4202" s="733"/>
      <c r="K4202" s="733"/>
      <c r="L4202" s="733"/>
      <c r="M4202" s="733"/>
    </row>
    <row r="4203" spans="1:13" x14ac:dyDescent="0.3">
      <c r="A4203" s="733" t="s">
        <v>2904</v>
      </c>
      <c r="B4203" s="733" t="s">
        <v>664</v>
      </c>
      <c r="C4203" s="733" t="s">
        <v>4213</v>
      </c>
      <c r="D4203" s="733"/>
      <c r="E4203" s="761"/>
      <c r="F4203" s="761"/>
      <c r="G4203" s="733"/>
      <c r="H4203" s="733"/>
      <c r="I4203" s="733"/>
      <c r="J4203" s="733"/>
      <c r="K4203" s="733"/>
      <c r="L4203" s="733"/>
      <c r="M4203" s="733"/>
    </row>
    <row r="4204" spans="1:13" x14ac:dyDescent="0.3">
      <c r="A4204" s="733" t="s">
        <v>2904</v>
      </c>
      <c r="B4204" s="733" t="s">
        <v>664</v>
      </c>
      <c r="C4204" s="733" t="s">
        <v>4214</v>
      </c>
      <c r="D4204" s="733"/>
      <c r="E4204" s="761"/>
      <c r="F4204" s="761"/>
      <c r="G4204" s="733"/>
      <c r="H4204" s="733"/>
      <c r="I4204" s="733"/>
      <c r="J4204" s="733"/>
      <c r="K4204" s="733"/>
      <c r="L4204" s="733"/>
      <c r="M4204" s="733"/>
    </row>
    <row r="4205" spans="1:13" x14ac:dyDescent="0.3">
      <c r="A4205" s="733" t="s">
        <v>2904</v>
      </c>
      <c r="B4205" s="733" t="s">
        <v>612</v>
      </c>
      <c r="C4205" s="733" t="s">
        <v>4215</v>
      </c>
      <c r="D4205" s="733"/>
      <c r="E4205" s="761"/>
      <c r="F4205" s="761"/>
      <c r="G4205" s="733"/>
      <c r="H4205" s="733"/>
      <c r="I4205" s="733"/>
      <c r="J4205" s="733"/>
      <c r="K4205" s="733"/>
      <c r="L4205" s="733"/>
      <c r="M4205" s="733"/>
    </row>
    <row r="4206" spans="1:13" x14ac:dyDescent="0.3">
      <c r="A4206" s="733" t="s">
        <v>2904</v>
      </c>
      <c r="B4206" s="733" t="s">
        <v>612</v>
      </c>
      <c r="C4206" s="733" t="s">
        <v>4216</v>
      </c>
      <c r="D4206" s="733"/>
      <c r="E4206" s="761"/>
      <c r="F4206" s="761"/>
      <c r="G4206" s="733"/>
      <c r="H4206" s="733"/>
      <c r="I4206" s="733"/>
      <c r="J4206" s="733"/>
      <c r="K4206" s="733"/>
      <c r="L4206" s="733"/>
      <c r="M4206" s="733"/>
    </row>
    <row r="4207" spans="1:13" x14ac:dyDescent="0.3">
      <c r="A4207" s="733" t="s">
        <v>2904</v>
      </c>
      <c r="B4207" s="733" t="s">
        <v>612</v>
      </c>
      <c r="C4207" s="733" t="s">
        <v>4217</v>
      </c>
      <c r="D4207" s="733"/>
      <c r="E4207" s="761"/>
      <c r="F4207" s="761"/>
      <c r="G4207" s="733"/>
      <c r="H4207" s="733"/>
      <c r="I4207" s="733"/>
      <c r="J4207" s="733"/>
      <c r="K4207" s="733"/>
      <c r="L4207" s="733"/>
      <c r="M4207" s="733"/>
    </row>
    <row r="4208" spans="1:13" x14ac:dyDescent="0.3">
      <c r="A4208" s="733" t="s">
        <v>2904</v>
      </c>
      <c r="B4208" s="733" t="s">
        <v>612</v>
      </c>
      <c r="C4208" s="733" t="s">
        <v>4218</v>
      </c>
      <c r="D4208" s="733"/>
      <c r="E4208" s="761"/>
      <c r="F4208" s="761"/>
      <c r="G4208" s="733"/>
      <c r="H4208" s="733"/>
      <c r="I4208" s="733"/>
      <c r="J4208" s="733"/>
      <c r="K4208" s="733"/>
      <c r="L4208" s="733"/>
      <c r="M4208" s="733"/>
    </row>
    <row r="4209" spans="1:13" x14ac:dyDescent="0.3">
      <c r="A4209" s="733" t="s">
        <v>2904</v>
      </c>
      <c r="B4209" s="733" t="s">
        <v>612</v>
      </c>
      <c r="C4209" s="733" t="s">
        <v>4219</v>
      </c>
      <c r="D4209" s="733"/>
      <c r="E4209" s="761"/>
      <c r="F4209" s="761"/>
      <c r="G4209" s="733"/>
      <c r="H4209" s="733"/>
      <c r="I4209" s="733"/>
      <c r="J4209" s="733"/>
      <c r="K4209" s="733"/>
      <c r="L4209" s="733"/>
      <c r="M4209" s="733"/>
    </row>
    <row r="4210" spans="1:13" x14ac:dyDescent="0.3">
      <c r="A4210" s="733" t="s">
        <v>2904</v>
      </c>
      <c r="B4210" s="733" t="s">
        <v>612</v>
      </c>
      <c r="C4210" s="733" t="s">
        <v>4220</v>
      </c>
      <c r="D4210" s="733"/>
      <c r="E4210" s="761"/>
      <c r="F4210" s="761"/>
      <c r="G4210" s="733"/>
      <c r="H4210" s="733"/>
      <c r="I4210" s="733"/>
      <c r="J4210" s="733"/>
      <c r="K4210" s="733"/>
      <c r="L4210" s="733"/>
      <c r="M4210" s="733"/>
    </row>
    <row r="4211" spans="1:13" x14ac:dyDescent="0.3">
      <c r="A4211" s="733" t="s">
        <v>2904</v>
      </c>
      <c r="B4211" s="733" t="s">
        <v>612</v>
      </c>
      <c r="C4211" s="733" t="s">
        <v>4221</v>
      </c>
      <c r="D4211" s="733"/>
      <c r="E4211" s="761"/>
      <c r="F4211" s="761"/>
      <c r="G4211" s="733"/>
      <c r="H4211" s="733"/>
      <c r="I4211" s="733"/>
      <c r="J4211" s="733"/>
      <c r="K4211" s="733"/>
      <c r="L4211" s="733"/>
      <c r="M4211" s="733"/>
    </row>
    <row r="4212" spans="1:13" x14ac:dyDescent="0.3">
      <c r="A4212" s="733" t="s">
        <v>2904</v>
      </c>
      <c r="B4212" s="733" t="s">
        <v>612</v>
      </c>
      <c r="C4212" s="733" t="s">
        <v>4222</v>
      </c>
      <c r="D4212" s="733"/>
      <c r="E4212" s="761"/>
      <c r="F4212" s="761"/>
      <c r="G4212" s="733"/>
      <c r="H4212" s="733"/>
      <c r="I4212" s="733"/>
      <c r="J4212" s="733"/>
      <c r="K4212" s="733"/>
      <c r="L4212" s="733"/>
      <c r="M4212" s="733"/>
    </row>
    <row r="4213" spans="1:13" x14ac:dyDescent="0.3">
      <c r="A4213" s="733" t="s">
        <v>2904</v>
      </c>
      <c r="B4213" s="733" t="s">
        <v>612</v>
      </c>
      <c r="C4213" s="733" t="s">
        <v>4223</v>
      </c>
      <c r="D4213" s="733"/>
      <c r="E4213" s="761"/>
      <c r="F4213" s="761"/>
      <c r="G4213" s="733"/>
      <c r="H4213" s="733"/>
      <c r="I4213" s="733"/>
      <c r="J4213" s="733"/>
      <c r="K4213" s="733"/>
      <c r="L4213" s="733"/>
      <c r="M4213" s="733"/>
    </row>
    <row r="4214" spans="1:13" x14ac:dyDescent="0.3">
      <c r="A4214" s="733" t="s">
        <v>2904</v>
      </c>
      <c r="B4214" s="733" t="s">
        <v>612</v>
      </c>
      <c r="C4214" s="733" t="s">
        <v>4224</v>
      </c>
      <c r="D4214" s="733"/>
      <c r="E4214" s="761"/>
      <c r="F4214" s="761"/>
      <c r="G4214" s="733"/>
      <c r="H4214" s="733"/>
      <c r="I4214" s="733"/>
      <c r="J4214" s="733"/>
      <c r="K4214" s="733"/>
      <c r="L4214" s="733"/>
      <c r="M4214" s="733"/>
    </row>
    <row r="4215" spans="1:13" x14ac:dyDescent="0.3">
      <c r="A4215" s="733" t="s">
        <v>2598</v>
      </c>
      <c r="B4215" s="733" t="s">
        <v>664</v>
      </c>
      <c r="C4215" s="733" t="s">
        <v>4225</v>
      </c>
      <c r="D4215" s="733"/>
      <c r="E4215" s="761"/>
      <c r="F4215" s="761"/>
      <c r="G4215" s="733"/>
      <c r="H4215" s="733"/>
      <c r="I4215" s="733"/>
      <c r="J4215" s="733"/>
      <c r="K4215" s="733"/>
      <c r="L4215" s="733"/>
      <c r="M4215" s="733"/>
    </row>
    <row r="4216" spans="1:13" x14ac:dyDescent="0.3">
      <c r="A4216" s="733" t="s">
        <v>2598</v>
      </c>
      <c r="B4216" s="733" t="s">
        <v>664</v>
      </c>
      <c r="C4216" s="733" t="s">
        <v>4226</v>
      </c>
      <c r="D4216" s="733"/>
      <c r="E4216" s="761"/>
      <c r="F4216" s="761"/>
      <c r="G4216" s="733"/>
      <c r="H4216" s="733"/>
      <c r="I4216" s="733"/>
      <c r="J4216" s="733"/>
      <c r="K4216" s="733"/>
      <c r="L4216" s="733"/>
      <c r="M4216" s="733"/>
    </row>
    <row r="4217" spans="1:13" x14ac:dyDescent="0.3">
      <c r="A4217" s="733" t="s">
        <v>2598</v>
      </c>
      <c r="B4217" s="733" t="s">
        <v>664</v>
      </c>
      <c r="C4217" s="733" t="s">
        <v>4227</v>
      </c>
      <c r="D4217" s="733"/>
      <c r="E4217" s="761"/>
      <c r="F4217" s="761"/>
      <c r="G4217" s="733"/>
      <c r="H4217" s="733"/>
      <c r="I4217" s="733"/>
      <c r="J4217" s="733"/>
      <c r="K4217" s="733"/>
      <c r="L4217" s="733"/>
      <c r="M4217" s="733"/>
    </row>
    <row r="4218" spans="1:13" x14ac:dyDescent="0.3">
      <c r="A4218" s="733" t="s">
        <v>2598</v>
      </c>
      <c r="B4218" s="733" t="s">
        <v>664</v>
      </c>
      <c r="C4218" s="733" t="s">
        <v>4228</v>
      </c>
      <c r="D4218" s="733"/>
      <c r="E4218" s="761"/>
      <c r="F4218" s="761"/>
      <c r="G4218" s="733"/>
      <c r="H4218" s="733"/>
      <c r="I4218" s="733"/>
      <c r="J4218" s="733"/>
      <c r="K4218" s="733"/>
      <c r="L4218" s="733"/>
      <c r="M4218" s="733"/>
    </row>
    <row r="4219" spans="1:13" x14ac:dyDescent="0.3">
      <c r="A4219" s="733" t="s">
        <v>2598</v>
      </c>
      <c r="B4219" s="733" t="s">
        <v>664</v>
      </c>
      <c r="C4219" s="733" t="s">
        <v>4229</v>
      </c>
      <c r="D4219" s="733"/>
      <c r="E4219" s="761"/>
      <c r="F4219" s="761"/>
      <c r="G4219" s="733"/>
      <c r="H4219" s="733"/>
      <c r="I4219" s="733"/>
      <c r="J4219" s="733"/>
      <c r="K4219" s="733"/>
      <c r="L4219" s="733"/>
      <c r="M4219" s="733"/>
    </row>
    <row r="4220" spans="1:13" x14ac:dyDescent="0.3">
      <c r="A4220" s="733" t="s">
        <v>2598</v>
      </c>
      <c r="B4220" s="733" t="s">
        <v>645</v>
      </c>
      <c r="C4220" s="738" t="s">
        <v>4230</v>
      </c>
      <c r="D4220" s="733"/>
      <c r="E4220" s="761"/>
      <c r="F4220" s="761"/>
      <c r="G4220" s="733"/>
      <c r="H4220" s="733"/>
      <c r="I4220" s="733"/>
      <c r="J4220" s="733"/>
      <c r="K4220" s="733"/>
      <c r="L4220" s="733"/>
      <c r="M4220" s="733"/>
    </row>
    <row r="4221" spans="1:13" x14ac:dyDescent="0.3">
      <c r="A4221" s="733" t="s">
        <v>2598</v>
      </c>
      <c r="B4221" s="733" t="s">
        <v>645</v>
      </c>
      <c r="C4221" s="738" t="s">
        <v>4231</v>
      </c>
      <c r="D4221" s="733"/>
      <c r="E4221" s="761"/>
      <c r="F4221" s="761"/>
      <c r="G4221" s="733"/>
      <c r="H4221" s="733"/>
      <c r="I4221" s="733"/>
      <c r="J4221" s="733"/>
      <c r="K4221" s="733"/>
      <c r="L4221" s="733"/>
      <c r="M4221" s="733"/>
    </row>
    <row r="4222" spans="1:13" x14ac:dyDescent="0.3">
      <c r="A4222" s="733" t="s">
        <v>2598</v>
      </c>
      <c r="B4222" s="733" t="s">
        <v>645</v>
      </c>
      <c r="C4222" s="738" t="s">
        <v>4232</v>
      </c>
      <c r="D4222" s="733"/>
      <c r="E4222" s="761"/>
      <c r="F4222" s="761"/>
      <c r="G4222" s="733"/>
      <c r="H4222" s="733"/>
      <c r="I4222" s="733"/>
      <c r="J4222" s="733"/>
      <c r="K4222" s="733"/>
      <c r="L4222" s="733"/>
      <c r="M4222" s="733"/>
    </row>
    <row r="4223" spans="1:13" x14ac:dyDescent="0.3">
      <c r="A4223" s="733" t="s">
        <v>2598</v>
      </c>
      <c r="B4223" s="733" t="s">
        <v>645</v>
      </c>
      <c r="C4223" s="738" t="s">
        <v>4233</v>
      </c>
      <c r="D4223" s="733"/>
      <c r="E4223" s="761"/>
      <c r="F4223" s="761"/>
      <c r="G4223" s="733"/>
      <c r="H4223" s="733"/>
      <c r="I4223" s="733"/>
      <c r="J4223" s="733"/>
      <c r="K4223" s="733"/>
      <c r="L4223" s="733"/>
      <c r="M4223" s="733"/>
    </row>
    <row r="4224" spans="1:13" x14ac:dyDescent="0.3">
      <c r="A4224" s="733" t="s">
        <v>2598</v>
      </c>
      <c r="B4224" s="733" t="s">
        <v>645</v>
      </c>
      <c r="C4224" s="738" t="s">
        <v>4234</v>
      </c>
      <c r="D4224" s="733"/>
      <c r="E4224" s="761"/>
      <c r="F4224" s="761"/>
      <c r="G4224" s="733"/>
      <c r="H4224" s="733"/>
      <c r="I4224" s="733"/>
      <c r="J4224" s="733"/>
      <c r="K4224" s="733"/>
      <c r="L4224" s="733"/>
      <c r="M4224" s="733"/>
    </row>
    <row r="4225" spans="1:13" x14ac:dyDescent="0.3">
      <c r="A4225" s="733" t="s">
        <v>2598</v>
      </c>
      <c r="B4225" s="733" t="s">
        <v>612</v>
      </c>
      <c r="C4225" s="733" t="s">
        <v>4235</v>
      </c>
      <c r="D4225" s="733"/>
      <c r="E4225" s="761"/>
      <c r="F4225" s="761"/>
      <c r="G4225" s="733"/>
      <c r="H4225" s="733"/>
      <c r="I4225" s="733"/>
      <c r="J4225" s="733"/>
      <c r="K4225" s="733"/>
      <c r="L4225" s="733"/>
      <c r="M4225" s="733"/>
    </row>
    <row r="4226" spans="1:13" x14ac:dyDescent="0.3">
      <c r="A4226" s="733" t="s">
        <v>2598</v>
      </c>
      <c r="B4226" s="733" t="s">
        <v>612</v>
      </c>
      <c r="C4226" s="733" t="s">
        <v>4236</v>
      </c>
      <c r="D4226" s="733"/>
      <c r="E4226" s="761"/>
      <c r="F4226" s="761"/>
      <c r="G4226" s="733"/>
      <c r="H4226" s="733"/>
      <c r="I4226" s="733"/>
      <c r="J4226" s="733"/>
      <c r="K4226" s="733"/>
      <c r="L4226" s="733"/>
      <c r="M4226" s="733"/>
    </row>
    <row r="4227" spans="1:13" x14ac:dyDescent="0.3">
      <c r="A4227" s="733" t="s">
        <v>2598</v>
      </c>
      <c r="B4227" s="733" t="s">
        <v>612</v>
      </c>
      <c r="C4227" s="733" t="s">
        <v>4237</v>
      </c>
      <c r="D4227" s="733"/>
      <c r="E4227" s="761"/>
      <c r="F4227" s="761"/>
      <c r="G4227" s="733"/>
      <c r="H4227" s="733"/>
      <c r="I4227" s="733"/>
      <c r="J4227" s="733"/>
      <c r="K4227" s="733"/>
      <c r="L4227" s="733"/>
      <c r="M4227" s="733"/>
    </row>
    <row r="4228" spans="1:13" x14ac:dyDescent="0.3">
      <c r="A4228" s="733" t="s">
        <v>2598</v>
      </c>
      <c r="B4228" s="733" t="s">
        <v>612</v>
      </c>
      <c r="C4228" s="733" t="s">
        <v>4238</v>
      </c>
      <c r="D4228" s="733"/>
      <c r="E4228" s="761"/>
      <c r="F4228" s="761"/>
      <c r="G4228" s="733"/>
      <c r="H4228" s="733"/>
      <c r="I4228" s="733"/>
      <c r="J4228" s="733"/>
      <c r="K4228" s="733"/>
      <c r="L4228" s="733"/>
      <c r="M4228" s="733"/>
    </row>
    <row r="4229" spans="1:13" x14ac:dyDescent="0.3">
      <c r="A4229" s="733" t="s">
        <v>2598</v>
      </c>
      <c r="B4229" s="733" t="s">
        <v>612</v>
      </c>
      <c r="C4229" s="733" t="s">
        <v>4239</v>
      </c>
      <c r="D4229" s="733"/>
      <c r="E4229" s="761"/>
      <c r="F4229" s="761"/>
      <c r="G4229" s="733"/>
      <c r="H4229" s="733"/>
      <c r="I4229" s="733"/>
      <c r="J4229" s="733"/>
      <c r="K4229" s="733"/>
      <c r="L4229" s="733"/>
      <c r="M4229" s="733"/>
    </row>
    <row r="4230" spans="1:13" x14ac:dyDescent="0.3">
      <c r="A4230" s="733" t="s">
        <v>4240</v>
      </c>
      <c r="B4230" s="733" t="s">
        <v>645</v>
      </c>
      <c r="C4230" s="733" t="s">
        <v>4241</v>
      </c>
      <c r="D4230" s="733"/>
      <c r="E4230" s="761"/>
      <c r="F4230" s="761"/>
      <c r="G4230" s="733"/>
      <c r="H4230" s="733"/>
      <c r="I4230" s="733"/>
      <c r="J4230" s="733"/>
      <c r="K4230" s="733"/>
      <c r="L4230" s="733"/>
      <c r="M4230" s="733"/>
    </row>
    <row r="4231" spans="1:13" x14ac:dyDescent="0.3">
      <c r="A4231" s="733" t="s">
        <v>4240</v>
      </c>
      <c r="B4231" s="733" t="s">
        <v>645</v>
      </c>
      <c r="C4231" s="733" t="s">
        <v>4242</v>
      </c>
      <c r="D4231" s="733"/>
      <c r="E4231" s="761"/>
      <c r="F4231" s="761"/>
      <c r="G4231" s="733"/>
      <c r="H4231" s="733"/>
      <c r="I4231" s="733"/>
      <c r="J4231" s="733"/>
      <c r="K4231" s="733"/>
      <c r="L4231" s="733"/>
      <c r="M4231" s="733"/>
    </row>
    <row r="4232" spans="1:13" x14ac:dyDescent="0.3">
      <c r="A4232" s="733" t="s">
        <v>4240</v>
      </c>
      <c r="B4232" s="733" t="s">
        <v>645</v>
      </c>
      <c r="C4232" s="733" t="s">
        <v>4243</v>
      </c>
      <c r="D4232" s="733"/>
      <c r="E4232" s="761"/>
      <c r="F4232" s="761"/>
      <c r="G4232" s="733"/>
      <c r="H4232" s="733"/>
      <c r="I4232" s="733"/>
      <c r="J4232" s="733"/>
      <c r="K4232" s="733"/>
      <c r="L4232" s="733"/>
      <c r="M4232" s="733"/>
    </row>
    <row r="4233" spans="1:13" x14ac:dyDescent="0.3">
      <c r="A4233" s="733" t="s">
        <v>4240</v>
      </c>
      <c r="B4233" s="733" t="s">
        <v>645</v>
      </c>
      <c r="C4233" s="733" t="s">
        <v>4244</v>
      </c>
      <c r="D4233" s="733"/>
      <c r="E4233" s="761"/>
      <c r="F4233" s="761"/>
      <c r="G4233" s="733"/>
      <c r="H4233" s="733"/>
      <c r="I4233" s="733"/>
      <c r="J4233" s="733"/>
      <c r="K4233" s="733"/>
      <c r="L4233" s="733"/>
      <c r="M4233" s="733"/>
    </row>
    <row r="4234" spans="1:13" x14ac:dyDescent="0.3">
      <c r="A4234" s="733" t="s">
        <v>4240</v>
      </c>
      <c r="B4234" s="733" t="s">
        <v>645</v>
      </c>
      <c r="C4234" s="733" t="s">
        <v>4245</v>
      </c>
      <c r="D4234" s="733"/>
      <c r="E4234" s="761"/>
      <c r="F4234" s="761"/>
      <c r="G4234" s="733"/>
      <c r="H4234" s="733"/>
      <c r="I4234" s="733"/>
      <c r="J4234" s="733"/>
      <c r="K4234" s="733"/>
      <c r="L4234" s="733"/>
      <c r="M4234" s="733"/>
    </row>
    <row r="4235" spans="1:13" x14ac:dyDescent="0.3">
      <c r="A4235" s="733" t="s">
        <v>4240</v>
      </c>
      <c r="B4235" s="733" t="s">
        <v>645</v>
      </c>
      <c r="C4235" s="733" t="s">
        <v>4246</v>
      </c>
      <c r="D4235" s="733"/>
      <c r="E4235" s="761"/>
      <c r="F4235" s="761"/>
      <c r="G4235" s="733"/>
      <c r="H4235" s="733"/>
      <c r="I4235" s="733"/>
      <c r="J4235" s="733"/>
      <c r="K4235" s="733"/>
      <c r="L4235" s="733"/>
      <c r="M4235" s="733"/>
    </row>
    <row r="4236" spans="1:13" x14ac:dyDescent="0.3">
      <c r="A4236" s="733" t="s">
        <v>4240</v>
      </c>
      <c r="B4236" s="733" t="s">
        <v>645</v>
      </c>
      <c r="C4236" s="733" t="s">
        <v>4247</v>
      </c>
      <c r="D4236" s="733"/>
      <c r="E4236" s="761"/>
      <c r="F4236" s="761"/>
      <c r="G4236" s="733"/>
      <c r="H4236" s="733"/>
      <c r="I4236" s="733"/>
      <c r="J4236" s="733"/>
      <c r="K4236" s="733"/>
      <c r="L4236" s="733"/>
      <c r="M4236" s="733"/>
    </row>
    <row r="4237" spans="1:13" x14ac:dyDescent="0.3">
      <c r="A4237" s="733" t="s">
        <v>4240</v>
      </c>
      <c r="B4237" s="733" t="s">
        <v>664</v>
      </c>
      <c r="C4237" s="733" t="s">
        <v>4248</v>
      </c>
      <c r="D4237" s="733"/>
      <c r="E4237" s="761"/>
      <c r="F4237" s="761"/>
      <c r="G4237" s="733"/>
      <c r="H4237" s="733"/>
      <c r="I4237" s="733"/>
      <c r="J4237" s="733"/>
      <c r="K4237" s="733"/>
      <c r="L4237" s="733"/>
      <c r="M4237" s="733"/>
    </row>
    <row r="4238" spans="1:13" x14ac:dyDescent="0.3">
      <c r="A4238" s="733" t="s">
        <v>4240</v>
      </c>
      <c r="B4238" s="733" t="s">
        <v>664</v>
      </c>
      <c r="C4238" s="733" t="s">
        <v>4249</v>
      </c>
      <c r="D4238" s="733"/>
      <c r="E4238" s="761"/>
      <c r="F4238" s="761"/>
      <c r="G4238" s="733"/>
      <c r="H4238" s="733"/>
      <c r="I4238" s="733"/>
      <c r="J4238" s="733"/>
      <c r="K4238" s="733"/>
      <c r="L4238" s="733"/>
      <c r="M4238" s="733"/>
    </row>
    <row r="4239" spans="1:13" x14ac:dyDescent="0.3">
      <c r="A4239" s="733" t="s">
        <v>4240</v>
      </c>
      <c r="B4239" s="733" t="s">
        <v>664</v>
      </c>
      <c r="C4239" s="733" t="s">
        <v>4250</v>
      </c>
      <c r="D4239" s="733"/>
      <c r="E4239" s="761"/>
      <c r="F4239" s="761"/>
      <c r="G4239" s="733"/>
      <c r="H4239" s="733"/>
      <c r="I4239" s="733"/>
      <c r="J4239" s="733"/>
      <c r="K4239" s="733"/>
      <c r="L4239" s="733"/>
      <c r="M4239" s="733"/>
    </row>
    <row r="4240" spans="1:13" x14ac:dyDescent="0.3">
      <c r="A4240" s="733" t="s">
        <v>4240</v>
      </c>
      <c r="B4240" s="733" t="s">
        <v>664</v>
      </c>
      <c r="C4240" s="733" t="s">
        <v>4251</v>
      </c>
      <c r="D4240" s="733"/>
      <c r="E4240" s="761"/>
      <c r="F4240" s="761"/>
      <c r="G4240" s="733"/>
      <c r="H4240" s="733"/>
      <c r="I4240" s="733"/>
      <c r="J4240" s="733"/>
      <c r="K4240" s="733"/>
      <c r="L4240" s="733"/>
      <c r="M4240" s="733"/>
    </row>
    <row r="4241" spans="1:13" x14ac:dyDescent="0.3">
      <c r="A4241" s="733" t="s">
        <v>4240</v>
      </c>
      <c r="B4241" s="733" t="s">
        <v>664</v>
      </c>
      <c r="C4241" s="733" t="s">
        <v>4252</v>
      </c>
      <c r="D4241" s="733"/>
      <c r="E4241" s="761"/>
      <c r="F4241" s="761"/>
      <c r="G4241" s="733"/>
      <c r="H4241" s="733"/>
      <c r="I4241" s="733"/>
      <c r="J4241" s="733"/>
      <c r="K4241" s="733"/>
      <c r="L4241" s="733"/>
      <c r="M4241" s="733"/>
    </row>
    <row r="4242" spans="1:13" x14ac:dyDescent="0.3">
      <c r="A4242" s="733" t="s">
        <v>4240</v>
      </c>
      <c r="B4242" s="733" t="s">
        <v>664</v>
      </c>
      <c r="C4242" s="733" t="s">
        <v>4253</v>
      </c>
      <c r="D4242" s="733"/>
      <c r="E4242" s="761"/>
      <c r="F4242" s="761"/>
      <c r="G4242" s="733"/>
      <c r="H4242" s="733"/>
      <c r="I4242" s="733"/>
      <c r="J4242" s="733"/>
      <c r="K4242" s="733"/>
      <c r="L4242" s="733"/>
      <c r="M4242" s="733"/>
    </row>
    <row r="4243" spans="1:13" x14ac:dyDescent="0.3">
      <c r="A4243" s="733" t="s">
        <v>4240</v>
      </c>
      <c r="B4243" s="733" t="s">
        <v>664</v>
      </c>
      <c r="C4243" s="733" t="s">
        <v>4254</v>
      </c>
      <c r="D4243" s="733"/>
      <c r="E4243" s="761"/>
      <c r="F4243" s="761"/>
      <c r="G4243" s="733"/>
      <c r="H4243" s="733"/>
      <c r="I4243" s="733"/>
      <c r="J4243" s="733"/>
      <c r="K4243" s="733"/>
      <c r="L4243" s="733"/>
      <c r="M4243" s="733"/>
    </row>
    <row r="4244" spans="1:13" x14ac:dyDescent="0.3">
      <c r="A4244" s="733" t="s">
        <v>4240</v>
      </c>
      <c r="B4244" s="733" t="s">
        <v>612</v>
      </c>
      <c r="C4244" s="733" t="s">
        <v>4255</v>
      </c>
      <c r="D4244" s="733"/>
      <c r="E4244" s="761"/>
      <c r="F4244" s="761"/>
      <c r="G4244" s="733"/>
      <c r="H4244" s="733"/>
      <c r="I4244" s="733"/>
      <c r="J4244" s="733"/>
      <c r="K4244" s="733"/>
      <c r="L4244" s="733"/>
      <c r="M4244" s="733"/>
    </row>
    <row r="4245" spans="1:13" x14ac:dyDescent="0.3">
      <c r="A4245" s="733" t="s">
        <v>4240</v>
      </c>
      <c r="B4245" s="733" t="s">
        <v>612</v>
      </c>
      <c r="C4245" s="733" t="s">
        <v>4256</v>
      </c>
      <c r="D4245" s="733"/>
      <c r="E4245" s="761"/>
      <c r="F4245" s="761"/>
      <c r="G4245" s="733"/>
      <c r="H4245" s="733"/>
      <c r="I4245" s="733"/>
      <c r="J4245" s="733"/>
      <c r="K4245" s="733"/>
      <c r="L4245" s="733"/>
      <c r="M4245" s="733"/>
    </row>
    <row r="4246" spans="1:13" x14ac:dyDescent="0.3">
      <c r="A4246" s="733" t="s">
        <v>4240</v>
      </c>
      <c r="B4246" s="733" t="s">
        <v>612</v>
      </c>
      <c r="C4246" s="733" t="s">
        <v>4257</v>
      </c>
      <c r="D4246" s="733"/>
      <c r="E4246" s="761"/>
      <c r="F4246" s="761"/>
      <c r="G4246" s="733"/>
      <c r="H4246" s="733"/>
      <c r="I4246" s="733"/>
      <c r="J4246" s="733"/>
      <c r="K4246" s="733"/>
      <c r="L4246" s="733"/>
      <c r="M4246" s="733"/>
    </row>
    <row r="4247" spans="1:13" x14ac:dyDescent="0.3">
      <c r="A4247" s="733" t="s">
        <v>4240</v>
      </c>
      <c r="B4247" s="733" t="s">
        <v>612</v>
      </c>
      <c r="C4247" s="733" t="s">
        <v>4258</v>
      </c>
      <c r="D4247" s="733"/>
      <c r="E4247" s="761"/>
      <c r="F4247" s="761"/>
      <c r="G4247" s="733"/>
      <c r="H4247" s="733"/>
      <c r="I4247" s="733"/>
      <c r="J4247" s="733"/>
      <c r="K4247" s="733"/>
      <c r="L4247" s="733"/>
      <c r="M4247" s="733"/>
    </row>
    <row r="4248" spans="1:13" x14ac:dyDescent="0.3">
      <c r="A4248" s="733" t="s">
        <v>4240</v>
      </c>
      <c r="B4248" s="733" t="s">
        <v>612</v>
      </c>
      <c r="C4248" s="733" t="s">
        <v>4259</v>
      </c>
      <c r="D4248" s="733"/>
      <c r="E4248" s="761"/>
      <c r="F4248" s="761"/>
      <c r="G4248" s="733"/>
      <c r="H4248" s="733"/>
      <c r="I4248" s="733"/>
      <c r="J4248" s="733"/>
      <c r="K4248" s="733"/>
      <c r="L4248" s="733"/>
      <c r="M4248" s="733"/>
    </row>
    <row r="4249" spans="1:13" x14ac:dyDescent="0.3">
      <c r="A4249" s="733" t="s">
        <v>4240</v>
      </c>
      <c r="B4249" s="733" t="s">
        <v>612</v>
      </c>
      <c r="C4249" s="733" t="s">
        <v>4260</v>
      </c>
      <c r="D4249" s="733"/>
      <c r="E4249" s="761"/>
      <c r="F4249" s="761"/>
      <c r="G4249" s="733"/>
      <c r="H4249" s="733"/>
      <c r="I4249" s="733"/>
      <c r="J4249" s="733"/>
      <c r="K4249" s="733"/>
      <c r="L4249" s="733"/>
      <c r="M4249" s="733"/>
    </row>
    <row r="4250" spans="1:13" x14ac:dyDescent="0.3">
      <c r="A4250" s="733" t="s">
        <v>4240</v>
      </c>
      <c r="B4250" s="733" t="s">
        <v>612</v>
      </c>
      <c r="C4250" s="733" t="s">
        <v>4261</v>
      </c>
      <c r="D4250" s="733"/>
      <c r="E4250" s="761"/>
      <c r="F4250" s="761"/>
      <c r="G4250" s="733"/>
      <c r="H4250" s="733"/>
      <c r="I4250" s="733"/>
      <c r="J4250" s="733"/>
      <c r="K4250" s="733"/>
      <c r="L4250" s="733"/>
      <c r="M4250" s="733"/>
    </row>
    <row r="4251" spans="1:13" x14ac:dyDescent="0.3">
      <c r="A4251" s="733" t="s">
        <v>4262</v>
      </c>
      <c r="B4251" s="733" t="s">
        <v>645</v>
      </c>
      <c r="C4251" s="733" t="s">
        <v>4263</v>
      </c>
      <c r="D4251" s="733"/>
      <c r="E4251" s="761"/>
      <c r="F4251" s="761"/>
      <c r="G4251" s="733"/>
      <c r="H4251" s="733"/>
      <c r="I4251" s="733"/>
      <c r="J4251" s="733"/>
      <c r="K4251" s="733"/>
      <c r="L4251" s="733"/>
      <c r="M4251" s="733"/>
    </row>
    <row r="4252" spans="1:13" x14ac:dyDescent="0.3">
      <c r="A4252" s="733" t="s">
        <v>4262</v>
      </c>
      <c r="B4252" s="733" t="s">
        <v>645</v>
      </c>
      <c r="C4252" s="733" t="s">
        <v>4264</v>
      </c>
      <c r="D4252" s="733"/>
      <c r="E4252" s="761"/>
      <c r="F4252" s="761"/>
      <c r="G4252" s="733"/>
      <c r="H4252" s="733"/>
      <c r="I4252" s="733"/>
      <c r="J4252" s="733"/>
      <c r="K4252" s="733"/>
      <c r="L4252" s="733"/>
      <c r="M4252" s="733"/>
    </row>
    <row r="4253" spans="1:13" x14ac:dyDescent="0.3">
      <c r="A4253" s="733" t="s">
        <v>4262</v>
      </c>
      <c r="B4253" s="733" t="s">
        <v>645</v>
      </c>
      <c r="C4253" s="733" t="s">
        <v>4265</v>
      </c>
      <c r="D4253" s="733"/>
      <c r="E4253" s="761"/>
      <c r="F4253" s="761"/>
      <c r="G4253" s="733"/>
      <c r="H4253" s="733"/>
      <c r="I4253" s="733"/>
      <c r="J4253" s="733"/>
      <c r="K4253" s="733"/>
      <c r="L4253" s="733"/>
      <c r="M4253" s="733"/>
    </row>
    <row r="4254" spans="1:13" x14ac:dyDescent="0.3">
      <c r="A4254" s="733" t="s">
        <v>4262</v>
      </c>
      <c r="B4254" s="733" t="s">
        <v>645</v>
      </c>
      <c r="C4254" s="733" t="s">
        <v>4266</v>
      </c>
      <c r="D4254" s="733"/>
      <c r="E4254" s="761"/>
      <c r="F4254" s="761"/>
      <c r="G4254" s="733"/>
      <c r="H4254" s="733"/>
      <c r="I4254" s="733"/>
      <c r="J4254" s="733"/>
      <c r="K4254" s="733"/>
      <c r="L4254" s="733"/>
      <c r="M4254" s="733"/>
    </row>
    <row r="4255" spans="1:13" x14ac:dyDescent="0.3">
      <c r="A4255" s="733" t="s">
        <v>4262</v>
      </c>
      <c r="B4255" s="733" t="s">
        <v>645</v>
      </c>
      <c r="C4255" s="733" t="s">
        <v>4267</v>
      </c>
      <c r="D4255" s="733"/>
      <c r="E4255" s="761"/>
      <c r="F4255" s="761"/>
      <c r="G4255" s="733"/>
      <c r="H4255" s="733"/>
      <c r="I4255" s="733"/>
      <c r="J4255" s="733"/>
      <c r="K4255" s="733"/>
      <c r="L4255" s="733"/>
      <c r="M4255" s="733"/>
    </row>
    <row r="4256" spans="1:13" x14ac:dyDescent="0.3">
      <c r="A4256" s="733" t="s">
        <v>4262</v>
      </c>
      <c r="B4256" s="733" t="s">
        <v>645</v>
      </c>
      <c r="C4256" s="733" t="s">
        <v>4268</v>
      </c>
      <c r="D4256" s="733"/>
      <c r="E4256" s="761"/>
      <c r="F4256" s="761"/>
      <c r="G4256" s="733"/>
      <c r="H4256" s="733"/>
      <c r="I4256" s="733"/>
      <c r="J4256" s="733"/>
      <c r="K4256" s="733"/>
      <c r="L4256" s="733"/>
      <c r="M4256" s="733"/>
    </row>
    <row r="4257" spans="1:13" x14ac:dyDescent="0.3">
      <c r="A4257" s="733" t="s">
        <v>4262</v>
      </c>
      <c r="B4257" s="733" t="s">
        <v>645</v>
      </c>
      <c r="C4257" s="733" t="s">
        <v>4269</v>
      </c>
      <c r="D4257" s="733"/>
      <c r="E4257" s="761"/>
      <c r="F4257" s="761"/>
      <c r="G4257" s="733"/>
      <c r="H4257" s="733"/>
      <c r="I4257" s="733"/>
      <c r="J4257" s="733"/>
      <c r="K4257" s="733"/>
      <c r="L4257" s="733"/>
      <c r="M4257" s="733"/>
    </row>
    <row r="4258" spans="1:13" x14ac:dyDescent="0.3">
      <c r="A4258" s="733" t="s">
        <v>4262</v>
      </c>
      <c r="B4258" s="733" t="s">
        <v>645</v>
      </c>
      <c r="C4258" s="733" t="s">
        <v>4270</v>
      </c>
      <c r="D4258" s="733"/>
      <c r="E4258" s="761"/>
      <c r="F4258" s="761"/>
      <c r="G4258" s="733"/>
      <c r="H4258" s="733"/>
      <c r="I4258" s="733"/>
      <c r="J4258" s="733"/>
      <c r="K4258" s="733"/>
      <c r="L4258" s="733"/>
      <c r="M4258" s="733"/>
    </row>
    <row r="4259" spans="1:13" x14ac:dyDescent="0.3">
      <c r="A4259" s="733" t="s">
        <v>4262</v>
      </c>
      <c r="B4259" s="733" t="s">
        <v>645</v>
      </c>
      <c r="C4259" s="733" t="s">
        <v>4271</v>
      </c>
      <c r="D4259" s="733"/>
      <c r="E4259" s="761"/>
      <c r="F4259" s="761"/>
      <c r="G4259" s="733"/>
      <c r="H4259" s="733"/>
      <c r="I4259" s="733"/>
      <c r="J4259" s="733"/>
      <c r="K4259" s="733"/>
      <c r="L4259" s="733"/>
      <c r="M4259" s="733"/>
    </row>
    <row r="4260" spans="1:13" x14ac:dyDescent="0.3">
      <c r="A4260" s="733" t="s">
        <v>4262</v>
      </c>
      <c r="B4260" s="733" t="s">
        <v>645</v>
      </c>
      <c r="C4260" s="733" t="s">
        <v>4272</v>
      </c>
      <c r="D4260" s="733"/>
      <c r="E4260" s="761"/>
      <c r="F4260" s="761"/>
      <c r="G4260" s="733"/>
      <c r="H4260" s="733"/>
      <c r="I4260" s="733"/>
      <c r="J4260" s="733"/>
      <c r="K4260" s="733"/>
      <c r="L4260" s="733"/>
      <c r="M4260" s="733"/>
    </row>
    <row r="4261" spans="1:13" x14ac:dyDescent="0.3">
      <c r="A4261" s="733" t="s">
        <v>4262</v>
      </c>
      <c r="B4261" s="733" t="s">
        <v>664</v>
      </c>
      <c r="C4261" s="733" t="s">
        <v>4273</v>
      </c>
      <c r="D4261" s="733"/>
      <c r="E4261" s="761"/>
      <c r="F4261" s="761"/>
      <c r="G4261" s="733"/>
      <c r="H4261" s="733"/>
      <c r="I4261" s="733"/>
      <c r="J4261" s="733"/>
      <c r="K4261" s="733"/>
      <c r="L4261" s="733"/>
      <c r="M4261" s="733"/>
    </row>
    <row r="4262" spans="1:13" x14ac:dyDescent="0.3">
      <c r="A4262" s="733" t="s">
        <v>4262</v>
      </c>
      <c r="B4262" s="733" t="s">
        <v>664</v>
      </c>
      <c r="C4262" s="733" t="s">
        <v>4274</v>
      </c>
      <c r="D4262" s="733"/>
      <c r="E4262" s="761"/>
      <c r="F4262" s="761"/>
      <c r="G4262" s="733"/>
      <c r="H4262" s="733"/>
      <c r="I4262" s="733"/>
      <c r="J4262" s="733"/>
      <c r="K4262" s="733"/>
      <c r="L4262" s="733"/>
      <c r="M4262" s="733"/>
    </row>
    <row r="4263" spans="1:13" x14ac:dyDescent="0.3">
      <c r="A4263" s="733" t="s">
        <v>4262</v>
      </c>
      <c r="B4263" s="733" t="s">
        <v>664</v>
      </c>
      <c r="C4263" s="733" t="s">
        <v>4275</v>
      </c>
      <c r="D4263" s="733"/>
      <c r="E4263" s="761"/>
      <c r="F4263" s="761"/>
      <c r="G4263" s="733"/>
      <c r="H4263" s="733"/>
      <c r="I4263" s="733"/>
      <c r="J4263" s="733"/>
      <c r="K4263" s="733"/>
      <c r="L4263" s="733"/>
      <c r="M4263" s="733"/>
    </row>
    <row r="4264" spans="1:13" x14ac:dyDescent="0.3">
      <c r="A4264" s="733" t="s">
        <v>4262</v>
      </c>
      <c r="B4264" s="733" t="s">
        <v>664</v>
      </c>
      <c r="C4264" s="733" t="s">
        <v>4276</v>
      </c>
      <c r="D4264" s="733"/>
      <c r="E4264" s="761"/>
      <c r="F4264" s="761"/>
      <c r="G4264" s="733"/>
      <c r="H4264" s="733"/>
      <c r="I4264" s="733"/>
      <c r="J4264" s="733"/>
      <c r="K4264" s="733"/>
      <c r="L4264" s="733"/>
      <c r="M4264" s="733"/>
    </row>
    <row r="4265" spans="1:13" x14ac:dyDescent="0.3">
      <c r="A4265" s="733" t="s">
        <v>4262</v>
      </c>
      <c r="B4265" s="733" t="s">
        <v>664</v>
      </c>
      <c r="C4265" s="733" t="s">
        <v>4277</v>
      </c>
      <c r="D4265" s="733"/>
      <c r="E4265" s="761"/>
      <c r="F4265" s="761"/>
      <c r="G4265" s="733"/>
      <c r="H4265" s="733"/>
      <c r="I4265" s="733"/>
      <c r="J4265" s="733"/>
      <c r="K4265" s="733"/>
      <c r="L4265" s="733"/>
      <c r="M4265" s="733"/>
    </row>
    <row r="4266" spans="1:13" x14ac:dyDescent="0.3">
      <c r="A4266" s="733" t="s">
        <v>4262</v>
      </c>
      <c r="B4266" s="733" t="s">
        <v>664</v>
      </c>
      <c r="C4266" s="733" t="s">
        <v>4278</v>
      </c>
      <c r="D4266" s="733"/>
      <c r="E4266" s="761"/>
      <c r="F4266" s="761"/>
      <c r="G4266" s="733"/>
      <c r="H4266" s="733"/>
      <c r="I4266" s="733"/>
      <c r="J4266" s="733"/>
      <c r="K4266" s="733"/>
      <c r="L4266" s="733"/>
      <c r="M4266" s="733"/>
    </row>
    <row r="4267" spans="1:13" x14ac:dyDescent="0.3">
      <c r="A4267" s="733" t="s">
        <v>4262</v>
      </c>
      <c r="B4267" s="733" t="s">
        <v>664</v>
      </c>
      <c r="C4267" s="733" t="s">
        <v>4279</v>
      </c>
      <c r="D4267" s="733"/>
      <c r="E4267" s="761"/>
      <c r="F4267" s="761"/>
      <c r="G4267" s="733"/>
      <c r="H4267" s="733"/>
      <c r="I4267" s="733"/>
      <c r="J4267" s="733"/>
      <c r="K4267" s="733"/>
      <c r="L4267" s="733"/>
      <c r="M4267" s="733"/>
    </row>
    <row r="4268" spans="1:13" x14ac:dyDescent="0.3">
      <c r="A4268" s="733" t="s">
        <v>4262</v>
      </c>
      <c r="B4268" s="733" t="s">
        <v>664</v>
      </c>
      <c r="C4268" s="733" t="s">
        <v>4280</v>
      </c>
      <c r="D4268" s="733"/>
      <c r="E4268" s="761"/>
      <c r="F4268" s="761"/>
      <c r="G4268" s="733"/>
      <c r="H4268" s="733"/>
      <c r="I4268" s="733"/>
      <c r="J4268" s="733"/>
      <c r="K4268" s="733"/>
      <c r="L4268" s="733"/>
      <c r="M4268" s="733"/>
    </row>
    <row r="4269" spans="1:13" x14ac:dyDescent="0.3">
      <c r="A4269" s="733" t="s">
        <v>4262</v>
      </c>
      <c r="B4269" s="733" t="s">
        <v>664</v>
      </c>
      <c r="C4269" s="733" t="s">
        <v>4281</v>
      </c>
      <c r="D4269" s="733"/>
      <c r="E4269" s="761"/>
      <c r="F4269" s="761"/>
      <c r="G4269" s="733"/>
      <c r="H4269" s="733"/>
      <c r="I4269" s="733"/>
      <c r="J4269" s="733"/>
      <c r="K4269" s="733"/>
      <c r="L4269" s="733"/>
      <c r="M4269" s="733"/>
    </row>
    <row r="4270" spans="1:13" x14ac:dyDescent="0.3">
      <c r="A4270" s="733" t="s">
        <v>4262</v>
      </c>
      <c r="B4270" s="733" t="s">
        <v>664</v>
      </c>
      <c r="C4270" s="733" t="s">
        <v>4282</v>
      </c>
      <c r="D4270" s="733"/>
      <c r="E4270" s="761"/>
      <c r="F4270" s="761"/>
      <c r="G4270" s="733"/>
      <c r="H4270" s="733"/>
      <c r="I4270" s="733"/>
      <c r="J4270" s="733"/>
      <c r="K4270" s="733"/>
      <c r="L4270" s="733"/>
      <c r="M4270" s="733"/>
    </row>
    <row r="4271" spans="1:13" x14ac:dyDescent="0.3">
      <c r="A4271" s="733" t="s">
        <v>4262</v>
      </c>
      <c r="B4271" s="733" t="s">
        <v>612</v>
      </c>
      <c r="C4271" s="733" t="s">
        <v>4283</v>
      </c>
      <c r="D4271" s="733"/>
      <c r="E4271" s="761"/>
      <c r="F4271" s="761"/>
      <c r="G4271" s="733"/>
      <c r="H4271" s="733"/>
      <c r="I4271" s="733"/>
      <c r="J4271" s="733"/>
      <c r="K4271" s="733"/>
      <c r="L4271" s="733"/>
      <c r="M4271" s="733"/>
    </row>
    <row r="4272" spans="1:13" x14ac:dyDescent="0.3">
      <c r="A4272" s="733" t="s">
        <v>4262</v>
      </c>
      <c r="B4272" s="733" t="s">
        <v>612</v>
      </c>
      <c r="C4272" s="733" t="s">
        <v>4284</v>
      </c>
      <c r="D4272" s="733"/>
      <c r="E4272" s="761"/>
      <c r="F4272" s="761"/>
      <c r="G4272" s="733"/>
      <c r="H4272" s="733"/>
      <c r="I4272" s="733"/>
      <c r="J4272" s="733"/>
      <c r="K4272" s="733"/>
      <c r="L4272" s="733"/>
      <c r="M4272" s="733"/>
    </row>
    <row r="4273" spans="1:13" x14ac:dyDescent="0.3">
      <c r="A4273" s="733" t="s">
        <v>4262</v>
      </c>
      <c r="B4273" s="733" t="s">
        <v>612</v>
      </c>
      <c r="C4273" s="733" t="s">
        <v>4285</v>
      </c>
      <c r="D4273" s="733"/>
      <c r="E4273" s="761"/>
      <c r="F4273" s="761"/>
      <c r="G4273" s="733"/>
      <c r="H4273" s="733"/>
      <c r="I4273" s="733"/>
      <c r="J4273" s="733"/>
      <c r="K4273" s="733"/>
      <c r="L4273" s="733"/>
      <c r="M4273" s="733"/>
    </row>
    <row r="4274" spans="1:13" x14ac:dyDescent="0.3">
      <c r="A4274" s="733" t="s">
        <v>4262</v>
      </c>
      <c r="B4274" s="733" t="s">
        <v>612</v>
      </c>
      <c r="C4274" s="733" t="s">
        <v>4286</v>
      </c>
      <c r="D4274" s="733"/>
      <c r="E4274" s="761"/>
      <c r="F4274" s="761"/>
      <c r="G4274" s="733"/>
      <c r="H4274" s="733"/>
      <c r="I4274" s="733"/>
      <c r="J4274" s="733"/>
      <c r="K4274" s="733"/>
      <c r="L4274" s="733"/>
      <c r="M4274" s="733"/>
    </row>
    <row r="4275" spans="1:13" x14ac:dyDescent="0.3">
      <c r="A4275" s="733" t="s">
        <v>4262</v>
      </c>
      <c r="B4275" s="733" t="s">
        <v>612</v>
      </c>
      <c r="C4275" s="733" t="s">
        <v>4287</v>
      </c>
      <c r="D4275" s="733"/>
      <c r="E4275" s="761"/>
      <c r="F4275" s="761"/>
      <c r="G4275" s="733"/>
      <c r="H4275" s="733"/>
      <c r="I4275" s="733"/>
      <c r="J4275" s="733"/>
      <c r="K4275" s="733"/>
      <c r="L4275" s="733"/>
      <c r="M4275" s="733"/>
    </row>
    <row r="4276" spans="1:13" x14ac:dyDescent="0.3">
      <c r="A4276" s="733" t="s">
        <v>4262</v>
      </c>
      <c r="B4276" s="733" t="s">
        <v>612</v>
      </c>
      <c r="C4276" s="733" t="s">
        <v>4288</v>
      </c>
      <c r="D4276" s="733"/>
      <c r="E4276" s="761"/>
      <c r="F4276" s="761"/>
      <c r="G4276" s="733"/>
      <c r="H4276" s="733"/>
      <c r="I4276" s="733"/>
      <c r="J4276" s="733"/>
      <c r="K4276" s="733"/>
      <c r="L4276" s="733"/>
      <c r="M4276" s="733"/>
    </row>
    <row r="4277" spans="1:13" x14ac:dyDescent="0.3">
      <c r="A4277" s="733" t="s">
        <v>4262</v>
      </c>
      <c r="B4277" s="733" t="s">
        <v>612</v>
      </c>
      <c r="C4277" s="733" t="s">
        <v>4289</v>
      </c>
      <c r="D4277" s="733"/>
      <c r="E4277" s="761"/>
      <c r="F4277" s="761"/>
      <c r="G4277" s="733"/>
      <c r="H4277" s="733"/>
      <c r="I4277" s="733"/>
      <c r="J4277" s="733"/>
      <c r="K4277" s="733"/>
      <c r="L4277" s="733"/>
      <c r="M4277" s="733"/>
    </row>
    <row r="4278" spans="1:13" x14ac:dyDescent="0.3">
      <c r="A4278" s="733" t="s">
        <v>4262</v>
      </c>
      <c r="B4278" s="733" t="s">
        <v>612</v>
      </c>
      <c r="C4278" s="733" t="s">
        <v>4290</v>
      </c>
      <c r="D4278" s="733"/>
      <c r="E4278" s="761"/>
      <c r="F4278" s="761"/>
      <c r="G4278" s="733"/>
      <c r="H4278" s="733"/>
      <c r="I4278" s="733"/>
      <c r="J4278" s="733"/>
      <c r="K4278" s="733"/>
      <c r="L4278" s="733"/>
      <c r="M4278" s="733"/>
    </row>
    <row r="4279" spans="1:13" x14ac:dyDescent="0.3">
      <c r="A4279" s="733" t="s">
        <v>4262</v>
      </c>
      <c r="B4279" s="733" t="s">
        <v>612</v>
      </c>
      <c r="C4279" s="733" t="s">
        <v>4291</v>
      </c>
      <c r="D4279" s="733"/>
      <c r="E4279" s="761"/>
      <c r="F4279" s="761"/>
      <c r="G4279" s="733"/>
      <c r="H4279" s="733"/>
      <c r="I4279" s="733"/>
      <c r="J4279" s="733"/>
      <c r="K4279" s="733"/>
      <c r="L4279" s="733"/>
      <c r="M4279" s="733"/>
    </row>
    <row r="4280" spans="1:13" x14ac:dyDescent="0.3">
      <c r="A4280" s="733" t="s">
        <v>4262</v>
      </c>
      <c r="B4280" s="733" t="s">
        <v>612</v>
      </c>
      <c r="C4280" s="733" t="s">
        <v>4292</v>
      </c>
      <c r="D4280" s="733"/>
      <c r="E4280" s="761"/>
      <c r="F4280" s="761"/>
      <c r="G4280" s="733"/>
      <c r="H4280" s="733"/>
      <c r="I4280" s="733"/>
      <c r="J4280" s="733"/>
      <c r="K4280" s="733"/>
      <c r="L4280" s="733"/>
      <c r="M4280" s="733"/>
    </row>
    <row r="4281" spans="1:13" x14ac:dyDescent="0.3">
      <c r="A4281" s="733" t="s">
        <v>2598</v>
      </c>
      <c r="B4281" s="733" t="s">
        <v>645</v>
      </c>
      <c r="C4281" s="733" t="s">
        <v>4293</v>
      </c>
      <c r="D4281" s="733"/>
      <c r="E4281" s="761"/>
      <c r="F4281" s="761"/>
      <c r="G4281" s="733"/>
      <c r="H4281" s="733"/>
      <c r="I4281" s="733"/>
      <c r="J4281" s="733"/>
      <c r="K4281" s="733"/>
      <c r="L4281" s="733"/>
      <c r="M4281" s="733"/>
    </row>
    <row r="4282" spans="1:13" x14ac:dyDescent="0.3">
      <c r="A4282" s="733" t="s">
        <v>2598</v>
      </c>
      <c r="B4282" s="733" t="s">
        <v>645</v>
      </c>
      <c r="C4282" s="733" t="s">
        <v>4294</v>
      </c>
      <c r="D4282" s="733"/>
      <c r="E4282" s="761"/>
      <c r="F4282" s="761"/>
      <c r="G4282" s="733"/>
      <c r="H4282" s="733"/>
      <c r="I4282" s="733"/>
      <c r="J4282" s="733"/>
      <c r="K4282" s="733"/>
      <c r="L4282" s="733"/>
      <c r="M4282" s="733"/>
    </row>
    <row r="4283" spans="1:13" x14ac:dyDescent="0.3">
      <c r="A4283" s="733" t="s">
        <v>2598</v>
      </c>
      <c r="B4283" s="733" t="s">
        <v>645</v>
      </c>
      <c r="C4283" s="733" t="s">
        <v>4295</v>
      </c>
      <c r="D4283" s="733"/>
      <c r="E4283" s="761"/>
      <c r="F4283" s="761"/>
      <c r="G4283" s="733"/>
      <c r="H4283" s="733"/>
      <c r="I4283" s="733"/>
      <c r="J4283" s="733"/>
      <c r="K4283" s="733"/>
      <c r="L4283" s="733"/>
      <c r="M4283" s="733"/>
    </row>
    <row r="4284" spans="1:13" x14ac:dyDescent="0.3">
      <c r="A4284" s="733" t="s">
        <v>2598</v>
      </c>
      <c r="B4284" s="733" t="s">
        <v>645</v>
      </c>
      <c r="C4284" s="733" t="s">
        <v>4296</v>
      </c>
      <c r="D4284" s="733"/>
      <c r="E4284" s="761"/>
      <c r="F4284" s="761"/>
      <c r="G4284" s="733"/>
      <c r="H4284" s="733"/>
      <c r="I4284" s="733"/>
      <c r="J4284" s="733"/>
      <c r="K4284" s="733"/>
      <c r="L4284" s="733"/>
      <c r="M4284" s="733"/>
    </row>
    <row r="4285" spans="1:13" x14ac:dyDescent="0.3">
      <c r="A4285" s="733" t="s">
        <v>2598</v>
      </c>
      <c r="B4285" s="733" t="s">
        <v>645</v>
      </c>
      <c r="C4285" s="733" t="s">
        <v>4297</v>
      </c>
      <c r="D4285" s="733"/>
      <c r="E4285" s="761"/>
      <c r="F4285" s="761"/>
      <c r="G4285" s="733"/>
      <c r="H4285" s="733"/>
      <c r="I4285" s="733"/>
      <c r="J4285" s="733"/>
      <c r="K4285" s="733"/>
      <c r="L4285" s="733"/>
      <c r="M4285" s="733"/>
    </row>
    <row r="4286" spans="1:13" x14ac:dyDescent="0.3">
      <c r="A4286" s="733" t="s">
        <v>2598</v>
      </c>
      <c r="B4286" s="733" t="s">
        <v>645</v>
      </c>
      <c r="C4286" s="733" t="s">
        <v>4298</v>
      </c>
      <c r="D4286" s="733"/>
      <c r="E4286" s="761"/>
      <c r="F4286" s="761"/>
      <c r="G4286" s="733"/>
      <c r="H4286" s="733"/>
      <c r="I4286" s="733"/>
      <c r="J4286" s="733"/>
      <c r="K4286" s="733"/>
      <c r="L4286" s="733"/>
      <c r="M4286" s="733"/>
    </row>
    <row r="4287" spans="1:13" x14ac:dyDescent="0.3">
      <c r="A4287" s="733" t="s">
        <v>2598</v>
      </c>
      <c r="B4287" s="733" t="s">
        <v>645</v>
      </c>
      <c r="C4287" s="733" t="s">
        <v>4299</v>
      </c>
      <c r="D4287" s="733"/>
      <c r="E4287" s="761"/>
      <c r="F4287" s="761"/>
      <c r="G4287" s="733"/>
      <c r="H4287" s="733"/>
      <c r="I4287" s="733"/>
      <c r="J4287" s="733"/>
      <c r="K4287" s="733"/>
      <c r="L4287" s="733"/>
      <c r="M4287" s="733"/>
    </row>
    <row r="4288" spans="1:13" x14ac:dyDescent="0.3">
      <c r="A4288" s="733" t="s">
        <v>2598</v>
      </c>
      <c r="B4288" s="733" t="s">
        <v>645</v>
      </c>
      <c r="C4288" s="733" t="s">
        <v>4300</v>
      </c>
      <c r="D4288" s="733"/>
      <c r="E4288" s="761"/>
      <c r="F4288" s="761"/>
      <c r="G4288" s="733"/>
      <c r="H4288" s="733"/>
      <c r="I4288" s="733"/>
      <c r="J4288" s="733"/>
      <c r="K4288" s="733"/>
      <c r="L4288" s="733"/>
      <c r="M4288" s="733"/>
    </row>
    <row r="4289" spans="1:13" x14ac:dyDescent="0.3">
      <c r="A4289" s="733" t="s">
        <v>2598</v>
      </c>
      <c r="B4289" s="733" t="s">
        <v>645</v>
      </c>
      <c r="C4289" s="733" t="s">
        <v>4301</v>
      </c>
      <c r="D4289" s="733"/>
      <c r="E4289" s="761"/>
      <c r="F4289" s="761"/>
      <c r="G4289" s="733"/>
      <c r="H4289" s="733"/>
      <c r="I4289" s="733"/>
      <c r="J4289" s="733"/>
      <c r="K4289" s="733"/>
      <c r="L4289" s="733"/>
      <c r="M4289" s="733"/>
    </row>
    <row r="4290" spans="1:13" x14ac:dyDescent="0.3">
      <c r="A4290" s="733" t="s">
        <v>2598</v>
      </c>
      <c r="B4290" s="733" t="s">
        <v>645</v>
      </c>
      <c r="C4290" s="733" t="s">
        <v>4302</v>
      </c>
      <c r="D4290" s="733"/>
      <c r="E4290" s="761"/>
      <c r="F4290" s="761"/>
      <c r="G4290" s="733"/>
      <c r="H4290" s="733"/>
      <c r="I4290" s="733"/>
      <c r="J4290" s="733"/>
      <c r="K4290" s="733"/>
      <c r="L4290" s="733"/>
      <c r="M4290" s="733"/>
    </row>
    <row r="4291" spans="1:13" x14ac:dyDescent="0.3">
      <c r="A4291" s="733" t="s">
        <v>2598</v>
      </c>
      <c r="B4291" s="733" t="s">
        <v>664</v>
      </c>
      <c r="C4291" s="733" t="s">
        <v>4303</v>
      </c>
      <c r="D4291" s="733"/>
      <c r="E4291" s="761"/>
      <c r="F4291" s="761"/>
      <c r="G4291" s="733"/>
      <c r="H4291" s="733"/>
      <c r="I4291" s="733"/>
      <c r="J4291" s="733"/>
      <c r="K4291" s="733"/>
      <c r="L4291" s="733"/>
      <c r="M4291" s="733"/>
    </row>
    <row r="4292" spans="1:13" x14ac:dyDescent="0.3">
      <c r="A4292" s="733" t="s">
        <v>2598</v>
      </c>
      <c r="B4292" s="733" t="s">
        <v>664</v>
      </c>
      <c r="C4292" s="733" t="s">
        <v>4304</v>
      </c>
      <c r="D4292" s="733"/>
      <c r="E4292" s="761"/>
      <c r="F4292" s="761"/>
      <c r="G4292" s="733"/>
      <c r="H4292" s="733"/>
      <c r="I4292" s="733"/>
      <c r="J4292" s="733"/>
      <c r="K4292" s="733"/>
      <c r="L4292" s="733"/>
      <c r="M4292" s="733"/>
    </row>
    <row r="4293" spans="1:13" x14ac:dyDescent="0.3">
      <c r="A4293" s="733" t="s">
        <v>2598</v>
      </c>
      <c r="B4293" s="733" t="s">
        <v>664</v>
      </c>
      <c r="C4293" s="733" t="s">
        <v>4305</v>
      </c>
      <c r="D4293" s="733"/>
      <c r="E4293" s="761"/>
      <c r="F4293" s="761"/>
      <c r="G4293" s="733"/>
      <c r="H4293" s="733"/>
      <c r="I4293" s="733"/>
      <c r="J4293" s="733"/>
      <c r="K4293" s="733"/>
      <c r="L4293" s="733"/>
      <c r="M4293" s="733"/>
    </row>
    <row r="4294" spans="1:13" x14ac:dyDescent="0.3">
      <c r="A4294" s="733" t="s">
        <v>2598</v>
      </c>
      <c r="B4294" s="733" t="s">
        <v>664</v>
      </c>
      <c r="C4294" s="733" t="s">
        <v>4306</v>
      </c>
      <c r="D4294" s="733"/>
      <c r="E4294" s="761"/>
      <c r="F4294" s="761"/>
      <c r="G4294" s="733"/>
      <c r="H4294" s="733"/>
      <c r="I4294" s="733"/>
      <c r="J4294" s="733"/>
      <c r="K4294" s="733"/>
      <c r="L4294" s="733"/>
      <c r="M4294" s="733"/>
    </row>
    <row r="4295" spans="1:13" x14ac:dyDescent="0.3">
      <c r="A4295" s="733" t="s">
        <v>2598</v>
      </c>
      <c r="B4295" s="733" t="s">
        <v>664</v>
      </c>
      <c r="C4295" s="733" t="s">
        <v>4307</v>
      </c>
      <c r="D4295" s="733"/>
      <c r="E4295" s="761"/>
      <c r="F4295" s="761"/>
      <c r="G4295" s="733"/>
      <c r="H4295" s="733"/>
      <c r="I4295" s="733"/>
      <c r="J4295" s="733"/>
      <c r="K4295" s="733"/>
      <c r="L4295" s="733"/>
      <c r="M4295" s="733"/>
    </row>
    <row r="4296" spans="1:13" x14ac:dyDescent="0.3">
      <c r="A4296" s="733" t="s">
        <v>2598</v>
      </c>
      <c r="B4296" s="733" t="s">
        <v>664</v>
      </c>
      <c r="C4296" s="733" t="s">
        <v>4308</v>
      </c>
      <c r="D4296" s="733"/>
      <c r="E4296" s="761"/>
      <c r="F4296" s="761"/>
      <c r="G4296" s="733"/>
      <c r="H4296" s="733"/>
      <c r="I4296" s="733"/>
      <c r="J4296" s="733"/>
      <c r="K4296" s="733"/>
      <c r="L4296" s="733"/>
      <c r="M4296" s="733"/>
    </row>
    <row r="4297" spans="1:13" x14ac:dyDescent="0.3">
      <c r="A4297" s="733" t="s">
        <v>2598</v>
      </c>
      <c r="B4297" s="733" t="s">
        <v>664</v>
      </c>
      <c r="C4297" s="733" t="s">
        <v>4309</v>
      </c>
      <c r="D4297" s="733"/>
      <c r="E4297" s="761"/>
      <c r="F4297" s="761"/>
      <c r="G4297" s="733"/>
      <c r="H4297" s="733"/>
      <c r="I4297" s="733"/>
      <c r="J4297" s="733"/>
      <c r="K4297" s="733"/>
      <c r="L4297" s="733"/>
      <c r="M4297" s="733"/>
    </row>
    <row r="4298" spans="1:13" x14ac:dyDescent="0.3">
      <c r="A4298" s="733" t="s">
        <v>2598</v>
      </c>
      <c r="B4298" s="733" t="s">
        <v>664</v>
      </c>
      <c r="C4298" s="733" t="s">
        <v>4310</v>
      </c>
      <c r="D4298" s="733"/>
      <c r="E4298" s="761"/>
      <c r="F4298" s="761"/>
      <c r="G4298" s="733"/>
      <c r="H4298" s="733"/>
      <c r="I4298" s="733"/>
      <c r="J4298" s="733"/>
      <c r="K4298" s="733"/>
      <c r="L4298" s="733"/>
      <c r="M4298" s="733"/>
    </row>
    <row r="4299" spans="1:13" x14ac:dyDescent="0.3">
      <c r="A4299" s="733" t="s">
        <v>2598</v>
      </c>
      <c r="B4299" s="733" t="s">
        <v>664</v>
      </c>
      <c r="C4299" s="733" t="s">
        <v>4311</v>
      </c>
      <c r="D4299" s="733"/>
      <c r="E4299" s="761"/>
      <c r="F4299" s="761"/>
      <c r="G4299" s="733"/>
      <c r="H4299" s="733"/>
      <c r="I4299" s="733"/>
      <c r="J4299" s="733"/>
      <c r="K4299" s="733"/>
      <c r="L4299" s="733"/>
      <c r="M4299" s="733"/>
    </row>
    <row r="4300" spans="1:13" x14ac:dyDescent="0.3">
      <c r="A4300" s="733" t="s">
        <v>2598</v>
      </c>
      <c r="B4300" s="733" t="s">
        <v>664</v>
      </c>
      <c r="C4300" s="733" t="s">
        <v>4312</v>
      </c>
      <c r="D4300" s="733"/>
      <c r="E4300" s="761"/>
      <c r="F4300" s="761"/>
      <c r="G4300" s="733"/>
      <c r="H4300" s="733"/>
      <c r="I4300" s="733"/>
      <c r="J4300" s="733"/>
      <c r="K4300" s="733"/>
      <c r="L4300" s="733"/>
      <c r="M4300" s="733"/>
    </row>
    <row r="4301" spans="1:13" x14ac:dyDescent="0.3">
      <c r="A4301" s="733" t="s">
        <v>2598</v>
      </c>
      <c r="B4301" s="733" t="s">
        <v>612</v>
      </c>
      <c r="C4301" s="733" t="s">
        <v>4313</v>
      </c>
      <c r="D4301" s="733"/>
      <c r="E4301" s="761"/>
      <c r="F4301" s="761"/>
      <c r="G4301" s="733"/>
      <c r="H4301" s="733"/>
      <c r="I4301" s="733"/>
      <c r="J4301" s="733"/>
      <c r="K4301" s="733"/>
      <c r="L4301" s="733"/>
      <c r="M4301" s="733"/>
    </row>
    <row r="4302" spans="1:13" x14ac:dyDescent="0.3">
      <c r="A4302" s="733" t="s">
        <v>2598</v>
      </c>
      <c r="B4302" s="733" t="s">
        <v>612</v>
      </c>
      <c r="C4302" s="733" t="s">
        <v>4314</v>
      </c>
      <c r="D4302" s="733"/>
      <c r="E4302" s="761"/>
      <c r="F4302" s="761"/>
      <c r="G4302" s="733"/>
      <c r="H4302" s="733"/>
      <c r="I4302" s="733"/>
      <c r="J4302" s="733"/>
      <c r="K4302" s="733"/>
      <c r="L4302" s="733"/>
      <c r="M4302" s="733"/>
    </row>
    <row r="4303" spans="1:13" x14ac:dyDescent="0.3">
      <c r="A4303" s="733" t="s">
        <v>2598</v>
      </c>
      <c r="B4303" s="733" t="s">
        <v>612</v>
      </c>
      <c r="C4303" s="733" t="s">
        <v>4315</v>
      </c>
      <c r="D4303" s="733"/>
      <c r="E4303" s="761"/>
      <c r="F4303" s="761"/>
      <c r="G4303" s="733"/>
      <c r="H4303" s="733"/>
      <c r="I4303" s="733"/>
      <c r="J4303" s="733"/>
      <c r="K4303" s="733"/>
      <c r="L4303" s="733"/>
      <c r="M4303" s="733"/>
    </row>
    <row r="4304" spans="1:13" x14ac:dyDescent="0.3">
      <c r="A4304" s="733" t="s">
        <v>2598</v>
      </c>
      <c r="B4304" s="733" t="s">
        <v>612</v>
      </c>
      <c r="C4304" s="733" t="s">
        <v>4316</v>
      </c>
      <c r="D4304" s="733"/>
      <c r="E4304" s="761"/>
      <c r="F4304" s="761"/>
      <c r="G4304" s="733"/>
      <c r="H4304" s="733"/>
      <c r="I4304" s="733"/>
      <c r="J4304" s="733"/>
      <c r="K4304" s="733"/>
      <c r="L4304" s="733"/>
      <c r="M4304" s="733"/>
    </row>
    <row r="4305" spans="1:13" x14ac:dyDescent="0.3">
      <c r="A4305" s="733" t="s">
        <v>2598</v>
      </c>
      <c r="B4305" s="733" t="s">
        <v>612</v>
      </c>
      <c r="C4305" s="733" t="s">
        <v>4317</v>
      </c>
      <c r="D4305" s="733"/>
      <c r="E4305" s="761"/>
      <c r="F4305" s="761"/>
      <c r="G4305" s="733"/>
      <c r="H4305" s="733"/>
      <c r="I4305" s="733"/>
      <c r="J4305" s="733"/>
      <c r="K4305" s="733"/>
      <c r="L4305" s="733"/>
      <c r="M4305" s="733"/>
    </row>
    <row r="4306" spans="1:13" x14ac:dyDescent="0.3">
      <c r="A4306" s="733" t="s">
        <v>2598</v>
      </c>
      <c r="B4306" s="733" t="s">
        <v>612</v>
      </c>
      <c r="C4306" s="733" t="s">
        <v>4318</v>
      </c>
      <c r="D4306" s="733"/>
      <c r="E4306" s="761"/>
      <c r="F4306" s="761"/>
      <c r="G4306" s="733"/>
      <c r="H4306" s="733"/>
      <c r="I4306" s="733"/>
      <c r="J4306" s="733"/>
      <c r="K4306" s="733"/>
      <c r="L4306" s="733"/>
      <c r="M4306" s="733"/>
    </row>
    <row r="4307" spans="1:13" x14ac:dyDescent="0.3">
      <c r="A4307" s="733" t="s">
        <v>2598</v>
      </c>
      <c r="B4307" s="733" t="s">
        <v>612</v>
      </c>
      <c r="C4307" s="733" t="s">
        <v>4319</v>
      </c>
      <c r="D4307" s="733"/>
      <c r="E4307" s="761"/>
      <c r="F4307" s="761"/>
      <c r="G4307" s="733"/>
      <c r="H4307" s="733"/>
      <c r="I4307" s="733"/>
      <c r="J4307" s="733"/>
      <c r="K4307" s="733"/>
      <c r="L4307" s="733"/>
      <c r="M4307" s="733"/>
    </row>
    <row r="4308" spans="1:13" x14ac:dyDescent="0.3">
      <c r="A4308" s="733" t="s">
        <v>2598</v>
      </c>
      <c r="B4308" s="733" t="s">
        <v>612</v>
      </c>
      <c r="C4308" s="733" t="s">
        <v>4320</v>
      </c>
      <c r="D4308" s="733"/>
      <c r="E4308" s="761"/>
      <c r="F4308" s="761"/>
      <c r="G4308" s="733"/>
      <c r="H4308" s="733"/>
      <c r="I4308" s="733"/>
      <c r="J4308" s="733"/>
      <c r="K4308" s="733"/>
      <c r="L4308" s="733"/>
      <c r="M4308" s="733"/>
    </row>
    <row r="4309" spans="1:13" x14ac:dyDescent="0.3">
      <c r="A4309" s="733" t="s">
        <v>2598</v>
      </c>
      <c r="B4309" s="733" t="s">
        <v>612</v>
      </c>
      <c r="C4309" s="733" t="s">
        <v>4321</v>
      </c>
      <c r="D4309" s="733"/>
      <c r="E4309" s="761"/>
      <c r="F4309" s="761"/>
      <c r="G4309" s="733"/>
      <c r="H4309" s="733"/>
      <c r="I4309" s="733"/>
      <c r="J4309" s="733"/>
      <c r="K4309" s="733"/>
      <c r="L4309" s="733"/>
      <c r="M4309" s="733"/>
    </row>
    <row r="4310" spans="1:13" x14ac:dyDescent="0.3">
      <c r="A4310" s="733" t="s">
        <v>2598</v>
      </c>
      <c r="B4310" s="733" t="s">
        <v>612</v>
      </c>
      <c r="C4310" s="733" t="s">
        <v>4322</v>
      </c>
      <c r="D4310" s="733"/>
      <c r="E4310" s="761"/>
      <c r="F4310" s="761"/>
      <c r="G4310" s="733"/>
      <c r="H4310" s="733"/>
      <c r="I4310" s="733"/>
      <c r="J4310" s="733"/>
      <c r="K4310" s="733"/>
      <c r="L4310" s="733"/>
      <c r="M4310" s="733"/>
    </row>
    <row r="4311" spans="1:13" x14ac:dyDescent="0.3">
      <c r="A4311" s="733" t="s">
        <v>4323</v>
      </c>
      <c r="B4311" s="733" t="s">
        <v>645</v>
      </c>
      <c r="C4311" s="733" t="s">
        <v>4324</v>
      </c>
      <c r="D4311" s="733"/>
      <c r="E4311" s="761"/>
      <c r="F4311" s="761"/>
      <c r="G4311" s="733"/>
      <c r="H4311" s="733"/>
      <c r="I4311" s="733"/>
      <c r="J4311" s="733"/>
      <c r="K4311" s="733"/>
      <c r="L4311" s="733"/>
      <c r="M4311" s="733"/>
    </row>
    <row r="4312" spans="1:13" x14ac:dyDescent="0.3">
      <c r="A4312" s="733" t="s">
        <v>4323</v>
      </c>
      <c r="B4312" s="733" t="s">
        <v>645</v>
      </c>
      <c r="C4312" s="733" t="s">
        <v>4325</v>
      </c>
      <c r="D4312" s="733"/>
      <c r="E4312" s="761"/>
      <c r="F4312" s="761"/>
      <c r="G4312" s="733"/>
      <c r="H4312" s="733"/>
      <c r="I4312" s="733"/>
      <c r="J4312" s="733"/>
      <c r="K4312" s="733"/>
      <c r="L4312" s="733"/>
      <c r="M4312" s="733"/>
    </row>
    <row r="4313" spans="1:13" x14ac:dyDescent="0.3">
      <c r="A4313" s="733" t="s">
        <v>4323</v>
      </c>
      <c r="B4313" s="733" t="s">
        <v>645</v>
      </c>
      <c r="C4313" s="733" t="s">
        <v>4326</v>
      </c>
      <c r="D4313" s="733"/>
      <c r="E4313" s="761"/>
      <c r="F4313" s="761"/>
      <c r="G4313" s="733"/>
      <c r="H4313" s="733"/>
      <c r="I4313" s="733"/>
      <c r="J4313" s="733"/>
      <c r="K4313" s="733"/>
      <c r="L4313" s="733"/>
      <c r="M4313" s="733"/>
    </row>
    <row r="4314" spans="1:13" x14ac:dyDescent="0.3">
      <c r="A4314" s="733" t="s">
        <v>4323</v>
      </c>
      <c r="B4314" s="733" t="s">
        <v>645</v>
      </c>
      <c r="C4314" s="733" t="s">
        <v>4327</v>
      </c>
      <c r="D4314" s="733"/>
      <c r="E4314" s="761"/>
      <c r="F4314" s="761"/>
      <c r="G4314" s="733"/>
      <c r="H4314" s="733"/>
      <c r="I4314" s="733"/>
      <c r="J4314" s="733"/>
      <c r="K4314" s="733"/>
      <c r="L4314" s="733"/>
      <c r="M4314" s="733"/>
    </row>
    <row r="4315" spans="1:13" x14ac:dyDescent="0.3">
      <c r="A4315" s="733" t="s">
        <v>4323</v>
      </c>
      <c r="B4315" s="733" t="s">
        <v>645</v>
      </c>
      <c r="C4315" s="733" t="s">
        <v>4328</v>
      </c>
      <c r="D4315" s="733"/>
      <c r="E4315" s="761"/>
      <c r="F4315" s="761"/>
      <c r="G4315" s="733"/>
      <c r="H4315" s="733"/>
      <c r="I4315" s="733"/>
      <c r="J4315" s="733"/>
      <c r="K4315" s="733"/>
      <c r="L4315" s="733"/>
      <c r="M4315" s="733"/>
    </row>
    <row r="4316" spans="1:13" x14ac:dyDescent="0.3">
      <c r="A4316" s="733" t="s">
        <v>4323</v>
      </c>
      <c r="B4316" s="733" t="s">
        <v>645</v>
      </c>
      <c r="C4316" s="733" t="s">
        <v>4329</v>
      </c>
      <c r="D4316" s="733"/>
      <c r="E4316" s="761"/>
      <c r="F4316" s="761"/>
      <c r="G4316" s="733"/>
      <c r="H4316" s="733"/>
      <c r="I4316" s="733"/>
      <c r="J4316" s="733"/>
      <c r="K4316" s="733"/>
      <c r="L4316" s="733"/>
      <c r="M4316" s="733"/>
    </row>
    <row r="4317" spans="1:13" x14ac:dyDescent="0.3">
      <c r="A4317" s="733" t="s">
        <v>4323</v>
      </c>
      <c r="B4317" s="733" t="s">
        <v>645</v>
      </c>
      <c r="C4317" s="733" t="s">
        <v>4330</v>
      </c>
      <c r="D4317" s="733"/>
      <c r="E4317" s="761"/>
      <c r="F4317" s="761"/>
      <c r="G4317" s="733"/>
      <c r="H4317" s="733"/>
      <c r="I4317" s="733"/>
      <c r="J4317" s="733"/>
      <c r="K4317" s="733"/>
      <c r="L4317" s="733"/>
      <c r="M4317" s="733"/>
    </row>
    <row r="4318" spans="1:13" x14ac:dyDescent="0.3">
      <c r="A4318" s="733" t="s">
        <v>4323</v>
      </c>
      <c r="B4318" s="733" t="s">
        <v>645</v>
      </c>
      <c r="C4318" s="733" t="s">
        <v>4331</v>
      </c>
      <c r="D4318" s="733"/>
      <c r="E4318" s="761"/>
      <c r="F4318" s="761"/>
      <c r="G4318" s="733"/>
      <c r="H4318" s="733"/>
      <c r="I4318" s="733"/>
      <c r="J4318" s="733"/>
      <c r="K4318" s="733"/>
      <c r="L4318" s="733"/>
      <c r="M4318" s="733"/>
    </row>
    <row r="4319" spans="1:13" x14ac:dyDescent="0.3">
      <c r="A4319" s="733" t="s">
        <v>4323</v>
      </c>
      <c r="B4319" s="733" t="s">
        <v>645</v>
      </c>
      <c r="C4319" s="733" t="s">
        <v>4332</v>
      </c>
      <c r="D4319" s="733"/>
      <c r="E4319" s="761"/>
      <c r="F4319" s="761"/>
      <c r="G4319" s="733"/>
      <c r="H4319" s="733"/>
      <c r="I4319" s="733"/>
      <c r="J4319" s="733"/>
      <c r="K4319" s="733"/>
      <c r="L4319" s="733"/>
      <c r="M4319" s="733"/>
    </row>
    <row r="4320" spans="1:13" x14ac:dyDescent="0.3">
      <c r="A4320" s="733" t="s">
        <v>4323</v>
      </c>
      <c r="B4320" s="733" t="s">
        <v>645</v>
      </c>
      <c r="C4320" s="733" t="s">
        <v>4333</v>
      </c>
      <c r="D4320" s="733"/>
      <c r="E4320" s="761"/>
      <c r="F4320" s="761"/>
      <c r="G4320" s="733"/>
      <c r="H4320" s="733"/>
      <c r="I4320" s="733"/>
      <c r="J4320" s="733"/>
      <c r="K4320" s="733"/>
      <c r="L4320" s="733"/>
      <c r="M4320" s="733"/>
    </row>
    <row r="4321" spans="1:13" x14ac:dyDescent="0.3">
      <c r="A4321" s="733" t="s">
        <v>4323</v>
      </c>
      <c r="B4321" s="733" t="s">
        <v>664</v>
      </c>
      <c r="C4321" s="733" t="s">
        <v>4334</v>
      </c>
      <c r="D4321" s="733"/>
      <c r="E4321" s="761"/>
      <c r="F4321" s="761"/>
      <c r="G4321" s="733"/>
      <c r="H4321" s="733"/>
      <c r="I4321" s="733"/>
      <c r="J4321" s="733"/>
      <c r="K4321" s="733"/>
      <c r="L4321" s="733"/>
      <c r="M4321" s="733"/>
    </row>
    <row r="4322" spans="1:13" x14ac:dyDescent="0.3">
      <c r="A4322" s="733" t="s">
        <v>4323</v>
      </c>
      <c r="B4322" s="733" t="s">
        <v>664</v>
      </c>
      <c r="C4322" s="733" t="s">
        <v>4274</v>
      </c>
      <c r="D4322" s="733"/>
      <c r="E4322" s="761"/>
      <c r="F4322" s="761"/>
      <c r="G4322" s="733"/>
      <c r="H4322" s="733"/>
      <c r="I4322" s="733"/>
      <c r="J4322" s="733"/>
      <c r="K4322" s="733"/>
      <c r="L4322" s="733"/>
      <c r="M4322" s="733"/>
    </row>
    <row r="4323" spans="1:13" x14ac:dyDescent="0.3">
      <c r="A4323" s="733" t="s">
        <v>4323</v>
      </c>
      <c r="B4323" s="733" t="s">
        <v>664</v>
      </c>
      <c r="C4323" s="733" t="s">
        <v>4335</v>
      </c>
      <c r="D4323" s="733"/>
      <c r="E4323" s="761"/>
      <c r="F4323" s="761"/>
      <c r="G4323" s="733"/>
      <c r="H4323" s="733"/>
      <c r="I4323" s="733"/>
      <c r="J4323" s="733"/>
      <c r="K4323" s="733"/>
      <c r="L4323" s="733"/>
      <c r="M4323" s="733"/>
    </row>
    <row r="4324" spans="1:13" x14ac:dyDescent="0.3">
      <c r="A4324" s="733" t="s">
        <v>4323</v>
      </c>
      <c r="B4324" s="733" t="s">
        <v>664</v>
      </c>
      <c r="C4324" s="733" t="s">
        <v>4336</v>
      </c>
      <c r="D4324" s="733"/>
      <c r="E4324" s="761"/>
      <c r="F4324" s="761"/>
      <c r="G4324" s="733"/>
      <c r="H4324" s="733"/>
      <c r="I4324" s="733"/>
      <c r="J4324" s="733"/>
      <c r="K4324" s="733"/>
      <c r="L4324" s="733"/>
      <c r="M4324" s="733"/>
    </row>
    <row r="4325" spans="1:13" x14ac:dyDescent="0.3">
      <c r="A4325" s="733" t="s">
        <v>4323</v>
      </c>
      <c r="B4325" s="733" t="s">
        <v>664</v>
      </c>
      <c r="C4325" s="733" t="s">
        <v>4337</v>
      </c>
      <c r="D4325" s="733"/>
      <c r="E4325" s="761"/>
      <c r="F4325" s="761"/>
      <c r="G4325" s="733"/>
      <c r="H4325" s="733"/>
      <c r="I4325" s="733"/>
      <c r="J4325" s="733"/>
      <c r="K4325" s="733"/>
      <c r="L4325" s="733"/>
      <c r="M4325" s="733"/>
    </row>
    <row r="4326" spans="1:13" x14ac:dyDescent="0.3">
      <c r="A4326" s="733" t="s">
        <v>4323</v>
      </c>
      <c r="B4326" s="733" t="s">
        <v>664</v>
      </c>
      <c r="C4326" s="733" t="s">
        <v>4338</v>
      </c>
      <c r="D4326" s="733"/>
      <c r="E4326" s="761"/>
      <c r="F4326" s="761"/>
      <c r="G4326" s="733"/>
      <c r="H4326" s="733"/>
      <c r="I4326" s="733"/>
      <c r="J4326" s="733"/>
      <c r="K4326" s="733"/>
      <c r="L4326" s="733"/>
      <c r="M4326" s="733"/>
    </row>
    <row r="4327" spans="1:13" x14ac:dyDescent="0.3">
      <c r="A4327" s="733" t="s">
        <v>4323</v>
      </c>
      <c r="B4327" s="733" t="s">
        <v>664</v>
      </c>
      <c r="C4327" s="733" t="s">
        <v>4339</v>
      </c>
      <c r="D4327" s="733"/>
      <c r="E4327" s="761"/>
      <c r="F4327" s="761"/>
      <c r="G4327" s="733"/>
      <c r="H4327" s="733"/>
      <c r="I4327" s="733"/>
      <c r="J4327" s="733"/>
      <c r="K4327" s="733"/>
      <c r="L4327" s="733"/>
      <c r="M4327" s="733"/>
    </row>
    <row r="4328" spans="1:13" x14ac:dyDescent="0.3">
      <c r="A4328" s="733" t="s">
        <v>4323</v>
      </c>
      <c r="B4328" s="733" t="s">
        <v>664</v>
      </c>
      <c r="C4328" s="733" t="s">
        <v>4340</v>
      </c>
      <c r="D4328" s="733"/>
      <c r="E4328" s="761"/>
      <c r="F4328" s="761"/>
      <c r="G4328" s="733"/>
      <c r="H4328" s="733"/>
      <c r="I4328" s="733"/>
      <c r="J4328" s="733"/>
      <c r="K4328" s="733"/>
      <c r="L4328" s="733"/>
      <c r="M4328" s="733"/>
    </row>
    <row r="4329" spans="1:13" x14ac:dyDescent="0.3">
      <c r="A4329" s="733" t="s">
        <v>4323</v>
      </c>
      <c r="B4329" s="733" t="s">
        <v>664</v>
      </c>
      <c r="C4329" s="733" t="s">
        <v>4341</v>
      </c>
      <c r="D4329" s="733"/>
      <c r="E4329" s="761"/>
      <c r="F4329" s="761"/>
      <c r="G4329" s="733"/>
      <c r="H4329" s="733"/>
      <c r="I4329" s="733"/>
      <c r="J4329" s="733"/>
      <c r="K4329" s="733"/>
      <c r="L4329" s="733"/>
      <c r="M4329" s="733"/>
    </row>
    <row r="4330" spans="1:13" x14ac:dyDescent="0.3">
      <c r="A4330" s="733" t="s">
        <v>4323</v>
      </c>
      <c r="B4330" s="733" t="s">
        <v>664</v>
      </c>
      <c r="C4330" s="733" t="s">
        <v>4342</v>
      </c>
      <c r="D4330" s="733"/>
      <c r="E4330" s="761"/>
      <c r="F4330" s="761"/>
      <c r="G4330" s="733"/>
      <c r="H4330" s="733"/>
      <c r="I4330" s="733"/>
      <c r="J4330" s="733"/>
      <c r="K4330" s="733"/>
      <c r="L4330" s="733"/>
      <c r="M4330" s="733"/>
    </row>
    <row r="4331" spans="1:13" x14ac:dyDescent="0.3">
      <c r="A4331" s="733" t="s">
        <v>4323</v>
      </c>
      <c r="B4331" s="733" t="s">
        <v>612</v>
      </c>
      <c r="C4331" s="733" t="s">
        <v>4343</v>
      </c>
      <c r="D4331" s="733"/>
      <c r="E4331" s="761"/>
      <c r="F4331" s="761"/>
      <c r="G4331" s="733"/>
      <c r="H4331" s="733"/>
      <c r="I4331" s="733"/>
      <c r="J4331" s="733"/>
      <c r="K4331" s="733"/>
      <c r="L4331" s="733"/>
      <c r="M4331" s="733"/>
    </row>
    <row r="4332" spans="1:13" x14ac:dyDescent="0.3">
      <c r="A4332" s="733" t="s">
        <v>4323</v>
      </c>
      <c r="B4332" s="733" t="s">
        <v>612</v>
      </c>
      <c r="C4332" s="733" t="s">
        <v>4344</v>
      </c>
      <c r="D4332" s="733"/>
      <c r="E4332" s="761"/>
      <c r="F4332" s="761"/>
      <c r="G4332" s="733"/>
      <c r="H4332" s="733"/>
      <c r="I4332" s="733"/>
      <c r="J4332" s="733"/>
      <c r="K4332" s="733"/>
      <c r="L4332" s="733"/>
      <c r="M4332" s="733"/>
    </row>
    <row r="4333" spans="1:13" x14ac:dyDescent="0.3">
      <c r="A4333" s="733" t="s">
        <v>4323</v>
      </c>
      <c r="B4333" s="733" t="s">
        <v>612</v>
      </c>
      <c r="C4333" s="733" t="s">
        <v>4345</v>
      </c>
      <c r="D4333" s="733"/>
      <c r="E4333" s="761"/>
      <c r="F4333" s="761"/>
      <c r="G4333" s="733"/>
      <c r="H4333" s="733"/>
      <c r="I4333" s="733"/>
      <c r="J4333" s="733"/>
      <c r="K4333" s="733"/>
      <c r="L4333" s="733"/>
      <c r="M4333" s="733"/>
    </row>
    <row r="4334" spans="1:13" x14ac:dyDescent="0.3">
      <c r="A4334" s="733" t="s">
        <v>4323</v>
      </c>
      <c r="B4334" s="733" t="s">
        <v>612</v>
      </c>
      <c r="C4334" s="733" t="s">
        <v>4346</v>
      </c>
      <c r="D4334" s="733"/>
      <c r="E4334" s="761"/>
      <c r="F4334" s="761"/>
      <c r="G4334" s="733"/>
      <c r="H4334" s="733"/>
      <c r="I4334" s="733"/>
      <c r="J4334" s="733"/>
      <c r="K4334" s="733"/>
      <c r="L4334" s="733"/>
      <c r="M4334" s="733"/>
    </row>
    <row r="4335" spans="1:13" x14ac:dyDescent="0.3">
      <c r="A4335" s="733" t="s">
        <v>4323</v>
      </c>
      <c r="B4335" s="733" t="s">
        <v>612</v>
      </c>
      <c r="C4335" s="733" t="s">
        <v>4347</v>
      </c>
      <c r="D4335" s="733"/>
      <c r="E4335" s="761"/>
      <c r="F4335" s="761"/>
      <c r="G4335" s="733"/>
      <c r="H4335" s="733"/>
      <c r="I4335" s="733"/>
      <c r="J4335" s="733"/>
      <c r="K4335" s="733"/>
      <c r="L4335" s="733"/>
      <c r="M4335" s="733"/>
    </row>
    <row r="4336" spans="1:13" x14ac:dyDescent="0.3">
      <c r="A4336" s="733" t="s">
        <v>4323</v>
      </c>
      <c r="B4336" s="733" t="s">
        <v>612</v>
      </c>
      <c r="C4336" s="733" t="s">
        <v>4348</v>
      </c>
      <c r="D4336" s="733"/>
      <c r="E4336" s="761"/>
      <c r="F4336" s="761"/>
      <c r="G4336" s="733"/>
      <c r="H4336" s="733"/>
      <c r="I4336" s="733"/>
      <c r="J4336" s="733"/>
      <c r="K4336" s="733"/>
      <c r="L4336" s="733"/>
      <c r="M4336" s="733"/>
    </row>
    <row r="4337" spans="1:13" x14ac:dyDescent="0.3">
      <c r="A4337" s="733" t="s">
        <v>4323</v>
      </c>
      <c r="B4337" s="733" t="s">
        <v>612</v>
      </c>
      <c r="C4337" s="733" t="s">
        <v>4349</v>
      </c>
      <c r="D4337" s="733"/>
      <c r="E4337" s="761"/>
      <c r="F4337" s="761"/>
      <c r="G4337" s="733"/>
      <c r="H4337" s="733"/>
      <c r="I4337" s="733"/>
      <c r="J4337" s="733"/>
      <c r="K4337" s="733"/>
      <c r="L4337" s="733"/>
      <c r="M4337" s="733"/>
    </row>
    <row r="4338" spans="1:13" x14ac:dyDescent="0.3">
      <c r="A4338" s="733" t="s">
        <v>4323</v>
      </c>
      <c r="B4338" s="733" t="s">
        <v>612</v>
      </c>
      <c r="C4338" s="733" t="s">
        <v>4350</v>
      </c>
      <c r="D4338" s="733"/>
      <c r="E4338" s="761"/>
      <c r="F4338" s="761"/>
      <c r="G4338" s="733"/>
      <c r="H4338" s="733"/>
      <c r="I4338" s="733"/>
      <c r="J4338" s="733"/>
      <c r="K4338" s="733"/>
      <c r="L4338" s="733"/>
      <c r="M4338" s="733"/>
    </row>
    <row r="4339" spans="1:13" x14ac:dyDescent="0.3">
      <c r="A4339" s="733" t="s">
        <v>4323</v>
      </c>
      <c r="B4339" s="733" t="s">
        <v>612</v>
      </c>
      <c r="C4339" s="733" t="s">
        <v>4351</v>
      </c>
      <c r="D4339" s="733"/>
      <c r="E4339" s="761"/>
      <c r="F4339" s="761"/>
      <c r="G4339" s="733"/>
      <c r="H4339" s="733"/>
      <c r="I4339" s="733"/>
      <c r="J4339" s="733"/>
      <c r="K4339" s="733"/>
      <c r="L4339" s="733"/>
      <c r="M4339" s="733"/>
    </row>
    <row r="4340" spans="1:13" x14ac:dyDescent="0.3">
      <c r="A4340" s="733" t="s">
        <v>4323</v>
      </c>
      <c r="B4340" s="733" t="s">
        <v>612</v>
      </c>
      <c r="C4340" s="733" t="s">
        <v>4352</v>
      </c>
      <c r="D4340" s="733"/>
      <c r="E4340" s="761"/>
      <c r="F4340" s="761"/>
      <c r="G4340" s="733"/>
      <c r="H4340" s="733"/>
      <c r="I4340" s="733"/>
      <c r="J4340" s="733"/>
      <c r="K4340" s="733"/>
      <c r="L4340" s="733"/>
      <c r="M4340" s="733"/>
    </row>
    <row r="4341" spans="1:13" x14ac:dyDescent="0.3">
      <c r="A4341" s="733" t="s">
        <v>4353</v>
      </c>
      <c r="B4341" s="733" t="s">
        <v>645</v>
      </c>
      <c r="C4341" s="738" t="s">
        <v>4354</v>
      </c>
      <c r="D4341" s="733"/>
      <c r="E4341" s="761"/>
      <c r="F4341" s="761"/>
      <c r="G4341" s="733"/>
      <c r="H4341" s="733"/>
      <c r="I4341" s="733"/>
      <c r="J4341" s="733"/>
      <c r="K4341" s="733"/>
      <c r="L4341" s="733"/>
      <c r="M4341" s="733"/>
    </row>
    <row r="4342" spans="1:13" x14ac:dyDescent="0.3">
      <c r="A4342" s="733" t="s">
        <v>4353</v>
      </c>
      <c r="B4342" s="733" t="s">
        <v>645</v>
      </c>
      <c r="C4342" s="738" t="s">
        <v>4355</v>
      </c>
      <c r="D4342" s="733"/>
      <c r="E4342" s="761"/>
      <c r="F4342" s="761"/>
      <c r="G4342" s="733"/>
      <c r="H4342" s="733"/>
      <c r="I4342" s="733"/>
      <c r="J4342" s="733"/>
      <c r="K4342" s="733"/>
      <c r="L4342" s="733"/>
      <c r="M4342" s="733"/>
    </row>
    <row r="4343" spans="1:13" x14ac:dyDescent="0.3">
      <c r="A4343" s="733" t="s">
        <v>4353</v>
      </c>
      <c r="B4343" s="733" t="s">
        <v>645</v>
      </c>
      <c r="C4343" s="738" t="s">
        <v>4356</v>
      </c>
      <c r="D4343" s="733"/>
      <c r="E4343" s="761"/>
      <c r="F4343" s="761"/>
      <c r="G4343" s="733"/>
      <c r="H4343" s="733"/>
      <c r="I4343" s="733"/>
      <c r="J4343" s="733"/>
      <c r="K4343" s="733"/>
      <c r="L4343" s="733"/>
      <c r="M4343" s="733"/>
    </row>
    <row r="4344" spans="1:13" x14ac:dyDescent="0.3">
      <c r="A4344" s="733" t="s">
        <v>4353</v>
      </c>
      <c r="B4344" s="733" t="s">
        <v>645</v>
      </c>
      <c r="C4344" s="738" t="s">
        <v>4357</v>
      </c>
      <c r="D4344" s="733"/>
      <c r="E4344" s="761"/>
      <c r="F4344" s="761"/>
      <c r="G4344" s="733"/>
      <c r="H4344" s="733"/>
      <c r="I4344" s="733"/>
      <c r="J4344" s="733"/>
      <c r="K4344" s="733"/>
      <c r="L4344" s="733"/>
      <c r="M4344" s="733"/>
    </row>
    <row r="4345" spans="1:13" x14ac:dyDescent="0.3">
      <c r="A4345" s="733" t="s">
        <v>4353</v>
      </c>
      <c r="B4345" s="733" t="s">
        <v>645</v>
      </c>
      <c r="C4345" s="738" t="s">
        <v>4358</v>
      </c>
      <c r="D4345" s="733"/>
      <c r="E4345" s="761"/>
      <c r="F4345" s="761"/>
      <c r="G4345" s="733"/>
      <c r="H4345" s="733"/>
      <c r="I4345" s="733"/>
      <c r="J4345" s="733"/>
      <c r="K4345" s="733"/>
      <c r="L4345" s="733"/>
      <c r="M4345" s="733"/>
    </row>
    <row r="4346" spans="1:13" x14ac:dyDescent="0.3">
      <c r="A4346" s="733" t="s">
        <v>4353</v>
      </c>
      <c r="B4346" s="733" t="s">
        <v>664</v>
      </c>
      <c r="C4346" s="738" t="s">
        <v>4359</v>
      </c>
      <c r="D4346" s="733"/>
      <c r="E4346" s="761"/>
      <c r="F4346" s="761"/>
      <c r="G4346" s="733"/>
      <c r="H4346" s="733"/>
      <c r="I4346" s="733"/>
      <c r="J4346" s="733"/>
      <c r="K4346" s="733"/>
      <c r="L4346" s="733"/>
      <c r="M4346" s="733"/>
    </row>
    <row r="4347" spans="1:13" x14ac:dyDescent="0.3">
      <c r="A4347" s="733" t="s">
        <v>4353</v>
      </c>
      <c r="B4347" s="733" t="s">
        <v>664</v>
      </c>
      <c r="C4347" s="738" t="s">
        <v>4360</v>
      </c>
      <c r="D4347" s="733"/>
      <c r="E4347" s="761"/>
      <c r="F4347" s="761"/>
      <c r="G4347" s="733"/>
      <c r="H4347" s="733"/>
      <c r="I4347" s="733"/>
      <c r="J4347" s="733"/>
      <c r="K4347" s="733"/>
      <c r="L4347" s="733"/>
      <c r="M4347" s="733"/>
    </row>
    <row r="4348" spans="1:13" x14ac:dyDescent="0.3">
      <c r="A4348" s="733" t="s">
        <v>4353</v>
      </c>
      <c r="B4348" s="733" t="s">
        <v>664</v>
      </c>
      <c r="C4348" s="738" t="s">
        <v>4361</v>
      </c>
      <c r="D4348" s="733"/>
      <c r="E4348" s="761"/>
      <c r="F4348" s="761"/>
      <c r="G4348" s="733"/>
      <c r="H4348" s="733"/>
      <c r="I4348" s="733"/>
      <c r="J4348" s="733"/>
      <c r="K4348" s="733"/>
      <c r="L4348" s="733"/>
      <c r="M4348" s="733"/>
    </row>
    <row r="4349" spans="1:13" ht="28.8" x14ac:dyDescent="0.3">
      <c r="A4349" s="733" t="s">
        <v>4353</v>
      </c>
      <c r="B4349" s="733" t="s">
        <v>664</v>
      </c>
      <c r="C4349" s="738" t="s">
        <v>4362</v>
      </c>
      <c r="D4349" s="733"/>
      <c r="E4349" s="761"/>
      <c r="F4349" s="761"/>
      <c r="G4349" s="733"/>
      <c r="H4349" s="733"/>
      <c r="I4349" s="733"/>
      <c r="J4349" s="733"/>
      <c r="K4349" s="733"/>
      <c r="L4349" s="733"/>
      <c r="M4349" s="733"/>
    </row>
    <row r="4350" spans="1:13" x14ac:dyDescent="0.3">
      <c r="A4350" s="733" t="s">
        <v>4353</v>
      </c>
      <c r="B4350" s="733" t="s">
        <v>664</v>
      </c>
      <c r="C4350" s="738" t="s">
        <v>4363</v>
      </c>
      <c r="D4350" s="733"/>
      <c r="E4350" s="761"/>
      <c r="F4350" s="761"/>
      <c r="G4350" s="733"/>
      <c r="H4350" s="733"/>
      <c r="I4350" s="733"/>
      <c r="J4350" s="733"/>
      <c r="K4350" s="733"/>
      <c r="L4350" s="733"/>
      <c r="M4350" s="733"/>
    </row>
    <row r="4351" spans="1:13" x14ac:dyDescent="0.3">
      <c r="A4351" s="733" t="s">
        <v>4353</v>
      </c>
      <c r="B4351" s="733" t="s">
        <v>612</v>
      </c>
      <c r="C4351" s="738" t="s">
        <v>4364</v>
      </c>
      <c r="D4351" s="733"/>
      <c r="E4351" s="761"/>
      <c r="F4351" s="761"/>
      <c r="G4351" s="733"/>
      <c r="H4351" s="733"/>
      <c r="I4351" s="733"/>
      <c r="J4351" s="733"/>
      <c r="K4351" s="733"/>
      <c r="L4351" s="733"/>
      <c r="M4351" s="733"/>
    </row>
    <row r="4352" spans="1:13" x14ac:dyDescent="0.3">
      <c r="A4352" s="733" t="s">
        <v>4353</v>
      </c>
      <c r="B4352" s="733" t="s">
        <v>612</v>
      </c>
      <c r="C4352" s="738" t="s">
        <v>4365</v>
      </c>
      <c r="D4352" s="733"/>
      <c r="E4352" s="761"/>
      <c r="F4352" s="761"/>
      <c r="G4352" s="733"/>
      <c r="H4352" s="733"/>
      <c r="I4352" s="733"/>
      <c r="J4352" s="733"/>
      <c r="K4352" s="733"/>
      <c r="L4352" s="733"/>
      <c r="M4352" s="733"/>
    </row>
    <row r="4353" spans="1:13" x14ac:dyDescent="0.3">
      <c r="A4353" s="733" t="s">
        <v>4353</v>
      </c>
      <c r="B4353" s="733" t="s">
        <v>612</v>
      </c>
      <c r="C4353" s="738" t="s">
        <v>4366</v>
      </c>
      <c r="D4353" s="733"/>
      <c r="E4353" s="761"/>
      <c r="F4353" s="761"/>
      <c r="G4353" s="733"/>
      <c r="H4353" s="733"/>
      <c r="I4353" s="733"/>
      <c r="J4353" s="733"/>
      <c r="K4353" s="733"/>
      <c r="L4353" s="733"/>
      <c r="M4353" s="733"/>
    </row>
    <row r="4354" spans="1:13" x14ac:dyDescent="0.3">
      <c r="A4354" s="733" t="s">
        <v>4353</v>
      </c>
      <c r="B4354" s="733" t="s">
        <v>612</v>
      </c>
      <c r="C4354" s="738" t="s">
        <v>4367</v>
      </c>
      <c r="D4354" s="733"/>
      <c r="E4354" s="761"/>
      <c r="F4354" s="761"/>
      <c r="G4354" s="733"/>
      <c r="H4354" s="733"/>
      <c r="I4354" s="733"/>
      <c r="J4354" s="733"/>
      <c r="K4354" s="733"/>
      <c r="L4354" s="733"/>
      <c r="M4354" s="733"/>
    </row>
    <row r="4355" spans="1:13" ht="28.8" x14ac:dyDescent="0.3">
      <c r="A4355" s="733" t="s">
        <v>4353</v>
      </c>
      <c r="B4355" s="733" t="s">
        <v>612</v>
      </c>
      <c r="C4355" s="738" t="s">
        <v>4368</v>
      </c>
      <c r="D4355" s="733"/>
      <c r="E4355" s="761"/>
      <c r="F4355" s="761"/>
      <c r="G4355" s="733"/>
      <c r="H4355" s="733"/>
      <c r="I4355" s="733"/>
      <c r="J4355" s="733"/>
      <c r="K4355" s="733"/>
      <c r="L4355" s="733"/>
      <c r="M4355" s="733"/>
    </row>
    <row r="4356" spans="1:13" x14ac:dyDescent="0.3">
      <c r="A4356" s="733" t="s">
        <v>4353</v>
      </c>
      <c r="B4356" s="733" t="s">
        <v>645</v>
      </c>
      <c r="C4356" s="738" t="s">
        <v>4369</v>
      </c>
      <c r="D4356" s="733"/>
      <c r="E4356" s="761"/>
      <c r="F4356" s="761"/>
      <c r="G4356" s="733"/>
      <c r="H4356" s="733"/>
      <c r="I4356" s="733"/>
      <c r="J4356" s="733"/>
      <c r="K4356" s="733"/>
      <c r="L4356" s="733"/>
      <c r="M4356" s="733"/>
    </row>
    <row r="4357" spans="1:13" x14ac:dyDescent="0.3">
      <c r="A4357" s="733" t="s">
        <v>4353</v>
      </c>
      <c r="B4357" s="733" t="s">
        <v>645</v>
      </c>
      <c r="C4357" s="738" t="s">
        <v>4370</v>
      </c>
      <c r="D4357" s="733"/>
      <c r="E4357" s="761"/>
      <c r="F4357" s="761"/>
      <c r="G4357" s="733"/>
      <c r="H4357" s="733"/>
      <c r="I4357" s="733"/>
      <c r="J4357" s="733"/>
      <c r="K4357" s="733"/>
      <c r="L4357" s="733"/>
      <c r="M4357" s="733"/>
    </row>
    <row r="4358" spans="1:13" x14ac:dyDescent="0.3">
      <c r="A4358" s="733" t="s">
        <v>4353</v>
      </c>
      <c r="B4358" s="733" t="s">
        <v>645</v>
      </c>
      <c r="C4358" s="738" t="s">
        <v>4371</v>
      </c>
      <c r="D4358" s="733"/>
      <c r="E4358" s="761"/>
      <c r="F4358" s="761"/>
      <c r="G4358" s="733"/>
      <c r="H4358" s="733"/>
      <c r="I4358" s="733"/>
      <c r="J4358" s="733"/>
      <c r="K4358" s="733"/>
      <c r="L4358" s="733"/>
      <c r="M4358" s="733"/>
    </row>
    <row r="4359" spans="1:13" x14ac:dyDescent="0.3">
      <c r="A4359" s="733" t="s">
        <v>4353</v>
      </c>
      <c r="B4359" s="733" t="s">
        <v>645</v>
      </c>
      <c r="C4359" s="738" t="s">
        <v>4372</v>
      </c>
      <c r="D4359" s="733"/>
      <c r="E4359" s="761"/>
      <c r="F4359" s="761"/>
      <c r="G4359" s="733"/>
      <c r="H4359" s="733"/>
      <c r="I4359" s="733"/>
      <c r="J4359" s="733"/>
      <c r="K4359" s="733"/>
      <c r="L4359" s="733"/>
      <c r="M4359" s="733"/>
    </row>
    <row r="4360" spans="1:13" x14ac:dyDescent="0.3">
      <c r="A4360" s="733" t="s">
        <v>4353</v>
      </c>
      <c r="B4360" s="733" t="s">
        <v>645</v>
      </c>
      <c r="C4360" s="738" t="s">
        <v>4373</v>
      </c>
      <c r="D4360" s="733"/>
      <c r="E4360" s="761"/>
      <c r="F4360" s="761"/>
      <c r="G4360" s="733"/>
      <c r="H4360" s="733"/>
      <c r="I4360" s="733"/>
      <c r="J4360" s="733"/>
      <c r="K4360" s="733"/>
      <c r="L4360" s="733"/>
      <c r="M4360" s="733"/>
    </row>
    <row r="4361" spans="1:13" ht="28.8" x14ac:dyDescent="0.3">
      <c r="A4361" s="733" t="s">
        <v>4353</v>
      </c>
      <c r="B4361" s="733" t="s">
        <v>664</v>
      </c>
      <c r="C4361" s="738" t="s">
        <v>4374</v>
      </c>
      <c r="D4361" s="733"/>
      <c r="E4361" s="761"/>
      <c r="F4361" s="761"/>
      <c r="G4361" s="733"/>
      <c r="H4361" s="733"/>
      <c r="I4361" s="733"/>
      <c r="J4361" s="733"/>
      <c r="K4361" s="733"/>
      <c r="L4361" s="733"/>
      <c r="M4361" s="733"/>
    </row>
    <row r="4362" spans="1:13" x14ac:dyDescent="0.3">
      <c r="A4362" s="733" t="s">
        <v>4353</v>
      </c>
      <c r="B4362" s="733" t="s">
        <v>664</v>
      </c>
      <c r="C4362" s="738" t="s">
        <v>4375</v>
      </c>
      <c r="D4362" s="733"/>
      <c r="E4362" s="761"/>
      <c r="F4362" s="761"/>
      <c r="G4362" s="733"/>
      <c r="H4362" s="733"/>
      <c r="I4362" s="733"/>
      <c r="J4362" s="733"/>
      <c r="K4362" s="733"/>
      <c r="L4362" s="733"/>
      <c r="M4362" s="733"/>
    </row>
    <row r="4363" spans="1:13" ht="28.8" x14ac:dyDescent="0.3">
      <c r="A4363" s="733" t="s">
        <v>4353</v>
      </c>
      <c r="B4363" s="733" t="s">
        <v>664</v>
      </c>
      <c r="C4363" s="738" t="s">
        <v>4376</v>
      </c>
      <c r="D4363" s="733"/>
      <c r="E4363" s="761"/>
      <c r="F4363" s="761"/>
      <c r="G4363" s="733"/>
      <c r="H4363" s="733"/>
      <c r="I4363" s="733"/>
      <c r="J4363" s="733"/>
      <c r="K4363" s="733"/>
      <c r="L4363" s="733"/>
      <c r="M4363" s="733"/>
    </row>
    <row r="4364" spans="1:13" ht="28.8" x14ac:dyDescent="0.3">
      <c r="A4364" s="733" t="s">
        <v>4353</v>
      </c>
      <c r="B4364" s="733" t="s">
        <v>664</v>
      </c>
      <c r="C4364" s="738" t="s">
        <v>4377</v>
      </c>
      <c r="D4364" s="733"/>
      <c r="E4364" s="761"/>
      <c r="F4364" s="761"/>
      <c r="G4364" s="733"/>
      <c r="H4364" s="733"/>
      <c r="I4364" s="733"/>
      <c r="J4364" s="733"/>
      <c r="K4364" s="733"/>
      <c r="L4364" s="733"/>
      <c r="M4364" s="733"/>
    </row>
    <row r="4365" spans="1:13" ht="28.8" x14ac:dyDescent="0.3">
      <c r="A4365" s="733" t="s">
        <v>4353</v>
      </c>
      <c r="B4365" s="733" t="s">
        <v>664</v>
      </c>
      <c r="C4365" s="738" t="s">
        <v>4378</v>
      </c>
      <c r="D4365" s="733"/>
      <c r="E4365" s="761"/>
      <c r="F4365" s="761"/>
      <c r="G4365" s="733"/>
      <c r="H4365" s="733"/>
      <c r="I4365" s="733"/>
      <c r="J4365" s="733"/>
      <c r="K4365" s="733"/>
      <c r="L4365" s="733"/>
      <c r="M4365" s="733"/>
    </row>
    <row r="4366" spans="1:13" ht="28.8" x14ac:dyDescent="0.3">
      <c r="A4366" s="733" t="s">
        <v>4353</v>
      </c>
      <c r="B4366" s="733" t="s">
        <v>612</v>
      </c>
      <c r="C4366" s="738" t="s">
        <v>4379</v>
      </c>
      <c r="D4366" s="733"/>
      <c r="E4366" s="761"/>
      <c r="F4366" s="761"/>
      <c r="G4366" s="733"/>
      <c r="H4366" s="733"/>
      <c r="I4366" s="733"/>
      <c r="J4366" s="733"/>
      <c r="K4366" s="733"/>
      <c r="L4366" s="733"/>
      <c r="M4366" s="733"/>
    </row>
    <row r="4367" spans="1:13" ht="28.8" x14ac:dyDescent="0.3">
      <c r="A4367" s="733" t="s">
        <v>4353</v>
      </c>
      <c r="B4367" s="733" t="s">
        <v>612</v>
      </c>
      <c r="C4367" s="738" t="s">
        <v>4380</v>
      </c>
      <c r="D4367" s="733"/>
      <c r="E4367" s="761"/>
      <c r="F4367" s="761"/>
      <c r="G4367" s="733"/>
      <c r="H4367" s="733"/>
      <c r="I4367" s="733"/>
      <c r="J4367" s="733"/>
      <c r="K4367" s="733"/>
      <c r="L4367" s="733"/>
      <c r="M4367" s="733"/>
    </row>
    <row r="4368" spans="1:13" ht="28.8" x14ac:dyDescent="0.3">
      <c r="A4368" s="733" t="s">
        <v>4353</v>
      </c>
      <c r="B4368" s="733" t="s">
        <v>612</v>
      </c>
      <c r="C4368" s="738" t="s">
        <v>4381</v>
      </c>
      <c r="D4368" s="733"/>
      <c r="E4368" s="761"/>
      <c r="F4368" s="761"/>
      <c r="G4368" s="733"/>
      <c r="H4368" s="733"/>
      <c r="I4368" s="733"/>
      <c r="J4368" s="733"/>
      <c r="K4368" s="733"/>
      <c r="L4368" s="733"/>
      <c r="M4368" s="733"/>
    </row>
    <row r="4369" spans="1:13" ht="28.8" x14ac:dyDescent="0.3">
      <c r="A4369" s="733" t="s">
        <v>4353</v>
      </c>
      <c r="B4369" s="733" t="s">
        <v>612</v>
      </c>
      <c r="C4369" s="738" t="s">
        <v>4382</v>
      </c>
      <c r="D4369" s="733"/>
      <c r="E4369" s="761"/>
      <c r="F4369" s="761"/>
      <c r="G4369" s="733"/>
      <c r="H4369" s="733"/>
      <c r="I4369" s="733"/>
      <c r="J4369" s="733"/>
      <c r="K4369" s="733"/>
      <c r="L4369" s="733"/>
      <c r="M4369" s="733"/>
    </row>
    <row r="4370" spans="1:13" ht="28.8" x14ac:dyDescent="0.3">
      <c r="A4370" s="733" t="s">
        <v>4353</v>
      </c>
      <c r="B4370" s="733" t="s">
        <v>612</v>
      </c>
      <c r="C4370" s="738" t="s">
        <v>4383</v>
      </c>
      <c r="D4370" s="733"/>
      <c r="E4370" s="761"/>
      <c r="F4370" s="761"/>
      <c r="G4370" s="733"/>
      <c r="H4370" s="733"/>
      <c r="I4370" s="733"/>
      <c r="J4370" s="733"/>
      <c r="K4370" s="733"/>
      <c r="L4370" s="733"/>
      <c r="M4370" s="733"/>
    </row>
    <row r="4371" spans="1:13" x14ac:dyDescent="0.3">
      <c r="A4371" s="733" t="s">
        <v>1754</v>
      </c>
      <c r="B4371" s="733" t="s">
        <v>645</v>
      </c>
      <c r="C4371" s="733" t="s">
        <v>4384</v>
      </c>
      <c r="D4371" s="733"/>
      <c r="E4371" s="761"/>
      <c r="F4371" s="761"/>
      <c r="G4371" s="733"/>
      <c r="H4371" s="733"/>
      <c r="I4371" s="733"/>
      <c r="J4371" s="733"/>
      <c r="K4371" s="733"/>
      <c r="L4371" s="733"/>
      <c r="M4371" s="733"/>
    </row>
    <row r="4372" spans="1:13" x14ac:dyDescent="0.3">
      <c r="A4372" s="733" t="s">
        <v>1754</v>
      </c>
      <c r="B4372" s="733" t="s">
        <v>645</v>
      </c>
      <c r="C4372" s="733" t="s">
        <v>4385</v>
      </c>
      <c r="D4372" s="733"/>
      <c r="E4372" s="761"/>
      <c r="F4372" s="761"/>
      <c r="G4372" s="733"/>
      <c r="H4372" s="733"/>
      <c r="I4372" s="733"/>
      <c r="J4372" s="733"/>
      <c r="K4372" s="733"/>
      <c r="L4372" s="733"/>
      <c r="M4372" s="733"/>
    </row>
    <row r="4373" spans="1:13" x14ac:dyDescent="0.3">
      <c r="A4373" s="733" t="s">
        <v>1754</v>
      </c>
      <c r="B4373" s="733" t="s">
        <v>645</v>
      </c>
      <c r="C4373" s="733" t="s">
        <v>4386</v>
      </c>
      <c r="D4373" s="733"/>
      <c r="E4373" s="761"/>
      <c r="F4373" s="761"/>
      <c r="G4373" s="733"/>
      <c r="H4373" s="733"/>
      <c r="I4373" s="733"/>
      <c r="J4373" s="733"/>
      <c r="K4373" s="733"/>
      <c r="L4373" s="733"/>
      <c r="M4373" s="733"/>
    </row>
    <row r="4374" spans="1:13" x14ac:dyDescent="0.3">
      <c r="A4374" s="733" t="s">
        <v>1754</v>
      </c>
      <c r="B4374" s="733" t="s">
        <v>645</v>
      </c>
      <c r="C4374" s="733" t="s">
        <v>4387</v>
      </c>
      <c r="D4374" s="733"/>
      <c r="E4374" s="761"/>
      <c r="F4374" s="761"/>
      <c r="G4374" s="733"/>
      <c r="H4374" s="733"/>
      <c r="I4374" s="733"/>
      <c r="J4374" s="733"/>
      <c r="K4374" s="733"/>
      <c r="L4374" s="733"/>
      <c r="M4374" s="733"/>
    </row>
    <row r="4375" spans="1:13" x14ac:dyDescent="0.3">
      <c r="A4375" s="733" t="s">
        <v>1754</v>
      </c>
      <c r="B4375" s="733" t="s">
        <v>645</v>
      </c>
      <c r="C4375" s="733" t="s">
        <v>4388</v>
      </c>
      <c r="D4375" s="733"/>
      <c r="E4375" s="761"/>
      <c r="F4375" s="761"/>
      <c r="G4375" s="733"/>
      <c r="H4375" s="733"/>
      <c r="I4375" s="733"/>
      <c r="J4375" s="733"/>
      <c r="K4375" s="733"/>
      <c r="L4375" s="733"/>
      <c r="M4375" s="733"/>
    </row>
    <row r="4376" spans="1:13" x14ac:dyDescent="0.3">
      <c r="A4376" s="733" t="s">
        <v>1754</v>
      </c>
      <c r="B4376" s="733" t="s">
        <v>645</v>
      </c>
      <c r="C4376" s="733" t="s">
        <v>4389</v>
      </c>
      <c r="D4376" s="733"/>
      <c r="E4376" s="761"/>
      <c r="F4376" s="761"/>
      <c r="G4376" s="733"/>
      <c r="H4376" s="733"/>
      <c r="I4376" s="733"/>
      <c r="J4376" s="733"/>
      <c r="K4376" s="733"/>
      <c r="L4376" s="733"/>
      <c r="M4376" s="733"/>
    </row>
    <row r="4377" spans="1:13" x14ac:dyDescent="0.3">
      <c r="A4377" s="733" t="s">
        <v>1754</v>
      </c>
      <c r="B4377" s="733" t="s">
        <v>645</v>
      </c>
      <c r="C4377" s="733" t="s">
        <v>4390</v>
      </c>
      <c r="D4377" s="733"/>
      <c r="E4377" s="761"/>
      <c r="F4377" s="761"/>
      <c r="G4377" s="733"/>
      <c r="H4377" s="733"/>
      <c r="I4377" s="733"/>
      <c r="J4377" s="733"/>
      <c r="K4377" s="733"/>
      <c r="L4377" s="733"/>
      <c r="M4377" s="733"/>
    </row>
    <row r="4378" spans="1:13" x14ac:dyDescent="0.3">
      <c r="A4378" s="733" t="s">
        <v>1754</v>
      </c>
      <c r="B4378" s="733" t="s">
        <v>645</v>
      </c>
      <c r="C4378" s="733" t="s">
        <v>4391</v>
      </c>
      <c r="D4378" s="733"/>
      <c r="E4378" s="761"/>
      <c r="F4378" s="761"/>
      <c r="G4378" s="733"/>
      <c r="H4378" s="733"/>
      <c r="I4378" s="733"/>
      <c r="J4378" s="733"/>
      <c r="K4378" s="733"/>
      <c r="L4378" s="733"/>
      <c r="M4378" s="733"/>
    </row>
    <row r="4379" spans="1:13" x14ac:dyDescent="0.3">
      <c r="A4379" s="733" t="s">
        <v>1754</v>
      </c>
      <c r="B4379" s="733" t="s">
        <v>645</v>
      </c>
      <c r="C4379" s="733" t="s">
        <v>4392</v>
      </c>
      <c r="D4379" s="733"/>
      <c r="E4379" s="761"/>
      <c r="F4379" s="761"/>
      <c r="G4379" s="733"/>
      <c r="H4379" s="733"/>
      <c r="I4379" s="733"/>
      <c r="J4379" s="733"/>
      <c r="K4379" s="733"/>
      <c r="L4379" s="733"/>
      <c r="M4379" s="733"/>
    </row>
    <row r="4380" spans="1:13" x14ac:dyDescent="0.3">
      <c r="A4380" s="733" t="s">
        <v>1754</v>
      </c>
      <c r="B4380" s="733" t="s">
        <v>645</v>
      </c>
      <c r="C4380" s="733" t="s">
        <v>4393</v>
      </c>
      <c r="D4380" s="733"/>
      <c r="E4380" s="761"/>
      <c r="F4380" s="761"/>
      <c r="G4380" s="733"/>
      <c r="H4380" s="733"/>
      <c r="I4380" s="733"/>
      <c r="J4380" s="733"/>
      <c r="K4380" s="733"/>
      <c r="L4380" s="733"/>
      <c r="M4380" s="733"/>
    </row>
    <row r="4381" spans="1:13" x14ac:dyDescent="0.3">
      <c r="A4381" s="733" t="s">
        <v>1754</v>
      </c>
      <c r="B4381" s="733" t="s">
        <v>664</v>
      </c>
      <c r="C4381" s="733" t="s">
        <v>4394</v>
      </c>
      <c r="D4381" s="733"/>
      <c r="E4381" s="761"/>
      <c r="F4381" s="761"/>
      <c r="G4381" s="733"/>
      <c r="H4381" s="733"/>
      <c r="I4381" s="733"/>
      <c r="J4381" s="733"/>
      <c r="K4381" s="733"/>
      <c r="L4381" s="733"/>
      <c r="M4381" s="733"/>
    </row>
    <row r="4382" spans="1:13" x14ac:dyDescent="0.3">
      <c r="A4382" s="733" t="s">
        <v>1754</v>
      </c>
      <c r="B4382" s="733" t="s">
        <v>664</v>
      </c>
      <c r="C4382" s="733" t="s">
        <v>4395</v>
      </c>
      <c r="D4382" s="733"/>
      <c r="E4382" s="761"/>
      <c r="F4382" s="761"/>
      <c r="G4382" s="733"/>
      <c r="H4382" s="733"/>
      <c r="I4382" s="733"/>
      <c r="J4382" s="733"/>
      <c r="K4382" s="733"/>
      <c r="L4382" s="733"/>
      <c r="M4382" s="733"/>
    </row>
    <row r="4383" spans="1:13" x14ac:dyDescent="0.3">
      <c r="A4383" s="733" t="s">
        <v>1754</v>
      </c>
      <c r="B4383" s="733" t="s">
        <v>664</v>
      </c>
      <c r="C4383" s="733" t="s">
        <v>4396</v>
      </c>
      <c r="D4383" s="733"/>
      <c r="E4383" s="761"/>
      <c r="F4383" s="761"/>
      <c r="G4383" s="733"/>
      <c r="H4383" s="733"/>
      <c r="I4383" s="733"/>
      <c r="J4383" s="733"/>
      <c r="K4383" s="733"/>
      <c r="L4383" s="733"/>
      <c r="M4383" s="733"/>
    </row>
    <row r="4384" spans="1:13" x14ac:dyDescent="0.3">
      <c r="A4384" s="733" t="s">
        <v>1754</v>
      </c>
      <c r="B4384" s="733" t="s">
        <v>664</v>
      </c>
      <c r="C4384" s="733" t="s">
        <v>4397</v>
      </c>
      <c r="D4384" s="733"/>
      <c r="E4384" s="761"/>
      <c r="F4384" s="761"/>
      <c r="G4384" s="733"/>
      <c r="H4384" s="733"/>
      <c r="I4384" s="733"/>
      <c r="J4384" s="733"/>
      <c r="K4384" s="733"/>
      <c r="L4384" s="733"/>
      <c r="M4384" s="733"/>
    </row>
    <row r="4385" spans="1:13" x14ac:dyDescent="0.3">
      <c r="A4385" s="733" t="s">
        <v>1754</v>
      </c>
      <c r="B4385" s="733" t="s">
        <v>664</v>
      </c>
      <c r="C4385" s="733" t="s">
        <v>4398</v>
      </c>
      <c r="D4385" s="733"/>
      <c r="E4385" s="761"/>
      <c r="F4385" s="761"/>
      <c r="G4385" s="733"/>
      <c r="H4385" s="733"/>
      <c r="I4385" s="733"/>
      <c r="J4385" s="733"/>
      <c r="K4385" s="733"/>
      <c r="L4385" s="733"/>
      <c r="M4385" s="733"/>
    </row>
    <row r="4386" spans="1:13" x14ac:dyDescent="0.3">
      <c r="A4386" s="733" t="s">
        <v>1754</v>
      </c>
      <c r="B4386" s="733" t="s">
        <v>664</v>
      </c>
      <c r="C4386" s="733" t="s">
        <v>4399</v>
      </c>
      <c r="D4386" s="733"/>
      <c r="E4386" s="761"/>
      <c r="F4386" s="761"/>
      <c r="G4386" s="733"/>
      <c r="H4386" s="733"/>
      <c r="I4386" s="733"/>
      <c r="J4386" s="733"/>
      <c r="K4386" s="733"/>
      <c r="L4386" s="733"/>
      <c r="M4386" s="733"/>
    </row>
    <row r="4387" spans="1:13" x14ac:dyDescent="0.3">
      <c r="A4387" s="733" t="s">
        <v>1754</v>
      </c>
      <c r="B4387" s="733" t="s">
        <v>664</v>
      </c>
      <c r="C4387" s="733" t="s">
        <v>4400</v>
      </c>
      <c r="D4387" s="733"/>
      <c r="E4387" s="761"/>
      <c r="F4387" s="761"/>
      <c r="G4387" s="733"/>
      <c r="H4387" s="733"/>
      <c r="I4387" s="733"/>
      <c r="J4387" s="733"/>
      <c r="K4387" s="733"/>
      <c r="L4387" s="733"/>
      <c r="M4387" s="733"/>
    </row>
    <row r="4388" spans="1:13" x14ac:dyDescent="0.3">
      <c r="A4388" s="733" t="s">
        <v>1754</v>
      </c>
      <c r="B4388" s="733" t="s">
        <v>664</v>
      </c>
      <c r="C4388" s="733" t="s">
        <v>4401</v>
      </c>
      <c r="D4388" s="733"/>
      <c r="E4388" s="761"/>
      <c r="F4388" s="761"/>
      <c r="G4388" s="733"/>
      <c r="H4388" s="733"/>
      <c r="I4388" s="733"/>
      <c r="J4388" s="733"/>
      <c r="K4388" s="733"/>
      <c r="L4388" s="733"/>
      <c r="M4388" s="733"/>
    </row>
    <row r="4389" spans="1:13" x14ac:dyDescent="0.3">
      <c r="A4389" s="733" t="s">
        <v>1754</v>
      </c>
      <c r="B4389" s="733" t="s">
        <v>664</v>
      </c>
      <c r="C4389" s="733" t="s">
        <v>4402</v>
      </c>
      <c r="D4389" s="733"/>
      <c r="E4389" s="761"/>
      <c r="F4389" s="761"/>
      <c r="G4389" s="733"/>
      <c r="H4389" s="733"/>
      <c r="I4389" s="733"/>
      <c r="J4389" s="733"/>
      <c r="K4389" s="733"/>
      <c r="L4389" s="733"/>
      <c r="M4389" s="733"/>
    </row>
    <row r="4390" spans="1:13" x14ac:dyDescent="0.3">
      <c r="A4390" s="733" t="s">
        <v>1754</v>
      </c>
      <c r="B4390" s="733" t="s">
        <v>664</v>
      </c>
      <c r="C4390" s="733" t="s">
        <v>4403</v>
      </c>
      <c r="D4390" s="733"/>
      <c r="E4390" s="761"/>
      <c r="F4390" s="761"/>
      <c r="G4390" s="733"/>
      <c r="H4390" s="733"/>
      <c r="I4390" s="733"/>
      <c r="J4390" s="733"/>
      <c r="K4390" s="733"/>
      <c r="L4390" s="733"/>
      <c r="M4390" s="733"/>
    </row>
    <row r="4391" spans="1:13" x14ac:dyDescent="0.3">
      <c r="A4391" s="733" t="s">
        <v>1754</v>
      </c>
      <c r="B4391" s="733" t="s">
        <v>612</v>
      </c>
      <c r="C4391" s="733" t="s">
        <v>4404</v>
      </c>
      <c r="D4391" s="733"/>
      <c r="E4391" s="761"/>
      <c r="F4391" s="761"/>
      <c r="G4391" s="733"/>
      <c r="H4391" s="733"/>
      <c r="I4391" s="733"/>
      <c r="J4391" s="733"/>
      <c r="K4391" s="733"/>
      <c r="L4391" s="733"/>
      <c r="M4391" s="733"/>
    </row>
    <row r="4392" spans="1:13" x14ac:dyDescent="0.3">
      <c r="A4392" s="733" t="s">
        <v>1754</v>
      </c>
      <c r="B4392" s="733" t="s">
        <v>612</v>
      </c>
      <c r="C4392" s="733" t="s">
        <v>4405</v>
      </c>
      <c r="D4392" s="733"/>
      <c r="E4392" s="761"/>
      <c r="F4392" s="761"/>
      <c r="G4392" s="733"/>
      <c r="H4392" s="733"/>
      <c r="I4392" s="733"/>
      <c r="J4392" s="733"/>
      <c r="K4392" s="733"/>
      <c r="L4392" s="733"/>
      <c r="M4392" s="733"/>
    </row>
    <row r="4393" spans="1:13" x14ac:dyDescent="0.3">
      <c r="A4393" s="733" t="s">
        <v>1754</v>
      </c>
      <c r="B4393" s="733" t="s">
        <v>612</v>
      </c>
      <c r="C4393" s="733" t="s">
        <v>4406</v>
      </c>
      <c r="D4393" s="733"/>
      <c r="E4393" s="761"/>
      <c r="F4393" s="761"/>
      <c r="G4393" s="733"/>
      <c r="H4393" s="733"/>
      <c r="I4393" s="733"/>
      <c r="J4393" s="733"/>
      <c r="K4393" s="733"/>
      <c r="L4393" s="733"/>
      <c r="M4393" s="733"/>
    </row>
    <row r="4394" spans="1:13" x14ac:dyDescent="0.3">
      <c r="A4394" s="733" t="s">
        <v>1754</v>
      </c>
      <c r="B4394" s="733" t="s">
        <v>612</v>
      </c>
      <c r="C4394" s="733" t="s">
        <v>4407</v>
      </c>
      <c r="D4394" s="733"/>
      <c r="E4394" s="761"/>
      <c r="F4394" s="761"/>
      <c r="G4394" s="733"/>
      <c r="H4394" s="733"/>
      <c r="I4394" s="733"/>
      <c r="J4394" s="733"/>
      <c r="K4394" s="733"/>
      <c r="L4394" s="733"/>
      <c r="M4394" s="733"/>
    </row>
    <row r="4395" spans="1:13" x14ac:dyDescent="0.3">
      <c r="A4395" s="733" t="s">
        <v>1754</v>
      </c>
      <c r="B4395" s="733" t="s">
        <v>612</v>
      </c>
      <c r="C4395" s="733" t="s">
        <v>4408</v>
      </c>
      <c r="D4395" s="733"/>
      <c r="E4395" s="761"/>
      <c r="F4395" s="761"/>
      <c r="G4395" s="733"/>
      <c r="H4395" s="733"/>
      <c r="I4395" s="733"/>
      <c r="J4395" s="733"/>
      <c r="K4395" s="733"/>
      <c r="L4395" s="733"/>
      <c r="M4395" s="733"/>
    </row>
    <row r="4396" spans="1:13" x14ac:dyDescent="0.3">
      <c r="A4396" s="733" t="s">
        <v>1754</v>
      </c>
      <c r="B4396" s="733" t="s">
        <v>612</v>
      </c>
      <c r="C4396" s="733" t="s">
        <v>4409</v>
      </c>
      <c r="D4396" s="733"/>
      <c r="E4396" s="761"/>
      <c r="F4396" s="761"/>
      <c r="G4396" s="733"/>
      <c r="H4396" s="733"/>
      <c r="I4396" s="733"/>
      <c r="J4396" s="733"/>
      <c r="K4396" s="733"/>
      <c r="L4396" s="733"/>
      <c r="M4396" s="733"/>
    </row>
    <row r="4397" spans="1:13" x14ac:dyDescent="0.3">
      <c r="A4397" s="733" t="s">
        <v>1754</v>
      </c>
      <c r="B4397" s="733" t="s">
        <v>612</v>
      </c>
      <c r="C4397" s="733" t="s">
        <v>4410</v>
      </c>
      <c r="D4397" s="733"/>
      <c r="E4397" s="761"/>
      <c r="F4397" s="761"/>
      <c r="G4397" s="733"/>
      <c r="H4397" s="733"/>
      <c r="I4397" s="733"/>
      <c r="J4397" s="733"/>
      <c r="K4397" s="733"/>
      <c r="L4397" s="733"/>
      <c r="M4397" s="733"/>
    </row>
    <row r="4398" spans="1:13" x14ac:dyDescent="0.3">
      <c r="A4398" s="733" t="s">
        <v>1754</v>
      </c>
      <c r="B4398" s="733" t="s">
        <v>612</v>
      </c>
      <c r="C4398" s="733" t="s">
        <v>4411</v>
      </c>
      <c r="D4398" s="733"/>
      <c r="E4398" s="761"/>
      <c r="F4398" s="761"/>
      <c r="G4398" s="733"/>
      <c r="H4398" s="733"/>
      <c r="I4398" s="733"/>
      <c r="J4398" s="733"/>
      <c r="K4398" s="733"/>
      <c r="L4398" s="733"/>
      <c r="M4398" s="733"/>
    </row>
    <row r="4399" spans="1:13" x14ac:dyDescent="0.3">
      <c r="A4399" s="733" t="s">
        <v>1754</v>
      </c>
      <c r="B4399" s="733" t="s">
        <v>612</v>
      </c>
      <c r="C4399" s="733" t="s">
        <v>4412</v>
      </c>
      <c r="D4399" s="733"/>
      <c r="E4399" s="761"/>
      <c r="F4399" s="761"/>
      <c r="G4399" s="733"/>
      <c r="H4399" s="733"/>
      <c r="I4399" s="733"/>
      <c r="J4399" s="733"/>
      <c r="K4399" s="733"/>
      <c r="L4399" s="733"/>
      <c r="M4399" s="733"/>
    </row>
    <row r="4400" spans="1:13" x14ac:dyDescent="0.3">
      <c r="A4400" s="733" t="s">
        <v>1754</v>
      </c>
      <c r="B4400" s="733" t="s">
        <v>612</v>
      </c>
      <c r="C4400" s="733" t="s">
        <v>4413</v>
      </c>
      <c r="D4400" s="733"/>
      <c r="E4400" s="761"/>
      <c r="F4400" s="761"/>
      <c r="G4400" s="733"/>
      <c r="H4400" s="733"/>
      <c r="I4400" s="733"/>
      <c r="J4400" s="733"/>
      <c r="K4400" s="733"/>
      <c r="L4400" s="733"/>
      <c r="M4400" s="733"/>
    </row>
    <row r="4401" spans="1:13" x14ac:dyDescent="0.3">
      <c r="A4401" s="733" t="s">
        <v>4414</v>
      </c>
      <c r="B4401" s="733" t="s">
        <v>645</v>
      </c>
      <c r="C4401" s="733" t="s">
        <v>4415</v>
      </c>
      <c r="D4401" s="733"/>
      <c r="E4401" s="761"/>
      <c r="F4401" s="761"/>
      <c r="G4401" s="733"/>
      <c r="H4401" s="733"/>
      <c r="I4401" s="733"/>
      <c r="J4401" s="733"/>
      <c r="K4401" s="733"/>
      <c r="L4401" s="733"/>
      <c r="M4401" s="733"/>
    </row>
    <row r="4402" spans="1:13" x14ac:dyDescent="0.3">
      <c r="A4402" s="733" t="s">
        <v>4414</v>
      </c>
      <c r="B4402" s="733" t="s">
        <v>645</v>
      </c>
      <c r="C4402" s="733" t="s">
        <v>4416</v>
      </c>
      <c r="D4402" s="733"/>
      <c r="E4402" s="761"/>
      <c r="F4402" s="761"/>
      <c r="G4402" s="733"/>
      <c r="H4402" s="733"/>
      <c r="I4402" s="733"/>
      <c r="J4402" s="733"/>
      <c r="K4402" s="733"/>
      <c r="L4402" s="733"/>
      <c r="M4402" s="733"/>
    </row>
    <row r="4403" spans="1:13" x14ac:dyDescent="0.3">
      <c r="A4403" s="733" t="s">
        <v>4414</v>
      </c>
      <c r="B4403" s="733" t="s">
        <v>645</v>
      </c>
      <c r="C4403" s="733" t="s">
        <v>4417</v>
      </c>
      <c r="D4403" s="733"/>
      <c r="E4403" s="761"/>
      <c r="F4403" s="761"/>
      <c r="G4403" s="733"/>
      <c r="H4403" s="733"/>
      <c r="I4403" s="733"/>
      <c r="J4403" s="733"/>
      <c r="K4403" s="733"/>
      <c r="L4403" s="733"/>
      <c r="M4403" s="733"/>
    </row>
    <row r="4404" spans="1:13" x14ac:dyDescent="0.3">
      <c r="A4404" s="733" t="s">
        <v>4414</v>
      </c>
      <c r="B4404" s="733" t="s">
        <v>645</v>
      </c>
      <c r="C4404" s="733" t="s">
        <v>4418</v>
      </c>
      <c r="D4404" s="733"/>
      <c r="E4404" s="761"/>
      <c r="F4404" s="761"/>
      <c r="G4404" s="733"/>
      <c r="H4404" s="733"/>
      <c r="I4404" s="733"/>
      <c r="J4404" s="733"/>
      <c r="K4404" s="733"/>
      <c r="L4404" s="733"/>
      <c r="M4404" s="733"/>
    </row>
    <row r="4405" spans="1:13" x14ac:dyDescent="0.3">
      <c r="A4405" s="733" t="s">
        <v>4414</v>
      </c>
      <c r="B4405" s="733" t="s">
        <v>645</v>
      </c>
      <c r="C4405" s="733" t="s">
        <v>4419</v>
      </c>
      <c r="D4405" s="733"/>
      <c r="E4405" s="761"/>
      <c r="F4405" s="761"/>
      <c r="G4405" s="733"/>
      <c r="H4405" s="733"/>
      <c r="I4405" s="733"/>
      <c r="J4405" s="733"/>
      <c r="K4405" s="733"/>
      <c r="L4405" s="733"/>
      <c r="M4405" s="733"/>
    </row>
    <row r="4406" spans="1:13" x14ac:dyDescent="0.3">
      <c r="A4406" s="733" t="s">
        <v>4414</v>
      </c>
      <c r="B4406" s="733" t="s">
        <v>645</v>
      </c>
      <c r="C4406" s="733" t="s">
        <v>4420</v>
      </c>
      <c r="D4406" s="733"/>
      <c r="E4406" s="761"/>
      <c r="F4406" s="761"/>
      <c r="G4406" s="733"/>
      <c r="H4406" s="733"/>
      <c r="I4406" s="733"/>
      <c r="J4406" s="733"/>
      <c r="K4406" s="733"/>
      <c r="L4406" s="733"/>
      <c r="M4406" s="733"/>
    </row>
    <row r="4407" spans="1:13" x14ac:dyDescent="0.3">
      <c r="A4407" s="733" t="s">
        <v>4414</v>
      </c>
      <c r="B4407" s="733" t="s">
        <v>645</v>
      </c>
      <c r="C4407" s="733" t="s">
        <v>4421</v>
      </c>
      <c r="D4407" s="733"/>
      <c r="E4407" s="761"/>
      <c r="F4407" s="761"/>
      <c r="G4407" s="733"/>
      <c r="H4407" s="733"/>
      <c r="I4407" s="733"/>
      <c r="J4407" s="733"/>
      <c r="K4407" s="733"/>
      <c r="L4407" s="733"/>
      <c r="M4407" s="733"/>
    </row>
    <row r="4408" spans="1:13" x14ac:dyDescent="0.3">
      <c r="A4408" s="733" t="s">
        <v>4414</v>
      </c>
      <c r="B4408" s="733" t="s">
        <v>645</v>
      </c>
      <c r="C4408" s="733" t="s">
        <v>4422</v>
      </c>
      <c r="D4408" s="733"/>
      <c r="E4408" s="761"/>
      <c r="F4408" s="761"/>
      <c r="G4408" s="733"/>
      <c r="H4408" s="733"/>
      <c r="I4408" s="733"/>
      <c r="J4408" s="733"/>
      <c r="K4408" s="733"/>
      <c r="L4408" s="733"/>
      <c r="M4408" s="733"/>
    </row>
    <row r="4409" spans="1:13" x14ac:dyDescent="0.3">
      <c r="A4409" s="733" t="s">
        <v>4414</v>
      </c>
      <c r="B4409" s="733" t="s">
        <v>645</v>
      </c>
      <c r="C4409" s="733" t="s">
        <v>4423</v>
      </c>
      <c r="D4409" s="733"/>
      <c r="E4409" s="761"/>
      <c r="F4409" s="761"/>
      <c r="G4409" s="733"/>
      <c r="H4409" s="733"/>
      <c r="I4409" s="733"/>
      <c r="J4409" s="733"/>
      <c r="K4409" s="733"/>
      <c r="L4409" s="733"/>
      <c r="M4409" s="733"/>
    </row>
    <row r="4410" spans="1:13" x14ac:dyDescent="0.3">
      <c r="A4410" s="733" t="s">
        <v>4414</v>
      </c>
      <c r="B4410" s="733" t="s">
        <v>645</v>
      </c>
      <c r="C4410" s="733" t="s">
        <v>4424</v>
      </c>
      <c r="D4410" s="733"/>
      <c r="E4410" s="761"/>
      <c r="F4410" s="761"/>
      <c r="G4410" s="733"/>
      <c r="H4410" s="733"/>
      <c r="I4410" s="733"/>
      <c r="J4410" s="733"/>
      <c r="K4410" s="733"/>
      <c r="L4410" s="733"/>
      <c r="M4410" s="733"/>
    </row>
    <row r="4411" spans="1:13" x14ac:dyDescent="0.3">
      <c r="A4411" s="733" t="s">
        <v>4414</v>
      </c>
      <c r="B4411" s="733" t="s">
        <v>664</v>
      </c>
      <c r="C4411" s="733" t="s">
        <v>4425</v>
      </c>
      <c r="D4411" s="733"/>
      <c r="E4411" s="761"/>
      <c r="F4411" s="761"/>
      <c r="G4411" s="733"/>
      <c r="H4411" s="733"/>
      <c r="I4411" s="733"/>
      <c r="J4411" s="733"/>
      <c r="K4411" s="733"/>
      <c r="L4411" s="733"/>
      <c r="M4411" s="733"/>
    </row>
    <row r="4412" spans="1:13" x14ac:dyDescent="0.3">
      <c r="A4412" s="733" t="s">
        <v>4414</v>
      </c>
      <c r="B4412" s="733" t="s">
        <v>664</v>
      </c>
      <c r="C4412" s="733" t="s">
        <v>4426</v>
      </c>
      <c r="D4412" s="733"/>
      <c r="E4412" s="761"/>
      <c r="F4412" s="761"/>
      <c r="G4412" s="733"/>
      <c r="H4412" s="733"/>
      <c r="I4412" s="733"/>
      <c r="J4412" s="733"/>
      <c r="K4412" s="733"/>
      <c r="L4412" s="733"/>
      <c r="M4412" s="733"/>
    </row>
    <row r="4413" spans="1:13" x14ac:dyDescent="0.3">
      <c r="A4413" s="733" t="s">
        <v>4414</v>
      </c>
      <c r="B4413" s="733" t="s">
        <v>664</v>
      </c>
      <c r="C4413" s="733" t="s">
        <v>4427</v>
      </c>
      <c r="D4413" s="733"/>
      <c r="E4413" s="761"/>
      <c r="F4413" s="761"/>
      <c r="G4413" s="733"/>
      <c r="H4413" s="733"/>
      <c r="I4413" s="733"/>
      <c r="J4413" s="733"/>
      <c r="K4413" s="733"/>
      <c r="L4413" s="733"/>
      <c r="M4413" s="733"/>
    </row>
    <row r="4414" spans="1:13" x14ac:dyDescent="0.3">
      <c r="A4414" s="733" t="s">
        <v>4414</v>
      </c>
      <c r="B4414" s="733" t="s">
        <v>664</v>
      </c>
      <c r="C4414" s="733" t="s">
        <v>4428</v>
      </c>
      <c r="D4414" s="733"/>
      <c r="E4414" s="761"/>
      <c r="F4414" s="761"/>
      <c r="G4414" s="733"/>
      <c r="H4414" s="733"/>
      <c r="I4414" s="733"/>
      <c r="J4414" s="733"/>
      <c r="K4414" s="733"/>
      <c r="L4414" s="733"/>
      <c r="M4414" s="733"/>
    </row>
    <row r="4415" spans="1:13" x14ac:dyDescent="0.3">
      <c r="A4415" s="733" t="s">
        <v>4414</v>
      </c>
      <c r="B4415" s="733" t="s">
        <v>664</v>
      </c>
      <c r="C4415" s="733" t="s">
        <v>4429</v>
      </c>
      <c r="D4415" s="733"/>
      <c r="E4415" s="761"/>
      <c r="F4415" s="761"/>
      <c r="G4415" s="733"/>
      <c r="H4415" s="733"/>
      <c r="I4415" s="733"/>
      <c r="J4415" s="733"/>
      <c r="K4415" s="733"/>
      <c r="L4415" s="733"/>
      <c r="M4415" s="733"/>
    </row>
    <row r="4416" spans="1:13" x14ac:dyDescent="0.3">
      <c r="A4416" s="733" t="s">
        <v>4414</v>
      </c>
      <c r="B4416" s="733" t="s">
        <v>664</v>
      </c>
      <c r="C4416" s="733" t="s">
        <v>4430</v>
      </c>
      <c r="D4416" s="733"/>
      <c r="E4416" s="761"/>
      <c r="F4416" s="761"/>
      <c r="G4416" s="733"/>
      <c r="H4416" s="733"/>
      <c r="I4416" s="733"/>
      <c r="J4416" s="733"/>
      <c r="K4416" s="733"/>
      <c r="L4416" s="733"/>
      <c r="M4416" s="733"/>
    </row>
    <row r="4417" spans="1:13" x14ac:dyDescent="0.3">
      <c r="A4417" s="733" t="s">
        <v>4414</v>
      </c>
      <c r="B4417" s="733" t="s">
        <v>664</v>
      </c>
      <c r="C4417" s="733" t="s">
        <v>4431</v>
      </c>
      <c r="D4417" s="733"/>
      <c r="E4417" s="761"/>
      <c r="F4417" s="761"/>
      <c r="G4417" s="733"/>
      <c r="H4417" s="733"/>
      <c r="I4417" s="733"/>
      <c r="J4417" s="733"/>
      <c r="K4417" s="733"/>
      <c r="L4417" s="733"/>
      <c r="M4417" s="733"/>
    </row>
    <row r="4418" spans="1:13" x14ac:dyDescent="0.3">
      <c r="A4418" s="733" t="s">
        <v>4414</v>
      </c>
      <c r="B4418" s="733" t="s">
        <v>664</v>
      </c>
      <c r="C4418" s="733" t="s">
        <v>4432</v>
      </c>
      <c r="D4418" s="733"/>
      <c r="E4418" s="761"/>
      <c r="F4418" s="761"/>
      <c r="G4418" s="733"/>
      <c r="H4418" s="733"/>
      <c r="I4418" s="733"/>
      <c r="J4418" s="733"/>
      <c r="K4418" s="733"/>
      <c r="L4418" s="733"/>
      <c r="M4418" s="733"/>
    </row>
    <row r="4419" spans="1:13" x14ac:dyDescent="0.3">
      <c r="A4419" s="733" t="s">
        <v>4414</v>
      </c>
      <c r="B4419" s="733" t="s">
        <v>664</v>
      </c>
      <c r="C4419" s="733" t="s">
        <v>4433</v>
      </c>
      <c r="D4419" s="733"/>
      <c r="E4419" s="761"/>
      <c r="F4419" s="761"/>
      <c r="G4419" s="733"/>
      <c r="H4419" s="733"/>
      <c r="I4419" s="733"/>
      <c r="J4419" s="733"/>
      <c r="K4419" s="733"/>
      <c r="L4419" s="733"/>
      <c r="M4419" s="733"/>
    </row>
    <row r="4420" spans="1:13" x14ac:dyDescent="0.3">
      <c r="A4420" s="733" t="s">
        <v>4414</v>
      </c>
      <c r="B4420" s="733" t="s">
        <v>664</v>
      </c>
      <c r="C4420" s="733" t="s">
        <v>4434</v>
      </c>
      <c r="D4420" s="733"/>
      <c r="E4420" s="761"/>
      <c r="F4420" s="761"/>
      <c r="G4420" s="733"/>
      <c r="H4420" s="733"/>
      <c r="I4420" s="733"/>
      <c r="J4420" s="733"/>
      <c r="K4420" s="733"/>
      <c r="L4420" s="733"/>
      <c r="M4420" s="733"/>
    </row>
    <row r="4421" spans="1:13" x14ac:dyDescent="0.3">
      <c r="A4421" s="733" t="s">
        <v>4414</v>
      </c>
      <c r="B4421" s="733" t="s">
        <v>612</v>
      </c>
      <c r="C4421" s="733" t="s">
        <v>4435</v>
      </c>
      <c r="D4421" s="733"/>
      <c r="E4421" s="761"/>
      <c r="F4421" s="761"/>
      <c r="G4421" s="733"/>
      <c r="H4421" s="733"/>
      <c r="I4421" s="733"/>
      <c r="J4421" s="733"/>
      <c r="K4421" s="733"/>
      <c r="L4421" s="733"/>
      <c r="M4421" s="733"/>
    </row>
    <row r="4422" spans="1:13" x14ac:dyDescent="0.3">
      <c r="A4422" s="733" t="s">
        <v>4414</v>
      </c>
      <c r="B4422" s="733" t="s">
        <v>612</v>
      </c>
      <c r="C4422" s="733" t="s">
        <v>4436</v>
      </c>
      <c r="D4422" s="733"/>
      <c r="E4422" s="761"/>
      <c r="F4422" s="761"/>
      <c r="G4422" s="733"/>
      <c r="H4422" s="733"/>
      <c r="I4422" s="733"/>
      <c r="J4422" s="733"/>
      <c r="K4422" s="733"/>
      <c r="L4422" s="733"/>
      <c r="M4422" s="733"/>
    </row>
    <row r="4423" spans="1:13" x14ac:dyDescent="0.3">
      <c r="A4423" s="733" t="s">
        <v>4414</v>
      </c>
      <c r="B4423" s="733" t="s">
        <v>612</v>
      </c>
      <c r="C4423" s="733" t="s">
        <v>4437</v>
      </c>
      <c r="D4423" s="733"/>
      <c r="E4423" s="761"/>
      <c r="F4423" s="761"/>
      <c r="G4423" s="733"/>
      <c r="H4423" s="733"/>
      <c r="I4423" s="733"/>
      <c r="J4423" s="733"/>
      <c r="K4423" s="733"/>
      <c r="L4423" s="733"/>
      <c r="M4423" s="733"/>
    </row>
    <row r="4424" spans="1:13" x14ac:dyDescent="0.3">
      <c r="A4424" s="733" t="s">
        <v>4414</v>
      </c>
      <c r="B4424" s="733" t="s">
        <v>612</v>
      </c>
      <c r="C4424" s="733" t="s">
        <v>4438</v>
      </c>
      <c r="D4424" s="733"/>
      <c r="E4424" s="761"/>
      <c r="F4424" s="761"/>
      <c r="G4424" s="733"/>
      <c r="H4424" s="733"/>
      <c r="I4424" s="733"/>
      <c r="J4424" s="733"/>
      <c r="K4424" s="733"/>
      <c r="L4424" s="733"/>
      <c r="M4424" s="733"/>
    </row>
    <row r="4425" spans="1:13" x14ac:dyDescent="0.3">
      <c r="A4425" s="733" t="s">
        <v>4414</v>
      </c>
      <c r="B4425" s="733" t="s">
        <v>612</v>
      </c>
      <c r="C4425" s="733" t="s">
        <v>4439</v>
      </c>
      <c r="D4425" s="733"/>
      <c r="E4425" s="761"/>
      <c r="F4425" s="761"/>
      <c r="G4425" s="733"/>
      <c r="H4425" s="733"/>
      <c r="I4425" s="733"/>
      <c r="J4425" s="733"/>
      <c r="K4425" s="733"/>
      <c r="L4425" s="733"/>
      <c r="M4425" s="733"/>
    </row>
    <row r="4426" spans="1:13" x14ac:dyDescent="0.3">
      <c r="A4426" s="733" t="s">
        <v>4414</v>
      </c>
      <c r="B4426" s="733" t="s">
        <v>612</v>
      </c>
      <c r="C4426" s="733" t="s">
        <v>4440</v>
      </c>
      <c r="D4426" s="733"/>
      <c r="E4426" s="761"/>
      <c r="F4426" s="761"/>
      <c r="G4426" s="733"/>
      <c r="H4426" s="733"/>
      <c r="I4426" s="733"/>
      <c r="J4426" s="733"/>
      <c r="K4426" s="733"/>
      <c r="L4426" s="733"/>
      <c r="M4426" s="733"/>
    </row>
    <row r="4427" spans="1:13" x14ac:dyDescent="0.3">
      <c r="A4427" s="733" t="s">
        <v>4414</v>
      </c>
      <c r="B4427" s="733" t="s">
        <v>612</v>
      </c>
      <c r="C4427" s="733" t="s">
        <v>4441</v>
      </c>
      <c r="D4427" s="733"/>
      <c r="E4427" s="761"/>
      <c r="F4427" s="761"/>
      <c r="G4427" s="733"/>
      <c r="H4427" s="733"/>
      <c r="I4427" s="733"/>
      <c r="J4427" s="733"/>
      <c r="K4427" s="733"/>
      <c r="L4427" s="733"/>
      <c r="M4427" s="733"/>
    </row>
    <row r="4428" spans="1:13" x14ac:dyDescent="0.3">
      <c r="A4428" s="733" t="s">
        <v>4414</v>
      </c>
      <c r="B4428" s="733" t="s">
        <v>612</v>
      </c>
      <c r="C4428" s="733" t="s">
        <v>4442</v>
      </c>
      <c r="D4428" s="733"/>
      <c r="E4428" s="761"/>
      <c r="F4428" s="761"/>
      <c r="G4428" s="733"/>
      <c r="H4428" s="733"/>
      <c r="I4428" s="733"/>
      <c r="J4428" s="733"/>
      <c r="K4428" s="733"/>
      <c r="L4428" s="733"/>
      <c r="M4428" s="733"/>
    </row>
    <row r="4429" spans="1:13" x14ac:dyDescent="0.3">
      <c r="A4429" s="733" t="s">
        <v>4414</v>
      </c>
      <c r="B4429" s="733" t="s">
        <v>612</v>
      </c>
      <c r="C4429" s="733" t="s">
        <v>4443</v>
      </c>
      <c r="D4429" s="733"/>
      <c r="E4429" s="761"/>
      <c r="F4429" s="761"/>
      <c r="G4429" s="733"/>
      <c r="H4429" s="733"/>
      <c r="I4429" s="733"/>
      <c r="J4429" s="733"/>
      <c r="K4429" s="733"/>
      <c r="L4429" s="733"/>
      <c r="M4429" s="733"/>
    </row>
    <row r="4430" spans="1:13" x14ac:dyDescent="0.3">
      <c r="A4430" s="733" t="s">
        <v>4414</v>
      </c>
      <c r="B4430" s="733" t="s">
        <v>612</v>
      </c>
      <c r="C4430" s="733" t="s">
        <v>4444</v>
      </c>
      <c r="D4430" s="733"/>
      <c r="E4430" s="761"/>
      <c r="F4430" s="761"/>
      <c r="G4430" s="733"/>
      <c r="H4430" s="733"/>
      <c r="I4430" s="733"/>
      <c r="J4430" s="733"/>
      <c r="K4430" s="733"/>
      <c r="L4430" s="733"/>
      <c r="M4430" s="733"/>
    </row>
    <row r="4431" spans="1:13" x14ac:dyDescent="0.3">
      <c r="A4431" s="733" t="s">
        <v>3706</v>
      </c>
      <c r="B4431" s="733" t="s">
        <v>645</v>
      </c>
      <c r="C4431" s="738" t="s">
        <v>4445</v>
      </c>
      <c r="D4431" s="733"/>
      <c r="E4431" s="761"/>
      <c r="F4431" s="761"/>
      <c r="G4431" s="733"/>
      <c r="H4431" s="733"/>
      <c r="I4431" s="733"/>
      <c r="J4431" s="733"/>
      <c r="K4431" s="733"/>
      <c r="L4431" s="733"/>
      <c r="M4431" s="733"/>
    </row>
    <row r="4432" spans="1:13" ht="28.8" x14ac:dyDescent="0.3">
      <c r="A4432" s="733" t="s">
        <v>3706</v>
      </c>
      <c r="B4432" s="733" t="s">
        <v>645</v>
      </c>
      <c r="C4432" s="738" t="s">
        <v>4446</v>
      </c>
      <c r="D4432" s="733"/>
      <c r="E4432" s="761"/>
      <c r="F4432" s="761"/>
      <c r="G4432" s="733"/>
      <c r="H4432" s="733"/>
      <c r="I4432" s="733"/>
      <c r="J4432" s="733"/>
      <c r="K4432" s="733"/>
      <c r="L4432" s="733"/>
      <c r="M4432" s="733"/>
    </row>
    <row r="4433" spans="1:13" x14ac:dyDescent="0.3">
      <c r="A4433" s="733" t="s">
        <v>3706</v>
      </c>
      <c r="B4433" s="733" t="s">
        <v>645</v>
      </c>
      <c r="C4433" s="738" t="s">
        <v>4447</v>
      </c>
      <c r="D4433" s="733"/>
      <c r="E4433" s="761"/>
      <c r="F4433" s="761"/>
      <c r="G4433" s="733"/>
      <c r="H4433" s="733"/>
      <c r="I4433" s="733"/>
      <c r="J4433" s="733"/>
      <c r="K4433" s="733"/>
      <c r="L4433" s="733"/>
      <c r="M4433" s="733"/>
    </row>
    <row r="4434" spans="1:13" ht="28.8" x14ac:dyDescent="0.3">
      <c r="A4434" s="733" t="s">
        <v>3706</v>
      </c>
      <c r="B4434" s="733" t="s">
        <v>645</v>
      </c>
      <c r="C4434" s="738" t="s">
        <v>4448</v>
      </c>
      <c r="D4434" s="733"/>
      <c r="E4434" s="761"/>
      <c r="F4434" s="761"/>
      <c r="G4434" s="733"/>
      <c r="H4434" s="733"/>
      <c r="I4434" s="733"/>
      <c r="J4434" s="733"/>
      <c r="K4434" s="733"/>
      <c r="L4434" s="733"/>
      <c r="M4434" s="733"/>
    </row>
    <row r="4435" spans="1:13" x14ac:dyDescent="0.3">
      <c r="A4435" s="733" t="s">
        <v>3706</v>
      </c>
      <c r="B4435" s="733" t="s">
        <v>645</v>
      </c>
      <c r="C4435" s="738" t="s">
        <v>4449</v>
      </c>
      <c r="D4435" s="733"/>
      <c r="E4435" s="761"/>
      <c r="F4435" s="761"/>
      <c r="G4435" s="733"/>
      <c r="H4435" s="733"/>
      <c r="I4435" s="733"/>
      <c r="J4435" s="733"/>
      <c r="K4435" s="733"/>
      <c r="L4435" s="733"/>
      <c r="M4435" s="733"/>
    </row>
    <row r="4436" spans="1:13" x14ac:dyDescent="0.3">
      <c r="A4436" s="733" t="s">
        <v>3706</v>
      </c>
      <c r="B4436" s="733" t="s">
        <v>664</v>
      </c>
      <c r="C4436" s="738" t="s">
        <v>4450</v>
      </c>
      <c r="D4436" s="733"/>
      <c r="E4436" s="761"/>
      <c r="F4436" s="761"/>
      <c r="G4436" s="733"/>
      <c r="H4436" s="733"/>
      <c r="I4436" s="733"/>
      <c r="J4436" s="733"/>
      <c r="K4436" s="733"/>
      <c r="L4436" s="733"/>
      <c r="M4436" s="733"/>
    </row>
    <row r="4437" spans="1:13" x14ac:dyDescent="0.3">
      <c r="A4437" s="733" t="s">
        <v>3706</v>
      </c>
      <c r="B4437" s="733" t="s">
        <v>664</v>
      </c>
      <c r="C4437" s="738" t="s">
        <v>4451</v>
      </c>
      <c r="D4437" s="733"/>
      <c r="E4437" s="761"/>
      <c r="F4437" s="761"/>
      <c r="G4437" s="733"/>
      <c r="H4437" s="733"/>
      <c r="I4437" s="733"/>
      <c r="J4437" s="733"/>
      <c r="K4437" s="733"/>
      <c r="L4437" s="733"/>
      <c r="M4437" s="733"/>
    </row>
    <row r="4438" spans="1:13" x14ac:dyDescent="0.3">
      <c r="A4438" s="733" t="s">
        <v>3706</v>
      </c>
      <c r="B4438" s="733" t="s">
        <v>664</v>
      </c>
      <c r="C4438" s="738" t="s">
        <v>4452</v>
      </c>
      <c r="D4438" s="733"/>
      <c r="E4438" s="761"/>
      <c r="F4438" s="761"/>
      <c r="G4438" s="733"/>
      <c r="H4438" s="733"/>
      <c r="I4438" s="733"/>
      <c r="J4438" s="733"/>
      <c r="K4438" s="733"/>
      <c r="L4438" s="733"/>
      <c r="M4438" s="733"/>
    </row>
    <row r="4439" spans="1:13" ht="28.8" x14ac:dyDescent="0.3">
      <c r="A4439" s="733" t="s">
        <v>3706</v>
      </c>
      <c r="B4439" s="733" t="s">
        <v>664</v>
      </c>
      <c r="C4439" s="738" t="s">
        <v>4453</v>
      </c>
      <c r="D4439" s="733"/>
      <c r="E4439" s="761"/>
      <c r="F4439" s="761"/>
      <c r="G4439" s="733"/>
      <c r="H4439" s="733"/>
      <c r="I4439" s="733"/>
      <c r="J4439" s="733"/>
      <c r="K4439" s="733"/>
      <c r="L4439" s="733"/>
      <c r="M4439" s="733"/>
    </row>
    <row r="4440" spans="1:13" ht="28.8" x14ac:dyDescent="0.3">
      <c r="A4440" s="733" t="s">
        <v>3706</v>
      </c>
      <c r="B4440" s="733" t="s">
        <v>664</v>
      </c>
      <c r="C4440" s="738" t="s">
        <v>4454</v>
      </c>
      <c r="D4440" s="733"/>
      <c r="E4440" s="761"/>
      <c r="F4440" s="761"/>
      <c r="G4440" s="733"/>
      <c r="H4440" s="733"/>
      <c r="I4440" s="733"/>
      <c r="J4440" s="733"/>
      <c r="K4440" s="733"/>
      <c r="L4440" s="733"/>
      <c r="M4440" s="733"/>
    </row>
    <row r="4441" spans="1:13" x14ac:dyDescent="0.3">
      <c r="A4441" s="733" t="s">
        <v>3706</v>
      </c>
      <c r="B4441" s="733" t="s">
        <v>612</v>
      </c>
      <c r="C4441" s="738" t="s">
        <v>4455</v>
      </c>
      <c r="D4441" s="733"/>
      <c r="E4441" s="761"/>
      <c r="F4441" s="761"/>
      <c r="G4441" s="733"/>
      <c r="H4441" s="733"/>
      <c r="I4441" s="733"/>
      <c r="J4441" s="733"/>
      <c r="K4441" s="733"/>
      <c r="L4441" s="733"/>
      <c r="M4441" s="733"/>
    </row>
    <row r="4442" spans="1:13" x14ac:dyDescent="0.3">
      <c r="A4442" s="733" t="s">
        <v>3706</v>
      </c>
      <c r="B4442" s="733" t="s">
        <v>612</v>
      </c>
      <c r="C4442" s="738" t="s">
        <v>4456</v>
      </c>
      <c r="D4442" s="733"/>
      <c r="E4442" s="761"/>
      <c r="F4442" s="761"/>
      <c r="G4442" s="733"/>
      <c r="H4442" s="733"/>
      <c r="I4442" s="733"/>
      <c r="J4442" s="733"/>
      <c r="K4442" s="733"/>
      <c r="L4442" s="733"/>
      <c r="M4442" s="733"/>
    </row>
    <row r="4443" spans="1:13" ht="28.8" x14ac:dyDescent="0.3">
      <c r="A4443" s="733" t="s">
        <v>3706</v>
      </c>
      <c r="B4443" s="733" t="s">
        <v>612</v>
      </c>
      <c r="C4443" s="738" t="s">
        <v>4457</v>
      </c>
      <c r="D4443" s="733"/>
      <c r="E4443" s="761"/>
      <c r="F4443" s="761"/>
      <c r="G4443" s="733"/>
      <c r="H4443" s="733"/>
      <c r="I4443" s="733"/>
      <c r="J4443" s="733"/>
      <c r="K4443" s="733"/>
      <c r="L4443" s="733"/>
      <c r="M4443" s="733"/>
    </row>
    <row r="4444" spans="1:13" ht="28.8" x14ac:dyDescent="0.3">
      <c r="A4444" s="733" t="s">
        <v>3706</v>
      </c>
      <c r="B4444" s="733" t="s">
        <v>612</v>
      </c>
      <c r="C4444" s="738" t="s">
        <v>4458</v>
      </c>
      <c r="D4444" s="733"/>
      <c r="E4444" s="761"/>
      <c r="F4444" s="761"/>
      <c r="G4444" s="733"/>
      <c r="H4444" s="733"/>
      <c r="I4444" s="733"/>
      <c r="J4444" s="733"/>
      <c r="K4444" s="733"/>
      <c r="L4444" s="733"/>
      <c r="M4444" s="733"/>
    </row>
    <row r="4445" spans="1:13" ht="28.8" x14ac:dyDescent="0.3">
      <c r="A4445" s="733" t="s">
        <v>3706</v>
      </c>
      <c r="B4445" s="733" t="s">
        <v>612</v>
      </c>
      <c r="C4445" s="738" t="s">
        <v>4459</v>
      </c>
      <c r="D4445" s="733"/>
      <c r="E4445" s="761"/>
      <c r="F4445" s="761"/>
      <c r="G4445" s="733"/>
      <c r="H4445" s="733"/>
      <c r="I4445" s="733"/>
      <c r="J4445" s="733"/>
      <c r="K4445" s="733"/>
      <c r="L4445" s="733"/>
      <c r="M4445" s="733"/>
    </row>
    <row r="4446" spans="1:13" ht="28.8" x14ac:dyDescent="0.3">
      <c r="A4446" s="733" t="s">
        <v>3706</v>
      </c>
      <c r="B4446" s="733" t="s">
        <v>645</v>
      </c>
      <c r="C4446" s="738" t="s">
        <v>4460</v>
      </c>
      <c r="D4446" s="733"/>
      <c r="E4446" s="761"/>
      <c r="F4446" s="761"/>
      <c r="G4446" s="733"/>
      <c r="H4446" s="733"/>
      <c r="I4446" s="733"/>
      <c r="J4446" s="733"/>
      <c r="K4446" s="733"/>
      <c r="L4446" s="733"/>
      <c r="M4446" s="733"/>
    </row>
    <row r="4447" spans="1:13" x14ac:dyDescent="0.3">
      <c r="A4447" s="733" t="s">
        <v>3706</v>
      </c>
      <c r="B4447" s="733" t="s">
        <v>645</v>
      </c>
      <c r="C4447" s="738" t="s">
        <v>4461</v>
      </c>
      <c r="D4447" s="733"/>
      <c r="E4447" s="761"/>
      <c r="F4447" s="761"/>
      <c r="G4447" s="733"/>
      <c r="H4447" s="733"/>
      <c r="I4447" s="733"/>
      <c r="J4447" s="733"/>
      <c r="K4447" s="733"/>
      <c r="L4447" s="733"/>
      <c r="M4447" s="733"/>
    </row>
    <row r="4448" spans="1:13" ht="28.8" x14ac:dyDescent="0.3">
      <c r="A4448" s="733" t="s">
        <v>3706</v>
      </c>
      <c r="B4448" s="733" t="s">
        <v>645</v>
      </c>
      <c r="C4448" s="738" t="s">
        <v>4462</v>
      </c>
      <c r="D4448" s="733"/>
      <c r="E4448" s="761"/>
      <c r="F4448" s="761"/>
      <c r="G4448" s="733"/>
      <c r="H4448" s="733"/>
      <c r="I4448" s="733"/>
      <c r="J4448" s="733"/>
      <c r="K4448" s="733"/>
      <c r="L4448" s="733"/>
      <c r="M4448" s="733"/>
    </row>
    <row r="4449" spans="1:13" x14ac:dyDescent="0.3">
      <c r="A4449" s="733" t="s">
        <v>3706</v>
      </c>
      <c r="B4449" s="733" t="s">
        <v>645</v>
      </c>
      <c r="C4449" s="738" t="s">
        <v>4463</v>
      </c>
      <c r="D4449" s="733"/>
      <c r="E4449" s="761"/>
      <c r="F4449" s="761"/>
      <c r="G4449" s="733"/>
      <c r="H4449" s="733"/>
      <c r="I4449" s="733"/>
      <c r="J4449" s="733"/>
      <c r="K4449" s="733"/>
      <c r="L4449" s="733"/>
      <c r="M4449" s="733"/>
    </row>
    <row r="4450" spans="1:13" ht="28.8" x14ac:dyDescent="0.3">
      <c r="A4450" s="733" t="s">
        <v>3706</v>
      </c>
      <c r="B4450" s="733" t="s">
        <v>645</v>
      </c>
      <c r="C4450" s="738" t="s">
        <v>4464</v>
      </c>
      <c r="D4450" s="733"/>
      <c r="E4450" s="761"/>
      <c r="F4450" s="761"/>
      <c r="G4450" s="733"/>
      <c r="H4450" s="733"/>
      <c r="I4450" s="733"/>
      <c r="J4450" s="733"/>
      <c r="K4450" s="733"/>
      <c r="L4450" s="733"/>
      <c r="M4450" s="733"/>
    </row>
    <row r="4451" spans="1:13" x14ac:dyDescent="0.3">
      <c r="A4451" s="733" t="s">
        <v>3706</v>
      </c>
      <c r="B4451" s="733" t="s">
        <v>664</v>
      </c>
      <c r="C4451" s="738" t="s">
        <v>4465</v>
      </c>
      <c r="D4451" s="733"/>
      <c r="E4451" s="761"/>
      <c r="F4451" s="761"/>
      <c r="G4451" s="733"/>
      <c r="H4451" s="733"/>
      <c r="I4451" s="733"/>
      <c r="J4451" s="733"/>
      <c r="K4451" s="733"/>
      <c r="L4451" s="733"/>
      <c r="M4451" s="733"/>
    </row>
    <row r="4452" spans="1:13" ht="28.8" x14ac:dyDescent="0.3">
      <c r="A4452" s="733" t="s">
        <v>3706</v>
      </c>
      <c r="B4452" s="733" t="s">
        <v>664</v>
      </c>
      <c r="C4452" s="738" t="s">
        <v>4466</v>
      </c>
      <c r="D4452" s="733"/>
      <c r="E4452" s="761"/>
      <c r="F4452" s="761"/>
      <c r="G4452" s="733"/>
      <c r="H4452" s="733"/>
      <c r="I4452" s="733"/>
      <c r="J4452" s="733"/>
      <c r="K4452" s="733"/>
      <c r="L4452" s="733"/>
      <c r="M4452" s="733"/>
    </row>
    <row r="4453" spans="1:13" ht="28.8" x14ac:dyDescent="0.3">
      <c r="A4453" s="733" t="s">
        <v>3706</v>
      </c>
      <c r="B4453" s="733" t="s">
        <v>664</v>
      </c>
      <c r="C4453" s="738" t="s">
        <v>4467</v>
      </c>
      <c r="D4453" s="733"/>
      <c r="E4453" s="761"/>
      <c r="F4453" s="761"/>
      <c r="G4453" s="733"/>
      <c r="H4453" s="733"/>
      <c r="I4453" s="733"/>
      <c r="J4453" s="733"/>
      <c r="K4453" s="733"/>
      <c r="L4453" s="733"/>
      <c r="M4453" s="733"/>
    </row>
    <row r="4454" spans="1:13" x14ac:dyDescent="0.3">
      <c r="A4454" s="733" t="s">
        <v>3706</v>
      </c>
      <c r="B4454" s="733" t="s">
        <v>664</v>
      </c>
      <c r="C4454" s="738" t="s">
        <v>4468</v>
      </c>
      <c r="D4454" s="733"/>
      <c r="E4454" s="761"/>
      <c r="F4454" s="761"/>
      <c r="G4454" s="733"/>
      <c r="H4454" s="733"/>
      <c r="I4454" s="733"/>
      <c r="J4454" s="733"/>
      <c r="K4454" s="733"/>
      <c r="L4454" s="733"/>
      <c r="M4454" s="733"/>
    </row>
    <row r="4455" spans="1:13" x14ac:dyDescent="0.3">
      <c r="A4455" s="733" t="s">
        <v>3706</v>
      </c>
      <c r="B4455" s="733" t="s">
        <v>664</v>
      </c>
      <c r="C4455" s="738" t="s">
        <v>4469</v>
      </c>
      <c r="D4455" s="733"/>
      <c r="E4455" s="761"/>
      <c r="F4455" s="761"/>
      <c r="G4455" s="733"/>
      <c r="H4455" s="733"/>
      <c r="I4455" s="733"/>
      <c r="J4455" s="733"/>
      <c r="K4455" s="733"/>
      <c r="L4455" s="733"/>
      <c r="M4455" s="733"/>
    </row>
    <row r="4456" spans="1:13" ht="28.8" x14ac:dyDescent="0.3">
      <c r="A4456" s="733" t="s">
        <v>3706</v>
      </c>
      <c r="B4456" s="733" t="s">
        <v>612</v>
      </c>
      <c r="C4456" s="738" t="s">
        <v>4470</v>
      </c>
      <c r="D4456" s="733"/>
      <c r="E4456" s="761"/>
      <c r="F4456" s="761"/>
      <c r="G4456" s="733"/>
      <c r="H4456" s="733"/>
      <c r="I4456" s="733"/>
      <c r="J4456" s="733"/>
      <c r="K4456" s="733"/>
      <c r="L4456" s="733"/>
      <c r="M4456" s="733"/>
    </row>
    <row r="4457" spans="1:13" x14ac:dyDescent="0.3">
      <c r="A4457" s="733" t="s">
        <v>3706</v>
      </c>
      <c r="B4457" s="733" t="s">
        <v>612</v>
      </c>
      <c r="C4457" s="738" t="s">
        <v>4471</v>
      </c>
      <c r="D4457" s="733"/>
      <c r="E4457" s="761"/>
      <c r="F4457" s="761"/>
      <c r="G4457" s="733"/>
      <c r="H4457" s="733"/>
      <c r="I4457" s="733"/>
      <c r="J4457" s="733"/>
      <c r="K4457" s="733"/>
      <c r="L4457" s="733"/>
      <c r="M4457" s="733"/>
    </row>
    <row r="4458" spans="1:13" x14ac:dyDescent="0.3">
      <c r="A4458" s="733" t="s">
        <v>3706</v>
      </c>
      <c r="B4458" s="733" t="s">
        <v>612</v>
      </c>
      <c r="C4458" s="738" t="s">
        <v>4472</v>
      </c>
      <c r="D4458" s="733"/>
      <c r="E4458" s="761"/>
      <c r="F4458" s="761"/>
      <c r="G4458" s="733"/>
      <c r="H4458" s="733"/>
      <c r="I4458" s="733"/>
      <c r="J4458" s="733"/>
      <c r="K4458" s="733"/>
      <c r="L4458" s="733"/>
      <c r="M4458" s="733"/>
    </row>
    <row r="4459" spans="1:13" ht="28.8" x14ac:dyDescent="0.3">
      <c r="A4459" s="733" t="s">
        <v>3706</v>
      </c>
      <c r="B4459" s="733" t="s">
        <v>612</v>
      </c>
      <c r="C4459" s="738" t="s">
        <v>4473</v>
      </c>
      <c r="D4459" s="733"/>
      <c r="E4459" s="761"/>
      <c r="F4459" s="761"/>
      <c r="G4459" s="733"/>
      <c r="H4459" s="733"/>
      <c r="I4459" s="733"/>
      <c r="J4459" s="733"/>
      <c r="K4459" s="733"/>
      <c r="L4459" s="733"/>
      <c r="M4459" s="733"/>
    </row>
    <row r="4460" spans="1:13" ht="28.8" x14ac:dyDescent="0.3">
      <c r="A4460" s="733" t="s">
        <v>3706</v>
      </c>
      <c r="B4460" s="733" t="s">
        <v>612</v>
      </c>
      <c r="C4460" s="738" t="s">
        <v>4474</v>
      </c>
      <c r="D4460" s="733"/>
      <c r="E4460" s="761"/>
      <c r="F4460" s="761"/>
      <c r="G4460" s="733"/>
      <c r="H4460" s="733"/>
      <c r="I4460" s="733"/>
      <c r="J4460" s="733"/>
      <c r="K4460" s="733"/>
      <c r="L4460" s="733"/>
      <c r="M4460" s="733"/>
    </row>
    <row r="4461" spans="1:13" x14ac:dyDescent="0.3">
      <c r="A4461" s="733" t="s">
        <v>2888</v>
      </c>
      <c r="B4461" s="733" t="s">
        <v>645</v>
      </c>
      <c r="C4461" s="738" t="s">
        <v>4475</v>
      </c>
      <c r="D4461" s="733"/>
      <c r="E4461" s="761"/>
      <c r="F4461" s="761"/>
      <c r="G4461" s="733"/>
      <c r="H4461" s="733"/>
      <c r="I4461" s="733"/>
      <c r="J4461" s="733"/>
      <c r="K4461" s="733"/>
      <c r="L4461" s="733"/>
      <c r="M4461" s="733"/>
    </row>
    <row r="4462" spans="1:13" ht="28.8" x14ac:dyDescent="0.3">
      <c r="A4462" s="733" t="s">
        <v>2888</v>
      </c>
      <c r="B4462" s="733" t="s">
        <v>645</v>
      </c>
      <c r="C4462" s="738" t="s">
        <v>4476</v>
      </c>
      <c r="D4462" s="733"/>
      <c r="E4462" s="761"/>
      <c r="F4462" s="761"/>
      <c r="G4462" s="733"/>
      <c r="H4462" s="733"/>
      <c r="I4462" s="733"/>
      <c r="J4462" s="733"/>
      <c r="K4462" s="733"/>
      <c r="L4462" s="733"/>
      <c r="M4462" s="733"/>
    </row>
    <row r="4463" spans="1:13" x14ac:dyDescent="0.3">
      <c r="A4463" s="733" t="s">
        <v>2888</v>
      </c>
      <c r="B4463" s="733" t="s">
        <v>645</v>
      </c>
      <c r="C4463" s="738" t="s">
        <v>4477</v>
      </c>
      <c r="D4463" s="733"/>
      <c r="E4463" s="761"/>
      <c r="F4463" s="761"/>
      <c r="G4463" s="733"/>
      <c r="H4463" s="733"/>
      <c r="I4463" s="733"/>
      <c r="J4463" s="733"/>
      <c r="K4463" s="733"/>
      <c r="L4463" s="733"/>
      <c r="M4463" s="733"/>
    </row>
    <row r="4464" spans="1:13" ht="28.8" x14ac:dyDescent="0.3">
      <c r="A4464" s="733" t="s">
        <v>2888</v>
      </c>
      <c r="B4464" s="733" t="s">
        <v>645</v>
      </c>
      <c r="C4464" s="738" t="s">
        <v>4478</v>
      </c>
      <c r="D4464" s="733"/>
      <c r="E4464" s="761"/>
      <c r="F4464" s="761"/>
      <c r="G4464" s="733"/>
      <c r="H4464" s="733"/>
      <c r="I4464" s="733"/>
      <c r="J4464" s="733"/>
      <c r="K4464" s="733"/>
      <c r="L4464" s="733"/>
      <c r="M4464" s="733"/>
    </row>
    <row r="4465" spans="1:13" x14ac:dyDescent="0.3">
      <c r="A4465" s="733" t="s">
        <v>2888</v>
      </c>
      <c r="B4465" s="733" t="s">
        <v>645</v>
      </c>
      <c r="C4465" s="738" t="s">
        <v>4479</v>
      </c>
      <c r="D4465" s="733"/>
      <c r="E4465" s="761"/>
      <c r="F4465" s="761"/>
      <c r="G4465" s="733"/>
      <c r="H4465" s="733"/>
      <c r="I4465" s="733"/>
      <c r="J4465" s="733"/>
      <c r="K4465" s="733"/>
      <c r="L4465" s="733"/>
      <c r="M4465" s="733"/>
    </row>
    <row r="4466" spans="1:13" x14ac:dyDescent="0.3">
      <c r="A4466" s="733" t="s">
        <v>2888</v>
      </c>
      <c r="B4466" s="733" t="s">
        <v>664</v>
      </c>
      <c r="C4466" s="738" t="s">
        <v>4480</v>
      </c>
      <c r="D4466" s="733"/>
      <c r="E4466" s="761"/>
      <c r="F4466" s="761"/>
      <c r="G4466" s="733"/>
      <c r="H4466" s="733"/>
      <c r="I4466" s="733"/>
      <c r="J4466" s="733"/>
      <c r="K4466" s="733"/>
      <c r="L4466" s="733"/>
      <c r="M4466" s="733"/>
    </row>
    <row r="4467" spans="1:13" x14ac:dyDescent="0.3">
      <c r="A4467" s="733" t="s">
        <v>2888</v>
      </c>
      <c r="B4467" s="733" t="s">
        <v>664</v>
      </c>
      <c r="C4467" s="738" t="s">
        <v>4481</v>
      </c>
      <c r="D4467" s="733"/>
      <c r="E4467" s="761"/>
      <c r="F4467" s="761"/>
      <c r="G4467" s="733"/>
      <c r="H4467" s="733"/>
      <c r="I4467" s="733"/>
      <c r="J4467" s="733"/>
      <c r="K4467" s="733"/>
      <c r="L4467" s="733"/>
      <c r="M4467" s="733"/>
    </row>
    <row r="4468" spans="1:13" x14ac:dyDescent="0.3">
      <c r="A4468" s="733" t="s">
        <v>2888</v>
      </c>
      <c r="B4468" s="733" t="s">
        <v>664</v>
      </c>
      <c r="C4468" s="738" t="s">
        <v>4482</v>
      </c>
      <c r="D4468" s="733"/>
      <c r="E4468" s="761"/>
      <c r="F4468" s="761"/>
      <c r="G4468" s="733"/>
      <c r="H4468" s="733"/>
      <c r="I4468" s="733"/>
      <c r="J4468" s="733"/>
      <c r="K4468" s="733"/>
      <c r="L4468" s="733"/>
      <c r="M4468" s="733"/>
    </row>
    <row r="4469" spans="1:13" x14ac:dyDescent="0.3">
      <c r="A4469" s="733" t="s">
        <v>2888</v>
      </c>
      <c r="B4469" s="733" t="s">
        <v>664</v>
      </c>
      <c r="C4469" s="738" t="s">
        <v>4483</v>
      </c>
      <c r="D4469" s="733"/>
      <c r="E4469" s="761"/>
      <c r="F4469" s="761"/>
      <c r="G4469" s="733"/>
      <c r="H4469" s="733"/>
      <c r="I4469" s="733"/>
      <c r="J4469" s="733"/>
      <c r="K4469" s="733"/>
      <c r="L4469" s="733"/>
      <c r="M4469" s="733"/>
    </row>
    <row r="4470" spans="1:13" x14ac:dyDescent="0.3">
      <c r="A4470" s="733" t="s">
        <v>2888</v>
      </c>
      <c r="B4470" s="733" t="s">
        <v>664</v>
      </c>
      <c r="C4470" s="738" t="s">
        <v>4484</v>
      </c>
      <c r="D4470" s="733"/>
      <c r="E4470" s="761"/>
      <c r="F4470" s="761"/>
      <c r="G4470" s="733"/>
      <c r="H4470" s="733"/>
      <c r="I4470" s="733"/>
      <c r="J4470" s="733"/>
      <c r="K4470" s="733"/>
      <c r="L4470" s="733"/>
      <c r="M4470" s="733"/>
    </row>
    <row r="4471" spans="1:13" x14ac:dyDescent="0.3">
      <c r="A4471" s="733" t="s">
        <v>2888</v>
      </c>
      <c r="B4471" s="733" t="s">
        <v>612</v>
      </c>
      <c r="C4471" s="738" t="s">
        <v>4485</v>
      </c>
      <c r="D4471" s="733"/>
      <c r="E4471" s="761"/>
      <c r="F4471" s="761"/>
      <c r="G4471" s="733"/>
      <c r="H4471" s="733"/>
      <c r="I4471" s="733"/>
      <c r="J4471" s="733"/>
      <c r="K4471" s="733"/>
      <c r="L4471" s="733"/>
      <c r="M4471" s="733"/>
    </row>
    <row r="4472" spans="1:13" x14ac:dyDescent="0.3">
      <c r="A4472" s="733" t="s">
        <v>2888</v>
      </c>
      <c r="B4472" s="733" t="s">
        <v>612</v>
      </c>
      <c r="C4472" s="738" t="s">
        <v>4486</v>
      </c>
      <c r="D4472" s="733"/>
      <c r="E4472" s="761"/>
      <c r="F4472" s="761"/>
      <c r="G4472" s="733"/>
      <c r="H4472" s="733"/>
      <c r="I4472" s="733"/>
      <c r="J4472" s="733"/>
      <c r="K4472" s="733"/>
      <c r="L4472" s="733"/>
      <c r="M4472" s="733"/>
    </row>
    <row r="4473" spans="1:13" x14ac:dyDescent="0.3">
      <c r="A4473" s="733" t="s">
        <v>2888</v>
      </c>
      <c r="B4473" s="733" t="s">
        <v>612</v>
      </c>
      <c r="C4473" s="738" t="s">
        <v>4487</v>
      </c>
      <c r="D4473" s="733"/>
      <c r="E4473" s="761"/>
      <c r="F4473" s="761"/>
      <c r="G4473" s="733"/>
      <c r="H4473" s="733"/>
      <c r="I4473" s="733"/>
      <c r="J4473" s="733"/>
      <c r="K4473" s="733"/>
      <c r="L4473" s="733"/>
      <c r="M4473" s="733"/>
    </row>
    <row r="4474" spans="1:13" x14ac:dyDescent="0.3">
      <c r="A4474" s="733" t="s">
        <v>2888</v>
      </c>
      <c r="B4474" s="733" t="s">
        <v>612</v>
      </c>
      <c r="C4474" s="738" t="s">
        <v>4488</v>
      </c>
      <c r="D4474" s="733"/>
      <c r="E4474" s="761"/>
      <c r="F4474" s="761"/>
      <c r="G4474" s="733"/>
      <c r="H4474" s="733"/>
      <c r="I4474" s="733"/>
      <c r="J4474" s="733"/>
      <c r="K4474" s="733"/>
      <c r="L4474" s="733"/>
      <c r="M4474" s="733"/>
    </row>
    <row r="4475" spans="1:13" ht="28.8" x14ac:dyDescent="0.3">
      <c r="A4475" s="733" t="s">
        <v>2888</v>
      </c>
      <c r="B4475" s="733" t="s">
        <v>612</v>
      </c>
      <c r="C4475" s="738" t="s">
        <v>4489</v>
      </c>
      <c r="D4475" s="733"/>
      <c r="E4475" s="761"/>
      <c r="F4475" s="761"/>
      <c r="G4475" s="733"/>
      <c r="H4475" s="733"/>
      <c r="I4475" s="733"/>
      <c r="J4475" s="733"/>
      <c r="K4475" s="733"/>
      <c r="L4475" s="733"/>
      <c r="M4475" s="733"/>
    </row>
    <row r="4476" spans="1:13" x14ac:dyDescent="0.3">
      <c r="A4476" s="733" t="s">
        <v>3767</v>
      </c>
      <c r="B4476" s="733" t="s">
        <v>645</v>
      </c>
      <c r="C4476" s="738" t="s">
        <v>4490</v>
      </c>
      <c r="D4476" s="733"/>
      <c r="E4476" s="761"/>
      <c r="F4476" s="761"/>
      <c r="G4476" s="733"/>
      <c r="H4476" s="733"/>
      <c r="I4476" s="733"/>
      <c r="J4476" s="733"/>
      <c r="K4476" s="733"/>
      <c r="L4476" s="733"/>
      <c r="M4476" s="733"/>
    </row>
    <row r="4477" spans="1:13" x14ac:dyDescent="0.3">
      <c r="A4477" s="733" t="s">
        <v>3767</v>
      </c>
      <c r="B4477" s="733" t="s">
        <v>645</v>
      </c>
      <c r="C4477" s="738" t="s">
        <v>4491</v>
      </c>
      <c r="D4477" s="733"/>
      <c r="E4477" s="761"/>
      <c r="F4477" s="761"/>
      <c r="G4477" s="733"/>
      <c r="H4477" s="733"/>
      <c r="I4477" s="733"/>
      <c r="J4477" s="733"/>
      <c r="K4477" s="733"/>
      <c r="L4477" s="733"/>
      <c r="M4477" s="733"/>
    </row>
    <row r="4478" spans="1:13" x14ac:dyDescent="0.3">
      <c r="A4478" s="733" t="s">
        <v>3767</v>
      </c>
      <c r="B4478" s="733" t="s">
        <v>645</v>
      </c>
      <c r="C4478" s="738" t="s">
        <v>4492</v>
      </c>
      <c r="D4478" s="733"/>
      <c r="E4478" s="761"/>
      <c r="F4478" s="761"/>
      <c r="G4478" s="733"/>
      <c r="H4478" s="733"/>
      <c r="I4478" s="733"/>
      <c r="J4478" s="733"/>
      <c r="K4478" s="733"/>
      <c r="L4478" s="733"/>
      <c r="M4478" s="733"/>
    </row>
    <row r="4479" spans="1:13" x14ac:dyDescent="0.3">
      <c r="A4479" s="733" t="s">
        <v>3767</v>
      </c>
      <c r="B4479" s="733" t="s">
        <v>645</v>
      </c>
      <c r="C4479" s="738" t="s">
        <v>4493</v>
      </c>
      <c r="D4479" s="733"/>
      <c r="E4479" s="761"/>
      <c r="F4479" s="761"/>
      <c r="G4479" s="733"/>
      <c r="H4479" s="733"/>
      <c r="I4479" s="733"/>
      <c r="J4479" s="733"/>
      <c r="K4479" s="733"/>
      <c r="L4479" s="733"/>
      <c r="M4479" s="733"/>
    </row>
    <row r="4480" spans="1:13" x14ac:dyDescent="0.3">
      <c r="A4480" s="733" t="s">
        <v>3767</v>
      </c>
      <c r="B4480" s="733" t="s">
        <v>645</v>
      </c>
      <c r="C4480" s="738" t="s">
        <v>4494</v>
      </c>
      <c r="D4480" s="733"/>
      <c r="E4480" s="761"/>
      <c r="F4480" s="761"/>
      <c r="G4480" s="733"/>
      <c r="H4480" s="733"/>
      <c r="I4480" s="733"/>
      <c r="J4480" s="733"/>
      <c r="K4480" s="733"/>
      <c r="L4480" s="733"/>
      <c r="M4480" s="733"/>
    </row>
    <row r="4481" spans="1:13" x14ac:dyDescent="0.3">
      <c r="A4481" s="733" t="s">
        <v>3767</v>
      </c>
      <c r="B4481" s="733" t="s">
        <v>664</v>
      </c>
      <c r="C4481" s="738" t="s">
        <v>4495</v>
      </c>
      <c r="D4481" s="733"/>
      <c r="E4481" s="761"/>
      <c r="F4481" s="761"/>
      <c r="G4481" s="733"/>
      <c r="H4481" s="733"/>
      <c r="I4481" s="733"/>
      <c r="J4481" s="733"/>
      <c r="K4481" s="733"/>
      <c r="L4481" s="733"/>
      <c r="M4481" s="733"/>
    </row>
    <row r="4482" spans="1:13" x14ac:dyDescent="0.3">
      <c r="A4482" s="733" t="s">
        <v>3767</v>
      </c>
      <c r="B4482" s="733" t="s">
        <v>664</v>
      </c>
      <c r="C4482" s="738" t="s">
        <v>4496</v>
      </c>
      <c r="D4482" s="733"/>
      <c r="E4482" s="761"/>
      <c r="F4482" s="761"/>
      <c r="G4482" s="733"/>
      <c r="H4482" s="733"/>
      <c r="I4482" s="733"/>
      <c r="J4482" s="733"/>
      <c r="K4482" s="733"/>
      <c r="L4482" s="733"/>
      <c r="M4482" s="733"/>
    </row>
    <row r="4483" spans="1:13" x14ac:dyDescent="0.3">
      <c r="A4483" s="733" t="s">
        <v>3767</v>
      </c>
      <c r="B4483" s="733" t="s">
        <v>664</v>
      </c>
      <c r="C4483" s="738" t="s">
        <v>4497</v>
      </c>
      <c r="D4483" s="733"/>
      <c r="E4483" s="761"/>
      <c r="F4483" s="761"/>
      <c r="G4483" s="733"/>
      <c r="H4483" s="733"/>
      <c r="I4483" s="733"/>
      <c r="J4483" s="733"/>
      <c r="K4483" s="733"/>
      <c r="L4483" s="733"/>
      <c r="M4483" s="733"/>
    </row>
    <row r="4484" spans="1:13" x14ac:dyDescent="0.3">
      <c r="A4484" s="733" t="s">
        <v>3767</v>
      </c>
      <c r="B4484" s="733" t="s">
        <v>664</v>
      </c>
      <c r="C4484" s="738" t="s">
        <v>4498</v>
      </c>
      <c r="D4484" s="733"/>
      <c r="E4484" s="761"/>
      <c r="F4484" s="761"/>
      <c r="G4484" s="733"/>
      <c r="H4484" s="733"/>
      <c r="I4484" s="733"/>
      <c r="J4484" s="733"/>
      <c r="K4484" s="733"/>
      <c r="L4484" s="733"/>
      <c r="M4484" s="733"/>
    </row>
    <row r="4485" spans="1:13" x14ac:dyDescent="0.3">
      <c r="A4485" s="733" t="s">
        <v>3767</v>
      </c>
      <c r="B4485" s="733" t="s">
        <v>664</v>
      </c>
      <c r="C4485" s="738" t="s">
        <v>4499</v>
      </c>
      <c r="D4485" s="733"/>
      <c r="E4485" s="761"/>
      <c r="F4485" s="761"/>
      <c r="G4485" s="733"/>
      <c r="H4485" s="733"/>
      <c r="I4485" s="733"/>
      <c r="J4485" s="733"/>
      <c r="K4485" s="733"/>
      <c r="L4485" s="733"/>
      <c r="M4485" s="733"/>
    </row>
    <row r="4486" spans="1:13" x14ac:dyDescent="0.3">
      <c r="A4486" s="733" t="s">
        <v>3767</v>
      </c>
      <c r="B4486" s="733" t="s">
        <v>612</v>
      </c>
      <c r="C4486" s="738" t="s">
        <v>4500</v>
      </c>
      <c r="D4486" s="733"/>
      <c r="E4486" s="761"/>
      <c r="F4486" s="761"/>
      <c r="G4486" s="733"/>
      <c r="H4486" s="733"/>
      <c r="I4486" s="733"/>
      <c r="J4486" s="733"/>
      <c r="K4486" s="733"/>
      <c r="L4486" s="733"/>
      <c r="M4486" s="733"/>
    </row>
    <row r="4487" spans="1:13" ht="28.8" x14ac:dyDescent="0.3">
      <c r="A4487" s="733" t="s">
        <v>3767</v>
      </c>
      <c r="B4487" s="733" t="s">
        <v>612</v>
      </c>
      <c r="C4487" s="738" t="s">
        <v>4501</v>
      </c>
      <c r="D4487" s="733"/>
      <c r="E4487" s="761"/>
      <c r="F4487" s="761"/>
      <c r="G4487" s="733"/>
      <c r="H4487" s="733"/>
      <c r="I4487" s="733"/>
      <c r="J4487" s="733"/>
      <c r="K4487" s="733"/>
      <c r="L4487" s="733"/>
      <c r="M4487" s="733"/>
    </row>
    <row r="4488" spans="1:13" x14ac:dyDescent="0.3">
      <c r="A4488" s="733" t="s">
        <v>3767</v>
      </c>
      <c r="B4488" s="733" t="s">
        <v>612</v>
      </c>
      <c r="C4488" s="738" t="s">
        <v>4502</v>
      </c>
      <c r="D4488" s="733"/>
      <c r="E4488" s="761"/>
      <c r="F4488" s="761"/>
      <c r="G4488" s="733"/>
      <c r="H4488" s="733"/>
      <c r="I4488" s="733"/>
      <c r="J4488" s="733"/>
      <c r="K4488" s="733"/>
      <c r="L4488" s="733"/>
      <c r="M4488" s="733"/>
    </row>
    <row r="4489" spans="1:13" x14ac:dyDescent="0.3">
      <c r="A4489" s="733" t="s">
        <v>3767</v>
      </c>
      <c r="B4489" s="733" t="s">
        <v>612</v>
      </c>
      <c r="C4489" s="738" t="s">
        <v>4503</v>
      </c>
      <c r="D4489" s="733"/>
      <c r="E4489" s="761"/>
      <c r="F4489" s="761"/>
      <c r="G4489" s="733"/>
      <c r="H4489" s="733"/>
      <c r="I4489" s="733"/>
      <c r="J4489" s="733"/>
      <c r="K4489" s="733"/>
      <c r="L4489" s="733"/>
      <c r="M4489" s="733"/>
    </row>
    <row r="4490" spans="1:13" x14ac:dyDescent="0.3">
      <c r="A4490" s="733" t="s">
        <v>3767</v>
      </c>
      <c r="B4490" s="733" t="s">
        <v>612</v>
      </c>
      <c r="C4490" s="738" t="s">
        <v>4504</v>
      </c>
      <c r="D4490" s="733"/>
      <c r="E4490" s="761"/>
      <c r="F4490" s="761"/>
      <c r="G4490" s="733"/>
      <c r="H4490" s="733"/>
      <c r="I4490" s="733"/>
      <c r="J4490" s="733"/>
      <c r="K4490" s="733"/>
      <c r="L4490" s="733"/>
      <c r="M4490" s="733"/>
    </row>
    <row r="4491" spans="1:13" x14ac:dyDescent="0.3">
      <c r="A4491" s="733" t="s">
        <v>3767</v>
      </c>
      <c r="B4491" s="733" t="s">
        <v>645</v>
      </c>
      <c r="C4491" s="738" t="s">
        <v>4505</v>
      </c>
      <c r="D4491" s="733"/>
      <c r="E4491" s="761"/>
      <c r="F4491" s="761"/>
      <c r="G4491" s="733"/>
      <c r="H4491" s="733"/>
      <c r="I4491" s="733"/>
      <c r="J4491" s="733"/>
      <c r="K4491" s="733"/>
      <c r="L4491" s="733"/>
      <c r="M4491" s="733"/>
    </row>
    <row r="4492" spans="1:13" x14ac:dyDescent="0.3">
      <c r="A4492" s="733" t="s">
        <v>3767</v>
      </c>
      <c r="B4492" s="733" t="s">
        <v>645</v>
      </c>
      <c r="C4492" s="738" t="s">
        <v>4506</v>
      </c>
      <c r="D4492" s="733"/>
      <c r="E4492" s="761"/>
      <c r="F4492" s="761"/>
      <c r="G4492" s="733"/>
      <c r="H4492" s="733"/>
      <c r="I4492" s="733"/>
      <c r="J4492" s="733"/>
      <c r="K4492" s="733"/>
      <c r="L4492" s="733"/>
      <c r="M4492" s="733"/>
    </row>
    <row r="4493" spans="1:13" x14ac:dyDescent="0.3">
      <c r="A4493" s="733" t="s">
        <v>3767</v>
      </c>
      <c r="B4493" s="733" t="s">
        <v>645</v>
      </c>
      <c r="C4493" s="738" t="s">
        <v>4507</v>
      </c>
      <c r="D4493" s="733"/>
      <c r="E4493" s="761"/>
      <c r="F4493" s="761"/>
      <c r="G4493" s="733"/>
      <c r="H4493" s="733"/>
      <c r="I4493" s="733"/>
      <c r="J4493" s="733"/>
      <c r="K4493" s="733"/>
      <c r="L4493" s="733"/>
      <c r="M4493" s="733"/>
    </row>
    <row r="4494" spans="1:13" x14ac:dyDescent="0.3">
      <c r="A4494" s="733" t="s">
        <v>3767</v>
      </c>
      <c r="B4494" s="733" t="s">
        <v>645</v>
      </c>
      <c r="C4494" s="738" t="s">
        <v>4508</v>
      </c>
      <c r="D4494" s="733"/>
      <c r="E4494" s="761"/>
      <c r="F4494" s="761"/>
      <c r="G4494" s="733"/>
      <c r="H4494" s="733"/>
      <c r="I4494" s="733"/>
      <c r="J4494" s="733"/>
      <c r="K4494" s="733"/>
      <c r="L4494" s="733"/>
      <c r="M4494" s="733"/>
    </row>
    <row r="4495" spans="1:13" x14ac:dyDescent="0.3">
      <c r="A4495" s="733" t="s">
        <v>3767</v>
      </c>
      <c r="B4495" s="733" t="s">
        <v>645</v>
      </c>
      <c r="C4495" s="738" t="s">
        <v>4509</v>
      </c>
      <c r="D4495" s="733"/>
      <c r="E4495" s="761"/>
      <c r="F4495" s="761"/>
      <c r="G4495" s="733"/>
      <c r="H4495" s="733"/>
      <c r="I4495" s="733"/>
      <c r="J4495" s="733"/>
      <c r="K4495" s="733"/>
      <c r="L4495" s="733"/>
      <c r="M4495" s="733"/>
    </row>
    <row r="4496" spans="1:13" x14ac:dyDescent="0.3">
      <c r="A4496" s="733" t="s">
        <v>3767</v>
      </c>
      <c r="B4496" s="733" t="s">
        <v>664</v>
      </c>
      <c r="C4496" s="738" t="s">
        <v>4510</v>
      </c>
      <c r="D4496" s="733"/>
      <c r="E4496" s="761"/>
      <c r="F4496" s="761"/>
      <c r="G4496" s="733"/>
      <c r="H4496" s="733"/>
      <c r="I4496" s="733"/>
      <c r="J4496" s="733"/>
      <c r="K4496" s="733"/>
      <c r="L4496" s="733"/>
      <c r="M4496" s="733"/>
    </row>
    <row r="4497" spans="1:13" x14ac:dyDescent="0.3">
      <c r="A4497" s="733" t="s">
        <v>3767</v>
      </c>
      <c r="B4497" s="733" t="s">
        <v>664</v>
      </c>
      <c r="C4497" s="738" t="s">
        <v>4511</v>
      </c>
      <c r="D4497" s="733"/>
      <c r="E4497" s="761"/>
      <c r="F4497" s="761"/>
      <c r="G4497" s="733"/>
      <c r="H4497" s="733"/>
      <c r="I4497" s="733"/>
      <c r="J4497" s="733"/>
      <c r="K4497" s="733"/>
      <c r="L4497" s="733"/>
      <c r="M4497" s="733"/>
    </row>
    <row r="4498" spans="1:13" x14ac:dyDescent="0.3">
      <c r="A4498" s="733" t="s">
        <v>3767</v>
      </c>
      <c r="B4498" s="733" t="s">
        <v>664</v>
      </c>
      <c r="C4498" s="738" t="s">
        <v>4512</v>
      </c>
      <c r="D4498" s="733"/>
      <c r="E4498" s="761"/>
      <c r="F4498" s="761"/>
      <c r="G4498" s="733"/>
      <c r="H4498" s="733"/>
      <c r="I4498" s="733"/>
      <c r="J4498" s="733"/>
      <c r="K4498" s="733"/>
      <c r="L4498" s="733"/>
      <c r="M4498" s="733"/>
    </row>
    <row r="4499" spans="1:13" ht="28.8" x14ac:dyDescent="0.3">
      <c r="A4499" s="733" t="s">
        <v>3767</v>
      </c>
      <c r="B4499" s="733" t="s">
        <v>664</v>
      </c>
      <c r="C4499" s="738" t="s">
        <v>4513</v>
      </c>
      <c r="D4499" s="733"/>
      <c r="E4499" s="761"/>
      <c r="F4499" s="761"/>
      <c r="G4499" s="733"/>
      <c r="H4499" s="733"/>
      <c r="I4499" s="733"/>
      <c r="J4499" s="733"/>
      <c r="K4499" s="733"/>
      <c r="L4499" s="733"/>
      <c r="M4499" s="733"/>
    </row>
    <row r="4500" spans="1:13" x14ac:dyDescent="0.3">
      <c r="A4500" s="733" t="s">
        <v>3767</v>
      </c>
      <c r="B4500" s="733" t="s">
        <v>664</v>
      </c>
      <c r="C4500" s="738" t="s">
        <v>4514</v>
      </c>
      <c r="D4500" s="733"/>
      <c r="E4500" s="761"/>
      <c r="F4500" s="761"/>
      <c r="G4500" s="733"/>
      <c r="H4500" s="733"/>
      <c r="I4500" s="733"/>
      <c r="J4500" s="733"/>
      <c r="K4500" s="733"/>
      <c r="L4500" s="733"/>
      <c r="M4500" s="733"/>
    </row>
    <row r="4501" spans="1:13" x14ac:dyDescent="0.3">
      <c r="A4501" s="733" t="s">
        <v>3767</v>
      </c>
      <c r="B4501" s="733" t="s">
        <v>612</v>
      </c>
      <c r="C4501" s="738" t="s">
        <v>4515</v>
      </c>
      <c r="D4501" s="733"/>
      <c r="E4501" s="761"/>
      <c r="F4501" s="761"/>
      <c r="G4501" s="733"/>
      <c r="H4501" s="733"/>
      <c r="I4501" s="733"/>
      <c r="J4501" s="733"/>
      <c r="K4501" s="733"/>
      <c r="L4501" s="733"/>
      <c r="M4501" s="733"/>
    </row>
    <row r="4502" spans="1:13" x14ac:dyDescent="0.3">
      <c r="A4502" s="733" t="s">
        <v>3767</v>
      </c>
      <c r="B4502" s="733" t="s">
        <v>612</v>
      </c>
      <c r="C4502" s="738" t="s">
        <v>4516</v>
      </c>
      <c r="D4502" s="733"/>
      <c r="E4502" s="761"/>
      <c r="F4502" s="761"/>
      <c r="G4502" s="733"/>
      <c r="H4502" s="733"/>
      <c r="I4502" s="733"/>
      <c r="J4502" s="733"/>
      <c r="K4502" s="733"/>
      <c r="L4502" s="733"/>
      <c r="M4502" s="733"/>
    </row>
    <row r="4503" spans="1:13" ht="28.8" x14ac:dyDescent="0.3">
      <c r="A4503" s="733" t="s">
        <v>3767</v>
      </c>
      <c r="B4503" s="733" t="s">
        <v>612</v>
      </c>
      <c r="C4503" s="738" t="s">
        <v>4517</v>
      </c>
      <c r="D4503" s="733"/>
      <c r="E4503" s="761"/>
      <c r="F4503" s="761"/>
      <c r="G4503" s="733"/>
      <c r="H4503" s="733"/>
      <c r="I4503" s="733"/>
      <c r="J4503" s="733"/>
      <c r="K4503" s="733"/>
      <c r="L4503" s="733"/>
      <c r="M4503" s="733"/>
    </row>
    <row r="4504" spans="1:13" x14ac:dyDescent="0.3">
      <c r="A4504" s="733" t="s">
        <v>3767</v>
      </c>
      <c r="B4504" s="733" t="s">
        <v>612</v>
      </c>
      <c r="C4504" s="738" t="s">
        <v>4518</v>
      </c>
      <c r="D4504" s="733"/>
      <c r="E4504" s="761"/>
      <c r="F4504" s="761"/>
      <c r="G4504" s="733"/>
      <c r="H4504" s="733"/>
      <c r="I4504" s="733"/>
      <c r="J4504" s="733"/>
      <c r="K4504" s="733"/>
      <c r="L4504" s="733"/>
      <c r="M4504" s="733"/>
    </row>
    <row r="4505" spans="1:13" ht="28.8" x14ac:dyDescent="0.3">
      <c r="A4505" s="733" t="s">
        <v>3767</v>
      </c>
      <c r="B4505" s="733" t="s">
        <v>612</v>
      </c>
      <c r="C4505" s="738" t="s">
        <v>4519</v>
      </c>
      <c r="D4505" s="733"/>
      <c r="E4505" s="761"/>
      <c r="F4505" s="761"/>
      <c r="G4505" s="733"/>
      <c r="H4505" s="733"/>
      <c r="I4505" s="733"/>
      <c r="J4505" s="733"/>
      <c r="K4505" s="733"/>
      <c r="L4505" s="733"/>
      <c r="M4505" s="733"/>
    </row>
    <row r="4506" spans="1:13" x14ac:dyDescent="0.3">
      <c r="A4506" s="733" t="s">
        <v>3798</v>
      </c>
      <c r="B4506" s="733" t="s">
        <v>645</v>
      </c>
      <c r="C4506" s="738" t="s">
        <v>4520</v>
      </c>
      <c r="D4506" s="733"/>
      <c r="E4506" s="761"/>
      <c r="F4506" s="761"/>
      <c r="G4506" s="733"/>
      <c r="H4506" s="733"/>
      <c r="I4506" s="733"/>
      <c r="J4506" s="733"/>
      <c r="K4506" s="733"/>
      <c r="L4506" s="733"/>
      <c r="M4506" s="733"/>
    </row>
    <row r="4507" spans="1:13" x14ac:dyDescent="0.3">
      <c r="A4507" s="733" t="s">
        <v>3798</v>
      </c>
      <c r="B4507" s="733" t="s">
        <v>645</v>
      </c>
      <c r="C4507" s="738" t="s">
        <v>4521</v>
      </c>
      <c r="D4507" s="733"/>
      <c r="E4507" s="761"/>
      <c r="F4507" s="761"/>
      <c r="G4507" s="733"/>
      <c r="H4507" s="733"/>
      <c r="I4507" s="733"/>
      <c r="J4507" s="733"/>
      <c r="K4507" s="733"/>
      <c r="L4507" s="733"/>
      <c r="M4507" s="733"/>
    </row>
    <row r="4508" spans="1:13" x14ac:dyDescent="0.3">
      <c r="A4508" s="733" t="s">
        <v>3798</v>
      </c>
      <c r="B4508" s="733" t="s">
        <v>645</v>
      </c>
      <c r="C4508" s="738" t="s">
        <v>4522</v>
      </c>
      <c r="D4508" s="733"/>
      <c r="E4508" s="761"/>
      <c r="F4508" s="761"/>
      <c r="G4508" s="733"/>
      <c r="H4508" s="733"/>
      <c r="I4508" s="733"/>
      <c r="J4508" s="733"/>
      <c r="K4508" s="733"/>
      <c r="L4508" s="733"/>
      <c r="M4508" s="733"/>
    </row>
    <row r="4509" spans="1:13" x14ac:dyDescent="0.3">
      <c r="A4509" s="733" t="s">
        <v>3798</v>
      </c>
      <c r="B4509" s="733" t="s">
        <v>645</v>
      </c>
      <c r="C4509" s="738" t="s">
        <v>4523</v>
      </c>
      <c r="D4509" s="733"/>
      <c r="E4509" s="761"/>
      <c r="F4509" s="761"/>
      <c r="G4509" s="733"/>
      <c r="H4509" s="733"/>
      <c r="I4509" s="733"/>
      <c r="J4509" s="733"/>
      <c r="K4509" s="733"/>
      <c r="L4509" s="733"/>
      <c r="M4509" s="733"/>
    </row>
    <row r="4510" spans="1:13" x14ac:dyDescent="0.3">
      <c r="A4510" s="733" t="s">
        <v>3798</v>
      </c>
      <c r="B4510" s="733" t="s">
        <v>645</v>
      </c>
      <c r="C4510" s="738" t="s">
        <v>4524</v>
      </c>
      <c r="D4510" s="733"/>
      <c r="E4510" s="761"/>
      <c r="F4510" s="761"/>
      <c r="G4510" s="733"/>
      <c r="H4510" s="733"/>
      <c r="I4510" s="733"/>
      <c r="J4510" s="733"/>
      <c r="K4510" s="733"/>
      <c r="L4510" s="733"/>
      <c r="M4510" s="733"/>
    </row>
    <row r="4511" spans="1:13" x14ac:dyDescent="0.3">
      <c r="A4511" s="733" t="s">
        <v>3798</v>
      </c>
      <c r="B4511" s="733" t="s">
        <v>664</v>
      </c>
      <c r="C4511" s="738" t="s">
        <v>4525</v>
      </c>
      <c r="D4511" s="733"/>
      <c r="E4511" s="761"/>
      <c r="F4511" s="761"/>
      <c r="G4511" s="733"/>
      <c r="H4511" s="733"/>
      <c r="I4511" s="733"/>
      <c r="J4511" s="733"/>
      <c r="K4511" s="733"/>
      <c r="L4511" s="733"/>
      <c r="M4511" s="733"/>
    </row>
    <row r="4512" spans="1:13" x14ac:dyDescent="0.3">
      <c r="A4512" s="733" t="s">
        <v>3798</v>
      </c>
      <c r="B4512" s="733" t="s">
        <v>664</v>
      </c>
      <c r="C4512" s="738" t="s">
        <v>4526</v>
      </c>
      <c r="D4512" s="733"/>
      <c r="E4512" s="761"/>
      <c r="F4512" s="761"/>
      <c r="G4512" s="733"/>
      <c r="H4512" s="733"/>
      <c r="I4512" s="733"/>
      <c r="J4512" s="733"/>
      <c r="K4512" s="733"/>
      <c r="L4512" s="733"/>
      <c r="M4512" s="733"/>
    </row>
    <row r="4513" spans="1:13" ht="28.8" x14ac:dyDescent="0.3">
      <c r="A4513" s="733" t="s">
        <v>3798</v>
      </c>
      <c r="B4513" s="733" t="s">
        <v>664</v>
      </c>
      <c r="C4513" s="738" t="s">
        <v>4527</v>
      </c>
      <c r="D4513" s="733"/>
      <c r="E4513" s="761"/>
      <c r="F4513" s="761"/>
      <c r="G4513" s="733"/>
      <c r="H4513" s="733"/>
      <c r="I4513" s="733"/>
      <c r="J4513" s="733"/>
      <c r="K4513" s="733"/>
      <c r="L4513" s="733"/>
      <c r="M4513" s="733"/>
    </row>
    <row r="4514" spans="1:13" x14ac:dyDescent="0.3">
      <c r="A4514" s="733" t="s">
        <v>3798</v>
      </c>
      <c r="B4514" s="733" t="s">
        <v>664</v>
      </c>
      <c r="C4514" s="738" t="s">
        <v>4528</v>
      </c>
      <c r="D4514" s="733"/>
      <c r="E4514" s="761"/>
      <c r="F4514" s="761"/>
      <c r="G4514" s="733"/>
      <c r="H4514" s="733"/>
      <c r="I4514" s="733"/>
      <c r="J4514" s="733"/>
      <c r="K4514" s="733"/>
      <c r="L4514" s="733"/>
      <c r="M4514" s="733"/>
    </row>
    <row r="4515" spans="1:13" x14ac:dyDescent="0.3">
      <c r="A4515" s="733" t="s">
        <v>3798</v>
      </c>
      <c r="B4515" s="733" t="s">
        <v>664</v>
      </c>
      <c r="C4515" s="738" t="s">
        <v>4529</v>
      </c>
      <c r="D4515" s="733"/>
      <c r="E4515" s="761"/>
      <c r="F4515" s="761"/>
      <c r="G4515" s="733"/>
      <c r="H4515" s="733"/>
      <c r="I4515" s="733"/>
      <c r="J4515" s="733"/>
      <c r="K4515" s="733"/>
      <c r="L4515" s="733"/>
      <c r="M4515" s="733"/>
    </row>
    <row r="4516" spans="1:13" x14ac:dyDescent="0.3">
      <c r="A4516" s="733" t="s">
        <v>3798</v>
      </c>
      <c r="B4516" s="733" t="s">
        <v>612</v>
      </c>
      <c r="C4516" s="738" t="s">
        <v>4530</v>
      </c>
      <c r="D4516" s="733"/>
      <c r="E4516" s="761"/>
      <c r="F4516" s="761"/>
      <c r="G4516" s="733"/>
      <c r="H4516" s="733"/>
      <c r="I4516" s="733"/>
      <c r="J4516" s="733"/>
      <c r="K4516" s="733"/>
      <c r="L4516" s="733"/>
      <c r="M4516" s="733"/>
    </row>
    <row r="4517" spans="1:13" ht="28.8" x14ac:dyDescent="0.3">
      <c r="A4517" s="733" t="s">
        <v>3798</v>
      </c>
      <c r="B4517" s="733" t="s">
        <v>612</v>
      </c>
      <c r="C4517" s="738" t="s">
        <v>4531</v>
      </c>
      <c r="D4517" s="733"/>
      <c r="E4517" s="761"/>
      <c r="F4517" s="761"/>
      <c r="G4517" s="733"/>
      <c r="H4517" s="733"/>
      <c r="I4517" s="733"/>
      <c r="J4517" s="733"/>
      <c r="K4517" s="733"/>
      <c r="L4517" s="733"/>
      <c r="M4517" s="733"/>
    </row>
    <row r="4518" spans="1:13" x14ac:dyDescent="0.3">
      <c r="A4518" s="733" t="s">
        <v>3798</v>
      </c>
      <c r="B4518" s="733" t="s">
        <v>612</v>
      </c>
      <c r="C4518" s="738" t="s">
        <v>4532</v>
      </c>
      <c r="D4518" s="733"/>
      <c r="E4518" s="761"/>
      <c r="F4518" s="761"/>
      <c r="G4518" s="733"/>
      <c r="H4518" s="733"/>
      <c r="I4518" s="733"/>
      <c r="J4518" s="733"/>
      <c r="K4518" s="733"/>
      <c r="L4518" s="733"/>
      <c r="M4518" s="733"/>
    </row>
    <row r="4519" spans="1:13" x14ac:dyDescent="0.3">
      <c r="A4519" s="733" t="s">
        <v>3798</v>
      </c>
      <c r="B4519" s="733" t="s">
        <v>612</v>
      </c>
      <c r="C4519" s="738" t="s">
        <v>4533</v>
      </c>
      <c r="D4519" s="733"/>
      <c r="E4519" s="761"/>
      <c r="F4519" s="761"/>
      <c r="G4519" s="733"/>
      <c r="H4519" s="733"/>
      <c r="I4519" s="733"/>
      <c r="J4519" s="733"/>
      <c r="K4519" s="733"/>
      <c r="L4519" s="733"/>
      <c r="M4519" s="733"/>
    </row>
    <row r="4520" spans="1:13" x14ac:dyDescent="0.3">
      <c r="A4520" s="733" t="s">
        <v>3798</v>
      </c>
      <c r="B4520" s="733" t="s">
        <v>612</v>
      </c>
      <c r="C4520" s="738" t="s">
        <v>4534</v>
      </c>
      <c r="D4520" s="733"/>
      <c r="E4520" s="761"/>
      <c r="F4520" s="761"/>
      <c r="G4520" s="733"/>
      <c r="H4520" s="733"/>
      <c r="I4520" s="733"/>
      <c r="J4520" s="733"/>
      <c r="K4520" s="733"/>
      <c r="L4520" s="733"/>
      <c r="M4520" s="733"/>
    </row>
    <row r="4521" spans="1:13" x14ac:dyDescent="0.3">
      <c r="A4521" s="733" t="s">
        <v>3798</v>
      </c>
      <c r="B4521" s="733" t="s">
        <v>645</v>
      </c>
      <c r="C4521" s="738" t="s">
        <v>4535</v>
      </c>
      <c r="D4521" s="733"/>
      <c r="E4521" s="761"/>
      <c r="F4521" s="761"/>
      <c r="G4521" s="733"/>
      <c r="H4521" s="733"/>
      <c r="I4521" s="733"/>
      <c r="J4521" s="733"/>
      <c r="K4521" s="733"/>
      <c r="L4521" s="733"/>
      <c r="M4521" s="733"/>
    </row>
    <row r="4522" spans="1:13" x14ac:dyDescent="0.3">
      <c r="A4522" s="733" t="s">
        <v>3798</v>
      </c>
      <c r="B4522" s="733" t="s">
        <v>645</v>
      </c>
      <c r="C4522" s="738" t="s">
        <v>4536</v>
      </c>
      <c r="D4522" s="733"/>
      <c r="E4522" s="761"/>
      <c r="F4522" s="761"/>
      <c r="G4522" s="733"/>
      <c r="H4522" s="733"/>
      <c r="I4522" s="733"/>
      <c r="J4522" s="733"/>
      <c r="K4522" s="733"/>
      <c r="L4522" s="733"/>
      <c r="M4522" s="733"/>
    </row>
    <row r="4523" spans="1:13" x14ac:dyDescent="0.3">
      <c r="A4523" s="733" t="s">
        <v>3798</v>
      </c>
      <c r="B4523" s="733" t="s">
        <v>645</v>
      </c>
      <c r="C4523" s="738" t="s">
        <v>4537</v>
      </c>
      <c r="D4523" s="733"/>
      <c r="E4523" s="761"/>
      <c r="F4523" s="761"/>
      <c r="G4523" s="733"/>
      <c r="H4523" s="733"/>
      <c r="I4523" s="733"/>
      <c r="J4523" s="733"/>
      <c r="K4523" s="733"/>
      <c r="L4523" s="733"/>
      <c r="M4523" s="733"/>
    </row>
    <row r="4524" spans="1:13" x14ac:dyDescent="0.3">
      <c r="A4524" s="733" t="s">
        <v>3798</v>
      </c>
      <c r="B4524" s="733" t="s">
        <v>645</v>
      </c>
      <c r="C4524" s="738" t="s">
        <v>4538</v>
      </c>
      <c r="D4524" s="733"/>
      <c r="E4524" s="761"/>
      <c r="F4524" s="761"/>
      <c r="G4524" s="733"/>
      <c r="H4524" s="733"/>
      <c r="I4524" s="733"/>
      <c r="J4524" s="733"/>
      <c r="K4524" s="733"/>
      <c r="L4524" s="733"/>
      <c r="M4524" s="733"/>
    </row>
    <row r="4525" spans="1:13" x14ac:dyDescent="0.3">
      <c r="A4525" s="733" t="s">
        <v>3798</v>
      </c>
      <c r="B4525" s="733" t="s">
        <v>645</v>
      </c>
      <c r="C4525" s="738" t="s">
        <v>4539</v>
      </c>
      <c r="D4525" s="733"/>
      <c r="E4525" s="761"/>
      <c r="F4525" s="761"/>
      <c r="G4525" s="733"/>
      <c r="H4525" s="733"/>
      <c r="I4525" s="733"/>
      <c r="J4525" s="733"/>
      <c r="K4525" s="733"/>
      <c r="L4525" s="733"/>
      <c r="M4525" s="733"/>
    </row>
    <row r="4526" spans="1:13" x14ac:dyDescent="0.3">
      <c r="A4526" s="733" t="s">
        <v>3798</v>
      </c>
      <c r="B4526" s="733" t="s">
        <v>664</v>
      </c>
      <c r="C4526" s="738" t="s">
        <v>4540</v>
      </c>
      <c r="D4526" s="733"/>
      <c r="E4526" s="761"/>
      <c r="F4526" s="761"/>
      <c r="G4526" s="733"/>
      <c r="H4526" s="733"/>
      <c r="I4526" s="733"/>
      <c r="J4526" s="733"/>
      <c r="K4526" s="733"/>
      <c r="L4526" s="733"/>
      <c r="M4526" s="733"/>
    </row>
    <row r="4527" spans="1:13" x14ac:dyDescent="0.3">
      <c r="A4527" s="733" t="s">
        <v>3798</v>
      </c>
      <c r="B4527" s="733" t="s">
        <v>664</v>
      </c>
      <c r="C4527" s="738" t="s">
        <v>4541</v>
      </c>
      <c r="D4527" s="733"/>
      <c r="E4527" s="761"/>
      <c r="F4527" s="761"/>
      <c r="G4527" s="733"/>
      <c r="H4527" s="733"/>
      <c r="I4527" s="733"/>
      <c r="J4527" s="733"/>
      <c r="K4527" s="733"/>
      <c r="L4527" s="733"/>
      <c r="M4527" s="733"/>
    </row>
    <row r="4528" spans="1:13" x14ac:dyDescent="0.3">
      <c r="A4528" s="733" t="s">
        <v>3798</v>
      </c>
      <c r="B4528" s="733" t="s">
        <v>664</v>
      </c>
      <c r="C4528" s="738" t="s">
        <v>4542</v>
      </c>
      <c r="D4528" s="733"/>
      <c r="E4528" s="761"/>
      <c r="F4528" s="761"/>
      <c r="G4528" s="733"/>
      <c r="H4528" s="733"/>
      <c r="I4528" s="733"/>
      <c r="J4528" s="733"/>
      <c r="K4528" s="733"/>
      <c r="L4528" s="733"/>
      <c r="M4528" s="733"/>
    </row>
    <row r="4529" spans="1:13" x14ac:dyDescent="0.3">
      <c r="A4529" s="733" t="s">
        <v>3798</v>
      </c>
      <c r="B4529" s="733" t="s">
        <v>664</v>
      </c>
      <c r="C4529" s="738" t="s">
        <v>4543</v>
      </c>
      <c r="D4529" s="733"/>
      <c r="E4529" s="761"/>
      <c r="F4529" s="761"/>
      <c r="G4529" s="733"/>
      <c r="H4529" s="733"/>
      <c r="I4529" s="733"/>
      <c r="J4529" s="733"/>
      <c r="K4529" s="733"/>
      <c r="L4529" s="733"/>
      <c r="M4529" s="733"/>
    </row>
    <row r="4530" spans="1:13" x14ac:dyDescent="0.3">
      <c r="A4530" s="733" t="s">
        <v>3798</v>
      </c>
      <c r="B4530" s="733" t="s">
        <v>664</v>
      </c>
      <c r="C4530" s="738" t="s">
        <v>4544</v>
      </c>
      <c r="D4530" s="733"/>
      <c r="E4530" s="761"/>
      <c r="F4530" s="761"/>
      <c r="G4530" s="733"/>
      <c r="H4530" s="733"/>
      <c r="I4530" s="733"/>
      <c r="J4530" s="733"/>
      <c r="K4530" s="733"/>
      <c r="L4530" s="733"/>
      <c r="M4530" s="733"/>
    </row>
    <row r="4531" spans="1:13" x14ac:dyDescent="0.3">
      <c r="A4531" s="733" t="s">
        <v>3798</v>
      </c>
      <c r="B4531" s="733" t="s">
        <v>612</v>
      </c>
      <c r="C4531" s="738" t="s">
        <v>4545</v>
      </c>
      <c r="D4531" s="733"/>
      <c r="E4531" s="761"/>
      <c r="F4531" s="761"/>
      <c r="G4531" s="733"/>
      <c r="H4531" s="733"/>
      <c r="I4531" s="733"/>
      <c r="J4531" s="733"/>
      <c r="K4531" s="733"/>
      <c r="L4531" s="733"/>
      <c r="M4531" s="733"/>
    </row>
    <row r="4532" spans="1:13" x14ac:dyDescent="0.3">
      <c r="A4532" s="733" t="s">
        <v>3798</v>
      </c>
      <c r="B4532" s="733" t="s">
        <v>612</v>
      </c>
      <c r="C4532" s="738" t="s">
        <v>4546</v>
      </c>
      <c r="D4532" s="733"/>
      <c r="E4532" s="761"/>
      <c r="F4532" s="761"/>
      <c r="G4532" s="733"/>
      <c r="H4532" s="733"/>
      <c r="I4532" s="733"/>
      <c r="J4532" s="733"/>
      <c r="K4532" s="733"/>
      <c r="L4532" s="733"/>
      <c r="M4532" s="733"/>
    </row>
    <row r="4533" spans="1:13" x14ac:dyDescent="0.3">
      <c r="A4533" s="733" t="s">
        <v>3798</v>
      </c>
      <c r="B4533" s="733" t="s">
        <v>612</v>
      </c>
      <c r="C4533" s="738" t="s">
        <v>4547</v>
      </c>
      <c r="D4533" s="733"/>
      <c r="E4533" s="761"/>
      <c r="F4533" s="761"/>
      <c r="G4533" s="733"/>
      <c r="H4533" s="733"/>
      <c r="I4533" s="733"/>
      <c r="J4533" s="733"/>
      <c r="K4533" s="733"/>
      <c r="L4533" s="733"/>
      <c r="M4533" s="733"/>
    </row>
    <row r="4534" spans="1:13" ht="28.8" x14ac:dyDescent="0.3">
      <c r="A4534" s="733" t="s">
        <v>3798</v>
      </c>
      <c r="B4534" s="733" t="s">
        <v>612</v>
      </c>
      <c r="C4534" s="738" t="s">
        <v>4548</v>
      </c>
      <c r="D4534" s="733"/>
      <c r="E4534" s="761"/>
      <c r="F4534" s="761"/>
      <c r="G4534" s="733"/>
      <c r="H4534" s="733"/>
      <c r="I4534" s="733"/>
      <c r="J4534" s="733"/>
      <c r="K4534" s="733"/>
      <c r="L4534" s="733"/>
      <c r="M4534" s="733"/>
    </row>
    <row r="4535" spans="1:13" ht="28.8" x14ac:dyDescent="0.3">
      <c r="A4535" s="733" t="s">
        <v>3798</v>
      </c>
      <c r="B4535" s="733" t="s">
        <v>612</v>
      </c>
      <c r="C4535" s="738" t="s">
        <v>4549</v>
      </c>
      <c r="D4535" s="733"/>
      <c r="E4535" s="761"/>
      <c r="F4535" s="761"/>
      <c r="G4535" s="733"/>
      <c r="H4535" s="733"/>
      <c r="I4535" s="733"/>
      <c r="J4535" s="733"/>
      <c r="K4535" s="733"/>
      <c r="L4535" s="733"/>
      <c r="M4535" s="733"/>
    </row>
    <row r="4536" spans="1:13" x14ac:dyDescent="0.3">
      <c r="A4536" s="733" t="s">
        <v>3829</v>
      </c>
      <c r="B4536" s="733" t="s">
        <v>645</v>
      </c>
      <c r="C4536" s="738" t="s">
        <v>4550</v>
      </c>
      <c r="D4536" s="733"/>
      <c r="E4536" s="761"/>
      <c r="F4536" s="761"/>
      <c r="G4536" s="733"/>
      <c r="H4536" s="733"/>
      <c r="I4536" s="733"/>
      <c r="J4536" s="733"/>
      <c r="K4536" s="733"/>
      <c r="L4536" s="733"/>
      <c r="M4536" s="733"/>
    </row>
    <row r="4537" spans="1:13" x14ac:dyDescent="0.3">
      <c r="A4537" s="733" t="s">
        <v>3829</v>
      </c>
      <c r="B4537" s="733" t="s">
        <v>645</v>
      </c>
      <c r="C4537" s="738" t="s">
        <v>4551</v>
      </c>
      <c r="D4537" s="733"/>
      <c r="E4537" s="761"/>
      <c r="F4537" s="761"/>
      <c r="G4537" s="733"/>
      <c r="H4537" s="733"/>
      <c r="I4537" s="733"/>
      <c r="J4537" s="733"/>
      <c r="K4537" s="733"/>
      <c r="L4537" s="733"/>
      <c r="M4537" s="733"/>
    </row>
    <row r="4538" spans="1:13" x14ac:dyDescent="0.3">
      <c r="A4538" s="733" t="s">
        <v>3829</v>
      </c>
      <c r="B4538" s="733" t="s">
        <v>645</v>
      </c>
      <c r="C4538" s="738" t="s">
        <v>4552</v>
      </c>
      <c r="D4538" s="733"/>
      <c r="E4538" s="761"/>
      <c r="F4538" s="761"/>
      <c r="G4538" s="733"/>
      <c r="H4538" s="733"/>
      <c r="I4538" s="733"/>
      <c r="J4538" s="733"/>
      <c r="K4538" s="733"/>
      <c r="L4538" s="733"/>
      <c r="M4538" s="733"/>
    </row>
    <row r="4539" spans="1:13" x14ac:dyDescent="0.3">
      <c r="A4539" s="733" t="s">
        <v>3829</v>
      </c>
      <c r="B4539" s="733" t="s">
        <v>645</v>
      </c>
      <c r="C4539" s="738" t="s">
        <v>4553</v>
      </c>
      <c r="D4539" s="733"/>
      <c r="E4539" s="761"/>
      <c r="F4539" s="761"/>
      <c r="G4539" s="733"/>
      <c r="H4539" s="733"/>
      <c r="I4539" s="733"/>
      <c r="J4539" s="733"/>
      <c r="K4539" s="733"/>
      <c r="L4539" s="733"/>
      <c r="M4539" s="733"/>
    </row>
    <row r="4540" spans="1:13" ht="28.8" x14ac:dyDescent="0.3">
      <c r="A4540" s="733" t="s">
        <v>3829</v>
      </c>
      <c r="B4540" s="733" t="s">
        <v>645</v>
      </c>
      <c r="C4540" s="738" t="s">
        <v>4554</v>
      </c>
      <c r="D4540" s="733"/>
      <c r="E4540" s="761"/>
      <c r="F4540" s="761"/>
      <c r="G4540" s="733"/>
      <c r="H4540" s="733"/>
      <c r="I4540" s="733"/>
      <c r="J4540" s="733"/>
      <c r="K4540" s="733"/>
      <c r="L4540" s="733"/>
      <c r="M4540" s="733"/>
    </row>
    <row r="4541" spans="1:13" x14ac:dyDescent="0.3">
      <c r="A4541" s="733" t="s">
        <v>3829</v>
      </c>
      <c r="B4541" s="733" t="s">
        <v>664</v>
      </c>
      <c r="C4541" s="738" t="s">
        <v>4555</v>
      </c>
      <c r="D4541" s="733"/>
      <c r="E4541" s="761"/>
      <c r="F4541" s="761"/>
      <c r="G4541" s="733"/>
      <c r="H4541" s="733"/>
      <c r="I4541" s="733"/>
      <c r="J4541" s="733"/>
      <c r="K4541" s="733"/>
      <c r="L4541" s="733"/>
      <c r="M4541" s="733"/>
    </row>
    <row r="4542" spans="1:13" x14ac:dyDescent="0.3">
      <c r="A4542" s="733" t="s">
        <v>3829</v>
      </c>
      <c r="B4542" s="733" t="s">
        <v>664</v>
      </c>
      <c r="C4542" s="738" t="s">
        <v>4556</v>
      </c>
      <c r="D4542" s="733"/>
      <c r="E4542" s="761"/>
      <c r="F4542" s="761"/>
      <c r="G4542" s="733"/>
      <c r="H4542" s="733"/>
      <c r="I4542" s="733"/>
      <c r="J4542" s="733"/>
      <c r="K4542" s="733"/>
      <c r="L4542" s="733"/>
      <c r="M4542" s="733"/>
    </row>
    <row r="4543" spans="1:13" x14ac:dyDescent="0.3">
      <c r="A4543" s="733" t="s">
        <v>3829</v>
      </c>
      <c r="B4543" s="733" t="s">
        <v>664</v>
      </c>
      <c r="C4543" s="738" t="s">
        <v>4557</v>
      </c>
      <c r="D4543" s="733"/>
      <c r="E4543" s="761"/>
      <c r="F4543" s="761"/>
      <c r="G4543" s="733"/>
      <c r="H4543" s="733"/>
      <c r="I4543" s="733"/>
      <c r="J4543" s="733"/>
      <c r="K4543" s="733"/>
      <c r="L4543" s="733"/>
      <c r="M4543" s="733"/>
    </row>
    <row r="4544" spans="1:13" x14ac:dyDescent="0.3">
      <c r="A4544" s="733" t="s">
        <v>3829</v>
      </c>
      <c r="B4544" s="733" t="s">
        <v>664</v>
      </c>
      <c r="C4544" s="738" t="s">
        <v>4558</v>
      </c>
      <c r="D4544" s="733"/>
      <c r="E4544" s="761"/>
      <c r="F4544" s="761"/>
      <c r="G4544" s="733"/>
      <c r="H4544" s="733"/>
      <c r="I4544" s="733"/>
      <c r="J4544" s="733"/>
      <c r="K4544" s="733"/>
      <c r="L4544" s="733"/>
      <c r="M4544" s="733"/>
    </row>
    <row r="4545" spans="1:13" x14ac:dyDescent="0.3">
      <c r="A4545" s="733" t="s">
        <v>3829</v>
      </c>
      <c r="B4545" s="733" t="s">
        <v>664</v>
      </c>
      <c r="C4545" s="738" t="s">
        <v>4559</v>
      </c>
      <c r="D4545" s="733"/>
      <c r="E4545" s="761"/>
      <c r="F4545" s="761"/>
      <c r="G4545" s="733"/>
      <c r="H4545" s="733"/>
      <c r="I4545" s="733"/>
      <c r="J4545" s="733"/>
      <c r="K4545" s="733"/>
      <c r="L4545" s="733"/>
      <c r="M4545" s="733"/>
    </row>
    <row r="4546" spans="1:13" x14ac:dyDescent="0.3">
      <c r="A4546" s="733" t="s">
        <v>3829</v>
      </c>
      <c r="B4546" s="733" t="s">
        <v>612</v>
      </c>
      <c r="C4546" s="738" t="s">
        <v>4560</v>
      </c>
      <c r="D4546" s="733"/>
      <c r="E4546" s="761"/>
      <c r="F4546" s="761"/>
      <c r="G4546" s="733"/>
      <c r="H4546" s="733"/>
      <c r="I4546" s="733"/>
      <c r="J4546" s="733"/>
      <c r="K4546" s="733"/>
      <c r="L4546" s="733"/>
      <c r="M4546" s="733"/>
    </row>
    <row r="4547" spans="1:13" x14ac:dyDescent="0.3">
      <c r="A4547" s="733" t="s">
        <v>3829</v>
      </c>
      <c r="B4547" s="733" t="s">
        <v>612</v>
      </c>
      <c r="C4547" s="738" t="s">
        <v>4561</v>
      </c>
      <c r="D4547" s="733"/>
      <c r="E4547" s="761"/>
      <c r="F4547" s="761"/>
      <c r="G4547" s="733"/>
      <c r="H4547" s="733"/>
      <c r="I4547" s="733"/>
      <c r="J4547" s="733"/>
      <c r="K4547" s="733"/>
      <c r="L4547" s="733"/>
      <c r="M4547" s="733"/>
    </row>
    <row r="4548" spans="1:13" x14ac:dyDescent="0.3">
      <c r="A4548" s="733" t="s">
        <v>3829</v>
      </c>
      <c r="B4548" s="733" t="s">
        <v>612</v>
      </c>
      <c r="C4548" s="738" t="s">
        <v>4562</v>
      </c>
      <c r="D4548" s="733"/>
      <c r="E4548" s="761"/>
      <c r="F4548" s="761"/>
      <c r="G4548" s="733"/>
      <c r="H4548" s="733"/>
      <c r="I4548" s="733"/>
      <c r="J4548" s="733"/>
      <c r="K4548" s="733"/>
      <c r="L4548" s="733"/>
      <c r="M4548" s="733"/>
    </row>
    <row r="4549" spans="1:13" ht="28.8" x14ac:dyDescent="0.3">
      <c r="A4549" s="733" t="s">
        <v>3829</v>
      </c>
      <c r="B4549" s="733" t="s">
        <v>612</v>
      </c>
      <c r="C4549" s="738" t="s">
        <v>4563</v>
      </c>
      <c r="D4549" s="733"/>
      <c r="E4549" s="761"/>
      <c r="F4549" s="761"/>
      <c r="G4549" s="733"/>
      <c r="H4549" s="733"/>
      <c r="I4549" s="733"/>
      <c r="J4549" s="733"/>
      <c r="K4549" s="733"/>
      <c r="L4549" s="733"/>
      <c r="M4549" s="733"/>
    </row>
    <row r="4550" spans="1:13" ht="28.8" x14ac:dyDescent="0.3">
      <c r="A4550" s="733" t="s">
        <v>3829</v>
      </c>
      <c r="B4550" s="733" t="s">
        <v>612</v>
      </c>
      <c r="C4550" s="738" t="s">
        <v>4564</v>
      </c>
      <c r="D4550" s="733"/>
      <c r="E4550" s="761"/>
      <c r="F4550" s="761"/>
      <c r="G4550" s="733"/>
      <c r="H4550" s="733"/>
      <c r="I4550" s="733"/>
      <c r="J4550" s="733"/>
      <c r="K4550" s="733"/>
      <c r="L4550" s="733"/>
      <c r="M4550" s="733"/>
    </row>
    <row r="4551" spans="1:13" ht="28.8" x14ac:dyDescent="0.3">
      <c r="A4551" s="733" t="s">
        <v>3860</v>
      </c>
      <c r="B4551" s="733" t="s">
        <v>645</v>
      </c>
      <c r="C4551" s="738" t="s">
        <v>4565</v>
      </c>
      <c r="D4551" s="733"/>
      <c r="E4551" s="761"/>
      <c r="F4551" s="761"/>
      <c r="G4551" s="733"/>
      <c r="H4551" s="733"/>
      <c r="I4551" s="733"/>
      <c r="J4551" s="733"/>
      <c r="K4551" s="733"/>
      <c r="L4551" s="733"/>
      <c r="M4551" s="733"/>
    </row>
    <row r="4552" spans="1:13" x14ac:dyDescent="0.3">
      <c r="A4552" s="733" t="s">
        <v>3860</v>
      </c>
      <c r="B4552" s="733" t="s">
        <v>645</v>
      </c>
      <c r="C4552" s="738" t="s">
        <v>4566</v>
      </c>
      <c r="D4552" s="733"/>
      <c r="E4552" s="761"/>
      <c r="F4552" s="761"/>
      <c r="G4552" s="733"/>
      <c r="H4552" s="733"/>
      <c r="I4552" s="733"/>
      <c r="J4552" s="733"/>
      <c r="K4552" s="733"/>
      <c r="L4552" s="733"/>
      <c r="M4552" s="733"/>
    </row>
    <row r="4553" spans="1:13" x14ac:dyDescent="0.3">
      <c r="A4553" s="733" t="s">
        <v>3860</v>
      </c>
      <c r="B4553" s="733" t="s">
        <v>645</v>
      </c>
      <c r="C4553" s="738" t="s">
        <v>4567</v>
      </c>
      <c r="D4553" s="733"/>
      <c r="E4553" s="761"/>
      <c r="F4553" s="761"/>
      <c r="G4553" s="733"/>
      <c r="H4553" s="733"/>
      <c r="I4553" s="733"/>
      <c r="J4553" s="733"/>
      <c r="K4553" s="733"/>
      <c r="L4553" s="733"/>
      <c r="M4553" s="733"/>
    </row>
    <row r="4554" spans="1:13" x14ac:dyDescent="0.3">
      <c r="A4554" s="733" t="s">
        <v>3860</v>
      </c>
      <c r="B4554" s="733" t="s">
        <v>645</v>
      </c>
      <c r="C4554" s="738" t="s">
        <v>4568</v>
      </c>
      <c r="D4554" s="733"/>
      <c r="E4554" s="761"/>
      <c r="F4554" s="761"/>
      <c r="G4554" s="733"/>
      <c r="H4554" s="733"/>
      <c r="I4554" s="733"/>
      <c r="J4554" s="733"/>
      <c r="K4554" s="733"/>
      <c r="L4554" s="733"/>
      <c r="M4554" s="733"/>
    </row>
    <row r="4555" spans="1:13" x14ac:dyDescent="0.3">
      <c r="A4555" s="733" t="s">
        <v>3860</v>
      </c>
      <c r="B4555" s="733" t="s">
        <v>645</v>
      </c>
      <c r="C4555" s="738" t="s">
        <v>4569</v>
      </c>
      <c r="D4555" s="733"/>
      <c r="E4555" s="761"/>
      <c r="F4555" s="761"/>
      <c r="G4555" s="733"/>
      <c r="H4555" s="733"/>
      <c r="I4555" s="733"/>
      <c r="J4555" s="733"/>
      <c r="K4555" s="733"/>
      <c r="L4555" s="733"/>
      <c r="M4555" s="733"/>
    </row>
    <row r="4556" spans="1:13" x14ac:dyDescent="0.3">
      <c r="A4556" s="733" t="s">
        <v>3860</v>
      </c>
      <c r="B4556" s="733" t="s">
        <v>664</v>
      </c>
      <c r="C4556" s="738" t="s">
        <v>4570</v>
      </c>
      <c r="D4556" s="733"/>
      <c r="E4556" s="761"/>
      <c r="F4556" s="761"/>
      <c r="G4556" s="733"/>
      <c r="H4556" s="733"/>
      <c r="I4556" s="733"/>
      <c r="J4556" s="733"/>
      <c r="K4556" s="733"/>
      <c r="L4556" s="733"/>
      <c r="M4556" s="733"/>
    </row>
    <row r="4557" spans="1:13" ht="28.8" x14ac:dyDescent="0.3">
      <c r="A4557" s="733" t="s">
        <v>3860</v>
      </c>
      <c r="B4557" s="733" t="s">
        <v>664</v>
      </c>
      <c r="C4557" s="738" t="s">
        <v>4571</v>
      </c>
      <c r="D4557" s="733"/>
      <c r="E4557" s="761"/>
      <c r="F4557" s="761"/>
      <c r="G4557" s="733"/>
      <c r="H4557" s="733"/>
      <c r="I4557" s="733"/>
      <c r="J4557" s="733"/>
      <c r="K4557" s="733"/>
      <c r="L4557" s="733"/>
      <c r="M4557" s="733"/>
    </row>
    <row r="4558" spans="1:13" ht="28.8" x14ac:dyDescent="0.3">
      <c r="A4558" s="733" t="s">
        <v>3860</v>
      </c>
      <c r="B4558" s="733" t="s">
        <v>664</v>
      </c>
      <c r="C4558" s="738" t="s">
        <v>4572</v>
      </c>
      <c r="D4558" s="733"/>
      <c r="E4558" s="761"/>
      <c r="F4558" s="761"/>
      <c r="G4558" s="733"/>
      <c r="H4558" s="733"/>
      <c r="I4558" s="733"/>
      <c r="J4558" s="733"/>
      <c r="K4558" s="733"/>
      <c r="L4558" s="733"/>
      <c r="M4558" s="733"/>
    </row>
    <row r="4559" spans="1:13" x14ac:dyDescent="0.3">
      <c r="A4559" s="733" t="s">
        <v>3860</v>
      </c>
      <c r="B4559" s="733" t="s">
        <v>664</v>
      </c>
      <c r="C4559" s="738" t="s">
        <v>4573</v>
      </c>
      <c r="D4559" s="733"/>
      <c r="E4559" s="761"/>
      <c r="F4559" s="761"/>
      <c r="G4559" s="733"/>
      <c r="H4559" s="733"/>
      <c r="I4559" s="733"/>
      <c r="J4559" s="733"/>
      <c r="K4559" s="733"/>
      <c r="L4559" s="733"/>
      <c r="M4559" s="733"/>
    </row>
    <row r="4560" spans="1:13" x14ac:dyDescent="0.3">
      <c r="A4560" s="733" t="s">
        <v>3860</v>
      </c>
      <c r="B4560" s="733" t="s">
        <v>664</v>
      </c>
      <c r="C4560" s="738" t="s">
        <v>4574</v>
      </c>
      <c r="D4560" s="733"/>
      <c r="E4560" s="761"/>
      <c r="F4560" s="761"/>
      <c r="G4560" s="733"/>
      <c r="H4560" s="733"/>
      <c r="I4560" s="733"/>
      <c r="J4560" s="733"/>
      <c r="K4560" s="733"/>
      <c r="L4560" s="733"/>
      <c r="M4560" s="733"/>
    </row>
    <row r="4561" spans="1:13" x14ac:dyDescent="0.3">
      <c r="A4561" s="733" t="s">
        <v>3860</v>
      </c>
      <c r="B4561" s="733" t="s">
        <v>612</v>
      </c>
      <c r="C4561" s="738" t="s">
        <v>4575</v>
      </c>
      <c r="D4561" s="733"/>
      <c r="E4561" s="761"/>
      <c r="F4561" s="761"/>
      <c r="G4561" s="733"/>
      <c r="H4561" s="733"/>
      <c r="I4561" s="733"/>
      <c r="J4561" s="733"/>
      <c r="K4561" s="733"/>
      <c r="L4561" s="733"/>
      <c r="M4561" s="733"/>
    </row>
    <row r="4562" spans="1:13" x14ac:dyDescent="0.3">
      <c r="A4562" s="733" t="s">
        <v>3860</v>
      </c>
      <c r="B4562" s="733" t="s">
        <v>612</v>
      </c>
      <c r="C4562" s="738" t="s">
        <v>4576</v>
      </c>
      <c r="D4562" s="733"/>
      <c r="E4562" s="761"/>
      <c r="F4562" s="761"/>
      <c r="G4562" s="733"/>
      <c r="H4562" s="733"/>
      <c r="I4562" s="733"/>
      <c r="J4562" s="733"/>
      <c r="K4562" s="733"/>
      <c r="L4562" s="733"/>
      <c r="M4562" s="733"/>
    </row>
    <row r="4563" spans="1:13" x14ac:dyDescent="0.3">
      <c r="A4563" s="733" t="s">
        <v>3860</v>
      </c>
      <c r="B4563" s="733" t="s">
        <v>612</v>
      </c>
      <c r="C4563" s="738" t="s">
        <v>4577</v>
      </c>
      <c r="D4563" s="733"/>
      <c r="E4563" s="761"/>
      <c r="F4563" s="761"/>
      <c r="G4563" s="733"/>
      <c r="H4563" s="733"/>
      <c r="I4563" s="733"/>
      <c r="J4563" s="733"/>
      <c r="K4563" s="733"/>
      <c r="L4563" s="733"/>
      <c r="M4563" s="733"/>
    </row>
    <row r="4564" spans="1:13" x14ac:dyDescent="0.3">
      <c r="A4564" s="733" t="s">
        <v>3860</v>
      </c>
      <c r="B4564" s="733" t="s">
        <v>612</v>
      </c>
      <c r="C4564" s="738" t="s">
        <v>4578</v>
      </c>
      <c r="D4564" s="733"/>
      <c r="E4564" s="761"/>
      <c r="F4564" s="761"/>
      <c r="G4564" s="733"/>
      <c r="H4564" s="733"/>
      <c r="I4564" s="733"/>
      <c r="J4564" s="733"/>
      <c r="K4564" s="733"/>
      <c r="L4564" s="733"/>
      <c r="M4564" s="733"/>
    </row>
    <row r="4565" spans="1:13" x14ac:dyDescent="0.3">
      <c r="A4565" s="733" t="s">
        <v>3860</v>
      </c>
      <c r="B4565" s="733" t="s">
        <v>612</v>
      </c>
      <c r="C4565" s="738" t="s">
        <v>4579</v>
      </c>
      <c r="D4565" s="733"/>
      <c r="E4565" s="761"/>
      <c r="F4565" s="761"/>
      <c r="G4565" s="733"/>
      <c r="H4565" s="733"/>
      <c r="I4565" s="733"/>
      <c r="J4565" s="733"/>
      <c r="K4565" s="733"/>
      <c r="L4565" s="733"/>
      <c r="M4565" s="733"/>
    </row>
    <row r="4566" spans="1:13" ht="28.8" x14ac:dyDescent="0.3">
      <c r="A4566" s="733" t="s">
        <v>2792</v>
      </c>
      <c r="B4566" s="733" t="s">
        <v>645</v>
      </c>
      <c r="C4566" s="738" t="s">
        <v>4580</v>
      </c>
      <c r="D4566" s="733"/>
      <c r="E4566" s="761"/>
      <c r="F4566" s="761"/>
      <c r="G4566" s="733"/>
      <c r="H4566" s="733"/>
      <c r="I4566" s="733"/>
      <c r="J4566" s="733"/>
      <c r="K4566" s="733"/>
      <c r="L4566" s="733"/>
      <c r="M4566" s="733"/>
    </row>
    <row r="4567" spans="1:13" x14ac:dyDescent="0.3">
      <c r="A4567" s="733" t="s">
        <v>2792</v>
      </c>
      <c r="B4567" s="733" t="s">
        <v>645</v>
      </c>
      <c r="C4567" s="738" t="s">
        <v>4581</v>
      </c>
      <c r="D4567" s="733"/>
      <c r="E4567" s="761"/>
      <c r="F4567" s="761"/>
      <c r="G4567" s="733"/>
      <c r="H4567" s="733"/>
      <c r="I4567" s="733"/>
      <c r="J4567" s="733"/>
      <c r="K4567" s="733"/>
      <c r="L4567" s="733"/>
      <c r="M4567" s="733"/>
    </row>
    <row r="4568" spans="1:13" x14ac:dyDescent="0.3">
      <c r="A4568" s="733" t="s">
        <v>2792</v>
      </c>
      <c r="B4568" s="733" t="s">
        <v>645</v>
      </c>
      <c r="C4568" s="738" t="s">
        <v>4582</v>
      </c>
      <c r="D4568" s="733"/>
      <c r="E4568" s="761"/>
      <c r="F4568" s="761"/>
      <c r="G4568" s="733"/>
      <c r="H4568" s="733"/>
      <c r="I4568" s="733"/>
      <c r="J4568" s="733"/>
      <c r="K4568" s="733"/>
      <c r="L4568" s="733"/>
      <c r="M4568" s="733"/>
    </row>
    <row r="4569" spans="1:13" x14ac:dyDescent="0.3">
      <c r="A4569" s="733" t="s">
        <v>2792</v>
      </c>
      <c r="B4569" s="733" t="s">
        <v>645</v>
      </c>
      <c r="C4569" s="738" t="s">
        <v>4583</v>
      </c>
      <c r="D4569" s="733"/>
      <c r="E4569" s="761"/>
      <c r="F4569" s="761"/>
      <c r="G4569" s="733"/>
      <c r="H4569" s="733"/>
      <c r="I4569" s="733"/>
      <c r="J4569" s="733"/>
      <c r="K4569" s="733"/>
      <c r="L4569" s="733"/>
      <c r="M4569" s="733"/>
    </row>
    <row r="4570" spans="1:13" x14ac:dyDescent="0.3">
      <c r="A4570" s="733" t="s">
        <v>2792</v>
      </c>
      <c r="B4570" s="733" t="s">
        <v>645</v>
      </c>
      <c r="C4570" s="738" t="s">
        <v>4584</v>
      </c>
      <c r="D4570" s="733"/>
      <c r="E4570" s="761"/>
      <c r="F4570" s="761"/>
      <c r="G4570" s="733"/>
      <c r="H4570" s="733"/>
      <c r="I4570" s="733"/>
      <c r="J4570" s="733"/>
      <c r="K4570" s="733"/>
      <c r="L4570" s="733"/>
      <c r="M4570" s="733"/>
    </row>
    <row r="4571" spans="1:13" x14ac:dyDescent="0.3">
      <c r="A4571" s="733" t="s">
        <v>2792</v>
      </c>
      <c r="B4571" s="733" t="s">
        <v>664</v>
      </c>
      <c r="C4571" s="738" t="s">
        <v>4585</v>
      </c>
      <c r="D4571" s="733"/>
      <c r="E4571" s="761"/>
      <c r="F4571" s="761"/>
      <c r="G4571" s="733"/>
      <c r="H4571" s="733"/>
      <c r="I4571" s="733"/>
      <c r="J4571" s="733"/>
      <c r="K4571" s="733"/>
      <c r="L4571" s="733"/>
      <c r="M4571" s="733"/>
    </row>
    <row r="4572" spans="1:13" x14ac:dyDescent="0.3">
      <c r="A4572" s="733" t="s">
        <v>2792</v>
      </c>
      <c r="B4572" s="733" t="s">
        <v>664</v>
      </c>
      <c r="C4572" s="738" t="s">
        <v>4586</v>
      </c>
      <c r="D4572" s="733"/>
      <c r="E4572" s="761"/>
      <c r="F4572" s="761"/>
      <c r="G4572" s="733"/>
      <c r="H4572" s="733"/>
      <c r="I4572" s="733"/>
      <c r="J4572" s="733"/>
      <c r="K4572" s="733"/>
      <c r="L4572" s="733"/>
      <c r="M4572" s="733"/>
    </row>
    <row r="4573" spans="1:13" ht="28.8" x14ac:dyDescent="0.3">
      <c r="A4573" s="733" t="s">
        <v>2792</v>
      </c>
      <c r="B4573" s="733" t="s">
        <v>664</v>
      </c>
      <c r="C4573" s="738" t="s">
        <v>4587</v>
      </c>
      <c r="D4573" s="733"/>
      <c r="E4573" s="761"/>
      <c r="F4573" s="761"/>
      <c r="G4573" s="733"/>
      <c r="H4573" s="733"/>
      <c r="I4573" s="733"/>
      <c r="J4573" s="733"/>
      <c r="K4573" s="733"/>
      <c r="L4573" s="733"/>
      <c r="M4573" s="733"/>
    </row>
    <row r="4574" spans="1:13" x14ac:dyDescent="0.3">
      <c r="A4574" s="733" t="s">
        <v>2792</v>
      </c>
      <c r="B4574" s="733" t="s">
        <v>664</v>
      </c>
      <c r="C4574" s="738" t="s">
        <v>4588</v>
      </c>
      <c r="D4574" s="733"/>
      <c r="E4574" s="761"/>
      <c r="F4574" s="761"/>
      <c r="G4574" s="733"/>
      <c r="H4574" s="733"/>
      <c r="I4574" s="733"/>
      <c r="J4574" s="733"/>
      <c r="K4574" s="733"/>
      <c r="L4574" s="733"/>
      <c r="M4574" s="733"/>
    </row>
    <row r="4575" spans="1:13" ht="28.8" x14ac:dyDescent="0.3">
      <c r="A4575" s="733" t="s">
        <v>2792</v>
      </c>
      <c r="B4575" s="733" t="s">
        <v>664</v>
      </c>
      <c r="C4575" s="738" t="s">
        <v>4589</v>
      </c>
      <c r="D4575" s="733"/>
      <c r="E4575" s="761"/>
      <c r="F4575" s="761"/>
      <c r="G4575" s="733"/>
      <c r="H4575" s="733"/>
      <c r="I4575" s="733"/>
      <c r="J4575" s="733"/>
      <c r="K4575" s="733"/>
      <c r="L4575" s="733"/>
      <c r="M4575" s="733"/>
    </row>
    <row r="4576" spans="1:13" x14ac:dyDescent="0.3">
      <c r="A4576" s="733" t="s">
        <v>2792</v>
      </c>
      <c r="B4576" s="733" t="s">
        <v>612</v>
      </c>
      <c r="C4576" s="738" t="s">
        <v>4590</v>
      </c>
      <c r="D4576" s="733"/>
      <c r="E4576" s="761"/>
      <c r="F4576" s="761"/>
      <c r="G4576" s="733"/>
      <c r="H4576" s="733"/>
      <c r="I4576" s="733"/>
      <c r="J4576" s="733"/>
      <c r="K4576" s="733"/>
      <c r="L4576" s="733"/>
      <c r="M4576" s="733"/>
    </row>
    <row r="4577" spans="1:13" ht="28.8" x14ac:dyDescent="0.3">
      <c r="A4577" s="733" t="s">
        <v>2792</v>
      </c>
      <c r="B4577" s="733" t="s">
        <v>612</v>
      </c>
      <c r="C4577" s="738" t="s">
        <v>4591</v>
      </c>
      <c r="D4577" s="733"/>
      <c r="E4577" s="761"/>
      <c r="F4577" s="761"/>
      <c r="G4577" s="733"/>
      <c r="H4577" s="733"/>
      <c r="I4577" s="733"/>
      <c r="J4577" s="733"/>
      <c r="K4577" s="733"/>
      <c r="L4577" s="733"/>
      <c r="M4577" s="733"/>
    </row>
    <row r="4578" spans="1:13" x14ac:dyDescent="0.3">
      <c r="A4578" s="733" t="s">
        <v>2792</v>
      </c>
      <c r="B4578" s="733" t="s">
        <v>612</v>
      </c>
      <c r="C4578" s="738" t="s">
        <v>4592</v>
      </c>
      <c r="D4578" s="733"/>
      <c r="E4578" s="761"/>
      <c r="F4578" s="761"/>
      <c r="G4578" s="733"/>
      <c r="H4578" s="733"/>
      <c r="I4578" s="733"/>
      <c r="J4578" s="733"/>
      <c r="K4578" s="733"/>
      <c r="L4578" s="733"/>
      <c r="M4578" s="733"/>
    </row>
    <row r="4579" spans="1:13" x14ac:dyDescent="0.3">
      <c r="A4579" s="733" t="s">
        <v>2792</v>
      </c>
      <c r="B4579" s="733" t="s">
        <v>612</v>
      </c>
      <c r="C4579" s="738" t="s">
        <v>4593</v>
      </c>
      <c r="D4579" s="733"/>
      <c r="E4579" s="761"/>
      <c r="F4579" s="761"/>
      <c r="G4579" s="733"/>
      <c r="H4579" s="733"/>
      <c r="I4579" s="733"/>
      <c r="J4579" s="733"/>
      <c r="K4579" s="733"/>
      <c r="L4579" s="733"/>
      <c r="M4579" s="733"/>
    </row>
    <row r="4580" spans="1:13" ht="28.8" x14ac:dyDescent="0.3">
      <c r="A4580" s="733" t="s">
        <v>2792</v>
      </c>
      <c r="B4580" s="733" t="s">
        <v>612</v>
      </c>
      <c r="C4580" s="738" t="s">
        <v>4594</v>
      </c>
      <c r="D4580" s="733"/>
      <c r="E4580" s="761"/>
      <c r="F4580" s="761"/>
      <c r="G4580" s="733"/>
      <c r="H4580" s="733"/>
      <c r="I4580" s="733"/>
      <c r="J4580" s="733"/>
      <c r="K4580" s="733"/>
      <c r="L4580" s="733"/>
      <c r="M4580" s="733"/>
    </row>
    <row r="4581" spans="1:13" x14ac:dyDescent="0.3">
      <c r="A4581" s="733" t="s">
        <v>2792</v>
      </c>
      <c r="B4581" s="733" t="s">
        <v>645</v>
      </c>
      <c r="C4581" s="738" t="s">
        <v>4595</v>
      </c>
      <c r="D4581" s="733"/>
      <c r="E4581" s="761"/>
      <c r="F4581" s="761"/>
      <c r="G4581" s="733"/>
      <c r="H4581" s="733"/>
      <c r="I4581" s="733"/>
      <c r="J4581" s="733"/>
      <c r="K4581" s="733"/>
      <c r="L4581" s="733"/>
      <c r="M4581" s="733"/>
    </row>
    <row r="4582" spans="1:13" ht="28.8" x14ac:dyDescent="0.3">
      <c r="A4582" s="733" t="s">
        <v>2792</v>
      </c>
      <c r="B4582" s="733" t="s">
        <v>645</v>
      </c>
      <c r="C4582" s="738" t="s">
        <v>4596</v>
      </c>
      <c r="D4582" s="733"/>
      <c r="E4582" s="761"/>
      <c r="F4582" s="761"/>
      <c r="G4582" s="733"/>
      <c r="H4582" s="733"/>
      <c r="I4582" s="733"/>
      <c r="J4582" s="733"/>
      <c r="K4582" s="733"/>
      <c r="L4582" s="733"/>
      <c r="M4582" s="733"/>
    </row>
    <row r="4583" spans="1:13" x14ac:dyDescent="0.3">
      <c r="A4583" s="733" t="s">
        <v>2792</v>
      </c>
      <c r="B4583" s="733" t="s">
        <v>645</v>
      </c>
      <c r="C4583" s="738" t="s">
        <v>4597</v>
      </c>
      <c r="D4583" s="733"/>
      <c r="E4583" s="761"/>
      <c r="F4583" s="761"/>
      <c r="G4583" s="733"/>
      <c r="H4583" s="733"/>
      <c r="I4583" s="733"/>
      <c r="J4583" s="733"/>
      <c r="K4583" s="733"/>
      <c r="L4583" s="733"/>
      <c r="M4583" s="733"/>
    </row>
    <row r="4584" spans="1:13" x14ac:dyDescent="0.3">
      <c r="A4584" s="733" t="s">
        <v>2792</v>
      </c>
      <c r="B4584" s="733" t="s">
        <v>645</v>
      </c>
      <c r="C4584" s="738" t="s">
        <v>4598</v>
      </c>
      <c r="D4584" s="733"/>
      <c r="E4584" s="761"/>
      <c r="F4584" s="761"/>
      <c r="G4584" s="733"/>
      <c r="H4584" s="733"/>
      <c r="I4584" s="733"/>
      <c r="J4584" s="733"/>
      <c r="K4584" s="733"/>
      <c r="L4584" s="733"/>
      <c r="M4584" s="733"/>
    </row>
    <row r="4585" spans="1:13" ht="28.8" x14ac:dyDescent="0.3">
      <c r="A4585" s="733" t="s">
        <v>2792</v>
      </c>
      <c r="B4585" s="733" t="s">
        <v>645</v>
      </c>
      <c r="C4585" s="738" t="s">
        <v>4599</v>
      </c>
      <c r="D4585" s="733"/>
      <c r="E4585" s="761"/>
      <c r="F4585" s="761"/>
      <c r="G4585" s="733"/>
      <c r="H4585" s="733"/>
      <c r="I4585" s="733"/>
      <c r="J4585" s="733"/>
      <c r="K4585" s="733"/>
      <c r="L4585" s="733"/>
      <c r="M4585" s="733"/>
    </row>
    <row r="4586" spans="1:13" ht="28.8" x14ac:dyDescent="0.3">
      <c r="A4586" s="733" t="s">
        <v>2792</v>
      </c>
      <c r="B4586" s="733" t="s">
        <v>664</v>
      </c>
      <c r="C4586" s="738" t="s">
        <v>4600</v>
      </c>
      <c r="D4586" s="733"/>
      <c r="E4586" s="761"/>
      <c r="F4586" s="761"/>
      <c r="G4586" s="733"/>
      <c r="H4586" s="733"/>
      <c r="I4586" s="733"/>
      <c r="J4586" s="733"/>
      <c r="K4586" s="733"/>
      <c r="L4586" s="733"/>
      <c r="M4586" s="733"/>
    </row>
    <row r="4587" spans="1:13" ht="28.8" x14ac:dyDescent="0.3">
      <c r="A4587" s="733" t="s">
        <v>2792</v>
      </c>
      <c r="B4587" s="733" t="s">
        <v>664</v>
      </c>
      <c r="C4587" s="738" t="s">
        <v>4601</v>
      </c>
      <c r="D4587" s="733"/>
      <c r="E4587" s="761"/>
      <c r="F4587" s="761"/>
      <c r="G4587" s="733"/>
      <c r="H4587" s="733"/>
      <c r="I4587" s="733"/>
      <c r="J4587" s="733"/>
      <c r="K4587" s="733"/>
      <c r="L4587" s="733"/>
      <c r="M4587" s="733"/>
    </row>
    <row r="4588" spans="1:13" ht="28.8" x14ac:dyDescent="0.3">
      <c r="A4588" s="733" t="s">
        <v>2792</v>
      </c>
      <c r="B4588" s="733" t="s">
        <v>664</v>
      </c>
      <c r="C4588" s="738" t="s">
        <v>4602</v>
      </c>
      <c r="D4588" s="733"/>
      <c r="E4588" s="761"/>
      <c r="F4588" s="761"/>
      <c r="G4588" s="733"/>
      <c r="H4588" s="733"/>
      <c r="I4588" s="733"/>
      <c r="J4588" s="733"/>
      <c r="K4588" s="733"/>
      <c r="L4588" s="733"/>
      <c r="M4588" s="733"/>
    </row>
    <row r="4589" spans="1:13" ht="28.8" x14ac:dyDescent="0.3">
      <c r="A4589" s="733" t="s">
        <v>2792</v>
      </c>
      <c r="B4589" s="733" t="s">
        <v>664</v>
      </c>
      <c r="C4589" s="738" t="s">
        <v>4603</v>
      </c>
      <c r="D4589" s="733"/>
      <c r="E4589" s="761"/>
      <c r="F4589" s="761"/>
      <c r="G4589" s="733"/>
      <c r="H4589" s="733"/>
      <c r="I4589" s="733"/>
      <c r="J4589" s="733"/>
      <c r="K4589" s="733"/>
      <c r="L4589" s="733"/>
      <c r="M4589" s="733"/>
    </row>
    <row r="4590" spans="1:13" ht="28.8" x14ac:dyDescent="0.3">
      <c r="A4590" s="733" t="s">
        <v>2792</v>
      </c>
      <c r="B4590" s="733" t="s">
        <v>664</v>
      </c>
      <c r="C4590" s="738" t="s">
        <v>4604</v>
      </c>
      <c r="D4590" s="733"/>
      <c r="E4590" s="761"/>
      <c r="F4590" s="761"/>
      <c r="G4590" s="733"/>
      <c r="H4590" s="733"/>
      <c r="I4590" s="733"/>
      <c r="J4590" s="733"/>
      <c r="K4590" s="733"/>
      <c r="L4590" s="733"/>
      <c r="M4590" s="733"/>
    </row>
    <row r="4591" spans="1:13" ht="28.8" x14ac:dyDescent="0.3">
      <c r="A4591" s="733" t="s">
        <v>2792</v>
      </c>
      <c r="B4591" s="733" t="s">
        <v>612</v>
      </c>
      <c r="C4591" s="738" t="s">
        <v>4605</v>
      </c>
      <c r="D4591" s="733"/>
      <c r="E4591" s="761"/>
      <c r="F4591" s="761"/>
      <c r="G4591" s="733"/>
      <c r="H4591" s="733"/>
      <c r="I4591" s="733"/>
      <c r="J4591" s="733"/>
      <c r="K4591" s="733"/>
      <c r="L4591" s="733"/>
      <c r="M4591" s="733"/>
    </row>
    <row r="4592" spans="1:13" x14ac:dyDescent="0.3">
      <c r="A4592" s="733" t="s">
        <v>2792</v>
      </c>
      <c r="B4592" s="733" t="s">
        <v>612</v>
      </c>
      <c r="C4592" s="738" t="s">
        <v>4606</v>
      </c>
      <c r="D4592" s="733"/>
      <c r="E4592" s="761"/>
      <c r="F4592" s="761"/>
      <c r="G4592" s="733"/>
      <c r="H4592" s="733"/>
      <c r="I4592" s="733"/>
      <c r="J4592" s="733"/>
      <c r="K4592" s="733"/>
      <c r="L4592" s="733"/>
      <c r="M4592" s="733"/>
    </row>
    <row r="4593" spans="1:13" ht="28.8" x14ac:dyDescent="0.3">
      <c r="A4593" s="733" t="s">
        <v>2792</v>
      </c>
      <c r="B4593" s="733" t="s">
        <v>612</v>
      </c>
      <c r="C4593" s="738" t="s">
        <v>4607</v>
      </c>
      <c r="D4593" s="733"/>
      <c r="E4593" s="761"/>
      <c r="F4593" s="761"/>
      <c r="G4593" s="733"/>
      <c r="H4593" s="733"/>
      <c r="I4593" s="733"/>
      <c r="J4593" s="733"/>
      <c r="K4593" s="733"/>
      <c r="L4593" s="733"/>
      <c r="M4593" s="733"/>
    </row>
    <row r="4594" spans="1:13" x14ac:dyDescent="0.3">
      <c r="A4594" s="733" t="s">
        <v>2792</v>
      </c>
      <c r="B4594" s="733" t="s">
        <v>612</v>
      </c>
      <c r="C4594" s="738" t="s">
        <v>4608</v>
      </c>
      <c r="D4594" s="733"/>
      <c r="E4594" s="761"/>
      <c r="F4594" s="761"/>
      <c r="G4594" s="733"/>
      <c r="H4594" s="733"/>
      <c r="I4594" s="733"/>
      <c r="J4594" s="733"/>
      <c r="K4594" s="733"/>
      <c r="L4594" s="733"/>
      <c r="M4594" s="733"/>
    </row>
    <row r="4595" spans="1:13" ht="28.8" x14ac:dyDescent="0.3">
      <c r="A4595" s="733" t="s">
        <v>2792</v>
      </c>
      <c r="B4595" s="733" t="s">
        <v>612</v>
      </c>
      <c r="C4595" s="738" t="s">
        <v>4609</v>
      </c>
      <c r="D4595" s="733"/>
      <c r="E4595" s="761"/>
      <c r="F4595" s="761"/>
      <c r="G4595" s="733"/>
      <c r="H4595" s="733"/>
      <c r="I4595" s="733"/>
      <c r="J4595" s="733"/>
      <c r="K4595" s="733"/>
      <c r="L4595" s="733"/>
      <c r="M4595" s="733"/>
    </row>
    <row r="4596" spans="1:13" x14ac:dyDescent="0.3">
      <c r="A4596" s="733" t="s">
        <v>3920</v>
      </c>
      <c r="B4596" s="733" t="s">
        <v>645</v>
      </c>
      <c r="C4596" s="738" t="s">
        <v>4610</v>
      </c>
      <c r="D4596" s="733"/>
      <c r="E4596" s="761"/>
      <c r="F4596" s="761"/>
      <c r="G4596" s="733"/>
      <c r="H4596" s="733"/>
      <c r="I4596" s="733"/>
      <c r="J4596" s="733"/>
      <c r="K4596" s="733"/>
      <c r="L4596" s="733"/>
      <c r="M4596" s="733"/>
    </row>
    <row r="4597" spans="1:13" ht="28.8" x14ac:dyDescent="0.3">
      <c r="A4597" s="733" t="s">
        <v>3920</v>
      </c>
      <c r="B4597" s="733" t="s">
        <v>645</v>
      </c>
      <c r="C4597" s="738" t="s">
        <v>4611</v>
      </c>
      <c r="D4597" s="733"/>
      <c r="E4597" s="761"/>
      <c r="F4597" s="761"/>
      <c r="G4597" s="733"/>
      <c r="H4597" s="733"/>
      <c r="I4597" s="733"/>
      <c r="J4597" s="733"/>
      <c r="K4597" s="733"/>
      <c r="L4597" s="733"/>
      <c r="M4597" s="733"/>
    </row>
    <row r="4598" spans="1:13" x14ac:dyDescent="0.3">
      <c r="A4598" s="733" t="s">
        <v>3920</v>
      </c>
      <c r="B4598" s="733" t="s">
        <v>645</v>
      </c>
      <c r="C4598" s="738" t="s">
        <v>4612</v>
      </c>
      <c r="D4598" s="733"/>
      <c r="E4598" s="761"/>
      <c r="F4598" s="761"/>
      <c r="G4598" s="733"/>
      <c r="H4598" s="733"/>
      <c r="I4598" s="733"/>
      <c r="J4598" s="733"/>
      <c r="K4598" s="733"/>
      <c r="L4598" s="733"/>
      <c r="M4598" s="733"/>
    </row>
    <row r="4599" spans="1:13" x14ac:dyDescent="0.3">
      <c r="A4599" s="733" t="s">
        <v>3920</v>
      </c>
      <c r="B4599" s="733" t="s">
        <v>645</v>
      </c>
      <c r="C4599" s="738" t="s">
        <v>4613</v>
      </c>
      <c r="D4599" s="733"/>
      <c r="E4599" s="761"/>
      <c r="F4599" s="761"/>
      <c r="G4599" s="733"/>
      <c r="H4599" s="733"/>
      <c r="I4599" s="733"/>
      <c r="J4599" s="733"/>
      <c r="K4599" s="733"/>
      <c r="L4599" s="733"/>
      <c r="M4599" s="733"/>
    </row>
    <row r="4600" spans="1:13" ht="28.8" x14ac:dyDescent="0.3">
      <c r="A4600" s="733" t="s">
        <v>3920</v>
      </c>
      <c r="B4600" s="733" t="s">
        <v>645</v>
      </c>
      <c r="C4600" s="738" t="s">
        <v>4614</v>
      </c>
      <c r="D4600" s="733"/>
      <c r="E4600" s="761"/>
      <c r="F4600" s="761"/>
      <c r="G4600" s="733"/>
      <c r="H4600" s="733"/>
      <c r="I4600" s="733"/>
      <c r="J4600" s="733"/>
      <c r="K4600" s="733"/>
      <c r="L4600" s="733"/>
      <c r="M4600" s="733"/>
    </row>
    <row r="4601" spans="1:13" ht="28.8" x14ac:dyDescent="0.3">
      <c r="A4601" s="733" t="s">
        <v>3920</v>
      </c>
      <c r="B4601" s="733" t="s">
        <v>664</v>
      </c>
      <c r="C4601" s="738" t="s">
        <v>4615</v>
      </c>
      <c r="D4601" s="733"/>
      <c r="E4601" s="761"/>
      <c r="F4601" s="761"/>
      <c r="G4601" s="733"/>
      <c r="H4601" s="733"/>
      <c r="I4601" s="733"/>
      <c r="J4601" s="733"/>
      <c r="K4601" s="733"/>
      <c r="L4601" s="733"/>
      <c r="M4601" s="733"/>
    </row>
    <row r="4602" spans="1:13" x14ac:dyDescent="0.3">
      <c r="A4602" s="733" t="s">
        <v>3920</v>
      </c>
      <c r="B4602" s="733" t="s">
        <v>664</v>
      </c>
      <c r="C4602" s="738" t="s">
        <v>4616</v>
      </c>
      <c r="D4602" s="733"/>
      <c r="E4602" s="761"/>
      <c r="F4602" s="761"/>
      <c r="G4602" s="733"/>
      <c r="H4602" s="733"/>
      <c r="I4602" s="733"/>
      <c r="J4602" s="733"/>
      <c r="K4602" s="733"/>
      <c r="L4602" s="733"/>
      <c r="M4602" s="733"/>
    </row>
    <row r="4603" spans="1:13" x14ac:dyDescent="0.3">
      <c r="A4603" s="733" t="s">
        <v>3920</v>
      </c>
      <c r="B4603" s="733" t="s">
        <v>664</v>
      </c>
      <c r="C4603" s="738" t="s">
        <v>4617</v>
      </c>
      <c r="D4603" s="733"/>
      <c r="E4603" s="761"/>
      <c r="F4603" s="761"/>
      <c r="G4603" s="733"/>
      <c r="H4603" s="733"/>
      <c r="I4603" s="733"/>
      <c r="J4603" s="733"/>
      <c r="K4603" s="733"/>
      <c r="L4603" s="733"/>
      <c r="M4603" s="733"/>
    </row>
    <row r="4604" spans="1:13" x14ac:dyDescent="0.3">
      <c r="A4604" s="733" t="s">
        <v>3920</v>
      </c>
      <c r="B4604" s="733" t="s">
        <v>664</v>
      </c>
      <c r="C4604" s="738" t="s">
        <v>4618</v>
      </c>
      <c r="D4604" s="733"/>
      <c r="E4604" s="761"/>
      <c r="F4604" s="761"/>
      <c r="G4604" s="733"/>
      <c r="H4604" s="733"/>
      <c r="I4604" s="733"/>
      <c r="J4604" s="733"/>
      <c r="K4604" s="733"/>
      <c r="L4604" s="733"/>
      <c r="M4604" s="733"/>
    </row>
    <row r="4605" spans="1:13" x14ac:dyDescent="0.3">
      <c r="A4605" s="733" t="s">
        <v>3920</v>
      </c>
      <c r="B4605" s="733" t="s">
        <v>664</v>
      </c>
      <c r="C4605" s="738" t="s">
        <v>4619</v>
      </c>
      <c r="D4605" s="733"/>
      <c r="E4605" s="761"/>
      <c r="F4605" s="761"/>
      <c r="G4605" s="733"/>
      <c r="H4605" s="733"/>
      <c r="I4605" s="733"/>
      <c r="J4605" s="733"/>
      <c r="K4605" s="733"/>
      <c r="L4605" s="733"/>
      <c r="M4605" s="733"/>
    </row>
    <row r="4606" spans="1:13" ht="28.8" x14ac:dyDescent="0.3">
      <c r="A4606" s="733" t="s">
        <v>3920</v>
      </c>
      <c r="B4606" s="733" t="s">
        <v>612</v>
      </c>
      <c r="C4606" s="738" t="s">
        <v>4620</v>
      </c>
      <c r="D4606" s="733"/>
      <c r="E4606" s="761"/>
      <c r="F4606" s="761"/>
      <c r="G4606" s="733"/>
      <c r="H4606" s="733"/>
      <c r="I4606" s="733"/>
      <c r="J4606" s="733"/>
      <c r="K4606" s="733"/>
      <c r="L4606" s="733"/>
      <c r="M4606" s="733"/>
    </row>
    <row r="4607" spans="1:13" ht="28.8" x14ac:dyDescent="0.3">
      <c r="A4607" s="733" t="s">
        <v>3920</v>
      </c>
      <c r="B4607" s="733" t="s">
        <v>612</v>
      </c>
      <c r="C4607" s="738" t="s">
        <v>4621</v>
      </c>
      <c r="D4607" s="733"/>
      <c r="E4607" s="761"/>
      <c r="F4607" s="761"/>
      <c r="G4607" s="733"/>
      <c r="H4607" s="733"/>
      <c r="I4607" s="733"/>
      <c r="J4607" s="733"/>
      <c r="K4607" s="733"/>
      <c r="L4607" s="733"/>
      <c r="M4607" s="733"/>
    </row>
    <row r="4608" spans="1:13" x14ac:dyDescent="0.3">
      <c r="A4608" s="733" t="s">
        <v>3920</v>
      </c>
      <c r="B4608" s="733" t="s">
        <v>612</v>
      </c>
      <c r="C4608" s="738" t="s">
        <v>4622</v>
      </c>
      <c r="D4608" s="733"/>
      <c r="E4608" s="761"/>
      <c r="F4608" s="761"/>
      <c r="G4608" s="733"/>
      <c r="H4608" s="733"/>
      <c r="I4608" s="733"/>
      <c r="J4608" s="733"/>
      <c r="K4608" s="733"/>
      <c r="L4608" s="733"/>
      <c r="M4608" s="733"/>
    </row>
    <row r="4609" spans="1:13" x14ac:dyDescent="0.3">
      <c r="A4609" s="733" t="s">
        <v>3920</v>
      </c>
      <c r="B4609" s="733" t="s">
        <v>612</v>
      </c>
      <c r="C4609" s="738" t="s">
        <v>4623</v>
      </c>
      <c r="D4609" s="733"/>
      <c r="E4609" s="761"/>
      <c r="F4609" s="761"/>
      <c r="G4609" s="733"/>
      <c r="H4609" s="733"/>
      <c r="I4609" s="733"/>
      <c r="J4609" s="733"/>
      <c r="K4609" s="733"/>
      <c r="L4609" s="733"/>
      <c r="M4609" s="733"/>
    </row>
    <row r="4610" spans="1:13" x14ac:dyDescent="0.3">
      <c r="A4610" s="733" t="s">
        <v>3920</v>
      </c>
      <c r="B4610" s="733" t="s">
        <v>612</v>
      </c>
      <c r="C4610" s="738" t="s">
        <v>4624</v>
      </c>
      <c r="D4610" s="733"/>
      <c r="E4610" s="761"/>
      <c r="F4610" s="761"/>
      <c r="G4610" s="733"/>
      <c r="H4610" s="733"/>
      <c r="I4610" s="733"/>
      <c r="J4610" s="733"/>
      <c r="K4610" s="733"/>
      <c r="L4610" s="733"/>
      <c r="M4610" s="733"/>
    </row>
    <row r="4611" spans="1:13" ht="28.8" x14ac:dyDescent="0.3">
      <c r="A4611" s="733" t="s">
        <v>3920</v>
      </c>
      <c r="B4611" s="733" t="s">
        <v>645</v>
      </c>
      <c r="C4611" s="738" t="s">
        <v>4625</v>
      </c>
      <c r="D4611" s="733"/>
      <c r="E4611" s="761"/>
      <c r="F4611" s="761"/>
      <c r="G4611" s="733"/>
      <c r="H4611" s="733"/>
      <c r="I4611" s="733"/>
      <c r="J4611" s="733"/>
      <c r="K4611" s="733"/>
      <c r="L4611" s="733"/>
      <c r="M4611" s="733"/>
    </row>
    <row r="4612" spans="1:13" ht="28.8" x14ac:dyDescent="0.3">
      <c r="A4612" s="733" t="s">
        <v>3920</v>
      </c>
      <c r="B4612" s="733" t="s">
        <v>645</v>
      </c>
      <c r="C4612" s="738" t="s">
        <v>4626</v>
      </c>
      <c r="D4612" s="733"/>
      <c r="E4612" s="761"/>
      <c r="F4612" s="761"/>
      <c r="G4612" s="733"/>
      <c r="H4612" s="733"/>
      <c r="I4612" s="733"/>
      <c r="J4612" s="733"/>
      <c r="K4612" s="733"/>
      <c r="L4612" s="733"/>
      <c r="M4612" s="733"/>
    </row>
    <row r="4613" spans="1:13" ht="28.8" x14ac:dyDescent="0.3">
      <c r="A4613" s="733" t="s">
        <v>3920</v>
      </c>
      <c r="B4613" s="733" t="s">
        <v>645</v>
      </c>
      <c r="C4613" s="738" t="s">
        <v>4627</v>
      </c>
      <c r="D4613" s="733"/>
      <c r="E4613" s="761"/>
      <c r="F4613" s="761"/>
      <c r="G4613" s="733"/>
      <c r="H4613" s="733"/>
      <c r="I4613" s="733"/>
      <c r="J4613" s="733"/>
      <c r="K4613" s="733"/>
      <c r="L4613" s="733"/>
      <c r="M4613" s="733"/>
    </row>
    <row r="4614" spans="1:13" ht="28.8" x14ac:dyDescent="0.3">
      <c r="A4614" s="733" t="s">
        <v>3920</v>
      </c>
      <c r="B4614" s="733" t="s">
        <v>645</v>
      </c>
      <c r="C4614" s="738" t="s">
        <v>4628</v>
      </c>
      <c r="D4614" s="733"/>
      <c r="E4614" s="761"/>
      <c r="F4614" s="761"/>
      <c r="G4614" s="733"/>
      <c r="H4614" s="733"/>
      <c r="I4614" s="733"/>
      <c r="J4614" s="733"/>
      <c r="K4614" s="733"/>
      <c r="L4614" s="733"/>
      <c r="M4614" s="733"/>
    </row>
    <row r="4615" spans="1:13" ht="28.8" x14ac:dyDescent="0.3">
      <c r="A4615" s="733" t="s">
        <v>3920</v>
      </c>
      <c r="B4615" s="733" t="s">
        <v>645</v>
      </c>
      <c r="C4615" s="738" t="s">
        <v>4629</v>
      </c>
      <c r="D4615" s="733"/>
      <c r="E4615" s="761"/>
      <c r="F4615" s="761"/>
      <c r="G4615" s="733"/>
      <c r="H4615" s="733"/>
      <c r="I4615" s="733"/>
      <c r="J4615" s="733"/>
      <c r="K4615" s="733"/>
      <c r="L4615" s="733"/>
      <c r="M4615" s="733"/>
    </row>
    <row r="4616" spans="1:13" ht="28.8" x14ac:dyDescent="0.3">
      <c r="A4616" s="733" t="s">
        <v>3920</v>
      </c>
      <c r="B4616" s="733" t="s">
        <v>664</v>
      </c>
      <c r="C4616" s="738" t="s">
        <v>4630</v>
      </c>
      <c r="D4616" s="733"/>
      <c r="E4616" s="761"/>
      <c r="F4616" s="761"/>
      <c r="G4616" s="733"/>
      <c r="H4616" s="733"/>
      <c r="I4616" s="733"/>
      <c r="J4616" s="733"/>
      <c r="K4616" s="733"/>
      <c r="L4616" s="733"/>
      <c r="M4616" s="733"/>
    </row>
    <row r="4617" spans="1:13" ht="28.8" x14ac:dyDescent="0.3">
      <c r="A4617" s="733" t="s">
        <v>3920</v>
      </c>
      <c r="B4617" s="733" t="s">
        <v>664</v>
      </c>
      <c r="C4617" s="738" t="s">
        <v>4631</v>
      </c>
      <c r="D4617" s="733"/>
      <c r="E4617" s="761"/>
      <c r="F4617" s="761"/>
      <c r="G4617" s="733"/>
      <c r="H4617" s="733"/>
      <c r="I4617" s="733"/>
      <c r="J4617" s="733"/>
      <c r="K4617" s="733"/>
      <c r="L4617" s="733"/>
      <c r="M4617" s="733"/>
    </row>
    <row r="4618" spans="1:13" x14ac:dyDescent="0.3">
      <c r="A4618" s="733" t="s">
        <v>3920</v>
      </c>
      <c r="B4618" s="733" t="s">
        <v>664</v>
      </c>
      <c r="C4618" s="738" t="s">
        <v>4632</v>
      </c>
      <c r="D4618" s="733"/>
      <c r="E4618" s="761"/>
      <c r="F4618" s="761"/>
      <c r="G4618" s="733"/>
      <c r="H4618" s="733"/>
      <c r="I4618" s="733"/>
      <c r="J4618" s="733"/>
      <c r="K4618" s="733"/>
      <c r="L4618" s="733"/>
      <c r="M4618" s="733"/>
    </row>
    <row r="4619" spans="1:13" ht="28.8" x14ac:dyDescent="0.3">
      <c r="A4619" s="733" t="s">
        <v>3920</v>
      </c>
      <c r="B4619" s="733" t="s">
        <v>664</v>
      </c>
      <c r="C4619" s="738" t="s">
        <v>4633</v>
      </c>
      <c r="D4619" s="733"/>
      <c r="E4619" s="761"/>
      <c r="F4619" s="761"/>
      <c r="G4619" s="733"/>
      <c r="H4619" s="733"/>
      <c r="I4619" s="733"/>
      <c r="J4619" s="733"/>
      <c r="K4619" s="733"/>
      <c r="L4619" s="733"/>
      <c r="M4619" s="733"/>
    </row>
    <row r="4620" spans="1:13" ht="28.8" x14ac:dyDescent="0.3">
      <c r="A4620" s="733" t="s">
        <v>3920</v>
      </c>
      <c r="B4620" s="733" t="s">
        <v>664</v>
      </c>
      <c r="C4620" s="738" t="s">
        <v>4634</v>
      </c>
      <c r="D4620" s="733"/>
      <c r="E4620" s="761"/>
      <c r="F4620" s="761"/>
      <c r="G4620" s="733"/>
      <c r="H4620" s="733"/>
      <c r="I4620" s="733"/>
      <c r="J4620" s="733"/>
      <c r="K4620" s="733"/>
      <c r="L4620" s="733"/>
      <c r="M4620" s="733"/>
    </row>
    <row r="4621" spans="1:13" x14ac:dyDescent="0.3">
      <c r="A4621" s="733" t="s">
        <v>3920</v>
      </c>
      <c r="B4621" s="733" t="s">
        <v>612</v>
      </c>
      <c r="C4621" s="738" t="s">
        <v>4635</v>
      </c>
      <c r="D4621" s="733"/>
      <c r="E4621" s="761"/>
      <c r="F4621" s="761"/>
      <c r="G4621" s="733"/>
      <c r="H4621" s="733"/>
      <c r="I4621" s="733"/>
      <c r="J4621" s="733"/>
      <c r="K4621" s="733"/>
      <c r="L4621" s="733"/>
      <c r="M4621" s="733"/>
    </row>
    <row r="4622" spans="1:13" ht="28.8" x14ac:dyDescent="0.3">
      <c r="A4622" s="733" t="s">
        <v>3920</v>
      </c>
      <c r="B4622" s="733" t="s">
        <v>612</v>
      </c>
      <c r="C4622" s="738" t="s">
        <v>4636</v>
      </c>
      <c r="D4622" s="733"/>
      <c r="E4622" s="761"/>
      <c r="F4622" s="761"/>
      <c r="G4622" s="733"/>
      <c r="H4622" s="733"/>
      <c r="I4622" s="733"/>
      <c r="J4622" s="733"/>
      <c r="K4622" s="733"/>
      <c r="L4622" s="733"/>
      <c r="M4622" s="733"/>
    </row>
    <row r="4623" spans="1:13" ht="28.8" x14ac:dyDescent="0.3">
      <c r="A4623" s="733" t="s">
        <v>3920</v>
      </c>
      <c r="B4623" s="733" t="s">
        <v>612</v>
      </c>
      <c r="C4623" s="738" t="s">
        <v>4637</v>
      </c>
      <c r="D4623" s="733"/>
      <c r="E4623" s="761"/>
      <c r="F4623" s="761"/>
      <c r="G4623" s="733"/>
      <c r="H4623" s="733"/>
      <c r="I4623" s="733"/>
      <c r="J4623" s="733"/>
      <c r="K4623" s="733"/>
      <c r="L4623" s="733"/>
      <c r="M4623" s="733"/>
    </row>
    <row r="4624" spans="1:13" ht="28.8" x14ac:dyDescent="0.3">
      <c r="A4624" s="733" t="s">
        <v>3920</v>
      </c>
      <c r="B4624" s="733" t="s">
        <v>612</v>
      </c>
      <c r="C4624" s="738" t="s">
        <v>4638</v>
      </c>
      <c r="D4624" s="733"/>
      <c r="E4624" s="761"/>
      <c r="F4624" s="761"/>
      <c r="G4624" s="733"/>
      <c r="H4624" s="733"/>
      <c r="I4624" s="733"/>
      <c r="J4624" s="733"/>
      <c r="K4624" s="733"/>
      <c r="L4624" s="733"/>
      <c r="M4624" s="733"/>
    </row>
    <row r="4625" spans="1:13" ht="28.8" x14ac:dyDescent="0.3">
      <c r="A4625" s="733" t="s">
        <v>3920</v>
      </c>
      <c r="B4625" s="733" t="s">
        <v>612</v>
      </c>
      <c r="C4625" s="738" t="s">
        <v>4639</v>
      </c>
      <c r="D4625" s="733"/>
      <c r="E4625" s="761"/>
      <c r="F4625" s="761"/>
      <c r="G4625" s="733"/>
      <c r="H4625" s="733"/>
      <c r="I4625" s="733"/>
      <c r="J4625" s="733"/>
      <c r="K4625" s="733"/>
      <c r="L4625" s="733"/>
      <c r="M4625" s="733"/>
    </row>
    <row r="4626" spans="1:13" x14ac:dyDescent="0.3">
      <c r="A4626" s="733" t="s">
        <v>4640</v>
      </c>
      <c r="B4626" s="733" t="s">
        <v>645</v>
      </c>
      <c r="C4626" s="733" t="s">
        <v>4641</v>
      </c>
      <c r="D4626" s="733"/>
      <c r="E4626" s="761"/>
      <c r="F4626" s="761"/>
      <c r="G4626" s="733"/>
      <c r="H4626" s="733"/>
      <c r="I4626" s="733"/>
      <c r="J4626" s="733"/>
      <c r="K4626" s="733"/>
      <c r="L4626" s="733"/>
      <c r="M4626" s="733"/>
    </row>
    <row r="4627" spans="1:13" x14ac:dyDescent="0.3">
      <c r="A4627" s="733" t="s">
        <v>4640</v>
      </c>
      <c r="B4627" s="733" t="s">
        <v>645</v>
      </c>
      <c r="C4627" s="733" t="s">
        <v>4642</v>
      </c>
      <c r="D4627" s="733"/>
      <c r="E4627" s="761"/>
      <c r="F4627" s="761"/>
      <c r="G4627" s="733"/>
      <c r="H4627" s="733"/>
      <c r="I4627" s="733"/>
      <c r="J4627" s="733"/>
      <c r="K4627" s="733"/>
      <c r="L4627" s="733"/>
      <c r="M4627" s="733"/>
    </row>
    <row r="4628" spans="1:13" x14ac:dyDescent="0.3">
      <c r="A4628" s="733" t="s">
        <v>4640</v>
      </c>
      <c r="B4628" s="733" t="s">
        <v>645</v>
      </c>
      <c r="C4628" s="733" t="s">
        <v>4643</v>
      </c>
      <c r="D4628" s="733"/>
      <c r="E4628" s="761"/>
      <c r="F4628" s="761"/>
      <c r="G4628" s="733"/>
      <c r="H4628" s="733"/>
      <c r="I4628" s="733"/>
      <c r="J4628" s="733"/>
      <c r="K4628" s="733"/>
      <c r="L4628" s="733"/>
      <c r="M4628" s="733"/>
    </row>
    <row r="4629" spans="1:13" x14ac:dyDescent="0.3">
      <c r="A4629" s="733" t="s">
        <v>4640</v>
      </c>
      <c r="B4629" s="733" t="s">
        <v>645</v>
      </c>
      <c r="C4629" s="733" t="s">
        <v>4644</v>
      </c>
      <c r="D4629" s="733"/>
      <c r="E4629" s="761"/>
      <c r="F4629" s="761"/>
      <c r="G4629" s="733"/>
      <c r="H4629" s="733"/>
      <c r="I4629" s="733"/>
      <c r="J4629" s="733"/>
      <c r="K4629" s="733"/>
      <c r="L4629" s="733"/>
      <c r="M4629" s="733"/>
    </row>
    <row r="4630" spans="1:13" x14ac:dyDescent="0.3">
      <c r="A4630" s="733" t="s">
        <v>4640</v>
      </c>
      <c r="B4630" s="733" t="s">
        <v>645</v>
      </c>
      <c r="C4630" s="733" t="s">
        <v>4645</v>
      </c>
      <c r="D4630" s="733"/>
      <c r="E4630" s="761"/>
      <c r="F4630" s="761"/>
      <c r="G4630" s="733"/>
      <c r="H4630" s="733"/>
      <c r="I4630" s="733"/>
      <c r="J4630" s="733"/>
      <c r="K4630" s="733"/>
      <c r="L4630" s="733"/>
      <c r="M4630" s="733"/>
    </row>
    <row r="4631" spans="1:13" x14ac:dyDescent="0.3">
      <c r="A4631" s="733" t="s">
        <v>4640</v>
      </c>
      <c r="B4631" s="733" t="s">
        <v>664</v>
      </c>
      <c r="C4631" s="733" t="s">
        <v>4646</v>
      </c>
      <c r="D4631" s="733"/>
      <c r="E4631" s="761"/>
      <c r="F4631" s="761"/>
      <c r="G4631" s="733"/>
      <c r="H4631" s="733"/>
      <c r="I4631" s="733"/>
      <c r="J4631" s="733"/>
      <c r="K4631" s="733"/>
      <c r="L4631" s="733"/>
      <c r="M4631" s="733"/>
    </row>
    <row r="4632" spans="1:13" x14ac:dyDescent="0.3">
      <c r="A4632" s="733" t="s">
        <v>4640</v>
      </c>
      <c r="B4632" s="733" t="s">
        <v>664</v>
      </c>
      <c r="C4632" s="733" t="s">
        <v>4647</v>
      </c>
      <c r="D4632" s="733"/>
      <c r="E4632" s="761"/>
      <c r="F4632" s="761"/>
      <c r="G4632" s="733"/>
      <c r="H4632" s="733"/>
      <c r="I4632" s="733"/>
      <c r="J4632" s="733"/>
      <c r="K4632" s="733"/>
      <c r="L4632" s="733"/>
      <c r="M4632" s="733"/>
    </row>
    <row r="4633" spans="1:13" x14ac:dyDescent="0.3">
      <c r="A4633" s="733" t="s">
        <v>4640</v>
      </c>
      <c r="B4633" s="733" t="s">
        <v>664</v>
      </c>
      <c r="C4633" s="733" t="s">
        <v>4648</v>
      </c>
      <c r="D4633" s="733"/>
      <c r="E4633" s="761"/>
      <c r="F4633" s="761"/>
      <c r="G4633" s="733"/>
      <c r="H4633" s="733"/>
      <c r="I4633" s="733"/>
      <c r="J4633" s="733"/>
      <c r="K4633" s="733"/>
      <c r="L4633" s="733"/>
      <c r="M4633" s="733"/>
    </row>
    <row r="4634" spans="1:13" x14ac:dyDescent="0.3">
      <c r="A4634" s="733" t="s">
        <v>4640</v>
      </c>
      <c r="B4634" s="733" t="s">
        <v>664</v>
      </c>
      <c r="C4634" s="733" t="s">
        <v>4649</v>
      </c>
      <c r="D4634" s="733"/>
      <c r="E4634" s="761"/>
      <c r="F4634" s="761"/>
      <c r="G4634" s="733"/>
      <c r="H4634" s="733"/>
      <c r="I4634" s="733"/>
      <c r="J4634" s="733"/>
      <c r="K4634" s="733"/>
      <c r="L4634" s="733"/>
      <c r="M4634" s="733"/>
    </row>
    <row r="4635" spans="1:13" x14ac:dyDescent="0.3">
      <c r="A4635" s="733" t="s">
        <v>4640</v>
      </c>
      <c r="B4635" s="733" t="s">
        <v>664</v>
      </c>
      <c r="C4635" s="733" t="s">
        <v>4650</v>
      </c>
      <c r="D4635" s="733"/>
      <c r="E4635" s="761"/>
      <c r="F4635" s="761"/>
      <c r="G4635" s="733"/>
      <c r="H4635" s="733"/>
      <c r="I4635" s="733"/>
      <c r="J4635" s="733"/>
      <c r="K4635" s="733"/>
      <c r="L4635" s="733"/>
      <c r="M4635" s="733"/>
    </row>
    <row r="4636" spans="1:13" x14ac:dyDescent="0.3">
      <c r="A4636" s="733" t="s">
        <v>4640</v>
      </c>
      <c r="B4636" s="733" t="s">
        <v>612</v>
      </c>
      <c r="C4636" s="733" t="s">
        <v>4651</v>
      </c>
      <c r="D4636" s="733"/>
      <c r="E4636" s="761"/>
      <c r="F4636" s="761"/>
      <c r="G4636" s="733"/>
      <c r="H4636" s="733"/>
      <c r="I4636" s="733"/>
      <c r="J4636" s="733"/>
      <c r="K4636" s="733"/>
      <c r="L4636" s="733"/>
      <c r="M4636" s="733"/>
    </row>
    <row r="4637" spans="1:13" x14ac:dyDescent="0.3">
      <c r="A4637" s="733" t="s">
        <v>4640</v>
      </c>
      <c r="B4637" s="733" t="s">
        <v>612</v>
      </c>
      <c r="C4637" s="733" t="s">
        <v>4652</v>
      </c>
      <c r="D4637" s="733"/>
      <c r="E4637" s="761"/>
      <c r="F4637" s="761"/>
      <c r="G4637" s="733"/>
      <c r="H4637" s="733"/>
      <c r="I4637" s="733"/>
      <c r="J4637" s="733"/>
      <c r="K4637" s="733"/>
      <c r="L4637" s="733"/>
      <c r="M4637" s="733"/>
    </row>
    <row r="4638" spans="1:13" x14ac:dyDescent="0.3">
      <c r="A4638" s="733" t="s">
        <v>4640</v>
      </c>
      <c r="B4638" s="733" t="s">
        <v>612</v>
      </c>
      <c r="C4638" s="733" t="s">
        <v>4653</v>
      </c>
      <c r="D4638" s="733"/>
      <c r="E4638" s="761"/>
      <c r="F4638" s="761"/>
      <c r="G4638" s="733"/>
      <c r="H4638" s="733"/>
      <c r="I4638" s="733"/>
      <c r="J4638" s="733"/>
      <c r="K4638" s="733"/>
      <c r="L4638" s="733"/>
      <c r="M4638" s="733"/>
    </row>
    <row r="4639" spans="1:13" x14ac:dyDescent="0.3">
      <c r="A4639" s="733" t="s">
        <v>4640</v>
      </c>
      <c r="B4639" s="733" t="s">
        <v>612</v>
      </c>
      <c r="C4639" s="733" t="s">
        <v>4654</v>
      </c>
      <c r="D4639" s="733"/>
      <c r="E4639" s="761"/>
      <c r="F4639" s="761"/>
      <c r="G4639" s="733"/>
      <c r="H4639" s="733"/>
      <c r="I4639" s="733"/>
      <c r="J4639" s="733"/>
      <c r="K4639" s="733"/>
      <c r="L4639" s="733"/>
      <c r="M4639" s="733"/>
    </row>
    <row r="4640" spans="1:13" x14ac:dyDescent="0.3">
      <c r="A4640" s="733" t="s">
        <v>4640</v>
      </c>
      <c r="B4640" s="733" t="s">
        <v>612</v>
      </c>
      <c r="C4640" s="733" t="s">
        <v>4655</v>
      </c>
      <c r="D4640" s="733"/>
      <c r="E4640" s="761"/>
      <c r="F4640" s="761"/>
      <c r="G4640" s="733"/>
      <c r="H4640" s="733"/>
      <c r="I4640" s="733"/>
      <c r="J4640" s="733"/>
      <c r="K4640" s="733"/>
      <c r="L4640" s="733"/>
      <c r="M4640" s="733"/>
    </row>
    <row r="4641" spans="1:13" x14ac:dyDescent="0.3">
      <c r="A4641" s="733" t="s">
        <v>2936</v>
      </c>
      <c r="B4641" s="733" t="s">
        <v>645</v>
      </c>
      <c r="C4641" s="733" t="s">
        <v>4656</v>
      </c>
      <c r="D4641" s="733"/>
      <c r="E4641" s="761"/>
      <c r="F4641" s="761"/>
      <c r="G4641" s="733"/>
      <c r="H4641" s="733"/>
      <c r="I4641" s="733"/>
      <c r="J4641" s="733"/>
      <c r="K4641" s="733"/>
      <c r="L4641" s="733"/>
      <c r="M4641" s="733"/>
    </row>
    <row r="4642" spans="1:13" x14ac:dyDescent="0.3">
      <c r="A4642" s="733" t="s">
        <v>2936</v>
      </c>
      <c r="B4642" s="733" t="s">
        <v>645</v>
      </c>
      <c r="C4642" s="733" t="s">
        <v>4657</v>
      </c>
      <c r="D4642" s="733"/>
      <c r="E4642" s="761"/>
      <c r="F4642" s="761"/>
      <c r="G4642" s="733"/>
      <c r="H4642" s="733"/>
      <c r="I4642" s="733"/>
      <c r="J4642" s="733"/>
      <c r="K4642" s="733"/>
      <c r="L4642" s="733"/>
      <c r="M4642" s="733"/>
    </row>
    <row r="4643" spans="1:13" x14ac:dyDescent="0.3">
      <c r="A4643" s="733" t="s">
        <v>2936</v>
      </c>
      <c r="B4643" s="733" t="s">
        <v>645</v>
      </c>
      <c r="C4643" s="733" t="s">
        <v>4658</v>
      </c>
      <c r="D4643" s="733"/>
      <c r="E4643" s="761"/>
      <c r="F4643" s="761"/>
      <c r="G4643" s="733"/>
      <c r="H4643" s="733"/>
      <c r="I4643" s="733"/>
      <c r="J4643" s="733"/>
      <c r="K4643" s="733"/>
      <c r="L4643" s="733"/>
      <c r="M4643" s="733"/>
    </row>
    <row r="4644" spans="1:13" x14ac:dyDescent="0.3">
      <c r="A4644" s="733" t="s">
        <v>2936</v>
      </c>
      <c r="B4644" s="733" t="s">
        <v>645</v>
      </c>
      <c r="C4644" s="733" t="s">
        <v>4659</v>
      </c>
      <c r="D4644" s="733"/>
      <c r="E4644" s="761"/>
      <c r="F4644" s="761"/>
      <c r="G4644" s="733"/>
      <c r="H4644" s="733"/>
      <c r="I4644" s="733"/>
      <c r="J4644" s="733"/>
      <c r="K4644" s="733"/>
      <c r="L4644" s="733"/>
      <c r="M4644" s="733"/>
    </row>
    <row r="4645" spans="1:13" x14ac:dyDescent="0.3">
      <c r="A4645" s="733" t="s">
        <v>2936</v>
      </c>
      <c r="B4645" s="733" t="s">
        <v>645</v>
      </c>
      <c r="C4645" s="733" t="s">
        <v>4660</v>
      </c>
      <c r="D4645" s="733"/>
      <c r="E4645" s="761"/>
      <c r="F4645" s="761"/>
      <c r="G4645" s="733"/>
      <c r="H4645" s="733"/>
      <c r="I4645" s="733"/>
      <c r="J4645" s="733"/>
      <c r="K4645" s="733"/>
      <c r="L4645" s="733"/>
      <c r="M4645" s="733"/>
    </row>
    <row r="4646" spans="1:13" x14ac:dyDescent="0.3">
      <c r="A4646" s="733" t="s">
        <v>2936</v>
      </c>
      <c r="B4646" s="733" t="s">
        <v>664</v>
      </c>
      <c r="C4646" s="733" t="s">
        <v>4661</v>
      </c>
      <c r="D4646" s="733"/>
      <c r="E4646" s="761"/>
      <c r="F4646" s="761"/>
      <c r="G4646" s="733"/>
      <c r="H4646" s="733"/>
      <c r="I4646" s="733"/>
      <c r="J4646" s="733"/>
      <c r="K4646" s="733"/>
      <c r="L4646" s="733"/>
      <c r="M4646" s="733"/>
    </row>
    <row r="4647" spans="1:13" x14ac:dyDescent="0.3">
      <c r="A4647" s="733" t="s">
        <v>2936</v>
      </c>
      <c r="B4647" s="733" t="s">
        <v>664</v>
      </c>
      <c r="C4647" s="733" t="s">
        <v>4662</v>
      </c>
      <c r="D4647" s="733"/>
      <c r="E4647" s="761"/>
      <c r="F4647" s="761"/>
      <c r="G4647" s="733"/>
      <c r="H4647" s="733"/>
      <c r="I4647" s="733"/>
      <c r="J4647" s="733"/>
      <c r="K4647" s="733"/>
      <c r="L4647" s="733"/>
      <c r="M4647" s="733"/>
    </row>
    <row r="4648" spans="1:13" x14ac:dyDescent="0.3">
      <c r="A4648" s="733" t="s">
        <v>2936</v>
      </c>
      <c r="B4648" s="733" t="s">
        <v>664</v>
      </c>
      <c r="C4648" s="733" t="s">
        <v>4663</v>
      </c>
      <c r="D4648" s="733"/>
      <c r="E4648" s="761"/>
      <c r="F4648" s="761"/>
      <c r="G4648" s="733"/>
      <c r="H4648" s="733"/>
      <c r="I4648" s="733"/>
      <c r="J4648" s="733"/>
      <c r="K4648" s="733"/>
      <c r="L4648" s="733"/>
      <c r="M4648" s="733"/>
    </row>
    <row r="4649" spans="1:13" x14ac:dyDescent="0.3">
      <c r="A4649" s="733" t="s">
        <v>2936</v>
      </c>
      <c r="B4649" s="733" t="s">
        <v>664</v>
      </c>
      <c r="C4649" s="733" t="s">
        <v>4664</v>
      </c>
      <c r="D4649" s="733"/>
      <c r="E4649" s="761"/>
      <c r="F4649" s="761"/>
      <c r="G4649" s="733"/>
      <c r="H4649" s="733"/>
      <c r="I4649" s="733"/>
      <c r="J4649" s="733"/>
      <c r="K4649" s="733"/>
      <c r="L4649" s="733"/>
      <c r="M4649" s="733"/>
    </row>
    <row r="4650" spans="1:13" x14ac:dyDescent="0.3">
      <c r="A4650" s="733" t="s">
        <v>2936</v>
      </c>
      <c r="B4650" s="733" t="s">
        <v>664</v>
      </c>
      <c r="C4650" s="733" t="s">
        <v>4665</v>
      </c>
      <c r="D4650" s="733"/>
      <c r="E4650" s="761"/>
      <c r="F4650" s="761"/>
      <c r="G4650" s="733"/>
      <c r="H4650" s="733"/>
      <c r="I4650" s="733"/>
      <c r="J4650" s="733"/>
      <c r="K4650" s="733"/>
      <c r="L4650" s="733"/>
      <c r="M4650" s="733"/>
    </row>
    <row r="4651" spans="1:13" x14ac:dyDescent="0.3">
      <c r="A4651" s="733" t="s">
        <v>2936</v>
      </c>
      <c r="B4651" s="733" t="s">
        <v>612</v>
      </c>
      <c r="C4651" s="733" t="s">
        <v>4666</v>
      </c>
      <c r="D4651" s="733"/>
      <c r="E4651" s="761"/>
      <c r="F4651" s="761"/>
      <c r="G4651" s="733"/>
      <c r="H4651" s="733"/>
      <c r="I4651" s="733"/>
      <c r="J4651" s="733"/>
      <c r="K4651" s="733"/>
      <c r="L4651" s="733"/>
      <c r="M4651" s="733"/>
    </row>
    <row r="4652" spans="1:13" x14ac:dyDescent="0.3">
      <c r="A4652" s="733" t="s">
        <v>2936</v>
      </c>
      <c r="B4652" s="733" t="s">
        <v>612</v>
      </c>
      <c r="C4652" s="733" t="s">
        <v>4667</v>
      </c>
      <c r="D4652" s="733"/>
      <c r="E4652" s="761"/>
      <c r="F4652" s="761"/>
      <c r="G4652" s="733"/>
      <c r="H4652" s="733"/>
      <c r="I4652" s="733"/>
      <c r="J4652" s="733"/>
      <c r="K4652" s="733"/>
      <c r="L4652" s="733"/>
      <c r="M4652" s="733"/>
    </row>
    <row r="4653" spans="1:13" x14ac:dyDescent="0.3">
      <c r="A4653" s="733" t="s">
        <v>2936</v>
      </c>
      <c r="B4653" s="733" t="s">
        <v>612</v>
      </c>
      <c r="C4653" s="733" t="s">
        <v>4668</v>
      </c>
      <c r="D4653" s="733"/>
      <c r="E4653" s="761"/>
      <c r="F4653" s="761"/>
      <c r="G4653" s="733"/>
      <c r="H4653" s="733"/>
      <c r="I4653" s="733"/>
      <c r="J4653" s="733"/>
      <c r="K4653" s="733"/>
      <c r="L4653" s="733"/>
      <c r="M4653" s="733"/>
    </row>
    <row r="4654" spans="1:13" x14ac:dyDescent="0.3">
      <c r="A4654" s="733" t="s">
        <v>2936</v>
      </c>
      <c r="B4654" s="733" t="s">
        <v>612</v>
      </c>
      <c r="C4654" s="733" t="s">
        <v>4669</v>
      </c>
      <c r="D4654" s="733"/>
      <c r="E4654" s="761"/>
      <c r="F4654" s="761"/>
      <c r="G4654" s="733"/>
      <c r="H4654" s="733"/>
      <c r="I4654" s="733"/>
      <c r="J4654" s="733"/>
      <c r="K4654" s="733"/>
      <c r="L4654" s="733"/>
      <c r="M4654" s="733"/>
    </row>
    <row r="4655" spans="1:13" x14ac:dyDescent="0.3">
      <c r="A4655" s="733" t="s">
        <v>2936</v>
      </c>
      <c r="B4655" s="733" t="s">
        <v>612</v>
      </c>
      <c r="C4655" s="733" t="s">
        <v>4670</v>
      </c>
      <c r="D4655" s="733"/>
      <c r="E4655" s="761"/>
      <c r="F4655" s="761"/>
      <c r="G4655" s="733"/>
      <c r="H4655" s="733"/>
      <c r="I4655" s="733"/>
      <c r="J4655" s="733"/>
      <c r="K4655" s="733"/>
      <c r="L4655" s="733"/>
      <c r="M4655" s="733"/>
    </row>
    <row r="4656" spans="1:13" x14ac:dyDescent="0.3">
      <c r="A4656" s="733" t="s">
        <v>4671</v>
      </c>
      <c r="B4656" s="733" t="s">
        <v>645</v>
      </c>
      <c r="C4656" s="733" t="s">
        <v>4672</v>
      </c>
      <c r="D4656" s="733"/>
      <c r="E4656" s="761"/>
      <c r="F4656" s="761"/>
      <c r="G4656" s="733"/>
      <c r="H4656" s="733"/>
      <c r="I4656" s="733"/>
      <c r="J4656" s="733"/>
      <c r="K4656" s="733"/>
      <c r="L4656" s="733"/>
      <c r="M4656" s="733"/>
    </row>
    <row r="4657" spans="1:13" x14ac:dyDescent="0.3">
      <c r="A4657" s="733" t="s">
        <v>4671</v>
      </c>
      <c r="B4657" s="733" t="s">
        <v>645</v>
      </c>
      <c r="C4657" s="733" t="s">
        <v>4673</v>
      </c>
      <c r="D4657" s="733"/>
      <c r="E4657" s="761"/>
      <c r="F4657" s="761"/>
      <c r="G4657" s="733"/>
      <c r="H4657" s="733"/>
      <c r="I4657" s="733"/>
      <c r="J4657" s="733"/>
      <c r="K4657" s="733"/>
      <c r="L4657" s="733"/>
      <c r="M4657" s="733"/>
    </row>
    <row r="4658" spans="1:13" x14ac:dyDescent="0.3">
      <c r="A4658" s="733" t="s">
        <v>4671</v>
      </c>
      <c r="B4658" s="733" t="s">
        <v>645</v>
      </c>
      <c r="C4658" s="733" t="s">
        <v>4674</v>
      </c>
      <c r="D4658" s="733"/>
      <c r="E4658" s="761"/>
      <c r="F4658" s="761"/>
      <c r="G4658" s="733"/>
      <c r="H4658" s="733"/>
      <c r="I4658" s="733"/>
      <c r="J4658" s="733"/>
      <c r="K4658" s="733"/>
      <c r="L4658" s="733"/>
      <c r="M4658" s="733"/>
    </row>
    <row r="4659" spans="1:13" x14ac:dyDescent="0.3">
      <c r="A4659" s="733" t="s">
        <v>4671</v>
      </c>
      <c r="B4659" s="733" t="s">
        <v>645</v>
      </c>
      <c r="C4659" s="733" t="s">
        <v>4675</v>
      </c>
      <c r="D4659" s="733"/>
      <c r="E4659" s="761"/>
      <c r="F4659" s="761"/>
      <c r="G4659" s="733"/>
      <c r="H4659" s="733"/>
      <c r="I4659" s="733"/>
      <c r="J4659" s="733"/>
      <c r="K4659" s="733"/>
      <c r="L4659" s="733"/>
      <c r="M4659" s="733"/>
    </row>
    <row r="4660" spans="1:13" x14ac:dyDescent="0.3">
      <c r="A4660" s="733" t="s">
        <v>4671</v>
      </c>
      <c r="B4660" s="733" t="s">
        <v>645</v>
      </c>
      <c r="C4660" s="733" t="s">
        <v>4676</v>
      </c>
      <c r="D4660" s="733"/>
      <c r="E4660" s="761"/>
      <c r="F4660" s="761"/>
      <c r="G4660" s="733"/>
      <c r="H4660" s="733"/>
      <c r="I4660" s="733"/>
      <c r="J4660" s="733"/>
      <c r="K4660" s="733"/>
      <c r="L4660" s="733"/>
      <c r="M4660" s="733"/>
    </row>
    <row r="4661" spans="1:13" x14ac:dyDescent="0.3">
      <c r="A4661" s="733" t="s">
        <v>4671</v>
      </c>
      <c r="B4661" s="733" t="s">
        <v>645</v>
      </c>
      <c r="C4661" s="733" t="s">
        <v>4677</v>
      </c>
      <c r="D4661" s="733"/>
      <c r="E4661" s="761"/>
      <c r="F4661" s="761"/>
      <c r="G4661" s="733"/>
      <c r="H4661" s="733"/>
      <c r="I4661" s="733"/>
      <c r="J4661" s="733"/>
      <c r="K4661" s="733"/>
      <c r="L4661" s="733"/>
      <c r="M4661" s="733"/>
    </row>
    <row r="4662" spans="1:13" x14ac:dyDescent="0.3">
      <c r="A4662" s="733" t="s">
        <v>4671</v>
      </c>
      <c r="B4662" s="733" t="s">
        <v>645</v>
      </c>
      <c r="C4662" s="733" t="s">
        <v>4678</v>
      </c>
      <c r="D4662" s="733"/>
      <c r="E4662" s="761"/>
      <c r="F4662" s="761"/>
      <c r="G4662" s="733"/>
      <c r="H4662" s="733"/>
      <c r="I4662" s="733"/>
      <c r="J4662" s="733"/>
      <c r="K4662" s="733"/>
      <c r="L4662" s="733"/>
      <c r="M4662" s="733"/>
    </row>
    <row r="4663" spans="1:13" x14ac:dyDescent="0.3">
      <c r="A4663" s="733" t="s">
        <v>4671</v>
      </c>
      <c r="B4663" s="733" t="s">
        <v>645</v>
      </c>
      <c r="C4663" s="733" t="s">
        <v>4679</v>
      </c>
      <c r="D4663" s="733"/>
      <c r="E4663" s="761"/>
      <c r="F4663" s="761"/>
      <c r="G4663" s="733"/>
      <c r="H4663" s="733"/>
      <c r="I4663" s="733"/>
      <c r="J4663" s="733"/>
      <c r="K4663" s="733"/>
      <c r="L4663" s="733"/>
      <c r="M4663" s="733"/>
    </row>
    <row r="4664" spans="1:13" x14ac:dyDescent="0.3">
      <c r="A4664" s="733" t="s">
        <v>4671</v>
      </c>
      <c r="B4664" s="733" t="s">
        <v>645</v>
      </c>
      <c r="C4664" s="733" t="s">
        <v>4680</v>
      </c>
      <c r="D4664" s="733"/>
      <c r="E4664" s="761"/>
      <c r="F4664" s="761"/>
      <c r="G4664" s="733"/>
      <c r="H4664" s="733"/>
      <c r="I4664" s="733"/>
      <c r="J4664" s="733"/>
      <c r="K4664" s="733"/>
      <c r="L4664" s="733"/>
      <c r="M4664" s="733"/>
    </row>
    <row r="4665" spans="1:13" x14ac:dyDescent="0.3">
      <c r="A4665" s="733" t="s">
        <v>4671</v>
      </c>
      <c r="B4665" s="733" t="s">
        <v>645</v>
      </c>
      <c r="C4665" s="733" t="s">
        <v>4681</v>
      </c>
      <c r="D4665" s="733"/>
      <c r="E4665" s="761"/>
      <c r="F4665" s="761"/>
      <c r="G4665" s="733"/>
      <c r="H4665" s="733"/>
      <c r="I4665" s="733"/>
      <c r="J4665" s="733"/>
      <c r="K4665" s="733"/>
      <c r="L4665" s="733"/>
      <c r="M4665" s="733"/>
    </row>
    <row r="4666" spans="1:13" x14ac:dyDescent="0.3">
      <c r="A4666" s="733" t="s">
        <v>4671</v>
      </c>
      <c r="B4666" s="733" t="s">
        <v>664</v>
      </c>
      <c r="C4666" s="733" t="s">
        <v>4682</v>
      </c>
      <c r="D4666" s="733"/>
      <c r="E4666" s="761"/>
      <c r="F4666" s="761"/>
      <c r="G4666" s="733"/>
      <c r="H4666" s="733"/>
      <c r="I4666" s="733"/>
      <c r="J4666" s="733"/>
      <c r="K4666" s="733"/>
      <c r="L4666" s="733"/>
      <c r="M4666" s="733"/>
    </row>
    <row r="4667" spans="1:13" x14ac:dyDescent="0.3">
      <c r="A4667" s="733" t="s">
        <v>4671</v>
      </c>
      <c r="B4667" s="733" t="s">
        <v>664</v>
      </c>
      <c r="C4667" s="733" t="s">
        <v>4683</v>
      </c>
      <c r="D4667" s="733"/>
      <c r="E4667" s="761"/>
      <c r="F4667" s="761"/>
      <c r="G4667" s="733"/>
      <c r="H4667" s="733"/>
      <c r="I4667" s="733"/>
      <c r="J4667" s="733"/>
      <c r="K4667" s="733"/>
      <c r="L4667" s="733"/>
      <c r="M4667" s="733"/>
    </row>
    <row r="4668" spans="1:13" x14ac:dyDescent="0.3">
      <c r="A4668" s="733" t="s">
        <v>4671</v>
      </c>
      <c r="B4668" s="733" t="s">
        <v>664</v>
      </c>
      <c r="C4668" s="733" t="s">
        <v>4684</v>
      </c>
      <c r="D4668" s="733"/>
      <c r="E4668" s="761"/>
      <c r="F4668" s="761"/>
      <c r="G4668" s="733"/>
      <c r="H4668" s="733"/>
      <c r="I4668" s="733"/>
      <c r="J4668" s="733"/>
      <c r="K4668" s="733"/>
      <c r="L4668" s="733"/>
      <c r="M4668" s="733"/>
    </row>
    <row r="4669" spans="1:13" x14ac:dyDescent="0.3">
      <c r="A4669" s="733" t="s">
        <v>4671</v>
      </c>
      <c r="B4669" s="733" t="s">
        <v>664</v>
      </c>
      <c r="C4669" s="733" t="s">
        <v>4685</v>
      </c>
      <c r="D4669" s="733"/>
      <c r="E4669" s="761"/>
      <c r="F4669" s="761"/>
      <c r="G4669" s="733"/>
      <c r="H4669" s="733"/>
      <c r="I4669" s="733"/>
      <c r="J4669" s="733"/>
      <c r="K4669" s="733"/>
      <c r="L4669" s="733"/>
      <c r="M4669" s="733"/>
    </row>
    <row r="4670" spans="1:13" x14ac:dyDescent="0.3">
      <c r="A4670" s="733" t="s">
        <v>4671</v>
      </c>
      <c r="B4670" s="733" t="s">
        <v>664</v>
      </c>
      <c r="C4670" s="733" t="s">
        <v>4686</v>
      </c>
      <c r="D4670" s="733"/>
      <c r="E4670" s="761"/>
      <c r="F4670" s="761"/>
      <c r="G4670" s="733"/>
      <c r="H4670" s="733"/>
      <c r="I4670" s="733"/>
      <c r="J4670" s="733"/>
      <c r="K4670" s="733"/>
      <c r="L4670" s="733"/>
      <c r="M4670" s="733"/>
    </row>
    <row r="4671" spans="1:13" x14ac:dyDescent="0.3">
      <c r="A4671" s="733" t="s">
        <v>4671</v>
      </c>
      <c r="B4671" s="733" t="s">
        <v>664</v>
      </c>
      <c r="C4671" s="733" t="s">
        <v>4687</v>
      </c>
      <c r="D4671" s="733"/>
      <c r="E4671" s="761"/>
      <c r="F4671" s="761"/>
      <c r="G4671" s="733"/>
      <c r="H4671" s="733"/>
      <c r="I4671" s="733"/>
      <c r="J4671" s="733"/>
      <c r="K4671" s="733"/>
      <c r="L4671" s="733"/>
      <c r="M4671" s="733"/>
    </row>
    <row r="4672" spans="1:13" x14ac:dyDescent="0.3">
      <c r="A4672" s="733" t="s">
        <v>4671</v>
      </c>
      <c r="B4672" s="733" t="s">
        <v>664</v>
      </c>
      <c r="C4672" s="733" t="s">
        <v>4688</v>
      </c>
      <c r="D4672" s="733"/>
      <c r="E4672" s="761"/>
      <c r="F4672" s="761"/>
      <c r="G4672" s="733"/>
      <c r="H4672" s="733"/>
      <c r="I4672" s="733"/>
      <c r="J4672" s="733"/>
      <c r="K4672" s="733"/>
      <c r="L4672" s="733"/>
      <c r="M4672" s="733"/>
    </row>
    <row r="4673" spans="1:13" x14ac:dyDescent="0.3">
      <c r="A4673" s="733" t="s">
        <v>4671</v>
      </c>
      <c r="B4673" s="733" t="s">
        <v>664</v>
      </c>
      <c r="C4673" s="733" t="s">
        <v>4689</v>
      </c>
      <c r="D4673" s="733"/>
      <c r="E4673" s="761"/>
      <c r="F4673" s="761"/>
      <c r="G4673" s="733"/>
      <c r="H4673" s="733"/>
      <c r="I4673" s="733"/>
      <c r="J4673" s="733"/>
      <c r="K4673" s="733"/>
      <c r="L4673" s="733"/>
      <c r="M4673" s="733"/>
    </row>
    <row r="4674" spans="1:13" x14ac:dyDescent="0.3">
      <c r="A4674" s="733" t="s">
        <v>4671</v>
      </c>
      <c r="B4674" s="733" t="s">
        <v>664</v>
      </c>
      <c r="C4674" s="733" t="s">
        <v>4690</v>
      </c>
      <c r="D4674" s="733"/>
      <c r="E4674" s="761"/>
      <c r="F4674" s="761"/>
      <c r="G4674" s="733"/>
      <c r="H4674" s="733"/>
      <c r="I4674" s="733"/>
      <c r="J4674" s="733"/>
      <c r="K4674" s="733"/>
      <c r="L4674" s="733"/>
      <c r="M4674" s="733"/>
    </row>
    <row r="4675" spans="1:13" x14ac:dyDescent="0.3">
      <c r="A4675" s="733" t="s">
        <v>4671</v>
      </c>
      <c r="B4675" s="733" t="s">
        <v>664</v>
      </c>
      <c r="C4675" s="733" t="s">
        <v>4691</v>
      </c>
      <c r="D4675" s="733"/>
      <c r="E4675" s="761"/>
      <c r="F4675" s="761"/>
      <c r="G4675" s="733"/>
      <c r="H4675" s="733"/>
      <c r="I4675" s="733"/>
      <c r="J4675" s="733"/>
      <c r="K4675" s="733"/>
      <c r="L4675" s="733"/>
      <c r="M4675" s="733"/>
    </row>
    <row r="4676" spans="1:13" x14ac:dyDescent="0.3">
      <c r="A4676" s="733" t="s">
        <v>4671</v>
      </c>
      <c r="B4676" s="733" t="s">
        <v>612</v>
      </c>
      <c r="C4676" s="733" t="s">
        <v>4692</v>
      </c>
      <c r="D4676" s="733"/>
      <c r="E4676" s="761"/>
      <c r="F4676" s="761"/>
      <c r="G4676" s="733"/>
      <c r="H4676" s="733"/>
      <c r="I4676" s="733"/>
      <c r="J4676" s="733"/>
      <c r="K4676" s="733"/>
      <c r="L4676" s="733"/>
      <c r="M4676" s="733"/>
    </row>
    <row r="4677" spans="1:13" x14ac:dyDescent="0.3">
      <c r="A4677" s="733" t="s">
        <v>4671</v>
      </c>
      <c r="B4677" s="733" t="s">
        <v>612</v>
      </c>
      <c r="C4677" s="733" t="s">
        <v>4693</v>
      </c>
      <c r="D4677" s="733"/>
      <c r="E4677" s="761"/>
      <c r="F4677" s="761"/>
      <c r="G4677" s="733"/>
      <c r="H4677" s="733"/>
      <c r="I4677" s="733"/>
      <c r="J4677" s="733"/>
      <c r="K4677" s="733"/>
      <c r="L4677" s="733"/>
      <c r="M4677" s="733"/>
    </row>
    <row r="4678" spans="1:13" x14ac:dyDescent="0.3">
      <c r="A4678" s="733" t="s">
        <v>4671</v>
      </c>
      <c r="B4678" s="733" t="s">
        <v>612</v>
      </c>
      <c r="C4678" s="733" t="s">
        <v>4694</v>
      </c>
      <c r="D4678" s="733"/>
      <c r="E4678" s="761"/>
      <c r="F4678" s="761"/>
      <c r="G4678" s="733"/>
      <c r="H4678" s="733"/>
      <c r="I4678" s="733"/>
      <c r="J4678" s="733"/>
      <c r="K4678" s="733"/>
      <c r="L4678" s="733"/>
      <c r="M4678" s="733"/>
    </row>
    <row r="4679" spans="1:13" x14ac:dyDescent="0.3">
      <c r="A4679" s="733" t="s">
        <v>4671</v>
      </c>
      <c r="B4679" s="733" t="s">
        <v>612</v>
      </c>
      <c r="C4679" s="733" t="s">
        <v>4695</v>
      </c>
      <c r="D4679" s="733"/>
      <c r="E4679" s="761"/>
      <c r="F4679" s="761"/>
      <c r="G4679" s="733"/>
      <c r="H4679" s="733"/>
      <c r="I4679" s="733"/>
      <c r="J4679" s="733"/>
      <c r="K4679" s="733"/>
      <c r="L4679" s="733"/>
      <c r="M4679" s="733"/>
    </row>
    <row r="4680" spans="1:13" x14ac:dyDescent="0.3">
      <c r="A4680" s="733" t="s">
        <v>4671</v>
      </c>
      <c r="B4680" s="733" t="s">
        <v>612</v>
      </c>
      <c r="C4680" s="733" t="s">
        <v>4696</v>
      </c>
      <c r="D4680" s="733"/>
      <c r="E4680" s="761"/>
      <c r="F4680" s="761"/>
      <c r="G4680" s="733"/>
      <c r="H4680" s="733"/>
      <c r="I4680" s="733"/>
      <c r="J4680" s="733"/>
      <c r="K4680" s="733"/>
      <c r="L4680" s="733"/>
      <c r="M4680" s="733"/>
    </row>
    <row r="4681" spans="1:13" x14ac:dyDescent="0.3">
      <c r="A4681" s="733" t="s">
        <v>4671</v>
      </c>
      <c r="B4681" s="733" t="s">
        <v>612</v>
      </c>
      <c r="C4681" s="733" t="s">
        <v>4697</v>
      </c>
      <c r="D4681" s="733"/>
      <c r="E4681" s="761"/>
      <c r="F4681" s="761"/>
      <c r="G4681" s="733"/>
      <c r="H4681" s="733"/>
      <c r="I4681" s="733"/>
      <c r="J4681" s="733"/>
      <c r="K4681" s="733"/>
      <c r="L4681" s="733"/>
      <c r="M4681" s="733"/>
    </row>
    <row r="4682" spans="1:13" x14ac:dyDescent="0.3">
      <c r="A4682" s="733" t="s">
        <v>4671</v>
      </c>
      <c r="B4682" s="733" t="s">
        <v>612</v>
      </c>
      <c r="C4682" s="733" t="s">
        <v>4698</v>
      </c>
      <c r="D4682" s="733"/>
      <c r="E4682" s="761"/>
      <c r="F4682" s="761"/>
      <c r="G4682" s="733"/>
      <c r="H4682" s="733"/>
      <c r="I4682" s="733"/>
      <c r="J4682" s="733"/>
      <c r="K4682" s="733"/>
      <c r="L4682" s="733"/>
      <c r="M4682" s="733"/>
    </row>
    <row r="4683" spans="1:13" x14ac:dyDescent="0.3">
      <c r="A4683" s="733" t="s">
        <v>4671</v>
      </c>
      <c r="B4683" s="733" t="s">
        <v>612</v>
      </c>
      <c r="C4683" s="733" t="s">
        <v>4699</v>
      </c>
      <c r="D4683" s="733"/>
      <c r="E4683" s="761"/>
      <c r="F4683" s="761"/>
      <c r="G4683" s="733"/>
      <c r="H4683" s="733"/>
      <c r="I4683" s="733"/>
      <c r="J4683" s="733"/>
      <c r="K4683" s="733"/>
      <c r="L4683" s="733"/>
      <c r="M4683" s="733"/>
    </row>
    <row r="4684" spans="1:13" x14ac:dyDescent="0.3">
      <c r="A4684" s="733" t="s">
        <v>4671</v>
      </c>
      <c r="B4684" s="733" t="s">
        <v>612</v>
      </c>
      <c r="C4684" s="733" t="s">
        <v>4700</v>
      </c>
      <c r="D4684" s="733"/>
      <c r="E4684" s="761"/>
      <c r="F4684" s="761"/>
      <c r="G4684" s="733"/>
      <c r="H4684" s="733"/>
      <c r="I4684" s="733"/>
      <c r="J4684" s="733"/>
      <c r="K4684" s="733"/>
      <c r="L4684" s="733"/>
      <c r="M4684" s="733"/>
    </row>
    <row r="4685" spans="1:13" x14ac:dyDescent="0.3">
      <c r="A4685" s="733" t="s">
        <v>4671</v>
      </c>
      <c r="B4685" s="733" t="s">
        <v>612</v>
      </c>
      <c r="C4685" s="733" t="s">
        <v>4701</v>
      </c>
      <c r="D4685" s="733"/>
      <c r="E4685" s="761"/>
      <c r="F4685" s="761"/>
      <c r="G4685" s="733"/>
      <c r="H4685" s="733"/>
      <c r="I4685" s="733"/>
      <c r="J4685" s="733"/>
      <c r="K4685" s="733"/>
      <c r="L4685" s="733"/>
      <c r="M4685" s="733"/>
    </row>
    <row r="4686" spans="1:13" x14ac:dyDescent="0.3">
      <c r="A4686" s="733" t="s">
        <v>4702</v>
      </c>
      <c r="B4686" s="733" t="s">
        <v>645</v>
      </c>
      <c r="C4686" s="738" t="s">
        <v>4703</v>
      </c>
      <c r="D4686" s="733"/>
      <c r="E4686" s="761"/>
      <c r="F4686" s="761"/>
      <c r="G4686" s="733"/>
      <c r="H4686" s="733"/>
      <c r="I4686" s="733"/>
      <c r="J4686" s="733"/>
      <c r="K4686" s="733"/>
      <c r="L4686" s="733"/>
      <c r="M4686" s="733"/>
    </row>
    <row r="4687" spans="1:13" x14ac:dyDescent="0.3">
      <c r="A4687" s="733" t="s">
        <v>4702</v>
      </c>
      <c r="B4687" s="733" t="s">
        <v>645</v>
      </c>
      <c r="C4687" s="738" t="s">
        <v>4704</v>
      </c>
      <c r="D4687" s="733"/>
      <c r="E4687" s="761"/>
      <c r="F4687" s="761"/>
      <c r="G4687" s="733"/>
      <c r="H4687" s="733"/>
      <c r="I4687" s="733"/>
      <c r="J4687" s="733"/>
      <c r="K4687" s="733"/>
      <c r="L4687" s="733"/>
      <c r="M4687" s="733"/>
    </row>
    <row r="4688" spans="1:13" x14ac:dyDescent="0.3">
      <c r="A4688" s="733" t="s">
        <v>4702</v>
      </c>
      <c r="B4688" s="733" t="s">
        <v>645</v>
      </c>
      <c r="C4688" s="738" t="s">
        <v>4705</v>
      </c>
      <c r="D4688" s="733"/>
      <c r="E4688" s="761"/>
      <c r="F4688" s="761"/>
      <c r="G4688" s="733"/>
      <c r="H4688" s="733"/>
      <c r="I4688" s="733"/>
      <c r="J4688" s="733"/>
      <c r="K4688" s="733"/>
      <c r="L4688" s="733"/>
      <c r="M4688" s="733"/>
    </row>
    <row r="4689" spans="1:13" x14ac:dyDescent="0.3">
      <c r="A4689" s="733" t="s">
        <v>4702</v>
      </c>
      <c r="B4689" s="733" t="s">
        <v>645</v>
      </c>
      <c r="C4689" s="738" t="s">
        <v>4706</v>
      </c>
      <c r="D4689" s="733"/>
      <c r="E4689" s="761"/>
      <c r="F4689" s="761"/>
      <c r="G4689" s="733"/>
      <c r="H4689" s="733"/>
      <c r="I4689" s="733"/>
      <c r="J4689" s="733"/>
      <c r="K4689" s="733"/>
      <c r="L4689" s="733"/>
      <c r="M4689" s="733"/>
    </row>
    <row r="4690" spans="1:13" x14ac:dyDescent="0.3">
      <c r="A4690" s="733" t="s">
        <v>4702</v>
      </c>
      <c r="B4690" s="733" t="s">
        <v>645</v>
      </c>
      <c r="C4690" s="738" t="s">
        <v>4707</v>
      </c>
      <c r="D4690" s="733"/>
      <c r="E4690" s="761"/>
      <c r="F4690" s="761"/>
      <c r="G4690" s="733"/>
      <c r="H4690" s="733"/>
      <c r="I4690" s="733"/>
      <c r="J4690" s="733"/>
      <c r="K4690" s="733"/>
      <c r="L4690" s="733"/>
      <c r="M4690" s="733"/>
    </row>
    <row r="4691" spans="1:13" x14ac:dyDescent="0.3">
      <c r="A4691" s="733" t="s">
        <v>4702</v>
      </c>
      <c r="B4691" s="733" t="s">
        <v>664</v>
      </c>
      <c r="C4691" s="733" t="s">
        <v>4708</v>
      </c>
      <c r="D4691" s="733"/>
      <c r="E4691" s="761"/>
      <c r="F4691" s="761"/>
      <c r="G4691" s="733"/>
      <c r="H4691" s="733"/>
      <c r="I4691" s="733"/>
      <c r="J4691" s="733"/>
      <c r="K4691" s="733"/>
      <c r="L4691" s="733"/>
      <c r="M4691" s="733"/>
    </row>
    <row r="4692" spans="1:13" x14ac:dyDescent="0.3">
      <c r="A4692" s="733" t="s">
        <v>4702</v>
      </c>
      <c r="B4692" s="733" t="s">
        <v>664</v>
      </c>
      <c r="C4692" s="733" t="s">
        <v>4709</v>
      </c>
      <c r="D4692" s="733"/>
      <c r="E4692" s="761"/>
      <c r="F4692" s="761"/>
      <c r="G4692" s="733"/>
      <c r="H4692" s="733"/>
      <c r="I4692" s="733"/>
      <c r="J4692" s="733"/>
      <c r="K4692" s="733"/>
      <c r="L4692" s="733"/>
      <c r="M4692" s="733"/>
    </row>
    <row r="4693" spans="1:13" x14ac:dyDescent="0.3">
      <c r="A4693" s="733" t="s">
        <v>4702</v>
      </c>
      <c r="B4693" s="733" t="s">
        <v>664</v>
      </c>
      <c r="C4693" s="733" t="s">
        <v>4710</v>
      </c>
      <c r="D4693" s="733"/>
      <c r="E4693" s="761"/>
      <c r="F4693" s="761"/>
      <c r="G4693" s="733"/>
      <c r="H4693" s="733"/>
      <c r="I4693" s="733"/>
      <c r="J4693" s="733"/>
      <c r="K4693" s="733"/>
      <c r="L4693" s="733"/>
      <c r="M4693" s="733"/>
    </row>
    <row r="4694" spans="1:13" x14ac:dyDescent="0.3">
      <c r="A4694" s="733" t="s">
        <v>4702</v>
      </c>
      <c r="B4694" s="733" t="s">
        <v>664</v>
      </c>
      <c r="C4694" s="733" t="s">
        <v>4711</v>
      </c>
      <c r="D4694" s="733"/>
      <c r="E4694" s="761"/>
      <c r="F4694" s="761"/>
      <c r="G4694" s="733"/>
      <c r="H4694" s="733"/>
      <c r="I4694" s="733"/>
      <c r="J4694" s="733"/>
      <c r="K4694" s="733"/>
      <c r="L4694" s="733"/>
      <c r="M4694" s="733"/>
    </row>
    <row r="4695" spans="1:13" x14ac:dyDescent="0.3">
      <c r="A4695" s="733" t="s">
        <v>4702</v>
      </c>
      <c r="B4695" s="733" t="s">
        <v>664</v>
      </c>
      <c r="C4695" s="733" t="s">
        <v>4712</v>
      </c>
      <c r="D4695" s="733"/>
      <c r="E4695" s="761"/>
      <c r="F4695" s="761"/>
      <c r="G4695" s="733"/>
      <c r="H4695" s="733"/>
      <c r="I4695" s="733"/>
      <c r="J4695" s="733"/>
      <c r="K4695" s="733"/>
      <c r="L4695" s="733"/>
      <c r="M4695" s="733"/>
    </row>
    <row r="4696" spans="1:13" x14ac:dyDescent="0.3">
      <c r="A4696" s="733" t="s">
        <v>4702</v>
      </c>
      <c r="B4696" s="733" t="s">
        <v>612</v>
      </c>
      <c r="C4696" s="733" t="s">
        <v>4713</v>
      </c>
      <c r="D4696" s="733"/>
      <c r="E4696" s="761"/>
      <c r="F4696" s="761"/>
      <c r="G4696" s="733"/>
      <c r="H4696" s="733"/>
      <c r="I4696" s="733"/>
      <c r="J4696" s="733"/>
      <c r="K4696" s="733"/>
      <c r="L4696" s="733"/>
      <c r="M4696" s="733"/>
    </row>
    <row r="4697" spans="1:13" x14ac:dyDescent="0.3">
      <c r="A4697" s="733" t="s">
        <v>4702</v>
      </c>
      <c r="B4697" s="733" t="s">
        <v>612</v>
      </c>
      <c r="C4697" s="733" t="s">
        <v>4714</v>
      </c>
      <c r="D4697" s="733"/>
      <c r="E4697" s="761"/>
      <c r="F4697" s="761"/>
      <c r="G4697" s="733"/>
      <c r="H4697" s="733"/>
      <c r="I4697" s="733"/>
      <c r="J4697" s="733"/>
      <c r="K4697" s="733"/>
      <c r="L4697" s="733"/>
      <c r="M4697" s="733"/>
    </row>
    <row r="4698" spans="1:13" x14ac:dyDescent="0.3">
      <c r="A4698" s="733" t="s">
        <v>4702</v>
      </c>
      <c r="B4698" s="733" t="s">
        <v>612</v>
      </c>
      <c r="C4698" s="733" t="s">
        <v>4715</v>
      </c>
      <c r="D4698" s="733"/>
      <c r="E4698" s="761"/>
      <c r="F4698" s="761"/>
      <c r="G4698" s="733"/>
      <c r="H4698" s="733"/>
      <c r="I4698" s="733"/>
      <c r="J4698" s="733"/>
      <c r="K4698" s="733"/>
      <c r="L4698" s="733"/>
      <c r="M4698" s="733"/>
    </row>
    <row r="4699" spans="1:13" x14ac:dyDescent="0.3">
      <c r="A4699" s="733" t="s">
        <v>4702</v>
      </c>
      <c r="B4699" s="733" t="s">
        <v>612</v>
      </c>
      <c r="C4699" s="733" t="s">
        <v>4716</v>
      </c>
      <c r="D4699" s="733"/>
      <c r="E4699" s="761"/>
      <c r="F4699" s="761"/>
      <c r="G4699" s="733"/>
      <c r="H4699" s="733"/>
      <c r="I4699" s="733"/>
      <c r="J4699" s="733"/>
      <c r="K4699" s="733"/>
      <c r="L4699" s="733"/>
      <c r="M4699" s="733"/>
    </row>
    <row r="4700" spans="1:13" x14ac:dyDescent="0.3">
      <c r="A4700" s="733" t="s">
        <v>4702</v>
      </c>
      <c r="B4700" s="733" t="s">
        <v>612</v>
      </c>
      <c r="C4700" s="733" t="s">
        <v>4717</v>
      </c>
      <c r="D4700" s="733"/>
      <c r="E4700" s="761"/>
      <c r="F4700" s="761"/>
      <c r="G4700" s="733"/>
      <c r="H4700" s="733"/>
      <c r="I4700" s="733"/>
      <c r="J4700" s="733"/>
      <c r="K4700" s="733"/>
      <c r="L4700" s="733"/>
      <c r="M4700" s="733"/>
    </row>
    <row r="4701" spans="1:13" x14ac:dyDescent="0.3">
      <c r="A4701" s="733" t="s">
        <v>905</v>
      </c>
      <c r="B4701" s="733" t="s">
        <v>645</v>
      </c>
      <c r="C4701" s="733" t="s">
        <v>4718</v>
      </c>
      <c r="D4701" s="733"/>
      <c r="E4701" s="761"/>
      <c r="F4701" s="761"/>
      <c r="G4701" s="733"/>
      <c r="H4701" s="733"/>
      <c r="I4701" s="733"/>
      <c r="J4701" s="733"/>
      <c r="K4701" s="733"/>
      <c r="L4701" s="733"/>
      <c r="M4701" s="733"/>
    </row>
    <row r="4702" spans="1:13" x14ac:dyDescent="0.3">
      <c r="A4702" s="733" t="s">
        <v>905</v>
      </c>
      <c r="B4702" s="733" t="s">
        <v>645</v>
      </c>
      <c r="C4702" s="733" t="s">
        <v>4719</v>
      </c>
      <c r="D4702" s="733"/>
      <c r="E4702" s="761"/>
      <c r="F4702" s="761"/>
      <c r="G4702" s="733"/>
      <c r="H4702" s="733"/>
      <c r="I4702" s="733"/>
      <c r="J4702" s="733"/>
      <c r="K4702" s="733"/>
      <c r="L4702" s="733"/>
      <c r="M4702" s="733"/>
    </row>
    <row r="4703" spans="1:13" x14ac:dyDescent="0.3">
      <c r="A4703" s="733" t="s">
        <v>905</v>
      </c>
      <c r="B4703" s="733" t="s">
        <v>645</v>
      </c>
      <c r="C4703" s="733" t="s">
        <v>4720</v>
      </c>
      <c r="D4703" s="733"/>
      <c r="E4703" s="761"/>
      <c r="F4703" s="761"/>
      <c r="G4703" s="733"/>
      <c r="H4703" s="733"/>
      <c r="I4703" s="733"/>
      <c r="J4703" s="733"/>
      <c r="K4703" s="733"/>
      <c r="L4703" s="733"/>
      <c r="M4703" s="733"/>
    </row>
    <row r="4704" spans="1:13" x14ac:dyDescent="0.3">
      <c r="A4704" s="733" t="s">
        <v>905</v>
      </c>
      <c r="B4704" s="733" t="s">
        <v>645</v>
      </c>
      <c r="C4704" s="733" t="s">
        <v>4721</v>
      </c>
      <c r="D4704" s="733"/>
      <c r="E4704" s="761"/>
      <c r="F4704" s="761"/>
      <c r="G4704" s="733"/>
      <c r="H4704" s="733"/>
      <c r="I4704" s="733"/>
      <c r="J4704" s="733"/>
      <c r="K4704" s="733"/>
      <c r="L4704" s="733"/>
      <c r="M4704" s="733"/>
    </row>
    <row r="4705" spans="1:13" x14ac:dyDescent="0.3">
      <c r="A4705" s="733" t="s">
        <v>905</v>
      </c>
      <c r="B4705" s="733" t="s">
        <v>645</v>
      </c>
      <c r="C4705" s="733" t="s">
        <v>4722</v>
      </c>
      <c r="D4705" s="733"/>
      <c r="E4705" s="761"/>
      <c r="F4705" s="761"/>
      <c r="G4705" s="733"/>
      <c r="H4705" s="733"/>
      <c r="I4705" s="733"/>
      <c r="J4705" s="733"/>
      <c r="K4705" s="733"/>
      <c r="L4705" s="733"/>
      <c r="M4705" s="733"/>
    </row>
    <row r="4706" spans="1:13" ht="28.8" x14ac:dyDescent="0.3">
      <c r="A4706" s="733" t="s">
        <v>905</v>
      </c>
      <c r="B4706" s="733" t="s">
        <v>664</v>
      </c>
      <c r="C4706" s="738" t="s">
        <v>4723</v>
      </c>
      <c r="D4706" s="733"/>
      <c r="E4706" s="761"/>
      <c r="F4706" s="761"/>
      <c r="G4706" s="733"/>
      <c r="H4706" s="733"/>
      <c r="I4706" s="733"/>
      <c r="J4706" s="733"/>
      <c r="K4706" s="733"/>
      <c r="L4706" s="733"/>
      <c r="M4706" s="733"/>
    </row>
    <row r="4707" spans="1:13" ht="28.8" x14ac:dyDescent="0.3">
      <c r="A4707" s="733" t="s">
        <v>905</v>
      </c>
      <c r="B4707" s="733" t="s">
        <v>664</v>
      </c>
      <c r="C4707" s="738" t="s">
        <v>4724</v>
      </c>
      <c r="D4707" s="733"/>
      <c r="E4707" s="761"/>
      <c r="F4707" s="761"/>
      <c r="G4707" s="733"/>
      <c r="H4707" s="733"/>
      <c r="I4707" s="733"/>
      <c r="J4707" s="733"/>
      <c r="K4707" s="733"/>
      <c r="L4707" s="733"/>
      <c r="M4707" s="733"/>
    </row>
    <row r="4708" spans="1:13" ht="28.8" x14ac:dyDescent="0.3">
      <c r="A4708" s="733" t="s">
        <v>905</v>
      </c>
      <c r="B4708" s="733" t="s">
        <v>664</v>
      </c>
      <c r="C4708" s="738" t="s">
        <v>4725</v>
      </c>
      <c r="D4708" s="733"/>
      <c r="E4708" s="761"/>
      <c r="F4708" s="761"/>
      <c r="G4708" s="733"/>
      <c r="H4708" s="733"/>
      <c r="I4708" s="733"/>
      <c r="J4708" s="733"/>
      <c r="K4708" s="733"/>
      <c r="L4708" s="733"/>
      <c r="M4708" s="733"/>
    </row>
    <row r="4709" spans="1:13" ht="28.8" x14ac:dyDescent="0.3">
      <c r="A4709" s="733" t="s">
        <v>905</v>
      </c>
      <c r="B4709" s="733" t="s">
        <v>664</v>
      </c>
      <c r="C4709" s="738" t="s">
        <v>4726</v>
      </c>
      <c r="D4709" s="733"/>
      <c r="E4709" s="761"/>
      <c r="F4709" s="761"/>
      <c r="G4709" s="733"/>
      <c r="H4709" s="733"/>
      <c r="I4709" s="733"/>
      <c r="J4709" s="733"/>
      <c r="K4709" s="733"/>
      <c r="L4709" s="733"/>
      <c r="M4709" s="733"/>
    </row>
    <row r="4710" spans="1:13" ht="28.8" x14ac:dyDescent="0.3">
      <c r="A4710" s="733" t="s">
        <v>905</v>
      </c>
      <c r="B4710" s="733" t="s">
        <v>664</v>
      </c>
      <c r="C4710" s="738" t="s">
        <v>4727</v>
      </c>
      <c r="D4710" s="733"/>
      <c r="E4710" s="761"/>
      <c r="F4710" s="761"/>
      <c r="G4710" s="733"/>
      <c r="H4710" s="733"/>
      <c r="I4710" s="733"/>
      <c r="J4710" s="733"/>
      <c r="K4710" s="733"/>
      <c r="L4710" s="733"/>
      <c r="M4710" s="733"/>
    </row>
    <row r="4711" spans="1:13" x14ac:dyDescent="0.3">
      <c r="A4711" s="733" t="s">
        <v>905</v>
      </c>
      <c r="B4711" s="733" t="s">
        <v>612</v>
      </c>
      <c r="C4711" s="733" t="s">
        <v>4728</v>
      </c>
      <c r="D4711" s="733"/>
      <c r="E4711" s="761"/>
      <c r="F4711" s="761"/>
      <c r="G4711" s="733"/>
      <c r="H4711" s="733"/>
      <c r="I4711" s="733"/>
      <c r="J4711" s="733"/>
      <c r="K4711" s="733"/>
      <c r="L4711" s="733"/>
      <c r="M4711" s="733"/>
    </row>
    <row r="4712" spans="1:13" x14ac:dyDescent="0.3">
      <c r="A4712" s="733" t="s">
        <v>905</v>
      </c>
      <c r="B4712" s="733" t="s">
        <v>612</v>
      </c>
      <c r="C4712" s="733" t="s">
        <v>4729</v>
      </c>
      <c r="D4712" s="733"/>
      <c r="E4712" s="761"/>
      <c r="F4712" s="761"/>
      <c r="G4712" s="733"/>
      <c r="H4712" s="733"/>
      <c r="I4712" s="733"/>
      <c r="J4712" s="733"/>
      <c r="K4712" s="733"/>
      <c r="L4712" s="733"/>
      <c r="M4712" s="733"/>
    </row>
    <row r="4713" spans="1:13" x14ac:dyDescent="0.3">
      <c r="A4713" s="733" t="s">
        <v>905</v>
      </c>
      <c r="B4713" s="733" t="s">
        <v>612</v>
      </c>
      <c r="C4713" s="733" t="s">
        <v>4730</v>
      </c>
      <c r="D4713" s="733"/>
      <c r="E4713" s="761"/>
      <c r="F4713" s="761"/>
      <c r="G4713" s="733"/>
      <c r="H4713" s="733"/>
      <c r="I4713" s="733"/>
      <c r="J4713" s="733"/>
      <c r="K4713" s="733"/>
      <c r="L4713" s="733"/>
      <c r="M4713" s="733"/>
    </row>
    <row r="4714" spans="1:13" x14ac:dyDescent="0.3">
      <c r="A4714" s="733" t="s">
        <v>905</v>
      </c>
      <c r="B4714" s="733" t="s">
        <v>612</v>
      </c>
      <c r="C4714" s="733" t="s">
        <v>4731</v>
      </c>
      <c r="D4714" s="733"/>
      <c r="E4714" s="761"/>
      <c r="F4714" s="761"/>
      <c r="G4714" s="733"/>
      <c r="H4714" s="733"/>
      <c r="I4714" s="733"/>
      <c r="J4714" s="733"/>
      <c r="K4714" s="733"/>
      <c r="L4714" s="733"/>
      <c r="M4714" s="733"/>
    </row>
    <row r="4715" spans="1:13" x14ac:dyDescent="0.3">
      <c r="A4715" s="733" t="s">
        <v>905</v>
      </c>
      <c r="B4715" s="733" t="s">
        <v>612</v>
      </c>
      <c r="C4715" s="733" t="s">
        <v>4732</v>
      </c>
      <c r="D4715" s="733"/>
      <c r="E4715" s="761"/>
      <c r="F4715" s="761"/>
      <c r="G4715" s="733"/>
      <c r="H4715" s="733"/>
      <c r="I4715" s="733"/>
      <c r="J4715" s="733"/>
      <c r="K4715" s="733"/>
      <c r="L4715" s="733"/>
      <c r="M4715" s="733"/>
    </row>
    <row r="4716" spans="1:13" x14ac:dyDescent="0.3">
      <c r="A4716" s="733" t="s">
        <v>2603</v>
      </c>
      <c r="B4716" s="733" t="s">
        <v>645</v>
      </c>
      <c r="C4716" s="738" t="s">
        <v>4733</v>
      </c>
      <c r="D4716" s="733"/>
      <c r="E4716" s="761"/>
      <c r="F4716" s="761"/>
      <c r="G4716" s="733"/>
      <c r="H4716" s="733"/>
      <c r="I4716" s="733"/>
      <c r="J4716" s="733"/>
      <c r="K4716" s="733"/>
      <c r="L4716" s="733"/>
      <c r="M4716" s="733"/>
    </row>
    <row r="4717" spans="1:13" x14ac:dyDescent="0.3">
      <c r="A4717" s="733" t="s">
        <v>2603</v>
      </c>
      <c r="B4717" s="733" t="s">
        <v>645</v>
      </c>
      <c r="C4717" s="738" t="s">
        <v>4734</v>
      </c>
      <c r="D4717" s="733"/>
      <c r="E4717" s="761"/>
      <c r="F4717" s="761"/>
      <c r="G4717" s="733"/>
      <c r="H4717" s="733"/>
      <c r="I4717" s="733"/>
      <c r="J4717" s="733"/>
      <c r="K4717" s="733"/>
      <c r="L4717" s="733"/>
      <c r="M4717" s="733"/>
    </row>
    <row r="4718" spans="1:13" x14ac:dyDescent="0.3">
      <c r="A4718" s="733" t="s">
        <v>2603</v>
      </c>
      <c r="B4718" s="733" t="s">
        <v>645</v>
      </c>
      <c r="C4718" s="738" t="s">
        <v>4735</v>
      </c>
      <c r="D4718" s="733"/>
      <c r="E4718" s="761"/>
      <c r="F4718" s="761"/>
      <c r="G4718" s="733"/>
      <c r="H4718" s="733"/>
      <c r="I4718" s="733"/>
      <c r="J4718" s="733"/>
      <c r="K4718" s="733"/>
      <c r="L4718" s="733"/>
      <c r="M4718" s="733"/>
    </row>
    <row r="4719" spans="1:13" x14ac:dyDescent="0.3">
      <c r="A4719" s="733" t="s">
        <v>2603</v>
      </c>
      <c r="B4719" s="733" t="s">
        <v>645</v>
      </c>
      <c r="C4719" s="738" t="s">
        <v>4736</v>
      </c>
      <c r="D4719" s="733"/>
      <c r="E4719" s="761"/>
      <c r="F4719" s="761"/>
      <c r="G4719" s="733"/>
      <c r="H4719" s="733"/>
      <c r="I4719" s="733"/>
      <c r="J4719" s="733"/>
      <c r="K4719" s="733"/>
      <c r="L4719" s="733"/>
      <c r="M4719" s="733"/>
    </row>
    <row r="4720" spans="1:13" x14ac:dyDescent="0.3">
      <c r="A4720" s="733" t="s">
        <v>2603</v>
      </c>
      <c r="B4720" s="733" t="s">
        <v>645</v>
      </c>
      <c r="C4720" s="738" t="s">
        <v>4737</v>
      </c>
      <c r="D4720" s="733"/>
      <c r="E4720" s="761"/>
      <c r="F4720" s="761"/>
      <c r="G4720" s="733"/>
      <c r="H4720" s="733"/>
      <c r="I4720" s="733"/>
      <c r="J4720" s="733"/>
      <c r="K4720" s="733"/>
      <c r="L4720" s="733"/>
      <c r="M4720" s="733"/>
    </row>
    <row r="4721" spans="1:13" x14ac:dyDescent="0.3">
      <c r="A4721" s="733" t="s">
        <v>2603</v>
      </c>
      <c r="B4721" s="733" t="s">
        <v>645</v>
      </c>
      <c r="C4721" s="738" t="s">
        <v>4738</v>
      </c>
      <c r="D4721" s="733"/>
      <c r="E4721" s="761"/>
      <c r="F4721" s="761"/>
      <c r="G4721" s="733"/>
      <c r="H4721" s="733"/>
      <c r="I4721" s="733"/>
      <c r="J4721" s="733"/>
      <c r="K4721" s="733"/>
      <c r="L4721" s="733"/>
      <c r="M4721" s="733"/>
    </row>
    <row r="4722" spans="1:13" x14ac:dyDescent="0.3">
      <c r="A4722" s="733" t="s">
        <v>2603</v>
      </c>
      <c r="B4722" s="733" t="s">
        <v>645</v>
      </c>
      <c r="C4722" s="738" t="s">
        <v>4739</v>
      </c>
      <c r="D4722" s="733"/>
      <c r="E4722" s="761"/>
      <c r="F4722" s="761"/>
      <c r="G4722" s="733"/>
      <c r="H4722" s="733"/>
      <c r="I4722" s="733"/>
      <c r="J4722" s="733"/>
      <c r="K4722" s="733"/>
      <c r="L4722" s="733"/>
      <c r="M4722" s="733"/>
    </row>
    <row r="4723" spans="1:13" x14ac:dyDescent="0.3">
      <c r="A4723" s="733" t="s">
        <v>2603</v>
      </c>
      <c r="B4723" s="733" t="s">
        <v>645</v>
      </c>
      <c r="C4723" s="738" t="s">
        <v>4740</v>
      </c>
      <c r="D4723" s="733"/>
      <c r="E4723" s="761"/>
      <c r="F4723" s="761"/>
      <c r="G4723" s="733"/>
      <c r="H4723" s="733"/>
      <c r="I4723" s="733"/>
      <c r="J4723" s="733"/>
      <c r="K4723" s="733"/>
      <c r="L4723" s="733"/>
      <c r="M4723" s="733"/>
    </row>
    <row r="4724" spans="1:13" x14ac:dyDescent="0.3">
      <c r="A4724" s="733" t="s">
        <v>2603</v>
      </c>
      <c r="B4724" s="733" t="s">
        <v>645</v>
      </c>
      <c r="C4724" s="738" t="s">
        <v>4741</v>
      </c>
      <c r="D4724" s="733"/>
      <c r="E4724" s="761"/>
      <c r="F4724" s="761"/>
      <c r="G4724" s="733"/>
      <c r="H4724" s="733"/>
      <c r="I4724" s="733"/>
      <c r="J4724" s="733"/>
      <c r="K4724" s="733"/>
      <c r="L4724" s="733"/>
      <c r="M4724" s="733"/>
    </row>
    <row r="4725" spans="1:13" x14ac:dyDescent="0.3">
      <c r="A4725" s="733" t="s">
        <v>2603</v>
      </c>
      <c r="B4725" s="733" t="s">
        <v>645</v>
      </c>
      <c r="C4725" s="738" t="s">
        <v>4742</v>
      </c>
      <c r="D4725" s="733"/>
      <c r="E4725" s="761"/>
      <c r="F4725" s="761"/>
      <c r="G4725" s="733"/>
      <c r="H4725" s="733"/>
      <c r="I4725" s="733"/>
      <c r="J4725" s="733"/>
      <c r="K4725" s="733"/>
      <c r="L4725" s="733"/>
      <c r="M4725" s="733"/>
    </row>
    <row r="4726" spans="1:13" x14ac:dyDescent="0.3">
      <c r="A4726" s="733" t="s">
        <v>2603</v>
      </c>
      <c r="B4726" s="733" t="s">
        <v>645</v>
      </c>
      <c r="C4726" s="738" t="s">
        <v>4743</v>
      </c>
      <c r="D4726" s="733"/>
      <c r="E4726" s="761"/>
      <c r="F4726" s="761"/>
      <c r="G4726" s="733"/>
      <c r="H4726" s="733"/>
      <c r="I4726" s="733"/>
      <c r="J4726" s="733"/>
      <c r="K4726" s="733"/>
      <c r="L4726" s="733"/>
      <c r="M4726" s="733"/>
    </row>
    <row r="4727" spans="1:13" x14ac:dyDescent="0.3">
      <c r="A4727" s="733" t="s">
        <v>2603</v>
      </c>
      <c r="B4727" s="733" t="s">
        <v>645</v>
      </c>
      <c r="C4727" s="738" t="s">
        <v>4744</v>
      </c>
      <c r="D4727" s="733"/>
      <c r="E4727" s="761"/>
      <c r="F4727" s="761"/>
      <c r="G4727" s="733"/>
      <c r="H4727" s="733"/>
      <c r="I4727" s="733"/>
      <c r="J4727" s="733"/>
      <c r="K4727" s="733"/>
      <c r="L4727" s="733"/>
      <c r="M4727" s="733"/>
    </row>
    <row r="4728" spans="1:13" x14ac:dyDescent="0.3">
      <c r="A4728" s="733" t="s">
        <v>2603</v>
      </c>
      <c r="B4728" s="733" t="s">
        <v>645</v>
      </c>
      <c r="C4728" s="738" t="s">
        <v>4745</v>
      </c>
      <c r="D4728" s="733"/>
      <c r="E4728" s="761"/>
      <c r="F4728" s="761"/>
      <c r="G4728" s="733"/>
      <c r="H4728" s="733"/>
      <c r="I4728" s="733"/>
      <c r="J4728" s="733"/>
      <c r="K4728" s="733"/>
      <c r="L4728" s="733"/>
      <c r="M4728" s="733"/>
    </row>
    <row r="4729" spans="1:13" x14ac:dyDescent="0.3">
      <c r="A4729" s="733" t="s">
        <v>2603</v>
      </c>
      <c r="B4729" s="733" t="s">
        <v>645</v>
      </c>
      <c r="C4729" s="738" t="s">
        <v>4746</v>
      </c>
      <c r="D4729" s="733"/>
      <c r="E4729" s="761"/>
      <c r="F4729" s="761"/>
      <c r="G4729" s="733"/>
      <c r="H4729" s="733"/>
      <c r="I4729" s="733"/>
      <c r="J4729" s="733"/>
      <c r="K4729" s="733"/>
      <c r="L4729" s="733"/>
      <c r="M4729" s="733"/>
    </row>
    <row r="4730" spans="1:13" x14ac:dyDescent="0.3">
      <c r="A4730" s="733" t="s">
        <v>2603</v>
      </c>
      <c r="B4730" s="733" t="s">
        <v>645</v>
      </c>
      <c r="C4730" s="738" t="s">
        <v>4747</v>
      </c>
      <c r="D4730" s="733"/>
      <c r="E4730" s="761"/>
      <c r="F4730" s="761"/>
      <c r="G4730" s="733"/>
      <c r="H4730" s="733"/>
      <c r="I4730" s="733"/>
      <c r="J4730" s="733"/>
      <c r="K4730" s="733"/>
      <c r="L4730" s="733"/>
      <c r="M4730" s="733"/>
    </row>
    <row r="4731" spans="1:13" x14ac:dyDescent="0.3">
      <c r="A4731" s="733" t="s">
        <v>2603</v>
      </c>
      <c r="B4731" s="733" t="s">
        <v>664</v>
      </c>
      <c r="C4731" s="733" t="s">
        <v>4748</v>
      </c>
      <c r="D4731" s="733"/>
      <c r="E4731" s="761"/>
      <c r="F4731" s="761"/>
      <c r="G4731" s="733"/>
      <c r="H4731" s="733"/>
      <c r="I4731" s="733"/>
      <c r="J4731" s="733"/>
      <c r="K4731" s="733"/>
      <c r="L4731" s="733"/>
      <c r="M4731" s="733"/>
    </row>
    <row r="4732" spans="1:13" x14ac:dyDescent="0.3">
      <c r="A4732" s="733" t="s">
        <v>2603</v>
      </c>
      <c r="B4732" s="733" t="s">
        <v>664</v>
      </c>
      <c r="C4732" s="733" t="s">
        <v>4749</v>
      </c>
      <c r="D4732" s="733"/>
      <c r="E4732" s="761"/>
      <c r="F4732" s="761"/>
      <c r="G4732" s="733"/>
      <c r="H4732" s="733"/>
      <c r="I4732" s="733"/>
      <c r="J4732" s="733"/>
      <c r="K4732" s="733"/>
      <c r="L4732" s="733"/>
      <c r="M4732" s="733"/>
    </row>
    <row r="4733" spans="1:13" x14ac:dyDescent="0.3">
      <c r="A4733" s="733" t="s">
        <v>2603</v>
      </c>
      <c r="B4733" s="733" t="s">
        <v>664</v>
      </c>
      <c r="C4733" s="733" t="s">
        <v>4750</v>
      </c>
      <c r="D4733" s="733"/>
      <c r="E4733" s="761"/>
      <c r="F4733" s="761"/>
      <c r="G4733" s="733"/>
      <c r="H4733" s="733"/>
      <c r="I4733" s="733"/>
      <c r="J4733" s="733"/>
      <c r="K4733" s="733"/>
      <c r="L4733" s="733"/>
      <c r="M4733" s="733"/>
    </row>
    <row r="4734" spans="1:13" x14ac:dyDescent="0.3">
      <c r="A4734" s="733" t="s">
        <v>2603</v>
      </c>
      <c r="B4734" s="733" t="s">
        <v>664</v>
      </c>
      <c r="C4734" s="733" t="s">
        <v>4751</v>
      </c>
      <c r="D4734" s="733"/>
      <c r="E4734" s="761"/>
      <c r="F4734" s="761"/>
      <c r="G4734" s="733"/>
      <c r="H4734" s="733"/>
      <c r="I4734" s="733"/>
      <c r="J4734" s="733"/>
      <c r="K4734" s="733"/>
      <c r="L4734" s="733"/>
      <c r="M4734" s="733"/>
    </row>
    <row r="4735" spans="1:13" x14ac:dyDescent="0.3">
      <c r="A4735" s="733" t="s">
        <v>2603</v>
      </c>
      <c r="B4735" s="733" t="s">
        <v>664</v>
      </c>
      <c r="C4735" s="733" t="s">
        <v>4752</v>
      </c>
      <c r="D4735" s="733"/>
      <c r="E4735" s="761"/>
      <c r="F4735" s="761"/>
      <c r="G4735" s="733"/>
      <c r="H4735" s="733"/>
      <c r="I4735" s="733"/>
      <c r="J4735" s="733"/>
      <c r="K4735" s="733"/>
      <c r="L4735" s="733"/>
      <c r="M4735" s="733"/>
    </row>
    <row r="4736" spans="1:13" x14ac:dyDescent="0.3">
      <c r="A4736" s="733" t="s">
        <v>2603</v>
      </c>
      <c r="B4736" s="733" t="s">
        <v>664</v>
      </c>
      <c r="C4736" s="733" t="s">
        <v>4753</v>
      </c>
      <c r="D4736" s="733"/>
      <c r="E4736" s="761"/>
      <c r="F4736" s="761"/>
      <c r="G4736" s="733"/>
      <c r="H4736" s="733"/>
      <c r="I4736" s="733"/>
      <c r="J4736" s="733"/>
      <c r="K4736" s="733"/>
      <c r="L4736" s="733"/>
      <c r="M4736" s="733"/>
    </row>
    <row r="4737" spans="1:13" x14ac:dyDescent="0.3">
      <c r="A4737" s="733" t="s">
        <v>2603</v>
      </c>
      <c r="B4737" s="733" t="s">
        <v>664</v>
      </c>
      <c r="C4737" s="733" t="s">
        <v>4754</v>
      </c>
      <c r="D4737" s="733"/>
      <c r="E4737" s="761"/>
      <c r="F4737" s="761"/>
      <c r="G4737" s="733"/>
      <c r="H4737" s="733"/>
      <c r="I4737" s="733"/>
      <c r="J4737" s="733"/>
      <c r="K4737" s="733"/>
      <c r="L4737" s="733"/>
      <c r="M4737" s="733"/>
    </row>
    <row r="4738" spans="1:13" x14ac:dyDescent="0.3">
      <c r="A4738" s="733" t="s">
        <v>2603</v>
      </c>
      <c r="B4738" s="733" t="s">
        <v>664</v>
      </c>
      <c r="C4738" s="733" t="s">
        <v>4755</v>
      </c>
      <c r="D4738" s="733"/>
      <c r="E4738" s="761"/>
      <c r="F4738" s="761"/>
      <c r="G4738" s="733"/>
      <c r="H4738" s="733"/>
      <c r="I4738" s="733"/>
      <c r="J4738" s="733"/>
      <c r="K4738" s="733"/>
      <c r="L4738" s="733"/>
      <c r="M4738" s="733"/>
    </row>
    <row r="4739" spans="1:13" x14ac:dyDescent="0.3">
      <c r="A4739" s="733" t="s">
        <v>2603</v>
      </c>
      <c r="B4739" s="733" t="s">
        <v>664</v>
      </c>
      <c r="C4739" s="733" t="s">
        <v>4756</v>
      </c>
      <c r="D4739" s="733"/>
      <c r="E4739" s="761"/>
      <c r="F4739" s="761"/>
      <c r="G4739" s="733"/>
      <c r="H4739" s="733"/>
      <c r="I4739" s="733"/>
      <c r="J4739" s="733"/>
      <c r="K4739" s="733"/>
      <c r="L4739" s="733"/>
      <c r="M4739" s="733"/>
    </row>
    <row r="4740" spans="1:13" x14ac:dyDescent="0.3">
      <c r="A4740" s="733" t="s">
        <v>2603</v>
      </c>
      <c r="B4740" s="733" t="s">
        <v>664</v>
      </c>
      <c r="C4740" s="733" t="s">
        <v>4757</v>
      </c>
      <c r="D4740" s="733"/>
      <c r="E4740" s="761"/>
      <c r="F4740" s="761"/>
      <c r="G4740" s="733"/>
      <c r="H4740" s="733"/>
      <c r="I4740" s="733"/>
      <c r="J4740" s="733"/>
      <c r="K4740" s="733"/>
      <c r="L4740" s="733"/>
      <c r="M4740" s="733"/>
    </row>
    <row r="4741" spans="1:13" x14ac:dyDescent="0.3">
      <c r="A4741" s="733" t="s">
        <v>2603</v>
      </c>
      <c r="B4741" s="733" t="s">
        <v>664</v>
      </c>
      <c r="C4741" s="733" t="s">
        <v>4758</v>
      </c>
      <c r="D4741" s="733"/>
      <c r="E4741" s="761"/>
      <c r="F4741" s="761"/>
      <c r="G4741" s="733"/>
      <c r="H4741" s="733"/>
      <c r="I4741" s="733"/>
      <c r="J4741" s="733"/>
      <c r="K4741" s="733"/>
      <c r="L4741" s="733"/>
      <c r="M4741" s="733"/>
    </row>
    <row r="4742" spans="1:13" x14ac:dyDescent="0.3">
      <c r="A4742" s="733" t="s">
        <v>2603</v>
      </c>
      <c r="B4742" s="733" t="s">
        <v>664</v>
      </c>
      <c r="C4742" s="733" t="s">
        <v>4759</v>
      </c>
      <c r="D4742" s="733"/>
      <c r="E4742" s="761"/>
      <c r="F4742" s="761"/>
      <c r="G4742" s="733"/>
      <c r="H4742" s="733"/>
      <c r="I4742" s="733"/>
      <c r="J4742" s="733"/>
      <c r="K4742" s="733"/>
      <c r="L4742" s="733"/>
      <c r="M4742" s="733"/>
    </row>
    <row r="4743" spans="1:13" x14ac:dyDescent="0.3">
      <c r="A4743" s="733" t="s">
        <v>2603</v>
      </c>
      <c r="B4743" s="733" t="s">
        <v>664</v>
      </c>
      <c r="C4743" s="733" t="s">
        <v>4760</v>
      </c>
      <c r="D4743" s="733"/>
      <c r="E4743" s="761"/>
      <c r="F4743" s="761"/>
      <c r="G4743" s="733"/>
      <c r="H4743" s="733"/>
      <c r="I4743" s="733"/>
      <c r="J4743" s="733"/>
      <c r="K4743" s="733"/>
      <c r="L4743" s="733"/>
      <c r="M4743" s="733"/>
    </row>
    <row r="4744" spans="1:13" x14ac:dyDescent="0.3">
      <c r="A4744" s="733" t="s">
        <v>2603</v>
      </c>
      <c r="B4744" s="733" t="s">
        <v>664</v>
      </c>
      <c r="C4744" s="733" t="s">
        <v>4761</v>
      </c>
      <c r="D4744" s="733"/>
      <c r="E4744" s="761"/>
      <c r="F4744" s="761"/>
      <c r="G4744" s="733"/>
      <c r="H4744" s="733"/>
      <c r="I4744" s="733"/>
      <c r="J4744" s="733"/>
      <c r="K4744" s="733"/>
      <c r="L4744" s="733"/>
      <c r="M4744" s="733"/>
    </row>
    <row r="4745" spans="1:13" x14ac:dyDescent="0.3">
      <c r="A4745" s="733" t="s">
        <v>2603</v>
      </c>
      <c r="B4745" s="733" t="s">
        <v>664</v>
      </c>
      <c r="C4745" s="733" t="s">
        <v>4762</v>
      </c>
      <c r="D4745" s="733"/>
      <c r="E4745" s="761"/>
      <c r="F4745" s="761"/>
      <c r="G4745" s="733"/>
      <c r="H4745" s="733"/>
      <c r="I4745" s="733"/>
      <c r="J4745" s="733"/>
      <c r="K4745" s="733"/>
      <c r="L4745" s="733"/>
      <c r="M4745" s="733"/>
    </row>
    <row r="4746" spans="1:13" x14ac:dyDescent="0.3">
      <c r="A4746" s="733" t="s">
        <v>2603</v>
      </c>
      <c r="B4746" s="733" t="s">
        <v>612</v>
      </c>
      <c r="C4746" s="733" t="s">
        <v>4763</v>
      </c>
      <c r="D4746" s="733"/>
      <c r="E4746" s="761"/>
      <c r="F4746" s="761"/>
      <c r="G4746" s="733"/>
      <c r="H4746" s="733"/>
      <c r="I4746" s="733"/>
      <c r="J4746" s="733"/>
      <c r="K4746" s="733"/>
      <c r="L4746" s="733"/>
      <c r="M4746" s="733"/>
    </row>
    <row r="4747" spans="1:13" x14ac:dyDescent="0.3">
      <c r="A4747" s="733" t="s">
        <v>2603</v>
      </c>
      <c r="B4747" s="733" t="s">
        <v>612</v>
      </c>
      <c r="C4747" s="733" t="s">
        <v>4764</v>
      </c>
      <c r="D4747" s="733"/>
      <c r="E4747" s="761"/>
      <c r="F4747" s="761"/>
      <c r="G4747" s="733"/>
      <c r="H4747" s="733"/>
      <c r="I4747" s="733"/>
      <c r="J4747" s="733"/>
      <c r="K4747" s="733"/>
      <c r="L4747" s="733"/>
      <c r="M4747" s="733"/>
    </row>
    <row r="4748" spans="1:13" x14ac:dyDescent="0.3">
      <c r="A4748" s="733" t="s">
        <v>2603</v>
      </c>
      <c r="B4748" s="733" t="s">
        <v>612</v>
      </c>
      <c r="C4748" s="733" t="s">
        <v>4765</v>
      </c>
      <c r="D4748" s="733"/>
      <c r="E4748" s="761"/>
      <c r="F4748" s="761"/>
      <c r="G4748" s="733"/>
      <c r="H4748" s="733"/>
      <c r="I4748" s="733"/>
      <c r="J4748" s="733"/>
      <c r="K4748" s="733"/>
      <c r="L4748" s="733"/>
      <c r="M4748" s="733"/>
    </row>
    <row r="4749" spans="1:13" x14ac:dyDescent="0.3">
      <c r="A4749" s="733" t="s">
        <v>2603</v>
      </c>
      <c r="B4749" s="733" t="s">
        <v>612</v>
      </c>
      <c r="C4749" s="733" t="s">
        <v>4766</v>
      </c>
      <c r="D4749" s="733"/>
      <c r="E4749" s="761"/>
      <c r="F4749" s="761"/>
      <c r="G4749" s="733"/>
      <c r="H4749" s="733"/>
      <c r="I4749" s="733"/>
      <c r="J4749" s="733"/>
      <c r="K4749" s="733"/>
      <c r="L4749" s="733"/>
      <c r="M4749" s="733"/>
    </row>
    <row r="4750" spans="1:13" x14ac:dyDescent="0.3">
      <c r="A4750" s="733" t="s">
        <v>2603</v>
      </c>
      <c r="B4750" s="733" t="s">
        <v>612</v>
      </c>
      <c r="C4750" s="733" t="s">
        <v>4767</v>
      </c>
      <c r="D4750" s="733"/>
      <c r="E4750" s="761"/>
      <c r="F4750" s="761"/>
      <c r="G4750" s="733"/>
      <c r="H4750" s="733"/>
      <c r="I4750" s="733"/>
      <c r="J4750" s="733"/>
      <c r="K4750" s="733"/>
      <c r="L4750" s="733"/>
      <c r="M4750" s="733"/>
    </row>
    <row r="4751" spans="1:13" x14ac:dyDescent="0.3">
      <c r="A4751" s="733" t="s">
        <v>2603</v>
      </c>
      <c r="B4751" s="733" t="s">
        <v>612</v>
      </c>
      <c r="C4751" s="733" t="s">
        <v>4768</v>
      </c>
      <c r="D4751" s="733"/>
      <c r="E4751" s="761"/>
      <c r="F4751" s="761"/>
      <c r="G4751" s="733"/>
      <c r="H4751" s="733"/>
      <c r="I4751" s="733"/>
      <c r="J4751" s="733"/>
      <c r="K4751" s="733"/>
      <c r="L4751" s="733"/>
      <c r="M4751" s="733"/>
    </row>
    <row r="4752" spans="1:13" x14ac:dyDescent="0.3">
      <c r="A4752" s="733" t="s">
        <v>2603</v>
      </c>
      <c r="B4752" s="733" t="s">
        <v>612</v>
      </c>
      <c r="C4752" s="733" t="s">
        <v>4769</v>
      </c>
      <c r="D4752" s="733"/>
      <c r="E4752" s="761"/>
      <c r="F4752" s="761"/>
      <c r="G4752" s="733"/>
      <c r="H4752" s="733"/>
      <c r="I4752" s="733"/>
      <c r="J4752" s="733"/>
      <c r="K4752" s="733"/>
      <c r="L4752" s="733"/>
      <c r="M4752" s="733"/>
    </row>
    <row r="4753" spans="1:13" x14ac:dyDescent="0.3">
      <c r="A4753" s="733" t="s">
        <v>2603</v>
      </c>
      <c r="B4753" s="733" t="s">
        <v>612</v>
      </c>
      <c r="C4753" s="733" t="s">
        <v>4770</v>
      </c>
      <c r="D4753" s="733"/>
      <c r="E4753" s="761"/>
      <c r="F4753" s="761"/>
      <c r="G4753" s="733"/>
      <c r="H4753" s="733"/>
      <c r="I4753" s="733"/>
      <c r="J4753" s="733"/>
      <c r="K4753" s="733"/>
      <c r="L4753" s="733"/>
      <c r="M4753" s="733"/>
    </row>
    <row r="4754" spans="1:13" x14ac:dyDescent="0.3">
      <c r="A4754" s="733" t="s">
        <v>2603</v>
      </c>
      <c r="B4754" s="733" t="s">
        <v>612</v>
      </c>
      <c r="C4754" s="733" t="s">
        <v>4771</v>
      </c>
      <c r="D4754" s="733"/>
      <c r="E4754" s="761"/>
      <c r="F4754" s="761"/>
      <c r="G4754" s="733"/>
      <c r="H4754" s="733"/>
      <c r="I4754" s="733"/>
      <c r="J4754" s="733"/>
      <c r="K4754" s="733"/>
      <c r="L4754" s="733"/>
      <c r="M4754" s="733"/>
    </row>
    <row r="4755" spans="1:13" x14ac:dyDescent="0.3">
      <c r="A4755" s="733" t="s">
        <v>2603</v>
      </c>
      <c r="B4755" s="733" t="s">
        <v>612</v>
      </c>
      <c r="C4755" s="733" t="s">
        <v>4772</v>
      </c>
      <c r="D4755" s="733"/>
      <c r="E4755" s="761"/>
      <c r="F4755" s="761"/>
      <c r="G4755" s="733"/>
      <c r="H4755" s="733"/>
      <c r="I4755" s="733"/>
      <c r="J4755" s="733"/>
      <c r="K4755" s="733"/>
      <c r="L4755" s="733"/>
      <c r="M4755" s="733"/>
    </row>
    <row r="4756" spans="1:13" x14ac:dyDescent="0.3">
      <c r="A4756" s="733" t="s">
        <v>2603</v>
      </c>
      <c r="B4756" s="733" t="s">
        <v>612</v>
      </c>
      <c r="C4756" s="733" t="s">
        <v>4773</v>
      </c>
      <c r="D4756" s="733"/>
      <c r="E4756" s="761"/>
      <c r="F4756" s="761"/>
      <c r="G4756" s="733"/>
      <c r="H4756" s="733"/>
      <c r="I4756" s="733"/>
      <c r="J4756" s="733"/>
      <c r="K4756" s="733"/>
      <c r="L4756" s="733"/>
      <c r="M4756" s="733"/>
    </row>
    <row r="4757" spans="1:13" x14ac:dyDescent="0.3">
      <c r="A4757" s="733" t="s">
        <v>2603</v>
      </c>
      <c r="B4757" s="733" t="s">
        <v>612</v>
      </c>
      <c r="C4757" s="733" t="s">
        <v>4774</v>
      </c>
      <c r="D4757" s="733"/>
      <c r="E4757" s="761"/>
      <c r="F4757" s="761"/>
      <c r="G4757" s="733"/>
      <c r="H4757" s="733"/>
      <c r="I4757" s="733"/>
      <c r="J4757" s="733"/>
      <c r="K4757" s="733"/>
      <c r="L4757" s="733"/>
      <c r="M4757" s="733"/>
    </row>
    <row r="4758" spans="1:13" x14ac:dyDescent="0.3">
      <c r="A4758" s="733" t="s">
        <v>2603</v>
      </c>
      <c r="B4758" s="733" t="s">
        <v>612</v>
      </c>
      <c r="C4758" s="733" t="s">
        <v>4775</v>
      </c>
      <c r="D4758" s="733"/>
      <c r="E4758" s="761"/>
      <c r="F4758" s="761"/>
      <c r="G4758" s="733"/>
      <c r="H4758" s="733"/>
      <c r="I4758" s="733"/>
      <c r="J4758" s="733"/>
      <c r="K4758" s="733"/>
      <c r="L4758" s="733"/>
      <c r="M4758" s="733"/>
    </row>
    <row r="4759" spans="1:13" x14ac:dyDescent="0.3">
      <c r="A4759" s="733" t="s">
        <v>2603</v>
      </c>
      <c r="B4759" s="733" t="s">
        <v>612</v>
      </c>
      <c r="C4759" s="733" t="s">
        <v>4776</v>
      </c>
      <c r="D4759" s="733"/>
      <c r="E4759" s="761"/>
      <c r="F4759" s="761"/>
      <c r="G4759" s="733"/>
      <c r="H4759" s="733"/>
      <c r="I4759" s="733"/>
      <c r="J4759" s="733"/>
      <c r="K4759" s="733"/>
      <c r="L4759" s="733"/>
      <c r="M4759" s="733"/>
    </row>
    <row r="4760" spans="1:13" x14ac:dyDescent="0.3">
      <c r="A4760" s="733" t="s">
        <v>2603</v>
      </c>
      <c r="B4760" s="733" t="s">
        <v>612</v>
      </c>
      <c r="C4760" s="733" t="s">
        <v>4777</v>
      </c>
      <c r="D4760" s="733"/>
      <c r="E4760" s="761"/>
      <c r="F4760" s="761"/>
      <c r="G4760" s="733"/>
      <c r="H4760" s="733"/>
      <c r="I4760" s="733"/>
      <c r="J4760" s="733"/>
      <c r="K4760" s="733"/>
      <c r="L4760" s="733"/>
      <c r="M4760" s="733"/>
    </row>
    <row r="4761" spans="1:13" x14ac:dyDescent="0.3">
      <c r="A4761" s="733" t="s">
        <v>1895</v>
      </c>
      <c r="B4761" s="733" t="s">
        <v>645</v>
      </c>
      <c r="C4761" s="733" t="s">
        <v>4778</v>
      </c>
      <c r="D4761" s="733"/>
      <c r="E4761" s="761"/>
      <c r="F4761" s="761"/>
      <c r="G4761" s="733"/>
      <c r="H4761" s="733"/>
      <c r="I4761" s="733"/>
      <c r="J4761" s="733"/>
      <c r="K4761" s="733"/>
      <c r="L4761" s="733"/>
      <c r="M4761" s="733"/>
    </row>
    <row r="4762" spans="1:13" x14ac:dyDescent="0.3">
      <c r="A4762" s="733" t="s">
        <v>1895</v>
      </c>
      <c r="B4762" s="733" t="s">
        <v>645</v>
      </c>
      <c r="C4762" s="733" t="s">
        <v>4779</v>
      </c>
      <c r="D4762" s="733"/>
      <c r="E4762" s="761"/>
      <c r="F4762" s="761"/>
      <c r="G4762" s="733"/>
      <c r="H4762" s="733"/>
      <c r="I4762" s="733"/>
      <c r="J4762" s="733"/>
      <c r="K4762" s="733"/>
      <c r="L4762" s="733"/>
      <c r="M4762" s="733"/>
    </row>
    <row r="4763" spans="1:13" x14ac:dyDescent="0.3">
      <c r="A4763" s="733" t="s">
        <v>1895</v>
      </c>
      <c r="B4763" s="733" t="s">
        <v>645</v>
      </c>
      <c r="C4763" s="733" t="s">
        <v>4780</v>
      </c>
      <c r="D4763" s="733"/>
      <c r="E4763" s="761"/>
      <c r="F4763" s="761"/>
      <c r="G4763" s="733"/>
      <c r="H4763" s="733"/>
      <c r="I4763" s="733"/>
      <c r="J4763" s="733"/>
      <c r="K4763" s="733"/>
      <c r="L4763" s="733"/>
      <c r="M4763" s="733"/>
    </row>
    <row r="4764" spans="1:13" x14ac:dyDescent="0.3">
      <c r="A4764" s="733" t="s">
        <v>1895</v>
      </c>
      <c r="B4764" s="733" t="s">
        <v>645</v>
      </c>
      <c r="C4764" s="733" t="s">
        <v>4781</v>
      </c>
      <c r="D4764" s="733"/>
      <c r="E4764" s="761"/>
      <c r="F4764" s="761"/>
      <c r="G4764" s="733"/>
      <c r="H4764" s="733"/>
      <c r="I4764" s="733"/>
      <c r="J4764" s="733"/>
      <c r="K4764" s="733"/>
      <c r="L4764" s="733"/>
      <c r="M4764" s="733"/>
    </row>
    <row r="4765" spans="1:13" x14ac:dyDescent="0.3">
      <c r="A4765" s="733" t="s">
        <v>1895</v>
      </c>
      <c r="B4765" s="733" t="s">
        <v>645</v>
      </c>
      <c r="C4765" s="733" t="s">
        <v>4782</v>
      </c>
      <c r="D4765" s="733"/>
      <c r="E4765" s="761"/>
      <c r="F4765" s="761"/>
      <c r="G4765" s="733"/>
      <c r="H4765" s="733"/>
      <c r="I4765" s="733"/>
      <c r="J4765" s="733"/>
      <c r="K4765" s="733"/>
      <c r="L4765" s="733"/>
      <c r="M4765" s="733"/>
    </row>
    <row r="4766" spans="1:13" x14ac:dyDescent="0.3">
      <c r="A4766" s="733" t="s">
        <v>1895</v>
      </c>
      <c r="B4766" s="733" t="s">
        <v>645</v>
      </c>
      <c r="C4766" s="733" t="s">
        <v>4783</v>
      </c>
      <c r="D4766" s="733"/>
      <c r="E4766" s="761"/>
      <c r="F4766" s="761"/>
      <c r="G4766" s="733"/>
      <c r="H4766" s="733"/>
      <c r="I4766" s="733"/>
      <c r="J4766" s="733"/>
      <c r="K4766" s="733"/>
      <c r="L4766" s="733"/>
      <c r="M4766" s="733"/>
    </row>
    <row r="4767" spans="1:13" x14ac:dyDescent="0.3">
      <c r="A4767" s="733" t="s">
        <v>1895</v>
      </c>
      <c r="B4767" s="733" t="s">
        <v>645</v>
      </c>
      <c r="C4767" s="733" t="s">
        <v>4784</v>
      </c>
      <c r="D4767" s="733"/>
      <c r="E4767" s="761"/>
      <c r="F4767" s="761"/>
      <c r="G4767" s="733"/>
      <c r="H4767" s="733"/>
      <c r="I4767" s="733"/>
      <c r="J4767" s="733"/>
      <c r="K4767" s="733"/>
      <c r="L4767" s="733"/>
      <c r="M4767" s="733"/>
    </row>
    <row r="4768" spans="1:13" x14ac:dyDescent="0.3">
      <c r="A4768" s="733" t="s">
        <v>1895</v>
      </c>
      <c r="B4768" s="733" t="s">
        <v>645</v>
      </c>
      <c r="C4768" s="733" t="s">
        <v>4785</v>
      </c>
      <c r="D4768" s="733"/>
      <c r="E4768" s="761"/>
      <c r="F4768" s="761"/>
      <c r="G4768" s="733"/>
      <c r="H4768" s="733"/>
      <c r="I4768" s="733"/>
      <c r="J4768" s="733"/>
      <c r="K4768" s="733"/>
      <c r="L4768" s="733"/>
      <c r="M4768" s="733"/>
    </row>
    <row r="4769" spans="1:13" x14ac:dyDescent="0.3">
      <c r="A4769" s="733" t="s">
        <v>1895</v>
      </c>
      <c r="B4769" s="733" t="s">
        <v>645</v>
      </c>
      <c r="C4769" s="733" t="s">
        <v>4786</v>
      </c>
      <c r="D4769" s="733"/>
      <c r="E4769" s="761"/>
      <c r="F4769" s="761"/>
      <c r="G4769" s="733"/>
      <c r="H4769" s="733"/>
      <c r="I4769" s="733"/>
      <c r="J4769" s="733"/>
      <c r="K4769" s="733"/>
      <c r="L4769" s="733"/>
      <c r="M4769" s="733"/>
    </row>
    <row r="4770" spans="1:13" x14ac:dyDescent="0.3">
      <c r="A4770" s="733" t="s">
        <v>1895</v>
      </c>
      <c r="B4770" s="733" t="s">
        <v>645</v>
      </c>
      <c r="C4770" s="733" t="s">
        <v>4787</v>
      </c>
      <c r="D4770" s="733"/>
      <c r="E4770" s="761"/>
      <c r="F4770" s="761"/>
      <c r="G4770" s="733"/>
      <c r="H4770" s="733"/>
      <c r="I4770" s="733"/>
      <c r="J4770" s="733"/>
      <c r="K4770" s="733"/>
      <c r="L4770" s="733"/>
      <c r="M4770" s="733"/>
    </row>
    <row r="4771" spans="1:13" x14ac:dyDescent="0.3">
      <c r="A4771" s="733" t="s">
        <v>1895</v>
      </c>
      <c r="B4771" s="733" t="s">
        <v>645</v>
      </c>
      <c r="C4771" s="733" t="s">
        <v>4788</v>
      </c>
      <c r="D4771" s="733"/>
      <c r="E4771" s="761"/>
      <c r="F4771" s="761"/>
      <c r="G4771" s="733"/>
      <c r="H4771" s="733"/>
      <c r="I4771" s="733"/>
      <c r="J4771" s="733"/>
      <c r="K4771" s="733"/>
      <c r="L4771" s="733"/>
      <c r="M4771" s="733"/>
    </row>
    <row r="4772" spans="1:13" x14ac:dyDescent="0.3">
      <c r="A4772" s="733" t="s">
        <v>1895</v>
      </c>
      <c r="B4772" s="733" t="s">
        <v>645</v>
      </c>
      <c r="C4772" s="733" t="s">
        <v>4789</v>
      </c>
      <c r="D4772" s="733"/>
      <c r="E4772" s="761"/>
      <c r="F4772" s="761"/>
      <c r="G4772" s="733"/>
      <c r="H4772" s="733"/>
      <c r="I4772" s="733"/>
      <c r="J4772" s="733"/>
      <c r="K4772" s="733"/>
      <c r="L4772" s="733"/>
      <c r="M4772" s="733"/>
    </row>
    <row r="4773" spans="1:13" x14ac:dyDescent="0.3">
      <c r="A4773" s="733" t="s">
        <v>1895</v>
      </c>
      <c r="B4773" s="733" t="s">
        <v>645</v>
      </c>
      <c r="C4773" s="733" t="s">
        <v>4790</v>
      </c>
      <c r="D4773" s="733"/>
      <c r="E4773" s="761"/>
      <c r="F4773" s="761"/>
      <c r="G4773" s="733"/>
      <c r="H4773" s="733"/>
      <c r="I4773" s="733"/>
      <c r="J4773" s="733"/>
      <c r="K4773" s="733"/>
      <c r="L4773" s="733"/>
      <c r="M4773" s="733"/>
    </row>
    <row r="4774" spans="1:13" x14ac:dyDescent="0.3">
      <c r="A4774" s="733" t="s">
        <v>1895</v>
      </c>
      <c r="B4774" s="733" t="s">
        <v>645</v>
      </c>
      <c r="C4774" s="733" t="s">
        <v>4791</v>
      </c>
      <c r="D4774" s="733"/>
      <c r="E4774" s="761"/>
      <c r="F4774" s="761"/>
      <c r="G4774" s="733"/>
      <c r="H4774" s="733"/>
      <c r="I4774" s="733"/>
      <c r="J4774" s="733"/>
      <c r="K4774" s="733"/>
      <c r="L4774" s="733"/>
      <c r="M4774" s="733"/>
    </row>
    <row r="4775" spans="1:13" x14ac:dyDescent="0.3">
      <c r="A4775" s="733" t="s">
        <v>1895</v>
      </c>
      <c r="B4775" s="733" t="s">
        <v>645</v>
      </c>
      <c r="C4775" s="733" t="s">
        <v>4792</v>
      </c>
      <c r="D4775" s="733"/>
      <c r="E4775" s="761"/>
      <c r="F4775" s="761"/>
      <c r="G4775" s="733"/>
      <c r="H4775" s="733"/>
      <c r="I4775" s="733"/>
      <c r="J4775" s="733"/>
      <c r="K4775" s="733"/>
      <c r="L4775" s="733"/>
      <c r="M4775" s="733"/>
    </row>
    <row r="4776" spans="1:13" x14ac:dyDescent="0.3">
      <c r="A4776" s="733" t="s">
        <v>1895</v>
      </c>
      <c r="B4776" s="733" t="s">
        <v>664</v>
      </c>
      <c r="C4776" s="733" t="s">
        <v>4793</v>
      </c>
      <c r="D4776" s="733"/>
      <c r="E4776" s="761"/>
      <c r="F4776" s="761"/>
      <c r="G4776" s="733"/>
      <c r="H4776" s="733"/>
      <c r="I4776" s="733"/>
      <c r="J4776" s="733"/>
      <c r="K4776" s="733"/>
      <c r="L4776" s="733"/>
      <c r="M4776" s="733"/>
    </row>
    <row r="4777" spans="1:13" x14ac:dyDescent="0.3">
      <c r="A4777" s="733" t="s">
        <v>1895</v>
      </c>
      <c r="B4777" s="733" t="s">
        <v>664</v>
      </c>
      <c r="C4777" s="733" t="s">
        <v>4794</v>
      </c>
      <c r="D4777" s="733"/>
      <c r="E4777" s="761"/>
      <c r="F4777" s="761"/>
      <c r="G4777" s="733"/>
      <c r="H4777" s="733"/>
      <c r="I4777" s="733"/>
      <c r="J4777" s="733"/>
      <c r="K4777" s="733"/>
      <c r="L4777" s="733"/>
      <c r="M4777" s="733"/>
    </row>
    <row r="4778" spans="1:13" x14ac:dyDescent="0.3">
      <c r="A4778" s="733" t="s">
        <v>1895</v>
      </c>
      <c r="B4778" s="733" t="s">
        <v>664</v>
      </c>
      <c r="C4778" s="733" t="s">
        <v>4795</v>
      </c>
      <c r="D4778" s="733"/>
      <c r="E4778" s="761"/>
      <c r="F4778" s="761"/>
      <c r="G4778" s="733"/>
      <c r="H4778" s="733"/>
      <c r="I4778" s="733"/>
      <c r="J4778" s="733"/>
      <c r="K4778" s="733"/>
      <c r="L4778" s="733"/>
      <c r="M4778" s="733"/>
    </row>
    <row r="4779" spans="1:13" x14ac:dyDescent="0.3">
      <c r="A4779" s="733" t="s">
        <v>1895</v>
      </c>
      <c r="B4779" s="733" t="s">
        <v>664</v>
      </c>
      <c r="C4779" s="733" t="s">
        <v>4796</v>
      </c>
      <c r="D4779" s="733"/>
      <c r="E4779" s="761"/>
      <c r="F4779" s="761"/>
      <c r="G4779" s="733"/>
      <c r="H4779" s="733"/>
      <c r="I4779" s="733"/>
      <c r="J4779" s="733"/>
      <c r="K4779" s="733"/>
      <c r="L4779" s="733"/>
      <c r="M4779" s="733"/>
    </row>
    <row r="4780" spans="1:13" x14ac:dyDescent="0.3">
      <c r="A4780" s="733" t="s">
        <v>1895</v>
      </c>
      <c r="B4780" s="733" t="s">
        <v>664</v>
      </c>
      <c r="C4780" s="733" t="s">
        <v>4797</v>
      </c>
      <c r="D4780" s="733"/>
      <c r="E4780" s="761"/>
      <c r="F4780" s="761"/>
      <c r="G4780" s="733"/>
      <c r="H4780" s="733"/>
      <c r="I4780" s="733"/>
      <c r="J4780" s="733"/>
      <c r="K4780" s="733"/>
      <c r="L4780" s="733"/>
      <c r="M4780" s="733"/>
    </row>
    <row r="4781" spans="1:13" x14ac:dyDescent="0.3">
      <c r="A4781" s="733" t="s">
        <v>1895</v>
      </c>
      <c r="B4781" s="733" t="s">
        <v>664</v>
      </c>
      <c r="C4781" s="733" t="s">
        <v>4798</v>
      </c>
      <c r="D4781" s="733"/>
      <c r="E4781" s="761"/>
      <c r="F4781" s="761"/>
      <c r="G4781" s="733"/>
      <c r="H4781" s="733"/>
      <c r="I4781" s="733"/>
      <c r="J4781" s="733"/>
      <c r="K4781" s="733"/>
      <c r="L4781" s="733"/>
      <c r="M4781" s="733"/>
    </row>
    <row r="4782" spans="1:13" x14ac:dyDescent="0.3">
      <c r="A4782" s="733" t="s">
        <v>1895</v>
      </c>
      <c r="B4782" s="733" t="s">
        <v>664</v>
      </c>
      <c r="C4782" s="733" t="s">
        <v>4799</v>
      </c>
      <c r="D4782" s="733"/>
      <c r="E4782" s="761"/>
      <c r="F4782" s="761"/>
      <c r="G4782" s="733"/>
      <c r="H4782" s="733"/>
      <c r="I4782" s="733"/>
      <c r="J4782" s="733"/>
      <c r="K4782" s="733"/>
      <c r="L4782" s="733"/>
      <c r="M4782" s="733"/>
    </row>
    <row r="4783" spans="1:13" x14ac:dyDescent="0.3">
      <c r="A4783" s="733" t="s">
        <v>1895</v>
      </c>
      <c r="B4783" s="733" t="s">
        <v>664</v>
      </c>
      <c r="C4783" s="733" t="s">
        <v>4800</v>
      </c>
      <c r="D4783" s="733"/>
      <c r="E4783" s="761"/>
      <c r="F4783" s="761"/>
      <c r="G4783" s="733"/>
      <c r="H4783" s="733"/>
      <c r="I4783" s="733"/>
      <c r="J4783" s="733"/>
      <c r="K4783" s="733"/>
      <c r="L4783" s="733"/>
      <c r="M4783" s="733"/>
    </row>
    <row r="4784" spans="1:13" x14ac:dyDescent="0.3">
      <c r="A4784" s="733" t="s">
        <v>1895</v>
      </c>
      <c r="B4784" s="733" t="s">
        <v>664</v>
      </c>
      <c r="C4784" s="733" t="s">
        <v>4801</v>
      </c>
      <c r="D4784" s="733"/>
      <c r="E4784" s="761"/>
      <c r="F4784" s="761"/>
      <c r="G4784" s="733"/>
      <c r="H4784" s="733"/>
      <c r="I4784" s="733"/>
      <c r="J4784" s="733"/>
      <c r="K4784" s="733"/>
      <c r="L4784" s="733"/>
      <c r="M4784" s="733"/>
    </row>
    <row r="4785" spans="1:13" x14ac:dyDescent="0.3">
      <c r="A4785" s="733" t="s">
        <v>1895</v>
      </c>
      <c r="B4785" s="733" t="s">
        <v>664</v>
      </c>
      <c r="C4785" s="733" t="s">
        <v>4802</v>
      </c>
      <c r="D4785" s="733"/>
      <c r="E4785" s="761"/>
      <c r="F4785" s="761"/>
      <c r="G4785" s="733"/>
      <c r="H4785" s="733"/>
      <c r="I4785" s="733"/>
      <c r="J4785" s="733"/>
      <c r="K4785" s="733"/>
      <c r="L4785" s="733"/>
      <c r="M4785" s="733"/>
    </row>
    <row r="4786" spans="1:13" x14ac:dyDescent="0.3">
      <c r="A4786" s="733" t="s">
        <v>1895</v>
      </c>
      <c r="B4786" s="733" t="s">
        <v>664</v>
      </c>
      <c r="C4786" s="733" t="s">
        <v>4803</v>
      </c>
      <c r="D4786" s="733"/>
      <c r="E4786" s="761"/>
      <c r="F4786" s="761"/>
      <c r="G4786" s="733"/>
      <c r="H4786" s="733"/>
      <c r="I4786" s="733"/>
      <c r="J4786" s="733"/>
      <c r="K4786" s="733"/>
      <c r="L4786" s="733"/>
      <c r="M4786" s="733"/>
    </row>
    <row r="4787" spans="1:13" x14ac:dyDescent="0.3">
      <c r="A4787" s="733" t="s">
        <v>1895</v>
      </c>
      <c r="B4787" s="733" t="s">
        <v>664</v>
      </c>
      <c r="C4787" s="733" t="s">
        <v>4804</v>
      </c>
      <c r="D4787" s="733"/>
      <c r="E4787" s="761"/>
      <c r="F4787" s="761"/>
      <c r="G4787" s="733"/>
      <c r="H4787" s="733"/>
      <c r="I4787" s="733"/>
      <c r="J4787" s="733"/>
      <c r="K4787" s="733"/>
      <c r="L4787" s="733"/>
      <c r="M4787" s="733"/>
    </row>
    <row r="4788" spans="1:13" x14ac:dyDescent="0.3">
      <c r="A4788" s="733" t="s">
        <v>1895</v>
      </c>
      <c r="B4788" s="733" t="s">
        <v>664</v>
      </c>
      <c r="C4788" s="733" t="s">
        <v>4805</v>
      </c>
      <c r="D4788" s="733"/>
      <c r="E4788" s="761"/>
      <c r="F4788" s="761"/>
      <c r="G4788" s="733"/>
      <c r="H4788" s="733"/>
      <c r="I4788" s="733"/>
      <c r="J4788" s="733"/>
      <c r="K4788" s="733"/>
      <c r="L4788" s="733"/>
      <c r="M4788" s="733"/>
    </row>
    <row r="4789" spans="1:13" x14ac:dyDescent="0.3">
      <c r="A4789" s="733" t="s">
        <v>1895</v>
      </c>
      <c r="B4789" s="733" t="s">
        <v>664</v>
      </c>
      <c r="C4789" s="733" t="s">
        <v>4806</v>
      </c>
      <c r="D4789" s="733"/>
      <c r="E4789" s="761"/>
      <c r="F4789" s="761"/>
      <c r="G4789" s="733"/>
      <c r="H4789" s="733"/>
      <c r="I4789" s="733"/>
      <c r="J4789" s="733"/>
      <c r="K4789" s="733"/>
      <c r="L4789" s="733"/>
      <c r="M4789" s="733"/>
    </row>
    <row r="4790" spans="1:13" x14ac:dyDescent="0.3">
      <c r="A4790" s="733" t="s">
        <v>1895</v>
      </c>
      <c r="B4790" s="733" t="s">
        <v>664</v>
      </c>
      <c r="C4790" s="733" t="s">
        <v>4807</v>
      </c>
      <c r="D4790" s="733"/>
      <c r="E4790" s="761"/>
      <c r="F4790" s="761"/>
      <c r="G4790" s="733"/>
      <c r="H4790" s="733"/>
      <c r="I4790" s="733"/>
      <c r="J4790" s="733"/>
      <c r="K4790" s="733"/>
      <c r="L4790" s="733"/>
      <c r="M4790" s="733"/>
    </row>
    <row r="4791" spans="1:13" x14ac:dyDescent="0.3">
      <c r="A4791" s="733" t="s">
        <v>1895</v>
      </c>
      <c r="B4791" s="733" t="s">
        <v>612</v>
      </c>
      <c r="C4791" s="733" t="s">
        <v>4808</v>
      </c>
      <c r="D4791" s="733"/>
      <c r="E4791" s="761"/>
      <c r="F4791" s="761"/>
      <c r="G4791" s="733"/>
      <c r="H4791" s="733"/>
      <c r="I4791" s="733"/>
      <c r="J4791" s="733"/>
      <c r="K4791" s="733"/>
      <c r="L4791" s="733"/>
      <c r="M4791" s="733"/>
    </row>
    <row r="4792" spans="1:13" x14ac:dyDescent="0.3">
      <c r="A4792" s="733" t="s">
        <v>1895</v>
      </c>
      <c r="B4792" s="733" t="s">
        <v>612</v>
      </c>
      <c r="C4792" s="733" t="s">
        <v>4809</v>
      </c>
      <c r="D4792" s="733"/>
      <c r="E4792" s="761"/>
      <c r="F4792" s="761"/>
      <c r="G4792" s="733"/>
      <c r="H4792" s="733"/>
      <c r="I4792" s="733"/>
      <c r="J4792" s="733"/>
      <c r="K4792" s="733"/>
      <c r="L4792" s="733"/>
      <c r="M4792" s="733"/>
    </row>
    <row r="4793" spans="1:13" x14ac:dyDescent="0.3">
      <c r="A4793" s="733" t="s">
        <v>1895</v>
      </c>
      <c r="B4793" s="733" t="s">
        <v>612</v>
      </c>
      <c r="C4793" s="733" t="s">
        <v>4810</v>
      </c>
      <c r="D4793" s="733"/>
      <c r="E4793" s="761"/>
      <c r="F4793" s="761"/>
      <c r="G4793" s="733"/>
      <c r="H4793" s="733"/>
      <c r="I4793" s="733"/>
      <c r="J4793" s="733"/>
      <c r="K4793" s="733"/>
      <c r="L4793" s="733"/>
      <c r="M4793" s="733"/>
    </row>
    <row r="4794" spans="1:13" x14ac:dyDescent="0.3">
      <c r="A4794" s="733" t="s">
        <v>1895</v>
      </c>
      <c r="B4794" s="733" t="s">
        <v>612</v>
      </c>
      <c r="C4794" s="733" t="s">
        <v>4811</v>
      </c>
      <c r="D4794" s="733"/>
      <c r="E4794" s="761"/>
      <c r="F4794" s="761"/>
      <c r="G4794" s="733"/>
      <c r="H4794" s="733"/>
      <c r="I4794" s="733"/>
      <c r="J4794" s="733"/>
      <c r="K4794" s="733"/>
      <c r="L4794" s="733"/>
      <c r="M4794" s="733"/>
    </row>
    <row r="4795" spans="1:13" x14ac:dyDescent="0.3">
      <c r="A4795" s="733" t="s">
        <v>1895</v>
      </c>
      <c r="B4795" s="733" t="s">
        <v>612</v>
      </c>
      <c r="C4795" s="733" t="s">
        <v>4812</v>
      </c>
      <c r="D4795" s="733"/>
      <c r="E4795" s="761"/>
      <c r="F4795" s="761"/>
      <c r="G4795" s="733"/>
      <c r="H4795" s="733"/>
      <c r="I4795" s="733"/>
      <c r="J4795" s="733"/>
      <c r="K4795" s="733"/>
      <c r="L4795" s="733"/>
      <c r="M4795" s="733"/>
    </row>
    <row r="4796" spans="1:13" x14ac:dyDescent="0.3">
      <c r="A4796" s="733" t="s">
        <v>1895</v>
      </c>
      <c r="B4796" s="733" t="s">
        <v>612</v>
      </c>
      <c r="C4796" s="733" t="s">
        <v>4813</v>
      </c>
      <c r="D4796" s="733"/>
      <c r="E4796" s="761"/>
      <c r="F4796" s="761"/>
      <c r="G4796" s="733"/>
      <c r="H4796" s="733"/>
      <c r="I4796" s="733"/>
      <c r="J4796" s="733"/>
      <c r="K4796" s="733"/>
      <c r="L4796" s="733"/>
      <c r="M4796" s="733"/>
    </row>
    <row r="4797" spans="1:13" x14ac:dyDescent="0.3">
      <c r="A4797" s="733" t="s">
        <v>1895</v>
      </c>
      <c r="B4797" s="733" t="s">
        <v>612</v>
      </c>
      <c r="C4797" s="733" t="s">
        <v>4814</v>
      </c>
      <c r="D4797" s="733"/>
      <c r="E4797" s="761"/>
      <c r="F4797" s="761"/>
      <c r="G4797" s="733"/>
      <c r="H4797" s="733"/>
      <c r="I4797" s="733"/>
      <c r="J4797" s="733"/>
      <c r="K4797" s="733"/>
      <c r="L4797" s="733"/>
      <c r="M4797" s="733"/>
    </row>
    <row r="4798" spans="1:13" x14ac:dyDescent="0.3">
      <c r="A4798" s="733" t="s">
        <v>1895</v>
      </c>
      <c r="B4798" s="733" t="s">
        <v>612</v>
      </c>
      <c r="C4798" s="733" t="s">
        <v>4815</v>
      </c>
      <c r="D4798" s="733"/>
      <c r="E4798" s="761"/>
      <c r="F4798" s="761"/>
      <c r="G4798" s="733"/>
      <c r="H4798" s="733"/>
      <c r="I4798" s="733"/>
      <c r="J4798" s="733"/>
      <c r="K4798" s="733"/>
      <c r="L4798" s="733"/>
      <c r="M4798" s="733"/>
    </row>
    <row r="4799" spans="1:13" x14ac:dyDescent="0.3">
      <c r="A4799" s="733" t="s">
        <v>1895</v>
      </c>
      <c r="B4799" s="733" t="s">
        <v>612</v>
      </c>
      <c r="C4799" s="733" t="s">
        <v>4816</v>
      </c>
      <c r="D4799" s="733"/>
      <c r="E4799" s="761"/>
      <c r="F4799" s="761"/>
      <c r="G4799" s="733"/>
      <c r="H4799" s="733"/>
      <c r="I4799" s="733"/>
      <c r="J4799" s="733"/>
      <c r="K4799" s="733"/>
      <c r="L4799" s="733"/>
      <c r="M4799" s="733"/>
    </row>
    <row r="4800" spans="1:13" x14ac:dyDescent="0.3">
      <c r="A4800" s="733" t="s">
        <v>1895</v>
      </c>
      <c r="B4800" s="733" t="s">
        <v>612</v>
      </c>
      <c r="C4800" s="733" t="s">
        <v>4817</v>
      </c>
      <c r="D4800" s="733"/>
      <c r="E4800" s="761"/>
      <c r="F4800" s="761"/>
      <c r="G4800" s="733"/>
      <c r="H4800" s="733"/>
      <c r="I4800" s="733"/>
      <c r="J4800" s="733"/>
      <c r="K4800" s="733"/>
      <c r="L4800" s="733"/>
      <c r="M4800" s="733"/>
    </row>
    <row r="4801" spans="1:13" x14ac:dyDescent="0.3">
      <c r="A4801" s="733" t="s">
        <v>1895</v>
      </c>
      <c r="B4801" s="733" t="s">
        <v>612</v>
      </c>
      <c r="C4801" s="733" t="s">
        <v>4818</v>
      </c>
      <c r="D4801" s="733"/>
      <c r="E4801" s="761"/>
      <c r="F4801" s="761"/>
      <c r="G4801" s="733"/>
      <c r="H4801" s="733"/>
      <c r="I4801" s="733"/>
      <c r="J4801" s="733"/>
      <c r="K4801" s="733"/>
      <c r="L4801" s="733"/>
      <c r="M4801" s="733"/>
    </row>
    <row r="4802" spans="1:13" x14ac:dyDescent="0.3">
      <c r="A4802" s="733" t="s">
        <v>1895</v>
      </c>
      <c r="B4802" s="733" t="s">
        <v>612</v>
      </c>
      <c r="C4802" s="733" t="s">
        <v>4819</v>
      </c>
      <c r="D4802" s="733"/>
      <c r="E4802" s="761"/>
      <c r="F4802" s="761"/>
      <c r="G4802" s="733"/>
      <c r="H4802" s="733"/>
      <c r="I4802" s="733"/>
      <c r="J4802" s="733"/>
      <c r="K4802" s="733"/>
      <c r="L4802" s="733"/>
      <c r="M4802" s="733"/>
    </row>
    <row r="4803" spans="1:13" x14ac:dyDescent="0.3">
      <c r="A4803" s="733" t="s">
        <v>1895</v>
      </c>
      <c r="B4803" s="733" t="s">
        <v>612</v>
      </c>
      <c r="C4803" s="733" t="s">
        <v>4820</v>
      </c>
      <c r="D4803" s="733"/>
      <c r="E4803" s="761"/>
      <c r="F4803" s="761"/>
      <c r="G4803" s="733"/>
      <c r="H4803" s="733"/>
      <c r="I4803" s="733"/>
      <c r="J4803" s="733"/>
      <c r="K4803" s="733"/>
      <c r="L4803" s="733"/>
      <c r="M4803" s="733"/>
    </row>
    <row r="4804" spans="1:13" x14ac:dyDescent="0.3">
      <c r="A4804" s="733" t="s">
        <v>1895</v>
      </c>
      <c r="B4804" s="733" t="s">
        <v>612</v>
      </c>
      <c r="C4804" s="733" t="s">
        <v>4821</v>
      </c>
      <c r="D4804" s="733"/>
      <c r="E4804" s="761"/>
      <c r="F4804" s="761"/>
      <c r="G4804" s="733"/>
      <c r="H4804" s="733"/>
      <c r="I4804" s="733"/>
      <c r="J4804" s="733"/>
      <c r="K4804" s="733"/>
      <c r="L4804" s="733"/>
      <c r="M4804" s="733"/>
    </row>
    <row r="4805" spans="1:13" x14ac:dyDescent="0.3">
      <c r="A4805" s="733" t="s">
        <v>1895</v>
      </c>
      <c r="B4805" s="733" t="s">
        <v>612</v>
      </c>
      <c r="C4805" s="733" t="s">
        <v>4822</v>
      </c>
      <c r="D4805" s="733"/>
      <c r="E4805" s="761"/>
      <c r="F4805" s="761"/>
      <c r="G4805" s="733"/>
      <c r="H4805" s="733"/>
      <c r="I4805" s="733"/>
      <c r="J4805" s="733"/>
      <c r="K4805" s="733"/>
      <c r="L4805" s="733"/>
      <c r="M4805" s="733"/>
    </row>
    <row r="4806" spans="1:13" x14ac:dyDescent="0.3">
      <c r="A4806" s="733" t="s">
        <v>4823</v>
      </c>
      <c r="B4806" s="733" t="s">
        <v>645</v>
      </c>
      <c r="C4806" s="733" t="s">
        <v>4824</v>
      </c>
      <c r="D4806" s="733"/>
      <c r="E4806" s="761"/>
      <c r="F4806" s="761"/>
      <c r="G4806" s="733"/>
      <c r="H4806" s="733"/>
      <c r="I4806" s="733"/>
      <c r="J4806" s="733"/>
      <c r="K4806" s="733"/>
      <c r="L4806" s="733"/>
      <c r="M4806" s="733"/>
    </row>
    <row r="4807" spans="1:13" x14ac:dyDescent="0.3">
      <c r="A4807" s="733" t="s">
        <v>4823</v>
      </c>
      <c r="B4807" s="733" t="s">
        <v>645</v>
      </c>
      <c r="C4807" s="733" t="s">
        <v>4825</v>
      </c>
      <c r="D4807" s="733"/>
      <c r="E4807" s="761"/>
      <c r="F4807" s="761"/>
      <c r="G4807" s="733"/>
      <c r="H4807" s="733"/>
      <c r="I4807" s="733"/>
      <c r="J4807" s="733"/>
      <c r="K4807" s="733"/>
      <c r="L4807" s="733"/>
      <c r="M4807" s="733"/>
    </row>
    <row r="4808" spans="1:13" x14ac:dyDescent="0.3">
      <c r="A4808" s="733" t="s">
        <v>4823</v>
      </c>
      <c r="B4808" s="733" t="s">
        <v>645</v>
      </c>
      <c r="C4808" s="733" t="s">
        <v>4826</v>
      </c>
      <c r="D4808" s="733"/>
      <c r="E4808" s="761"/>
      <c r="F4808" s="761"/>
      <c r="G4808" s="733"/>
      <c r="H4808" s="733"/>
      <c r="I4808" s="733"/>
      <c r="J4808" s="733"/>
      <c r="K4808" s="733"/>
      <c r="L4808" s="733"/>
      <c r="M4808" s="733"/>
    </row>
    <row r="4809" spans="1:13" x14ac:dyDescent="0.3">
      <c r="A4809" s="733" t="s">
        <v>4823</v>
      </c>
      <c r="B4809" s="733" t="s">
        <v>645</v>
      </c>
      <c r="C4809" s="733" t="s">
        <v>4827</v>
      </c>
      <c r="D4809" s="733"/>
      <c r="E4809" s="761"/>
      <c r="F4809" s="761"/>
      <c r="G4809" s="733"/>
      <c r="H4809" s="733"/>
      <c r="I4809" s="733"/>
      <c r="J4809" s="733"/>
      <c r="K4809" s="733"/>
      <c r="L4809" s="733"/>
      <c r="M4809" s="733"/>
    </row>
    <row r="4810" spans="1:13" x14ac:dyDescent="0.3">
      <c r="A4810" s="733" t="s">
        <v>4823</v>
      </c>
      <c r="B4810" s="733" t="s">
        <v>645</v>
      </c>
      <c r="C4810" s="733" t="s">
        <v>4828</v>
      </c>
      <c r="D4810" s="733"/>
      <c r="E4810" s="761"/>
      <c r="F4810" s="761"/>
      <c r="G4810" s="733"/>
      <c r="H4810" s="733"/>
      <c r="I4810" s="733"/>
      <c r="J4810" s="733"/>
      <c r="K4810" s="733"/>
      <c r="L4810" s="733"/>
      <c r="M4810" s="733"/>
    </row>
    <row r="4811" spans="1:13" x14ac:dyDescent="0.3">
      <c r="A4811" s="733" t="s">
        <v>4823</v>
      </c>
      <c r="B4811" s="733" t="s">
        <v>645</v>
      </c>
      <c r="C4811" s="733" t="s">
        <v>4829</v>
      </c>
      <c r="D4811" s="733"/>
      <c r="E4811" s="761"/>
      <c r="F4811" s="761"/>
      <c r="G4811" s="733"/>
      <c r="H4811" s="733"/>
      <c r="I4811" s="733"/>
      <c r="J4811" s="733"/>
      <c r="K4811" s="733"/>
      <c r="L4811" s="733"/>
      <c r="M4811" s="733"/>
    </row>
    <row r="4812" spans="1:13" x14ac:dyDescent="0.3">
      <c r="A4812" s="733" t="s">
        <v>4823</v>
      </c>
      <c r="B4812" s="733" t="s">
        <v>645</v>
      </c>
      <c r="C4812" s="733" t="s">
        <v>4830</v>
      </c>
      <c r="D4812" s="733"/>
      <c r="E4812" s="761"/>
      <c r="F4812" s="761"/>
      <c r="G4812" s="733"/>
      <c r="H4812" s="733"/>
      <c r="I4812" s="733"/>
      <c r="J4812" s="733"/>
      <c r="K4812" s="733"/>
      <c r="L4812" s="733"/>
      <c r="M4812" s="733"/>
    </row>
    <row r="4813" spans="1:13" x14ac:dyDescent="0.3">
      <c r="A4813" s="733" t="s">
        <v>4823</v>
      </c>
      <c r="B4813" s="733" t="s">
        <v>645</v>
      </c>
      <c r="C4813" s="733" t="s">
        <v>4831</v>
      </c>
      <c r="D4813" s="733"/>
      <c r="E4813" s="761"/>
      <c r="F4813" s="761"/>
      <c r="G4813" s="733"/>
      <c r="H4813" s="733"/>
      <c r="I4813" s="733"/>
      <c r="J4813" s="733"/>
      <c r="K4813" s="733"/>
      <c r="L4813" s="733"/>
      <c r="M4813" s="733"/>
    </row>
    <row r="4814" spans="1:13" x14ac:dyDescent="0.3">
      <c r="A4814" s="733" t="s">
        <v>4823</v>
      </c>
      <c r="B4814" s="733" t="s">
        <v>645</v>
      </c>
      <c r="C4814" s="733" t="s">
        <v>4832</v>
      </c>
      <c r="D4814" s="733"/>
      <c r="E4814" s="761"/>
      <c r="F4814" s="761"/>
      <c r="G4814" s="733"/>
      <c r="H4814" s="733"/>
      <c r="I4814" s="733"/>
      <c r="J4814" s="733"/>
      <c r="K4814" s="733"/>
      <c r="L4814" s="733"/>
      <c r="M4814" s="733"/>
    </row>
    <row r="4815" spans="1:13" x14ac:dyDescent="0.3">
      <c r="A4815" s="733" t="s">
        <v>4823</v>
      </c>
      <c r="B4815" s="733" t="s">
        <v>645</v>
      </c>
      <c r="C4815" s="733" t="s">
        <v>4833</v>
      </c>
      <c r="D4815" s="733"/>
      <c r="E4815" s="761"/>
      <c r="F4815" s="761"/>
      <c r="G4815" s="733"/>
      <c r="H4815" s="733"/>
      <c r="I4815" s="733"/>
      <c r="J4815" s="733"/>
      <c r="K4815" s="733"/>
      <c r="L4815" s="733"/>
      <c r="M4815" s="733"/>
    </row>
    <row r="4816" spans="1:13" x14ac:dyDescent="0.3">
      <c r="A4816" s="733" t="s">
        <v>4823</v>
      </c>
      <c r="B4816" s="733" t="s">
        <v>645</v>
      </c>
      <c r="C4816" s="733" t="s">
        <v>4834</v>
      </c>
      <c r="D4816" s="733"/>
      <c r="E4816" s="761"/>
      <c r="F4816" s="761"/>
      <c r="G4816" s="733"/>
      <c r="H4816" s="733"/>
      <c r="I4816" s="733"/>
      <c r="J4816" s="733"/>
      <c r="K4816" s="733"/>
      <c r="L4816" s="733"/>
      <c r="M4816" s="733"/>
    </row>
    <row r="4817" spans="1:13" x14ac:dyDescent="0.3">
      <c r="A4817" s="733" t="s">
        <v>4823</v>
      </c>
      <c r="B4817" s="733" t="s">
        <v>645</v>
      </c>
      <c r="C4817" s="733" t="s">
        <v>4835</v>
      </c>
      <c r="D4817" s="733"/>
      <c r="E4817" s="761"/>
      <c r="F4817" s="761"/>
      <c r="G4817" s="733"/>
      <c r="H4817" s="733"/>
      <c r="I4817" s="733"/>
      <c r="J4817" s="733"/>
      <c r="K4817" s="733"/>
      <c r="L4817" s="733"/>
      <c r="M4817" s="733"/>
    </row>
    <row r="4818" spans="1:13" x14ac:dyDescent="0.3">
      <c r="A4818" s="733" t="s">
        <v>4823</v>
      </c>
      <c r="B4818" s="733" t="s">
        <v>645</v>
      </c>
      <c r="C4818" s="733" t="s">
        <v>4836</v>
      </c>
      <c r="D4818" s="733"/>
      <c r="E4818" s="761"/>
      <c r="F4818" s="761"/>
      <c r="G4818" s="733"/>
      <c r="H4818" s="733"/>
      <c r="I4818" s="733"/>
      <c r="J4818" s="733"/>
      <c r="K4818" s="733"/>
      <c r="L4818" s="733"/>
      <c r="M4818" s="733"/>
    </row>
    <row r="4819" spans="1:13" x14ac:dyDescent="0.3">
      <c r="A4819" s="733" t="s">
        <v>4823</v>
      </c>
      <c r="B4819" s="733" t="s">
        <v>645</v>
      </c>
      <c r="C4819" s="733" t="s">
        <v>4837</v>
      </c>
      <c r="D4819" s="733"/>
      <c r="E4819" s="761"/>
      <c r="F4819" s="761"/>
      <c r="G4819" s="733"/>
      <c r="H4819" s="733"/>
      <c r="I4819" s="733"/>
      <c r="J4819" s="733"/>
      <c r="K4819" s="733"/>
      <c r="L4819" s="733"/>
      <c r="M4819" s="733"/>
    </row>
    <row r="4820" spans="1:13" x14ac:dyDescent="0.3">
      <c r="A4820" s="733" t="s">
        <v>4823</v>
      </c>
      <c r="B4820" s="733" t="s">
        <v>645</v>
      </c>
      <c r="C4820" s="733" t="s">
        <v>4838</v>
      </c>
      <c r="D4820" s="733"/>
      <c r="E4820" s="761"/>
      <c r="F4820" s="761"/>
      <c r="G4820" s="733"/>
      <c r="H4820" s="733"/>
      <c r="I4820" s="733"/>
      <c r="J4820" s="733"/>
      <c r="K4820" s="733"/>
      <c r="L4820" s="733"/>
      <c r="M4820" s="733"/>
    </row>
    <row r="4821" spans="1:13" x14ac:dyDescent="0.3">
      <c r="A4821" s="733" t="s">
        <v>4823</v>
      </c>
      <c r="B4821" s="733" t="s">
        <v>664</v>
      </c>
      <c r="C4821" s="733" t="s">
        <v>4839</v>
      </c>
      <c r="D4821" s="733"/>
      <c r="E4821" s="761"/>
      <c r="F4821" s="761"/>
      <c r="G4821" s="733"/>
      <c r="H4821" s="733"/>
      <c r="I4821" s="733"/>
      <c r="J4821" s="733"/>
      <c r="K4821" s="733"/>
      <c r="L4821" s="733"/>
      <c r="M4821" s="733"/>
    </row>
    <row r="4822" spans="1:13" x14ac:dyDescent="0.3">
      <c r="A4822" s="733" t="s">
        <v>4823</v>
      </c>
      <c r="B4822" s="733" t="s">
        <v>664</v>
      </c>
      <c r="C4822" s="733" t="s">
        <v>4840</v>
      </c>
      <c r="D4822" s="733"/>
      <c r="E4822" s="761"/>
      <c r="F4822" s="761"/>
      <c r="G4822" s="733"/>
      <c r="H4822" s="733"/>
      <c r="I4822" s="733"/>
      <c r="J4822" s="733"/>
      <c r="K4822" s="733"/>
      <c r="L4822" s="733"/>
      <c r="M4822" s="733"/>
    </row>
    <row r="4823" spans="1:13" x14ac:dyDescent="0.3">
      <c r="A4823" s="733" t="s">
        <v>4823</v>
      </c>
      <c r="B4823" s="733" t="s">
        <v>664</v>
      </c>
      <c r="C4823" s="733" t="s">
        <v>4841</v>
      </c>
      <c r="D4823" s="733"/>
      <c r="E4823" s="761"/>
      <c r="F4823" s="761"/>
      <c r="G4823" s="733"/>
      <c r="H4823" s="733"/>
      <c r="I4823" s="733"/>
      <c r="J4823" s="733"/>
      <c r="K4823" s="733"/>
      <c r="L4823" s="733"/>
      <c r="M4823" s="733"/>
    </row>
    <row r="4824" spans="1:13" x14ac:dyDescent="0.3">
      <c r="A4824" s="733" t="s">
        <v>4823</v>
      </c>
      <c r="B4824" s="733" t="s">
        <v>664</v>
      </c>
      <c r="C4824" s="733" t="s">
        <v>4842</v>
      </c>
      <c r="D4824" s="733"/>
      <c r="E4824" s="761"/>
      <c r="F4824" s="761"/>
      <c r="G4824" s="733"/>
      <c r="H4824" s="733"/>
      <c r="I4824" s="733"/>
      <c r="J4824" s="733"/>
      <c r="K4824" s="733"/>
      <c r="L4824" s="733"/>
      <c r="M4824" s="733"/>
    </row>
    <row r="4825" spans="1:13" x14ac:dyDescent="0.3">
      <c r="A4825" s="733" t="s">
        <v>4823</v>
      </c>
      <c r="B4825" s="733" t="s">
        <v>664</v>
      </c>
      <c r="C4825" s="733" t="s">
        <v>4843</v>
      </c>
      <c r="D4825" s="733"/>
      <c r="E4825" s="761"/>
      <c r="F4825" s="761"/>
      <c r="G4825" s="733"/>
      <c r="H4825" s="733"/>
      <c r="I4825" s="733"/>
      <c r="J4825" s="733"/>
      <c r="K4825" s="733"/>
      <c r="L4825" s="733"/>
      <c r="M4825" s="733"/>
    </row>
    <row r="4826" spans="1:13" x14ac:dyDescent="0.3">
      <c r="A4826" s="733" t="s">
        <v>4823</v>
      </c>
      <c r="B4826" s="733" t="s">
        <v>664</v>
      </c>
      <c r="C4826" s="733" t="s">
        <v>4844</v>
      </c>
      <c r="D4826" s="733"/>
      <c r="E4826" s="761"/>
      <c r="F4826" s="761"/>
      <c r="G4826" s="733"/>
      <c r="H4826" s="733"/>
      <c r="I4826" s="733"/>
      <c r="J4826" s="733"/>
      <c r="K4826" s="733"/>
      <c r="L4826" s="733"/>
      <c r="M4826" s="733"/>
    </row>
    <row r="4827" spans="1:13" x14ac:dyDescent="0.3">
      <c r="A4827" s="733" t="s">
        <v>4823</v>
      </c>
      <c r="B4827" s="733" t="s">
        <v>664</v>
      </c>
      <c r="C4827" s="733" t="s">
        <v>4845</v>
      </c>
      <c r="D4827" s="733"/>
      <c r="E4827" s="761"/>
      <c r="F4827" s="761"/>
      <c r="G4827" s="733"/>
      <c r="H4827" s="733"/>
      <c r="I4827" s="733"/>
      <c r="J4827" s="733"/>
      <c r="K4827" s="733"/>
      <c r="L4827" s="733"/>
      <c r="M4827" s="733"/>
    </row>
    <row r="4828" spans="1:13" x14ac:dyDescent="0.3">
      <c r="A4828" s="733" t="s">
        <v>4823</v>
      </c>
      <c r="B4828" s="733" t="s">
        <v>664</v>
      </c>
      <c r="C4828" s="733" t="s">
        <v>4846</v>
      </c>
      <c r="D4828" s="733"/>
      <c r="E4828" s="761"/>
      <c r="F4828" s="761"/>
      <c r="G4828" s="733"/>
      <c r="H4828" s="733"/>
      <c r="I4828" s="733"/>
      <c r="J4828" s="733"/>
      <c r="K4828" s="733"/>
      <c r="L4828" s="733"/>
      <c r="M4828" s="733"/>
    </row>
    <row r="4829" spans="1:13" x14ac:dyDescent="0.3">
      <c r="A4829" s="733" t="s">
        <v>4823</v>
      </c>
      <c r="B4829" s="733" t="s">
        <v>664</v>
      </c>
      <c r="C4829" s="733" t="s">
        <v>4847</v>
      </c>
      <c r="D4829" s="733"/>
      <c r="E4829" s="761"/>
      <c r="F4829" s="761"/>
      <c r="G4829" s="733"/>
      <c r="H4829" s="733"/>
      <c r="I4829" s="733"/>
      <c r="J4829" s="733"/>
      <c r="K4829" s="733"/>
      <c r="L4829" s="733"/>
      <c r="M4829" s="733"/>
    </row>
    <row r="4830" spans="1:13" x14ac:dyDescent="0.3">
      <c r="A4830" s="733" t="s">
        <v>4823</v>
      </c>
      <c r="B4830" s="733" t="s">
        <v>664</v>
      </c>
      <c r="C4830" s="733" t="s">
        <v>4848</v>
      </c>
      <c r="D4830" s="733"/>
      <c r="E4830" s="761"/>
      <c r="F4830" s="761"/>
      <c r="G4830" s="733"/>
      <c r="H4830" s="733"/>
      <c r="I4830" s="733"/>
      <c r="J4830" s="733"/>
      <c r="K4830" s="733"/>
      <c r="L4830" s="733"/>
      <c r="M4830" s="733"/>
    </row>
    <row r="4831" spans="1:13" x14ac:dyDescent="0.3">
      <c r="A4831" s="733" t="s">
        <v>4823</v>
      </c>
      <c r="B4831" s="733" t="s">
        <v>664</v>
      </c>
      <c r="C4831" s="733" t="s">
        <v>4849</v>
      </c>
      <c r="D4831" s="733"/>
      <c r="E4831" s="761"/>
      <c r="F4831" s="761"/>
      <c r="G4831" s="733"/>
      <c r="H4831" s="733"/>
      <c r="I4831" s="733"/>
      <c r="J4831" s="733"/>
      <c r="K4831" s="733"/>
      <c r="L4831" s="733"/>
      <c r="M4831" s="733"/>
    </row>
    <row r="4832" spans="1:13" x14ac:dyDescent="0.3">
      <c r="A4832" s="733" t="s">
        <v>4823</v>
      </c>
      <c r="B4832" s="733" t="s">
        <v>664</v>
      </c>
      <c r="C4832" s="733" t="s">
        <v>4850</v>
      </c>
      <c r="D4832" s="733"/>
      <c r="E4832" s="761"/>
      <c r="F4832" s="761"/>
      <c r="G4832" s="733"/>
      <c r="H4832" s="733"/>
      <c r="I4832" s="733"/>
      <c r="J4832" s="733"/>
      <c r="K4832" s="733"/>
      <c r="L4832" s="733"/>
      <c r="M4832" s="733"/>
    </row>
    <row r="4833" spans="1:13" x14ac:dyDescent="0.3">
      <c r="A4833" s="733" t="s">
        <v>4823</v>
      </c>
      <c r="B4833" s="733" t="s">
        <v>664</v>
      </c>
      <c r="C4833" s="733" t="s">
        <v>4851</v>
      </c>
      <c r="D4833" s="733"/>
      <c r="E4833" s="761"/>
      <c r="F4833" s="761"/>
      <c r="G4833" s="733"/>
      <c r="H4833" s="733"/>
      <c r="I4833" s="733"/>
      <c r="J4833" s="733"/>
      <c r="K4833" s="733"/>
      <c r="L4833" s="733"/>
      <c r="M4833" s="733"/>
    </row>
    <row r="4834" spans="1:13" x14ac:dyDescent="0.3">
      <c r="A4834" s="733" t="s">
        <v>4823</v>
      </c>
      <c r="B4834" s="733" t="s">
        <v>664</v>
      </c>
      <c r="C4834" s="733" t="s">
        <v>4852</v>
      </c>
      <c r="D4834" s="733"/>
      <c r="E4834" s="761"/>
      <c r="F4834" s="761"/>
      <c r="G4834" s="733"/>
      <c r="H4834" s="733"/>
      <c r="I4834" s="733"/>
      <c r="J4834" s="733"/>
      <c r="K4834" s="733"/>
      <c r="L4834" s="733"/>
      <c r="M4834" s="733"/>
    </row>
    <row r="4835" spans="1:13" x14ac:dyDescent="0.3">
      <c r="A4835" s="733" t="s">
        <v>4823</v>
      </c>
      <c r="B4835" s="733" t="s">
        <v>664</v>
      </c>
      <c r="C4835" s="733" t="s">
        <v>4853</v>
      </c>
      <c r="D4835" s="733"/>
      <c r="E4835" s="761"/>
      <c r="F4835" s="761"/>
      <c r="G4835" s="733"/>
      <c r="H4835" s="733"/>
      <c r="I4835" s="733"/>
      <c r="J4835" s="733"/>
      <c r="K4835" s="733"/>
      <c r="L4835" s="733"/>
      <c r="M4835" s="733"/>
    </row>
    <row r="4836" spans="1:13" x14ac:dyDescent="0.3">
      <c r="A4836" s="733" t="s">
        <v>4823</v>
      </c>
      <c r="B4836" s="733" t="s">
        <v>612</v>
      </c>
      <c r="C4836" s="733" t="s">
        <v>4854</v>
      </c>
      <c r="D4836" s="733"/>
      <c r="E4836" s="761"/>
      <c r="F4836" s="761"/>
      <c r="G4836" s="733"/>
      <c r="H4836" s="733"/>
      <c r="I4836" s="733"/>
      <c r="J4836" s="733"/>
      <c r="K4836" s="733"/>
      <c r="L4836" s="733"/>
      <c r="M4836" s="733"/>
    </row>
    <row r="4837" spans="1:13" x14ac:dyDescent="0.3">
      <c r="A4837" s="733" t="s">
        <v>4823</v>
      </c>
      <c r="B4837" s="733" t="s">
        <v>612</v>
      </c>
      <c r="C4837" s="733" t="s">
        <v>4855</v>
      </c>
      <c r="D4837" s="733"/>
      <c r="E4837" s="761"/>
      <c r="F4837" s="761"/>
      <c r="G4837" s="733"/>
      <c r="H4837" s="733"/>
      <c r="I4837" s="733"/>
      <c r="J4837" s="733"/>
      <c r="K4837" s="733"/>
      <c r="L4837" s="733"/>
      <c r="M4837" s="733"/>
    </row>
    <row r="4838" spans="1:13" x14ac:dyDescent="0.3">
      <c r="A4838" s="733" t="s">
        <v>4823</v>
      </c>
      <c r="B4838" s="733" t="s">
        <v>612</v>
      </c>
      <c r="C4838" s="733" t="s">
        <v>4856</v>
      </c>
      <c r="D4838" s="733"/>
      <c r="E4838" s="761"/>
      <c r="F4838" s="761"/>
      <c r="G4838" s="733"/>
      <c r="H4838" s="733"/>
      <c r="I4838" s="733"/>
      <c r="J4838" s="733"/>
      <c r="K4838" s="733"/>
      <c r="L4838" s="733"/>
      <c r="M4838" s="733"/>
    </row>
    <row r="4839" spans="1:13" x14ac:dyDescent="0.3">
      <c r="A4839" s="733" t="s">
        <v>4823</v>
      </c>
      <c r="B4839" s="733" t="s">
        <v>612</v>
      </c>
      <c r="C4839" s="733" t="s">
        <v>4857</v>
      </c>
      <c r="D4839" s="733"/>
      <c r="E4839" s="761"/>
      <c r="F4839" s="761"/>
      <c r="G4839" s="733"/>
      <c r="H4839" s="733"/>
      <c r="I4839" s="733"/>
      <c r="J4839" s="733"/>
      <c r="K4839" s="733"/>
      <c r="L4839" s="733"/>
      <c r="M4839" s="733"/>
    </row>
    <row r="4840" spans="1:13" x14ac:dyDescent="0.3">
      <c r="A4840" s="733" t="s">
        <v>4823</v>
      </c>
      <c r="B4840" s="733" t="s">
        <v>612</v>
      </c>
      <c r="C4840" s="733" t="s">
        <v>4858</v>
      </c>
      <c r="D4840" s="733"/>
      <c r="E4840" s="761"/>
      <c r="F4840" s="761"/>
      <c r="G4840" s="733"/>
      <c r="H4840" s="733"/>
      <c r="I4840" s="733"/>
      <c r="J4840" s="733"/>
      <c r="K4840" s="733"/>
      <c r="L4840" s="733"/>
      <c r="M4840" s="733"/>
    </row>
    <row r="4841" spans="1:13" x14ac:dyDescent="0.3">
      <c r="A4841" s="733" t="s">
        <v>4823</v>
      </c>
      <c r="B4841" s="733" t="s">
        <v>612</v>
      </c>
      <c r="C4841" s="733" t="s">
        <v>4859</v>
      </c>
      <c r="D4841" s="733"/>
      <c r="E4841" s="761"/>
      <c r="F4841" s="761"/>
      <c r="G4841" s="733"/>
      <c r="H4841" s="733"/>
      <c r="I4841" s="733"/>
      <c r="J4841" s="733"/>
      <c r="K4841" s="733"/>
      <c r="L4841" s="733"/>
      <c r="M4841" s="733"/>
    </row>
    <row r="4842" spans="1:13" x14ac:dyDescent="0.3">
      <c r="A4842" s="733" t="s">
        <v>4823</v>
      </c>
      <c r="B4842" s="733" t="s">
        <v>612</v>
      </c>
      <c r="C4842" s="733" t="s">
        <v>4860</v>
      </c>
      <c r="D4842" s="733"/>
      <c r="E4842" s="761"/>
      <c r="F4842" s="761"/>
      <c r="G4842" s="733"/>
      <c r="H4842" s="733"/>
      <c r="I4842" s="733"/>
      <c r="J4842" s="733"/>
      <c r="K4842" s="733"/>
      <c r="L4842" s="733"/>
      <c r="M4842" s="733"/>
    </row>
    <row r="4843" spans="1:13" x14ac:dyDescent="0.3">
      <c r="A4843" s="733" t="s">
        <v>4823</v>
      </c>
      <c r="B4843" s="733" t="s">
        <v>612</v>
      </c>
      <c r="C4843" s="733" t="s">
        <v>4861</v>
      </c>
      <c r="D4843" s="733"/>
      <c r="E4843" s="761"/>
      <c r="F4843" s="761"/>
      <c r="G4843" s="733"/>
      <c r="H4843" s="733"/>
      <c r="I4843" s="733"/>
      <c r="J4843" s="733"/>
      <c r="K4843" s="733"/>
      <c r="L4843" s="733"/>
      <c r="M4843" s="733"/>
    </row>
    <row r="4844" spans="1:13" x14ac:dyDescent="0.3">
      <c r="A4844" s="733" t="s">
        <v>4823</v>
      </c>
      <c r="B4844" s="733" t="s">
        <v>612</v>
      </c>
      <c r="C4844" s="733" t="s">
        <v>4862</v>
      </c>
      <c r="D4844" s="733"/>
      <c r="E4844" s="761"/>
      <c r="F4844" s="761"/>
      <c r="G4844" s="733"/>
      <c r="H4844" s="733"/>
      <c r="I4844" s="733"/>
      <c r="J4844" s="733"/>
      <c r="K4844" s="733"/>
      <c r="L4844" s="733"/>
      <c r="M4844" s="733"/>
    </row>
    <row r="4845" spans="1:13" x14ac:dyDescent="0.3">
      <c r="A4845" s="733" t="s">
        <v>4823</v>
      </c>
      <c r="B4845" s="733" t="s">
        <v>612</v>
      </c>
      <c r="C4845" s="733" t="s">
        <v>4863</v>
      </c>
      <c r="D4845" s="733"/>
      <c r="E4845" s="761"/>
      <c r="F4845" s="761"/>
      <c r="G4845" s="733"/>
      <c r="H4845" s="733"/>
      <c r="I4845" s="733"/>
      <c r="J4845" s="733"/>
      <c r="K4845" s="733"/>
      <c r="L4845" s="733"/>
      <c r="M4845" s="733"/>
    </row>
    <row r="4846" spans="1:13" x14ac:dyDescent="0.3">
      <c r="A4846" s="733" t="s">
        <v>4823</v>
      </c>
      <c r="B4846" s="733" t="s">
        <v>612</v>
      </c>
      <c r="C4846" s="733" t="s">
        <v>4864</v>
      </c>
      <c r="D4846" s="733"/>
      <c r="E4846" s="761"/>
      <c r="F4846" s="761"/>
      <c r="G4846" s="733"/>
      <c r="H4846" s="733"/>
      <c r="I4846" s="733"/>
      <c r="J4846" s="733"/>
      <c r="K4846" s="733"/>
      <c r="L4846" s="733"/>
      <c r="M4846" s="733"/>
    </row>
    <row r="4847" spans="1:13" x14ac:dyDescent="0.3">
      <c r="A4847" s="733" t="s">
        <v>4823</v>
      </c>
      <c r="B4847" s="733" t="s">
        <v>612</v>
      </c>
      <c r="C4847" s="733" t="s">
        <v>4865</v>
      </c>
      <c r="D4847" s="733"/>
      <c r="E4847" s="761"/>
      <c r="F4847" s="761"/>
      <c r="G4847" s="733"/>
      <c r="H4847" s="733"/>
      <c r="I4847" s="733"/>
      <c r="J4847" s="733"/>
      <c r="K4847" s="733"/>
      <c r="L4847" s="733"/>
      <c r="M4847" s="733"/>
    </row>
    <row r="4848" spans="1:13" x14ac:dyDescent="0.3">
      <c r="A4848" s="733" t="s">
        <v>4823</v>
      </c>
      <c r="B4848" s="733" t="s">
        <v>612</v>
      </c>
      <c r="C4848" s="733" t="s">
        <v>4866</v>
      </c>
      <c r="D4848" s="733"/>
      <c r="E4848" s="761"/>
      <c r="F4848" s="761"/>
      <c r="G4848" s="733"/>
      <c r="H4848" s="733"/>
      <c r="I4848" s="733"/>
      <c r="J4848" s="733"/>
      <c r="K4848" s="733"/>
      <c r="L4848" s="733"/>
      <c r="M4848" s="733"/>
    </row>
    <row r="4849" spans="1:13" x14ac:dyDescent="0.3">
      <c r="A4849" s="733" t="s">
        <v>4823</v>
      </c>
      <c r="B4849" s="733" t="s">
        <v>612</v>
      </c>
      <c r="C4849" s="733" t="s">
        <v>4867</v>
      </c>
      <c r="D4849" s="733"/>
      <c r="E4849" s="761"/>
      <c r="F4849" s="761"/>
      <c r="G4849" s="733"/>
      <c r="H4849" s="733"/>
      <c r="I4849" s="733"/>
      <c r="J4849" s="733"/>
      <c r="K4849" s="733"/>
      <c r="L4849" s="733"/>
      <c r="M4849" s="733"/>
    </row>
    <row r="4850" spans="1:13" x14ac:dyDescent="0.3">
      <c r="A4850" s="733" t="s">
        <v>4823</v>
      </c>
      <c r="B4850" s="733" t="s">
        <v>612</v>
      </c>
      <c r="C4850" s="733" t="s">
        <v>4868</v>
      </c>
      <c r="D4850" s="733"/>
      <c r="E4850" s="761"/>
      <c r="F4850" s="761"/>
      <c r="G4850" s="733"/>
      <c r="H4850" s="733"/>
      <c r="I4850" s="733"/>
      <c r="J4850" s="733"/>
      <c r="K4850" s="733"/>
      <c r="L4850" s="733"/>
      <c r="M4850" s="733"/>
    </row>
    <row r="4851" spans="1:13" x14ac:dyDescent="0.3">
      <c r="A4851" s="733" t="s">
        <v>4869</v>
      </c>
      <c r="B4851" s="733" t="s">
        <v>645</v>
      </c>
      <c r="C4851" s="733" t="s">
        <v>4870</v>
      </c>
      <c r="D4851" s="733"/>
      <c r="E4851" s="761"/>
      <c r="F4851" s="761"/>
      <c r="G4851" s="733"/>
      <c r="H4851" s="733"/>
      <c r="I4851" s="733"/>
      <c r="J4851" s="733"/>
      <c r="K4851" s="733"/>
      <c r="L4851" s="733"/>
      <c r="M4851" s="733"/>
    </row>
    <row r="4852" spans="1:13" x14ac:dyDescent="0.3">
      <c r="A4852" s="733" t="s">
        <v>4869</v>
      </c>
      <c r="B4852" s="733" t="s">
        <v>645</v>
      </c>
      <c r="C4852" s="733" t="s">
        <v>4871</v>
      </c>
      <c r="D4852" s="733"/>
      <c r="E4852" s="761"/>
      <c r="F4852" s="761"/>
      <c r="G4852" s="733"/>
      <c r="H4852" s="733"/>
      <c r="I4852" s="733"/>
      <c r="J4852" s="733"/>
      <c r="K4852" s="733"/>
      <c r="L4852" s="733"/>
      <c r="M4852" s="733"/>
    </row>
    <row r="4853" spans="1:13" x14ac:dyDescent="0.3">
      <c r="A4853" s="733" t="s">
        <v>4869</v>
      </c>
      <c r="B4853" s="733" t="s">
        <v>645</v>
      </c>
      <c r="C4853" s="733" t="s">
        <v>4872</v>
      </c>
      <c r="D4853" s="733"/>
      <c r="E4853" s="761"/>
      <c r="F4853" s="761"/>
      <c r="G4853" s="733"/>
      <c r="H4853" s="733"/>
      <c r="I4853" s="733"/>
      <c r="J4853" s="733"/>
      <c r="K4853" s="733"/>
      <c r="L4853" s="733"/>
      <c r="M4853" s="733"/>
    </row>
    <row r="4854" spans="1:13" x14ac:dyDescent="0.3">
      <c r="A4854" s="733" t="s">
        <v>4869</v>
      </c>
      <c r="B4854" s="733" t="s">
        <v>645</v>
      </c>
      <c r="C4854" s="733" t="s">
        <v>4873</v>
      </c>
      <c r="D4854" s="733"/>
      <c r="E4854" s="761"/>
      <c r="F4854" s="761"/>
      <c r="G4854" s="733"/>
      <c r="H4854" s="733"/>
      <c r="I4854" s="733"/>
      <c r="J4854" s="733"/>
      <c r="K4854" s="733"/>
      <c r="L4854" s="733"/>
      <c r="M4854" s="733"/>
    </row>
    <row r="4855" spans="1:13" x14ac:dyDescent="0.3">
      <c r="A4855" s="733" t="s">
        <v>4869</v>
      </c>
      <c r="B4855" s="733" t="s">
        <v>645</v>
      </c>
      <c r="C4855" s="733" t="s">
        <v>4874</v>
      </c>
      <c r="D4855" s="733"/>
      <c r="E4855" s="761"/>
      <c r="F4855" s="761"/>
      <c r="G4855" s="733"/>
      <c r="H4855" s="733"/>
      <c r="I4855" s="733"/>
      <c r="J4855" s="733"/>
      <c r="K4855" s="733"/>
      <c r="L4855" s="733"/>
      <c r="M4855" s="733"/>
    </row>
    <row r="4856" spans="1:13" x14ac:dyDescent="0.3">
      <c r="A4856" s="733" t="s">
        <v>4869</v>
      </c>
      <c r="B4856" s="733" t="s">
        <v>645</v>
      </c>
      <c r="C4856" s="733" t="s">
        <v>4875</v>
      </c>
      <c r="D4856" s="733"/>
      <c r="E4856" s="761"/>
      <c r="F4856" s="761"/>
      <c r="G4856" s="733"/>
      <c r="H4856" s="733"/>
      <c r="I4856" s="733"/>
      <c r="J4856" s="733"/>
      <c r="K4856" s="733"/>
      <c r="L4856" s="733"/>
      <c r="M4856" s="733"/>
    </row>
    <row r="4857" spans="1:13" x14ac:dyDescent="0.3">
      <c r="A4857" s="733" t="s">
        <v>4869</v>
      </c>
      <c r="B4857" s="733" t="s">
        <v>645</v>
      </c>
      <c r="C4857" s="733" t="s">
        <v>4876</v>
      </c>
      <c r="D4857" s="733"/>
      <c r="E4857" s="761"/>
      <c r="F4857" s="761"/>
      <c r="G4857" s="733"/>
      <c r="H4857" s="733"/>
      <c r="I4857" s="733"/>
      <c r="J4857" s="733"/>
      <c r="K4857" s="733"/>
      <c r="L4857" s="733"/>
      <c r="M4857" s="733"/>
    </row>
    <row r="4858" spans="1:13" x14ac:dyDescent="0.3">
      <c r="A4858" s="733" t="s">
        <v>4869</v>
      </c>
      <c r="B4858" s="733" t="s">
        <v>645</v>
      </c>
      <c r="C4858" s="733" t="s">
        <v>4877</v>
      </c>
      <c r="D4858" s="733"/>
      <c r="E4858" s="761"/>
      <c r="F4858" s="761"/>
      <c r="G4858" s="733"/>
      <c r="H4858" s="733"/>
      <c r="I4858" s="733"/>
      <c r="J4858" s="733"/>
      <c r="K4858" s="733"/>
      <c r="L4858" s="733"/>
      <c r="M4858" s="733"/>
    </row>
    <row r="4859" spans="1:13" x14ac:dyDescent="0.3">
      <c r="A4859" s="733" t="s">
        <v>4869</v>
      </c>
      <c r="B4859" s="733" t="s">
        <v>645</v>
      </c>
      <c r="C4859" s="733" t="s">
        <v>4878</v>
      </c>
      <c r="D4859" s="733"/>
      <c r="E4859" s="761"/>
      <c r="F4859" s="761"/>
      <c r="G4859" s="733"/>
      <c r="H4859" s="733"/>
      <c r="I4859" s="733"/>
      <c r="J4859" s="733"/>
      <c r="K4859" s="733"/>
      <c r="L4859" s="733"/>
      <c r="M4859" s="733"/>
    </row>
    <row r="4860" spans="1:13" x14ac:dyDescent="0.3">
      <c r="A4860" s="733" t="s">
        <v>4869</v>
      </c>
      <c r="B4860" s="733" t="s">
        <v>645</v>
      </c>
      <c r="C4860" s="733" t="s">
        <v>4879</v>
      </c>
      <c r="D4860" s="733"/>
      <c r="E4860" s="761"/>
      <c r="F4860" s="761"/>
      <c r="G4860" s="733"/>
      <c r="H4860" s="733"/>
      <c r="I4860" s="733"/>
      <c r="J4860" s="733"/>
      <c r="K4860" s="733"/>
      <c r="L4860" s="733"/>
      <c r="M4860" s="733"/>
    </row>
    <row r="4861" spans="1:13" x14ac:dyDescent="0.3">
      <c r="A4861" s="733" t="s">
        <v>4869</v>
      </c>
      <c r="B4861" s="733" t="s">
        <v>645</v>
      </c>
      <c r="C4861" s="733" t="s">
        <v>4880</v>
      </c>
      <c r="D4861" s="733"/>
      <c r="E4861" s="761"/>
      <c r="F4861" s="761"/>
      <c r="G4861" s="733"/>
      <c r="H4861" s="733"/>
      <c r="I4861" s="733"/>
      <c r="J4861" s="733"/>
      <c r="K4861" s="733"/>
      <c r="L4861" s="733"/>
      <c r="M4861" s="733"/>
    </row>
    <row r="4862" spans="1:13" x14ac:dyDescent="0.3">
      <c r="A4862" s="733" t="s">
        <v>4869</v>
      </c>
      <c r="B4862" s="733" t="s">
        <v>645</v>
      </c>
      <c r="C4862" s="733" t="s">
        <v>4881</v>
      </c>
      <c r="D4862" s="733"/>
      <c r="E4862" s="761"/>
      <c r="F4862" s="761"/>
      <c r="G4862" s="733"/>
      <c r="H4862" s="733"/>
      <c r="I4862" s="733"/>
      <c r="J4862" s="733"/>
      <c r="K4862" s="733"/>
      <c r="L4862" s="733"/>
      <c r="M4862" s="733"/>
    </row>
    <row r="4863" spans="1:13" x14ac:dyDescent="0.3">
      <c r="A4863" s="733" t="s">
        <v>4869</v>
      </c>
      <c r="B4863" s="733" t="s">
        <v>645</v>
      </c>
      <c r="C4863" s="733" t="s">
        <v>4882</v>
      </c>
      <c r="D4863" s="733"/>
      <c r="E4863" s="761"/>
      <c r="F4863" s="761"/>
      <c r="G4863" s="733"/>
      <c r="H4863" s="733"/>
      <c r="I4863" s="733"/>
      <c r="J4863" s="733"/>
      <c r="K4863" s="733"/>
      <c r="L4863" s="733"/>
      <c r="M4863" s="733"/>
    </row>
    <row r="4864" spans="1:13" x14ac:dyDescent="0.3">
      <c r="A4864" s="733" t="s">
        <v>4869</v>
      </c>
      <c r="B4864" s="733" t="s">
        <v>645</v>
      </c>
      <c r="C4864" s="733" t="s">
        <v>4883</v>
      </c>
      <c r="D4864" s="733"/>
      <c r="E4864" s="761"/>
      <c r="F4864" s="761"/>
      <c r="G4864" s="733"/>
      <c r="H4864" s="733"/>
      <c r="I4864" s="733"/>
      <c r="J4864" s="733"/>
      <c r="K4864" s="733"/>
      <c r="L4864" s="733"/>
      <c r="M4864" s="733"/>
    </row>
    <row r="4865" spans="1:13" x14ac:dyDescent="0.3">
      <c r="A4865" s="733" t="s">
        <v>4869</v>
      </c>
      <c r="B4865" s="733" t="s">
        <v>645</v>
      </c>
      <c r="C4865" s="733" t="s">
        <v>4884</v>
      </c>
      <c r="D4865" s="733"/>
      <c r="E4865" s="761"/>
      <c r="F4865" s="761"/>
      <c r="G4865" s="733"/>
      <c r="H4865" s="733"/>
      <c r="I4865" s="733"/>
      <c r="J4865" s="733"/>
      <c r="K4865" s="733"/>
      <c r="L4865" s="733"/>
      <c r="M4865" s="733"/>
    </row>
    <row r="4866" spans="1:13" x14ac:dyDescent="0.3">
      <c r="A4866" s="733" t="s">
        <v>4869</v>
      </c>
      <c r="B4866" s="733" t="s">
        <v>664</v>
      </c>
      <c r="C4866" s="733" t="s">
        <v>4885</v>
      </c>
      <c r="D4866" s="733"/>
      <c r="E4866" s="761"/>
      <c r="F4866" s="761"/>
      <c r="G4866" s="733"/>
      <c r="H4866" s="733"/>
      <c r="I4866" s="733"/>
      <c r="J4866" s="733"/>
      <c r="K4866" s="733"/>
      <c r="L4866" s="733"/>
      <c r="M4866" s="733"/>
    </row>
    <row r="4867" spans="1:13" x14ac:dyDescent="0.3">
      <c r="A4867" s="733" t="s">
        <v>4869</v>
      </c>
      <c r="B4867" s="733" t="s">
        <v>664</v>
      </c>
      <c r="C4867" s="733" t="s">
        <v>4886</v>
      </c>
      <c r="D4867" s="733"/>
      <c r="E4867" s="761"/>
      <c r="F4867" s="761"/>
      <c r="G4867" s="733"/>
      <c r="H4867" s="733"/>
      <c r="I4867" s="733"/>
      <c r="J4867" s="733"/>
      <c r="K4867" s="733"/>
      <c r="L4867" s="733"/>
      <c r="M4867" s="733"/>
    </row>
    <row r="4868" spans="1:13" x14ac:dyDescent="0.3">
      <c r="A4868" s="733" t="s">
        <v>4869</v>
      </c>
      <c r="B4868" s="733" t="s">
        <v>664</v>
      </c>
      <c r="C4868" s="733" t="s">
        <v>4887</v>
      </c>
      <c r="D4868" s="733"/>
      <c r="E4868" s="761"/>
      <c r="F4868" s="761"/>
      <c r="G4868" s="733"/>
      <c r="H4868" s="733"/>
      <c r="I4868" s="733"/>
      <c r="J4868" s="733"/>
      <c r="K4868" s="733"/>
      <c r="L4868" s="733"/>
      <c r="M4868" s="733"/>
    </row>
    <row r="4869" spans="1:13" x14ac:dyDescent="0.3">
      <c r="A4869" s="733" t="s">
        <v>4869</v>
      </c>
      <c r="B4869" s="733" t="s">
        <v>664</v>
      </c>
      <c r="C4869" s="733" t="s">
        <v>4888</v>
      </c>
      <c r="D4869" s="733"/>
      <c r="E4869" s="761"/>
      <c r="F4869" s="761"/>
      <c r="G4869" s="733"/>
      <c r="H4869" s="733"/>
      <c r="I4869" s="733"/>
      <c r="J4869" s="733"/>
      <c r="K4869" s="733"/>
      <c r="L4869" s="733"/>
      <c r="M4869" s="733"/>
    </row>
    <row r="4870" spans="1:13" x14ac:dyDescent="0.3">
      <c r="A4870" s="733" t="s">
        <v>4869</v>
      </c>
      <c r="B4870" s="733" t="s">
        <v>664</v>
      </c>
      <c r="C4870" s="733" t="s">
        <v>4889</v>
      </c>
      <c r="D4870" s="733"/>
      <c r="E4870" s="761"/>
      <c r="F4870" s="761"/>
      <c r="G4870" s="733"/>
      <c r="H4870" s="733"/>
      <c r="I4870" s="733"/>
      <c r="J4870" s="733"/>
      <c r="K4870" s="733"/>
      <c r="L4870" s="733"/>
      <c r="M4870" s="733"/>
    </row>
    <row r="4871" spans="1:13" x14ac:dyDescent="0.3">
      <c r="A4871" s="733" t="s">
        <v>4869</v>
      </c>
      <c r="B4871" s="733" t="s">
        <v>664</v>
      </c>
      <c r="C4871" s="733" t="s">
        <v>4890</v>
      </c>
      <c r="D4871" s="733"/>
      <c r="E4871" s="761"/>
      <c r="F4871" s="761"/>
      <c r="G4871" s="733"/>
      <c r="H4871" s="733"/>
      <c r="I4871" s="733"/>
      <c r="J4871" s="733"/>
      <c r="K4871" s="733"/>
      <c r="L4871" s="733"/>
      <c r="M4871" s="733"/>
    </row>
    <row r="4872" spans="1:13" x14ac:dyDescent="0.3">
      <c r="A4872" s="733" t="s">
        <v>4869</v>
      </c>
      <c r="B4872" s="733" t="s">
        <v>664</v>
      </c>
      <c r="C4872" s="733" t="s">
        <v>4891</v>
      </c>
      <c r="D4872" s="733"/>
      <c r="E4872" s="761"/>
      <c r="F4872" s="761"/>
      <c r="G4872" s="733"/>
      <c r="H4872" s="733"/>
      <c r="I4872" s="733"/>
      <c r="J4872" s="733"/>
      <c r="K4872" s="733"/>
      <c r="L4872" s="733"/>
      <c r="M4872" s="733"/>
    </row>
    <row r="4873" spans="1:13" x14ac:dyDescent="0.3">
      <c r="A4873" s="733" t="s">
        <v>4869</v>
      </c>
      <c r="B4873" s="733" t="s">
        <v>664</v>
      </c>
      <c r="C4873" s="733" t="s">
        <v>4892</v>
      </c>
      <c r="D4873" s="733"/>
      <c r="E4873" s="761"/>
      <c r="F4873" s="761"/>
      <c r="G4873" s="733"/>
      <c r="H4873" s="733"/>
      <c r="I4873" s="733"/>
      <c r="J4873" s="733"/>
      <c r="K4873" s="733"/>
      <c r="L4873" s="733"/>
      <c r="M4873" s="733"/>
    </row>
    <row r="4874" spans="1:13" x14ac:dyDescent="0.3">
      <c r="A4874" s="733" t="s">
        <v>4869</v>
      </c>
      <c r="B4874" s="733" t="s">
        <v>664</v>
      </c>
      <c r="C4874" s="733" t="s">
        <v>4893</v>
      </c>
      <c r="D4874" s="733"/>
      <c r="E4874" s="761"/>
      <c r="F4874" s="761"/>
      <c r="G4874" s="733"/>
      <c r="H4874" s="733"/>
      <c r="I4874" s="733"/>
      <c r="J4874" s="733"/>
      <c r="K4874" s="733"/>
      <c r="L4874" s="733"/>
      <c r="M4874" s="733"/>
    </row>
    <row r="4875" spans="1:13" x14ac:dyDescent="0.3">
      <c r="A4875" s="733" t="s">
        <v>4869</v>
      </c>
      <c r="B4875" s="733" t="s">
        <v>664</v>
      </c>
      <c r="C4875" s="733" t="s">
        <v>4894</v>
      </c>
      <c r="D4875" s="733"/>
      <c r="E4875" s="761"/>
      <c r="F4875" s="761"/>
      <c r="G4875" s="733"/>
      <c r="H4875" s="733"/>
      <c r="I4875" s="733"/>
      <c r="J4875" s="733"/>
      <c r="K4875" s="733"/>
      <c r="L4875" s="733"/>
      <c r="M4875" s="733"/>
    </row>
    <row r="4876" spans="1:13" x14ac:dyDescent="0.3">
      <c r="A4876" s="733" t="s">
        <v>4869</v>
      </c>
      <c r="B4876" s="733" t="s">
        <v>664</v>
      </c>
      <c r="C4876" s="733" t="s">
        <v>4895</v>
      </c>
      <c r="D4876" s="733"/>
      <c r="E4876" s="761"/>
      <c r="F4876" s="761"/>
      <c r="G4876" s="733"/>
      <c r="H4876" s="733"/>
      <c r="I4876" s="733"/>
      <c r="J4876" s="733"/>
      <c r="K4876" s="733"/>
      <c r="L4876" s="733"/>
      <c r="M4876" s="733"/>
    </row>
    <row r="4877" spans="1:13" x14ac:dyDescent="0.3">
      <c r="A4877" s="733" t="s">
        <v>4869</v>
      </c>
      <c r="B4877" s="733" t="s">
        <v>664</v>
      </c>
      <c r="C4877" s="733" t="s">
        <v>4896</v>
      </c>
      <c r="D4877" s="733"/>
      <c r="E4877" s="761"/>
      <c r="F4877" s="761"/>
      <c r="G4877" s="733"/>
      <c r="H4877" s="733"/>
      <c r="I4877" s="733"/>
      <c r="J4877" s="733"/>
      <c r="K4877" s="733"/>
      <c r="L4877" s="733"/>
      <c r="M4877" s="733"/>
    </row>
    <row r="4878" spans="1:13" x14ac:dyDescent="0.3">
      <c r="A4878" s="733" t="s">
        <v>4869</v>
      </c>
      <c r="B4878" s="733" t="s">
        <v>664</v>
      </c>
      <c r="C4878" s="733" t="s">
        <v>4897</v>
      </c>
      <c r="D4878" s="733"/>
      <c r="E4878" s="761"/>
      <c r="F4878" s="761"/>
      <c r="G4878" s="733"/>
      <c r="H4878" s="733"/>
      <c r="I4878" s="733"/>
      <c r="J4878" s="733"/>
      <c r="K4878" s="733"/>
      <c r="L4878" s="733"/>
      <c r="M4878" s="733"/>
    </row>
    <row r="4879" spans="1:13" x14ac:dyDescent="0.3">
      <c r="A4879" s="733" t="s">
        <v>4869</v>
      </c>
      <c r="B4879" s="733" t="s">
        <v>664</v>
      </c>
      <c r="C4879" s="733" t="s">
        <v>4898</v>
      </c>
      <c r="D4879" s="733"/>
      <c r="E4879" s="761"/>
      <c r="F4879" s="761"/>
      <c r="G4879" s="733"/>
      <c r="H4879" s="733"/>
      <c r="I4879" s="733"/>
      <c r="J4879" s="733"/>
      <c r="K4879" s="733"/>
      <c r="L4879" s="733"/>
      <c r="M4879" s="733"/>
    </row>
    <row r="4880" spans="1:13" x14ac:dyDescent="0.3">
      <c r="A4880" s="733" t="s">
        <v>4869</v>
      </c>
      <c r="B4880" s="733" t="s">
        <v>664</v>
      </c>
      <c r="C4880" s="733" t="s">
        <v>4899</v>
      </c>
      <c r="D4880" s="733"/>
      <c r="E4880" s="761"/>
      <c r="F4880" s="761"/>
      <c r="G4880" s="733"/>
      <c r="H4880" s="733"/>
      <c r="I4880" s="733"/>
      <c r="J4880" s="733"/>
      <c r="K4880" s="733"/>
      <c r="L4880" s="733"/>
      <c r="M4880" s="733"/>
    </row>
    <row r="4881" spans="1:13" x14ac:dyDescent="0.3">
      <c r="A4881" s="733" t="s">
        <v>4869</v>
      </c>
      <c r="B4881" s="733" t="s">
        <v>612</v>
      </c>
      <c r="C4881" s="733" t="s">
        <v>4900</v>
      </c>
      <c r="D4881" s="733"/>
      <c r="E4881" s="761"/>
      <c r="F4881" s="761"/>
      <c r="G4881" s="733"/>
      <c r="H4881" s="733"/>
      <c r="I4881" s="733"/>
      <c r="J4881" s="733"/>
      <c r="K4881" s="733"/>
      <c r="L4881" s="733"/>
      <c r="M4881" s="733"/>
    </row>
    <row r="4882" spans="1:13" x14ac:dyDescent="0.3">
      <c r="A4882" s="733" t="s">
        <v>4869</v>
      </c>
      <c r="B4882" s="733" t="s">
        <v>612</v>
      </c>
      <c r="C4882" s="733" t="s">
        <v>4901</v>
      </c>
      <c r="D4882" s="733"/>
      <c r="E4882" s="761"/>
      <c r="F4882" s="761"/>
      <c r="G4882" s="733"/>
      <c r="H4882" s="733"/>
      <c r="I4882" s="733"/>
      <c r="J4882" s="733"/>
      <c r="K4882" s="733"/>
      <c r="L4882" s="733"/>
      <c r="M4882" s="733"/>
    </row>
    <row r="4883" spans="1:13" x14ac:dyDescent="0.3">
      <c r="A4883" s="733" t="s">
        <v>4869</v>
      </c>
      <c r="B4883" s="733" t="s">
        <v>612</v>
      </c>
      <c r="C4883" s="733" t="s">
        <v>4902</v>
      </c>
      <c r="D4883" s="733"/>
      <c r="E4883" s="761"/>
      <c r="F4883" s="761"/>
      <c r="G4883" s="733"/>
      <c r="H4883" s="733"/>
      <c r="I4883" s="733"/>
      <c r="J4883" s="733"/>
      <c r="K4883" s="733"/>
      <c r="L4883" s="733"/>
      <c r="M4883" s="733"/>
    </row>
    <row r="4884" spans="1:13" x14ac:dyDescent="0.3">
      <c r="A4884" s="733" t="s">
        <v>4869</v>
      </c>
      <c r="B4884" s="733" t="s">
        <v>612</v>
      </c>
      <c r="C4884" s="733" t="s">
        <v>4903</v>
      </c>
      <c r="D4884" s="733"/>
      <c r="E4884" s="761"/>
      <c r="F4884" s="761"/>
      <c r="G4884" s="733"/>
      <c r="H4884" s="733"/>
      <c r="I4884" s="733"/>
      <c r="J4884" s="733"/>
      <c r="K4884" s="733"/>
      <c r="L4884" s="733"/>
      <c r="M4884" s="733"/>
    </row>
    <row r="4885" spans="1:13" x14ac:dyDescent="0.3">
      <c r="A4885" s="733" t="s">
        <v>4869</v>
      </c>
      <c r="B4885" s="733" t="s">
        <v>612</v>
      </c>
      <c r="C4885" s="733" t="s">
        <v>4904</v>
      </c>
      <c r="D4885" s="733"/>
      <c r="E4885" s="761"/>
      <c r="F4885" s="761"/>
      <c r="G4885" s="733"/>
      <c r="H4885" s="733"/>
      <c r="I4885" s="733"/>
      <c r="J4885" s="733"/>
      <c r="K4885" s="733"/>
      <c r="L4885" s="733"/>
      <c r="M4885" s="733"/>
    </row>
    <row r="4886" spans="1:13" x14ac:dyDescent="0.3">
      <c r="A4886" s="733" t="s">
        <v>4869</v>
      </c>
      <c r="B4886" s="733" t="s">
        <v>612</v>
      </c>
      <c r="C4886" s="733" t="s">
        <v>4905</v>
      </c>
      <c r="D4886" s="733"/>
      <c r="E4886" s="761"/>
      <c r="F4886" s="761"/>
      <c r="G4886" s="733"/>
      <c r="H4886" s="733"/>
      <c r="I4886" s="733"/>
      <c r="J4886" s="733"/>
      <c r="K4886" s="733"/>
      <c r="L4886" s="733"/>
      <c r="M4886" s="733"/>
    </row>
    <row r="4887" spans="1:13" x14ac:dyDescent="0.3">
      <c r="A4887" s="733" t="s">
        <v>4869</v>
      </c>
      <c r="B4887" s="733" t="s">
        <v>612</v>
      </c>
      <c r="C4887" s="733" t="s">
        <v>4906</v>
      </c>
      <c r="D4887" s="733"/>
      <c r="E4887" s="761"/>
      <c r="F4887" s="761"/>
      <c r="G4887" s="733"/>
      <c r="H4887" s="733"/>
      <c r="I4887" s="733"/>
      <c r="J4887" s="733"/>
      <c r="K4887" s="733"/>
      <c r="L4887" s="733"/>
      <c r="M4887" s="733"/>
    </row>
    <row r="4888" spans="1:13" x14ac:dyDescent="0.3">
      <c r="A4888" s="733" t="s">
        <v>4869</v>
      </c>
      <c r="B4888" s="733" t="s">
        <v>612</v>
      </c>
      <c r="C4888" s="733" t="s">
        <v>4907</v>
      </c>
      <c r="D4888" s="733"/>
      <c r="E4888" s="761"/>
      <c r="F4888" s="761"/>
      <c r="G4888" s="733"/>
      <c r="H4888" s="733"/>
      <c r="I4888" s="733"/>
      <c r="J4888" s="733"/>
      <c r="K4888" s="733"/>
      <c r="L4888" s="733"/>
      <c r="M4888" s="733"/>
    </row>
    <row r="4889" spans="1:13" x14ac:dyDescent="0.3">
      <c r="A4889" s="733" t="s">
        <v>4869</v>
      </c>
      <c r="B4889" s="733" t="s">
        <v>612</v>
      </c>
      <c r="C4889" s="733" t="s">
        <v>4908</v>
      </c>
      <c r="D4889" s="733"/>
      <c r="E4889" s="761"/>
      <c r="F4889" s="761"/>
      <c r="G4889" s="733"/>
      <c r="H4889" s="733"/>
      <c r="I4889" s="733"/>
      <c r="J4889" s="733"/>
      <c r="K4889" s="733"/>
      <c r="L4889" s="733"/>
      <c r="M4889" s="733"/>
    </row>
    <row r="4890" spans="1:13" x14ac:dyDescent="0.3">
      <c r="A4890" s="733" t="s">
        <v>4869</v>
      </c>
      <c r="B4890" s="733" t="s">
        <v>612</v>
      </c>
      <c r="C4890" s="733" t="s">
        <v>4909</v>
      </c>
      <c r="D4890" s="733"/>
      <c r="E4890" s="761"/>
      <c r="F4890" s="761"/>
      <c r="G4890" s="733"/>
      <c r="H4890" s="733"/>
      <c r="I4890" s="733"/>
      <c r="J4890" s="733"/>
      <c r="K4890" s="733"/>
      <c r="L4890" s="733"/>
      <c r="M4890" s="733"/>
    </row>
    <row r="4891" spans="1:13" x14ac:dyDescent="0.3">
      <c r="A4891" s="733" t="s">
        <v>4869</v>
      </c>
      <c r="B4891" s="733" t="s">
        <v>612</v>
      </c>
      <c r="C4891" s="733" t="s">
        <v>4910</v>
      </c>
      <c r="D4891" s="733"/>
      <c r="E4891" s="761"/>
      <c r="F4891" s="761"/>
      <c r="G4891" s="733"/>
      <c r="H4891" s="733"/>
      <c r="I4891" s="733"/>
      <c r="J4891" s="733"/>
      <c r="K4891" s="733"/>
      <c r="L4891" s="733"/>
      <c r="M4891" s="733"/>
    </row>
    <row r="4892" spans="1:13" x14ac:dyDescent="0.3">
      <c r="A4892" s="733" t="s">
        <v>4869</v>
      </c>
      <c r="B4892" s="733" t="s">
        <v>612</v>
      </c>
      <c r="C4892" s="733" t="s">
        <v>4911</v>
      </c>
      <c r="D4892" s="733"/>
      <c r="E4892" s="761"/>
      <c r="F4892" s="761"/>
      <c r="G4892" s="733"/>
      <c r="H4892" s="733"/>
      <c r="I4892" s="733"/>
      <c r="J4892" s="733"/>
      <c r="K4892" s="733"/>
      <c r="L4892" s="733"/>
      <c r="M4892" s="733"/>
    </row>
    <row r="4893" spans="1:13" x14ac:dyDescent="0.3">
      <c r="A4893" s="733" t="s">
        <v>4869</v>
      </c>
      <c r="B4893" s="733" t="s">
        <v>612</v>
      </c>
      <c r="C4893" s="733" t="s">
        <v>4912</v>
      </c>
      <c r="D4893" s="733"/>
      <c r="E4893" s="761"/>
      <c r="F4893" s="761"/>
      <c r="G4893" s="733"/>
      <c r="H4893" s="733"/>
      <c r="I4893" s="733"/>
      <c r="J4893" s="733"/>
      <c r="K4893" s="733"/>
      <c r="L4893" s="733"/>
      <c r="M4893" s="733"/>
    </row>
    <row r="4894" spans="1:13" x14ac:dyDescent="0.3">
      <c r="A4894" s="733" t="s">
        <v>4869</v>
      </c>
      <c r="B4894" s="733" t="s">
        <v>612</v>
      </c>
      <c r="C4894" s="733" t="s">
        <v>4913</v>
      </c>
      <c r="D4894" s="733"/>
      <c r="E4894" s="761"/>
      <c r="F4894" s="761"/>
      <c r="G4894" s="733"/>
      <c r="H4894" s="733"/>
      <c r="I4894" s="733"/>
      <c r="J4894" s="733"/>
      <c r="K4894" s="733"/>
      <c r="L4894" s="733"/>
      <c r="M4894" s="733"/>
    </row>
    <row r="4895" spans="1:13" x14ac:dyDescent="0.3">
      <c r="A4895" s="733" t="s">
        <v>4869</v>
      </c>
      <c r="B4895" s="733" t="s">
        <v>612</v>
      </c>
      <c r="C4895" s="733" t="s">
        <v>4914</v>
      </c>
      <c r="D4895" s="733"/>
      <c r="E4895" s="761"/>
      <c r="F4895" s="761"/>
      <c r="G4895" s="733"/>
      <c r="H4895" s="733"/>
      <c r="I4895" s="733"/>
      <c r="J4895" s="733"/>
      <c r="K4895" s="733"/>
      <c r="L4895" s="733"/>
      <c r="M4895" s="733"/>
    </row>
    <row r="4896" spans="1:13" x14ac:dyDescent="0.3">
      <c r="A4896" s="733" t="s">
        <v>857</v>
      </c>
      <c r="B4896" s="733" t="s">
        <v>645</v>
      </c>
      <c r="C4896" s="738" t="s">
        <v>4915</v>
      </c>
      <c r="D4896" s="733"/>
      <c r="E4896" s="761"/>
      <c r="F4896" s="761"/>
      <c r="G4896" s="733"/>
      <c r="H4896" s="733"/>
      <c r="I4896" s="733"/>
      <c r="J4896" s="733"/>
      <c r="K4896" s="733"/>
      <c r="L4896" s="733"/>
      <c r="M4896" s="733"/>
    </row>
    <row r="4897" spans="1:13" x14ac:dyDescent="0.3">
      <c r="A4897" s="733" t="s">
        <v>857</v>
      </c>
      <c r="B4897" s="733" t="s">
        <v>645</v>
      </c>
      <c r="C4897" s="738" t="s">
        <v>4916</v>
      </c>
      <c r="D4897" s="733"/>
      <c r="E4897" s="761"/>
      <c r="F4897" s="761"/>
      <c r="G4897" s="733"/>
      <c r="H4897" s="733"/>
      <c r="I4897" s="733"/>
      <c r="J4897" s="733"/>
      <c r="K4897" s="733"/>
      <c r="L4897" s="733"/>
      <c r="M4897" s="733"/>
    </row>
    <row r="4898" spans="1:13" x14ac:dyDescent="0.3">
      <c r="A4898" s="733" t="s">
        <v>857</v>
      </c>
      <c r="B4898" s="733" t="s">
        <v>645</v>
      </c>
      <c r="C4898" s="738" t="s">
        <v>4917</v>
      </c>
      <c r="D4898" s="733"/>
      <c r="E4898" s="761"/>
      <c r="F4898" s="761"/>
      <c r="G4898" s="733"/>
      <c r="H4898" s="733"/>
      <c r="I4898" s="733"/>
      <c r="J4898" s="733"/>
      <c r="K4898" s="733"/>
      <c r="L4898" s="733"/>
      <c r="M4898" s="733"/>
    </row>
    <row r="4899" spans="1:13" x14ac:dyDescent="0.3">
      <c r="A4899" s="733" t="s">
        <v>857</v>
      </c>
      <c r="B4899" s="733" t="s">
        <v>645</v>
      </c>
      <c r="C4899" s="738" t="s">
        <v>4918</v>
      </c>
      <c r="D4899" s="733"/>
      <c r="E4899" s="761"/>
      <c r="F4899" s="761"/>
      <c r="G4899" s="733"/>
      <c r="H4899" s="733"/>
      <c r="I4899" s="733"/>
      <c r="J4899" s="733"/>
      <c r="K4899" s="733"/>
      <c r="L4899" s="733"/>
      <c r="M4899" s="733"/>
    </row>
    <row r="4900" spans="1:13" x14ac:dyDescent="0.3">
      <c r="A4900" s="733" t="s">
        <v>857</v>
      </c>
      <c r="B4900" s="733" t="s">
        <v>645</v>
      </c>
      <c r="C4900" s="738" t="s">
        <v>4919</v>
      </c>
      <c r="D4900" s="733"/>
      <c r="E4900" s="761"/>
      <c r="F4900" s="761"/>
      <c r="G4900" s="733"/>
      <c r="H4900" s="733"/>
      <c r="I4900" s="733"/>
      <c r="J4900" s="733"/>
      <c r="K4900" s="733"/>
      <c r="L4900" s="733"/>
      <c r="M4900" s="733"/>
    </row>
    <row r="4901" spans="1:13" x14ac:dyDescent="0.3">
      <c r="A4901" s="733" t="s">
        <v>857</v>
      </c>
      <c r="B4901" s="733" t="s">
        <v>645</v>
      </c>
      <c r="C4901" s="738" t="s">
        <v>4920</v>
      </c>
      <c r="D4901" s="733"/>
      <c r="E4901" s="761"/>
      <c r="F4901" s="761"/>
      <c r="G4901" s="733"/>
      <c r="H4901" s="733"/>
      <c r="I4901" s="733"/>
      <c r="J4901" s="733"/>
      <c r="K4901" s="733"/>
      <c r="L4901" s="733"/>
      <c r="M4901" s="733"/>
    </row>
    <row r="4902" spans="1:13" x14ac:dyDescent="0.3">
      <c r="A4902" s="733" t="s">
        <v>857</v>
      </c>
      <c r="B4902" s="733" t="s">
        <v>645</v>
      </c>
      <c r="C4902" s="738" t="s">
        <v>4921</v>
      </c>
      <c r="D4902" s="733"/>
      <c r="E4902" s="761"/>
      <c r="F4902" s="761"/>
      <c r="G4902" s="733"/>
      <c r="H4902" s="733"/>
      <c r="I4902" s="733"/>
      <c r="J4902" s="733"/>
      <c r="K4902" s="733"/>
      <c r="L4902" s="733"/>
      <c r="M4902" s="733"/>
    </row>
    <row r="4903" spans="1:13" x14ac:dyDescent="0.3">
      <c r="A4903" s="733" t="s">
        <v>857</v>
      </c>
      <c r="B4903" s="733" t="s">
        <v>645</v>
      </c>
      <c r="C4903" s="738" t="s">
        <v>4922</v>
      </c>
      <c r="D4903" s="733"/>
      <c r="E4903" s="761"/>
      <c r="F4903" s="761"/>
      <c r="G4903" s="733"/>
      <c r="H4903" s="733"/>
      <c r="I4903" s="733"/>
      <c r="J4903" s="733"/>
      <c r="K4903" s="733"/>
      <c r="L4903" s="733"/>
      <c r="M4903" s="733"/>
    </row>
    <row r="4904" spans="1:13" x14ac:dyDescent="0.3">
      <c r="A4904" s="733" t="s">
        <v>857</v>
      </c>
      <c r="B4904" s="733" t="s">
        <v>645</v>
      </c>
      <c r="C4904" s="738" t="s">
        <v>4923</v>
      </c>
      <c r="D4904" s="733"/>
      <c r="E4904" s="761"/>
      <c r="F4904" s="761"/>
      <c r="G4904" s="733"/>
      <c r="H4904" s="733"/>
      <c r="I4904" s="733"/>
      <c r="J4904" s="733"/>
      <c r="K4904" s="733"/>
      <c r="L4904" s="733"/>
      <c r="M4904" s="733"/>
    </row>
    <row r="4905" spans="1:13" x14ac:dyDescent="0.3">
      <c r="A4905" s="733" t="s">
        <v>857</v>
      </c>
      <c r="B4905" s="733" t="s">
        <v>645</v>
      </c>
      <c r="C4905" s="738" t="s">
        <v>4924</v>
      </c>
      <c r="D4905" s="733"/>
      <c r="E4905" s="761"/>
      <c r="F4905" s="761"/>
      <c r="G4905" s="733"/>
      <c r="H4905" s="733"/>
      <c r="I4905" s="733"/>
      <c r="J4905" s="733"/>
      <c r="K4905" s="733"/>
      <c r="L4905" s="733"/>
      <c r="M4905" s="733"/>
    </row>
    <row r="4906" spans="1:13" x14ac:dyDescent="0.3">
      <c r="A4906" s="733" t="s">
        <v>857</v>
      </c>
      <c r="B4906" s="733" t="s">
        <v>645</v>
      </c>
      <c r="C4906" s="738" t="s">
        <v>4925</v>
      </c>
      <c r="D4906" s="733"/>
      <c r="E4906" s="761"/>
      <c r="F4906" s="761"/>
      <c r="G4906" s="733"/>
      <c r="H4906" s="733"/>
      <c r="I4906" s="733"/>
      <c r="J4906" s="733"/>
      <c r="K4906" s="733"/>
      <c r="L4906" s="733"/>
      <c r="M4906" s="733"/>
    </row>
    <row r="4907" spans="1:13" x14ac:dyDescent="0.3">
      <c r="A4907" s="733" t="s">
        <v>857</v>
      </c>
      <c r="B4907" s="733" t="s">
        <v>645</v>
      </c>
      <c r="C4907" s="738" t="s">
        <v>4926</v>
      </c>
      <c r="D4907" s="733"/>
      <c r="E4907" s="761"/>
      <c r="F4907" s="761"/>
      <c r="G4907" s="733"/>
      <c r="H4907" s="733"/>
      <c r="I4907" s="733"/>
      <c r="J4907" s="733"/>
      <c r="K4907" s="733"/>
      <c r="L4907" s="733"/>
      <c r="M4907" s="733"/>
    </row>
    <row r="4908" spans="1:13" x14ac:dyDescent="0.3">
      <c r="A4908" s="733" t="s">
        <v>857</v>
      </c>
      <c r="B4908" s="733" t="s">
        <v>645</v>
      </c>
      <c r="C4908" s="738" t="s">
        <v>4927</v>
      </c>
      <c r="D4908" s="733"/>
      <c r="E4908" s="761"/>
      <c r="F4908" s="761"/>
      <c r="G4908" s="733"/>
      <c r="H4908" s="733"/>
      <c r="I4908" s="733"/>
      <c r="J4908" s="733"/>
      <c r="K4908" s="733"/>
      <c r="L4908" s="733"/>
      <c r="M4908" s="733"/>
    </row>
    <row r="4909" spans="1:13" x14ac:dyDescent="0.3">
      <c r="A4909" s="733" t="s">
        <v>857</v>
      </c>
      <c r="B4909" s="733" t="s">
        <v>645</v>
      </c>
      <c r="C4909" s="738" t="s">
        <v>4928</v>
      </c>
      <c r="D4909" s="733"/>
      <c r="E4909" s="761"/>
      <c r="F4909" s="761"/>
      <c r="G4909" s="733"/>
      <c r="H4909" s="733"/>
      <c r="I4909" s="733"/>
      <c r="J4909" s="733"/>
      <c r="K4909" s="733"/>
      <c r="L4909" s="733"/>
      <c r="M4909" s="733"/>
    </row>
    <row r="4910" spans="1:13" x14ac:dyDescent="0.3">
      <c r="A4910" s="733" t="s">
        <v>857</v>
      </c>
      <c r="B4910" s="733" t="s">
        <v>645</v>
      </c>
      <c r="C4910" s="738" t="s">
        <v>4929</v>
      </c>
      <c r="D4910" s="733"/>
      <c r="E4910" s="761"/>
      <c r="F4910" s="761"/>
      <c r="G4910" s="733"/>
      <c r="H4910" s="733"/>
      <c r="I4910" s="733"/>
      <c r="J4910" s="733"/>
      <c r="K4910" s="733"/>
      <c r="L4910" s="733"/>
      <c r="M4910" s="733"/>
    </row>
    <row r="4911" spans="1:13" x14ac:dyDescent="0.3">
      <c r="A4911" s="733" t="s">
        <v>857</v>
      </c>
      <c r="B4911" s="733" t="s">
        <v>664</v>
      </c>
      <c r="C4911" s="733" t="s">
        <v>4930</v>
      </c>
      <c r="D4911" s="733"/>
      <c r="E4911" s="761"/>
      <c r="F4911" s="761"/>
      <c r="G4911" s="733"/>
      <c r="H4911" s="733"/>
      <c r="I4911" s="733"/>
      <c r="J4911" s="733"/>
      <c r="K4911" s="733"/>
      <c r="L4911" s="733"/>
      <c r="M4911" s="733"/>
    </row>
    <row r="4912" spans="1:13" x14ac:dyDescent="0.3">
      <c r="A4912" s="733" t="s">
        <v>857</v>
      </c>
      <c r="B4912" s="733" t="s">
        <v>664</v>
      </c>
      <c r="C4912" s="733" t="s">
        <v>4931</v>
      </c>
      <c r="D4912" s="733"/>
      <c r="E4912" s="761"/>
      <c r="F4912" s="761"/>
      <c r="G4912" s="733"/>
      <c r="H4912" s="733"/>
      <c r="I4912" s="733"/>
      <c r="J4912" s="733"/>
      <c r="K4912" s="733"/>
      <c r="L4912" s="733"/>
      <c r="M4912" s="733"/>
    </row>
    <row r="4913" spans="1:13" x14ac:dyDescent="0.3">
      <c r="A4913" s="733" t="s">
        <v>857</v>
      </c>
      <c r="B4913" s="733" t="s">
        <v>664</v>
      </c>
      <c r="C4913" s="733" t="s">
        <v>4932</v>
      </c>
      <c r="D4913" s="733"/>
      <c r="E4913" s="761"/>
      <c r="F4913" s="761"/>
      <c r="G4913" s="733"/>
      <c r="H4913" s="733"/>
      <c r="I4913" s="733"/>
      <c r="J4913" s="733"/>
      <c r="K4913" s="733"/>
      <c r="L4913" s="733"/>
      <c r="M4913" s="733"/>
    </row>
    <row r="4914" spans="1:13" x14ac:dyDescent="0.3">
      <c r="A4914" s="733" t="s">
        <v>857</v>
      </c>
      <c r="B4914" s="733" t="s">
        <v>664</v>
      </c>
      <c r="C4914" s="733" t="s">
        <v>4933</v>
      </c>
      <c r="D4914" s="733"/>
      <c r="E4914" s="761"/>
      <c r="F4914" s="761"/>
      <c r="G4914" s="733"/>
      <c r="H4914" s="733"/>
      <c r="I4914" s="733"/>
      <c r="J4914" s="733"/>
      <c r="K4914" s="733"/>
      <c r="L4914" s="733"/>
      <c r="M4914" s="733"/>
    </row>
    <row r="4915" spans="1:13" x14ac:dyDescent="0.3">
      <c r="A4915" s="733" t="s">
        <v>857</v>
      </c>
      <c r="B4915" s="733" t="s">
        <v>664</v>
      </c>
      <c r="C4915" s="733" t="s">
        <v>4934</v>
      </c>
      <c r="D4915" s="733"/>
      <c r="E4915" s="761"/>
      <c r="F4915" s="761"/>
      <c r="G4915" s="733"/>
      <c r="H4915" s="733"/>
      <c r="I4915" s="733"/>
      <c r="J4915" s="733"/>
      <c r="K4915" s="733"/>
      <c r="L4915" s="733"/>
      <c r="M4915" s="733"/>
    </row>
    <row r="4916" spans="1:13" x14ac:dyDescent="0.3">
      <c r="A4916" s="733" t="s">
        <v>857</v>
      </c>
      <c r="B4916" s="733" t="s">
        <v>664</v>
      </c>
      <c r="C4916" s="733" t="s">
        <v>4935</v>
      </c>
      <c r="D4916" s="733"/>
      <c r="E4916" s="761"/>
      <c r="F4916" s="761"/>
      <c r="G4916" s="733"/>
      <c r="H4916" s="733"/>
      <c r="I4916" s="733"/>
      <c r="J4916" s="733"/>
      <c r="K4916" s="733"/>
      <c r="L4916" s="733"/>
      <c r="M4916" s="733"/>
    </row>
    <row r="4917" spans="1:13" x14ac:dyDescent="0.3">
      <c r="A4917" s="733" t="s">
        <v>857</v>
      </c>
      <c r="B4917" s="733" t="s">
        <v>664</v>
      </c>
      <c r="C4917" s="733" t="s">
        <v>4936</v>
      </c>
      <c r="D4917" s="733"/>
      <c r="E4917" s="761"/>
      <c r="F4917" s="761"/>
      <c r="G4917" s="733"/>
      <c r="H4917" s="733"/>
      <c r="I4917" s="733"/>
      <c r="J4917" s="733"/>
      <c r="K4917" s="733"/>
      <c r="L4917" s="733"/>
      <c r="M4917" s="733"/>
    </row>
    <row r="4918" spans="1:13" x14ac:dyDescent="0.3">
      <c r="A4918" s="733" t="s">
        <v>857</v>
      </c>
      <c r="B4918" s="733" t="s">
        <v>664</v>
      </c>
      <c r="C4918" s="733" t="s">
        <v>4937</v>
      </c>
      <c r="D4918" s="733"/>
      <c r="E4918" s="761"/>
      <c r="F4918" s="761"/>
      <c r="G4918" s="733"/>
      <c r="H4918" s="733"/>
      <c r="I4918" s="733"/>
      <c r="J4918" s="733"/>
      <c r="K4918" s="733"/>
      <c r="L4918" s="733"/>
      <c r="M4918" s="733"/>
    </row>
    <row r="4919" spans="1:13" x14ac:dyDescent="0.3">
      <c r="A4919" s="733" t="s">
        <v>857</v>
      </c>
      <c r="B4919" s="733" t="s">
        <v>664</v>
      </c>
      <c r="C4919" s="733" t="s">
        <v>4938</v>
      </c>
      <c r="D4919" s="733"/>
      <c r="E4919" s="761"/>
      <c r="F4919" s="761"/>
      <c r="G4919" s="733"/>
      <c r="H4919" s="733"/>
      <c r="I4919" s="733"/>
      <c r="J4919" s="733"/>
      <c r="K4919" s="733"/>
      <c r="L4919" s="733"/>
      <c r="M4919" s="733"/>
    </row>
    <row r="4920" spans="1:13" x14ac:dyDescent="0.3">
      <c r="A4920" s="733" t="s">
        <v>857</v>
      </c>
      <c r="B4920" s="733" t="s">
        <v>664</v>
      </c>
      <c r="C4920" s="733" t="s">
        <v>4939</v>
      </c>
      <c r="D4920" s="733"/>
      <c r="E4920" s="761"/>
      <c r="F4920" s="761"/>
      <c r="G4920" s="733"/>
      <c r="H4920" s="733"/>
      <c r="I4920" s="733"/>
      <c r="J4920" s="733"/>
      <c r="K4920" s="733"/>
      <c r="L4920" s="733"/>
      <c r="M4920" s="733"/>
    </row>
    <row r="4921" spans="1:13" x14ac:dyDescent="0.3">
      <c r="A4921" s="733" t="s">
        <v>857</v>
      </c>
      <c r="B4921" s="733" t="s">
        <v>664</v>
      </c>
      <c r="C4921" s="733" t="s">
        <v>4940</v>
      </c>
      <c r="D4921" s="733"/>
      <c r="E4921" s="761"/>
      <c r="F4921" s="761"/>
      <c r="G4921" s="733"/>
      <c r="H4921" s="733"/>
      <c r="I4921" s="733"/>
      <c r="J4921" s="733"/>
      <c r="K4921" s="733"/>
      <c r="L4921" s="733"/>
      <c r="M4921" s="733"/>
    </row>
    <row r="4922" spans="1:13" x14ac:dyDescent="0.3">
      <c r="A4922" s="733" t="s">
        <v>857</v>
      </c>
      <c r="B4922" s="733" t="s">
        <v>664</v>
      </c>
      <c r="C4922" s="733" t="s">
        <v>4941</v>
      </c>
      <c r="D4922" s="733"/>
      <c r="E4922" s="761"/>
      <c r="F4922" s="761"/>
      <c r="G4922" s="733"/>
      <c r="H4922" s="733"/>
      <c r="I4922" s="733"/>
      <c r="J4922" s="733"/>
      <c r="K4922" s="733"/>
      <c r="L4922" s="733"/>
      <c r="M4922" s="733"/>
    </row>
    <row r="4923" spans="1:13" x14ac:dyDescent="0.3">
      <c r="A4923" s="733" t="s">
        <v>857</v>
      </c>
      <c r="B4923" s="733" t="s">
        <v>664</v>
      </c>
      <c r="C4923" s="733" t="s">
        <v>4942</v>
      </c>
      <c r="D4923" s="733"/>
      <c r="E4923" s="761"/>
      <c r="F4923" s="761"/>
      <c r="G4923" s="733"/>
      <c r="H4923" s="733"/>
      <c r="I4923" s="733"/>
      <c r="J4923" s="733"/>
      <c r="K4923" s="733"/>
      <c r="L4923" s="733"/>
      <c r="M4923" s="733"/>
    </row>
    <row r="4924" spans="1:13" x14ac:dyDescent="0.3">
      <c r="A4924" s="733" t="s">
        <v>857</v>
      </c>
      <c r="B4924" s="733" t="s">
        <v>664</v>
      </c>
      <c r="C4924" s="733" t="s">
        <v>4943</v>
      </c>
      <c r="D4924" s="733"/>
      <c r="E4924" s="761"/>
      <c r="F4924" s="761"/>
      <c r="G4924" s="733"/>
      <c r="H4924" s="733"/>
      <c r="I4924" s="733"/>
      <c r="J4924" s="733"/>
      <c r="K4924" s="733"/>
      <c r="L4924" s="733"/>
      <c r="M4924" s="733"/>
    </row>
    <row r="4925" spans="1:13" x14ac:dyDescent="0.3">
      <c r="A4925" s="733" t="s">
        <v>857</v>
      </c>
      <c r="B4925" s="733" t="s">
        <v>664</v>
      </c>
      <c r="C4925" s="733" t="s">
        <v>4944</v>
      </c>
      <c r="D4925" s="733"/>
      <c r="E4925" s="761"/>
      <c r="F4925" s="761"/>
      <c r="G4925" s="733"/>
      <c r="H4925" s="733"/>
      <c r="I4925" s="733"/>
      <c r="J4925" s="733"/>
      <c r="K4925" s="733"/>
      <c r="L4925" s="733"/>
      <c r="M4925" s="733"/>
    </row>
    <row r="4926" spans="1:13" x14ac:dyDescent="0.3">
      <c r="A4926" s="733" t="s">
        <v>857</v>
      </c>
      <c r="B4926" s="733" t="s">
        <v>612</v>
      </c>
      <c r="C4926" s="733" t="s">
        <v>4945</v>
      </c>
      <c r="D4926" s="733"/>
      <c r="E4926" s="761"/>
      <c r="F4926" s="761"/>
      <c r="G4926" s="733"/>
      <c r="H4926" s="733"/>
      <c r="I4926" s="733"/>
      <c r="J4926" s="733"/>
      <c r="K4926" s="733"/>
      <c r="L4926" s="733"/>
      <c r="M4926" s="733"/>
    </row>
    <row r="4927" spans="1:13" x14ac:dyDescent="0.3">
      <c r="A4927" s="733" t="s">
        <v>857</v>
      </c>
      <c r="B4927" s="733" t="s">
        <v>612</v>
      </c>
      <c r="C4927" s="733" t="s">
        <v>4946</v>
      </c>
      <c r="D4927" s="733"/>
      <c r="E4927" s="761"/>
      <c r="F4927" s="761"/>
      <c r="G4927" s="733"/>
      <c r="H4927" s="733"/>
      <c r="I4927" s="733"/>
      <c r="J4927" s="733"/>
      <c r="K4927" s="733"/>
      <c r="L4927" s="733"/>
      <c r="M4927" s="733"/>
    </row>
    <row r="4928" spans="1:13" x14ac:dyDescent="0.3">
      <c r="A4928" s="733" t="s">
        <v>857</v>
      </c>
      <c r="B4928" s="733" t="s">
        <v>612</v>
      </c>
      <c r="C4928" s="733" t="s">
        <v>4947</v>
      </c>
      <c r="D4928" s="733"/>
      <c r="E4928" s="761"/>
      <c r="F4928" s="761"/>
      <c r="G4928" s="733"/>
      <c r="H4928" s="733"/>
      <c r="I4928" s="733"/>
      <c r="J4928" s="733"/>
      <c r="K4928" s="733"/>
      <c r="L4928" s="733"/>
      <c r="M4928" s="733"/>
    </row>
    <row r="4929" spans="1:13" x14ac:dyDescent="0.3">
      <c r="A4929" s="733" t="s">
        <v>857</v>
      </c>
      <c r="B4929" s="733" t="s">
        <v>612</v>
      </c>
      <c r="C4929" s="733" t="s">
        <v>4948</v>
      </c>
      <c r="D4929" s="733"/>
      <c r="E4929" s="761"/>
      <c r="F4929" s="761"/>
      <c r="G4929" s="733"/>
      <c r="H4929" s="733"/>
      <c r="I4929" s="733"/>
      <c r="J4929" s="733"/>
      <c r="K4929" s="733"/>
      <c r="L4929" s="733"/>
      <c r="M4929" s="733"/>
    </row>
    <row r="4930" spans="1:13" x14ac:dyDescent="0.3">
      <c r="A4930" s="733" t="s">
        <v>857</v>
      </c>
      <c r="B4930" s="733" t="s">
        <v>612</v>
      </c>
      <c r="C4930" s="733" t="s">
        <v>4949</v>
      </c>
      <c r="D4930" s="733"/>
      <c r="E4930" s="761"/>
      <c r="F4930" s="761"/>
      <c r="G4930" s="733"/>
      <c r="H4930" s="733"/>
      <c r="I4930" s="733"/>
      <c r="J4930" s="733"/>
      <c r="K4930" s="733"/>
      <c r="L4930" s="733"/>
      <c r="M4930" s="733"/>
    </row>
    <row r="4931" spans="1:13" x14ac:dyDescent="0.3">
      <c r="A4931" s="733" t="s">
        <v>857</v>
      </c>
      <c r="B4931" s="733" t="s">
        <v>612</v>
      </c>
      <c r="C4931" s="733" t="s">
        <v>4950</v>
      </c>
      <c r="D4931" s="733"/>
      <c r="E4931" s="761"/>
      <c r="F4931" s="761"/>
      <c r="G4931" s="733"/>
      <c r="H4931" s="733"/>
      <c r="I4931" s="733"/>
      <c r="J4931" s="733"/>
      <c r="K4931" s="733"/>
      <c r="L4931" s="733"/>
      <c r="M4931" s="733"/>
    </row>
    <row r="4932" spans="1:13" x14ac:dyDescent="0.3">
      <c r="A4932" s="733" t="s">
        <v>857</v>
      </c>
      <c r="B4932" s="733" t="s">
        <v>612</v>
      </c>
      <c r="C4932" s="733" t="s">
        <v>4951</v>
      </c>
      <c r="D4932" s="733"/>
      <c r="E4932" s="761"/>
      <c r="F4932" s="761"/>
      <c r="G4932" s="733"/>
      <c r="H4932" s="733"/>
      <c r="I4932" s="733"/>
      <c r="J4932" s="733"/>
      <c r="K4932" s="733"/>
      <c r="L4932" s="733"/>
      <c r="M4932" s="733"/>
    </row>
    <row r="4933" spans="1:13" x14ac:dyDescent="0.3">
      <c r="A4933" s="733" t="s">
        <v>857</v>
      </c>
      <c r="B4933" s="733" t="s">
        <v>612</v>
      </c>
      <c r="C4933" s="733" t="s">
        <v>4952</v>
      </c>
      <c r="D4933" s="733"/>
      <c r="E4933" s="761"/>
      <c r="F4933" s="761"/>
      <c r="G4933" s="733"/>
      <c r="H4933" s="733"/>
      <c r="I4933" s="733"/>
      <c r="J4933" s="733"/>
      <c r="K4933" s="733"/>
      <c r="L4933" s="733"/>
      <c r="M4933" s="733"/>
    </row>
    <row r="4934" spans="1:13" x14ac:dyDescent="0.3">
      <c r="A4934" s="733" t="s">
        <v>857</v>
      </c>
      <c r="B4934" s="733" t="s">
        <v>612</v>
      </c>
      <c r="C4934" s="733" t="s">
        <v>4953</v>
      </c>
      <c r="D4934" s="733"/>
      <c r="E4934" s="761"/>
      <c r="F4934" s="761"/>
      <c r="G4934" s="733"/>
      <c r="H4934" s="733"/>
      <c r="I4934" s="733"/>
      <c r="J4934" s="733"/>
      <c r="K4934" s="733"/>
      <c r="L4934" s="733"/>
      <c r="M4934" s="733"/>
    </row>
    <row r="4935" spans="1:13" x14ac:dyDescent="0.3">
      <c r="A4935" s="733" t="s">
        <v>857</v>
      </c>
      <c r="B4935" s="733" t="s">
        <v>612</v>
      </c>
      <c r="C4935" s="733" t="s">
        <v>4954</v>
      </c>
      <c r="D4935" s="733"/>
      <c r="E4935" s="761"/>
      <c r="F4935" s="761"/>
      <c r="G4935" s="733"/>
      <c r="H4935" s="733"/>
      <c r="I4935" s="733"/>
      <c r="J4935" s="733"/>
      <c r="K4935" s="733"/>
      <c r="L4935" s="733"/>
      <c r="M4935" s="733"/>
    </row>
    <row r="4936" spans="1:13" x14ac:dyDescent="0.3">
      <c r="A4936" s="733" t="s">
        <v>857</v>
      </c>
      <c r="B4936" s="733" t="s">
        <v>612</v>
      </c>
      <c r="C4936" s="733" t="s">
        <v>4955</v>
      </c>
      <c r="D4936" s="733"/>
      <c r="E4936" s="761"/>
      <c r="F4936" s="761"/>
      <c r="G4936" s="733"/>
      <c r="H4936" s="733"/>
      <c r="I4936" s="733"/>
      <c r="J4936" s="733"/>
      <c r="K4936" s="733"/>
      <c r="L4936" s="733"/>
      <c r="M4936" s="733"/>
    </row>
    <row r="4937" spans="1:13" x14ac:dyDescent="0.3">
      <c r="A4937" s="733" t="s">
        <v>857</v>
      </c>
      <c r="B4937" s="733" t="s">
        <v>612</v>
      </c>
      <c r="C4937" s="733" t="s">
        <v>4956</v>
      </c>
      <c r="D4937" s="733"/>
      <c r="E4937" s="761"/>
      <c r="F4937" s="761"/>
      <c r="G4937" s="733"/>
      <c r="H4937" s="733"/>
      <c r="I4937" s="733"/>
      <c r="J4937" s="733"/>
      <c r="K4937" s="733"/>
      <c r="L4937" s="733"/>
      <c r="M4937" s="733"/>
    </row>
    <row r="4938" spans="1:13" x14ac:dyDescent="0.3">
      <c r="A4938" s="733" t="s">
        <v>857</v>
      </c>
      <c r="B4938" s="733" t="s">
        <v>612</v>
      </c>
      <c r="C4938" s="733" t="s">
        <v>4957</v>
      </c>
      <c r="D4938" s="733"/>
      <c r="E4938" s="761"/>
      <c r="F4938" s="761"/>
      <c r="G4938" s="733"/>
      <c r="H4938" s="733"/>
      <c r="I4938" s="733"/>
      <c r="J4938" s="733"/>
      <c r="K4938" s="733"/>
      <c r="L4938" s="733"/>
      <c r="M4938" s="733"/>
    </row>
    <row r="4939" spans="1:13" x14ac:dyDescent="0.3">
      <c r="A4939" s="733" t="s">
        <v>857</v>
      </c>
      <c r="B4939" s="733" t="s">
        <v>612</v>
      </c>
      <c r="C4939" s="733" t="s">
        <v>4958</v>
      </c>
      <c r="D4939" s="733"/>
      <c r="E4939" s="761"/>
      <c r="F4939" s="761"/>
      <c r="G4939" s="733"/>
      <c r="H4939" s="733"/>
      <c r="I4939" s="733"/>
      <c r="J4939" s="733"/>
      <c r="K4939" s="733"/>
      <c r="L4939" s="733"/>
      <c r="M4939" s="733"/>
    </row>
    <row r="4940" spans="1:13" x14ac:dyDescent="0.3">
      <c r="A4940" s="733" t="s">
        <v>857</v>
      </c>
      <c r="B4940" s="733" t="s">
        <v>612</v>
      </c>
      <c r="C4940" s="733" t="s">
        <v>4959</v>
      </c>
      <c r="D4940" s="733"/>
      <c r="E4940" s="761"/>
      <c r="F4940" s="761"/>
      <c r="G4940" s="733"/>
      <c r="H4940" s="733"/>
      <c r="I4940" s="733"/>
      <c r="J4940" s="733"/>
      <c r="K4940" s="733"/>
      <c r="L4940" s="733"/>
      <c r="M4940" s="733"/>
    </row>
    <row r="4941" spans="1:13" x14ac:dyDescent="0.3">
      <c r="A4941" s="733" t="s">
        <v>4960</v>
      </c>
      <c r="B4941" s="733" t="s">
        <v>645</v>
      </c>
      <c r="C4941" s="733" t="s">
        <v>4961</v>
      </c>
      <c r="D4941" s="733"/>
      <c r="E4941" s="761"/>
      <c r="F4941" s="761"/>
      <c r="G4941" s="733"/>
      <c r="H4941" s="733"/>
      <c r="I4941" s="733"/>
      <c r="J4941" s="733"/>
      <c r="K4941" s="733"/>
      <c r="L4941" s="733"/>
      <c r="M4941" s="733"/>
    </row>
    <row r="4942" spans="1:13" x14ac:dyDescent="0.3">
      <c r="A4942" s="733" t="s">
        <v>4960</v>
      </c>
      <c r="B4942" s="733" t="s">
        <v>645</v>
      </c>
      <c r="C4942" s="733" t="s">
        <v>4962</v>
      </c>
      <c r="D4942" s="733"/>
      <c r="E4942" s="761"/>
      <c r="F4942" s="761"/>
      <c r="G4942" s="733"/>
      <c r="H4942" s="733"/>
      <c r="I4942" s="733"/>
      <c r="J4942" s="733"/>
      <c r="K4942" s="733"/>
      <c r="L4942" s="733"/>
      <c r="M4942" s="733"/>
    </row>
    <row r="4943" spans="1:13" x14ac:dyDescent="0.3">
      <c r="A4943" s="733" t="s">
        <v>4960</v>
      </c>
      <c r="B4943" s="733" t="s">
        <v>645</v>
      </c>
      <c r="C4943" s="733" t="s">
        <v>4963</v>
      </c>
      <c r="D4943" s="733"/>
      <c r="E4943" s="761"/>
      <c r="F4943" s="761"/>
      <c r="G4943" s="733"/>
      <c r="H4943" s="733"/>
      <c r="I4943" s="733"/>
      <c r="J4943" s="733"/>
      <c r="K4943" s="733"/>
      <c r="L4943" s="733"/>
      <c r="M4943" s="733"/>
    </row>
    <row r="4944" spans="1:13" x14ac:dyDescent="0.3">
      <c r="A4944" s="733" t="s">
        <v>4960</v>
      </c>
      <c r="B4944" s="733" t="s">
        <v>645</v>
      </c>
      <c r="C4944" s="733" t="s">
        <v>4964</v>
      </c>
      <c r="D4944" s="733"/>
      <c r="E4944" s="761"/>
      <c r="F4944" s="761"/>
      <c r="G4944" s="733"/>
      <c r="H4944" s="733"/>
      <c r="I4944" s="733"/>
      <c r="J4944" s="733"/>
      <c r="K4944" s="733"/>
      <c r="L4944" s="733"/>
      <c r="M4944" s="733"/>
    </row>
    <row r="4945" spans="1:13" x14ac:dyDescent="0.3">
      <c r="A4945" s="733" t="s">
        <v>4960</v>
      </c>
      <c r="B4945" s="733" t="s">
        <v>645</v>
      </c>
      <c r="C4945" s="733" t="s">
        <v>4965</v>
      </c>
      <c r="D4945" s="733"/>
      <c r="E4945" s="761"/>
      <c r="F4945" s="761"/>
      <c r="G4945" s="733"/>
      <c r="H4945" s="733"/>
      <c r="I4945" s="733"/>
      <c r="J4945" s="733"/>
      <c r="K4945" s="733"/>
      <c r="L4945" s="733"/>
      <c r="M4945" s="733"/>
    </row>
    <row r="4946" spans="1:13" x14ac:dyDescent="0.3">
      <c r="A4946" s="733" t="s">
        <v>4960</v>
      </c>
      <c r="B4946" s="733" t="s">
        <v>645</v>
      </c>
      <c r="C4946" s="733" t="s">
        <v>4966</v>
      </c>
      <c r="D4946" s="733"/>
      <c r="E4946" s="761"/>
      <c r="F4946" s="761"/>
      <c r="G4946" s="733"/>
      <c r="H4946" s="733"/>
      <c r="I4946" s="733"/>
      <c r="J4946" s="733"/>
      <c r="K4946" s="733"/>
      <c r="L4946" s="733"/>
      <c r="M4946" s="733"/>
    </row>
    <row r="4947" spans="1:13" x14ac:dyDescent="0.3">
      <c r="A4947" s="733" t="s">
        <v>4960</v>
      </c>
      <c r="B4947" s="733" t="s">
        <v>645</v>
      </c>
      <c r="C4947" s="733" t="s">
        <v>4967</v>
      </c>
      <c r="D4947" s="733"/>
      <c r="E4947" s="761"/>
      <c r="F4947" s="761"/>
      <c r="G4947" s="733"/>
      <c r="H4947" s="733"/>
      <c r="I4947" s="733"/>
      <c r="J4947" s="733"/>
      <c r="K4947" s="733"/>
      <c r="L4947" s="733"/>
      <c r="M4947" s="733"/>
    </row>
    <row r="4948" spans="1:13" x14ac:dyDescent="0.3">
      <c r="A4948" s="733" t="s">
        <v>4960</v>
      </c>
      <c r="B4948" s="733" t="s">
        <v>645</v>
      </c>
      <c r="C4948" s="733" t="s">
        <v>4968</v>
      </c>
      <c r="D4948" s="733"/>
      <c r="E4948" s="761"/>
      <c r="F4948" s="761"/>
      <c r="G4948" s="733"/>
      <c r="H4948" s="733"/>
      <c r="I4948" s="733"/>
      <c r="J4948" s="733"/>
      <c r="K4948" s="733"/>
      <c r="L4948" s="733"/>
      <c r="M4948" s="733"/>
    </row>
    <row r="4949" spans="1:13" x14ac:dyDescent="0.3">
      <c r="A4949" s="733" t="s">
        <v>4960</v>
      </c>
      <c r="B4949" s="733" t="s">
        <v>645</v>
      </c>
      <c r="C4949" s="733" t="s">
        <v>4969</v>
      </c>
      <c r="D4949" s="733"/>
      <c r="E4949" s="761"/>
      <c r="F4949" s="761"/>
      <c r="G4949" s="733"/>
      <c r="H4949" s="733"/>
      <c r="I4949" s="733"/>
      <c r="J4949" s="733"/>
      <c r="K4949" s="733"/>
      <c r="L4949" s="733"/>
      <c r="M4949" s="733"/>
    </row>
    <row r="4950" spans="1:13" x14ac:dyDescent="0.3">
      <c r="A4950" s="733" t="s">
        <v>4960</v>
      </c>
      <c r="B4950" s="733" t="s">
        <v>645</v>
      </c>
      <c r="C4950" s="733" t="s">
        <v>4970</v>
      </c>
      <c r="D4950" s="733"/>
      <c r="E4950" s="761"/>
      <c r="F4950" s="761"/>
      <c r="G4950" s="733"/>
      <c r="H4950" s="733"/>
      <c r="I4950" s="733"/>
      <c r="J4950" s="733"/>
      <c r="K4950" s="733"/>
      <c r="L4950" s="733"/>
      <c r="M4950" s="733"/>
    </row>
    <row r="4951" spans="1:13" x14ac:dyDescent="0.3">
      <c r="A4951" s="733" t="s">
        <v>4960</v>
      </c>
      <c r="B4951" s="733" t="s">
        <v>645</v>
      </c>
      <c r="C4951" s="733" t="s">
        <v>4971</v>
      </c>
      <c r="D4951" s="733"/>
      <c r="E4951" s="761"/>
      <c r="F4951" s="761"/>
      <c r="G4951" s="733"/>
      <c r="H4951" s="733"/>
      <c r="I4951" s="733"/>
      <c r="J4951" s="733"/>
      <c r="K4951" s="733"/>
      <c r="L4951" s="733"/>
      <c r="M4951" s="733"/>
    </row>
    <row r="4952" spans="1:13" x14ac:dyDescent="0.3">
      <c r="A4952" s="733" t="s">
        <v>4960</v>
      </c>
      <c r="B4952" s="733" t="s">
        <v>645</v>
      </c>
      <c r="C4952" s="733" t="s">
        <v>4972</v>
      </c>
      <c r="D4952" s="733"/>
      <c r="E4952" s="761"/>
      <c r="F4952" s="761"/>
      <c r="G4952" s="733"/>
      <c r="H4952" s="733"/>
      <c r="I4952" s="733"/>
      <c r="J4952" s="733"/>
      <c r="K4952" s="733"/>
      <c r="L4952" s="733"/>
      <c r="M4952" s="733"/>
    </row>
    <row r="4953" spans="1:13" x14ac:dyDescent="0.3">
      <c r="A4953" s="733" t="s">
        <v>4960</v>
      </c>
      <c r="B4953" s="733" t="s">
        <v>645</v>
      </c>
      <c r="C4953" s="733" t="s">
        <v>4973</v>
      </c>
      <c r="D4953" s="733"/>
      <c r="E4953" s="761"/>
      <c r="F4953" s="761"/>
      <c r="G4953" s="733"/>
      <c r="H4953" s="733"/>
      <c r="I4953" s="733"/>
      <c r="J4953" s="733"/>
      <c r="K4953" s="733"/>
      <c r="L4953" s="733"/>
      <c r="M4953" s="733"/>
    </row>
    <row r="4954" spans="1:13" x14ac:dyDescent="0.3">
      <c r="A4954" s="733" t="s">
        <v>4960</v>
      </c>
      <c r="B4954" s="733" t="s">
        <v>645</v>
      </c>
      <c r="C4954" s="733" t="s">
        <v>4974</v>
      </c>
      <c r="D4954" s="733"/>
      <c r="E4954" s="761"/>
      <c r="F4954" s="761"/>
      <c r="G4954" s="733"/>
      <c r="H4954" s="733"/>
      <c r="I4954" s="733"/>
      <c r="J4954" s="733"/>
      <c r="K4954" s="733"/>
      <c r="L4954" s="733"/>
      <c r="M4954" s="733"/>
    </row>
    <row r="4955" spans="1:13" x14ac:dyDescent="0.3">
      <c r="A4955" s="733" t="s">
        <v>4960</v>
      </c>
      <c r="B4955" s="733" t="s">
        <v>645</v>
      </c>
      <c r="C4955" s="733" t="s">
        <v>4975</v>
      </c>
      <c r="D4955" s="733"/>
      <c r="E4955" s="761"/>
      <c r="F4955" s="761"/>
      <c r="G4955" s="733"/>
      <c r="H4955" s="733"/>
      <c r="I4955" s="733"/>
      <c r="J4955" s="733"/>
      <c r="K4955" s="733"/>
      <c r="L4955" s="733"/>
      <c r="M4955" s="733"/>
    </row>
    <row r="4956" spans="1:13" x14ac:dyDescent="0.3">
      <c r="A4956" s="733" t="s">
        <v>4960</v>
      </c>
      <c r="B4956" s="733" t="s">
        <v>664</v>
      </c>
      <c r="C4956" s="733" t="s">
        <v>4976</v>
      </c>
      <c r="D4956" s="733"/>
      <c r="E4956" s="761"/>
      <c r="F4956" s="761"/>
      <c r="G4956" s="733"/>
      <c r="H4956" s="733"/>
      <c r="I4956" s="733"/>
      <c r="J4956" s="733"/>
      <c r="K4956" s="733"/>
      <c r="L4956" s="733"/>
      <c r="M4956" s="733"/>
    </row>
    <row r="4957" spans="1:13" x14ac:dyDescent="0.3">
      <c r="A4957" s="733" t="s">
        <v>4960</v>
      </c>
      <c r="B4957" s="733" t="s">
        <v>664</v>
      </c>
      <c r="C4957" s="733" t="s">
        <v>4977</v>
      </c>
      <c r="D4957" s="733"/>
      <c r="E4957" s="761"/>
      <c r="F4957" s="761"/>
      <c r="G4957" s="733"/>
      <c r="H4957" s="733"/>
      <c r="I4957" s="733"/>
      <c r="J4957" s="733"/>
      <c r="K4957" s="733"/>
      <c r="L4957" s="733"/>
      <c r="M4957" s="733"/>
    </row>
    <row r="4958" spans="1:13" x14ac:dyDescent="0.3">
      <c r="A4958" s="733" t="s">
        <v>4960</v>
      </c>
      <c r="B4958" s="733" t="s">
        <v>664</v>
      </c>
      <c r="C4958" s="733" t="s">
        <v>4978</v>
      </c>
      <c r="D4958" s="733"/>
      <c r="E4958" s="761"/>
      <c r="F4958" s="761"/>
      <c r="G4958" s="733"/>
      <c r="H4958" s="733"/>
      <c r="I4958" s="733"/>
      <c r="J4958" s="733"/>
      <c r="K4958" s="733"/>
      <c r="L4958" s="733"/>
      <c r="M4958" s="733"/>
    </row>
    <row r="4959" spans="1:13" x14ac:dyDescent="0.3">
      <c r="A4959" s="733" t="s">
        <v>4960</v>
      </c>
      <c r="B4959" s="733" t="s">
        <v>664</v>
      </c>
      <c r="C4959" s="733" t="s">
        <v>4979</v>
      </c>
      <c r="D4959" s="733"/>
      <c r="E4959" s="761"/>
      <c r="F4959" s="761"/>
      <c r="G4959" s="733"/>
      <c r="H4959" s="733"/>
      <c r="I4959" s="733"/>
      <c r="J4959" s="733"/>
      <c r="K4959" s="733"/>
      <c r="L4959" s="733"/>
      <c r="M4959" s="733"/>
    </row>
    <row r="4960" spans="1:13" x14ac:dyDescent="0.3">
      <c r="A4960" s="733" t="s">
        <v>4960</v>
      </c>
      <c r="B4960" s="733" t="s">
        <v>664</v>
      </c>
      <c r="C4960" s="733" t="s">
        <v>4980</v>
      </c>
      <c r="D4960" s="733"/>
      <c r="E4960" s="761"/>
      <c r="F4960" s="761"/>
      <c r="G4960" s="733"/>
      <c r="H4960" s="733"/>
      <c r="I4960" s="733"/>
      <c r="J4960" s="733"/>
      <c r="K4960" s="733"/>
      <c r="L4960" s="733"/>
      <c r="M4960" s="733"/>
    </row>
    <row r="4961" spans="1:13" x14ac:dyDescent="0.3">
      <c r="A4961" s="733" t="s">
        <v>4960</v>
      </c>
      <c r="B4961" s="733" t="s">
        <v>664</v>
      </c>
      <c r="C4961" s="733" t="s">
        <v>4981</v>
      </c>
      <c r="D4961" s="733"/>
      <c r="E4961" s="761"/>
      <c r="F4961" s="761"/>
      <c r="G4961" s="733"/>
      <c r="H4961" s="733"/>
      <c r="I4961" s="733"/>
      <c r="J4961" s="733"/>
      <c r="K4961" s="733"/>
      <c r="L4961" s="733"/>
      <c r="M4961" s="733"/>
    </row>
    <row r="4962" spans="1:13" x14ac:dyDescent="0.3">
      <c r="A4962" s="733" t="s">
        <v>4960</v>
      </c>
      <c r="B4962" s="733" t="s">
        <v>664</v>
      </c>
      <c r="C4962" s="733" t="s">
        <v>4982</v>
      </c>
      <c r="D4962" s="733"/>
      <c r="E4962" s="761"/>
      <c r="F4962" s="761"/>
      <c r="G4962" s="733"/>
      <c r="H4962" s="733"/>
      <c r="I4962" s="733"/>
      <c r="J4962" s="733"/>
      <c r="K4962" s="733"/>
      <c r="L4962" s="733"/>
      <c r="M4962" s="733"/>
    </row>
    <row r="4963" spans="1:13" x14ac:dyDescent="0.3">
      <c r="A4963" s="733" t="s">
        <v>4960</v>
      </c>
      <c r="B4963" s="733" t="s">
        <v>664</v>
      </c>
      <c r="C4963" s="733" t="s">
        <v>4983</v>
      </c>
      <c r="D4963" s="733"/>
      <c r="E4963" s="761"/>
      <c r="F4963" s="761"/>
      <c r="G4963" s="733"/>
      <c r="H4963" s="733"/>
      <c r="I4963" s="733"/>
      <c r="J4963" s="733"/>
      <c r="K4963" s="733"/>
      <c r="L4963" s="733"/>
      <c r="M4963" s="733"/>
    </row>
    <row r="4964" spans="1:13" x14ac:dyDescent="0.3">
      <c r="A4964" s="733" t="s">
        <v>4960</v>
      </c>
      <c r="B4964" s="733" t="s">
        <v>664</v>
      </c>
      <c r="C4964" s="733" t="s">
        <v>4984</v>
      </c>
      <c r="D4964" s="733"/>
      <c r="E4964" s="761"/>
      <c r="F4964" s="761"/>
      <c r="G4964" s="733"/>
      <c r="H4964" s="733"/>
      <c r="I4964" s="733"/>
      <c r="J4964" s="733"/>
      <c r="K4964" s="733"/>
      <c r="L4964" s="733"/>
      <c r="M4964" s="733"/>
    </row>
    <row r="4965" spans="1:13" x14ac:dyDescent="0.3">
      <c r="A4965" s="733" t="s">
        <v>4960</v>
      </c>
      <c r="B4965" s="733" t="s">
        <v>664</v>
      </c>
      <c r="C4965" s="733" t="s">
        <v>4985</v>
      </c>
      <c r="D4965" s="733"/>
      <c r="E4965" s="761"/>
      <c r="F4965" s="761"/>
      <c r="G4965" s="733"/>
      <c r="H4965" s="733"/>
      <c r="I4965" s="733"/>
      <c r="J4965" s="733"/>
      <c r="K4965" s="733"/>
      <c r="L4965" s="733"/>
      <c r="M4965" s="733"/>
    </row>
    <row r="4966" spans="1:13" x14ac:dyDescent="0.3">
      <c r="A4966" s="733" t="s">
        <v>4960</v>
      </c>
      <c r="B4966" s="733" t="s">
        <v>664</v>
      </c>
      <c r="C4966" s="733" t="s">
        <v>4986</v>
      </c>
      <c r="D4966" s="733"/>
      <c r="E4966" s="761"/>
      <c r="F4966" s="761"/>
      <c r="G4966" s="733"/>
      <c r="H4966" s="733"/>
      <c r="I4966" s="733"/>
      <c r="J4966" s="733"/>
      <c r="K4966" s="733"/>
      <c r="L4966" s="733"/>
      <c r="M4966" s="733"/>
    </row>
    <row r="4967" spans="1:13" x14ac:dyDescent="0.3">
      <c r="A4967" s="733" t="s">
        <v>4960</v>
      </c>
      <c r="B4967" s="733" t="s">
        <v>664</v>
      </c>
      <c r="C4967" s="733" t="s">
        <v>4987</v>
      </c>
      <c r="D4967" s="733"/>
      <c r="E4967" s="761"/>
      <c r="F4967" s="761"/>
      <c r="G4967" s="733"/>
      <c r="H4967" s="733"/>
      <c r="I4967" s="733"/>
      <c r="J4967" s="733"/>
      <c r="K4967" s="733"/>
      <c r="L4967" s="733"/>
      <c r="M4967" s="733"/>
    </row>
    <row r="4968" spans="1:13" x14ac:dyDescent="0.3">
      <c r="A4968" s="733" t="s">
        <v>4960</v>
      </c>
      <c r="B4968" s="733" t="s">
        <v>664</v>
      </c>
      <c r="C4968" s="733" t="s">
        <v>4988</v>
      </c>
      <c r="D4968" s="733"/>
      <c r="E4968" s="761"/>
      <c r="F4968" s="761"/>
      <c r="G4968" s="733"/>
      <c r="H4968" s="733"/>
      <c r="I4968" s="733"/>
      <c r="J4968" s="733"/>
      <c r="K4968" s="733"/>
      <c r="L4968" s="733"/>
      <c r="M4968" s="733"/>
    </row>
    <row r="4969" spans="1:13" x14ac:dyDescent="0.3">
      <c r="A4969" s="733" t="s">
        <v>4960</v>
      </c>
      <c r="B4969" s="733" t="s">
        <v>664</v>
      </c>
      <c r="C4969" s="733" t="s">
        <v>4989</v>
      </c>
      <c r="D4969" s="733"/>
      <c r="E4969" s="761"/>
      <c r="F4969" s="761"/>
      <c r="G4969" s="733"/>
      <c r="H4969" s="733"/>
      <c r="I4969" s="733"/>
      <c r="J4969" s="733"/>
      <c r="K4969" s="733"/>
      <c r="L4969" s="733"/>
      <c r="M4969" s="733"/>
    </row>
    <row r="4970" spans="1:13" x14ac:dyDescent="0.3">
      <c r="A4970" s="733" t="s">
        <v>4960</v>
      </c>
      <c r="B4970" s="733" t="s">
        <v>664</v>
      </c>
      <c r="C4970" s="733" t="s">
        <v>4990</v>
      </c>
      <c r="D4970" s="733"/>
      <c r="E4970" s="761"/>
      <c r="F4970" s="761"/>
      <c r="G4970" s="733"/>
      <c r="H4970" s="733"/>
      <c r="I4970" s="733"/>
      <c r="J4970" s="733"/>
      <c r="K4970" s="733"/>
      <c r="L4970" s="733"/>
      <c r="M4970" s="733"/>
    </row>
    <row r="4971" spans="1:13" x14ac:dyDescent="0.3">
      <c r="A4971" s="733" t="s">
        <v>4960</v>
      </c>
      <c r="B4971" s="733" t="s">
        <v>612</v>
      </c>
      <c r="C4971" s="733" t="s">
        <v>4991</v>
      </c>
      <c r="D4971" s="733"/>
      <c r="E4971" s="761"/>
      <c r="F4971" s="761"/>
      <c r="G4971" s="733"/>
      <c r="H4971" s="733"/>
      <c r="I4971" s="733"/>
      <c r="J4971" s="733"/>
      <c r="K4971" s="733"/>
      <c r="L4971" s="733"/>
      <c r="M4971" s="733"/>
    </row>
    <row r="4972" spans="1:13" x14ac:dyDescent="0.3">
      <c r="A4972" s="733" t="s">
        <v>4960</v>
      </c>
      <c r="B4972" s="733" t="s">
        <v>612</v>
      </c>
      <c r="C4972" s="733" t="s">
        <v>4992</v>
      </c>
      <c r="D4972" s="733"/>
      <c r="E4972" s="761"/>
      <c r="F4972" s="761"/>
      <c r="G4972" s="733"/>
      <c r="H4972" s="733"/>
      <c r="I4972" s="733"/>
      <c r="J4972" s="733"/>
      <c r="K4972" s="733"/>
      <c r="L4972" s="733"/>
      <c r="M4972" s="733"/>
    </row>
    <row r="4973" spans="1:13" x14ac:dyDescent="0.3">
      <c r="A4973" s="733" t="s">
        <v>4960</v>
      </c>
      <c r="B4973" s="733" t="s">
        <v>612</v>
      </c>
      <c r="C4973" s="733" t="s">
        <v>4993</v>
      </c>
      <c r="D4973" s="733"/>
      <c r="E4973" s="761"/>
      <c r="F4973" s="761"/>
      <c r="G4973" s="733"/>
      <c r="H4973" s="733"/>
      <c r="I4973" s="733"/>
      <c r="J4973" s="733"/>
      <c r="K4973" s="733"/>
      <c r="L4973" s="733"/>
      <c r="M4973" s="733"/>
    </row>
    <row r="4974" spans="1:13" x14ac:dyDescent="0.3">
      <c r="A4974" s="733" t="s">
        <v>4960</v>
      </c>
      <c r="B4974" s="733" t="s">
        <v>612</v>
      </c>
      <c r="C4974" s="733" t="s">
        <v>4994</v>
      </c>
      <c r="D4974" s="733"/>
      <c r="E4974" s="761"/>
      <c r="F4974" s="761"/>
      <c r="G4974" s="733"/>
      <c r="H4974" s="733"/>
      <c r="I4974" s="733"/>
      <c r="J4974" s="733"/>
      <c r="K4974" s="733"/>
      <c r="L4974" s="733"/>
      <c r="M4974" s="733"/>
    </row>
    <row r="4975" spans="1:13" x14ac:dyDescent="0.3">
      <c r="A4975" s="733" t="s">
        <v>4960</v>
      </c>
      <c r="B4975" s="733" t="s">
        <v>612</v>
      </c>
      <c r="C4975" s="733" t="s">
        <v>4995</v>
      </c>
      <c r="D4975" s="733"/>
      <c r="E4975" s="761"/>
      <c r="F4975" s="761"/>
      <c r="G4975" s="733"/>
      <c r="H4975" s="733"/>
      <c r="I4975" s="733"/>
      <c r="J4975" s="733"/>
      <c r="K4975" s="733"/>
      <c r="L4975" s="733"/>
      <c r="M4975" s="733"/>
    </row>
    <row r="4976" spans="1:13" x14ac:dyDescent="0.3">
      <c r="A4976" s="733" t="s">
        <v>4960</v>
      </c>
      <c r="B4976" s="733" t="s">
        <v>612</v>
      </c>
      <c r="C4976" s="733" t="s">
        <v>4996</v>
      </c>
      <c r="D4976" s="733"/>
      <c r="E4976" s="761"/>
      <c r="F4976" s="761"/>
      <c r="G4976" s="733"/>
      <c r="H4976" s="733"/>
      <c r="I4976" s="733"/>
      <c r="J4976" s="733"/>
      <c r="K4976" s="733"/>
      <c r="L4976" s="733"/>
      <c r="M4976" s="733"/>
    </row>
    <row r="4977" spans="1:13" x14ac:dyDescent="0.3">
      <c r="A4977" s="733" t="s">
        <v>4960</v>
      </c>
      <c r="B4977" s="733" t="s">
        <v>612</v>
      </c>
      <c r="C4977" s="733" t="s">
        <v>4997</v>
      </c>
      <c r="D4977" s="733"/>
      <c r="E4977" s="761"/>
      <c r="F4977" s="761"/>
      <c r="G4977" s="733"/>
      <c r="H4977" s="733"/>
      <c r="I4977" s="733"/>
      <c r="J4977" s="733"/>
      <c r="K4977" s="733"/>
      <c r="L4977" s="733"/>
      <c r="M4977" s="733"/>
    </row>
    <row r="4978" spans="1:13" x14ac:dyDescent="0.3">
      <c r="A4978" s="733" t="s">
        <v>4960</v>
      </c>
      <c r="B4978" s="733" t="s">
        <v>612</v>
      </c>
      <c r="C4978" s="733" t="s">
        <v>4998</v>
      </c>
      <c r="D4978" s="733"/>
      <c r="E4978" s="761"/>
      <c r="F4978" s="761"/>
      <c r="G4978" s="733"/>
      <c r="H4978" s="733"/>
      <c r="I4978" s="733"/>
      <c r="J4978" s="733"/>
      <c r="K4978" s="733"/>
      <c r="L4978" s="733"/>
      <c r="M4978" s="733"/>
    </row>
    <row r="4979" spans="1:13" x14ac:dyDescent="0.3">
      <c r="A4979" s="733" t="s">
        <v>4960</v>
      </c>
      <c r="B4979" s="733" t="s">
        <v>612</v>
      </c>
      <c r="C4979" s="733" t="s">
        <v>4999</v>
      </c>
      <c r="D4979" s="733"/>
      <c r="E4979" s="761"/>
      <c r="F4979" s="761"/>
      <c r="G4979" s="733"/>
      <c r="H4979" s="733"/>
      <c r="I4979" s="733"/>
      <c r="J4979" s="733"/>
      <c r="K4979" s="733"/>
      <c r="L4979" s="733"/>
      <c r="M4979" s="733"/>
    </row>
    <row r="4980" spans="1:13" x14ac:dyDescent="0.3">
      <c r="A4980" s="733" t="s">
        <v>4960</v>
      </c>
      <c r="B4980" s="733" t="s">
        <v>612</v>
      </c>
      <c r="C4980" s="733" t="s">
        <v>5000</v>
      </c>
      <c r="D4980" s="733"/>
      <c r="E4980" s="761"/>
      <c r="F4980" s="761"/>
      <c r="G4980" s="733"/>
      <c r="H4980" s="733"/>
      <c r="I4980" s="733"/>
      <c r="J4980" s="733"/>
      <c r="K4980" s="733"/>
      <c r="L4980" s="733"/>
      <c r="M4980" s="733"/>
    </row>
    <row r="4981" spans="1:13" x14ac:dyDescent="0.3">
      <c r="A4981" s="733" t="s">
        <v>4960</v>
      </c>
      <c r="B4981" s="733" t="s">
        <v>612</v>
      </c>
      <c r="C4981" s="733" t="s">
        <v>5001</v>
      </c>
      <c r="D4981" s="733"/>
      <c r="E4981" s="761"/>
      <c r="F4981" s="761"/>
      <c r="G4981" s="733"/>
      <c r="H4981" s="733"/>
      <c r="I4981" s="733"/>
      <c r="J4981" s="733"/>
      <c r="K4981" s="733"/>
      <c r="L4981" s="733"/>
      <c r="M4981" s="733"/>
    </row>
    <row r="4982" spans="1:13" x14ac:dyDescent="0.3">
      <c r="A4982" s="733" t="s">
        <v>4960</v>
      </c>
      <c r="B4982" s="733" t="s">
        <v>612</v>
      </c>
      <c r="C4982" s="733" t="s">
        <v>5002</v>
      </c>
      <c r="D4982" s="733"/>
      <c r="E4982" s="761"/>
      <c r="F4982" s="761"/>
      <c r="G4982" s="733"/>
      <c r="H4982" s="733"/>
      <c r="I4982" s="733"/>
      <c r="J4982" s="733"/>
      <c r="K4982" s="733"/>
      <c r="L4982" s="733"/>
      <c r="M4982" s="733"/>
    </row>
    <row r="4983" spans="1:13" x14ac:dyDescent="0.3">
      <c r="A4983" s="733" t="s">
        <v>4960</v>
      </c>
      <c r="B4983" s="733" t="s">
        <v>612</v>
      </c>
      <c r="C4983" s="733" t="s">
        <v>5003</v>
      </c>
      <c r="D4983" s="733"/>
      <c r="E4983" s="761"/>
      <c r="F4983" s="761"/>
      <c r="G4983" s="733"/>
      <c r="H4983" s="733"/>
      <c r="I4983" s="733"/>
      <c r="J4983" s="733"/>
      <c r="K4983" s="733"/>
      <c r="L4983" s="733"/>
      <c r="M4983" s="733"/>
    </row>
    <row r="4984" spans="1:13" x14ac:dyDescent="0.3">
      <c r="A4984" s="733" t="s">
        <v>4960</v>
      </c>
      <c r="B4984" s="733" t="s">
        <v>612</v>
      </c>
      <c r="C4984" s="733" t="s">
        <v>5004</v>
      </c>
      <c r="D4984" s="733"/>
      <c r="E4984" s="761"/>
      <c r="F4984" s="761"/>
      <c r="G4984" s="733"/>
      <c r="H4984" s="733"/>
      <c r="I4984" s="733"/>
      <c r="J4984" s="733"/>
      <c r="K4984" s="733"/>
      <c r="L4984" s="733"/>
      <c r="M4984" s="733"/>
    </row>
    <row r="4985" spans="1:13" x14ac:dyDescent="0.3">
      <c r="A4985" s="733" t="s">
        <v>4960</v>
      </c>
      <c r="B4985" s="733" t="s">
        <v>612</v>
      </c>
      <c r="C4985" s="733" t="s">
        <v>5005</v>
      </c>
      <c r="D4985" s="733"/>
      <c r="E4985" s="761"/>
      <c r="F4985" s="761"/>
      <c r="G4985" s="733"/>
      <c r="H4985" s="733"/>
      <c r="I4985" s="733"/>
      <c r="J4985" s="733"/>
      <c r="K4985" s="733"/>
      <c r="L4985" s="733"/>
      <c r="M4985" s="733"/>
    </row>
    <row r="4986" spans="1:13" x14ac:dyDescent="0.3">
      <c r="A4986" s="733" t="s">
        <v>5006</v>
      </c>
      <c r="B4986" s="733" t="s">
        <v>645</v>
      </c>
      <c r="C4986" s="733" t="s">
        <v>5007</v>
      </c>
      <c r="D4986" s="733"/>
      <c r="E4986" s="761"/>
      <c r="F4986" s="761"/>
      <c r="G4986" s="733"/>
      <c r="H4986" s="733"/>
      <c r="I4986" s="733"/>
      <c r="J4986" s="733"/>
      <c r="K4986" s="733"/>
      <c r="L4986" s="733"/>
      <c r="M4986" s="733"/>
    </row>
    <row r="4987" spans="1:13" x14ac:dyDescent="0.3">
      <c r="A4987" s="733" t="s">
        <v>5006</v>
      </c>
      <c r="B4987" s="733" t="s">
        <v>645</v>
      </c>
      <c r="C4987" s="733" t="s">
        <v>5008</v>
      </c>
      <c r="D4987" s="733"/>
      <c r="E4987" s="761"/>
      <c r="F4987" s="761"/>
      <c r="G4987" s="733"/>
      <c r="H4987" s="733"/>
      <c r="I4987" s="733"/>
      <c r="J4987" s="733"/>
      <c r="K4987" s="733"/>
      <c r="L4987" s="733"/>
      <c r="M4987" s="733"/>
    </row>
    <row r="4988" spans="1:13" x14ac:dyDescent="0.3">
      <c r="A4988" s="733" t="s">
        <v>5006</v>
      </c>
      <c r="B4988" s="733" t="s">
        <v>645</v>
      </c>
      <c r="C4988" s="733" t="s">
        <v>5009</v>
      </c>
      <c r="D4988" s="733"/>
      <c r="E4988" s="761"/>
      <c r="F4988" s="761"/>
      <c r="G4988" s="733"/>
      <c r="H4988" s="733"/>
      <c r="I4988" s="733"/>
      <c r="J4988" s="733"/>
      <c r="K4988" s="733"/>
      <c r="L4988" s="733"/>
      <c r="M4988" s="733"/>
    </row>
    <row r="4989" spans="1:13" x14ac:dyDescent="0.3">
      <c r="A4989" s="733" t="s">
        <v>5006</v>
      </c>
      <c r="B4989" s="733" t="s">
        <v>645</v>
      </c>
      <c r="C4989" s="733" t="s">
        <v>5010</v>
      </c>
      <c r="D4989" s="733"/>
      <c r="E4989" s="761"/>
      <c r="F4989" s="761"/>
      <c r="G4989" s="733"/>
      <c r="H4989" s="733"/>
      <c r="I4989" s="733"/>
      <c r="J4989" s="733"/>
      <c r="K4989" s="733"/>
      <c r="L4989" s="733"/>
      <c r="M4989" s="733"/>
    </row>
    <row r="4990" spans="1:13" x14ac:dyDescent="0.3">
      <c r="A4990" s="733" t="s">
        <v>5006</v>
      </c>
      <c r="B4990" s="733" t="s">
        <v>645</v>
      </c>
      <c r="C4990" s="733" t="s">
        <v>5011</v>
      </c>
      <c r="D4990" s="733"/>
      <c r="E4990" s="761"/>
      <c r="F4990" s="761"/>
      <c r="G4990" s="733"/>
      <c r="H4990" s="733"/>
      <c r="I4990" s="733"/>
      <c r="J4990" s="733"/>
      <c r="K4990" s="733"/>
      <c r="L4990" s="733"/>
      <c r="M4990" s="733"/>
    </row>
    <row r="4991" spans="1:13" x14ac:dyDescent="0.3">
      <c r="A4991" s="733" t="s">
        <v>5006</v>
      </c>
      <c r="B4991" s="733" t="s">
        <v>645</v>
      </c>
      <c r="C4991" s="733" t="s">
        <v>5012</v>
      </c>
      <c r="D4991" s="733"/>
      <c r="E4991" s="761"/>
      <c r="F4991" s="761"/>
      <c r="G4991" s="733"/>
      <c r="H4991" s="733"/>
      <c r="I4991" s="733"/>
      <c r="J4991" s="733"/>
      <c r="K4991" s="733"/>
      <c r="L4991" s="733"/>
      <c r="M4991" s="733"/>
    </row>
    <row r="4992" spans="1:13" x14ac:dyDescent="0.3">
      <c r="A4992" s="733" t="s">
        <v>5006</v>
      </c>
      <c r="B4992" s="733" t="s">
        <v>645</v>
      </c>
      <c r="C4992" s="733" t="s">
        <v>5013</v>
      </c>
      <c r="D4992" s="733"/>
      <c r="E4992" s="761"/>
      <c r="F4992" s="761"/>
      <c r="G4992" s="733"/>
      <c r="H4992" s="733"/>
      <c r="I4992" s="733"/>
      <c r="J4992" s="733"/>
      <c r="K4992" s="733"/>
      <c r="L4992" s="733"/>
      <c r="M4992" s="733"/>
    </row>
    <row r="4993" spans="1:13" x14ac:dyDescent="0.3">
      <c r="A4993" s="733" t="s">
        <v>5006</v>
      </c>
      <c r="B4993" s="733" t="s">
        <v>645</v>
      </c>
      <c r="C4993" s="733" t="s">
        <v>5014</v>
      </c>
      <c r="D4993" s="733"/>
      <c r="E4993" s="761"/>
      <c r="F4993" s="761"/>
      <c r="G4993" s="733"/>
      <c r="H4993" s="733"/>
      <c r="I4993" s="733"/>
      <c r="J4993" s="733"/>
      <c r="K4993" s="733"/>
      <c r="L4993" s="733"/>
      <c r="M4993" s="733"/>
    </row>
    <row r="4994" spans="1:13" x14ac:dyDescent="0.3">
      <c r="A4994" s="733" t="s">
        <v>5006</v>
      </c>
      <c r="B4994" s="733" t="s">
        <v>645</v>
      </c>
      <c r="C4994" s="733" t="s">
        <v>5015</v>
      </c>
      <c r="D4994" s="733"/>
      <c r="E4994" s="761"/>
      <c r="F4994" s="761"/>
      <c r="G4994" s="733"/>
      <c r="H4994" s="733"/>
      <c r="I4994" s="733"/>
      <c r="J4994" s="733"/>
      <c r="K4994" s="733"/>
      <c r="L4994" s="733"/>
      <c r="M4994" s="733"/>
    </row>
    <row r="4995" spans="1:13" x14ac:dyDescent="0.3">
      <c r="A4995" s="733" t="s">
        <v>5006</v>
      </c>
      <c r="B4995" s="733" t="s">
        <v>645</v>
      </c>
      <c r="C4995" s="733" t="s">
        <v>5016</v>
      </c>
      <c r="D4995" s="733"/>
      <c r="E4995" s="761"/>
      <c r="F4995" s="761"/>
      <c r="G4995" s="733"/>
      <c r="H4995" s="733"/>
      <c r="I4995" s="733"/>
      <c r="J4995" s="733"/>
      <c r="K4995" s="733"/>
      <c r="L4995" s="733"/>
      <c r="M4995" s="733"/>
    </row>
    <row r="4996" spans="1:13" x14ac:dyDescent="0.3">
      <c r="A4996" s="733" t="s">
        <v>5006</v>
      </c>
      <c r="B4996" s="733" t="s">
        <v>645</v>
      </c>
      <c r="C4996" s="733" t="s">
        <v>5017</v>
      </c>
      <c r="D4996" s="733"/>
      <c r="E4996" s="761"/>
      <c r="F4996" s="761"/>
      <c r="G4996" s="733"/>
      <c r="H4996" s="733"/>
      <c r="I4996" s="733"/>
      <c r="J4996" s="733"/>
      <c r="K4996" s="733"/>
      <c r="L4996" s="733"/>
      <c r="M4996" s="733"/>
    </row>
    <row r="4997" spans="1:13" x14ac:dyDescent="0.3">
      <c r="A4997" s="733" t="s">
        <v>5006</v>
      </c>
      <c r="B4997" s="733" t="s">
        <v>645</v>
      </c>
      <c r="C4997" s="733" t="s">
        <v>5018</v>
      </c>
      <c r="D4997" s="733"/>
      <c r="E4997" s="761"/>
      <c r="F4997" s="761"/>
      <c r="G4997" s="733"/>
      <c r="H4997" s="733"/>
      <c r="I4997" s="733"/>
      <c r="J4997" s="733"/>
      <c r="K4997" s="733"/>
      <c r="L4997" s="733"/>
      <c r="M4997" s="733"/>
    </row>
    <row r="4998" spans="1:13" x14ac:dyDescent="0.3">
      <c r="A4998" s="733" t="s">
        <v>5006</v>
      </c>
      <c r="B4998" s="733" t="s">
        <v>645</v>
      </c>
      <c r="C4998" s="733" t="s">
        <v>5019</v>
      </c>
      <c r="D4998" s="733"/>
      <c r="E4998" s="761"/>
      <c r="F4998" s="761"/>
      <c r="G4998" s="733"/>
      <c r="H4998" s="733"/>
      <c r="I4998" s="733"/>
      <c r="J4998" s="733"/>
      <c r="K4998" s="733"/>
      <c r="L4998" s="733"/>
      <c r="M4998" s="733"/>
    </row>
    <row r="4999" spans="1:13" x14ac:dyDescent="0.3">
      <c r="A4999" s="733" t="s">
        <v>5006</v>
      </c>
      <c r="B4999" s="733" t="s">
        <v>645</v>
      </c>
      <c r="C4999" s="733" t="s">
        <v>5020</v>
      </c>
      <c r="D4999" s="733"/>
      <c r="E4999" s="761"/>
      <c r="F4999" s="761"/>
      <c r="G4999" s="733"/>
      <c r="H4999" s="733"/>
      <c r="I4999" s="733"/>
      <c r="J4999" s="733"/>
      <c r="K4999" s="733"/>
      <c r="L4999" s="733"/>
      <c r="M4999" s="733"/>
    </row>
    <row r="5000" spans="1:13" x14ac:dyDescent="0.3">
      <c r="A5000" s="733" t="s">
        <v>5006</v>
      </c>
      <c r="B5000" s="733" t="s">
        <v>645</v>
      </c>
      <c r="C5000" s="733" t="s">
        <v>5021</v>
      </c>
      <c r="D5000" s="733"/>
      <c r="E5000" s="761"/>
      <c r="F5000" s="761"/>
      <c r="G5000" s="733"/>
      <c r="H5000" s="733"/>
      <c r="I5000" s="733"/>
      <c r="J5000" s="733"/>
      <c r="K5000" s="733"/>
      <c r="L5000" s="733"/>
      <c r="M5000" s="733"/>
    </row>
    <row r="5001" spans="1:13" x14ac:dyDescent="0.3">
      <c r="A5001" s="733" t="s">
        <v>5006</v>
      </c>
      <c r="B5001" s="733" t="s">
        <v>664</v>
      </c>
      <c r="C5001" s="733" t="s">
        <v>5022</v>
      </c>
      <c r="D5001" s="733"/>
      <c r="E5001" s="761"/>
      <c r="F5001" s="761"/>
      <c r="G5001" s="733"/>
      <c r="H5001" s="733"/>
      <c r="I5001" s="733"/>
      <c r="J5001" s="733"/>
      <c r="K5001" s="733"/>
      <c r="L5001" s="733"/>
      <c r="M5001" s="733"/>
    </row>
    <row r="5002" spans="1:13" x14ac:dyDescent="0.3">
      <c r="A5002" s="733" t="s">
        <v>5006</v>
      </c>
      <c r="B5002" s="733" t="s">
        <v>664</v>
      </c>
      <c r="C5002" s="733" t="s">
        <v>5023</v>
      </c>
      <c r="D5002" s="733"/>
      <c r="E5002" s="761"/>
      <c r="F5002" s="761"/>
      <c r="G5002" s="733"/>
      <c r="H5002" s="733"/>
      <c r="I5002" s="733"/>
      <c r="J5002" s="733"/>
      <c r="K5002" s="733"/>
      <c r="L5002" s="733"/>
      <c r="M5002" s="733"/>
    </row>
    <row r="5003" spans="1:13" x14ac:dyDescent="0.3">
      <c r="A5003" s="733" t="s">
        <v>5006</v>
      </c>
      <c r="B5003" s="733" t="s">
        <v>664</v>
      </c>
      <c r="C5003" s="733" t="s">
        <v>5024</v>
      </c>
      <c r="D5003" s="733"/>
      <c r="E5003" s="761"/>
      <c r="F5003" s="761"/>
      <c r="G5003" s="733"/>
      <c r="H5003" s="733"/>
      <c r="I5003" s="733"/>
      <c r="J5003" s="733"/>
      <c r="K5003" s="733"/>
      <c r="L5003" s="733"/>
      <c r="M5003" s="733"/>
    </row>
    <row r="5004" spans="1:13" x14ac:dyDescent="0.3">
      <c r="A5004" s="733" t="s">
        <v>5006</v>
      </c>
      <c r="B5004" s="733" t="s">
        <v>664</v>
      </c>
      <c r="C5004" s="733" t="s">
        <v>5025</v>
      </c>
      <c r="D5004" s="733"/>
      <c r="E5004" s="761"/>
      <c r="F5004" s="761"/>
      <c r="G5004" s="733"/>
      <c r="H5004" s="733"/>
      <c r="I5004" s="733"/>
      <c r="J5004" s="733"/>
      <c r="K5004" s="733"/>
      <c r="L5004" s="733"/>
      <c r="M5004" s="733"/>
    </row>
    <row r="5005" spans="1:13" x14ac:dyDescent="0.3">
      <c r="A5005" s="733" t="s">
        <v>5006</v>
      </c>
      <c r="B5005" s="733" t="s">
        <v>664</v>
      </c>
      <c r="C5005" s="733" t="s">
        <v>5026</v>
      </c>
      <c r="D5005" s="733"/>
      <c r="E5005" s="761"/>
      <c r="F5005" s="761"/>
      <c r="G5005" s="733"/>
      <c r="H5005" s="733"/>
      <c r="I5005" s="733"/>
      <c r="J5005" s="733"/>
      <c r="K5005" s="733"/>
      <c r="L5005" s="733"/>
      <c r="M5005" s="733"/>
    </row>
    <row r="5006" spans="1:13" x14ac:dyDescent="0.3">
      <c r="A5006" s="733" t="s">
        <v>5006</v>
      </c>
      <c r="B5006" s="733" t="s">
        <v>664</v>
      </c>
      <c r="C5006" s="733" t="s">
        <v>5027</v>
      </c>
      <c r="D5006" s="733"/>
      <c r="E5006" s="761"/>
      <c r="F5006" s="761"/>
      <c r="G5006" s="733"/>
      <c r="H5006" s="733"/>
      <c r="I5006" s="733"/>
      <c r="J5006" s="733"/>
      <c r="K5006" s="733"/>
      <c r="L5006" s="733"/>
      <c r="M5006" s="733"/>
    </row>
    <row r="5007" spans="1:13" x14ac:dyDescent="0.3">
      <c r="A5007" s="733" t="s">
        <v>5006</v>
      </c>
      <c r="B5007" s="733" t="s">
        <v>664</v>
      </c>
      <c r="C5007" s="733" t="s">
        <v>5028</v>
      </c>
      <c r="D5007" s="733"/>
      <c r="E5007" s="761"/>
      <c r="F5007" s="761"/>
      <c r="G5007" s="733"/>
      <c r="H5007" s="733"/>
      <c r="I5007" s="733"/>
      <c r="J5007" s="733"/>
      <c r="K5007" s="733"/>
      <c r="L5007" s="733"/>
      <c r="M5007" s="733"/>
    </row>
    <row r="5008" spans="1:13" x14ac:dyDescent="0.3">
      <c r="A5008" s="733" t="s">
        <v>5006</v>
      </c>
      <c r="B5008" s="733" t="s">
        <v>664</v>
      </c>
      <c r="C5008" s="733" t="s">
        <v>5029</v>
      </c>
      <c r="D5008" s="733"/>
      <c r="E5008" s="761"/>
      <c r="F5008" s="761"/>
      <c r="G5008" s="733"/>
      <c r="H5008" s="733"/>
      <c r="I5008" s="733"/>
      <c r="J5008" s="733"/>
      <c r="K5008" s="733"/>
      <c r="L5008" s="733"/>
      <c r="M5008" s="733"/>
    </row>
    <row r="5009" spans="1:13" x14ac:dyDescent="0.3">
      <c r="A5009" s="733" t="s">
        <v>5006</v>
      </c>
      <c r="B5009" s="733" t="s">
        <v>664</v>
      </c>
      <c r="C5009" s="733" t="s">
        <v>5030</v>
      </c>
      <c r="D5009" s="733"/>
      <c r="E5009" s="761"/>
      <c r="F5009" s="761"/>
      <c r="G5009" s="733"/>
      <c r="H5009" s="733"/>
      <c r="I5009" s="733"/>
      <c r="J5009" s="733"/>
      <c r="K5009" s="733"/>
      <c r="L5009" s="733"/>
      <c r="M5009" s="733"/>
    </row>
    <row r="5010" spans="1:13" x14ac:dyDescent="0.3">
      <c r="A5010" s="733" t="s">
        <v>5006</v>
      </c>
      <c r="B5010" s="733" t="s">
        <v>664</v>
      </c>
      <c r="C5010" s="733" t="s">
        <v>5031</v>
      </c>
      <c r="D5010" s="733"/>
      <c r="E5010" s="761"/>
      <c r="F5010" s="761"/>
      <c r="G5010" s="733"/>
      <c r="H5010" s="733"/>
      <c r="I5010" s="733"/>
      <c r="J5010" s="733"/>
      <c r="K5010" s="733"/>
      <c r="L5010" s="733"/>
      <c r="M5010" s="733"/>
    </row>
    <row r="5011" spans="1:13" x14ac:dyDescent="0.3">
      <c r="A5011" s="733" t="s">
        <v>5006</v>
      </c>
      <c r="B5011" s="733" t="s">
        <v>664</v>
      </c>
      <c r="C5011" s="733" t="s">
        <v>5032</v>
      </c>
      <c r="D5011" s="733"/>
      <c r="E5011" s="761"/>
      <c r="F5011" s="761"/>
      <c r="G5011" s="733"/>
      <c r="H5011" s="733"/>
      <c r="I5011" s="733"/>
      <c r="J5011" s="733"/>
      <c r="K5011" s="733"/>
      <c r="L5011" s="733"/>
      <c r="M5011" s="733"/>
    </row>
    <row r="5012" spans="1:13" x14ac:dyDescent="0.3">
      <c r="A5012" s="733" t="s">
        <v>5006</v>
      </c>
      <c r="B5012" s="733" t="s">
        <v>664</v>
      </c>
      <c r="C5012" s="733" t="s">
        <v>5033</v>
      </c>
      <c r="D5012" s="733"/>
      <c r="E5012" s="761"/>
      <c r="F5012" s="761"/>
      <c r="G5012" s="733"/>
      <c r="H5012" s="733"/>
      <c r="I5012" s="733"/>
      <c r="J5012" s="733"/>
      <c r="K5012" s="733"/>
      <c r="L5012" s="733"/>
      <c r="M5012" s="733"/>
    </row>
    <row r="5013" spans="1:13" x14ac:dyDescent="0.3">
      <c r="A5013" s="733" t="s">
        <v>5006</v>
      </c>
      <c r="B5013" s="733" t="s">
        <v>664</v>
      </c>
      <c r="C5013" s="733" t="s">
        <v>5034</v>
      </c>
      <c r="D5013" s="733"/>
      <c r="E5013" s="761"/>
      <c r="F5013" s="761"/>
      <c r="G5013" s="733"/>
      <c r="H5013" s="733"/>
      <c r="I5013" s="733"/>
      <c r="J5013" s="733"/>
      <c r="K5013" s="733"/>
      <c r="L5013" s="733"/>
      <c r="M5013" s="733"/>
    </row>
    <row r="5014" spans="1:13" x14ac:dyDescent="0.3">
      <c r="A5014" s="733" t="s">
        <v>5006</v>
      </c>
      <c r="B5014" s="733" t="s">
        <v>664</v>
      </c>
      <c r="C5014" s="733" t="s">
        <v>5035</v>
      </c>
      <c r="D5014" s="733"/>
      <c r="E5014" s="761"/>
      <c r="F5014" s="761"/>
      <c r="G5014" s="733"/>
      <c r="H5014" s="733"/>
      <c r="I5014" s="733"/>
      <c r="J5014" s="733"/>
      <c r="K5014" s="733"/>
      <c r="L5014" s="733"/>
      <c r="M5014" s="733"/>
    </row>
    <row r="5015" spans="1:13" x14ac:dyDescent="0.3">
      <c r="A5015" s="733" t="s">
        <v>5006</v>
      </c>
      <c r="B5015" s="733" t="s">
        <v>664</v>
      </c>
      <c r="C5015" s="733" t="s">
        <v>5036</v>
      </c>
      <c r="D5015" s="733"/>
      <c r="E5015" s="761"/>
      <c r="F5015" s="761"/>
      <c r="G5015" s="733"/>
      <c r="H5015" s="733"/>
      <c r="I5015" s="733"/>
      <c r="J5015" s="733"/>
      <c r="K5015" s="733"/>
      <c r="L5015" s="733"/>
      <c r="M5015" s="733"/>
    </row>
    <row r="5016" spans="1:13" x14ac:dyDescent="0.3">
      <c r="A5016" s="733" t="s">
        <v>5006</v>
      </c>
      <c r="B5016" s="733" t="s">
        <v>612</v>
      </c>
      <c r="C5016" s="733" t="s">
        <v>5037</v>
      </c>
      <c r="D5016" s="733"/>
      <c r="E5016" s="761"/>
      <c r="F5016" s="761"/>
      <c r="G5016" s="733"/>
      <c r="H5016" s="733"/>
      <c r="I5016" s="733"/>
      <c r="J5016" s="733"/>
      <c r="K5016" s="733"/>
      <c r="L5016" s="733"/>
      <c r="M5016" s="733"/>
    </row>
    <row r="5017" spans="1:13" x14ac:dyDescent="0.3">
      <c r="A5017" s="733" t="s">
        <v>5006</v>
      </c>
      <c r="B5017" s="733" t="s">
        <v>612</v>
      </c>
      <c r="C5017" s="733" t="s">
        <v>5038</v>
      </c>
      <c r="D5017" s="733"/>
      <c r="E5017" s="761"/>
      <c r="F5017" s="761"/>
      <c r="G5017" s="733"/>
      <c r="H5017" s="733"/>
      <c r="I5017" s="733"/>
      <c r="J5017" s="733"/>
      <c r="K5017" s="733"/>
      <c r="L5017" s="733"/>
      <c r="M5017" s="733"/>
    </row>
    <row r="5018" spans="1:13" x14ac:dyDescent="0.3">
      <c r="A5018" s="733" t="s">
        <v>5006</v>
      </c>
      <c r="B5018" s="733" t="s">
        <v>612</v>
      </c>
      <c r="C5018" s="733" t="s">
        <v>5039</v>
      </c>
      <c r="D5018" s="733"/>
      <c r="E5018" s="761"/>
      <c r="F5018" s="761"/>
      <c r="G5018" s="733"/>
      <c r="H5018" s="733"/>
      <c r="I5018" s="733"/>
      <c r="J5018" s="733"/>
      <c r="K5018" s="733"/>
      <c r="L5018" s="733"/>
      <c r="M5018" s="733"/>
    </row>
    <row r="5019" spans="1:13" x14ac:dyDescent="0.3">
      <c r="A5019" s="733" t="s">
        <v>5006</v>
      </c>
      <c r="B5019" s="733" t="s">
        <v>612</v>
      </c>
      <c r="C5019" s="733" t="s">
        <v>5040</v>
      </c>
      <c r="D5019" s="733"/>
      <c r="E5019" s="761"/>
      <c r="F5019" s="761"/>
      <c r="G5019" s="733"/>
      <c r="H5019" s="733"/>
      <c r="I5019" s="733"/>
      <c r="J5019" s="733"/>
      <c r="K5019" s="733"/>
      <c r="L5019" s="733"/>
      <c r="M5019" s="733"/>
    </row>
    <row r="5020" spans="1:13" x14ac:dyDescent="0.3">
      <c r="A5020" s="733" t="s">
        <v>5006</v>
      </c>
      <c r="B5020" s="733" t="s">
        <v>612</v>
      </c>
      <c r="C5020" s="733" t="s">
        <v>5041</v>
      </c>
      <c r="D5020" s="733"/>
      <c r="E5020" s="761"/>
      <c r="F5020" s="761"/>
      <c r="G5020" s="733"/>
      <c r="H5020" s="733"/>
      <c r="I5020" s="733"/>
      <c r="J5020" s="733"/>
      <c r="K5020" s="733"/>
      <c r="L5020" s="733"/>
      <c r="M5020" s="733"/>
    </row>
    <row r="5021" spans="1:13" x14ac:dyDescent="0.3">
      <c r="A5021" s="733" t="s">
        <v>5006</v>
      </c>
      <c r="B5021" s="733" t="s">
        <v>612</v>
      </c>
      <c r="C5021" s="733" t="s">
        <v>5042</v>
      </c>
      <c r="D5021" s="733"/>
      <c r="E5021" s="761"/>
      <c r="F5021" s="761"/>
      <c r="G5021" s="733"/>
      <c r="H5021" s="733"/>
      <c r="I5021" s="733"/>
      <c r="J5021" s="733"/>
      <c r="K5021" s="733"/>
      <c r="L5021" s="733"/>
      <c r="M5021" s="733"/>
    </row>
    <row r="5022" spans="1:13" x14ac:dyDescent="0.3">
      <c r="A5022" s="733" t="s">
        <v>5006</v>
      </c>
      <c r="B5022" s="733" t="s">
        <v>612</v>
      </c>
      <c r="C5022" s="733" t="s">
        <v>5043</v>
      </c>
      <c r="D5022" s="733"/>
      <c r="E5022" s="761"/>
      <c r="F5022" s="761"/>
      <c r="G5022" s="733"/>
      <c r="H5022" s="733"/>
      <c r="I5022" s="733"/>
      <c r="J5022" s="733"/>
      <c r="K5022" s="733"/>
      <c r="L5022" s="733"/>
      <c r="M5022" s="733"/>
    </row>
    <row r="5023" spans="1:13" x14ac:dyDescent="0.3">
      <c r="A5023" s="733" t="s">
        <v>5006</v>
      </c>
      <c r="B5023" s="733" t="s">
        <v>612</v>
      </c>
      <c r="C5023" s="733" t="s">
        <v>5044</v>
      </c>
      <c r="D5023" s="733"/>
      <c r="E5023" s="761"/>
      <c r="F5023" s="761"/>
      <c r="G5023" s="733"/>
      <c r="H5023" s="733"/>
      <c r="I5023" s="733"/>
      <c r="J5023" s="733"/>
      <c r="K5023" s="733"/>
      <c r="L5023" s="733"/>
      <c r="M5023" s="733"/>
    </row>
    <row r="5024" spans="1:13" x14ac:dyDescent="0.3">
      <c r="A5024" s="733" t="s">
        <v>5006</v>
      </c>
      <c r="B5024" s="733" t="s">
        <v>612</v>
      </c>
      <c r="C5024" s="733" t="s">
        <v>5045</v>
      </c>
      <c r="D5024" s="733"/>
      <c r="E5024" s="761"/>
      <c r="F5024" s="761"/>
      <c r="G5024" s="733"/>
      <c r="H5024" s="733"/>
      <c r="I5024" s="733"/>
      <c r="J5024" s="733"/>
      <c r="K5024" s="733"/>
      <c r="L5024" s="733"/>
      <c r="M5024" s="733"/>
    </row>
    <row r="5025" spans="1:13" x14ac:dyDescent="0.3">
      <c r="A5025" s="733" t="s">
        <v>5006</v>
      </c>
      <c r="B5025" s="733" t="s">
        <v>612</v>
      </c>
      <c r="C5025" s="733" t="s">
        <v>5046</v>
      </c>
      <c r="D5025" s="733"/>
      <c r="E5025" s="761"/>
      <c r="F5025" s="761"/>
      <c r="G5025" s="733"/>
      <c r="H5025" s="733"/>
      <c r="I5025" s="733"/>
      <c r="J5025" s="733"/>
      <c r="K5025" s="733"/>
      <c r="L5025" s="733"/>
      <c r="M5025" s="733"/>
    </row>
    <row r="5026" spans="1:13" x14ac:dyDescent="0.3">
      <c r="A5026" s="733" t="s">
        <v>5006</v>
      </c>
      <c r="B5026" s="733" t="s">
        <v>612</v>
      </c>
      <c r="C5026" s="733" t="s">
        <v>5047</v>
      </c>
      <c r="D5026" s="733"/>
      <c r="E5026" s="761"/>
      <c r="F5026" s="761"/>
      <c r="G5026" s="733"/>
      <c r="H5026" s="733"/>
      <c r="I5026" s="733"/>
      <c r="J5026" s="733"/>
      <c r="K5026" s="733"/>
      <c r="L5026" s="733"/>
      <c r="M5026" s="733"/>
    </row>
    <row r="5027" spans="1:13" x14ac:dyDescent="0.3">
      <c r="A5027" s="733" t="s">
        <v>5006</v>
      </c>
      <c r="B5027" s="733" t="s">
        <v>612</v>
      </c>
      <c r="C5027" s="733" t="s">
        <v>5048</v>
      </c>
      <c r="D5027" s="733"/>
      <c r="E5027" s="761"/>
      <c r="F5027" s="761"/>
      <c r="G5027" s="733"/>
      <c r="H5027" s="733"/>
      <c r="I5027" s="733"/>
      <c r="J5027" s="733"/>
      <c r="K5027" s="733"/>
      <c r="L5027" s="733"/>
      <c r="M5027" s="733"/>
    </row>
    <row r="5028" spans="1:13" x14ac:dyDescent="0.3">
      <c r="A5028" s="733" t="s">
        <v>5006</v>
      </c>
      <c r="B5028" s="733" t="s">
        <v>612</v>
      </c>
      <c r="C5028" s="733" t="s">
        <v>5049</v>
      </c>
      <c r="D5028" s="733"/>
      <c r="E5028" s="761"/>
      <c r="F5028" s="761"/>
      <c r="G5028" s="733"/>
      <c r="H5028" s="733"/>
      <c r="I5028" s="733"/>
      <c r="J5028" s="733"/>
      <c r="K5028" s="733"/>
      <c r="L5028" s="733"/>
      <c r="M5028" s="733"/>
    </row>
    <row r="5029" spans="1:13" x14ac:dyDescent="0.3">
      <c r="A5029" s="733" t="s">
        <v>5006</v>
      </c>
      <c r="B5029" s="733" t="s">
        <v>612</v>
      </c>
      <c r="C5029" s="733" t="s">
        <v>5050</v>
      </c>
      <c r="D5029" s="733"/>
      <c r="E5029" s="761"/>
      <c r="F5029" s="761"/>
      <c r="G5029" s="733"/>
      <c r="H5029" s="733"/>
      <c r="I5029" s="733"/>
      <c r="J5029" s="733"/>
      <c r="K5029" s="733"/>
      <c r="L5029" s="733"/>
      <c r="M5029" s="733"/>
    </row>
    <row r="5030" spans="1:13" x14ac:dyDescent="0.3">
      <c r="A5030" s="733" t="s">
        <v>5006</v>
      </c>
      <c r="B5030" s="733" t="s">
        <v>612</v>
      </c>
      <c r="C5030" s="733" t="s">
        <v>5051</v>
      </c>
      <c r="D5030" s="733"/>
      <c r="E5030" s="761"/>
      <c r="F5030" s="761"/>
      <c r="G5030" s="733"/>
      <c r="H5030" s="733"/>
      <c r="I5030" s="733"/>
      <c r="J5030" s="733"/>
      <c r="K5030" s="733"/>
      <c r="L5030" s="733"/>
      <c r="M5030" s="733"/>
    </row>
    <row r="5031" spans="1:13" x14ac:dyDescent="0.3">
      <c r="A5031" s="733" t="s">
        <v>5052</v>
      </c>
      <c r="B5031" s="733" t="s">
        <v>645</v>
      </c>
      <c r="C5031" s="733" t="s">
        <v>5053</v>
      </c>
      <c r="D5031" s="733"/>
      <c r="E5031" s="761"/>
      <c r="F5031" s="761"/>
      <c r="G5031" s="733"/>
      <c r="H5031" s="733"/>
      <c r="I5031" s="733"/>
      <c r="J5031" s="733"/>
      <c r="K5031" s="733"/>
      <c r="L5031" s="733"/>
      <c r="M5031" s="733"/>
    </row>
    <row r="5032" spans="1:13" x14ac:dyDescent="0.3">
      <c r="A5032" s="733" t="s">
        <v>5052</v>
      </c>
      <c r="B5032" s="733" t="s">
        <v>645</v>
      </c>
      <c r="C5032" s="733" t="s">
        <v>5054</v>
      </c>
      <c r="D5032" s="733"/>
      <c r="E5032" s="761"/>
      <c r="F5032" s="761"/>
      <c r="G5032" s="733"/>
      <c r="H5032" s="733"/>
      <c r="I5032" s="733"/>
      <c r="J5032" s="733"/>
      <c r="K5032" s="733"/>
      <c r="L5032" s="733"/>
      <c r="M5032" s="733"/>
    </row>
    <row r="5033" spans="1:13" x14ac:dyDescent="0.3">
      <c r="A5033" s="733" t="s">
        <v>5052</v>
      </c>
      <c r="B5033" s="733" t="s">
        <v>645</v>
      </c>
      <c r="C5033" s="733" t="s">
        <v>5055</v>
      </c>
      <c r="D5033" s="733"/>
      <c r="E5033" s="761"/>
      <c r="F5033" s="761"/>
      <c r="G5033" s="733"/>
      <c r="H5033" s="733"/>
      <c r="I5033" s="733"/>
      <c r="J5033" s="733"/>
      <c r="K5033" s="733"/>
      <c r="L5033" s="733"/>
      <c r="M5033" s="733"/>
    </row>
    <row r="5034" spans="1:13" x14ac:dyDescent="0.3">
      <c r="A5034" s="733" t="s">
        <v>5052</v>
      </c>
      <c r="B5034" s="733" t="s">
        <v>645</v>
      </c>
      <c r="C5034" s="733" t="s">
        <v>5056</v>
      </c>
      <c r="D5034" s="733"/>
      <c r="E5034" s="761"/>
      <c r="F5034" s="761"/>
      <c r="G5034" s="733"/>
      <c r="H5034" s="733"/>
      <c r="I5034" s="733"/>
      <c r="J5034" s="733"/>
      <c r="K5034" s="733"/>
      <c r="L5034" s="733"/>
      <c r="M5034" s="733"/>
    </row>
    <row r="5035" spans="1:13" x14ac:dyDescent="0.3">
      <c r="A5035" s="733" t="s">
        <v>5052</v>
      </c>
      <c r="B5035" s="733" t="s">
        <v>645</v>
      </c>
      <c r="C5035" s="733" t="s">
        <v>5057</v>
      </c>
      <c r="D5035" s="733"/>
      <c r="E5035" s="761"/>
      <c r="F5035" s="761"/>
      <c r="G5035" s="733"/>
      <c r="H5035" s="733"/>
      <c r="I5035" s="733"/>
      <c r="J5035" s="733"/>
      <c r="K5035" s="733"/>
      <c r="L5035" s="733"/>
      <c r="M5035" s="733"/>
    </row>
    <row r="5036" spans="1:13" x14ac:dyDescent="0.3">
      <c r="A5036" s="733" t="s">
        <v>5052</v>
      </c>
      <c r="B5036" s="733" t="s">
        <v>645</v>
      </c>
      <c r="C5036" s="733" t="s">
        <v>5058</v>
      </c>
      <c r="D5036" s="733"/>
      <c r="E5036" s="761"/>
      <c r="F5036" s="761"/>
      <c r="G5036" s="733"/>
      <c r="H5036" s="733"/>
      <c r="I5036" s="733"/>
      <c r="J5036" s="733"/>
      <c r="K5036" s="733"/>
      <c r="L5036" s="733"/>
      <c r="M5036" s="733"/>
    </row>
    <row r="5037" spans="1:13" x14ac:dyDescent="0.3">
      <c r="A5037" s="733" t="s">
        <v>5052</v>
      </c>
      <c r="B5037" s="733" t="s">
        <v>645</v>
      </c>
      <c r="C5037" s="733" t="s">
        <v>5059</v>
      </c>
      <c r="D5037" s="733"/>
      <c r="E5037" s="761"/>
      <c r="F5037" s="761"/>
      <c r="G5037" s="733"/>
      <c r="H5037" s="733"/>
      <c r="I5037" s="733"/>
      <c r="J5037" s="733"/>
      <c r="K5037" s="733"/>
      <c r="L5037" s="733"/>
      <c r="M5037" s="733"/>
    </row>
    <row r="5038" spans="1:13" x14ac:dyDescent="0.3">
      <c r="A5038" s="733" t="s">
        <v>5052</v>
      </c>
      <c r="B5038" s="733" t="s">
        <v>645</v>
      </c>
      <c r="C5038" s="733" t="s">
        <v>5060</v>
      </c>
      <c r="D5038" s="733"/>
      <c r="E5038" s="761"/>
      <c r="F5038" s="761"/>
      <c r="G5038" s="733"/>
      <c r="H5038" s="733"/>
      <c r="I5038" s="733"/>
      <c r="J5038" s="733"/>
      <c r="K5038" s="733"/>
      <c r="L5038" s="733"/>
      <c r="M5038" s="733"/>
    </row>
    <row r="5039" spans="1:13" x14ac:dyDescent="0.3">
      <c r="A5039" s="733" t="s">
        <v>5052</v>
      </c>
      <c r="B5039" s="733" t="s">
        <v>645</v>
      </c>
      <c r="C5039" s="733" t="s">
        <v>5061</v>
      </c>
      <c r="D5039" s="733"/>
      <c r="E5039" s="761"/>
      <c r="F5039" s="761"/>
      <c r="G5039" s="733"/>
      <c r="H5039" s="733"/>
      <c r="I5039" s="733"/>
      <c r="J5039" s="733"/>
      <c r="K5039" s="733"/>
      <c r="L5039" s="733"/>
      <c r="M5039" s="733"/>
    </row>
    <row r="5040" spans="1:13" x14ac:dyDescent="0.3">
      <c r="A5040" s="733" t="s">
        <v>5052</v>
      </c>
      <c r="B5040" s="733" t="s">
        <v>645</v>
      </c>
      <c r="C5040" s="733" t="s">
        <v>5062</v>
      </c>
      <c r="D5040" s="733"/>
      <c r="E5040" s="761"/>
      <c r="F5040" s="761"/>
      <c r="G5040" s="733"/>
      <c r="H5040" s="733"/>
      <c r="I5040" s="733"/>
      <c r="J5040" s="733"/>
      <c r="K5040" s="733"/>
      <c r="L5040" s="733"/>
      <c r="M5040" s="733"/>
    </row>
    <row r="5041" spans="1:13" x14ac:dyDescent="0.3">
      <c r="A5041" s="733" t="s">
        <v>5052</v>
      </c>
      <c r="B5041" s="733" t="s">
        <v>645</v>
      </c>
      <c r="C5041" s="733" t="s">
        <v>5063</v>
      </c>
      <c r="D5041" s="733"/>
      <c r="E5041" s="761"/>
      <c r="F5041" s="761"/>
      <c r="G5041" s="733"/>
      <c r="H5041" s="733"/>
      <c r="I5041" s="733"/>
      <c r="J5041" s="733"/>
      <c r="K5041" s="733"/>
      <c r="L5041" s="733"/>
      <c r="M5041" s="733"/>
    </row>
    <row r="5042" spans="1:13" x14ac:dyDescent="0.3">
      <c r="A5042" s="733" t="s">
        <v>5052</v>
      </c>
      <c r="B5042" s="733" t="s">
        <v>645</v>
      </c>
      <c r="C5042" s="733" t="s">
        <v>5064</v>
      </c>
      <c r="D5042" s="733"/>
      <c r="E5042" s="761"/>
      <c r="F5042" s="761"/>
      <c r="G5042" s="733"/>
      <c r="H5042" s="733"/>
      <c r="I5042" s="733"/>
      <c r="J5042" s="733"/>
      <c r="K5042" s="733"/>
      <c r="L5042" s="733"/>
      <c r="M5042" s="733"/>
    </row>
    <row r="5043" spans="1:13" x14ac:dyDescent="0.3">
      <c r="A5043" s="733" t="s">
        <v>5052</v>
      </c>
      <c r="B5043" s="733" t="s">
        <v>645</v>
      </c>
      <c r="C5043" s="733" t="s">
        <v>5065</v>
      </c>
      <c r="D5043" s="733"/>
      <c r="E5043" s="761"/>
      <c r="F5043" s="761"/>
      <c r="G5043" s="733"/>
      <c r="H5043" s="733"/>
      <c r="I5043" s="733"/>
      <c r="J5043" s="733"/>
      <c r="K5043" s="733"/>
      <c r="L5043" s="733"/>
      <c r="M5043" s="733"/>
    </row>
    <row r="5044" spans="1:13" x14ac:dyDescent="0.3">
      <c r="A5044" s="733" t="s">
        <v>5052</v>
      </c>
      <c r="B5044" s="733" t="s">
        <v>645</v>
      </c>
      <c r="C5044" s="733" t="s">
        <v>5066</v>
      </c>
      <c r="D5044" s="733"/>
      <c r="E5044" s="761"/>
      <c r="F5044" s="761"/>
      <c r="G5044" s="733"/>
      <c r="H5044" s="733"/>
      <c r="I5044" s="733"/>
      <c r="J5044" s="733"/>
      <c r="K5044" s="733"/>
      <c r="L5044" s="733"/>
      <c r="M5044" s="733"/>
    </row>
    <row r="5045" spans="1:13" x14ac:dyDescent="0.3">
      <c r="A5045" s="733" t="s">
        <v>5052</v>
      </c>
      <c r="B5045" s="733" t="s">
        <v>645</v>
      </c>
      <c r="C5045" s="733" t="s">
        <v>5067</v>
      </c>
      <c r="D5045" s="733"/>
      <c r="E5045" s="761"/>
      <c r="F5045" s="761"/>
      <c r="G5045" s="733"/>
      <c r="H5045" s="733"/>
      <c r="I5045" s="733"/>
      <c r="J5045" s="733"/>
      <c r="K5045" s="733"/>
      <c r="L5045" s="733"/>
      <c r="M5045" s="733"/>
    </row>
    <row r="5046" spans="1:13" x14ac:dyDescent="0.3">
      <c r="A5046" s="733" t="s">
        <v>5052</v>
      </c>
      <c r="B5046" s="733" t="s">
        <v>664</v>
      </c>
      <c r="C5046" s="733" t="s">
        <v>5068</v>
      </c>
      <c r="D5046" s="733"/>
      <c r="E5046" s="761"/>
      <c r="F5046" s="761"/>
      <c r="G5046" s="733"/>
      <c r="H5046" s="733"/>
      <c r="I5046" s="733"/>
      <c r="J5046" s="733"/>
      <c r="K5046" s="733"/>
      <c r="L5046" s="733"/>
      <c r="M5046" s="733"/>
    </row>
    <row r="5047" spans="1:13" x14ac:dyDescent="0.3">
      <c r="A5047" s="733" t="s">
        <v>5052</v>
      </c>
      <c r="B5047" s="733" t="s">
        <v>664</v>
      </c>
      <c r="C5047" s="733" t="s">
        <v>5069</v>
      </c>
      <c r="D5047" s="733"/>
      <c r="E5047" s="761"/>
      <c r="F5047" s="761"/>
      <c r="G5047" s="733"/>
      <c r="H5047" s="733"/>
      <c r="I5047" s="733"/>
      <c r="J5047" s="733"/>
      <c r="K5047" s="733"/>
      <c r="L5047" s="733"/>
      <c r="M5047" s="733"/>
    </row>
    <row r="5048" spans="1:13" x14ac:dyDescent="0.3">
      <c r="A5048" s="733" t="s">
        <v>5052</v>
      </c>
      <c r="B5048" s="733" t="s">
        <v>664</v>
      </c>
      <c r="C5048" s="733" t="s">
        <v>5070</v>
      </c>
      <c r="D5048" s="733"/>
      <c r="E5048" s="761"/>
      <c r="F5048" s="761"/>
      <c r="G5048" s="733"/>
      <c r="H5048" s="733"/>
      <c r="I5048" s="733"/>
      <c r="J5048" s="733"/>
      <c r="K5048" s="733"/>
      <c r="L5048" s="733"/>
      <c r="M5048" s="733"/>
    </row>
    <row r="5049" spans="1:13" x14ac:dyDescent="0.3">
      <c r="A5049" s="733" t="s">
        <v>5052</v>
      </c>
      <c r="B5049" s="733" t="s">
        <v>664</v>
      </c>
      <c r="C5049" s="733" t="s">
        <v>5071</v>
      </c>
      <c r="D5049" s="733"/>
      <c r="E5049" s="761"/>
      <c r="F5049" s="761"/>
      <c r="G5049" s="733"/>
      <c r="H5049" s="733"/>
      <c r="I5049" s="733"/>
      <c r="J5049" s="733"/>
      <c r="K5049" s="733"/>
      <c r="L5049" s="733"/>
      <c r="M5049" s="733"/>
    </row>
    <row r="5050" spans="1:13" x14ac:dyDescent="0.3">
      <c r="A5050" s="733" t="s">
        <v>5052</v>
      </c>
      <c r="B5050" s="733" t="s">
        <v>664</v>
      </c>
      <c r="C5050" s="733" t="s">
        <v>5072</v>
      </c>
      <c r="D5050" s="733"/>
      <c r="E5050" s="761"/>
      <c r="F5050" s="761"/>
      <c r="G5050" s="733"/>
      <c r="H5050" s="733"/>
      <c r="I5050" s="733"/>
      <c r="J5050" s="733"/>
      <c r="K5050" s="733"/>
      <c r="L5050" s="733"/>
      <c r="M5050" s="733"/>
    </row>
    <row r="5051" spans="1:13" x14ac:dyDescent="0.3">
      <c r="A5051" s="733" t="s">
        <v>5052</v>
      </c>
      <c r="B5051" s="733" t="s">
        <v>664</v>
      </c>
      <c r="C5051" s="733" t="s">
        <v>5073</v>
      </c>
      <c r="D5051" s="733"/>
      <c r="E5051" s="761"/>
      <c r="F5051" s="761"/>
      <c r="G5051" s="733"/>
      <c r="H5051" s="733"/>
      <c r="I5051" s="733"/>
      <c r="J5051" s="733"/>
      <c r="K5051" s="733"/>
      <c r="L5051" s="733"/>
      <c r="M5051" s="733"/>
    </row>
    <row r="5052" spans="1:13" x14ac:dyDescent="0.3">
      <c r="A5052" s="733" t="s">
        <v>5052</v>
      </c>
      <c r="B5052" s="733" t="s">
        <v>664</v>
      </c>
      <c r="C5052" s="733" t="s">
        <v>5074</v>
      </c>
      <c r="D5052" s="733"/>
      <c r="E5052" s="761"/>
      <c r="F5052" s="761"/>
      <c r="G5052" s="733"/>
      <c r="H5052" s="733"/>
      <c r="I5052" s="733"/>
      <c r="J5052" s="733"/>
      <c r="K5052" s="733"/>
      <c r="L5052" s="733"/>
      <c r="M5052" s="733"/>
    </row>
    <row r="5053" spans="1:13" x14ac:dyDescent="0.3">
      <c r="A5053" s="733" t="s">
        <v>5052</v>
      </c>
      <c r="B5053" s="733" t="s">
        <v>664</v>
      </c>
      <c r="C5053" s="733" t="s">
        <v>5075</v>
      </c>
      <c r="D5053" s="733"/>
      <c r="E5053" s="761"/>
      <c r="F5053" s="761"/>
      <c r="G5053" s="733"/>
      <c r="H5053" s="733"/>
      <c r="I5053" s="733"/>
      <c r="J5053" s="733"/>
      <c r="K5053" s="733"/>
      <c r="L5053" s="733"/>
      <c r="M5053" s="733"/>
    </row>
    <row r="5054" spans="1:13" x14ac:dyDescent="0.3">
      <c r="A5054" s="733" t="s">
        <v>5052</v>
      </c>
      <c r="B5054" s="733" t="s">
        <v>664</v>
      </c>
      <c r="C5054" s="733" t="s">
        <v>5076</v>
      </c>
      <c r="D5054" s="733"/>
      <c r="E5054" s="761"/>
      <c r="F5054" s="761"/>
      <c r="G5054" s="733"/>
      <c r="H5054" s="733"/>
      <c r="I5054" s="733"/>
      <c r="J5054" s="733"/>
      <c r="K5054" s="733"/>
      <c r="L5054" s="733"/>
      <c r="M5054" s="733"/>
    </row>
    <row r="5055" spans="1:13" x14ac:dyDescent="0.3">
      <c r="A5055" s="733" t="s">
        <v>5052</v>
      </c>
      <c r="B5055" s="733" t="s">
        <v>664</v>
      </c>
      <c r="C5055" s="733" t="s">
        <v>5077</v>
      </c>
      <c r="D5055" s="733"/>
      <c r="E5055" s="761"/>
      <c r="F5055" s="761"/>
      <c r="G5055" s="733"/>
      <c r="H5055" s="733"/>
      <c r="I5055" s="733"/>
      <c r="J5055" s="733"/>
      <c r="K5055" s="733"/>
      <c r="L5055" s="733"/>
      <c r="M5055" s="733"/>
    </row>
    <row r="5056" spans="1:13" x14ac:dyDescent="0.3">
      <c r="A5056" s="733" t="s">
        <v>5052</v>
      </c>
      <c r="B5056" s="733" t="s">
        <v>664</v>
      </c>
      <c r="C5056" s="733" t="s">
        <v>5078</v>
      </c>
      <c r="D5056" s="733"/>
      <c r="E5056" s="761"/>
      <c r="F5056" s="761"/>
      <c r="G5056" s="733"/>
      <c r="H5056" s="733"/>
      <c r="I5056" s="733"/>
      <c r="J5056" s="733"/>
      <c r="K5056" s="733"/>
      <c r="L5056" s="733"/>
      <c r="M5056" s="733"/>
    </row>
    <row r="5057" spans="1:13" x14ac:dyDescent="0.3">
      <c r="A5057" s="733" t="s">
        <v>5052</v>
      </c>
      <c r="B5057" s="733" t="s">
        <v>664</v>
      </c>
      <c r="C5057" s="733" t="s">
        <v>5079</v>
      </c>
      <c r="D5057" s="733"/>
      <c r="E5057" s="761"/>
      <c r="F5057" s="761"/>
      <c r="G5057" s="733"/>
      <c r="H5057" s="733"/>
      <c r="I5057" s="733"/>
      <c r="J5057" s="733"/>
      <c r="K5057" s="733"/>
      <c r="L5057" s="733"/>
      <c r="M5057" s="733"/>
    </row>
    <row r="5058" spans="1:13" x14ac:dyDescent="0.3">
      <c r="A5058" s="733" t="s">
        <v>5052</v>
      </c>
      <c r="B5058" s="733" t="s">
        <v>664</v>
      </c>
      <c r="C5058" s="733" t="s">
        <v>5080</v>
      </c>
      <c r="D5058" s="733"/>
      <c r="E5058" s="761"/>
      <c r="F5058" s="761"/>
      <c r="G5058" s="733"/>
      <c r="H5058" s="733"/>
      <c r="I5058" s="733"/>
      <c r="J5058" s="733"/>
      <c r="K5058" s="733"/>
      <c r="L5058" s="733"/>
      <c r="M5058" s="733"/>
    </row>
    <row r="5059" spans="1:13" x14ac:dyDescent="0.3">
      <c r="A5059" s="733" t="s">
        <v>5052</v>
      </c>
      <c r="B5059" s="733" t="s">
        <v>664</v>
      </c>
      <c r="C5059" s="733" t="s">
        <v>5081</v>
      </c>
      <c r="D5059" s="733"/>
      <c r="E5059" s="761"/>
      <c r="F5059" s="761"/>
      <c r="G5059" s="733"/>
      <c r="H5059" s="733"/>
      <c r="I5059" s="733"/>
      <c r="J5059" s="733"/>
      <c r="K5059" s="733"/>
      <c r="L5059" s="733"/>
      <c r="M5059" s="733"/>
    </row>
    <row r="5060" spans="1:13" x14ac:dyDescent="0.3">
      <c r="A5060" s="733" t="s">
        <v>5052</v>
      </c>
      <c r="B5060" s="733" t="s">
        <v>664</v>
      </c>
      <c r="C5060" s="733" t="s">
        <v>5082</v>
      </c>
      <c r="D5060" s="733"/>
      <c r="E5060" s="761"/>
      <c r="F5060" s="761"/>
      <c r="G5060" s="733"/>
      <c r="H5060" s="733"/>
      <c r="I5060" s="733"/>
      <c r="J5060" s="733"/>
      <c r="K5060" s="733"/>
      <c r="L5060" s="733"/>
      <c r="M5060" s="733"/>
    </row>
    <row r="5061" spans="1:13" x14ac:dyDescent="0.3">
      <c r="A5061" s="733" t="s">
        <v>5052</v>
      </c>
      <c r="B5061" s="733" t="s">
        <v>612</v>
      </c>
      <c r="C5061" s="733" t="s">
        <v>5083</v>
      </c>
      <c r="D5061" s="733"/>
      <c r="E5061" s="761"/>
      <c r="F5061" s="761"/>
      <c r="G5061" s="733"/>
      <c r="H5061" s="733"/>
      <c r="I5061" s="733"/>
      <c r="J5061" s="733"/>
      <c r="K5061" s="733"/>
      <c r="L5061" s="733"/>
      <c r="M5061" s="733"/>
    </row>
    <row r="5062" spans="1:13" x14ac:dyDescent="0.3">
      <c r="A5062" s="733" t="s">
        <v>5052</v>
      </c>
      <c r="B5062" s="733" t="s">
        <v>612</v>
      </c>
      <c r="C5062" s="733" t="s">
        <v>5084</v>
      </c>
      <c r="D5062" s="733"/>
      <c r="E5062" s="761"/>
      <c r="F5062" s="761"/>
      <c r="G5062" s="733"/>
      <c r="H5062" s="733"/>
      <c r="I5062" s="733"/>
      <c r="J5062" s="733"/>
      <c r="K5062" s="733"/>
      <c r="L5062" s="733"/>
      <c r="M5062" s="733"/>
    </row>
    <row r="5063" spans="1:13" x14ac:dyDescent="0.3">
      <c r="A5063" s="733" t="s">
        <v>5052</v>
      </c>
      <c r="B5063" s="733" t="s">
        <v>612</v>
      </c>
      <c r="C5063" s="733" t="s">
        <v>5085</v>
      </c>
      <c r="D5063" s="733"/>
      <c r="E5063" s="761"/>
      <c r="F5063" s="761"/>
      <c r="G5063" s="733"/>
      <c r="H5063" s="733"/>
      <c r="I5063" s="733"/>
      <c r="J5063" s="733"/>
      <c r="K5063" s="733"/>
      <c r="L5063" s="733"/>
      <c r="M5063" s="733"/>
    </row>
    <row r="5064" spans="1:13" x14ac:dyDescent="0.3">
      <c r="A5064" s="733" t="s">
        <v>5052</v>
      </c>
      <c r="B5064" s="733" t="s">
        <v>612</v>
      </c>
      <c r="C5064" s="733" t="s">
        <v>5086</v>
      </c>
      <c r="D5064" s="733"/>
      <c r="E5064" s="761"/>
      <c r="F5064" s="761"/>
      <c r="G5064" s="733"/>
      <c r="H5064" s="733"/>
      <c r="I5064" s="733"/>
      <c r="J5064" s="733"/>
      <c r="K5064" s="733"/>
      <c r="L5064" s="733"/>
      <c r="M5064" s="733"/>
    </row>
    <row r="5065" spans="1:13" x14ac:dyDescent="0.3">
      <c r="A5065" s="733" t="s">
        <v>5052</v>
      </c>
      <c r="B5065" s="733" t="s">
        <v>612</v>
      </c>
      <c r="C5065" s="733" t="s">
        <v>5087</v>
      </c>
      <c r="D5065" s="733"/>
      <c r="E5065" s="761"/>
      <c r="F5065" s="761"/>
      <c r="G5065" s="733"/>
      <c r="H5065" s="733"/>
      <c r="I5065" s="733"/>
      <c r="J5065" s="733"/>
      <c r="K5065" s="733"/>
      <c r="L5065" s="733"/>
      <c r="M5065" s="733"/>
    </row>
    <row r="5066" spans="1:13" x14ac:dyDescent="0.3">
      <c r="A5066" s="733" t="s">
        <v>5052</v>
      </c>
      <c r="B5066" s="733" t="s">
        <v>612</v>
      </c>
      <c r="C5066" s="733" t="s">
        <v>5088</v>
      </c>
      <c r="D5066" s="733"/>
      <c r="E5066" s="761"/>
      <c r="F5066" s="761"/>
      <c r="G5066" s="733"/>
      <c r="H5066" s="733"/>
      <c r="I5066" s="733"/>
      <c r="J5066" s="733"/>
      <c r="K5066" s="733"/>
      <c r="L5066" s="733"/>
      <c r="M5066" s="733"/>
    </row>
    <row r="5067" spans="1:13" x14ac:dyDescent="0.3">
      <c r="A5067" s="733" t="s">
        <v>5052</v>
      </c>
      <c r="B5067" s="733" t="s">
        <v>612</v>
      </c>
      <c r="C5067" s="733" t="s">
        <v>5089</v>
      </c>
      <c r="D5067" s="733"/>
      <c r="E5067" s="761"/>
      <c r="F5067" s="761"/>
      <c r="G5067" s="733"/>
      <c r="H5067" s="733"/>
      <c r="I5067" s="733"/>
      <c r="J5067" s="733"/>
      <c r="K5067" s="733"/>
      <c r="L5067" s="733"/>
      <c r="M5067" s="733"/>
    </row>
    <row r="5068" spans="1:13" x14ac:dyDescent="0.3">
      <c r="A5068" s="733" t="s">
        <v>5052</v>
      </c>
      <c r="B5068" s="733" t="s">
        <v>612</v>
      </c>
      <c r="C5068" s="733" t="s">
        <v>5090</v>
      </c>
      <c r="D5068" s="733"/>
      <c r="E5068" s="733"/>
      <c r="G5068" s="733"/>
      <c r="H5068" s="733"/>
      <c r="I5068" s="733"/>
      <c r="J5068" s="733"/>
      <c r="K5068" s="733"/>
      <c r="L5068" s="733"/>
      <c r="M5068" s="733"/>
    </row>
    <row r="5069" spans="1:13" x14ac:dyDescent="0.3">
      <c r="A5069" s="733" t="s">
        <v>5052</v>
      </c>
      <c r="B5069" s="733" t="s">
        <v>612</v>
      </c>
      <c r="C5069" s="733" t="s">
        <v>5091</v>
      </c>
      <c r="D5069" s="733"/>
      <c r="E5069" s="733"/>
      <c r="G5069" s="733"/>
      <c r="H5069" s="733"/>
      <c r="I5069" s="733"/>
      <c r="J5069" s="733"/>
      <c r="K5069" s="733"/>
      <c r="L5069" s="733"/>
      <c r="M5069" s="733"/>
    </row>
    <row r="5070" spans="1:13" x14ac:dyDescent="0.3">
      <c r="A5070" s="733" t="s">
        <v>5052</v>
      </c>
      <c r="B5070" s="733" t="s">
        <v>612</v>
      </c>
      <c r="C5070" s="733" t="s">
        <v>5092</v>
      </c>
      <c r="D5070" s="733"/>
      <c r="E5070" s="733"/>
      <c r="G5070" s="733"/>
      <c r="H5070" s="733"/>
      <c r="I5070" s="733"/>
      <c r="J5070" s="733"/>
      <c r="K5070" s="733"/>
      <c r="L5070" s="733"/>
      <c r="M5070" s="733"/>
    </row>
    <row r="5071" spans="1:13" x14ac:dyDescent="0.3">
      <c r="A5071" s="733" t="s">
        <v>5052</v>
      </c>
      <c r="B5071" s="733" t="s">
        <v>612</v>
      </c>
      <c r="C5071" s="733" t="s">
        <v>5093</v>
      </c>
      <c r="D5071" s="733"/>
      <c r="E5071" s="733"/>
      <c r="G5071" s="733"/>
      <c r="H5071" s="733"/>
      <c r="I5071" s="733"/>
      <c r="J5071" s="733"/>
      <c r="K5071" s="733"/>
      <c r="L5071" s="733"/>
      <c r="M5071" s="733"/>
    </row>
    <row r="5072" spans="1:13" x14ac:dyDescent="0.3">
      <c r="A5072" s="733" t="s">
        <v>5052</v>
      </c>
      <c r="B5072" s="733" t="s">
        <v>612</v>
      </c>
      <c r="C5072" s="733" t="s">
        <v>5094</v>
      </c>
      <c r="D5072" s="733"/>
      <c r="E5072" s="733"/>
      <c r="G5072" s="733"/>
      <c r="H5072" s="733"/>
      <c r="I5072" s="733"/>
      <c r="J5072" s="733"/>
      <c r="K5072" s="733"/>
      <c r="L5072" s="733"/>
      <c r="M5072" s="733"/>
    </row>
    <row r="5073" spans="1:13" x14ac:dyDescent="0.3">
      <c r="A5073" s="733" t="s">
        <v>5052</v>
      </c>
      <c r="B5073" s="733" t="s">
        <v>612</v>
      </c>
      <c r="C5073" s="733" t="s">
        <v>5095</v>
      </c>
      <c r="D5073" s="733"/>
      <c r="E5073" s="733"/>
      <c r="G5073" s="733"/>
      <c r="H5073" s="733"/>
      <c r="I5073" s="733"/>
      <c r="J5073" s="733"/>
      <c r="K5073" s="733"/>
      <c r="L5073" s="733"/>
      <c r="M5073" s="733"/>
    </row>
    <row r="5074" spans="1:13" x14ac:dyDescent="0.3">
      <c r="A5074" s="733" t="s">
        <v>5052</v>
      </c>
      <c r="B5074" s="733" t="s">
        <v>612</v>
      </c>
      <c r="C5074" s="733" t="s">
        <v>5096</v>
      </c>
      <c r="D5074" s="733"/>
      <c r="E5074" s="733"/>
      <c r="G5074" s="733"/>
      <c r="H5074" s="733"/>
      <c r="I5074" s="733"/>
      <c r="J5074" s="733"/>
      <c r="K5074" s="733"/>
      <c r="L5074" s="733"/>
      <c r="M5074" s="733"/>
    </row>
    <row r="5075" spans="1:13" x14ac:dyDescent="0.3">
      <c r="A5075" s="733" t="s">
        <v>5052</v>
      </c>
      <c r="B5075" s="733" t="s">
        <v>612</v>
      </c>
      <c r="C5075" s="733" t="s">
        <v>5097</v>
      </c>
      <c r="D5075" s="733"/>
      <c r="E5075" s="733"/>
      <c r="G5075" s="733"/>
      <c r="H5075" s="733"/>
      <c r="I5075" s="733"/>
      <c r="J5075" s="733"/>
      <c r="K5075" s="733"/>
      <c r="L5075" s="733"/>
      <c r="M5075" s="733"/>
    </row>
    <row r="5076" spans="1:13" x14ac:dyDescent="0.3">
      <c r="A5076" s="733" t="s">
        <v>5098</v>
      </c>
      <c r="B5076" s="733" t="s">
        <v>645</v>
      </c>
      <c r="C5076" s="733" t="s">
        <v>5099</v>
      </c>
      <c r="D5076" s="733"/>
      <c r="E5076" s="733"/>
      <c r="G5076" s="733"/>
      <c r="H5076" s="733"/>
      <c r="I5076" s="733"/>
      <c r="J5076" s="733"/>
      <c r="K5076" s="733"/>
      <c r="L5076" s="733"/>
      <c r="M5076" s="733"/>
    </row>
    <row r="5077" spans="1:13" x14ac:dyDescent="0.3">
      <c r="A5077" s="733" t="s">
        <v>5098</v>
      </c>
      <c r="B5077" s="733" t="s">
        <v>645</v>
      </c>
      <c r="C5077" s="733" t="s">
        <v>5100</v>
      </c>
      <c r="D5077" s="733"/>
      <c r="E5077" s="733"/>
      <c r="G5077" s="733"/>
      <c r="H5077" s="733"/>
      <c r="I5077" s="733"/>
      <c r="J5077" s="733"/>
      <c r="K5077" s="733"/>
      <c r="L5077" s="733"/>
      <c r="M5077" s="733"/>
    </row>
    <row r="5078" spans="1:13" x14ac:dyDescent="0.3">
      <c r="A5078" s="733" t="s">
        <v>5098</v>
      </c>
      <c r="B5078" s="733" t="s">
        <v>645</v>
      </c>
      <c r="C5078" s="733" t="s">
        <v>5101</v>
      </c>
      <c r="D5078" s="733"/>
      <c r="E5078" s="733"/>
      <c r="G5078" s="733"/>
      <c r="H5078" s="733"/>
      <c r="I5078" s="733"/>
      <c r="J5078" s="733"/>
      <c r="K5078" s="733"/>
      <c r="L5078" s="733"/>
      <c r="M5078" s="733"/>
    </row>
    <row r="5079" spans="1:13" x14ac:dyDescent="0.3">
      <c r="A5079" s="733" t="s">
        <v>5098</v>
      </c>
      <c r="B5079" s="733" t="s">
        <v>645</v>
      </c>
      <c r="C5079" s="733" t="s">
        <v>5102</v>
      </c>
      <c r="D5079" s="733"/>
      <c r="E5079" s="733"/>
      <c r="G5079" s="733"/>
      <c r="H5079" s="733"/>
      <c r="I5079" s="733"/>
      <c r="J5079" s="733"/>
      <c r="K5079" s="733"/>
      <c r="L5079" s="733"/>
      <c r="M5079" s="733"/>
    </row>
    <row r="5080" spans="1:13" x14ac:dyDescent="0.3">
      <c r="A5080" s="733" t="s">
        <v>5098</v>
      </c>
      <c r="B5080" s="733" t="s">
        <v>645</v>
      </c>
      <c r="C5080" s="733" t="s">
        <v>5103</v>
      </c>
      <c r="D5080" s="733"/>
      <c r="E5080" s="733"/>
      <c r="G5080" s="733"/>
      <c r="H5080" s="733"/>
      <c r="I5080" s="733"/>
      <c r="J5080" s="733"/>
      <c r="K5080" s="733"/>
      <c r="L5080" s="733"/>
      <c r="M5080" s="733"/>
    </row>
    <row r="5081" spans="1:13" x14ac:dyDescent="0.3">
      <c r="A5081" s="733" t="s">
        <v>5098</v>
      </c>
      <c r="B5081" s="733" t="s">
        <v>645</v>
      </c>
      <c r="C5081" s="733" t="s">
        <v>5104</v>
      </c>
      <c r="D5081" s="733"/>
      <c r="E5081" s="733"/>
      <c r="G5081" s="733"/>
      <c r="H5081" s="733"/>
      <c r="I5081" s="733"/>
      <c r="J5081" s="733"/>
      <c r="K5081" s="733"/>
      <c r="L5081" s="733"/>
      <c r="M5081" s="733"/>
    </row>
    <row r="5082" spans="1:13" x14ac:dyDescent="0.3">
      <c r="A5082" s="733" t="s">
        <v>5098</v>
      </c>
      <c r="B5082" s="733" t="s">
        <v>645</v>
      </c>
      <c r="C5082" s="733" t="s">
        <v>5105</v>
      </c>
      <c r="D5082" s="733"/>
      <c r="E5082" s="733"/>
      <c r="G5082" s="733"/>
      <c r="H5082" s="733"/>
      <c r="I5082" s="733"/>
      <c r="J5082" s="733"/>
      <c r="K5082" s="733"/>
      <c r="L5082" s="733"/>
      <c r="M5082" s="733"/>
    </row>
    <row r="5083" spans="1:13" x14ac:dyDescent="0.3">
      <c r="A5083" s="733" t="s">
        <v>5098</v>
      </c>
      <c r="B5083" s="733" t="s">
        <v>645</v>
      </c>
      <c r="C5083" s="733" t="s">
        <v>5106</v>
      </c>
      <c r="D5083" s="733"/>
      <c r="E5083" s="733"/>
      <c r="G5083" s="733"/>
      <c r="H5083" s="733"/>
      <c r="I5083" s="733"/>
      <c r="J5083" s="733"/>
      <c r="K5083" s="733"/>
      <c r="L5083" s="733"/>
      <c r="M5083" s="733"/>
    </row>
    <row r="5084" spans="1:13" x14ac:dyDescent="0.3">
      <c r="A5084" s="733" t="s">
        <v>5098</v>
      </c>
      <c r="B5084" s="733" t="s">
        <v>645</v>
      </c>
      <c r="C5084" s="733" t="s">
        <v>5107</v>
      </c>
      <c r="D5084" s="733"/>
      <c r="E5084" s="733"/>
      <c r="G5084" s="733"/>
      <c r="H5084" s="733"/>
      <c r="I5084" s="733"/>
      <c r="J5084" s="733"/>
      <c r="K5084" s="733"/>
      <c r="L5084" s="733"/>
      <c r="M5084" s="733"/>
    </row>
    <row r="5085" spans="1:13" x14ac:dyDescent="0.3">
      <c r="A5085" s="733" t="s">
        <v>5098</v>
      </c>
      <c r="B5085" s="733" t="s">
        <v>645</v>
      </c>
      <c r="C5085" s="733" t="s">
        <v>5108</v>
      </c>
      <c r="D5085" s="733"/>
      <c r="E5085" s="733"/>
      <c r="G5085" s="733"/>
      <c r="H5085" s="733"/>
      <c r="I5085" s="733"/>
      <c r="J5085" s="733"/>
      <c r="K5085" s="733"/>
      <c r="L5085" s="733"/>
      <c r="M5085" s="733"/>
    </row>
    <row r="5086" spans="1:13" x14ac:dyDescent="0.3">
      <c r="A5086" s="733" t="s">
        <v>5098</v>
      </c>
      <c r="B5086" s="733" t="s">
        <v>645</v>
      </c>
      <c r="C5086" s="733" t="s">
        <v>5109</v>
      </c>
      <c r="D5086" s="733"/>
      <c r="E5086" s="733"/>
      <c r="G5086" s="733"/>
      <c r="H5086" s="733"/>
      <c r="I5086" s="733"/>
      <c r="J5086" s="733"/>
      <c r="K5086" s="733"/>
      <c r="L5086" s="733"/>
      <c r="M5086" s="733"/>
    </row>
    <row r="5087" spans="1:13" x14ac:dyDescent="0.3">
      <c r="A5087" s="733" t="s">
        <v>5098</v>
      </c>
      <c r="B5087" s="733" t="s">
        <v>645</v>
      </c>
      <c r="C5087" s="733" t="s">
        <v>5110</v>
      </c>
      <c r="D5087" s="733"/>
      <c r="E5087" s="733"/>
      <c r="G5087" s="733"/>
      <c r="H5087" s="733"/>
      <c r="I5087" s="733"/>
      <c r="J5087" s="733"/>
      <c r="K5087" s="733"/>
      <c r="L5087" s="733"/>
      <c r="M5087" s="733"/>
    </row>
    <row r="5088" spans="1:13" x14ac:dyDescent="0.3">
      <c r="A5088" s="733" t="s">
        <v>5098</v>
      </c>
      <c r="B5088" s="733" t="s">
        <v>645</v>
      </c>
      <c r="C5088" s="733" t="s">
        <v>5111</v>
      </c>
      <c r="D5088" s="733"/>
      <c r="E5088" s="733"/>
      <c r="G5088" s="733"/>
      <c r="H5088" s="733"/>
      <c r="I5088" s="733"/>
      <c r="J5088" s="733"/>
      <c r="K5088" s="733"/>
      <c r="L5088" s="733"/>
      <c r="M5088" s="733"/>
    </row>
    <row r="5089" spans="1:13" x14ac:dyDescent="0.3">
      <c r="A5089" s="733" t="s">
        <v>5098</v>
      </c>
      <c r="B5089" s="733" t="s">
        <v>645</v>
      </c>
      <c r="C5089" s="733" t="s">
        <v>5112</v>
      </c>
      <c r="D5089" s="733"/>
      <c r="E5089" s="733"/>
      <c r="G5089" s="733"/>
      <c r="H5089" s="733"/>
      <c r="I5089" s="733"/>
      <c r="J5089" s="733"/>
      <c r="K5089" s="733"/>
      <c r="L5089" s="733"/>
      <c r="M5089" s="733"/>
    </row>
    <row r="5090" spans="1:13" x14ac:dyDescent="0.3">
      <c r="A5090" s="733" t="s">
        <v>5098</v>
      </c>
      <c r="B5090" s="733" t="s">
        <v>645</v>
      </c>
      <c r="C5090" s="733" t="s">
        <v>5113</v>
      </c>
      <c r="D5090" s="733"/>
      <c r="E5090" s="733"/>
      <c r="G5090" s="733"/>
      <c r="H5090" s="733"/>
      <c r="I5090" s="733"/>
      <c r="J5090" s="733"/>
      <c r="K5090" s="733"/>
      <c r="L5090" s="733"/>
      <c r="M5090" s="733"/>
    </row>
    <row r="5091" spans="1:13" x14ac:dyDescent="0.3">
      <c r="A5091" s="733" t="s">
        <v>5098</v>
      </c>
      <c r="B5091" s="733" t="s">
        <v>664</v>
      </c>
      <c r="C5091" s="733" t="s">
        <v>5114</v>
      </c>
      <c r="D5091" s="733"/>
      <c r="E5091" s="733"/>
      <c r="G5091" s="733"/>
      <c r="H5091" s="733"/>
      <c r="I5091" s="733"/>
      <c r="J5091" s="733"/>
      <c r="K5091" s="733"/>
      <c r="L5091" s="733"/>
      <c r="M5091" s="733"/>
    </row>
    <row r="5092" spans="1:13" x14ac:dyDescent="0.3">
      <c r="A5092" s="733" t="s">
        <v>5098</v>
      </c>
      <c r="B5092" s="733" t="s">
        <v>664</v>
      </c>
      <c r="C5092" s="733" t="s">
        <v>5115</v>
      </c>
      <c r="D5092" s="733"/>
      <c r="E5092" s="733"/>
      <c r="G5092" s="733"/>
      <c r="H5092" s="733"/>
      <c r="I5092" s="733"/>
      <c r="J5092" s="733"/>
      <c r="K5092" s="733"/>
      <c r="L5092" s="733"/>
      <c r="M5092" s="733"/>
    </row>
    <row r="5093" spans="1:13" x14ac:dyDescent="0.3">
      <c r="A5093" s="733" t="s">
        <v>5098</v>
      </c>
      <c r="B5093" s="733" t="s">
        <v>664</v>
      </c>
      <c r="C5093" s="733" t="s">
        <v>5116</v>
      </c>
      <c r="D5093" s="733"/>
      <c r="E5093" s="733"/>
      <c r="G5093" s="733"/>
      <c r="H5093" s="733"/>
      <c r="I5093" s="733"/>
      <c r="J5093" s="733"/>
      <c r="K5093" s="733"/>
      <c r="L5093" s="733"/>
      <c r="M5093" s="733"/>
    </row>
    <row r="5094" spans="1:13" x14ac:dyDescent="0.3">
      <c r="A5094" s="733" t="s">
        <v>5098</v>
      </c>
      <c r="B5094" s="733" t="s">
        <v>664</v>
      </c>
      <c r="C5094" s="733" t="s">
        <v>5117</v>
      </c>
      <c r="D5094" s="733"/>
      <c r="E5094" s="733"/>
      <c r="G5094" s="733"/>
      <c r="H5094" s="733"/>
      <c r="I5094" s="733"/>
      <c r="J5094" s="733"/>
      <c r="K5094" s="733"/>
      <c r="L5094" s="733"/>
      <c r="M5094" s="733"/>
    </row>
    <row r="5095" spans="1:13" x14ac:dyDescent="0.3">
      <c r="A5095" s="733" t="s">
        <v>5098</v>
      </c>
      <c r="B5095" s="733" t="s">
        <v>664</v>
      </c>
      <c r="C5095" s="733" t="s">
        <v>5118</v>
      </c>
      <c r="D5095" s="733"/>
      <c r="E5095" s="733"/>
      <c r="G5095" s="733"/>
      <c r="H5095" s="733"/>
      <c r="I5095" s="733"/>
      <c r="J5095" s="733"/>
      <c r="K5095" s="733"/>
      <c r="L5095" s="733"/>
      <c r="M5095" s="733"/>
    </row>
    <row r="5096" spans="1:13" x14ac:dyDescent="0.3">
      <c r="A5096" s="733" t="s">
        <v>5098</v>
      </c>
      <c r="B5096" s="733" t="s">
        <v>664</v>
      </c>
      <c r="C5096" s="733" t="s">
        <v>5119</v>
      </c>
      <c r="D5096" s="733"/>
      <c r="E5096" s="733"/>
      <c r="G5096" s="733"/>
      <c r="H5096" s="733"/>
      <c r="I5096" s="733"/>
      <c r="J5096" s="733"/>
      <c r="K5096" s="733"/>
      <c r="L5096" s="733"/>
      <c r="M5096" s="733"/>
    </row>
    <row r="5097" spans="1:13" x14ac:dyDescent="0.3">
      <c r="A5097" s="733" t="s">
        <v>5098</v>
      </c>
      <c r="B5097" s="733" t="s">
        <v>664</v>
      </c>
      <c r="C5097" s="733" t="s">
        <v>5120</v>
      </c>
      <c r="D5097" s="733"/>
      <c r="E5097" s="733"/>
      <c r="G5097" s="733"/>
      <c r="H5097" s="733"/>
      <c r="I5097" s="733"/>
      <c r="J5097" s="733"/>
      <c r="K5097" s="733"/>
      <c r="L5097" s="733"/>
      <c r="M5097" s="733"/>
    </row>
    <row r="5098" spans="1:13" x14ac:dyDescent="0.3">
      <c r="A5098" s="733" t="s">
        <v>5098</v>
      </c>
      <c r="B5098" s="733" t="s">
        <v>664</v>
      </c>
      <c r="C5098" s="733" t="s">
        <v>5121</v>
      </c>
      <c r="D5098" s="733"/>
      <c r="E5098" s="733"/>
      <c r="G5098" s="733"/>
      <c r="H5098" s="733"/>
      <c r="I5098" s="733"/>
      <c r="J5098" s="733"/>
      <c r="K5098" s="733"/>
      <c r="L5098" s="733"/>
      <c r="M5098" s="733"/>
    </row>
    <row r="5099" spans="1:13" x14ac:dyDescent="0.3">
      <c r="A5099" s="733" t="s">
        <v>5098</v>
      </c>
      <c r="B5099" s="733" t="s">
        <v>664</v>
      </c>
      <c r="C5099" s="733" t="s">
        <v>5122</v>
      </c>
      <c r="D5099" s="733"/>
      <c r="E5099" s="733"/>
      <c r="G5099" s="733"/>
      <c r="H5099" s="733"/>
      <c r="I5099" s="733"/>
      <c r="J5099" s="733"/>
      <c r="K5099" s="733"/>
      <c r="L5099" s="733"/>
      <c r="M5099" s="733"/>
    </row>
    <row r="5100" spans="1:13" x14ac:dyDescent="0.3">
      <c r="A5100" s="733" t="s">
        <v>5098</v>
      </c>
      <c r="B5100" s="733" t="s">
        <v>664</v>
      </c>
      <c r="C5100" s="733" t="s">
        <v>5123</v>
      </c>
      <c r="D5100" s="733"/>
      <c r="E5100" s="733"/>
      <c r="G5100" s="733"/>
      <c r="H5100" s="733"/>
      <c r="I5100" s="733"/>
      <c r="J5100" s="733"/>
      <c r="K5100" s="733"/>
      <c r="L5100" s="733"/>
      <c r="M5100" s="733"/>
    </row>
    <row r="5101" spans="1:13" x14ac:dyDescent="0.3">
      <c r="A5101" s="733" t="s">
        <v>5098</v>
      </c>
      <c r="B5101" s="733" t="s">
        <v>664</v>
      </c>
      <c r="C5101" s="733" t="s">
        <v>5124</v>
      </c>
      <c r="D5101" s="733"/>
      <c r="E5101" s="733"/>
      <c r="G5101" s="733"/>
      <c r="H5101" s="733"/>
      <c r="I5101" s="733"/>
      <c r="J5101" s="733"/>
      <c r="K5101" s="733"/>
      <c r="L5101" s="733"/>
      <c r="M5101" s="733"/>
    </row>
    <row r="5102" spans="1:13" x14ac:dyDescent="0.3">
      <c r="A5102" s="733" t="s">
        <v>5098</v>
      </c>
      <c r="B5102" s="733" t="s">
        <v>664</v>
      </c>
      <c r="C5102" s="733" t="s">
        <v>5125</v>
      </c>
      <c r="D5102" s="733"/>
      <c r="E5102" s="733"/>
      <c r="G5102" s="733"/>
      <c r="H5102" s="733"/>
      <c r="I5102" s="733"/>
      <c r="J5102" s="733"/>
      <c r="K5102" s="733"/>
      <c r="L5102" s="733"/>
      <c r="M5102" s="733"/>
    </row>
    <row r="5103" spans="1:13" x14ac:dyDescent="0.3">
      <c r="A5103" s="733" t="s">
        <v>5098</v>
      </c>
      <c r="B5103" s="733" t="s">
        <v>664</v>
      </c>
      <c r="C5103" s="733" t="s">
        <v>5126</v>
      </c>
      <c r="D5103" s="733"/>
      <c r="E5103" s="733"/>
      <c r="G5103" s="733"/>
      <c r="H5103" s="733"/>
      <c r="I5103" s="733"/>
      <c r="J5103" s="733"/>
      <c r="K5103" s="733"/>
      <c r="L5103" s="733"/>
      <c r="M5103" s="733"/>
    </row>
    <row r="5104" spans="1:13" x14ac:dyDescent="0.3">
      <c r="A5104" s="733" t="s">
        <v>5098</v>
      </c>
      <c r="B5104" s="733" t="s">
        <v>664</v>
      </c>
      <c r="C5104" s="733" t="s">
        <v>5127</v>
      </c>
      <c r="D5104" s="733"/>
      <c r="E5104" s="733"/>
      <c r="G5104" s="733"/>
      <c r="H5104" s="733"/>
      <c r="I5104" s="733"/>
      <c r="J5104" s="733"/>
      <c r="K5104" s="733"/>
      <c r="L5104" s="733"/>
      <c r="M5104" s="733"/>
    </row>
    <row r="5105" spans="1:13" x14ac:dyDescent="0.3">
      <c r="A5105" s="733" t="s">
        <v>5098</v>
      </c>
      <c r="B5105" s="733" t="s">
        <v>664</v>
      </c>
      <c r="C5105" s="733" t="s">
        <v>5128</v>
      </c>
      <c r="D5105" s="733"/>
      <c r="E5105" s="733"/>
      <c r="G5105" s="733"/>
      <c r="H5105" s="733"/>
      <c r="I5105" s="733"/>
      <c r="J5105" s="733"/>
      <c r="K5105" s="733"/>
      <c r="L5105" s="733"/>
      <c r="M5105" s="733"/>
    </row>
    <row r="5106" spans="1:13" x14ac:dyDescent="0.3">
      <c r="A5106" s="733" t="s">
        <v>5098</v>
      </c>
      <c r="B5106" s="733" t="s">
        <v>612</v>
      </c>
      <c r="C5106" s="733" t="s">
        <v>5129</v>
      </c>
      <c r="D5106" s="733"/>
      <c r="E5106" s="733"/>
      <c r="G5106" s="733"/>
      <c r="H5106" s="733"/>
      <c r="I5106" s="733"/>
      <c r="J5106" s="733"/>
      <c r="K5106" s="733"/>
      <c r="L5106" s="733"/>
      <c r="M5106" s="733"/>
    </row>
    <row r="5107" spans="1:13" x14ac:dyDescent="0.3">
      <c r="A5107" s="733" t="s">
        <v>5098</v>
      </c>
      <c r="B5107" s="733" t="s">
        <v>612</v>
      </c>
      <c r="C5107" s="733" t="s">
        <v>5130</v>
      </c>
      <c r="D5107" s="733"/>
      <c r="E5107" s="733"/>
      <c r="G5107" s="733"/>
      <c r="H5107" s="733"/>
      <c r="I5107" s="733"/>
      <c r="J5107" s="733"/>
      <c r="K5107" s="733"/>
      <c r="L5107" s="733"/>
      <c r="M5107" s="733"/>
    </row>
    <row r="5108" spans="1:13" x14ac:dyDescent="0.3">
      <c r="A5108" s="733" t="s">
        <v>5098</v>
      </c>
      <c r="B5108" s="733" t="s">
        <v>612</v>
      </c>
      <c r="C5108" s="733" t="s">
        <v>5131</v>
      </c>
      <c r="D5108" s="733"/>
      <c r="E5108" s="733"/>
      <c r="G5108" s="733"/>
      <c r="H5108" s="733"/>
      <c r="I5108" s="733"/>
      <c r="J5108" s="733"/>
      <c r="K5108" s="733"/>
      <c r="L5108" s="733"/>
      <c r="M5108" s="733"/>
    </row>
    <row r="5109" spans="1:13" x14ac:dyDescent="0.3">
      <c r="A5109" s="733" t="s">
        <v>5098</v>
      </c>
      <c r="B5109" s="733" t="s">
        <v>612</v>
      </c>
      <c r="C5109" s="733" t="s">
        <v>5132</v>
      </c>
      <c r="D5109" s="733"/>
      <c r="E5109" s="733"/>
      <c r="G5109" s="733"/>
      <c r="H5109" s="733"/>
      <c r="I5109" s="733"/>
      <c r="J5109" s="733"/>
      <c r="K5109" s="733"/>
      <c r="L5109" s="733"/>
      <c r="M5109" s="733"/>
    </row>
    <row r="5110" spans="1:13" x14ac:dyDescent="0.3">
      <c r="A5110" s="733" t="s">
        <v>5098</v>
      </c>
      <c r="B5110" s="733" t="s">
        <v>612</v>
      </c>
      <c r="C5110" s="733" t="s">
        <v>5133</v>
      </c>
      <c r="D5110" s="733"/>
      <c r="E5110" s="733"/>
      <c r="G5110" s="733"/>
      <c r="H5110" s="733"/>
      <c r="I5110" s="733"/>
      <c r="J5110" s="733"/>
      <c r="K5110" s="733"/>
      <c r="L5110" s="733"/>
      <c r="M5110" s="733"/>
    </row>
    <row r="5111" spans="1:13" x14ac:dyDescent="0.3">
      <c r="A5111" s="733" t="s">
        <v>5098</v>
      </c>
      <c r="B5111" s="733" t="s">
        <v>612</v>
      </c>
      <c r="C5111" s="733" t="s">
        <v>5134</v>
      </c>
      <c r="D5111" s="733"/>
      <c r="E5111" s="733"/>
      <c r="G5111" s="733"/>
      <c r="H5111" s="733"/>
      <c r="I5111" s="733"/>
      <c r="J5111" s="733"/>
      <c r="K5111" s="733"/>
      <c r="L5111" s="733"/>
      <c r="M5111" s="733"/>
    </row>
    <row r="5112" spans="1:13" x14ac:dyDescent="0.3">
      <c r="A5112" s="733" t="s">
        <v>5098</v>
      </c>
      <c r="B5112" s="733" t="s">
        <v>612</v>
      </c>
      <c r="C5112" s="733" t="s">
        <v>5135</v>
      </c>
      <c r="D5112" s="733"/>
      <c r="E5112" s="733"/>
      <c r="G5112" s="733"/>
      <c r="H5112" s="733"/>
      <c r="I5112" s="733"/>
      <c r="J5112" s="733"/>
      <c r="K5112" s="733"/>
      <c r="L5112" s="733"/>
      <c r="M5112" s="733"/>
    </row>
    <row r="5113" spans="1:13" x14ac:dyDescent="0.3">
      <c r="A5113" s="733" t="s">
        <v>5098</v>
      </c>
      <c r="B5113" s="733" t="s">
        <v>612</v>
      </c>
      <c r="C5113" s="733" t="s">
        <v>5136</v>
      </c>
      <c r="D5113" s="733"/>
      <c r="E5113" s="733"/>
      <c r="G5113" s="733"/>
      <c r="H5113" s="733"/>
      <c r="I5113" s="733"/>
      <c r="J5113" s="733"/>
      <c r="K5113" s="733"/>
      <c r="L5113" s="733"/>
      <c r="M5113" s="733"/>
    </row>
    <row r="5114" spans="1:13" x14ac:dyDescent="0.3">
      <c r="A5114" s="733" t="s">
        <v>5098</v>
      </c>
      <c r="B5114" s="733" t="s">
        <v>612</v>
      </c>
      <c r="C5114" s="733" t="s">
        <v>5137</v>
      </c>
      <c r="D5114" s="733"/>
      <c r="E5114" s="733"/>
      <c r="G5114" s="733"/>
      <c r="H5114" s="733"/>
      <c r="I5114" s="733"/>
      <c r="J5114" s="733"/>
      <c r="K5114" s="733"/>
      <c r="L5114" s="733"/>
      <c r="M5114" s="733"/>
    </row>
    <row r="5115" spans="1:13" x14ac:dyDescent="0.3">
      <c r="A5115" s="733" t="s">
        <v>5098</v>
      </c>
      <c r="B5115" s="733" t="s">
        <v>612</v>
      </c>
      <c r="C5115" s="733" t="s">
        <v>5138</v>
      </c>
      <c r="D5115" s="733"/>
      <c r="E5115" s="733"/>
      <c r="G5115" s="733"/>
      <c r="H5115" s="733"/>
      <c r="I5115" s="733"/>
      <c r="J5115" s="733"/>
      <c r="K5115" s="733"/>
      <c r="L5115" s="733"/>
      <c r="M5115" s="733"/>
    </row>
    <row r="5116" spans="1:13" x14ac:dyDescent="0.3">
      <c r="A5116" s="733" t="s">
        <v>5098</v>
      </c>
      <c r="B5116" s="733" t="s">
        <v>612</v>
      </c>
      <c r="C5116" s="733" t="s">
        <v>5139</v>
      </c>
      <c r="D5116" s="733"/>
      <c r="E5116" s="733"/>
      <c r="G5116" s="733"/>
      <c r="H5116" s="733"/>
      <c r="I5116" s="733"/>
      <c r="J5116" s="733"/>
      <c r="K5116" s="733"/>
      <c r="L5116" s="733"/>
      <c r="M5116" s="733"/>
    </row>
    <row r="5117" spans="1:13" x14ac:dyDescent="0.3">
      <c r="A5117" s="733" t="s">
        <v>5098</v>
      </c>
      <c r="B5117" s="733" t="s">
        <v>612</v>
      </c>
      <c r="C5117" s="733" t="s">
        <v>5140</v>
      </c>
      <c r="D5117" s="733"/>
      <c r="E5117" s="733"/>
      <c r="G5117" s="733"/>
      <c r="H5117" s="733"/>
      <c r="I5117" s="733"/>
      <c r="J5117" s="733"/>
      <c r="K5117" s="733"/>
      <c r="L5117" s="733"/>
      <c r="M5117" s="733"/>
    </row>
    <row r="5118" spans="1:13" x14ac:dyDescent="0.3">
      <c r="A5118" s="733" t="s">
        <v>5098</v>
      </c>
      <c r="B5118" s="733" t="s">
        <v>612</v>
      </c>
      <c r="C5118" s="733" t="s">
        <v>5141</v>
      </c>
      <c r="D5118" s="733"/>
      <c r="E5118" s="733"/>
      <c r="G5118" s="733"/>
      <c r="H5118" s="733"/>
      <c r="I5118" s="733"/>
      <c r="J5118" s="733"/>
      <c r="K5118" s="733"/>
      <c r="L5118" s="733"/>
      <c r="M5118" s="733"/>
    </row>
    <row r="5119" spans="1:13" x14ac:dyDescent="0.3">
      <c r="A5119" s="733" t="s">
        <v>5098</v>
      </c>
      <c r="B5119" s="733" t="s">
        <v>612</v>
      </c>
      <c r="C5119" s="733" t="s">
        <v>5142</v>
      </c>
      <c r="D5119" s="733"/>
      <c r="E5119" s="733"/>
      <c r="G5119" s="733"/>
      <c r="H5119" s="733"/>
      <c r="I5119" s="733"/>
      <c r="J5119" s="733"/>
      <c r="K5119" s="733"/>
      <c r="L5119" s="733"/>
      <c r="M5119" s="733"/>
    </row>
    <row r="5120" spans="1:13" x14ac:dyDescent="0.3">
      <c r="A5120" s="733" t="s">
        <v>5098</v>
      </c>
      <c r="B5120" s="733" t="s">
        <v>612</v>
      </c>
      <c r="C5120" s="733" t="s">
        <v>5143</v>
      </c>
      <c r="D5120" s="733"/>
      <c r="E5120" s="733"/>
      <c r="G5120" s="733"/>
      <c r="H5120" s="733"/>
      <c r="I5120" s="733"/>
      <c r="J5120" s="733"/>
      <c r="K5120" s="733"/>
      <c r="L5120" s="733"/>
      <c r="M5120" s="733"/>
    </row>
    <row r="5121" spans="1:13" x14ac:dyDescent="0.3">
      <c r="A5121" s="733" t="s">
        <v>5144</v>
      </c>
      <c r="B5121" s="733" t="s">
        <v>645</v>
      </c>
      <c r="C5121" s="738" t="s">
        <v>5145</v>
      </c>
      <c r="D5121" s="733"/>
      <c r="E5121" s="733"/>
      <c r="G5121" s="733"/>
      <c r="H5121" s="733"/>
      <c r="I5121" s="733"/>
      <c r="J5121" s="733"/>
      <c r="K5121" s="733"/>
      <c r="L5121" s="733"/>
      <c r="M5121" s="733"/>
    </row>
    <row r="5122" spans="1:13" x14ac:dyDescent="0.3">
      <c r="A5122" s="733" t="s">
        <v>5144</v>
      </c>
      <c r="B5122" s="733" t="s">
        <v>645</v>
      </c>
      <c r="C5122" s="738" t="s">
        <v>5146</v>
      </c>
      <c r="D5122" s="733"/>
      <c r="E5122" s="733"/>
      <c r="G5122" s="733"/>
      <c r="H5122" s="733"/>
      <c r="I5122" s="733"/>
      <c r="J5122" s="733"/>
      <c r="K5122" s="733"/>
      <c r="L5122" s="733"/>
      <c r="M5122" s="733"/>
    </row>
    <row r="5123" spans="1:13" x14ac:dyDescent="0.3">
      <c r="A5123" s="733" t="s">
        <v>5144</v>
      </c>
      <c r="B5123" s="733" t="s">
        <v>645</v>
      </c>
      <c r="C5123" s="738" t="s">
        <v>5147</v>
      </c>
      <c r="D5123" s="733"/>
      <c r="E5123" s="733"/>
      <c r="G5123" s="733"/>
      <c r="H5123" s="733"/>
      <c r="I5123" s="733"/>
      <c r="J5123" s="733"/>
      <c r="K5123" s="733"/>
      <c r="L5123" s="733"/>
      <c r="M5123" s="733"/>
    </row>
    <row r="5124" spans="1:13" x14ac:dyDescent="0.3">
      <c r="A5124" s="733" t="s">
        <v>5144</v>
      </c>
      <c r="B5124" s="733" t="s">
        <v>645</v>
      </c>
      <c r="C5124" s="738" t="s">
        <v>5148</v>
      </c>
      <c r="D5124" s="733"/>
      <c r="E5124" s="733"/>
      <c r="G5124" s="733"/>
      <c r="H5124" s="733"/>
      <c r="I5124" s="733"/>
      <c r="J5124" s="733"/>
      <c r="K5124" s="733"/>
      <c r="L5124" s="733"/>
      <c r="M5124" s="733"/>
    </row>
    <row r="5125" spans="1:13" x14ac:dyDescent="0.3">
      <c r="A5125" s="733" t="s">
        <v>5144</v>
      </c>
      <c r="B5125" s="733" t="s">
        <v>645</v>
      </c>
      <c r="C5125" s="738" t="s">
        <v>5149</v>
      </c>
      <c r="D5125" s="733"/>
      <c r="E5125" s="733"/>
      <c r="G5125" s="733"/>
      <c r="H5125" s="733"/>
      <c r="I5125" s="733"/>
      <c r="J5125" s="733"/>
      <c r="K5125" s="733"/>
      <c r="L5125" s="733"/>
      <c r="M5125" s="733"/>
    </row>
    <row r="5126" spans="1:13" x14ac:dyDescent="0.3">
      <c r="A5126" s="733" t="s">
        <v>5144</v>
      </c>
      <c r="B5126" s="733" t="s">
        <v>645</v>
      </c>
      <c r="C5126" s="738" t="s">
        <v>5150</v>
      </c>
      <c r="D5126" s="733"/>
      <c r="E5126" s="733"/>
      <c r="G5126" s="733"/>
      <c r="H5126" s="733"/>
      <c r="I5126" s="733"/>
      <c r="J5126" s="733"/>
      <c r="K5126" s="733"/>
      <c r="L5126" s="733"/>
      <c r="M5126" s="733"/>
    </row>
    <row r="5127" spans="1:13" x14ac:dyDescent="0.3">
      <c r="A5127" s="733" t="s">
        <v>5144</v>
      </c>
      <c r="B5127" s="733" t="s">
        <v>645</v>
      </c>
      <c r="C5127" s="738" t="s">
        <v>5151</v>
      </c>
      <c r="D5127" s="733"/>
      <c r="E5127" s="733"/>
      <c r="G5127" s="733"/>
      <c r="H5127" s="733"/>
      <c r="I5127" s="733"/>
      <c r="J5127" s="733"/>
      <c r="K5127" s="733"/>
      <c r="L5127" s="733"/>
      <c r="M5127" s="733"/>
    </row>
    <row r="5128" spans="1:13" x14ac:dyDescent="0.3">
      <c r="A5128" s="733" t="s">
        <v>5144</v>
      </c>
      <c r="B5128" s="733" t="s">
        <v>645</v>
      </c>
      <c r="C5128" s="738" t="s">
        <v>5152</v>
      </c>
      <c r="D5128" s="733"/>
      <c r="E5128" s="733"/>
      <c r="G5128" s="733"/>
      <c r="H5128" s="733"/>
      <c r="I5128" s="733"/>
      <c r="J5128" s="733"/>
      <c r="K5128" s="733"/>
      <c r="L5128" s="733"/>
      <c r="M5128" s="733"/>
    </row>
    <row r="5129" spans="1:13" x14ac:dyDescent="0.3">
      <c r="A5129" s="733" t="s">
        <v>5144</v>
      </c>
      <c r="B5129" s="733" t="s">
        <v>645</v>
      </c>
      <c r="C5129" s="738" t="s">
        <v>5153</v>
      </c>
      <c r="D5129" s="733"/>
      <c r="E5129" s="733"/>
      <c r="G5129" s="733"/>
      <c r="H5129" s="733"/>
      <c r="I5129" s="733"/>
      <c r="J5129" s="733"/>
      <c r="K5129" s="733"/>
      <c r="L5129" s="733"/>
      <c r="M5129" s="733"/>
    </row>
    <row r="5130" spans="1:13" x14ac:dyDescent="0.3">
      <c r="A5130" s="733" t="s">
        <v>5144</v>
      </c>
      <c r="B5130" s="733" t="s">
        <v>645</v>
      </c>
      <c r="C5130" s="738" t="s">
        <v>5154</v>
      </c>
      <c r="D5130" s="733"/>
      <c r="E5130" s="733"/>
      <c r="G5130" s="733"/>
      <c r="H5130" s="733"/>
      <c r="I5130" s="733"/>
      <c r="J5130" s="733"/>
      <c r="K5130" s="733"/>
      <c r="L5130" s="733"/>
      <c r="M5130" s="733"/>
    </row>
    <row r="5131" spans="1:13" x14ac:dyDescent="0.3">
      <c r="A5131" s="733" t="s">
        <v>5144</v>
      </c>
      <c r="B5131" s="733" t="s">
        <v>645</v>
      </c>
      <c r="C5131" s="738" t="s">
        <v>5155</v>
      </c>
      <c r="D5131" s="733"/>
      <c r="E5131" s="733"/>
      <c r="G5131" s="733"/>
      <c r="H5131" s="733"/>
      <c r="I5131" s="733"/>
      <c r="J5131" s="733"/>
      <c r="K5131" s="733"/>
      <c r="L5131" s="733"/>
      <c r="M5131" s="733"/>
    </row>
    <row r="5132" spans="1:13" x14ac:dyDescent="0.3">
      <c r="A5132" s="733" t="s">
        <v>5144</v>
      </c>
      <c r="B5132" s="733" t="s">
        <v>645</v>
      </c>
      <c r="C5132" s="738" t="s">
        <v>5156</v>
      </c>
      <c r="D5132" s="733"/>
      <c r="E5132" s="733"/>
      <c r="G5132" s="733"/>
      <c r="H5132" s="733"/>
      <c r="I5132" s="733"/>
      <c r="J5132" s="733"/>
      <c r="K5132" s="733"/>
      <c r="L5132" s="733"/>
      <c r="M5132" s="733"/>
    </row>
    <row r="5133" spans="1:13" x14ac:dyDescent="0.3">
      <c r="A5133" s="733" t="s">
        <v>5144</v>
      </c>
      <c r="B5133" s="733" t="s">
        <v>645</v>
      </c>
      <c r="C5133" s="738" t="s">
        <v>5157</v>
      </c>
      <c r="D5133" s="733"/>
      <c r="E5133" s="733"/>
      <c r="G5133" s="733"/>
      <c r="H5133" s="733"/>
      <c r="I5133" s="733"/>
      <c r="J5133" s="733"/>
      <c r="K5133" s="733"/>
      <c r="L5133" s="733"/>
      <c r="M5133" s="733"/>
    </row>
    <row r="5134" spans="1:13" x14ac:dyDescent="0.3">
      <c r="A5134" s="733" t="s">
        <v>5144</v>
      </c>
      <c r="B5134" s="733" t="s">
        <v>645</v>
      </c>
      <c r="C5134" s="738" t="s">
        <v>5158</v>
      </c>
      <c r="D5134" s="733"/>
      <c r="E5134" s="733"/>
      <c r="G5134" s="733"/>
      <c r="H5134" s="733"/>
      <c r="I5134" s="733"/>
      <c r="J5134" s="733"/>
      <c r="K5134" s="733"/>
      <c r="L5134" s="733"/>
      <c r="M5134" s="733"/>
    </row>
    <row r="5135" spans="1:13" x14ac:dyDescent="0.3">
      <c r="A5135" s="733" t="s">
        <v>5144</v>
      </c>
      <c r="B5135" s="733" t="s">
        <v>645</v>
      </c>
      <c r="C5135" s="738" t="s">
        <v>5159</v>
      </c>
      <c r="D5135" s="733"/>
      <c r="E5135" s="733"/>
      <c r="G5135" s="733"/>
      <c r="H5135" s="733"/>
      <c r="I5135" s="733"/>
      <c r="J5135" s="733"/>
      <c r="K5135" s="733"/>
      <c r="L5135" s="733"/>
      <c r="M5135" s="733"/>
    </row>
    <row r="5136" spans="1:13" x14ac:dyDescent="0.3">
      <c r="A5136" s="733" t="s">
        <v>5144</v>
      </c>
      <c r="B5136" s="733" t="s">
        <v>664</v>
      </c>
      <c r="C5136" s="733" t="s">
        <v>5160</v>
      </c>
      <c r="D5136" s="733"/>
      <c r="E5136" s="733"/>
      <c r="G5136" s="733"/>
      <c r="H5136" s="733"/>
      <c r="I5136" s="733"/>
      <c r="J5136" s="733"/>
      <c r="K5136" s="733"/>
      <c r="L5136" s="733"/>
      <c r="M5136" s="733"/>
    </row>
    <row r="5137" spans="1:13" x14ac:dyDescent="0.3">
      <c r="A5137" s="733" t="s">
        <v>5144</v>
      </c>
      <c r="B5137" s="733" t="s">
        <v>664</v>
      </c>
      <c r="C5137" s="733" t="s">
        <v>5161</v>
      </c>
      <c r="D5137" s="733"/>
      <c r="E5137" s="733"/>
      <c r="G5137" s="733"/>
      <c r="H5137" s="733"/>
      <c r="I5137" s="733"/>
      <c r="J5137" s="733"/>
      <c r="K5137" s="733"/>
      <c r="L5137" s="733"/>
      <c r="M5137" s="733"/>
    </row>
    <row r="5138" spans="1:13" x14ac:dyDescent="0.3">
      <c r="A5138" s="733" t="s">
        <v>5144</v>
      </c>
      <c r="B5138" s="733" t="s">
        <v>664</v>
      </c>
      <c r="C5138" s="733" t="s">
        <v>5162</v>
      </c>
      <c r="D5138" s="733"/>
      <c r="E5138" s="733"/>
      <c r="G5138" s="733"/>
      <c r="H5138" s="733"/>
      <c r="I5138" s="733"/>
      <c r="J5138" s="733"/>
      <c r="K5138" s="733"/>
      <c r="L5138" s="733"/>
      <c r="M5138" s="733"/>
    </row>
    <row r="5139" spans="1:13" x14ac:dyDescent="0.3">
      <c r="A5139" s="733" t="s">
        <v>5144</v>
      </c>
      <c r="B5139" s="733" t="s">
        <v>664</v>
      </c>
      <c r="C5139" s="733" t="s">
        <v>5163</v>
      </c>
      <c r="D5139" s="733"/>
      <c r="E5139" s="733"/>
      <c r="G5139" s="733"/>
      <c r="H5139" s="733"/>
      <c r="I5139" s="733"/>
      <c r="J5139" s="733"/>
      <c r="K5139" s="733"/>
      <c r="L5139" s="733"/>
      <c r="M5139" s="733"/>
    </row>
    <row r="5140" spans="1:13" x14ac:dyDescent="0.3">
      <c r="A5140" s="733" t="s">
        <v>5144</v>
      </c>
      <c r="B5140" s="733" t="s">
        <v>664</v>
      </c>
      <c r="C5140" s="733" t="s">
        <v>5164</v>
      </c>
      <c r="D5140" s="733"/>
      <c r="E5140" s="733"/>
      <c r="G5140" s="733"/>
      <c r="H5140" s="733"/>
      <c r="I5140" s="733"/>
      <c r="J5140" s="733"/>
      <c r="K5140" s="733"/>
      <c r="L5140" s="733"/>
      <c r="M5140" s="733"/>
    </row>
    <row r="5141" spans="1:13" x14ac:dyDescent="0.3">
      <c r="A5141" s="733" t="s">
        <v>5144</v>
      </c>
      <c r="B5141" s="733" t="s">
        <v>664</v>
      </c>
      <c r="C5141" s="733" t="s">
        <v>5165</v>
      </c>
      <c r="D5141" s="733"/>
      <c r="E5141" s="733"/>
      <c r="G5141" s="733"/>
      <c r="H5141" s="733"/>
      <c r="I5141" s="733"/>
      <c r="J5141" s="733"/>
      <c r="K5141" s="733"/>
      <c r="L5141" s="733"/>
      <c r="M5141" s="733"/>
    </row>
    <row r="5142" spans="1:13" x14ac:dyDescent="0.3">
      <c r="A5142" s="733" t="s">
        <v>5144</v>
      </c>
      <c r="B5142" s="733" t="s">
        <v>664</v>
      </c>
      <c r="C5142" s="733" t="s">
        <v>5166</v>
      </c>
      <c r="D5142" s="733"/>
      <c r="E5142" s="733"/>
      <c r="G5142" s="733"/>
      <c r="H5142" s="733"/>
      <c r="I5142" s="733"/>
      <c r="J5142" s="733"/>
      <c r="K5142" s="733"/>
      <c r="L5142" s="733"/>
      <c r="M5142" s="733"/>
    </row>
    <row r="5143" spans="1:13" x14ac:dyDescent="0.3">
      <c r="A5143" s="733" t="s">
        <v>5144</v>
      </c>
      <c r="B5143" s="733" t="s">
        <v>664</v>
      </c>
      <c r="C5143" s="733" t="s">
        <v>5167</v>
      </c>
      <c r="D5143" s="733"/>
      <c r="E5143" s="733"/>
      <c r="G5143" s="733"/>
      <c r="H5143" s="733"/>
      <c r="I5143" s="733"/>
      <c r="J5143" s="733"/>
      <c r="K5143" s="733"/>
      <c r="L5143" s="733"/>
      <c r="M5143" s="733"/>
    </row>
    <row r="5144" spans="1:13" x14ac:dyDescent="0.3">
      <c r="A5144" s="733" t="s">
        <v>5144</v>
      </c>
      <c r="B5144" s="733" t="s">
        <v>664</v>
      </c>
      <c r="C5144" s="733" t="s">
        <v>5168</v>
      </c>
      <c r="D5144" s="733"/>
      <c r="E5144" s="733"/>
      <c r="G5144" s="733"/>
      <c r="H5144" s="733"/>
      <c r="I5144" s="733"/>
      <c r="J5144" s="733"/>
      <c r="K5144" s="733"/>
      <c r="L5144" s="733"/>
      <c r="M5144" s="733"/>
    </row>
    <row r="5145" spans="1:13" x14ac:dyDescent="0.3">
      <c r="A5145" s="733" t="s">
        <v>5144</v>
      </c>
      <c r="B5145" s="733" t="s">
        <v>664</v>
      </c>
      <c r="C5145" s="733" t="s">
        <v>5169</v>
      </c>
      <c r="D5145" s="733"/>
      <c r="E5145" s="733"/>
      <c r="G5145" s="733"/>
      <c r="H5145" s="733"/>
      <c r="I5145" s="733"/>
      <c r="J5145" s="733"/>
      <c r="K5145" s="733"/>
      <c r="L5145" s="733"/>
      <c r="M5145" s="733"/>
    </row>
    <row r="5146" spans="1:13" x14ac:dyDescent="0.3">
      <c r="A5146" s="733" t="s">
        <v>5144</v>
      </c>
      <c r="B5146" s="733" t="s">
        <v>664</v>
      </c>
      <c r="C5146" s="733" t="s">
        <v>5170</v>
      </c>
      <c r="D5146" s="733"/>
      <c r="E5146" s="733"/>
      <c r="G5146" s="733"/>
      <c r="H5146" s="733"/>
      <c r="I5146" s="733"/>
      <c r="J5146" s="733"/>
      <c r="K5146" s="733"/>
      <c r="L5146" s="733"/>
      <c r="M5146" s="733"/>
    </row>
    <row r="5147" spans="1:13" x14ac:dyDescent="0.3">
      <c r="A5147" s="733" t="s">
        <v>5144</v>
      </c>
      <c r="B5147" s="733" t="s">
        <v>664</v>
      </c>
      <c r="C5147" s="733" t="s">
        <v>5171</v>
      </c>
      <c r="D5147" s="733"/>
      <c r="E5147" s="733"/>
      <c r="G5147" s="733"/>
      <c r="H5147" s="733"/>
      <c r="I5147" s="733"/>
      <c r="J5147" s="733"/>
      <c r="K5147" s="733"/>
      <c r="L5147" s="733"/>
      <c r="M5147" s="733"/>
    </row>
    <row r="5148" spans="1:13" x14ac:dyDescent="0.3">
      <c r="A5148" s="733" t="s">
        <v>5144</v>
      </c>
      <c r="B5148" s="733" t="s">
        <v>664</v>
      </c>
      <c r="C5148" s="733" t="s">
        <v>5172</v>
      </c>
      <c r="D5148" s="733"/>
      <c r="E5148" s="733"/>
      <c r="G5148" s="733"/>
      <c r="H5148" s="733"/>
      <c r="I5148" s="733"/>
      <c r="J5148" s="733"/>
      <c r="K5148" s="733"/>
      <c r="L5148" s="733"/>
      <c r="M5148" s="733"/>
    </row>
    <row r="5149" spans="1:13" x14ac:dyDescent="0.3">
      <c r="A5149" s="733" t="s">
        <v>5144</v>
      </c>
      <c r="B5149" s="733" t="s">
        <v>664</v>
      </c>
      <c r="C5149" s="733" t="s">
        <v>5173</v>
      </c>
      <c r="D5149" s="733"/>
      <c r="E5149" s="733"/>
      <c r="G5149" s="733"/>
      <c r="H5149" s="733"/>
      <c r="I5149" s="733"/>
      <c r="J5149" s="733"/>
      <c r="K5149" s="733"/>
      <c r="L5149" s="733"/>
      <c r="M5149" s="733"/>
    </row>
    <row r="5150" spans="1:13" x14ac:dyDescent="0.3">
      <c r="A5150" s="733" t="s">
        <v>5144</v>
      </c>
      <c r="B5150" s="733" t="s">
        <v>664</v>
      </c>
      <c r="C5150" s="733" t="s">
        <v>5174</v>
      </c>
      <c r="D5150" s="733"/>
      <c r="E5150" s="733"/>
      <c r="G5150" s="733"/>
      <c r="H5150" s="733"/>
      <c r="I5150" s="733"/>
      <c r="J5150" s="733"/>
      <c r="K5150" s="733"/>
      <c r="L5150" s="733"/>
      <c r="M5150" s="733"/>
    </row>
    <row r="5151" spans="1:13" x14ac:dyDescent="0.3">
      <c r="A5151" s="733" t="s">
        <v>5144</v>
      </c>
      <c r="B5151" s="733" t="s">
        <v>612</v>
      </c>
      <c r="C5151" s="733" t="s">
        <v>5175</v>
      </c>
      <c r="D5151" s="733"/>
      <c r="E5151" s="733"/>
      <c r="G5151" s="733"/>
      <c r="H5151" s="733"/>
      <c r="I5151" s="733"/>
      <c r="J5151" s="733"/>
      <c r="K5151" s="733"/>
      <c r="L5151" s="733"/>
      <c r="M5151" s="733"/>
    </row>
    <row r="5152" spans="1:13" x14ac:dyDescent="0.3">
      <c r="A5152" s="733" t="s">
        <v>5144</v>
      </c>
      <c r="B5152" s="733" t="s">
        <v>612</v>
      </c>
      <c r="C5152" s="733" t="s">
        <v>5176</v>
      </c>
      <c r="D5152" s="733"/>
      <c r="E5152" s="733"/>
      <c r="G5152" s="733"/>
      <c r="H5152" s="733"/>
      <c r="I5152" s="733"/>
      <c r="J5152" s="733"/>
      <c r="K5152" s="733"/>
      <c r="L5152" s="733"/>
      <c r="M5152" s="733"/>
    </row>
    <row r="5153" spans="1:13" x14ac:dyDescent="0.3">
      <c r="A5153" s="733" t="s">
        <v>5144</v>
      </c>
      <c r="B5153" s="733" t="s">
        <v>612</v>
      </c>
      <c r="C5153" s="733" t="s">
        <v>5177</v>
      </c>
      <c r="D5153" s="733"/>
      <c r="E5153" s="733"/>
      <c r="G5153" s="733"/>
      <c r="H5153" s="733"/>
      <c r="I5153" s="733"/>
      <c r="J5153" s="733"/>
      <c r="K5153" s="733"/>
      <c r="L5153" s="733"/>
      <c r="M5153" s="733"/>
    </row>
    <row r="5154" spans="1:13" x14ac:dyDescent="0.3">
      <c r="A5154" s="733" t="s">
        <v>5144</v>
      </c>
      <c r="B5154" s="733" t="s">
        <v>612</v>
      </c>
      <c r="C5154" s="733" t="s">
        <v>5178</v>
      </c>
      <c r="D5154" s="733"/>
      <c r="E5154" s="733"/>
      <c r="G5154" s="733"/>
      <c r="H5154" s="733"/>
      <c r="I5154" s="733"/>
      <c r="J5154" s="733"/>
      <c r="K5154" s="733"/>
      <c r="L5154" s="733"/>
      <c r="M5154" s="733"/>
    </row>
    <row r="5155" spans="1:13" x14ac:dyDescent="0.3">
      <c r="A5155" s="733" t="s">
        <v>5144</v>
      </c>
      <c r="B5155" s="733" t="s">
        <v>612</v>
      </c>
      <c r="C5155" s="733" t="s">
        <v>5179</v>
      </c>
      <c r="D5155" s="733"/>
      <c r="E5155" s="733"/>
      <c r="G5155" s="733"/>
      <c r="H5155" s="733"/>
      <c r="I5155" s="733"/>
      <c r="J5155" s="733"/>
      <c r="K5155" s="733"/>
      <c r="L5155" s="733"/>
      <c r="M5155" s="733"/>
    </row>
    <row r="5156" spans="1:13" x14ac:dyDescent="0.3">
      <c r="A5156" s="733" t="s">
        <v>5144</v>
      </c>
      <c r="B5156" s="733" t="s">
        <v>612</v>
      </c>
      <c r="C5156" s="733" t="s">
        <v>5180</v>
      </c>
      <c r="D5156" s="733"/>
      <c r="E5156" s="733"/>
      <c r="G5156" s="733"/>
      <c r="H5156" s="733"/>
      <c r="I5156" s="733"/>
      <c r="J5156" s="733"/>
      <c r="K5156" s="733"/>
      <c r="L5156" s="733"/>
      <c r="M5156" s="733"/>
    </row>
    <row r="5157" spans="1:13" x14ac:dyDescent="0.3">
      <c r="A5157" s="733" t="s">
        <v>5144</v>
      </c>
      <c r="B5157" s="733" t="s">
        <v>612</v>
      </c>
      <c r="C5157" s="733" t="s">
        <v>5181</v>
      </c>
      <c r="D5157" s="733"/>
      <c r="E5157" s="733"/>
      <c r="G5157" s="733"/>
      <c r="H5157" s="733"/>
      <c r="I5157" s="733"/>
      <c r="J5157" s="733"/>
      <c r="K5157" s="733"/>
      <c r="L5157" s="733"/>
      <c r="M5157" s="733"/>
    </row>
    <row r="5158" spans="1:13" x14ac:dyDescent="0.3">
      <c r="A5158" s="733" t="s">
        <v>5144</v>
      </c>
      <c r="B5158" s="733" t="s">
        <v>612</v>
      </c>
      <c r="C5158" s="733" t="s">
        <v>5182</v>
      </c>
      <c r="D5158" s="733"/>
      <c r="E5158" s="733"/>
      <c r="G5158" s="733"/>
      <c r="H5158" s="733"/>
      <c r="I5158" s="733"/>
      <c r="J5158" s="733"/>
      <c r="K5158" s="733"/>
      <c r="L5158" s="733"/>
      <c r="M5158" s="733"/>
    </row>
    <row r="5159" spans="1:13" x14ac:dyDescent="0.3">
      <c r="A5159" s="733" t="s">
        <v>5144</v>
      </c>
      <c r="B5159" s="733" t="s">
        <v>612</v>
      </c>
      <c r="C5159" s="733" t="s">
        <v>5183</v>
      </c>
      <c r="D5159" s="733"/>
      <c r="E5159" s="733"/>
      <c r="G5159" s="733"/>
      <c r="H5159" s="733"/>
      <c r="I5159" s="733"/>
      <c r="J5159" s="733"/>
      <c r="K5159" s="733"/>
      <c r="L5159" s="733"/>
      <c r="M5159" s="733"/>
    </row>
    <row r="5160" spans="1:13" x14ac:dyDescent="0.3">
      <c r="A5160" s="733" t="s">
        <v>5144</v>
      </c>
      <c r="B5160" s="733" t="s">
        <v>612</v>
      </c>
      <c r="C5160" s="733" t="s">
        <v>5184</v>
      </c>
      <c r="D5160" s="733"/>
      <c r="E5160" s="733"/>
      <c r="G5160" s="733"/>
      <c r="H5160" s="733"/>
      <c r="I5160" s="733"/>
      <c r="J5160" s="733"/>
      <c r="K5160" s="733"/>
      <c r="L5160" s="733"/>
      <c r="M5160" s="733"/>
    </row>
    <row r="5161" spans="1:13" x14ac:dyDescent="0.3">
      <c r="A5161" s="733" t="s">
        <v>5144</v>
      </c>
      <c r="B5161" s="733" t="s">
        <v>612</v>
      </c>
      <c r="C5161" s="733" t="s">
        <v>5185</v>
      </c>
      <c r="D5161" s="733"/>
      <c r="E5161" s="733"/>
      <c r="G5161" s="733"/>
      <c r="H5161" s="733"/>
      <c r="I5161" s="733"/>
      <c r="J5161" s="733"/>
      <c r="K5161" s="733"/>
      <c r="L5161" s="733"/>
      <c r="M5161" s="733"/>
    </row>
    <row r="5162" spans="1:13" x14ac:dyDescent="0.3">
      <c r="A5162" s="733" t="s">
        <v>5144</v>
      </c>
      <c r="B5162" s="733" t="s">
        <v>612</v>
      </c>
      <c r="C5162" s="733" t="s">
        <v>5186</v>
      </c>
      <c r="D5162" s="733"/>
      <c r="E5162" s="733"/>
      <c r="G5162" s="733"/>
      <c r="H5162" s="733"/>
      <c r="I5162" s="733"/>
      <c r="J5162" s="733"/>
      <c r="K5162" s="733"/>
      <c r="L5162" s="733"/>
      <c r="M5162" s="733"/>
    </row>
    <row r="5163" spans="1:13" x14ac:dyDescent="0.3">
      <c r="A5163" s="733" t="s">
        <v>5144</v>
      </c>
      <c r="B5163" s="733" t="s">
        <v>612</v>
      </c>
      <c r="C5163" s="733" t="s">
        <v>5187</v>
      </c>
      <c r="D5163" s="733"/>
      <c r="E5163" s="733"/>
      <c r="G5163" s="733"/>
      <c r="H5163" s="733"/>
      <c r="I5163" s="733"/>
      <c r="J5163" s="733"/>
      <c r="K5163" s="733"/>
      <c r="L5163" s="733"/>
      <c r="M5163" s="733"/>
    </row>
    <row r="5164" spans="1:13" x14ac:dyDescent="0.3">
      <c r="A5164" s="733" t="s">
        <v>5144</v>
      </c>
      <c r="B5164" s="733" t="s">
        <v>612</v>
      </c>
      <c r="C5164" s="733" t="s">
        <v>5188</v>
      </c>
      <c r="D5164" s="733"/>
      <c r="E5164" s="733"/>
      <c r="G5164" s="733"/>
      <c r="H5164" s="733"/>
      <c r="I5164" s="733"/>
      <c r="J5164" s="733"/>
      <c r="K5164" s="733"/>
      <c r="L5164" s="733"/>
      <c r="M5164" s="733"/>
    </row>
    <row r="5165" spans="1:13" x14ac:dyDescent="0.3">
      <c r="A5165" s="733" t="s">
        <v>5144</v>
      </c>
      <c r="B5165" s="733" t="s">
        <v>612</v>
      </c>
      <c r="C5165" s="733" t="s">
        <v>5189</v>
      </c>
      <c r="D5165" s="733"/>
      <c r="E5165" s="733"/>
      <c r="G5165" s="733"/>
      <c r="H5165" s="733"/>
      <c r="I5165" s="733"/>
      <c r="J5165" s="733"/>
      <c r="K5165" s="733"/>
      <c r="L5165" s="733"/>
      <c r="M5165" s="733"/>
    </row>
    <row r="5166" spans="1:13" x14ac:dyDescent="0.3">
      <c r="A5166" s="733" t="s">
        <v>873</v>
      </c>
      <c r="B5166" s="733" t="s">
        <v>645</v>
      </c>
      <c r="C5166" s="733" t="s">
        <v>5190</v>
      </c>
      <c r="D5166" s="733"/>
      <c r="E5166" s="733"/>
      <c r="G5166" s="733"/>
      <c r="H5166" s="733"/>
      <c r="I5166" s="733"/>
      <c r="J5166" s="733"/>
      <c r="K5166" s="733"/>
      <c r="L5166" s="733"/>
      <c r="M5166" s="733"/>
    </row>
    <row r="5167" spans="1:13" x14ac:dyDescent="0.3">
      <c r="A5167" s="733" t="s">
        <v>873</v>
      </c>
      <c r="B5167" s="733" t="s">
        <v>645</v>
      </c>
      <c r="C5167" s="733" t="s">
        <v>5191</v>
      </c>
      <c r="D5167" s="733"/>
      <c r="E5167" s="733"/>
      <c r="G5167" s="733"/>
      <c r="H5167" s="733"/>
      <c r="I5167" s="733"/>
      <c r="J5167" s="733"/>
      <c r="K5167" s="733"/>
      <c r="L5167" s="733"/>
      <c r="M5167" s="733"/>
    </row>
    <row r="5168" spans="1:13" x14ac:dyDescent="0.3">
      <c r="A5168" s="733" t="s">
        <v>873</v>
      </c>
      <c r="B5168" s="733" t="s">
        <v>645</v>
      </c>
      <c r="C5168" s="733" t="s">
        <v>5192</v>
      </c>
      <c r="D5168" s="733"/>
      <c r="E5168" s="733"/>
      <c r="G5168" s="733"/>
      <c r="H5168" s="733"/>
      <c r="I5168" s="733"/>
      <c r="J5168" s="733"/>
      <c r="K5168" s="733"/>
      <c r="L5168" s="733"/>
      <c r="M5168" s="733"/>
    </row>
    <row r="5169" spans="1:13" x14ac:dyDescent="0.3">
      <c r="A5169" s="733" t="s">
        <v>873</v>
      </c>
      <c r="B5169" s="733" t="s">
        <v>645</v>
      </c>
      <c r="C5169" s="733" t="s">
        <v>5193</v>
      </c>
      <c r="D5169" s="733"/>
      <c r="E5169" s="733"/>
      <c r="G5169" s="733"/>
      <c r="H5169" s="733"/>
      <c r="I5169" s="733"/>
      <c r="J5169" s="733"/>
      <c r="K5169" s="733"/>
      <c r="L5169" s="733"/>
      <c r="M5169" s="733"/>
    </row>
    <row r="5170" spans="1:13" x14ac:dyDescent="0.3">
      <c r="A5170" s="733" t="s">
        <v>873</v>
      </c>
      <c r="B5170" s="733" t="s">
        <v>645</v>
      </c>
      <c r="C5170" s="733" t="s">
        <v>5194</v>
      </c>
      <c r="D5170" s="733"/>
      <c r="E5170" s="733"/>
      <c r="G5170" s="733"/>
      <c r="H5170" s="733"/>
      <c r="I5170" s="733"/>
      <c r="J5170" s="733"/>
      <c r="K5170" s="733"/>
      <c r="L5170" s="733"/>
      <c r="M5170" s="733"/>
    </row>
    <row r="5171" spans="1:13" x14ac:dyDescent="0.3">
      <c r="A5171" s="733" t="s">
        <v>873</v>
      </c>
      <c r="B5171" s="733" t="s">
        <v>645</v>
      </c>
      <c r="C5171" s="733" t="s">
        <v>5195</v>
      </c>
      <c r="D5171" s="733"/>
      <c r="E5171" s="733"/>
      <c r="G5171" s="733"/>
      <c r="H5171" s="733"/>
      <c r="I5171" s="733"/>
      <c r="J5171" s="733"/>
      <c r="K5171" s="733"/>
      <c r="L5171" s="733"/>
      <c r="M5171" s="733"/>
    </row>
    <row r="5172" spans="1:13" x14ac:dyDescent="0.3">
      <c r="A5172" s="733" t="s">
        <v>873</v>
      </c>
      <c r="B5172" s="733" t="s">
        <v>645</v>
      </c>
      <c r="C5172" s="733" t="s">
        <v>5196</v>
      </c>
      <c r="D5172" s="733"/>
      <c r="E5172" s="733"/>
      <c r="G5172" s="733"/>
      <c r="H5172" s="733"/>
      <c r="I5172" s="733"/>
      <c r="J5172" s="733"/>
      <c r="K5172" s="733"/>
      <c r="L5172" s="733"/>
      <c r="M5172" s="733"/>
    </row>
    <row r="5173" spans="1:13" x14ac:dyDescent="0.3">
      <c r="A5173" s="733" t="s">
        <v>873</v>
      </c>
      <c r="B5173" s="733" t="s">
        <v>645</v>
      </c>
      <c r="C5173" s="733" t="s">
        <v>5197</v>
      </c>
      <c r="D5173" s="733"/>
      <c r="E5173" s="733"/>
      <c r="G5173" s="733"/>
      <c r="H5173" s="733"/>
      <c r="I5173" s="733"/>
      <c r="J5173" s="733"/>
      <c r="K5173" s="733"/>
      <c r="L5173" s="733"/>
      <c r="M5173" s="733"/>
    </row>
    <row r="5174" spans="1:13" x14ac:dyDescent="0.3">
      <c r="A5174" s="733" t="s">
        <v>873</v>
      </c>
      <c r="B5174" s="733" t="s">
        <v>645</v>
      </c>
      <c r="C5174" s="733" t="s">
        <v>5198</v>
      </c>
      <c r="D5174" s="733"/>
      <c r="E5174" s="733"/>
      <c r="G5174" s="733"/>
      <c r="H5174" s="733"/>
      <c r="I5174" s="733"/>
      <c r="J5174" s="733"/>
      <c r="K5174" s="733"/>
      <c r="L5174" s="733"/>
      <c r="M5174" s="733"/>
    </row>
    <row r="5175" spans="1:13" x14ac:dyDescent="0.3">
      <c r="A5175" s="733" t="s">
        <v>873</v>
      </c>
      <c r="B5175" s="733" t="s">
        <v>645</v>
      </c>
      <c r="C5175" s="733" t="s">
        <v>5199</v>
      </c>
      <c r="D5175" s="733"/>
      <c r="E5175" s="733"/>
      <c r="G5175" s="733"/>
      <c r="H5175" s="733"/>
      <c r="I5175" s="733"/>
      <c r="J5175" s="733"/>
      <c r="K5175" s="733"/>
      <c r="L5175" s="733"/>
      <c r="M5175" s="733"/>
    </row>
    <row r="5176" spans="1:13" x14ac:dyDescent="0.3">
      <c r="A5176" s="733" t="s">
        <v>873</v>
      </c>
      <c r="B5176" s="733" t="s">
        <v>645</v>
      </c>
      <c r="C5176" s="733" t="s">
        <v>5200</v>
      </c>
      <c r="D5176" s="733"/>
      <c r="E5176" s="733"/>
      <c r="G5176" s="733"/>
      <c r="H5176" s="733"/>
      <c r="I5176" s="733"/>
      <c r="J5176" s="733"/>
      <c r="K5176" s="733"/>
      <c r="L5176" s="733"/>
      <c r="M5176" s="733"/>
    </row>
    <row r="5177" spans="1:13" x14ac:dyDescent="0.3">
      <c r="A5177" s="733" t="s">
        <v>873</v>
      </c>
      <c r="B5177" s="733" t="s">
        <v>645</v>
      </c>
      <c r="C5177" s="733" t="s">
        <v>5201</v>
      </c>
      <c r="D5177" s="733"/>
      <c r="E5177" s="733"/>
      <c r="G5177" s="733"/>
      <c r="H5177" s="733"/>
      <c r="I5177" s="733"/>
      <c r="J5177" s="733"/>
      <c r="K5177" s="733"/>
      <c r="L5177" s="733"/>
      <c r="M5177" s="733"/>
    </row>
    <row r="5178" spans="1:13" x14ac:dyDescent="0.3">
      <c r="A5178" s="733" t="s">
        <v>873</v>
      </c>
      <c r="B5178" s="733" t="s">
        <v>645</v>
      </c>
      <c r="C5178" s="733" t="s">
        <v>5202</v>
      </c>
      <c r="D5178" s="733"/>
      <c r="E5178" s="733"/>
      <c r="G5178" s="733"/>
      <c r="H5178" s="733"/>
      <c r="I5178" s="733"/>
      <c r="J5178" s="733"/>
      <c r="K5178" s="733"/>
      <c r="L5178" s="733"/>
      <c r="M5178" s="733"/>
    </row>
    <row r="5179" spans="1:13" x14ac:dyDescent="0.3">
      <c r="A5179" s="733" t="s">
        <v>873</v>
      </c>
      <c r="B5179" s="733" t="s">
        <v>645</v>
      </c>
      <c r="C5179" s="733" t="s">
        <v>5203</v>
      </c>
      <c r="D5179" s="733"/>
      <c r="E5179" s="733"/>
      <c r="G5179" s="733"/>
      <c r="H5179" s="733"/>
      <c r="I5179" s="733"/>
      <c r="J5179" s="733"/>
      <c r="K5179" s="733"/>
      <c r="L5179" s="733"/>
      <c r="M5179" s="733"/>
    </row>
    <row r="5180" spans="1:13" x14ac:dyDescent="0.3">
      <c r="A5180" s="733" t="s">
        <v>873</v>
      </c>
      <c r="B5180" s="733" t="s">
        <v>645</v>
      </c>
      <c r="C5180" s="733" t="s">
        <v>5204</v>
      </c>
      <c r="D5180" s="733"/>
      <c r="E5180" s="733"/>
      <c r="G5180" s="733"/>
      <c r="H5180" s="733"/>
      <c r="I5180" s="733"/>
      <c r="J5180" s="733"/>
      <c r="K5180" s="733"/>
      <c r="L5180" s="733"/>
      <c r="M5180" s="733"/>
    </row>
    <row r="5181" spans="1:13" x14ac:dyDescent="0.3">
      <c r="A5181" s="733" t="s">
        <v>873</v>
      </c>
      <c r="B5181" s="733" t="s">
        <v>664</v>
      </c>
      <c r="C5181" s="733" t="s">
        <v>5205</v>
      </c>
      <c r="D5181" s="733"/>
      <c r="E5181" s="733"/>
      <c r="G5181" s="733"/>
      <c r="H5181" s="733"/>
      <c r="I5181" s="733"/>
      <c r="J5181" s="733"/>
      <c r="K5181" s="733"/>
      <c r="L5181" s="733"/>
      <c r="M5181" s="733"/>
    </row>
    <row r="5182" spans="1:13" x14ac:dyDescent="0.3">
      <c r="A5182" s="733" t="s">
        <v>873</v>
      </c>
      <c r="B5182" s="733" t="s">
        <v>664</v>
      </c>
      <c r="C5182" s="733" t="s">
        <v>5206</v>
      </c>
      <c r="D5182" s="733"/>
      <c r="E5182" s="733"/>
      <c r="G5182" s="733"/>
      <c r="H5182" s="733"/>
      <c r="I5182" s="733"/>
      <c r="J5182" s="733"/>
      <c r="K5182" s="733"/>
      <c r="L5182" s="733"/>
      <c r="M5182" s="733"/>
    </row>
    <row r="5183" spans="1:13" x14ac:dyDescent="0.3">
      <c r="A5183" s="733" t="s">
        <v>873</v>
      </c>
      <c r="B5183" s="733" t="s">
        <v>664</v>
      </c>
      <c r="C5183" s="733" t="s">
        <v>5207</v>
      </c>
      <c r="D5183" s="733"/>
      <c r="E5183" s="733"/>
      <c r="G5183" s="733"/>
      <c r="H5183" s="733"/>
      <c r="I5183" s="733"/>
      <c r="J5183" s="733"/>
      <c r="K5183" s="733"/>
      <c r="L5183" s="733"/>
      <c r="M5183" s="733"/>
    </row>
    <row r="5184" spans="1:13" x14ac:dyDescent="0.3">
      <c r="A5184" s="733" t="s">
        <v>873</v>
      </c>
      <c r="B5184" s="733" t="s">
        <v>664</v>
      </c>
      <c r="C5184" s="733" t="s">
        <v>5208</v>
      </c>
      <c r="D5184" s="733"/>
      <c r="E5184" s="733"/>
      <c r="G5184" s="733"/>
      <c r="H5184" s="733"/>
      <c r="I5184" s="733"/>
      <c r="J5184" s="733"/>
      <c r="K5184" s="733"/>
      <c r="L5184" s="733"/>
      <c r="M5184" s="733"/>
    </row>
    <row r="5185" spans="1:13" x14ac:dyDescent="0.3">
      <c r="A5185" s="733" t="s">
        <v>873</v>
      </c>
      <c r="B5185" s="733" t="s">
        <v>664</v>
      </c>
      <c r="C5185" s="733" t="s">
        <v>5209</v>
      </c>
      <c r="D5185" s="733"/>
      <c r="E5185" s="733"/>
      <c r="G5185" s="733"/>
      <c r="H5185" s="733"/>
      <c r="I5185" s="733"/>
      <c r="J5185" s="733"/>
      <c r="K5185" s="733"/>
      <c r="L5185" s="733"/>
      <c r="M5185" s="733"/>
    </row>
    <row r="5186" spans="1:13" x14ac:dyDescent="0.3">
      <c r="A5186" s="733" t="s">
        <v>873</v>
      </c>
      <c r="B5186" s="733" t="s">
        <v>664</v>
      </c>
      <c r="C5186" s="733" t="s">
        <v>5210</v>
      </c>
      <c r="D5186" s="733"/>
      <c r="E5186" s="733"/>
      <c r="G5186" s="733"/>
      <c r="H5186" s="733"/>
      <c r="I5186" s="733"/>
      <c r="J5186" s="733"/>
      <c r="K5186" s="733"/>
      <c r="L5186" s="733"/>
      <c r="M5186" s="733"/>
    </row>
    <row r="5187" spans="1:13" x14ac:dyDescent="0.3">
      <c r="A5187" s="733" t="s">
        <v>873</v>
      </c>
      <c r="B5187" s="733" t="s">
        <v>664</v>
      </c>
      <c r="C5187" s="733" t="s">
        <v>5211</v>
      </c>
      <c r="D5187" s="733"/>
      <c r="E5187" s="733"/>
      <c r="G5187" s="733"/>
      <c r="H5187" s="733"/>
      <c r="I5187" s="733"/>
      <c r="J5187" s="733"/>
      <c r="K5187" s="733"/>
      <c r="L5187" s="733"/>
      <c r="M5187" s="733"/>
    </row>
    <row r="5188" spans="1:13" x14ac:dyDescent="0.3">
      <c r="A5188" s="733" t="s">
        <v>873</v>
      </c>
      <c r="B5188" s="733" t="s">
        <v>664</v>
      </c>
      <c r="C5188" s="733" t="s">
        <v>5212</v>
      </c>
      <c r="D5188" s="733"/>
      <c r="E5188" s="733"/>
      <c r="G5188" s="733"/>
      <c r="H5188" s="733"/>
      <c r="I5188" s="733"/>
      <c r="J5188" s="733"/>
      <c r="K5188" s="733"/>
      <c r="L5188" s="733"/>
      <c r="M5188" s="733"/>
    </row>
    <row r="5189" spans="1:13" x14ac:dyDescent="0.3">
      <c r="A5189" s="733" t="s">
        <v>873</v>
      </c>
      <c r="B5189" s="733" t="s">
        <v>664</v>
      </c>
      <c r="C5189" s="733" t="s">
        <v>5213</v>
      </c>
      <c r="D5189" s="733"/>
      <c r="E5189" s="733"/>
      <c r="G5189" s="733"/>
      <c r="H5189" s="733"/>
      <c r="I5189" s="733"/>
      <c r="J5189" s="733"/>
      <c r="K5189" s="733"/>
      <c r="L5189" s="733"/>
      <c r="M5189" s="733"/>
    </row>
    <row r="5190" spans="1:13" x14ac:dyDescent="0.3">
      <c r="A5190" s="733" t="s">
        <v>873</v>
      </c>
      <c r="B5190" s="733" t="s">
        <v>664</v>
      </c>
      <c r="C5190" s="733" t="s">
        <v>5214</v>
      </c>
      <c r="D5190" s="733"/>
      <c r="E5190" s="733"/>
      <c r="G5190" s="733"/>
      <c r="H5190" s="733"/>
      <c r="I5190" s="733"/>
      <c r="J5190" s="733"/>
      <c r="K5190" s="733"/>
      <c r="L5190" s="733"/>
      <c r="M5190" s="733"/>
    </row>
    <row r="5191" spans="1:13" x14ac:dyDescent="0.3">
      <c r="A5191" s="733" t="s">
        <v>873</v>
      </c>
      <c r="B5191" s="733" t="s">
        <v>664</v>
      </c>
      <c r="C5191" s="733" t="s">
        <v>5215</v>
      </c>
      <c r="D5191" s="733"/>
      <c r="E5191" s="733"/>
      <c r="G5191" s="733"/>
      <c r="H5191" s="733"/>
      <c r="I5191" s="733"/>
      <c r="J5191" s="733"/>
      <c r="K5191" s="733"/>
      <c r="L5191" s="733"/>
      <c r="M5191" s="733"/>
    </row>
    <row r="5192" spans="1:13" x14ac:dyDescent="0.3">
      <c r="A5192" s="733" t="s">
        <v>873</v>
      </c>
      <c r="B5192" s="733" t="s">
        <v>664</v>
      </c>
      <c r="C5192" s="733" t="s">
        <v>5216</v>
      </c>
      <c r="D5192" s="733"/>
      <c r="E5192" s="733"/>
      <c r="G5192" s="733"/>
      <c r="H5192" s="733"/>
      <c r="I5192" s="733"/>
      <c r="J5192" s="733"/>
      <c r="K5192" s="733"/>
      <c r="L5192" s="733"/>
      <c r="M5192" s="733"/>
    </row>
    <row r="5193" spans="1:13" x14ac:dyDescent="0.3">
      <c r="A5193" s="733" t="s">
        <v>873</v>
      </c>
      <c r="B5193" s="733" t="s">
        <v>664</v>
      </c>
      <c r="C5193" s="733" t="s">
        <v>5217</v>
      </c>
      <c r="D5193" s="733"/>
      <c r="E5193" s="733"/>
      <c r="G5193" s="733"/>
      <c r="H5193" s="733"/>
      <c r="I5193" s="733"/>
      <c r="J5193" s="733"/>
      <c r="K5193" s="733"/>
      <c r="L5193" s="733"/>
      <c r="M5193" s="733"/>
    </row>
    <row r="5194" spans="1:13" x14ac:dyDescent="0.3">
      <c r="A5194" s="733" t="s">
        <v>873</v>
      </c>
      <c r="B5194" s="733" t="s">
        <v>664</v>
      </c>
      <c r="C5194" s="733" t="s">
        <v>5218</v>
      </c>
      <c r="D5194" s="733"/>
      <c r="E5194" s="733"/>
      <c r="G5194" s="733"/>
      <c r="H5194" s="733"/>
      <c r="I5194" s="733"/>
      <c r="J5194" s="733"/>
      <c r="K5194" s="733"/>
      <c r="L5194" s="733"/>
      <c r="M5194" s="733"/>
    </row>
    <row r="5195" spans="1:13" x14ac:dyDescent="0.3">
      <c r="A5195" s="733" t="s">
        <v>873</v>
      </c>
      <c r="B5195" s="733" t="s">
        <v>664</v>
      </c>
      <c r="C5195" s="733" t="s">
        <v>5219</v>
      </c>
      <c r="D5195" s="733"/>
      <c r="E5195" s="733"/>
      <c r="G5195" s="733"/>
      <c r="H5195" s="733"/>
      <c r="I5195" s="733"/>
      <c r="J5195" s="733"/>
      <c r="K5195" s="733"/>
      <c r="L5195" s="733"/>
      <c r="M5195" s="733"/>
    </row>
    <row r="5196" spans="1:13" x14ac:dyDescent="0.3">
      <c r="A5196" s="733" t="s">
        <v>873</v>
      </c>
      <c r="B5196" s="733" t="s">
        <v>612</v>
      </c>
      <c r="C5196" s="733" t="s">
        <v>5220</v>
      </c>
      <c r="D5196" s="733"/>
      <c r="E5196" s="733"/>
      <c r="G5196" s="733"/>
      <c r="H5196" s="733"/>
      <c r="I5196" s="733"/>
      <c r="J5196" s="733"/>
      <c r="K5196" s="733"/>
      <c r="L5196" s="733"/>
      <c r="M5196" s="733"/>
    </row>
    <row r="5197" spans="1:13" x14ac:dyDescent="0.3">
      <c r="A5197" s="733" t="s">
        <v>873</v>
      </c>
      <c r="B5197" s="733" t="s">
        <v>612</v>
      </c>
      <c r="C5197" s="733" t="s">
        <v>5221</v>
      </c>
      <c r="D5197" s="733"/>
      <c r="E5197" s="733"/>
      <c r="G5197" s="733"/>
      <c r="H5197" s="733"/>
      <c r="I5197" s="733"/>
      <c r="J5197" s="733"/>
      <c r="K5197" s="733"/>
      <c r="L5197" s="733"/>
      <c r="M5197" s="733"/>
    </row>
    <row r="5198" spans="1:13" x14ac:dyDescent="0.3">
      <c r="A5198" s="733" t="s">
        <v>873</v>
      </c>
      <c r="B5198" s="733" t="s">
        <v>612</v>
      </c>
      <c r="C5198" s="733" t="s">
        <v>5222</v>
      </c>
      <c r="D5198" s="733"/>
      <c r="E5198" s="733"/>
      <c r="G5198" s="733"/>
      <c r="H5198" s="733"/>
      <c r="I5198" s="733"/>
      <c r="J5198" s="733"/>
      <c r="K5198" s="733"/>
      <c r="L5198" s="733"/>
      <c r="M5198" s="733"/>
    </row>
    <row r="5199" spans="1:13" x14ac:dyDescent="0.3">
      <c r="A5199" s="733" t="s">
        <v>873</v>
      </c>
      <c r="B5199" s="733" t="s">
        <v>612</v>
      </c>
      <c r="C5199" s="733" t="s">
        <v>5223</v>
      </c>
      <c r="D5199" s="733"/>
      <c r="E5199" s="733"/>
      <c r="G5199" s="733"/>
      <c r="H5199" s="733"/>
      <c r="I5199" s="733"/>
      <c r="J5199" s="733"/>
      <c r="K5199" s="733"/>
      <c r="L5199" s="733"/>
      <c r="M5199" s="733"/>
    </row>
    <row r="5200" spans="1:13" x14ac:dyDescent="0.3">
      <c r="A5200" s="733" t="s">
        <v>873</v>
      </c>
      <c r="B5200" s="733" t="s">
        <v>612</v>
      </c>
      <c r="C5200" s="733" t="s">
        <v>5224</v>
      </c>
      <c r="D5200" s="733"/>
      <c r="E5200" s="733"/>
      <c r="G5200" s="733"/>
      <c r="H5200" s="733"/>
      <c r="I5200" s="733"/>
      <c r="J5200" s="733"/>
      <c r="K5200" s="733"/>
      <c r="L5200" s="733"/>
      <c r="M5200" s="733"/>
    </row>
    <row r="5201" spans="1:13" x14ac:dyDescent="0.3">
      <c r="A5201" s="733" t="s">
        <v>873</v>
      </c>
      <c r="B5201" s="733" t="s">
        <v>612</v>
      </c>
      <c r="C5201" s="733" t="s">
        <v>5225</v>
      </c>
      <c r="D5201" s="733"/>
      <c r="E5201" s="733"/>
      <c r="G5201" s="733"/>
      <c r="H5201" s="733"/>
      <c r="I5201" s="733"/>
      <c r="J5201" s="733"/>
      <c r="K5201" s="733"/>
      <c r="L5201" s="733"/>
      <c r="M5201" s="733"/>
    </row>
    <row r="5202" spans="1:13" x14ac:dyDescent="0.3">
      <c r="A5202" s="733" t="s">
        <v>873</v>
      </c>
      <c r="B5202" s="733" t="s">
        <v>612</v>
      </c>
      <c r="C5202" s="733" t="s">
        <v>5226</v>
      </c>
      <c r="D5202" s="733"/>
      <c r="E5202" s="733"/>
      <c r="G5202" s="733"/>
      <c r="H5202" s="733"/>
      <c r="I5202" s="733"/>
      <c r="J5202" s="733"/>
      <c r="K5202" s="733"/>
      <c r="L5202" s="733"/>
      <c r="M5202" s="733"/>
    </row>
    <row r="5203" spans="1:13" x14ac:dyDescent="0.3">
      <c r="A5203" s="733" t="s">
        <v>873</v>
      </c>
      <c r="B5203" s="733" t="s">
        <v>612</v>
      </c>
      <c r="C5203" s="733" t="s">
        <v>5227</v>
      </c>
      <c r="D5203" s="733"/>
      <c r="E5203" s="733"/>
      <c r="G5203" s="733"/>
      <c r="H5203" s="733"/>
      <c r="I5203" s="733"/>
      <c r="J5203" s="733"/>
      <c r="K5203" s="733"/>
      <c r="L5203" s="733"/>
      <c r="M5203" s="733"/>
    </row>
    <row r="5204" spans="1:13" x14ac:dyDescent="0.3">
      <c r="A5204" s="733" t="s">
        <v>873</v>
      </c>
      <c r="B5204" s="733" t="s">
        <v>612</v>
      </c>
      <c r="C5204" s="733" t="s">
        <v>5228</v>
      </c>
      <c r="D5204" s="733"/>
      <c r="E5204" s="733"/>
      <c r="G5204" s="733"/>
      <c r="H5204" s="733"/>
      <c r="I5204" s="733"/>
      <c r="J5204" s="733"/>
      <c r="K5204" s="733"/>
      <c r="L5204" s="733"/>
      <c r="M5204" s="733"/>
    </row>
    <row r="5205" spans="1:13" x14ac:dyDescent="0.3">
      <c r="A5205" s="733" t="s">
        <v>873</v>
      </c>
      <c r="B5205" s="733" t="s">
        <v>612</v>
      </c>
      <c r="C5205" s="733" t="s">
        <v>5229</v>
      </c>
      <c r="D5205" s="733"/>
      <c r="E5205" s="733"/>
      <c r="G5205" s="733"/>
      <c r="H5205" s="733"/>
      <c r="I5205" s="733"/>
      <c r="J5205" s="733"/>
      <c r="K5205" s="733"/>
      <c r="L5205" s="733"/>
      <c r="M5205" s="733"/>
    </row>
    <row r="5206" spans="1:13" x14ac:dyDescent="0.3">
      <c r="A5206" s="733" t="s">
        <v>873</v>
      </c>
      <c r="B5206" s="733" t="s">
        <v>612</v>
      </c>
      <c r="C5206" s="733" t="s">
        <v>5230</v>
      </c>
      <c r="D5206" s="733"/>
      <c r="E5206" s="733"/>
      <c r="G5206" s="733"/>
      <c r="H5206" s="733"/>
      <c r="I5206" s="733"/>
      <c r="J5206" s="733"/>
      <c r="K5206" s="733"/>
      <c r="L5206" s="733"/>
      <c r="M5206" s="733"/>
    </row>
    <row r="5207" spans="1:13" x14ac:dyDescent="0.3">
      <c r="A5207" s="733" t="s">
        <v>873</v>
      </c>
      <c r="B5207" s="733" t="s">
        <v>612</v>
      </c>
      <c r="C5207" s="733" t="s">
        <v>5231</v>
      </c>
      <c r="D5207" s="733"/>
      <c r="E5207" s="733"/>
      <c r="G5207" s="733"/>
      <c r="H5207" s="733"/>
      <c r="I5207" s="733"/>
      <c r="J5207" s="733"/>
      <c r="K5207" s="733"/>
      <c r="L5207" s="733"/>
      <c r="M5207" s="733"/>
    </row>
    <row r="5208" spans="1:13" x14ac:dyDescent="0.3">
      <c r="A5208" s="733" t="s">
        <v>873</v>
      </c>
      <c r="B5208" s="733" t="s">
        <v>612</v>
      </c>
      <c r="C5208" s="733" t="s">
        <v>5232</v>
      </c>
      <c r="D5208" s="733"/>
      <c r="E5208" s="733"/>
      <c r="G5208" s="733"/>
      <c r="H5208" s="733"/>
      <c r="I5208" s="733"/>
      <c r="J5208" s="733"/>
      <c r="K5208" s="733"/>
      <c r="L5208" s="733"/>
      <c r="M5208" s="733"/>
    </row>
    <row r="5209" spans="1:13" x14ac:dyDescent="0.3">
      <c r="A5209" s="733" t="s">
        <v>873</v>
      </c>
      <c r="B5209" s="733" t="s">
        <v>612</v>
      </c>
      <c r="C5209" s="733" t="s">
        <v>5233</v>
      </c>
      <c r="D5209" s="733"/>
      <c r="E5209" s="733"/>
      <c r="G5209" s="733"/>
      <c r="H5209" s="733"/>
      <c r="I5209" s="733"/>
      <c r="J5209" s="733"/>
      <c r="K5209" s="733"/>
      <c r="L5209" s="733"/>
      <c r="M5209" s="733"/>
    </row>
    <row r="5210" spans="1:13" x14ac:dyDescent="0.3">
      <c r="A5210" s="733" t="s">
        <v>873</v>
      </c>
      <c r="B5210" s="733" t="s">
        <v>612</v>
      </c>
      <c r="C5210" s="733" t="s">
        <v>5234</v>
      </c>
      <c r="D5210" s="733"/>
      <c r="E5210" s="733"/>
      <c r="G5210" s="733"/>
      <c r="H5210" s="733"/>
      <c r="I5210" s="733"/>
      <c r="J5210" s="733"/>
      <c r="K5210" s="733"/>
      <c r="L5210" s="733"/>
      <c r="M5210" s="733"/>
    </row>
    <row r="5211" spans="1:13" x14ac:dyDescent="0.3">
      <c r="A5211" s="733" t="s">
        <v>5235</v>
      </c>
      <c r="B5211" s="733" t="s">
        <v>645</v>
      </c>
      <c r="C5211" s="733" t="s">
        <v>5236</v>
      </c>
      <c r="D5211" s="733"/>
      <c r="E5211" s="733"/>
      <c r="G5211" s="733"/>
      <c r="H5211" s="733"/>
      <c r="I5211" s="733"/>
      <c r="J5211" s="733"/>
      <c r="K5211" s="733"/>
      <c r="L5211" s="733"/>
      <c r="M5211" s="733"/>
    </row>
    <row r="5212" spans="1:13" x14ac:dyDescent="0.3">
      <c r="A5212" s="733" t="s">
        <v>5235</v>
      </c>
      <c r="B5212" s="733" t="s">
        <v>645</v>
      </c>
      <c r="C5212" s="733" t="s">
        <v>5237</v>
      </c>
      <c r="D5212" s="733"/>
      <c r="E5212" s="733"/>
      <c r="G5212" s="733"/>
      <c r="H5212" s="733"/>
      <c r="I5212" s="733"/>
      <c r="J5212" s="733"/>
      <c r="K5212" s="733"/>
      <c r="L5212" s="733"/>
      <c r="M5212" s="733"/>
    </row>
    <row r="5213" spans="1:13" x14ac:dyDescent="0.3">
      <c r="A5213" s="733" t="s">
        <v>5235</v>
      </c>
      <c r="B5213" s="733" t="s">
        <v>645</v>
      </c>
      <c r="C5213" s="733" t="s">
        <v>5238</v>
      </c>
      <c r="D5213" s="733"/>
      <c r="E5213" s="733"/>
      <c r="G5213" s="733"/>
      <c r="H5213" s="733"/>
      <c r="I5213" s="733"/>
      <c r="J5213" s="733"/>
      <c r="K5213" s="733"/>
      <c r="L5213" s="733"/>
      <c r="M5213" s="733"/>
    </row>
    <row r="5214" spans="1:13" x14ac:dyDescent="0.3">
      <c r="A5214" s="733" t="s">
        <v>5235</v>
      </c>
      <c r="B5214" s="733" t="s">
        <v>645</v>
      </c>
      <c r="C5214" s="733" t="s">
        <v>5239</v>
      </c>
      <c r="D5214" s="733"/>
      <c r="E5214" s="733"/>
      <c r="G5214" s="733"/>
      <c r="H5214" s="733"/>
      <c r="I5214" s="733"/>
      <c r="J5214" s="733"/>
      <c r="K5214" s="733"/>
      <c r="L5214" s="733"/>
      <c r="M5214" s="733"/>
    </row>
    <row r="5215" spans="1:13" x14ac:dyDescent="0.3">
      <c r="A5215" s="733" t="s">
        <v>5235</v>
      </c>
      <c r="B5215" s="733" t="s">
        <v>645</v>
      </c>
      <c r="C5215" s="733" t="s">
        <v>5240</v>
      </c>
      <c r="D5215" s="733"/>
      <c r="E5215" s="733"/>
      <c r="G5215" s="733"/>
      <c r="H5215" s="733"/>
      <c r="I5215" s="733"/>
      <c r="J5215" s="733"/>
      <c r="K5215" s="733"/>
      <c r="L5215" s="733"/>
      <c r="M5215" s="733"/>
    </row>
    <row r="5216" spans="1:13" x14ac:dyDescent="0.3">
      <c r="A5216" s="733" t="s">
        <v>5235</v>
      </c>
      <c r="B5216" s="733" t="s">
        <v>645</v>
      </c>
      <c r="C5216" s="733" t="s">
        <v>5241</v>
      </c>
      <c r="D5216" s="733"/>
      <c r="E5216" s="733"/>
      <c r="G5216" s="733"/>
      <c r="H5216" s="733"/>
      <c r="I5216" s="733"/>
      <c r="J5216" s="733"/>
      <c r="K5216" s="733"/>
      <c r="L5216" s="733"/>
      <c r="M5216" s="733"/>
    </row>
    <row r="5217" spans="1:13" x14ac:dyDescent="0.3">
      <c r="A5217" s="733" t="s">
        <v>5235</v>
      </c>
      <c r="B5217" s="733" t="s">
        <v>645</v>
      </c>
      <c r="C5217" s="733" t="s">
        <v>5242</v>
      </c>
      <c r="D5217" s="733"/>
      <c r="E5217" s="733"/>
      <c r="G5217" s="733"/>
      <c r="H5217" s="733"/>
      <c r="I5217" s="733"/>
      <c r="J5217" s="733"/>
      <c r="K5217" s="733"/>
      <c r="L5217" s="733"/>
      <c r="M5217" s="733"/>
    </row>
    <row r="5218" spans="1:13" x14ac:dyDescent="0.3">
      <c r="A5218" s="733" t="s">
        <v>5235</v>
      </c>
      <c r="B5218" s="733" t="s">
        <v>645</v>
      </c>
      <c r="C5218" s="733" t="s">
        <v>5243</v>
      </c>
      <c r="D5218" s="733"/>
      <c r="E5218" s="733"/>
      <c r="G5218" s="733"/>
      <c r="H5218" s="733"/>
      <c r="I5218" s="733"/>
      <c r="J5218" s="733"/>
      <c r="K5218" s="733"/>
      <c r="L5218" s="733"/>
      <c r="M5218" s="733"/>
    </row>
    <row r="5219" spans="1:13" x14ac:dyDescent="0.3">
      <c r="A5219" s="733" t="s">
        <v>5235</v>
      </c>
      <c r="B5219" s="733" t="s">
        <v>645</v>
      </c>
      <c r="C5219" s="733" t="s">
        <v>5244</v>
      </c>
      <c r="D5219" s="733"/>
      <c r="E5219" s="733"/>
      <c r="G5219" s="733"/>
      <c r="H5219" s="733"/>
      <c r="I5219" s="733"/>
      <c r="J5219" s="733"/>
      <c r="K5219" s="733"/>
      <c r="L5219" s="733"/>
      <c r="M5219" s="733"/>
    </row>
    <row r="5220" spans="1:13" x14ac:dyDescent="0.3">
      <c r="A5220" s="733" t="s">
        <v>5235</v>
      </c>
      <c r="B5220" s="733" t="s">
        <v>645</v>
      </c>
      <c r="C5220" s="733" t="s">
        <v>5245</v>
      </c>
      <c r="D5220" s="733"/>
      <c r="E5220" s="733"/>
      <c r="G5220" s="733"/>
      <c r="H5220" s="733"/>
      <c r="I5220" s="733"/>
      <c r="J5220" s="733"/>
      <c r="K5220" s="733"/>
      <c r="L5220" s="733"/>
      <c r="M5220" s="733"/>
    </row>
    <row r="5221" spans="1:13" x14ac:dyDescent="0.3">
      <c r="A5221" s="733" t="s">
        <v>5235</v>
      </c>
      <c r="B5221" s="733" t="s">
        <v>645</v>
      </c>
      <c r="C5221" s="733" t="s">
        <v>5246</v>
      </c>
      <c r="D5221" s="733"/>
      <c r="E5221" s="733"/>
      <c r="G5221" s="733"/>
      <c r="H5221" s="733"/>
      <c r="I5221" s="733"/>
      <c r="J5221" s="733"/>
      <c r="K5221" s="733"/>
      <c r="L5221" s="733"/>
      <c r="M5221" s="733"/>
    </row>
    <row r="5222" spans="1:13" x14ac:dyDescent="0.3">
      <c r="A5222" s="733" t="s">
        <v>5235</v>
      </c>
      <c r="B5222" s="733" t="s">
        <v>645</v>
      </c>
      <c r="C5222" s="733" t="s">
        <v>5247</v>
      </c>
      <c r="D5222" s="733"/>
      <c r="E5222" s="733"/>
      <c r="G5222" s="733"/>
      <c r="H5222" s="733"/>
      <c r="I5222" s="733"/>
      <c r="J5222" s="733"/>
      <c r="K5222" s="733"/>
      <c r="L5222" s="733"/>
      <c r="M5222" s="733"/>
    </row>
    <row r="5223" spans="1:13" x14ac:dyDescent="0.3">
      <c r="A5223" s="733" t="s">
        <v>5235</v>
      </c>
      <c r="B5223" s="733" t="s">
        <v>645</v>
      </c>
      <c r="C5223" s="733" t="s">
        <v>5248</v>
      </c>
      <c r="D5223" s="733"/>
      <c r="E5223" s="733"/>
      <c r="G5223" s="733"/>
      <c r="H5223" s="733"/>
      <c r="I5223" s="733"/>
      <c r="J5223" s="733"/>
      <c r="K5223" s="733"/>
      <c r="L5223" s="733"/>
      <c r="M5223" s="733"/>
    </row>
    <row r="5224" spans="1:13" x14ac:dyDescent="0.3">
      <c r="A5224" s="733" t="s">
        <v>5235</v>
      </c>
      <c r="B5224" s="733" t="s">
        <v>645</v>
      </c>
      <c r="C5224" s="733" t="s">
        <v>5249</v>
      </c>
      <c r="D5224" s="733"/>
      <c r="E5224" s="733"/>
      <c r="G5224" s="733"/>
      <c r="H5224" s="733"/>
      <c r="I5224" s="733"/>
      <c r="J5224" s="733"/>
      <c r="K5224" s="733"/>
      <c r="L5224" s="733"/>
      <c r="M5224" s="733"/>
    </row>
    <row r="5225" spans="1:13" x14ac:dyDescent="0.3">
      <c r="A5225" s="733" t="s">
        <v>5235</v>
      </c>
      <c r="B5225" s="733" t="s">
        <v>645</v>
      </c>
      <c r="C5225" s="733" t="s">
        <v>5250</v>
      </c>
      <c r="D5225" s="733"/>
      <c r="E5225" s="733"/>
      <c r="G5225" s="733"/>
      <c r="H5225" s="733"/>
      <c r="I5225" s="733"/>
      <c r="J5225" s="733"/>
      <c r="K5225" s="733"/>
      <c r="L5225" s="733"/>
      <c r="M5225" s="733"/>
    </row>
    <row r="5226" spans="1:13" x14ac:dyDescent="0.3">
      <c r="A5226" s="733" t="s">
        <v>5235</v>
      </c>
      <c r="B5226" s="733" t="s">
        <v>664</v>
      </c>
      <c r="C5226" s="733" t="s">
        <v>5251</v>
      </c>
      <c r="D5226" s="733"/>
      <c r="E5226" s="733"/>
      <c r="G5226" s="733"/>
      <c r="H5226" s="733"/>
      <c r="I5226" s="733"/>
      <c r="J5226" s="733"/>
      <c r="K5226" s="733"/>
      <c r="L5226" s="733"/>
      <c r="M5226" s="733"/>
    </row>
    <row r="5227" spans="1:13" x14ac:dyDescent="0.3">
      <c r="A5227" s="733" t="s">
        <v>5235</v>
      </c>
      <c r="B5227" s="733" t="s">
        <v>664</v>
      </c>
      <c r="C5227" s="733" t="s">
        <v>5252</v>
      </c>
      <c r="D5227" s="733"/>
      <c r="E5227" s="733"/>
      <c r="G5227" s="733"/>
      <c r="H5227" s="733"/>
      <c r="I5227" s="733"/>
      <c r="J5227" s="733"/>
      <c r="K5227" s="733"/>
      <c r="L5227" s="733"/>
      <c r="M5227" s="733"/>
    </row>
    <row r="5228" spans="1:13" x14ac:dyDescent="0.3">
      <c r="A5228" s="733" t="s">
        <v>5235</v>
      </c>
      <c r="B5228" s="733" t="s">
        <v>664</v>
      </c>
      <c r="C5228" s="733" t="s">
        <v>5253</v>
      </c>
      <c r="D5228" s="733"/>
      <c r="E5228" s="733"/>
      <c r="G5228" s="733"/>
      <c r="H5228" s="733"/>
      <c r="I5228" s="733"/>
      <c r="J5228" s="733"/>
      <c r="K5228" s="733"/>
      <c r="L5228" s="733"/>
      <c r="M5228" s="733"/>
    </row>
    <row r="5229" spans="1:13" x14ac:dyDescent="0.3">
      <c r="A5229" s="733" t="s">
        <v>5235</v>
      </c>
      <c r="B5229" s="733" t="s">
        <v>664</v>
      </c>
      <c r="C5229" s="733" t="s">
        <v>5254</v>
      </c>
      <c r="D5229" s="733"/>
      <c r="E5229" s="733"/>
      <c r="G5229" s="733"/>
      <c r="H5229" s="733"/>
      <c r="I5229" s="733"/>
      <c r="J5229" s="733"/>
      <c r="K5229" s="733"/>
      <c r="L5229" s="733"/>
      <c r="M5229" s="733"/>
    </row>
    <row r="5230" spans="1:13" x14ac:dyDescent="0.3">
      <c r="A5230" s="733" t="s">
        <v>5235</v>
      </c>
      <c r="B5230" s="733" t="s">
        <v>664</v>
      </c>
      <c r="C5230" s="733" t="s">
        <v>5255</v>
      </c>
      <c r="D5230" s="733"/>
      <c r="E5230" s="733"/>
      <c r="G5230" s="733"/>
      <c r="H5230" s="733"/>
      <c r="I5230" s="733"/>
      <c r="J5230" s="733"/>
      <c r="K5230" s="733"/>
      <c r="L5230" s="733"/>
      <c r="M5230" s="733"/>
    </row>
    <row r="5231" spans="1:13" x14ac:dyDescent="0.3">
      <c r="A5231" s="733" t="s">
        <v>5235</v>
      </c>
      <c r="B5231" s="733" t="s">
        <v>664</v>
      </c>
      <c r="C5231" s="733" t="s">
        <v>5256</v>
      </c>
      <c r="D5231" s="733"/>
      <c r="E5231" s="733"/>
      <c r="G5231" s="733"/>
      <c r="H5231" s="733"/>
      <c r="I5231" s="733"/>
      <c r="J5231" s="733"/>
      <c r="K5231" s="733"/>
      <c r="L5231" s="733"/>
      <c r="M5231" s="733"/>
    </row>
    <row r="5232" spans="1:13" x14ac:dyDescent="0.3">
      <c r="A5232" s="733" t="s">
        <v>5235</v>
      </c>
      <c r="B5232" s="733" t="s">
        <v>664</v>
      </c>
      <c r="C5232" s="733" t="s">
        <v>5257</v>
      </c>
      <c r="D5232" s="733"/>
      <c r="E5232" s="733"/>
      <c r="G5232" s="733"/>
      <c r="H5232" s="733"/>
      <c r="I5232" s="733"/>
      <c r="J5232" s="733"/>
      <c r="K5232" s="733"/>
      <c r="L5232" s="733"/>
      <c r="M5232" s="733"/>
    </row>
    <row r="5233" spans="1:13" x14ac:dyDescent="0.3">
      <c r="A5233" s="733" t="s">
        <v>5235</v>
      </c>
      <c r="B5233" s="733" t="s">
        <v>664</v>
      </c>
      <c r="C5233" s="733" t="s">
        <v>5258</v>
      </c>
      <c r="D5233" s="733"/>
      <c r="E5233" s="733"/>
      <c r="G5233" s="733"/>
      <c r="H5233" s="733"/>
      <c r="I5233" s="733"/>
      <c r="J5233" s="733"/>
      <c r="K5233" s="733"/>
      <c r="L5233" s="733"/>
      <c r="M5233" s="733"/>
    </row>
    <row r="5234" spans="1:13" x14ac:dyDescent="0.3">
      <c r="A5234" s="733" t="s">
        <v>5235</v>
      </c>
      <c r="B5234" s="733" t="s">
        <v>664</v>
      </c>
      <c r="C5234" s="733" t="s">
        <v>5259</v>
      </c>
      <c r="D5234" s="733"/>
      <c r="E5234" s="733"/>
      <c r="G5234" s="733"/>
      <c r="H5234" s="733"/>
      <c r="I5234" s="733"/>
      <c r="J5234" s="733"/>
      <c r="K5234" s="733"/>
      <c r="L5234" s="733"/>
      <c r="M5234" s="733"/>
    </row>
    <row r="5235" spans="1:13" x14ac:dyDescent="0.3">
      <c r="A5235" s="733" t="s">
        <v>5235</v>
      </c>
      <c r="B5235" s="733" t="s">
        <v>664</v>
      </c>
      <c r="C5235" s="733" t="s">
        <v>5260</v>
      </c>
      <c r="D5235" s="733"/>
      <c r="E5235" s="733"/>
      <c r="G5235" s="733"/>
      <c r="H5235" s="733"/>
      <c r="I5235" s="733"/>
      <c r="J5235" s="733"/>
      <c r="K5235" s="733"/>
      <c r="L5235" s="733"/>
      <c r="M5235" s="733"/>
    </row>
    <row r="5236" spans="1:13" x14ac:dyDescent="0.3">
      <c r="A5236" s="733" t="s">
        <v>5235</v>
      </c>
      <c r="B5236" s="733" t="s">
        <v>664</v>
      </c>
      <c r="C5236" s="733" t="s">
        <v>5261</v>
      </c>
      <c r="D5236" s="733"/>
      <c r="E5236" s="733"/>
      <c r="G5236" s="733"/>
      <c r="H5236" s="733"/>
      <c r="I5236" s="733"/>
      <c r="J5236" s="733"/>
      <c r="K5236" s="733"/>
      <c r="L5236" s="733"/>
      <c r="M5236" s="733"/>
    </row>
    <row r="5237" spans="1:13" x14ac:dyDescent="0.3">
      <c r="A5237" s="733" t="s">
        <v>5235</v>
      </c>
      <c r="B5237" s="733" t="s">
        <v>664</v>
      </c>
      <c r="C5237" s="733" t="s">
        <v>5262</v>
      </c>
      <c r="D5237" s="733"/>
      <c r="E5237" s="733"/>
      <c r="G5237" s="733"/>
      <c r="H5237" s="733"/>
      <c r="I5237" s="733"/>
      <c r="J5237" s="733"/>
      <c r="K5237" s="733"/>
      <c r="L5237" s="733"/>
      <c r="M5237" s="733"/>
    </row>
    <row r="5238" spans="1:13" x14ac:dyDescent="0.3">
      <c r="A5238" s="733" t="s">
        <v>5235</v>
      </c>
      <c r="B5238" s="733" t="s">
        <v>664</v>
      </c>
      <c r="C5238" s="733" t="s">
        <v>5263</v>
      </c>
      <c r="D5238" s="733"/>
      <c r="E5238" s="733"/>
      <c r="G5238" s="733"/>
      <c r="H5238" s="733"/>
      <c r="I5238" s="733"/>
      <c r="J5238" s="733"/>
      <c r="K5238" s="733"/>
      <c r="L5238" s="733"/>
      <c r="M5238" s="733"/>
    </row>
    <row r="5239" spans="1:13" x14ac:dyDescent="0.3">
      <c r="A5239" s="733" t="s">
        <v>5235</v>
      </c>
      <c r="B5239" s="733" t="s">
        <v>664</v>
      </c>
      <c r="C5239" s="733" t="s">
        <v>5264</v>
      </c>
      <c r="D5239" s="733"/>
      <c r="E5239" s="733"/>
      <c r="G5239" s="733"/>
      <c r="H5239" s="733"/>
      <c r="I5239" s="733"/>
      <c r="J5239" s="733"/>
      <c r="K5239" s="733"/>
      <c r="L5239" s="733"/>
      <c r="M5239" s="733"/>
    </row>
    <row r="5240" spans="1:13" x14ac:dyDescent="0.3">
      <c r="A5240" s="733" t="s">
        <v>5235</v>
      </c>
      <c r="B5240" s="733" t="s">
        <v>664</v>
      </c>
      <c r="C5240" s="733" t="s">
        <v>5265</v>
      </c>
      <c r="D5240" s="733"/>
      <c r="E5240" s="733"/>
      <c r="G5240" s="733"/>
      <c r="H5240" s="733"/>
      <c r="I5240" s="733"/>
      <c r="J5240" s="733"/>
      <c r="K5240" s="733"/>
      <c r="L5240" s="733"/>
      <c r="M5240" s="733"/>
    </row>
    <row r="5241" spans="1:13" x14ac:dyDescent="0.3">
      <c r="A5241" s="733" t="s">
        <v>5235</v>
      </c>
      <c r="B5241" s="733" t="s">
        <v>612</v>
      </c>
      <c r="C5241" s="733" t="s">
        <v>5266</v>
      </c>
      <c r="D5241" s="733"/>
      <c r="E5241" s="733"/>
      <c r="G5241" s="733"/>
      <c r="H5241" s="733"/>
      <c r="I5241" s="733"/>
      <c r="J5241" s="733"/>
      <c r="K5241" s="733"/>
      <c r="L5241" s="733"/>
      <c r="M5241" s="733"/>
    </row>
    <row r="5242" spans="1:13" x14ac:dyDescent="0.3">
      <c r="A5242" s="733" t="s">
        <v>5235</v>
      </c>
      <c r="B5242" s="733" t="s">
        <v>612</v>
      </c>
      <c r="C5242" s="733" t="s">
        <v>5267</v>
      </c>
      <c r="D5242" s="733"/>
      <c r="E5242" s="733"/>
      <c r="G5242" s="733"/>
      <c r="H5242" s="733"/>
      <c r="I5242" s="733"/>
      <c r="J5242" s="733"/>
      <c r="K5242" s="733"/>
      <c r="L5242" s="733"/>
      <c r="M5242" s="733"/>
    </row>
    <row r="5243" spans="1:13" x14ac:dyDescent="0.3">
      <c r="A5243" s="733" t="s">
        <v>5235</v>
      </c>
      <c r="B5243" s="733" t="s">
        <v>612</v>
      </c>
      <c r="C5243" s="733" t="s">
        <v>5268</v>
      </c>
      <c r="D5243" s="733"/>
      <c r="E5243" s="733"/>
      <c r="G5243" s="733"/>
      <c r="H5243" s="733"/>
      <c r="I5243" s="733"/>
      <c r="J5243" s="733"/>
      <c r="K5243" s="733"/>
      <c r="L5243" s="733"/>
      <c r="M5243" s="733"/>
    </row>
    <row r="5244" spans="1:13" x14ac:dyDescent="0.3">
      <c r="A5244" s="733" t="s">
        <v>5235</v>
      </c>
      <c r="B5244" s="733" t="s">
        <v>612</v>
      </c>
      <c r="C5244" s="733" t="s">
        <v>5269</v>
      </c>
      <c r="D5244" s="733"/>
      <c r="E5244" s="733"/>
      <c r="G5244" s="733"/>
      <c r="H5244" s="733"/>
      <c r="I5244" s="733"/>
      <c r="J5244" s="733"/>
      <c r="K5244" s="733"/>
      <c r="L5244" s="733"/>
      <c r="M5244" s="733"/>
    </row>
    <row r="5245" spans="1:13" x14ac:dyDescent="0.3">
      <c r="A5245" s="733" t="s">
        <v>5235</v>
      </c>
      <c r="B5245" s="733" t="s">
        <v>612</v>
      </c>
      <c r="C5245" s="733" t="s">
        <v>5270</v>
      </c>
      <c r="D5245" s="733"/>
      <c r="E5245" s="733"/>
      <c r="G5245" s="733"/>
      <c r="H5245" s="733"/>
      <c r="I5245" s="733"/>
      <c r="J5245" s="733"/>
      <c r="K5245" s="733"/>
      <c r="L5245" s="733"/>
      <c r="M5245" s="733"/>
    </row>
    <row r="5246" spans="1:13" x14ac:dyDescent="0.3">
      <c r="A5246" s="733" t="s">
        <v>5235</v>
      </c>
      <c r="B5246" s="733" t="s">
        <v>612</v>
      </c>
      <c r="C5246" s="733" t="s">
        <v>5271</v>
      </c>
      <c r="D5246" s="733"/>
      <c r="E5246" s="733"/>
      <c r="G5246" s="733"/>
      <c r="H5246" s="733"/>
      <c r="I5246" s="733"/>
      <c r="J5246" s="733"/>
      <c r="K5246" s="733"/>
      <c r="L5246" s="733"/>
      <c r="M5246" s="733"/>
    </row>
    <row r="5247" spans="1:13" x14ac:dyDescent="0.3">
      <c r="A5247" s="733" t="s">
        <v>5235</v>
      </c>
      <c r="B5247" s="733" t="s">
        <v>612</v>
      </c>
      <c r="C5247" s="733" t="s">
        <v>5272</v>
      </c>
      <c r="D5247" s="733"/>
      <c r="E5247" s="733"/>
      <c r="G5247" s="733"/>
      <c r="H5247" s="733"/>
      <c r="I5247" s="733"/>
      <c r="J5247" s="733"/>
      <c r="K5247" s="733"/>
      <c r="L5247" s="733"/>
      <c r="M5247" s="733"/>
    </row>
    <row r="5248" spans="1:13" x14ac:dyDescent="0.3">
      <c r="A5248" s="733" t="s">
        <v>5235</v>
      </c>
      <c r="B5248" s="733" t="s">
        <v>612</v>
      </c>
      <c r="C5248" s="733" t="s">
        <v>5273</v>
      </c>
      <c r="D5248" s="733"/>
      <c r="E5248" s="733"/>
      <c r="G5248" s="733"/>
      <c r="H5248" s="733"/>
      <c r="I5248" s="733"/>
      <c r="J5248" s="733"/>
      <c r="K5248" s="733"/>
      <c r="L5248" s="733"/>
      <c r="M5248" s="733"/>
    </row>
    <row r="5249" spans="1:13" x14ac:dyDescent="0.3">
      <c r="A5249" s="733" t="s">
        <v>5235</v>
      </c>
      <c r="B5249" s="733" t="s">
        <v>612</v>
      </c>
      <c r="C5249" s="733" t="s">
        <v>5274</v>
      </c>
      <c r="D5249" s="733"/>
      <c r="E5249" s="733"/>
      <c r="G5249" s="733"/>
      <c r="H5249" s="733"/>
      <c r="I5249" s="733"/>
      <c r="J5249" s="733"/>
      <c r="K5249" s="733"/>
      <c r="L5249" s="733"/>
      <c r="M5249" s="733"/>
    </row>
    <row r="5250" spans="1:13" x14ac:dyDescent="0.3">
      <c r="A5250" s="733" t="s">
        <v>5235</v>
      </c>
      <c r="B5250" s="733" t="s">
        <v>612</v>
      </c>
      <c r="C5250" s="733" t="s">
        <v>5275</v>
      </c>
      <c r="D5250" s="733"/>
      <c r="E5250" s="733"/>
      <c r="G5250" s="733"/>
      <c r="H5250" s="733"/>
      <c r="I5250" s="733"/>
      <c r="J5250" s="733"/>
      <c r="K5250" s="733"/>
      <c r="L5250" s="733"/>
      <c r="M5250" s="733"/>
    </row>
    <row r="5251" spans="1:13" x14ac:dyDescent="0.3">
      <c r="A5251" s="733" t="s">
        <v>5235</v>
      </c>
      <c r="B5251" s="733" t="s">
        <v>612</v>
      </c>
      <c r="C5251" s="733" t="s">
        <v>5276</v>
      </c>
      <c r="D5251" s="733"/>
      <c r="E5251" s="733"/>
      <c r="G5251" s="733"/>
      <c r="H5251" s="733"/>
      <c r="I5251" s="733"/>
      <c r="J5251" s="733"/>
      <c r="K5251" s="733"/>
      <c r="L5251" s="733"/>
      <c r="M5251" s="733"/>
    </row>
    <row r="5252" spans="1:13" x14ac:dyDescent="0.3">
      <c r="A5252" s="733" t="s">
        <v>5235</v>
      </c>
      <c r="B5252" s="733" t="s">
        <v>612</v>
      </c>
      <c r="C5252" s="733" t="s">
        <v>5277</v>
      </c>
      <c r="D5252" s="733"/>
      <c r="E5252" s="733"/>
      <c r="G5252" s="733"/>
      <c r="H5252" s="733"/>
      <c r="I5252" s="733"/>
      <c r="J5252" s="733"/>
      <c r="K5252" s="733"/>
      <c r="L5252" s="733"/>
      <c r="M5252" s="733"/>
    </row>
    <row r="5253" spans="1:13" x14ac:dyDescent="0.3">
      <c r="A5253" s="733" t="s">
        <v>5235</v>
      </c>
      <c r="B5253" s="733" t="s">
        <v>612</v>
      </c>
      <c r="C5253" s="733" t="s">
        <v>5278</v>
      </c>
      <c r="D5253" s="733"/>
      <c r="E5253" s="733"/>
      <c r="G5253" s="733"/>
      <c r="H5253" s="733"/>
      <c r="I5253" s="733"/>
      <c r="J5253" s="733"/>
      <c r="K5253" s="733"/>
      <c r="L5253" s="733"/>
      <c r="M5253" s="733"/>
    </row>
    <row r="5254" spans="1:13" x14ac:dyDescent="0.3">
      <c r="A5254" s="733" t="s">
        <v>5235</v>
      </c>
      <c r="B5254" s="733" t="s">
        <v>612</v>
      </c>
      <c r="C5254" s="733" t="s">
        <v>5279</v>
      </c>
      <c r="D5254" s="733"/>
      <c r="E5254" s="733"/>
      <c r="G5254" s="733"/>
      <c r="H5254" s="733"/>
      <c r="I5254" s="733"/>
      <c r="J5254" s="733"/>
      <c r="K5254" s="733"/>
      <c r="L5254" s="733"/>
      <c r="M5254" s="733"/>
    </row>
    <row r="5255" spans="1:13" x14ac:dyDescent="0.3">
      <c r="A5255" s="733" t="s">
        <v>5235</v>
      </c>
      <c r="B5255" s="733" t="s">
        <v>612</v>
      </c>
      <c r="C5255" s="733" t="s">
        <v>5280</v>
      </c>
      <c r="D5255" s="733"/>
      <c r="E5255" s="733"/>
      <c r="G5255" s="733"/>
      <c r="H5255" s="733"/>
      <c r="I5255" s="733"/>
      <c r="J5255" s="733"/>
      <c r="K5255" s="733"/>
      <c r="L5255" s="733"/>
      <c r="M5255" s="733"/>
    </row>
    <row r="5256" spans="1:13" x14ac:dyDescent="0.3">
      <c r="A5256" s="733" t="s">
        <v>5281</v>
      </c>
      <c r="B5256" s="733" t="s">
        <v>645</v>
      </c>
      <c r="C5256" s="733" t="s">
        <v>5282</v>
      </c>
      <c r="D5256" s="733"/>
      <c r="E5256" s="733"/>
      <c r="G5256" s="733"/>
      <c r="H5256" s="733"/>
      <c r="I5256" s="733"/>
      <c r="J5256" s="733"/>
      <c r="K5256" s="733"/>
      <c r="L5256" s="733"/>
      <c r="M5256" s="733"/>
    </row>
    <row r="5257" spans="1:13" x14ac:dyDescent="0.3">
      <c r="A5257" s="733" t="s">
        <v>5281</v>
      </c>
      <c r="B5257" s="733" t="s">
        <v>645</v>
      </c>
      <c r="C5257" s="733" t="s">
        <v>5283</v>
      </c>
      <c r="D5257" s="733"/>
      <c r="E5257" s="733"/>
      <c r="G5257" s="733"/>
      <c r="H5257" s="733"/>
      <c r="I5257" s="733"/>
      <c r="J5257" s="733"/>
      <c r="K5257" s="733"/>
      <c r="L5257" s="733"/>
      <c r="M5257" s="733"/>
    </row>
    <row r="5258" spans="1:13" x14ac:dyDescent="0.3">
      <c r="A5258" s="733" t="s">
        <v>5281</v>
      </c>
      <c r="B5258" s="733" t="s">
        <v>645</v>
      </c>
      <c r="C5258" s="733" t="s">
        <v>5284</v>
      </c>
      <c r="D5258" s="733"/>
      <c r="E5258" s="733"/>
      <c r="G5258" s="733"/>
      <c r="H5258" s="733"/>
      <c r="I5258" s="733"/>
      <c r="J5258" s="733"/>
      <c r="K5258" s="733"/>
      <c r="L5258" s="733"/>
      <c r="M5258" s="733"/>
    </row>
    <row r="5259" spans="1:13" x14ac:dyDescent="0.3">
      <c r="A5259" s="733" t="s">
        <v>5281</v>
      </c>
      <c r="B5259" s="733" t="s">
        <v>645</v>
      </c>
      <c r="C5259" s="733" t="s">
        <v>5285</v>
      </c>
      <c r="D5259" s="733"/>
      <c r="E5259" s="733"/>
      <c r="G5259" s="733"/>
      <c r="H5259" s="733"/>
      <c r="I5259" s="733"/>
      <c r="J5259" s="733"/>
      <c r="K5259" s="733"/>
      <c r="L5259" s="733"/>
      <c r="M5259" s="733"/>
    </row>
    <row r="5260" spans="1:13" x14ac:dyDescent="0.3">
      <c r="A5260" s="733" t="s">
        <v>5281</v>
      </c>
      <c r="B5260" s="733" t="s">
        <v>645</v>
      </c>
      <c r="C5260" s="733" t="s">
        <v>5286</v>
      </c>
      <c r="D5260" s="733"/>
      <c r="E5260" s="733"/>
      <c r="G5260" s="733"/>
      <c r="H5260" s="733"/>
      <c r="I5260" s="733"/>
      <c r="J5260" s="733"/>
      <c r="K5260" s="733"/>
      <c r="L5260" s="733"/>
      <c r="M5260" s="733"/>
    </row>
    <row r="5261" spans="1:13" x14ac:dyDescent="0.3">
      <c r="A5261" s="733" t="s">
        <v>5281</v>
      </c>
      <c r="B5261" s="733" t="s">
        <v>645</v>
      </c>
      <c r="C5261" s="733" t="s">
        <v>5287</v>
      </c>
      <c r="D5261" s="733"/>
      <c r="E5261" s="733"/>
      <c r="G5261" s="733"/>
      <c r="H5261" s="733"/>
      <c r="I5261" s="733"/>
      <c r="J5261" s="733"/>
      <c r="K5261" s="733"/>
      <c r="L5261" s="733"/>
      <c r="M5261" s="733"/>
    </row>
    <row r="5262" spans="1:13" x14ac:dyDescent="0.3">
      <c r="A5262" s="733" t="s">
        <v>5281</v>
      </c>
      <c r="B5262" s="733" t="s">
        <v>645</v>
      </c>
      <c r="C5262" s="733" t="s">
        <v>5288</v>
      </c>
      <c r="D5262" s="733"/>
      <c r="E5262" s="733"/>
      <c r="G5262" s="733"/>
      <c r="H5262" s="733"/>
      <c r="I5262" s="733"/>
      <c r="J5262" s="733"/>
      <c r="K5262" s="733"/>
      <c r="L5262" s="733"/>
      <c r="M5262" s="733"/>
    </row>
    <row r="5263" spans="1:13" x14ac:dyDescent="0.3">
      <c r="A5263" s="733" t="s">
        <v>5281</v>
      </c>
      <c r="B5263" s="733" t="s">
        <v>645</v>
      </c>
      <c r="C5263" s="733" t="s">
        <v>5289</v>
      </c>
      <c r="D5263" s="733"/>
      <c r="E5263" s="733"/>
      <c r="G5263" s="733"/>
      <c r="H5263" s="733"/>
      <c r="I5263" s="733"/>
      <c r="J5263" s="733"/>
      <c r="K5263" s="733"/>
      <c r="L5263" s="733"/>
      <c r="M5263" s="733"/>
    </row>
    <row r="5264" spans="1:13" x14ac:dyDescent="0.3">
      <c r="A5264" s="733" t="s">
        <v>5281</v>
      </c>
      <c r="B5264" s="733" t="s">
        <v>645</v>
      </c>
      <c r="C5264" s="733" t="s">
        <v>5290</v>
      </c>
      <c r="D5264" s="733"/>
      <c r="E5264" s="733"/>
      <c r="G5264" s="733"/>
      <c r="H5264" s="733"/>
      <c r="I5264" s="733"/>
      <c r="J5264" s="733"/>
      <c r="K5264" s="733"/>
      <c r="L5264" s="733"/>
      <c r="M5264" s="733"/>
    </row>
    <row r="5265" spans="1:13" x14ac:dyDescent="0.3">
      <c r="A5265" s="733" t="s">
        <v>5281</v>
      </c>
      <c r="B5265" s="733" t="s">
        <v>645</v>
      </c>
      <c r="C5265" s="733" t="s">
        <v>5291</v>
      </c>
      <c r="D5265" s="733"/>
      <c r="E5265" s="733"/>
      <c r="G5265" s="733"/>
      <c r="H5265" s="733"/>
      <c r="I5265" s="733"/>
      <c r="J5265" s="733"/>
      <c r="K5265" s="733"/>
      <c r="L5265" s="733"/>
      <c r="M5265" s="733"/>
    </row>
    <row r="5266" spans="1:13" x14ac:dyDescent="0.3">
      <c r="A5266" s="733" t="s">
        <v>5281</v>
      </c>
      <c r="B5266" s="733" t="s">
        <v>645</v>
      </c>
      <c r="C5266" s="733" t="s">
        <v>5292</v>
      </c>
      <c r="D5266" s="733"/>
      <c r="E5266" s="733"/>
      <c r="G5266" s="733"/>
      <c r="H5266" s="733"/>
      <c r="I5266" s="733"/>
      <c r="J5266" s="733"/>
      <c r="K5266" s="733"/>
      <c r="L5266" s="733"/>
      <c r="M5266" s="733"/>
    </row>
    <row r="5267" spans="1:13" x14ac:dyDescent="0.3">
      <c r="A5267" s="733" t="s">
        <v>5281</v>
      </c>
      <c r="B5267" s="733" t="s">
        <v>645</v>
      </c>
      <c r="C5267" s="733" t="s">
        <v>5293</v>
      </c>
      <c r="D5267" s="733"/>
      <c r="E5267" s="733"/>
      <c r="G5267" s="733"/>
      <c r="H5267" s="733"/>
      <c r="I5267" s="733"/>
      <c r="J5267" s="733"/>
      <c r="K5267" s="733"/>
      <c r="L5267" s="733"/>
      <c r="M5267" s="733"/>
    </row>
    <row r="5268" spans="1:13" x14ac:dyDescent="0.3">
      <c r="A5268" s="733" t="s">
        <v>5281</v>
      </c>
      <c r="B5268" s="733" t="s">
        <v>645</v>
      </c>
      <c r="C5268" s="733" t="s">
        <v>5294</v>
      </c>
      <c r="D5268" s="733"/>
      <c r="E5268" s="733"/>
      <c r="G5268" s="733"/>
      <c r="H5268" s="733"/>
      <c r="I5268" s="733"/>
      <c r="J5268" s="733"/>
      <c r="K5268" s="733"/>
      <c r="L5268" s="733"/>
      <c r="M5268" s="733"/>
    </row>
    <row r="5269" spans="1:13" x14ac:dyDescent="0.3">
      <c r="A5269" s="733" t="s">
        <v>5281</v>
      </c>
      <c r="B5269" s="733" t="s">
        <v>645</v>
      </c>
      <c r="C5269" s="733" t="s">
        <v>5295</v>
      </c>
      <c r="D5269" s="733"/>
      <c r="E5269" s="733"/>
      <c r="G5269" s="733"/>
      <c r="H5269" s="733"/>
      <c r="I5269" s="733"/>
      <c r="J5269" s="733"/>
      <c r="K5269" s="733"/>
      <c r="L5269" s="733"/>
      <c r="M5269" s="733"/>
    </row>
    <row r="5270" spans="1:13" x14ac:dyDescent="0.3">
      <c r="A5270" s="733" t="s">
        <v>5281</v>
      </c>
      <c r="B5270" s="733" t="s">
        <v>645</v>
      </c>
      <c r="C5270" s="733" t="s">
        <v>5296</v>
      </c>
      <c r="D5270" s="733"/>
      <c r="E5270" s="733"/>
      <c r="G5270" s="733"/>
      <c r="H5270" s="733"/>
      <c r="I5270" s="733"/>
      <c r="J5270" s="733"/>
      <c r="K5270" s="733"/>
      <c r="L5270" s="733"/>
      <c r="M5270" s="733"/>
    </row>
    <row r="5271" spans="1:13" x14ac:dyDescent="0.3">
      <c r="A5271" s="733" t="s">
        <v>5281</v>
      </c>
      <c r="B5271" s="733" t="s">
        <v>664</v>
      </c>
      <c r="C5271" s="733" t="s">
        <v>5297</v>
      </c>
      <c r="D5271" s="733"/>
      <c r="E5271" s="733"/>
      <c r="G5271" s="733"/>
      <c r="H5271" s="733"/>
      <c r="I5271" s="733"/>
      <c r="J5271" s="733"/>
      <c r="K5271" s="733"/>
      <c r="L5271" s="733"/>
      <c r="M5271" s="733"/>
    </row>
    <row r="5272" spans="1:13" x14ac:dyDescent="0.3">
      <c r="A5272" s="733" t="s">
        <v>5281</v>
      </c>
      <c r="B5272" s="733" t="s">
        <v>664</v>
      </c>
      <c r="C5272" s="733" t="s">
        <v>5298</v>
      </c>
      <c r="D5272" s="733"/>
      <c r="E5272" s="733"/>
      <c r="G5272" s="733"/>
      <c r="H5272" s="733"/>
      <c r="I5272" s="733"/>
      <c r="J5272" s="733"/>
      <c r="K5272" s="733"/>
      <c r="L5272" s="733"/>
      <c r="M5272" s="733"/>
    </row>
    <row r="5273" spans="1:13" x14ac:dyDescent="0.3">
      <c r="A5273" s="733" t="s">
        <v>5281</v>
      </c>
      <c r="B5273" s="733" t="s">
        <v>664</v>
      </c>
      <c r="C5273" s="733" t="s">
        <v>5299</v>
      </c>
      <c r="D5273" s="733"/>
      <c r="E5273" s="733"/>
      <c r="G5273" s="733"/>
      <c r="H5273" s="733"/>
      <c r="I5273" s="733"/>
      <c r="J5273" s="733"/>
      <c r="K5273" s="733"/>
      <c r="L5273" s="733"/>
      <c r="M5273" s="733"/>
    </row>
    <row r="5274" spans="1:13" x14ac:dyDescent="0.3">
      <c r="A5274" s="733" t="s">
        <v>5281</v>
      </c>
      <c r="B5274" s="733" t="s">
        <v>664</v>
      </c>
      <c r="C5274" s="733" t="s">
        <v>5300</v>
      </c>
      <c r="D5274" s="733"/>
      <c r="E5274" s="733"/>
      <c r="G5274" s="733"/>
      <c r="H5274" s="733"/>
      <c r="I5274" s="733"/>
      <c r="J5274" s="733"/>
      <c r="K5274" s="733"/>
      <c r="L5274" s="733"/>
      <c r="M5274" s="733"/>
    </row>
    <row r="5275" spans="1:13" x14ac:dyDescent="0.3">
      <c r="A5275" s="733" t="s">
        <v>5281</v>
      </c>
      <c r="B5275" s="733" t="s">
        <v>664</v>
      </c>
      <c r="C5275" s="733" t="s">
        <v>5301</v>
      </c>
      <c r="D5275" s="733"/>
      <c r="E5275" s="733"/>
      <c r="G5275" s="733"/>
      <c r="H5275" s="733"/>
      <c r="I5275" s="733"/>
      <c r="J5275" s="733"/>
      <c r="K5275" s="733"/>
      <c r="L5275" s="733"/>
      <c r="M5275" s="733"/>
    </row>
    <row r="5276" spans="1:13" x14ac:dyDescent="0.3">
      <c r="A5276" s="733" t="s">
        <v>5281</v>
      </c>
      <c r="B5276" s="733" t="s">
        <v>664</v>
      </c>
      <c r="C5276" s="733" t="s">
        <v>5302</v>
      </c>
      <c r="D5276" s="733"/>
      <c r="E5276" s="733"/>
      <c r="G5276" s="733"/>
      <c r="H5276" s="733"/>
      <c r="I5276" s="733"/>
      <c r="J5276" s="733"/>
      <c r="K5276" s="733"/>
      <c r="L5276" s="733"/>
      <c r="M5276" s="733"/>
    </row>
    <row r="5277" spans="1:13" x14ac:dyDescent="0.3">
      <c r="A5277" s="733" t="s">
        <v>5281</v>
      </c>
      <c r="B5277" s="733" t="s">
        <v>664</v>
      </c>
      <c r="C5277" s="733" t="s">
        <v>5303</v>
      </c>
      <c r="D5277" s="733"/>
      <c r="E5277" s="733"/>
      <c r="G5277" s="733"/>
      <c r="H5277" s="733"/>
      <c r="I5277" s="733"/>
      <c r="J5277" s="733"/>
      <c r="K5277" s="733"/>
      <c r="L5277" s="733"/>
      <c r="M5277" s="733"/>
    </row>
    <row r="5278" spans="1:13" x14ac:dyDescent="0.3">
      <c r="A5278" s="733" t="s">
        <v>5281</v>
      </c>
      <c r="B5278" s="733" t="s">
        <v>664</v>
      </c>
      <c r="C5278" s="733" t="s">
        <v>5304</v>
      </c>
      <c r="D5278" s="733"/>
      <c r="E5278" s="733"/>
      <c r="G5278" s="733"/>
      <c r="H5278" s="733"/>
      <c r="I5278" s="733"/>
      <c r="J5278" s="733"/>
      <c r="K5278" s="733"/>
      <c r="L5278" s="733"/>
      <c r="M5278" s="733"/>
    </row>
    <row r="5279" spans="1:13" x14ac:dyDescent="0.3">
      <c r="A5279" s="733" t="s">
        <v>5281</v>
      </c>
      <c r="B5279" s="733" t="s">
        <v>664</v>
      </c>
      <c r="C5279" s="733" t="s">
        <v>5305</v>
      </c>
      <c r="D5279" s="733"/>
      <c r="E5279" s="733"/>
      <c r="G5279" s="733"/>
      <c r="H5279" s="733"/>
      <c r="I5279" s="733"/>
      <c r="J5279" s="733"/>
      <c r="K5279" s="733"/>
      <c r="L5279" s="733"/>
      <c r="M5279" s="733"/>
    </row>
    <row r="5280" spans="1:13" x14ac:dyDescent="0.3">
      <c r="A5280" s="733" t="s">
        <v>5281</v>
      </c>
      <c r="B5280" s="733" t="s">
        <v>664</v>
      </c>
      <c r="C5280" s="733" t="s">
        <v>5306</v>
      </c>
      <c r="D5280" s="733"/>
      <c r="E5280" s="733"/>
      <c r="G5280" s="733"/>
      <c r="H5280" s="733"/>
      <c r="I5280" s="733"/>
      <c r="J5280" s="733"/>
      <c r="K5280" s="733"/>
      <c r="L5280" s="733"/>
      <c r="M5280" s="733"/>
    </row>
    <row r="5281" spans="1:13" x14ac:dyDescent="0.3">
      <c r="A5281" s="733" t="s">
        <v>5281</v>
      </c>
      <c r="B5281" s="733" t="s">
        <v>664</v>
      </c>
      <c r="C5281" s="733" t="s">
        <v>5307</v>
      </c>
      <c r="D5281" s="733"/>
      <c r="E5281" s="733"/>
      <c r="G5281" s="733"/>
      <c r="H5281" s="733"/>
      <c r="I5281" s="733"/>
      <c r="J5281" s="733"/>
      <c r="K5281" s="733"/>
      <c r="L5281" s="733"/>
      <c r="M5281" s="733"/>
    </row>
    <row r="5282" spans="1:13" x14ac:dyDescent="0.3">
      <c r="A5282" s="733" t="s">
        <v>5281</v>
      </c>
      <c r="B5282" s="733" t="s">
        <v>664</v>
      </c>
      <c r="C5282" s="733" t="s">
        <v>5308</v>
      </c>
      <c r="D5282" s="733"/>
      <c r="E5282" s="733"/>
      <c r="G5282" s="733"/>
      <c r="H5282" s="733"/>
      <c r="I5282" s="733"/>
      <c r="J5282" s="733"/>
      <c r="K5282" s="733"/>
      <c r="L5282" s="733"/>
      <c r="M5282" s="733"/>
    </row>
    <row r="5283" spans="1:13" x14ac:dyDescent="0.3">
      <c r="A5283" s="733" t="s">
        <v>5281</v>
      </c>
      <c r="B5283" s="733" t="s">
        <v>664</v>
      </c>
      <c r="C5283" s="733" t="s">
        <v>5309</v>
      </c>
      <c r="D5283" s="733"/>
      <c r="E5283" s="733"/>
      <c r="G5283" s="733"/>
      <c r="H5283" s="733"/>
      <c r="I5283" s="733"/>
      <c r="J5283" s="733"/>
      <c r="K5283" s="733"/>
      <c r="L5283" s="733"/>
      <c r="M5283" s="733"/>
    </row>
    <row r="5284" spans="1:13" x14ac:dyDescent="0.3">
      <c r="A5284" s="733" t="s">
        <v>5281</v>
      </c>
      <c r="B5284" s="733" t="s">
        <v>664</v>
      </c>
      <c r="C5284" s="733" t="s">
        <v>5310</v>
      </c>
      <c r="D5284" s="733"/>
      <c r="E5284" s="733"/>
      <c r="G5284" s="733"/>
      <c r="H5284" s="733"/>
      <c r="I5284" s="733"/>
      <c r="J5284" s="733"/>
      <c r="K5284" s="733"/>
      <c r="L5284" s="733"/>
      <c r="M5284" s="733"/>
    </row>
    <row r="5285" spans="1:13" x14ac:dyDescent="0.3">
      <c r="A5285" s="733" t="s">
        <v>5281</v>
      </c>
      <c r="B5285" s="733" t="s">
        <v>664</v>
      </c>
      <c r="C5285" s="733" t="s">
        <v>5311</v>
      </c>
      <c r="D5285" s="733"/>
      <c r="E5285" s="733"/>
      <c r="G5285" s="733"/>
      <c r="H5285" s="733"/>
      <c r="I5285" s="733"/>
      <c r="J5285" s="733"/>
      <c r="K5285" s="733"/>
      <c r="L5285" s="733"/>
      <c r="M5285" s="733"/>
    </row>
    <row r="5286" spans="1:13" x14ac:dyDescent="0.3">
      <c r="A5286" s="733" t="s">
        <v>5281</v>
      </c>
      <c r="B5286" s="733" t="s">
        <v>612</v>
      </c>
      <c r="C5286" s="733" t="s">
        <v>5312</v>
      </c>
      <c r="D5286" s="733"/>
      <c r="E5286" s="733"/>
      <c r="G5286" s="733"/>
      <c r="H5286" s="733"/>
      <c r="I5286" s="733"/>
      <c r="J5286" s="733"/>
      <c r="K5286" s="733"/>
      <c r="L5286" s="733"/>
      <c r="M5286" s="733"/>
    </row>
    <row r="5287" spans="1:13" x14ac:dyDescent="0.3">
      <c r="A5287" s="733" t="s">
        <v>5281</v>
      </c>
      <c r="B5287" s="733" t="s">
        <v>612</v>
      </c>
      <c r="C5287" s="733" t="s">
        <v>5313</v>
      </c>
      <c r="D5287" s="733"/>
      <c r="E5287" s="733"/>
      <c r="G5287" s="733"/>
      <c r="H5287" s="733"/>
      <c r="I5287" s="733"/>
      <c r="J5287" s="733"/>
      <c r="K5287" s="733"/>
      <c r="L5287" s="733"/>
      <c r="M5287" s="733"/>
    </row>
    <row r="5288" spans="1:13" x14ac:dyDescent="0.3">
      <c r="A5288" s="733" t="s">
        <v>5281</v>
      </c>
      <c r="B5288" s="733" t="s">
        <v>612</v>
      </c>
      <c r="C5288" s="733" t="s">
        <v>5314</v>
      </c>
      <c r="D5288" s="733"/>
      <c r="E5288" s="733"/>
      <c r="G5288" s="733"/>
      <c r="H5288" s="733"/>
      <c r="I5288" s="733"/>
      <c r="J5288" s="733"/>
      <c r="K5288" s="733"/>
      <c r="L5288" s="733"/>
      <c r="M5288" s="733"/>
    </row>
    <row r="5289" spans="1:13" x14ac:dyDescent="0.3">
      <c r="A5289" s="733" t="s">
        <v>5281</v>
      </c>
      <c r="B5289" s="733" t="s">
        <v>612</v>
      </c>
      <c r="C5289" s="733" t="s">
        <v>5315</v>
      </c>
      <c r="D5289" s="733"/>
      <c r="E5289" s="733"/>
      <c r="G5289" s="733"/>
      <c r="H5289" s="733"/>
      <c r="I5289" s="733"/>
      <c r="J5289" s="733"/>
      <c r="K5289" s="733"/>
      <c r="L5289" s="733"/>
      <c r="M5289" s="733"/>
    </row>
    <row r="5290" spans="1:13" x14ac:dyDescent="0.3">
      <c r="A5290" s="733" t="s">
        <v>5281</v>
      </c>
      <c r="B5290" s="733" t="s">
        <v>612</v>
      </c>
      <c r="C5290" s="733" t="s">
        <v>5316</v>
      </c>
      <c r="D5290" s="733"/>
      <c r="E5290" s="733"/>
      <c r="G5290" s="733"/>
      <c r="H5290" s="733"/>
      <c r="I5290" s="733"/>
      <c r="J5290" s="733"/>
      <c r="K5290" s="733"/>
      <c r="L5290" s="733"/>
      <c r="M5290" s="733"/>
    </row>
    <row r="5291" spans="1:13" x14ac:dyDescent="0.3">
      <c r="A5291" s="733" t="s">
        <v>5281</v>
      </c>
      <c r="B5291" s="733" t="s">
        <v>612</v>
      </c>
      <c r="C5291" s="733" t="s">
        <v>5317</v>
      </c>
      <c r="D5291" s="733"/>
      <c r="E5291" s="733"/>
      <c r="G5291" s="733"/>
      <c r="H5291" s="733"/>
      <c r="I5291" s="733"/>
      <c r="J5291" s="733"/>
      <c r="K5291" s="733"/>
      <c r="L5291" s="733"/>
      <c r="M5291" s="733"/>
    </row>
    <row r="5292" spans="1:13" x14ac:dyDescent="0.3">
      <c r="A5292" s="733" t="s">
        <v>5281</v>
      </c>
      <c r="B5292" s="733" t="s">
        <v>612</v>
      </c>
      <c r="C5292" s="733" t="s">
        <v>5318</v>
      </c>
      <c r="D5292" s="733"/>
      <c r="E5292" s="733"/>
      <c r="G5292" s="733"/>
      <c r="H5292" s="733"/>
      <c r="I5292" s="733"/>
      <c r="J5292" s="733"/>
      <c r="K5292" s="733"/>
      <c r="L5292" s="733"/>
      <c r="M5292" s="733"/>
    </row>
    <row r="5293" spans="1:13" x14ac:dyDescent="0.3">
      <c r="A5293" s="733" t="s">
        <v>5281</v>
      </c>
      <c r="B5293" s="733" t="s">
        <v>612</v>
      </c>
      <c r="C5293" s="733" t="s">
        <v>5319</v>
      </c>
      <c r="D5293" s="733"/>
      <c r="E5293" s="733"/>
      <c r="G5293" s="733"/>
      <c r="H5293" s="733"/>
      <c r="I5293" s="733"/>
      <c r="J5293" s="733"/>
      <c r="K5293" s="733"/>
      <c r="L5293" s="733"/>
      <c r="M5293" s="733"/>
    </row>
    <row r="5294" spans="1:13" x14ac:dyDescent="0.3">
      <c r="A5294" s="733" t="s">
        <v>5281</v>
      </c>
      <c r="B5294" s="733" t="s">
        <v>612</v>
      </c>
      <c r="C5294" s="733" t="s">
        <v>5320</v>
      </c>
      <c r="D5294" s="733"/>
      <c r="E5294" s="733"/>
      <c r="G5294" s="733"/>
      <c r="H5294" s="733"/>
      <c r="I5294" s="733"/>
      <c r="J5294" s="733"/>
      <c r="K5294" s="733"/>
      <c r="L5294" s="733"/>
      <c r="M5294" s="733"/>
    </row>
    <row r="5295" spans="1:13" x14ac:dyDescent="0.3">
      <c r="A5295" s="733" t="s">
        <v>5281</v>
      </c>
      <c r="B5295" s="733" t="s">
        <v>612</v>
      </c>
      <c r="C5295" s="733" t="s">
        <v>5321</v>
      </c>
      <c r="D5295" s="733"/>
      <c r="E5295" s="733"/>
      <c r="G5295" s="733"/>
      <c r="H5295" s="733"/>
      <c r="I5295" s="733"/>
      <c r="J5295" s="733"/>
      <c r="K5295" s="733"/>
      <c r="L5295" s="733"/>
      <c r="M5295" s="733"/>
    </row>
    <row r="5296" spans="1:13" x14ac:dyDescent="0.3">
      <c r="A5296" s="733" t="s">
        <v>5281</v>
      </c>
      <c r="B5296" s="733" t="s">
        <v>612</v>
      </c>
      <c r="C5296" s="733" t="s">
        <v>5322</v>
      </c>
      <c r="D5296" s="733"/>
      <c r="E5296" s="733"/>
      <c r="G5296" s="733"/>
      <c r="H5296" s="733"/>
      <c r="I5296" s="733"/>
      <c r="J5296" s="733"/>
      <c r="K5296" s="733"/>
      <c r="L5296" s="733"/>
      <c r="M5296" s="733"/>
    </row>
    <row r="5297" spans="1:13" x14ac:dyDescent="0.3">
      <c r="A5297" s="733" t="s">
        <v>5281</v>
      </c>
      <c r="B5297" s="733" t="s">
        <v>612</v>
      </c>
      <c r="C5297" s="733" t="s">
        <v>5323</v>
      </c>
      <c r="D5297" s="733"/>
      <c r="E5297" s="733"/>
      <c r="G5297" s="733"/>
      <c r="H5297" s="733"/>
      <c r="I5297" s="733"/>
      <c r="J5297" s="733"/>
      <c r="K5297" s="733"/>
      <c r="L5297" s="733"/>
      <c r="M5297" s="733"/>
    </row>
    <row r="5298" spans="1:13" x14ac:dyDescent="0.3">
      <c r="A5298" s="733" t="s">
        <v>5281</v>
      </c>
      <c r="B5298" s="733" t="s">
        <v>612</v>
      </c>
      <c r="C5298" s="733" t="s">
        <v>5324</v>
      </c>
      <c r="D5298" s="733"/>
      <c r="E5298" s="733"/>
      <c r="G5298" s="733"/>
      <c r="H5298" s="733"/>
      <c r="I5298" s="733"/>
      <c r="J5298" s="733"/>
      <c r="K5298" s="733"/>
      <c r="L5298" s="733"/>
      <c r="M5298" s="733"/>
    </row>
    <row r="5299" spans="1:13" x14ac:dyDescent="0.3">
      <c r="A5299" s="733" t="s">
        <v>5281</v>
      </c>
      <c r="B5299" s="733" t="s">
        <v>612</v>
      </c>
      <c r="C5299" s="733" t="s">
        <v>5325</v>
      </c>
      <c r="D5299" s="733"/>
      <c r="E5299" s="733"/>
      <c r="G5299" s="733"/>
      <c r="H5299" s="733"/>
      <c r="I5299" s="733"/>
      <c r="J5299" s="733"/>
      <c r="K5299" s="733"/>
      <c r="L5299" s="733"/>
      <c r="M5299" s="733"/>
    </row>
    <row r="5300" spans="1:13" x14ac:dyDescent="0.3">
      <c r="A5300" s="733" t="s">
        <v>5281</v>
      </c>
      <c r="B5300" s="733" t="s">
        <v>612</v>
      </c>
      <c r="C5300" s="733" t="s">
        <v>5326</v>
      </c>
      <c r="D5300" s="733"/>
      <c r="E5300" s="733"/>
      <c r="G5300" s="733"/>
      <c r="H5300" s="733"/>
      <c r="I5300" s="733"/>
      <c r="J5300" s="733"/>
      <c r="K5300" s="733"/>
      <c r="L5300" s="733"/>
      <c r="M5300" s="733"/>
    </row>
    <row r="5301" spans="1:13" x14ac:dyDescent="0.3">
      <c r="A5301" s="733" t="s">
        <v>5327</v>
      </c>
      <c r="B5301" s="733" t="s">
        <v>645</v>
      </c>
      <c r="C5301" s="738" t="s">
        <v>5328</v>
      </c>
      <c r="D5301" s="733"/>
      <c r="E5301" s="733"/>
      <c r="G5301" s="733"/>
      <c r="H5301" s="733"/>
      <c r="I5301" s="733"/>
      <c r="J5301" s="733"/>
      <c r="K5301" s="733"/>
      <c r="L5301" s="733"/>
      <c r="M5301" s="733"/>
    </row>
    <row r="5302" spans="1:13" x14ac:dyDescent="0.3">
      <c r="A5302" s="733" t="s">
        <v>5327</v>
      </c>
      <c r="B5302" s="733" t="s">
        <v>645</v>
      </c>
      <c r="C5302" s="738" t="s">
        <v>5329</v>
      </c>
      <c r="D5302" s="733"/>
      <c r="E5302" s="733"/>
      <c r="G5302" s="733"/>
      <c r="H5302" s="733"/>
      <c r="I5302" s="733"/>
      <c r="J5302" s="733"/>
      <c r="K5302" s="733"/>
      <c r="L5302" s="733"/>
      <c r="M5302" s="733"/>
    </row>
    <row r="5303" spans="1:13" x14ac:dyDescent="0.3">
      <c r="A5303" s="733" t="s">
        <v>5327</v>
      </c>
      <c r="B5303" s="733" t="s">
        <v>645</v>
      </c>
      <c r="C5303" s="738" t="s">
        <v>5330</v>
      </c>
      <c r="D5303" s="733"/>
      <c r="E5303" s="733"/>
      <c r="G5303" s="733"/>
      <c r="H5303" s="733"/>
      <c r="I5303" s="733"/>
      <c r="J5303" s="733"/>
      <c r="K5303" s="733"/>
      <c r="L5303" s="733"/>
      <c r="M5303" s="733"/>
    </row>
    <row r="5304" spans="1:13" x14ac:dyDescent="0.3">
      <c r="A5304" s="733" t="s">
        <v>5327</v>
      </c>
      <c r="B5304" s="733" t="s">
        <v>645</v>
      </c>
      <c r="C5304" s="738" t="s">
        <v>5331</v>
      </c>
      <c r="D5304" s="733"/>
      <c r="E5304" s="733"/>
      <c r="G5304" s="733"/>
      <c r="H5304" s="733"/>
      <c r="I5304" s="733"/>
      <c r="J5304" s="733"/>
      <c r="K5304" s="733"/>
      <c r="L5304" s="733"/>
      <c r="M5304" s="733"/>
    </row>
    <row r="5305" spans="1:13" x14ac:dyDescent="0.3">
      <c r="A5305" s="733" t="s">
        <v>5327</v>
      </c>
      <c r="B5305" s="733" t="s">
        <v>645</v>
      </c>
      <c r="C5305" s="738" t="s">
        <v>5332</v>
      </c>
      <c r="D5305" s="733"/>
      <c r="E5305" s="733"/>
      <c r="G5305" s="733"/>
      <c r="H5305" s="733"/>
      <c r="I5305" s="733"/>
      <c r="J5305" s="733"/>
      <c r="K5305" s="733"/>
      <c r="L5305" s="733"/>
      <c r="M5305" s="733"/>
    </row>
    <row r="5306" spans="1:13" x14ac:dyDescent="0.3">
      <c r="A5306" s="733" t="s">
        <v>5327</v>
      </c>
      <c r="B5306" s="733" t="s">
        <v>645</v>
      </c>
      <c r="C5306" s="738" t="s">
        <v>5333</v>
      </c>
      <c r="D5306" s="733"/>
      <c r="E5306" s="733"/>
      <c r="G5306" s="733"/>
      <c r="H5306" s="733"/>
      <c r="I5306" s="733"/>
      <c r="J5306" s="733"/>
      <c r="K5306" s="733"/>
      <c r="L5306" s="733"/>
      <c r="M5306" s="733"/>
    </row>
    <row r="5307" spans="1:13" x14ac:dyDescent="0.3">
      <c r="A5307" s="733" t="s">
        <v>5327</v>
      </c>
      <c r="B5307" s="733" t="s">
        <v>645</v>
      </c>
      <c r="C5307" s="738" t="s">
        <v>5334</v>
      </c>
      <c r="D5307" s="733"/>
      <c r="E5307" s="733"/>
      <c r="G5307" s="733"/>
      <c r="H5307" s="733"/>
      <c r="I5307" s="733"/>
      <c r="J5307" s="733"/>
      <c r="K5307" s="733"/>
      <c r="L5307" s="733"/>
      <c r="M5307" s="733"/>
    </row>
    <row r="5308" spans="1:13" x14ac:dyDescent="0.3">
      <c r="A5308" s="733" t="s">
        <v>5327</v>
      </c>
      <c r="B5308" s="733" t="s">
        <v>645</v>
      </c>
      <c r="C5308" s="738" t="s">
        <v>5335</v>
      </c>
      <c r="D5308" s="733"/>
      <c r="E5308" s="733"/>
      <c r="G5308" s="733"/>
      <c r="H5308" s="733"/>
      <c r="I5308" s="733"/>
      <c r="J5308" s="733"/>
      <c r="K5308" s="733"/>
      <c r="L5308" s="733"/>
      <c r="M5308" s="733"/>
    </row>
    <row r="5309" spans="1:13" x14ac:dyDescent="0.3">
      <c r="A5309" s="733" t="s">
        <v>5327</v>
      </c>
      <c r="B5309" s="733" t="s">
        <v>645</v>
      </c>
      <c r="C5309" s="738" t="s">
        <v>5336</v>
      </c>
      <c r="D5309" s="733"/>
      <c r="E5309" s="733"/>
      <c r="G5309" s="733"/>
      <c r="H5309" s="733"/>
      <c r="I5309" s="733"/>
      <c r="J5309" s="733"/>
      <c r="K5309" s="733"/>
      <c r="L5309" s="733"/>
      <c r="M5309" s="733"/>
    </row>
    <row r="5310" spans="1:13" x14ac:dyDescent="0.3">
      <c r="A5310" s="733" t="s">
        <v>5327</v>
      </c>
      <c r="B5310" s="733" t="s">
        <v>645</v>
      </c>
      <c r="C5310" s="738" t="s">
        <v>5337</v>
      </c>
      <c r="D5310" s="733"/>
      <c r="E5310" s="733"/>
      <c r="G5310" s="733"/>
      <c r="H5310" s="733"/>
      <c r="I5310" s="733"/>
      <c r="J5310" s="733"/>
      <c r="K5310" s="733"/>
      <c r="L5310" s="733"/>
      <c r="M5310" s="733"/>
    </row>
    <row r="5311" spans="1:13" x14ac:dyDescent="0.3">
      <c r="A5311" s="733" t="s">
        <v>5327</v>
      </c>
      <c r="B5311" s="733" t="s">
        <v>645</v>
      </c>
      <c r="C5311" s="738" t="s">
        <v>5338</v>
      </c>
      <c r="D5311" s="733"/>
      <c r="E5311" s="733"/>
      <c r="G5311" s="733"/>
      <c r="H5311" s="733"/>
      <c r="I5311" s="733"/>
      <c r="J5311" s="733"/>
      <c r="K5311" s="733"/>
      <c r="L5311" s="733"/>
      <c r="M5311" s="733"/>
    </row>
    <row r="5312" spans="1:13" x14ac:dyDescent="0.3">
      <c r="A5312" s="733" t="s">
        <v>5327</v>
      </c>
      <c r="B5312" s="733" t="s">
        <v>645</v>
      </c>
      <c r="C5312" s="738" t="s">
        <v>5339</v>
      </c>
      <c r="D5312" s="733"/>
      <c r="E5312" s="733"/>
      <c r="G5312" s="733"/>
      <c r="H5312" s="733"/>
      <c r="I5312" s="733"/>
      <c r="J5312" s="733"/>
      <c r="K5312" s="733"/>
      <c r="L5312" s="733"/>
      <c r="M5312" s="733"/>
    </row>
    <row r="5313" spans="1:13" x14ac:dyDescent="0.3">
      <c r="A5313" s="733" t="s">
        <v>5327</v>
      </c>
      <c r="B5313" s="733" t="s">
        <v>645</v>
      </c>
      <c r="C5313" s="738" t="s">
        <v>5340</v>
      </c>
      <c r="D5313" s="733"/>
      <c r="E5313" s="733"/>
      <c r="G5313" s="733"/>
      <c r="H5313" s="733"/>
      <c r="I5313" s="733"/>
      <c r="J5313" s="733"/>
      <c r="K5313" s="733"/>
      <c r="L5313" s="733"/>
      <c r="M5313" s="733"/>
    </row>
    <row r="5314" spans="1:13" x14ac:dyDescent="0.3">
      <c r="A5314" s="733" t="s">
        <v>5327</v>
      </c>
      <c r="B5314" s="733" t="s">
        <v>645</v>
      </c>
      <c r="C5314" s="738" t="s">
        <v>5341</v>
      </c>
      <c r="D5314" s="733"/>
      <c r="E5314" s="733"/>
      <c r="G5314" s="733"/>
      <c r="H5314" s="733"/>
      <c r="I5314" s="733"/>
      <c r="J5314" s="733"/>
      <c r="K5314" s="733"/>
      <c r="L5314" s="733"/>
      <c r="M5314" s="733"/>
    </row>
    <row r="5315" spans="1:13" x14ac:dyDescent="0.3">
      <c r="A5315" s="733" t="s">
        <v>5327</v>
      </c>
      <c r="B5315" s="733" t="s">
        <v>645</v>
      </c>
      <c r="C5315" s="738" t="s">
        <v>5342</v>
      </c>
      <c r="D5315" s="733"/>
      <c r="E5315" s="733"/>
      <c r="G5315" s="733"/>
      <c r="H5315" s="733"/>
      <c r="I5315" s="733"/>
      <c r="J5315" s="733"/>
      <c r="K5315" s="733"/>
      <c r="L5315" s="733"/>
      <c r="M5315" s="733"/>
    </row>
    <row r="5316" spans="1:13" x14ac:dyDescent="0.3">
      <c r="A5316" s="733" t="s">
        <v>5327</v>
      </c>
      <c r="B5316" s="733" t="s">
        <v>664</v>
      </c>
      <c r="C5316" s="738" t="s">
        <v>5343</v>
      </c>
      <c r="D5316" s="733"/>
      <c r="E5316" s="733"/>
      <c r="G5316" s="733"/>
      <c r="H5316" s="733"/>
      <c r="I5316" s="733"/>
      <c r="J5316" s="733"/>
      <c r="K5316" s="733"/>
      <c r="L5316" s="733"/>
      <c r="M5316" s="733"/>
    </row>
    <row r="5317" spans="1:13" x14ac:dyDescent="0.3">
      <c r="A5317" s="733" t="s">
        <v>5327</v>
      </c>
      <c r="B5317" s="733" t="s">
        <v>664</v>
      </c>
      <c r="C5317" s="738" t="s">
        <v>5344</v>
      </c>
      <c r="D5317" s="733"/>
      <c r="E5317" s="733"/>
      <c r="G5317" s="733"/>
      <c r="H5317" s="733"/>
      <c r="I5317" s="733"/>
      <c r="J5317" s="733"/>
      <c r="K5317" s="733"/>
      <c r="L5317" s="733"/>
      <c r="M5317" s="733"/>
    </row>
    <row r="5318" spans="1:13" x14ac:dyDescent="0.3">
      <c r="A5318" s="733" t="s">
        <v>5327</v>
      </c>
      <c r="B5318" s="733" t="s">
        <v>664</v>
      </c>
      <c r="C5318" s="738" t="s">
        <v>5345</v>
      </c>
      <c r="D5318" s="733"/>
      <c r="E5318" s="733"/>
      <c r="G5318" s="733"/>
      <c r="H5318" s="733"/>
      <c r="I5318" s="733"/>
      <c r="J5318" s="733"/>
      <c r="K5318" s="733"/>
      <c r="L5318" s="733"/>
      <c r="M5318" s="733"/>
    </row>
    <row r="5319" spans="1:13" x14ac:dyDescent="0.3">
      <c r="A5319" s="733" t="s">
        <v>5327</v>
      </c>
      <c r="B5319" s="733" t="s">
        <v>664</v>
      </c>
      <c r="C5319" s="738" t="s">
        <v>5346</v>
      </c>
      <c r="D5319" s="733"/>
      <c r="E5319" s="733"/>
      <c r="G5319" s="733"/>
      <c r="H5319" s="733"/>
      <c r="I5319" s="733"/>
      <c r="J5319" s="733"/>
      <c r="K5319" s="733"/>
      <c r="L5319" s="733"/>
      <c r="M5319" s="733"/>
    </row>
    <row r="5320" spans="1:13" x14ac:dyDescent="0.3">
      <c r="A5320" s="733" t="s">
        <v>5327</v>
      </c>
      <c r="B5320" s="733" t="s">
        <v>664</v>
      </c>
      <c r="C5320" s="738" t="s">
        <v>5347</v>
      </c>
      <c r="D5320" s="733"/>
      <c r="E5320" s="733"/>
      <c r="G5320" s="733"/>
      <c r="H5320" s="733"/>
      <c r="I5320" s="733"/>
      <c r="J5320" s="733"/>
      <c r="K5320" s="733"/>
      <c r="L5320" s="733"/>
      <c r="M5320" s="733"/>
    </row>
    <row r="5321" spans="1:13" x14ac:dyDescent="0.3">
      <c r="A5321" s="733" t="s">
        <v>5327</v>
      </c>
      <c r="B5321" s="733" t="s">
        <v>664</v>
      </c>
      <c r="C5321" s="738" t="s">
        <v>5348</v>
      </c>
      <c r="D5321" s="733"/>
      <c r="E5321" s="733"/>
      <c r="G5321" s="733"/>
      <c r="H5321" s="733"/>
      <c r="I5321" s="733"/>
      <c r="J5321" s="733"/>
      <c r="K5321" s="733"/>
      <c r="L5321" s="733"/>
      <c r="M5321" s="733"/>
    </row>
    <row r="5322" spans="1:13" x14ac:dyDescent="0.3">
      <c r="A5322" s="733" t="s">
        <v>5327</v>
      </c>
      <c r="B5322" s="733" t="s">
        <v>664</v>
      </c>
      <c r="C5322" s="738" t="s">
        <v>5349</v>
      </c>
      <c r="D5322" s="733"/>
      <c r="E5322" s="733"/>
      <c r="G5322" s="733"/>
      <c r="H5322" s="733"/>
      <c r="I5322" s="733"/>
      <c r="J5322" s="733"/>
      <c r="K5322" s="733"/>
      <c r="L5322" s="733"/>
      <c r="M5322" s="733"/>
    </row>
    <row r="5323" spans="1:13" x14ac:dyDescent="0.3">
      <c r="A5323" s="733" t="s">
        <v>5327</v>
      </c>
      <c r="B5323" s="733" t="s">
        <v>664</v>
      </c>
      <c r="C5323" s="738" t="s">
        <v>5350</v>
      </c>
      <c r="D5323" s="733"/>
      <c r="E5323" s="733"/>
      <c r="G5323" s="733"/>
      <c r="H5323" s="733"/>
      <c r="I5323" s="733"/>
      <c r="J5323" s="733"/>
      <c r="K5323" s="733"/>
      <c r="L5323" s="733"/>
      <c r="M5323" s="733"/>
    </row>
    <row r="5324" spans="1:13" x14ac:dyDescent="0.3">
      <c r="A5324" s="733" t="s">
        <v>5327</v>
      </c>
      <c r="B5324" s="733" t="s">
        <v>664</v>
      </c>
      <c r="C5324" s="738" t="s">
        <v>5351</v>
      </c>
      <c r="D5324" s="733"/>
      <c r="E5324" s="733"/>
      <c r="G5324" s="733"/>
      <c r="H5324" s="733"/>
      <c r="I5324" s="733"/>
      <c r="J5324" s="733"/>
      <c r="K5324" s="733"/>
      <c r="L5324" s="733"/>
      <c r="M5324" s="733"/>
    </row>
    <row r="5325" spans="1:13" x14ac:dyDescent="0.3">
      <c r="A5325" s="733" t="s">
        <v>5327</v>
      </c>
      <c r="B5325" s="733" t="s">
        <v>664</v>
      </c>
      <c r="C5325" s="738" t="s">
        <v>5352</v>
      </c>
      <c r="D5325" s="733"/>
      <c r="E5325" s="733"/>
      <c r="G5325" s="733"/>
      <c r="H5325" s="733"/>
      <c r="I5325" s="733"/>
      <c r="J5325" s="733"/>
      <c r="K5325" s="733"/>
      <c r="L5325" s="733"/>
      <c r="M5325" s="733"/>
    </row>
    <row r="5326" spans="1:13" x14ac:dyDescent="0.3">
      <c r="A5326" s="733" t="s">
        <v>5327</v>
      </c>
      <c r="B5326" s="733" t="s">
        <v>664</v>
      </c>
      <c r="C5326" s="738" t="s">
        <v>5353</v>
      </c>
      <c r="D5326" s="733"/>
      <c r="E5326" s="733"/>
      <c r="G5326" s="733"/>
      <c r="H5326" s="733"/>
      <c r="I5326" s="733"/>
      <c r="J5326" s="733"/>
      <c r="K5326" s="733"/>
      <c r="L5326" s="733"/>
      <c r="M5326" s="733"/>
    </row>
    <row r="5327" spans="1:13" x14ac:dyDescent="0.3">
      <c r="A5327" s="733" t="s">
        <v>5327</v>
      </c>
      <c r="B5327" s="733" t="s">
        <v>664</v>
      </c>
      <c r="C5327" s="738" t="s">
        <v>5354</v>
      </c>
      <c r="D5327" s="733"/>
      <c r="E5327" s="733"/>
      <c r="G5327" s="733"/>
      <c r="H5327" s="733"/>
      <c r="I5327" s="733"/>
      <c r="J5327" s="733"/>
      <c r="K5327" s="733"/>
      <c r="L5327" s="733"/>
      <c r="M5327" s="733"/>
    </row>
    <row r="5328" spans="1:13" x14ac:dyDescent="0.3">
      <c r="A5328" s="733" t="s">
        <v>5327</v>
      </c>
      <c r="B5328" s="733" t="s">
        <v>664</v>
      </c>
      <c r="C5328" s="738" t="s">
        <v>5355</v>
      </c>
      <c r="D5328" s="733"/>
      <c r="E5328" s="733"/>
      <c r="G5328" s="733"/>
      <c r="H5328" s="733"/>
      <c r="I5328" s="733"/>
      <c r="J5328" s="733"/>
      <c r="K5328" s="733"/>
      <c r="L5328" s="733"/>
      <c r="M5328" s="733"/>
    </row>
    <row r="5329" spans="1:13" x14ac:dyDescent="0.3">
      <c r="A5329" s="733" t="s">
        <v>5327</v>
      </c>
      <c r="B5329" s="733" t="s">
        <v>664</v>
      </c>
      <c r="C5329" s="738" t="s">
        <v>5356</v>
      </c>
      <c r="D5329" s="733"/>
      <c r="E5329" s="733"/>
      <c r="G5329" s="733"/>
      <c r="H5329" s="733"/>
      <c r="I5329" s="733"/>
      <c r="J5329" s="733"/>
      <c r="K5329" s="733"/>
      <c r="L5329" s="733"/>
      <c r="M5329" s="733"/>
    </row>
    <row r="5330" spans="1:13" x14ac:dyDescent="0.3">
      <c r="A5330" s="733" t="s">
        <v>5327</v>
      </c>
      <c r="B5330" s="733" t="s">
        <v>664</v>
      </c>
      <c r="C5330" s="738" t="s">
        <v>5357</v>
      </c>
      <c r="D5330" s="733"/>
      <c r="E5330" s="733"/>
      <c r="G5330" s="733"/>
      <c r="H5330" s="733"/>
      <c r="I5330" s="733"/>
      <c r="J5330" s="733"/>
      <c r="K5330" s="733"/>
      <c r="L5330" s="733"/>
      <c r="M5330" s="733"/>
    </row>
    <row r="5331" spans="1:13" x14ac:dyDescent="0.3">
      <c r="A5331" s="733" t="s">
        <v>5327</v>
      </c>
      <c r="B5331" s="733" t="s">
        <v>612</v>
      </c>
      <c r="C5331" s="733" t="s">
        <v>5358</v>
      </c>
      <c r="D5331" s="733"/>
      <c r="E5331" s="733"/>
      <c r="G5331" s="733"/>
      <c r="H5331" s="733"/>
      <c r="I5331" s="733"/>
      <c r="J5331" s="733"/>
      <c r="K5331" s="733"/>
      <c r="L5331" s="733"/>
      <c r="M5331" s="733"/>
    </row>
    <row r="5332" spans="1:13" x14ac:dyDescent="0.3">
      <c r="A5332" s="733" t="s">
        <v>5327</v>
      </c>
      <c r="B5332" s="733" t="s">
        <v>612</v>
      </c>
      <c r="C5332" s="733" t="s">
        <v>5359</v>
      </c>
      <c r="D5332" s="733"/>
      <c r="E5332" s="733"/>
      <c r="G5332" s="733"/>
      <c r="H5332" s="733"/>
      <c r="I5332" s="733"/>
      <c r="J5332" s="733"/>
      <c r="K5332" s="733"/>
      <c r="L5332" s="733"/>
      <c r="M5332" s="733"/>
    </row>
    <row r="5333" spans="1:13" x14ac:dyDescent="0.3">
      <c r="A5333" s="733" t="s">
        <v>5327</v>
      </c>
      <c r="B5333" s="733" t="s">
        <v>612</v>
      </c>
      <c r="C5333" s="733" t="s">
        <v>5360</v>
      </c>
      <c r="D5333" s="733"/>
      <c r="E5333" s="733"/>
      <c r="G5333" s="733"/>
      <c r="H5333" s="733"/>
      <c r="I5333" s="733"/>
      <c r="J5333" s="733"/>
      <c r="K5333" s="733"/>
      <c r="L5333" s="733"/>
      <c r="M5333" s="733"/>
    </row>
    <row r="5334" spans="1:13" x14ac:dyDescent="0.3">
      <c r="A5334" s="733" t="s">
        <v>5327</v>
      </c>
      <c r="B5334" s="733" t="s">
        <v>612</v>
      </c>
      <c r="C5334" s="733" t="s">
        <v>5361</v>
      </c>
      <c r="D5334" s="733"/>
      <c r="E5334" s="733"/>
      <c r="G5334" s="733"/>
      <c r="H5334" s="733"/>
      <c r="I5334" s="733"/>
      <c r="J5334" s="733"/>
      <c r="K5334" s="733"/>
      <c r="L5334" s="733"/>
      <c r="M5334" s="733"/>
    </row>
    <row r="5335" spans="1:13" x14ac:dyDescent="0.3">
      <c r="A5335" s="733" t="s">
        <v>5327</v>
      </c>
      <c r="B5335" s="733" t="s">
        <v>612</v>
      </c>
      <c r="C5335" s="733" t="s">
        <v>5362</v>
      </c>
      <c r="D5335" s="733"/>
      <c r="E5335" s="733"/>
      <c r="G5335" s="733"/>
      <c r="H5335" s="733"/>
      <c r="I5335" s="733"/>
      <c r="J5335" s="733"/>
      <c r="K5335" s="733"/>
      <c r="L5335" s="733"/>
      <c r="M5335" s="733"/>
    </row>
    <row r="5336" spans="1:13" x14ac:dyDescent="0.3">
      <c r="A5336" s="733" t="s">
        <v>5327</v>
      </c>
      <c r="B5336" s="733" t="s">
        <v>612</v>
      </c>
      <c r="C5336" s="733" t="s">
        <v>5363</v>
      </c>
      <c r="D5336" s="733"/>
      <c r="E5336" s="733"/>
      <c r="G5336" s="733"/>
      <c r="H5336" s="733"/>
      <c r="I5336" s="733"/>
      <c r="J5336" s="733"/>
      <c r="K5336" s="733"/>
      <c r="L5336" s="733"/>
      <c r="M5336" s="733"/>
    </row>
    <row r="5337" spans="1:13" x14ac:dyDescent="0.3">
      <c r="A5337" s="733" t="s">
        <v>5327</v>
      </c>
      <c r="B5337" s="733" t="s">
        <v>612</v>
      </c>
      <c r="C5337" s="733" t="s">
        <v>5364</v>
      </c>
      <c r="D5337" s="733"/>
      <c r="E5337" s="733"/>
      <c r="G5337" s="733"/>
      <c r="H5337" s="733"/>
      <c r="I5337" s="733"/>
      <c r="J5337" s="733"/>
      <c r="K5337" s="733"/>
      <c r="L5337" s="733"/>
      <c r="M5337" s="733"/>
    </row>
    <row r="5338" spans="1:13" x14ac:dyDescent="0.3">
      <c r="A5338" s="733" t="s">
        <v>5327</v>
      </c>
      <c r="B5338" s="733" t="s">
        <v>612</v>
      </c>
      <c r="C5338" s="733" t="s">
        <v>5365</v>
      </c>
      <c r="D5338" s="733"/>
      <c r="E5338" s="733"/>
      <c r="G5338" s="733"/>
      <c r="H5338" s="733"/>
      <c r="I5338" s="733"/>
      <c r="J5338" s="733"/>
      <c r="K5338" s="733"/>
      <c r="L5338" s="733"/>
      <c r="M5338" s="733"/>
    </row>
    <row r="5339" spans="1:13" x14ac:dyDescent="0.3">
      <c r="A5339" s="733" t="s">
        <v>5327</v>
      </c>
      <c r="B5339" s="733" t="s">
        <v>612</v>
      </c>
      <c r="C5339" s="733" t="s">
        <v>5366</v>
      </c>
      <c r="D5339" s="733"/>
      <c r="E5339" s="733"/>
      <c r="G5339" s="733"/>
      <c r="H5339" s="733"/>
      <c r="I5339" s="733"/>
      <c r="J5339" s="733"/>
      <c r="K5339" s="733"/>
      <c r="L5339" s="733"/>
      <c r="M5339" s="733"/>
    </row>
    <row r="5340" spans="1:13" x14ac:dyDescent="0.3">
      <c r="A5340" s="733" t="s">
        <v>5327</v>
      </c>
      <c r="B5340" s="733" t="s">
        <v>612</v>
      </c>
      <c r="C5340" s="733" t="s">
        <v>5367</v>
      </c>
      <c r="D5340" s="733"/>
      <c r="E5340" s="733"/>
      <c r="G5340" s="733"/>
      <c r="H5340" s="733"/>
      <c r="I5340" s="733"/>
      <c r="J5340" s="733"/>
      <c r="K5340" s="733"/>
      <c r="L5340" s="733"/>
      <c r="M5340" s="733"/>
    </row>
    <row r="5341" spans="1:13" x14ac:dyDescent="0.3">
      <c r="A5341" s="733" t="s">
        <v>5327</v>
      </c>
      <c r="B5341" s="733" t="s">
        <v>612</v>
      </c>
      <c r="C5341" s="733" t="s">
        <v>5368</v>
      </c>
      <c r="D5341" s="733"/>
      <c r="E5341" s="733"/>
      <c r="G5341" s="733"/>
      <c r="H5341" s="733"/>
      <c r="I5341" s="733"/>
      <c r="J5341" s="733"/>
      <c r="K5341" s="733"/>
      <c r="L5341" s="733"/>
      <c r="M5341" s="733"/>
    </row>
    <row r="5342" spans="1:13" x14ac:dyDescent="0.3">
      <c r="A5342" s="733" t="s">
        <v>5327</v>
      </c>
      <c r="B5342" s="733" t="s">
        <v>612</v>
      </c>
      <c r="C5342" s="733" t="s">
        <v>5369</v>
      </c>
      <c r="D5342" s="733"/>
      <c r="E5342" s="733"/>
      <c r="G5342" s="733"/>
      <c r="H5342" s="733"/>
      <c r="I5342" s="733"/>
      <c r="J5342" s="733"/>
      <c r="K5342" s="733"/>
      <c r="L5342" s="733"/>
      <c r="M5342" s="733"/>
    </row>
    <row r="5343" spans="1:13" x14ac:dyDescent="0.3">
      <c r="A5343" s="733" t="s">
        <v>5327</v>
      </c>
      <c r="B5343" s="733" t="s">
        <v>612</v>
      </c>
      <c r="C5343" s="733" t="s">
        <v>5370</v>
      </c>
      <c r="D5343" s="733"/>
      <c r="E5343" s="733"/>
      <c r="G5343" s="733"/>
      <c r="H5343" s="733"/>
      <c r="I5343" s="733"/>
      <c r="J5343" s="733"/>
      <c r="K5343" s="733"/>
      <c r="L5343" s="733"/>
      <c r="M5343" s="733"/>
    </row>
    <row r="5344" spans="1:13" x14ac:dyDescent="0.3">
      <c r="A5344" s="733" t="s">
        <v>5327</v>
      </c>
      <c r="B5344" s="733" t="s">
        <v>612</v>
      </c>
      <c r="C5344" s="733" t="s">
        <v>5371</v>
      </c>
      <c r="D5344" s="733"/>
      <c r="E5344" s="733"/>
      <c r="G5344" s="733"/>
      <c r="H5344" s="733"/>
      <c r="I5344" s="733"/>
      <c r="J5344" s="733"/>
      <c r="K5344" s="733"/>
      <c r="L5344" s="733"/>
      <c r="M5344" s="733"/>
    </row>
    <row r="5345" spans="1:13" x14ac:dyDescent="0.3">
      <c r="A5345" s="733" t="s">
        <v>5327</v>
      </c>
      <c r="B5345" s="733" t="s">
        <v>612</v>
      </c>
      <c r="C5345" s="733" t="s">
        <v>5372</v>
      </c>
      <c r="D5345" s="733"/>
      <c r="E5345" s="733"/>
      <c r="G5345" s="733"/>
      <c r="H5345" s="733"/>
      <c r="I5345" s="733"/>
      <c r="J5345" s="733"/>
      <c r="K5345" s="733"/>
      <c r="L5345" s="733"/>
      <c r="M5345" s="733"/>
    </row>
    <row r="5346" spans="1:13" x14ac:dyDescent="0.3">
      <c r="A5346" s="733" t="s">
        <v>5373</v>
      </c>
      <c r="B5346" s="733" t="s">
        <v>645</v>
      </c>
      <c r="C5346" s="738" t="s">
        <v>5374</v>
      </c>
      <c r="D5346" s="733"/>
      <c r="E5346" s="733"/>
      <c r="G5346" s="733"/>
      <c r="H5346" s="733"/>
      <c r="I5346" s="733"/>
      <c r="J5346" s="733"/>
      <c r="K5346" s="733"/>
      <c r="L5346" s="733"/>
      <c r="M5346" s="733"/>
    </row>
    <row r="5347" spans="1:13" x14ac:dyDescent="0.3">
      <c r="A5347" s="733" t="s">
        <v>5373</v>
      </c>
      <c r="B5347" s="733" t="s">
        <v>645</v>
      </c>
      <c r="C5347" s="738" t="s">
        <v>5375</v>
      </c>
      <c r="D5347" s="733"/>
      <c r="E5347" s="733"/>
      <c r="G5347" s="733"/>
      <c r="H5347" s="733"/>
      <c r="I5347" s="733"/>
      <c r="J5347" s="733"/>
      <c r="K5347" s="733"/>
      <c r="L5347" s="733"/>
      <c r="M5347" s="733"/>
    </row>
    <row r="5348" spans="1:13" x14ac:dyDescent="0.3">
      <c r="A5348" s="733" t="s">
        <v>5373</v>
      </c>
      <c r="B5348" s="733" t="s">
        <v>645</v>
      </c>
      <c r="C5348" s="738" t="s">
        <v>5376</v>
      </c>
      <c r="D5348" s="733"/>
      <c r="E5348" s="733"/>
      <c r="G5348" s="733"/>
      <c r="H5348" s="733"/>
      <c r="I5348" s="733"/>
      <c r="J5348" s="733"/>
      <c r="K5348" s="733"/>
      <c r="L5348" s="733"/>
      <c r="M5348" s="733"/>
    </row>
    <row r="5349" spans="1:13" x14ac:dyDescent="0.3">
      <c r="A5349" s="733" t="s">
        <v>5373</v>
      </c>
      <c r="B5349" s="733" t="s">
        <v>645</v>
      </c>
      <c r="C5349" s="738" t="s">
        <v>5377</v>
      </c>
      <c r="D5349" s="733"/>
      <c r="E5349" s="733"/>
      <c r="G5349" s="733"/>
      <c r="H5349" s="733"/>
      <c r="I5349" s="733"/>
      <c r="J5349" s="733"/>
      <c r="K5349" s="733"/>
      <c r="L5349" s="733"/>
      <c r="M5349" s="733"/>
    </row>
    <row r="5350" spans="1:13" x14ac:dyDescent="0.3">
      <c r="A5350" s="733" t="s">
        <v>5373</v>
      </c>
      <c r="B5350" s="733" t="s">
        <v>645</v>
      </c>
      <c r="C5350" s="738" t="s">
        <v>5378</v>
      </c>
      <c r="D5350" s="733"/>
      <c r="E5350" s="733"/>
      <c r="G5350" s="733"/>
      <c r="H5350" s="733"/>
      <c r="I5350" s="733"/>
      <c r="J5350" s="733"/>
      <c r="K5350" s="733"/>
      <c r="L5350" s="733"/>
      <c r="M5350" s="733"/>
    </row>
    <row r="5351" spans="1:13" x14ac:dyDescent="0.3">
      <c r="A5351" s="733" t="s">
        <v>5373</v>
      </c>
      <c r="B5351" s="733" t="s">
        <v>645</v>
      </c>
      <c r="C5351" s="738" t="s">
        <v>5379</v>
      </c>
      <c r="D5351" s="733"/>
      <c r="E5351" s="733"/>
      <c r="G5351" s="733"/>
      <c r="H5351" s="733"/>
      <c r="I5351" s="733"/>
      <c r="J5351" s="733"/>
      <c r="K5351" s="733"/>
      <c r="L5351" s="733"/>
      <c r="M5351" s="733"/>
    </row>
    <row r="5352" spans="1:13" x14ac:dyDescent="0.3">
      <c r="A5352" s="733" t="s">
        <v>5373</v>
      </c>
      <c r="B5352" s="733" t="s">
        <v>645</v>
      </c>
      <c r="C5352" s="738" t="s">
        <v>5380</v>
      </c>
      <c r="D5352" s="733"/>
      <c r="E5352" s="733"/>
      <c r="G5352" s="733"/>
      <c r="H5352" s="733"/>
      <c r="I5352" s="733"/>
      <c r="J5352" s="733"/>
      <c r="K5352" s="733"/>
      <c r="L5352" s="733"/>
      <c r="M5352" s="733"/>
    </row>
    <row r="5353" spans="1:13" x14ac:dyDescent="0.3">
      <c r="A5353" s="733" t="s">
        <v>5373</v>
      </c>
      <c r="B5353" s="733" t="s">
        <v>645</v>
      </c>
      <c r="C5353" s="738" t="s">
        <v>5381</v>
      </c>
      <c r="D5353" s="733"/>
      <c r="E5353" s="733"/>
      <c r="G5353" s="733"/>
      <c r="H5353" s="733"/>
      <c r="I5353" s="733"/>
      <c r="J5353" s="733"/>
      <c r="K5353" s="733"/>
      <c r="L5353" s="733"/>
      <c r="M5353" s="733"/>
    </row>
    <row r="5354" spans="1:13" x14ac:dyDescent="0.3">
      <c r="A5354" s="733" t="s">
        <v>5373</v>
      </c>
      <c r="B5354" s="733" t="s">
        <v>645</v>
      </c>
      <c r="C5354" s="738" t="s">
        <v>5382</v>
      </c>
      <c r="D5354" s="733"/>
      <c r="E5354" s="733"/>
      <c r="G5354" s="733"/>
      <c r="H5354" s="733"/>
      <c r="I5354" s="733"/>
      <c r="J5354" s="733"/>
      <c r="K5354" s="733"/>
      <c r="L5354" s="733"/>
      <c r="M5354" s="733"/>
    </row>
    <row r="5355" spans="1:13" x14ac:dyDescent="0.3">
      <c r="A5355" s="733" t="s">
        <v>5373</v>
      </c>
      <c r="B5355" s="733" t="s">
        <v>645</v>
      </c>
      <c r="C5355" s="738" t="s">
        <v>5383</v>
      </c>
      <c r="D5355" s="733"/>
      <c r="E5355" s="733"/>
      <c r="G5355" s="733"/>
      <c r="H5355" s="733"/>
      <c r="I5355" s="733"/>
      <c r="J5355" s="733"/>
      <c r="K5355" s="733"/>
      <c r="L5355" s="733"/>
      <c r="M5355" s="733"/>
    </row>
    <row r="5356" spans="1:13" x14ac:dyDescent="0.3">
      <c r="A5356" s="733" t="s">
        <v>5373</v>
      </c>
      <c r="B5356" s="733" t="s">
        <v>645</v>
      </c>
      <c r="C5356" s="738" t="s">
        <v>5384</v>
      </c>
      <c r="D5356" s="733"/>
      <c r="E5356" s="733"/>
      <c r="G5356" s="733"/>
      <c r="H5356" s="733"/>
      <c r="I5356" s="733"/>
      <c r="J5356" s="733"/>
      <c r="K5356" s="733"/>
      <c r="L5356" s="733"/>
      <c r="M5356" s="733"/>
    </row>
    <row r="5357" spans="1:13" x14ac:dyDescent="0.3">
      <c r="A5357" s="733" t="s">
        <v>5373</v>
      </c>
      <c r="B5357" s="733" t="s">
        <v>645</v>
      </c>
      <c r="C5357" s="738" t="s">
        <v>5385</v>
      </c>
      <c r="D5357" s="733"/>
      <c r="E5357" s="733"/>
      <c r="G5357" s="733"/>
      <c r="H5357" s="733"/>
      <c r="I5357" s="733"/>
      <c r="J5357" s="733"/>
      <c r="K5357" s="733"/>
      <c r="L5357" s="733"/>
      <c r="M5357" s="733"/>
    </row>
    <row r="5358" spans="1:13" x14ac:dyDescent="0.3">
      <c r="A5358" s="733" t="s">
        <v>5373</v>
      </c>
      <c r="B5358" s="733" t="s">
        <v>645</v>
      </c>
      <c r="C5358" s="738" t="s">
        <v>5386</v>
      </c>
      <c r="D5358" s="733"/>
      <c r="E5358" s="733"/>
      <c r="G5358" s="733"/>
      <c r="H5358" s="733"/>
      <c r="I5358" s="733"/>
      <c r="J5358" s="733"/>
      <c r="K5358" s="733"/>
      <c r="L5358" s="733"/>
      <c r="M5358" s="733"/>
    </row>
    <row r="5359" spans="1:13" x14ac:dyDescent="0.3">
      <c r="A5359" s="733" t="s">
        <v>5373</v>
      </c>
      <c r="B5359" s="733" t="s">
        <v>645</v>
      </c>
      <c r="C5359" s="738" t="s">
        <v>5387</v>
      </c>
      <c r="D5359" s="733"/>
      <c r="E5359" s="733"/>
      <c r="G5359" s="733"/>
      <c r="H5359" s="733"/>
      <c r="I5359" s="733"/>
      <c r="J5359" s="733"/>
      <c r="K5359" s="733"/>
      <c r="L5359" s="733"/>
      <c r="M5359" s="733"/>
    </row>
    <row r="5360" spans="1:13" x14ac:dyDescent="0.3">
      <c r="A5360" s="733" t="s">
        <v>5373</v>
      </c>
      <c r="B5360" s="733" t="s">
        <v>645</v>
      </c>
      <c r="C5360" s="738" t="s">
        <v>5388</v>
      </c>
      <c r="D5360" s="733"/>
      <c r="E5360" s="733"/>
      <c r="G5360" s="733"/>
      <c r="H5360" s="733"/>
      <c r="I5360" s="733"/>
      <c r="J5360" s="733"/>
      <c r="K5360" s="733"/>
      <c r="L5360" s="733"/>
      <c r="M5360" s="733"/>
    </row>
    <row r="5361" spans="1:13" x14ac:dyDescent="0.3">
      <c r="A5361" s="733" t="s">
        <v>5373</v>
      </c>
      <c r="B5361" s="733" t="s">
        <v>664</v>
      </c>
      <c r="C5361" s="738" t="s">
        <v>5389</v>
      </c>
      <c r="D5361" s="733"/>
      <c r="E5361" s="733"/>
      <c r="G5361" s="733"/>
      <c r="H5361" s="733"/>
      <c r="I5361" s="733"/>
      <c r="J5361" s="733"/>
      <c r="K5361" s="733"/>
      <c r="L5361" s="733"/>
      <c r="M5361" s="733"/>
    </row>
    <row r="5362" spans="1:13" x14ac:dyDescent="0.3">
      <c r="A5362" s="733" t="s">
        <v>5373</v>
      </c>
      <c r="B5362" s="733" t="s">
        <v>664</v>
      </c>
      <c r="C5362" s="738" t="s">
        <v>5390</v>
      </c>
      <c r="D5362" s="733"/>
      <c r="E5362" s="733"/>
      <c r="G5362" s="733"/>
      <c r="H5362" s="733"/>
      <c r="I5362" s="733"/>
      <c r="J5362" s="733"/>
      <c r="K5362" s="733"/>
      <c r="L5362" s="733"/>
      <c r="M5362" s="733"/>
    </row>
    <row r="5363" spans="1:13" x14ac:dyDescent="0.3">
      <c r="A5363" s="733" t="s">
        <v>5373</v>
      </c>
      <c r="B5363" s="733" t="s">
        <v>664</v>
      </c>
      <c r="C5363" s="738" t="s">
        <v>5391</v>
      </c>
      <c r="D5363" s="733"/>
      <c r="E5363" s="733"/>
      <c r="G5363" s="733"/>
      <c r="H5363" s="733"/>
      <c r="I5363" s="733"/>
      <c r="J5363" s="733"/>
      <c r="K5363" s="733"/>
      <c r="L5363" s="733"/>
      <c r="M5363" s="733"/>
    </row>
    <row r="5364" spans="1:13" x14ac:dyDescent="0.3">
      <c r="A5364" s="733" t="s">
        <v>5373</v>
      </c>
      <c r="B5364" s="733" t="s">
        <v>664</v>
      </c>
      <c r="C5364" s="738" t="s">
        <v>5392</v>
      </c>
      <c r="D5364" s="733"/>
      <c r="E5364" s="733"/>
      <c r="G5364" s="733"/>
      <c r="H5364" s="733"/>
      <c r="I5364" s="733"/>
      <c r="J5364" s="733"/>
      <c r="K5364" s="733"/>
      <c r="L5364" s="733"/>
      <c r="M5364" s="733"/>
    </row>
    <row r="5365" spans="1:13" x14ac:dyDescent="0.3">
      <c r="A5365" s="733" t="s">
        <v>5373</v>
      </c>
      <c r="B5365" s="733" t="s">
        <v>664</v>
      </c>
      <c r="C5365" s="738" t="s">
        <v>5393</v>
      </c>
      <c r="D5365" s="733"/>
      <c r="E5365" s="733"/>
      <c r="G5365" s="733"/>
      <c r="H5365" s="733"/>
      <c r="I5365" s="733"/>
      <c r="J5365" s="733"/>
      <c r="K5365" s="733"/>
      <c r="L5365" s="733"/>
      <c r="M5365" s="733"/>
    </row>
    <row r="5366" spans="1:13" x14ac:dyDescent="0.3">
      <c r="A5366" s="733" t="s">
        <v>5373</v>
      </c>
      <c r="B5366" s="733" t="s">
        <v>664</v>
      </c>
      <c r="C5366" s="738" t="s">
        <v>5394</v>
      </c>
      <c r="D5366" s="733"/>
      <c r="E5366" s="733"/>
      <c r="G5366" s="733"/>
      <c r="H5366" s="733"/>
      <c r="I5366" s="733"/>
      <c r="J5366" s="733"/>
      <c r="K5366" s="733"/>
      <c r="L5366" s="733"/>
      <c r="M5366" s="733"/>
    </row>
    <row r="5367" spans="1:13" x14ac:dyDescent="0.3">
      <c r="A5367" s="733" t="s">
        <v>5373</v>
      </c>
      <c r="B5367" s="733" t="s">
        <v>664</v>
      </c>
      <c r="C5367" s="738" t="s">
        <v>5395</v>
      </c>
      <c r="D5367" s="733"/>
      <c r="E5367" s="733"/>
      <c r="G5367" s="733"/>
      <c r="H5367" s="733"/>
      <c r="I5367" s="733"/>
      <c r="J5367" s="733"/>
      <c r="K5367" s="733"/>
      <c r="L5367" s="733"/>
      <c r="M5367" s="733"/>
    </row>
    <row r="5368" spans="1:13" x14ac:dyDescent="0.3">
      <c r="A5368" s="733" t="s">
        <v>5373</v>
      </c>
      <c r="B5368" s="733" t="s">
        <v>664</v>
      </c>
      <c r="C5368" s="738" t="s">
        <v>5396</v>
      </c>
      <c r="D5368" s="733"/>
      <c r="E5368" s="733"/>
      <c r="G5368" s="733"/>
      <c r="H5368" s="733"/>
      <c r="I5368" s="733"/>
      <c r="J5368" s="733"/>
      <c r="K5368" s="733"/>
      <c r="L5368" s="733"/>
      <c r="M5368" s="733"/>
    </row>
    <row r="5369" spans="1:13" x14ac:dyDescent="0.3">
      <c r="A5369" s="733" t="s">
        <v>5373</v>
      </c>
      <c r="B5369" s="733" t="s">
        <v>664</v>
      </c>
      <c r="C5369" s="738" t="s">
        <v>5397</v>
      </c>
      <c r="D5369" s="733"/>
      <c r="E5369" s="733"/>
      <c r="G5369" s="733"/>
      <c r="H5369" s="733"/>
      <c r="I5369" s="733"/>
      <c r="J5369" s="733"/>
      <c r="K5369" s="733"/>
      <c r="L5369" s="733"/>
      <c r="M5369" s="733"/>
    </row>
    <row r="5370" spans="1:13" x14ac:dyDescent="0.3">
      <c r="A5370" s="733" t="s">
        <v>5373</v>
      </c>
      <c r="B5370" s="733" t="s">
        <v>664</v>
      </c>
      <c r="C5370" s="738" t="s">
        <v>5398</v>
      </c>
      <c r="D5370" s="733"/>
      <c r="E5370" s="733"/>
      <c r="G5370" s="733"/>
      <c r="H5370" s="733"/>
      <c r="I5370" s="733"/>
      <c r="J5370" s="733"/>
      <c r="K5370" s="733"/>
      <c r="L5370" s="733"/>
      <c r="M5370" s="733"/>
    </row>
    <row r="5371" spans="1:13" x14ac:dyDescent="0.3">
      <c r="A5371" s="733" t="s">
        <v>5373</v>
      </c>
      <c r="B5371" s="733" t="s">
        <v>664</v>
      </c>
      <c r="C5371" s="738" t="s">
        <v>5399</v>
      </c>
      <c r="D5371" s="733"/>
      <c r="E5371" s="733"/>
      <c r="G5371" s="733"/>
      <c r="H5371" s="733"/>
      <c r="I5371" s="733"/>
      <c r="J5371" s="733"/>
      <c r="K5371" s="733"/>
      <c r="L5371" s="733"/>
      <c r="M5371" s="733"/>
    </row>
    <row r="5372" spans="1:13" x14ac:dyDescent="0.3">
      <c r="A5372" s="733" t="s">
        <v>5373</v>
      </c>
      <c r="B5372" s="733" t="s">
        <v>664</v>
      </c>
      <c r="C5372" s="738" t="s">
        <v>5400</v>
      </c>
      <c r="D5372" s="733"/>
      <c r="E5372" s="733"/>
      <c r="G5372" s="733"/>
      <c r="H5372" s="733"/>
      <c r="I5372" s="733"/>
      <c r="J5372" s="733"/>
      <c r="K5372" s="733"/>
      <c r="L5372" s="733"/>
      <c r="M5372" s="733"/>
    </row>
    <row r="5373" spans="1:13" x14ac:dyDescent="0.3">
      <c r="A5373" s="733" t="s">
        <v>5373</v>
      </c>
      <c r="B5373" s="733" t="s">
        <v>664</v>
      </c>
      <c r="C5373" s="738" t="s">
        <v>5401</v>
      </c>
      <c r="D5373" s="733"/>
      <c r="E5373" s="733"/>
      <c r="G5373" s="733"/>
      <c r="H5373" s="733"/>
      <c r="I5373" s="733"/>
      <c r="J5373" s="733"/>
      <c r="K5373" s="733"/>
      <c r="L5373" s="733"/>
      <c r="M5373" s="733"/>
    </row>
    <row r="5374" spans="1:13" x14ac:dyDescent="0.3">
      <c r="A5374" s="733" t="s">
        <v>5373</v>
      </c>
      <c r="B5374" s="733" t="s">
        <v>664</v>
      </c>
      <c r="C5374" s="738" t="s">
        <v>5402</v>
      </c>
      <c r="D5374" s="733"/>
      <c r="E5374" s="733"/>
      <c r="G5374" s="733"/>
      <c r="H5374" s="733"/>
      <c r="I5374" s="733"/>
      <c r="J5374" s="733"/>
      <c r="K5374" s="733"/>
      <c r="L5374" s="733"/>
      <c r="M5374" s="733"/>
    </row>
    <row r="5375" spans="1:13" x14ac:dyDescent="0.3">
      <c r="A5375" s="733" t="s">
        <v>5373</v>
      </c>
      <c r="B5375" s="733" t="s">
        <v>664</v>
      </c>
      <c r="C5375" s="738" t="s">
        <v>5403</v>
      </c>
      <c r="D5375" s="733"/>
      <c r="E5375" s="733"/>
      <c r="G5375" s="733"/>
      <c r="H5375" s="733"/>
      <c r="I5375" s="733"/>
      <c r="J5375" s="733"/>
      <c r="K5375" s="733"/>
      <c r="L5375" s="733"/>
      <c r="M5375" s="733"/>
    </row>
    <row r="5376" spans="1:13" x14ac:dyDescent="0.3">
      <c r="A5376" s="733" t="s">
        <v>5373</v>
      </c>
      <c r="B5376" s="733" t="s">
        <v>612</v>
      </c>
      <c r="C5376" s="733" t="s">
        <v>5404</v>
      </c>
      <c r="D5376" s="733"/>
      <c r="E5376" s="733"/>
      <c r="G5376" s="733"/>
      <c r="H5376" s="733"/>
      <c r="I5376" s="733"/>
      <c r="J5376" s="733"/>
      <c r="K5376" s="733"/>
      <c r="L5376" s="733"/>
      <c r="M5376" s="733"/>
    </row>
    <row r="5377" spans="1:13" x14ac:dyDescent="0.3">
      <c r="A5377" s="733" t="s">
        <v>5373</v>
      </c>
      <c r="B5377" s="733" t="s">
        <v>612</v>
      </c>
      <c r="C5377" s="733" t="s">
        <v>5405</v>
      </c>
      <c r="D5377" s="733"/>
      <c r="E5377" s="733"/>
      <c r="G5377" s="733"/>
      <c r="H5377" s="733"/>
      <c r="I5377" s="733"/>
      <c r="J5377" s="733"/>
      <c r="K5377" s="733"/>
      <c r="L5377" s="733"/>
      <c r="M5377" s="733"/>
    </row>
    <row r="5378" spans="1:13" x14ac:dyDescent="0.3">
      <c r="A5378" s="733" t="s">
        <v>5373</v>
      </c>
      <c r="B5378" s="733" t="s">
        <v>612</v>
      </c>
      <c r="C5378" s="733" t="s">
        <v>5406</v>
      </c>
      <c r="D5378" s="733"/>
      <c r="E5378" s="733"/>
      <c r="G5378" s="733"/>
      <c r="H5378" s="733"/>
      <c r="I5378" s="733"/>
      <c r="J5378" s="733"/>
      <c r="K5378" s="733"/>
      <c r="L5378" s="733"/>
      <c r="M5378" s="733"/>
    </row>
    <row r="5379" spans="1:13" x14ac:dyDescent="0.3">
      <c r="A5379" s="733" t="s">
        <v>5373</v>
      </c>
      <c r="B5379" s="733" t="s">
        <v>612</v>
      </c>
      <c r="C5379" s="733" t="s">
        <v>5407</v>
      </c>
      <c r="D5379" s="733"/>
      <c r="E5379" s="733"/>
      <c r="G5379" s="733"/>
      <c r="H5379" s="733"/>
      <c r="I5379" s="733"/>
      <c r="J5379" s="733"/>
      <c r="K5379" s="733"/>
      <c r="L5379" s="733"/>
      <c r="M5379" s="733"/>
    </row>
    <row r="5380" spans="1:13" x14ac:dyDescent="0.3">
      <c r="A5380" s="733" t="s">
        <v>5373</v>
      </c>
      <c r="B5380" s="733" t="s">
        <v>612</v>
      </c>
      <c r="C5380" s="733" t="s">
        <v>5408</v>
      </c>
      <c r="D5380" s="733"/>
      <c r="E5380" s="733"/>
      <c r="G5380" s="733"/>
      <c r="H5380" s="733"/>
      <c r="I5380" s="733"/>
      <c r="J5380" s="733"/>
      <c r="K5380" s="733"/>
      <c r="L5380" s="733"/>
      <c r="M5380" s="733"/>
    </row>
    <row r="5381" spans="1:13" x14ac:dyDescent="0.3">
      <c r="A5381" s="733" t="s">
        <v>5373</v>
      </c>
      <c r="B5381" s="733" t="s">
        <v>612</v>
      </c>
      <c r="C5381" s="733" t="s">
        <v>5409</v>
      </c>
      <c r="D5381" s="733"/>
      <c r="E5381" s="733"/>
      <c r="G5381" s="733"/>
      <c r="H5381" s="733"/>
      <c r="I5381" s="733"/>
      <c r="J5381" s="733"/>
      <c r="K5381" s="733"/>
      <c r="L5381" s="733"/>
      <c r="M5381" s="733"/>
    </row>
    <row r="5382" spans="1:13" x14ac:dyDescent="0.3">
      <c r="A5382" s="733" t="s">
        <v>5373</v>
      </c>
      <c r="B5382" s="733" t="s">
        <v>612</v>
      </c>
      <c r="C5382" s="733" t="s">
        <v>5410</v>
      </c>
      <c r="D5382" s="733"/>
      <c r="E5382" s="733"/>
      <c r="G5382" s="733"/>
      <c r="H5382" s="733"/>
      <c r="I5382" s="733"/>
      <c r="J5382" s="733"/>
      <c r="K5382" s="733"/>
      <c r="L5382" s="733"/>
      <c r="M5382" s="733"/>
    </row>
    <row r="5383" spans="1:13" x14ac:dyDescent="0.3">
      <c r="A5383" s="733" t="s">
        <v>5373</v>
      </c>
      <c r="B5383" s="733" t="s">
        <v>612</v>
      </c>
      <c r="C5383" s="733" t="s">
        <v>5411</v>
      </c>
      <c r="D5383" s="733"/>
      <c r="E5383" s="733"/>
      <c r="G5383" s="733"/>
      <c r="H5383" s="733"/>
      <c r="I5383" s="733"/>
      <c r="J5383" s="733"/>
      <c r="K5383" s="733"/>
      <c r="L5383" s="733"/>
      <c r="M5383" s="733"/>
    </row>
    <row r="5384" spans="1:13" x14ac:dyDescent="0.3">
      <c r="A5384" s="733" t="s">
        <v>5373</v>
      </c>
      <c r="B5384" s="733" t="s">
        <v>612</v>
      </c>
      <c r="C5384" s="733" t="s">
        <v>5412</v>
      </c>
      <c r="D5384" s="733"/>
      <c r="E5384" s="733"/>
      <c r="G5384" s="733"/>
      <c r="H5384" s="733"/>
      <c r="I5384" s="733"/>
      <c r="J5384" s="733"/>
      <c r="K5384" s="733"/>
      <c r="L5384" s="733"/>
      <c r="M5384" s="733"/>
    </row>
    <row r="5385" spans="1:13" x14ac:dyDescent="0.3">
      <c r="A5385" s="733" t="s">
        <v>5373</v>
      </c>
      <c r="B5385" s="733" t="s">
        <v>612</v>
      </c>
      <c r="C5385" s="733" t="s">
        <v>5413</v>
      </c>
      <c r="D5385" s="733"/>
      <c r="E5385" s="733"/>
      <c r="G5385" s="733"/>
      <c r="H5385" s="733"/>
      <c r="I5385" s="733"/>
      <c r="J5385" s="733"/>
      <c r="K5385" s="733"/>
      <c r="L5385" s="733"/>
      <c r="M5385" s="733"/>
    </row>
    <row r="5386" spans="1:13" x14ac:dyDescent="0.3">
      <c r="A5386" s="733" t="s">
        <v>5373</v>
      </c>
      <c r="B5386" s="733" t="s">
        <v>612</v>
      </c>
      <c r="C5386" s="733" t="s">
        <v>5414</v>
      </c>
      <c r="D5386" s="733"/>
      <c r="E5386" s="733"/>
      <c r="G5386" s="733"/>
      <c r="H5386" s="733"/>
      <c r="I5386" s="733"/>
      <c r="J5386" s="733"/>
      <c r="K5386" s="733"/>
      <c r="L5386" s="733"/>
      <c r="M5386" s="733"/>
    </row>
    <row r="5387" spans="1:13" x14ac:dyDescent="0.3">
      <c r="A5387" s="733" t="s">
        <v>5373</v>
      </c>
      <c r="B5387" s="733" t="s">
        <v>612</v>
      </c>
      <c r="C5387" s="733" t="s">
        <v>5415</v>
      </c>
      <c r="D5387" s="733"/>
      <c r="E5387" s="733"/>
      <c r="G5387" s="733"/>
      <c r="H5387" s="733"/>
      <c r="I5387" s="733"/>
      <c r="J5387" s="733"/>
      <c r="K5387" s="733"/>
      <c r="L5387" s="733"/>
      <c r="M5387" s="733"/>
    </row>
    <row r="5388" spans="1:13" x14ac:dyDescent="0.3">
      <c r="A5388" s="733" t="s">
        <v>5373</v>
      </c>
      <c r="B5388" s="733" t="s">
        <v>612</v>
      </c>
      <c r="C5388" s="733" t="s">
        <v>5416</v>
      </c>
      <c r="D5388" s="733"/>
      <c r="E5388" s="733"/>
      <c r="G5388" s="733"/>
      <c r="H5388" s="733"/>
      <c r="I5388" s="733"/>
      <c r="J5388" s="733"/>
      <c r="K5388" s="733"/>
      <c r="L5388" s="733"/>
      <c r="M5388" s="733"/>
    </row>
    <row r="5389" spans="1:13" x14ac:dyDescent="0.3">
      <c r="A5389" s="733" t="s">
        <v>5373</v>
      </c>
      <c r="B5389" s="733" t="s">
        <v>612</v>
      </c>
      <c r="C5389" s="733" t="s">
        <v>5417</v>
      </c>
      <c r="D5389" s="733"/>
      <c r="E5389" s="733"/>
      <c r="G5389" s="733"/>
      <c r="H5389" s="733"/>
      <c r="I5389" s="733"/>
      <c r="J5389" s="733"/>
      <c r="K5389" s="733"/>
      <c r="L5389" s="733"/>
      <c r="M5389" s="733"/>
    </row>
    <row r="5390" spans="1:13" x14ac:dyDescent="0.3">
      <c r="A5390" s="733" t="s">
        <v>5373</v>
      </c>
      <c r="B5390" s="733" t="s">
        <v>612</v>
      </c>
      <c r="C5390" s="733" t="s">
        <v>5418</v>
      </c>
      <c r="D5390" s="733"/>
      <c r="E5390" s="733"/>
      <c r="G5390" s="733"/>
      <c r="H5390" s="733"/>
      <c r="I5390" s="733"/>
      <c r="J5390" s="733"/>
      <c r="K5390" s="733"/>
      <c r="L5390" s="733"/>
      <c r="M5390" s="733"/>
    </row>
    <row r="5391" spans="1:13" x14ac:dyDescent="0.3">
      <c r="A5391" s="733" t="s">
        <v>5419</v>
      </c>
      <c r="B5391" s="733" t="s">
        <v>645</v>
      </c>
      <c r="C5391" s="738" t="s">
        <v>5420</v>
      </c>
      <c r="D5391" s="733"/>
      <c r="E5391" s="733"/>
      <c r="G5391" s="733"/>
      <c r="H5391" s="733"/>
      <c r="I5391" s="733"/>
      <c r="J5391" s="733"/>
      <c r="K5391" s="733"/>
      <c r="L5391" s="733"/>
      <c r="M5391" s="733"/>
    </row>
    <row r="5392" spans="1:13" x14ac:dyDescent="0.3">
      <c r="A5392" s="733" t="s">
        <v>5419</v>
      </c>
      <c r="B5392" s="733" t="s">
        <v>645</v>
      </c>
      <c r="C5392" s="738" t="s">
        <v>5421</v>
      </c>
      <c r="D5392" s="733"/>
      <c r="E5392" s="733"/>
      <c r="G5392" s="733"/>
      <c r="H5392" s="733"/>
      <c r="I5392" s="733"/>
      <c r="J5392" s="733"/>
      <c r="K5392" s="733"/>
      <c r="L5392" s="733"/>
      <c r="M5392" s="733"/>
    </row>
    <row r="5393" spans="1:13" x14ac:dyDescent="0.3">
      <c r="A5393" s="733" t="s">
        <v>5419</v>
      </c>
      <c r="B5393" s="733" t="s">
        <v>645</v>
      </c>
      <c r="C5393" s="738" t="s">
        <v>5422</v>
      </c>
      <c r="D5393" s="733"/>
      <c r="E5393" s="733"/>
      <c r="G5393" s="733"/>
      <c r="H5393" s="733"/>
      <c r="I5393" s="733"/>
      <c r="J5393" s="733"/>
      <c r="K5393" s="733"/>
      <c r="L5393" s="733"/>
      <c r="M5393" s="733"/>
    </row>
    <row r="5394" spans="1:13" x14ac:dyDescent="0.3">
      <c r="A5394" s="733" t="s">
        <v>5419</v>
      </c>
      <c r="B5394" s="733" t="s">
        <v>645</v>
      </c>
      <c r="C5394" s="738" t="s">
        <v>5423</v>
      </c>
      <c r="D5394" s="733"/>
      <c r="E5394" s="733"/>
      <c r="G5394" s="733"/>
      <c r="H5394" s="733"/>
      <c r="I5394" s="733"/>
      <c r="J5394" s="733"/>
      <c r="K5394" s="733"/>
      <c r="L5394" s="733"/>
      <c r="M5394" s="733"/>
    </row>
    <row r="5395" spans="1:13" x14ac:dyDescent="0.3">
      <c r="A5395" s="733" t="s">
        <v>5419</v>
      </c>
      <c r="B5395" s="733" t="s">
        <v>645</v>
      </c>
      <c r="C5395" s="738" t="s">
        <v>5424</v>
      </c>
      <c r="D5395" s="733"/>
      <c r="E5395" s="733"/>
      <c r="G5395" s="733"/>
      <c r="H5395" s="733"/>
      <c r="I5395" s="733"/>
      <c r="J5395" s="733"/>
      <c r="K5395" s="733"/>
      <c r="L5395" s="733"/>
      <c r="M5395" s="733"/>
    </row>
    <row r="5396" spans="1:13" x14ac:dyDescent="0.3">
      <c r="A5396" s="733" t="s">
        <v>5419</v>
      </c>
      <c r="B5396" s="733" t="s">
        <v>645</v>
      </c>
      <c r="C5396" s="738" t="s">
        <v>5425</v>
      </c>
      <c r="D5396" s="733"/>
      <c r="E5396" s="733"/>
      <c r="G5396" s="733"/>
      <c r="H5396" s="733"/>
      <c r="I5396" s="733"/>
      <c r="J5396" s="733"/>
      <c r="K5396" s="733"/>
      <c r="L5396" s="733"/>
      <c r="M5396" s="733"/>
    </row>
    <row r="5397" spans="1:13" x14ac:dyDescent="0.3">
      <c r="A5397" s="733" t="s">
        <v>5419</v>
      </c>
      <c r="B5397" s="733" t="s">
        <v>645</v>
      </c>
      <c r="C5397" s="738" t="s">
        <v>5426</v>
      </c>
      <c r="D5397" s="733"/>
      <c r="E5397" s="733"/>
      <c r="G5397" s="733"/>
      <c r="H5397" s="733"/>
      <c r="I5397" s="733"/>
      <c r="J5397" s="733"/>
      <c r="K5397" s="733"/>
      <c r="L5397" s="733"/>
      <c r="M5397" s="733"/>
    </row>
    <row r="5398" spans="1:13" x14ac:dyDescent="0.3">
      <c r="A5398" s="733" t="s">
        <v>5419</v>
      </c>
      <c r="B5398" s="733" t="s">
        <v>645</v>
      </c>
      <c r="C5398" s="738" t="s">
        <v>5427</v>
      </c>
      <c r="D5398" s="733"/>
      <c r="E5398" s="733"/>
      <c r="G5398" s="733"/>
      <c r="H5398" s="733"/>
      <c r="I5398" s="733"/>
      <c r="J5398" s="733"/>
      <c r="K5398" s="733"/>
      <c r="L5398" s="733"/>
      <c r="M5398" s="733"/>
    </row>
    <row r="5399" spans="1:13" x14ac:dyDescent="0.3">
      <c r="A5399" s="733" t="s">
        <v>5419</v>
      </c>
      <c r="B5399" s="733" t="s">
        <v>645</v>
      </c>
      <c r="C5399" s="738" t="s">
        <v>5428</v>
      </c>
      <c r="D5399" s="733"/>
      <c r="E5399" s="733"/>
      <c r="G5399" s="733"/>
      <c r="H5399" s="733"/>
      <c r="I5399" s="733"/>
      <c r="J5399" s="733"/>
      <c r="K5399" s="733"/>
      <c r="L5399" s="733"/>
      <c r="M5399" s="733"/>
    </row>
    <row r="5400" spans="1:13" x14ac:dyDescent="0.3">
      <c r="A5400" s="733" t="s">
        <v>5419</v>
      </c>
      <c r="B5400" s="733" t="s">
        <v>645</v>
      </c>
      <c r="C5400" s="738" t="s">
        <v>5429</v>
      </c>
      <c r="D5400" s="733"/>
      <c r="E5400" s="733"/>
      <c r="G5400" s="733"/>
      <c r="H5400" s="733"/>
      <c r="I5400" s="733"/>
      <c r="J5400" s="733"/>
      <c r="K5400" s="733"/>
      <c r="L5400" s="733"/>
      <c r="M5400" s="733"/>
    </row>
    <row r="5401" spans="1:13" x14ac:dyDescent="0.3">
      <c r="A5401" s="733" t="s">
        <v>5419</v>
      </c>
      <c r="B5401" s="733" t="s">
        <v>645</v>
      </c>
      <c r="C5401" s="738" t="s">
        <v>5430</v>
      </c>
      <c r="D5401" s="733"/>
      <c r="E5401" s="733"/>
      <c r="G5401" s="733"/>
      <c r="H5401" s="733"/>
      <c r="I5401" s="733"/>
      <c r="J5401" s="733"/>
      <c r="K5401" s="733"/>
      <c r="L5401" s="733"/>
      <c r="M5401" s="733"/>
    </row>
    <row r="5402" spans="1:13" x14ac:dyDescent="0.3">
      <c r="A5402" s="733" t="s">
        <v>5419</v>
      </c>
      <c r="B5402" s="733" t="s">
        <v>645</v>
      </c>
      <c r="C5402" s="738" t="s">
        <v>5431</v>
      </c>
      <c r="D5402" s="733"/>
      <c r="E5402" s="733"/>
      <c r="G5402" s="733"/>
      <c r="H5402" s="733"/>
      <c r="I5402" s="733"/>
      <c r="J5402" s="733"/>
      <c r="K5402" s="733"/>
      <c r="L5402" s="733"/>
      <c r="M5402" s="733"/>
    </row>
    <row r="5403" spans="1:13" x14ac:dyDescent="0.3">
      <c r="A5403" s="733" t="s">
        <v>5419</v>
      </c>
      <c r="B5403" s="733" t="s">
        <v>645</v>
      </c>
      <c r="C5403" s="738" t="s">
        <v>5432</v>
      </c>
      <c r="D5403" s="733"/>
      <c r="E5403" s="733"/>
      <c r="G5403" s="733"/>
      <c r="H5403" s="733"/>
      <c r="I5403" s="733"/>
      <c r="J5403" s="733"/>
      <c r="K5403" s="733"/>
      <c r="L5403" s="733"/>
      <c r="M5403" s="733"/>
    </row>
    <row r="5404" spans="1:13" x14ac:dyDescent="0.3">
      <c r="A5404" s="733" t="s">
        <v>5419</v>
      </c>
      <c r="B5404" s="733" t="s">
        <v>645</v>
      </c>
      <c r="C5404" s="738" t="s">
        <v>5433</v>
      </c>
      <c r="D5404" s="733"/>
      <c r="E5404" s="733"/>
      <c r="G5404" s="733"/>
      <c r="H5404" s="733"/>
      <c r="I5404" s="733"/>
      <c r="J5404" s="733"/>
      <c r="K5404" s="733"/>
      <c r="L5404" s="733"/>
      <c r="M5404" s="733"/>
    </row>
    <row r="5405" spans="1:13" x14ac:dyDescent="0.3">
      <c r="A5405" s="733" t="s">
        <v>5419</v>
      </c>
      <c r="B5405" s="733" t="s">
        <v>645</v>
      </c>
      <c r="C5405" s="738" t="s">
        <v>5434</v>
      </c>
      <c r="D5405" s="733"/>
      <c r="E5405" s="733"/>
      <c r="G5405" s="733"/>
      <c r="H5405" s="733"/>
      <c r="I5405" s="733"/>
      <c r="J5405" s="733"/>
      <c r="K5405" s="733"/>
      <c r="L5405" s="733"/>
      <c r="M5405" s="733"/>
    </row>
    <row r="5406" spans="1:13" x14ac:dyDescent="0.3">
      <c r="A5406" s="733" t="s">
        <v>5419</v>
      </c>
      <c r="B5406" s="733" t="s">
        <v>664</v>
      </c>
      <c r="C5406" s="733" t="s">
        <v>5435</v>
      </c>
      <c r="D5406" s="733"/>
      <c r="E5406" s="733"/>
      <c r="G5406" s="733"/>
      <c r="H5406" s="733"/>
      <c r="I5406" s="733"/>
      <c r="J5406" s="733"/>
      <c r="K5406" s="733"/>
      <c r="L5406" s="733"/>
      <c r="M5406" s="733"/>
    </row>
    <row r="5407" spans="1:13" x14ac:dyDescent="0.3">
      <c r="A5407" s="733" t="s">
        <v>5419</v>
      </c>
      <c r="B5407" s="733" t="s">
        <v>664</v>
      </c>
      <c r="C5407" s="733" t="s">
        <v>5436</v>
      </c>
      <c r="D5407" s="733"/>
      <c r="E5407" s="733"/>
      <c r="G5407" s="733"/>
      <c r="H5407" s="733"/>
      <c r="I5407" s="733"/>
      <c r="J5407" s="733"/>
      <c r="K5407" s="733"/>
      <c r="L5407" s="733"/>
      <c r="M5407" s="733"/>
    </row>
    <row r="5408" spans="1:13" x14ac:dyDescent="0.3">
      <c r="A5408" s="733" t="s">
        <v>5419</v>
      </c>
      <c r="B5408" s="733" t="s">
        <v>664</v>
      </c>
      <c r="C5408" s="733" t="s">
        <v>5437</v>
      </c>
      <c r="D5408" s="733"/>
      <c r="E5408" s="733"/>
      <c r="G5408" s="733"/>
      <c r="H5408" s="733"/>
      <c r="I5408" s="733"/>
      <c r="J5408" s="733"/>
      <c r="K5408" s="733"/>
      <c r="L5408" s="733"/>
      <c r="M5408" s="733"/>
    </row>
    <row r="5409" spans="1:13" x14ac:dyDescent="0.3">
      <c r="A5409" s="733" t="s">
        <v>5419</v>
      </c>
      <c r="B5409" s="733" t="s">
        <v>664</v>
      </c>
      <c r="C5409" s="733" t="s">
        <v>5438</v>
      </c>
      <c r="D5409" s="733"/>
      <c r="E5409" s="733"/>
      <c r="G5409" s="733"/>
      <c r="H5409" s="733"/>
      <c r="I5409" s="733"/>
      <c r="J5409" s="733"/>
      <c r="K5409" s="733"/>
      <c r="L5409" s="733"/>
      <c r="M5409" s="733"/>
    </row>
    <row r="5410" spans="1:13" x14ac:dyDescent="0.3">
      <c r="A5410" s="733" t="s">
        <v>5419</v>
      </c>
      <c r="B5410" s="733" t="s">
        <v>664</v>
      </c>
      <c r="C5410" s="733" t="s">
        <v>5439</v>
      </c>
      <c r="D5410" s="733"/>
      <c r="E5410" s="733"/>
      <c r="G5410" s="733"/>
      <c r="H5410" s="733"/>
      <c r="I5410" s="733"/>
      <c r="J5410" s="733"/>
      <c r="K5410" s="733"/>
      <c r="L5410" s="733"/>
      <c r="M5410" s="733"/>
    </row>
    <row r="5411" spans="1:13" x14ac:dyDescent="0.3">
      <c r="A5411" s="733" t="s">
        <v>5419</v>
      </c>
      <c r="B5411" s="733" t="s">
        <v>664</v>
      </c>
      <c r="C5411" s="733" t="s">
        <v>5440</v>
      </c>
      <c r="D5411" s="733"/>
      <c r="E5411" s="733"/>
      <c r="G5411" s="733"/>
      <c r="H5411" s="733"/>
      <c r="I5411" s="733"/>
      <c r="J5411" s="733"/>
      <c r="K5411" s="733"/>
      <c r="L5411" s="733"/>
      <c r="M5411" s="733"/>
    </row>
    <row r="5412" spans="1:13" x14ac:dyDescent="0.3">
      <c r="A5412" s="733" t="s">
        <v>5419</v>
      </c>
      <c r="B5412" s="733" t="s">
        <v>664</v>
      </c>
      <c r="C5412" s="733" t="s">
        <v>5441</v>
      </c>
      <c r="D5412" s="733"/>
      <c r="E5412" s="733"/>
      <c r="G5412" s="733"/>
      <c r="H5412" s="733"/>
      <c r="I5412" s="733"/>
      <c r="J5412" s="733"/>
      <c r="K5412" s="733"/>
      <c r="L5412" s="733"/>
      <c r="M5412" s="733"/>
    </row>
    <row r="5413" spans="1:13" x14ac:dyDescent="0.3">
      <c r="A5413" s="733" t="s">
        <v>5419</v>
      </c>
      <c r="B5413" s="733" t="s">
        <v>664</v>
      </c>
      <c r="C5413" s="733" t="s">
        <v>5442</v>
      </c>
      <c r="D5413" s="733"/>
      <c r="E5413" s="733"/>
      <c r="G5413" s="733"/>
      <c r="H5413" s="733"/>
      <c r="I5413" s="733"/>
      <c r="J5413" s="733"/>
      <c r="K5413" s="733"/>
      <c r="L5413" s="733"/>
      <c r="M5413" s="733"/>
    </row>
    <row r="5414" spans="1:13" x14ac:dyDescent="0.3">
      <c r="A5414" s="733" t="s">
        <v>5419</v>
      </c>
      <c r="B5414" s="733" t="s">
        <v>664</v>
      </c>
      <c r="C5414" s="733" t="s">
        <v>5443</v>
      </c>
      <c r="D5414" s="733"/>
      <c r="E5414" s="733"/>
      <c r="G5414" s="733"/>
      <c r="H5414" s="733"/>
      <c r="I5414" s="733"/>
      <c r="J5414" s="733"/>
      <c r="K5414" s="733"/>
      <c r="L5414" s="733"/>
      <c r="M5414" s="733"/>
    </row>
    <row r="5415" spans="1:13" x14ac:dyDescent="0.3">
      <c r="A5415" s="733" t="s">
        <v>5419</v>
      </c>
      <c r="B5415" s="733" t="s">
        <v>664</v>
      </c>
      <c r="C5415" s="733" t="s">
        <v>5444</v>
      </c>
      <c r="D5415" s="733"/>
      <c r="E5415" s="733"/>
      <c r="G5415" s="733"/>
      <c r="H5415" s="733"/>
      <c r="I5415" s="733"/>
      <c r="J5415" s="733"/>
      <c r="K5415" s="733"/>
      <c r="L5415" s="733"/>
      <c r="M5415" s="733"/>
    </row>
    <row r="5416" spans="1:13" x14ac:dyDescent="0.3">
      <c r="A5416" s="733" t="s">
        <v>5419</v>
      </c>
      <c r="B5416" s="733" t="s">
        <v>664</v>
      </c>
      <c r="C5416" s="733" t="s">
        <v>5445</v>
      </c>
      <c r="D5416" s="733"/>
      <c r="E5416" s="733"/>
      <c r="G5416" s="733"/>
      <c r="H5416" s="733"/>
      <c r="I5416" s="733"/>
      <c r="J5416" s="733"/>
      <c r="K5416" s="733"/>
      <c r="L5416" s="733"/>
      <c r="M5416" s="733"/>
    </row>
    <row r="5417" spans="1:13" x14ac:dyDescent="0.3">
      <c r="A5417" s="733" t="s">
        <v>5419</v>
      </c>
      <c r="B5417" s="733" t="s">
        <v>664</v>
      </c>
      <c r="C5417" s="733" t="s">
        <v>5446</v>
      </c>
      <c r="D5417" s="733"/>
      <c r="E5417" s="733"/>
      <c r="G5417" s="733"/>
      <c r="H5417" s="733"/>
      <c r="I5417" s="733"/>
      <c r="J5417" s="733"/>
      <c r="K5417" s="733"/>
      <c r="L5417" s="733"/>
      <c r="M5417" s="733"/>
    </row>
    <row r="5418" spans="1:13" x14ac:dyDescent="0.3">
      <c r="A5418" s="733" t="s">
        <v>5419</v>
      </c>
      <c r="B5418" s="733" t="s">
        <v>664</v>
      </c>
      <c r="C5418" s="733" t="s">
        <v>5447</v>
      </c>
      <c r="D5418" s="733"/>
      <c r="E5418" s="733"/>
      <c r="G5418" s="733"/>
      <c r="H5418" s="733"/>
      <c r="I5418" s="733"/>
      <c r="J5418" s="733"/>
      <c r="K5418" s="733"/>
      <c r="L5418" s="733"/>
      <c r="M5418" s="733"/>
    </row>
    <row r="5419" spans="1:13" x14ac:dyDescent="0.3">
      <c r="A5419" s="733" t="s">
        <v>5419</v>
      </c>
      <c r="B5419" s="733" t="s">
        <v>664</v>
      </c>
      <c r="C5419" s="733" t="s">
        <v>5448</v>
      </c>
      <c r="D5419" s="733"/>
      <c r="E5419" s="733"/>
      <c r="G5419" s="733"/>
      <c r="H5419" s="733"/>
      <c r="I5419" s="733"/>
      <c r="J5419" s="733"/>
      <c r="K5419" s="733"/>
      <c r="L5419" s="733"/>
      <c r="M5419" s="733"/>
    </row>
    <row r="5420" spans="1:13" x14ac:dyDescent="0.3">
      <c r="A5420" s="733" t="s">
        <v>5419</v>
      </c>
      <c r="B5420" s="733" t="s">
        <v>664</v>
      </c>
      <c r="C5420" s="733" t="s">
        <v>5449</v>
      </c>
      <c r="D5420" s="733"/>
      <c r="E5420" s="733"/>
      <c r="G5420" s="733"/>
      <c r="H5420" s="733"/>
      <c r="I5420" s="733"/>
      <c r="J5420" s="733"/>
      <c r="K5420" s="733"/>
      <c r="L5420" s="733"/>
      <c r="M5420" s="733"/>
    </row>
    <row r="5421" spans="1:13" x14ac:dyDescent="0.3">
      <c r="A5421" s="733" t="s">
        <v>5419</v>
      </c>
      <c r="B5421" s="733" t="s">
        <v>612</v>
      </c>
      <c r="C5421" s="733" t="s">
        <v>5450</v>
      </c>
      <c r="D5421" s="733"/>
      <c r="E5421" s="733"/>
      <c r="G5421" s="733"/>
      <c r="H5421" s="733"/>
      <c r="I5421" s="733"/>
      <c r="J5421" s="733"/>
      <c r="K5421" s="733"/>
      <c r="L5421" s="733"/>
      <c r="M5421" s="733"/>
    </row>
    <row r="5422" spans="1:13" x14ac:dyDescent="0.3">
      <c r="A5422" s="733" t="s">
        <v>5419</v>
      </c>
      <c r="B5422" s="733" t="s">
        <v>612</v>
      </c>
      <c r="C5422" s="733" t="s">
        <v>5451</v>
      </c>
      <c r="D5422" s="733"/>
      <c r="E5422" s="733"/>
      <c r="G5422" s="733"/>
      <c r="H5422" s="733"/>
      <c r="I5422" s="733"/>
      <c r="J5422" s="733"/>
      <c r="K5422" s="733"/>
      <c r="L5422" s="733"/>
      <c r="M5422" s="733"/>
    </row>
    <row r="5423" spans="1:13" x14ac:dyDescent="0.3">
      <c r="A5423" s="733" t="s">
        <v>5419</v>
      </c>
      <c r="B5423" s="733" t="s">
        <v>612</v>
      </c>
      <c r="C5423" s="733" t="s">
        <v>5452</v>
      </c>
      <c r="D5423" s="733"/>
      <c r="E5423" s="733"/>
      <c r="G5423" s="733"/>
      <c r="H5423" s="733"/>
      <c r="I5423" s="733"/>
      <c r="J5423" s="733"/>
      <c r="K5423" s="733"/>
      <c r="L5423" s="733"/>
      <c r="M5423" s="733"/>
    </row>
    <row r="5424" spans="1:13" x14ac:dyDescent="0.3">
      <c r="A5424" s="733" t="s">
        <v>5419</v>
      </c>
      <c r="B5424" s="733" t="s">
        <v>612</v>
      </c>
      <c r="C5424" s="733" t="s">
        <v>5453</v>
      </c>
      <c r="D5424" s="733"/>
      <c r="E5424" s="733"/>
      <c r="G5424" s="733"/>
      <c r="H5424" s="733"/>
      <c r="I5424" s="733"/>
      <c r="J5424" s="733"/>
      <c r="K5424" s="733"/>
      <c r="L5424" s="733"/>
      <c r="M5424" s="733"/>
    </row>
    <row r="5425" spans="1:13" x14ac:dyDescent="0.3">
      <c r="A5425" s="733" t="s">
        <v>5419</v>
      </c>
      <c r="B5425" s="733" t="s">
        <v>612</v>
      </c>
      <c r="C5425" s="733" t="s">
        <v>5454</v>
      </c>
      <c r="D5425" s="733"/>
      <c r="E5425" s="733"/>
      <c r="G5425" s="733"/>
      <c r="H5425" s="733"/>
      <c r="I5425" s="733"/>
      <c r="J5425" s="733"/>
      <c r="K5425" s="733"/>
      <c r="L5425" s="733"/>
      <c r="M5425" s="733"/>
    </row>
    <row r="5426" spans="1:13" x14ac:dyDescent="0.3">
      <c r="A5426" s="733" t="s">
        <v>5419</v>
      </c>
      <c r="B5426" s="733" t="s">
        <v>612</v>
      </c>
      <c r="C5426" s="733" t="s">
        <v>5455</v>
      </c>
      <c r="D5426" s="733"/>
      <c r="E5426" s="733"/>
      <c r="G5426" s="733"/>
      <c r="H5426" s="733"/>
      <c r="I5426" s="733"/>
      <c r="J5426" s="733"/>
      <c r="K5426" s="733"/>
      <c r="L5426" s="733"/>
      <c r="M5426" s="733"/>
    </row>
    <row r="5427" spans="1:13" x14ac:dyDescent="0.3">
      <c r="A5427" s="733" t="s">
        <v>5419</v>
      </c>
      <c r="B5427" s="733" t="s">
        <v>612</v>
      </c>
      <c r="C5427" s="733" t="s">
        <v>5456</v>
      </c>
      <c r="D5427" s="733"/>
      <c r="E5427" s="733"/>
      <c r="G5427" s="733"/>
      <c r="H5427" s="733"/>
      <c r="I5427" s="733"/>
      <c r="J5427" s="733"/>
      <c r="K5427" s="733"/>
      <c r="L5427" s="733"/>
      <c r="M5427" s="733"/>
    </row>
    <row r="5428" spans="1:13" x14ac:dyDescent="0.3">
      <c r="A5428" s="733" t="s">
        <v>5419</v>
      </c>
      <c r="B5428" s="733" t="s">
        <v>612</v>
      </c>
      <c r="C5428" s="733" t="s">
        <v>5457</v>
      </c>
      <c r="D5428" s="733"/>
      <c r="E5428" s="733"/>
      <c r="G5428" s="733"/>
      <c r="H5428" s="733"/>
      <c r="I5428" s="733"/>
      <c r="J5428" s="733"/>
      <c r="K5428" s="733"/>
      <c r="L5428" s="733"/>
      <c r="M5428" s="733"/>
    </row>
    <row r="5429" spans="1:13" x14ac:dyDescent="0.3">
      <c r="A5429" s="733" t="s">
        <v>5419</v>
      </c>
      <c r="B5429" s="733" t="s">
        <v>612</v>
      </c>
      <c r="C5429" s="733" t="s">
        <v>5458</v>
      </c>
      <c r="D5429" s="733"/>
      <c r="E5429" s="733"/>
      <c r="G5429" s="733"/>
      <c r="H5429" s="733"/>
      <c r="I5429" s="733"/>
      <c r="J5429" s="733"/>
      <c r="K5429" s="733"/>
      <c r="L5429" s="733"/>
      <c r="M5429" s="733"/>
    </row>
    <row r="5430" spans="1:13" x14ac:dyDescent="0.3">
      <c r="A5430" s="733" t="s">
        <v>5419</v>
      </c>
      <c r="B5430" s="733" t="s">
        <v>612</v>
      </c>
      <c r="C5430" s="733" t="s">
        <v>5459</v>
      </c>
      <c r="D5430" s="733"/>
      <c r="E5430" s="733"/>
      <c r="G5430" s="733"/>
      <c r="H5430" s="733"/>
      <c r="I5430" s="733"/>
      <c r="J5430" s="733"/>
      <c r="K5430" s="733"/>
      <c r="L5430" s="733"/>
      <c r="M5430" s="733"/>
    </row>
    <row r="5431" spans="1:13" x14ac:dyDescent="0.3">
      <c r="A5431" s="733" t="s">
        <v>5419</v>
      </c>
      <c r="B5431" s="733" t="s">
        <v>612</v>
      </c>
      <c r="C5431" s="733" t="s">
        <v>5460</v>
      </c>
      <c r="D5431" s="733"/>
      <c r="E5431" s="733"/>
      <c r="G5431" s="733"/>
      <c r="H5431" s="733"/>
      <c r="I5431" s="733"/>
      <c r="J5431" s="733"/>
      <c r="K5431" s="733"/>
      <c r="L5431" s="733"/>
      <c r="M5431" s="733"/>
    </row>
    <row r="5432" spans="1:13" x14ac:dyDescent="0.3">
      <c r="A5432" s="733" t="s">
        <v>5419</v>
      </c>
      <c r="B5432" s="733" t="s">
        <v>612</v>
      </c>
      <c r="C5432" s="733" t="s">
        <v>5461</v>
      </c>
      <c r="D5432" s="733"/>
      <c r="E5432" s="733"/>
      <c r="G5432" s="733"/>
      <c r="H5432" s="733"/>
      <c r="I5432" s="733"/>
      <c r="J5432" s="733"/>
      <c r="K5432" s="733"/>
      <c r="L5432" s="733"/>
      <c r="M5432" s="733"/>
    </row>
    <row r="5433" spans="1:13" x14ac:dyDescent="0.3">
      <c r="A5433" s="733" t="s">
        <v>5419</v>
      </c>
      <c r="B5433" s="733" t="s">
        <v>612</v>
      </c>
      <c r="C5433" s="733" t="s">
        <v>5462</v>
      </c>
      <c r="D5433" s="733"/>
      <c r="E5433" s="733"/>
      <c r="G5433" s="733"/>
      <c r="H5433" s="733"/>
      <c r="I5433" s="733"/>
      <c r="J5433" s="733"/>
      <c r="K5433" s="733"/>
      <c r="L5433" s="733"/>
      <c r="M5433" s="733"/>
    </row>
    <row r="5434" spans="1:13" x14ac:dyDescent="0.3">
      <c r="A5434" s="733" t="s">
        <v>5419</v>
      </c>
      <c r="B5434" s="733" t="s">
        <v>612</v>
      </c>
      <c r="C5434" s="733" t="s">
        <v>5463</v>
      </c>
      <c r="D5434" s="733"/>
      <c r="E5434" s="733"/>
      <c r="G5434" s="733"/>
      <c r="H5434" s="733"/>
      <c r="I5434" s="733"/>
      <c r="J5434" s="733"/>
      <c r="K5434" s="733"/>
      <c r="L5434" s="733"/>
      <c r="M5434" s="733"/>
    </row>
    <row r="5435" spans="1:13" x14ac:dyDescent="0.3">
      <c r="A5435" s="733" t="s">
        <v>5419</v>
      </c>
      <c r="B5435" s="733" t="s">
        <v>612</v>
      </c>
      <c r="C5435" s="733" t="s">
        <v>5464</v>
      </c>
      <c r="D5435" s="733"/>
      <c r="E5435" s="733"/>
      <c r="G5435" s="733"/>
      <c r="H5435" s="733"/>
      <c r="I5435" s="733"/>
      <c r="J5435" s="733"/>
      <c r="K5435" s="733"/>
      <c r="L5435" s="733"/>
      <c r="M5435" s="733"/>
    </row>
    <row r="5436" spans="1:13" x14ac:dyDescent="0.3">
      <c r="A5436" s="733" t="s">
        <v>5465</v>
      </c>
      <c r="B5436" s="733" t="s">
        <v>645</v>
      </c>
      <c r="C5436" s="738" t="s">
        <v>5466</v>
      </c>
      <c r="D5436" s="733"/>
      <c r="E5436" s="733"/>
      <c r="G5436" s="733"/>
      <c r="H5436" s="733"/>
      <c r="I5436" s="733"/>
      <c r="J5436" s="733"/>
      <c r="K5436" s="733"/>
      <c r="L5436" s="733"/>
      <c r="M5436" s="733"/>
    </row>
    <row r="5437" spans="1:13" x14ac:dyDescent="0.3">
      <c r="A5437" s="733" t="s">
        <v>5465</v>
      </c>
      <c r="B5437" s="733" t="s">
        <v>645</v>
      </c>
      <c r="C5437" s="738" t="s">
        <v>5467</v>
      </c>
      <c r="D5437" s="733"/>
      <c r="E5437" s="733"/>
      <c r="G5437" s="733"/>
      <c r="H5437" s="733"/>
      <c r="I5437" s="733"/>
      <c r="J5437" s="733"/>
      <c r="K5437" s="733"/>
      <c r="L5437" s="733"/>
      <c r="M5437" s="733"/>
    </row>
    <row r="5438" spans="1:13" x14ac:dyDescent="0.3">
      <c r="A5438" s="733" t="s">
        <v>5465</v>
      </c>
      <c r="B5438" s="733" t="s">
        <v>645</v>
      </c>
      <c r="C5438" s="738" t="s">
        <v>5468</v>
      </c>
      <c r="D5438" s="733"/>
      <c r="E5438" s="733"/>
      <c r="G5438" s="733"/>
      <c r="H5438" s="733"/>
      <c r="I5438" s="733"/>
      <c r="J5438" s="733"/>
      <c r="K5438" s="733"/>
      <c r="L5438" s="733"/>
      <c r="M5438" s="733"/>
    </row>
    <row r="5439" spans="1:13" x14ac:dyDescent="0.3">
      <c r="A5439" s="733" t="s">
        <v>5465</v>
      </c>
      <c r="B5439" s="733" t="s">
        <v>645</v>
      </c>
      <c r="C5439" s="738" t="s">
        <v>5469</v>
      </c>
      <c r="D5439" s="733"/>
      <c r="E5439" s="733"/>
      <c r="G5439" s="733"/>
      <c r="H5439" s="733"/>
      <c r="I5439" s="733"/>
      <c r="J5439" s="733"/>
      <c r="K5439" s="733"/>
      <c r="L5439" s="733"/>
      <c r="M5439" s="733"/>
    </row>
    <row r="5440" spans="1:13" x14ac:dyDescent="0.3">
      <c r="A5440" s="733" t="s">
        <v>5465</v>
      </c>
      <c r="B5440" s="733" t="s">
        <v>645</v>
      </c>
      <c r="C5440" s="738" t="s">
        <v>5470</v>
      </c>
      <c r="D5440" s="733"/>
      <c r="E5440" s="733"/>
      <c r="G5440" s="733"/>
      <c r="H5440" s="733"/>
      <c r="I5440" s="733"/>
      <c r="J5440" s="733"/>
      <c r="K5440" s="733"/>
      <c r="L5440" s="733"/>
      <c r="M5440" s="733"/>
    </row>
    <row r="5441" spans="1:13" x14ac:dyDescent="0.3">
      <c r="A5441" s="733" t="s">
        <v>5465</v>
      </c>
      <c r="B5441" s="733" t="s">
        <v>645</v>
      </c>
      <c r="C5441" s="738" t="s">
        <v>5471</v>
      </c>
      <c r="D5441" s="733"/>
      <c r="E5441" s="733"/>
      <c r="G5441" s="733"/>
      <c r="H5441" s="733"/>
      <c r="I5441" s="733"/>
      <c r="J5441" s="733"/>
      <c r="K5441" s="733"/>
      <c r="L5441" s="733"/>
      <c r="M5441" s="733"/>
    </row>
    <row r="5442" spans="1:13" x14ac:dyDescent="0.3">
      <c r="A5442" s="733" t="s">
        <v>5465</v>
      </c>
      <c r="B5442" s="733" t="s">
        <v>645</v>
      </c>
      <c r="C5442" s="738" t="s">
        <v>5472</v>
      </c>
      <c r="D5442" s="733"/>
      <c r="E5442" s="733"/>
      <c r="G5442" s="733"/>
      <c r="H5442" s="733"/>
      <c r="I5442" s="733"/>
      <c r="J5442" s="733"/>
      <c r="K5442" s="733"/>
      <c r="L5442" s="733"/>
      <c r="M5442" s="733"/>
    </row>
    <row r="5443" spans="1:13" x14ac:dyDescent="0.3">
      <c r="A5443" s="733" t="s">
        <v>5465</v>
      </c>
      <c r="B5443" s="733" t="s">
        <v>645</v>
      </c>
      <c r="C5443" s="738" t="s">
        <v>5473</v>
      </c>
      <c r="D5443" s="733"/>
      <c r="E5443" s="733"/>
      <c r="G5443" s="733"/>
      <c r="H5443" s="733"/>
      <c r="I5443" s="733"/>
      <c r="J5443" s="733"/>
      <c r="K5443" s="733"/>
      <c r="L5443" s="733"/>
      <c r="M5443" s="733"/>
    </row>
    <row r="5444" spans="1:13" x14ac:dyDescent="0.3">
      <c r="A5444" s="733" t="s">
        <v>5465</v>
      </c>
      <c r="B5444" s="733" t="s">
        <v>645</v>
      </c>
      <c r="C5444" s="738" t="s">
        <v>5474</v>
      </c>
      <c r="D5444" s="733"/>
      <c r="E5444" s="733"/>
      <c r="G5444" s="733"/>
      <c r="H5444" s="733"/>
      <c r="I5444" s="733"/>
      <c r="J5444" s="733"/>
      <c r="K5444" s="733"/>
      <c r="L5444" s="733"/>
      <c r="M5444" s="733"/>
    </row>
    <row r="5445" spans="1:13" x14ac:dyDescent="0.3">
      <c r="A5445" s="733" t="s">
        <v>5465</v>
      </c>
      <c r="B5445" s="733" t="s">
        <v>645</v>
      </c>
      <c r="C5445" s="738" t="s">
        <v>5475</v>
      </c>
      <c r="D5445" s="733"/>
      <c r="E5445" s="733"/>
      <c r="G5445" s="733"/>
      <c r="H5445" s="733"/>
      <c r="I5445" s="733"/>
      <c r="J5445" s="733"/>
      <c r="K5445" s="733"/>
      <c r="L5445" s="733"/>
      <c r="M5445" s="733"/>
    </row>
    <row r="5446" spans="1:13" x14ac:dyDescent="0.3">
      <c r="A5446" s="733" t="s">
        <v>5465</v>
      </c>
      <c r="B5446" s="733" t="s">
        <v>645</v>
      </c>
      <c r="C5446" s="738" t="s">
        <v>5476</v>
      </c>
      <c r="D5446" s="733"/>
      <c r="E5446" s="733"/>
      <c r="G5446" s="733"/>
      <c r="H5446" s="733"/>
      <c r="I5446" s="733"/>
      <c r="J5446" s="733"/>
      <c r="K5446" s="733"/>
      <c r="L5446" s="733"/>
      <c r="M5446" s="733"/>
    </row>
    <row r="5447" spans="1:13" x14ac:dyDescent="0.3">
      <c r="A5447" s="733" t="s">
        <v>5465</v>
      </c>
      <c r="B5447" s="733" t="s">
        <v>645</v>
      </c>
      <c r="C5447" s="738" t="s">
        <v>5477</v>
      </c>
      <c r="D5447" s="733"/>
      <c r="E5447" s="733"/>
      <c r="G5447" s="733"/>
      <c r="H5447" s="733"/>
      <c r="I5447" s="733"/>
      <c r="J5447" s="733"/>
      <c r="K5447" s="733"/>
      <c r="L5447" s="733"/>
      <c r="M5447" s="733"/>
    </row>
    <row r="5448" spans="1:13" x14ac:dyDescent="0.3">
      <c r="A5448" s="733" t="s">
        <v>5465</v>
      </c>
      <c r="B5448" s="733" t="s">
        <v>645</v>
      </c>
      <c r="C5448" s="738" t="s">
        <v>5478</v>
      </c>
      <c r="D5448" s="733"/>
      <c r="E5448" s="733"/>
      <c r="G5448" s="733"/>
      <c r="H5448" s="733"/>
      <c r="I5448" s="733"/>
      <c r="J5448" s="733"/>
      <c r="K5448" s="733"/>
      <c r="L5448" s="733"/>
      <c r="M5448" s="733"/>
    </row>
    <row r="5449" spans="1:13" x14ac:dyDescent="0.3">
      <c r="A5449" s="733" t="s">
        <v>5465</v>
      </c>
      <c r="B5449" s="733" t="s">
        <v>645</v>
      </c>
      <c r="C5449" s="738" t="s">
        <v>5479</v>
      </c>
      <c r="D5449" s="733"/>
      <c r="E5449" s="733"/>
      <c r="G5449" s="733"/>
      <c r="H5449" s="733"/>
      <c r="I5449" s="733"/>
      <c r="J5449" s="733"/>
      <c r="K5449" s="733"/>
      <c r="L5449" s="733"/>
      <c r="M5449" s="733"/>
    </row>
    <row r="5450" spans="1:13" x14ac:dyDescent="0.3">
      <c r="A5450" s="733" t="s">
        <v>5465</v>
      </c>
      <c r="B5450" s="733" t="s">
        <v>645</v>
      </c>
      <c r="C5450" s="738" t="s">
        <v>5480</v>
      </c>
      <c r="D5450" s="733"/>
      <c r="E5450" s="733"/>
      <c r="G5450" s="733"/>
      <c r="H5450" s="733"/>
      <c r="I5450" s="733"/>
      <c r="J5450" s="733"/>
      <c r="K5450" s="733"/>
      <c r="L5450" s="733"/>
      <c r="M5450" s="733"/>
    </row>
    <row r="5451" spans="1:13" x14ac:dyDescent="0.3">
      <c r="A5451" s="733" t="s">
        <v>5465</v>
      </c>
      <c r="B5451" s="733" t="s">
        <v>664</v>
      </c>
      <c r="C5451" s="733" t="s">
        <v>5481</v>
      </c>
      <c r="D5451" s="733"/>
      <c r="E5451" s="733"/>
      <c r="G5451" s="733"/>
      <c r="H5451" s="733"/>
      <c r="I5451" s="733"/>
      <c r="J5451" s="733"/>
      <c r="K5451" s="733"/>
      <c r="L5451" s="733"/>
      <c r="M5451" s="733"/>
    </row>
    <row r="5452" spans="1:13" x14ac:dyDescent="0.3">
      <c r="A5452" s="733" t="s">
        <v>5465</v>
      </c>
      <c r="B5452" s="733" t="s">
        <v>664</v>
      </c>
      <c r="C5452" s="733" t="s">
        <v>5482</v>
      </c>
      <c r="D5452" s="733"/>
      <c r="E5452" s="733"/>
      <c r="G5452" s="733"/>
      <c r="H5452" s="733"/>
      <c r="I5452" s="733"/>
      <c r="J5452" s="733"/>
      <c r="K5452" s="733"/>
      <c r="L5452" s="733"/>
      <c r="M5452" s="733"/>
    </row>
    <row r="5453" spans="1:13" x14ac:dyDescent="0.3">
      <c r="A5453" s="733" t="s">
        <v>5465</v>
      </c>
      <c r="B5453" s="733" t="s">
        <v>664</v>
      </c>
      <c r="C5453" s="733" t="s">
        <v>5483</v>
      </c>
      <c r="D5453" s="733"/>
      <c r="E5453" s="733"/>
      <c r="G5453" s="733"/>
      <c r="H5453" s="733"/>
      <c r="I5453" s="733"/>
      <c r="J5453" s="733"/>
      <c r="K5453" s="733"/>
      <c r="L5453" s="733"/>
      <c r="M5453" s="733"/>
    </row>
    <row r="5454" spans="1:13" x14ac:dyDescent="0.3">
      <c r="A5454" s="733" t="s">
        <v>5465</v>
      </c>
      <c r="B5454" s="733" t="s">
        <v>664</v>
      </c>
      <c r="C5454" s="733" t="s">
        <v>5484</v>
      </c>
      <c r="D5454" s="733"/>
      <c r="E5454" s="733"/>
      <c r="G5454" s="733"/>
      <c r="H5454" s="733"/>
      <c r="I5454" s="733"/>
      <c r="J5454" s="733"/>
      <c r="K5454" s="733"/>
      <c r="L5454" s="733"/>
      <c r="M5454" s="733"/>
    </row>
    <row r="5455" spans="1:13" x14ac:dyDescent="0.3">
      <c r="A5455" s="733" t="s">
        <v>5465</v>
      </c>
      <c r="B5455" s="733" t="s">
        <v>664</v>
      </c>
      <c r="C5455" s="733" t="s">
        <v>5485</v>
      </c>
      <c r="D5455" s="733"/>
      <c r="E5455" s="733"/>
      <c r="G5455" s="733"/>
      <c r="H5455" s="733"/>
      <c r="I5455" s="733"/>
      <c r="J5455" s="733"/>
      <c r="K5455" s="733"/>
      <c r="L5455" s="733"/>
      <c r="M5455" s="733"/>
    </row>
    <row r="5456" spans="1:13" x14ac:dyDescent="0.3">
      <c r="A5456" s="733" t="s">
        <v>5465</v>
      </c>
      <c r="B5456" s="733" t="s">
        <v>664</v>
      </c>
      <c r="C5456" s="733" t="s">
        <v>5486</v>
      </c>
      <c r="D5456" s="733"/>
      <c r="E5456" s="733"/>
      <c r="G5456" s="733"/>
      <c r="H5456" s="733"/>
      <c r="I5456" s="733"/>
      <c r="J5456" s="733"/>
      <c r="K5456" s="733"/>
      <c r="L5456" s="733"/>
      <c r="M5456" s="733"/>
    </row>
    <row r="5457" spans="1:13" x14ac:dyDescent="0.3">
      <c r="A5457" s="733" t="s">
        <v>5465</v>
      </c>
      <c r="B5457" s="733" t="s">
        <v>664</v>
      </c>
      <c r="C5457" s="733" t="s">
        <v>5487</v>
      </c>
      <c r="D5457" s="733"/>
      <c r="E5457" s="733"/>
      <c r="G5457" s="733"/>
      <c r="H5457" s="733"/>
      <c r="I5457" s="733"/>
      <c r="J5457" s="733"/>
      <c r="K5457" s="733"/>
      <c r="L5457" s="733"/>
      <c r="M5457" s="733"/>
    </row>
    <row r="5458" spans="1:13" x14ac:dyDescent="0.3">
      <c r="A5458" s="733" t="s">
        <v>5465</v>
      </c>
      <c r="B5458" s="733" t="s">
        <v>664</v>
      </c>
      <c r="C5458" s="733" t="s">
        <v>5488</v>
      </c>
      <c r="D5458" s="733"/>
      <c r="E5458" s="733"/>
      <c r="G5458" s="733"/>
      <c r="H5458" s="733"/>
      <c r="I5458" s="733"/>
      <c r="J5458" s="733"/>
      <c r="K5458" s="733"/>
      <c r="L5458" s="733"/>
      <c r="M5458" s="733"/>
    </row>
    <row r="5459" spans="1:13" x14ac:dyDescent="0.3">
      <c r="A5459" s="733" t="s">
        <v>5465</v>
      </c>
      <c r="B5459" s="733" t="s">
        <v>664</v>
      </c>
      <c r="C5459" s="733" t="s">
        <v>5489</v>
      </c>
      <c r="D5459" s="733"/>
      <c r="E5459" s="733"/>
      <c r="G5459" s="733"/>
      <c r="H5459" s="733"/>
      <c r="I5459" s="733"/>
      <c r="J5459" s="733"/>
      <c r="K5459" s="733"/>
      <c r="L5459" s="733"/>
      <c r="M5459" s="733"/>
    </row>
    <row r="5460" spans="1:13" x14ac:dyDescent="0.3">
      <c r="A5460" s="733" t="s">
        <v>5465</v>
      </c>
      <c r="B5460" s="733" t="s">
        <v>664</v>
      </c>
      <c r="C5460" s="733" t="s">
        <v>5490</v>
      </c>
      <c r="D5460" s="733"/>
      <c r="E5460" s="733"/>
      <c r="G5460" s="733"/>
      <c r="H5460" s="733"/>
      <c r="I5460" s="733"/>
      <c r="J5460" s="733"/>
      <c r="K5460" s="733"/>
      <c r="L5460" s="733"/>
      <c r="M5460" s="733"/>
    </row>
    <row r="5461" spans="1:13" x14ac:dyDescent="0.3">
      <c r="A5461" s="733" t="s">
        <v>5465</v>
      </c>
      <c r="B5461" s="733" t="s">
        <v>664</v>
      </c>
      <c r="C5461" s="733" t="s">
        <v>5491</v>
      </c>
      <c r="D5461" s="733"/>
      <c r="E5461" s="733"/>
      <c r="G5461" s="733"/>
      <c r="H5461" s="733"/>
      <c r="I5461" s="733"/>
      <c r="J5461" s="733"/>
      <c r="K5461" s="733"/>
      <c r="L5461" s="733"/>
      <c r="M5461" s="733"/>
    </row>
    <row r="5462" spans="1:13" x14ac:dyDescent="0.3">
      <c r="A5462" s="733" t="s">
        <v>5465</v>
      </c>
      <c r="B5462" s="733" t="s">
        <v>664</v>
      </c>
      <c r="C5462" s="733" t="s">
        <v>5492</v>
      </c>
      <c r="D5462" s="733"/>
      <c r="E5462" s="733"/>
      <c r="G5462" s="733"/>
      <c r="H5462" s="733"/>
      <c r="I5462" s="733"/>
      <c r="J5462" s="733"/>
      <c r="K5462" s="733"/>
      <c r="L5462" s="733"/>
      <c r="M5462" s="733"/>
    </row>
    <row r="5463" spans="1:13" x14ac:dyDescent="0.3">
      <c r="A5463" s="733" t="s">
        <v>5465</v>
      </c>
      <c r="B5463" s="733" t="s">
        <v>664</v>
      </c>
      <c r="C5463" s="733" t="s">
        <v>5493</v>
      </c>
      <c r="D5463" s="733"/>
      <c r="E5463" s="733"/>
      <c r="G5463" s="733"/>
      <c r="H5463" s="733"/>
      <c r="I5463" s="733"/>
      <c r="J5463" s="733"/>
      <c r="K5463" s="733"/>
      <c r="L5463" s="733"/>
      <c r="M5463" s="733"/>
    </row>
    <row r="5464" spans="1:13" x14ac:dyDescent="0.3">
      <c r="A5464" s="733" t="s">
        <v>5465</v>
      </c>
      <c r="B5464" s="733" t="s">
        <v>664</v>
      </c>
      <c r="C5464" s="733" t="s">
        <v>5494</v>
      </c>
      <c r="D5464" s="733"/>
      <c r="E5464" s="733"/>
      <c r="G5464" s="733"/>
      <c r="H5464" s="733"/>
      <c r="I5464" s="733"/>
      <c r="J5464" s="733"/>
      <c r="K5464" s="733"/>
      <c r="L5464" s="733"/>
      <c r="M5464" s="733"/>
    </row>
    <row r="5465" spans="1:13" x14ac:dyDescent="0.3">
      <c r="A5465" s="733" t="s">
        <v>5465</v>
      </c>
      <c r="B5465" s="733" t="s">
        <v>664</v>
      </c>
      <c r="C5465" s="733" t="s">
        <v>5495</v>
      </c>
      <c r="D5465" s="733"/>
      <c r="E5465" s="733"/>
      <c r="G5465" s="733"/>
      <c r="H5465" s="733"/>
      <c r="I5465" s="733"/>
      <c r="J5465" s="733"/>
      <c r="K5465" s="733"/>
      <c r="L5465" s="733"/>
      <c r="M5465" s="733"/>
    </row>
    <row r="5466" spans="1:13" x14ac:dyDescent="0.3">
      <c r="A5466" s="733" t="s">
        <v>5465</v>
      </c>
      <c r="B5466" s="733" t="s">
        <v>612</v>
      </c>
      <c r="C5466" s="733" t="s">
        <v>5496</v>
      </c>
      <c r="D5466" s="733"/>
      <c r="E5466" s="733"/>
      <c r="G5466" s="733"/>
      <c r="H5466" s="733"/>
      <c r="I5466" s="733"/>
      <c r="J5466" s="733"/>
      <c r="K5466" s="733"/>
      <c r="L5466" s="733"/>
      <c r="M5466" s="733"/>
    </row>
    <row r="5467" spans="1:13" x14ac:dyDescent="0.3">
      <c r="A5467" s="733" t="s">
        <v>5465</v>
      </c>
      <c r="B5467" s="733" t="s">
        <v>612</v>
      </c>
      <c r="C5467" s="733" t="s">
        <v>5497</v>
      </c>
      <c r="D5467" s="733"/>
      <c r="E5467" s="733"/>
      <c r="G5467" s="733"/>
      <c r="H5467" s="733"/>
      <c r="I5467" s="733"/>
      <c r="J5467" s="733"/>
      <c r="K5467" s="733"/>
      <c r="L5467" s="733"/>
      <c r="M5467" s="733"/>
    </row>
    <row r="5468" spans="1:13" x14ac:dyDescent="0.3">
      <c r="A5468" s="733" t="s">
        <v>5465</v>
      </c>
      <c r="B5468" s="733" t="s">
        <v>612</v>
      </c>
      <c r="C5468" s="733" t="s">
        <v>5498</v>
      </c>
      <c r="D5468" s="733"/>
      <c r="E5468" s="733"/>
      <c r="G5468" s="733"/>
      <c r="H5468" s="733"/>
      <c r="I5468" s="733"/>
      <c r="J5468" s="733"/>
      <c r="K5468" s="733"/>
      <c r="L5468" s="733"/>
      <c r="M5468" s="733"/>
    </row>
    <row r="5469" spans="1:13" x14ac:dyDescent="0.3">
      <c r="A5469" s="733" t="s">
        <v>5465</v>
      </c>
      <c r="B5469" s="733" t="s">
        <v>612</v>
      </c>
      <c r="C5469" s="733" t="s">
        <v>5499</v>
      </c>
      <c r="D5469" s="733"/>
      <c r="E5469" s="733"/>
      <c r="G5469" s="733"/>
      <c r="H5469" s="733"/>
      <c r="I5469" s="733"/>
      <c r="J5469" s="733"/>
      <c r="K5469" s="733"/>
      <c r="L5469" s="733"/>
      <c r="M5469" s="733"/>
    </row>
    <row r="5470" spans="1:13" x14ac:dyDescent="0.3">
      <c r="A5470" s="733" t="s">
        <v>5465</v>
      </c>
      <c r="B5470" s="733" t="s">
        <v>612</v>
      </c>
      <c r="C5470" s="733" t="s">
        <v>5500</v>
      </c>
      <c r="D5470" s="733"/>
      <c r="E5470" s="733"/>
      <c r="G5470" s="733"/>
      <c r="H5470" s="733"/>
      <c r="I5470" s="733"/>
      <c r="J5470" s="733"/>
      <c r="K5470" s="733"/>
      <c r="L5470" s="733"/>
      <c r="M5470" s="733"/>
    </row>
    <row r="5471" spans="1:13" x14ac:dyDescent="0.3">
      <c r="A5471" s="733" t="s">
        <v>5465</v>
      </c>
      <c r="B5471" s="733" t="s">
        <v>612</v>
      </c>
      <c r="C5471" s="733" t="s">
        <v>5501</v>
      </c>
      <c r="D5471" s="733"/>
      <c r="E5471" s="733"/>
      <c r="G5471" s="733"/>
      <c r="H5471" s="733"/>
      <c r="I5471" s="733"/>
      <c r="J5471" s="733"/>
      <c r="K5471" s="733"/>
      <c r="L5471" s="733"/>
      <c r="M5471" s="733"/>
    </row>
    <row r="5472" spans="1:13" x14ac:dyDescent="0.3">
      <c r="A5472" s="733" t="s">
        <v>5465</v>
      </c>
      <c r="B5472" s="733" t="s">
        <v>612</v>
      </c>
      <c r="C5472" s="733" t="s">
        <v>5502</v>
      </c>
      <c r="D5472" s="733"/>
      <c r="E5472" s="733"/>
      <c r="G5472" s="733"/>
      <c r="H5472" s="733"/>
      <c r="I5472" s="733"/>
      <c r="J5472" s="733"/>
      <c r="K5472" s="733"/>
      <c r="L5472" s="733"/>
      <c r="M5472" s="733"/>
    </row>
    <row r="5473" spans="1:13" x14ac:dyDescent="0.3">
      <c r="A5473" s="733" t="s">
        <v>5465</v>
      </c>
      <c r="B5473" s="733" t="s">
        <v>612</v>
      </c>
      <c r="C5473" s="733" t="s">
        <v>5503</v>
      </c>
      <c r="D5473" s="733"/>
      <c r="E5473" s="733"/>
      <c r="G5473" s="733"/>
      <c r="H5473" s="733"/>
      <c r="I5473" s="733"/>
      <c r="J5473" s="733"/>
      <c r="K5473" s="733"/>
      <c r="L5473" s="733"/>
      <c r="M5473" s="733"/>
    </row>
    <row r="5474" spans="1:13" x14ac:dyDescent="0.3">
      <c r="A5474" s="733" t="s">
        <v>5465</v>
      </c>
      <c r="B5474" s="733" t="s">
        <v>612</v>
      </c>
      <c r="C5474" s="733" t="s">
        <v>5504</v>
      </c>
      <c r="D5474" s="733"/>
      <c r="E5474" s="733"/>
      <c r="G5474" s="733"/>
      <c r="H5474" s="733"/>
      <c r="I5474" s="733"/>
      <c r="J5474" s="733"/>
      <c r="K5474" s="733"/>
      <c r="L5474" s="733"/>
      <c r="M5474" s="733"/>
    </row>
    <row r="5475" spans="1:13" x14ac:dyDescent="0.3">
      <c r="A5475" s="733" t="s">
        <v>5465</v>
      </c>
      <c r="B5475" s="733" t="s">
        <v>612</v>
      </c>
      <c r="C5475" s="733" t="s">
        <v>5505</v>
      </c>
      <c r="D5475" s="733"/>
      <c r="E5475" s="733"/>
      <c r="G5475" s="733"/>
      <c r="H5475" s="733"/>
      <c r="I5475" s="733"/>
      <c r="J5475" s="733"/>
      <c r="K5475" s="733"/>
      <c r="L5475" s="733"/>
      <c r="M5475" s="733"/>
    </row>
    <row r="5476" spans="1:13" x14ac:dyDescent="0.3">
      <c r="A5476" s="733" t="s">
        <v>5465</v>
      </c>
      <c r="B5476" s="733" t="s">
        <v>612</v>
      </c>
      <c r="C5476" s="733" t="s">
        <v>5506</v>
      </c>
      <c r="D5476" s="733"/>
      <c r="E5476" s="733"/>
      <c r="G5476" s="733"/>
      <c r="H5476" s="733"/>
      <c r="I5476" s="733"/>
      <c r="J5476" s="733"/>
      <c r="K5476" s="733"/>
      <c r="L5476" s="733"/>
      <c r="M5476" s="733"/>
    </row>
    <row r="5477" spans="1:13" x14ac:dyDescent="0.3">
      <c r="A5477" s="733" t="s">
        <v>5465</v>
      </c>
      <c r="B5477" s="733" t="s">
        <v>612</v>
      </c>
      <c r="C5477" s="733" t="s">
        <v>5507</v>
      </c>
      <c r="D5477" s="733"/>
      <c r="E5477" s="733"/>
      <c r="G5477" s="733"/>
      <c r="H5477" s="733"/>
      <c r="I5477" s="733"/>
      <c r="J5477" s="733"/>
      <c r="K5477" s="733"/>
      <c r="L5477" s="733"/>
      <c r="M5477" s="733"/>
    </row>
    <row r="5478" spans="1:13" x14ac:dyDescent="0.3">
      <c r="A5478" s="733" t="s">
        <v>5465</v>
      </c>
      <c r="B5478" s="733" t="s">
        <v>612</v>
      </c>
      <c r="C5478" s="733" t="s">
        <v>5508</v>
      </c>
      <c r="D5478" s="733"/>
      <c r="E5478" s="733"/>
      <c r="G5478" s="733"/>
      <c r="H5478" s="733"/>
      <c r="I5478" s="733"/>
      <c r="J5478" s="733"/>
      <c r="K5478" s="733"/>
      <c r="L5478" s="733"/>
      <c r="M5478" s="733"/>
    </row>
    <row r="5479" spans="1:13" x14ac:dyDescent="0.3">
      <c r="A5479" s="733" t="s">
        <v>5465</v>
      </c>
      <c r="B5479" s="733" t="s">
        <v>612</v>
      </c>
      <c r="C5479" s="733" t="s">
        <v>5509</v>
      </c>
      <c r="D5479" s="733"/>
      <c r="E5479" s="733"/>
      <c r="G5479" s="733"/>
      <c r="H5479" s="733"/>
      <c r="I5479" s="733"/>
      <c r="J5479" s="733"/>
      <c r="K5479" s="733"/>
      <c r="L5479" s="733"/>
      <c r="M5479" s="733"/>
    </row>
    <row r="5480" spans="1:13" x14ac:dyDescent="0.3">
      <c r="A5480" s="733" t="s">
        <v>5465</v>
      </c>
      <c r="B5480" s="733" t="s">
        <v>612</v>
      </c>
      <c r="C5480" s="733" t="s">
        <v>5510</v>
      </c>
      <c r="D5480" s="733"/>
      <c r="E5480" s="733"/>
      <c r="G5480" s="733"/>
      <c r="H5480" s="733"/>
      <c r="I5480" s="733"/>
      <c r="J5480" s="733"/>
      <c r="K5480" s="733"/>
      <c r="L5480" s="733"/>
      <c r="M5480" s="733"/>
    </row>
    <row r="5481" spans="1:13" x14ac:dyDescent="0.3">
      <c r="A5481" s="733" t="s">
        <v>5511</v>
      </c>
      <c r="B5481" s="733" t="s">
        <v>645</v>
      </c>
      <c r="C5481" s="733" t="s">
        <v>5512</v>
      </c>
      <c r="D5481" s="733"/>
      <c r="E5481" s="733"/>
      <c r="G5481" s="733"/>
      <c r="H5481" s="733"/>
      <c r="I5481" s="733"/>
      <c r="J5481" s="733"/>
      <c r="K5481" s="733"/>
      <c r="L5481" s="733"/>
      <c r="M5481" s="733"/>
    </row>
    <row r="5482" spans="1:13" x14ac:dyDescent="0.3">
      <c r="A5482" s="733" t="s">
        <v>5511</v>
      </c>
      <c r="B5482" s="733" t="s">
        <v>645</v>
      </c>
      <c r="C5482" s="733" t="s">
        <v>5513</v>
      </c>
      <c r="D5482" s="733"/>
      <c r="E5482" s="733"/>
      <c r="G5482" s="733"/>
      <c r="H5482" s="733"/>
      <c r="I5482" s="733"/>
      <c r="J5482" s="733"/>
      <c r="K5482" s="733"/>
      <c r="L5482" s="733"/>
      <c r="M5482" s="733"/>
    </row>
    <row r="5483" spans="1:13" x14ac:dyDescent="0.3">
      <c r="A5483" s="733" t="s">
        <v>5511</v>
      </c>
      <c r="B5483" s="733" t="s">
        <v>645</v>
      </c>
      <c r="C5483" s="733" t="s">
        <v>5514</v>
      </c>
      <c r="D5483" s="733"/>
      <c r="E5483" s="733"/>
      <c r="G5483" s="733"/>
      <c r="H5483" s="733"/>
      <c r="I5483" s="733"/>
      <c r="J5483" s="733"/>
      <c r="K5483" s="733"/>
      <c r="L5483" s="733"/>
      <c r="M5483" s="733"/>
    </row>
    <row r="5484" spans="1:13" x14ac:dyDescent="0.3">
      <c r="A5484" s="733" t="s">
        <v>5511</v>
      </c>
      <c r="B5484" s="733" t="s">
        <v>645</v>
      </c>
      <c r="C5484" s="733" t="s">
        <v>5515</v>
      </c>
      <c r="D5484" s="733"/>
      <c r="E5484" s="733"/>
      <c r="G5484" s="733"/>
      <c r="H5484" s="733"/>
      <c r="I5484" s="733"/>
      <c r="J5484" s="733"/>
      <c r="K5484" s="733"/>
      <c r="L5484" s="733"/>
      <c r="M5484" s="733"/>
    </row>
    <row r="5485" spans="1:13" x14ac:dyDescent="0.3">
      <c r="A5485" s="733" t="s">
        <v>5511</v>
      </c>
      <c r="B5485" s="733" t="s">
        <v>645</v>
      </c>
      <c r="C5485" s="733" t="s">
        <v>5516</v>
      </c>
      <c r="D5485" s="733"/>
      <c r="E5485" s="733"/>
      <c r="G5485" s="733"/>
      <c r="H5485" s="733"/>
      <c r="I5485" s="733"/>
      <c r="J5485" s="733"/>
      <c r="K5485" s="733"/>
      <c r="L5485" s="733"/>
      <c r="M5485" s="733"/>
    </row>
    <row r="5486" spans="1:13" x14ac:dyDescent="0.3">
      <c r="A5486" s="733" t="s">
        <v>5511</v>
      </c>
      <c r="B5486" s="733" t="s">
        <v>664</v>
      </c>
      <c r="C5486" s="733" t="s">
        <v>5517</v>
      </c>
      <c r="D5486" s="733"/>
      <c r="E5486" s="733"/>
      <c r="G5486" s="733"/>
      <c r="H5486" s="733"/>
      <c r="I5486" s="733"/>
      <c r="J5486" s="733"/>
      <c r="K5486" s="733"/>
      <c r="L5486" s="733"/>
      <c r="M5486" s="733"/>
    </row>
    <row r="5487" spans="1:13" x14ac:dyDescent="0.3">
      <c r="A5487" s="733" t="s">
        <v>5511</v>
      </c>
      <c r="B5487" s="733" t="s">
        <v>664</v>
      </c>
      <c r="C5487" s="733" t="s">
        <v>5518</v>
      </c>
      <c r="D5487" s="733"/>
      <c r="E5487" s="733"/>
      <c r="G5487" s="733"/>
      <c r="H5487" s="733"/>
      <c r="I5487" s="733"/>
      <c r="J5487" s="733"/>
      <c r="K5487" s="733"/>
      <c r="L5487" s="733"/>
      <c r="M5487" s="733"/>
    </row>
    <row r="5488" spans="1:13" x14ac:dyDescent="0.3">
      <c r="A5488" s="733" t="s">
        <v>5511</v>
      </c>
      <c r="B5488" s="733" t="s">
        <v>664</v>
      </c>
      <c r="C5488" s="733" t="s">
        <v>5519</v>
      </c>
      <c r="D5488" s="733"/>
      <c r="E5488" s="733"/>
      <c r="G5488" s="733"/>
      <c r="H5488" s="733"/>
      <c r="I5488" s="733"/>
      <c r="J5488" s="733"/>
      <c r="K5488" s="733"/>
      <c r="L5488" s="733"/>
      <c r="M5488" s="733"/>
    </row>
    <row r="5489" spans="1:13" x14ac:dyDescent="0.3">
      <c r="A5489" s="733" t="s">
        <v>5511</v>
      </c>
      <c r="B5489" s="733" t="s">
        <v>664</v>
      </c>
      <c r="C5489" s="733" t="s">
        <v>5520</v>
      </c>
      <c r="D5489" s="733"/>
      <c r="E5489" s="733"/>
      <c r="G5489" s="733"/>
      <c r="H5489" s="733"/>
      <c r="I5489" s="733"/>
      <c r="J5489" s="733"/>
      <c r="K5489" s="733"/>
      <c r="L5489" s="733"/>
      <c r="M5489" s="733"/>
    </row>
    <row r="5490" spans="1:13" x14ac:dyDescent="0.3">
      <c r="A5490" s="733" t="s">
        <v>5511</v>
      </c>
      <c r="B5490" s="733" t="s">
        <v>664</v>
      </c>
      <c r="C5490" s="733" t="s">
        <v>5521</v>
      </c>
      <c r="D5490" s="733"/>
      <c r="E5490" s="733"/>
      <c r="G5490" s="733"/>
      <c r="H5490" s="733"/>
      <c r="I5490" s="733"/>
      <c r="J5490" s="733"/>
      <c r="K5490" s="733"/>
      <c r="L5490" s="733"/>
      <c r="M5490" s="733"/>
    </row>
    <row r="5491" spans="1:13" x14ac:dyDescent="0.3">
      <c r="A5491" s="733" t="s">
        <v>5511</v>
      </c>
      <c r="B5491" s="733" t="s">
        <v>612</v>
      </c>
      <c r="C5491" s="733" t="s">
        <v>5522</v>
      </c>
      <c r="D5491" s="733"/>
      <c r="E5491" s="733"/>
      <c r="G5491" s="733"/>
      <c r="H5491" s="733"/>
      <c r="I5491" s="733"/>
      <c r="J5491" s="733"/>
      <c r="K5491" s="733"/>
      <c r="L5491" s="733"/>
      <c r="M5491" s="733"/>
    </row>
    <row r="5492" spans="1:13" x14ac:dyDescent="0.3">
      <c r="A5492" s="733" t="s">
        <v>5511</v>
      </c>
      <c r="B5492" s="733" t="s">
        <v>612</v>
      </c>
      <c r="C5492" s="733" t="s">
        <v>5523</v>
      </c>
      <c r="D5492" s="733"/>
      <c r="E5492" s="733"/>
      <c r="G5492" s="733"/>
      <c r="H5492" s="733"/>
      <c r="I5492" s="733"/>
      <c r="J5492" s="733"/>
      <c r="K5492" s="733"/>
      <c r="L5492" s="733"/>
      <c r="M5492" s="733"/>
    </row>
    <row r="5493" spans="1:13" x14ac:dyDescent="0.3">
      <c r="A5493" s="733" t="s">
        <v>5511</v>
      </c>
      <c r="B5493" s="733" t="s">
        <v>612</v>
      </c>
      <c r="C5493" s="733" t="s">
        <v>5524</v>
      </c>
      <c r="D5493" s="733"/>
      <c r="E5493" s="733"/>
      <c r="G5493" s="733"/>
      <c r="H5493" s="733"/>
      <c r="I5493" s="733"/>
      <c r="J5493" s="733"/>
      <c r="K5493" s="733"/>
      <c r="L5493" s="733"/>
      <c r="M5493" s="733"/>
    </row>
    <row r="5494" spans="1:13" x14ac:dyDescent="0.3">
      <c r="A5494" s="733" t="s">
        <v>5511</v>
      </c>
      <c r="B5494" s="733" t="s">
        <v>612</v>
      </c>
      <c r="C5494" s="733" t="s">
        <v>5525</v>
      </c>
      <c r="D5494" s="733"/>
      <c r="E5494" s="733"/>
      <c r="G5494" s="733"/>
      <c r="H5494" s="733"/>
      <c r="I5494" s="733"/>
      <c r="J5494" s="733"/>
      <c r="K5494" s="733"/>
      <c r="L5494" s="733"/>
      <c r="M5494" s="733"/>
    </row>
    <row r="5495" spans="1:13" x14ac:dyDescent="0.3">
      <c r="A5495" s="733" t="s">
        <v>5511</v>
      </c>
      <c r="B5495" s="733" t="s">
        <v>612</v>
      </c>
      <c r="C5495" s="733" t="s">
        <v>5526</v>
      </c>
      <c r="D5495" s="733"/>
      <c r="E5495" s="733"/>
      <c r="G5495" s="733"/>
      <c r="H5495" s="733"/>
      <c r="I5495" s="733"/>
      <c r="J5495" s="733"/>
      <c r="K5495" s="733"/>
      <c r="L5495" s="733"/>
      <c r="M5495" s="733"/>
    </row>
    <row r="5496" spans="1:13" x14ac:dyDescent="0.3">
      <c r="A5496" s="733" t="s">
        <v>5527</v>
      </c>
      <c r="B5496" s="733" t="s">
        <v>645</v>
      </c>
      <c r="C5496" s="733" t="s">
        <v>5528</v>
      </c>
      <c r="D5496" s="733"/>
      <c r="E5496" s="733"/>
      <c r="G5496" s="733"/>
      <c r="H5496" s="733"/>
      <c r="I5496" s="733"/>
      <c r="J5496" s="733"/>
      <c r="K5496" s="733"/>
      <c r="L5496" s="733"/>
      <c r="M5496" s="733"/>
    </row>
    <row r="5497" spans="1:13" x14ac:dyDescent="0.3">
      <c r="A5497" s="733" t="s">
        <v>5527</v>
      </c>
      <c r="B5497" s="733" t="s">
        <v>645</v>
      </c>
      <c r="C5497" s="733" t="s">
        <v>5529</v>
      </c>
      <c r="D5497" s="733"/>
      <c r="E5497" s="733"/>
      <c r="G5497" s="733"/>
      <c r="H5497" s="733"/>
      <c r="I5497" s="733"/>
      <c r="J5497" s="733"/>
      <c r="K5497" s="733"/>
      <c r="L5497" s="733"/>
      <c r="M5497" s="733"/>
    </row>
    <row r="5498" spans="1:13" x14ac:dyDescent="0.3">
      <c r="A5498" s="733" t="s">
        <v>5527</v>
      </c>
      <c r="B5498" s="733" t="s">
        <v>645</v>
      </c>
      <c r="C5498" s="733" t="s">
        <v>5530</v>
      </c>
      <c r="D5498" s="733"/>
      <c r="E5498" s="733"/>
      <c r="G5498" s="733"/>
      <c r="H5498" s="733"/>
      <c r="I5498" s="733"/>
      <c r="J5498" s="733"/>
      <c r="K5498" s="733"/>
      <c r="L5498" s="733"/>
      <c r="M5498" s="733"/>
    </row>
    <row r="5499" spans="1:13" x14ac:dyDescent="0.3">
      <c r="A5499" s="733" t="s">
        <v>5527</v>
      </c>
      <c r="B5499" s="733" t="s">
        <v>645</v>
      </c>
      <c r="C5499" s="733" t="s">
        <v>5531</v>
      </c>
      <c r="D5499" s="733"/>
      <c r="E5499" s="733"/>
      <c r="G5499" s="733"/>
      <c r="H5499" s="733"/>
      <c r="I5499" s="733"/>
      <c r="J5499" s="733"/>
      <c r="K5499" s="733"/>
      <c r="L5499" s="733"/>
      <c r="M5499" s="733"/>
    </row>
    <row r="5500" spans="1:13" x14ac:dyDescent="0.3">
      <c r="A5500" s="733" t="s">
        <v>5527</v>
      </c>
      <c r="B5500" s="733" t="s">
        <v>645</v>
      </c>
      <c r="C5500" s="733" t="s">
        <v>5532</v>
      </c>
      <c r="D5500" s="733"/>
      <c r="E5500" s="733"/>
      <c r="G5500" s="733"/>
      <c r="H5500" s="733"/>
      <c r="I5500" s="733"/>
      <c r="J5500" s="733"/>
      <c r="K5500" s="733"/>
      <c r="L5500" s="733"/>
      <c r="M5500" s="733"/>
    </row>
    <row r="5501" spans="1:13" x14ac:dyDescent="0.3">
      <c r="A5501" s="733" t="s">
        <v>5527</v>
      </c>
      <c r="B5501" s="733" t="s">
        <v>664</v>
      </c>
      <c r="C5501" s="733" t="s">
        <v>5533</v>
      </c>
      <c r="D5501" s="733"/>
      <c r="E5501" s="733"/>
      <c r="G5501" s="733"/>
      <c r="H5501" s="733"/>
      <c r="I5501" s="733"/>
      <c r="J5501" s="733"/>
      <c r="K5501" s="733"/>
      <c r="L5501" s="733"/>
      <c r="M5501" s="733"/>
    </row>
    <row r="5502" spans="1:13" x14ac:dyDescent="0.3">
      <c r="A5502" s="733" t="s">
        <v>5527</v>
      </c>
      <c r="B5502" s="733" t="s">
        <v>664</v>
      </c>
      <c r="C5502" s="733" t="s">
        <v>5534</v>
      </c>
      <c r="D5502" s="733"/>
      <c r="E5502" s="733"/>
      <c r="G5502" s="733"/>
      <c r="H5502" s="733"/>
      <c r="I5502" s="733"/>
      <c r="J5502" s="733"/>
      <c r="K5502" s="733"/>
      <c r="L5502" s="733"/>
      <c r="M5502" s="733"/>
    </row>
    <row r="5503" spans="1:13" x14ac:dyDescent="0.3">
      <c r="A5503" s="733" t="s">
        <v>5527</v>
      </c>
      <c r="B5503" s="733" t="s">
        <v>664</v>
      </c>
      <c r="C5503" s="733" t="s">
        <v>5535</v>
      </c>
      <c r="D5503" s="733"/>
      <c r="E5503" s="733"/>
      <c r="G5503" s="733"/>
      <c r="H5503" s="733"/>
      <c r="I5503" s="733"/>
      <c r="J5503" s="733"/>
      <c r="K5503" s="733"/>
      <c r="L5503" s="733"/>
      <c r="M5503" s="733"/>
    </row>
    <row r="5504" spans="1:13" x14ac:dyDescent="0.3">
      <c r="A5504" s="733" t="s">
        <v>5527</v>
      </c>
      <c r="B5504" s="733" t="s">
        <v>664</v>
      </c>
      <c r="C5504" s="733" t="s">
        <v>5536</v>
      </c>
      <c r="D5504" s="733"/>
      <c r="E5504" s="733"/>
      <c r="G5504" s="733"/>
      <c r="H5504" s="733"/>
      <c r="I5504" s="733"/>
      <c r="J5504" s="733"/>
      <c r="K5504" s="733"/>
      <c r="L5504" s="733"/>
      <c r="M5504" s="733"/>
    </row>
    <row r="5505" spans="1:13" x14ac:dyDescent="0.3">
      <c r="A5505" s="733" t="s">
        <v>5527</v>
      </c>
      <c r="B5505" s="733" t="s">
        <v>664</v>
      </c>
      <c r="C5505" s="733" t="s">
        <v>5537</v>
      </c>
      <c r="D5505" s="733"/>
      <c r="E5505" s="733"/>
      <c r="G5505" s="733"/>
      <c r="H5505" s="733"/>
      <c r="I5505" s="733"/>
      <c r="J5505" s="733"/>
      <c r="K5505" s="733"/>
      <c r="L5505" s="733"/>
      <c r="M5505" s="733"/>
    </row>
    <row r="5506" spans="1:13" x14ac:dyDescent="0.3">
      <c r="A5506" s="733" t="s">
        <v>5527</v>
      </c>
      <c r="B5506" s="733" t="s">
        <v>612</v>
      </c>
      <c r="C5506" s="733" t="s">
        <v>5538</v>
      </c>
      <c r="D5506" s="733"/>
      <c r="E5506" s="733"/>
      <c r="G5506" s="733"/>
      <c r="H5506" s="733"/>
      <c r="I5506" s="733"/>
      <c r="J5506" s="733"/>
      <c r="K5506" s="733"/>
      <c r="L5506" s="733"/>
      <c r="M5506" s="733"/>
    </row>
    <row r="5507" spans="1:13" x14ac:dyDescent="0.3">
      <c r="A5507" s="733" t="s">
        <v>5527</v>
      </c>
      <c r="B5507" s="733" t="s">
        <v>612</v>
      </c>
      <c r="C5507" s="733" t="s">
        <v>5539</v>
      </c>
      <c r="D5507" s="733"/>
      <c r="E5507" s="733"/>
      <c r="G5507" s="733"/>
      <c r="H5507" s="733"/>
      <c r="I5507" s="733"/>
      <c r="J5507" s="733"/>
      <c r="K5507" s="733"/>
      <c r="L5507" s="733"/>
      <c r="M5507" s="733"/>
    </row>
    <row r="5508" spans="1:13" x14ac:dyDescent="0.3">
      <c r="A5508" s="733" t="s">
        <v>5527</v>
      </c>
      <c r="B5508" s="733" t="s">
        <v>612</v>
      </c>
      <c r="C5508" s="733" t="s">
        <v>5540</v>
      </c>
      <c r="D5508" s="733"/>
      <c r="E5508" s="733"/>
      <c r="G5508" s="733"/>
      <c r="H5508" s="733"/>
      <c r="I5508" s="733"/>
      <c r="J5508" s="733"/>
      <c r="K5508" s="733"/>
      <c r="L5508" s="733"/>
      <c r="M5508" s="733"/>
    </row>
    <row r="5509" spans="1:13" x14ac:dyDescent="0.3">
      <c r="A5509" s="733" t="s">
        <v>5527</v>
      </c>
      <c r="B5509" s="733" t="s">
        <v>612</v>
      </c>
      <c r="C5509" s="733" t="s">
        <v>5541</v>
      </c>
      <c r="D5509" s="733"/>
      <c r="E5509" s="733"/>
      <c r="G5509" s="733"/>
      <c r="H5509" s="733"/>
      <c r="I5509" s="733"/>
      <c r="J5509" s="733"/>
      <c r="K5509" s="733"/>
      <c r="L5509" s="733"/>
      <c r="M5509" s="733"/>
    </row>
    <row r="5510" spans="1:13" x14ac:dyDescent="0.3">
      <c r="A5510" s="733" t="s">
        <v>5527</v>
      </c>
      <c r="B5510" s="733" t="s">
        <v>612</v>
      </c>
      <c r="C5510" s="733" t="s">
        <v>5542</v>
      </c>
      <c r="D5510" s="733"/>
      <c r="E5510" s="733"/>
      <c r="G5510" s="733"/>
      <c r="H5510" s="733"/>
      <c r="I5510" s="733"/>
      <c r="J5510" s="733"/>
      <c r="K5510" s="733"/>
      <c r="L5510" s="733"/>
      <c r="M5510" s="733"/>
    </row>
    <row r="5511" spans="1:13" x14ac:dyDescent="0.3">
      <c r="A5511" s="733" t="s">
        <v>5543</v>
      </c>
      <c r="B5511" s="733" t="s">
        <v>645</v>
      </c>
      <c r="C5511" s="738" t="s">
        <v>5544</v>
      </c>
      <c r="D5511" s="733"/>
      <c r="E5511" s="733"/>
      <c r="G5511" s="733"/>
      <c r="H5511" s="733"/>
      <c r="I5511" s="733"/>
      <c r="J5511" s="733"/>
      <c r="K5511" s="733"/>
      <c r="L5511" s="733"/>
      <c r="M5511" s="733"/>
    </row>
    <row r="5512" spans="1:13" x14ac:dyDescent="0.3">
      <c r="A5512" s="733" t="s">
        <v>5543</v>
      </c>
      <c r="B5512" s="733" t="s">
        <v>645</v>
      </c>
      <c r="C5512" s="738" t="s">
        <v>5545</v>
      </c>
      <c r="D5512" s="733"/>
      <c r="E5512" s="733"/>
      <c r="G5512" s="733"/>
      <c r="H5512" s="733"/>
      <c r="I5512" s="733"/>
      <c r="J5512" s="733"/>
      <c r="K5512" s="733"/>
      <c r="L5512" s="733"/>
      <c r="M5512" s="733"/>
    </row>
    <row r="5513" spans="1:13" x14ac:dyDescent="0.3">
      <c r="A5513" s="733" t="s">
        <v>5543</v>
      </c>
      <c r="B5513" s="733" t="s">
        <v>645</v>
      </c>
      <c r="C5513" s="738" t="s">
        <v>5546</v>
      </c>
      <c r="D5513" s="733"/>
      <c r="E5513" s="733"/>
      <c r="G5513" s="733"/>
      <c r="H5513" s="733"/>
      <c r="I5513" s="733"/>
      <c r="J5513" s="733"/>
      <c r="K5513" s="733"/>
      <c r="L5513" s="733"/>
      <c r="M5513" s="733"/>
    </row>
    <row r="5514" spans="1:13" x14ac:dyDescent="0.3">
      <c r="A5514" s="733" t="s">
        <v>5543</v>
      </c>
      <c r="B5514" s="733" t="s">
        <v>645</v>
      </c>
      <c r="C5514" s="738" t="s">
        <v>5547</v>
      </c>
      <c r="D5514" s="733"/>
      <c r="E5514" s="733"/>
      <c r="G5514" s="733"/>
      <c r="H5514" s="733"/>
      <c r="I5514" s="733"/>
      <c r="J5514" s="733"/>
      <c r="K5514" s="733"/>
      <c r="L5514" s="733"/>
      <c r="M5514" s="733"/>
    </row>
    <row r="5515" spans="1:13" x14ac:dyDescent="0.3">
      <c r="A5515" s="733" t="s">
        <v>5543</v>
      </c>
      <c r="B5515" s="733" t="s">
        <v>645</v>
      </c>
      <c r="C5515" s="738" t="s">
        <v>5548</v>
      </c>
      <c r="D5515" s="733"/>
      <c r="E5515" s="733"/>
      <c r="G5515" s="733"/>
      <c r="H5515" s="733"/>
      <c r="I5515" s="733"/>
      <c r="J5515" s="733"/>
      <c r="K5515" s="733"/>
      <c r="L5515" s="733"/>
      <c r="M5515" s="733"/>
    </row>
    <row r="5516" spans="1:13" x14ac:dyDescent="0.3">
      <c r="A5516" s="733" t="s">
        <v>5543</v>
      </c>
      <c r="B5516" s="733" t="s">
        <v>664</v>
      </c>
      <c r="C5516" s="733" t="s">
        <v>5549</v>
      </c>
      <c r="D5516" s="733"/>
      <c r="E5516" s="733"/>
      <c r="G5516" s="733"/>
      <c r="H5516" s="733"/>
      <c r="I5516" s="733"/>
      <c r="J5516" s="733"/>
      <c r="K5516" s="733"/>
      <c r="L5516" s="733"/>
      <c r="M5516" s="733"/>
    </row>
    <row r="5517" spans="1:13" x14ac:dyDescent="0.3">
      <c r="A5517" s="733" t="s">
        <v>5543</v>
      </c>
      <c r="B5517" s="733" t="s">
        <v>664</v>
      </c>
      <c r="C5517" s="733" t="s">
        <v>5550</v>
      </c>
      <c r="D5517" s="733"/>
      <c r="E5517" s="733"/>
      <c r="G5517" s="733"/>
      <c r="H5517" s="733"/>
      <c r="I5517" s="733"/>
      <c r="J5517" s="733"/>
      <c r="K5517" s="733"/>
      <c r="L5517" s="733"/>
      <c r="M5517" s="733"/>
    </row>
    <row r="5518" spans="1:13" x14ac:dyDescent="0.3">
      <c r="A5518" s="733" t="s">
        <v>5543</v>
      </c>
      <c r="B5518" s="733" t="s">
        <v>664</v>
      </c>
      <c r="C5518" s="733" t="s">
        <v>5551</v>
      </c>
      <c r="D5518" s="733"/>
      <c r="E5518" s="733"/>
      <c r="G5518" s="733"/>
      <c r="H5518" s="733"/>
      <c r="I5518" s="733"/>
      <c r="J5518" s="733"/>
      <c r="K5518" s="733"/>
      <c r="L5518" s="733"/>
      <c r="M5518" s="733"/>
    </row>
    <row r="5519" spans="1:13" x14ac:dyDescent="0.3">
      <c r="A5519" s="733" t="s">
        <v>5543</v>
      </c>
      <c r="B5519" s="733" t="s">
        <v>664</v>
      </c>
      <c r="C5519" s="733" t="s">
        <v>5552</v>
      </c>
      <c r="D5519" s="733"/>
      <c r="E5519" s="733"/>
      <c r="G5519" s="733"/>
      <c r="H5519" s="733"/>
      <c r="I5519" s="733"/>
      <c r="J5519" s="733"/>
      <c r="K5519" s="733"/>
      <c r="L5519" s="733"/>
      <c r="M5519" s="733"/>
    </row>
    <row r="5520" spans="1:13" x14ac:dyDescent="0.3">
      <c r="A5520" s="733" t="s">
        <v>5543</v>
      </c>
      <c r="B5520" s="733" t="s">
        <v>664</v>
      </c>
      <c r="C5520" s="733" t="s">
        <v>5553</v>
      </c>
      <c r="D5520" s="733"/>
      <c r="E5520" s="733"/>
      <c r="G5520" s="733"/>
      <c r="H5520" s="733"/>
      <c r="I5520" s="733"/>
      <c r="J5520" s="733"/>
      <c r="K5520" s="733"/>
      <c r="L5520" s="733"/>
      <c r="M5520" s="733"/>
    </row>
    <row r="5521" spans="1:13" x14ac:dyDescent="0.3">
      <c r="A5521" s="733" t="s">
        <v>5543</v>
      </c>
      <c r="B5521" s="733" t="s">
        <v>612</v>
      </c>
      <c r="C5521" s="733" t="s">
        <v>5554</v>
      </c>
      <c r="D5521" s="733"/>
      <c r="E5521" s="733"/>
      <c r="G5521" s="733"/>
      <c r="H5521" s="733"/>
      <c r="I5521" s="733"/>
      <c r="J5521" s="733"/>
      <c r="K5521" s="733"/>
      <c r="L5521" s="733"/>
      <c r="M5521" s="733"/>
    </row>
    <row r="5522" spans="1:13" x14ac:dyDescent="0.3">
      <c r="A5522" s="733" t="s">
        <v>5543</v>
      </c>
      <c r="B5522" s="733" t="s">
        <v>612</v>
      </c>
      <c r="C5522" s="733" t="s">
        <v>5555</v>
      </c>
      <c r="D5522" s="733"/>
      <c r="E5522" s="733"/>
      <c r="G5522" s="733"/>
      <c r="H5522" s="733"/>
      <c r="I5522" s="733"/>
      <c r="J5522" s="733"/>
      <c r="K5522" s="733"/>
      <c r="L5522" s="733"/>
      <c r="M5522" s="733"/>
    </row>
    <row r="5523" spans="1:13" x14ac:dyDescent="0.3">
      <c r="A5523" s="733" t="s">
        <v>5543</v>
      </c>
      <c r="B5523" s="733" t="s">
        <v>612</v>
      </c>
      <c r="C5523" s="733" t="s">
        <v>5556</v>
      </c>
      <c r="D5523" s="733"/>
      <c r="E5523" s="733"/>
      <c r="G5523" s="733"/>
      <c r="H5523" s="733"/>
      <c r="I5523" s="733"/>
      <c r="J5523" s="733"/>
      <c r="K5523" s="733"/>
      <c r="L5523" s="733"/>
      <c r="M5523" s="733"/>
    </row>
    <row r="5524" spans="1:13" x14ac:dyDescent="0.3">
      <c r="A5524" s="733" t="s">
        <v>5543</v>
      </c>
      <c r="B5524" s="733" t="s">
        <v>612</v>
      </c>
      <c r="C5524" s="733" t="s">
        <v>5557</v>
      </c>
      <c r="D5524" s="733"/>
      <c r="E5524" s="733"/>
      <c r="G5524" s="733"/>
      <c r="H5524" s="733"/>
      <c r="I5524" s="733"/>
      <c r="J5524" s="733"/>
      <c r="K5524" s="733"/>
      <c r="L5524" s="733"/>
      <c r="M5524" s="733"/>
    </row>
    <row r="5525" spans="1:13" x14ac:dyDescent="0.3">
      <c r="A5525" s="733" t="s">
        <v>5543</v>
      </c>
      <c r="B5525" s="733" t="s">
        <v>612</v>
      </c>
      <c r="C5525" s="733" t="s">
        <v>5558</v>
      </c>
      <c r="D5525" s="733"/>
      <c r="E5525" s="733"/>
      <c r="G5525" s="733"/>
      <c r="H5525" s="733"/>
      <c r="I5525" s="733"/>
      <c r="J5525" s="733"/>
      <c r="K5525" s="733"/>
      <c r="L5525" s="733"/>
      <c r="M5525" s="733"/>
    </row>
    <row r="5526" spans="1:13" x14ac:dyDescent="0.3">
      <c r="A5526" s="733" t="s">
        <v>5559</v>
      </c>
      <c r="B5526" s="733" t="s">
        <v>645</v>
      </c>
      <c r="C5526" s="738" t="s">
        <v>5560</v>
      </c>
      <c r="D5526" s="733"/>
      <c r="E5526" s="733"/>
      <c r="G5526" s="733"/>
      <c r="H5526" s="733"/>
      <c r="I5526" s="733"/>
      <c r="J5526" s="733"/>
      <c r="K5526" s="733"/>
      <c r="L5526" s="733"/>
      <c r="M5526" s="733"/>
    </row>
    <row r="5527" spans="1:13" x14ac:dyDescent="0.3">
      <c r="A5527" s="733" t="s">
        <v>5559</v>
      </c>
      <c r="B5527" s="733" t="s">
        <v>645</v>
      </c>
      <c r="C5527" s="738" t="s">
        <v>5561</v>
      </c>
      <c r="D5527" s="733"/>
      <c r="E5527" s="733"/>
      <c r="G5527" s="733"/>
      <c r="H5527" s="733"/>
      <c r="I5527" s="733"/>
      <c r="J5527" s="733"/>
      <c r="K5527" s="733"/>
      <c r="L5527" s="733"/>
      <c r="M5527" s="733"/>
    </row>
    <row r="5528" spans="1:13" x14ac:dyDescent="0.3">
      <c r="A5528" s="733" t="s">
        <v>5559</v>
      </c>
      <c r="B5528" s="733" t="s">
        <v>645</v>
      </c>
      <c r="C5528" s="738" t="s">
        <v>5562</v>
      </c>
      <c r="D5528" s="733"/>
      <c r="E5528" s="733"/>
      <c r="G5528" s="733"/>
      <c r="H5528" s="733"/>
      <c r="I5528" s="733"/>
      <c r="J5528" s="733"/>
      <c r="K5528" s="733"/>
      <c r="L5528" s="733"/>
      <c r="M5528" s="733"/>
    </row>
    <row r="5529" spans="1:13" x14ac:dyDescent="0.3">
      <c r="A5529" s="733" t="s">
        <v>5559</v>
      </c>
      <c r="B5529" s="733" t="s">
        <v>645</v>
      </c>
      <c r="C5529" s="738" t="s">
        <v>5563</v>
      </c>
      <c r="D5529" s="733"/>
      <c r="E5529" s="733"/>
      <c r="G5529" s="733"/>
      <c r="H5529" s="733"/>
      <c r="I5529" s="733"/>
      <c r="J5529" s="733"/>
      <c r="K5529" s="733"/>
      <c r="L5529" s="733"/>
      <c r="M5529" s="733"/>
    </row>
    <row r="5530" spans="1:13" x14ac:dyDescent="0.3">
      <c r="A5530" s="733" t="s">
        <v>5559</v>
      </c>
      <c r="B5530" s="733" t="s">
        <v>645</v>
      </c>
      <c r="C5530" s="738" t="s">
        <v>5564</v>
      </c>
      <c r="D5530" s="733"/>
      <c r="E5530" s="733"/>
      <c r="G5530" s="733"/>
      <c r="H5530" s="733"/>
      <c r="I5530" s="733"/>
      <c r="J5530" s="733"/>
      <c r="K5530" s="733"/>
      <c r="L5530" s="733"/>
      <c r="M5530" s="733"/>
    </row>
    <row r="5531" spans="1:13" x14ac:dyDescent="0.3">
      <c r="A5531" s="733" t="s">
        <v>5559</v>
      </c>
      <c r="B5531" s="733" t="s">
        <v>645</v>
      </c>
      <c r="C5531" s="738" t="s">
        <v>5565</v>
      </c>
      <c r="D5531" s="733"/>
      <c r="E5531" s="733"/>
      <c r="G5531" s="733"/>
      <c r="H5531" s="733"/>
      <c r="I5531" s="733"/>
      <c r="J5531" s="733"/>
      <c r="K5531" s="733"/>
      <c r="L5531" s="733"/>
      <c r="M5531" s="733"/>
    </row>
    <row r="5532" spans="1:13" x14ac:dyDescent="0.3">
      <c r="A5532" s="733" t="s">
        <v>5559</v>
      </c>
      <c r="B5532" s="733" t="s">
        <v>645</v>
      </c>
      <c r="C5532" s="738" t="s">
        <v>5566</v>
      </c>
      <c r="D5532" s="733"/>
      <c r="E5532" s="733"/>
      <c r="G5532" s="733"/>
      <c r="H5532" s="733"/>
      <c r="I5532" s="733"/>
      <c r="J5532" s="733"/>
      <c r="K5532" s="733"/>
      <c r="L5532" s="733"/>
      <c r="M5532" s="733"/>
    </row>
    <row r="5533" spans="1:13" x14ac:dyDescent="0.3">
      <c r="A5533" s="733" t="s">
        <v>5559</v>
      </c>
      <c r="B5533" s="733" t="s">
        <v>645</v>
      </c>
      <c r="C5533" s="738" t="s">
        <v>5567</v>
      </c>
      <c r="D5533" s="733"/>
      <c r="E5533" s="733"/>
      <c r="G5533" s="733"/>
      <c r="H5533" s="733"/>
      <c r="I5533" s="733"/>
      <c r="J5533" s="733"/>
      <c r="K5533" s="733"/>
      <c r="L5533" s="733"/>
      <c r="M5533" s="733"/>
    </row>
    <row r="5534" spans="1:13" x14ac:dyDescent="0.3">
      <c r="A5534" s="733" t="s">
        <v>5559</v>
      </c>
      <c r="B5534" s="733" t="s">
        <v>645</v>
      </c>
      <c r="C5534" s="738" t="s">
        <v>5568</v>
      </c>
      <c r="D5534" s="733"/>
      <c r="E5534" s="733"/>
      <c r="G5534" s="733"/>
      <c r="H5534" s="733"/>
      <c r="I5534" s="733"/>
      <c r="J5534" s="733"/>
      <c r="K5534" s="733"/>
      <c r="L5534" s="733"/>
      <c r="M5534" s="733"/>
    </row>
    <row r="5535" spans="1:13" x14ac:dyDescent="0.3">
      <c r="A5535" s="733" t="s">
        <v>5559</v>
      </c>
      <c r="B5535" s="733" t="s">
        <v>645</v>
      </c>
      <c r="C5535" s="738" t="s">
        <v>5569</v>
      </c>
      <c r="D5535" s="733"/>
      <c r="E5535" s="733"/>
      <c r="G5535" s="733"/>
      <c r="H5535" s="733"/>
      <c r="I5535" s="733"/>
      <c r="J5535" s="733"/>
      <c r="K5535" s="733"/>
      <c r="L5535" s="733"/>
      <c r="M5535" s="733"/>
    </row>
    <row r="5536" spans="1:13" x14ac:dyDescent="0.3">
      <c r="A5536" s="733" t="s">
        <v>5559</v>
      </c>
      <c r="B5536" s="733" t="s">
        <v>664</v>
      </c>
      <c r="C5536" s="733" t="s">
        <v>5570</v>
      </c>
      <c r="D5536" s="733"/>
      <c r="E5536" s="733"/>
      <c r="G5536" s="733"/>
      <c r="H5536" s="733"/>
      <c r="I5536" s="733"/>
      <c r="J5536" s="733"/>
      <c r="K5536" s="733"/>
      <c r="L5536" s="733"/>
      <c r="M5536" s="733"/>
    </row>
    <row r="5537" spans="1:13" x14ac:dyDescent="0.3">
      <c r="A5537" s="733" t="s">
        <v>5559</v>
      </c>
      <c r="B5537" s="733" t="s">
        <v>664</v>
      </c>
      <c r="C5537" s="733" t="s">
        <v>5571</v>
      </c>
      <c r="D5537" s="733"/>
      <c r="E5537" s="733"/>
      <c r="G5537" s="733"/>
      <c r="H5537" s="733"/>
      <c r="I5537" s="733"/>
      <c r="J5537" s="733"/>
      <c r="K5537" s="733"/>
      <c r="L5537" s="733"/>
      <c r="M5537" s="733"/>
    </row>
    <row r="5538" spans="1:13" x14ac:dyDescent="0.3">
      <c r="A5538" s="733" t="s">
        <v>5559</v>
      </c>
      <c r="B5538" s="733" t="s">
        <v>664</v>
      </c>
      <c r="C5538" s="733" t="s">
        <v>5572</v>
      </c>
      <c r="D5538" s="733"/>
      <c r="E5538" s="733"/>
      <c r="G5538" s="733"/>
      <c r="H5538" s="733"/>
      <c r="I5538" s="733"/>
      <c r="J5538" s="733"/>
      <c r="K5538" s="733"/>
      <c r="L5538" s="733"/>
      <c r="M5538" s="733"/>
    </row>
    <row r="5539" spans="1:13" x14ac:dyDescent="0.3">
      <c r="A5539" s="733" t="s">
        <v>5559</v>
      </c>
      <c r="B5539" s="733" t="s">
        <v>664</v>
      </c>
      <c r="C5539" s="733" t="s">
        <v>5573</v>
      </c>
      <c r="D5539" s="733"/>
      <c r="E5539" s="733"/>
      <c r="G5539" s="733"/>
      <c r="H5539" s="733"/>
      <c r="I5539" s="733"/>
      <c r="J5539" s="733"/>
      <c r="K5539" s="733"/>
      <c r="L5539" s="733"/>
      <c r="M5539" s="733"/>
    </row>
    <row r="5540" spans="1:13" x14ac:dyDescent="0.3">
      <c r="A5540" s="733" t="s">
        <v>5559</v>
      </c>
      <c r="B5540" s="733" t="s">
        <v>664</v>
      </c>
      <c r="C5540" s="733" t="s">
        <v>5574</v>
      </c>
      <c r="D5540" s="733"/>
      <c r="E5540" s="733"/>
      <c r="G5540" s="733"/>
      <c r="H5540" s="733"/>
      <c r="I5540" s="733"/>
      <c r="J5540" s="733"/>
      <c r="K5540" s="733"/>
      <c r="L5540" s="733"/>
      <c r="M5540" s="733"/>
    </row>
    <row r="5541" spans="1:13" x14ac:dyDescent="0.3">
      <c r="A5541" s="733" t="s">
        <v>5559</v>
      </c>
      <c r="B5541" s="733" t="s">
        <v>664</v>
      </c>
      <c r="C5541" s="733" t="s">
        <v>5575</v>
      </c>
      <c r="D5541" s="733"/>
      <c r="E5541" s="733"/>
      <c r="G5541" s="733"/>
      <c r="H5541" s="733"/>
      <c r="I5541" s="733"/>
      <c r="J5541" s="733"/>
      <c r="K5541" s="733"/>
      <c r="L5541" s="733"/>
      <c r="M5541" s="733"/>
    </row>
    <row r="5542" spans="1:13" x14ac:dyDescent="0.3">
      <c r="A5542" s="733" t="s">
        <v>5559</v>
      </c>
      <c r="B5542" s="733" t="s">
        <v>664</v>
      </c>
      <c r="C5542" s="733" t="s">
        <v>5576</v>
      </c>
      <c r="D5542" s="733"/>
      <c r="E5542" s="733"/>
      <c r="G5542" s="733"/>
      <c r="H5542" s="733"/>
      <c r="I5542" s="733"/>
      <c r="J5542" s="733"/>
      <c r="K5542" s="733"/>
      <c r="L5542" s="733"/>
      <c r="M5542" s="733"/>
    </row>
    <row r="5543" spans="1:13" x14ac:dyDescent="0.3">
      <c r="A5543" s="733" t="s">
        <v>5559</v>
      </c>
      <c r="B5543" s="733" t="s">
        <v>664</v>
      </c>
      <c r="C5543" s="733" t="s">
        <v>5577</v>
      </c>
      <c r="D5543" s="733"/>
      <c r="E5543" s="733"/>
      <c r="G5543" s="733"/>
      <c r="H5543" s="733"/>
      <c r="I5543" s="733"/>
      <c r="J5543" s="733"/>
      <c r="K5543" s="733"/>
      <c r="L5543" s="733"/>
      <c r="M5543" s="733"/>
    </row>
    <row r="5544" spans="1:13" x14ac:dyDescent="0.3">
      <c r="A5544" s="733" t="s">
        <v>5559</v>
      </c>
      <c r="B5544" s="733" t="s">
        <v>664</v>
      </c>
      <c r="C5544" s="733" t="s">
        <v>5578</v>
      </c>
      <c r="D5544" s="733"/>
      <c r="E5544" s="733"/>
      <c r="G5544" s="733"/>
      <c r="H5544" s="733"/>
      <c r="I5544" s="733"/>
      <c r="J5544" s="733"/>
      <c r="K5544" s="733"/>
      <c r="L5544" s="733"/>
      <c r="M5544" s="733"/>
    </row>
    <row r="5545" spans="1:13" x14ac:dyDescent="0.3">
      <c r="A5545" s="733" t="s">
        <v>5559</v>
      </c>
      <c r="B5545" s="733" t="s">
        <v>664</v>
      </c>
      <c r="C5545" s="733" t="s">
        <v>5579</v>
      </c>
      <c r="D5545" s="733"/>
      <c r="E5545" s="733"/>
      <c r="G5545" s="733"/>
      <c r="H5545" s="733"/>
      <c r="I5545" s="733"/>
      <c r="J5545" s="733"/>
      <c r="K5545" s="733"/>
      <c r="L5545" s="733"/>
      <c r="M5545" s="733"/>
    </row>
    <row r="5546" spans="1:13" x14ac:dyDescent="0.3">
      <c r="A5546" s="733" t="s">
        <v>5559</v>
      </c>
      <c r="B5546" s="733" t="s">
        <v>612</v>
      </c>
      <c r="C5546" s="738" t="s">
        <v>5580</v>
      </c>
      <c r="D5546" s="733"/>
      <c r="E5546" s="733"/>
      <c r="G5546" s="733"/>
      <c r="H5546" s="733"/>
      <c r="I5546" s="733"/>
      <c r="J5546" s="733"/>
      <c r="K5546" s="733"/>
      <c r="L5546" s="733"/>
      <c r="M5546" s="733"/>
    </row>
    <row r="5547" spans="1:13" x14ac:dyDescent="0.3">
      <c r="A5547" s="733" t="s">
        <v>5559</v>
      </c>
      <c r="B5547" s="733" t="s">
        <v>612</v>
      </c>
      <c r="C5547" s="738" t="s">
        <v>5581</v>
      </c>
      <c r="D5547" s="733"/>
      <c r="E5547" s="733"/>
      <c r="G5547" s="733"/>
      <c r="H5547" s="733"/>
      <c r="I5547" s="733"/>
      <c r="J5547" s="733"/>
      <c r="K5547" s="733"/>
      <c r="L5547" s="733"/>
      <c r="M5547" s="733"/>
    </row>
    <row r="5548" spans="1:13" x14ac:dyDescent="0.3">
      <c r="A5548" s="733" t="s">
        <v>5559</v>
      </c>
      <c r="B5548" s="733" t="s">
        <v>612</v>
      </c>
      <c r="C5548" s="738" t="s">
        <v>5582</v>
      </c>
      <c r="D5548" s="733"/>
      <c r="E5548" s="733"/>
      <c r="G5548" s="733"/>
      <c r="H5548" s="733"/>
      <c r="I5548" s="733"/>
      <c r="J5548" s="733"/>
      <c r="K5548" s="733"/>
      <c r="L5548" s="733"/>
      <c r="M5548" s="733"/>
    </row>
    <row r="5549" spans="1:13" x14ac:dyDescent="0.3">
      <c r="A5549" s="733" t="s">
        <v>5559</v>
      </c>
      <c r="B5549" s="733" t="s">
        <v>612</v>
      </c>
      <c r="C5549" s="738" t="s">
        <v>5583</v>
      </c>
      <c r="D5549" s="733"/>
      <c r="E5549" s="733"/>
      <c r="G5549" s="733"/>
      <c r="H5549" s="733"/>
      <c r="I5549" s="733"/>
      <c r="J5549" s="733"/>
      <c r="K5549" s="733"/>
      <c r="L5549" s="733"/>
      <c r="M5549" s="733"/>
    </row>
    <row r="5550" spans="1:13" x14ac:dyDescent="0.3">
      <c r="A5550" s="733" t="s">
        <v>5559</v>
      </c>
      <c r="B5550" s="733" t="s">
        <v>612</v>
      </c>
      <c r="C5550" s="738" t="s">
        <v>5584</v>
      </c>
      <c r="D5550" s="733"/>
      <c r="E5550" s="733"/>
      <c r="G5550" s="733"/>
      <c r="H5550" s="733"/>
      <c r="I5550" s="733"/>
      <c r="J5550" s="733"/>
      <c r="K5550" s="733"/>
      <c r="L5550" s="733"/>
      <c r="M5550" s="733"/>
    </row>
    <row r="5551" spans="1:13" x14ac:dyDescent="0.3">
      <c r="A5551" s="733" t="s">
        <v>5559</v>
      </c>
      <c r="B5551" s="733" t="s">
        <v>612</v>
      </c>
      <c r="C5551" s="738" t="s">
        <v>5585</v>
      </c>
      <c r="D5551" s="733"/>
      <c r="E5551" s="733"/>
      <c r="G5551" s="733"/>
      <c r="H5551" s="733"/>
      <c r="I5551" s="733"/>
      <c r="J5551" s="733"/>
      <c r="K5551" s="733"/>
      <c r="L5551" s="733"/>
      <c r="M5551" s="733"/>
    </row>
    <row r="5552" spans="1:13" x14ac:dyDescent="0.3">
      <c r="A5552" s="733" t="s">
        <v>5559</v>
      </c>
      <c r="B5552" s="733" t="s">
        <v>612</v>
      </c>
      <c r="C5552" s="738" t="s">
        <v>5586</v>
      </c>
      <c r="D5552" s="733"/>
      <c r="E5552" s="733"/>
      <c r="G5552" s="733"/>
      <c r="H5552" s="733"/>
      <c r="I5552" s="733"/>
      <c r="J5552" s="733"/>
      <c r="K5552" s="733"/>
      <c r="L5552" s="733"/>
      <c r="M5552" s="733"/>
    </row>
    <row r="5553" spans="1:13" x14ac:dyDescent="0.3">
      <c r="A5553" s="733" t="s">
        <v>5559</v>
      </c>
      <c r="B5553" s="733" t="s">
        <v>612</v>
      </c>
      <c r="C5553" s="738" t="s">
        <v>5587</v>
      </c>
      <c r="D5553" s="733"/>
      <c r="E5553" s="733"/>
      <c r="G5553" s="733"/>
      <c r="H5553" s="733"/>
      <c r="I5553" s="733"/>
      <c r="J5553" s="733"/>
      <c r="K5553" s="733"/>
      <c r="L5553" s="733"/>
      <c r="M5553" s="733"/>
    </row>
    <row r="5554" spans="1:13" x14ac:dyDescent="0.3">
      <c r="A5554" s="733" t="s">
        <v>5559</v>
      </c>
      <c r="B5554" s="733" t="s">
        <v>612</v>
      </c>
      <c r="C5554" s="738" t="s">
        <v>5588</v>
      </c>
      <c r="D5554" s="733"/>
      <c r="E5554" s="733"/>
      <c r="G5554" s="733"/>
      <c r="H5554" s="733"/>
      <c r="I5554" s="733"/>
      <c r="J5554" s="733"/>
      <c r="K5554" s="733"/>
      <c r="L5554" s="733"/>
      <c r="M5554" s="733"/>
    </row>
    <row r="5555" spans="1:13" x14ac:dyDescent="0.3">
      <c r="A5555" s="733" t="s">
        <v>5559</v>
      </c>
      <c r="B5555" s="733" t="s">
        <v>612</v>
      </c>
      <c r="C5555" s="738" t="s">
        <v>5589</v>
      </c>
      <c r="D5555" s="733"/>
      <c r="E5555" s="733"/>
      <c r="G5555" s="733"/>
      <c r="H5555" s="733"/>
      <c r="I5555" s="733"/>
      <c r="J5555" s="733"/>
      <c r="K5555" s="733"/>
      <c r="L5555" s="733"/>
      <c r="M5555" s="733"/>
    </row>
    <row r="5556" spans="1:13" x14ac:dyDescent="0.3">
      <c r="A5556" s="733" t="s">
        <v>5590</v>
      </c>
      <c r="B5556" s="733" t="s">
        <v>645</v>
      </c>
      <c r="C5556" s="738" t="s">
        <v>5591</v>
      </c>
      <c r="D5556" s="733"/>
      <c r="E5556" s="733"/>
      <c r="G5556" s="733"/>
      <c r="H5556" s="733"/>
      <c r="I5556" s="733"/>
      <c r="J5556" s="733"/>
      <c r="K5556" s="733"/>
      <c r="L5556" s="733"/>
      <c r="M5556" s="733"/>
    </row>
    <row r="5557" spans="1:13" x14ac:dyDescent="0.3">
      <c r="A5557" s="733" t="s">
        <v>5590</v>
      </c>
      <c r="B5557" s="733" t="s">
        <v>645</v>
      </c>
      <c r="C5557" s="738" t="s">
        <v>5592</v>
      </c>
      <c r="D5557" s="733"/>
      <c r="E5557" s="733"/>
      <c r="G5557" s="733"/>
      <c r="H5557" s="733"/>
      <c r="I5557" s="733"/>
      <c r="J5557" s="733"/>
      <c r="K5557" s="733"/>
      <c r="L5557" s="733"/>
      <c r="M5557" s="733"/>
    </row>
    <row r="5558" spans="1:13" x14ac:dyDescent="0.3">
      <c r="A5558" s="733" t="s">
        <v>5590</v>
      </c>
      <c r="B5558" s="733" t="s">
        <v>645</v>
      </c>
      <c r="C5558" s="738" t="s">
        <v>5593</v>
      </c>
      <c r="D5558" s="733"/>
      <c r="E5558" s="733"/>
      <c r="G5558" s="733"/>
      <c r="H5558" s="733"/>
      <c r="I5558" s="733"/>
      <c r="J5558" s="733"/>
      <c r="K5558" s="733"/>
      <c r="L5558" s="733"/>
      <c r="M5558" s="733"/>
    </row>
    <row r="5559" spans="1:13" x14ac:dyDescent="0.3">
      <c r="A5559" s="733" t="s">
        <v>5590</v>
      </c>
      <c r="B5559" s="733" t="s">
        <v>645</v>
      </c>
      <c r="C5559" s="738" t="s">
        <v>5594</v>
      </c>
      <c r="D5559" s="733"/>
      <c r="E5559" s="733"/>
      <c r="G5559" s="733"/>
      <c r="H5559" s="733"/>
      <c r="I5559" s="733"/>
      <c r="J5559" s="733"/>
      <c r="K5559" s="733"/>
      <c r="L5559" s="733"/>
      <c r="M5559" s="733"/>
    </row>
    <row r="5560" spans="1:13" x14ac:dyDescent="0.3">
      <c r="A5560" s="733" t="s">
        <v>5590</v>
      </c>
      <c r="B5560" s="733" t="s">
        <v>645</v>
      </c>
      <c r="C5560" s="738" t="s">
        <v>5595</v>
      </c>
      <c r="D5560" s="733"/>
      <c r="E5560" s="733"/>
      <c r="G5560" s="733"/>
      <c r="H5560" s="733"/>
      <c r="I5560" s="733"/>
      <c r="J5560" s="733"/>
      <c r="K5560" s="733"/>
      <c r="L5560" s="733"/>
      <c r="M5560" s="733"/>
    </row>
    <row r="5561" spans="1:13" x14ac:dyDescent="0.3">
      <c r="A5561" s="733" t="s">
        <v>5590</v>
      </c>
      <c r="B5561" s="733" t="s">
        <v>645</v>
      </c>
      <c r="C5561" s="738" t="s">
        <v>5596</v>
      </c>
      <c r="D5561" s="733"/>
      <c r="E5561" s="733"/>
      <c r="G5561" s="733"/>
      <c r="H5561" s="733"/>
      <c r="I5561" s="733"/>
      <c r="J5561" s="733"/>
      <c r="K5561" s="733"/>
      <c r="L5561" s="733"/>
      <c r="M5561" s="733"/>
    </row>
    <row r="5562" spans="1:13" x14ac:dyDescent="0.3">
      <c r="A5562" s="733" t="s">
        <v>5590</v>
      </c>
      <c r="B5562" s="733" t="s">
        <v>645</v>
      </c>
      <c r="C5562" s="738" t="s">
        <v>5597</v>
      </c>
      <c r="D5562" s="733"/>
      <c r="E5562" s="733"/>
      <c r="G5562" s="733"/>
      <c r="H5562" s="733"/>
      <c r="I5562" s="733"/>
      <c r="J5562" s="733"/>
      <c r="K5562" s="733"/>
      <c r="L5562" s="733"/>
      <c r="M5562" s="733"/>
    </row>
    <row r="5563" spans="1:13" x14ac:dyDescent="0.3">
      <c r="A5563" s="733" t="s">
        <v>5590</v>
      </c>
      <c r="B5563" s="733" t="s">
        <v>645</v>
      </c>
      <c r="C5563" s="738" t="s">
        <v>5598</v>
      </c>
      <c r="D5563" s="733"/>
      <c r="E5563" s="733"/>
      <c r="G5563" s="733"/>
      <c r="H5563" s="733"/>
      <c r="I5563" s="733"/>
      <c r="J5563" s="733"/>
      <c r="K5563" s="733"/>
      <c r="L5563" s="733"/>
      <c r="M5563" s="733"/>
    </row>
    <row r="5564" spans="1:13" x14ac:dyDescent="0.3">
      <c r="A5564" s="733" t="s">
        <v>5590</v>
      </c>
      <c r="B5564" s="733" t="s">
        <v>645</v>
      </c>
      <c r="C5564" s="738" t="s">
        <v>5599</v>
      </c>
      <c r="D5564" s="733"/>
      <c r="E5564" s="733"/>
      <c r="G5564" s="733"/>
      <c r="H5564" s="733"/>
      <c r="I5564" s="733"/>
      <c r="J5564" s="733"/>
      <c r="K5564" s="733"/>
      <c r="L5564" s="733"/>
      <c r="M5564" s="733"/>
    </row>
    <row r="5565" spans="1:13" x14ac:dyDescent="0.3">
      <c r="A5565" s="733" t="s">
        <v>5590</v>
      </c>
      <c r="B5565" s="733" t="s">
        <v>645</v>
      </c>
      <c r="C5565" s="738" t="s">
        <v>5600</v>
      </c>
      <c r="D5565" s="733"/>
      <c r="E5565" s="733"/>
      <c r="G5565" s="733"/>
      <c r="H5565" s="733"/>
      <c r="I5565" s="733"/>
      <c r="J5565" s="733"/>
      <c r="K5565" s="733"/>
      <c r="L5565" s="733"/>
      <c r="M5565" s="733"/>
    </row>
    <row r="5566" spans="1:13" x14ac:dyDescent="0.3">
      <c r="A5566" s="733" t="s">
        <v>5590</v>
      </c>
      <c r="B5566" s="733" t="s">
        <v>664</v>
      </c>
      <c r="C5566" s="733" t="s">
        <v>5601</v>
      </c>
      <c r="D5566" s="733"/>
      <c r="E5566" s="733"/>
      <c r="G5566" s="733"/>
      <c r="H5566" s="733"/>
      <c r="I5566" s="733"/>
      <c r="J5566" s="733"/>
      <c r="K5566" s="733"/>
      <c r="L5566" s="733"/>
      <c r="M5566" s="733"/>
    </row>
    <row r="5567" spans="1:13" x14ac:dyDescent="0.3">
      <c r="A5567" s="733" t="s">
        <v>5590</v>
      </c>
      <c r="B5567" s="733" t="s">
        <v>664</v>
      </c>
      <c r="C5567" s="733" t="s">
        <v>5602</v>
      </c>
      <c r="D5567" s="733"/>
      <c r="E5567" s="733"/>
      <c r="G5567" s="733"/>
      <c r="H5567" s="733"/>
      <c r="I5567" s="733"/>
      <c r="J5567" s="733"/>
      <c r="K5567" s="733"/>
      <c r="L5567" s="733"/>
      <c r="M5567" s="733"/>
    </row>
    <row r="5568" spans="1:13" x14ac:dyDescent="0.3">
      <c r="A5568" s="733" t="s">
        <v>5590</v>
      </c>
      <c r="B5568" s="733" t="s">
        <v>664</v>
      </c>
      <c r="C5568" s="733" t="s">
        <v>5603</v>
      </c>
      <c r="D5568" s="733"/>
      <c r="E5568" s="733"/>
      <c r="G5568" s="733"/>
      <c r="H5568" s="733"/>
      <c r="I5568" s="733"/>
      <c r="J5568" s="733"/>
      <c r="K5568" s="733"/>
      <c r="L5568" s="733"/>
      <c r="M5568" s="733"/>
    </row>
    <row r="5569" spans="1:13" x14ac:dyDescent="0.3">
      <c r="A5569" s="733" t="s">
        <v>5590</v>
      </c>
      <c r="B5569" s="733" t="s">
        <v>664</v>
      </c>
      <c r="C5569" s="733" t="s">
        <v>5604</v>
      </c>
      <c r="D5569" s="733"/>
      <c r="E5569" s="733"/>
      <c r="G5569" s="733"/>
      <c r="H5569" s="733"/>
      <c r="I5569" s="733"/>
      <c r="J5569" s="733"/>
      <c r="K5569" s="733"/>
      <c r="L5569" s="733"/>
      <c r="M5569" s="733"/>
    </row>
    <row r="5570" spans="1:13" x14ac:dyDescent="0.3">
      <c r="A5570" s="733" t="s">
        <v>5590</v>
      </c>
      <c r="B5570" s="733" t="s">
        <v>664</v>
      </c>
      <c r="C5570" s="733" t="s">
        <v>5605</v>
      </c>
      <c r="D5570" s="733"/>
      <c r="E5570" s="733"/>
      <c r="G5570" s="733"/>
      <c r="H5570" s="733"/>
      <c r="I5570" s="733"/>
      <c r="J5570" s="733"/>
      <c r="K5570" s="733"/>
      <c r="L5570" s="733"/>
      <c r="M5570" s="733"/>
    </row>
    <row r="5571" spans="1:13" x14ac:dyDescent="0.3">
      <c r="A5571" s="733" t="s">
        <v>5590</v>
      </c>
      <c r="B5571" s="733" t="s">
        <v>664</v>
      </c>
      <c r="C5571" s="733" t="s">
        <v>5606</v>
      </c>
      <c r="D5571" s="733"/>
      <c r="E5571" s="733"/>
      <c r="G5571" s="733"/>
      <c r="H5571" s="733"/>
      <c r="I5571" s="733"/>
      <c r="J5571" s="733"/>
      <c r="K5571" s="733"/>
      <c r="L5571" s="733"/>
      <c r="M5571" s="733"/>
    </row>
    <row r="5572" spans="1:13" x14ac:dyDescent="0.3">
      <c r="A5572" s="733" t="s">
        <v>5590</v>
      </c>
      <c r="B5572" s="733" t="s">
        <v>664</v>
      </c>
      <c r="C5572" s="733" t="s">
        <v>5607</v>
      </c>
      <c r="D5572" s="733"/>
      <c r="E5572" s="733"/>
      <c r="G5572" s="733"/>
      <c r="H5572" s="733"/>
      <c r="I5572" s="733"/>
      <c r="J5572" s="733"/>
      <c r="K5572" s="733"/>
      <c r="L5572" s="733"/>
      <c r="M5572" s="733"/>
    </row>
    <row r="5573" spans="1:13" x14ac:dyDescent="0.3">
      <c r="A5573" s="733" t="s">
        <v>5590</v>
      </c>
      <c r="B5573" s="733" t="s">
        <v>664</v>
      </c>
      <c r="C5573" s="733" t="s">
        <v>5608</v>
      </c>
      <c r="D5573" s="733"/>
      <c r="E5573" s="733"/>
      <c r="G5573" s="733"/>
      <c r="H5573" s="733"/>
      <c r="I5573" s="733"/>
      <c r="J5573" s="733"/>
      <c r="K5573" s="733"/>
      <c r="L5573" s="733"/>
      <c r="M5573" s="733"/>
    </row>
    <row r="5574" spans="1:13" x14ac:dyDescent="0.3">
      <c r="A5574" s="733" t="s">
        <v>5590</v>
      </c>
      <c r="B5574" s="733" t="s">
        <v>664</v>
      </c>
      <c r="C5574" s="733" t="s">
        <v>5609</v>
      </c>
      <c r="D5574" s="733"/>
      <c r="E5574" s="733"/>
      <c r="G5574" s="733"/>
      <c r="H5574" s="733"/>
      <c r="I5574" s="733"/>
      <c r="J5574" s="733"/>
      <c r="K5574" s="733"/>
      <c r="L5574" s="733"/>
      <c r="M5574" s="733"/>
    </row>
    <row r="5575" spans="1:13" x14ac:dyDescent="0.3">
      <c r="A5575" s="733" t="s">
        <v>5590</v>
      </c>
      <c r="B5575" s="733" t="s">
        <v>664</v>
      </c>
      <c r="C5575" s="733" t="s">
        <v>5610</v>
      </c>
      <c r="D5575" s="733"/>
      <c r="E5575" s="733"/>
      <c r="G5575" s="733"/>
      <c r="H5575" s="733"/>
      <c r="I5575" s="733"/>
      <c r="J5575" s="733"/>
      <c r="K5575" s="733"/>
      <c r="L5575" s="733"/>
      <c r="M5575" s="733"/>
    </row>
    <row r="5576" spans="1:13" x14ac:dyDescent="0.3">
      <c r="A5576" s="733" t="s">
        <v>5590</v>
      </c>
      <c r="B5576" s="733" t="s">
        <v>612</v>
      </c>
      <c r="C5576" s="733" t="s">
        <v>5611</v>
      </c>
      <c r="D5576" s="733"/>
      <c r="E5576" s="733"/>
      <c r="G5576" s="733"/>
      <c r="H5576" s="733"/>
      <c r="I5576" s="733"/>
      <c r="J5576" s="733"/>
      <c r="K5576" s="733"/>
      <c r="L5576" s="733"/>
      <c r="M5576" s="733"/>
    </row>
    <row r="5577" spans="1:13" x14ac:dyDescent="0.3">
      <c r="A5577" s="733" t="s">
        <v>5590</v>
      </c>
      <c r="B5577" s="733" t="s">
        <v>612</v>
      </c>
      <c r="C5577" s="733" t="s">
        <v>5612</v>
      </c>
      <c r="D5577" s="733"/>
      <c r="E5577" s="733"/>
      <c r="G5577" s="733"/>
      <c r="H5577" s="733"/>
      <c r="I5577" s="733"/>
      <c r="J5577" s="733"/>
      <c r="K5577" s="733"/>
      <c r="L5577" s="733"/>
      <c r="M5577" s="733"/>
    </row>
    <row r="5578" spans="1:13" x14ac:dyDescent="0.3">
      <c r="A5578" s="733" t="s">
        <v>5590</v>
      </c>
      <c r="B5578" s="733" t="s">
        <v>612</v>
      </c>
      <c r="C5578" s="733" t="s">
        <v>5613</v>
      </c>
      <c r="D5578" s="733"/>
      <c r="E5578" s="733"/>
      <c r="G5578" s="733"/>
      <c r="H5578" s="733"/>
      <c r="I5578" s="733"/>
      <c r="J5578" s="733"/>
      <c r="K5578" s="733"/>
      <c r="L5578" s="733"/>
      <c r="M5578" s="733"/>
    </row>
    <row r="5579" spans="1:13" x14ac:dyDescent="0.3">
      <c r="A5579" s="733" t="s">
        <v>5590</v>
      </c>
      <c r="B5579" s="733" t="s">
        <v>612</v>
      </c>
      <c r="C5579" s="733" t="s">
        <v>5614</v>
      </c>
      <c r="D5579" s="733"/>
      <c r="E5579" s="733"/>
      <c r="G5579" s="733"/>
      <c r="H5579" s="733"/>
      <c r="I5579" s="733"/>
      <c r="J5579" s="733"/>
      <c r="K5579" s="733"/>
      <c r="L5579" s="733"/>
      <c r="M5579" s="733"/>
    </row>
    <row r="5580" spans="1:13" x14ac:dyDescent="0.3">
      <c r="A5580" s="733" t="s">
        <v>5590</v>
      </c>
      <c r="B5580" s="733" t="s">
        <v>612</v>
      </c>
      <c r="C5580" s="733" t="s">
        <v>5615</v>
      </c>
      <c r="D5580" s="733"/>
      <c r="E5580" s="733"/>
      <c r="G5580" s="733"/>
      <c r="H5580" s="733"/>
      <c r="I5580" s="733"/>
      <c r="J5580" s="733"/>
      <c r="K5580" s="733"/>
      <c r="L5580" s="733"/>
      <c r="M5580" s="733"/>
    </row>
    <row r="5581" spans="1:13" x14ac:dyDescent="0.3">
      <c r="A5581" s="733" t="s">
        <v>5590</v>
      </c>
      <c r="B5581" s="733" t="s">
        <v>612</v>
      </c>
      <c r="C5581" s="733" t="s">
        <v>5616</v>
      </c>
      <c r="D5581" s="733"/>
      <c r="E5581" s="733"/>
      <c r="G5581" s="733"/>
      <c r="H5581" s="733"/>
      <c r="I5581" s="733"/>
      <c r="J5581" s="733"/>
      <c r="K5581" s="733"/>
      <c r="L5581" s="733"/>
      <c r="M5581" s="733"/>
    </row>
    <row r="5582" spans="1:13" x14ac:dyDescent="0.3">
      <c r="A5582" s="733" t="s">
        <v>5590</v>
      </c>
      <c r="B5582" s="733" t="s">
        <v>612</v>
      </c>
      <c r="C5582" s="733" t="s">
        <v>5617</v>
      </c>
      <c r="D5582" s="733"/>
      <c r="E5582" s="733"/>
      <c r="G5582" s="733"/>
      <c r="H5582" s="733"/>
      <c r="I5582" s="733"/>
      <c r="J5582" s="733"/>
      <c r="K5582" s="733"/>
      <c r="L5582" s="733"/>
      <c r="M5582" s="733"/>
    </row>
    <row r="5583" spans="1:13" x14ac:dyDescent="0.3">
      <c r="A5583" s="733" t="s">
        <v>5590</v>
      </c>
      <c r="B5583" s="733" t="s">
        <v>612</v>
      </c>
      <c r="C5583" s="733" t="s">
        <v>5618</v>
      </c>
      <c r="D5583" s="733"/>
      <c r="E5583" s="733"/>
      <c r="G5583" s="733"/>
      <c r="H5583" s="733"/>
      <c r="I5583" s="733"/>
      <c r="J5583" s="733"/>
      <c r="K5583" s="733"/>
      <c r="L5583" s="733"/>
      <c r="M5583" s="733"/>
    </row>
    <row r="5584" spans="1:13" x14ac:dyDescent="0.3">
      <c r="A5584" s="733" t="s">
        <v>5590</v>
      </c>
      <c r="B5584" s="733" t="s">
        <v>612</v>
      </c>
      <c r="C5584" s="733" t="s">
        <v>5619</v>
      </c>
      <c r="D5584" s="733"/>
      <c r="E5584" s="733"/>
      <c r="G5584" s="733"/>
      <c r="H5584" s="733"/>
      <c r="I5584" s="733"/>
      <c r="J5584" s="733"/>
      <c r="K5584" s="733"/>
      <c r="L5584" s="733"/>
      <c r="M5584" s="733"/>
    </row>
    <row r="5585" spans="1:13" x14ac:dyDescent="0.3">
      <c r="A5585" s="733" t="s">
        <v>5590</v>
      </c>
      <c r="B5585" s="733" t="s">
        <v>612</v>
      </c>
      <c r="C5585" s="733" t="s">
        <v>4867</v>
      </c>
      <c r="D5585" s="733"/>
      <c r="E5585" s="733"/>
      <c r="G5585" s="733"/>
      <c r="H5585" s="733"/>
      <c r="I5585" s="733"/>
      <c r="J5585" s="733"/>
      <c r="K5585" s="733"/>
      <c r="L5585" s="733"/>
      <c r="M5585" s="733"/>
    </row>
    <row r="5586" spans="1:13" x14ac:dyDescent="0.3">
      <c r="A5586" s="733" t="s">
        <v>5620</v>
      </c>
      <c r="B5586" s="733" t="s">
        <v>645</v>
      </c>
      <c r="C5586" s="733" t="s">
        <v>5621</v>
      </c>
      <c r="D5586" s="733"/>
      <c r="E5586" s="733"/>
      <c r="G5586" s="733"/>
      <c r="H5586" s="733"/>
      <c r="I5586" s="733"/>
      <c r="J5586" s="733"/>
      <c r="K5586" s="733"/>
      <c r="L5586" s="733"/>
      <c r="M5586" s="733"/>
    </row>
    <row r="5587" spans="1:13" x14ac:dyDescent="0.3">
      <c r="A5587" s="733" t="s">
        <v>5620</v>
      </c>
      <c r="B5587" s="733" t="s">
        <v>645</v>
      </c>
      <c r="C5587" s="733" t="s">
        <v>5622</v>
      </c>
      <c r="D5587" s="733"/>
      <c r="E5587" s="733"/>
      <c r="G5587" s="733"/>
      <c r="H5587" s="733"/>
      <c r="I5587" s="733"/>
      <c r="J5587" s="733"/>
      <c r="K5587" s="733"/>
      <c r="L5587" s="733"/>
      <c r="M5587" s="733"/>
    </row>
    <row r="5588" spans="1:13" x14ac:dyDescent="0.3">
      <c r="A5588" s="733" t="s">
        <v>5620</v>
      </c>
      <c r="B5588" s="733" t="s">
        <v>645</v>
      </c>
      <c r="C5588" s="733" t="s">
        <v>5623</v>
      </c>
      <c r="D5588" s="733"/>
      <c r="E5588" s="733"/>
      <c r="G5588" s="733"/>
      <c r="H5588" s="733"/>
      <c r="I5588" s="733"/>
      <c r="J5588" s="733"/>
      <c r="K5588" s="733"/>
      <c r="L5588" s="733"/>
      <c r="M5588" s="733"/>
    </row>
    <row r="5589" spans="1:13" x14ac:dyDescent="0.3">
      <c r="A5589" s="733" t="s">
        <v>5620</v>
      </c>
      <c r="B5589" s="733" t="s">
        <v>645</v>
      </c>
      <c r="C5589" s="733" t="s">
        <v>5624</v>
      </c>
      <c r="D5589" s="733"/>
      <c r="E5589" s="733"/>
      <c r="G5589" s="733"/>
      <c r="H5589" s="733"/>
      <c r="I5589" s="733"/>
      <c r="J5589" s="733"/>
      <c r="K5589" s="733"/>
      <c r="L5589" s="733"/>
      <c r="M5589" s="733"/>
    </row>
    <row r="5590" spans="1:13" x14ac:dyDescent="0.3">
      <c r="A5590" s="733" t="s">
        <v>5620</v>
      </c>
      <c r="B5590" s="733" t="s">
        <v>645</v>
      </c>
      <c r="C5590" s="733" t="s">
        <v>5625</v>
      </c>
      <c r="D5590" s="733"/>
      <c r="E5590" s="733"/>
      <c r="G5590" s="733"/>
      <c r="H5590" s="733"/>
      <c r="I5590" s="733"/>
      <c r="J5590" s="733"/>
      <c r="K5590" s="733"/>
      <c r="L5590" s="733"/>
      <c r="M5590" s="733"/>
    </row>
    <row r="5591" spans="1:13" x14ac:dyDescent="0.3">
      <c r="A5591" s="733" t="s">
        <v>5620</v>
      </c>
      <c r="B5591" s="733" t="s">
        <v>645</v>
      </c>
      <c r="C5591" s="733" t="s">
        <v>5626</v>
      </c>
      <c r="D5591" s="733"/>
      <c r="E5591" s="733"/>
      <c r="G5591" s="733"/>
      <c r="H5591" s="733"/>
      <c r="I5591" s="733"/>
      <c r="J5591" s="733"/>
      <c r="K5591" s="733"/>
      <c r="L5591" s="733"/>
      <c r="M5591" s="733"/>
    </row>
    <row r="5592" spans="1:13" x14ac:dyDescent="0.3">
      <c r="A5592" s="733" t="s">
        <v>5620</v>
      </c>
      <c r="B5592" s="733" t="s">
        <v>645</v>
      </c>
      <c r="C5592" s="733" t="s">
        <v>5627</v>
      </c>
      <c r="D5592" s="733"/>
      <c r="E5592" s="733"/>
      <c r="G5592" s="733"/>
      <c r="H5592" s="733"/>
      <c r="I5592" s="733"/>
      <c r="J5592" s="733"/>
      <c r="K5592" s="733"/>
      <c r="L5592" s="733"/>
      <c r="M5592" s="733"/>
    </row>
    <row r="5593" spans="1:13" x14ac:dyDescent="0.3">
      <c r="A5593" s="733" t="s">
        <v>5620</v>
      </c>
      <c r="B5593" s="733" t="s">
        <v>645</v>
      </c>
      <c r="C5593" s="733" t="s">
        <v>5628</v>
      </c>
      <c r="D5593" s="733"/>
      <c r="E5593" s="733"/>
      <c r="G5593" s="733"/>
      <c r="H5593" s="733"/>
      <c r="I5593" s="733"/>
      <c r="J5593" s="733"/>
      <c r="K5593" s="733"/>
      <c r="L5593" s="733"/>
      <c r="M5593" s="733"/>
    </row>
    <row r="5594" spans="1:13" x14ac:dyDescent="0.3">
      <c r="A5594" s="733" t="s">
        <v>5620</v>
      </c>
      <c r="B5594" s="733" t="s">
        <v>645</v>
      </c>
      <c r="C5594" s="733" t="s">
        <v>5629</v>
      </c>
      <c r="D5594" s="733"/>
      <c r="E5594" s="733"/>
      <c r="G5594" s="733"/>
      <c r="H5594" s="733"/>
      <c r="I5594" s="733"/>
      <c r="J5594" s="733"/>
      <c r="K5594" s="733"/>
      <c r="L5594" s="733"/>
      <c r="M5594" s="733"/>
    </row>
    <row r="5595" spans="1:13" x14ac:dyDescent="0.3">
      <c r="A5595" s="733" t="s">
        <v>5620</v>
      </c>
      <c r="B5595" s="733" t="s">
        <v>645</v>
      </c>
      <c r="C5595" s="733" t="s">
        <v>5630</v>
      </c>
      <c r="D5595" s="733"/>
      <c r="E5595" s="733"/>
      <c r="G5595" s="733"/>
      <c r="H5595" s="733"/>
      <c r="I5595" s="733"/>
      <c r="J5595" s="733"/>
      <c r="K5595" s="733"/>
      <c r="L5595" s="733"/>
      <c r="M5595" s="733"/>
    </row>
    <row r="5596" spans="1:13" x14ac:dyDescent="0.3">
      <c r="A5596" s="733" t="s">
        <v>5620</v>
      </c>
      <c r="B5596" s="733" t="s">
        <v>664</v>
      </c>
      <c r="C5596" s="733" t="s">
        <v>5631</v>
      </c>
      <c r="D5596" s="733"/>
      <c r="E5596" s="733"/>
      <c r="G5596" s="733"/>
      <c r="H5596" s="733"/>
      <c r="I5596" s="733"/>
      <c r="J5596" s="733"/>
      <c r="K5596" s="733"/>
      <c r="L5596" s="733"/>
      <c r="M5596" s="733"/>
    </row>
    <row r="5597" spans="1:13" x14ac:dyDescent="0.3">
      <c r="A5597" s="733" t="s">
        <v>5620</v>
      </c>
      <c r="B5597" s="733" t="s">
        <v>664</v>
      </c>
      <c r="C5597" s="733" t="s">
        <v>5632</v>
      </c>
      <c r="D5597" s="733"/>
      <c r="E5597" s="733"/>
      <c r="G5597" s="733"/>
      <c r="H5597" s="733"/>
      <c r="I5597" s="733"/>
      <c r="J5597" s="733"/>
      <c r="K5597" s="733"/>
      <c r="L5597" s="733"/>
      <c r="M5597" s="733"/>
    </row>
    <row r="5598" spans="1:13" x14ac:dyDescent="0.3">
      <c r="A5598" s="733" t="s">
        <v>5620</v>
      </c>
      <c r="B5598" s="733" t="s">
        <v>664</v>
      </c>
      <c r="C5598" s="733" t="s">
        <v>5633</v>
      </c>
      <c r="D5598" s="733"/>
      <c r="E5598" s="733"/>
      <c r="G5598" s="733"/>
      <c r="H5598" s="733"/>
      <c r="I5598" s="733"/>
      <c r="J5598" s="733"/>
      <c r="K5598" s="733"/>
      <c r="L5598" s="733"/>
      <c r="M5598" s="733"/>
    </row>
    <row r="5599" spans="1:13" x14ac:dyDescent="0.3">
      <c r="A5599" s="733" t="s">
        <v>5620</v>
      </c>
      <c r="B5599" s="733" t="s">
        <v>664</v>
      </c>
      <c r="C5599" s="733" t="s">
        <v>5634</v>
      </c>
      <c r="D5599" s="733"/>
      <c r="E5599" s="733"/>
      <c r="G5599" s="733"/>
      <c r="H5599" s="733"/>
      <c r="I5599" s="733"/>
      <c r="J5599" s="733"/>
      <c r="K5599" s="733"/>
      <c r="L5599" s="733"/>
      <c r="M5599" s="733"/>
    </row>
    <row r="5600" spans="1:13" x14ac:dyDescent="0.3">
      <c r="A5600" s="733" t="s">
        <v>5620</v>
      </c>
      <c r="B5600" s="733" t="s">
        <v>664</v>
      </c>
      <c r="C5600" s="733" t="s">
        <v>5635</v>
      </c>
      <c r="D5600" s="733"/>
      <c r="E5600" s="733"/>
      <c r="G5600" s="733"/>
      <c r="H5600" s="733"/>
      <c r="I5600" s="733"/>
      <c r="J5600" s="733"/>
      <c r="K5600" s="733"/>
      <c r="L5600" s="733"/>
      <c r="M5600" s="733"/>
    </row>
    <row r="5601" spans="1:13" x14ac:dyDescent="0.3">
      <c r="A5601" s="733" t="s">
        <v>5620</v>
      </c>
      <c r="B5601" s="733" t="s">
        <v>664</v>
      </c>
      <c r="C5601" s="733" t="s">
        <v>5636</v>
      </c>
      <c r="D5601" s="733"/>
      <c r="E5601" s="733"/>
      <c r="G5601" s="733"/>
      <c r="H5601" s="733"/>
      <c r="I5601" s="733"/>
      <c r="J5601" s="733"/>
      <c r="K5601" s="733"/>
      <c r="L5601" s="733"/>
      <c r="M5601" s="733"/>
    </row>
    <row r="5602" spans="1:13" x14ac:dyDescent="0.3">
      <c r="A5602" s="733" t="s">
        <v>5620</v>
      </c>
      <c r="B5602" s="733" t="s">
        <v>664</v>
      </c>
      <c r="C5602" s="733" t="s">
        <v>5637</v>
      </c>
      <c r="D5602" s="733"/>
      <c r="E5602" s="733"/>
      <c r="G5602" s="733"/>
      <c r="H5602" s="733"/>
      <c r="I5602" s="733"/>
      <c r="J5602" s="733"/>
      <c r="K5602" s="733"/>
      <c r="L5602" s="733"/>
      <c r="M5602" s="733"/>
    </row>
    <row r="5603" spans="1:13" x14ac:dyDescent="0.3">
      <c r="A5603" s="733" t="s">
        <v>5620</v>
      </c>
      <c r="B5603" s="733" t="s">
        <v>664</v>
      </c>
      <c r="C5603" s="733" t="s">
        <v>5638</v>
      </c>
      <c r="D5603" s="733"/>
      <c r="E5603" s="733"/>
      <c r="G5603" s="733"/>
      <c r="H5603" s="733"/>
      <c r="I5603" s="733"/>
      <c r="J5603" s="733"/>
      <c r="K5603" s="733"/>
      <c r="L5603" s="733"/>
      <c r="M5603" s="733"/>
    </row>
    <row r="5604" spans="1:13" x14ac:dyDescent="0.3">
      <c r="A5604" s="733" t="s">
        <v>5620</v>
      </c>
      <c r="B5604" s="733" t="s">
        <v>664</v>
      </c>
      <c r="C5604" s="733" t="s">
        <v>5639</v>
      </c>
      <c r="D5604" s="733"/>
      <c r="E5604" s="733"/>
      <c r="G5604" s="733"/>
      <c r="H5604" s="733"/>
      <c r="I5604" s="733"/>
      <c r="J5604" s="733"/>
      <c r="K5604" s="733"/>
      <c r="L5604" s="733"/>
      <c r="M5604" s="733"/>
    </row>
    <row r="5605" spans="1:13" x14ac:dyDescent="0.3">
      <c r="A5605" s="733" t="s">
        <v>5620</v>
      </c>
      <c r="B5605" s="733" t="s">
        <v>664</v>
      </c>
      <c r="C5605" s="733" t="s">
        <v>5640</v>
      </c>
      <c r="D5605" s="733"/>
      <c r="E5605" s="733"/>
      <c r="G5605" s="733"/>
      <c r="H5605" s="733"/>
      <c r="I5605" s="733"/>
      <c r="J5605" s="733"/>
      <c r="K5605" s="733"/>
      <c r="L5605" s="733"/>
      <c r="M5605" s="733"/>
    </row>
    <row r="5606" spans="1:13" x14ac:dyDescent="0.3">
      <c r="A5606" s="733" t="s">
        <v>5620</v>
      </c>
      <c r="B5606" s="733" t="s">
        <v>612</v>
      </c>
      <c r="C5606" s="733" t="s">
        <v>5641</v>
      </c>
      <c r="D5606" s="733"/>
      <c r="E5606" s="733"/>
      <c r="G5606" s="733"/>
      <c r="H5606" s="733"/>
      <c r="I5606" s="733"/>
      <c r="J5606" s="733"/>
      <c r="K5606" s="733"/>
      <c r="L5606" s="733"/>
      <c r="M5606" s="733"/>
    </row>
    <row r="5607" spans="1:13" x14ac:dyDescent="0.3">
      <c r="A5607" s="733" t="s">
        <v>5620</v>
      </c>
      <c r="B5607" s="733" t="s">
        <v>612</v>
      </c>
      <c r="C5607" s="733" t="s">
        <v>5642</v>
      </c>
      <c r="D5607" s="733"/>
      <c r="E5607" s="733"/>
      <c r="G5607" s="733"/>
      <c r="H5607" s="733"/>
      <c r="I5607" s="733"/>
      <c r="J5607" s="733"/>
      <c r="K5607" s="733"/>
      <c r="L5607" s="733"/>
      <c r="M5607" s="733"/>
    </row>
    <row r="5608" spans="1:13" x14ac:dyDescent="0.3">
      <c r="A5608" s="733" t="s">
        <v>5620</v>
      </c>
      <c r="B5608" s="733" t="s">
        <v>612</v>
      </c>
      <c r="C5608" s="733" t="s">
        <v>5643</v>
      </c>
      <c r="D5608" s="733"/>
      <c r="E5608" s="733"/>
      <c r="G5608" s="733"/>
      <c r="H5608" s="733"/>
      <c r="I5608" s="733"/>
      <c r="J5608" s="733"/>
      <c r="K5608" s="733"/>
      <c r="L5608" s="733"/>
      <c r="M5608" s="733"/>
    </row>
    <row r="5609" spans="1:13" x14ac:dyDescent="0.3">
      <c r="A5609" s="733" t="s">
        <v>5620</v>
      </c>
      <c r="B5609" s="733" t="s">
        <v>612</v>
      </c>
      <c r="C5609" s="733" t="s">
        <v>5644</v>
      </c>
      <c r="D5609" s="733"/>
      <c r="E5609" s="733"/>
      <c r="G5609" s="733"/>
      <c r="H5609" s="733"/>
      <c r="I5609" s="733"/>
      <c r="J5609" s="733"/>
      <c r="K5609" s="733"/>
      <c r="L5609" s="733"/>
      <c r="M5609" s="733"/>
    </row>
    <row r="5610" spans="1:13" x14ac:dyDescent="0.3">
      <c r="A5610" s="733" t="s">
        <v>5620</v>
      </c>
      <c r="B5610" s="733" t="s">
        <v>612</v>
      </c>
      <c r="C5610" s="733" t="s">
        <v>5645</v>
      </c>
      <c r="D5610" s="733"/>
      <c r="E5610" s="733"/>
      <c r="G5610" s="733"/>
      <c r="H5610" s="733"/>
      <c r="I5610" s="733"/>
      <c r="J5610" s="733"/>
      <c r="K5610" s="733"/>
      <c r="L5610" s="733"/>
      <c r="M5610" s="733"/>
    </row>
    <row r="5611" spans="1:13" x14ac:dyDescent="0.3">
      <c r="A5611" s="733" t="s">
        <v>5620</v>
      </c>
      <c r="B5611" s="733" t="s">
        <v>612</v>
      </c>
      <c r="C5611" s="733" t="s">
        <v>5646</v>
      </c>
      <c r="D5611" s="733"/>
      <c r="E5611" s="733"/>
      <c r="G5611" s="733"/>
      <c r="H5611" s="733"/>
      <c r="I5611" s="733"/>
      <c r="J5611" s="733"/>
      <c r="K5611" s="733"/>
      <c r="L5611" s="733"/>
      <c r="M5611" s="733"/>
    </row>
    <row r="5612" spans="1:13" x14ac:dyDescent="0.3">
      <c r="A5612" s="733" t="s">
        <v>5620</v>
      </c>
      <c r="B5612" s="733" t="s">
        <v>612</v>
      </c>
      <c r="C5612" s="733" t="s">
        <v>5647</v>
      </c>
      <c r="D5612" s="733"/>
      <c r="E5612" s="733"/>
      <c r="G5612" s="733"/>
      <c r="H5612" s="733"/>
      <c r="I5612" s="733"/>
      <c r="J5612" s="733"/>
      <c r="K5612" s="733"/>
      <c r="L5612" s="733"/>
      <c r="M5612" s="733"/>
    </row>
    <row r="5613" spans="1:13" x14ac:dyDescent="0.3">
      <c r="A5613" s="733" t="s">
        <v>5620</v>
      </c>
      <c r="B5613" s="733" t="s">
        <v>612</v>
      </c>
      <c r="C5613" s="733" t="s">
        <v>5648</v>
      </c>
      <c r="D5613" s="733"/>
      <c r="E5613" s="733"/>
      <c r="G5613" s="733"/>
      <c r="H5613" s="733"/>
      <c r="I5613" s="733"/>
      <c r="J5613" s="733"/>
      <c r="K5613" s="733"/>
      <c r="L5613" s="733"/>
      <c r="M5613" s="733"/>
    </row>
    <row r="5614" spans="1:13" x14ac:dyDescent="0.3">
      <c r="A5614" s="733" t="s">
        <v>5620</v>
      </c>
      <c r="B5614" s="733" t="s">
        <v>612</v>
      </c>
      <c r="C5614" s="733" t="s">
        <v>5649</v>
      </c>
      <c r="D5614" s="733"/>
      <c r="E5614" s="733"/>
      <c r="G5614" s="733"/>
      <c r="H5614" s="733"/>
      <c r="I5614" s="733"/>
      <c r="J5614" s="733"/>
      <c r="K5614" s="733"/>
      <c r="L5614" s="733"/>
      <c r="M5614" s="733"/>
    </row>
    <row r="5615" spans="1:13" x14ac:dyDescent="0.3">
      <c r="A5615" s="733" t="s">
        <v>5620</v>
      </c>
      <c r="B5615" s="733" t="s">
        <v>612</v>
      </c>
      <c r="C5615" s="733" t="s">
        <v>5650</v>
      </c>
      <c r="D5615" s="733"/>
      <c r="E5615" s="733"/>
      <c r="G5615" s="733"/>
      <c r="H5615" s="733"/>
      <c r="I5615" s="733"/>
      <c r="J5615" s="733"/>
      <c r="K5615" s="733"/>
      <c r="L5615" s="733"/>
      <c r="M5615" s="733"/>
    </row>
    <row r="5616" spans="1:13" x14ac:dyDescent="0.3">
      <c r="A5616" s="733" t="s">
        <v>5651</v>
      </c>
      <c r="B5616" s="733" t="s">
        <v>645</v>
      </c>
      <c r="C5616" s="733" t="s">
        <v>5652</v>
      </c>
      <c r="D5616" s="733"/>
      <c r="E5616" s="733"/>
      <c r="G5616" s="733"/>
      <c r="H5616" s="733"/>
      <c r="I5616" s="733"/>
      <c r="J5616" s="733"/>
      <c r="K5616" s="733"/>
      <c r="L5616" s="733"/>
      <c r="M5616" s="733"/>
    </row>
    <row r="5617" spans="1:13" x14ac:dyDescent="0.3">
      <c r="A5617" s="733" t="s">
        <v>5651</v>
      </c>
      <c r="B5617" s="733" t="s">
        <v>645</v>
      </c>
      <c r="C5617" s="733" t="s">
        <v>5653</v>
      </c>
      <c r="D5617" s="733"/>
      <c r="E5617" s="733"/>
      <c r="G5617" s="733"/>
      <c r="H5617" s="733"/>
      <c r="I5617" s="733"/>
      <c r="J5617" s="733"/>
      <c r="K5617" s="733"/>
      <c r="L5617" s="733"/>
      <c r="M5617" s="733"/>
    </row>
    <row r="5618" spans="1:13" x14ac:dyDescent="0.3">
      <c r="A5618" s="733" t="s">
        <v>5651</v>
      </c>
      <c r="B5618" s="733" t="s">
        <v>645</v>
      </c>
      <c r="C5618" s="733" t="s">
        <v>5654</v>
      </c>
      <c r="D5618" s="733"/>
      <c r="E5618" s="733"/>
      <c r="G5618" s="733"/>
      <c r="H5618" s="733"/>
      <c r="I5618" s="733"/>
      <c r="J5618" s="733"/>
      <c r="K5618" s="733"/>
      <c r="L5618" s="733"/>
      <c r="M5618" s="733"/>
    </row>
    <row r="5619" spans="1:13" x14ac:dyDescent="0.3">
      <c r="A5619" s="733" t="s">
        <v>5651</v>
      </c>
      <c r="B5619" s="733" t="s">
        <v>645</v>
      </c>
      <c r="C5619" s="733" t="s">
        <v>5655</v>
      </c>
      <c r="D5619" s="733"/>
      <c r="E5619" s="733"/>
      <c r="G5619" s="733"/>
      <c r="H5619" s="733"/>
      <c r="I5619" s="733"/>
      <c r="J5619" s="733"/>
      <c r="K5619" s="733"/>
      <c r="L5619" s="733"/>
      <c r="M5619" s="733"/>
    </row>
    <row r="5620" spans="1:13" x14ac:dyDescent="0.3">
      <c r="A5620" s="733" t="s">
        <v>5651</v>
      </c>
      <c r="B5620" s="733" t="s">
        <v>645</v>
      </c>
      <c r="C5620" s="733" t="s">
        <v>5656</v>
      </c>
      <c r="D5620" s="733"/>
      <c r="E5620" s="733"/>
      <c r="G5620" s="733"/>
      <c r="H5620" s="733"/>
      <c r="I5620" s="733"/>
      <c r="J5620" s="733"/>
      <c r="K5620" s="733"/>
      <c r="L5620" s="733"/>
      <c r="M5620" s="733"/>
    </row>
    <row r="5621" spans="1:13" x14ac:dyDescent="0.3">
      <c r="A5621" s="733" t="s">
        <v>5651</v>
      </c>
      <c r="B5621" s="733" t="s">
        <v>645</v>
      </c>
      <c r="C5621" s="733" t="s">
        <v>5657</v>
      </c>
      <c r="D5621" s="733"/>
      <c r="E5621" s="733"/>
      <c r="G5621" s="733"/>
      <c r="H5621" s="733"/>
      <c r="I5621" s="733"/>
      <c r="J5621" s="733"/>
      <c r="K5621" s="733"/>
      <c r="L5621" s="733"/>
      <c r="M5621" s="733"/>
    </row>
    <row r="5622" spans="1:13" x14ac:dyDescent="0.3">
      <c r="A5622" s="733" t="s">
        <v>5651</v>
      </c>
      <c r="B5622" s="733" t="s">
        <v>645</v>
      </c>
      <c r="C5622" s="733" t="s">
        <v>5658</v>
      </c>
      <c r="D5622" s="733"/>
      <c r="E5622" s="733"/>
      <c r="G5622" s="733"/>
      <c r="H5622" s="733"/>
      <c r="I5622" s="733"/>
      <c r="J5622" s="733"/>
      <c r="K5622" s="733"/>
      <c r="L5622" s="733"/>
      <c r="M5622" s="733"/>
    </row>
    <row r="5623" spans="1:13" x14ac:dyDescent="0.3">
      <c r="A5623" s="733" t="s">
        <v>5651</v>
      </c>
      <c r="B5623" s="733" t="s">
        <v>645</v>
      </c>
      <c r="C5623" s="733" t="s">
        <v>5659</v>
      </c>
      <c r="D5623" s="733"/>
      <c r="E5623" s="733"/>
      <c r="G5623" s="733"/>
      <c r="H5623" s="733"/>
      <c r="I5623" s="733"/>
      <c r="J5623" s="733"/>
      <c r="K5623" s="733"/>
      <c r="L5623" s="733"/>
      <c r="M5623" s="733"/>
    </row>
    <row r="5624" spans="1:13" x14ac:dyDescent="0.3">
      <c r="A5624" s="733" t="s">
        <v>5651</v>
      </c>
      <c r="B5624" s="733" t="s">
        <v>645</v>
      </c>
      <c r="C5624" s="733" t="s">
        <v>5660</v>
      </c>
      <c r="D5624" s="733"/>
      <c r="E5624" s="733"/>
      <c r="G5624" s="733"/>
      <c r="H5624" s="733"/>
      <c r="I5624" s="733"/>
      <c r="J5624" s="733"/>
      <c r="K5624" s="733"/>
      <c r="L5624" s="733"/>
      <c r="M5624" s="733"/>
    </row>
    <row r="5625" spans="1:13" x14ac:dyDescent="0.3">
      <c r="A5625" s="733" t="s">
        <v>5651</v>
      </c>
      <c r="B5625" s="733" t="s">
        <v>645</v>
      </c>
      <c r="C5625" s="733" t="s">
        <v>5661</v>
      </c>
      <c r="D5625" s="733"/>
      <c r="E5625" s="733"/>
      <c r="G5625" s="733"/>
      <c r="H5625" s="733"/>
      <c r="I5625" s="733"/>
      <c r="J5625" s="733"/>
      <c r="K5625" s="733"/>
      <c r="L5625" s="733"/>
      <c r="M5625" s="733"/>
    </row>
    <row r="5626" spans="1:13" x14ac:dyDescent="0.3">
      <c r="A5626" s="733" t="s">
        <v>5651</v>
      </c>
      <c r="B5626" s="733" t="s">
        <v>664</v>
      </c>
      <c r="C5626" s="733" t="s">
        <v>5662</v>
      </c>
      <c r="D5626" s="733"/>
      <c r="E5626" s="733"/>
      <c r="G5626" s="733"/>
      <c r="H5626" s="733"/>
      <c r="I5626" s="733"/>
      <c r="J5626" s="733"/>
      <c r="K5626" s="733"/>
      <c r="L5626" s="733"/>
      <c r="M5626" s="733"/>
    </row>
    <row r="5627" spans="1:13" x14ac:dyDescent="0.3">
      <c r="A5627" s="733" t="s">
        <v>5651</v>
      </c>
      <c r="B5627" s="733" t="s">
        <v>664</v>
      </c>
      <c r="C5627" s="733" t="s">
        <v>5663</v>
      </c>
      <c r="D5627" s="733"/>
      <c r="E5627" s="733"/>
      <c r="G5627" s="733"/>
      <c r="H5627" s="733"/>
      <c r="I5627" s="733"/>
      <c r="J5627" s="733"/>
      <c r="K5627" s="733"/>
      <c r="L5627" s="733"/>
      <c r="M5627" s="733"/>
    </row>
    <row r="5628" spans="1:13" x14ac:dyDescent="0.3">
      <c r="A5628" s="733" t="s">
        <v>5651</v>
      </c>
      <c r="B5628" s="733" t="s">
        <v>664</v>
      </c>
      <c r="C5628" s="733" t="s">
        <v>5664</v>
      </c>
      <c r="D5628" s="733"/>
      <c r="E5628" s="733"/>
      <c r="G5628" s="733"/>
      <c r="H5628" s="733"/>
      <c r="I5628" s="733"/>
      <c r="J5628" s="733"/>
      <c r="K5628" s="733"/>
      <c r="L5628" s="733"/>
      <c r="M5628" s="733"/>
    </row>
    <row r="5629" spans="1:13" x14ac:dyDescent="0.3">
      <c r="A5629" s="733" t="s">
        <v>5651</v>
      </c>
      <c r="B5629" s="733" t="s">
        <v>664</v>
      </c>
      <c r="C5629" s="733" t="s">
        <v>5665</v>
      </c>
      <c r="D5629" s="733"/>
      <c r="E5629" s="733"/>
      <c r="G5629" s="733"/>
      <c r="H5629" s="733"/>
      <c r="I5629" s="733"/>
      <c r="J5629" s="733"/>
      <c r="K5629" s="733"/>
      <c r="L5629" s="733"/>
      <c r="M5629" s="733"/>
    </row>
    <row r="5630" spans="1:13" x14ac:dyDescent="0.3">
      <c r="A5630" s="733" t="s">
        <v>5651</v>
      </c>
      <c r="B5630" s="733" t="s">
        <v>664</v>
      </c>
      <c r="C5630" s="733" t="s">
        <v>5666</v>
      </c>
      <c r="D5630" s="733"/>
      <c r="E5630" s="733"/>
      <c r="G5630" s="733"/>
      <c r="H5630" s="733"/>
      <c r="I5630" s="733"/>
      <c r="J5630" s="733"/>
      <c r="K5630" s="733"/>
      <c r="L5630" s="733"/>
      <c r="M5630" s="733"/>
    </row>
    <row r="5631" spans="1:13" x14ac:dyDescent="0.3">
      <c r="A5631" s="733" t="s">
        <v>5651</v>
      </c>
      <c r="B5631" s="733" t="s">
        <v>664</v>
      </c>
      <c r="C5631" s="733" t="s">
        <v>5667</v>
      </c>
      <c r="D5631" s="733"/>
      <c r="E5631" s="733"/>
      <c r="G5631" s="733"/>
      <c r="H5631" s="733"/>
      <c r="I5631" s="733"/>
      <c r="J5631" s="733"/>
      <c r="K5631" s="733"/>
      <c r="L5631" s="733"/>
      <c r="M5631" s="733"/>
    </row>
    <row r="5632" spans="1:13" x14ac:dyDescent="0.3">
      <c r="A5632" s="733" t="s">
        <v>5651</v>
      </c>
      <c r="B5632" s="733" t="s">
        <v>664</v>
      </c>
      <c r="C5632" s="733" t="s">
        <v>5668</v>
      </c>
      <c r="D5632" s="733"/>
      <c r="E5632" s="733"/>
      <c r="G5632" s="733"/>
      <c r="H5632" s="733"/>
      <c r="I5632" s="733"/>
      <c r="J5632" s="733"/>
      <c r="K5632" s="733"/>
      <c r="L5632" s="733"/>
      <c r="M5632" s="733"/>
    </row>
    <row r="5633" spans="1:13" x14ac:dyDescent="0.3">
      <c r="A5633" s="733" t="s">
        <v>5651</v>
      </c>
      <c r="B5633" s="733" t="s">
        <v>664</v>
      </c>
      <c r="C5633" s="733" t="s">
        <v>5669</v>
      </c>
      <c r="D5633" s="733"/>
      <c r="E5633" s="733"/>
      <c r="G5633" s="733"/>
      <c r="H5633" s="733"/>
      <c r="I5633" s="733"/>
      <c r="J5633" s="733"/>
      <c r="K5633" s="733"/>
      <c r="L5633" s="733"/>
      <c r="M5633" s="733"/>
    </row>
    <row r="5634" spans="1:13" x14ac:dyDescent="0.3">
      <c r="A5634" s="733" t="s">
        <v>5651</v>
      </c>
      <c r="B5634" s="733" t="s">
        <v>664</v>
      </c>
      <c r="C5634" s="733" t="s">
        <v>5670</v>
      </c>
      <c r="D5634" s="733"/>
      <c r="E5634" s="733"/>
      <c r="G5634" s="733"/>
      <c r="H5634" s="733"/>
      <c r="I5634" s="733"/>
      <c r="J5634" s="733"/>
      <c r="K5634" s="733"/>
      <c r="L5634" s="733"/>
      <c r="M5634" s="733"/>
    </row>
    <row r="5635" spans="1:13" x14ac:dyDescent="0.3">
      <c r="A5635" s="733" t="s">
        <v>5651</v>
      </c>
      <c r="B5635" s="733" t="s">
        <v>664</v>
      </c>
      <c r="C5635" s="733" t="s">
        <v>5671</v>
      </c>
      <c r="D5635" s="733"/>
      <c r="E5635" s="733"/>
      <c r="G5635" s="733"/>
      <c r="H5635" s="733"/>
      <c r="I5635" s="733"/>
      <c r="J5635" s="733"/>
      <c r="K5635" s="733"/>
      <c r="L5635" s="733"/>
      <c r="M5635" s="733"/>
    </row>
    <row r="5636" spans="1:13" x14ac:dyDescent="0.3">
      <c r="A5636" s="733" t="s">
        <v>5651</v>
      </c>
      <c r="B5636" s="733" t="s">
        <v>612</v>
      </c>
      <c r="C5636" s="733" t="s">
        <v>5672</v>
      </c>
      <c r="D5636" s="733"/>
      <c r="E5636" s="733"/>
      <c r="G5636" s="733"/>
      <c r="H5636" s="733"/>
      <c r="I5636" s="733"/>
      <c r="J5636" s="733"/>
      <c r="K5636" s="733"/>
      <c r="L5636" s="733"/>
      <c r="M5636" s="733"/>
    </row>
    <row r="5637" spans="1:13" x14ac:dyDescent="0.3">
      <c r="A5637" s="733" t="s">
        <v>5651</v>
      </c>
      <c r="B5637" s="733" t="s">
        <v>612</v>
      </c>
      <c r="C5637" s="733" t="s">
        <v>5673</v>
      </c>
      <c r="D5637" s="733"/>
      <c r="E5637" s="733"/>
      <c r="G5637" s="733"/>
      <c r="H5637" s="733"/>
      <c r="I5637" s="733"/>
      <c r="J5637" s="733"/>
      <c r="K5637" s="733"/>
      <c r="L5637" s="733"/>
      <c r="M5637" s="733"/>
    </row>
    <row r="5638" spans="1:13" x14ac:dyDescent="0.3">
      <c r="A5638" s="733" t="s">
        <v>5651</v>
      </c>
      <c r="B5638" s="733" t="s">
        <v>612</v>
      </c>
      <c r="C5638" s="733" t="s">
        <v>5674</v>
      </c>
      <c r="D5638" s="733"/>
      <c r="E5638" s="733"/>
      <c r="G5638" s="733"/>
      <c r="H5638" s="733"/>
      <c r="I5638" s="733"/>
      <c r="J5638" s="733"/>
      <c r="K5638" s="733"/>
      <c r="L5638" s="733"/>
      <c r="M5638" s="733"/>
    </row>
    <row r="5639" spans="1:13" x14ac:dyDescent="0.3">
      <c r="A5639" s="733" t="s">
        <v>5651</v>
      </c>
      <c r="B5639" s="733" t="s">
        <v>612</v>
      </c>
      <c r="C5639" s="733" t="s">
        <v>5675</v>
      </c>
      <c r="D5639" s="733"/>
      <c r="E5639" s="733"/>
      <c r="G5639" s="733"/>
      <c r="H5639" s="733"/>
      <c r="I5639" s="733"/>
      <c r="J5639" s="733"/>
      <c r="K5639" s="733"/>
      <c r="L5639" s="733"/>
      <c r="M5639" s="733"/>
    </row>
    <row r="5640" spans="1:13" x14ac:dyDescent="0.3">
      <c r="A5640" s="733" t="s">
        <v>5651</v>
      </c>
      <c r="B5640" s="733" t="s">
        <v>612</v>
      </c>
      <c r="C5640" s="733" t="s">
        <v>5676</v>
      </c>
      <c r="D5640" s="733"/>
      <c r="E5640" s="733"/>
      <c r="G5640" s="733"/>
      <c r="H5640" s="733"/>
      <c r="I5640" s="733"/>
      <c r="J5640" s="733"/>
      <c r="K5640" s="733"/>
      <c r="L5640" s="733"/>
      <c r="M5640" s="733"/>
    </row>
    <row r="5641" spans="1:13" x14ac:dyDescent="0.3">
      <c r="A5641" s="733" t="s">
        <v>5651</v>
      </c>
      <c r="B5641" s="733" t="s">
        <v>612</v>
      </c>
      <c r="C5641" s="733" t="s">
        <v>5677</v>
      </c>
      <c r="D5641" s="733"/>
      <c r="E5641" s="733"/>
      <c r="G5641" s="733"/>
      <c r="H5641" s="733"/>
      <c r="I5641" s="733"/>
      <c r="J5641" s="733"/>
      <c r="K5641" s="733"/>
      <c r="L5641" s="733"/>
      <c r="M5641" s="733"/>
    </row>
    <row r="5642" spans="1:13" x14ac:dyDescent="0.3">
      <c r="A5642" s="733" t="s">
        <v>5651</v>
      </c>
      <c r="B5642" s="733" t="s">
        <v>612</v>
      </c>
      <c r="C5642" s="733" t="s">
        <v>5678</v>
      </c>
      <c r="D5642" s="733"/>
      <c r="E5642" s="733"/>
      <c r="G5642" s="733"/>
      <c r="H5642" s="733"/>
      <c r="I5642" s="733"/>
      <c r="J5642" s="733"/>
      <c r="K5642" s="733"/>
      <c r="L5642" s="733"/>
      <c r="M5642" s="733"/>
    </row>
    <row r="5643" spans="1:13" x14ac:dyDescent="0.3">
      <c r="A5643" s="733" t="s">
        <v>5651</v>
      </c>
      <c r="B5643" s="733" t="s">
        <v>612</v>
      </c>
      <c r="C5643" s="733" t="s">
        <v>5679</v>
      </c>
      <c r="D5643" s="733"/>
      <c r="E5643" s="733"/>
      <c r="G5643" s="733"/>
      <c r="H5643" s="733"/>
      <c r="I5643" s="733"/>
      <c r="J5643" s="733"/>
      <c r="K5643" s="733"/>
      <c r="L5643" s="733"/>
      <c r="M5643" s="733"/>
    </row>
    <row r="5644" spans="1:13" x14ac:dyDescent="0.3">
      <c r="A5644" s="733" t="s">
        <v>5651</v>
      </c>
      <c r="B5644" s="733" t="s">
        <v>612</v>
      </c>
      <c r="C5644" s="733" t="s">
        <v>5680</v>
      </c>
      <c r="D5644" s="733"/>
      <c r="E5644" s="733"/>
      <c r="G5644" s="733"/>
      <c r="H5644" s="733"/>
      <c r="I5644" s="733"/>
      <c r="J5644" s="733"/>
      <c r="K5644" s="733"/>
      <c r="L5644" s="733"/>
      <c r="M5644" s="733"/>
    </row>
    <row r="5645" spans="1:13" x14ac:dyDescent="0.3">
      <c r="A5645" s="733" t="s">
        <v>5651</v>
      </c>
      <c r="B5645" s="733" t="s">
        <v>612</v>
      </c>
      <c r="C5645" s="733" t="s">
        <v>5681</v>
      </c>
      <c r="D5645" s="733"/>
      <c r="E5645" s="733"/>
      <c r="G5645" s="733"/>
      <c r="H5645" s="733"/>
      <c r="I5645" s="733"/>
      <c r="J5645" s="733"/>
      <c r="K5645" s="733"/>
      <c r="L5645" s="733"/>
      <c r="M5645" s="733"/>
    </row>
    <row r="5646" spans="1:13" x14ac:dyDescent="0.3">
      <c r="A5646" s="733" t="s">
        <v>5682</v>
      </c>
      <c r="B5646" s="733" t="s">
        <v>645</v>
      </c>
      <c r="C5646" s="733" t="s">
        <v>5683</v>
      </c>
      <c r="D5646" s="733"/>
      <c r="E5646" s="733"/>
      <c r="G5646" s="733"/>
      <c r="H5646" s="733"/>
      <c r="I5646" s="733"/>
      <c r="J5646" s="733"/>
      <c r="K5646" s="733"/>
      <c r="L5646" s="733"/>
      <c r="M5646" s="733"/>
    </row>
    <row r="5647" spans="1:13" x14ac:dyDescent="0.3">
      <c r="A5647" s="733" t="s">
        <v>5682</v>
      </c>
      <c r="B5647" s="733" t="s">
        <v>645</v>
      </c>
      <c r="C5647" s="733" t="s">
        <v>5684</v>
      </c>
      <c r="D5647" s="733"/>
      <c r="E5647" s="733"/>
      <c r="G5647" s="733"/>
      <c r="H5647" s="733"/>
      <c r="I5647" s="733"/>
      <c r="J5647" s="733"/>
      <c r="K5647" s="733"/>
      <c r="L5647" s="733"/>
      <c r="M5647" s="733"/>
    </row>
    <row r="5648" spans="1:13" x14ac:dyDescent="0.3">
      <c r="A5648" s="733" t="s">
        <v>5682</v>
      </c>
      <c r="B5648" s="733" t="s">
        <v>645</v>
      </c>
      <c r="C5648" s="733" t="s">
        <v>5685</v>
      </c>
      <c r="D5648" s="733"/>
      <c r="E5648" s="733"/>
      <c r="G5648" s="733"/>
      <c r="H5648" s="733"/>
      <c r="I5648" s="733"/>
      <c r="J5648" s="733"/>
      <c r="K5648" s="733"/>
      <c r="L5648" s="733"/>
      <c r="M5648" s="733"/>
    </row>
    <row r="5649" spans="1:13" x14ac:dyDescent="0.3">
      <c r="A5649" s="733" t="s">
        <v>5682</v>
      </c>
      <c r="B5649" s="733" t="s">
        <v>645</v>
      </c>
      <c r="C5649" s="733" t="s">
        <v>5686</v>
      </c>
      <c r="D5649" s="733"/>
      <c r="E5649" s="733"/>
      <c r="G5649" s="733"/>
      <c r="H5649" s="733"/>
      <c r="I5649" s="733"/>
      <c r="J5649" s="733"/>
      <c r="K5649" s="733"/>
      <c r="L5649" s="733"/>
      <c r="M5649" s="733"/>
    </row>
    <row r="5650" spans="1:13" x14ac:dyDescent="0.3">
      <c r="A5650" s="733" t="s">
        <v>5682</v>
      </c>
      <c r="B5650" s="733" t="s">
        <v>645</v>
      </c>
      <c r="C5650" s="733" t="s">
        <v>5687</v>
      </c>
      <c r="D5650" s="733"/>
      <c r="E5650" s="733"/>
      <c r="G5650" s="733"/>
      <c r="H5650" s="733"/>
      <c r="I5650" s="733"/>
      <c r="J5650" s="733"/>
      <c r="K5650" s="733"/>
      <c r="L5650" s="733"/>
      <c r="M5650" s="733"/>
    </row>
    <row r="5651" spans="1:13" x14ac:dyDescent="0.3">
      <c r="A5651" s="733" t="s">
        <v>5682</v>
      </c>
      <c r="B5651" s="733" t="s">
        <v>645</v>
      </c>
      <c r="C5651" s="733" t="s">
        <v>5688</v>
      </c>
      <c r="D5651" s="733"/>
      <c r="E5651" s="733"/>
      <c r="G5651" s="733"/>
      <c r="H5651" s="733"/>
      <c r="I5651" s="733"/>
      <c r="J5651" s="733"/>
      <c r="K5651" s="733"/>
      <c r="L5651" s="733"/>
      <c r="M5651" s="733"/>
    </row>
    <row r="5652" spans="1:13" x14ac:dyDescent="0.3">
      <c r="A5652" s="733" t="s">
        <v>5682</v>
      </c>
      <c r="B5652" s="733" t="s">
        <v>645</v>
      </c>
      <c r="C5652" s="733" t="s">
        <v>5689</v>
      </c>
      <c r="D5652" s="733"/>
      <c r="E5652" s="733"/>
      <c r="G5652" s="733"/>
      <c r="H5652" s="733"/>
      <c r="I5652" s="733"/>
      <c r="J5652" s="733"/>
      <c r="K5652" s="733"/>
      <c r="L5652" s="733"/>
      <c r="M5652" s="733"/>
    </row>
    <row r="5653" spans="1:13" x14ac:dyDescent="0.3">
      <c r="A5653" s="733" t="s">
        <v>5682</v>
      </c>
      <c r="B5653" s="733" t="s">
        <v>645</v>
      </c>
      <c r="C5653" s="733" t="s">
        <v>5690</v>
      </c>
      <c r="D5653" s="733"/>
      <c r="E5653" s="733"/>
      <c r="G5653" s="733"/>
      <c r="H5653" s="733"/>
      <c r="I5653" s="733"/>
      <c r="J5653" s="733"/>
      <c r="K5653" s="733"/>
      <c r="L5653" s="733"/>
      <c r="M5653" s="733"/>
    </row>
    <row r="5654" spans="1:13" x14ac:dyDescent="0.3">
      <c r="A5654" s="733" t="s">
        <v>5682</v>
      </c>
      <c r="B5654" s="733" t="s">
        <v>645</v>
      </c>
      <c r="C5654" s="733" t="s">
        <v>5691</v>
      </c>
      <c r="D5654" s="733"/>
      <c r="E5654" s="733"/>
      <c r="G5654" s="733"/>
      <c r="H5654" s="733"/>
      <c r="I5654" s="733"/>
      <c r="J5654" s="733"/>
      <c r="K5654" s="733"/>
      <c r="L5654" s="733"/>
      <c r="M5654" s="733"/>
    </row>
    <row r="5655" spans="1:13" x14ac:dyDescent="0.3">
      <c r="A5655" s="733" t="s">
        <v>5682</v>
      </c>
      <c r="B5655" s="733" t="s">
        <v>645</v>
      </c>
      <c r="C5655" s="733" t="s">
        <v>5692</v>
      </c>
      <c r="D5655" s="733"/>
      <c r="E5655" s="733"/>
      <c r="G5655" s="733"/>
      <c r="H5655" s="733"/>
      <c r="I5655" s="733"/>
      <c r="J5655" s="733"/>
      <c r="K5655" s="733"/>
      <c r="L5655" s="733"/>
      <c r="M5655" s="733"/>
    </row>
    <row r="5656" spans="1:13" x14ac:dyDescent="0.3">
      <c r="A5656" s="733" t="s">
        <v>5682</v>
      </c>
      <c r="B5656" s="733" t="s">
        <v>664</v>
      </c>
      <c r="C5656" s="733" t="s">
        <v>5693</v>
      </c>
      <c r="D5656" s="733"/>
      <c r="E5656" s="733"/>
      <c r="G5656" s="733"/>
      <c r="H5656" s="733"/>
      <c r="I5656" s="733"/>
      <c r="J5656" s="733"/>
      <c r="K5656" s="733"/>
      <c r="L5656" s="733"/>
      <c r="M5656" s="733"/>
    </row>
    <row r="5657" spans="1:13" x14ac:dyDescent="0.3">
      <c r="A5657" s="733" t="s">
        <v>5682</v>
      </c>
      <c r="B5657" s="733" t="s">
        <v>664</v>
      </c>
      <c r="C5657" s="733" t="s">
        <v>5694</v>
      </c>
      <c r="D5657" s="733"/>
      <c r="E5657" s="733"/>
      <c r="G5657" s="733"/>
      <c r="H5657" s="733"/>
      <c r="I5657" s="733"/>
      <c r="J5657" s="733"/>
      <c r="K5657" s="733"/>
      <c r="L5657" s="733"/>
      <c r="M5657" s="733"/>
    </row>
    <row r="5658" spans="1:13" x14ac:dyDescent="0.3">
      <c r="A5658" s="733" t="s">
        <v>5682</v>
      </c>
      <c r="B5658" s="733" t="s">
        <v>664</v>
      </c>
      <c r="C5658" s="733" t="s">
        <v>5695</v>
      </c>
      <c r="D5658" s="733"/>
      <c r="E5658" s="733"/>
      <c r="G5658" s="733"/>
      <c r="H5658" s="733"/>
      <c r="I5658" s="733"/>
      <c r="J5658" s="733"/>
      <c r="K5658" s="733"/>
      <c r="L5658" s="733"/>
      <c r="M5658" s="733"/>
    </row>
    <row r="5659" spans="1:13" x14ac:dyDescent="0.3">
      <c r="A5659" s="733" t="s">
        <v>5682</v>
      </c>
      <c r="B5659" s="733" t="s">
        <v>664</v>
      </c>
      <c r="C5659" s="733" t="s">
        <v>5696</v>
      </c>
      <c r="D5659" s="733"/>
      <c r="E5659" s="733"/>
      <c r="G5659" s="733"/>
      <c r="H5659" s="733"/>
      <c r="I5659" s="733"/>
      <c r="J5659" s="733"/>
      <c r="K5659" s="733"/>
      <c r="L5659" s="733"/>
      <c r="M5659" s="733"/>
    </row>
    <row r="5660" spans="1:13" x14ac:dyDescent="0.3">
      <c r="A5660" s="733" t="s">
        <v>5682</v>
      </c>
      <c r="B5660" s="733" t="s">
        <v>664</v>
      </c>
      <c r="C5660" s="733" t="s">
        <v>5697</v>
      </c>
      <c r="D5660" s="733"/>
      <c r="E5660" s="733"/>
      <c r="G5660" s="733"/>
      <c r="H5660" s="733"/>
      <c r="I5660" s="733"/>
      <c r="J5660" s="733"/>
      <c r="K5660" s="733"/>
      <c r="L5660" s="733"/>
      <c r="M5660" s="733"/>
    </row>
    <row r="5661" spans="1:13" x14ac:dyDescent="0.3">
      <c r="A5661" s="733" t="s">
        <v>5682</v>
      </c>
      <c r="B5661" s="733" t="s">
        <v>664</v>
      </c>
      <c r="C5661" s="733" t="s">
        <v>5698</v>
      </c>
      <c r="D5661" s="733"/>
      <c r="E5661" s="733"/>
      <c r="G5661" s="733"/>
      <c r="H5661" s="733"/>
      <c r="I5661" s="733"/>
      <c r="J5661" s="733"/>
      <c r="K5661" s="733"/>
      <c r="L5661" s="733"/>
      <c r="M5661" s="733"/>
    </row>
    <row r="5662" spans="1:13" x14ac:dyDescent="0.3">
      <c r="A5662" s="733" t="s">
        <v>5682</v>
      </c>
      <c r="B5662" s="733" t="s">
        <v>664</v>
      </c>
      <c r="C5662" s="733" t="s">
        <v>5699</v>
      </c>
      <c r="D5662" s="733"/>
      <c r="E5662" s="733"/>
      <c r="G5662" s="733"/>
      <c r="H5662" s="733"/>
      <c r="I5662" s="733"/>
      <c r="J5662" s="733"/>
      <c r="K5662" s="733"/>
      <c r="L5662" s="733"/>
      <c r="M5662" s="733"/>
    </row>
    <row r="5663" spans="1:13" x14ac:dyDescent="0.3">
      <c r="A5663" s="733" t="s">
        <v>5682</v>
      </c>
      <c r="B5663" s="733" t="s">
        <v>664</v>
      </c>
      <c r="C5663" s="733" t="s">
        <v>5700</v>
      </c>
      <c r="D5663" s="733"/>
      <c r="E5663" s="733"/>
      <c r="G5663" s="733"/>
      <c r="H5663" s="733"/>
      <c r="I5663" s="733"/>
      <c r="J5663" s="733"/>
      <c r="K5663" s="733"/>
      <c r="L5663" s="733"/>
      <c r="M5663" s="733"/>
    </row>
    <row r="5664" spans="1:13" x14ac:dyDescent="0.3">
      <c r="A5664" s="733" t="s">
        <v>5682</v>
      </c>
      <c r="B5664" s="733" t="s">
        <v>664</v>
      </c>
      <c r="C5664" s="733" t="s">
        <v>5701</v>
      </c>
      <c r="D5664" s="733"/>
      <c r="E5664" s="733"/>
      <c r="G5664" s="733"/>
      <c r="H5664" s="733"/>
      <c r="I5664" s="733"/>
      <c r="J5664" s="733"/>
      <c r="K5664" s="733"/>
      <c r="L5664" s="733"/>
      <c r="M5664" s="733"/>
    </row>
    <row r="5665" spans="1:13" x14ac:dyDescent="0.3">
      <c r="A5665" s="733" t="s">
        <v>5682</v>
      </c>
      <c r="B5665" s="733" t="s">
        <v>664</v>
      </c>
      <c r="C5665" s="733" t="s">
        <v>5702</v>
      </c>
      <c r="D5665" s="733"/>
      <c r="E5665" s="733"/>
      <c r="G5665" s="733"/>
      <c r="H5665" s="733"/>
      <c r="I5665" s="733"/>
      <c r="J5665" s="733"/>
      <c r="K5665" s="733"/>
      <c r="L5665" s="733"/>
      <c r="M5665" s="733"/>
    </row>
    <row r="5666" spans="1:13" x14ac:dyDescent="0.3">
      <c r="A5666" s="733" t="s">
        <v>5682</v>
      </c>
      <c r="B5666" s="733" t="s">
        <v>612</v>
      </c>
      <c r="C5666" s="738" t="s">
        <v>5703</v>
      </c>
      <c r="D5666" s="733"/>
      <c r="E5666" s="733"/>
      <c r="G5666" s="733"/>
      <c r="H5666" s="733"/>
      <c r="I5666" s="733"/>
      <c r="J5666" s="733"/>
      <c r="K5666" s="733"/>
      <c r="L5666" s="733"/>
      <c r="M5666" s="733"/>
    </row>
    <row r="5667" spans="1:13" x14ac:dyDescent="0.3">
      <c r="A5667" s="733" t="s">
        <v>5682</v>
      </c>
      <c r="B5667" s="733" t="s">
        <v>612</v>
      </c>
      <c r="C5667" s="738" t="s">
        <v>5704</v>
      </c>
      <c r="D5667" s="733"/>
      <c r="E5667" s="733"/>
      <c r="G5667" s="733"/>
      <c r="H5667" s="733"/>
      <c r="I5667" s="733"/>
      <c r="J5667" s="733"/>
      <c r="K5667" s="733"/>
      <c r="L5667" s="733"/>
      <c r="M5667" s="733"/>
    </row>
    <row r="5668" spans="1:13" x14ac:dyDescent="0.3">
      <c r="A5668" s="733" t="s">
        <v>5682</v>
      </c>
      <c r="B5668" s="733" t="s">
        <v>612</v>
      </c>
      <c r="C5668" s="738" t="s">
        <v>5705</v>
      </c>
      <c r="D5668" s="733"/>
      <c r="E5668" s="733"/>
      <c r="G5668" s="733"/>
      <c r="H5668" s="733"/>
      <c r="I5668" s="733"/>
      <c r="J5668" s="733"/>
      <c r="K5668" s="733"/>
      <c r="L5668" s="733"/>
      <c r="M5668" s="733"/>
    </row>
    <row r="5669" spans="1:13" x14ac:dyDescent="0.3">
      <c r="A5669" s="733" t="s">
        <v>5682</v>
      </c>
      <c r="B5669" s="733" t="s">
        <v>612</v>
      </c>
      <c r="C5669" s="738" t="s">
        <v>5706</v>
      </c>
      <c r="D5669" s="733"/>
      <c r="E5669" s="733"/>
      <c r="G5669" s="733"/>
      <c r="H5669" s="733"/>
      <c r="I5669" s="733"/>
      <c r="J5669" s="733"/>
      <c r="K5669" s="733"/>
      <c r="L5669" s="733"/>
      <c r="M5669" s="733"/>
    </row>
    <row r="5670" spans="1:13" x14ac:dyDescent="0.3">
      <c r="A5670" s="733" t="s">
        <v>5682</v>
      </c>
      <c r="B5670" s="733" t="s">
        <v>612</v>
      </c>
      <c r="C5670" s="738" t="s">
        <v>5707</v>
      </c>
      <c r="D5670" s="733"/>
      <c r="E5670" s="733"/>
      <c r="G5670" s="733"/>
      <c r="H5670" s="733"/>
      <c r="I5670" s="733"/>
      <c r="J5670" s="733"/>
      <c r="K5670" s="733"/>
      <c r="L5670" s="733"/>
      <c r="M5670" s="733"/>
    </row>
    <row r="5671" spans="1:13" x14ac:dyDescent="0.3">
      <c r="A5671" s="733" t="s">
        <v>5682</v>
      </c>
      <c r="B5671" s="733" t="s">
        <v>612</v>
      </c>
      <c r="C5671" s="738" t="s">
        <v>5708</v>
      </c>
      <c r="D5671" s="733"/>
      <c r="E5671" s="733"/>
      <c r="G5671" s="733"/>
      <c r="H5671" s="733"/>
      <c r="I5671" s="733"/>
      <c r="J5671" s="733"/>
      <c r="K5671" s="733"/>
      <c r="L5671" s="733"/>
      <c r="M5671" s="733"/>
    </row>
    <row r="5672" spans="1:13" x14ac:dyDescent="0.3">
      <c r="A5672" s="733" t="s">
        <v>5682</v>
      </c>
      <c r="B5672" s="733" t="s">
        <v>612</v>
      </c>
      <c r="C5672" s="738" t="s">
        <v>5709</v>
      </c>
      <c r="D5672" s="733"/>
      <c r="E5672" s="733"/>
      <c r="G5672" s="733"/>
      <c r="H5672" s="733"/>
      <c r="I5672" s="733"/>
      <c r="J5672" s="733"/>
      <c r="K5672" s="733"/>
      <c r="L5672" s="733"/>
      <c r="M5672" s="733"/>
    </row>
    <row r="5673" spans="1:13" x14ac:dyDescent="0.3">
      <c r="A5673" s="733" t="s">
        <v>5682</v>
      </c>
      <c r="B5673" s="733" t="s">
        <v>612</v>
      </c>
      <c r="C5673" s="738" t="s">
        <v>5710</v>
      </c>
      <c r="D5673" s="733"/>
      <c r="E5673" s="733"/>
      <c r="G5673" s="733"/>
      <c r="H5673" s="733"/>
      <c r="I5673" s="733"/>
      <c r="J5673" s="733"/>
      <c r="K5673" s="733"/>
      <c r="L5673" s="733"/>
      <c r="M5673" s="733"/>
    </row>
    <row r="5674" spans="1:13" x14ac:dyDescent="0.3">
      <c r="A5674" s="733" t="s">
        <v>5682</v>
      </c>
      <c r="B5674" s="733" t="s">
        <v>612</v>
      </c>
      <c r="C5674" s="738" t="s">
        <v>5711</v>
      </c>
      <c r="D5674" s="733"/>
      <c r="E5674" s="733"/>
      <c r="G5674" s="733"/>
      <c r="H5674" s="733"/>
      <c r="I5674" s="733"/>
      <c r="J5674" s="733"/>
      <c r="K5674" s="733"/>
      <c r="L5674" s="733"/>
      <c r="M5674" s="733"/>
    </row>
    <row r="5675" spans="1:13" x14ac:dyDescent="0.3">
      <c r="A5675" s="733" t="s">
        <v>5682</v>
      </c>
      <c r="B5675" s="733" t="s">
        <v>612</v>
      </c>
      <c r="C5675" s="738" t="s">
        <v>5712</v>
      </c>
      <c r="D5675" s="733"/>
      <c r="E5675" s="733"/>
      <c r="G5675" s="733"/>
      <c r="H5675" s="733"/>
      <c r="I5675" s="733"/>
      <c r="J5675" s="733"/>
      <c r="K5675" s="733"/>
      <c r="L5675" s="733"/>
      <c r="M5675" s="733"/>
    </row>
    <row r="5676" spans="1:13" x14ac:dyDescent="0.3">
      <c r="A5676" s="733" t="s">
        <v>5713</v>
      </c>
      <c r="B5676" s="733" t="s">
        <v>645</v>
      </c>
      <c r="C5676" s="733" t="s">
        <v>5714</v>
      </c>
      <c r="D5676" s="733"/>
      <c r="E5676" s="733"/>
      <c r="G5676" s="733"/>
      <c r="H5676" s="733"/>
      <c r="I5676" s="733"/>
      <c r="J5676" s="733"/>
      <c r="K5676" s="733"/>
      <c r="L5676" s="733"/>
      <c r="M5676" s="733"/>
    </row>
    <row r="5677" spans="1:13" x14ac:dyDescent="0.3">
      <c r="A5677" s="733" t="s">
        <v>5713</v>
      </c>
      <c r="B5677" s="733" t="s">
        <v>645</v>
      </c>
      <c r="C5677" s="733" t="s">
        <v>5715</v>
      </c>
      <c r="D5677" s="733"/>
      <c r="E5677" s="733"/>
      <c r="G5677" s="733"/>
      <c r="H5677" s="733"/>
      <c r="I5677" s="733"/>
      <c r="J5677" s="733"/>
      <c r="K5677" s="733"/>
      <c r="L5677" s="733"/>
      <c r="M5677" s="733"/>
    </row>
    <row r="5678" spans="1:13" x14ac:dyDescent="0.3">
      <c r="A5678" s="733" t="s">
        <v>5713</v>
      </c>
      <c r="B5678" s="733" t="s">
        <v>645</v>
      </c>
      <c r="C5678" s="733" t="s">
        <v>5716</v>
      </c>
      <c r="D5678" s="733"/>
      <c r="E5678" s="733"/>
      <c r="G5678" s="733"/>
      <c r="H5678" s="733"/>
      <c r="I5678" s="733"/>
      <c r="J5678" s="733"/>
      <c r="K5678" s="733"/>
      <c r="L5678" s="733"/>
      <c r="M5678" s="733"/>
    </row>
    <row r="5679" spans="1:13" x14ac:dyDescent="0.3">
      <c r="A5679" s="733" t="s">
        <v>5713</v>
      </c>
      <c r="B5679" s="733" t="s">
        <v>645</v>
      </c>
      <c r="C5679" s="733" t="s">
        <v>5717</v>
      </c>
      <c r="D5679" s="733"/>
      <c r="E5679" s="733"/>
      <c r="G5679" s="733"/>
      <c r="H5679" s="733"/>
      <c r="I5679" s="733"/>
      <c r="J5679" s="733"/>
      <c r="K5679" s="733"/>
      <c r="L5679" s="733"/>
      <c r="M5679" s="733"/>
    </row>
    <row r="5680" spans="1:13" x14ac:dyDescent="0.3">
      <c r="A5680" s="733" t="s">
        <v>5713</v>
      </c>
      <c r="B5680" s="733" t="s">
        <v>645</v>
      </c>
      <c r="C5680" s="733" t="s">
        <v>5718</v>
      </c>
      <c r="D5680" s="733"/>
      <c r="E5680" s="733"/>
      <c r="G5680" s="733"/>
      <c r="H5680" s="733"/>
      <c r="I5680" s="733"/>
      <c r="J5680" s="733"/>
      <c r="K5680" s="733"/>
      <c r="L5680" s="733"/>
      <c r="M5680" s="733"/>
    </row>
    <row r="5681" spans="1:13" x14ac:dyDescent="0.3">
      <c r="A5681" s="733" t="s">
        <v>5713</v>
      </c>
      <c r="B5681" s="733" t="s">
        <v>664</v>
      </c>
      <c r="C5681" s="733" t="s">
        <v>5719</v>
      </c>
      <c r="D5681" s="733"/>
      <c r="E5681" s="733"/>
      <c r="G5681" s="733"/>
      <c r="H5681" s="733"/>
      <c r="I5681" s="733"/>
      <c r="J5681" s="733"/>
      <c r="K5681" s="733"/>
      <c r="L5681" s="733"/>
      <c r="M5681" s="733"/>
    </row>
    <row r="5682" spans="1:13" x14ac:dyDescent="0.3">
      <c r="A5682" s="733" t="s">
        <v>5713</v>
      </c>
      <c r="B5682" s="733" t="s">
        <v>664</v>
      </c>
      <c r="C5682" s="733" t="s">
        <v>5720</v>
      </c>
      <c r="D5682" s="733"/>
      <c r="E5682" s="733"/>
      <c r="G5682" s="733"/>
      <c r="H5682" s="733"/>
      <c r="I5682" s="733"/>
      <c r="J5682" s="733"/>
      <c r="K5682" s="733"/>
      <c r="L5682" s="733"/>
      <c r="M5682" s="733"/>
    </row>
    <row r="5683" spans="1:13" x14ac:dyDescent="0.3">
      <c r="A5683" s="733" t="s">
        <v>5713</v>
      </c>
      <c r="B5683" s="733" t="s">
        <v>664</v>
      </c>
      <c r="C5683" s="733" t="s">
        <v>5721</v>
      </c>
      <c r="D5683" s="733"/>
      <c r="E5683" s="733"/>
      <c r="G5683" s="733"/>
      <c r="H5683" s="733"/>
      <c r="I5683" s="733"/>
      <c r="J5683" s="733"/>
      <c r="K5683" s="733"/>
      <c r="L5683" s="733"/>
      <c r="M5683" s="733"/>
    </row>
    <row r="5684" spans="1:13" x14ac:dyDescent="0.3">
      <c r="A5684" s="733" t="s">
        <v>5713</v>
      </c>
      <c r="B5684" s="733" t="s">
        <v>664</v>
      </c>
      <c r="C5684" s="733" t="s">
        <v>5722</v>
      </c>
      <c r="D5684" s="733"/>
      <c r="E5684" s="733"/>
      <c r="G5684" s="733"/>
      <c r="H5684" s="733"/>
      <c r="I5684" s="733"/>
      <c r="J5684" s="733"/>
      <c r="K5684" s="733"/>
      <c r="L5684" s="733"/>
      <c r="M5684" s="733"/>
    </row>
    <row r="5685" spans="1:13" x14ac:dyDescent="0.3">
      <c r="A5685" s="733" t="s">
        <v>5713</v>
      </c>
      <c r="B5685" s="733" t="s">
        <v>664</v>
      </c>
      <c r="C5685" s="733" t="s">
        <v>5723</v>
      </c>
      <c r="D5685" s="733"/>
      <c r="E5685" s="733"/>
      <c r="G5685" s="733"/>
      <c r="H5685" s="733"/>
      <c r="I5685" s="733"/>
      <c r="J5685" s="733"/>
      <c r="K5685" s="733"/>
      <c r="L5685" s="733"/>
      <c r="M5685" s="733"/>
    </row>
    <row r="5686" spans="1:13" x14ac:dyDescent="0.3">
      <c r="A5686" s="733" t="s">
        <v>5713</v>
      </c>
      <c r="B5686" s="733" t="s">
        <v>612</v>
      </c>
      <c r="C5686" s="733" t="s">
        <v>5724</v>
      </c>
      <c r="D5686" s="733"/>
      <c r="E5686" s="733"/>
      <c r="G5686" s="733"/>
      <c r="H5686" s="733"/>
      <c r="I5686" s="733"/>
      <c r="J5686" s="733"/>
      <c r="K5686" s="733"/>
      <c r="L5686" s="733"/>
      <c r="M5686" s="733"/>
    </row>
    <row r="5687" spans="1:13" x14ac:dyDescent="0.3">
      <c r="A5687" s="733" t="s">
        <v>5713</v>
      </c>
      <c r="B5687" s="733" t="s">
        <v>612</v>
      </c>
      <c r="C5687" s="733" t="s">
        <v>5725</v>
      </c>
      <c r="D5687" s="733"/>
      <c r="E5687" s="733"/>
      <c r="G5687" s="733"/>
      <c r="H5687" s="733"/>
      <c r="I5687" s="733"/>
      <c r="J5687" s="733"/>
      <c r="K5687" s="733"/>
      <c r="L5687" s="733"/>
      <c r="M5687" s="733"/>
    </row>
    <row r="5688" spans="1:13" x14ac:dyDescent="0.3">
      <c r="A5688" s="733" t="s">
        <v>5713</v>
      </c>
      <c r="B5688" s="733" t="s">
        <v>612</v>
      </c>
      <c r="C5688" s="733" t="s">
        <v>5726</v>
      </c>
      <c r="D5688" s="733"/>
      <c r="E5688" s="733"/>
      <c r="G5688" s="733"/>
      <c r="H5688" s="733"/>
      <c r="I5688" s="733"/>
      <c r="J5688" s="733"/>
      <c r="K5688" s="733"/>
      <c r="L5688" s="733"/>
      <c r="M5688" s="733"/>
    </row>
    <row r="5689" spans="1:13" x14ac:dyDescent="0.3">
      <c r="A5689" s="733" t="s">
        <v>5713</v>
      </c>
      <c r="B5689" s="733" t="s">
        <v>612</v>
      </c>
      <c r="C5689" s="733" t="s">
        <v>5727</v>
      </c>
      <c r="D5689" s="733"/>
      <c r="E5689" s="733"/>
      <c r="G5689" s="733"/>
      <c r="H5689" s="733"/>
      <c r="I5689" s="733"/>
      <c r="J5689" s="733"/>
      <c r="K5689" s="733"/>
      <c r="L5689" s="733"/>
      <c r="M5689" s="733"/>
    </row>
    <row r="5690" spans="1:13" x14ac:dyDescent="0.3">
      <c r="A5690" s="733" t="s">
        <v>5713</v>
      </c>
      <c r="B5690" s="733" t="s">
        <v>612</v>
      </c>
      <c r="C5690" s="733" t="s">
        <v>5728</v>
      </c>
      <c r="D5690" s="733"/>
      <c r="E5690" s="733"/>
      <c r="G5690" s="733"/>
      <c r="H5690" s="733"/>
      <c r="I5690" s="733"/>
      <c r="J5690" s="733"/>
      <c r="K5690" s="733"/>
      <c r="L5690" s="733"/>
      <c r="M5690" s="733"/>
    </row>
    <row r="5691" spans="1:13" x14ac:dyDescent="0.3">
      <c r="A5691" s="733" t="s">
        <v>5729</v>
      </c>
      <c r="B5691" s="733" t="s">
        <v>645</v>
      </c>
      <c r="C5691" s="738" t="s">
        <v>5730</v>
      </c>
      <c r="D5691" s="733"/>
      <c r="E5691" s="733"/>
      <c r="G5691" s="733"/>
      <c r="H5691" s="733"/>
      <c r="I5691" s="733"/>
      <c r="J5691" s="733"/>
      <c r="K5691" s="733"/>
      <c r="L5691" s="733"/>
      <c r="M5691" s="733"/>
    </row>
    <row r="5692" spans="1:13" x14ac:dyDescent="0.3">
      <c r="A5692" s="733" t="s">
        <v>5729</v>
      </c>
      <c r="B5692" s="733" t="s">
        <v>645</v>
      </c>
      <c r="C5692" s="738" t="s">
        <v>5731</v>
      </c>
      <c r="D5692" s="733"/>
      <c r="E5692" s="733"/>
      <c r="G5692" s="733"/>
      <c r="H5692" s="733"/>
      <c r="I5692" s="733"/>
      <c r="J5692" s="733"/>
      <c r="K5692" s="733"/>
      <c r="L5692" s="733"/>
      <c r="M5692" s="733"/>
    </row>
    <row r="5693" spans="1:13" x14ac:dyDescent="0.3">
      <c r="A5693" s="733" t="s">
        <v>5729</v>
      </c>
      <c r="B5693" s="733" t="s">
        <v>645</v>
      </c>
      <c r="C5693" s="738" t="s">
        <v>5732</v>
      </c>
      <c r="D5693" s="733"/>
      <c r="E5693" s="733"/>
      <c r="G5693" s="733"/>
      <c r="H5693" s="733"/>
      <c r="I5693" s="733"/>
      <c r="J5693" s="733"/>
      <c r="K5693" s="733"/>
      <c r="L5693" s="733"/>
      <c r="M5693" s="733"/>
    </row>
    <row r="5694" spans="1:13" x14ac:dyDescent="0.3">
      <c r="A5694" s="733" t="s">
        <v>5729</v>
      </c>
      <c r="B5694" s="733" t="s">
        <v>645</v>
      </c>
      <c r="C5694" s="738" t="s">
        <v>5733</v>
      </c>
      <c r="D5694" s="733"/>
      <c r="E5694" s="733"/>
      <c r="G5694" s="733"/>
      <c r="H5694" s="733"/>
      <c r="I5694" s="733"/>
      <c r="J5694" s="733"/>
      <c r="K5694" s="733"/>
      <c r="L5694" s="733"/>
      <c r="M5694" s="733"/>
    </row>
    <row r="5695" spans="1:13" x14ac:dyDescent="0.3">
      <c r="A5695" s="733" t="s">
        <v>5729</v>
      </c>
      <c r="B5695" s="733" t="s">
        <v>645</v>
      </c>
      <c r="C5695" s="738" t="s">
        <v>5734</v>
      </c>
      <c r="D5695" s="733"/>
      <c r="E5695" s="733"/>
      <c r="G5695" s="733"/>
      <c r="H5695" s="733"/>
      <c r="I5695" s="733"/>
      <c r="J5695" s="733"/>
      <c r="K5695" s="733"/>
      <c r="L5695" s="733"/>
      <c r="M5695" s="733"/>
    </row>
    <row r="5696" spans="1:13" x14ac:dyDescent="0.3">
      <c r="A5696" s="733" t="s">
        <v>5729</v>
      </c>
      <c r="B5696" s="733" t="s">
        <v>664</v>
      </c>
      <c r="C5696" s="738" t="s">
        <v>5735</v>
      </c>
      <c r="D5696" s="733"/>
      <c r="E5696" s="733"/>
      <c r="G5696" s="733"/>
      <c r="H5696" s="733"/>
      <c r="I5696" s="733"/>
      <c r="J5696" s="733"/>
      <c r="K5696" s="733"/>
      <c r="L5696" s="733"/>
      <c r="M5696" s="733"/>
    </row>
    <row r="5697" spans="1:13" x14ac:dyDescent="0.3">
      <c r="A5697" s="733" t="s">
        <v>5729</v>
      </c>
      <c r="B5697" s="733" t="s">
        <v>664</v>
      </c>
      <c r="C5697" s="738" t="s">
        <v>5736</v>
      </c>
      <c r="D5697" s="733"/>
      <c r="E5697" s="733"/>
      <c r="G5697" s="733"/>
      <c r="H5697" s="733"/>
      <c r="I5697" s="733"/>
      <c r="J5697" s="733"/>
      <c r="K5697" s="733"/>
      <c r="L5697" s="733"/>
      <c r="M5697" s="733"/>
    </row>
    <row r="5698" spans="1:13" x14ac:dyDescent="0.3">
      <c r="A5698" s="733" t="s">
        <v>5729</v>
      </c>
      <c r="B5698" s="733" t="s">
        <v>664</v>
      </c>
      <c r="C5698" s="738" t="s">
        <v>5737</v>
      </c>
      <c r="D5698" s="733"/>
      <c r="E5698" s="733"/>
      <c r="G5698" s="733"/>
      <c r="H5698" s="733"/>
      <c r="I5698" s="733"/>
      <c r="J5698" s="733"/>
      <c r="K5698" s="733"/>
      <c r="L5698" s="733"/>
      <c r="M5698" s="733"/>
    </row>
    <row r="5699" spans="1:13" x14ac:dyDescent="0.3">
      <c r="A5699" s="733" t="s">
        <v>5729</v>
      </c>
      <c r="B5699" s="733" t="s">
        <v>664</v>
      </c>
      <c r="C5699" s="738" t="s">
        <v>5738</v>
      </c>
      <c r="D5699" s="733"/>
      <c r="E5699" s="733"/>
      <c r="G5699" s="733"/>
      <c r="H5699" s="733"/>
      <c r="I5699" s="733"/>
      <c r="J5699" s="733"/>
      <c r="K5699" s="733"/>
      <c r="L5699" s="733"/>
      <c r="M5699" s="733"/>
    </row>
    <row r="5700" spans="1:13" x14ac:dyDescent="0.3">
      <c r="A5700" s="733" t="s">
        <v>5729</v>
      </c>
      <c r="B5700" s="733" t="s">
        <v>664</v>
      </c>
      <c r="C5700" s="738" t="s">
        <v>5739</v>
      </c>
      <c r="D5700" s="733"/>
      <c r="E5700" s="733"/>
      <c r="G5700" s="733"/>
      <c r="H5700" s="733"/>
      <c r="I5700" s="733"/>
      <c r="J5700" s="733"/>
      <c r="K5700" s="733"/>
      <c r="L5700" s="733"/>
      <c r="M5700" s="733"/>
    </row>
    <row r="5701" spans="1:13" x14ac:dyDescent="0.3">
      <c r="A5701" s="733" t="s">
        <v>5729</v>
      </c>
      <c r="B5701" s="733" t="s">
        <v>612</v>
      </c>
      <c r="C5701" s="738" t="s">
        <v>5740</v>
      </c>
      <c r="D5701" s="733"/>
      <c r="E5701" s="733"/>
      <c r="G5701" s="733"/>
      <c r="H5701" s="733"/>
      <c r="I5701" s="733"/>
      <c r="J5701" s="733"/>
      <c r="K5701" s="733"/>
      <c r="L5701" s="733"/>
      <c r="M5701" s="733"/>
    </row>
    <row r="5702" spans="1:13" x14ac:dyDescent="0.3">
      <c r="A5702" s="733" t="s">
        <v>5729</v>
      </c>
      <c r="B5702" s="733" t="s">
        <v>612</v>
      </c>
      <c r="C5702" s="738" t="s">
        <v>5741</v>
      </c>
      <c r="D5702" s="733"/>
      <c r="E5702" s="733"/>
      <c r="G5702" s="733"/>
      <c r="H5702" s="733"/>
      <c r="I5702" s="733"/>
      <c r="J5702" s="733"/>
      <c r="K5702" s="733"/>
      <c r="L5702" s="733"/>
      <c r="M5702" s="733"/>
    </row>
    <row r="5703" spans="1:13" x14ac:dyDescent="0.3">
      <c r="A5703" s="733" t="s">
        <v>5729</v>
      </c>
      <c r="B5703" s="733" t="s">
        <v>612</v>
      </c>
      <c r="C5703" s="738" t="s">
        <v>5742</v>
      </c>
      <c r="D5703" s="733"/>
      <c r="E5703" s="733"/>
      <c r="G5703" s="733"/>
      <c r="H5703" s="733"/>
      <c r="I5703" s="733"/>
      <c r="J5703" s="733"/>
      <c r="K5703" s="733"/>
      <c r="L5703" s="733"/>
      <c r="M5703" s="733"/>
    </row>
    <row r="5704" spans="1:13" x14ac:dyDescent="0.3">
      <c r="A5704" s="733" t="s">
        <v>5729</v>
      </c>
      <c r="B5704" s="733" t="s">
        <v>612</v>
      </c>
      <c r="C5704" s="738" t="s">
        <v>5743</v>
      </c>
      <c r="D5704" s="733"/>
      <c r="E5704" s="733"/>
      <c r="G5704" s="733"/>
      <c r="H5704" s="733"/>
      <c r="I5704" s="733"/>
      <c r="J5704" s="733"/>
      <c r="K5704" s="733"/>
      <c r="L5704" s="733"/>
      <c r="M5704" s="733"/>
    </row>
    <row r="5705" spans="1:13" x14ac:dyDescent="0.3">
      <c r="A5705" s="733" t="s">
        <v>5729</v>
      </c>
      <c r="B5705" s="733" t="s">
        <v>612</v>
      </c>
      <c r="C5705" s="738" t="s">
        <v>5744</v>
      </c>
      <c r="D5705" s="733"/>
      <c r="E5705" s="733"/>
      <c r="G5705" s="733"/>
      <c r="H5705" s="733"/>
      <c r="I5705" s="733"/>
      <c r="J5705" s="733"/>
      <c r="K5705" s="733"/>
      <c r="L5705" s="733"/>
      <c r="M5705" s="733"/>
    </row>
    <row r="5706" spans="1:13" x14ac:dyDescent="0.3">
      <c r="A5706" s="733" t="s">
        <v>5745</v>
      </c>
      <c r="B5706" s="733" t="s">
        <v>645</v>
      </c>
      <c r="C5706" s="738" t="s">
        <v>5746</v>
      </c>
      <c r="D5706" s="733"/>
      <c r="E5706" s="733"/>
      <c r="G5706" s="733"/>
      <c r="H5706" s="733"/>
      <c r="I5706" s="733"/>
      <c r="J5706" s="733"/>
      <c r="K5706" s="733"/>
      <c r="L5706" s="733"/>
      <c r="M5706" s="733"/>
    </row>
    <row r="5707" spans="1:13" x14ac:dyDescent="0.3">
      <c r="A5707" s="733" t="s">
        <v>5745</v>
      </c>
      <c r="B5707" s="733" t="s">
        <v>645</v>
      </c>
      <c r="C5707" s="738" t="s">
        <v>5747</v>
      </c>
      <c r="D5707" s="733"/>
      <c r="E5707" s="733"/>
      <c r="G5707" s="733"/>
      <c r="H5707" s="733"/>
      <c r="I5707" s="733"/>
      <c r="J5707" s="733"/>
      <c r="K5707" s="733"/>
      <c r="L5707" s="733"/>
      <c r="M5707" s="733"/>
    </row>
    <row r="5708" spans="1:13" x14ac:dyDescent="0.3">
      <c r="A5708" s="733" t="s">
        <v>5745</v>
      </c>
      <c r="B5708" s="733" t="s">
        <v>645</v>
      </c>
      <c r="C5708" s="738" t="s">
        <v>5748</v>
      </c>
      <c r="D5708" s="733"/>
      <c r="E5708" s="733"/>
      <c r="G5708" s="733"/>
      <c r="H5708" s="733"/>
      <c r="I5708" s="733"/>
      <c r="J5708" s="733"/>
      <c r="K5708" s="733"/>
      <c r="L5708" s="733"/>
      <c r="M5708" s="733"/>
    </row>
    <row r="5709" spans="1:13" x14ac:dyDescent="0.3">
      <c r="A5709" s="733" t="s">
        <v>5745</v>
      </c>
      <c r="B5709" s="733" t="s">
        <v>645</v>
      </c>
      <c r="C5709" s="738" t="s">
        <v>5749</v>
      </c>
      <c r="D5709" s="733"/>
      <c r="E5709" s="733"/>
      <c r="G5709" s="733"/>
      <c r="H5709" s="733"/>
      <c r="I5709" s="733"/>
      <c r="J5709" s="733"/>
      <c r="K5709" s="733"/>
      <c r="L5709" s="733"/>
      <c r="M5709" s="733"/>
    </row>
    <row r="5710" spans="1:13" x14ac:dyDescent="0.3">
      <c r="A5710" s="733" t="s">
        <v>5745</v>
      </c>
      <c r="B5710" s="733" t="s">
        <v>645</v>
      </c>
      <c r="C5710" s="738" t="s">
        <v>5750</v>
      </c>
      <c r="D5710" s="733"/>
      <c r="E5710" s="733"/>
      <c r="G5710" s="733"/>
      <c r="H5710" s="733"/>
      <c r="I5710" s="733"/>
      <c r="J5710" s="733"/>
      <c r="K5710" s="733"/>
      <c r="L5710" s="733"/>
      <c r="M5710" s="733"/>
    </row>
    <row r="5711" spans="1:13" x14ac:dyDescent="0.3">
      <c r="A5711" s="733" t="s">
        <v>5745</v>
      </c>
      <c r="B5711" s="733" t="s">
        <v>664</v>
      </c>
      <c r="C5711" s="738" t="s">
        <v>5751</v>
      </c>
      <c r="D5711" s="733"/>
      <c r="E5711" s="733"/>
      <c r="G5711" s="733"/>
      <c r="H5711" s="733"/>
      <c r="I5711" s="733"/>
      <c r="J5711" s="733"/>
      <c r="K5711" s="733"/>
      <c r="L5711" s="733"/>
      <c r="M5711" s="733"/>
    </row>
    <row r="5712" spans="1:13" x14ac:dyDescent="0.3">
      <c r="A5712" s="733" t="s">
        <v>5745</v>
      </c>
      <c r="B5712" s="733" t="s">
        <v>664</v>
      </c>
      <c r="C5712" s="738" t="s">
        <v>5752</v>
      </c>
      <c r="D5712" s="733"/>
      <c r="E5712" s="733"/>
      <c r="G5712" s="733"/>
      <c r="H5712" s="733"/>
      <c r="I5712" s="733"/>
      <c r="J5712" s="733"/>
      <c r="K5712" s="733"/>
      <c r="L5712" s="733"/>
      <c r="M5712" s="733"/>
    </row>
    <row r="5713" spans="1:13" x14ac:dyDescent="0.3">
      <c r="A5713" s="733" t="s">
        <v>5745</v>
      </c>
      <c r="B5713" s="733" t="s">
        <v>664</v>
      </c>
      <c r="C5713" s="738" t="s">
        <v>5753</v>
      </c>
      <c r="D5713" s="733"/>
      <c r="E5713" s="733"/>
      <c r="G5713" s="733"/>
      <c r="H5713" s="733"/>
      <c r="I5713" s="733"/>
      <c r="J5713" s="733"/>
      <c r="K5713" s="733"/>
      <c r="L5713" s="733"/>
      <c r="M5713" s="733"/>
    </row>
    <row r="5714" spans="1:13" x14ac:dyDescent="0.3">
      <c r="A5714" s="733" t="s">
        <v>5745</v>
      </c>
      <c r="B5714" s="733" t="s">
        <v>664</v>
      </c>
      <c r="C5714" s="738" t="s">
        <v>5754</v>
      </c>
      <c r="D5714" s="733"/>
      <c r="E5714" s="733"/>
      <c r="G5714" s="733"/>
      <c r="H5714" s="733"/>
      <c r="I5714" s="733"/>
      <c r="J5714" s="733"/>
      <c r="K5714" s="733"/>
      <c r="L5714" s="733"/>
      <c r="M5714" s="733"/>
    </row>
    <row r="5715" spans="1:13" x14ac:dyDescent="0.3">
      <c r="A5715" s="733" t="s">
        <v>5745</v>
      </c>
      <c r="B5715" s="733" t="s">
        <v>664</v>
      </c>
      <c r="C5715" s="738" t="s">
        <v>5755</v>
      </c>
      <c r="D5715" s="733"/>
      <c r="E5715" s="733"/>
      <c r="G5715" s="733"/>
      <c r="H5715" s="733"/>
      <c r="I5715" s="733"/>
      <c r="J5715" s="733"/>
      <c r="K5715" s="733"/>
      <c r="L5715" s="733"/>
      <c r="M5715" s="733"/>
    </row>
    <row r="5716" spans="1:13" x14ac:dyDescent="0.3">
      <c r="A5716" s="733" t="s">
        <v>5745</v>
      </c>
      <c r="B5716" s="733" t="s">
        <v>612</v>
      </c>
      <c r="C5716" s="738" t="s">
        <v>5756</v>
      </c>
      <c r="D5716" s="733"/>
      <c r="E5716" s="733"/>
      <c r="G5716" s="733"/>
      <c r="H5716" s="733"/>
      <c r="I5716" s="733"/>
      <c r="J5716" s="733"/>
      <c r="K5716" s="733"/>
      <c r="L5716" s="733"/>
      <c r="M5716" s="733"/>
    </row>
    <row r="5717" spans="1:13" x14ac:dyDescent="0.3">
      <c r="A5717" s="733" t="s">
        <v>5745</v>
      </c>
      <c r="B5717" s="733" t="s">
        <v>612</v>
      </c>
      <c r="C5717" s="738" t="s">
        <v>5757</v>
      </c>
      <c r="D5717" s="733"/>
      <c r="E5717" s="733"/>
      <c r="G5717" s="733"/>
      <c r="H5717" s="733"/>
      <c r="I5717" s="733"/>
      <c r="J5717" s="733"/>
      <c r="K5717" s="733"/>
      <c r="L5717" s="733"/>
      <c r="M5717" s="733"/>
    </row>
    <row r="5718" spans="1:13" x14ac:dyDescent="0.3">
      <c r="A5718" s="733" t="s">
        <v>5745</v>
      </c>
      <c r="B5718" s="733" t="s">
        <v>612</v>
      </c>
      <c r="C5718" s="738" t="s">
        <v>5758</v>
      </c>
      <c r="D5718" s="733"/>
      <c r="E5718" s="733"/>
      <c r="G5718" s="733"/>
      <c r="H5718" s="733"/>
      <c r="I5718" s="733"/>
      <c r="J5718" s="733"/>
      <c r="K5718" s="733"/>
      <c r="L5718" s="733"/>
      <c r="M5718" s="733"/>
    </row>
    <row r="5719" spans="1:13" x14ac:dyDescent="0.3">
      <c r="A5719" s="733" t="s">
        <v>5745</v>
      </c>
      <c r="B5719" s="733" t="s">
        <v>612</v>
      </c>
      <c r="C5719" s="738" t="s">
        <v>5759</v>
      </c>
      <c r="D5719" s="733"/>
      <c r="E5719" s="733"/>
      <c r="G5719" s="733"/>
      <c r="H5719" s="733"/>
      <c r="I5719" s="733"/>
      <c r="J5719" s="733"/>
      <c r="K5719" s="733"/>
      <c r="L5719" s="733"/>
      <c r="M5719" s="733"/>
    </row>
    <row r="5720" spans="1:13" x14ac:dyDescent="0.3">
      <c r="A5720" s="733" t="s">
        <v>5745</v>
      </c>
      <c r="B5720" s="733" t="s">
        <v>612</v>
      </c>
      <c r="C5720" s="738" t="s">
        <v>5760</v>
      </c>
      <c r="D5720" s="733"/>
      <c r="E5720" s="733"/>
      <c r="G5720" s="733"/>
      <c r="H5720" s="733"/>
      <c r="I5720" s="733"/>
      <c r="J5720" s="733"/>
      <c r="K5720" s="733"/>
      <c r="L5720" s="733"/>
      <c r="M5720" s="733"/>
    </row>
    <row r="5721" spans="1:13" x14ac:dyDescent="0.3">
      <c r="A5721" s="733" t="s">
        <v>5761</v>
      </c>
      <c r="B5721" s="733" t="s">
        <v>645</v>
      </c>
      <c r="C5721" s="738" t="s">
        <v>5762</v>
      </c>
      <c r="D5721" s="733"/>
      <c r="E5721" s="733"/>
      <c r="G5721" s="733"/>
      <c r="H5721" s="733"/>
      <c r="I5721" s="733"/>
      <c r="J5721" s="733"/>
      <c r="K5721" s="733"/>
      <c r="L5721" s="733"/>
      <c r="M5721" s="733"/>
    </row>
    <row r="5722" spans="1:13" x14ac:dyDescent="0.3">
      <c r="A5722" s="733" t="s">
        <v>5761</v>
      </c>
      <c r="B5722" s="733" t="s">
        <v>645</v>
      </c>
      <c r="C5722" s="738" t="s">
        <v>5763</v>
      </c>
      <c r="D5722" s="733"/>
      <c r="E5722" s="733"/>
      <c r="G5722" s="733"/>
      <c r="H5722" s="733"/>
      <c r="I5722" s="733"/>
      <c r="J5722" s="733"/>
      <c r="K5722" s="733"/>
      <c r="L5722" s="733"/>
      <c r="M5722" s="733"/>
    </row>
    <row r="5723" spans="1:13" x14ac:dyDescent="0.3">
      <c r="A5723" s="733" t="s">
        <v>5761</v>
      </c>
      <c r="B5723" s="733" t="s">
        <v>645</v>
      </c>
      <c r="C5723" s="738" t="s">
        <v>5764</v>
      </c>
      <c r="D5723" s="733"/>
      <c r="E5723" s="733"/>
      <c r="G5723" s="733"/>
      <c r="H5723" s="733"/>
      <c r="I5723" s="733"/>
      <c r="J5723" s="733"/>
      <c r="K5723" s="733"/>
      <c r="L5723" s="733"/>
      <c r="M5723" s="733"/>
    </row>
    <row r="5724" spans="1:13" x14ac:dyDescent="0.3">
      <c r="A5724" s="733" t="s">
        <v>5761</v>
      </c>
      <c r="B5724" s="733" t="s">
        <v>645</v>
      </c>
      <c r="C5724" s="738" t="s">
        <v>5765</v>
      </c>
      <c r="D5724" s="733"/>
      <c r="E5724" s="733"/>
      <c r="G5724" s="733"/>
      <c r="H5724" s="733"/>
      <c r="I5724" s="733"/>
      <c r="J5724" s="733"/>
      <c r="K5724" s="733"/>
      <c r="L5724" s="733"/>
      <c r="M5724" s="733"/>
    </row>
    <row r="5725" spans="1:13" x14ac:dyDescent="0.3">
      <c r="A5725" s="733" t="s">
        <v>5761</v>
      </c>
      <c r="B5725" s="733" t="s">
        <v>645</v>
      </c>
      <c r="C5725" s="738" t="s">
        <v>5766</v>
      </c>
      <c r="D5725" s="733"/>
      <c r="E5725" s="733"/>
      <c r="G5725" s="733"/>
      <c r="H5725" s="733"/>
      <c r="I5725" s="733"/>
      <c r="J5725" s="733"/>
      <c r="K5725" s="733"/>
      <c r="L5725" s="733"/>
      <c r="M5725" s="733"/>
    </row>
    <row r="5726" spans="1:13" x14ac:dyDescent="0.3">
      <c r="A5726" s="733" t="s">
        <v>5761</v>
      </c>
      <c r="B5726" s="733" t="s">
        <v>645</v>
      </c>
      <c r="C5726" s="738" t="s">
        <v>5767</v>
      </c>
      <c r="D5726" s="733"/>
      <c r="E5726" s="733"/>
      <c r="G5726" s="733"/>
      <c r="H5726" s="733"/>
      <c r="I5726" s="733"/>
      <c r="J5726" s="733"/>
      <c r="K5726" s="733"/>
      <c r="L5726" s="733"/>
      <c r="M5726" s="733"/>
    </row>
    <row r="5727" spans="1:13" x14ac:dyDescent="0.3">
      <c r="A5727" s="733" t="s">
        <v>5761</v>
      </c>
      <c r="B5727" s="733" t="s">
        <v>645</v>
      </c>
      <c r="C5727" s="738" t="s">
        <v>5768</v>
      </c>
      <c r="D5727" s="733"/>
      <c r="E5727" s="733"/>
      <c r="G5727" s="733"/>
      <c r="H5727" s="733"/>
      <c r="I5727" s="733"/>
      <c r="J5727" s="733"/>
      <c r="K5727" s="733"/>
      <c r="L5727" s="733"/>
      <c r="M5727" s="733"/>
    </row>
    <row r="5728" spans="1:13" x14ac:dyDescent="0.3">
      <c r="A5728" s="733" t="s">
        <v>5761</v>
      </c>
      <c r="B5728" s="733" t="s">
        <v>645</v>
      </c>
      <c r="C5728" s="738" t="s">
        <v>5769</v>
      </c>
      <c r="D5728" s="733"/>
      <c r="E5728" s="733"/>
      <c r="G5728" s="733"/>
      <c r="H5728" s="733"/>
      <c r="I5728" s="733"/>
      <c r="J5728" s="733"/>
      <c r="K5728" s="733"/>
      <c r="L5728" s="733"/>
      <c r="M5728" s="733"/>
    </row>
    <row r="5729" spans="1:13" x14ac:dyDescent="0.3">
      <c r="A5729" s="733" t="s">
        <v>5761</v>
      </c>
      <c r="B5729" s="733" t="s">
        <v>645</v>
      </c>
      <c r="C5729" s="738" t="s">
        <v>5770</v>
      </c>
      <c r="D5729" s="733"/>
      <c r="E5729" s="733"/>
      <c r="G5729" s="733"/>
      <c r="H5729" s="733"/>
      <c r="I5729" s="733"/>
      <c r="J5729" s="733"/>
      <c r="K5729" s="733"/>
      <c r="L5729" s="733"/>
      <c r="M5729" s="733"/>
    </row>
    <row r="5730" spans="1:13" x14ac:dyDescent="0.3">
      <c r="A5730" s="733" t="s">
        <v>5761</v>
      </c>
      <c r="B5730" s="733" t="s">
        <v>645</v>
      </c>
      <c r="C5730" s="738" t="s">
        <v>5771</v>
      </c>
      <c r="D5730" s="733"/>
      <c r="E5730" s="733"/>
      <c r="G5730" s="733"/>
      <c r="H5730" s="733"/>
      <c r="I5730" s="733"/>
      <c r="J5730" s="733"/>
      <c r="K5730" s="733"/>
      <c r="L5730" s="733"/>
      <c r="M5730" s="733"/>
    </row>
    <row r="5731" spans="1:13" x14ac:dyDescent="0.3">
      <c r="A5731" s="733" t="s">
        <v>5761</v>
      </c>
      <c r="B5731" s="733" t="s">
        <v>664</v>
      </c>
      <c r="C5731" s="733" t="s">
        <v>5772</v>
      </c>
      <c r="D5731" s="733"/>
      <c r="E5731" s="733"/>
      <c r="G5731" s="733"/>
      <c r="H5731" s="733"/>
      <c r="I5731" s="733"/>
      <c r="J5731" s="733"/>
      <c r="K5731" s="733"/>
      <c r="L5731" s="733"/>
      <c r="M5731" s="733"/>
    </row>
    <row r="5732" spans="1:13" x14ac:dyDescent="0.3">
      <c r="A5732" s="733" t="s">
        <v>5761</v>
      </c>
      <c r="B5732" s="733" t="s">
        <v>664</v>
      </c>
      <c r="C5732" s="733" t="s">
        <v>5773</v>
      </c>
      <c r="D5732" s="733"/>
      <c r="E5732" s="733"/>
      <c r="G5732" s="733"/>
      <c r="H5732" s="733"/>
      <c r="I5732" s="733"/>
      <c r="J5732" s="733"/>
      <c r="K5732" s="733"/>
      <c r="L5732" s="733"/>
      <c r="M5732" s="733"/>
    </row>
    <row r="5733" spans="1:13" x14ac:dyDescent="0.3">
      <c r="A5733" s="733" t="s">
        <v>5761</v>
      </c>
      <c r="B5733" s="733" t="s">
        <v>664</v>
      </c>
      <c r="C5733" s="733" t="s">
        <v>5774</v>
      </c>
      <c r="D5733" s="733"/>
      <c r="E5733" s="733"/>
      <c r="G5733" s="733"/>
      <c r="H5733" s="733"/>
      <c r="I5733" s="733"/>
      <c r="J5733" s="733"/>
      <c r="K5733" s="733"/>
      <c r="L5733" s="733"/>
      <c r="M5733" s="733"/>
    </row>
    <row r="5734" spans="1:13" x14ac:dyDescent="0.3">
      <c r="A5734" s="733" t="s">
        <v>5761</v>
      </c>
      <c r="B5734" s="733" t="s">
        <v>664</v>
      </c>
      <c r="C5734" s="733" t="s">
        <v>5775</v>
      </c>
      <c r="D5734" s="733"/>
      <c r="E5734" s="733"/>
      <c r="G5734" s="733"/>
      <c r="H5734" s="733"/>
      <c r="I5734" s="733"/>
      <c r="J5734" s="733"/>
      <c r="K5734" s="733"/>
      <c r="L5734" s="733"/>
      <c r="M5734" s="733"/>
    </row>
    <row r="5735" spans="1:13" x14ac:dyDescent="0.3">
      <c r="A5735" s="733" t="s">
        <v>5761</v>
      </c>
      <c r="B5735" s="733" t="s">
        <v>664</v>
      </c>
      <c r="C5735" s="733" t="s">
        <v>5776</v>
      </c>
      <c r="D5735" s="733"/>
      <c r="E5735" s="733"/>
      <c r="G5735" s="733"/>
      <c r="H5735" s="733"/>
      <c r="I5735" s="733"/>
      <c r="J5735" s="733"/>
      <c r="K5735" s="733"/>
      <c r="L5735" s="733"/>
      <c r="M5735" s="733"/>
    </row>
    <row r="5736" spans="1:13" x14ac:dyDescent="0.3">
      <c r="A5736" s="733" t="s">
        <v>5761</v>
      </c>
      <c r="B5736" s="733" t="s">
        <v>664</v>
      </c>
      <c r="C5736" s="733" t="s">
        <v>5777</v>
      </c>
      <c r="D5736" s="733"/>
      <c r="E5736" s="733"/>
      <c r="G5736" s="733"/>
      <c r="H5736" s="733"/>
      <c r="I5736" s="733"/>
      <c r="J5736" s="733"/>
      <c r="K5736" s="733"/>
      <c r="L5736" s="733"/>
      <c r="M5736" s="733"/>
    </row>
    <row r="5737" spans="1:13" x14ac:dyDescent="0.3">
      <c r="A5737" s="733" t="s">
        <v>5761</v>
      </c>
      <c r="B5737" s="733" t="s">
        <v>664</v>
      </c>
      <c r="C5737" s="733" t="s">
        <v>5778</v>
      </c>
      <c r="D5737" s="733"/>
      <c r="E5737" s="733"/>
      <c r="G5737" s="733"/>
      <c r="H5737" s="733"/>
      <c r="I5737" s="733"/>
      <c r="J5737" s="733"/>
      <c r="K5737" s="733"/>
      <c r="L5737" s="733"/>
      <c r="M5737" s="733"/>
    </row>
    <row r="5738" spans="1:13" x14ac:dyDescent="0.3">
      <c r="A5738" s="733" t="s">
        <v>5761</v>
      </c>
      <c r="B5738" s="733" t="s">
        <v>664</v>
      </c>
      <c r="C5738" s="733" t="s">
        <v>5779</v>
      </c>
      <c r="D5738" s="733"/>
      <c r="E5738" s="733"/>
      <c r="G5738" s="733"/>
      <c r="H5738" s="733"/>
      <c r="I5738" s="733"/>
      <c r="J5738" s="733"/>
      <c r="K5738" s="733"/>
      <c r="L5738" s="733"/>
      <c r="M5738" s="733"/>
    </row>
    <row r="5739" spans="1:13" x14ac:dyDescent="0.3">
      <c r="A5739" s="733" t="s">
        <v>5761</v>
      </c>
      <c r="B5739" s="733" t="s">
        <v>664</v>
      </c>
      <c r="C5739" s="733" t="s">
        <v>5780</v>
      </c>
      <c r="D5739" s="733"/>
      <c r="E5739" s="733"/>
      <c r="G5739" s="733"/>
      <c r="H5739" s="733"/>
      <c r="I5739" s="733"/>
      <c r="J5739" s="733"/>
      <c r="K5739" s="733"/>
      <c r="L5739" s="733"/>
      <c r="M5739" s="733"/>
    </row>
    <row r="5740" spans="1:13" x14ac:dyDescent="0.3">
      <c r="A5740" s="733" t="s">
        <v>5761</v>
      </c>
      <c r="B5740" s="733" t="s">
        <v>664</v>
      </c>
      <c r="C5740" s="733" t="s">
        <v>5781</v>
      </c>
      <c r="D5740" s="733"/>
      <c r="E5740" s="733"/>
      <c r="G5740" s="733"/>
      <c r="H5740" s="733"/>
      <c r="I5740" s="733"/>
      <c r="J5740" s="733"/>
      <c r="K5740" s="733"/>
      <c r="L5740" s="733"/>
      <c r="M5740" s="733"/>
    </row>
    <row r="5741" spans="1:13" x14ac:dyDescent="0.3">
      <c r="A5741" s="733" t="s">
        <v>5761</v>
      </c>
      <c r="B5741" s="733" t="s">
        <v>612</v>
      </c>
      <c r="C5741" s="738" t="s">
        <v>5782</v>
      </c>
      <c r="D5741" s="733"/>
      <c r="E5741" s="733"/>
      <c r="G5741" s="733"/>
      <c r="H5741" s="733"/>
      <c r="I5741" s="733"/>
      <c r="J5741" s="733"/>
      <c r="K5741" s="733"/>
      <c r="L5741" s="733"/>
      <c r="M5741" s="733"/>
    </row>
    <row r="5742" spans="1:13" x14ac:dyDescent="0.3">
      <c r="A5742" s="733" t="s">
        <v>5761</v>
      </c>
      <c r="B5742" s="733" t="s">
        <v>612</v>
      </c>
      <c r="C5742" s="738" t="s">
        <v>5783</v>
      </c>
      <c r="D5742" s="733"/>
      <c r="E5742" s="733"/>
      <c r="G5742" s="733"/>
      <c r="H5742" s="733"/>
      <c r="I5742" s="733"/>
      <c r="J5742" s="733"/>
      <c r="K5742" s="733"/>
      <c r="L5742" s="733"/>
      <c r="M5742" s="733"/>
    </row>
    <row r="5743" spans="1:13" x14ac:dyDescent="0.3">
      <c r="A5743" s="733" t="s">
        <v>5761</v>
      </c>
      <c r="B5743" s="733" t="s">
        <v>612</v>
      </c>
      <c r="C5743" s="738" t="s">
        <v>5784</v>
      </c>
      <c r="D5743" s="733"/>
      <c r="E5743" s="733"/>
      <c r="G5743" s="733"/>
      <c r="H5743" s="733"/>
      <c r="I5743" s="733"/>
      <c r="J5743" s="733"/>
      <c r="K5743" s="733"/>
      <c r="L5743" s="733"/>
      <c r="M5743" s="733"/>
    </row>
    <row r="5744" spans="1:13" x14ac:dyDescent="0.3">
      <c r="A5744" s="733" t="s">
        <v>5761</v>
      </c>
      <c r="B5744" s="733" t="s">
        <v>612</v>
      </c>
      <c r="C5744" s="738" t="s">
        <v>5785</v>
      </c>
      <c r="D5744" s="733"/>
      <c r="E5744" s="733"/>
      <c r="G5744" s="733"/>
      <c r="H5744" s="733"/>
      <c r="I5744" s="733"/>
      <c r="J5744" s="733"/>
      <c r="K5744" s="733"/>
      <c r="L5744" s="733"/>
      <c r="M5744" s="733"/>
    </row>
    <row r="5745" spans="1:13" x14ac:dyDescent="0.3">
      <c r="A5745" s="733" t="s">
        <v>5761</v>
      </c>
      <c r="B5745" s="733" t="s">
        <v>612</v>
      </c>
      <c r="C5745" s="738" t="s">
        <v>5786</v>
      </c>
      <c r="D5745" s="733"/>
      <c r="E5745" s="733"/>
      <c r="G5745" s="733"/>
      <c r="H5745" s="733"/>
      <c r="I5745" s="733"/>
      <c r="J5745" s="733"/>
      <c r="K5745" s="733"/>
      <c r="L5745" s="733"/>
      <c r="M5745" s="733"/>
    </row>
    <row r="5746" spans="1:13" x14ac:dyDescent="0.3">
      <c r="A5746" s="733" t="s">
        <v>5761</v>
      </c>
      <c r="B5746" s="733" t="s">
        <v>612</v>
      </c>
      <c r="C5746" s="738" t="s">
        <v>5787</v>
      </c>
      <c r="D5746" s="733"/>
      <c r="E5746" s="733"/>
      <c r="G5746" s="733"/>
      <c r="H5746" s="733"/>
      <c r="I5746" s="733"/>
      <c r="J5746" s="733"/>
      <c r="K5746" s="733"/>
      <c r="L5746" s="733"/>
      <c r="M5746" s="733"/>
    </row>
    <row r="5747" spans="1:13" x14ac:dyDescent="0.3">
      <c r="A5747" s="733" t="s">
        <v>5761</v>
      </c>
      <c r="B5747" s="733" t="s">
        <v>612</v>
      </c>
      <c r="C5747" s="738" t="s">
        <v>5788</v>
      </c>
      <c r="D5747" s="733"/>
      <c r="E5747" s="733"/>
      <c r="G5747" s="733"/>
      <c r="H5747" s="733"/>
      <c r="I5747" s="733"/>
      <c r="J5747" s="733"/>
      <c r="K5747" s="733"/>
      <c r="L5747" s="733"/>
      <c r="M5747" s="733"/>
    </row>
    <row r="5748" spans="1:13" x14ac:dyDescent="0.3">
      <c r="A5748" s="733" t="s">
        <v>5761</v>
      </c>
      <c r="B5748" s="733" t="s">
        <v>612</v>
      </c>
      <c r="C5748" s="738" t="s">
        <v>5789</v>
      </c>
      <c r="D5748" s="733"/>
      <c r="E5748" s="733"/>
      <c r="G5748" s="733"/>
      <c r="H5748" s="733"/>
      <c r="I5748" s="733"/>
      <c r="J5748" s="733"/>
      <c r="K5748" s="733"/>
      <c r="L5748" s="733"/>
      <c r="M5748" s="733"/>
    </row>
    <row r="5749" spans="1:13" x14ac:dyDescent="0.3">
      <c r="A5749" s="733" t="s">
        <v>5761</v>
      </c>
      <c r="B5749" s="733" t="s">
        <v>612</v>
      </c>
      <c r="C5749" s="738" t="s">
        <v>5790</v>
      </c>
      <c r="D5749" s="733"/>
      <c r="E5749" s="733"/>
      <c r="G5749" s="733"/>
      <c r="H5749" s="733"/>
      <c r="I5749" s="733"/>
      <c r="J5749" s="733"/>
      <c r="K5749" s="733"/>
      <c r="L5749" s="733"/>
      <c r="M5749" s="733"/>
    </row>
    <row r="5750" spans="1:13" x14ac:dyDescent="0.3">
      <c r="A5750" s="733" t="s">
        <v>5761</v>
      </c>
      <c r="B5750" s="733" t="s">
        <v>612</v>
      </c>
      <c r="C5750" s="738" t="s">
        <v>5791</v>
      </c>
      <c r="D5750" s="733"/>
      <c r="E5750" s="733"/>
      <c r="G5750" s="733"/>
      <c r="H5750" s="733"/>
      <c r="I5750" s="733"/>
      <c r="J5750" s="733"/>
      <c r="K5750" s="733"/>
      <c r="L5750" s="733"/>
      <c r="M5750" s="733"/>
    </row>
    <row r="5751" spans="1:13" x14ac:dyDescent="0.3">
      <c r="A5751" s="733" t="s">
        <v>5792</v>
      </c>
      <c r="B5751" s="733" t="s">
        <v>645</v>
      </c>
      <c r="C5751" s="733" t="s">
        <v>5793</v>
      </c>
      <c r="D5751" s="733"/>
      <c r="E5751" s="733"/>
      <c r="G5751" s="733"/>
      <c r="H5751" s="733"/>
      <c r="I5751" s="733"/>
      <c r="J5751" s="733"/>
      <c r="K5751" s="733"/>
      <c r="L5751" s="733"/>
      <c r="M5751" s="733"/>
    </row>
    <row r="5752" spans="1:13" x14ac:dyDescent="0.3">
      <c r="A5752" s="733" t="s">
        <v>5792</v>
      </c>
      <c r="B5752" s="733" t="s">
        <v>645</v>
      </c>
      <c r="C5752" s="733" t="s">
        <v>5794</v>
      </c>
      <c r="D5752" s="733"/>
      <c r="E5752" s="733"/>
      <c r="G5752" s="733"/>
      <c r="H5752" s="733"/>
      <c r="I5752" s="733"/>
      <c r="J5752" s="733"/>
      <c r="K5752" s="733"/>
      <c r="L5752" s="733"/>
      <c r="M5752" s="733"/>
    </row>
    <row r="5753" spans="1:13" x14ac:dyDescent="0.3">
      <c r="A5753" s="733" t="s">
        <v>5792</v>
      </c>
      <c r="B5753" s="733" t="s">
        <v>645</v>
      </c>
      <c r="C5753" s="733" t="s">
        <v>5795</v>
      </c>
      <c r="D5753" s="733"/>
      <c r="E5753" s="733"/>
      <c r="G5753" s="733"/>
      <c r="H5753" s="733"/>
      <c r="I5753" s="733"/>
      <c r="J5753" s="733"/>
      <c r="K5753" s="733"/>
      <c r="L5753" s="733"/>
      <c r="M5753" s="733"/>
    </row>
    <row r="5754" spans="1:13" x14ac:dyDescent="0.3">
      <c r="A5754" s="733" t="s">
        <v>5792</v>
      </c>
      <c r="B5754" s="733" t="s">
        <v>645</v>
      </c>
      <c r="C5754" s="733" t="s">
        <v>5796</v>
      </c>
      <c r="D5754" s="733"/>
      <c r="E5754" s="733"/>
      <c r="G5754" s="733"/>
      <c r="H5754" s="733"/>
      <c r="I5754" s="733"/>
      <c r="J5754" s="733"/>
      <c r="K5754" s="733"/>
      <c r="L5754" s="733"/>
      <c r="M5754" s="733"/>
    </row>
    <row r="5755" spans="1:13" x14ac:dyDescent="0.3">
      <c r="A5755" s="733" t="s">
        <v>5792</v>
      </c>
      <c r="B5755" s="733" t="s">
        <v>645</v>
      </c>
      <c r="C5755" s="733" t="s">
        <v>5797</v>
      </c>
      <c r="D5755" s="733"/>
      <c r="E5755" s="733"/>
      <c r="G5755" s="733"/>
      <c r="H5755" s="733"/>
      <c r="I5755" s="733"/>
      <c r="J5755" s="733"/>
      <c r="K5755" s="733"/>
      <c r="L5755" s="733"/>
      <c r="M5755" s="733"/>
    </row>
    <row r="5756" spans="1:13" x14ac:dyDescent="0.3">
      <c r="A5756" s="733" t="s">
        <v>5792</v>
      </c>
      <c r="B5756" s="733" t="s">
        <v>645</v>
      </c>
      <c r="C5756" s="733" t="s">
        <v>5798</v>
      </c>
      <c r="D5756" s="733"/>
      <c r="E5756" s="733"/>
      <c r="G5756" s="733"/>
      <c r="H5756" s="733"/>
      <c r="I5756" s="733"/>
      <c r="J5756" s="733"/>
      <c r="K5756" s="733"/>
      <c r="L5756" s="733"/>
      <c r="M5756" s="733"/>
    </row>
    <row r="5757" spans="1:13" x14ac:dyDescent="0.3">
      <c r="A5757" s="733" t="s">
        <v>5792</v>
      </c>
      <c r="B5757" s="733" t="s">
        <v>645</v>
      </c>
      <c r="C5757" s="733" t="s">
        <v>5799</v>
      </c>
      <c r="D5757" s="733"/>
      <c r="E5757" s="733"/>
      <c r="G5757" s="733"/>
      <c r="H5757" s="733"/>
      <c r="I5757" s="733"/>
      <c r="J5757" s="733"/>
      <c r="K5757" s="733"/>
      <c r="L5757" s="733"/>
      <c r="M5757" s="733"/>
    </row>
    <row r="5758" spans="1:13" x14ac:dyDescent="0.3">
      <c r="A5758" s="733" t="s">
        <v>5792</v>
      </c>
      <c r="B5758" s="733" t="s">
        <v>645</v>
      </c>
      <c r="C5758" s="733" t="s">
        <v>5800</v>
      </c>
      <c r="D5758" s="733"/>
      <c r="E5758" s="733"/>
      <c r="G5758" s="733"/>
      <c r="H5758" s="733"/>
      <c r="I5758" s="733"/>
      <c r="J5758" s="733"/>
      <c r="K5758" s="733"/>
      <c r="L5758" s="733"/>
      <c r="M5758" s="733"/>
    </row>
    <row r="5759" spans="1:13" x14ac:dyDescent="0.3">
      <c r="A5759" s="733" t="s">
        <v>5792</v>
      </c>
      <c r="B5759" s="733" t="s">
        <v>645</v>
      </c>
      <c r="C5759" s="733" t="s">
        <v>5801</v>
      </c>
      <c r="D5759" s="733"/>
      <c r="E5759" s="733"/>
      <c r="G5759" s="733"/>
      <c r="H5759" s="733"/>
      <c r="I5759" s="733"/>
      <c r="J5759" s="733"/>
      <c r="K5759" s="733"/>
      <c r="L5759" s="733"/>
      <c r="M5759" s="733"/>
    </row>
    <row r="5760" spans="1:13" x14ac:dyDescent="0.3">
      <c r="A5760" s="733" t="s">
        <v>5792</v>
      </c>
      <c r="B5760" s="733" t="s">
        <v>645</v>
      </c>
      <c r="C5760" s="733" t="s">
        <v>5802</v>
      </c>
      <c r="D5760" s="733"/>
      <c r="E5760" s="733"/>
      <c r="G5760" s="733"/>
      <c r="H5760" s="733"/>
      <c r="I5760" s="733"/>
      <c r="J5760" s="733"/>
      <c r="K5760" s="733"/>
      <c r="L5760" s="733"/>
      <c r="M5760" s="733"/>
    </row>
    <row r="5761" spans="1:13" x14ac:dyDescent="0.3">
      <c r="A5761" s="733" t="s">
        <v>5792</v>
      </c>
      <c r="B5761" s="733" t="s">
        <v>664</v>
      </c>
      <c r="C5761" s="733" t="s">
        <v>5803</v>
      </c>
      <c r="D5761" s="733"/>
      <c r="E5761" s="733"/>
      <c r="G5761" s="733"/>
      <c r="H5761" s="733"/>
      <c r="I5761" s="733"/>
      <c r="J5761" s="733"/>
      <c r="K5761" s="733"/>
      <c r="L5761" s="733"/>
      <c r="M5761" s="733"/>
    </row>
    <row r="5762" spans="1:13" x14ac:dyDescent="0.3">
      <c r="A5762" s="733" t="s">
        <v>5792</v>
      </c>
      <c r="B5762" s="733" t="s">
        <v>664</v>
      </c>
      <c r="C5762" s="733" t="s">
        <v>5804</v>
      </c>
      <c r="D5762" s="733"/>
      <c r="E5762" s="733"/>
      <c r="G5762" s="733"/>
      <c r="H5762" s="733"/>
      <c r="I5762" s="733"/>
      <c r="J5762" s="733"/>
      <c r="K5762" s="733"/>
      <c r="L5762" s="733"/>
      <c r="M5762" s="733"/>
    </row>
    <row r="5763" spans="1:13" x14ac:dyDescent="0.3">
      <c r="A5763" s="733" t="s">
        <v>5792</v>
      </c>
      <c r="B5763" s="733" t="s">
        <v>664</v>
      </c>
      <c r="C5763" s="733" t="s">
        <v>5805</v>
      </c>
      <c r="D5763" s="733"/>
      <c r="E5763" s="733"/>
      <c r="G5763" s="733"/>
      <c r="H5763" s="733"/>
      <c r="I5763" s="733"/>
      <c r="J5763" s="733"/>
      <c r="K5763" s="733"/>
      <c r="L5763" s="733"/>
      <c r="M5763" s="733"/>
    </row>
    <row r="5764" spans="1:13" x14ac:dyDescent="0.3">
      <c r="A5764" s="733" t="s">
        <v>5792</v>
      </c>
      <c r="B5764" s="733" t="s">
        <v>664</v>
      </c>
      <c r="C5764" s="733" t="s">
        <v>5806</v>
      </c>
      <c r="D5764" s="733"/>
      <c r="E5764" s="733"/>
      <c r="G5764" s="733"/>
      <c r="H5764" s="733"/>
      <c r="I5764" s="733"/>
      <c r="J5764" s="733"/>
      <c r="K5764" s="733"/>
      <c r="L5764" s="733"/>
      <c r="M5764" s="733"/>
    </row>
    <row r="5765" spans="1:13" x14ac:dyDescent="0.3">
      <c r="A5765" s="733" t="s">
        <v>5792</v>
      </c>
      <c r="B5765" s="733" t="s">
        <v>664</v>
      </c>
      <c r="C5765" s="733" t="s">
        <v>5807</v>
      </c>
      <c r="D5765" s="733"/>
      <c r="E5765" s="733"/>
      <c r="G5765" s="733"/>
      <c r="H5765" s="733"/>
      <c r="I5765" s="733"/>
      <c r="J5765" s="733"/>
      <c r="K5765" s="733"/>
      <c r="L5765" s="733"/>
      <c r="M5765" s="733"/>
    </row>
    <row r="5766" spans="1:13" x14ac:dyDescent="0.3">
      <c r="A5766" s="733" t="s">
        <v>5792</v>
      </c>
      <c r="B5766" s="733" t="s">
        <v>664</v>
      </c>
      <c r="C5766" s="733" t="s">
        <v>5808</v>
      </c>
      <c r="D5766" s="733"/>
      <c r="E5766" s="733"/>
      <c r="G5766" s="733"/>
      <c r="H5766" s="733"/>
      <c r="I5766" s="733"/>
      <c r="J5766" s="733"/>
      <c r="K5766" s="733"/>
      <c r="L5766" s="733"/>
      <c r="M5766" s="733"/>
    </row>
    <row r="5767" spans="1:13" x14ac:dyDescent="0.3">
      <c r="A5767" s="733" t="s">
        <v>5792</v>
      </c>
      <c r="B5767" s="733" t="s">
        <v>664</v>
      </c>
      <c r="C5767" s="733" t="s">
        <v>5809</v>
      </c>
      <c r="D5767" s="733"/>
      <c r="E5767" s="733"/>
      <c r="G5767" s="733"/>
      <c r="H5767" s="733"/>
      <c r="I5767" s="733"/>
      <c r="J5767" s="733"/>
      <c r="K5767" s="733"/>
      <c r="L5767" s="733"/>
      <c r="M5767" s="733"/>
    </row>
    <row r="5768" spans="1:13" x14ac:dyDescent="0.3">
      <c r="A5768" s="733" t="s">
        <v>5792</v>
      </c>
      <c r="B5768" s="733" t="s">
        <v>664</v>
      </c>
      <c r="C5768" s="733" t="s">
        <v>5810</v>
      </c>
      <c r="D5768" s="733"/>
      <c r="E5768" s="733"/>
      <c r="G5768" s="733"/>
      <c r="H5768" s="733"/>
      <c r="I5768" s="733"/>
      <c r="J5768" s="733"/>
      <c r="K5768" s="733"/>
      <c r="L5768" s="733"/>
      <c r="M5768" s="733"/>
    </row>
    <row r="5769" spans="1:13" x14ac:dyDescent="0.3">
      <c r="A5769" s="733" t="s">
        <v>5792</v>
      </c>
      <c r="B5769" s="733" t="s">
        <v>664</v>
      </c>
      <c r="C5769" s="733" t="s">
        <v>5811</v>
      </c>
      <c r="D5769" s="733"/>
      <c r="E5769" s="733"/>
      <c r="G5769" s="733"/>
      <c r="H5769" s="733"/>
      <c r="I5769" s="733"/>
      <c r="J5769" s="733"/>
      <c r="K5769" s="733"/>
      <c r="L5769" s="733"/>
      <c r="M5769" s="733"/>
    </row>
    <row r="5770" spans="1:13" x14ac:dyDescent="0.3">
      <c r="A5770" s="733" t="s">
        <v>5792</v>
      </c>
      <c r="B5770" s="733" t="s">
        <v>664</v>
      </c>
      <c r="C5770" s="733" t="s">
        <v>5812</v>
      </c>
      <c r="D5770" s="733"/>
      <c r="E5770" s="733"/>
      <c r="G5770" s="733"/>
      <c r="H5770" s="733"/>
      <c r="I5770" s="733"/>
      <c r="J5770" s="733"/>
      <c r="K5770" s="733"/>
      <c r="L5770" s="733"/>
      <c r="M5770" s="733"/>
    </row>
    <row r="5771" spans="1:13" x14ac:dyDescent="0.3">
      <c r="A5771" s="733" t="s">
        <v>5792</v>
      </c>
      <c r="B5771" s="733" t="s">
        <v>612</v>
      </c>
      <c r="C5771" s="733" t="s">
        <v>5813</v>
      </c>
      <c r="D5771" s="733"/>
      <c r="E5771" s="733"/>
      <c r="G5771" s="733"/>
      <c r="H5771" s="733"/>
      <c r="I5771" s="733"/>
      <c r="J5771" s="733"/>
      <c r="K5771" s="733"/>
      <c r="L5771" s="733"/>
      <c r="M5771" s="733"/>
    </row>
    <row r="5772" spans="1:13" x14ac:dyDescent="0.3">
      <c r="A5772" s="733" t="s">
        <v>5792</v>
      </c>
      <c r="B5772" s="733" t="s">
        <v>612</v>
      </c>
      <c r="C5772" s="733" t="s">
        <v>5814</v>
      </c>
      <c r="D5772" s="733"/>
      <c r="E5772" s="733"/>
      <c r="G5772" s="733"/>
      <c r="H5772" s="733"/>
      <c r="I5772" s="733"/>
      <c r="J5772" s="733"/>
      <c r="K5772" s="733"/>
      <c r="L5772" s="733"/>
      <c r="M5772" s="733"/>
    </row>
    <row r="5773" spans="1:13" x14ac:dyDescent="0.3">
      <c r="A5773" s="733" t="s">
        <v>5792</v>
      </c>
      <c r="B5773" s="733" t="s">
        <v>612</v>
      </c>
      <c r="C5773" s="733" t="s">
        <v>5815</v>
      </c>
      <c r="D5773" s="733"/>
      <c r="E5773" s="733"/>
      <c r="G5773" s="733"/>
      <c r="H5773" s="733"/>
      <c r="I5773" s="733"/>
      <c r="J5773" s="733"/>
      <c r="K5773" s="733"/>
      <c r="L5773" s="733"/>
      <c r="M5773" s="733"/>
    </row>
    <row r="5774" spans="1:13" x14ac:dyDescent="0.3">
      <c r="A5774" s="733" t="s">
        <v>5792</v>
      </c>
      <c r="B5774" s="733" t="s">
        <v>612</v>
      </c>
      <c r="C5774" s="733" t="s">
        <v>5816</v>
      </c>
      <c r="D5774" s="733"/>
      <c r="E5774" s="733"/>
      <c r="G5774" s="733"/>
      <c r="H5774" s="733"/>
      <c r="I5774" s="733"/>
      <c r="J5774" s="733"/>
      <c r="K5774" s="733"/>
      <c r="L5774" s="733"/>
      <c r="M5774" s="733"/>
    </row>
    <row r="5775" spans="1:13" x14ac:dyDescent="0.3">
      <c r="A5775" s="733" t="s">
        <v>5792</v>
      </c>
      <c r="B5775" s="733" t="s">
        <v>612</v>
      </c>
      <c r="C5775" s="733" t="s">
        <v>5817</v>
      </c>
      <c r="D5775" s="733"/>
      <c r="E5775" s="733"/>
      <c r="G5775" s="733"/>
      <c r="H5775" s="733"/>
      <c r="I5775" s="733"/>
      <c r="J5775" s="733"/>
      <c r="K5775" s="733"/>
      <c r="L5775" s="733"/>
      <c r="M5775" s="733"/>
    </row>
    <row r="5776" spans="1:13" x14ac:dyDescent="0.3">
      <c r="A5776" s="733" t="s">
        <v>5792</v>
      </c>
      <c r="B5776" s="733" t="s">
        <v>612</v>
      </c>
      <c r="C5776" s="733" t="s">
        <v>5818</v>
      </c>
      <c r="D5776" s="733"/>
      <c r="E5776" s="733"/>
      <c r="G5776" s="733"/>
      <c r="H5776" s="733"/>
      <c r="I5776" s="733"/>
      <c r="J5776" s="733"/>
      <c r="K5776" s="733"/>
      <c r="L5776" s="733"/>
      <c r="M5776" s="733"/>
    </row>
    <row r="5777" spans="1:13" x14ac:dyDescent="0.3">
      <c r="A5777" s="733" t="s">
        <v>5792</v>
      </c>
      <c r="B5777" s="733" t="s">
        <v>612</v>
      </c>
      <c r="C5777" s="733" t="s">
        <v>5819</v>
      </c>
      <c r="D5777" s="733"/>
      <c r="E5777" s="733"/>
      <c r="G5777" s="733"/>
      <c r="H5777" s="733"/>
      <c r="I5777" s="733"/>
      <c r="J5777" s="733"/>
      <c r="K5777" s="733"/>
      <c r="L5777" s="733"/>
      <c r="M5777" s="733"/>
    </row>
    <row r="5778" spans="1:13" x14ac:dyDescent="0.3">
      <c r="A5778" s="733" t="s">
        <v>5792</v>
      </c>
      <c r="B5778" s="733" t="s">
        <v>612</v>
      </c>
      <c r="C5778" s="733" t="s">
        <v>5820</v>
      </c>
      <c r="D5778" s="733"/>
      <c r="E5778" s="733"/>
      <c r="G5778" s="733"/>
      <c r="H5778" s="733"/>
      <c r="I5778" s="733"/>
      <c r="J5778" s="733"/>
      <c r="K5778" s="733"/>
      <c r="L5778" s="733"/>
      <c r="M5778" s="733"/>
    </row>
    <row r="5779" spans="1:13" x14ac:dyDescent="0.3">
      <c r="A5779" s="733" t="s">
        <v>5792</v>
      </c>
      <c r="B5779" s="733" t="s">
        <v>612</v>
      </c>
      <c r="C5779" s="733" t="s">
        <v>5821</v>
      </c>
      <c r="D5779" s="733"/>
      <c r="E5779" s="733"/>
      <c r="G5779" s="733"/>
      <c r="H5779" s="733"/>
      <c r="I5779" s="733"/>
      <c r="J5779" s="733"/>
      <c r="K5779" s="733"/>
      <c r="L5779" s="733"/>
      <c r="M5779" s="733"/>
    </row>
    <row r="5780" spans="1:13" x14ac:dyDescent="0.3">
      <c r="A5780" s="733" t="s">
        <v>5792</v>
      </c>
      <c r="B5780" s="733" t="s">
        <v>612</v>
      </c>
      <c r="C5780" s="733" t="s">
        <v>5822</v>
      </c>
      <c r="D5780" s="733"/>
      <c r="E5780" s="733"/>
      <c r="G5780" s="733"/>
      <c r="H5780" s="733"/>
      <c r="I5780" s="733"/>
      <c r="J5780" s="733"/>
      <c r="K5780" s="733"/>
      <c r="L5780" s="733"/>
      <c r="M5780" s="733"/>
    </row>
    <row r="5781" spans="1:13" x14ac:dyDescent="0.3">
      <c r="A5781" s="733" t="s">
        <v>5823</v>
      </c>
      <c r="B5781" s="733" t="s">
        <v>645</v>
      </c>
      <c r="C5781" s="733" t="s">
        <v>5824</v>
      </c>
      <c r="D5781" s="733"/>
      <c r="E5781" s="733"/>
      <c r="G5781" s="733"/>
      <c r="H5781" s="733"/>
      <c r="I5781" s="733"/>
      <c r="J5781" s="733"/>
      <c r="K5781" s="733"/>
      <c r="L5781" s="733"/>
      <c r="M5781" s="733"/>
    </row>
    <row r="5782" spans="1:13" x14ac:dyDescent="0.3">
      <c r="A5782" s="733" t="s">
        <v>5823</v>
      </c>
      <c r="B5782" s="733" t="s">
        <v>645</v>
      </c>
      <c r="C5782" s="733" t="s">
        <v>5825</v>
      </c>
      <c r="D5782" s="733"/>
      <c r="E5782" s="733"/>
      <c r="G5782" s="733"/>
      <c r="H5782" s="733"/>
      <c r="I5782" s="733"/>
      <c r="J5782" s="733"/>
      <c r="K5782" s="733"/>
      <c r="L5782" s="733"/>
      <c r="M5782" s="733"/>
    </row>
    <row r="5783" spans="1:13" x14ac:dyDescent="0.3">
      <c r="A5783" s="733" t="s">
        <v>5823</v>
      </c>
      <c r="B5783" s="733" t="s">
        <v>645</v>
      </c>
      <c r="C5783" s="733" t="s">
        <v>5826</v>
      </c>
      <c r="D5783" s="733"/>
      <c r="E5783" s="733"/>
      <c r="G5783" s="733"/>
      <c r="H5783" s="733"/>
      <c r="I5783" s="733"/>
      <c r="J5783" s="733"/>
      <c r="K5783" s="733"/>
      <c r="L5783" s="733"/>
      <c r="M5783" s="733"/>
    </row>
    <row r="5784" spans="1:13" x14ac:dyDescent="0.3">
      <c r="A5784" s="733" t="s">
        <v>5823</v>
      </c>
      <c r="B5784" s="733" t="s">
        <v>645</v>
      </c>
      <c r="C5784" s="733" t="s">
        <v>5827</v>
      </c>
      <c r="D5784" s="733"/>
      <c r="E5784" s="733"/>
      <c r="G5784" s="733"/>
      <c r="H5784" s="733"/>
      <c r="I5784" s="733"/>
      <c r="J5784" s="733"/>
      <c r="K5784" s="733"/>
      <c r="L5784" s="733"/>
      <c r="M5784" s="733"/>
    </row>
    <row r="5785" spans="1:13" x14ac:dyDescent="0.3">
      <c r="A5785" s="733" t="s">
        <v>5823</v>
      </c>
      <c r="B5785" s="733" t="s">
        <v>645</v>
      </c>
      <c r="C5785" s="733" t="s">
        <v>5828</v>
      </c>
      <c r="D5785" s="733"/>
      <c r="E5785" s="733"/>
      <c r="G5785" s="733"/>
      <c r="H5785" s="733"/>
      <c r="I5785" s="733"/>
      <c r="J5785" s="733"/>
      <c r="K5785" s="733"/>
      <c r="L5785" s="733"/>
      <c r="M5785" s="733"/>
    </row>
    <row r="5786" spans="1:13" x14ac:dyDescent="0.3">
      <c r="A5786" s="733" t="s">
        <v>5823</v>
      </c>
      <c r="B5786" s="733" t="s">
        <v>645</v>
      </c>
      <c r="C5786" s="733" t="s">
        <v>5829</v>
      </c>
      <c r="D5786" s="733"/>
      <c r="E5786" s="733"/>
      <c r="G5786" s="733"/>
      <c r="H5786" s="733"/>
      <c r="I5786" s="733"/>
      <c r="J5786" s="733"/>
      <c r="K5786" s="733"/>
      <c r="L5786" s="733"/>
      <c r="M5786" s="733"/>
    </row>
    <row r="5787" spans="1:13" x14ac:dyDescent="0.3">
      <c r="A5787" s="733" t="s">
        <v>5823</v>
      </c>
      <c r="B5787" s="733" t="s">
        <v>645</v>
      </c>
      <c r="C5787" s="733" t="s">
        <v>5830</v>
      </c>
      <c r="D5787" s="733"/>
      <c r="E5787" s="733"/>
      <c r="G5787" s="733"/>
      <c r="H5787" s="733"/>
      <c r="I5787" s="733"/>
      <c r="J5787" s="733"/>
      <c r="K5787" s="733"/>
      <c r="L5787" s="733"/>
      <c r="M5787" s="733"/>
    </row>
    <row r="5788" spans="1:13" x14ac:dyDescent="0.3">
      <c r="A5788" s="733" t="s">
        <v>5823</v>
      </c>
      <c r="B5788" s="733" t="s">
        <v>645</v>
      </c>
      <c r="C5788" s="733" t="s">
        <v>5831</v>
      </c>
      <c r="D5788" s="733"/>
      <c r="E5788" s="733"/>
      <c r="G5788" s="733"/>
      <c r="H5788" s="733"/>
      <c r="I5788" s="733"/>
      <c r="J5788" s="733"/>
      <c r="K5788" s="733"/>
      <c r="L5788" s="733"/>
      <c r="M5788" s="733"/>
    </row>
    <row r="5789" spans="1:13" x14ac:dyDescent="0.3">
      <c r="A5789" s="733" t="s">
        <v>5823</v>
      </c>
      <c r="B5789" s="733" t="s">
        <v>645</v>
      </c>
      <c r="C5789" s="733" t="s">
        <v>5832</v>
      </c>
      <c r="D5789" s="733"/>
      <c r="E5789" s="733"/>
      <c r="G5789" s="733"/>
      <c r="H5789" s="733"/>
      <c r="I5789" s="733"/>
      <c r="J5789" s="733"/>
      <c r="K5789" s="733"/>
      <c r="L5789" s="733"/>
      <c r="M5789" s="733"/>
    </row>
    <row r="5790" spans="1:13" x14ac:dyDescent="0.3">
      <c r="A5790" s="733" t="s">
        <v>5823</v>
      </c>
      <c r="B5790" s="733" t="s">
        <v>645</v>
      </c>
      <c r="C5790" s="733" t="s">
        <v>5833</v>
      </c>
      <c r="D5790" s="733"/>
      <c r="E5790" s="733"/>
      <c r="G5790" s="733"/>
      <c r="H5790" s="733"/>
      <c r="I5790" s="733"/>
      <c r="J5790" s="733"/>
      <c r="K5790" s="733"/>
      <c r="L5790" s="733"/>
      <c r="M5790" s="733"/>
    </row>
    <row r="5791" spans="1:13" x14ac:dyDescent="0.3">
      <c r="A5791" s="733" t="s">
        <v>5823</v>
      </c>
      <c r="B5791" s="733" t="s">
        <v>664</v>
      </c>
      <c r="C5791" s="738" t="s">
        <v>5834</v>
      </c>
      <c r="D5791" s="733"/>
      <c r="E5791" s="733"/>
      <c r="G5791" s="733"/>
      <c r="H5791" s="733"/>
      <c r="I5791" s="733"/>
      <c r="J5791" s="733"/>
      <c r="K5791" s="733"/>
      <c r="L5791" s="733"/>
      <c r="M5791" s="733"/>
    </row>
    <row r="5792" spans="1:13" x14ac:dyDescent="0.3">
      <c r="A5792" s="733" t="s">
        <v>5823</v>
      </c>
      <c r="B5792" s="733" t="s">
        <v>664</v>
      </c>
      <c r="C5792" s="738" t="s">
        <v>5835</v>
      </c>
      <c r="D5792" s="733"/>
      <c r="E5792" s="733"/>
      <c r="G5792" s="733"/>
      <c r="H5792" s="733"/>
      <c r="I5792" s="733"/>
      <c r="J5792" s="733"/>
      <c r="K5792" s="733"/>
      <c r="L5792" s="733"/>
      <c r="M5792" s="733"/>
    </row>
    <row r="5793" spans="1:13" x14ac:dyDescent="0.3">
      <c r="A5793" s="733" t="s">
        <v>5823</v>
      </c>
      <c r="B5793" s="733" t="s">
        <v>664</v>
      </c>
      <c r="C5793" s="738" t="s">
        <v>5836</v>
      </c>
      <c r="D5793" s="733"/>
      <c r="E5793" s="733"/>
      <c r="G5793" s="733"/>
      <c r="H5793" s="733"/>
      <c r="I5793" s="733"/>
      <c r="J5793" s="733"/>
      <c r="K5793" s="733"/>
      <c r="L5793" s="733"/>
      <c r="M5793" s="733"/>
    </row>
    <row r="5794" spans="1:13" x14ac:dyDescent="0.3">
      <c r="A5794" s="733" t="s">
        <v>5823</v>
      </c>
      <c r="B5794" s="733" t="s">
        <v>664</v>
      </c>
      <c r="C5794" s="738" t="s">
        <v>5837</v>
      </c>
      <c r="D5794" s="733"/>
      <c r="E5794" s="733"/>
      <c r="G5794" s="733"/>
      <c r="H5794" s="733"/>
      <c r="I5794" s="733"/>
      <c r="J5794" s="733"/>
      <c r="K5794" s="733"/>
      <c r="L5794" s="733"/>
      <c r="M5794" s="733"/>
    </row>
    <row r="5795" spans="1:13" x14ac:dyDescent="0.3">
      <c r="A5795" s="733" t="s">
        <v>5823</v>
      </c>
      <c r="B5795" s="733" t="s">
        <v>664</v>
      </c>
      <c r="C5795" s="738" t="s">
        <v>5838</v>
      </c>
      <c r="D5795" s="733"/>
      <c r="E5795" s="733"/>
      <c r="G5795" s="733"/>
      <c r="H5795" s="733"/>
      <c r="I5795" s="733"/>
      <c r="J5795" s="733"/>
      <c r="K5795" s="733"/>
      <c r="L5795" s="733"/>
      <c r="M5795" s="733"/>
    </row>
    <row r="5796" spans="1:13" x14ac:dyDescent="0.3">
      <c r="A5796" s="733" t="s">
        <v>5823</v>
      </c>
      <c r="B5796" s="733" t="s">
        <v>664</v>
      </c>
      <c r="C5796" s="738" t="s">
        <v>5839</v>
      </c>
      <c r="D5796" s="733"/>
      <c r="E5796" s="733"/>
      <c r="G5796" s="733"/>
      <c r="H5796" s="733"/>
      <c r="I5796" s="733"/>
      <c r="J5796" s="733"/>
      <c r="K5796" s="733"/>
      <c r="L5796" s="733"/>
      <c r="M5796" s="733"/>
    </row>
    <row r="5797" spans="1:13" x14ac:dyDescent="0.3">
      <c r="A5797" s="733" t="s">
        <v>5823</v>
      </c>
      <c r="B5797" s="733" t="s">
        <v>664</v>
      </c>
      <c r="C5797" s="738" t="s">
        <v>5840</v>
      </c>
      <c r="D5797" s="733"/>
      <c r="E5797" s="733"/>
      <c r="G5797" s="733"/>
      <c r="H5797" s="733"/>
      <c r="I5797" s="733"/>
      <c r="J5797" s="733"/>
      <c r="K5797" s="733"/>
      <c r="L5797" s="733"/>
      <c r="M5797" s="733"/>
    </row>
    <row r="5798" spans="1:13" x14ac:dyDescent="0.3">
      <c r="A5798" s="733" t="s">
        <v>5823</v>
      </c>
      <c r="B5798" s="733" t="s">
        <v>664</v>
      </c>
      <c r="C5798" s="738" t="s">
        <v>5841</v>
      </c>
      <c r="D5798" s="733"/>
      <c r="E5798" s="733"/>
      <c r="G5798" s="733"/>
      <c r="H5798" s="733"/>
      <c r="I5798" s="733"/>
      <c r="J5798" s="733"/>
      <c r="K5798" s="733"/>
      <c r="L5798" s="733"/>
      <c r="M5798" s="733"/>
    </row>
    <row r="5799" spans="1:13" x14ac:dyDescent="0.3">
      <c r="A5799" s="733" t="s">
        <v>5823</v>
      </c>
      <c r="B5799" s="733" t="s">
        <v>664</v>
      </c>
      <c r="C5799" s="738" t="s">
        <v>5842</v>
      </c>
      <c r="D5799" s="733"/>
      <c r="E5799" s="733"/>
      <c r="G5799" s="733"/>
      <c r="H5799" s="733"/>
      <c r="I5799" s="733"/>
      <c r="J5799" s="733"/>
      <c r="K5799" s="733"/>
      <c r="L5799" s="733"/>
      <c r="M5799" s="733"/>
    </row>
    <row r="5800" spans="1:13" x14ac:dyDescent="0.3">
      <c r="A5800" s="733" t="s">
        <v>5823</v>
      </c>
      <c r="B5800" s="733" t="s">
        <v>664</v>
      </c>
      <c r="C5800" s="738" t="s">
        <v>5843</v>
      </c>
      <c r="D5800" s="733"/>
      <c r="E5800" s="733"/>
      <c r="G5800" s="733"/>
      <c r="H5800" s="733"/>
      <c r="I5800" s="733"/>
      <c r="J5800" s="733"/>
      <c r="K5800" s="733"/>
      <c r="L5800" s="733"/>
      <c r="M5800" s="733"/>
    </row>
    <row r="5801" spans="1:13" x14ac:dyDescent="0.3">
      <c r="A5801" s="733" t="s">
        <v>5823</v>
      </c>
      <c r="B5801" s="733" t="s">
        <v>612</v>
      </c>
      <c r="C5801" s="738" t="s">
        <v>5844</v>
      </c>
      <c r="D5801" s="733"/>
      <c r="E5801" s="733"/>
      <c r="G5801" s="733"/>
      <c r="H5801" s="733"/>
      <c r="I5801" s="733"/>
      <c r="J5801" s="733"/>
      <c r="K5801" s="733"/>
      <c r="L5801" s="733"/>
      <c r="M5801" s="733"/>
    </row>
    <row r="5802" spans="1:13" x14ac:dyDescent="0.3">
      <c r="A5802" s="733" t="s">
        <v>5823</v>
      </c>
      <c r="B5802" s="733" t="s">
        <v>612</v>
      </c>
      <c r="C5802" s="738" t="s">
        <v>5845</v>
      </c>
      <c r="D5802" s="733"/>
      <c r="E5802" s="733"/>
      <c r="G5802" s="733"/>
      <c r="H5802" s="733"/>
      <c r="I5802" s="733"/>
      <c r="J5802" s="733"/>
      <c r="K5802" s="733"/>
      <c r="L5802" s="733"/>
      <c r="M5802" s="733"/>
    </row>
    <row r="5803" spans="1:13" x14ac:dyDescent="0.3">
      <c r="A5803" s="733" t="s">
        <v>5823</v>
      </c>
      <c r="B5803" s="733" t="s">
        <v>612</v>
      </c>
      <c r="C5803" s="738" t="s">
        <v>5846</v>
      </c>
      <c r="D5803" s="733"/>
      <c r="E5803" s="733"/>
      <c r="G5803" s="733"/>
      <c r="H5803" s="733"/>
      <c r="I5803" s="733"/>
      <c r="J5803" s="733"/>
      <c r="K5803" s="733"/>
      <c r="L5803" s="733"/>
      <c r="M5803" s="733"/>
    </row>
    <row r="5804" spans="1:13" x14ac:dyDescent="0.3">
      <c r="A5804" s="733" t="s">
        <v>5823</v>
      </c>
      <c r="B5804" s="733" t="s">
        <v>612</v>
      </c>
      <c r="C5804" s="738" t="s">
        <v>5847</v>
      </c>
      <c r="D5804" s="733"/>
      <c r="E5804" s="733"/>
      <c r="G5804" s="733"/>
      <c r="H5804" s="733"/>
      <c r="I5804" s="733"/>
      <c r="J5804" s="733"/>
      <c r="K5804" s="733"/>
      <c r="L5804" s="733"/>
      <c r="M5804" s="733"/>
    </row>
    <row r="5805" spans="1:13" x14ac:dyDescent="0.3">
      <c r="A5805" s="733" t="s">
        <v>5823</v>
      </c>
      <c r="B5805" s="733" t="s">
        <v>612</v>
      </c>
      <c r="C5805" s="738" t="s">
        <v>5848</v>
      </c>
      <c r="D5805" s="733"/>
      <c r="E5805" s="733"/>
      <c r="G5805" s="733"/>
      <c r="H5805" s="733"/>
      <c r="I5805" s="733"/>
      <c r="J5805" s="733"/>
      <c r="K5805" s="733"/>
      <c r="L5805" s="733"/>
      <c r="M5805" s="733"/>
    </row>
    <row r="5806" spans="1:13" x14ac:dyDescent="0.3">
      <c r="A5806" s="733" t="s">
        <v>5823</v>
      </c>
      <c r="B5806" s="733" t="s">
        <v>612</v>
      </c>
      <c r="C5806" s="738" t="s">
        <v>5849</v>
      </c>
      <c r="D5806" s="733"/>
      <c r="E5806" s="733"/>
      <c r="G5806" s="733"/>
      <c r="H5806" s="733"/>
      <c r="I5806" s="733"/>
      <c r="J5806" s="733"/>
      <c r="K5806" s="733"/>
      <c r="L5806" s="733"/>
      <c r="M5806" s="733"/>
    </row>
    <row r="5807" spans="1:13" x14ac:dyDescent="0.3">
      <c r="A5807" s="733" t="s">
        <v>5823</v>
      </c>
      <c r="B5807" s="733" t="s">
        <v>612</v>
      </c>
      <c r="C5807" s="738" t="s">
        <v>5850</v>
      </c>
      <c r="D5807" s="733"/>
      <c r="E5807" s="733"/>
      <c r="G5807" s="733"/>
      <c r="H5807" s="733"/>
      <c r="I5807" s="733"/>
      <c r="J5807" s="733"/>
      <c r="K5807" s="733"/>
      <c r="L5807" s="733"/>
      <c r="M5807" s="733"/>
    </row>
    <row r="5808" spans="1:13" x14ac:dyDescent="0.3">
      <c r="A5808" s="733" t="s">
        <v>5823</v>
      </c>
      <c r="B5808" s="733" t="s">
        <v>612</v>
      </c>
      <c r="C5808" s="738" t="s">
        <v>5851</v>
      </c>
      <c r="D5808" s="733"/>
      <c r="E5808" s="733"/>
      <c r="G5808" s="733"/>
      <c r="H5808" s="733"/>
      <c r="I5808" s="733"/>
      <c r="J5808" s="733"/>
      <c r="K5808" s="733"/>
      <c r="L5808" s="733"/>
      <c r="M5808" s="733"/>
    </row>
    <row r="5809" spans="1:13" x14ac:dyDescent="0.3">
      <c r="A5809" s="733" t="s">
        <v>5823</v>
      </c>
      <c r="B5809" s="733" t="s">
        <v>612</v>
      </c>
      <c r="C5809" s="738" t="s">
        <v>5852</v>
      </c>
      <c r="D5809" s="733"/>
      <c r="E5809" s="733"/>
      <c r="G5809" s="733"/>
      <c r="H5809" s="733"/>
      <c r="I5809" s="733"/>
      <c r="J5809" s="733"/>
      <c r="K5809" s="733"/>
      <c r="L5809" s="733"/>
      <c r="M5809" s="733"/>
    </row>
    <row r="5810" spans="1:13" x14ac:dyDescent="0.3">
      <c r="A5810" s="733" t="s">
        <v>5823</v>
      </c>
      <c r="B5810" s="733" t="s">
        <v>612</v>
      </c>
      <c r="C5810" s="738" t="s">
        <v>5853</v>
      </c>
      <c r="D5810" s="733"/>
      <c r="E5810" s="733"/>
      <c r="G5810" s="733"/>
      <c r="H5810" s="733"/>
      <c r="I5810" s="733"/>
      <c r="J5810" s="733"/>
      <c r="K5810" s="733"/>
      <c r="L5810" s="733"/>
      <c r="M5810" s="733"/>
    </row>
    <row r="5811" spans="1:13" x14ac:dyDescent="0.3">
      <c r="A5811" s="733" t="s">
        <v>5854</v>
      </c>
      <c r="B5811" s="733" t="s">
        <v>645</v>
      </c>
      <c r="C5811" s="733" t="s">
        <v>5855</v>
      </c>
      <c r="D5811" s="733"/>
      <c r="E5811" s="733"/>
      <c r="G5811" s="733"/>
      <c r="H5811" s="733"/>
      <c r="I5811" s="733"/>
      <c r="J5811" s="733"/>
      <c r="K5811" s="733"/>
      <c r="L5811" s="733"/>
      <c r="M5811" s="733"/>
    </row>
    <row r="5812" spans="1:13" x14ac:dyDescent="0.3">
      <c r="A5812" s="733" t="s">
        <v>5854</v>
      </c>
      <c r="B5812" s="733" t="s">
        <v>645</v>
      </c>
      <c r="C5812" s="733" t="s">
        <v>5856</v>
      </c>
      <c r="D5812" s="733"/>
      <c r="E5812" s="733"/>
      <c r="G5812" s="733"/>
      <c r="H5812" s="733"/>
      <c r="I5812" s="733"/>
      <c r="J5812" s="733"/>
      <c r="K5812" s="733"/>
      <c r="L5812" s="733"/>
      <c r="M5812" s="733"/>
    </row>
    <row r="5813" spans="1:13" x14ac:dyDescent="0.3">
      <c r="A5813" s="733" t="s">
        <v>5854</v>
      </c>
      <c r="B5813" s="733" t="s">
        <v>645</v>
      </c>
      <c r="C5813" s="733" t="s">
        <v>5857</v>
      </c>
      <c r="D5813" s="733"/>
      <c r="E5813" s="733"/>
      <c r="G5813" s="733"/>
      <c r="H5813" s="733"/>
      <c r="I5813" s="733"/>
      <c r="J5813" s="733"/>
      <c r="K5813" s="733"/>
      <c r="L5813" s="733"/>
      <c r="M5813" s="733"/>
    </row>
    <row r="5814" spans="1:13" x14ac:dyDescent="0.3">
      <c r="A5814" s="733" t="s">
        <v>5854</v>
      </c>
      <c r="B5814" s="733" t="s">
        <v>645</v>
      </c>
      <c r="C5814" s="733" t="s">
        <v>5858</v>
      </c>
      <c r="D5814" s="733"/>
      <c r="E5814" s="733"/>
      <c r="G5814" s="733"/>
      <c r="H5814" s="733"/>
      <c r="I5814" s="733"/>
      <c r="J5814" s="733"/>
      <c r="K5814" s="733"/>
      <c r="L5814" s="733"/>
      <c r="M5814" s="733"/>
    </row>
    <row r="5815" spans="1:13" x14ac:dyDescent="0.3">
      <c r="A5815" s="733" t="s">
        <v>5854</v>
      </c>
      <c r="B5815" s="733" t="s">
        <v>645</v>
      </c>
      <c r="C5815" s="733" t="s">
        <v>5859</v>
      </c>
      <c r="D5815" s="733"/>
      <c r="E5815" s="733"/>
      <c r="G5815" s="733"/>
      <c r="H5815" s="733"/>
      <c r="I5815" s="733"/>
      <c r="J5815" s="733"/>
      <c r="K5815" s="733"/>
      <c r="L5815" s="733"/>
      <c r="M5815" s="733"/>
    </row>
    <row r="5816" spans="1:13" x14ac:dyDescent="0.3">
      <c r="A5816" s="733" t="s">
        <v>5854</v>
      </c>
      <c r="B5816" s="733" t="s">
        <v>645</v>
      </c>
      <c r="C5816" s="733" t="s">
        <v>5860</v>
      </c>
      <c r="D5816" s="733"/>
      <c r="E5816" s="733"/>
      <c r="G5816" s="733"/>
      <c r="H5816" s="733"/>
      <c r="I5816" s="733"/>
      <c r="J5816" s="733"/>
      <c r="K5816" s="733"/>
      <c r="L5816" s="733"/>
      <c r="M5816" s="733"/>
    </row>
    <row r="5817" spans="1:13" x14ac:dyDescent="0.3">
      <c r="A5817" s="733" t="s">
        <v>5854</v>
      </c>
      <c r="B5817" s="733" t="s">
        <v>645</v>
      </c>
      <c r="C5817" s="733" t="s">
        <v>5861</v>
      </c>
      <c r="D5817" s="733"/>
      <c r="E5817" s="733"/>
      <c r="G5817" s="733"/>
      <c r="H5817" s="733"/>
      <c r="I5817" s="733"/>
      <c r="J5817" s="733"/>
      <c r="K5817" s="733"/>
      <c r="L5817" s="733"/>
      <c r="M5817" s="733"/>
    </row>
    <row r="5818" spans="1:13" x14ac:dyDescent="0.3">
      <c r="A5818" s="733" t="s">
        <v>5854</v>
      </c>
      <c r="B5818" s="733" t="s">
        <v>645</v>
      </c>
      <c r="C5818" s="733" t="s">
        <v>5862</v>
      </c>
      <c r="D5818" s="733"/>
      <c r="E5818" s="733"/>
      <c r="G5818" s="733"/>
      <c r="H5818" s="733"/>
      <c r="I5818" s="733"/>
      <c r="J5818" s="733"/>
      <c r="K5818" s="733"/>
      <c r="L5818" s="733"/>
      <c r="M5818" s="733"/>
    </row>
    <row r="5819" spans="1:13" x14ac:dyDescent="0.3">
      <c r="A5819" s="733" t="s">
        <v>5854</v>
      </c>
      <c r="B5819" s="733" t="s">
        <v>645</v>
      </c>
      <c r="C5819" s="733" t="s">
        <v>5863</v>
      </c>
      <c r="D5819" s="733"/>
      <c r="E5819" s="733"/>
      <c r="G5819" s="733"/>
      <c r="H5819" s="733"/>
      <c r="I5819" s="733"/>
      <c r="J5819" s="733"/>
      <c r="K5819" s="733"/>
      <c r="L5819" s="733"/>
      <c r="M5819" s="733"/>
    </row>
    <row r="5820" spans="1:13" x14ac:dyDescent="0.3">
      <c r="A5820" s="733" t="s">
        <v>5854</v>
      </c>
      <c r="B5820" s="733" t="s">
        <v>645</v>
      </c>
      <c r="C5820" s="733" t="s">
        <v>5864</v>
      </c>
      <c r="D5820" s="733"/>
      <c r="E5820" s="733"/>
      <c r="G5820" s="733"/>
      <c r="H5820" s="733"/>
      <c r="I5820" s="733"/>
      <c r="J5820" s="733"/>
      <c r="K5820" s="733"/>
      <c r="L5820" s="733"/>
      <c r="M5820" s="733"/>
    </row>
    <row r="5821" spans="1:13" x14ac:dyDescent="0.3">
      <c r="A5821" s="733" t="s">
        <v>5854</v>
      </c>
      <c r="B5821" s="733" t="s">
        <v>664</v>
      </c>
      <c r="C5821" s="733" t="s">
        <v>5865</v>
      </c>
      <c r="D5821" s="733"/>
      <c r="E5821" s="733"/>
      <c r="G5821" s="733"/>
      <c r="H5821" s="733"/>
      <c r="I5821" s="733"/>
      <c r="J5821" s="733"/>
      <c r="K5821" s="733"/>
      <c r="L5821" s="733"/>
      <c r="M5821" s="733"/>
    </row>
    <row r="5822" spans="1:13" x14ac:dyDescent="0.3">
      <c r="A5822" s="733" t="s">
        <v>5854</v>
      </c>
      <c r="B5822" s="733" t="s">
        <v>664</v>
      </c>
      <c r="C5822" s="733" t="s">
        <v>5866</v>
      </c>
      <c r="D5822" s="733"/>
      <c r="E5822" s="733"/>
      <c r="G5822" s="733"/>
      <c r="H5822" s="733"/>
      <c r="I5822" s="733"/>
      <c r="J5822" s="733"/>
      <c r="K5822" s="733"/>
      <c r="L5822" s="733"/>
      <c r="M5822" s="733"/>
    </row>
    <row r="5823" spans="1:13" x14ac:dyDescent="0.3">
      <c r="A5823" s="733" t="s">
        <v>5854</v>
      </c>
      <c r="B5823" s="733" t="s">
        <v>664</v>
      </c>
      <c r="C5823" s="733" t="s">
        <v>5867</v>
      </c>
      <c r="D5823" s="733"/>
      <c r="E5823" s="733"/>
      <c r="G5823" s="733"/>
      <c r="H5823" s="733"/>
      <c r="I5823" s="733"/>
      <c r="J5823" s="733"/>
      <c r="K5823" s="733"/>
      <c r="L5823" s="733"/>
      <c r="M5823" s="733"/>
    </row>
    <row r="5824" spans="1:13" x14ac:dyDescent="0.3">
      <c r="A5824" s="733" t="s">
        <v>5854</v>
      </c>
      <c r="B5824" s="733" t="s">
        <v>664</v>
      </c>
      <c r="C5824" s="733" t="s">
        <v>5868</v>
      </c>
      <c r="D5824" s="733"/>
      <c r="E5824" s="733"/>
      <c r="G5824" s="733"/>
      <c r="H5824" s="733"/>
      <c r="I5824" s="733"/>
      <c r="J5824" s="733"/>
      <c r="K5824" s="733"/>
      <c r="L5824" s="733"/>
      <c r="M5824" s="733"/>
    </row>
    <row r="5825" spans="1:13" x14ac:dyDescent="0.3">
      <c r="A5825" s="733" t="s">
        <v>5854</v>
      </c>
      <c r="B5825" s="733" t="s">
        <v>664</v>
      </c>
      <c r="C5825" s="733" t="s">
        <v>5869</v>
      </c>
      <c r="D5825" s="733"/>
      <c r="E5825" s="733"/>
      <c r="G5825" s="733"/>
      <c r="H5825" s="733"/>
      <c r="I5825" s="733"/>
      <c r="J5825" s="733"/>
      <c r="K5825" s="733"/>
      <c r="L5825" s="733"/>
      <c r="M5825" s="733"/>
    </row>
    <row r="5826" spans="1:13" x14ac:dyDescent="0.3">
      <c r="A5826" s="733" t="s">
        <v>5854</v>
      </c>
      <c r="B5826" s="733" t="s">
        <v>664</v>
      </c>
      <c r="C5826" s="733" t="s">
        <v>5870</v>
      </c>
      <c r="D5826" s="733"/>
      <c r="E5826" s="733"/>
      <c r="G5826" s="733"/>
      <c r="H5826" s="733"/>
      <c r="I5826" s="733"/>
      <c r="J5826" s="733"/>
      <c r="K5826" s="733"/>
      <c r="L5826" s="733"/>
      <c r="M5826" s="733"/>
    </row>
    <row r="5827" spans="1:13" x14ac:dyDescent="0.3">
      <c r="A5827" s="733" t="s">
        <v>5854</v>
      </c>
      <c r="B5827" s="733" t="s">
        <v>664</v>
      </c>
      <c r="C5827" s="733" t="s">
        <v>5871</v>
      </c>
      <c r="D5827" s="733"/>
      <c r="E5827" s="733"/>
      <c r="G5827" s="733"/>
      <c r="H5827" s="733"/>
      <c r="I5827" s="733"/>
      <c r="J5827" s="733"/>
      <c r="K5827" s="733"/>
      <c r="L5827" s="733"/>
      <c r="M5827" s="733"/>
    </row>
    <row r="5828" spans="1:13" x14ac:dyDescent="0.3">
      <c r="A5828" s="733" t="s">
        <v>5854</v>
      </c>
      <c r="B5828" s="733" t="s">
        <v>664</v>
      </c>
      <c r="C5828" s="733" t="s">
        <v>5872</v>
      </c>
      <c r="D5828" s="733"/>
      <c r="E5828" s="733"/>
      <c r="G5828" s="733"/>
      <c r="H5828" s="733"/>
      <c r="I5828" s="733"/>
      <c r="J5828" s="733"/>
      <c r="K5828" s="733"/>
      <c r="L5828" s="733"/>
      <c r="M5828" s="733"/>
    </row>
    <row r="5829" spans="1:13" x14ac:dyDescent="0.3">
      <c r="A5829" s="733" t="s">
        <v>5854</v>
      </c>
      <c r="B5829" s="733" t="s">
        <v>664</v>
      </c>
      <c r="C5829" s="733" t="s">
        <v>5873</v>
      </c>
      <c r="D5829" s="733"/>
      <c r="E5829" s="733"/>
      <c r="G5829" s="733"/>
      <c r="H5829" s="733"/>
      <c r="I5829" s="733"/>
      <c r="J5829" s="733"/>
      <c r="K5829" s="733"/>
      <c r="L5829" s="733"/>
      <c r="M5829" s="733"/>
    </row>
    <row r="5830" spans="1:13" x14ac:dyDescent="0.3">
      <c r="A5830" s="733" t="s">
        <v>5854</v>
      </c>
      <c r="B5830" s="733" t="s">
        <v>664</v>
      </c>
      <c r="C5830" s="733" t="s">
        <v>5874</v>
      </c>
      <c r="D5830" s="733"/>
      <c r="E5830" s="733"/>
      <c r="G5830" s="733"/>
      <c r="H5830" s="733"/>
      <c r="I5830" s="733"/>
      <c r="J5830" s="733"/>
      <c r="K5830" s="733"/>
      <c r="L5830" s="733"/>
      <c r="M5830" s="733"/>
    </row>
    <row r="5831" spans="1:13" x14ac:dyDescent="0.3">
      <c r="A5831" s="733" t="s">
        <v>5854</v>
      </c>
      <c r="B5831" s="733" t="s">
        <v>612</v>
      </c>
      <c r="C5831" s="733" t="s">
        <v>5875</v>
      </c>
      <c r="D5831" s="733"/>
      <c r="E5831" s="733"/>
      <c r="G5831" s="733"/>
      <c r="H5831" s="733"/>
      <c r="I5831" s="733"/>
      <c r="J5831" s="733"/>
      <c r="K5831" s="733"/>
      <c r="L5831" s="733"/>
      <c r="M5831" s="733"/>
    </row>
    <row r="5832" spans="1:13" x14ac:dyDescent="0.3">
      <c r="A5832" s="733" t="s">
        <v>5854</v>
      </c>
      <c r="B5832" s="733" t="s">
        <v>612</v>
      </c>
      <c r="C5832" s="733" t="s">
        <v>5876</v>
      </c>
      <c r="D5832" s="733"/>
      <c r="E5832" s="733"/>
      <c r="G5832" s="733"/>
      <c r="H5832" s="733"/>
      <c r="I5832" s="733"/>
      <c r="J5832" s="733"/>
      <c r="K5832" s="733"/>
      <c r="L5832" s="733"/>
      <c r="M5832" s="733"/>
    </row>
    <row r="5833" spans="1:13" x14ac:dyDescent="0.3">
      <c r="A5833" s="733" t="s">
        <v>5854</v>
      </c>
      <c r="B5833" s="733" t="s">
        <v>612</v>
      </c>
      <c r="C5833" s="733" t="s">
        <v>5877</v>
      </c>
      <c r="D5833" s="733"/>
      <c r="E5833" s="733"/>
      <c r="G5833" s="733"/>
      <c r="H5833" s="733"/>
      <c r="I5833" s="733"/>
      <c r="J5833" s="733"/>
      <c r="K5833" s="733"/>
      <c r="L5833" s="733"/>
      <c r="M5833" s="733"/>
    </row>
    <row r="5834" spans="1:13" x14ac:dyDescent="0.3">
      <c r="A5834" s="733" t="s">
        <v>5854</v>
      </c>
      <c r="B5834" s="733" t="s">
        <v>612</v>
      </c>
      <c r="C5834" s="733" t="s">
        <v>5878</v>
      </c>
      <c r="D5834" s="733"/>
      <c r="E5834" s="733"/>
      <c r="G5834" s="733"/>
      <c r="H5834" s="733"/>
      <c r="I5834" s="733"/>
      <c r="J5834" s="733"/>
      <c r="K5834" s="733"/>
      <c r="L5834" s="733"/>
      <c r="M5834" s="733"/>
    </row>
    <row r="5835" spans="1:13" x14ac:dyDescent="0.3">
      <c r="A5835" s="733" t="s">
        <v>5854</v>
      </c>
      <c r="B5835" s="733" t="s">
        <v>612</v>
      </c>
      <c r="C5835" s="733" t="s">
        <v>5879</v>
      </c>
      <c r="D5835" s="733"/>
      <c r="E5835" s="733"/>
      <c r="G5835" s="733"/>
      <c r="H5835" s="733"/>
      <c r="I5835" s="733"/>
      <c r="J5835" s="733"/>
      <c r="K5835" s="733"/>
      <c r="L5835" s="733"/>
      <c r="M5835" s="733"/>
    </row>
    <row r="5836" spans="1:13" x14ac:dyDescent="0.3">
      <c r="A5836" s="733" t="s">
        <v>5854</v>
      </c>
      <c r="B5836" s="733" t="s">
        <v>612</v>
      </c>
      <c r="C5836" s="733" t="s">
        <v>5880</v>
      </c>
      <c r="D5836" s="733"/>
      <c r="E5836" s="733"/>
      <c r="G5836" s="733"/>
      <c r="H5836" s="733"/>
      <c r="I5836" s="733"/>
      <c r="J5836" s="733"/>
      <c r="K5836" s="733"/>
      <c r="L5836" s="733"/>
      <c r="M5836" s="733"/>
    </row>
    <row r="5837" spans="1:13" x14ac:dyDescent="0.3">
      <c r="A5837" s="733" t="s">
        <v>5854</v>
      </c>
      <c r="B5837" s="733" t="s">
        <v>612</v>
      </c>
      <c r="C5837" s="733" t="s">
        <v>5881</v>
      </c>
      <c r="D5837" s="733"/>
      <c r="E5837" s="733"/>
      <c r="G5837" s="733"/>
      <c r="H5837" s="733"/>
      <c r="I5837" s="733"/>
      <c r="J5837" s="733"/>
      <c r="K5837" s="733"/>
      <c r="L5837" s="733"/>
      <c r="M5837" s="733"/>
    </row>
    <row r="5838" spans="1:13" x14ac:dyDescent="0.3">
      <c r="A5838" s="733" t="s">
        <v>5854</v>
      </c>
      <c r="B5838" s="733" t="s">
        <v>612</v>
      </c>
      <c r="C5838" s="733" t="s">
        <v>5882</v>
      </c>
      <c r="D5838" s="733"/>
      <c r="E5838" s="733"/>
      <c r="G5838" s="733"/>
      <c r="H5838" s="733"/>
      <c r="I5838" s="733"/>
      <c r="J5838" s="733"/>
      <c r="K5838" s="733"/>
      <c r="L5838" s="733"/>
      <c r="M5838" s="733"/>
    </row>
    <row r="5839" spans="1:13" x14ac:dyDescent="0.3">
      <c r="A5839" s="733" t="s">
        <v>5854</v>
      </c>
      <c r="B5839" s="733" t="s">
        <v>612</v>
      </c>
      <c r="C5839" s="733" t="s">
        <v>5883</v>
      </c>
      <c r="D5839" s="733"/>
      <c r="E5839" s="733"/>
      <c r="G5839" s="733"/>
      <c r="H5839" s="733"/>
      <c r="I5839" s="733"/>
      <c r="J5839" s="733"/>
      <c r="K5839" s="733"/>
      <c r="L5839" s="733"/>
      <c r="M5839" s="733"/>
    </row>
    <row r="5840" spans="1:13" x14ac:dyDescent="0.3">
      <c r="A5840" s="733" t="s">
        <v>5854</v>
      </c>
      <c r="B5840" s="733" t="s">
        <v>612</v>
      </c>
      <c r="C5840" s="733" t="s">
        <v>5884</v>
      </c>
      <c r="D5840" s="733"/>
      <c r="E5840" s="733"/>
      <c r="G5840" s="733"/>
      <c r="H5840" s="733"/>
      <c r="I5840" s="733"/>
      <c r="J5840" s="733"/>
      <c r="K5840" s="733"/>
      <c r="L5840" s="733"/>
      <c r="M5840" s="733"/>
    </row>
    <row r="5841" spans="1:13" x14ac:dyDescent="0.3">
      <c r="A5841" s="733" t="s">
        <v>889</v>
      </c>
      <c r="B5841" s="733" t="s">
        <v>645</v>
      </c>
      <c r="C5841" s="733" t="s">
        <v>5885</v>
      </c>
      <c r="D5841" s="733"/>
      <c r="E5841" s="733"/>
      <c r="G5841" s="733"/>
      <c r="H5841" s="733"/>
      <c r="I5841" s="733"/>
      <c r="J5841" s="733"/>
      <c r="K5841" s="733"/>
      <c r="L5841" s="733"/>
      <c r="M5841" s="733"/>
    </row>
    <row r="5842" spans="1:13" x14ac:dyDescent="0.3">
      <c r="A5842" s="733" t="s">
        <v>889</v>
      </c>
      <c r="B5842" s="733" t="s">
        <v>645</v>
      </c>
      <c r="C5842" s="733" t="s">
        <v>5886</v>
      </c>
      <c r="D5842" s="733"/>
      <c r="E5842" s="733"/>
      <c r="G5842" s="733"/>
      <c r="H5842" s="733"/>
      <c r="I5842" s="733"/>
      <c r="J5842" s="733"/>
      <c r="K5842" s="733"/>
      <c r="L5842" s="733"/>
      <c r="M5842" s="733"/>
    </row>
    <row r="5843" spans="1:13" x14ac:dyDescent="0.3">
      <c r="A5843" s="733" t="s">
        <v>889</v>
      </c>
      <c r="B5843" s="733" t="s">
        <v>645</v>
      </c>
      <c r="C5843" s="733" t="s">
        <v>5887</v>
      </c>
      <c r="D5843" s="733"/>
      <c r="E5843" s="733"/>
      <c r="G5843" s="733"/>
      <c r="H5843" s="733"/>
      <c r="I5843" s="733"/>
      <c r="J5843" s="733"/>
      <c r="K5843" s="733"/>
      <c r="L5843" s="733"/>
      <c r="M5843" s="733"/>
    </row>
    <row r="5844" spans="1:13" x14ac:dyDescent="0.3">
      <c r="A5844" s="733" t="s">
        <v>889</v>
      </c>
      <c r="B5844" s="733" t="s">
        <v>645</v>
      </c>
      <c r="C5844" s="733" t="s">
        <v>5888</v>
      </c>
      <c r="D5844" s="733"/>
      <c r="E5844" s="733"/>
      <c r="G5844" s="733"/>
      <c r="H5844" s="733"/>
      <c r="I5844" s="733"/>
      <c r="J5844" s="733"/>
      <c r="K5844" s="733"/>
      <c r="L5844" s="733"/>
      <c r="M5844" s="733"/>
    </row>
    <row r="5845" spans="1:13" x14ac:dyDescent="0.3">
      <c r="A5845" s="733" t="s">
        <v>889</v>
      </c>
      <c r="B5845" s="733" t="s">
        <v>645</v>
      </c>
      <c r="C5845" s="733" t="s">
        <v>5889</v>
      </c>
      <c r="D5845" s="733"/>
      <c r="E5845" s="733"/>
      <c r="G5845" s="733"/>
      <c r="H5845" s="733"/>
      <c r="I5845" s="733"/>
      <c r="J5845" s="733"/>
      <c r="K5845" s="733"/>
      <c r="L5845" s="733"/>
      <c r="M5845" s="733"/>
    </row>
    <row r="5846" spans="1:13" x14ac:dyDescent="0.3">
      <c r="A5846" s="733" t="s">
        <v>889</v>
      </c>
      <c r="B5846" s="733" t="s">
        <v>645</v>
      </c>
      <c r="C5846" s="733" t="s">
        <v>5890</v>
      </c>
      <c r="D5846" s="733"/>
      <c r="E5846" s="733"/>
      <c r="G5846" s="733"/>
      <c r="H5846" s="733"/>
      <c r="I5846" s="733"/>
      <c r="J5846" s="733"/>
      <c r="K5846" s="733"/>
      <c r="L5846" s="733"/>
      <c r="M5846" s="733"/>
    </row>
    <row r="5847" spans="1:13" x14ac:dyDescent="0.3">
      <c r="A5847" s="733" t="s">
        <v>889</v>
      </c>
      <c r="B5847" s="733" t="s">
        <v>645</v>
      </c>
      <c r="C5847" s="733" t="s">
        <v>5891</v>
      </c>
      <c r="D5847" s="733"/>
      <c r="E5847" s="733"/>
      <c r="G5847" s="733"/>
      <c r="H5847" s="733"/>
      <c r="I5847" s="733"/>
      <c r="J5847" s="733"/>
      <c r="K5847" s="733"/>
      <c r="L5847" s="733"/>
      <c r="M5847" s="733"/>
    </row>
    <row r="5848" spans="1:13" x14ac:dyDescent="0.3">
      <c r="A5848" s="733" t="s">
        <v>889</v>
      </c>
      <c r="B5848" s="733" t="s">
        <v>645</v>
      </c>
      <c r="C5848" s="733" t="s">
        <v>5892</v>
      </c>
      <c r="D5848" s="733"/>
      <c r="E5848" s="733"/>
      <c r="G5848" s="733"/>
      <c r="H5848" s="733"/>
      <c r="I5848" s="733"/>
      <c r="J5848" s="733"/>
      <c r="K5848" s="733"/>
      <c r="L5848" s="733"/>
      <c r="M5848" s="733"/>
    </row>
    <row r="5849" spans="1:13" x14ac:dyDescent="0.3">
      <c r="A5849" s="733" t="s">
        <v>889</v>
      </c>
      <c r="B5849" s="733" t="s">
        <v>645</v>
      </c>
      <c r="C5849" s="733" t="s">
        <v>5893</v>
      </c>
      <c r="D5849" s="733"/>
      <c r="E5849" s="733"/>
      <c r="G5849" s="733"/>
      <c r="H5849" s="733"/>
      <c r="I5849" s="733"/>
      <c r="J5849" s="733"/>
      <c r="K5849" s="733"/>
      <c r="L5849" s="733"/>
      <c r="M5849" s="733"/>
    </row>
    <row r="5850" spans="1:13" x14ac:dyDescent="0.3">
      <c r="A5850" s="733" t="s">
        <v>889</v>
      </c>
      <c r="B5850" s="733" t="s">
        <v>645</v>
      </c>
      <c r="C5850" s="733" t="s">
        <v>5894</v>
      </c>
      <c r="D5850" s="733"/>
      <c r="E5850" s="733"/>
      <c r="G5850" s="733"/>
      <c r="H5850" s="733"/>
      <c r="I5850" s="733"/>
      <c r="J5850" s="733"/>
      <c r="K5850" s="733"/>
      <c r="L5850" s="733"/>
      <c r="M5850" s="733"/>
    </row>
    <row r="5851" spans="1:13" x14ac:dyDescent="0.3">
      <c r="A5851" s="733" t="s">
        <v>889</v>
      </c>
      <c r="B5851" s="733" t="s">
        <v>664</v>
      </c>
      <c r="C5851" s="733" t="s">
        <v>5895</v>
      </c>
      <c r="D5851" s="733"/>
      <c r="E5851" s="733"/>
      <c r="G5851" s="733"/>
      <c r="H5851" s="733"/>
      <c r="I5851" s="733"/>
      <c r="J5851" s="733"/>
      <c r="K5851" s="733"/>
      <c r="L5851" s="733"/>
      <c r="M5851" s="733"/>
    </row>
    <row r="5852" spans="1:13" x14ac:dyDescent="0.3">
      <c r="A5852" s="733" t="s">
        <v>889</v>
      </c>
      <c r="B5852" s="733" t="s">
        <v>664</v>
      </c>
      <c r="C5852" s="733" t="s">
        <v>5896</v>
      </c>
      <c r="D5852" s="733"/>
      <c r="E5852" s="733"/>
      <c r="G5852" s="733"/>
      <c r="H5852" s="733"/>
      <c r="I5852" s="733"/>
      <c r="J5852" s="733"/>
      <c r="K5852" s="733"/>
      <c r="L5852" s="733"/>
      <c r="M5852" s="733"/>
    </row>
    <row r="5853" spans="1:13" x14ac:dyDescent="0.3">
      <c r="A5853" s="733" t="s">
        <v>889</v>
      </c>
      <c r="B5853" s="733" t="s">
        <v>664</v>
      </c>
      <c r="C5853" s="733" t="s">
        <v>5897</v>
      </c>
      <c r="D5853" s="733"/>
      <c r="E5853" s="733"/>
      <c r="G5853" s="733"/>
      <c r="H5853" s="733"/>
      <c r="I5853" s="733"/>
      <c r="J5853" s="733"/>
      <c r="K5853" s="733"/>
      <c r="L5853" s="733"/>
      <c r="M5853" s="733"/>
    </row>
    <row r="5854" spans="1:13" x14ac:dyDescent="0.3">
      <c r="A5854" s="733" t="s">
        <v>889</v>
      </c>
      <c r="B5854" s="733" t="s">
        <v>664</v>
      </c>
      <c r="C5854" s="733" t="s">
        <v>5898</v>
      </c>
      <c r="D5854" s="733"/>
      <c r="E5854" s="733"/>
      <c r="G5854" s="733"/>
      <c r="H5854" s="733"/>
      <c r="I5854" s="733"/>
      <c r="J5854" s="733"/>
      <c r="K5854" s="733"/>
      <c r="L5854" s="733"/>
      <c r="M5854" s="733"/>
    </row>
    <row r="5855" spans="1:13" x14ac:dyDescent="0.3">
      <c r="A5855" s="733" t="s">
        <v>889</v>
      </c>
      <c r="B5855" s="733" t="s">
        <v>664</v>
      </c>
      <c r="C5855" s="733" t="s">
        <v>5899</v>
      </c>
      <c r="D5855" s="733"/>
      <c r="E5855" s="733"/>
      <c r="G5855" s="733"/>
      <c r="H5855" s="733"/>
      <c r="I5855" s="733"/>
      <c r="J5855" s="733"/>
      <c r="K5855" s="733"/>
      <c r="L5855" s="733"/>
      <c r="M5855" s="733"/>
    </row>
    <row r="5856" spans="1:13" x14ac:dyDescent="0.3">
      <c r="A5856" s="733" t="s">
        <v>889</v>
      </c>
      <c r="B5856" s="733" t="s">
        <v>664</v>
      </c>
      <c r="C5856" s="733" t="s">
        <v>5900</v>
      </c>
      <c r="D5856" s="733"/>
      <c r="E5856" s="733"/>
      <c r="G5856" s="733"/>
      <c r="H5856" s="733"/>
      <c r="I5856" s="733"/>
      <c r="J5856" s="733"/>
      <c r="K5856" s="733"/>
      <c r="L5856" s="733"/>
      <c r="M5856" s="733"/>
    </row>
    <row r="5857" spans="1:13" x14ac:dyDescent="0.3">
      <c r="A5857" s="733" t="s">
        <v>889</v>
      </c>
      <c r="B5857" s="733" t="s">
        <v>664</v>
      </c>
      <c r="C5857" s="733" t="s">
        <v>5901</v>
      </c>
      <c r="D5857" s="733"/>
      <c r="E5857" s="733"/>
      <c r="G5857" s="733"/>
      <c r="H5857" s="733"/>
      <c r="I5857" s="733"/>
      <c r="J5857" s="733"/>
      <c r="K5857" s="733"/>
      <c r="L5857" s="733"/>
      <c r="M5857" s="733"/>
    </row>
    <row r="5858" spans="1:13" x14ac:dyDescent="0.3">
      <c r="A5858" s="733" t="s">
        <v>889</v>
      </c>
      <c r="B5858" s="733" t="s">
        <v>664</v>
      </c>
      <c r="C5858" s="733" t="s">
        <v>5902</v>
      </c>
      <c r="D5858" s="733"/>
      <c r="E5858" s="733"/>
      <c r="G5858" s="733"/>
      <c r="H5858" s="733"/>
      <c r="I5858" s="733"/>
      <c r="J5858" s="733"/>
      <c r="K5858" s="733"/>
      <c r="L5858" s="733"/>
      <c r="M5858" s="733"/>
    </row>
    <row r="5859" spans="1:13" x14ac:dyDescent="0.3">
      <c r="A5859" s="733" t="s">
        <v>889</v>
      </c>
      <c r="B5859" s="733" t="s">
        <v>664</v>
      </c>
      <c r="C5859" s="733" t="s">
        <v>5903</v>
      </c>
      <c r="D5859" s="733"/>
      <c r="E5859" s="733"/>
      <c r="G5859" s="733"/>
      <c r="H5859" s="733"/>
      <c r="I5859" s="733"/>
      <c r="J5859" s="733"/>
      <c r="K5859" s="733"/>
      <c r="L5859" s="733"/>
      <c r="M5859" s="733"/>
    </row>
    <row r="5860" spans="1:13" x14ac:dyDescent="0.3">
      <c r="A5860" s="733" t="s">
        <v>889</v>
      </c>
      <c r="B5860" s="733" t="s">
        <v>664</v>
      </c>
      <c r="C5860" s="733" t="s">
        <v>5904</v>
      </c>
      <c r="D5860" s="733"/>
      <c r="E5860" s="733"/>
      <c r="G5860" s="733"/>
      <c r="H5860" s="733"/>
      <c r="I5860" s="733"/>
      <c r="J5860" s="733"/>
      <c r="K5860" s="733"/>
      <c r="L5860" s="733"/>
      <c r="M5860" s="733"/>
    </row>
    <row r="5861" spans="1:13" x14ac:dyDescent="0.3">
      <c r="A5861" s="733" t="s">
        <v>889</v>
      </c>
      <c r="B5861" s="733" t="s">
        <v>612</v>
      </c>
      <c r="C5861" s="733" t="s">
        <v>5905</v>
      </c>
      <c r="D5861" s="733"/>
      <c r="E5861" s="733"/>
      <c r="G5861" s="733"/>
      <c r="H5861" s="733"/>
      <c r="I5861" s="733"/>
      <c r="J5861" s="733"/>
      <c r="K5861" s="733"/>
      <c r="L5861" s="733"/>
      <c r="M5861" s="733"/>
    </row>
    <row r="5862" spans="1:13" x14ac:dyDescent="0.3">
      <c r="A5862" s="733" t="s">
        <v>889</v>
      </c>
      <c r="B5862" s="733" t="s">
        <v>612</v>
      </c>
      <c r="C5862" s="733" t="s">
        <v>5906</v>
      </c>
      <c r="D5862" s="733"/>
      <c r="E5862" s="733"/>
      <c r="G5862" s="733"/>
      <c r="H5862" s="733"/>
      <c r="I5862" s="733"/>
      <c r="J5862" s="733"/>
      <c r="K5862" s="733"/>
      <c r="L5862" s="733"/>
      <c r="M5862" s="733"/>
    </row>
    <row r="5863" spans="1:13" x14ac:dyDescent="0.3">
      <c r="A5863" s="733" t="s">
        <v>889</v>
      </c>
      <c r="B5863" s="733" t="s">
        <v>612</v>
      </c>
      <c r="C5863" s="733" t="s">
        <v>5907</v>
      </c>
      <c r="D5863" s="733"/>
      <c r="E5863" s="733"/>
      <c r="G5863" s="733"/>
      <c r="H5863" s="733"/>
      <c r="I5863" s="733"/>
      <c r="J5863" s="733"/>
      <c r="K5863" s="733"/>
      <c r="L5863" s="733"/>
      <c r="M5863" s="733"/>
    </row>
    <row r="5864" spans="1:13" x14ac:dyDescent="0.3">
      <c r="A5864" s="733" t="s">
        <v>889</v>
      </c>
      <c r="B5864" s="733" t="s">
        <v>612</v>
      </c>
      <c r="C5864" s="733" t="s">
        <v>5908</v>
      </c>
      <c r="D5864" s="733"/>
      <c r="E5864" s="733"/>
      <c r="G5864" s="733"/>
      <c r="H5864" s="733"/>
      <c r="I5864" s="733"/>
      <c r="J5864" s="733"/>
      <c r="K5864" s="733"/>
      <c r="L5864" s="733"/>
      <c r="M5864" s="733"/>
    </row>
    <row r="5865" spans="1:13" x14ac:dyDescent="0.3">
      <c r="A5865" s="733" t="s">
        <v>889</v>
      </c>
      <c r="B5865" s="733" t="s">
        <v>612</v>
      </c>
      <c r="C5865" s="733" t="s">
        <v>5909</v>
      </c>
      <c r="D5865" s="733"/>
      <c r="E5865" s="733"/>
      <c r="G5865" s="733"/>
      <c r="H5865" s="733"/>
      <c r="I5865" s="733"/>
      <c r="J5865" s="733"/>
      <c r="K5865" s="733"/>
      <c r="L5865" s="733"/>
      <c r="M5865" s="733"/>
    </row>
    <row r="5866" spans="1:13" x14ac:dyDescent="0.3">
      <c r="A5866" s="733" t="s">
        <v>889</v>
      </c>
      <c r="B5866" s="733" t="s">
        <v>612</v>
      </c>
      <c r="C5866" s="733" t="s">
        <v>5910</v>
      </c>
      <c r="D5866" s="733"/>
      <c r="E5866" s="733"/>
      <c r="G5866" s="733"/>
      <c r="H5866" s="733"/>
      <c r="I5866" s="733"/>
      <c r="J5866" s="733"/>
      <c r="K5866" s="733"/>
      <c r="L5866" s="733"/>
      <c r="M5866" s="733"/>
    </row>
    <row r="5867" spans="1:13" x14ac:dyDescent="0.3">
      <c r="A5867" s="733" t="s">
        <v>889</v>
      </c>
      <c r="B5867" s="733" t="s">
        <v>612</v>
      </c>
      <c r="C5867" s="733" t="s">
        <v>5911</v>
      </c>
      <c r="D5867" s="733"/>
      <c r="E5867" s="733"/>
      <c r="G5867" s="733"/>
      <c r="H5867" s="733"/>
      <c r="I5867" s="733"/>
      <c r="J5867" s="733"/>
      <c r="K5867" s="733"/>
      <c r="L5867" s="733"/>
      <c r="M5867" s="733"/>
    </row>
    <row r="5868" spans="1:13" x14ac:dyDescent="0.3">
      <c r="A5868" s="733" t="s">
        <v>889</v>
      </c>
      <c r="B5868" s="733" t="s">
        <v>612</v>
      </c>
      <c r="C5868" s="733" t="s">
        <v>5912</v>
      </c>
      <c r="D5868" s="733"/>
      <c r="E5868" s="733"/>
      <c r="G5868" s="733"/>
      <c r="H5868" s="733"/>
      <c r="I5868" s="733"/>
      <c r="J5868" s="733"/>
      <c r="K5868" s="733"/>
      <c r="L5868" s="733"/>
      <c r="M5868" s="733"/>
    </row>
    <row r="5869" spans="1:13" x14ac:dyDescent="0.3">
      <c r="A5869" s="733" t="s">
        <v>889</v>
      </c>
      <c r="B5869" s="733" t="s">
        <v>612</v>
      </c>
      <c r="C5869" s="733" t="s">
        <v>5913</v>
      </c>
      <c r="D5869" s="733"/>
      <c r="E5869" s="733"/>
      <c r="G5869" s="733"/>
      <c r="H5869" s="733"/>
      <c r="I5869" s="733"/>
      <c r="J5869" s="733"/>
      <c r="K5869" s="733"/>
      <c r="L5869" s="733"/>
      <c r="M5869" s="733"/>
    </row>
    <row r="5870" spans="1:13" x14ac:dyDescent="0.3">
      <c r="A5870" s="733" t="s">
        <v>889</v>
      </c>
      <c r="B5870" s="733" t="s">
        <v>612</v>
      </c>
      <c r="C5870" s="733" t="s">
        <v>5914</v>
      </c>
      <c r="D5870" s="733"/>
      <c r="E5870" s="733"/>
      <c r="G5870" s="733"/>
      <c r="H5870" s="733"/>
      <c r="I5870" s="733"/>
      <c r="J5870" s="733"/>
      <c r="K5870" s="733"/>
      <c r="L5870" s="733"/>
      <c r="M5870" s="733"/>
    </row>
    <row r="5871" spans="1:13" x14ac:dyDescent="0.3">
      <c r="A5871" s="733" t="s">
        <v>5915</v>
      </c>
      <c r="B5871" s="733" t="s">
        <v>645</v>
      </c>
      <c r="C5871" s="733" t="s">
        <v>5916</v>
      </c>
      <c r="D5871" s="733"/>
      <c r="E5871" s="733"/>
      <c r="G5871" s="733"/>
      <c r="H5871" s="733"/>
      <c r="I5871" s="733"/>
      <c r="J5871" s="733"/>
      <c r="K5871" s="733"/>
      <c r="L5871" s="733"/>
      <c r="M5871" s="733"/>
    </row>
    <row r="5872" spans="1:13" x14ac:dyDescent="0.3">
      <c r="A5872" s="733" t="s">
        <v>5915</v>
      </c>
      <c r="B5872" s="733" t="s">
        <v>645</v>
      </c>
      <c r="C5872" s="733" t="s">
        <v>5917</v>
      </c>
      <c r="D5872" s="733"/>
      <c r="E5872" s="733"/>
      <c r="G5872" s="733"/>
      <c r="H5872" s="733"/>
      <c r="I5872" s="733"/>
      <c r="J5872" s="733"/>
      <c r="K5872" s="733"/>
      <c r="L5872" s="733"/>
      <c r="M5872" s="733"/>
    </row>
    <row r="5873" spans="1:13" x14ac:dyDescent="0.3">
      <c r="A5873" s="733" t="s">
        <v>5915</v>
      </c>
      <c r="B5873" s="733" t="s">
        <v>645</v>
      </c>
      <c r="C5873" s="733" t="s">
        <v>5918</v>
      </c>
      <c r="D5873" s="733"/>
      <c r="E5873" s="733"/>
      <c r="G5873" s="733"/>
      <c r="H5873" s="733"/>
      <c r="I5873" s="733"/>
      <c r="J5873" s="733"/>
      <c r="K5873" s="733"/>
      <c r="L5873" s="733"/>
      <c r="M5873" s="733"/>
    </row>
    <row r="5874" spans="1:13" x14ac:dyDescent="0.3">
      <c r="A5874" s="733" t="s">
        <v>5915</v>
      </c>
      <c r="B5874" s="733" t="s">
        <v>645</v>
      </c>
      <c r="C5874" s="733" t="s">
        <v>5919</v>
      </c>
      <c r="D5874" s="733"/>
      <c r="E5874" s="733"/>
      <c r="G5874" s="733"/>
      <c r="H5874" s="733"/>
      <c r="I5874" s="733"/>
      <c r="J5874" s="733"/>
      <c r="K5874" s="733"/>
      <c r="L5874" s="733"/>
      <c r="M5874" s="733"/>
    </row>
    <row r="5875" spans="1:13" x14ac:dyDescent="0.3">
      <c r="A5875" s="733" t="s">
        <v>5915</v>
      </c>
      <c r="B5875" s="733" t="s">
        <v>645</v>
      </c>
      <c r="C5875" s="733" t="s">
        <v>5920</v>
      </c>
      <c r="D5875" s="733"/>
      <c r="E5875" s="733"/>
      <c r="G5875" s="733"/>
      <c r="H5875" s="733"/>
      <c r="I5875" s="733"/>
      <c r="J5875" s="733"/>
      <c r="K5875" s="733"/>
      <c r="L5875" s="733"/>
      <c r="M5875" s="733"/>
    </row>
    <row r="5876" spans="1:13" x14ac:dyDescent="0.3">
      <c r="A5876" s="733" t="s">
        <v>5915</v>
      </c>
      <c r="B5876" s="733" t="s">
        <v>645</v>
      </c>
      <c r="C5876" s="733" t="s">
        <v>5921</v>
      </c>
      <c r="D5876" s="733"/>
      <c r="E5876" s="733"/>
      <c r="G5876" s="733"/>
      <c r="H5876" s="733"/>
      <c r="I5876" s="733"/>
      <c r="J5876" s="733"/>
      <c r="K5876" s="733"/>
      <c r="L5876" s="733"/>
      <c r="M5876" s="733"/>
    </row>
    <row r="5877" spans="1:13" x14ac:dyDescent="0.3">
      <c r="A5877" s="733" t="s">
        <v>5915</v>
      </c>
      <c r="B5877" s="733" t="s">
        <v>645</v>
      </c>
      <c r="C5877" s="733" t="s">
        <v>5922</v>
      </c>
      <c r="D5877" s="733"/>
      <c r="E5877" s="733"/>
      <c r="G5877" s="733"/>
      <c r="H5877" s="733"/>
      <c r="I5877" s="733"/>
      <c r="J5877" s="733"/>
      <c r="K5877" s="733"/>
      <c r="L5877" s="733"/>
      <c r="M5877" s="733"/>
    </row>
    <row r="5878" spans="1:13" x14ac:dyDescent="0.3">
      <c r="A5878" s="733" t="s">
        <v>5915</v>
      </c>
      <c r="B5878" s="733" t="s">
        <v>645</v>
      </c>
      <c r="C5878" s="733" t="s">
        <v>5923</v>
      </c>
      <c r="D5878" s="733"/>
      <c r="E5878" s="733"/>
      <c r="G5878" s="733"/>
      <c r="H5878" s="733"/>
      <c r="I5878" s="733"/>
      <c r="J5878" s="733"/>
      <c r="K5878" s="733"/>
      <c r="L5878" s="733"/>
      <c r="M5878" s="733"/>
    </row>
    <row r="5879" spans="1:13" x14ac:dyDescent="0.3">
      <c r="A5879" s="733" t="s">
        <v>5915</v>
      </c>
      <c r="B5879" s="733" t="s">
        <v>645</v>
      </c>
      <c r="C5879" s="733" t="s">
        <v>5924</v>
      </c>
      <c r="D5879" s="733"/>
      <c r="E5879" s="733"/>
      <c r="G5879" s="733"/>
      <c r="H5879" s="733"/>
      <c r="I5879" s="733"/>
      <c r="J5879" s="733"/>
      <c r="K5879" s="733"/>
      <c r="L5879" s="733"/>
      <c r="M5879" s="733"/>
    </row>
    <row r="5880" spans="1:13" x14ac:dyDescent="0.3">
      <c r="A5880" s="733" t="s">
        <v>5915</v>
      </c>
      <c r="B5880" s="733" t="s">
        <v>645</v>
      </c>
      <c r="C5880" s="733" t="s">
        <v>5925</v>
      </c>
      <c r="D5880" s="733"/>
      <c r="E5880" s="733"/>
      <c r="G5880" s="733"/>
      <c r="H5880" s="733"/>
      <c r="I5880" s="733"/>
      <c r="J5880" s="733"/>
      <c r="K5880" s="733"/>
      <c r="L5880" s="733"/>
      <c r="M5880" s="733"/>
    </row>
    <row r="5881" spans="1:13" x14ac:dyDescent="0.3">
      <c r="A5881" s="733" t="s">
        <v>5915</v>
      </c>
      <c r="B5881" s="733" t="s">
        <v>664</v>
      </c>
      <c r="C5881" s="733" t="s">
        <v>5926</v>
      </c>
      <c r="D5881" s="733"/>
      <c r="E5881" s="733"/>
      <c r="G5881" s="733"/>
      <c r="H5881" s="733"/>
      <c r="I5881" s="733"/>
      <c r="J5881" s="733"/>
      <c r="K5881" s="733"/>
      <c r="L5881" s="733"/>
      <c r="M5881" s="733"/>
    </row>
    <row r="5882" spans="1:13" x14ac:dyDescent="0.3">
      <c r="A5882" s="733" t="s">
        <v>5915</v>
      </c>
      <c r="B5882" s="733" t="s">
        <v>664</v>
      </c>
      <c r="C5882" s="733" t="s">
        <v>5927</v>
      </c>
      <c r="D5882" s="733"/>
      <c r="E5882" s="733"/>
      <c r="G5882" s="733"/>
      <c r="H5882" s="733"/>
      <c r="I5882" s="733"/>
      <c r="J5882" s="733"/>
      <c r="K5882" s="733"/>
      <c r="L5882" s="733"/>
      <c r="M5882" s="733"/>
    </row>
    <row r="5883" spans="1:13" x14ac:dyDescent="0.3">
      <c r="A5883" s="733" t="s">
        <v>5915</v>
      </c>
      <c r="B5883" s="733" t="s">
        <v>664</v>
      </c>
      <c r="C5883" s="733" t="s">
        <v>5928</v>
      </c>
      <c r="D5883" s="733"/>
      <c r="E5883" s="733"/>
      <c r="G5883" s="733"/>
      <c r="H5883" s="733"/>
      <c r="I5883" s="733"/>
      <c r="J5883" s="733"/>
      <c r="K5883" s="733"/>
      <c r="L5883" s="733"/>
      <c r="M5883" s="733"/>
    </row>
    <row r="5884" spans="1:13" x14ac:dyDescent="0.3">
      <c r="A5884" s="733" t="s">
        <v>5915</v>
      </c>
      <c r="B5884" s="733" t="s">
        <v>664</v>
      </c>
      <c r="C5884" s="733" t="s">
        <v>5929</v>
      </c>
      <c r="D5884" s="733"/>
      <c r="E5884" s="733"/>
      <c r="G5884" s="733"/>
      <c r="H5884" s="733"/>
      <c r="I5884" s="733"/>
      <c r="J5884" s="733"/>
      <c r="K5884" s="733"/>
      <c r="L5884" s="733"/>
      <c r="M5884" s="733"/>
    </row>
    <row r="5885" spans="1:13" x14ac:dyDescent="0.3">
      <c r="A5885" s="733" t="s">
        <v>5915</v>
      </c>
      <c r="B5885" s="733" t="s">
        <v>664</v>
      </c>
      <c r="C5885" s="733" t="s">
        <v>5930</v>
      </c>
      <c r="D5885" s="733"/>
      <c r="E5885" s="733"/>
      <c r="G5885" s="733"/>
      <c r="H5885" s="733"/>
      <c r="I5885" s="733"/>
      <c r="J5885" s="733"/>
      <c r="K5885" s="733"/>
      <c r="L5885" s="733"/>
      <c r="M5885" s="733"/>
    </row>
    <row r="5886" spans="1:13" x14ac:dyDescent="0.3">
      <c r="A5886" s="733" t="s">
        <v>5915</v>
      </c>
      <c r="B5886" s="733" t="s">
        <v>664</v>
      </c>
      <c r="C5886" s="733" t="s">
        <v>5931</v>
      </c>
      <c r="D5886" s="733"/>
      <c r="E5886" s="733"/>
      <c r="G5886" s="733"/>
      <c r="H5886" s="733"/>
      <c r="I5886" s="733"/>
      <c r="J5886" s="733"/>
      <c r="K5886" s="733"/>
      <c r="L5886" s="733"/>
      <c r="M5886" s="733"/>
    </row>
    <row r="5887" spans="1:13" x14ac:dyDescent="0.3">
      <c r="A5887" s="733" t="s">
        <v>5915</v>
      </c>
      <c r="B5887" s="733" t="s">
        <v>664</v>
      </c>
      <c r="C5887" s="733" t="s">
        <v>5932</v>
      </c>
      <c r="D5887" s="733"/>
      <c r="E5887" s="733"/>
      <c r="G5887" s="733"/>
      <c r="H5887" s="733"/>
      <c r="I5887" s="733"/>
      <c r="J5887" s="733"/>
      <c r="K5887" s="733"/>
      <c r="L5887" s="733"/>
      <c r="M5887" s="733"/>
    </row>
    <row r="5888" spans="1:13" x14ac:dyDescent="0.3">
      <c r="A5888" s="733" t="s">
        <v>5915</v>
      </c>
      <c r="B5888" s="733" t="s">
        <v>664</v>
      </c>
      <c r="C5888" s="733" t="s">
        <v>5933</v>
      </c>
      <c r="D5888" s="733"/>
      <c r="E5888" s="733"/>
      <c r="G5888" s="733"/>
      <c r="H5888" s="733"/>
      <c r="I5888" s="733"/>
      <c r="J5888" s="733"/>
      <c r="K5888" s="733"/>
      <c r="L5888" s="733"/>
      <c r="M5888" s="733"/>
    </row>
    <row r="5889" spans="1:13" x14ac:dyDescent="0.3">
      <c r="A5889" s="733" t="s">
        <v>5915</v>
      </c>
      <c r="B5889" s="733" t="s">
        <v>664</v>
      </c>
      <c r="C5889" s="733" t="s">
        <v>5934</v>
      </c>
      <c r="D5889" s="733"/>
      <c r="E5889" s="733"/>
      <c r="G5889" s="733"/>
      <c r="H5889" s="733"/>
      <c r="I5889" s="733"/>
      <c r="J5889" s="733"/>
      <c r="K5889" s="733"/>
      <c r="L5889" s="733"/>
      <c r="M5889" s="733"/>
    </row>
    <row r="5890" spans="1:13" x14ac:dyDescent="0.3">
      <c r="A5890" s="733" t="s">
        <v>5915</v>
      </c>
      <c r="B5890" s="733" t="s">
        <v>664</v>
      </c>
      <c r="C5890" s="733" t="s">
        <v>5935</v>
      </c>
      <c r="D5890" s="733"/>
      <c r="E5890" s="733"/>
      <c r="G5890" s="733"/>
      <c r="H5890" s="733"/>
      <c r="I5890" s="733"/>
      <c r="J5890" s="733"/>
      <c r="K5890" s="733"/>
      <c r="L5890" s="733"/>
      <c r="M5890" s="733"/>
    </row>
    <row r="5891" spans="1:13" x14ac:dyDescent="0.3">
      <c r="A5891" s="733" t="s">
        <v>5915</v>
      </c>
      <c r="B5891" s="733" t="s">
        <v>612</v>
      </c>
      <c r="C5891" s="733" t="s">
        <v>5936</v>
      </c>
      <c r="D5891" s="733"/>
      <c r="E5891" s="733"/>
      <c r="G5891" s="733"/>
      <c r="H5891" s="733"/>
      <c r="I5891" s="733"/>
      <c r="J5891" s="733"/>
      <c r="K5891" s="733"/>
      <c r="L5891" s="733"/>
      <c r="M5891" s="733"/>
    </row>
    <row r="5892" spans="1:13" x14ac:dyDescent="0.3">
      <c r="A5892" s="733" t="s">
        <v>5915</v>
      </c>
      <c r="B5892" s="733" t="s">
        <v>612</v>
      </c>
      <c r="C5892" s="733" t="s">
        <v>5937</v>
      </c>
      <c r="D5892" s="733"/>
      <c r="E5892" s="733"/>
      <c r="G5892" s="733"/>
      <c r="H5892" s="733"/>
      <c r="I5892" s="733"/>
      <c r="J5892" s="733"/>
      <c r="K5892" s="733"/>
      <c r="L5892" s="733"/>
      <c r="M5892" s="733"/>
    </row>
    <row r="5893" spans="1:13" x14ac:dyDescent="0.3">
      <c r="A5893" s="733" t="s">
        <v>5915</v>
      </c>
      <c r="B5893" s="733" t="s">
        <v>612</v>
      </c>
      <c r="C5893" s="733" t="s">
        <v>5938</v>
      </c>
      <c r="D5893" s="733"/>
      <c r="E5893" s="733"/>
      <c r="G5893" s="733"/>
      <c r="H5893" s="733"/>
      <c r="I5893" s="733"/>
      <c r="J5893" s="733"/>
      <c r="K5893" s="733"/>
      <c r="L5893" s="733"/>
      <c r="M5893" s="733"/>
    </row>
    <row r="5894" spans="1:13" x14ac:dyDescent="0.3">
      <c r="A5894" s="733" t="s">
        <v>5915</v>
      </c>
      <c r="B5894" s="733" t="s">
        <v>612</v>
      </c>
      <c r="C5894" s="733" t="s">
        <v>5939</v>
      </c>
      <c r="D5894" s="733"/>
      <c r="E5894" s="733"/>
      <c r="G5894" s="733"/>
      <c r="H5894" s="733"/>
      <c r="I5894" s="733"/>
      <c r="J5894" s="733"/>
      <c r="K5894" s="733"/>
      <c r="L5894" s="733"/>
      <c r="M5894" s="733"/>
    </row>
    <row r="5895" spans="1:13" x14ac:dyDescent="0.3">
      <c r="A5895" s="733" t="s">
        <v>5915</v>
      </c>
      <c r="B5895" s="733" t="s">
        <v>612</v>
      </c>
      <c r="C5895" s="733" t="s">
        <v>5940</v>
      </c>
      <c r="D5895" s="733"/>
      <c r="E5895" s="733"/>
      <c r="G5895" s="733"/>
      <c r="H5895" s="733"/>
      <c r="I5895" s="733"/>
      <c r="J5895" s="733"/>
      <c r="K5895" s="733"/>
      <c r="L5895" s="733"/>
      <c r="M5895" s="733"/>
    </row>
    <row r="5896" spans="1:13" x14ac:dyDescent="0.3">
      <c r="A5896" s="733" t="s">
        <v>5915</v>
      </c>
      <c r="B5896" s="733" t="s">
        <v>612</v>
      </c>
      <c r="C5896" s="733" t="s">
        <v>5941</v>
      </c>
      <c r="D5896" s="733"/>
      <c r="E5896" s="733"/>
      <c r="G5896" s="733"/>
      <c r="H5896" s="733"/>
      <c r="I5896" s="733"/>
      <c r="J5896" s="733"/>
      <c r="K5896" s="733"/>
      <c r="L5896" s="733"/>
      <c r="M5896" s="733"/>
    </row>
    <row r="5897" spans="1:13" x14ac:dyDescent="0.3">
      <c r="A5897" s="733" t="s">
        <v>5915</v>
      </c>
      <c r="B5897" s="733" t="s">
        <v>612</v>
      </c>
      <c r="C5897" s="733" t="s">
        <v>5942</v>
      </c>
      <c r="D5897" s="733"/>
      <c r="E5897" s="733"/>
      <c r="G5897" s="733"/>
      <c r="H5897" s="733"/>
      <c r="I5897" s="733"/>
      <c r="J5897" s="733"/>
      <c r="K5897" s="733"/>
      <c r="L5897" s="733"/>
      <c r="M5897" s="733"/>
    </row>
    <row r="5898" spans="1:13" x14ac:dyDescent="0.3">
      <c r="A5898" s="733" t="s">
        <v>5915</v>
      </c>
      <c r="B5898" s="733" t="s">
        <v>612</v>
      </c>
      <c r="C5898" s="733" t="s">
        <v>5943</v>
      </c>
      <c r="D5898" s="733"/>
      <c r="E5898" s="733"/>
      <c r="G5898" s="733"/>
      <c r="H5898" s="733"/>
      <c r="I5898" s="733"/>
      <c r="J5898" s="733"/>
      <c r="K5898" s="733"/>
      <c r="L5898" s="733"/>
      <c r="M5898" s="733"/>
    </row>
    <row r="5899" spans="1:13" x14ac:dyDescent="0.3">
      <c r="A5899" s="733" t="s">
        <v>5915</v>
      </c>
      <c r="B5899" s="733" t="s">
        <v>612</v>
      </c>
      <c r="C5899" s="733" t="s">
        <v>5944</v>
      </c>
      <c r="D5899" s="733"/>
      <c r="E5899" s="733"/>
      <c r="G5899" s="733"/>
      <c r="H5899" s="733"/>
      <c r="I5899" s="733"/>
      <c r="J5899" s="733"/>
      <c r="K5899" s="733"/>
      <c r="L5899" s="733"/>
      <c r="M5899" s="733"/>
    </row>
    <row r="5900" spans="1:13" x14ac:dyDescent="0.3">
      <c r="A5900" s="733" t="s">
        <v>5915</v>
      </c>
      <c r="B5900" s="733" t="s">
        <v>612</v>
      </c>
      <c r="C5900" s="733" t="s">
        <v>5945</v>
      </c>
      <c r="D5900" s="733"/>
      <c r="E5900" s="733"/>
      <c r="G5900" s="733"/>
      <c r="H5900" s="733"/>
      <c r="I5900" s="733"/>
      <c r="J5900" s="733"/>
      <c r="K5900" s="733"/>
      <c r="L5900" s="733"/>
      <c r="M5900" s="733"/>
    </row>
    <row r="5901" spans="1:13" x14ac:dyDescent="0.3">
      <c r="A5901" s="733" t="s">
        <v>957</v>
      </c>
      <c r="B5901" s="733" t="s">
        <v>645</v>
      </c>
      <c r="C5901" s="733" t="s">
        <v>5946</v>
      </c>
      <c r="D5901" s="733"/>
      <c r="E5901" s="733"/>
      <c r="G5901" s="733"/>
      <c r="H5901" s="733"/>
      <c r="I5901" s="733"/>
      <c r="J5901" s="733"/>
      <c r="K5901" s="733"/>
      <c r="L5901" s="733"/>
      <c r="M5901" s="733"/>
    </row>
    <row r="5902" spans="1:13" x14ac:dyDescent="0.3">
      <c r="A5902" s="733" t="s">
        <v>957</v>
      </c>
      <c r="B5902" s="733" t="s">
        <v>645</v>
      </c>
      <c r="C5902" s="733" t="s">
        <v>5947</v>
      </c>
      <c r="D5902" s="733"/>
      <c r="E5902" s="733"/>
      <c r="G5902" s="733"/>
      <c r="H5902" s="733"/>
      <c r="I5902" s="733"/>
      <c r="J5902" s="733"/>
      <c r="K5902" s="733"/>
      <c r="L5902" s="733"/>
      <c r="M5902" s="733"/>
    </row>
    <row r="5903" spans="1:13" x14ac:dyDescent="0.3">
      <c r="A5903" s="733" t="s">
        <v>957</v>
      </c>
      <c r="B5903" s="733" t="s">
        <v>645</v>
      </c>
      <c r="C5903" s="733" t="s">
        <v>5948</v>
      </c>
      <c r="D5903" s="733"/>
      <c r="E5903" s="733"/>
      <c r="G5903" s="733"/>
      <c r="H5903" s="733"/>
      <c r="I5903" s="733"/>
      <c r="J5903" s="733"/>
      <c r="K5903" s="733"/>
      <c r="L5903" s="733"/>
      <c r="M5903" s="733"/>
    </row>
    <row r="5904" spans="1:13" x14ac:dyDescent="0.3">
      <c r="A5904" s="733" t="s">
        <v>957</v>
      </c>
      <c r="B5904" s="733" t="s">
        <v>645</v>
      </c>
      <c r="C5904" s="733" t="s">
        <v>5949</v>
      </c>
      <c r="D5904" s="733"/>
      <c r="E5904" s="733"/>
      <c r="G5904" s="733"/>
      <c r="H5904" s="733"/>
      <c r="I5904" s="733"/>
      <c r="J5904" s="733"/>
      <c r="K5904" s="733"/>
      <c r="L5904" s="733"/>
      <c r="M5904" s="733"/>
    </row>
    <row r="5905" spans="1:13" x14ac:dyDescent="0.3">
      <c r="A5905" s="733" t="s">
        <v>957</v>
      </c>
      <c r="B5905" s="733" t="s">
        <v>645</v>
      </c>
      <c r="C5905" s="733" t="s">
        <v>5950</v>
      </c>
      <c r="D5905" s="733"/>
      <c r="E5905" s="733"/>
      <c r="G5905" s="733"/>
      <c r="H5905" s="733"/>
      <c r="I5905" s="733"/>
      <c r="J5905" s="733"/>
      <c r="K5905" s="733"/>
      <c r="L5905" s="733"/>
      <c r="M5905" s="733"/>
    </row>
    <row r="5906" spans="1:13" x14ac:dyDescent="0.3">
      <c r="A5906" s="733" t="s">
        <v>957</v>
      </c>
      <c r="B5906" s="733" t="s">
        <v>645</v>
      </c>
      <c r="C5906" s="733" t="s">
        <v>5951</v>
      </c>
      <c r="D5906" s="733"/>
      <c r="E5906" s="733"/>
      <c r="G5906" s="733"/>
      <c r="H5906" s="733"/>
      <c r="I5906" s="733"/>
      <c r="J5906" s="733"/>
      <c r="K5906" s="733"/>
      <c r="L5906" s="733"/>
      <c r="M5906" s="733"/>
    </row>
    <row r="5907" spans="1:13" x14ac:dyDescent="0.3">
      <c r="A5907" s="733" t="s">
        <v>957</v>
      </c>
      <c r="B5907" s="733" t="s">
        <v>645</v>
      </c>
      <c r="C5907" s="733" t="s">
        <v>5952</v>
      </c>
      <c r="D5907" s="733"/>
      <c r="E5907" s="733"/>
      <c r="G5907" s="733"/>
      <c r="H5907" s="733"/>
      <c r="I5907" s="733"/>
      <c r="J5907" s="733"/>
      <c r="K5907" s="733"/>
      <c r="L5907" s="733"/>
      <c r="M5907" s="733"/>
    </row>
    <row r="5908" spans="1:13" x14ac:dyDescent="0.3">
      <c r="A5908" s="733" t="s">
        <v>957</v>
      </c>
      <c r="B5908" s="733" t="s">
        <v>645</v>
      </c>
      <c r="C5908" s="733" t="s">
        <v>5953</v>
      </c>
      <c r="D5908" s="733"/>
      <c r="E5908" s="733"/>
      <c r="G5908" s="733"/>
      <c r="H5908" s="733"/>
      <c r="I5908" s="733"/>
      <c r="J5908" s="733"/>
      <c r="K5908" s="733"/>
      <c r="L5908" s="733"/>
      <c r="M5908" s="733"/>
    </row>
    <row r="5909" spans="1:13" x14ac:dyDescent="0.3">
      <c r="A5909" s="733" t="s">
        <v>957</v>
      </c>
      <c r="B5909" s="733" t="s">
        <v>645</v>
      </c>
      <c r="C5909" s="733" t="s">
        <v>5954</v>
      </c>
      <c r="D5909" s="733"/>
      <c r="E5909" s="733"/>
      <c r="G5909" s="733"/>
      <c r="H5909" s="733"/>
      <c r="I5909" s="733"/>
      <c r="J5909" s="733"/>
      <c r="K5909" s="733"/>
      <c r="L5909" s="733"/>
      <c r="M5909" s="733"/>
    </row>
    <row r="5910" spans="1:13" x14ac:dyDescent="0.3">
      <c r="A5910" s="733" t="s">
        <v>957</v>
      </c>
      <c r="B5910" s="733" t="s">
        <v>645</v>
      </c>
      <c r="C5910" s="733" t="s">
        <v>5955</v>
      </c>
      <c r="D5910" s="733"/>
      <c r="E5910" s="733"/>
      <c r="G5910" s="733"/>
      <c r="H5910" s="733"/>
      <c r="I5910" s="733"/>
      <c r="J5910" s="733"/>
      <c r="K5910" s="733"/>
      <c r="L5910" s="733"/>
      <c r="M5910" s="733"/>
    </row>
    <row r="5911" spans="1:13" x14ac:dyDescent="0.3">
      <c r="A5911" s="733" t="s">
        <v>957</v>
      </c>
      <c r="B5911" s="733" t="s">
        <v>664</v>
      </c>
      <c r="C5911" s="733" t="s">
        <v>5956</v>
      </c>
      <c r="D5911" s="733"/>
      <c r="E5911" s="733"/>
      <c r="G5911" s="733"/>
      <c r="H5911" s="733"/>
      <c r="I5911" s="733"/>
      <c r="J5911" s="733"/>
      <c r="K5911" s="733"/>
      <c r="L5911" s="733"/>
      <c r="M5911" s="733"/>
    </row>
    <row r="5912" spans="1:13" x14ac:dyDescent="0.3">
      <c r="A5912" s="733" t="s">
        <v>957</v>
      </c>
      <c r="B5912" s="733" t="s">
        <v>664</v>
      </c>
      <c r="C5912" s="733" t="s">
        <v>5957</v>
      </c>
      <c r="D5912" s="733"/>
      <c r="E5912" s="733"/>
      <c r="G5912" s="733"/>
      <c r="H5912" s="733"/>
      <c r="I5912" s="733"/>
      <c r="J5912" s="733"/>
      <c r="K5912" s="733"/>
      <c r="L5912" s="733"/>
      <c r="M5912" s="733"/>
    </row>
    <row r="5913" spans="1:13" x14ac:dyDescent="0.3">
      <c r="A5913" s="733" t="s">
        <v>957</v>
      </c>
      <c r="B5913" s="733" t="s">
        <v>664</v>
      </c>
      <c r="C5913" s="733" t="s">
        <v>5958</v>
      </c>
      <c r="D5913" s="733"/>
      <c r="E5913" s="733"/>
      <c r="G5913" s="733"/>
      <c r="H5913" s="733"/>
      <c r="I5913" s="733"/>
      <c r="J5913" s="733"/>
      <c r="K5913" s="733"/>
      <c r="L5913" s="733"/>
      <c r="M5913" s="733"/>
    </row>
    <row r="5914" spans="1:13" x14ac:dyDescent="0.3">
      <c r="A5914" s="733" t="s">
        <v>957</v>
      </c>
      <c r="B5914" s="733" t="s">
        <v>664</v>
      </c>
      <c r="C5914" s="733" t="s">
        <v>5959</v>
      </c>
      <c r="D5914" s="733"/>
      <c r="E5914" s="733"/>
      <c r="G5914" s="733"/>
      <c r="H5914" s="733"/>
      <c r="I5914" s="733"/>
      <c r="J5914" s="733"/>
      <c r="K5914" s="733"/>
      <c r="L5914" s="733"/>
      <c r="M5914" s="733"/>
    </row>
    <row r="5915" spans="1:13" x14ac:dyDescent="0.3">
      <c r="A5915" s="733" t="s">
        <v>957</v>
      </c>
      <c r="B5915" s="733" t="s">
        <v>664</v>
      </c>
      <c r="C5915" s="733" t="s">
        <v>5960</v>
      </c>
      <c r="D5915" s="733"/>
      <c r="E5915" s="733"/>
      <c r="G5915" s="733"/>
      <c r="H5915" s="733"/>
      <c r="I5915" s="733"/>
      <c r="J5915" s="733"/>
      <c r="K5915" s="733"/>
      <c r="L5915" s="733"/>
      <c r="M5915" s="733"/>
    </row>
    <row r="5916" spans="1:13" x14ac:dyDescent="0.3">
      <c r="A5916" s="733" t="s">
        <v>957</v>
      </c>
      <c r="B5916" s="733" t="s">
        <v>664</v>
      </c>
      <c r="C5916" s="733" t="s">
        <v>5961</v>
      </c>
      <c r="D5916" s="733"/>
      <c r="E5916" s="733"/>
      <c r="G5916" s="733"/>
      <c r="H5916" s="733"/>
      <c r="I5916" s="733"/>
      <c r="J5916" s="733"/>
      <c r="K5916" s="733"/>
      <c r="L5916" s="733"/>
      <c r="M5916" s="733"/>
    </row>
    <row r="5917" spans="1:13" x14ac:dyDescent="0.3">
      <c r="A5917" s="733" t="s">
        <v>957</v>
      </c>
      <c r="B5917" s="733" t="s">
        <v>664</v>
      </c>
      <c r="C5917" s="733" t="s">
        <v>5962</v>
      </c>
      <c r="D5917" s="733"/>
      <c r="E5917" s="733"/>
      <c r="G5917" s="733"/>
      <c r="H5917" s="733"/>
      <c r="I5917" s="733"/>
      <c r="J5917" s="733"/>
      <c r="K5917" s="733"/>
      <c r="L5917" s="733"/>
      <c r="M5917" s="733"/>
    </row>
    <row r="5918" spans="1:13" x14ac:dyDescent="0.3">
      <c r="A5918" s="733" t="s">
        <v>957</v>
      </c>
      <c r="B5918" s="733" t="s">
        <v>664</v>
      </c>
      <c r="C5918" s="733" t="s">
        <v>5963</v>
      </c>
      <c r="D5918" s="733"/>
      <c r="E5918" s="733"/>
      <c r="G5918" s="733"/>
      <c r="H5918" s="733"/>
      <c r="I5918" s="733"/>
      <c r="J5918" s="733"/>
      <c r="K5918" s="733"/>
      <c r="L5918" s="733"/>
      <c r="M5918" s="733"/>
    </row>
    <row r="5919" spans="1:13" x14ac:dyDescent="0.3">
      <c r="A5919" s="733" t="s">
        <v>957</v>
      </c>
      <c r="B5919" s="733" t="s">
        <v>664</v>
      </c>
      <c r="C5919" s="733" t="s">
        <v>5964</v>
      </c>
      <c r="D5919" s="733"/>
      <c r="E5919" s="733"/>
      <c r="G5919" s="733"/>
      <c r="H5919" s="733"/>
      <c r="I5919" s="733"/>
      <c r="J5919" s="733"/>
      <c r="K5919" s="733"/>
      <c r="L5919" s="733"/>
      <c r="M5919" s="733"/>
    </row>
    <row r="5920" spans="1:13" x14ac:dyDescent="0.3">
      <c r="A5920" s="733" t="s">
        <v>957</v>
      </c>
      <c r="B5920" s="733" t="s">
        <v>664</v>
      </c>
      <c r="C5920" s="733" t="s">
        <v>5965</v>
      </c>
      <c r="D5920" s="733"/>
      <c r="E5920" s="733"/>
      <c r="G5920" s="733"/>
      <c r="H5920" s="733"/>
      <c r="I5920" s="733"/>
      <c r="J5920" s="733"/>
      <c r="K5920" s="733"/>
      <c r="L5920" s="733"/>
      <c r="M5920" s="733"/>
    </row>
    <row r="5921" spans="1:13" x14ac:dyDescent="0.3">
      <c r="A5921" s="733" t="s">
        <v>957</v>
      </c>
      <c r="B5921" s="733" t="s">
        <v>612</v>
      </c>
      <c r="C5921" s="733" t="s">
        <v>5966</v>
      </c>
      <c r="D5921" s="733"/>
      <c r="E5921" s="733"/>
      <c r="G5921" s="733"/>
      <c r="H5921" s="733"/>
      <c r="I5921" s="733"/>
      <c r="J5921" s="733"/>
      <c r="K5921" s="733"/>
      <c r="L5921" s="733"/>
      <c r="M5921" s="733"/>
    </row>
    <row r="5922" spans="1:13" x14ac:dyDescent="0.3">
      <c r="A5922" s="733" t="s">
        <v>957</v>
      </c>
      <c r="B5922" s="733" t="s">
        <v>612</v>
      </c>
      <c r="C5922" s="733" t="s">
        <v>5967</v>
      </c>
      <c r="D5922" s="733"/>
      <c r="E5922" s="733"/>
      <c r="G5922" s="733"/>
      <c r="H5922" s="733"/>
      <c r="I5922" s="733"/>
      <c r="J5922" s="733"/>
      <c r="K5922" s="733"/>
      <c r="L5922" s="733"/>
      <c r="M5922" s="733"/>
    </row>
    <row r="5923" spans="1:13" x14ac:dyDescent="0.3">
      <c r="A5923" s="733" t="s">
        <v>957</v>
      </c>
      <c r="B5923" s="733" t="s">
        <v>612</v>
      </c>
      <c r="C5923" s="733" t="s">
        <v>5968</v>
      </c>
      <c r="D5923" s="733"/>
      <c r="E5923" s="733"/>
      <c r="G5923" s="733"/>
      <c r="H5923" s="733"/>
      <c r="I5923" s="733"/>
      <c r="J5923" s="733"/>
      <c r="K5923" s="733"/>
      <c r="L5923" s="733"/>
      <c r="M5923" s="733"/>
    </row>
    <row r="5924" spans="1:13" x14ac:dyDescent="0.3">
      <c r="A5924" s="733" t="s">
        <v>957</v>
      </c>
      <c r="B5924" s="733" t="s">
        <v>612</v>
      </c>
      <c r="C5924" s="733" t="s">
        <v>5969</v>
      </c>
      <c r="D5924" s="733"/>
      <c r="E5924" s="733"/>
      <c r="G5924" s="733"/>
      <c r="H5924" s="733"/>
      <c r="I5924" s="733"/>
      <c r="J5924" s="733"/>
      <c r="K5924" s="733"/>
      <c r="L5924" s="733"/>
      <c r="M5924" s="733"/>
    </row>
    <row r="5925" spans="1:13" x14ac:dyDescent="0.3">
      <c r="A5925" s="733" t="s">
        <v>957</v>
      </c>
      <c r="B5925" s="733" t="s">
        <v>612</v>
      </c>
      <c r="C5925" s="733" t="s">
        <v>5970</v>
      </c>
      <c r="D5925" s="733"/>
      <c r="E5925" s="733"/>
      <c r="G5925" s="733"/>
      <c r="H5925" s="733"/>
      <c r="I5925" s="733"/>
      <c r="J5925" s="733"/>
      <c r="K5925" s="733"/>
      <c r="L5925" s="733"/>
      <c r="M5925" s="733"/>
    </row>
    <row r="5926" spans="1:13" x14ac:dyDescent="0.3">
      <c r="A5926" s="733" t="s">
        <v>957</v>
      </c>
      <c r="B5926" s="733" t="s">
        <v>612</v>
      </c>
      <c r="C5926" s="733" t="s">
        <v>5971</v>
      </c>
      <c r="D5926" s="733"/>
      <c r="E5926" s="733"/>
      <c r="G5926" s="733"/>
      <c r="H5926" s="733"/>
      <c r="I5926" s="733"/>
      <c r="J5926" s="733"/>
      <c r="K5926" s="733"/>
      <c r="L5926" s="733"/>
      <c r="M5926" s="733"/>
    </row>
    <row r="5927" spans="1:13" x14ac:dyDescent="0.3">
      <c r="A5927" s="733" t="s">
        <v>957</v>
      </c>
      <c r="B5927" s="733" t="s">
        <v>612</v>
      </c>
      <c r="C5927" s="733" t="s">
        <v>5972</v>
      </c>
      <c r="D5927" s="733"/>
      <c r="E5927" s="733"/>
      <c r="G5927" s="733"/>
      <c r="H5927" s="733"/>
      <c r="I5927" s="733"/>
      <c r="J5927" s="733"/>
      <c r="K5927" s="733"/>
      <c r="L5927" s="733"/>
      <c r="M5927" s="733"/>
    </row>
    <row r="5928" spans="1:13" x14ac:dyDescent="0.3">
      <c r="A5928" s="733" t="s">
        <v>957</v>
      </c>
      <c r="B5928" s="733" t="s">
        <v>612</v>
      </c>
      <c r="C5928" s="733" t="s">
        <v>5973</v>
      </c>
      <c r="D5928" s="733"/>
      <c r="E5928" s="733"/>
      <c r="G5928" s="733"/>
      <c r="H5928" s="733"/>
      <c r="I5928" s="733"/>
      <c r="J5928" s="733"/>
      <c r="K5928" s="733"/>
      <c r="L5928" s="733"/>
      <c r="M5928" s="733"/>
    </row>
    <row r="5929" spans="1:13" x14ac:dyDescent="0.3">
      <c r="A5929" s="733" t="s">
        <v>957</v>
      </c>
      <c r="B5929" s="733" t="s">
        <v>612</v>
      </c>
      <c r="C5929" s="733" t="s">
        <v>5974</v>
      </c>
      <c r="D5929" s="733"/>
      <c r="E5929" s="733"/>
      <c r="G5929" s="733"/>
      <c r="H5929" s="733"/>
      <c r="I5929" s="733"/>
      <c r="J5929" s="733"/>
      <c r="K5929" s="733"/>
      <c r="L5929" s="733"/>
      <c r="M5929" s="733"/>
    </row>
    <row r="5930" spans="1:13" x14ac:dyDescent="0.3">
      <c r="A5930" s="733" t="s">
        <v>957</v>
      </c>
      <c r="B5930" s="733" t="s">
        <v>612</v>
      </c>
      <c r="C5930" s="733" t="s">
        <v>5975</v>
      </c>
      <c r="D5930" s="733"/>
      <c r="E5930" s="733"/>
      <c r="G5930" s="733"/>
      <c r="H5930" s="733"/>
      <c r="I5930" s="733"/>
      <c r="J5930" s="733"/>
      <c r="K5930" s="733"/>
      <c r="L5930" s="733"/>
      <c r="M5930" s="733"/>
    </row>
    <row r="5931" spans="1:13" x14ac:dyDescent="0.3">
      <c r="A5931" s="733" t="s">
        <v>5976</v>
      </c>
      <c r="B5931" s="733" t="s">
        <v>645</v>
      </c>
      <c r="C5931" s="733" t="s">
        <v>5977</v>
      </c>
      <c r="D5931" s="733"/>
      <c r="E5931" s="733"/>
      <c r="G5931" s="733"/>
      <c r="H5931" s="733"/>
      <c r="I5931" s="733"/>
      <c r="J5931" s="733"/>
      <c r="K5931" s="733"/>
      <c r="L5931" s="733"/>
      <c r="M5931" s="733"/>
    </row>
    <row r="5932" spans="1:13" x14ac:dyDescent="0.3">
      <c r="A5932" s="733" t="s">
        <v>5976</v>
      </c>
      <c r="B5932" s="733" t="s">
        <v>645</v>
      </c>
      <c r="C5932" s="733" t="s">
        <v>5978</v>
      </c>
      <c r="D5932" s="733"/>
      <c r="E5932" s="733"/>
      <c r="G5932" s="733"/>
      <c r="H5932" s="733"/>
      <c r="I5932" s="733"/>
      <c r="J5932" s="733"/>
      <c r="K5932" s="733"/>
      <c r="L5932" s="733"/>
      <c r="M5932" s="733"/>
    </row>
    <row r="5933" spans="1:13" x14ac:dyDescent="0.3">
      <c r="A5933" s="733" t="s">
        <v>5976</v>
      </c>
      <c r="B5933" s="733" t="s">
        <v>645</v>
      </c>
      <c r="C5933" s="733" t="s">
        <v>5979</v>
      </c>
      <c r="D5933" s="733"/>
      <c r="E5933" s="733"/>
      <c r="G5933" s="733"/>
      <c r="H5933" s="733"/>
      <c r="I5933" s="733"/>
      <c r="J5933" s="733"/>
      <c r="K5933" s="733"/>
      <c r="L5933" s="733"/>
      <c r="M5933" s="733"/>
    </row>
    <row r="5934" spans="1:13" x14ac:dyDescent="0.3">
      <c r="A5934" s="733" t="s">
        <v>5976</v>
      </c>
      <c r="B5934" s="733" t="s">
        <v>645</v>
      </c>
      <c r="C5934" s="733" t="s">
        <v>5980</v>
      </c>
      <c r="D5934" s="733"/>
      <c r="E5934" s="733"/>
      <c r="G5934" s="733"/>
      <c r="H5934" s="733"/>
      <c r="I5934" s="733"/>
      <c r="J5934" s="733"/>
      <c r="K5934" s="733"/>
      <c r="L5934" s="733"/>
      <c r="M5934" s="733"/>
    </row>
    <row r="5935" spans="1:13" x14ac:dyDescent="0.3">
      <c r="A5935" s="733" t="s">
        <v>5976</v>
      </c>
      <c r="B5935" s="733" t="s">
        <v>645</v>
      </c>
      <c r="C5935" s="733" t="s">
        <v>5981</v>
      </c>
      <c r="D5935" s="733"/>
      <c r="E5935" s="733"/>
      <c r="G5935" s="733"/>
      <c r="H5935" s="733"/>
      <c r="I5935" s="733"/>
      <c r="J5935" s="733"/>
      <c r="K5935" s="733"/>
      <c r="L5935" s="733"/>
      <c r="M5935" s="733"/>
    </row>
    <row r="5936" spans="1:13" x14ac:dyDescent="0.3">
      <c r="A5936" s="733" t="s">
        <v>5976</v>
      </c>
      <c r="B5936" s="733" t="s">
        <v>645</v>
      </c>
      <c r="C5936" s="733" t="s">
        <v>5982</v>
      </c>
      <c r="D5936" s="733"/>
      <c r="E5936" s="733"/>
      <c r="G5936" s="733"/>
      <c r="H5936" s="733"/>
      <c r="I5936" s="733"/>
      <c r="J5936" s="733"/>
      <c r="K5936" s="733"/>
      <c r="L5936" s="733"/>
      <c r="M5936" s="733"/>
    </row>
    <row r="5937" spans="1:13" x14ac:dyDescent="0.3">
      <c r="A5937" s="733" t="s">
        <v>5976</v>
      </c>
      <c r="B5937" s="733" t="s">
        <v>645</v>
      </c>
      <c r="C5937" s="733" t="s">
        <v>5983</v>
      </c>
      <c r="D5937" s="733"/>
      <c r="E5937" s="733"/>
      <c r="G5937" s="733"/>
      <c r="H5937" s="733"/>
      <c r="I5937" s="733"/>
      <c r="J5937" s="733"/>
      <c r="K5937" s="733"/>
      <c r="L5937" s="733"/>
      <c r="M5937" s="733"/>
    </row>
    <row r="5938" spans="1:13" x14ac:dyDescent="0.3">
      <c r="A5938" s="733" t="s">
        <v>5976</v>
      </c>
      <c r="B5938" s="733" t="s">
        <v>645</v>
      </c>
      <c r="C5938" s="733" t="s">
        <v>5984</v>
      </c>
      <c r="D5938" s="733"/>
      <c r="E5938" s="733"/>
      <c r="G5938" s="733"/>
      <c r="H5938" s="733"/>
      <c r="I5938" s="733"/>
      <c r="J5938" s="733"/>
      <c r="K5938" s="733"/>
      <c r="L5938" s="733"/>
      <c r="M5938" s="733"/>
    </row>
    <row r="5939" spans="1:13" x14ac:dyDescent="0.3">
      <c r="A5939" s="733" t="s">
        <v>5976</v>
      </c>
      <c r="B5939" s="733" t="s">
        <v>645</v>
      </c>
      <c r="C5939" s="733" t="s">
        <v>5985</v>
      </c>
      <c r="D5939" s="733"/>
      <c r="E5939" s="733"/>
      <c r="G5939" s="733"/>
      <c r="H5939" s="733"/>
      <c r="I5939" s="733"/>
      <c r="J5939" s="733"/>
      <c r="K5939" s="733"/>
      <c r="L5939" s="733"/>
      <c r="M5939" s="733"/>
    </row>
    <row r="5940" spans="1:13" x14ac:dyDescent="0.3">
      <c r="A5940" s="733" t="s">
        <v>5976</v>
      </c>
      <c r="B5940" s="733" t="s">
        <v>645</v>
      </c>
      <c r="C5940" s="733" t="s">
        <v>5986</v>
      </c>
      <c r="D5940" s="733"/>
      <c r="E5940" s="733"/>
      <c r="G5940" s="733"/>
      <c r="H5940" s="733"/>
      <c r="I5940" s="733"/>
      <c r="J5940" s="733"/>
      <c r="K5940" s="733"/>
      <c r="L5940" s="733"/>
      <c r="M5940" s="733"/>
    </row>
    <row r="5941" spans="1:13" x14ac:dyDescent="0.3">
      <c r="A5941" s="733" t="s">
        <v>5976</v>
      </c>
      <c r="B5941" s="733" t="s">
        <v>664</v>
      </c>
      <c r="C5941" s="733" t="s">
        <v>5987</v>
      </c>
      <c r="D5941" s="733"/>
      <c r="E5941" s="733"/>
      <c r="G5941" s="733"/>
      <c r="H5941" s="733"/>
      <c r="I5941" s="733"/>
      <c r="J5941" s="733"/>
      <c r="K5941" s="733"/>
      <c r="L5941" s="733"/>
      <c r="M5941" s="733"/>
    </row>
    <row r="5942" spans="1:13" x14ac:dyDescent="0.3">
      <c r="A5942" s="733" t="s">
        <v>5976</v>
      </c>
      <c r="B5942" s="733" t="s">
        <v>664</v>
      </c>
      <c r="C5942" s="733" t="s">
        <v>5988</v>
      </c>
      <c r="D5942" s="733"/>
      <c r="E5942" s="733"/>
      <c r="G5942" s="733"/>
      <c r="H5942" s="733"/>
      <c r="I5942" s="733"/>
      <c r="J5942" s="733"/>
      <c r="K5942" s="733"/>
      <c r="L5942" s="733"/>
      <c r="M5942" s="733"/>
    </row>
    <row r="5943" spans="1:13" x14ac:dyDescent="0.3">
      <c r="A5943" s="733" t="s">
        <v>5976</v>
      </c>
      <c r="B5943" s="733" t="s">
        <v>664</v>
      </c>
      <c r="C5943" s="733" t="s">
        <v>5989</v>
      </c>
      <c r="D5943" s="733"/>
      <c r="E5943" s="733"/>
      <c r="G5943" s="733"/>
      <c r="H5943" s="733"/>
      <c r="I5943" s="733"/>
      <c r="J5943" s="733"/>
      <c r="K5943" s="733"/>
      <c r="L5943" s="733"/>
      <c r="M5943" s="733"/>
    </row>
    <row r="5944" spans="1:13" x14ac:dyDescent="0.3">
      <c r="A5944" s="733" t="s">
        <v>5976</v>
      </c>
      <c r="B5944" s="733" t="s">
        <v>664</v>
      </c>
      <c r="C5944" s="733" t="s">
        <v>5990</v>
      </c>
      <c r="D5944" s="733"/>
      <c r="E5944" s="733"/>
      <c r="G5944" s="733"/>
      <c r="H5944" s="733"/>
      <c r="I5944" s="733"/>
      <c r="J5944" s="733"/>
      <c r="K5944" s="733"/>
      <c r="L5944" s="733"/>
      <c r="M5944" s="733"/>
    </row>
    <row r="5945" spans="1:13" x14ac:dyDescent="0.3">
      <c r="A5945" s="733" t="s">
        <v>5976</v>
      </c>
      <c r="B5945" s="733" t="s">
        <v>664</v>
      </c>
      <c r="C5945" s="733" t="s">
        <v>5991</v>
      </c>
      <c r="D5945" s="733"/>
      <c r="E5945" s="733"/>
      <c r="G5945" s="733"/>
      <c r="H5945" s="733"/>
      <c r="I5945" s="733"/>
      <c r="J5945" s="733"/>
      <c r="K5945" s="733"/>
      <c r="L5945" s="733"/>
      <c r="M5945" s="733"/>
    </row>
    <row r="5946" spans="1:13" x14ac:dyDescent="0.3">
      <c r="A5946" s="733" t="s">
        <v>5976</v>
      </c>
      <c r="B5946" s="733" t="s">
        <v>664</v>
      </c>
      <c r="C5946" s="733" t="s">
        <v>5992</v>
      </c>
      <c r="D5946" s="733"/>
      <c r="E5946" s="733"/>
      <c r="G5946" s="733"/>
      <c r="H5946" s="733"/>
      <c r="I5946" s="733"/>
      <c r="J5946" s="733"/>
      <c r="K5946" s="733"/>
      <c r="L5946" s="733"/>
      <c r="M5946" s="733"/>
    </row>
    <row r="5947" spans="1:13" x14ac:dyDescent="0.3">
      <c r="A5947" s="733" t="s">
        <v>5976</v>
      </c>
      <c r="B5947" s="733" t="s">
        <v>664</v>
      </c>
      <c r="C5947" s="733" t="s">
        <v>5993</v>
      </c>
      <c r="D5947" s="733"/>
      <c r="E5947" s="733"/>
      <c r="G5947" s="733"/>
      <c r="H5947" s="733"/>
      <c r="I5947" s="733"/>
      <c r="J5947" s="733"/>
      <c r="K5947" s="733"/>
      <c r="L5947" s="733"/>
      <c r="M5947" s="733"/>
    </row>
    <row r="5948" spans="1:13" x14ac:dyDescent="0.3">
      <c r="A5948" s="733" t="s">
        <v>5976</v>
      </c>
      <c r="B5948" s="733" t="s">
        <v>664</v>
      </c>
      <c r="C5948" s="733" t="s">
        <v>5994</v>
      </c>
      <c r="D5948" s="733"/>
      <c r="E5948" s="733"/>
      <c r="G5948" s="733"/>
      <c r="H5948" s="733"/>
      <c r="I5948" s="733"/>
      <c r="J5948" s="733"/>
      <c r="K5948" s="733"/>
      <c r="L5948" s="733"/>
      <c r="M5948" s="733"/>
    </row>
    <row r="5949" spans="1:13" x14ac:dyDescent="0.3">
      <c r="A5949" s="733" t="s">
        <v>5976</v>
      </c>
      <c r="B5949" s="733" t="s">
        <v>664</v>
      </c>
      <c r="C5949" s="733" t="s">
        <v>5995</v>
      </c>
      <c r="D5949" s="733"/>
      <c r="E5949" s="733"/>
      <c r="G5949" s="733"/>
      <c r="H5949" s="733"/>
      <c r="I5949" s="733"/>
      <c r="J5949" s="733"/>
      <c r="K5949" s="733"/>
      <c r="L5949" s="733"/>
      <c r="M5949" s="733"/>
    </row>
    <row r="5950" spans="1:13" x14ac:dyDescent="0.3">
      <c r="A5950" s="733" t="s">
        <v>5976</v>
      </c>
      <c r="B5950" s="733" t="s">
        <v>664</v>
      </c>
      <c r="C5950" s="733" t="s">
        <v>5996</v>
      </c>
      <c r="D5950" s="733"/>
      <c r="E5950" s="733"/>
      <c r="G5950" s="733"/>
      <c r="H5950" s="733"/>
      <c r="I5950" s="733"/>
      <c r="J5950" s="733"/>
      <c r="K5950" s="733"/>
      <c r="L5950" s="733"/>
      <c r="M5950" s="733"/>
    </row>
    <row r="5951" spans="1:13" x14ac:dyDescent="0.3">
      <c r="A5951" s="733" t="s">
        <v>5976</v>
      </c>
      <c r="B5951" s="733" t="s">
        <v>612</v>
      </c>
      <c r="C5951" s="733" t="s">
        <v>5997</v>
      </c>
      <c r="D5951" s="733"/>
      <c r="E5951" s="733"/>
      <c r="G5951" s="733"/>
      <c r="H5951" s="733"/>
      <c r="I5951" s="733"/>
      <c r="J5951" s="733"/>
      <c r="K5951" s="733"/>
      <c r="L5951" s="733"/>
      <c r="M5951" s="733"/>
    </row>
    <row r="5952" spans="1:13" x14ac:dyDescent="0.3">
      <c r="A5952" s="733" t="s">
        <v>5976</v>
      </c>
      <c r="B5952" s="733" t="s">
        <v>612</v>
      </c>
      <c r="C5952" s="733" t="s">
        <v>5998</v>
      </c>
      <c r="D5952" s="733"/>
      <c r="E5952" s="733"/>
      <c r="G5952" s="733"/>
      <c r="H5952" s="733"/>
      <c r="I5952" s="733"/>
      <c r="J5952" s="733"/>
      <c r="K5952" s="733"/>
      <c r="L5952" s="733"/>
      <c r="M5952" s="733"/>
    </row>
    <row r="5953" spans="1:13" x14ac:dyDescent="0.3">
      <c r="A5953" s="733" t="s">
        <v>5976</v>
      </c>
      <c r="B5953" s="733" t="s">
        <v>612</v>
      </c>
      <c r="C5953" s="733" t="s">
        <v>5999</v>
      </c>
      <c r="D5953" s="733"/>
      <c r="E5953" s="733"/>
      <c r="G5953" s="733"/>
      <c r="H5953" s="733"/>
      <c r="I5953" s="733"/>
      <c r="J5953" s="733"/>
      <c r="K5953" s="733"/>
      <c r="L5953" s="733"/>
      <c r="M5953" s="733"/>
    </row>
    <row r="5954" spans="1:13" x14ac:dyDescent="0.3">
      <c r="A5954" s="733" t="s">
        <v>5976</v>
      </c>
      <c r="B5954" s="733" t="s">
        <v>612</v>
      </c>
      <c r="C5954" s="733" t="s">
        <v>6000</v>
      </c>
      <c r="D5954" s="733"/>
      <c r="E5954" s="733"/>
      <c r="G5954" s="733"/>
      <c r="H5954" s="733"/>
      <c r="I5954" s="733"/>
      <c r="J5954" s="733"/>
      <c r="K5954" s="733"/>
      <c r="L5954" s="733"/>
      <c r="M5954" s="733"/>
    </row>
    <row r="5955" spans="1:13" x14ac:dyDescent="0.3">
      <c r="A5955" s="733" t="s">
        <v>5976</v>
      </c>
      <c r="B5955" s="733" t="s">
        <v>612</v>
      </c>
      <c r="C5955" s="733" t="s">
        <v>6001</v>
      </c>
      <c r="D5955" s="733"/>
      <c r="E5955" s="733"/>
      <c r="G5955" s="733"/>
      <c r="H5955" s="733"/>
      <c r="I5955" s="733"/>
      <c r="J5955" s="733"/>
      <c r="K5955" s="733"/>
      <c r="L5955" s="733"/>
      <c r="M5955" s="733"/>
    </row>
    <row r="5956" spans="1:13" x14ac:dyDescent="0.3">
      <c r="A5956" s="733" t="s">
        <v>5976</v>
      </c>
      <c r="B5956" s="733" t="s">
        <v>612</v>
      </c>
      <c r="C5956" s="733" t="s">
        <v>6002</v>
      </c>
      <c r="D5956" s="733"/>
      <c r="E5956" s="733"/>
      <c r="G5956" s="733"/>
      <c r="H5956" s="733"/>
      <c r="I5956" s="733"/>
      <c r="J5956" s="733"/>
      <c r="K5956" s="733"/>
      <c r="L5956" s="733"/>
      <c r="M5956" s="733"/>
    </row>
    <row r="5957" spans="1:13" x14ac:dyDescent="0.3">
      <c r="A5957" s="733" t="s">
        <v>5976</v>
      </c>
      <c r="B5957" s="733" t="s">
        <v>612</v>
      </c>
      <c r="C5957" s="733" t="s">
        <v>6003</v>
      </c>
      <c r="D5957" s="733"/>
      <c r="E5957" s="733"/>
      <c r="G5957" s="733"/>
      <c r="H5957" s="733"/>
      <c r="I5957" s="733"/>
      <c r="J5957" s="733"/>
      <c r="K5957" s="733"/>
      <c r="L5957" s="733"/>
      <c r="M5957" s="733"/>
    </row>
    <row r="5958" spans="1:13" x14ac:dyDescent="0.3">
      <c r="A5958" s="733" t="s">
        <v>5976</v>
      </c>
      <c r="B5958" s="733" t="s">
        <v>612</v>
      </c>
      <c r="C5958" s="733" t="s">
        <v>6004</v>
      </c>
      <c r="D5958" s="733"/>
      <c r="E5958" s="733"/>
      <c r="G5958" s="733"/>
      <c r="H5958" s="733"/>
      <c r="I5958" s="733"/>
      <c r="J5958" s="733"/>
      <c r="K5958" s="733"/>
      <c r="L5958" s="733"/>
      <c r="M5958" s="733"/>
    </row>
    <row r="5959" spans="1:13" x14ac:dyDescent="0.3">
      <c r="A5959" s="733" t="s">
        <v>5976</v>
      </c>
      <c r="B5959" s="733" t="s">
        <v>612</v>
      </c>
      <c r="C5959" s="733" t="s">
        <v>6005</v>
      </c>
      <c r="D5959" s="733"/>
      <c r="E5959" s="733"/>
      <c r="G5959" s="733"/>
      <c r="H5959" s="733"/>
      <c r="I5959" s="733"/>
      <c r="J5959" s="733"/>
      <c r="K5959" s="733"/>
      <c r="L5959" s="733"/>
      <c r="M5959" s="733"/>
    </row>
    <row r="5960" spans="1:13" x14ac:dyDescent="0.3">
      <c r="A5960" s="733" t="s">
        <v>5976</v>
      </c>
      <c r="B5960" s="733" t="s">
        <v>612</v>
      </c>
      <c r="C5960" s="733" t="s">
        <v>6006</v>
      </c>
      <c r="D5960" s="733"/>
      <c r="E5960" s="733"/>
      <c r="G5960" s="733"/>
      <c r="H5960" s="733"/>
      <c r="I5960" s="733"/>
      <c r="J5960" s="733"/>
      <c r="K5960" s="733"/>
      <c r="L5960" s="733"/>
      <c r="M5960" s="733"/>
    </row>
    <row r="5961" spans="1:13" x14ac:dyDescent="0.3">
      <c r="A5961" s="733" t="s">
        <v>6007</v>
      </c>
      <c r="B5961" s="733" t="s">
        <v>645</v>
      </c>
      <c r="C5961" s="733" t="s">
        <v>6008</v>
      </c>
      <c r="D5961" s="733"/>
      <c r="E5961" s="733"/>
      <c r="G5961" s="733"/>
      <c r="H5961" s="733"/>
      <c r="I5961" s="733"/>
      <c r="J5961" s="733"/>
      <c r="K5961" s="733"/>
      <c r="L5961" s="733"/>
      <c r="M5961" s="733"/>
    </row>
    <row r="5962" spans="1:13" x14ac:dyDescent="0.3">
      <c r="A5962" s="733" t="s">
        <v>6007</v>
      </c>
      <c r="B5962" s="733" t="s">
        <v>645</v>
      </c>
      <c r="C5962" s="733" t="s">
        <v>6009</v>
      </c>
      <c r="D5962" s="733"/>
      <c r="E5962" s="733"/>
      <c r="G5962" s="733"/>
      <c r="H5962" s="733"/>
      <c r="I5962" s="733"/>
      <c r="J5962" s="733"/>
      <c r="K5962" s="733"/>
      <c r="L5962" s="733"/>
      <c r="M5962" s="733"/>
    </row>
    <row r="5963" spans="1:13" x14ac:dyDescent="0.3">
      <c r="A5963" s="733" t="s">
        <v>6007</v>
      </c>
      <c r="B5963" s="733" t="s">
        <v>645</v>
      </c>
      <c r="C5963" s="733" t="s">
        <v>6010</v>
      </c>
      <c r="D5963" s="733"/>
      <c r="E5963" s="733"/>
      <c r="G5963" s="733"/>
      <c r="H5963" s="733"/>
      <c r="I5963" s="733"/>
      <c r="J5963" s="733"/>
      <c r="K5963" s="733"/>
      <c r="L5963" s="733"/>
      <c r="M5963" s="733"/>
    </row>
    <row r="5964" spans="1:13" x14ac:dyDescent="0.3">
      <c r="A5964" s="733" t="s">
        <v>6007</v>
      </c>
      <c r="B5964" s="733" t="s">
        <v>645</v>
      </c>
      <c r="C5964" s="733" t="s">
        <v>6011</v>
      </c>
      <c r="D5964" s="733"/>
      <c r="E5964" s="733"/>
      <c r="G5964" s="733"/>
      <c r="H5964" s="733"/>
      <c r="I5964" s="733"/>
      <c r="J5964" s="733"/>
      <c r="K5964" s="733"/>
      <c r="L5964" s="733"/>
      <c r="M5964" s="733"/>
    </row>
    <row r="5965" spans="1:13" x14ac:dyDescent="0.3">
      <c r="A5965" s="733" t="s">
        <v>6007</v>
      </c>
      <c r="B5965" s="733" t="s">
        <v>645</v>
      </c>
      <c r="C5965" s="733" t="s">
        <v>6012</v>
      </c>
      <c r="D5965" s="733"/>
      <c r="E5965" s="733"/>
      <c r="G5965" s="733"/>
      <c r="H5965" s="733"/>
      <c r="I5965" s="733"/>
      <c r="J5965" s="733"/>
      <c r="K5965" s="733"/>
      <c r="L5965" s="733"/>
      <c r="M5965" s="733"/>
    </row>
    <row r="5966" spans="1:13" x14ac:dyDescent="0.3">
      <c r="A5966" s="733" t="s">
        <v>6007</v>
      </c>
      <c r="B5966" s="733" t="s">
        <v>645</v>
      </c>
      <c r="C5966" s="733" t="s">
        <v>6013</v>
      </c>
      <c r="D5966" s="733"/>
      <c r="E5966" s="733"/>
      <c r="G5966" s="733"/>
      <c r="H5966" s="733"/>
      <c r="I5966" s="733"/>
      <c r="J5966" s="733"/>
      <c r="K5966" s="733"/>
      <c r="L5966" s="733"/>
      <c r="M5966" s="733"/>
    </row>
    <row r="5967" spans="1:13" x14ac:dyDescent="0.3">
      <c r="A5967" s="733" t="s">
        <v>6007</v>
      </c>
      <c r="B5967" s="733" t="s">
        <v>645</v>
      </c>
      <c r="C5967" s="733" t="s">
        <v>6014</v>
      </c>
      <c r="D5967" s="733"/>
      <c r="E5967" s="733"/>
      <c r="G5967" s="733"/>
      <c r="H5967" s="733"/>
      <c r="I5967" s="733"/>
      <c r="J5967" s="733"/>
      <c r="K5967" s="733"/>
      <c r="L5967" s="733"/>
      <c r="M5967" s="733"/>
    </row>
    <row r="5968" spans="1:13" x14ac:dyDescent="0.3">
      <c r="A5968" s="733" t="s">
        <v>6007</v>
      </c>
      <c r="B5968" s="733" t="s">
        <v>645</v>
      </c>
      <c r="C5968" s="733" t="s">
        <v>6015</v>
      </c>
      <c r="D5968" s="733"/>
      <c r="E5968" s="733"/>
      <c r="G5968" s="733"/>
      <c r="H5968" s="733"/>
      <c r="I5968" s="733"/>
      <c r="J5968" s="733"/>
      <c r="K5968" s="733"/>
      <c r="L5968" s="733"/>
      <c r="M5968" s="733"/>
    </row>
    <row r="5969" spans="1:13" x14ac:dyDescent="0.3">
      <c r="A5969" s="733" t="s">
        <v>6007</v>
      </c>
      <c r="B5969" s="733" t="s">
        <v>645</v>
      </c>
      <c r="C5969" s="733" t="s">
        <v>6016</v>
      </c>
      <c r="D5969" s="733"/>
      <c r="E5969" s="733"/>
      <c r="G5969" s="733"/>
      <c r="H5969" s="733"/>
      <c r="I5969" s="733"/>
      <c r="J5969" s="733"/>
      <c r="K5969" s="733"/>
      <c r="L5969" s="733"/>
      <c r="M5969" s="733"/>
    </row>
    <row r="5970" spans="1:13" x14ac:dyDescent="0.3">
      <c r="A5970" s="733" t="s">
        <v>6007</v>
      </c>
      <c r="B5970" s="733" t="s">
        <v>645</v>
      </c>
      <c r="C5970" s="733" t="s">
        <v>6017</v>
      </c>
      <c r="D5970" s="733"/>
      <c r="E5970" s="733"/>
      <c r="G5970" s="733"/>
      <c r="H5970" s="733"/>
      <c r="I5970" s="733"/>
      <c r="J5970" s="733"/>
      <c r="K5970" s="733"/>
      <c r="L5970" s="733"/>
      <c r="M5970" s="733"/>
    </row>
    <row r="5971" spans="1:13" x14ac:dyDescent="0.3">
      <c r="A5971" s="733" t="s">
        <v>6007</v>
      </c>
      <c r="B5971" s="733" t="s">
        <v>664</v>
      </c>
      <c r="C5971" s="733" t="s">
        <v>6018</v>
      </c>
      <c r="D5971" s="733"/>
      <c r="E5971" s="733"/>
      <c r="G5971" s="733"/>
      <c r="H5971" s="733"/>
      <c r="I5971" s="733"/>
      <c r="J5971" s="733"/>
      <c r="K5971" s="733"/>
      <c r="L5971" s="733"/>
      <c r="M5971" s="733"/>
    </row>
    <row r="5972" spans="1:13" x14ac:dyDescent="0.3">
      <c r="A5972" s="733" t="s">
        <v>6007</v>
      </c>
      <c r="B5972" s="733" t="s">
        <v>664</v>
      </c>
      <c r="C5972" s="733" t="s">
        <v>6019</v>
      </c>
      <c r="D5972" s="733"/>
      <c r="E5972" s="733"/>
      <c r="G5972" s="733"/>
      <c r="H5972" s="733"/>
      <c r="I5972" s="733"/>
      <c r="J5972" s="733"/>
      <c r="K5972" s="733"/>
      <c r="L5972" s="733"/>
      <c r="M5972" s="733"/>
    </row>
    <row r="5973" spans="1:13" x14ac:dyDescent="0.3">
      <c r="A5973" s="733" t="s">
        <v>6007</v>
      </c>
      <c r="B5973" s="733" t="s">
        <v>664</v>
      </c>
      <c r="C5973" s="733" t="s">
        <v>6020</v>
      </c>
      <c r="D5973" s="733"/>
      <c r="E5973" s="733"/>
      <c r="G5973" s="733"/>
      <c r="H5973" s="733"/>
      <c r="I5973" s="733"/>
      <c r="J5973" s="733"/>
      <c r="K5973" s="733"/>
      <c r="L5973" s="733"/>
      <c r="M5973" s="733"/>
    </row>
    <row r="5974" spans="1:13" x14ac:dyDescent="0.3">
      <c r="A5974" s="733" t="s">
        <v>6007</v>
      </c>
      <c r="B5974" s="733" t="s">
        <v>664</v>
      </c>
      <c r="C5974" s="733" t="s">
        <v>6021</v>
      </c>
      <c r="D5974" s="733"/>
      <c r="E5974" s="733"/>
      <c r="G5974" s="733"/>
      <c r="H5974" s="733"/>
      <c r="I5974" s="733"/>
      <c r="J5974" s="733"/>
      <c r="K5974" s="733"/>
      <c r="L5974" s="733"/>
      <c r="M5974" s="733"/>
    </row>
    <row r="5975" spans="1:13" x14ac:dyDescent="0.3">
      <c r="A5975" s="733" t="s">
        <v>6007</v>
      </c>
      <c r="B5975" s="733" t="s">
        <v>664</v>
      </c>
      <c r="C5975" s="733" t="s">
        <v>6022</v>
      </c>
      <c r="D5975" s="733"/>
      <c r="E5975" s="733"/>
      <c r="G5975" s="733"/>
      <c r="H5975" s="733"/>
      <c r="I5975" s="733"/>
      <c r="J5975" s="733"/>
      <c r="K5975" s="733"/>
      <c r="L5975" s="733"/>
      <c r="M5975" s="733"/>
    </row>
    <row r="5976" spans="1:13" x14ac:dyDescent="0.3">
      <c r="A5976" s="733" t="s">
        <v>6007</v>
      </c>
      <c r="B5976" s="733" t="s">
        <v>664</v>
      </c>
      <c r="C5976" s="733" t="s">
        <v>6023</v>
      </c>
      <c r="D5976" s="733"/>
      <c r="E5976" s="733"/>
      <c r="G5976" s="733"/>
      <c r="H5976" s="733"/>
      <c r="I5976" s="733"/>
      <c r="J5976" s="733"/>
      <c r="K5976" s="733"/>
      <c r="L5976" s="733"/>
      <c r="M5976" s="733"/>
    </row>
    <row r="5977" spans="1:13" x14ac:dyDescent="0.3">
      <c r="A5977" s="733" t="s">
        <v>6007</v>
      </c>
      <c r="B5977" s="733" t="s">
        <v>664</v>
      </c>
      <c r="C5977" s="733" t="s">
        <v>6024</v>
      </c>
      <c r="D5977" s="733"/>
      <c r="E5977" s="733"/>
      <c r="G5977" s="733"/>
      <c r="H5977" s="733"/>
      <c r="I5977" s="733"/>
      <c r="J5977" s="733"/>
      <c r="K5977" s="733"/>
      <c r="L5977" s="733"/>
      <c r="M5977" s="733"/>
    </row>
    <row r="5978" spans="1:13" x14ac:dyDescent="0.3">
      <c r="A5978" s="733" t="s">
        <v>6007</v>
      </c>
      <c r="B5978" s="733" t="s">
        <v>664</v>
      </c>
      <c r="C5978" s="733" t="s">
        <v>6025</v>
      </c>
      <c r="D5978" s="733"/>
      <c r="E5978" s="733"/>
      <c r="G5978" s="733"/>
      <c r="H5978" s="733"/>
      <c r="I5978" s="733"/>
      <c r="J5978" s="733"/>
      <c r="K5978" s="733"/>
      <c r="L5978" s="733"/>
      <c r="M5978" s="733"/>
    </row>
    <row r="5979" spans="1:13" x14ac:dyDescent="0.3">
      <c r="A5979" s="733" t="s">
        <v>6007</v>
      </c>
      <c r="B5979" s="733" t="s">
        <v>664</v>
      </c>
      <c r="C5979" s="733" t="s">
        <v>6026</v>
      </c>
      <c r="D5979" s="733"/>
      <c r="E5979" s="733"/>
      <c r="G5979" s="733"/>
      <c r="H5979" s="733"/>
      <c r="I5979" s="733"/>
      <c r="J5979" s="733"/>
      <c r="K5979" s="733"/>
      <c r="L5979" s="733"/>
      <c r="M5979" s="733"/>
    </row>
    <row r="5980" spans="1:13" x14ac:dyDescent="0.3">
      <c r="A5980" s="733" t="s">
        <v>6007</v>
      </c>
      <c r="B5980" s="733" t="s">
        <v>664</v>
      </c>
      <c r="C5980" s="733" t="s">
        <v>6027</v>
      </c>
      <c r="D5980" s="733"/>
      <c r="E5980" s="733"/>
      <c r="G5980" s="733"/>
      <c r="H5980" s="733"/>
      <c r="I5980" s="733"/>
      <c r="J5980" s="733"/>
      <c r="K5980" s="733"/>
      <c r="L5980" s="733"/>
      <c r="M5980" s="733"/>
    </row>
    <row r="5981" spans="1:13" x14ac:dyDescent="0.3">
      <c r="A5981" s="733" t="s">
        <v>6007</v>
      </c>
      <c r="B5981" s="733" t="s">
        <v>612</v>
      </c>
      <c r="C5981" s="733" t="s">
        <v>6028</v>
      </c>
      <c r="D5981" s="733"/>
      <c r="E5981" s="733"/>
      <c r="G5981" s="733"/>
      <c r="H5981" s="733"/>
      <c r="I5981" s="733"/>
      <c r="J5981" s="733"/>
      <c r="K5981" s="733"/>
      <c r="L5981" s="733"/>
      <c r="M5981" s="733"/>
    </row>
    <row r="5982" spans="1:13" x14ac:dyDescent="0.3">
      <c r="A5982" s="733" t="s">
        <v>6007</v>
      </c>
      <c r="B5982" s="733" t="s">
        <v>612</v>
      </c>
      <c r="C5982" s="733" t="s">
        <v>6029</v>
      </c>
      <c r="D5982" s="733"/>
      <c r="E5982" s="733"/>
      <c r="G5982" s="733"/>
      <c r="H5982" s="733"/>
      <c r="I5982" s="733"/>
      <c r="J5982" s="733"/>
      <c r="K5982" s="733"/>
      <c r="L5982" s="733"/>
      <c r="M5982" s="733"/>
    </row>
    <row r="5983" spans="1:13" x14ac:dyDescent="0.3">
      <c r="A5983" s="733" t="s">
        <v>6007</v>
      </c>
      <c r="B5983" s="733" t="s">
        <v>612</v>
      </c>
      <c r="C5983" s="733" t="s">
        <v>6030</v>
      </c>
      <c r="D5983" s="733"/>
      <c r="E5983" s="733"/>
      <c r="G5983" s="733"/>
      <c r="H5983" s="733"/>
      <c r="I5983" s="733"/>
      <c r="J5983" s="733"/>
      <c r="K5983" s="733"/>
      <c r="L5983" s="733"/>
      <c r="M5983" s="733"/>
    </row>
    <row r="5984" spans="1:13" x14ac:dyDescent="0.3">
      <c r="A5984" s="733" t="s">
        <v>6007</v>
      </c>
      <c r="B5984" s="733" t="s">
        <v>612</v>
      </c>
      <c r="C5984" s="733" t="s">
        <v>6031</v>
      </c>
      <c r="D5984" s="733"/>
      <c r="E5984" s="733"/>
      <c r="G5984" s="733"/>
      <c r="H5984" s="733"/>
      <c r="I5984" s="733"/>
      <c r="J5984" s="733"/>
      <c r="K5984" s="733"/>
      <c r="L5984" s="733"/>
      <c r="M5984" s="733"/>
    </row>
    <row r="5985" spans="1:13" x14ac:dyDescent="0.3">
      <c r="A5985" s="733" t="s">
        <v>6007</v>
      </c>
      <c r="B5985" s="733" t="s">
        <v>612</v>
      </c>
      <c r="C5985" s="733" t="s">
        <v>6032</v>
      </c>
      <c r="D5985" s="733"/>
      <c r="E5985" s="733"/>
      <c r="G5985" s="733"/>
      <c r="H5985" s="733"/>
      <c r="I5985" s="733"/>
      <c r="J5985" s="733"/>
      <c r="K5985" s="733"/>
      <c r="L5985" s="733"/>
      <c r="M5985" s="733"/>
    </row>
    <row r="5986" spans="1:13" x14ac:dyDescent="0.3">
      <c r="A5986" s="733" t="s">
        <v>6007</v>
      </c>
      <c r="B5986" s="733" t="s">
        <v>612</v>
      </c>
      <c r="C5986" s="733" t="s">
        <v>6033</v>
      </c>
      <c r="D5986" s="733"/>
      <c r="E5986" s="733"/>
      <c r="G5986" s="733"/>
      <c r="H5986" s="733"/>
      <c r="I5986" s="733"/>
      <c r="J5986" s="733"/>
      <c r="K5986" s="733"/>
      <c r="L5986" s="733"/>
      <c r="M5986" s="733"/>
    </row>
    <row r="5987" spans="1:13" x14ac:dyDescent="0.3">
      <c r="A5987" s="733" t="s">
        <v>6007</v>
      </c>
      <c r="B5987" s="733" t="s">
        <v>612</v>
      </c>
      <c r="C5987" s="733" t="s">
        <v>6034</v>
      </c>
      <c r="D5987" s="733"/>
      <c r="E5987" s="733"/>
      <c r="G5987" s="733"/>
      <c r="H5987" s="733"/>
      <c r="I5987" s="733"/>
      <c r="J5987" s="733"/>
      <c r="K5987" s="733"/>
      <c r="L5987" s="733"/>
      <c r="M5987" s="733"/>
    </row>
    <row r="5988" spans="1:13" x14ac:dyDescent="0.3">
      <c r="A5988" s="733" t="s">
        <v>6007</v>
      </c>
      <c r="B5988" s="733" t="s">
        <v>612</v>
      </c>
      <c r="C5988" s="733" t="s">
        <v>6035</v>
      </c>
      <c r="D5988" s="733"/>
      <c r="E5988" s="733"/>
      <c r="G5988" s="733"/>
      <c r="H5988" s="733"/>
      <c r="I5988" s="733"/>
      <c r="J5988" s="733"/>
      <c r="K5988" s="733"/>
      <c r="L5988" s="733"/>
      <c r="M5988" s="733"/>
    </row>
    <row r="5989" spans="1:13" x14ac:dyDescent="0.3">
      <c r="A5989" s="733" t="s">
        <v>6007</v>
      </c>
      <c r="B5989" s="733" t="s">
        <v>612</v>
      </c>
      <c r="C5989" s="733" t="s">
        <v>6036</v>
      </c>
      <c r="D5989" s="733"/>
      <c r="E5989" s="733"/>
      <c r="G5989" s="733"/>
      <c r="H5989" s="733"/>
      <c r="I5989" s="733"/>
      <c r="J5989" s="733"/>
      <c r="K5989" s="733"/>
      <c r="L5989" s="733"/>
      <c r="M5989" s="733"/>
    </row>
    <row r="5990" spans="1:13" x14ac:dyDescent="0.3">
      <c r="A5990" s="733" t="s">
        <v>6007</v>
      </c>
      <c r="B5990" s="733" t="s">
        <v>612</v>
      </c>
      <c r="C5990" s="733" t="s">
        <v>6037</v>
      </c>
      <c r="D5990" s="733"/>
      <c r="E5990" s="733"/>
      <c r="G5990" s="733"/>
      <c r="H5990" s="733"/>
      <c r="I5990" s="733"/>
      <c r="J5990" s="733"/>
      <c r="K5990" s="733"/>
      <c r="L5990" s="733"/>
      <c r="M5990" s="733"/>
    </row>
    <row r="5991" spans="1:13" x14ac:dyDescent="0.3">
      <c r="A5991" s="733" t="s">
        <v>6038</v>
      </c>
      <c r="B5991" s="733" t="s">
        <v>645</v>
      </c>
      <c r="C5991" s="738" t="s">
        <v>6039</v>
      </c>
      <c r="D5991" s="733"/>
      <c r="E5991" s="733"/>
      <c r="G5991" s="733"/>
      <c r="H5991" s="733"/>
      <c r="I5991" s="733"/>
      <c r="J5991" s="733"/>
      <c r="K5991" s="733"/>
      <c r="L5991" s="733"/>
      <c r="M5991" s="733"/>
    </row>
    <row r="5992" spans="1:13" x14ac:dyDescent="0.3">
      <c r="A5992" s="733" t="s">
        <v>6038</v>
      </c>
      <c r="B5992" s="733" t="s">
        <v>645</v>
      </c>
      <c r="C5992" s="738" t="s">
        <v>6040</v>
      </c>
      <c r="D5992" s="733"/>
      <c r="E5992" s="733"/>
      <c r="G5992" s="733"/>
      <c r="H5992" s="733"/>
      <c r="I5992" s="733"/>
      <c r="J5992" s="733"/>
      <c r="K5992" s="733"/>
      <c r="L5992" s="733"/>
      <c r="M5992" s="733"/>
    </row>
    <row r="5993" spans="1:13" x14ac:dyDescent="0.3">
      <c r="A5993" s="733" t="s">
        <v>6038</v>
      </c>
      <c r="B5993" s="733" t="s">
        <v>645</v>
      </c>
      <c r="C5993" s="738" t="s">
        <v>6041</v>
      </c>
      <c r="D5993" s="733"/>
      <c r="E5993" s="733"/>
      <c r="G5993" s="733"/>
      <c r="H5993" s="733"/>
      <c r="I5993" s="733"/>
      <c r="J5993" s="733"/>
      <c r="K5993" s="733"/>
      <c r="L5993" s="733"/>
      <c r="M5993" s="733"/>
    </row>
    <row r="5994" spans="1:13" x14ac:dyDescent="0.3">
      <c r="A5994" s="733" t="s">
        <v>6038</v>
      </c>
      <c r="B5994" s="733" t="s">
        <v>645</v>
      </c>
      <c r="C5994" s="738" t="s">
        <v>6042</v>
      </c>
      <c r="D5994" s="733"/>
      <c r="E5994" s="733"/>
      <c r="G5994" s="733"/>
      <c r="H5994" s="733"/>
      <c r="I5994" s="733"/>
      <c r="J5994" s="733"/>
      <c r="K5994" s="733"/>
      <c r="L5994" s="733"/>
      <c r="M5994" s="733"/>
    </row>
    <row r="5995" spans="1:13" x14ac:dyDescent="0.3">
      <c r="A5995" s="733" t="s">
        <v>6038</v>
      </c>
      <c r="B5995" s="733" t="s">
        <v>645</v>
      </c>
      <c r="C5995" s="738" t="s">
        <v>6043</v>
      </c>
      <c r="D5995" s="733"/>
      <c r="E5995" s="733"/>
      <c r="G5995" s="733"/>
      <c r="H5995" s="733"/>
      <c r="I5995" s="733"/>
      <c r="J5995" s="733"/>
      <c r="K5995" s="733"/>
      <c r="L5995" s="733"/>
      <c r="M5995" s="733"/>
    </row>
    <row r="5996" spans="1:13" x14ac:dyDescent="0.3">
      <c r="A5996" s="733" t="s">
        <v>6038</v>
      </c>
      <c r="B5996" s="733" t="s">
        <v>645</v>
      </c>
      <c r="C5996" s="738" t="s">
        <v>6044</v>
      </c>
      <c r="D5996" s="733"/>
      <c r="E5996" s="733"/>
      <c r="G5996" s="733"/>
      <c r="H5996" s="733"/>
      <c r="I5996" s="733"/>
      <c r="J5996" s="733"/>
      <c r="K5996" s="733"/>
      <c r="L5996" s="733"/>
      <c r="M5996" s="733"/>
    </row>
    <row r="5997" spans="1:13" x14ac:dyDescent="0.3">
      <c r="A5997" s="733" t="s">
        <v>6038</v>
      </c>
      <c r="B5997" s="733" t="s">
        <v>645</v>
      </c>
      <c r="C5997" s="738" t="s">
        <v>6045</v>
      </c>
      <c r="D5997" s="733"/>
      <c r="E5997" s="733"/>
      <c r="G5997" s="733"/>
      <c r="H5997" s="733"/>
      <c r="I5997" s="733"/>
      <c r="J5997" s="733"/>
      <c r="K5997" s="733"/>
      <c r="L5997" s="733"/>
      <c r="M5997" s="733"/>
    </row>
    <row r="5998" spans="1:13" x14ac:dyDescent="0.3">
      <c r="A5998" s="733" t="s">
        <v>6038</v>
      </c>
      <c r="B5998" s="733" t="s">
        <v>645</v>
      </c>
      <c r="C5998" s="738" t="s">
        <v>6046</v>
      </c>
      <c r="D5998" s="733"/>
      <c r="E5998" s="733"/>
      <c r="G5998" s="733"/>
      <c r="H5998" s="733"/>
      <c r="I5998" s="733"/>
      <c r="J5998" s="733"/>
      <c r="K5998" s="733"/>
      <c r="L5998" s="733"/>
      <c r="M5998" s="733"/>
    </row>
    <row r="5999" spans="1:13" x14ac:dyDescent="0.3">
      <c r="A5999" s="733" t="s">
        <v>6038</v>
      </c>
      <c r="B5999" s="733" t="s">
        <v>645</v>
      </c>
      <c r="C5999" s="738" t="s">
        <v>6047</v>
      </c>
      <c r="D5999" s="733"/>
      <c r="E5999" s="733"/>
      <c r="G5999" s="733"/>
      <c r="H5999" s="733"/>
      <c r="I5999" s="733"/>
      <c r="J5999" s="733"/>
      <c r="K5999" s="733"/>
      <c r="L5999" s="733"/>
      <c r="M5999" s="733"/>
    </row>
    <row r="6000" spans="1:13" x14ac:dyDescent="0.3">
      <c r="A6000" s="733" t="s">
        <v>6038</v>
      </c>
      <c r="B6000" s="733" t="s">
        <v>645</v>
      </c>
      <c r="C6000" s="738" t="s">
        <v>6048</v>
      </c>
      <c r="D6000" s="733"/>
      <c r="E6000" s="733"/>
      <c r="G6000" s="733"/>
      <c r="H6000" s="733"/>
      <c r="I6000" s="733"/>
      <c r="J6000" s="733"/>
      <c r="K6000" s="733"/>
      <c r="L6000" s="733"/>
      <c r="M6000" s="733"/>
    </row>
    <row r="6001" spans="1:13" x14ac:dyDescent="0.3">
      <c r="A6001" s="733" t="s">
        <v>6038</v>
      </c>
      <c r="B6001" s="733" t="s">
        <v>664</v>
      </c>
      <c r="C6001" s="738" t="s">
        <v>6049</v>
      </c>
      <c r="D6001" s="733"/>
      <c r="E6001" s="733"/>
      <c r="G6001" s="733"/>
      <c r="H6001" s="733"/>
      <c r="I6001" s="733"/>
      <c r="J6001" s="733"/>
      <c r="K6001" s="733"/>
      <c r="L6001" s="733"/>
      <c r="M6001" s="733"/>
    </row>
    <row r="6002" spans="1:13" x14ac:dyDescent="0.3">
      <c r="A6002" s="733" t="s">
        <v>6038</v>
      </c>
      <c r="B6002" s="733" t="s">
        <v>664</v>
      </c>
      <c r="C6002" s="738" t="s">
        <v>6050</v>
      </c>
      <c r="D6002" s="733"/>
      <c r="E6002" s="733"/>
      <c r="G6002" s="733"/>
      <c r="H6002" s="733"/>
      <c r="I6002" s="733"/>
      <c r="J6002" s="733"/>
      <c r="K6002" s="733"/>
      <c r="L6002" s="733"/>
      <c r="M6002" s="733"/>
    </row>
    <row r="6003" spans="1:13" x14ac:dyDescent="0.3">
      <c r="A6003" s="733" t="s">
        <v>6038</v>
      </c>
      <c r="B6003" s="733" t="s">
        <v>664</v>
      </c>
      <c r="C6003" s="738" t="s">
        <v>6051</v>
      </c>
      <c r="D6003" s="733"/>
      <c r="E6003" s="733"/>
      <c r="G6003" s="733"/>
      <c r="H6003" s="733"/>
      <c r="I6003" s="733"/>
      <c r="J6003" s="733"/>
      <c r="K6003" s="733"/>
      <c r="L6003" s="733"/>
      <c r="M6003" s="733"/>
    </row>
    <row r="6004" spans="1:13" x14ac:dyDescent="0.3">
      <c r="A6004" s="733" t="s">
        <v>6038</v>
      </c>
      <c r="B6004" s="733" t="s">
        <v>664</v>
      </c>
      <c r="C6004" s="738" t="s">
        <v>6052</v>
      </c>
      <c r="D6004" s="733"/>
      <c r="E6004" s="733"/>
      <c r="G6004" s="733"/>
      <c r="H6004" s="733"/>
      <c r="I6004" s="733"/>
      <c r="J6004" s="733"/>
      <c r="K6004" s="733"/>
      <c r="L6004" s="733"/>
      <c r="M6004" s="733"/>
    </row>
    <row r="6005" spans="1:13" x14ac:dyDescent="0.3">
      <c r="A6005" s="733" t="s">
        <v>6038</v>
      </c>
      <c r="B6005" s="733" t="s">
        <v>664</v>
      </c>
      <c r="C6005" s="738" t="s">
        <v>6053</v>
      </c>
      <c r="D6005" s="733"/>
      <c r="E6005" s="733"/>
      <c r="G6005" s="733"/>
      <c r="H6005" s="733"/>
      <c r="I6005" s="733"/>
      <c r="J6005" s="733"/>
      <c r="K6005" s="733"/>
      <c r="L6005" s="733"/>
      <c r="M6005" s="733"/>
    </row>
    <row r="6006" spans="1:13" x14ac:dyDescent="0.3">
      <c r="A6006" s="733" t="s">
        <v>6038</v>
      </c>
      <c r="B6006" s="733" t="s">
        <v>664</v>
      </c>
      <c r="C6006" s="738" t="s">
        <v>6054</v>
      </c>
      <c r="D6006" s="733"/>
      <c r="E6006" s="733"/>
      <c r="G6006" s="733"/>
      <c r="H6006" s="733"/>
      <c r="I6006" s="733"/>
      <c r="J6006" s="733"/>
      <c r="K6006" s="733"/>
      <c r="L6006" s="733"/>
      <c r="M6006" s="733"/>
    </row>
    <row r="6007" spans="1:13" x14ac:dyDescent="0.3">
      <c r="A6007" s="733" t="s">
        <v>6038</v>
      </c>
      <c r="B6007" s="733" t="s">
        <v>664</v>
      </c>
      <c r="C6007" s="738" t="s">
        <v>6055</v>
      </c>
      <c r="D6007" s="733"/>
      <c r="E6007" s="733"/>
      <c r="G6007" s="733"/>
      <c r="H6007" s="733"/>
      <c r="I6007" s="733"/>
      <c r="J6007" s="733"/>
      <c r="K6007" s="733"/>
      <c r="L6007" s="733"/>
      <c r="M6007" s="733"/>
    </row>
    <row r="6008" spans="1:13" x14ac:dyDescent="0.3">
      <c r="A6008" s="733" t="s">
        <v>6038</v>
      </c>
      <c r="B6008" s="733" t="s">
        <v>664</v>
      </c>
      <c r="C6008" s="738" t="s">
        <v>6056</v>
      </c>
      <c r="D6008" s="733"/>
      <c r="E6008" s="733"/>
      <c r="G6008" s="733"/>
      <c r="H6008" s="733"/>
      <c r="I6008" s="733"/>
      <c r="J6008" s="733"/>
      <c r="K6008" s="733"/>
      <c r="L6008" s="733"/>
      <c r="M6008" s="733"/>
    </row>
    <row r="6009" spans="1:13" x14ac:dyDescent="0.3">
      <c r="A6009" s="733" t="s">
        <v>6038</v>
      </c>
      <c r="B6009" s="733" t="s">
        <v>664</v>
      </c>
      <c r="C6009" s="738" t="s">
        <v>6057</v>
      </c>
      <c r="D6009" s="733"/>
      <c r="E6009" s="733"/>
      <c r="G6009" s="733"/>
      <c r="H6009" s="733"/>
      <c r="I6009" s="733"/>
      <c r="J6009" s="733"/>
      <c r="K6009" s="733"/>
      <c r="L6009" s="733"/>
      <c r="M6009" s="733"/>
    </row>
    <row r="6010" spans="1:13" x14ac:dyDescent="0.3">
      <c r="A6010" s="733" t="s">
        <v>6038</v>
      </c>
      <c r="B6010" s="733" t="s">
        <v>664</v>
      </c>
      <c r="C6010" s="738" t="s">
        <v>6058</v>
      </c>
      <c r="D6010" s="733"/>
      <c r="E6010" s="733"/>
      <c r="G6010" s="733"/>
      <c r="H6010" s="733"/>
      <c r="I6010" s="733"/>
      <c r="J6010" s="733"/>
      <c r="K6010" s="733"/>
      <c r="L6010" s="733"/>
      <c r="M6010" s="733"/>
    </row>
    <row r="6011" spans="1:13" x14ac:dyDescent="0.3">
      <c r="A6011" s="733" t="s">
        <v>6038</v>
      </c>
      <c r="B6011" s="733" t="s">
        <v>612</v>
      </c>
      <c r="C6011" s="738" t="s">
        <v>6059</v>
      </c>
      <c r="D6011" s="733"/>
      <c r="E6011" s="733"/>
      <c r="G6011" s="733"/>
      <c r="H6011" s="733"/>
      <c r="I6011" s="733"/>
      <c r="J6011" s="733"/>
      <c r="K6011" s="733"/>
      <c r="L6011" s="733"/>
      <c r="M6011" s="733"/>
    </row>
    <row r="6012" spans="1:13" x14ac:dyDescent="0.3">
      <c r="A6012" s="733" t="s">
        <v>6038</v>
      </c>
      <c r="B6012" s="733" t="s">
        <v>612</v>
      </c>
      <c r="C6012" s="738" t="s">
        <v>6060</v>
      </c>
      <c r="D6012" s="733"/>
      <c r="E6012" s="733"/>
      <c r="G6012" s="733"/>
      <c r="H6012" s="733"/>
      <c r="I6012" s="733"/>
      <c r="J6012" s="733"/>
      <c r="K6012" s="733"/>
      <c r="L6012" s="733"/>
      <c r="M6012" s="733"/>
    </row>
    <row r="6013" spans="1:13" x14ac:dyDescent="0.3">
      <c r="A6013" s="733" t="s">
        <v>6038</v>
      </c>
      <c r="B6013" s="733" t="s">
        <v>612</v>
      </c>
      <c r="C6013" s="738" t="s">
        <v>6061</v>
      </c>
      <c r="D6013" s="733"/>
      <c r="E6013" s="733"/>
      <c r="G6013" s="733"/>
      <c r="H6013" s="733"/>
      <c r="I6013" s="733"/>
      <c r="J6013" s="733"/>
      <c r="K6013" s="733"/>
      <c r="L6013" s="733"/>
      <c r="M6013" s="733"/>
    </row>
    <row r="6014" spans="1:13" x14ac:dyDescent="0.3">
      <c r="A6014" s="733" t="s">
        <v>6038</v>
      </c>
      <c r="B6014" s="733" t="s">
        <v>612</v>
      </c>
      <c r="C6014" s="738" t="s">
        <v>6062</v>
      </c>
      <c r="D6014" s="733"/>
      <c r="E6014" s="733"/>
      <c r="G6014" s="733"/>
      <c r="H6014" s="733"/>
      <c r="I6014" s="733"/>
      <c r="J6014" s="733"/>
      <c r="K6014" s="733"/>
      <c r="L6014" s="733"/>
      <c r="M6014" s="733"/>
    </row>
    <row r="6015" spans="1:13" x14ac:dyDescent="0.3">
      <c r="A6015" s="733" t="s">
        <v>6038</v>
      </c>
      <c r="B6015" s="733" t="s">
        <v>612</v>
      </c>
      <c r="C6015" s="738" t="s">
        <v>6063</v>
      </c>
      <c r="D6015" s="733"/>
      <c r="E6015" s="733"/>
      <c r="G6015" s="733"/>
      <c r="H6015" s="733"/>
      <c r="I6015" s="733"/>
      <c r="J6015" s="733"/>
      <c r="K6015" s="733"/>
      <c r="L6015" s="733"/>
      <c r="M6015" s="733"/>
    </row>
    <row r="6016" spans="1:13" x14ac:dyDescent="0.3">
      <c r="A6016" s="733" t="s">
        <v>6038</v>
      </c>
      <c r="B6016" s="733" t="s">
        <v>612</v>
      </c>
      <c r="C6016" s="738" t="s">
        <v>6064</v>
      </c>
      <c r="D6016" s="733"/>
      <c r="E6016" s="733"/>
      <c r="G6016" s="733"/>
      <c r="H6016" s="733"/>
      <c r="I6016" s="733"/>
      <c r="J6016" s="733"/>
      <c r="K6016" s="733"/>
      <c r="L6016" s="733"/>
      <c r="M6016" s="733"/>
    </row>
    <row r="6017" spans="1:13" x14ac:dyDescent="0.3">
      <c r="A6017" s="733" t="s">
        <v>6038</v>
      </c>
      <c r="B6017" s="733" t="s">
        <v>612</v>
      </c>
      <c r="C6017" s="738" t="s">
        <v>6065</v>
      </c>
      <c r="D6017" s="733"/>
      <c r="E6017" s="733"/>
      <c r="G6017" s="733"/>
      <c r="H6017" s="733"/>
      <c r="I6017" s="733"/>
      <c r="J6017" s="733"/>
      <c r="K6017" s="733"/>
      <c r="L6017" s="733"/>
      <c r="M6017" s="733"/>
    </row>
    <row r="6018" spans="1:13" x14ac:dyDescent="0.3">
      <c r="A6018" s="733" t="s">
        <v>6038</v>
      </c>
      <c r="B6018" s="733" t="s">
        <v>612</v>
      </c>
      <c r="C6018" s="738" t="s">
        <v>6066</v>
      </c>
      <c r="D6018" s="733"/>
      <c r="E6018" s="733"/>
      <c r="G6018" s="733"/>
      <c r="H6018" s="733"/>
      <c r="I6018" s="733"/>
      <c r="J6018" s="733"/>
      <c r="K6018" s="733"/>
      <c r="L6018" s="733"/>
      <c r="M6018" s="733"/>
    </row>
    <row r="6019" spans="1:13" x14ac:dyDescent="0.3">
      <c r="A6019" s="733" t="s">
        <v>6038</v>
      </c>
      <c r="B6019" s="733" t="s">
        <v>612</v>
      </c>
      <c r="C6019" s="738" t="s">
        <v>6067</v>
      </c>
      <c r="D6019" s="733"/>
      <c r="E6019" s="733"/>
      <c r="G6019" s="733"/>
      <c r="H6019" s="733"/>
      <c r="I6019" s="733"/>
      <c r="J6019" s="733"/>
      <c r="K6019" s="733"/>
      <c r="L6019" s="733"/>
      <c r="M6019" s="733"/>
    </row>
    <row r="6020" spans="1:13" x14ac:dyDescent="0.3">
      <c r="A6020" s="733" t="s">
        <v>6038</v>
      </c>
      <c r="B6020" s="733" t="s">
        <v>612</v>
      </c>
      <c r="C6020" s="738" t="s">
        <v>6068</v>
      </c>
      <c r="D6020" s="733"/>
      <c r="E6020" s="733"/>
      <c r="G6020" s="733"/>
      <c r="H6020" s="733"/>
      <c r="I6020" s="733"/>
      <c r="J6020" s="733"/>
      <c r="K6020" s="733"/>
      <c r="L6020" s="733"/>
      <c r="M6020" s="733"/>
    </row>
    <row r="6021" spans="1:13" x14ac:dyDescent="0.3">
      <c r="A6021" s="733" t="s">
        <v>6069</v>
      </c>
      <c r="B6021" s="733" t="s">
        <v>645</v>
      </c>
      <c r="C6021" s="738" t="s">
        <v>6070</v>
      </c>
      <c r="D6021" s="733"/>
      <c r="E6021" s="733"/>
      <c r="G6021" s="733"/>
      <c r="H6021" s="733"/>
      <c r="I6021" s="733"/>
      <c r="J6021" s="733"/>
      <c r="K6021" s="733"/>
      <c r="L6021" s="733"/>
      <c r="M6021" s="733"/>
    </row>
    <row r="6022" spans="1:13" x14ac:dyDescent="0.3">
      <c r="A6022" s="733" t="s">
        <v>6069</v>
      </c>
      <c r="B6022" s="733" t="s">
        <v>645</v>
      </c>
      <c r="C6022" s="738" t="s">
        <v>6071</v>
      </c>
      <c r="D6022" s="733"/>
      <c r="E6022" s="733"/>
      <c r="G6022" s="733"/>
      <c r="H6022" s="733"/>
      <c r="I6022" s="733"/>
      <c r="J6022" s="733"/>
      <c r="K6022" s="733"/>
      <c r="L6022" s="733"/>
      <c r="M6022" s="733"/>
    </row>
    <row r="6023" spans="1:13" x14ac:dyDescent="0.3">
      <c r="A6023" s="733" t="s">
        <v>6069</v>
      </c>
      <c r="B6023" s="733" t="s">
        <v>645</v>
      </c>
      <c r="C6023" s="738" t="s">
        <v>6072</v>
      </c>
      <c r="D6023" s="733"/>
      <c r="E6023" s="733"/>
      <c r="G6023" s="733"/>
      <c r="H6023" s="733"/>
      <c r="I6023" s="733"/>
      <c r="J6023" s="733"/>
      <c r="K6023" s="733"/>
      <c r="L6023" s="733"/>
      <c r="M6023" s="733"/>
    </row>
    <row r="6024" spans="1:13" x14ac:dyDescent="0.3">
      <c r="A6024" s="733" t="s">
        <v>6069</v>
      </c>
      <c r="B6024" s="733" t="s">
        <v>645</v>
      </c>
      <c r="C6024" s="738" t="s">
        <v>6073</v>
      </c>
      <c r="D6024" s="733"/>
      <c r="E6024" s="733"/>
      <c r="G6024" s="733"/>
      <c r="H6024" s="733"/>
      <c r="I6024" s="733"/>
      <c r="J6024" s="733"/>
      <c r="K6024" s="733"/>
      <c r="L6024" s="733"/>
      <c r="M6024" s="733"/>
    </row>
    <row r="6025" spans="1:13" x14ac:dyDescent="0.3">
      <c r="A6025" s="733" t="s">
        <v>6069</v>
      </c>
      <c r="B6025" s="733" t="s">
        <v>645</v>
      </c>
      <c r="C6025" s="738" t="s">
        <v>6074</v>
      </c>
      <c r="D6025" s="733"/>
      <c r="E6025" s="733"/>
      <c r="G6025" s="733"/>
      <c r="H6025" s="733"/>
      <c r="I6025" s="733"/>
      <c r="J6025" s="733"/>
      <c r="K6025" s="733"/>
      <c r="L6025" s="733"/>
      <c r="M6025" s="733"/>
    </row>
    <row r="6026" spans="1:13" x14ac:dyDescent="0.3">
      <c r="A6026" s="733" t="s">
        <v>6069</v>
      </c>
      <c r="B6026" s="733" t="s">
        <v>645</v>
      </c>
      <c r="C6026" s="738" t="s">
        <v>6075</v>
      </c>
      <c r="D6026" s="733"/>
      <c r="E6026" s="733"/>
      <c r="G6026" s="733"/>
      <c r="H6026" s="733"/>
      <c r="I6026" s="733"/>
      <c r="J6026" s="733"/>
      <c r="K6026" s="733"/>
      <c r="L6026" s="733"/>
      <c r="M6026" s="733"/>
    </row>
    <row r="6027" spans="1:13" x14ac:dyDescent="0.3">
      <c r="A6027" s="733" t="s">
        <v>6069</v>
      </c>
      <c r="B6027" s="733" t="s">
        <v>645</v>
      </c>
      <c r="C6027" s="738" t="s">
        <v>6076</v>
      </c>
      <c r="D6027" s="733"/>
      <c r="E6027" s="733"/>
      <c r="G6027" s="733"/>
      <c r="H6027" s="733"/>
      <c r="I6027" s="733"/>
      <c r="J6027" s="733"/>
      <c r="K6027" s="733"/>
      <c r="L6027" s="733"/>
      <c r="M6027" s="733"/>
    </row>
    <row r="6028" spans="1:13" x14ac:dyDescent="0.3">
      <c r="A6028" s="733" t="s">
        <v>6069</v>
      </c>
      <c r="B6028" s="733" t="s">
        <v>645</v>
      </c>
      <c r="C6028" s="738" t="s">
        <v>6077</v>
      </c>
      <c r="D6028" s="733"/>
      <c r="E6028" s="733"/>
      <c r="G6028" s="733"/>
      <c r="H6028" s="733"/>
      <c r="I6028" s="733"/>
      <c r="J6028" s="733"/>
      <c r="K6028" s="733"/>
      <c r="L6028" s="733"/>
      <c r="M6028" s="733"/>
    </row>
    <row r="6029" spans="1:13" x14ac:dyDescent="0.3">
      <c r="A6029" s="733" t="s">
        <v>6069</v>
      </c>
      <c r="B6029" s="733" t="s">
        <v>645</v>
      </c>
      <c r="C6029" s="738" t="s">
        <v>6078</v>
      </c>
      <c r="D6029" s="733"/>
      <c r="E6029" s="733"/>
      <c r="G6029" s="733"/>
      <c r="H6029" s="733"/>
      <c r="I6029" s="733"/>
      <c r="J6029" s="733"/>
      <c r="K6029" s="733"/>
      <c r="L6029" s="733"/>
      <c r="M6029" s="733"/>
    </row>
    <row r="6030" spans="1:13" x14ac:dyDescent="0.3">
      <c r="A6030" s="733" t="s">
        <v>6069</v>
      </c>
      <c r="B6030" s="733" t="s">
        <v>645</v>
      </c>
      <c r="C6030" s="738" t="s">
        <v>6079</v>
      </c>
      <c r="D6030" s="733"/>
      <c r="E6030" s="733"/>
      <c r="G6030" s="733"/>
      <c r="H6030" s="733"/>
      <c r="I6030" s="733"/>
      <c r="J6030" s="733"/>
      <c r="K6030" s="733"/>
      <c r="L6030" s="733"/>
      <c r="M6030" s="733"/>
    </row>
    <row r="6031" spans="1:13" x14ac:dyDescent="0.3">
      <c r="A6031" s="733" t="s">
        <v>6069</v>
      </c>
      <c r="B6031" s="733" t="s">
        <v>664</v>
      </c>
      <c r="C6031" s="738" t="s">
        <v>6080</v>
      </c>
      <c r="D6031" s="733"/>
      <c r="E6031" s="733"/>
      <c r="G6031" s="733"/>
      <c r="H6031" s="733"/>
      <c r="I6031" s="733"/>
      <c r="J6031" s="733"/>
      <c r="K6031" s="733"/>
      <c r="L6031" s="733"/>
      <c r="M6031" s="733"/>
    </row>
    <row r="6032" spans="1:13" x14ac:dyDescent="0.3">
      <c r="A6032" s="733" t="s">
        <v>6069</v>
      </c>
      <c r="B6032" s="733" t="s">
        <v>664</v>
      </c>
      <c r="C6032" s="738" t="s">
        <v>6081</v>
      </c>
      <c r="D6032" s="733"/>
      <c r="E6032" s="733"/>
      <c r="G6032" s="733"/>
      <c r="H6032" s="733"/>
      <c r="I6032" s="733"/>
      <c r="J6032" s="733"/>
      <c r="K6032" s="733"/>
      <c r="L6032" s="733"/>
      <c r="M6032" s="733"/>
    </row>
    <row r="6033" spans="1:13" x14ac:dyDescent="0.3">
      <c r="A6033" s="733" t="s">
        <v>6069</v>
      </c>
      <c r="B6033" s="733" t="s">
        <v>664</v>
      </c>
      <c r="C6033" s="738" t="s">
        <v>6082</v>
      </c>
      <c r="D6033" s="733"/>
      <c r="E6033" s="733"/>
      <c r="G6033" s="733"/>
      <c r="H6033" s="733"/>
      <c r="I6033" s="733"/>
      <c r="J6033" s="733"/>
      <c r="K6033" s="733"/>
      <c r="L6033" s="733"/>
      <c r="M6033" s="733"/>
    </row>
    <row r="6034" spans="1:13" x14ac:dyDescent="0.3">
      <c r="A6034" s="733" t="s">
        <v>6069</v>
      </c>
      <c r="B6034" s="733" t="s">
        <v>664</v>
      </c>
      <c r="C6034" s="738" t="s">
        <v>6083</v>
      </c>
      <c r="D6034" s="733"/>
      <c r="E6034" s="733"/>
      <c r="G6034" s="733"/>
      <c r="H6034" s="733"/>
      <c r="I6034" s="733"/>
      <c r="J6034" s="733"/>
      <c r="K6034" s="733"/>
      <c r="L6034" s="733"/>
      <c r="M6034" s="733"/>
    </row>
    <row r="6035" spans="1:13" x14ac:dyDescent="0.3">
      <c r="A6035" s="733" t="s">
        <v>6069</v>
      </c>
      <c r="B6035" s="733" t="s">
        <v>664</v>
      </c>
      <c r="C6035" s="738" t="s">
        <v>6084</v>
      </c>
      <c r="D6035" s="733"/>
      <c r="E6035" s="733"/>
      <c r="G6035" s="733"/>
      <c r="H6035" s="733"/>
      <c r="I6035" s="733"/>
      <c r="J6035" s="733"/>
      <c r="K6035" s="733"/>
      <c r="L6035" s="733"/>
      <c r="M6035" s="733"/>
    </row>
    <row r="6036" spans="1:13" x14ac:dyDescent="0.3">
      <c r="A6036" s="733" t="s">
        <v>6069</v>
      </c>
      <c r="B6036" s="733" t="s">
        <v>664</v>
      </c>
      <c r="C6036" s="738" t="s">
        <v>6085</v>
      </c>
      <c r="D6036" s="733"/>
      <c r="E6036" s="733"/>
      <c r="G6036" s="733"/>
      <c r="H6036" s="733"/>
      <c r="I6036" s="733"/>
      <c r="J6036" s="733"/>
      <c r="K6036" s="733"/>
      <c r="L6036" s="733"/>
      <c r="M6036" s="733"/>
    </row>
    <row r="6037" spans="1:13" x14ac:dyDescent="0.3">
      <c r="A6037" s="733" t="s">
        <v>6069</v>
      </c>
      <c r="B6037" s="733" t="s">
        <v>664</v>
      </c>
      <c r="C6037" s="738" t="s">
        <v>6086</v>
      </c>
      <c r="D6037" s="733"/>
      <c r="E6037" s="733"/>
      <c r="G6037" s="733"/>
      <c r="H6037" s="733"/>
      <c r="I6037" s="733"/>
      <c r="J6037" s="733"/>
      <c r="K6037" s="733"/>
      <c r="L6037" s="733"/>
      <c r="M6037" s="733"/>
    </row>
    <row r="6038" spans="1:13" x14ac:dyDescent="0.3">
      <c r="A6038" s="733" t="s">
        <v>6069</v>
      </c>
      <c r="B6038" s="733" t="s">
        <v>664</v>
      </c>
      <c r="C6038" s="738" t="s">
        <v>6087</v>
      </c>
      <c r="D6038" s="733"/>
      <c r="E6038" s="733"/>
      <c r="G6038" s="733"/>
      <c r="H6038" s="733"/>
      <c r="I6038" s="733"/>
      <c r="J6038" s="733"/>
      <c r="K6038" s="733"/>
      <c r="L6038" s="733"/>
      <c r="M6038" s="733"/>
    </row>
    <row r="6039" spans="1:13" x14ac:dyDescent="0.3">
      <c r="A6039" s="733" t="s">
        <v>6069</v>
      </c>
      <c r="B6039" s="733" t="s">
        <v>664</v>
      </c>
      <c r="C6039" s="738" t="s">
        <v>6088</v>
      </c>
      <c r="D6039" s="733"/>
      <c r="E6039" s="733"/>
      <c r="G6039" s="733"/>
      <c r="H6039" s="733"/>
      <c r="I6039" s="733"/>
      <c r="J6039" s="733"/>
      <c r="K6039" s="733"/>
      <c r="L6039" s="733"/>
      <c r="M6039" s="733"/>
    </row>
    <row r="6040" spans="1:13" x14ac:dyDescent="0.3">
      <c r="A6040" s="733" t="s">
        <v>6069</v>
      </c>
      <c r="B6040" s="733" t="s">
        <v>664</v>
      </c>
      <c r="C6040" s="738" t="s">
        <v>6089</v>
      </c>
      <c r="D6040" s="733"/>
      <c r="E6040" s="733"/>
      <c r="G6040" s="733"/>
      <c r="H6040" s="733"/>
      <c r="I6040" s="733"/>
      <c r="J6040" s="733"/>
      <c r="K6040" s="733"/>
      <c r="L6040" s="733"/>
      <c r="M6040" s="733"/>
    </row>
    <row r="6041" spans="1:13" x14ac:dyDescent="0.3">
      <c r="A6041" s="733" t="s">
        <v>6069</v>
      </c>
      <c r="B6041" s="733" t="s">
        <v>612</v>
      </c>
      <c r="C6041" s="738" t="s">
        <v>6090</v>
      </c>
      <c r="D6041" s="733"/>
      <c r="E6041" s="733"/>
      <c r="G6041" s="733"/>
      <c r="H6041" s="733"/>
      <c r="I6041" s="733"/>
      <c r="J6041" s="733"/>
      <c r="K6041" s="733"/>
      <c r="L6041" s="733"/>
      <c r="M6041" s="733"/>
    </row>
    <row r="6042" spans="1:13" x14ac:dyDescent="0.3">
      <c r="A6042" s="733" t="s">
        <v>6069</v>
      </c>
      <c r="B6042" s="733" t="s">
        <v>612</v>
      </c>
      <c r="C6042" s="738" t="s">
        <v>6091</v>
      </c>
      <c r="D6042" s="733"/>
      <c r="E6042" s="733"/>
      <c r="G6042" s="733"/>
      <c r="H6042" s="733"/>
      <c r="I6042" s="733"/>
      <c r="J6042" s="733"/>
      <c r="K6042" s="733"/>
      <c r="L6042" s="733"/>
      <c r="M6042" s="733"/>
    </row>
    <row r="6043" spans="1:13" x14ac:dyDescent="0.3">
      <c r="A6043" s="733" t="s">
        <v>6069</v>
      </c>
      <c r="B6043" s="733" t="s">
        <v>612</v>
      </c>
      <c r="C6043" s="738" t="s">
        <v>6092</v>
      </c>
      <c r="D6043" s="733"/>
      <c r="E6043" s="733"/>
      <c r="G6043" s="733"/>
      <c r="H6043" s="733"/>
      <c r="I6043" s="733"/>
      <c r="J6043" s="733"/>
      <c r="K6043" s="733"/>
      <c r="L6043" s="733"/>
      <c r="M6043" s="733"/>
    </row>
    <row r="6044" spans="1:13" x14ac:dyDescent="0.3">
      <c r="A6044" s="733" t="s">
        <v>6069</v>
      </c>
      <c r="B6044" s="733" t="s">
        <v>612</v>
      </c>
      <c r="C6044" s="738" t="s">
        <v>6093</v>
      </c>
      <c r="D6044" s="733"/>
      <c r="E6044" s="733"/>
      <c r="G6044" s="733"/>
      <c r="H6044" s="733"/>
      <c r="I6044" s="733"/>
      <c r="J6044" s="733"/>
      <c r="K6044" s="733"/>
      <c r="L6044" s="733"/>
      <c r="M6044" s="733"/>
    </row>
    <row r="6045" spans="1:13" x14ac:dyDescent="0.3">
      <c r="A6045" s="733" t="s">
        <v>6069</v>
      </c>
      <c r="B6045" s="733" t="s">
        <v>612</v>
      </c>
      <c r="C6045" s="738" t="s">
        <v>6094</v>
      </c>
      <c r="D6045" s="733"/>
      <c r="E6045" s="733"/>
      <c r="G6045" s="733"/>
      <c r="H6045" s="733"/>
      <c r="I6045" s="733"/>
      <c r="J6045" s="733"/>
      <c r="K6045" s="733"/>
      <c r="L6045" s="733"/>
      <c r="M6045" s="733"/>
    </row>
    <row r="6046" spans="1:13" x14ac:dyDescent="0.3">
      <c r="A6046" s="733" t="s">
        <v>6069</v>
      </c>
      <c r="B6046" s="733" t="s">
        <v>612</v>
      </c>
      <c r="C6046" s="738" t="s">
        <v>6095</v>
      </c>
      <c r="D6046" s="733"/>
      <c r="E6046" s="733"/>
      <c r="G6046" s="733"/>
      <c r="H6046" s="733"/>
      <c r="I6046" s="733"/>
      <c r="J6046" s="733"/>
      <c r="K6046" s="733"/>
      <c r="L6046" s="733"/>
      <c r="M6046" s="733"/>
    </row>
    <row r="6047" spans="1:13" x14ac:dyDescent="0.3">
      <c r="A6047" s="733" t="s">
        <v>6069</v>
      </c>
      <c r="B6047" s="733" t="s">
        <v>612</v>
      </c>
      <c r="C6047" s="738" t="s">
        <v>6096</v>
      </c>
      <c r="D6047" s="733"/>
      <c r="E6047" s="733"/>
      <c r="G6047" s="733"/>
      <c r="H6047" s="733"/>
      <c r="I6047" s="733"/>
      <c r="J6047" s="733"/>
      <c r="K6047" s="733"/>
      <c r="L6047" s="733"/>
      <c r="M6047" s="733"/>
    </row>
    <row r="6048" spans="1:13" x14ac:dyDescent="0.3">
      <c r="A6048" s="733" t="s">
        <v>6069</v>
      </c>
      <c r="B6048" s="733" t="s">
        <v>612</v>
      </c>
      <c r="C6048" s="738" t="s">
        <v>6097</v>
      </c>
      <c r="D6048" s="733"/>
      <c r="E6048" s="733"/>
      <c r="G6048" s="733"/>
      <c r="H6048" s="733"/>
      <c r="I6048" s="733"/>
      <c r="J6048" s="733"/>
      <c r="K6048" s="733"/>
      <c r="L6048" s="733"/>
      <c r="M6048" s="733"/>
    </row>
    <row r="6049" spans="1:13" x14ac:dyDescent="0.3">
      <c r="A6049" s="733" t="s">
        <v>6069</v>
      </c>
      <c r="B6049" s="733" t="s">
        <v>612</v>
      </c>
      <c r="C6049" s="738" t="s">
        <v>6098</v>
      </c>
      <c r="D6049" s="733"/>
      <c r="E6049" s="733"/>
      <c r="G6049" s="733"/>
      <c r="H6049" s="733"/>
      <c r="I6049" s="733"/>
      <c r="J6049" s="733"/>
      <c r="K6049" s="733"/>
      <c r="L6049" s="733"/>
      <c r="M6049" s="733"/>
    </row>
    <row r="6050" spans="1:13" x14ac:dyDescent="0.3">
      <c r="A6050" s="733" t="s">
        <v>6069</v>
      </c>
      <c r="B6050" s="733" t="s">
        <v>612</v>
      </c>
      <c r="C6050" s="738" t="s">
        <v>6099</v>
      </c>
      <c r="D6050" s="733"/>
      <c r="E6050" s="733"/>
      <c r="G6050" s="733"/>
      <c r="H6050" s="733"/>
      <c r="I6050" s="733"/>
      <c r="J6050" s="733"/>
      <c r="K6050" s="733"/>
      <c r="L6050" s="733"/>
      <c r="M6050" s="733"/>
    </row>
    <row r="6051" spans="1:13" x14ac:dyDescent="0.3">
      <c r="A6051" s="733" t="s">
        <v>1143</v>
      </c>
      <c r="B6051" s="733" t="s">
        <v>645</v>
      </c>
      <c r="C6051" s="738" t="s">
        <v>6100</v>
      </c>
      <c r="D6051" s="733"/>
      <c r="E6051" s="733"/>
      <c r="G6051" s="733"/>
      <c r="H6051" s="733"/>
      <c r="I6051" s="733"/>
      <c r="J6051" s="733"/>
      <c r="K6051" s="733"/>
      <c r="L6051" s="733"/>
      <c r="M6051" s="733"/>
    </row>
    <row r="6052" spans="1:13" x14ac:dyDescent="0.3">
      <c r="A6052" s="733" t="s">
        <v>1143</v>
      </c>
      <c r="B6052" s="733" t="s">
        <v>645</v>
      </c>
      <c r="C6052" s="738" t="s">
        <v>6101</v>
      </c>
      <c r="D6052" s="733"/>
      <c r="E6052" s="733"/>
      <c r="G6052" s="733"/>
      <c r="H6052" s="733"/>
      <c r="I6052" s="733"/>
      <c r="J6052" s="733"/>
      <c r="K6052" s="733"/>
      <c r="L6052" s="733"/>
      <c r="M6052" s="733"/>
    </row>
    <row r="6053" spans="1:13" x14ac:dyDescent="0.3">
      <c r="A6053" s="733" t="s">
        <v>1143</v>
      </c>
      <c r="B6053" s="733" t="s">
        <v>645</v>
      </c>
      <c r="C6053" s="738" t="s">
        <v>6102</v>
      </c>
      <c r="D6053" s="733"/>
      <c r="E6053" s="733"/>
      <c r="G6053" s="733"/>
      <c r="H6053" s="733"/>
      <c r="I6053" s="733"/>
      <c r="J6053" s="733"/>
      <c r="K6053" s="733"/>
      <c r="L6053" s="733"/>
      <c r="M6053" s="733"/>
    </row>
    <row r="6054" spans="1:13" x14ac:dyDescent="0.3">
      <c r="A6054" s="733" t="s">
        <v>1143</v>
      </c>
      <c r="B6054" s="733" t="s">
        <v>645</v>
      </c>
      <c r="C6054" s="738" t="s">
        <v>6103</v>
      </c>
      <c r="D6054" s="733"/>
      <c r="E6054" s="733"/>
      <c r="G6054" s="733"/>
      <c r="H6054" s="733"/>
      <c r="I6054" s="733"/>
      <c r="J6054" s="733"/>
      <c r="K6054" s="733"/>
      <c r="L6054" s="733"/>
      <c r="M6054" s="733"/>
    </row>
    <row r="6055" spans="1:13" x14ac:dyDescent="0.3">
      <c r="A6055" s="733" t="s">
        <v>1143</v>
      </c>
      <c r="B6055" s="733" t="s">
        <v>645</v>
      </c>
      <c r="C6055" s="738" t="s">
        <v>6104</v>
      </c>
      <c r="D6055" s="733"/>
      <c r="E6055" s="733"/>
      <c r="G6055" s="733"/>
      <c r="H6055" s="733"/>
      <c r="I6055" s="733"/>
      <c r="J6055" s="733"/>
      <c r="K6055" s="733"/>
      <c r="L6055" s="733"/>
      <c r="M6055" s="733"/>
    </row>
    <row r="6056" spans="1:13" x14ac:dyDescent="0.3">
      <c r="A6056" s="733" t="s">
        <v>1143</v>
      </c>
      <c r="B6056" s="733" t="s">
        <v>645</v>
      </c>
      <c r="C6056" s="738" t="s">
        <v>6105</v>
      </c>
      <c r="D6056" s="733"/>
      <c r="E6056" s="733"/>
      <c r="G6056" s="733"/>
      <c r="H6056" s="733"/>
      <c r="I6056" s="733"/>
      <c r="J6056" s="733"/>
      <c r="K6056" s="733"/>
      <c r="L6056" s="733"/>
      <c r="M6056" s="733"/>
    </row>
    <row r="6057" spans="1:13" x14ac:dyDescent="0.3">
      <c r="A6057" s="733" t="s">
        <v>1143</v>
      </c>
      <c r="B6057" s="733" t="s">
        <v>645</v>
      </c>
      <c r="C6057" s="738" t="s">
        <v>6106</v>
      </c>
      <c r="D6057" s="733"/>
      <c r="E6057" s="733"/>
      <c r="G6057" s="733"/>
      <c r="H6057" s="733"/>
      <c r="I6057" s="733"/>
      <c r="J6057" s="733"/>
      <c r="K6057" s="733"/>
      <c r="L6057" s="733"/>
      <c r="M6057" s="733"/>
    </row>
    <row r="6058" spans="1:13" x14ac:dyDescent="0.3">
      <c r="A6058" s="733" t="s">
        <v>1143</v>
      </c>
      <c r="B6058" s="733" t="s">
        <v>645</v>
      </c>
      <c r="C6058" s="738" t="s">
        <v>6107</v>
      </c>
      <c r="D6058" s="733"/>
      <c r="E6058" s="733"/>
      <c r="G6058" s="733"/>
      <c r="H6058" s="733"/>
      <c r="I6058" s="733"/>
      <c r="J6058" s="733"/>
      <c r="K6058" s="733"/>
      <c r="L6058" s="733"/>
      <c r="M6058" s="733"/>
    </row>
    <row r="6059" spans="1:13" x14ac:dyDescent="0.3">
      <c r="A6059" s="733" t="s">
        <v>1143</v>
      </c>
      <c r="B6059" s="733" t="s">
        <v>645</v>
      </c>
      <c r="C6059" s="738" t="s">
        <v>6108</v>
      </c>
      <c r="D6059" s="733"/>
      <c r="E6059" s="733"/>
      <c r="G6059" s="733"/>
      <c r="H6059" s="733"/>
      <c r="I6059" s="733"/>
      <c r="J6059" s="733"/>
      <c r="K6059" s="733"/>
      <c r="L6059" s="733"/>
      <c r="M6059" s="733"/>
    </row>
    <row r="6060" spans="1:13" x14ac:dyDescent="0.3">
      <c r="A6060" s="733" t="s">
        <v>1143</v>
      </c>
      <c r="B6060" s="733" t="s">
        <v>645</v>
      </c>
      <c r="C6060" s="738" t="s">
        <v>6109</v>
      </c>
      <c r="D6060" s="733"/>
      <c r="E6060" s="733"/>
      <c r="G6060" s="733"/>
      <c r="H6060" s="733"/>
      <c r="I6060" s="733"/>
      <c r="J6060" s="733"/>
      <c r="K6060" s="733"/>
      <c r="L6060" s="733"/>
      <c r="M6060" s="733"/>
    </row>
    <row r="6061" spans="1:13" x14ac:dyDescent="0.3">
      <c r="A6061" s="733" t="s">
        <v>1143</v>
      </c>
      <c r="B6061" s="733" t="s">
        <v>664</v>
      </c>
      <c r="C6061" s="738" t="s">
        <v>6110</v>
      </c>
      <c r="D6061" s="733"/>
      <c r="E6061" s="733"/>
      <c r="G6061" s="733"/>
      <c r="H6061" s="733"/>
      <c r="I6061" s="733"/>
      <c r="J6061" s="733"/>
      <c r="K6061" s="733"/>
      <c r="L6061" s="733"/>
      <c r="M6061" s="733"/>
    </row>
    <row r="6062" spans="1:13" x14ac:dyDescent="0.3">
      <c r="A6062" s="733" t="s">
        <v>1143</v>
      </c>
      <c r="B6062" s="733" t="s">
        <v>664</v>
      </c>
      <c r="C6062" s="738" t="s">
        <v>6111</v>
      </c>
      <c r="D6062" s="733"/>
      <c r="E6062" s="733"/>
      <c r="G6062" s="733"/>
      <c r="H6062" s="733"/>
      <c r="I6062" s="733"/>
      <c r="J6062" s="733"/>
      <c r="K6062" s="733"/>
      <c r="L6062" s="733"/>
      <c r="M6062" s="733"/>
    </row>
    <row r="6063" spans="1:13" x14ac:dyDescent="0.3">
      <c r="A6063" s="733" t="s">
        <v>1143</v>
      </c>
      <c r="B6063" s="733" t="s">
        <v>664</v>
      </c>
      <c r="C6063" s="738" t="s">
        <v>6112</v>
      </c>
      <c r="D6063" s="733"/>
      <c r="E6063" s="733"/>
      <c r="G6063" s="733"/>
      <c r="H6063" s="733"/>
      <c r="I6063" s="733"/>
      <c r="J6063" s="733"/>
      <c r="K6063" s="733"/>
      <c r="L6063" s="733"/>
      <c r="M6063" s="733"/>
    </row>
    <row r="6064" spans="1:13" x14ac:dyDescent="0.3">
      <c r="A6064" s="733" t="s">
        <v>1143</v>
      </c>
      <c r="B6064" s="733" t="s">
        <v>664</v>
      </c>
      <c r="C6064" s="738" t="s">
        <v>6113</v>
      </c>
      <c r="D6064" s="733"/>
      <c r="E6064" s="733"/>
      <c r="G6064" s="733"/>
      <c r="H6064" s="733"/>
      <c r="I6064" s="733"/>
      <c r="J6064" s="733"/>
      <c r="K6064" s="733"/>
      <c r="L6064" s="733"/>
      <c r="M6064" s="733"/>
    </row>
    <row r="6065" spans="1:13" x14ac:dyDescent="0.3">
      <c r="A6065" s="733" t="s">
        <v>1143</v>
      </c>
      <c r="B6065" s="733" t="s">
        <v>664</v>
      </c>
      <c r="C6065" s="738" t="s">
        <v>6114</v>
      </c>
      <c r="D6065" s="733"/>
      <c r="E6065" s="733"/>
      <c r="G6065" s="733"/>
      <c r="H6065" s="733"/>
      <c r="I6065" s="733"/>
      <c r="J6065" s="733"/>
      <c r="K6065" s="733"/>
      <c r="L6065" s="733"/>
      <c r="M6065" s="733"/>
    </row>
    <row r="6066" spans="1:13" x14ac:dyDescent="0.3">
      <c r="A6066" s="733" t="s">
        <v>1143</v>
      </c>
      <c r="B6066" s="733" t="s">
        <v>664</v>
      </c>
      <c r="C6066" s="738" t="s">
        <v>6115</v>
      </c>
      <c r="D6066" s="733"/>
      <c r="E6066" s="733"/>
      <c r="G6066" s="733"/>
      <c r="H6066" s="733"/>
      <c r="I6066" s="733"/>
      <c r="J6066" s="733"/>
      <c r="K6066" s="733"/>
      <c r="L6066" s="733"/>
      <c r="M6066" s="733"/>
    </row>
    <row r="6067" spans="1:13" x14ac:dyDescent="0.3">
      <c r="A6067" s="733" t="s">
        <v>1143</v>
      </c>
      <c r="B6067" s="733" t="s">
        <v>664</v>
      </c>
      <c r="C6067" s="738" t="s">
        <v>6116</v>
      </c>
      <c r="D6067" s="733"/>
      <c r="E6067" s="733"/>
      <c r="G6067" s="733"/>
      <c r="H6067" s="733"/>
      <c r="I6067" s="733"/>
      <c r="J6067" s="733"/>
      <c r="K6067" s="733"/>
      <c r="L6067" s="733"/>
      <c r="M6067" s="733"/>
    </row>
    <row r="6068" spans="1:13" x14ac:dyDescent="0.3">
      <c r="A6068" s="733" t="s">
        <v>1143</v>
      </c>
      <c r="B6068" s="733" t="s">
        <v>664</v>
      </c>
      <c r="C6068" s="738" t="s">
        <v>6117</v>
      </c>
      <c r="D6068" s="733"/>
      <c r="E6068" s="733"/>
      <c r="G6068" s="733"/>
      <c r="H6068" s="733"/>
      <c r="I6068" s="733"/>
      <c r="J6068" s="733"/>
      <c r="K6068" s="733"/>
      <c r="L6068" s="733"/>
      <c r="M6068" s="733"/>
    </row>
    <row r="6069" spans="1:13" x14ac:dyDescent="0.3">
      <c r="A6069" s="733" t="s">
        <v>1143</v>
      </c>
      <c r="B6069" s="733" t="s">
        <v>664</v>
      </c>
      <c r="C6069" s="738" t="s">
        <v>6118</v>
      </c>
      <c r="D6069" s="733"/>
      <c r="E6069" s="733"/>
      <c r="G6069" s="733"/>
      <c r="H6069" s="733"/>
      <c r="I6069" s="733"/>
      <c r="J6069" s="733"/>
      <c r="K6069" s="733"/>
      <c r="L6069" s="733"/>
      <c r="M6069" s="733"/>
    </row>
    <row r="6070" spans="1:13" x14ac:dyDescent="0.3">
      <c r="A6070" s="733" t="s">
        <v>1143</v>
      </c>
      <c r="B6070" s="733" t="s">
        <v>664</v>
      </c>
      <c r="C6070" s="738" t="s">
        <v>6119</v>
      </c>
      <c r="D6070" s="733"/>
      <c r="E6070" s="733"/>
      <c r="G6070" s="733"/>
      <c r="H6070" s="733"/>
      <c r="I6070" s="733"/>
      <c r="J6070" s="733"/>
      <c r="K6070" s="733"/>
      <c r="L6070" s="733"/>
      <c r="M6070" s="733"/>
    </row>
    <row r="6071" spans="1:13" x14ac:dyDescent="0.3">
      <c r="A6071" s="733" t="s">
        <v>1143</v>
      </c>
      <c r="B6071" s="733" t="s">
        <v>612</v>
      </c>
      <c r="C6071" s="738" t="s">
        <v>6120</v>
      </c>
      <c r="D6071" s="733"/>
      <c r="E6071" s="733"/>
      <c r="G6071" s="733"/>
      <c r="H6071" s="733"/>
      <c r="I6071" s="733"/>
      <c r="J6071" s="733"/>
      <c r="K6071" s="733"/>
      <c r="L6071" s="733"/>
      <c r="M6071" s="733"/>
    </row>
    <row r="6072" spans="1:13" x14ac:dyDescent="0.3">
      <c r="A6072" s="733" t="s">
        <v>1143</v>
      </c>
      <c r="B6072" s="733" t="s">
        <v>612</v>
      </c>
      <c r="C6072" s="738" t="s">
        <v>6121</v>
      </c>
      <c r="D6072" s="733"/>
      <c r="E6072" s="733"/>
      <c r="G6072" s="733"/>
      <c r="H6072" s="733"/>
      <c r="I6072" s="733"/>
      <c r="J6072" s="733"/>
      <c r="K6072" s="733"/>
      <c r="L6072" s="733"/>
      <c r="M6072" s="733"/>
    </row>
    <row r="6073" spans="1:13" x14ac:dyDescent="0.3">
      <c r="A6073" s="733" t="s">
        <v>1143</v>
      </c>
      <c r="B6073" s="733" t="s">
        <v>612</v>
      </c>
      <c r="C6073" s="738" t="s">
        <v>6122</v>
      </c>
      <c r="D6073" s="733"/>
      <c r="E6073" s="733"/>
      <c r="G6073" s="733"/>
      <c r="H6073" s="733"/>
      <c r="I6073" s="733"/>
      <c r="J6073" s="733"/>
      <c r="K6073" s="733"/>
      <c r="L6073" s="733"/>
      <c r="M6073" s="733"/>
    </row>
    <row r="6074" spans="1:13" x14ac:dyDescent="0.3">
      <c r="A6074" s="733" t="s">
        <v>1143</v>
      </c>
      <c r="B6074" s="733" t="s">
        <v>612</v>
      </c>
      <c r="C6074" s="738" t="s">
        <v>6123</v>
      </c>
      <c r="D6074" s="733"/>
      <c r="E6074" s="733"/>
      <c r="G6074" s="733"/>
      <c r="H6074" s="733"/>
      <c r="I6074" s="733"/>
      <c r="J6074" s="733"/>
      <c r="K6074" s="733"/>
      <c r="L6074" s="733"/>
      <c r="M6074" s="733"/>
    </row>
    <row r="6075" spans="1:13" x14ac:dyDescent="0.3">
      <c r="A6075" s="733" t="s">
        <v>1143</v>
      </c>
      <c r="B6075" s="733" t="s">
        <v>612</v>
      </c>
      <c r="C6075" s="738" t="s">
        <v>6124</v>
      </c>
      <c r="D6075" s="733"/>
      <c r="E6075" s="733"/>
      <c r="G6075" s="733"/>
      <c r="H6075" s="733"/>
      <c r="I6075" s="733"/>
      <c r="J6075" s="733"/>
      <c r="K6075" s="733"/>
      <c r="L6075" s="733"/>
      <c r="M6075" s="733"/>
    </row>
    <row r="6076" spans="1:13" x14ac:dyDescent="0.3">
      <c r="A6076" s="733" t="s">
        <v>1143</v>
      </c>
      <c r="B6076" s="733" t="s">
        <v>612</v>
      </c>
      <c r="C6076" s="738" t="s">
        <v>6125</v>
      </c>
      <c r="D6076" s="733"/>
      <c r="E6076" s="733"/>
      <c r="G6076" s="733"/>
      <c r="H6076" s="733"/>
      <c r="I6076" s="733"/>
      <c r="J6076" s="733"/>
      <c r="K6076" s="733"/>
      <c r="L6076" s="733"/>
      <c r="M6076" s="733"/>
    </row>
    <row r="6077" spans="1:13" x14ac:dyDescent="0.3">
      <c r="A6077" s="733" t="s">
        <v>1143</v>
      </c>
      <c r="B6077" s="733" t="s">
        <v>612</v>
      </c>
      <c r="C6077" s="738" t="s">
        <v>6126</v>
      </c>
      <c r="D6077" s="733"/>
      <c r="E6077" s="733"/>
      <c r="G6077" s="733"/>
      <c r="H6077" s="733"/>
      <c r="I6077" s="733"/>
      <c r="J6077" s="733"/>
      <c r="K6077" s="733"/>
      <c r="L6077" s="733"/>
      <c r="M6077" s="733"/>
    </row>
    <row r="6078" spans="1:13" x14ac:dyDescent="0.3">
      <c r="A6078" s="733" t="s">
        <v>1143</v>
      </c>
      <c r="B6078" s="733" t="s">
        <v>612</v>
      </c>
      <c r="C6078" s="738" t="s">
        <v>6127</v>
      </c>
      <c r="D6078" s="733"/>
      <c r="E6078" s="733"/>
      <c r="G6078" s="733"/>
      <c r="H6078" s="733"/>
      <c r="I6078" s="733"/>
      <c r="J6078" s="733"/>
      <c r="K6078" s="733"/>
      <c r="L6078" s="733"/>
      <c r="M6078" s="733"/>
    </row>
    <row r="6079" spans="1:13" x14ac:dyDescent="0.3">
      <c r="A6079" s="733" t="s">
        <v>1143</v>
      </c>
      <c r="B6079" s="733" t="s">
        <v>612</v>
      </c>
      <c r="C6079" s="738" t="s">
        <v>6128</v>
      </c>
      <c r="D6079" s="733"/>
      <c r="E6079" s="733"/>
      <c r="G6079" s="733"/>
      <c r="H6079" s="733"/>
      <c r="I6079" s="733"/>
      <c r="J6079" s="733"/>
      <c r="K6079" s="733"/>
      <c r="L6079" s="733"/>
      <c r="M6079" s="733"/>
    </row>
    <row r="6080" spans="1:13" x14ac:dyDescent="0.3">
      <c r="A6080" s="733" t="s">
        <v>1143</v>
      </c>
      <c r="B6080" s="733" t="s">
        <v>612</v>
      </c>
      <c r="C6080" s="738" t="s">
        <v>6129</v>
      </c>
      <c r="D6080" s="733"/>
      <c r="E6080" s="733"/>
      <c r="G6080" s="733"/>
      <c r="H6080" s="733"/>
      <c r="I6080" s="733"/>
      <c r="J6080" s="733"/>
      <c r="K6080" s="733"/>
      <c r="L6080" s="733"/>
      <c r="M6080" s="733"/>
    </row>
    <row r="6081" spans="1:13" x14ac:dyDescent="0.3">
      <c r="A6081" s="733" t="s">
        <v>6130</v>
      </c>
      <c r="B6081" s="733" t="s">
        <v>645</v>
      </c>
      <c r="C6081" s="738" t="s">
        <v>6131</v>
      </c>
      <c r="D6081" s="733"/>
      <c r="E6081" s="733"/>
      <c r="G6081" s="733"/>
      <c r="H6081" s="733"/>
      <c r="I6081" s="733"/>
      <c r="J6081" s="733"/>
      <c r="K6081" s="733"/>
      <c r="L6081" s="733"/>
      <c r="M6081" s="733"/>
    </row>
    <row r="6082" spans="1:13" x14ac:dyDescent="0.3">
      <c r="A6082" s="733" t="s">
        <v>6130</v>
      </c>
      <c r="B6082" s="733" t="s">
        <v>645</v>
      </c>
      <c r="C6082" s="738" t="s">
        <v>6132</v>
      </c>
      <c r="D6082" s="733"/>
      <c r="E6082" s="733"/>
      <c r="G6082" s="733"/>
      <c r="H6082" s="733"/>
      <c r="I6082" s="733"/>
      <c r="J6082" s="733"/>
      <c r="K6082" s="733"/>
      <c r="L6082" s="733"/>
      <c r="M6082" s="733"/>
    </row>
    <row r="6083" spans="1:13" ht="28.8" x14ac:dyDescent="0.3">
      <c r="A6083" s="733" t="s">
        <v>6130</v>
      </c>
      <c r="B6083" s="733" t="s">
        <v>645</v>
      </c>
      <c r="C6083" s="738" t="s">
        <v>6133</v>
      </c>
      <c r="D6083" s="733"/>
      <c r="E6083" s="733"/>
      <c r="G6083" s="733"/>
      <c r="H6083" s="733"/>
      <c r="I6083" s="733"/>
      <c r="J6083" s="733"/>
      <c r="K6083" s="733"/>
      <c r="L6083" s="733"/>
      <c r="M6083" s="733"/>
    </row>
    <row r="6084" spans="1:13" x14ac:dyDescent="0.3">
      <c r="A6084" s="733" t="s">
        <v>6130</v>
      </c>
      <c r="B6084" s="733" t="s">
        <v>645</v>
      </c>
      <c r="C6084" s="738" t="s">
        <v>6134</v>
      </c>
      <c r="D6084" s="733"/>
      <c r="E6084" s="733"/>
      <c r="G6084" s="733"/>
      <c r="H6084" s="733"/>
      <c r="I6084" s="733"/>
      <c r="J6084" s="733"/>
      <c r="K6084" s="733"/>
      <c r="L6084" s="733"/>
      <c r="M6084" s="733"/>
    </row>
    <row r="6085" spans="1:13" ht="28.8" x14ac:dyDescent="0.3">
      <c r="A6085" s="733" t="s">
        <v>6130</v>
      </c>
      <c r="B6085" s="733" t="s">
        <v>645</v>
      </c>
      <c r="C6085" s="738" t="s">
        <v>6135</v>
      </c>
      <c r="D6085" s="733"/>
      <c r="E6085" s="733"/>
      <c r="G6085" s="733"/>
      <c r="H6085" s="733"/>
      <c r="I6085" s="733"/>
      <c r="J6085" s="733"/>
      <c r="K6085" s="733"/>
      <c r="L6085" s="733"/>
      <c r="M6085" s="733"/>
    </row>
    <row r="6086" spans="1:13" x14ac:dyDescent="0.3">
      <c r="A6086" s="733" t="s">
        <v>6130</v>
      </c>
      <c r="B6086" s="733" t="s">
        <v>645</v>
      </c>
      <c r="C6086" s="738" t="s">
        <v>6136</v>
      </c>
      <c r="D6086" s="733"/>
      <c r="E6086" s="733"/>
      <c r="G6086" s="733"/>
      <c r="H6086" s="733"/>
      <c r="I6086" s="733"/>
      <c r="J6086" s="733"/>
      <c r="K6086" s="733"/>
      <c r="L6086" s="733"/>
      <c r="M6086" s="733"/>
    </row>
    <row r="6087" spans="1:13" x14ac:dyDescent="0.3">
      <c r="A6087" s="733" t="s">
        <v>6130</v>
      </c>
      <c r="B6087" s="733" t="s">
        <v>645</v>
      </c>
      <c r="C6087" s="738" t="s">
        <v>6137</v>
      </c>
      <c r="D6087" s="733"/>
      <c r="E6087" s="733"/>
      <c r="G6087" s="733"/>
      <c r="H6087" s="733"/>
      <c r="I6087" s="733"/>
      <c r="J6087" s="733"/>
      <c r="K6087" s="733"/>
      <c r="L6087" s="733"/>
      <c r="M6087" s="733"/>
    </row>
    <row r="6088" spans="1:13" x14ac:dyDescent="0.3">
      <c r="A6088" s="733" t="s">
        <v>6130</v>
      </c>
      <c r="B6088" s="733" t="s">
        <v>645</v>
      </c>
      <c r="C6088" s="738" t="s">
        <v>6138</v>
      </c>
      <c r="D6088" s="733"/>
      <c r="E6088" s="733"/>
      <c r="G6088" s="733"/>
      <c r="H6088" s="733"/>
      <c r="I6088" s="733"/>
      <c r="J6088" s="733"/>
      <c r="K6088" s="733"/>
      <c r="L6088" s="733"/>
      <c r="M6088" s="733"/>
    </row>
    <row r="6089" spans="1:13" x14ac:dyDescent="0.3">
      <c r="A6089" s="733" t="s">
        <v>6130</v>
      </c>
      <c r="B6089" s="733" t="s">
        <v>645</v>
      </c>
      <c r="C6089" s="738" t="s">
        <v>6139</v>
      </c>
      <c r="D6089" s="733"/>
      <c r="E6089" s="733"/>
      <c r="G6089" s="733"/>
      <c r="H6089" s="733"/>
      <c r="I6089" s="733"/>
      <c r="J6089" s="733"/>
      <c r="K6089" s="733"/>
      <c r="L6089" s="733"/>
      <c r="M6089" s="733"/>
    </row>
    <row r="6090" spans="1:13" x14ac:dyDescent="0.3">
      <c r="A6090" s="733" t="s">
        <v>6130</v>
      </c>
      <c r="B6090" s="733" t="s">
        <v>645</v>
      </c>
      <c r="C6090" s="738" t="s">
        <v>6140</v>
      </c>
      <c r="D6090" s="733"/>
      <c r="E6090" s="733"/>
      <c r="G6090" s="733"/>
      <c r="H6090" s="733"/>
      <c r="I6090" s="733"/>
      <c r="J6090" s="733"/>
      <c r="K6090" s="733"/>
      <c r="L6090" s="733"/>
      <c r="M6090" s="733"/>
    </row>
    <row r="6091" spans="1:13" x14ac:dyDescent="0.3">
      <c r="A6091" s="733" t="s">
        <v>6130</v>
      </c>
      <c r="B6091" s="733" t="s">
        <v>664</v>
      </c>
      <c r="C6091" s="738" t="s">
        <v>6141</v>
      </c>
      <c r="D6091" s="733"/>
      <c r="E6091" s="733"/>
      <c r="G6091" s="733"/>
      <c r="H6091" s="733"/>
      <c r="I6091" s="733"/>
      <c r="J6091" s="733"/>
      <c r="K6091" s="733"/>
      <c r="L6091" s="733"/>
      <c r="M6091" s="733"/>
    </row>
    <row r="6092" spans="1:13" ht="28.8" x14ac:dyDescent="0.3">
      <c r="A6092" s="733" t="s">
        <v>6130</v>
      </c>
      <c r="B6092" s="733" t="s">
        <v>664</v>
      </c>
      <c r="C6092" s="738" t="s">
        <v>6142</v>
      </c>
      <c r="D6092" s="733"/>
      <c r="E6092" s="733"/>
      <c r="G6092" s="733"/>
      <c r="H6092" s="733"/>
      <c r="I6092" s="733"/>
      <c r="J6092" s="733"/>
      <c r="K6092" s="733"/>
      <c r="L6092" s="733"/>
      <c r="M6092" s="733"/>
    </row>
    <row r="6093" spans="1:13" x14ac:dyDescent="0.3">
      <c r="A6093" s="733" t="s">
        <v>6130</v>
      </c>
      <c r="B6093" s="733" t="s">
        <v>664</v>
      </c>
      <c r="C6093" s="738" t="s">
        <v>6143</v>
      </c>
      <c r="D6093" s="733"/>
      <c r="E6093" s="733"/>
      <c r="G6093" s="733"/>
      <c r="H6093" s="733"/>
      <c r="I6093" s="733"/>
      <c r="J6093" s="733"/>
      <c r="K6093" s="733"/>
      <c r="L6093" s="733"/>
      <c r="M6093" s="733"/>
    </row>
    <row r="6094" spans="1:13" x14ac:dyDescent="0.3">
      <c r="A6094" s="733" t="s">
        <v>6130</v>
      </c>
      <c r="B6094" s="733" t="s">
        <v>664</v>
      </c>
      <c r="C6094" s="738" t="s">
        <v>6144</v>
      </c>
      <c r="D6094" s="733"/>
      <c r="E6094" s="733"/>
      <c r="G6094" s="733"/>
      <c r="H6094" s="733"/>
      <c r="I6094" s="733"/>
      <c r="J6094" s="733"/>
      <c r="K6094" s="733"/>
      <c r="L6094" s="733"/>
      <c r="M6094" s="733"/>
    </row>
    <row r="6095" spans="1:13" ht="28.8" x14ac:dyDescent="0.3">
      <c r="A6095" s="733" t="s">
        <v>6130</v>
      </c>
      <c r="B6095" s="733" t="s">
        <v>664</v>
      </c>
      <c r="C6095" s="738" t="s">
        <v>6145</v>
      </c>
      <c r="D6095" s="733"/>
      <c r="E6095" s="733"/>
      <c r="G6095" s="733"/>
      <c r="H6095" s="733"/>
      <c r="I6095" s="733"/>
      <c r="J6095" s="733"/>
      <c r="K6095" s="733"/>
      <c r="L6095" s="733"/>
      <c r="M6095" s="733"/>
    </row>
    <row r="6096" spans="1:13" x14ac:dyDescent="0.3">
      <c r="A6096" s="733" t="s">
        <v>6130</v>
      </c>
      <c r="B6096" s="733" t="s">
        <v>664</v>
      </c>
      <c r="C6096" s="738" t="s">
        <v>6146</v>
      </c>
      <c r="D6096" s="733"/>
      <c r="E6096" s="733"/>
      <c r="G6096" s="733"/>
      <c r="H6096" s="733"/>
      <c r="I6096" s="733"/>
      <c r="J6096" s="733"/>
      <c r="K6096" s="733"/>
      <c r="L6096" s="733"/>
      <c r="M6096" s="733"/>
    </row>
    <row r="6097" spans="1:13" x14ac:dyDescent="0.3">
      <c r="A6097" s="733" t="s">
        <v>6130</v>
      </c>
      <c r="B6097" s="733" t="s">
        <v>664</v>
      </c>
      <c r="C6097" s="738" t="s">
        <v>6147</v>
      </c>
      <c r="D6097" s="733"/>
      <c r="E6097" s="733"/>
      <c r="G6097" s="733"/>
      <c r="H6097" s="733"/>
      <c r="I6097" s="733"/>
      <c r="J6097" s="733"/>
      <c r="K6097" s="733"/>
      <c r="L6097" s="733"/>
      <c r="M6097" s="733"/>
    </row>
    <row r="6098" spans="1:13" x14ac:dyDescent="0.3">
      <c r="A6098" s="733" t="s">
        <v>6130</v>
      </c>
      <c r="B6098" s="733" t="s">
        <v>664</v>
      </c>
      <c r="C6098" s="738" t="s">
        <v>6148</v>
      </c>
      <c r="D6098" s="733"/>
      <c r="E6098" s="733"/>
      <c r="G6098" s="733"/>
      <c r="H6098" s="733"/>
      <c r="I6098" s="733"/>
      <c r="J6098" s="733"/>
      <c r="K6098" s="733"/>
      <c r="L6098" s="733"/>
      <c r="M6098" s="733"/>
    </row>
    <row r="6099" spans="1:13" x14ac:dyDescent="0.3">
      <c r="A6099" s="733" t="s">
        <v>6130</v>
      </c>
      <c r="B6099" s="733" t="s">
        <v>664</v>
      </c>
      <c r="C6099" s="738" t="s">
        <v>6149</v>
      </c>
      <c r="D6099" s="733"/>
      <c r="E6099" s="733"/>
      <c r="G6099" s="733"/>
      <c r="H6099" s="733"/>
      <c r="I6099" s="733"/>
      <c r="J6099" s="733"/>
      <c r="K6099" s="733"/>
      <c r="L6099" s="733"/>
      <c r="M6099" s="733"/>
    </row>
    <row r="6100" spans="1:13" x14ac:dyDescent="0.3">
      <c r="A6100" s="733" t="s">
        <v>6130</v>
      </c>
      <c r="B6100" s="733" t="s">
        <v>664</v>
      </c>
      <c r="C6100" s="738" t="s">
        <v>6150</v>
      </c>
      <c r="D6100" s="733"/>
      <c r="E6100" s="733"/>
      <c r="G6100" s="733"/>
      <c r="H6100" s="733"/>
      <c r="I6100" s="733"/>
      <c r="J6100" s="733"/>
      <c r="K6100" s="733"/>
      <c r="L6100" s="733"/>
      <c r="M6100" s="733"/>
    </row>
    <row r="6101" spans="1:13" x14ac:dyDescent="0.3">
      <c r="A6101" s="733" t="s">
        <v>6130</v>
      </c>
      <c r="B6101" s="733" t="s">
        <v>612</v>
      </c>
      <c r="C6101" s="738" t="s">
        <v>6151</v>
      </c>
      <c r="D6101" s="733"/>
      <c r="E6101" s="733"/>
      <c r="G6101" s="733"/>
      <c r="H6101" s="733"/>
      <c r="I6101" s="733"/>
      <c r="J6101" s="733"/>
      <c r="K6101" s="733"/>
      <c r="L6101" s="733"/>
      <c r="M6101" s="733"/>
    </row>
    <row r="6102" spans="1:13" x14ac:dyDescent="0.3">
      <c r="A6102" s="733" t="s">
        <v>6130</v>
      </c>
      <c r="B6102" s="733" t="s">
        <v>612</v>
      </c>
      <c r="C6102" s="738" t="s">
        <v>6152</v>
      </c>
      <c r="D6102" s="733"/>
      <c r="E6102" s="733"/>
      <c r="G6102" s="733"/>
      <c r="H6102" s="733"/>
      <c r="I6102" s="733"/>
      <c r="J6102" s="733"/>
      <c r="K6102" s="733"/>
      <c r="L6102" s="733"/>
      <c r="M6102" s="733"/>
    </row>
    <row r="6103" spans="1:13" x14ac:dyDescent="0.3">
      <c r="A6103" s="733" t="s">
        <v>6130</v>
      </c>
      <c r="B6103" s="733" t="s">
        <v>612</v>
      </c>
      <c r="C6103" s="738" t="s">
        <v>6153</v>
      </c>
      <c r="D6103" s="733"/>
      <c r="E6103" s="733"/>
      <c r="G6103" s="733"/>
      <c r="H6103" s="733"/>
      <c r="I6103" s="733"/>
      <c r="J6103" s="733"/>
      <c r="K6103" s="733"/>
      <c r="L6103" s="733"/>
      <c r="M6103" s="733"/>
    </row>
    <row r="6104" spans="1:13" x14ac:dyDescent="0.3">
      <c r="A6104" s="733" t="s">
        <v>6130</v>
      </c>
      <c r="B6104" s="733" t="s">
        <v>612</v>
      </c>
      <c r="C6104" s="738" t="s">
        <v>6154</v>
      </c>
      <c r="D6104" s="733"/>
      <c r="E6104" s="733"/>
      <c r="G6104" s="733"/>
      <c r="H6104" s="733"/>
      <c r="I6104" s="733"/>
      <c r="J6104" s="733"/>
      <c r="K6104" s="733"/>
      <c r="L6104" s="733"/>
      <c r="M6104" s="733"/>
    </row>
    <row r="6105" spans="1:13" x14ac:dyDescent="0.3">
      <c r="A6105" s="733" t="s">
        <v>6130</v>
      </c>
      <c r="B6105" s="733" t="s">
        <v>612</v>
      </c>
      <c r="C6105" s="738" t="s">
        <v>6155</v>
      </c>
      <c r="D6105" s="733"/>
      <c r="E6105" s="733"/>
      <c r="G6105" s="733"/>
      <c r="H6105" s="733"/>
      <c r="I6105" s="733"/>
      <c r="J6105" s="733"/>
      <c r="K6105" s="733"/>
      <c r="L6105" s="733"/>
      <c r="M6105" s="733"/>
    </row>
    <row r="6106" spans="1:13" x14ac:dyDescent="0.3">
      <c r="A6106" s="733" t="s">
        <v>6130</v>
      </c>
      <c r="B6106" s="733" t="s">
        <v>612</v>
      </c>
      <c r="C6106" s="738" t="s">
        <v>6156</v>
      </c>
      <c r="D6106" s="733"/>
      <c r="E6106" s="733"/>
      <c r="G6106" s="733"/>
      <c r="H6106" s="733"/>
      <c r="I6106" s="733"/>
      <c r="J6106" s="733"/>
      <c r="K6106" s="733"/>
      <c r="L6106" s="733"/>
      <c r="M6106" s="733"/>
    </row>
    <row r="6107" spans="1:13" x14ac:dyDescent="0.3">
      <c r="A6107" s="733" t="s">
        <v>6130</v>
      </c>
      <c r="B6107" s="733" t="s">
        <v>612</v>
      </c>
      <c r="C6107" s="738" t="s">
        <v>6157</v>
      </c>
      <c r="D6107" s="733"/>
      <c r="E6107" s="733"/>
      <c r="G6107" s="733"/>
      <c r="H6107" s="733"/>
      <c r="I6107" s="733"/>
      <c r="J6107" s="733"/>
      <c r="K6107" s="733"/>
      <c r="L6107" s="733"/>
      <c r="M6107" s="733"/>
    </row>
    <row r="6108" spans="1:13" x14ac:dyDescent="0.3">
      <c r="A6108" s="733" t="s">
        <v>6130</v>
      </c>
      <c r="B6108" s="733" t="s">
        <v>612</v>
      </c>
      <c r="C6108" s="738" t="s">
        <v>6158</v>
      </c>
      <c r="D6108" s="733"/>
      <c r="E6108" s="733"/>
      <c r="G6108" s="733"/>
      <c r="H6108" s="733"/>
      <c r="I6108" s="733"/>
      <c r="J6108" s="733"/>
      <c r="K6108" s="733"/>
      <c r="L6108" s="733"/>
      <c r="M6108" s="733"/>
    </row>
    <row r="6109" spans="1:13" x14ac:dyDescent="0.3">
      <c r="A6109" s="733" t="s">
        <v>6130</v>
      </c>
      <c r="B6109" s="733" t="s">
        <v>612</v>
      </c>
      <c r="C6109" s="738" t="s">
        <v>6159</v>
      </c>
      <c r="D6109" s="733"/>
      <c r="E6109" s="733"/>
      <c r="G6109" s="733"/>
      <c r="H6109" s="733"/>
      <c r="I6109" s="733"/>
      <c r="J6109" s="733"/>
      <c r="K6109" s="733"/>
      <c r="L6109" s="733"/>
      <c r="M6109" s="733"/>
    </row>
    <row r="6110" spans="1:13" ht="28.8" x14ac:dyDescent="0.3">
      <c r="A6110" s="733" t="s">
        <v>6130</v>
      </c>
      <c r="B6110" s="733" t="s">
        <v>612</v>
      </c>
      <c r="C6110" s="738" t="s">
        <v>6160</v>
      </c>
      <c r="D6110" s="733"/>
      <c r="E6110" s="733"/>
      <c r="G6110" s="733"/>
      <c r="H6110" s="733"/>
      <c r="I6110" s="733"/>
      <c r="J6110" s="733"/>
      <c r="K6110" s="733"/>
      <c r="L6110" s="733"/>
      <c r="M6110" s="733"/>
    </row>
    <row r="6111" spans="1:13" x14ac:dyDescent="0.3">
      <c r="A6111" s="733" t="s">
        <v>2339</v>
      </c>
      <c r="B6111" s="733" t="s">
        <v>645</v>
      </c>
      <c r="C6111" s="733" t="s">
        <v>6161</v>
      </c>
      <c r="D6111" s="733"/>
      <c r="E6111" s="733"/>
      <c r="G6111" s="733"/>
      <c r="H6111" s="733"/>
      <c r="I6111" s="733"/>
      <c r="J6111" s="733"/>
      <c r="K6111" s="733"/>
      <c r="L6111" s="733"/>
      <c r="M6111" s="733"/>
    </row>
    <row r="6112" spans="1:13" x14ac:dyDescent="0.3">
      <c r="A6112" s="733" t="s">
        <v>2339</v>
      </c>
      <c r="B6112" s="733" t="s">
        <v>645</v>
      </c>
      <c r="C6112" s="733" t="s">
        <v>6162</v>
      </c>
      <c r="D6112" s="733"/>
      <c r="E6112" s="733"/>
      <c r="G6112" s="733"/>
      <c r="H6112" s="733"/>
      <c r="I6112" s="733"/>
      <c r="J6112" s="733"/>
      <c r="K6112" s="733"/>
      <c r="L6112" s="733"/>
      <c r="M6112" s="733"/>
    </row>
    <row r="6113" spans="1:13" x14ac:dyDescent="0.3">
      <c r="A6113" s="733" t="s">
        <v>2339</v>
      </c>
      <c r="B6113" s="733" t="s">
        <v>645</v>
      </c>
      <c r="C6113" s="733" t="s">
        <v>6163</v>
      </c>
      <c r="D6113" s="733"/>
      <c r="E6113" s="733"/>
      <c r="G6113" s="733"/>
      <c r="H6113" s="733"/>
      <c r="I6113" s="733"/>
      <c r="J6113" s="733"/>
      <c r="K6113" s="733"/>
      <c r="L6113" s="733"/>
      <c r="M6113" s="733"/>
    </row>
    <row r="6114" spans="1:13" x14ac:dyDescent="0.3">
      <c r="A6114" s="733" t="s">
        <v>2339</v>
      </c>
      <c r="B6114" s="733" t="s">
        <v>645</v>
      </c>
      <c r="C6114" s="733" t="s">
        <v>6164</v>
      </c>
      <c r="D6114" s="733"/>
      <c r="E6114" s="733"/>
      <c r="G6114" s="733"/>
      <c r="H6114" s="733"/>
      <c r="I6114" s="733"/>
      <c r="J6114" s="733"/>
      <c r="K6114" s="733"/>
      <c r="L6114" s="733"/>
      <c r="M6114" s="733"/>
    </row>
    <row r="6115" spans="1:13" x14ac:dyDescent="0.3">
      <c r="A6115" s="733" t="s">
        <v>2339</v>
      </c>
      <c r="B6115" s="733" t="s">
        <v>645</v>
      </c>
      <c r="C6115" s="733" t="s">
        <v>6165</v>
      </c>
      <c r="D6115" s="733"/>
      <c r="E6115" s="733"/>
      <c r="G6115" s="733"/>
      <c r="H6115" s="733"/>
      <c r="I6115" s="733"/>
      <c r="J6115" s="733"/>
      <c r="K6115" s="733"/>
      <c r="L6115" s="733"/>
      <c r="M6115" s="733"/>
    </row>
    <row r="6116" spans="1:13" x14ac:dyDescent="0.3">
      <c r="A6116" s="733" t="s">
        <v>2339</v>
      </c>
      <c r="B6116" s="733" t="s">
        <v>645</v>
      </c>
      <c r="C6116" s="733" t="s">
        <v>6166</v>
      </c>
      <c r="D6116" s="733"/>
      <c r="E6116" s="733"/>
      <c r="G6116" s="733"/>
      <c r="H6116" s="733"/>
      <c r="I6116" s="733"/>
      <c r="J6116" s="733"/>
      <c r="K6116" s="733"/>
      <c r="L6116" s="733"/>
      <c r="M6116" s="733"/>
    </row>
    <row r="6117" spans="1:13" x14ac:dyDescent="0.3">
      <c r="A6117" s="733" t="s">
        <v>2339</v>
      </c>
      <c r="B6117" s="733" t="s">
        <v>645</v>
      </c>
      <c r="C6117" s="733" t="s">
        <v>6167</v>
      </c>
      <c r="D6117" s="733"/>
      <c r="E6117" s="733"/>
      <c r="G6117" s="733"/>
      <c r="H6117" s="733"/>
      <c r="I6117" s="733"/>
      <c r="J6117" s="733"/>
      <c r="K6117" s="733"/>
      <c r="L6117" s="733"/>
      <c r="M6117" s="733"/>
    </row>
    <row r="6118" spans="1:13" x14ac:dyDescent="0.3">
      <c r="A6118" s="733" t="s">
        <v>2339</v>
      </c>
      <c r="B6118" s="733" t="s">
        <v>645</v>
      </c>
      <c r="C6118" s="733" t="s">
        <v>6168</v>
      </c>
      <c r="D6118" s="733"/>
      <c r="E6118" s="733"/>
      <c r="G6118" s="733"/>
      <c r="H6118" s="733"/>
      <c r="I6118" s="733"/>
      <c r="J6118" s="733"/>
      <c r="K6118" s="733"/>
      <c r="L6118" s="733"/>
      <c r="M6118" s="733"/>
    </row>
    <row r="6119" spans="1:13" x14ac:dyDescent="0.3">
      <c r="A6119" s="733" t="s">
        <v>2339</v>
      </c>
      <c r="B6119" s="733" t="s">
        <v>645</v>
      </c>
      <c r="C6119" s="733" t="s">
        <v>6169</v>
      </c>
      <c r="D6119" s="733"/>
      <c r="E6119" s="733"/>
      <c r="G6119" s="733"/>
      <c r="H6119" s="733"/>
      <c r="I6119" s="733"/>
      <c r="J6119" s="733"/>
      <c r="K6119" s="733"/>
      <c r="L6119" s="733"/>
      <c r="M6119" s="733"/>
    </row>
    <row r="6120" spans="1:13" x14ac:dyDescent="0.3">
      <c r="A6120" s="733" t="s">
        <v>2339</v>
      </c>
      <c r="B6120" s="733" t="s">
        <v>645</v>
      </c>
      <c r="C6120" s="733" t="s">
        <v>6170</v>
      </c>
      <c r="D6120" s="733"/>
      <c r="E6120" s="733"/>
      <c r="G6120" s="733"/>
      <c r="H6120" s="733"/>
      <c r="I6120" s="733"/>
      <c r="J6120" s="733"/>
      <c r="K6120" s="733"/>
      <c r="L6120" s="733"/>
      <c r="M6120" s="733"/>
    </row>
    <row r="6121" spans="1:13" x14ac:dyDescent="0.3">
      <c r="A6121" s="733" t="s">
        <v>2339</v>
      </c>
      <c r="B6121" s="733" t="s">
        <v>664</v>
      </c>
      <c r="C6121" s="733" t="s">
        <v>6171</v>
      </c>
      <c r="D6121" s="733"/>
      <c r="E6121" s="733"/>
      <c r="G6121" s="733"/>
      <c r="H6121" s="733"/>
      <c r="I6121" s="733"/>
      <c r="J6121" s="733"/>
      <c r="K6121" s="733"/>
      <c r="L6121" s="733"/>
      <c r="M6121" s="733"/>
    </row>
    <row r="6122" spans="1:13" x14ac:dyDescent="0.3">
      <c r="A6122" s="733" t="s">
        <v>2339</v>
      </c>
      <c r="B6122" s="733" t="s">
        <v>664</v>
      </c>
      <c r="C6122" s="733" t="s">
        <v>6172</v>
      </c>
      <c r="D6122" s="733"/>
      <c r="E6122" s="733"/>
      <c r="G6122" s="733"/>
      <c r="H6122" s="733"/>
      <c r="I6122" s="733"/>
      <c r="J6122" s="733"/>
      <c r="K6122" s="733"/>
      <c r="L6122" s="733"/>
      <c r="M6122" s="733"/>
    </row>
    <row r="6123" spans="1:13" x14ac:dyDescent="0.3">
      <c r="A6123" s="733" t="s">
        <v>2339</v>
      </c>
      <c r="B6123" s="733" t="s">
        <v>664</v>
      </c>
      <c r="C6123" s="733" t="s">
        <v>6173</v>
      </c>
      <c r="D6123" s="733"/>
      <c r="E6123" s="733"/>
      <c r="G6123" s="733"/>
      <c r="H6123" s="733"/>
      <c r="I6123" s="733"/>
      <c r="J6123" s="733"/>
      <c r="K6123" s="733"/>
      <c r="L6123" s="733"/>
      <c r="M6123" s="733"/>
    </row>
    <row r="6124" spans="1:13" x14ac:dyDescent="0.3">
      <c r="A6124" s="733" t="s">
        <v>2339</v>
      </c>
      <c r="B6124" s="733" t="s">
        <v>664</v>
      </c>
      <c r="C6124" s="733" t="s">
        <v>6174</v>
      </c>
      <c r="D6124" s="733"/>
      <c r="E6124" s="733"/>
      <c r="G6124" s="733"/>
      <c r="H6124" s="733"/>
      <c r="I6124" s="733"/>
      <c r="J6124" s="733"/>
      <c r="K6124" s="733"/>
      <c r="L6124" s="733"/>
      <c r="M6124" s="733"/>
    </row>
    <row r="6125" spans="1:13" x14ac:dyDescent="0.3">
      <c r="A6125" s="733" t="s">
        <v>2339</v>
      </c>
      <c r="B6125" s="733" t="s">
        <v>664</v>
      </c>
      <c r="C6125" s="733" t="s">
        <v>6175</v>
      </c>
      <c r="D6125" s="733"/>
      <c r="E6125" s="733"/>
      <c r="G6125" s="733"/>
      <c r="H6125" s="733"/>
      <c r="I6125" s="733"/>
      <c r="J6125" s="733"/>
      <c r="K6125" s="733"/>
      <c r="L6125" s="733"/>
      <c r="M6125" s="733"/>
    </row>
    <row r="6126" spans="1:13" x14ac:dyDescent="0.3">
      <c r="A6126" s="733" t="s">
        <v>2339</v>
      </c>
      <c r="B6126" s="733" t="s">
        <v>664</v>
      </c>
      <c r="C6126" s="733" t="s">
        <v>6176</v>
      </c>
      <c r="D6126" s="733"/>
      <c r="E6126" s="733"/>
      <c r="G6126" s="733"/>
      <c r="H6126" s="733"/>
      <c r="I6126" s="733"/>
      <c r="J6126" s="733"/>
      <c r="K6126" s="733"/>
      <c r="L6126" s="733"/>
      <c r="M6126" s="733"/>
    </row>
    <row r="6127" spans="1:13" x14ac:dyDescent="0.3">
      <c r="A6127" s="733" t="s">
        <v>2339</v>
      </c>
      <c r="B6127" s="733" t="s">
        <v>664</v>
      </c>
      <c r="C6127" s="733" t="s">
        <v>6177</v>
      </c>
      <c r="D6127" s="733"/>
      <c r="E6127" s="733"/>
      <c r="G6127" s="733"/>
      <c r="H6127" s="733"/>
      <c r="I6127" s="733"/>
      <c r="J6127" s="733"/>
      <c r="K6127" s="733"/>
      <c r="L6127" s="733"/>
      <c r="M6127" s="733"/>
    </row>
    <row r="6128" spans="1:13" x14ac:dyDescent="0.3">
      <c r="A6128" s="733" t="s">
        <v>2339</v>
      </c>
      <c r="B6128" s="733" t="s">
        <v>664</v>
      </c>
      <c r="C6128" s="733" t="s">
        <v>6178</v>
      </c>
      <c r="D6128" s="733"/>
      <c r="E6128" s="733"/>
      <c r="G6128" s="733"/>
      <c r="H6128" s="733"/>
      <c r="I6128" s="733"/>
      <c r="J6128" s="733"/>
      <c r="K6128" s="733"/>
      <c r="L6128" s="733"/>
      <c r="M6128" s="733"/>
    </row>
    <row r="6129" spans="1:13" x14ac:dyDescent="0.3">
      <c r="A6129" s="733" t="s">
        <v>2339</v>
      </c>
      <c r="B6129" s="733" t="s">
        <v>664</v>
      </c>
      <c r="C6129" s="733" t="s">
        <v>6179</v>
      </c>
      <c r="D6129" s="733"/>
      <c r="E6129" s="733"/>
      <c r="G6129" s="733"/>
      <c r="H6129" s="733"/>
      <c r="I6129" s="733"/>
      <c r="J6129" s="733"/>
      <c r="K6129" s="733"/>
      <c r="L6129" s="733"/>
      <c r="M6129" s="733"/>
    </row>
    <row r="6130" spans="1:13" x14ac:dyDescent="0.3">
      <c r="A6130" s="733" t="s">
        <v>2339</v>
      </c>
      <c r="B6130" s="733" t="s">
        <v>664</v>
      </c>
      <c r="C6130" s="733" t="s">
        <v>6180</v>
      </c>
      <c r="D6130" s="733"/>
      <c r="E6130" s="733"/>
      <c r="G6130" s="733"/>
      <c r="H6130" s="733"/>
      <c r="I6130" s="733"/>
      <c r="J6130" s="733"/>
      <c r="K6130" s="733"/>
      <c r="L6130" s="733"/>
      <c r="M6130" s="733"/>
    </row>
    <row r="6131" spans="1:13" x14ac:dyDescent="0.3">
      <c r="A6131" s="733" t="s">
        <v>2339</v>
      </c>
      <c r="B6131" s="733" t="s">
        <v>612</v>
      </c>
      <c r="C6131" s="733" t="s">
        <v>6181</v>
      </c>
      <c r="D6131" s="733"/>
      <c r="E6131" s="733"/>
      <c r="G6131" s="733"/>
      <c r="H6131" s="733"/>
      <c r="I6131" s="733"/>
      <c r="J6131" s="733"/>
      <c r="K6131" s="733"/>
      <c r="L6131" s="733"/>
      <c r="M6131" s="733"/>
    </row>
    <row r="6132" spans="1:13" x14ac:dyDescent="0.3">
      <c r="A6132" s="733" t="s">
        <v>2339</v>
      </c>
      <c r="B6132" s="733" t="s">
        <v>612</v>
      </c>
      <c r="C6132" s="733" t="s">
        <v>6182</v>
      </c>
      <c r="D6132" s="733"/>
      <c r="E6132" s="733"/>
      <c r="G6132" s="733"/>
      <c r="H6132" s="733"/>
      <c r="I6132" s="733"/>
      <c r="J6132" s="733"/>
      <c r="K6132" s="733"/>
      <c r="L6132" s="733"/>
      <c r="M6132" s="733"/>
    </row>
    <row r="6133" spans="1:13" x14ac:dyDescent="0.3">
      <c r="A6133" s="733" t="s">
        <v>2339</v>
      </c>
      <c r="B6133" s="733" t="s">
        <v>612</v>
      </c>
      <c r="C6133" s="733" t="s">
        <v>6183</v>
      </c>
      <c r="D6133" s="733"/>
      <c r="E6133" s="733"/>
      <c r="G6133" s="733"/>
      <c r="H6133" s="733"/>
      <c r="I6133" s="733"/>
      <c r="J6133" s="733"/>
      <c r="K6133" s="733"/>
      <c r="L6133" s="733"/>
      <c r="M6133" s="733"/>
    </row>
    <row r="6134" spans="1:13" x14ac:dyDescent="0.3">
      <c r="A6134" s="733" t="s">
        <v>2339</v>
      </c>
      <c r="B6134" s="733" t="s">
        <v>612</v>
      </c>
      <c r="C6134" s="733" t="s">
        <v>6184</v>
      </c>
      <c r="D6134" s="733"/>
      <c r="E6134" s="733"/>
      <c r="G6134" s="733"/>
      <c r="H6134" s="733"/>
      <c r="I6134" s="733"/>
      <c r="J6134" s="733"/>
      <c r="K6134" s="733"/>
      <c r="L6134" s="733"/>
      <c r="M6134" s="733"/>
    </row>
    <row r="6135" spans="1:13" x14ac:dyDescent="0.3">
      <c r="A6135" s="733" t="s">
        <v>2339</v>
      </c>
      <c r="B6135" s="733" t="s">
        <v>612</v>
      </c>
      <c r="C6135" s="733" t="s">
        <v>6185</v>
      </c>
      <c r="D6135" s="733"/>
      <c r="E6135" s="733"/>
      <c r="G6135" s="733"/>
      <c r="H6135" s="733"/>
      <c r="I6135" s="733"/>
      <c r="J6135" s="733"/>
      <c r="K6135" s="733"/>
      <c r="L6135" s="733"/>
      <c r="M6135" s="733"/>
    </row>
    <row r="6136" spans="1:13" x14ac:dyDescent="0.3">
      <c r="A6136" s="733" t="s">
        <v>2339</v>
      </c>
      <c r="B6136" s="733" t="s">
        <v>612</v>
      </c>
      <c r="C6136" s="733" t="s">
        <v>6186</v>
      </c>
      <c r="D6136" s="733"/>
      <c r="E6136" s="733"/>
      <c r="G6136" s="733"/>
      <c r="H6136" s="733"/>
      <c r="I6136" s="733"/>
      <c r="J6136" s="733"/>
      <c r="K6136" s="733"/>
      <c r="L6136" s="733"/>
      <c r="M6136" s="733"/>
    </row>
    <row r="6137" spans="1:13" x14ac:dyDescent="0.3">
      <c r="A6137" s="733" t="s">
        <v>2339</v>
      </c>
      <c r="B6137" s="733" t="s">
        <v>612</v>
      </c>
      <c r="C6137" s="733" t="s">
        <v>6187</v>
      </c>
      <c r="D6137" s="733"/>
      <c r="E6137" s="733"/>
      <c r="G6137" s="733"/>
      <c r="H6137" s="733"/>
      <c r="I6137" s="733"/>
      <c r="J6137" s="733"/>
      <c r="K6137" s="733"/>
      <c r="L6137" s="733"/>
      <c r="M6137" s="733"/>
    </row>
    <row r="6138" spans="1:13" x14ac:dyDescent="0.3">
      <c r="A6138" s="733" t="s">
        <v>2339</v>
      </c>
      <c r="B6138" s="733" t="s">
        <v>612</v>
      </c>
      <c r="C6138" s="733" t="s">
        <v>6188</v>
      </c>
      <c r="D6138" s="733"/>
      <c r="E6138" s="733"/>
      <c r="G6138" s="733"/>
      <c r="H6138" s="733"/>
      <c r="I6138" s="733"/>
      <c r="J6138" s="733"/>
      <c r="K6138" s="733"/>
      <c r="L6138" s="733"/>
      <c r="M6138" s="733"/>
    </row>
    <row r="6139" spans="1:13" x14ac:dyDescent="0.3">
      <c r="A6139" s="733" t="s">
        <v>2339</v>
      </c>
      <c r="B6139" s="733" t="s">
        <v>612</v>
      </c>
      <c r="C6139" s="733" t="s">
        <v>6189</v>
      </c>
      <c r="D6139" s="733"/>
      <c r="E6139" s="733"/>
      <c r="G6139" s="733"/>
      <c r="H6139" s="733"/>
      <c r="I6139" s="733"/>
      <c r="J6139" s="733"/>
      <c r="K6139" s="733"/>
      <c r="L6139" s="733"/>
      <c r="M6139" s="733"/>
    </row>
    <row r="6140" spans="1:13" x14ac:dyDescent="0.3">
      <c r="A6140" s="733" t="s">
        <v>2339</v>
      </c>
      <c r="B6140" s="733" t="s">
        <v>612</v>
      </c>
      <c r="C6140" s="733" t="s">
        <v>6190</v>
      </c>
      <c r="D6140" s="733"/>
      <c r="E6140" s="733"/>
      <c r="G6140" s="733"/>
      <c r="H6140" s="733"/>
      <c r="I6140" s="733"/>
      <c r="J6140" s="733"/>
      <c r="K6140" s="733"/>
      <c r="L6140" s="733"/>
      <c r="M6140" s="733"/>
    </row>
    <row r="6141" spans="1:13" x14ac:dyDescent="0.3">
      <c r="A6141" s="733" t="s">
        <v>6191</v>
      </c>
      <c r="B6141" s="733" t="s">
        <v>645</v>
      </c>
      <c r="C6141" s="738" t="s">
        <v>6192</v>
      </c>
      <c r="D6141" s="733"/>
      <c r="E6141" s="733"/>
      <c r="G6141" s="733"/>
      <c r="H6141" s="733"/>
      <c r="I6141" s="733"/>
      <c r="J6141" s="733"/>
      <c r="K6141" s="733"/>
      <c r="L6141" s="733"/>
      <c r="M6141" s="733"/>
    </row>
    <row r="6142" spans="1:13" x14ac:dyDescent="0.3">
      <c r="A6142" s="733" t="s">
        <v>6191</v>
      </c>
      <c r="B6142" s="733" t="s">
        <v>645</v>
      </c>
      <c r="C6142" s="738" t="s">
        <v>6193</v>
      </c>
      <c r="D6142" s="733"/>
      <c r="E6142" s="733"/>
      <c r="G6142" s="733"/>
      <c r="H6142" s="733"/>
      <c r="I6142" s="733"/>
      <c r="J6142" s="733"/>
      <c r="K6142" s="733"/>
      <c r="L6142" s="733"/>
      <c r="M6142" s="733"/>
    </row>
    <row r="6143" spans="1:13" x14ac:dyDescent="0.3">
      <c r="A6143" s="733" t="s">
        <v>6191</v>
      </c>
      <c r="B6143" s="733" t="s">
        <v>645</v>
      </c>
      <c r="C6143" s="738" t="s">
        <v>6194</v>
      </c>
      <c r="D6143" s="733"/>
      <c r="E6143" s="733"/>
      <c r="G6143" s="733"/>
      <c r="H6143" s="733"/>
      <c r="I6143" s="733"/>
      <c r="J6143" s="733"/>
      <c r="K6143" s="733"/>
      <c r="L6143" s="733"/>
      <c r="M6143" s="733"/>
    </row>
    <row r="6144" spans="1:13" x14ac:dyDescent="0.3">
      <c r="A6144" s="733" t="s">
        <v>6191</v>
      </c>
      <c r="B6144" s="733" t="s">
        <v>645</v>
      </c>
      <c r="C6144" s="738" t="s">
        <v>6195</v>
      </c>
      <c r="D6144" s="733"/>
      <c r="E6144" s="733"/>
      <c r="G6144" s="733"/>
      <c r="H6144" s="733"/>
      <c r="I6144" s="733"/>
      <c r="J6144" s="733"/>
      <c r="K6144" s="733"/>
      <c r="L6144" s="733"/>
      <c r="M6144" s="733"/>
    </row>
    <row r="6145" spans="1:13" x14ac:dyDescent="0.3">
      <c r="A6145" s="733" t="s">
        <v>6191</v>
      </c>
      <c r="B6145" s="733" t="s">
        <v>645</v>
      </c>
      <c r="C6145" s="738" t="s">
        <v>6196</v>
      </c>
      <c r="D6145" s="733"/>
      <c r="E6145" s="733"/>
      <c r="G6145" s="733"/>
      <c r="H6145" s="733"/>
      <c r="I6145" s="733"/>
      <c r="J6145" s="733"/>
      <c r="K6145" s="733"/>
      <c r="L6145" s="733"/>
      <c r="M6145" s="733"/>
    </row>
    <row r="6146" spans="1:13" x14ac:dyDescent="0.3">
      <c r="A6146" s="733" t="s">
        <v>6191</v>
      </c>
      <c r="B6146" s="733" t="s">
        <v>645</v>
      </c>
      <c r="C6146" s="738" t="s">
        <v>6197</v>
      </c>
      <c r="D6146" s="733"/>
      <c r="E6146" s="733"/>
      <c r="G6146" s="733"/>
      <c r="H6146" s="733"/>
      <c r="I6146" s="733"/>
      <c r="J6146" s="733"/>
      <c r="K6146" s="733"/>
      <c r="L6146" s="733"/>
      <c r="M6146" s="733"/>
    </row>
    <row r="6147" spans="1:13" x14ac:dyDescent="0.3">
      <c r="A6147" s="733" t="s">
        <v>6191</v>
      </c>
      <c r="B6147" s="733" t="s">
        <v>645</v>
      </c>
      <c r="C6147" s="738" t="s">
        <v>6198</v>
      </c>
      <c r="D6147" s="733"/>
      <c r="E6147" s="733"/>
      <c r="G6147" s="733"/>
      <c r="H6147" s="733"/>
      <c r="I6147" s="733"/>
      <c r="J6147" s="733"/>
      <c r="K6147" s="733"/>
      <c r="L6147" s="733"/>
      <c r="M6147" s="733"/>
    </row>
    <row r="6148" spans="1:13" x14ac:dyDescent="0.3">
      <c r="A6148" s="733" t="s">
        <v>6191</v>
      </c>
      <c r="B6148" s="733" t="s">
        <v>645</v>
      </c>
      <c r="C6148" s="738" t="s">
        <v>6199</v>
      </c>
      <c r="D6148" s="733"/>
      <c r="E6148" s="733"/>
      <c r="G6148" s="733"/>
      <c r="H6148" s="733"/>
      <c r="I6148" s="733"/>
      <c r="J6148" s="733"/>
      <c r="K6148" s="733"/>
      <c r="L6148" s="733"/>
      <c r="M6148" s="733"/>
    </row>
    <row r="6149" spans="1:13" x14ac:dyDescent="0.3">
      <c r="A6149" s="733" t="s">
        <v>6191</v>
      </c>
      <c r="B6149" s="733" t="s">
        <v>645</v>
      </c>
      <c r="C6149" s="738" t="s">
        <v>6200</v>
      </c>
      <c r="D6149" s="733"/>
      <c r="E6149" s="733"/>
      <c r="G6149" s="733"/>
      <c r="H6149" s="733"/>
      <c r="I6149" s="733"/>
      <c r="J6149" s="733"/>
      <c r="K6149" s="733"/>
      <c r="L6149" s="733"/>
      <c r="M6149" s="733"/>
    </row>
    <row r="6150" spans="1:13" x14ac:dyDescent="0.3">
      <c r="A6150" s="733" t="s">
        <v>6191</v>
      </c>
      <c r="B6150" s="733" t="s">
        <v>645</v>
      </c>
      <c r="C6150" s="738" t="s">
        <v>6201</v>
      </c>
      <c r="D6150" s="733"/>
      <c r="E6150" s="733"/>
      <c r="G6150" s="733"/>
      <c r="H6150" s="733"/>
      <c r="I6150" s="733"/>
      <c r="J6150" s="733"/>
      <c r="K6150" s="733"/>
      <c r="L6150" s="733"/>
      <c r="M6150" s="733"/>
    </row>
    <row r="6151" spans="1:13" x14ac:dyDescent="0.3">
      <c r="A6151" s="733" t="s">
        <v>6191</v>
      </c>
      <c r="B6151" s="733" t="s">
        <v>664</v>
      </c>
      <c r="C6151" s="738" t="s">
        <v>6202</v>
      </c>
      <c r="D6151" s="733"/>
      <c r="E6151" s="733"/>
      <c r="G6151" s="733"/>
      <c r="H6151" s="733"/>
      <c r="I6151" s="733"/>
      <c r="J6151" s="733"/>
      <c r="K6151" s="733"/>
      <c r="L6151" s="733"/>
      <c r="M6151" s="733"/>
    </row>
    <row r="6152" spans="1:13" x14ac:dyDescent="0.3">
      <c r="A6152" s="733" t="s">
        <v>6191</v>
      </c>
      <c r="B6152" s="733" t="s">
        <v>664</v>
      </c>
      <c r="C6152" s="738" t="s">
        <v>6203</v>
      </c>
      <c r="D6152" s="733"/>
      <c r="E6152" s="733"/>
      <c r="G6152" s="733"/>
      <c r="H6152" s="733"/>
      <c r="I6152" s="733"/>
      <c r="J6152" s="733"/>
      <c r="K6152" s="733"/>
      <c r="L6152" s="733"/>
      <c r="M6152" s="733"/>
    </row>
    <row r="6153" spans="1:13" x14ac:dyDescent="0.3">
      <c r="A6153" s="733" t="s">
        <v>6191</v>
      </c>
      <c r="B6153" s="733" t="s">
        <v>664</v>
      </c>
      <c r="C6153" s="738" t="s">
        <v>6204</v>
      </c>
      <c r="D6153" s="733"/>
      <c r="E6153" s="733"/>
      <c r="G6153" s="733"/>
      <c r="H6153" s="733"/>
      <c r="I6153" s="733"/>
      <c r="J6153" s="733"/>
      <c r="K6153" s="733"/>
      <c r="L6153" s="733"/>
      <c r="M6153" s="733"/>
    </row>
    <row r="6154" spans="1:13" x14ac:dyDescent="0.3">
      <c r="A6154" s="733" t="s">
        <v>6191</v>
      </c>
      <c r="B6154" s="733" t="s">
        <v>664</v>
      </c>
      <c r="C6154" s="738" t="s">
        <v>6205</v>
      </c>
      <c r="D6154" s="733"/>
      <c r="E6154" s="733"/>
      <c r="G6154" s="733"/>
      <c r="H6154" s="733"/>
      <c r="I6154" s="733"/>
      <c r="J6154" s="733"/>
      <c r="K6154" s="733"/>
      <c r="L6154" s="733"/>
      <c r="M6154" s="733"/>
    </row>
    <row r="6155" spans="1:13" x14ac:dyDescent="0.3">
      <c r="A6155" s="733" t="s">
        <v>6191</v>
      </c>
      <c r="B6155" s="733" t="s">
        <v>664</v>
      </c>
      <c r="C6155" s="738" t="s">
        <v>6206</v>
      </c>
      <c r="D6155" s="733"/>
      <c r="E6155" s="733"/>
      <c r="G6155" s="733"/>
      <c r="H6155" s="733"/>
      <c r="I6155" s="733"/>
      <c r="J6155" s="733"/>
      <c r="K6155" s="733"/>
      <c r="L6155" s="733"/>
      <c r="M6155" s="733"/>
    </row>
    <row r="6156" spans="1:13" x14ac:dyDescent="0.3">
      <c r="A6156" s="733" t="s">
        <v>6191</v>
      </c>
      <c r="B6156" s="733" t="s">
        <v>664</v>
      </c>
      <c r="C6156" s="738" t="s">
        <v>6207</v>
      </c>
      <c r="D6156" s="733"/>
      <c r="E6156" s="733"/>
      <c r="G6156" s="733"/>
      <c r="H6156" s="733"/>
      <c r="I6156" s="733"/>
      <c r="J6156" s="733"/>
      <c r="K6156" s="733"/>
      <c r="L6156" s="733"/>
      <c r="M6156" s="733"/>
    </row>
    <row r="6157" spans="1:13" x14ac:dyDescent="0.3">
      <c r="A6157" s="733" t="s">
        <v>6191</v>
      </c>
      <c r="B6157" s="733" t="s">
        <v>664</v>
      </c>
      <c r="C6157" s="738" t="s">
        <v>6208</v>
      </c>
      <c r="D6157" s="733"/>
      <c r="E6157" s="733"/>
      <c r="G6157" s="733"/>
      <c r="H6157" s="733"/>
      <c r="I6157" s="733"/>
      <c r="J6157" s="733"/>
      <c r="K6157" s="733"/>
      <c r="L6157" s="733"/>
      <c r="M6157" s="733"/>
    </row>
    <row r="6158" spans="1:13" x14ac:dyDescent="0.3">
      <c r="A6158" s="733" t="s">
        <v>6191</v>
      </c>
      <c r="B6158" s="733" t="s">
        <v>664</v>
      </c>
      <c r="C6158" s="738" t="s">
        <v>6209</v>
      </c>
      <c r="D6158" s="733"/>
      <c r="E6158" s="733"/>
      <c r="G6158" s="733"/>
      <c r="H6158" s="733"/>
      <c r="I6158" s="733"/>
      <c r="J6158" s="733"/>
      <c r="K6158" s="733"/>
      <c r="L6158" s="733"/>
      <c r="M6158" s="733"/>
    </row>
    <row r="6159" spans="1:13" x14ac:dyDescent="0.3">
      <c r="A6159" s="733" t="s">
        <v>6191</v>
      </c>
      <c r="B6159" s="733" t="s">
        <v>664</v>
      </c>
      <c r="C6159" s="738" t="s">
        <v>6210</v>
      </c>
      <c r="D6159" s="733"/>
      <c r="E6159" s="733"/>
      <c r="G6159" s="733"/>
      <c r="H6159" s="733"/>
      <c r="I6159" s="733"/>
      <c r="J6159" s="733"/>
      <c r="K6159" s="733"/>
      <c r="L6159" s="733"/>
      <c r="M6159" s="733"/>
    </row>
    <row r="6160" spans="1:13" x14ac:dyDescent="0.3">
      <c r="A6160" s="733" t="s">
        <v>6191</v>
      </c>
      <c r="B6160" s="733" t="s">
        <v>664</v>
      </c>
      <c r="C6160" s="738" t="s">
        <v>6211</v>
      </c>
      <c r="D6160" s="733"/>
      <c r="E6160" s="733"/>
      <c r="G6160" s="733"/>
      <c r="H6160" s="733"/>
      <c r="I6160" s="733"/>
      <c r="J6160" s="733"/>
      <c r="K6160" s="733"/>
      <c r="L6160" s="733"/>
      <c r="M6160" s="733"/>
    </row>
    <row r="6161" spans="1:13" x14ac:dyDescent="0.3">
      <c r="A6161" s="733" t="s">
        <v>6191</v>
      </c>
      <c r="B6161" s="733" t="s">
        <v>612</v>
      </c>
      <c r="C6161" s="738" t="s">
        <v>6212</v>
      </c>
      <c r="D6161" s="733"/>
      <c r="E6161" s="733"/>
      <c r="G6161" s="733"/>
      <c r="H6161" s="733"/>
      <c r="I6161" s="733"/>
      <c r="J6161" s="733"/>
      <c r="K6161" s="733"/>
      <c r="L6161" s="733"/>
      <c r="M6161" s="733"/>
    </row>
    <row r="6162" spans="1:13" x14ac:dyDescent="0.3">
      <c r="A6162" s="733" t="s">
        <v>6191</v>
      </c>
      <c r="B6162" s="733" t="s">
        <v>612</v>
      </c>
      <c r="C6162" s="738" t="s">
        <v>6213</v>
      </c>
      <c r="D6162" s="733"/>
      <c r="E6162" s="733"/>
      <c r="G6162" s="733"/>
      <c r="H6162" s="733"/>
      <c r="I6162" s="733"/>
      <c r="J6162" s="733"/>
      <c r="K6162" s="733"/>
      <c r="L6162" s="733"/>
      <c r="M6162" s="733"/>
    </row>
    <row r="6163" spans="1:13" x14ac:dyDescent="0.3">
      <c r="A6163" s="733" t="s">
        <v>6191</v>
      </c>
      <c r="B6163" s="733" t="s">
        <v>612</v>
      </c>
      <c r="C6163" s="738" t="s">
        <v>6214</v>
      </c>
      <c r="D6163" s="733"/>
      <c r="E6163" s="733"/>
      <c r="G6163" s="733"/>
      <c r="H6163" s="733"/>
      <c r="I6163" s="733"/>
      <c r="J6163" s="733"/>
      <c r="K6163" s="733"/>
      <c r="L6163" s="733"/>
      <c r="M6163" s="733"/>
    </row>
    <row r="6164" spans="1:13" x14ac:dyDescent="0.3">
      <c r="A6164" s="733" t="s">
        <v>6191</v>
      </c>
      <c r="B6164" s="733" t="s">
        <v>612</v>
      </c>
      <c r="C6164" s="738" t="s">
        <v>6215</v>
      </c>
      <c r="D6164" s="733"/>
      <c r="E6164" s="733"/>
      <c r="G6164" s="733"/>
      <c r="H6164" s="733"/>
      <c r="I6164" s="733"/>
      <c r="J6164" s="733"/>
      <c r="K6164" s="733"/>
      <c r="L6164" s="733"/>
      <c r="M6164" s="733"/>
    </row>
    <row r="6165" spans="1:13" x14ac:dyDescent="0.3">
      <c r="A6165" s="733" t="s">
        <v>6191</v>
      </c>
      <c r="B6165" s="733" t="s">
        <v>612</v>
      </c>
      <c r="C6165" s="738" t="s">
        <v>6216</v>
      </c>
      <c r="D6165" s="733"/>
      <c r="E6165" s="733"/>
      <c r="G6165" s="733"/>
      <c r="H6165" s="733"/>
      <c r="I6165" s="733"/>
      <c r="J6165" s="733"/>
      <c r="K6165" s="733"/>
      <c r="L6165" s="733"/>
      <c r="M6165" s="733"/>
    </row>
    <row r="6166" spans="1:13" x14ac:dyDescent="0.3">
      <c r="A6166" s="733" t="s">
        <v>6191</v>
      </c>
      <c r="B6166" s="733" t="s">
        <v>612</v>
      </c>
      <c r="C6166" s="738" t="s">
        <v>6217</v>
      </c>
      <c r="D6166" s="733"/>
      <c r="E6166" s="733"/>
      <c r="G6166" s="733"/>
      <c r="H6166" s="733"/>
      <c r="I6166" s="733"/>
      <c r="J6166" s="733"/>
      <c r="K6166" s="733"/>
      <c r="L6166" s="733"/>
      <c r="M6166" s="733"/>
    </row>
    <row r="6167" spans="1:13" x14ac:dyDescent="0.3">
      <c r="A6167" s="733" t="s">
        <v>6191</v>
      </c>
      <c r="B6167" s="733" t="s">
        <v>612</v>
      </c>
      <c r="C6167" s="738" t="s">
        <v>6218</v>
      </c>
      <c r="D6167" s="733"/>
      <c r="E6167" s="733"/>
      <c r="G6167" s="733"/>
      <c r="H6167" s="733"/>
      <c r="I6167" s="733"/>
      <c r="J6167" s="733"/>
      <c r="K6167" s="733"/>
      <c r="L6167" s="733"/>
      <c r="M6167" s="733"/>
    </row>
    <row r="6168" spans="1:13" x14ac:dyDescent="0.3">
      <c r="A6168" s="733" t="s">
        <v>6191</v>
      </c>
      <c r="B6168" s="733" t="s">
        <v>612</v>
      </c>
      <c r="C6168" s="738" t="s">
        <v>6219</v>
      </c>
      <c r="D6168" s="733"/>
      <c r="E6168" s="733"/>
      <c r="G6168" s="733"/>
      <c r="H6168" s="733"/>
      <c r="I6168" s="733"/>
      <c r="J6168" s="733"/>
      <c r="K6168" s="733"/>
      <c r="L6168" s="733"/>
      <c r="M6168" s="733"/>
    </row>
    <row r="6169" spans="1:13" x14ac:dyDescent="0.3">
      <c r="A6169" s="733" t="s">
        <v>6191</v>
      </c>
      <c r="B6169" s="733" t="s">
        <v>612</v>
      </c>
      <c r="C6169" s="738" t="s">
        <v>6220</v>
      </c>
      <c r="D6169" s="733"/>
      <c r="E6169" s="733"/>
      <c r="G6169" s="733"/>
      <c r="H6169" s="733"/>
      <c r="I6169" s="733"/>
      <c r="J6169" s="733"/>
      <c r="K6169" s="733"/>
      <c r="L6169" s="733"/>
      <c r="M6169" s="733"/>
    </row>
    <row r="6170" spans="1:13" x14ac:dyDescent="0.3">
      <c r="A6170" s="733" t="s">
        <v>6191</v>
      </c>
      <c r="B6170" s="733" t="s">
        <v>612</v>
      </c>
      <c r="C6170" s="738" t="s">
        <v>6221</v>
      </c>
      <c r="D6170" s="733"/>
      <c r="E6170" s="733"/>
      <c r="G6170" s="733"/>
      <c r="H6170" s="733"/>
      <c r="I6170" s="733"/>
      <c r="J6170" s="733"/>
      <c r="K6170" s="733"/>
      <c r="L6170" s="733"/>
      <c r="M6170" s="733"/>
    </row>
    <row r="6171" spans="1:13" x14ac:dyDescent="0.3">
      <c r="A6171" s="733" t="s">
        <v>1793</v>
      </c>
      <c r="B6171" s="733" t="s">
        <v>645</v>
      </c>
      <c r="C6171" s="733" t="s">
        <v>6222</v>
      </c>
      <c r="D6171" s="733"/>
      <c r="E6171" s="733"/>
      <c r="G6171" s="733"/>
      <c r="H6171" s="733"/>
      <c r="I6171" s="733"/>
      <c r="J6171" s="733"/>
      <c r="K6171" s="733"/>
      <c r="L6171" s="733"/>
      <c r="M6171" s="733"/>
    </row>
    <row r="6172" spans="1:13" x14ac:dyDescent="0.3">
      <c r="A6172" s="733" t="s">
        <v>1793</v>
      </c>
      <c r="B6172" s="733" t="s">
        <v>645</v>
      </c>
      <c r="C6172" s="733" t="s">
        <v>6223</v>
      </c>
      <c r="D6172" s="733"/>
      <c r="E6172" s="733"/>
      <c r="G6172" s="733"/>
      <c r="H6172" s="733"/>
      <c r="I6172" s="733"/>
      <c r="J6172" s="733"/>
      <c r="K6172" s="733"/>
      <c r="L6172" s="733"/>
      <c r="M6172" s="733"/>
    </row>
    <row r="6173" spans="1:13" x14ac:dyDescent="0.3">
      <c r="A6173" s="733" t="s">
        <v>1793</v>
      </c>
      <c r="B6173" s="733" t="s">
        <v>645</v>
      </c>
      <c r="C6173" s="733" t="s">
        <v>6224</v>
      </c>
      <c r="D6173" s="733"/>
      <c r="E6173" s="733"/>
      <c r="G6173" s="733"/>
      <c r="H6173" s="733"/>
      <c r="I6173" s="733"/>
      <c r="J6173" s="733"/>
      <c r="K6173" s="733"/>
      <c r="L6173" s="733"/>
      <c r="M6173" s="733"/>
    </row>
    <row r="6174" spans="1:13" x14ac:dyDescent="0.3">
      <c r="A6174" s="733" t="s">
        <v>1793</v>
      </c>
      <c r="B6174" s="733" t="s">
        <v>645</v>
      </c>
      <c r="C6174" s="733" t="s">
        <v>6225</v>
      </c>
      <c r="D6174" s="733"/>
      <c r="E6174" s="733"/>
      <c r="G6174" s="733"/>
      <c r="H6174" s="733"/>
      <c r="I6174" s="733"/>
      <c r="J6174" s="733"/>
      <c r="K6174" s="733"/>
      <c r="L6174" s="733"/>
      <c r="M6174" s="733"/>
    </row>
    <row r="6175" spans="1:13" x14ac:dyDescent="0.3">
      <c r="A6175" s="733" t="s">
        <v>1793</v>
      </c>
      <c r="B6175" s="733" t="s">
        <v>645</v>
      </c>
      <c r="C6175" s="733" t="s">
        <v>6226</v>
      </c>
      <c r="D6175" s="733"/>
      <c r="E6175" s="733"/>
      <c r="G6175" s="733"/>
      <c r="H6175" s="733"/>
      <c r="I6175" s="733"/>
      <c r="J6175" s="733"/>
      <c r="K6175" s="733"/>
      <c r="L6175" s="733"/>
      <c r="M6175" s="733"/>
    </row>
    <row r="6176" spans="1:13" x14ac:dyDescent="0.3">
      <c r="A6176" s="733" t="s">
        <v>1793</v>
      </c>
      <c r="B6176" s="733" t="s">
        <v>664</v>
      </c>
      <c r="C6176" s="733" t="s">
        <v>6227</v>
      </c>
      <c r="D6176" s="733"/>
      <c r="E6176" s="733"/>
      <c r="G6176" s="733"/>
      <c r="H6176" s="733"/>
      <c r="I6176" s="733"/>
      <c r="J6176" s="733"/>
      <c r="K6176" s="733"/>
      <c r="L6176" s="733"/>
      <c r="M6176" s="733"/>
    </row>
    <row r="6177" spans="1:13" x14ac:dyDescent="0.3">
      <c r="A6177" s="733" t="s">
        <v>1793</v>
      </c>
      <c r="B6177" s="733" t="s">
        <v>664</v>
      </c>
      <c r="C6177" s="733" t="s">
        <v>6228</v>
      </c>
      <c r="D6177" s="733"/>
      <c r="E6177" s="733"/>
      <c r="G6177" s="733"/>
      <c r="H6177" s="733"/>
      <c r="I6177" s="733"/>
      <c r="J6177" s="733"/>
      <c r="K6177" s="733"/>
      <c r="L6177" s="733"/>
      <c r="M6177" s="733"/>
    </row>
    <row r="6178" spans="1:13" x14ac:dyDescent="0.3">
      <c r="A6178" s="733" t="s">
        <v>1793</v>
      </c>
      <c r="B6178" s="733" t="s">
        <v>664</v>
      </c>
      <c r="C6178" s="733" t="s">
        <v>6229</v>
      </c>
      <c r="D6178" s="733"/>
      <c r="E6178" s="733"/>
      <c r="G6178" s="733"/>
      <c r="H6178" s="733"/>
      <c r="I6178" s="733"/>
      <c r="J6178" s="733"/>
      <c r="K6178" s="733"/>
      <c r="L6178" s="733"/>
      <c r="M6178" s="733"/>
    </row>
    <row r="6179" spans="1:13" x14ac:dyDescent="0.3">
      <c r="A6179" s="733" t="s">
        <v>1793</v>
      </c>
      <c r="B6179" s="733" t="s">
        <v>664</v>
      </c>
      <c r="C6179" s="733" t="s">
        <v>6230</v>
      </c>
      <c r="D6179" s="733"/>
      <c r="E6179" s="733"/>
      <c r="G6179" s="733"/>
      <c r="H6179" s="733"/>
      <c r="I6179" s="733"/>
      <c r="J6179" s="733"/>
      <c r="K6179" s="733"/>
      <c r="L6179" s="733"/>
      <c r="M6179" s="733"/>
    </row>
    <row r="6180" spans="1:13" x14ac:dyDescent="0.3">
      <c r="A6180" s="733" t="s">
        <v>1793</v>
      </c>
      <c r="B6180" s="733" t="s">
        <v>664</v>
      </c>
      <c r="C6180" s="733" t="s">
        <v>6231</v>
      </c>
      <c r="D6180" s="733"/>
      <c r="E6180" s="733"/>
      <c r="G6180" s="733"/>
      <c r="H6180" s="733"/>
      <c r="I6180" s="733"/>
      <c r="J6180" s="733"/>
      <c r="K6180" s="733"/>
      <c r="L6180" s="733"/>
      <c r="M6180" s="733"/>
    </row>
    <row r="6181" spans="1:13" x14ac:dyDescent="0.3">
      <c r="A6181" s="733" t="s">
        <v>1793</v>
      </c>
      <c r="B6181" s="733" t="s">
        <v>612</v>
      </c>
      <c r="C6181" s="733" t="s">
        <v>6232</v>
      </c>
      <c r="D6181" s="733"/>
      <c r="E6181" s="733"/>
      <c r="G6181" s="733"/>
      <c r="H6181" s="733"/>
      <c r="I6181" s="733"/>
      <c r="J6181" s="733"/>
      <c r="K6181" s="733"/>
      <c r="L6181" s="733"/>
      <c r="M6181" s="733"/>
    </row>
    <row r="6182" spans="1:13" x14ac:dyDescent="0.3">
      <c r="A6182" s="733" t="s">
        <v>1793</v>
      </c>
      <c r="B6182" s="733" t="s">
        <v>612</v>
      </c>
      <c r="C6182" s="733" t="s">
        <v>6233</v>
      </c>
      <c r="D6182" s="733"/>
      <c r="E6182" s="733"/>
      <c r="G6182" s="733"/>
      <c r="H6182" s="733"/>
      <c r="I6182" s="733"/>
      <c r="J6182" s="733"/>
      <c r="K6182" s="733"/>
      <c r="L6182" s="733"/>
      <c r="M6182" s="733"/>
    </row>
    <row r="6183" spans="1:13" x14ac:dyDescent="0.3">
      <c r="A6183" s="733" t="s">
        <v>1793</v>
      </c>
      <c r="B6183" s="733" t="s">
        <v>612</v>
      </c>
      <c r="C6183" s="733" t="s">
        <v>6234</v>
      </c>
      <c r="D6183" s="733"/>
      <c r="E6183" s="733"/>
      <c r="G6183" s="733"/>
      <c r="H6183" s="733"/>
      <c r="I6183" s="733"/>
      <c r="J6183" s="733"/>
      <c r="K6183" s="733"/>
      <c r="L6183" s="733"/>
      <c r="M6183" s="733"/>
    </row>
    <row r="6184" spans="1:13" x14ac:dyDescent="0.3">
      <c r="A6184" s="733" t="s">
        <v>1793</v>
      </c>
      <c r="B6184" s="733" t="s">
        <v>612</v>
      </c>
      <c r="C6184" s="733" t="s">
        <v>6235</v>
      </c>
      <c r="D6184" s="733"/>
      <c r="E6184" s="733"/>
      <c r="G6184" s="733"/>
      <c r="H6184" s="733"/>
      <c r="I6184" s="733"/>
      <c r="J6184" s="733"/>
      <c r="K6184" s="733"/>
      <c r="L6184" s="733"/>
      <c r="M6184" s="733"/>
    </row>
    <row r="6185" spans="1:13" x14ac:dyDescent="0.3">
      <c r="A6185" s="733" t="s">
        <v>1793</v>
      </c>
      <c r="B6185" s="733" t="s">
        <v>612</v>
      </c>
      <c r="C6185" s="733" t="s">
        <v>6236</v>
      </c>
      <c r="D6185" s="733"/>
      <c r="E6185" s="733"/>
      <c r="G6185" s="733"/>
      <c r="H6185" s="733"/>
      <c r="I6185" s="733"/>
      <c r="J6185" s="733"/>
      <c r="K6185" s="733"/>
      <c r="L6185" s="733"/>
      <c r="M6185" s="733"/>
    </row>
    <row r="6186" spans="1:13" x14ac:dyDescent="0.3">
      <c r="A6186" s="733" t="s">
        <v>6237</v>
      </c>
      <c r="B6186" s="733" t="s">
        <v>645</v>
      </c>
      <c r="C6186" s="738" t="s">
        <v>6238</v>
      </c>
      <c r="D6186" s="733"/>
      <c r="E6186" s="733"/>
      <c r="G6186" s="733"/>
      <c r="H6186" s="733"/>
      <c r="I6186" s="733"/>
      <c r="J6186" s="733"/>
      <c r="K6186" s="733"/>
      <c r="L6186" s="733"/>
      <c r="M6186" s="733"/>
    </row>
    <row r="6187" spans="1:13" x14ac:dyDescent="0.3">
      <c r="A6187" s="733" t="s">
        <v>6237</v>
      </c>
      <c r="B6187" s="733" t="s">
        <v>645</v>
      </c>
      <c r="C6187" s="738" t="s">
        <v>6239</v>
      </c>
      <c r="D6187" s="733"/>
      <c r="E6187" s="733"/>
      <c r="G6187" s="733"/>
      <c r="H6187" s="733"/>
      <c r="I6187" s="733"/>
      <c r="J6187" s="733"/>
      <c r="K6187" s="733"/>
      <c r="L6187" s="733"/>
      <c r="M6187" s="733"/>
    </row>
    <row r="6188" spans="1:13" x14ac:dyDescent="0.3">
      <c r="A6188" s="733" t="s">
        <v>6237</v>
      </c>
      <c r="B6188" s="733" t="s">
        <v>645</v>
      </c>
      <c r="C6188" s="738" t="s">
        <v>6240</v>
      </c>
      <c r="D6188" s="733"/>
      <c r="E6188" s="733"/>
      <c r="G6188" s="733"/>
      <c r="H6188" s="733"/>
      <c r="I6188" s="733"/>
      <c r="J6188" s="733"/>
      <c r="K6188" s="733"/>
      <c r="L6188" s="733"/>
      <c r="M6188" s="733"/>
    </row>
    <row r="6189" spans="1:13" x14ac:dyDescent="0.3">
      <c r="A6189" s="733" t="s">
        <v>6237</v>
      </c>
      <c r="B6189" s="733" t="s">
        <v>645</v>
      </c>
      <c r="C6189" s="738" t="s">
        <v>6241</v>
      </c>
      <c r="D6189" s="733"/>
      <c r="E6189" s="733"/>
      <c r="G6189" s="733"/>
      <c r="H6189" s="733"/>
      <c r="I6189" s="733"/>
      <c r="J6189" s="733"/>
      <c r="K6189" s="733"/>
      <c r="L6189" s="733"/>
      <c r="M6189" s="733"/>
    </row>
    <row r="6190" spans="1:13" x14ac:dyDescent="0.3">
      <c r="A6190" s="733" t="s">
        <v>6237</v>
      </c>
      <c r="B6190" s="733" t="s">
        <v>645</v>
      </c>
      <c r="C6190" s="738" t="s">
        <v>6242</v>
      </c>
      <c r="D6190" s="733"/>
      <c r="E6190" s="733"/>
      <c r="G6190" s="733"/>
      <c r="H6190" s="733"/>
      <c r="I6190" s="733"/>
      <c r="J6190" s="733"/>
      <c r="K6190" s="733"/>
      <c r="L6190" s="733"/>
      <c r="M6190" s="733"/>
    </row>
    <row r="6191" spans="1:13" x14ac:dyDescent="0.3">
      <c r="A6191" s="733" t="s">
        <v>6237</v>
      </c>
      <c r="B6191" s="733" t="s">
        <v>664</v>
      </c>
      <c r="C6191" s="738" t="s">
        <v>6243</v>
      </c>
      <c r="D6191" s="733"/>
      <c r="E6191" s="733"/>
      <c r="G6191" s="733"/>
      <c r="H6191" s="733"/>
      <c r="I6191" s="733"/>
      <c r="J6191" s="733"/>
      <c r="K6191" s="733"/>
      <c r="L6191" s="733"/>
      <c r="M6191" s="733"/>
    </row>
    <row r="6192" spans="1:13" x14ac:dyDescent="0.3">
      <c r="A6192" s="733" t="s">
        <v>6237</v>
      </c>
      <c r="B6192" s="733" t="s">
        <v>664</v>
      </c>
      <c r="C6192" s="738" t="s">
        <v>6244</v>
      </c>
      <c r="D6192" s="733"/>
      <c r="E6192" s="733"/>
      <c r="G6192" s="733"/>
      <c r="H6192" s="733"/>
      <c r="I6192" s="733"/>
      <c r="J6192" s="733"/>
      <c r="K6192" s="733"/>
      <c r="L6192" s="733"/>
      <c r="M6192" s="733"/>
    </row>
    <row r="6193" spans="1:13" x14ac:dyDescent="0.3">
      <c r="A6193" s="733" t="s">
        <v>6237</v>
      </c>
      <c r="B6193" s="733" t="s">
        <v>664</v>
      </c>
      <c r="C6193" s="738" t="s">
        <v>6245</v>
      </c>
      <c r="D6193" s="733"/>
      <c r="E6193" s="733"/>
      <c r="G6193" s="733"/>
      <c r="H6193" s="733"/>
      <c r="I6193" s="733"/>
      <c r="J6193" s="733"/>
      <c r="K6193" s="733"/>
      <c r="L6193" s="733"/>
      <c r="M6193" s="733"/>
    </row>
    <row r="6194" spans="1:13" x14ac:dyDescent="0.3">
      <c r="A6194" s="733" t="s">
        <v>6237</v>
      </c>
      <c r="B6194" s="733" t="s">
        <v>664</v>
      </c>
      <c r="C6194" s="738" t="s">
        <v>6246</v>
      </c>
      <c r="D6194" s="733"/>
      <c r="E6194" s="733"/>
      <c r="G6194" s="733"/>
      <c r="H6194" s="733"/>
      <c r="I6194" s="733"/>
      <c r="J6194" s="733"/>
      <c r="K6194" s="733"/>
      <c r="L6194" s="733"/>
      <c r="M6194" s="733"/>
    </row>
    <row r="6195" spans="1:13" x14ac:dyDescent="0.3">
      <c r="A6195" s="733" t="s">
        <v>6237</v>
      </c>
      <c r="B6195" s="733" t="s">
        <v>664</v>
      </c>
      <c r="C6195" s="738" t="s">
        <v>6247</v>
      </c>
      <c r="D6195" s="733"/>
      <c r="E6195" s="733"/>
      <c r="G6195" s="733"/>
      <c r="H6195" s="733"/>
      <c r="I6195" s="733"/>
      <c r="J6195" s="733"/>
      <c r="K6195" s="733"/>
      <c r="L6195" s="733"/>
      <c r="M6195" s="733"/>
    </row>
    <row r="6196" spans="1:13" x14ac:dyDescent="0.3">
      <c r="A6196" s="733" t="s">
        <v>6237</v>
      </c>
      <c r="B6196" s="733" t="s">
        <v>612</v>
      </c>
      <c r="C6196" s="738" t="s">
        <v>6248</v>
      </c>
      <c r="D6196" s="733"/>
      <c r="E6196" s="733"/>
      <c r="G6196" s="733"/>
      <c r="H6196" s="733"/>
      <c r="I6196" s="733"/>
      <c r="J6196" s="733"/>
      <c r="K6196" s="733"/>
      <c r="L6196" s="733"/>
      <c r="M6196" s="733"/>
    </row>
    <row r="6197" spans="1:13" x14ac:dyDescent="0.3">
      <c r="A6197" s="733" t="s">
        <v>6237</v>
      </c>
      <c r="B6197" s="733" t="s">
        <v>612</v>
      </c>
      <c r="C6197" s="738" t="s">
        <v>6249</v>
      </c>
      <c r="D6197" s="733"/>
      <c r="E6197" s="733"/>
      <c r="G6197" s="733"/>
      <c r="H6197" s="733"/>
      <c r="I6197" s="733"/>
      <c r="J6197" s="733"/>
      <c r="K6197" s="733"/>
      <c r="L6197" s="733"/>
      <c r="M6197" s="733"/>
    </row>
    <row r="6198" spans="1:13" x14ac:dyDescent="0.3">
      <c r="A6198" s="733" t="s">
        <v>6237</v>
      </c>
      <c r="B6198" s="733" t="s">
        <v>612</v>
      </c>
      <c r="C6198" s="738" t="s">
        <v>6250</v>
      </c>
      <c r="D6198" s="733"/>
      <c r="E6198" s="733"/>
      <c r="G6198" s="733"/>
      <c r="H6198" s="733"/>
      <c r="I6198" s="733"/>
      <c r="J6198" s="733"/>
      <c r="K6198" s="733"/>
      <c r="L6198" s="733"/>
      <c r="M6198" s="733"/>
    </row>
    <row r="6199" spans="1:13" x14ac:dyDescent="0.3">
      <c r="A6199" s="733" t="s">
        <v>6237</v>
      </c>
      <c r="B6199" s="733" t="s">
        <v>612</v>
      </c>
      <c r="C6199" s="738" t="s">
        <v>6251</v>
      </c>
      <c r="D6199" s="733"/>
      <c r="E6199" s="733"/>
      <c r="G6199" s="733"/>
      <c r="H6199" s="733"/>
      <c r="I6199" s="733"/>
      <c r="J6199" s="733"/>
      <c r="K6199" s="733"/>
      <c r="L6199" s="733"/>
      <c r="M6199" s="733"/>
    </row>
    <row r="6200" spans="1:13" x14ac:dyDescent="0.3">
      <c r="A6200" s="733" t="s">
        <v>6237</v>
      </c>
      <c r="B6200" s="733" t="s">
        <v>612</v>
      </c>
      <c r="C6200" s="738" t="s">
        <v>6252</v>
      </c>
      <c r="D6200" s="733"/>
      <c r="E6200" s="733"/>
      <c r="G6200" s="733"/>
      <c r="H6200" s="733"/>
      <c r="I6200" s="733"/>
      <c r="J6200" s="733"/>
      <c r="K6200" s="733"/>
      <c r="L6200" s="733"/>
      <c r="M6200" s="733"/>
    </row>
    <row r="6201" spans="1:13" x14ac:dyDescent="0.3">
      <c r="A6201" s="733" t="s">
        <v>1412</v>
      </c>
      <c r="B6201" s="733" t="s">
        <v>645</v>
      </c>
      <c r="C6201" s="738" t="s">
        <v>6253</v>
      </c>
      <c r="D6201" s="733"/>
      <c r="E6201" s="733"/>
      <c r="G6201" s="733"/>
      <c r="H6201" s="733"/>
      <c r="I6201" s="733"/>
      <c r="J6201" s="733"/>
      <c r="K6201" s="733"/>
      <c r="L6201" s="733"/>
      <c r="M6201" s="733"/>
    </row>
    <row r="6202" spans="1:13" x14ac:dyDescent="0.3">
      <c r="A6202" s="733" t="s">
        <v>1412</v>
      </c>
      <c r="B6202" s="733" t="s">
        <v>645</v>
      </c>
      <c r="C6202" s="738" t="s">
        <v>6254</v>
      </c>
      <c r="D6202" s="733"/>
      <c r="E6202" s="733"/>
      <c r="G6202" s="733"/>
      <c r="H6202" s="733"/>
      <c r="I6202" s="733"/>
      <c r="J6202" s="733"/>
      <c r="K6202" s="733"/>
      <c r="L6202" s="733"/>
      <c r="M6202" s="733"/>
    </row>
    <row r="6203" spans="1:13" x14ac:dyDescent="0.3">
      <c r="A6203" s="733" t="s">
        <v>1412</v>
      </c>
      <c r="B6203" s="733" t="s">
        <v>645</v>
      </c>
      <c r="C6203" s="738" t="s">
        <v>6255</v>
      </c>
      <c r="D6203" s="733"/>
      <c r="E6203" s="733"/>
      <c r="G6203" s="733"/>
      <c r="H6203" s="733"/>
      <c r="I6203" s="733"/>
      <c r="J6203" s="733"/>
      <c r="K6203" s="733"/>
      <c r="L6203" s="733"/>
      <c r="M6203" s="733"/>
    </row>
    <row r="6204" spans="1:13" x14ac:dyDescent="0.3">
      <c r="A6204" s="733" t="s">
        <v>1412</v>
      </c>
      <c r="B6204" s="733" t="s">
        <v>645</v>
      </c>
      <c r="C6204" s="738" t="s">
        <v>6256</v>
      </c>
      <c r="D6204" s="733"/>
      <c r="E6204" s="733"/>
      <c r="G6204" s="733"/>
      <c r="H6204" s="733"/>
      <c r="I6204" s="733"/>
      <c r="J6204" s="733"/>
      <c r="K6204" s="733"/>
      <c r="L6204" s="733"/>
      <c r="M6204" s="733"/>
    </row>
    <row r="6205" spans="1:13" x14ac:dyDescent="0.3">
      <c r="A6205" s="733" t="s">
        <v>1412</v>
      </c>
      <c r="B6205" s="733" t="s">
        <v>645</v>
      </c>
      <c r="C6205" s="738" t="s">
        <v>6257</v>
      </c>
      <c r="D6205" s="733"/>
      <c r="E6205" s="733"/>
      <c r="G6205" s="733"/>
      <c r="H6205" s="733"/>
      <c r="I6205" s="733"/>
      <c r="J6205" s="733"/>
      <c r="K6205" s="733"/>
      <c r="L6205" s="733"/>
      <c r="M6205" s="733"/>
    </row>
    <row r="6206" spans="1:13" x14ac:dyDescent="0.3">
      <c r="A6206" s="733" t="s">
        <v>1412</v>
      </c>
      <c r="B6206" s="733" t="s">
        <v>645</v>
      </c>
      <c r="C6206" s="738" t="s">
        <v>6258</v>
      </c>
      <c r="D6206" s="733"/>
      <c r="E6206" s="733"/>
      <c r="G6206" s="733"/>
      <c r="H6206" s="733"/>
      <c r="I6206" s="733"/>
      <c r="J6206" s="733"/>
      <c r="K6206" s="733"/>
      <c r="L6206" s="733"/>
      <c r="M6206" s="733"/>
    </row>
    <row r="6207" spans="1:13" x14ac:dyDescent="0.3">
      <c r="A6207" s="733" t="s">
        <v>1412</v>
      </c>
      <c r="B6207" s="733" t="s">
        <v>645</v>
      </c>
      <c r="C6207" s="738" t="s">
        <v>6259</v>
      </c>
      <c r="D6207" s="733"/>
      <c r="E6207" s="733"/>
      <c r="G6207" s="733"/>
      <c r="H6207" s="733"/>
      <c r="I6207" s="733"/>
      <c r="J6207" s="733"/>
      <c r="K6207" s="733"/>
      <c r="L6207" s="733"/>
      <c r="M6207" s="733"/>
    </row>
    <row r="6208" spans="1:13" x14ac:dyDescent="0.3">
      <c r="A6208" s="733" t="s">
        <v>1412</v>
      </c>
      <c r="B6208" s="733" t="s">
        <v>645</v>
      </c>
      <c r="C6208" s="738" t="s">
        <v>6260</v>
      </c>
      <c r="D6208" s="733"/>
      <c r="E6208" s="733"/>
      <c r="G6208" s="733"/>
      <c r="H6208" s="733"/>
      <c r="I6208" s="733"/>
      <c r="J6208" s="733"/>
      <c r="K6208" s="733"/>
      <c r="L6208" s="733"/>
      <c r="M6208" s="733"/>
    </row>
    <row r="6209" spans="1:13" x14ac:dyDescent="0.3">
      <c r="A6209" s="733" t="s">
        <v>1412</v>
      </c>
      <c r="B6209" s="733" t="s">
        <v>645</v>
      </c>
      <c r="C6209" s="738" t="s">
        <v>6261</v>
      </c>
      <c r="D6209" s="733"/>
      <c r="E6209" s="733"/>
      <c r="G6209" s="733"/>
      <c r="H6209" s="733"/>
      <c r="I6209" s="733"/>
      <c r="J6209" s="733"/>
      <c r="K6209" s="733"/>
      <c r="L6209" s="733"/>
      <c r="M6209" s="733"/>
    </row>
    <row r="6210" spans="1:13" x14ac:dyDescent="0.3">
      <c r="A6210" s="733" t="s">
        <v>1412</v>
      </c>
      <c r="B6210" s="733" t="s">
        <v>645</v>
      </c>
      <c r="C6210" s="738" t="s">
        <v>6262</v>
      </c>
      <c r="D6210" s="733"/>
      <c r="E6210" s="733"/>
      <c r="G6210" s="733"/>
      <c r="H6210" s="733"/>
      <c r="I6210" s="733"/>
      <c r="J6210" s="733"/>
      <c r="K6210" s="733"/>
      <c r="L6210" s="733"/>
      <c r="M6210" s="733"/>
    </row>
    <row r="6211" spans="1:13" x14ac:dyDescent="0.3">
      <c r="A6211" s="733" t="s">
        <v>1412</v>
      </c>
      <c r="B6211" s="733" t="s">
        <v>664</v>
      </c>
      <c r="C6211" s="738" t="s">
        <v>6263</v>
      </c>
      <c r="D6211" s="733"/>
      <c r="E6211" s="733"/>
      <c r="G6211" s="733"/>
      <c r="H6211" s="733"/>
      <c r="I6211" s="733"/>
      <c r="J6211" s="733"/>
      <c r="K6211" s="733"/>
      <c r="L6211" s="733"/>
      <c r="M6211" s="733"/>
    </row>
    <row r="6212" spans="1:13" x14ac:dyDescent="0.3">
      <c r="A6212" s="733" t="s">
        <v>1412</v>
      </c>
      <c r="B6212" s="733" t="s">
        <v>664</v>
      </c>
      <c r="C6212" s="738" t="s">
        <v>6264</v>
      </c>
      <c r="D6212" s="733"/>
      <c r="E6212" s="733"/>
      <c r="G6212" s="733"/>
      <c r="H6212" s="733"/>
      <c r="I6212" s="733"/>
      <c r="J6212" s="733"/>
      <c r="K6212" s="733"/>
      <c r="L6212" s="733"/>
      <c r="M6212" s="733"/>
    </row>
    <row r="6213" spans="1:13" x14ac:dyDescent="0.3">
      <c r="A6213" s="733" t="s">
        <v>1412</v>
      </c>
      <c r="B6213" s="733" t="s">
        <v>664</v>
      </c>
      <c r="C6213" s="738" t="s">
        <v>6265</v>
      </c>
      <c r="D6213" s="733"/>
      <c r="E6213" s="733"/>
      <c r="G6213" s="733"/>
      <c r="H6213" s="733"/>
      <c r="I6213" s="733"/>
      <c r="J6213" s="733"/>
      <c r="K6213" s="733"/>
      <c r="L6213" s="733"/>
      <c r="M6213" s="733"/>
    </row>
    <row r="6214" spans="1:13" x14ac:dyDescent="0.3">
      <c r="A6214" s="733" t="s">
        <v>1412</v>
      </c>
      <c r="B6214" s="733" t="s">
        <v>664</v>
      </c>
      <c r="C6214" s="738" t="s">
        <v>6266</v>
      </c>
      <c r="D6214" s="733"/>
      <c r="E6214" s="733"/>
      <c r="G6214" s="733"/>
      <c r="H6214" s="733"/>
      <c r="I6214" s="733"/>
      <c r="J6214" s="733"/>
      <c r="K6214" s="733"/>
      <c r="L6214" s="733"/>
      <c r="M6214" s="733"/>
    </row>
    <row r="6215" spans="1:13" x14ac:dyDescent="0.3">
      <c r="A6215" s="733" t="s">
        <v>1412</v>
      </c>
      <c r="B6215" s="733" t="s">
        <v>664</v>
      </c>
      <c r="C6215" s="738" t="s">
        <v>6267</v>
      </c>
      <c r="D6215" s="733"/>
      <c r="E6215" s="733"/>
      <c r="G6215" s="733"/>
      <c r="H6215" s="733"/>
      <c r="I6215" s="733"/>
      <c r="J6215" s="733"/>
      <c r="K6215" s="733"/>
      <c r="L6215" s="733"/>
      <c r="M6215" s="733"/>
    </row>
    <row r="6216" spans="1:13" x14ac:dyDescent="0.3">
      <c r="A6216" s="733" t="s">
        <v>1412</v>
      </c>
      <c r="B6216" s="733" t="s">
        <v>664</v>
      </c>
      <c r="C6216" s="738" t="s">
        <v>6268</v>
      </c>
      <c r="D6216" s="733"/>
      <c r="E6216" s="733"/>
      <c r="G6216" s="733"/>
      <c r="H6216" s="733"/>
      <c r="I6216" s="733"/>
      <c r="J6216" s="733"/>
      <c r="K6216" s="733"/>
      <c r="L6216" s="733"/>
      <c r="M6216" s="733"/>
    </row>
    <row r="6217" spans="1:13" x14ac:dyDescent="0.3">
      <c r="A6217" s="733" t="s">
        <v>1412</v>
      </c>
      <c r="B6217" s="733" t="s">
        <v>664</v>
      </c>
      <c r="C6217" s="738" t="s">
        <v>6269</v>
      </c>
      <c r="D6217" s="733"/>
      <c r="E6217" s="733"/>
      <c r="G6217" s="733"/>
      <c r="H6217" s="733"/>
      <c r="I6217" s="733"/>
      <c r="J6217" s="733"/>
      <c r="K6217" s="733"/>
      <c r="L6217" s="733"/>
      <c r="M6217" s="733"/>
    </row>
    <row r="6218" spans="1:13" x14ac:dyDescent="0.3">
      <c r="A6218" s="733" t="s">
        <v>1412</v>
      </c>
      <c r="B6218" s="733" t="s">
        <v>664</v>
      </c>
      <c r="C6218" s="738" t="s">
        <v>6270</v>
      </c>
      <c r="D6218" s="733"/>
      <c r="E6218" s="733"/>
      <c r="G6218" s="733"/>
      <c r="H6218" s="733"/>
      <c r="I6218" s="733"/>
      <c r="J6218" s="733"/>
      <c r="K6218" s="733"/>
      <c r="L6218" s="733"/>
      <c r="M6218" s="733"/>
    </row>
    <row r="6219" spans="1:13" x14ac:dyDescent="0.3">
      <c r="A6219" s="733" t="s">
        <v>1412</v>
      </c>
      <c r="B6219" s="733" t="s">
        <v>664</v>
      </c>
      <c r="C6219" s="738" t="s">
        <v>6271</v>
      </c>
      <c r="D6219" s="733"/>
      <c r="E6219" s="733"/>
      <c r="G6219" s="733"/>
      <c r="H6219" s="733"/>
      <c r="I6219" s="733"/>
      <c r="J6219" s="733"/>
      <c r="K6219" s="733"/>
      <c r="L6219" s="733"/>
      <c r="M6219" s="733"/>
    </row>
    <row r="6220" spans="1:13" x14ac:dyDescent="0.3">
      <c r="A6220" s="733" t="s">
        <v>1412</v>
      </c>
      <c r="B6220" s="733" t="s">
        <v>664</v>
      </c>
      <c r="C6220" s="738" t="s">
        <v>6272</v>
      </c>
      <c r="D6220" s="733"/>
      <c r="E6220" s="733"/>
      <c r="G6220" s="733"/>
      <c r="H6220" s="733"/>
      <c r="I6220" s="733"/>
      <c r="J6220" s="733"/>
      <c r="K6220" s="733"/>
      <c r="L6220" s="733"/>
      <c r="M6220" s="733"/>
    </row>
    <row r="6221" spans="1:13" x14ac:dyDescent="0.3">
      <c r="A6221" s="733" t="s">
        <v>1412</v>
      </c>
      <c r="B6221" s="733" t="s">
        <v>612</v>
      </c>
      <c r="C6221" s="738" t="s">
        <v>6273</v>
      </c>
      <c r="D6221" s="733"/>
      <c r="E6221" s="733"/>
      <c r="G6221" s="733"/>
      <c r="H6221" s="733"/>
      <c r="I6221" s="733"/>
      <c r="J6221" s="733"/>
      <c r="K6221" s="733"/>
      <c r="L6221" s="733"/>
      <c r="M6221" s="733"/>
    </row>
    <row r="6222" spans="1:13" x14ac:dyDescent="0.3">
      <c r="A6222" s="733" t="s">
        <v>1412</v>
      </c>
      <c r="B6222" s="733" t="s">
        <v>612</v>
      </c>
      <c r="C6222" s="738" t="s">
        <v>6274</v>
      </c>
      <c r="D6222" s="733"/>
      <c r="E6222" s="733"/>
      <c r="G6222" s="733"/>
      <c r="H6222" s="733"/>
      <c r="I6222" s="733"/>
      <c r="J6222" s="733"/>
      <c r="K6222" s="733"/>
      <c r="L6222" s="733"/>
      <c r="M6222" s="733"/>
    </row>
    <row r="6223" spans="1:13" x14ac:dyDescent="0.3">
      <c r="A6223" s="733" t="s">
        <v>1412</v>
      </c>
      <c r="B6223" s="733" t="s">
        <v>612</v>
      </c>
      <c r="C6223" s="738" t="s">
        <v>6275</v>
      </c>
      <c r="D6223" s="733"/>
      <c r="E6223" s="733"/>
      <c r="G6223" s="733"/>
      <c r="H6223" s="733"/>
      <c r="I6223" s="733"/>
      <c r="J6223" s="733"/>
      <c r="K6223" s="733"/>
      <c r="L6223" s="733"/>
      <c r="M6223" s="733"/>
    </row>
    <row r="6224" spans="1:13" x14ac:dyDescent="0.3">
      <c r="A6224" s="733" t="s">
        <v>1412</v>
      </c>
      <c r="B6224" s="733" t="s">
        <v>612</v>
      </c>
      <c r="C6224" s="738" t="s">
        <v>6276</v>
      </c>
      <c r="D6224" s="733"/>
      <c r="E6224" s="733"/>
      <c r="G6224" s="733"/>
      <c r="H6224" s="733"/>
      <c r="I6224" s="733"/>
      <c r="J6224" s="733"/>
      <c r="K6224" s="733"/>
      <c r="L6224" s="733"/>
      <c r="M6224" s="733"/>
    </row>
    <row r="6225" spans="1:13" x14ac:dyDescent="0.3">
      <c r="A6225" s="733" t="s">
        <v>1412</v>
      </c>
      <c r="B6225" s="733" t="s">
        <v>612</v>
      </c>
      <c r="C6225" s="738" t="s">
        <v>6277</v>
      </c>
      <c r="D6225" s="733"/>
      <c r="E6225" s="733"/>
      <c r="G6225" s="733"/>
      <c r="H6225" s="733"/>
      <c r="I6225" s="733"/>
      <c r="J6225" s="733"/>
      <c r="K6225" s="733"/>
      <c r="L6225" s="733"/>
      <c r="M6225" s="733"/>
    </row>
    <row r="6226" spans="1:13" x14ac:dyDescent="0.3">
      <c r="A6226" s="733" t="s">
        <v>1412</v>
      </c>
      <c r="B6226" s="733" t="s">
        <v>612</v>
      </c>
      <c r="C6226" s="738" t="s">
        <v>6278</v>
      </c>
      <c r="D6226" s="733"/>
      <c r="E6226" s="733"/>
      <c r="G6226" s="733"/>
      <c r="H6226" s="733"/>
      <c r="I6226" s="733"/>
      <c r="J6226" s="733"/>
      <c r="K6226" s="733"/>
      <c r="L6226" s="733"/>
      <c r="M6226" s="733"/>
    </row>
    <row r="6227" spans="1:13" x14ac:dyDescent="0.3">
      <c r="A6227" s="733" t="s">
        <v>1412</v>
      </c>
      <c r="B6227" s="733" t="s">
        <v>612</v>
      </c>
      <c r="C6227" s="738" t="s">
        <v>6279</v>
      </c>
      <c r="D6227" s="733"/>
      <c r="E6227" s="733"/>
      <c r="G6227" s="733"/>
      <c r="H6227" s="733"/>
      <c r="I6227" s="733"/>
      <c r="J6227" s="733"/>
      <c r="K6227" s="733"/>
      <c r="L6227" s="733"/>
      <c r="M6227" s="733"/>
    </row>
    <row r="6228" spans="1:13" x14ac:dyDescent="0.3">
      <c r="A6228" s="733" t="s">
        <v>1412</v>
      </c>
      <c r="B6228" s="733" t="s">
        <v>612</v>
      </c>
      <c r="C6228" s="738" t="s">
        <v>6280</v>
      </c>
      <c r="D6228" s="733"/>
      <c r="E6228" s="733"/>
      <c r="G6228" s="733"/>
      <c r="H6228" s="733"/>
      <c r="I6228" s="733"/>
      <c r="J6228" s="733"/>
      <c r="K6228" s="733"/>
      <c r="L6228" s="733"/>
      <c r="M6228" s="733"/>
    </row>
    <row r="6229" spans="1:13" x14ac:dyDescent="0.3">
      <c r="A6229" s="733" t="s">
        <v>1412</v>
      </c>
      <c r="B6229" s="733" t="s">
        <v>612</v>
      </c>
      <c r="C6229" s="738" t="s">
        <v>6281</v>
      </c>
      <c r="D6229" s="733"/>
      <c r="E6229" s="733"/>
      <c r="G6229" s="733"/>
      <c r="H6229" s="733"/>
      <c r="I6229" s="733"/>
      <c r="J6229" s="733"/>
      <c r="K6229" s="733"/>
      <c r="L6229" s="733"/>
      <c r="M6229" s="733"/>
    </row>
    <row r="6230" spans="1:13" x14ac:dyDescent="0.3">
      <c r="A6230" s="733" t="s">
        <v>1412</v>
      </c>
      <c r="B6230" s="733" t="s">
        <v>612</v>
      </c>
      <c r="C6230" s="738" t="s">
        <v>6282</v>
      </c>
      <c r="D6230" s="733"/>
      <c r="E6230" s="733"/>
      <c r="G6230" s="733"/>
      <c r="H6230" s="733"/>
      <c r="I6230" s="733"/>
      <c r="J6230" s="733"/>
      <c r="K6230" s="733"/>
      <c r="L6230" s="733"/>
      <c r="M6230" s="733"/>
    </row>
    <row r="6231" spans="1:13" x14ac:dyDescent="0.3">
      <c r="A6231" s="733" t="s">
        <v>6283</v>
      </c>
      <c r="B6231" s="733" t="s">
        <v>645</v>
      </c>
      <c r="C6231" s="738" t="s">
        <v>6284</v>
      </c>
      <c r="D6231" s="733"/>
      <c r="E6231" s="733"/>
      <c r="G6231" s="733"/>
      <c r="H6231" s="733"/>
      <c r="I6231" s="733"/>
      <c r="J6231" s="733"/>
      <c r="K6231" s="733"/>
      <c r="L6231" s="733"/>
      <c r="M6231" s="733"/>
    </row>
    <row r="6232" spans="1:13" x14ac:dyDescent="0.3">
      <c r="A6232" s="733" t="s">
        <v>6283</v>
      </c>
      <c r="B6232" s="733" t="s">
        <v>645</v>
      </c>
      <c r="C6232" s="738" t="s">
        <v>6285</v>
      </c>
      <c r="D6232" s="733"/>
      <c r="E6232" s="733"/>
      <c r="G6232" s="733"/>
      <c r="H6232" s="733"/>
      <c r="I6232" s="733"/>
      <c r="J6232" s="733"/>
      <c r="K6232" s="733"/>
      <c r="L6232" s="733"/>
      <c r="M6232" s="733"/>
    </row>
    <row r="6233" spans="1:13" x14ac:dyDescent="0.3">
      <c r="A6233" s="733" t="s">
        <v>6283</v>
      </c>
      <c r="B6233" s="733" t="s">
        <v>645</v>
      </c>
      <c r="C6233" s="738" t="s">
        <v>6286</v>
      </c>
      <c r="D6233" s="733"/>
      <c r="E6233" s="733"/>
      <c r="G6233" s="733"/>
      <c r="H6233" s="733"/>
      <c r="I6233" s="733"/>
      <c r="J6233" s="733"/>
      <c r="K6233" s="733"/>
      <c r="L6233" s="733"/>
      <c r="M6233" s="733"/>
    </row>
    <row r="6234" spans="1:13" x14ac:dyDescent="0.3">
      <c r="A6234" s="733" t="s">
        <v>6283</v>
      </c>
      <c r="B6234" s="733" t="s">
        <v>645</v>
      </c>
      <c r="C6234" s="738" t="s">
        <v>6287</v>
      </c>
      <c r="D6234" s="733"/>
      <c r="E6234" s="733"/>
      <c r="G6234" s="733"/>
      <c r="H6234" s="733"/>
      <c r="I6234" s="733"/>
      <c r="J6234" s="733"/>
      <c r="K6234" s="733"/>
      <c r="L6234" s="733"/>
      <c r="M6234" s="733"/>
    </row>
    <row r="6235" spans="1:13" x14ac:dyDescent="0.3">
      <c r="A6235" s="733" t="s">
        <v>6283</v>
      </c>
      <c r="B6235" s="733" t="s">
        <v>645</v>
      </c>
      <c r="C6235" s="738" t="s">
        <v>6288</v>
      </c>
      <c r="D6235" s="733"/>
      <c r="E6235" s="733"/>
      <c r="G6235" s="733"/>
      <c r="H6235" s="733"/>
      <c r="I6235" s="733"/>
      <c r="J6235" s="733"/>
      <c r="K6235" s="733"/>
      <c r="L6235" s="733"/>
      <c r="M6235" s="733"/>
    </row>
    <row r="6236" spans="1:13" x14ac:dyDescent="0.3">
      <c r="A6236" s="733" t="s">
        <v>6283</v>
      </c>
      <c r="B6236" s="733" t="s">
        <v>645</v>
      </c>
      <c r="C6236" s="738" t="s">
        <v>6289</v>
      </c>
      <c r="D6236" s="733"/>
      <c r="E6236" s="733"/>
      <c r="G6236" s="733"/>
      <c r="H6236" s="733"/>
      <c r="I6236" s="733"/>
      <c r="J6236" s="733"/>
      <c r="K6236" s="733"/>
      <c r="L6236" s="733"/>
      <c r="M6236" s="733"/>
    </row>
    <row r="6237" spans="1:13" x14ac:dyDescent="0.3">
      <c r="A6237" s="733" t="s">
        <v>6283</v>
      </c>
      <c r="B6237" s="733" t="s">
        <v>645</v>
      </c>
      <c r="C6237" s="738" t="s">
        <v>6290</v>
      </c>
      <c r="D6237" s="733"/>
      <c r="E6237" s="733"/>
      <c r="G6237" s="733"/>
      <c r="H6237" s="733"/>
      <c r="I6237" s="733"/>
      <c r="J6237" s="733"/>
      <c r="K6237" s="733"/>
      <c r="L6237" s="733"/>
      <c r="M6237" s="733"/>
    </row>
    <row r="6238" spans="1:13" x14ac:dyDescent="0.3">
      <c r="A6238" s="733" t="s">
        <v>6283</v>
      </c>
      <c r="B6238" s="733" t="s">
        <v>645</v>
      </c>
      <c r="C6238" s="738" t="s">
        <v>6291</v>
      </c>
      <c r="D6238" s="733"/>
      <c r="E6238" s="733"/>
      <c r="G6238" s="733"/>
      <c r="H6238" s="733"/>
      <c r="I6238" s="733"/>
      <c r="J6238" s="733"/>
      <c r="K6238" s="733"/>
      <c r="L6238" s="733"/>
      <c r="M6238" s="733"/>
    </row>
    <row r="6239" spans="1:13" x14ac:dyDescent="0.3">
      <c r="A6239" s="733" t="s">
        <v>6283</v>
      </c>
      <c r="B6239" s="733" t="s">
        <v>645</v>
      </c>
      <c r="C6239" s="738" t="s">
        <v>6292</v>
      </c>
      <c r="D6239" s="733"/>
      <c r="E6239" s="733"/>
      <c r="G6239" s="733"/>
      <c r="H6239" s="733"/>
      <c r="I6239" s="733"/>
      <c r="J6239" s="733"/>
      <c r="K6239" s="733"/>
      <c r="L6239" s="733"/>
      <c r="M6239" s="733"/>
    </row>
    <row r="6240" spans="1:13" x14ac:dyDescent="0.3">
      <c r="A6240" s="733" t="s">
        <v>6283</v>
      </c>
      <c r="B6240" s="733" t="s">
        <v>645</v>
      </c>
      <c r="C6240" s="738" t="s">
        <v>6293</v>
      </c>
      <c r="D6240" s="733"/>
      <c r="E6240" s="733"/>
      <c r="G6240" s="733"/>
      <c r="H6240" s="733"/>
      <c r="I6240" s="733"/>
      <c r="J6240" s="733"/>
      <c r="K6240" s="733"/>
      <c r="L6240" s="733"/>
      <c r="M6240" s="733"/>
    </row>
    <row r="6241" spans="1:13" x14ac:dyDescent="0.3">
      <c r="A6241" s="733" t="s">
        <v>6283</v>
      </c>
      <c r="B6241" s="733" t="s">
        <v>664</v>
      </c>
      <c r="C6241" s="738" t="s">
        <v>6294</v>
      </c>
      <c r="D6241" s="733"/>
      <c r="E6241" s="733"/>
      <c r="G6241" s="733"/>
      <c r="H6241" s="733"/>
      <c r="I6241" s="733"/>
      <c r="J6241" s="733"/>
      <c r="K6241" s="733"/>
      <c r="L6241" s="733"/>
      <c r="M6241" s="733"/>
    </row>
    <row r="6242" spans="1:13" x14ac:dyDescent="0.3">
      <c r="A6242" s="733" t="s">
        <v>6283</v>
      </c>
      <c r="B6242" s="733" t="s">
        <v>664</v>
      </c>
      <c r="C6242" s="738" t="s">
        <v>6295</v>
      </c>
      <c r="D6242" s="733"/>
      <c r="E6242" s="733"/>
      <c r="G6242" s="733"/>
      <c r="H6242" s="733"/>
      <c r="I6242" s="733"/>
      <c r="J6242" s="733"/>
      <c r="K6242" s="733"/>
      <c r="L6242" s="733"/>
      <c r="M6242" s="733"/>
    </row>
    <row r="6243" spans="1:13" x14ac:dyDescent="0.3">
      <c r="A6243" s="733" t="s">
        <v>6283</v>
      </c>
      <c r="B6243" s="733" t="s">
        <v>664</v>
      </c>
      <c r="C6243" s="738" t="s">
        <v>6296</v>
      </c>
      <c r="D6243" s="733"/>
      <c r="E6243" s="733"/>
      <c r="G6243" s="733"/>
      <c r="H6243" s="733"/>
      <c r="I6243" s="733"/>
      <c r="J6243" s="733"/>
      <c r="K6243" s="733"/>
      <c r="L6243" s="733"/>
      <c r="M6243" s="733"/>
    </row>
    <row r="6244" spans="1:13" x14ac:dyDescent="0.3">
      <c r="A6244" s="733" t="s">
        <v>6283</v>
      </c>
      <c r="B6244" s="733" t="s">
        <v>664</v>
      </c>
      <c r="C6244" s="738" t="s">
        <v>6297</v>
      </c>
      <c r="D6244" s="733"/>
      <c r="E6244" s="733"/>
      <c r="G6244" s="733"/>
      <c r="H6244" s="733"/>
      <c r="I6244" s="733"/>
      <c r="J6244" s="733"/>
      <c r="K6244" s="733"/>
      <c r="L6244" s="733"/>
      <c r="M6244" s="733"/>
    </row>
    <row r="6245" spans="1:13" x14ac:dyDescent="0.3">
      <c r="A6245" s="733" t="s">
        <v>6283</v>
      </c>
      <c r="B6245" s="733" t="s">
        <v>664</v>
      </c>
      <c r="C6245" s="738" t="s">
        <v>6298</v>
      </c>
      <c r="D6245" s="733"/>
      <c r="E6245" s="733"/>
      <c r="G6245" s="733"/>
      <c r="H6245" s="733"/>
      <c r="I6245" s="733"/>
      <c r="J6245" s="733"/>
      <c r="K6245" s="733"/>
      <c r="L6245" s="733"/>
      <c r="M6245" s="733"/>
    </row>
    <row r="6246" spans="1:13" x14ac:dyDescent="0.3">
      <c r="A6246" s="733" t="s">
        <v>6283</v>
      </c>
      <c r="B6246" s="733" t="s">
        <v>664</v>
      </c>
      <c r="C6246" s="738" t="s">
        <v>6299</v>
      </c>
      <c r="D6246" s="733"/>
      <c r="E6246" s="733"/>
      <c r="G6246" s="733"/>
      <c r="H6246" s="733"/>
      <c r="I6246" s="733"/>
      <c r="J6246" s="733"/>
      <c r="K6246" s="733"/>
      <c r="L6246" s="733"/>
      <c r="M6246" s="733"/>
    </row>
    <row r="6247" spans="1:13" x14ac:dyDescent="0.3">
      <c r="A6247" s="733" t="s">
        <v>6283</v>
      </c>
      <c r="B6247" s="733" t="s">
        <v>664</v>
      </c>
      <c r="C6247" s="738" t="s">
        <v>6300</v>
      </c>
      <c r="D6247" s="733"/>
      <c r="E6247" s="733"/>
      <c r="G6247" s="733"/>
      <c r="H6247" s="733"/>
      <c r="I6247" s="733"/>
      <c r="J6247" s="733"/>
      <c r="K6247" s="733"/>
      <c r="L6247" s="733"/>
      <c r="M6247" s="733"/>
    </row>
    <row r="6248" spans="1:13" x14ac:dyDescent="0.3">
      <c r="A6248" s="733" t="s">
        <v>6283</v>
      </c>
      <c r="B6248" s="733" t="s">
        <v>664</v>
      </c>
      <c r="C6248" s="738" t="s">
        <v>6301</v>
      </c>
      <c r="D6248" s="733"/>
      <c r="E6248" s="733"/>
      <c r="G6248" s="733"/>
      <c r="H6248" s="733"/>
      <c r="I6248" s="733"/>
      <c r="J6248" s="733"/>
      <c r="K6248" s="733"/>
      <c r="L6248" s="733"/>
      <c r="M6248" s="733"/>
    </row>
    <row r="6249" spans="1:13" x14ac:dyDescent="0.3">
      <c r="A6249" s="733" t="s">
        <v>6283</v>
      </c>
      <c r="B6249" s="733" t="s">
        <v>664</v>
      </c>
      <c r="C6249" s="738" t="s">
        <v>6302</v>
      </c>
      <c r="D6249" s="733"/>
      <c r="E6249" s="733"/>
      <c r="G6249" s="733"/>
      <c r="H6249" s="733"/>
      <c r="I6249" s="733"/>
      <c r="J6249" s="733"/>
      <c r="K6249" s="733"/>
      <c r="L6249" s="733"/>
      <c r="M6249" s="733"/>
    </row>
    <row r="6250" spans="1:13" x14ac:dyDescent="0.3">
      <c r="A6250" s="733" t="s">
        <v>6283</v>
      </c>
      <c r="B6250" s="733" t="s">
        <v>664</v>
      </c>
      <c r="C6250" s="738" t="s">
        <v>6303</v>
      </c>
      <c r="D6250" s="733"/>
      <c r="E6250" s="733"/>
      <c r="G6250" s="733"/>
      <c r="H6250" s="733"/>
      <c r="I6250" s="733"/>
      <c r="J6250" s="733"/>
      <c r="K6250" s="733"/>
      <c r="L6250" s="733"/>
      <c r="M6250" s="733"/>
    </row>
    <row r="6251" spans="1:13" x14ac:dyDescent="0.3">
      <c r="A6251" s="733" t="s">
        <v>6283</v>
      </c>
      <c r="B6251" s="733" t="s">
        <v>612</v>
      </c>
      <c r="C6251" s="738" t="s">
        <v>6304</v>
      </c>
      <c r="D6251" s="733"/>
      <c r="E6251" s="733"/>
      <c r="G6251" s="733"/>
      <c r="H6251" s="733"/>
      <c r="I6251" s="733"/>
      <c r="J6251" s="733"/>
      <c r="K6251" s="733"/>
      <c r="L6251" s="733"/>
      <c r="M6251" s="733"/>
    </row>
    <row r="6252" spans="1:13" x14ac:dyDescent="0.3">
      <c r="A6252" s="733" t="s">
        <v>6283</v>
      </c>
      <c r="B6252" s="733" t="s">
        <v>612</v>
      </c>
      <c r="C6252" s="738" t="s">
        <v>6305</v>
      </c>
      <c r="D6252" s="733"/>
      <c r="E6252" s="733"/>
      <c r="G6252" s="733"/>
      <c r="H6252" s="733"/>
      <c r="I6252" s="733"/>
      <c r="J6252" s="733"/>
      <c r="K6252" s="733"/>
      <c r="L6252" s="733"/>
      <c r="M6252" s="733"/>
    </row>
    <row r="6253" spans="1:13" x14ac:dyDescent="0.3">
      <c r="A6253" s="733" t="s">
        <v>6283</v>
      </c>
      <c r="B6253" s="733" t="s">
        <v>612</v>
      </c>
      <c r="C6253" s="738" t="s">
        <v>6306</v>
      </c>
      <c r="D6253" s="733"/>
      <c r="E6253" s="733"/>
      <c r="G6253" s="733"/>
      <c r="H6253" s="733"/>
      <c r="I6253" s="733"/>
      <c r="J6253" s="733"/>
      <c r="K6253" s="733"/>
      <c r="L6253" s="733"/>
      <c r="M6253" s="733"/>
    </row>
    <row r="6254" spans="1:13" x14ac:dyDescent="0.3">
      <c r="A6254" s="733" t="s">
        <v>6283</v>
      </c>
      <c r="B6254" s="733" t="s">
        <v>612</v>
      </c>
      <c r="C6254" s="738" t="s">
        <v>6307</v>
      </c>
      <c r="D6254" s="733"/>
      <c r="E6254" s="733"/>
      <c r="G6254" s="733"/>
      <c r="H6254" s="733"/>
      <c r="I6254" s="733"/>
      <c r="J6254" s="733"/>
      <c r="K6254" s="733"/>
      <c r="L6254" s="733"/>
      <c r="M6254" s="733"/>
    </row>
    <row r="6255" spans="1:13" x14ac:dyDescent="0.3">
      <c r="A6255" s="733" t="s">
        <v>6283</v>
      </c>
      <c r="B6255" s="733" t="s">
        <v>612</v>
      </c>
      <c r="C6255" s="738" t="s">
        <v>6308</v>
      </c>
      <c r="D6255" s="733"/>
      <c r="E6255" s="733"/>
      <c r="G6255" s="733"/>
      <c r="H6255" s="733"/>
      <c r="I6255" s="733"/>
      <c r="J6255" s="733"/>
      <c r="K6255" s="733"/>
      <c r="L6255" s="733"/>
      <c r="M6255" s="733"/>
    </row>
    <row r="6256" spans="1:13" x14ac:dyDescent="0.3">
      <c r="A6256" s="733" t="s">
        <v>6283</v>
      </c>
      <c r="B6256" s="733" t="s">
        <v>612</v>
      </c>
      <c r="C6256" s="738" t="s">
        <v>6309</v>
      </c>
      <c r="D6256" s="733"/>
      <c r="E6256" s="733"/>
      <c r="G6256" s="733"/>
      <c r="H6256" s="733"/>
      <c r="I6256" s="733"/>
      <c r="J6256" s="733"/>
      <c r="K6256" s="733"/>
      <c r="L6256" s="733"/>
      <c r="M6256" s="733"/>
    </row>
    <row r="6257" spans="1:13" x14ac:dyDescent="0.3">
      <c r="A6257" s="733" t="s">
        <v>6283</v>
      </c>
      <c r="B6257" s="733" t="s">
        <v>612</v>
      </c>
      <c r="C6257" s="738" t="s">
        <v>6310</v>
      </c>
      <c r="D6257" s="733"/>
      <c r="E6257" s="733"/>
      <c r="G6257" s="733"/>
      <c r="H6257" s="733"/>
      <c r="I6257" s="733"/>
      <c r="J6257" s="733"/>
      <c r="K6257" s="733"/>
      <c r="L6257" s="733"/>
      <c r="M6257" s="733"/>
    </row>
    <row r="6258" spans="1:13" x14ac:dyDescent="0.3">
      <c r="A6258" s="733" t="s">
        <v>6283</v>
      </c>
      <c r="B6258" s="733" t="s">
        <v>612</v>
      </c>
      <c r="C6258" s="738" t="s">
        <v>6311</v>
      </c>
      <c r="D6258" s="733"/>
      <c r="E6258" s="733"/>
      <c r="G6258" s="733"/>
      <c r="H6258" s="733"/>
      <c r="I6258" s="733"/>
      <c r="J6258" s="733"/>
      <c r="K6258" s="733"/>
      <c r="L6258" s="733"/>
      <c r="M6258" s="733"/>
    </row>
    <row r="6259" spans="1:13" x14ac:dyDescent="0.3">
      <c r="A6259" s="733" t="s">
        <v>6283</v>
      </c>
      <c r="B6259" s="733" t="s">
        <v>612</v>
      </c>
      <c r="C6259" s="738" t="s">
        <v>6312</v>
      </c>
      <c r="D6259" s="733"/>
      <c r="E6259" s="733"/>
      <c r="G6259" s="733"/>
      <c r="H6259" s="733"/>
      <c r="I6259" s="733"/>
      <c r="J6259" s="733"/>
      <c r="K6259" s="733"/>
      <c r="L6259" s="733"/>
      <c r="M6259" s="733"/>
    </row>
    <row r="6260" spans="1:13" x14ac:dyDescent="0.3">
      <c r="A6260" s="733" t="s">
        <v>6283</v>
      </c>
      <c r="B6260" s="733" t="s">
        <v>612</v>
      </c>
      <c r="C6260" s="738" t="s">
        <v>6313</v>
      </c>
      <c r="D6260" s="733"/>
      <c r="E6260" s="733"/>
      <c r="G6260" s="733"/>
      <c r="H6260" s="733"/>
      <c r="I6260" s="733"/>
      <c r="J6260" s="733"/>
      <c r="K6260" s="733"/>
      <c r="L6260" s="733"/>
      <c r="M6260" s="733"/>
    </row>
    <row r="6261" spans="1:13" x14ac:dyDescent="0.3">
      <c r="A6261" s="733" t="s">
        <v>6314</v>
      </c>
      <c r="B6261" s="733" t="s">
        <v>645</v>
      </c>
      <c r="C6261" s="738" t="s">
        <v>6315</v>
      </c>
      <c r="D6261" s="733"/>
      <c r="E6261" s="733"/>
      <c r="G6261" s="733"/>
      <c r="H6261" s="733"/>
      <c r="I6261" s="733"/>
      <c r="J6261" s="733"/>
      <c r="K6261" s="733"/>
      <c r="L6261" s="733"/>
      <c r="M6261" s="733"/>
    </row>
    <row r="6262" spans="1:13" ht="28.8" x14ac:dyDescent="0.3">
      <c r="A6262" s="733" t="s">
        <v>6314</v>
      </c>
      <c r="B6262" s="733" t="s">
        <v>645</v>
      </c>
      <c r="C6262" s="738" t="s">
        <v>6316</v>
      </c>
      <c r="D6262" s="733"/>
      <c r="E6262" s="733"/>
      <c r="G6262" s="733"/>
      <c r="H6262" s="733"/>
      <c r="I6262" s="733"/>
      <c r="J6262" s="733"/>
      <c r="K6262" s="733"/>
      <c r="L6262" s="733"/>
      <c r="M6262" s="733"/>
    </row>
    <row r="6263" spans="1:13" x14ac:dyDescent="0.3">
      <c r="A6263" s="733" t="s">
        <v>6314</v>
      </c>
      <c r="B6263" s="733" t="s">
        <v>645</v>
      </c>
      <c r="C6263" s="738" t="s">
        <v>6317</v>
      </c>
      <c r="D6263" s="733"/>
      <c r="E6263" s="733"/>
      <c r="G6263" s="733"/>
      <c r="H6263" s="733"/>
      <c r="I6263" s="733"/>
      <c r="J6263" s="733"/>
      <c r="K6263" s="733"/>
      <c r="L6263" s="733"/>
      <c r="M6263" s="733"/>
    </row>
    <row r="6264" spans="1:13" x14ac:dyDescent="0.3">
      <c r="A6264" s="733" t="s">
        <v>6314</v>
      </c>
      <c r="B6264" s="733" t="s">
        <v>645</v>
      </c>
      <c r="C6264" s="738" t="s">
        <v>6318</v>
      </c>
      <c r="D6264" s="733"/>
      <c r="E6264" s="733"/>
      <c r="G6264" s="733"/>
      <c r="H6264" s="733"/>
      <c r="I6264" s="733"/>
      <c r="J6264" s="733"/>
      <c r="K6264" s="733"/>
      <c r="L6264" s="733"/>
      <c r="M6264" s="733"/>
    </row>
    <row r="6265" spans="1:13" x14ac:dyDescent="0.3">
      <c r="A6265" s="733" t="s">
        <v>6314</v>
      </c>
      <c r="B6265" s="733" t="s">
        <v>645</v>
      </c>
      <c r="C6265" s="738" t="s">
        <v>6319</v>
      </c>
      <c r="D6265" s="733"/>
      <c r="E6265" s="733"/>
      <c r="G6265" s="733"/>
      <c r="H6265" s="733"/>
      <c r="I6265" s="733"/>
      <c r="J6265" s="733"/>
      <c r="K6265" s="733"/>
      <c r="L6265" s="733"/>
      <c r="M6265" s="733"/>
    </row>
    <row r="6266" spans="1:13" x14ac:dyDescent="0.3">
      <c r="A6266" s="733" t="s">
        <v>6314</v>
      </c>
      <c r="B6266" s="733" t="s">
        <v>645</v>
      </c>
      <c r="C6266" s="738" t="s">
        <v>6320</v>
      </c>
      <c r="D6266" s="733"/>
      <c r="E6266" s="733"/>
      <c r="G6266" s="733"/>
      <c r="H6266" s="733"/>
      <c r="I6266" s="733"/>
      <c r="J6266" s="733"/>
      <c r="K6266" s="733"/>
      <c r="L6266" s="733"/>
      <c r="M6266" s="733"/>
    </row>
    <row r="6267" spans="1:13" x14ac:dyDescent="0.3">
      <c r="A6267" s="733" t="s">
        <v>6314</v>
      </c>
      <c r="B6267" s="733" t="s">
        <v>645</v>
      </c>
      <c r="C6267" s="738" t="s">
        <v>6321</v>
      </c>
      <c r="D6267" s="733"/>
      <c r="E6267" s="733"/>
      <c r="G6267" s="733"/>
      <c r="H6267" s="733"/>
      <c r="I6267" s="733"/>
      <c r="J6267" s="733"/>
      <c r="K6267" s="733"/>
      <c r="L6267" s="733"/>
      <c r="M6267" s="733"/>
    </row>
    <row r="6268" spans="1:13" x14ac:dyDescent="0.3">
      <c r="A6268" s="733" t="s">
        <v>6314</v>
      </c>
      <c r="B6268" s="733" t="s">
        <v>645</v>
      </c>
      <c r="C6268" s="738" t="s">
        <v>6322</v>
      </c>
      <c r="D6268" s="733"/>
      <c r="E6268" s="733"/>
      <c r="G6268" s="733"/>
      <c r="H6268" s="733"/>
      <c r="I6268" s="733"/>
      <c r="J6268" s="733"/>
      <c r="K6268" s="733"/>
      <c r="L6268" s="733"/>
      <c r="M6268" s="733"/>
    </row>
    <row r="6269" spans="1:13" x14ac:dyDescent="0.3">
      <c r="A6269" s="733" t="s">
        <v>6314</v>
      </c>
      <c r="B6269" s="733" t="s">
        <v>645</v>
      </c>
      <c r="C6269" s="738" t="s">
        <v>6323</v>
      </c>
      <c r="D6269" s="733"/>
      <c r="E6269" s="733"/>
      <c r="G6269" s="733"/>
      <c r="H6269" s="733"/>
      <c r="I6269" s="733"/>
      <c r="J6269" s="733"/>
      <c r="K6269" s="733"/>
      <c r="L6269" s="733"/>
      <c r="M6269" s="733"/>
    </row>
    <row r="6270" spans="1:13" x14ac:dyDescent="0.3">
      <c r="A6270" s="733" t="s">
        <v>6314</v>
      </c>
      <c r="B6270" s="733" t="s">
        <v>645</v>
      </c>
      <c r="C6270" s="738" t="s">
        <v>6324</v>
      </c>
      <c r="D6270" s="733"/>
      <c r="E6270" s="733"/>
      <c r="G6270" s="733"/>
      <c r="H6270" s="733"/>
      <c r="I6270" s="733"/>
      <c r="J6270" s="733"/>
      <c r="K6270" s="733"/>
      <c r="L6270" s="733"/>
      <c r="M6270" s="733"/>
    </row>
    <row r="6271" spans="1:13" x14ac:dyDescent="0.3">
      <c r="A6271" s="733" t="s">
        <v>6314</v>
      </c>
      <c r="B6271" s="733" t="s">
        <v>664</v>
      </c>
      <c r="C6271" s="738" t="s">
        <v>6325</v>
      </c>
      <c r="D6271" s="733"/>
      <c r="E6271" s="733"/>
      <c r="G6271" s="733"/>
      <c r="H6271" s="733"/>
      <c r="I6271" s="733"/>
      <c r="J6271" s="733"/>
      <c r="K6271" s="733"/>
      <c r="L6271" s="733"/>
      <c r="M6271" s="733"/>
    </row>
    <row r="6272" spans="1:13" x14ac:dyDescent="0.3">
      <c r="A6272" s="733" t="s">
        <v>6314</v>
      </c>
      <c r="B6272" s="733" t="s">
        <v>664</v>
      </c>
      <c r="C6272" s="738" t="s">
        <v>6326</v>
      </c>
      <c r="D6272" s="733"/>
      <c r="E6272" s="733"/>
      <c r="G6272" s="733"/>
      <c r="H6272" s="733"/>
      <c r="I6272" s="733"/>
      <c r="J6272" s="733"/>
      <c r="K6272" s="733"/>
      <c r="L6272" s="733"/>
      <c r="M6272" s="733"/>
    </row>
    <row r="6273" spans="1:13" x14ac:dyDescent="0.3">
      <c r="A6273" s="733" t="s">
        <v>6314</v>
      </c>
      <c r="B6273" s="733" t="s">
        <v>664</v>
      </c>
      <c r="C6273" s="738" t="s">
        <v>6327</v>
      </c>
      <c r="D6273" s="733"/>
      <c r="E6273" s="733"/>
      <c r="G6273" s="733"/>
      <c r="H6273" s="733"/>
      <c r="I6273" s="733"/>
      <c r="J6273" s="733"/>
      <c r="K6273" s="733"/>
      <c r="L6273" s="733"/>
      <c r="M6273" s="733"/>
    </row>
    <row r="6274" spans="1:13" x14ac:dyDescent="0.3">
      <c r="A6274" s="733" t="s">
        <v>6314</v>
      </c>
      <c r="B6274" s="733" t="s">
        <v>664</v>
      </c>
      <c r="C6274" s="738" t="s">
        <v>6328</v>
      </c>
      <c r="D6274" s="733"/>
      <c r="E6274" s="733"/>
      <c r="G6274" s="733"/>
      <c r="H6274" s="733"/>
      <c r="I6274" s="733"/>
      <c r="J6274" s="733"/>
      <c r="K6274" s="733"/>
      <c r="L6274" s="733"/>
      <c r="M6274" s="733"/>
    </row>
    <row r="6275" spans="1:13" x14ac:dyDescent="0.3">
      <c r="A6275" s="733" t="s">
        <v>6314</v>
      </c>
      <c r="B6275" s="733" t="s">
        <v>664</v>
      </c>
      <c r="C6275" s="738" t="s">
        <v>6329</v>
      </c>
      <c r="D6275" s="733"/>
      <c r="E6275" s="733"/>
      <c r="G6275" s="733"/>
      <c r="H6275" s="733"/>
      <c r="I6275" s="733"/>
      <c r="J6275" s="733"/>
      <c r="K6275" s="733"/>
      <c r="L6275" s="733"/>
      <c r="M6275" s="733"/>
    </row>
    <row r="6276" spans="1:13" x14ac:dyDescent="0.3">
      <c r="A6276" s="733" t="s">
        <v>6314</v>
      </c>
      <c r="B6276" s="733" t="s">
        <v>664</v>
      </c>
      <c r="C6276" s="738" t="s">
        <v>6330</v>
      </c>
      <c r="D6276" s="733"/>
      <c r="E6276" s="733"/>
      <c r="G6276" s="733"/>
      <c r="H6276" s="733"/>
      <c r="I6276" s="733"/>
      <c r="J6276" s="733"/>
      <c r="K6276" s="733"/>
      <c r="L6276" s="733"/>
      <c r="M6276" s="733"/>
    </row>
    <row r="6277" spans="1:13" x14ac:dyDescent="0.3">
      <c r="A6277" s="733" t="s">
        <v>6314</v>
      </c>
      <c r="B6277" s="733" t="s">
        <v>664</v>
      </c>
      <c r="C6277" s="738" t="s">
        <v>6331</v>
      </c>
      <c r="D6277" s="733"/>
      <c r="E6277" s="733"/>
      <c r="G6277" s="733"/>
      <c r="H6277" s="733"/>
      <c r="I6277" s="733"/>
      <c r="J6277" s="733"/>
      <c r="K6277" s="733"/>
      <c r="L6277" s="733"/>
      <c r="M6277" s="733"/>
    </row>
    <row r="6278" spans="1:13" x14ac:dyDescent="0.3">
      <c r="A6278" s="733" t="s">
        <v>6314</v>
      </c>
      <c r="B6278" s="733" t="s">
        <v>664</v>
      </c>
      <c r="C6278" s="738" t="s">
        <v>6332</v>
      </c>
      <c r="D6278" s="733"/>
      <c r="E6278" s="733"/>
      <c r="G6278" s="733"/>
      <c r="H6278" s="733"/>
      <c r="I6278" s="733"/>
      <c r="J6278" s="733"/>
      <c r="K6278" s="733"/>
      <c r="L6278" s="733"/>
      <c r="M6278" s="733"/>
    </row>
    <row r="6279" spans="1:13" x14ac:dyDescent="0.3">
      <c r="A6279" s="733" t="s">
        <v>6314</v>
      </c>
      <c r="B6279" s="733" t="s">
        <v>664</v>
      </c>
      <c r="C6279" s="738" t="s">
        <v>6333</v>
      </c>
      <c r="D6279" s="733"/>
      <c r="E6279" s="733"/>
      <c r="G6279" s="733"/>
      <c r="H6279" s="733"/>
      <c r="I6279" s="733"/>
      <c r="J6279" s="733"/>
      <c r="K6279" s="733"/>
      <c r="L6279" s="733"/>
      <c r="M6279" s="733"/>
    </row>
    <row r="6280" spans="1:13" x14ac:dyDescent="0.3">
      <c r="A6280" s="733" t="s">
        <v>6314</v>
      </c>
      <c r="B6280" s="733" t="s">
        <v>664</v>
      </c>
      <c r="C6280" s="738" t="s">
        <v>6334</v>
      </c>
      <c r="D6280" s="733"/>
      <c r="E6280" s="733"/>
      <c r="G6280" s="733"/>
      <c r="H6280" s="733"/>
      <c r="I6280" s="733"/>
      <c r="J6280" s="733"/>
      <c r="K6280" s="733"/>
      <c r="L6280" s="733"/>
      <c r="M6280" s="733"/>
    </row>
    <row r="6281" spans="1:13" x14ac:dyDescent="0.3">
      <c r="A6281" s="733" t="s">
        <v>6314</v>
      </c>
      <c r="B6281" s="733" t="s">
        <v>612</v>
      </c>
      <c r="C6281" s="738" t="s">
        <v>6335</v>
      </c>
      <c r="D6281" s="733"/>
      <c r="E6281" s="733"/>
      <c r="G6281" s="733"/>
      <c r="H6281" s="733"/>
      <c r="I6281" s="733"/>
      <c r="J6281" s="733"/>
      <c r="K6281" s="733"/>
      <c r="L6281" s="733"/>
      <c r="M6281" s="733"/>
    </row>
    <row r="6282" spans="1:13" x14ac:dyDescent="0.3">
      <c r="A6282" s="733" t="s">
        <v>6314</v>
      </c>
      <c r="B6282" s="733" t="s">
        <v>612</v>
      </c>
      <c r="C6282" s="738" t="s">
        <v>6336</v>
      </c>
      <c r="D6282" s="733"/>
      <c r="E6282" s="733"/>
      <c r="G6282" s="733"/>
      <c r="H6282" s="733"/>
      <c r="I6282" s="733"/>
      <c r="J6282" s="733"/>
      <c r="K6282" s="733"/>
      <c r="L6282" s="733"/>
      <c r="M6282" s="733"/>
    </row>
    <row r="6283" spans="1:13" x14ac:dyDescent="0.3">
      <c r="A6283" s="733" t="s">
        <v>6314</v>
      </c>
      <c r="B6283" s="733" t="s">
        <v>612</v>
      </c>
      <c r="C6283" s="738" t="s">
        <v>6337</v>
      </c>
      <c r="D6283" s="733"/>
      <c r="E6283" s="733"/>
      <c r="G6283" s="733"/>
      <c r="H6283" s="733"/>
      <c r="I6283" s="733"/>
      <c r="J6283" s="733"/>
      <c r="K6283" s="733"/>
      <c r="L6283" s="733"/>
      <c r="M6283" s="733"/>
    </row>
    <row r="6284" spans="1:13" x14ac:dyDescent="0.3">
      <c r="A6284" s="733" t="s">
        <v>6314</v>
      </c>
      <c r="B6284" s="733" t="s">
        <v>612</v>
      </c>
      <c r="C6284" s="738" t="s">
        <v>6338</v>
      </c>
      <c r="D6284" s="733"/>
      <c r="E6284" s="733"/>
      <c r="G6284" s="733"/>
      <c r="H6284" s="733"/>
      <c r="I6284" s="733"/>
      <c r="J6284" s="733"/>
      <c r="K6284" s="733"/>
      <c r="L6284" s="733"/>
      <c r="M6284" s="733"/>
    </row>
    <row r="6285" spans="1:13" x14ac:dyDescent="0.3">
      <c r="A6285" s="733" t="s">
        <v>6314</v>
      </c>
      <c r="B6285" s="733" t="s">
        <v>612</v>
      </c>
      <c r="C6285" s="738" t="s">
        <v>6339</v>
      </c>
      <c r="D6285" s="733"/>
      <c r="E6285" s="733"/>
      <c r="G6285" s="733"/>
      <c r="H6285" s="733"/>
      <c r="I6285" s="733"/>
      <c r="J6285" s="733"/>
      <c r="K6285" s="733"/>
      <c r="L6285" s="733"/>
      <c r="M6285" s="733"/>
    </row>
    <row r="6286" spans="1:13" x14ac:dyDescent="0.3">
      <c r="A6286" s="733" t="s">
        <v>6314</v>
      </c>
      <c r="B6286" s="733" t="s">
        <v>612</v>
      </c>
      <c r="C6286" s="738" t="s">
        <v>6340</v>
      </c>
      <c r="D6286" s="733"/>
      <c r="E6286" s="733"/>
      <c r="G6286" s="733"/>
      <c r="H6286" s="733"/>
      <c r="I6286" s="733"/>
      <c r="J6286" s="733"/>
      <c r="K6286" s="733"/>
      <c r="L6286" s="733"/>
      <c r="M6286" s="733"/>
    </row>
    <row r="6287" spans="1:13" x14ac:dyDescent="0.3">
      <c r="A6287" s="733" t="s">
        <v>6314</v>
      </c>
      <c r="B6287" s="733" t="s">
        <v>612</v>
      </c>
      <c r="C6287" s="738" t="s">
        <v>6341</v>
      </c>
      <c r="D6287" s="733"/>
      <c r="E6287" s="733"/>
      <c r="G6287" s="733"/>
      <c r="H6287" s="733"/>
      <c r="I6287" s="733"/>
      <c r="J6287" s="733"/>
      <c r="K6287" s="733"/>
      <c r="L6287" s="733"/>
      <c r="M6287" s="733"/>
    </row>
    <row r="6288" spans="1:13" x14ac:dyDescent="0.3">
      <c r="A6288" s="733" t="s">
        <v>6314</v>
      </c>
      <c r="B6288" s="733" t="s">
        <v>612</v>
      </c>
      <c r="C6288" s="738" t="s">
        <v>6342</v>
      </c>
      <c r="D6288" s="733"/>
      <c r="E6288" s="733"/>
      <c r="G6288" s="733"/>
      <c r="H6288" s="733"/>
      <c r="I6288" s="733"/>
      <c r="J6288" s="733"/>
      <c r="K6288" s="733"/>
      <c r="L6288" s="733"/>
      <c r="M6288" s="733"/>
    </row>
    <row r="6289" spans="1:13" x14ac:dyDescent="0.3">
      <c r="A6289" s="733" t="s">
        <v>6314</v>
      </c>
      <c r="B6289" s="733" t="s">
        <v>612</v>
      </c>
      <c r="C6289" s="738" t="s">
        <v>6343</v>
      </c>
      <c r="D6289" s="733"/>
      <c r="E6289" s="733"/>
      <c r="G6289" s="733"/>
      <c r="H6289" s="733"/>
      <c r="I6289" s="733"/>
      <c r="J6289" s="733"/>
      <c r="K6289" s="733"/>
      <c r="L6289" s="733"/>
      <c r="M6289" s="733"/>
    </row>
    <row r="6290" spans="1:13" x14ac:dyDescent="0.3">
      <c r="A6290" s="733" t="s">
        <v>6314</v>
      </c>
      <c r="B6290" s="733" t="s">
        <v>612</v>
      </c>
      <c r="C6290" s="738" t="s">
        <v>6344</v>
      </c>
      <c r="D6290" s="733"/>
      <c r="E6290" s="733"/>
      <c r="G6290" s="733"/>
      <c r="H6290" s="733"/>
      <c r="I6290" s="733"/>
      <c r="J6290" s="733"/>
      <c r="K6290" s="733"/>
      <c r="L6290" s="733"/>
      <c r="M6290" s="733"/>
    </row>
    <row r="6291" spans="1:13" ht="28.8" x14ac:dyDescent="0.3">
      <c r="A6291" s="733" t="s">
        <v>6345</v>
      </c>
      <c r="B6291" s="733" t="s">
        <v>645</v>
      </c>
      <c r="C6291" s="738" t="s">
        <v>6346</v>
      </c>
      <c r="D6291" s="733"/>
      <c r="E6291" s="733"/>
      <c r="G6291" s="733"/>
      <c r="H6291" s="733"/>
      <c r="I6291" s="733"/>
      <c r="J6291" s="733"/>
      <c r="K6291" s="733"/>
      <c r="L6291" s="733"/>
      <c r="M6291" s="733"/>
    </row>
    <row r="6292" spans="1:13" ht="28.8" x14ac:dyDescent="0.3">
      <c r="A6292" s="733" t="s">
        <v>6345</v>
      </c>
      <c r="B6292" s="733" t="s">
        <v>645</v>
      </c>
      <c r="C6292" s="738" t="s">
        <v>6347</v>
      </c>
      <c r="D6292" s="733"/>
      <c r="E6292" s="733"/>
      <c r="G6292" s="733"/>
      <c r="H6292" s="733"/>
      <c r="I6292" s="733"/>
      <c r="J6292" s="733"/>
      <c r="K6292" s="733"/>
      <c r="L6292" s="733"/>
      <c r="M6292" s="733"/>
    </row>
    <row r="6293" spans="1:13" x14ac:dyDescent="0.3">
      <c r="A6293" s="733" t="s">
        <v>6345</v>
      </c>
      <c r="B6293" s="733" t="s">
        <v>645</v>
      </c>
      <c r="C6293" s="738" t="s">
        <v>6348</v>
      </c>
      <c r="D6293" s="733"/>
      <c r="E6293" s="733"/>
      <c r="G6293" s="733"/>
      <c r="H6293" s="733"/>
      <c r="I6293" s="733"/>
      <c r="J6293" s="733"/>
      <c r="K6293" s="733"/>
      <c r="L6293" s="733"/>
      <c r="M6293" s="733"/>
    </row>
    <row r="6294" spans="1:13" x14ac:dyDescent="0.3">
      <c r="A6294" s="733" t="s">
        <v>6345</v>
      </c>
      <c r="B6294" s="733" t="s">
        <v>645</v>
      </c>
      <c r="C6294" s="738" t="s">
        <v>6349</v>
      </c>
      <c r="D6294" s="733"/>
      <c r="E6294" s="733"/>
      <c r="G6294" s="733"/>
      <c r="H6294" s="733"/>
      <c r="I6294" s="733"/>
      <c r="J6294" s="733"/>
      <c r="K6294" s="733"/>
      <c r="L6294" s="733"/>
      <c r="M6294" s="733"/>
    </row>
    <row r="6295" spans="1:13" x14ac:dyDescent="0.3">
      <c r="A6295" s="733" t="s">
        <v>6345</v>
      </c>
      <c r="B6295" s="733" t="s">
        <v>645</v>
      </c>
      <c r="C6295" s="738" t="s">
        <v>6350</v>
      </c>
      <c r="D6295" s="733"/>
      <c r="E6295" s="733"/>
      <c r="G6295" s="733"/>
      <c r="H6295" s="733"/>
      <c r="I6295" s="733"/>
      <c r="J6295" s="733"/>
      <c r="K6295" s="733"/>
      <c r="L6295" s="733"/>
      <c r="M6295" s="733"/>
    </row>
    <row r="6296" spans="1:13" x14ac:dyDescent="0.3">
      <c r="A6296" s="733" t="s">
        <v>6345</v>
      </c>
      <c r="B6296" s="733" t="s">
        <v>645</v>
      </c>
      <c r="C6296" s="738" t="s">
        <v>6351</v>
      </c>
      <c r="D6296" s="733"/>
      <c r="E6296" s="733"/>
      <c r="G6296" s="733"/>
      <c r="H6296" s="733"/>
      <c r="I6296" s="733"/>
      <c r="J6296" s="733"/>
      <c r="K6296" s="733"/>
      <c r="L6296" s="733"/>
      <c r="M6296" s="733"/>
    </row>
    <row r="6297" spans="1:13" x14ac:dyDescent="0.3">
      <c r="A6297" s="733" t="s">
        <v>6345</v>
      </c>
      <c r="B6297" s="733" t="s">
        <v>645</v>
      </c>
      <c r="C6297" s="738" t="s">
        <v>6352</v>
      </c>
      <c r="D6297" s="733"/>
      <c r="E6297" s="733"/>
      <c r="G6297" s="733"/>
      <c r="H6297" s="733"/>
      <c r="I6297" s="733"/>
      <c r="J6297" s="733"/>
      <c r="K6297" s="733"/>
      <c r="L6297" s="733"/>
      <c r="M6297" s="733"/>
    </row>
    <row r="6298" spans="1:13" x14ac:dyDescent="0.3">
      <c r="A6298" s="733" t="s">
        <v>6345</v>
      </c>
      <c r="B6298" s="733" t="s">
        <v>645</v>
      </c>
      <c r="C6298" s="738" t="s">
        <v>6353</v>
      </c>
      <c r="D6298" s="733"/>
      <c r="E6298" s="733"/>
      <c r="G6298" s="733"/>
      <c r="H6298" s="733"/>
      <c r="I6298" s="733"/>
      <c r="J6298" s="733"/>
      <c r="K6298" s="733"/>
      <c r="L6298" s="733"/>
      <c r="M6298" s="733"/>
    </row>
    <row r="6299" spans="1:13" x14ac:dyDescent="0.3">
      <c r="A6299" s="733" t="s">
        <v>6345</v>
      </c>
      <c r="B6299" s="733" t="s">
        <v>645</v>
      </c>
      <c r="C6299" s="738" t="s">
        <v>6354</v>
      </c>
      <c r="D6299" s="733"/>
      <c r="E6299" s="733"/>
      <c r="G6299" s="733"/>
      <c r="H6299" s="733"/>
      <c r="I6299" s="733"/>
      <c r="J6299" s="733"/>
      <c r="K6299" s="733"/>
      <c r="L6299" s="733"/>
      <c r="M6299" s="733"/>
    </row>
    <row r="6300" spans="1:13" ht="28.8" x14ac:dyDescent="0.3">
      <c r="A6300" s="733" t="s">
        <v>6345</v>
      </c>
      <c r="B6300" s="733" t="s">
        <v>645</v>
      </c>
      <c r="C6300" s="738" t="s">
        <v>6355</v>
      </c>
      <c r="D6300" s="733"/>
      <c r="E6300" s="733"/>
      <c r="G6300" s="733"/>
      <c r="H6300" s="733"/>
      <c r="I6300" s="733"/>
      <c r="J6300" s="733"/>
      <c r="K6300" s="733"/>
      <c r="L6300" s="733"/>
      <c r="M6300" s="733"/>
    </row>
    <row r="6301" spans="1:13" x14ac:dyDescent="0.3">
      <c r="A6301" s="733" t="s">
        <v>6345</v>
      </c>
      <c r="B6301" s="733" t="s">
        <v>664</v>
      </c>
      <c r="C6301" s="738" t="s">
        <v>6356</v>
      </c>
      <c r="D6301" s="733"/>
      <c r="E6301" s="733"/>
      <c r="G6301" s="733"/>
      <c r="H6301" s="733"/>
      <c r="I6301" s="733"/>
      <c r="J6301" s="733"/>
      <c r="K6301" s="733"/>
      <c r="L6301" s="733"/>
      <c r="M6301" s="733"/>
    </row>
    <row r="6302" spans="1:13" x14ac:dyDescent="0.3">
      <c r="A6302" s="733" t="s">
        <v>6345</v>
      </c>
      <c r="B6302" s="733" t="s">
        <v>664</v>
      </c>
      <c r="C6302" s="738" t="s">
        <v>6357</v>
      </c>
      <c r="D6302" s="733"/>
      <c r="E6302" s="733"/>
      <c r="G6302" s="733"/>
      <c r="H6302" s="733"/>
      <c r="I6302" s="733"/>
      <c r="J6302" s="733"/>
      <c r="K6302" s="733"/>
      <c r="L6302" s="733"/>
      <c r="M6302" s="733"/>
    </row>
    <row r="6303" spans="1:13" x14ac:dyDescent="0.3">
      <c r="A6303" s="733" t="s">
        <v>6345</v>
      </c>
      <c r="B6303" s="733" t="s">
        <v>664</v>
      </c>
      <c r="C6303" s="738" t="s">
        <v>6358</v>
      </c>
      <c r="D6303" s="733"/>
      <c r="E6303" s="733"/>
      <c r="G6303" s="733"/>
      <c r="H6303" s="733"/>
      <c r="I6303" s="733"/>
      <c r="J6303" s="733"/>
      <c r="K6303" s="733"/>
      <c r="L6303" s="733"/>
      <c r="M6303" s="733"/>
    </row>
    <row r="6304" spans="1:13" x14ac:dyDescent="0.3">
      <c r="A6304" s="733" t="s">
        <v>6345</v>
      </c>
      <c r="B6304" s="733" t="s">
        <v>664</v>
      </c>
      <c r="C6304" s="738" t="s">
        <v>6359</v>
      </c>
      <c r="D6304" s="733"/>
      <c r="E6304" s="733"/>
      <c r="G6304" s="733"/>
      <c r="H6304" s="733"/>
      <c r="I6304" s="733"/>
      <c r="J6304" s="733"/>
      <c r="K6304" s="733"/>
      <c r="L6304" s="733"/>
      <c r="M6304" s="733"/>
    </row>
    <row r="6305" spans="1:13" x14ac:dyDescent="0.3">
      <c r="A6305" s="733" t="s">
        <v>6345</v>
      </c>
      <c r="B6305" s="733" t="s">
        <v>664</v>
      </c>
      <c r="C6305" s="738" t="s">
        <v>6360</v>
      </c>
      <c r="D6305" s="733"/>
      <c r="E6305" s="733"/>
      <c r="G6305" s="733"/>
      <c r="H6305" s="733"/>
      <c r="I6305" s="733"/>
      <c r="J6305" s="733"/>
      <c r="K6305" s="733"/>
      <c r="L6305" s="733"/>
      <c r="M6305" s="733"/>
    </row>
    <row r="6306" spans="1:13" x14ac:dyDescent="0.3">
      <c r="A6306" s="733" t="s">
        <v>6345</v>
      </c>
      <c r="B6306" s="733" t="s">
        <v>664</v>
      </c>
      <c r="C6306" s="738" t="s">
        <v>6361</v>
      </c>
      <c r="D6306" s="733"/>
      <c r="E6306" s="733"/>
      <c r="G6306" s="733"/>
      <c r="H6306" s="733"/>
      <c r="I6306" s="733"/>
      <c r="J6306" s="733"/>
      <c r="K6306" s="733"/>
      <c r="L6306" s="733"/>
      <c r="M6306" s="733"/>
    </row>
    <row r="6307" spans="1:13" x14ac:dyDescent="0.3">
      <c r="A6307" s="733" t="s">
        <v>6345</v>
      </c>
      <c r="B6307" s="733" t="s">
        <v>664</v>
      </c>
      <c r="C6307" s="738" t="s">
        <v>6362</v>
      </c>
      <c r="D6307" s="733"/>
      <c r="E6307" s="733"/>
      <c r="G6307" s="733"/>
      <c r="H6307" s="733"/>
      <c r="I6307" s="733"/>
      <c r="J6307" s="733"/>
      <c r="K6307" s="733"/>
      <c r="L6307" s="733"/>
      <c r="M6307" s="733"/>
    </row>
    <row r="6308" spans="1:13" x14ac:dyDescent="0.3">
      <c r="A6308" s="733" t="s">
        <v>6345</v>
      </c>
      <c r="B6308" s="733" t="s">
        <v>664</v>
      </c>
      <c r="C6308" s="738" t="s">
        <v>6363</v>
      </c>
      <c r="D6308" s="733"/>
      <c r="E6308" s="733"/>
      <c r="G6308" s="733"/>
      <c r="H6308" s="733"/>
      <c r="I6308" s="733"/>
      <c r="J6308" s="733"/>
      <c r="K6308" s="733"/>
      <c r="L6308" s="733"/>
      <c r="M6308" s="733"/>
    </row>
    <row r="6309" spans="1:13" x14ac:dyDescent="0.3">
      <c r="A6309" s="733" t="s">
        <v>6345</v>
      </c>
      <c r="B6309" s="733" t="s">
        <v>664</v>
      </c>
      <c r="C6309" s="738" t="s">
        <v>6364</v>
      </c>
      <c r="D6309" s="733"/>
      <c r="E6309" s="733"/>
      <c r="G6309" s="733"/>
      <c r="H6309" s="733"/>
      <c r="I6309" s="733"/>
      <c r="J6309" s="733"/>
      <c r="K6309" s="733"/>
      <c r="L6309" s="733"/>
      <c r="M6309" s="733"/>
    </row>
    <row r="6310" spans="1:13" x14ac:dyDescent="0.3">
      <c r="A6310" s="733" t="s">
        <v>6345</v>
      </c>
      <c r="B6310" s="733" t="s">
        <v>664</v>
      </c>
      <c r="C6310" s="738" t="s">
        <v>6365</v>
      </c>
      <c r="D6310" s="733"/>
      <c r="E6310" s="733"/>
      <c r="G6310" s="733"/>
      <c r="H6310" s="733"/>
      <c r="I6310" s="733"/>
      <c r="J6310" s="733"/>
      <c r="K6310" s="733"/>
      <c r="L6310" s="733"/>
      <c r="M6310" s="733"/>
    </row>
    <row r="6311" spans="1:13" x14ac:dyDescent="0.3">
      <c r="A6311" s="733" t="s">
        <v>6345</v>
      </c>
      <c r="B6311" s="733" t="s">
        <v>612</v>
      </c>
      <c r="C6311" s="738" t="s">
        <v>6366</v>
      </c>
      <c r="D6311" s="733"/>
      <c r="E6311" s="733"/>
      <c r="G6311" s="733"/>
      <c r="H6311" s="733"/>
      <c r="I6311" s="733"/>
      <c r="J6311" s="733"/>
      <c r="K6311" s="733"/>
      <c r="L6311" s="733"/>
      <c r="M6311" s="733"/>
    </row>
    <row r="6312" spans="1:13" x14ac:dyDescent="0.3">
      <c r="A6312" s="733" t="s">
        <v>6345</v>
      </c>
      <c r="B6312" s="733" t="s">
        <v>612</v>
      </c>
      <c r="C6312" s="738" t="s">
        <v>6367</v>
      </c>
      <c r="D6312" s="733"/>
      <c r="E6312" s="733"/>
      <c r="G6312" s="733"/>
      <c r="H6312" s="733"/>
      <c r="I6312" s="733"/>
      <c r="J6312" s="733"/>
      <c r="K6312" s="733"/>
      <c r="L6312" s="733"/>
      <c r="M6312" s="733"/>
    </row>
    <row r="6313" spans="1:13" x14ac:dyDescent="0.3">
      <c r="A6313" s="733" t="s">
        <v>6345</v>
      </c>
      <c r="B6313" s="733" t="s">
        <v>612</v>
      </c>
      <c r="C6313" s="738" t="s">
        <v>6368</v>
      </c>
      <c r="D6313" s="733"/>
      <c r="E6313" s="733"/>
      <c r="G6313" s="733"/>
      <c r="H6313" s="733"/>
      <c r="I6313" s="733"/>
      <c r="J6313" s="733"/>
      <c r="K6313" s="733"/>
      <c r="L6313" s="733"/>
      <c r="M6313" s="733"/>
    </row>
    <row r="6314" spans="1:13" x14ac:dyDescent="0.3">
      <c r="A6314" s="733" t="s">
        <v>6345</v>
      </c>
      <c r="B6314" s="733" t="s">
        <v>612</v>
      </c>
      <c r="C6314" s="738" t="s">
        <v>6369</v>
      </c>
      <c r="D6314" s="733"/>
      <c r="E6314" s="733"/>
      <c r="G6314" s="733"/>
      <c r="H6314" s="733"/>
      <c r="I6314" s="733"/>
      <c r="J6314" s="733"/>
      <c r="K6314" s="733"/>
      <c r="L6314" s="733"/>
      <c r="M6314" s="733"/>
    </row>
    <row r="6315" spans="1:13" x14ac:dyDescent="0.3">
      <c r="A6315" s="733" t="s">
        <v>6345</v>
      </c>
      <c r="B6315" s="733" t="s">
        <v>612</v>
      </c>
      <c r="C6315" s="738" t="s">
        <v>6370</v>
      </c>
      <c r="D6315" s="733"/>
      <c r="E6315" s="733"/>
      <c r="G6315" s="733"/>
      <c r="H6315" s="733"/>
      <c r="I6315" s="733"/>
      <c r="J6315" s="733"/>
      <c r="K6315" s="733"/>
      <c r="L6315" s="733"/>
      <c r="M6315" s="733"/>
    </row>
    <row r="6316" spans="1:13" x14ac:dyDescent="0.3">
      <c r="A6316" s="733" t="s">
        <v>6345</v>
      </c>
      <c r="B6316" s="733" t="s">
        <v>612</v>
      </c>
      <c r="C6316" s="738" t="s">
        <v>6371</v>
      </c>
      <c r="D6316" s="733"/>
      <c r="E6316" s="733"/>
      <c r="G6316" s="733"/>
      <c r="H6316" s="733"/>
      <c r="I6316" s="733"/>
      <c r="J6316" s="733"/>
      <c r="K6316" s="733"/>
      <c r="L6316" s="733"/>
      <c r="M6316" s="733"/>
    </row>
    <row r="6317" spans="1:13" x14ac:dyDescent="0.3">
      <c r="A6317" s="733" t="s">
        <v>6345</v>
      </c>
      <c r="B6317" s="733" t="s">
        <v>612</v>
      </c>
      <c r="C6317" s="738" t="s">
        <v>6372</v>
      </c>
      <c r="D6317" s="733"/>
      <c r="E6317" s="733"/>
      <c r="G6317" s="733"/>
      <c r="H6317" s="733"/>
      <c r="I6317" s="733"/>
      <c r="J6317" s="733"/>
      <c r="K6317" s="733"/>
      <c r="L6317" s="733"/>
      <c r="M6317" s="733"/>
    </row>
    <row r="6318" spans="1:13" x14ac:dyDescent="0.3">
      <c r="A6318" s="733" t="s">
        <v>6345</v>
      </c>
      <c r="B6318" s="733" t="s">
        <v>612</v>
      </c>
      <c r="C6318" s="738" t="s">
        <v>6373</v>
      </c>
      <c r="D6318" s="733"/>
      <c r="E6318" s="733"/>
      <c r="G6318" s="733"/>
      <c r="H6318" s="733"/>
      <c r="I6318" s="733"/>
      <c r="J6318" s="733"/>
      <c r="K6318" s="733"/>
      <c r="L6318" s="733"/>
      <c r="M6318" s="733"/>
    </row>
    <row r="6319" spans="1:13" x14ac:dyDescent="0.3">
      <c r="A6319" s="733" t="s">
        <v>6345</v>
      </c>
      <c r="B6319" s="733" t="s">
        <v>612</v>
      </c>
      <c r="C6319" s="738" t="s">
        <v>6374</v>
      </c>
      <c r="D6319" s="733"/>
      <c r="E6319" s="733"/>
      <c r="G6319" s="733"/>
      <c r="H6319" s="733"/>
      <c r="I6319" s="733"/>
      <c r="J6319" s="733"/>
      <c r="K6319" s="733"/>
      <c r="L6319" s="733"/>
      <c r="M6319" s="733"/>
    </row>
    <row r="6320" spans="1:13" x14ac:dyDescent="0.3">
      <c r="A6320" s="733" t="s">
        <v>6345</v>
      </c>
      <c r="B6320" s="733" t="s">
        <v>612</v>
      </c>
      <c r="C6320" s="738" t="s">
        <v>6375</v>
      </c>
      <c r="D6320" s="733"/>
      <c r="E6320" s="733"/>
      <c r="G6320" s="733"/>
      <c r="H6320" s="733"/>
      <c r="I6320" s="733"/>
      <c r="J6320" s="733"/>
      <c r="K6320" s="733"/>
      <c r="L6320" s="733"/>
      <c r="M6320" s="733"/>
    </row>
    <row r="6321" spans="1:13" x14ac:dyDescent="0.3">
      <c r="A6321" s="733" t="s">
        <v>6376</v>
      </c>
      <c r="B6321" s="733" t="s">
        <v>645</v>
      </c>
      <c r="C6321" s="738" t="s">
        <v>6377</v>
      </c>
      <c r="D6321" s="733"/>
      <c r="E6321" s="733"/>
      <c r="G6321" s="733"/>
      <c r="H6321" s="733"/>
      <c r="I6321" s="733"/>
      <c r="J6321" s="733"/>
      <c r="K6321" s="733"/>
      <c r="L6321" s="733"/>
      <c r="M6321" s="733"/>
    </row>
    <row r="6322" spans="1:13" ht="28.8" x14ac:dyDescent="0.3">
      <c r="A6322" s="733" t="s">
        <v>6376</v>
      </c>
      <c r="B6322" s="733" t="s">
        <v>645</v>
      </c>
      <c r="C6322" s="738" t="s">
        <v>6378</v>
      </c>
      <c r="D6322" s="733"/>
      <c r="E6322" s="733"/>
      <c r="G6322" s="733"/>
      <c r="H6322" s="733"/>
      <c r="I6322" s="733"/>
      <c r="J6322" s="733"/>
      <c r="K6322" s="733"/>
      <c r="L6322" s="733"/>
      <c r="M6322" s="733"/>
    </row>
    <row r="6323" spans="1:13" x14ac:dyDescent="0.3">
      <c r="A6323" s="733" t="s">
        <v>6376</v>
      </c>
      <c r="B6323" s="733" t="s">
        <v>645</v>
      </c>
      <c r="C6323" s="738" t="s">
        <v>6379</v>
      </c>
      <c r="D6323" s="733"/>
      <c r="E6323" s="733"/>
      <c r="G6323" s="733"/>
      <c r="H6323" s="733"/>
      <c r="I6323" s="733"/>
      <c r="J6323" s="733"/>
      <c r="K6323" s="733"/>
      <c r="L6323" s="733"/>
      <c r="M6323" s="733"/>
    </row>
    <row r="6324" spans="1:13" x14ac:dyDescent="0.3">
      <c r="A6324" s="733" t="s">
        <v>6376</v>
      </c>
      <c r="B6324" s="733" t="s">
        <v>645</v>
      </c>
      <c r="C6324" s="738" t="s">
        <v>6380</v>
      </c>
      <c r="D6324" s="733"/>
      <c r="E6324" s="733"/>
      <c r="G6324" s="733"/>
      <c r="H6324" s="733"/>
      <c r="I6324" s="733"/>
      <c r="J6324" s="733"/>
      <c r="K6324" s="733"/>
      <c r="L6324" s="733"/>
      <c r="M6324" s="733"/>
    </row>
    <row r="6325" spans="1:13" x14ac:dyDescent="0.3">
      <c r="A6325" s="733" t="s">
        <v>6376</v>
      </c>
      <c r="B6325" s="733" t="s">
        <v>645</v>
      </c>
      <c r="C6325" s="738" t="s">
        <v>6381</v>
      </c>
      <c r="D6325" s="733"/>
      <c r="E6325" s="733"/>
      <c r="G6325" s="733"/>
      <c r="H6325" s="733"/>
      <c r="I6325" s="733"/>
      <c r="J6325" s="733"/>
      <c r="K6325" s="733"/>
      <c r="L6325" s="733"/>
      <c r="M6325" s="733"/>
    </row>
    <row r="6326" spans="1:13" x14ac:dyDescent="0.3">
      <c r="A6326" s="733" t="s">
        <v>6376</v>
      </c>
      <c r="B6326" s="733" t="s">
        <v>645</v>
      </c>
      <c r="C6326" s="738" t="s">
        <v>6382</v>
      </c>
      <c r="D6326" s="733"/>
      <c r="E6326" s="733"/>
      <c r="G6326" s="733"/>
      <c r="H6326" s="733"/>
      <c r="I6326" s="733"/>
      <c r="J6326" s="733"/>
      <c r="K6326" s="733"/>
      <c r="L6326" s="733"/>
      <c r="M6326" s="733"/>
    </row>
    <row r="6327" spans="1:13" x14ac:dyDescent="0.3">
      <c r="A6327" s="733" t="s">
        <v>6376</v>
      </c>
      <c r="B6327" s="733" t="s">
        <v>645</v>
      </c>
      <c r="C6327" s="738" t="s">
        <v>6383</v>
      </c>
      <c r="D6327" s="733"/>
      <c r="E6327" s="733"/>
      <c r="G6327" s="733"/>
      <c r="H6327" s="733"/>
      <c r="I6327" s="733"/>
      <c r="J6327" s="733"/>
      <c r="K6327" s="733"/>
      <c r="L6327" s="733"/>
      <c r="M6327" s="733"/>
    </row>
    <row r="6328" spans="1:13" x14ac:dyDescent="0.3">
      <c r="A6328" s="733" t="s">
        <v>6376</v>
      </c>
      <c r="B6328" s="733" t="s">
        <v>645</v>
      </c>
      <c r="C6328" s="738" t="s">
        <v>6384</v>
      </c>
      <c r="D6328" s="733"/>
      <c r="E6328" s="733"/>
      <c r="G6328" s="733"/>
      <c r="H6328" s="733"/>
      <c r="I6328" s="733"/>
      <c r="J6328" s="733"/>
      <c r="K6328" s="733"/>
      <c r="L6328" s="733"/>
      <c r="M6328" s="733"/>
    </row>
    <row r="6329" spans="1:13" x14ac:dyDescent="0.3">
      <c r="A6329" s="733" t="s">
        <v>6376</v>
      </c>
      <c r="B6329" s="733" t="s">
        <v>645</v>
      </c>
      <c r="C6329" s="738" t="s">
        <v>6385</v>
      </c>
      <c r="D6329" s="733"/>
      <c r="E6329" s="733"/>
      <c r="G6329" s="733"/>
      <c r="H6329" s="733"/>
      <c r="I6329" s="733"/>
      <c r="J6329" s="733"/>
      <c r="K6329" s="733"/>
      <c r="L6329" s="733"/>
      <c r="M6329" s="733"/>
    </row>
    <row r="6330" spans="1:13" x14ac:dyDescent="0.3">
      <c r="A6330" s="733" t="s">
        <v>6376</v>
      </c>
      <c r="B6330" s="733" t="s">
        <v>645</v>
      </c>
      <c r="C6330" s="738" t="s">
        <v>6386</v>
      </c>
      <c r="D6330" s="733"/>
      <c r="E6330" s="733"/>
      <c r="G6330" s="733"/>
      <c r="H6330" s="733"/>
      <c r="I6330" s="733"/>
      <c r="J6330" s="733"/>
      <c r="K6330" s="733"/>
      <c r="L6330" s="733"/>
      <c r="M6330" s="733"/>
    </row>
    <row r="6331" spans="1:13" x14ac:dyDescent="0.3">
      <c r="A6331" s="733" t="s">
        <v>6376</v>
      </c>
      <c r="B6331" s="733" t="s">
        <v>664</v>
      </c>
      <c r="C6331" s="738" t="s">
        <v>6377</v>
      </c>
      <c r="D6331" s="733"/>
      <c r="E6331" s="733"/>
      <c r="G6331" s="733"/>
      <c r="H6331" s="733"/>
      <c r="I6331" s="733"/>
      <c r="J6331" s="733"/>
      <c r="K6331" s="733"/>
      <c r="L6331" s="733"/>
      <c r="M6331" s="733"/>
    </row>
    <row r="6332" spans="1:13" ht="28.8" x14ac:dyDescent="0.3">
      <c r="A6332" s="733" t="s">
        <v>6376</v>
      </c>
      <c r="B6332" s="733" t="s">
        <v>664</v>
      </c>
      <c r="C6332" s="738" t="s">
        <v>6378</v>
      </c>
      <c r="D6332" s="733"/>
      <c r="E6332" s="733"/>
      <c r="G6332" s="733"/>
      <c r="H6332" s="733"/>
      <c r="I6332" s="733"/>
      <c r="J6332" s="733"/>
      <c r="K6332" s="733"/>
      <c r="L6332" s="733"/>
      <c r="M6332" s="733"/>
    </row>
    <row r="6333" spans="1:13" x14ac:dyDescent="0.3">
      <c r="A6333" s="733" t="s">
        <v>6376</v>
      </c>
      <c r="B6333" s="733" t="s">
        <v>664</v>
      </c>
      <c r="C6333" s="738" t="s">
        <v>6379</v>
      </c>
      <c r="D6333" s="733"/>
      <c r="E6333" s="733"/>
      <c r="G6333" s="733"/>
      <c r="H6333" s="733"/>
      <c r="I6333" s="733"/>
      <c r="J6333" s="733"/>
      <c r="K6333" s="733"/>
      <c r="L6333" s="733"/>
      <c r="M6333" s="733"/>
    </row>
    <row r="6334" spans="1:13" x14ac:dyDescent="0.3">
      <c r="A6334" s="733" t="s">
        <v>6376</v>
      </c>
      <c r="B6334" s="733" t="s">
        <v>664</v>
      </c>
      <c r="C6334" s="738" t="s">
        <v>6380</v>
      </c>
      <c r="D6334" s="733"/>
      <c r="E6334" s="733"/>
      <c r="G6334" s="733"/>
      <c r="H6334" s="733"/>
      <c r="I6334" s="733"/>
      <c r="J6334" s="733"/>
      <c r="K6334" s="733"/>
      <c r="L6334" s="733"/>
      <c r="M6334" s="733"/>
    </row>
    <row r="6335" spans="1:13" x14ac:dyDescent="0.3">
      <c r="A6335" s="733" t="s">
        <v>6376</v>
      </c>
      <c r="B6335" s="733" t="s">
        <v>664</v>
      </c>
      <c r="C6335" s="738" t="s">
        <v>6381</v>
      </c>
      <c r="D6335" s="733"/>
      <c r="E6335" s="733"/>
      <c r="G6335" s="733"/>
      <c r="H6335" s="733"/>
      <c r="I6335" s="733"/>
      <c r="J6335" s="733"/>
      <c r="K6335" s="733"/>
      <c r="L6335" s="733"/>
      <c r="M6335" s="733"/>
    </row>
    <row r="6336" spans="1:13" x14ac:dyDescent="0.3">
      <c r="A6336" s="733" t="s">
        <v>6376</v>
      </c>
      <c r="B6336" s="733" t="s">
        <v>664</v>
      </c>
      <c r="C6336" s="738" t="s">
        <v>6382</v>
      </c>
      <c r="D6336" s="733"/>
      <c r="E6336" s="733"/>
      <c r="G6336" s="733"/>
      <c r="H6336" s="733"/>
      <c r="I6336" s="733"/>
      <c r="J6336" s="733"/>
      <c r="K6336" s="733"/>
      <c r="L6336" s="733"/>
      <c r="M6336" s="733"/>
    </row>
    <row r="6337" spans="1:13" x14ac:dyDescent="0.3">
      <c r="A6337" s="733" t="s">
        <v>6376</v>
      </c>
      <c r="B6337" s="733" t="s">
        <v>664</v>
      </c>
      <c r="C6337" s="738" t="s">
        <v>6383</v>
      </c>
      <c r="D6337" s="733"/>
      <c r="E6337" s="733"/>
      <c r="G6337" s="733"/>
      <c r="H6337" s="733"/>
      <c r="I6337" s="733"/>
      <c r="J6337" s="733"/>
      <c r="K6337" s="733"/>
      <c r="L6337" s="733"/>
      <c r="M6337" s="733"/>
    </row>
    <row r="6338" spans="1:13" x14ac:dyDescent="0.3">
      <c r="A6338" s="733" t="s">
        <v>6376</v>
      </c>
      <c r="B6338" s="733" t="s">
        <v>664</v>
      </c>
      <c r="C6338" s="738" t="s">
        <v>6384</v>
      </c>
      <c r="D6338" s="733"/>
      <c r="E6338" s="733"/>
      <c r="G6338" s="733"/>
      <c r="H6338" s="733"/>
      <c r="I6338" s="733"/>
      <c r="J6338" s="733"/>
      <c r="K6338" s="733"/>
      <c r="L6338" s="733"/>
      <c r="M6338" s="733"/>
    </row>
    <row r="6339" spans="1:13" x14ac:dyDescent="0.3">
      <c r="A6339" s="733" t="s">
        <v>6376</v>
      </c>
      <c r="B6339" s="733" t="s">
        <v>664</v>
      </c>
      <c r="C6339" s="738" t="s">
        <v>6385</v>
      </c>
      <c r="D6339" s="733"/>
      <c r="E6339" s="733"/>
      <c r="G6339" s="733"/>
      <c r="H6339" s="733"/>
      <c r="I6339" s="733"/>
      <c r="J6339" s="733"/>
      <c r="K6339" s="733"/>
      <c r="L6339" s="733"/>
      <c r="M6339" s="733"/>
    </row>
    <row r="6340" spans="1:13" x14ac:dyDescent="0.3">
      <c r="A6340" s="733" t="s">
        <v>6376</v>
      </c>
      <c r="B6340" s="733" t="s">
        <v>664</v>
      </c>
      <c r="C6340" s="738" t="s">
        <v>6386</v>
      </c>
      <c r="D6340" s="733"/>
      <c r="E6340" s="733"/>
      <c r="G6340" s="733"/>
      <c r="H6340" s="733"/>
      <c r="I6340" s="733"/>
      <c r="J6340" s="733"/>
      <c r="K6340" s="733"/>
      <c r="L6340" s="733"/>
      <c r="M6340" s="733"/>
    </row>
    <row r="6341" spans="1:13" x14ac:dyDescent="0.3">
      <c r="A6341" s="733" t="s">
        <v>6376</v>
      </c>
      <c r="B6341" s="733" t="s">
        <v>612</v>
      </c>
      <c r="C6341" s="738" t="s">
        <v>6387</v>
      </c>
      <c r="D6341" s="733"/>
      <c r="E6341" s="733"/>
      <c r="G6341" s="733"/>
      <c r="H6341" s="733"/>
      <c r="I6341" s="733"/>
      <c r="J6341" s="733"/>
      <c r="K6341" s="733"/>
      <c r="L6341" s="733"/>
      <c r="M6341" s="733"/>
    </row>
    <row r="6342" spans="1:13" x14ac:dyDescent="0.3">
      <c r="A6342" s="733" t="s">
        <v>6376</v>
      </c>
      <c r="B6342" s="733" t="s">
        <v>612</v>
      </c>
      <c r="C6342" s="738" t="s">
        <v>6388</v>
      </c>
      <c r="D6342" s="733"/>
      <c r="E6342" s="733"/>
      <c r="G6342" s="733"/>
      <c r="H6342" s="733"/>
      <c r="I6342" s="733"/>
      <c r="J6342" s="733"/>
      <c r="K6342" s="733"/>
      <c r="L6342" s="733"/>
      <c r="M6342" s="733"/>
    </row>
    <row r="6343" spans="1:13" x14ac:dyDescent="0.3">
      <c r="A6343" s="733" t="s">
        <v>6376</v>
      </c>
      <c r="B6343" s="733" t="s">
        <v>612</v>
      </c>
      <c r="C6343" s="738" t="s">
        <v>6389</v>
      </c>
      <c r="D6343" s="733"/>
      <c r="E6343" s="733"/>
      <c r="G6343" s="733"/>
      <c r="H6343" s="733"/>
      <c r="I6343" s="733"/>
      <c r="J6343" s="733"/>
      <c r="K6343" s="733"/>
      <c r="L6343" s="733"/>
      <c r="M6343" s="733"/>
    </row>
    <row r="6344" spans="1:13" x14ac:dyDescent="0.3">
      <c r="A6344" s="733" t="s">
        <v>6376</v>
      </c>
      <c r="B6344" s="733" t="s">
        <v>612</v>
      </c>
      <c r="C6344" s="738" t="s">
        <v>6390</v>
      </c>
      <c r="D6344" s="733"/>
      <c r="E6344" s="733"/>
      <c r="G6344" s="733"/>
      <c r="H6344" s="733"/>
      <c r="I6344" s="733"/>
      <c r="J6344" s="733"/>
      <c r="K6344" s="733"/>
      <c r="L6344" s="733"/>
      <c r="M6344" s="733"/>
    </row>
    <row r="6345" spans="1:13" ht="28.8" x14ac:dyDescent="0.3">
      <c r="A6345" s="733" t="s">
        <v>6376</v>
      </c>
      <c r="B6345" s="733" t="s">
        <v>612</v>
      </c>
      <c r="C6345" s="738" t="s">
        <v>6391</v>
      </c>
      <c r="D6345" s="733"/>
      <c r="E6345" s="733"/>
      <c r="G6345" s="733"/>
      <c r="H6345" s="733"/>
      <c r="I6345" s="733"/>
      <c r="J6345" s="733"/>
      <c r="K6345" s="733"/>
      <c r="L6345" s="733"/>
      <c r="M6345" s="733"/>
    </row>
    <row r="6346" spans="1:13" ht="28.8" x14ac:dyDescent="0.3">
      <c r="A6346" s="733" t="s">
        <v>6376</v>
      </c>
      <c r="B6346" s="733" t="s">
        <v>612</v>
      </c>
      <c r="C6346" s="738" t="s">
        <v>6392</v>
      </c>
      <c r="D6346" s="733"/>
      <c r="E6346" s="733"/>
      <c r="G6346" s="733"/>
      <c r="H6346" s="733"/>
      <c r="I6346" s="733"/>
      <c r="J6346" s="733"/>
      <c r="K6346" s="733"/>
      <c r="L6346" s="733"/>
      <c r="M6346" s="733"/>
    </row>
    <row r="6347" spans="1:13" ht="28.8" x14ac:dyDescent="0.3">
      <c r="A6347" s="733" t="s">
        <v>6376</v>
      </c>
      <c r="B6347" s="733" t="s">
        <v>612</v>
      </c>
      <c r="C6347" s="738" t="s">
        <v>6393</v>
      </c>
      <c r="D6347" s="733"/>
      <c r="E6347" s="733"/>
      <c r="G6347" s="733"/>
      <c r="H6347" s="733"/>
      <c r="I6347" s="733"/>
      <c r="J6347" s="733"/>
      <c r="K6347" s="733"/>
      <c r="L6347" s="733"/>
      <c r="M6347" s="733"/>
    </row>
    <row r="6348" spans="1:13" x14ac:dyDescent="0.3">
      <c r="A6348" s="733" t="s">
        <v>6376</v>
      </c>
      <c r="B6348" s="733" t="s">
        <v>612</v>
      </c>
      <c r="C6348" s="738" t="s">
        <v>6394</v>
      </c>
      <c r="D6348" s="733"/>
      <c r="E6348" s="733"/>
      <c r="G6348" s="733"/>
      <c r="H6348" s="733"/>
      <c r="I6348" s="733"/>
      <c r="J6348" s="733"/>
      <c r="K6348" s="733"/>
      <c r="L6348" s="733"/>
      <c r="M6348" s="733"/>
    </row>
    <row r="6349" spans="1:13" x14ac:dyDescent="0.3">
      <c r="A6349" s="733" t="s">
        <v>6376</v>
      </c>
      <c r="B6349" s="733" t="s">
        <v>612</v>
      </c>
      <c r="C6349" s="738" t="s">
        <v>6395</v>
      </c>
      <c r="D6349" s="733"/>
      <c r="E6349" s="733"/>
      <c r="G6349" s="733"/>
      <c r="H6349" s="733"/>
      <c r="I6349" s="733"/>
      <c r="J6349" s="733"/>
      <c r="K6349" s="733"/>
      <c r="L6349" s="733"/>
      <c r="M6349" s="733"/>
    </row>
    <row r="6350" spans="1:13" x14ac:dyDescent="0.3">
      <c r="A6350" s="733" t="s">
        <v>6376</v>
      </c>
      <c r="B6350" s="733" t="s">
        <v>612</v>
      </c>
      <c r="C6350" s="738" t="s">
        <v>6396</v>
      </c>
      <c r="D6350" s="733"/>
      <c r="E6350" s="733"/>
      <c r="G6350" s="733"/>
      <c r="H6350" s="733"/>
      <c r="I6350" s="733"/>
      <c r="J6350" s="733"/>
      <c r="K6350" s="733"/>
      <c r="L6350" s="733"/>
      <c r="M6350" s="733"/>
    </row>
    <row r="6351" spans="1:13" x14ac:dyDescent="0.3">
      <c r="A6351" s="733" t="s">
        <v>6397</v>
      </c>
      <c r="B6351" s="733" t="s">
        <v>645</v>
      </c>
      <c r="C6351" s="738" t="s">
        <v>6398</v>
      </c>
      <c r="D6351" s="733"/>
      <c r="E6351" s="733"/>
      <c r="G6351" s="733"/>
      <c r="H6351" s="733"/>
      <c r="I6351" s="733"/>
      <c r="J6351" s="733"/>
      <c r="K6351" s="733"/>
      <c r="L6351" s="733"/>
      <c r="M6351" s="733"/>
    </row>
    <row r="6352" spans="1:13" x14ac:dyDescent="0.3">
      <c r="A6352" s="733" t="s">
        <v>6397</v>
      </c>
      <c r="B6352" s="733" t="s">
        <v>645</v>
      </c>
      <c r="C6352" s="738" t="s">
        <v>6399</v>
      </c>
      <c r="D6352" s="733"/>
      <c r="E6352" s="733"/>
      <c r="G6352" s="733"/>
      <c r="H6352" s="733"/>
      <c r="I6352" s="733"/>
      <c r="J6352" s="733"/>
      <c r="K6352" s="733"/>
      <c r="L6352" s="733"/>
      <c r="M6352" s="733"/>
    </row>
    <row r="6353" spans="1:13" x14ac:dyDescent="0.3">
      <c r="A6353" s="733" t="s">
        <v>6397</v>
      </c>
      <c r="B6353" s="733" t="s">
        <v>645</v>
      </c>
      <c r="C6353" s="738" t="s">
        <v>6400</v>
      </c>
      <c r="D6353" s="733"/>
      <c r="E6353" s="733"/>
      <c r="G6353" s="733"/>
      <c r="H6353" s="733"/>
      <c r="I6353" s="733"/>
      <c r="J6353" s="733"/>
      <c r="K6353" s="733"/>
      <c r="L6353" s="733"/>
      <c r="M6353" s="733"/>
    </row>
    <row r="6354" spans="1:13" x14ac:dyDescent="0.3">
      <c r="A6354" s="733" t="s">
        <v>6397</v>
      </c>
      <c r="B6354" s="733" t="s">
        <v>645</v>
      </c>
      <c r="C6354" s="738" t="s">
        <v>6401</v>
      </c>
      <c r="D6354" s="733"/>
      <c r="E6354" s="733"/>
      <c r="G6354" s="733"/>
      <c r="H6354" s="733"/>
      <c r="I6354" s="733"/>
      <c r="J6354" s="733"/>
      <c r="K6354" s="733"/>
      <c r="L6354" s="733"/>
      <c r="M6354" s="733"/>
    </row>
    <row r="6355" spans="1:13" x14ac:dyDescent="0.3">
      <c r="A6355" s="733" t="s">
        <v>6397</v>
      </c>
      <c r="B6355" s="733" t="s">
        <v>645</v>
      </c>
      <c r="C6355" s="738" t="s">
        <v>6402</v>
      </c>
      <c r="D6355" s="733"/>
      <c r="E6355" s="733"/>
      <c r="G6355" s="733"/>
      <c r="H6355" s="733"/>
      <c r="I6355" s="733"/>
      <c r="J6355" s="733"/>
      <c r="K6355" s="733"/>
      <c r="L6355" s="733"/>
      <c r="M6355" s="733"/>
    </row>
    <row r="6356" spans="1:13" x14ac:dyDescent="0.3">
      <c r="A6356" s="733" t="s">
        <v>6397</v>
      </c>
      <c r="B6356" s="733" t="s">
        <v>645</v>
      </c>
      <c r="C6356" s="738" t="s">
        <v>6403</v>
      </c>
      <c r="D6356" s="733"/>
      <c r="E6356" s="733"/>
      <c r="G6356" s="733"/>
      <c r="H6356" s="733"/>
      <c r="I6356" s="733"/>
      <c r="J6356" s="733"/>
      <c r="K6356" s="733"/>
      <c r="L6356" s="733"/>
      <c r="M6356" s="733"/>
    </row>
    <row r="6357" spans="1:13" x14ac:dyDescent="0.3">
      <c r="A6357" s="733" t="s">
        <v>6397</v>
      </c>
      <c r="B6357" s="733" t="s">
        <v>645</v>
      </c>
      <c r="C6357" s="738" t="s">
        <v>6404</v>
      </c>
      <c r="D6357" s="733"/>
      <c r="E6357" s="733"/>
      <c r="G6357" s="733"/>
      <c r="H6357" s="733"/>
      <c r="I6357" s="733"/>
      <c r="J6357" s="733"/>
      <c r="K6357" s="733"/>
      <c r="L6357" s="733"/>
      <c r="M6357" s="733"/>
    </row>
    <row r="6358" spans="1:13" x14ac:dyDescent="0.3">
      <c r="A6358" s="733" t="s">
        <v>6397</v>
      </c>
      <c r="B6358" s="733" t="s">
        <v>645</v>
      </c>
      <c r="C6358" s="738" t="s">
        <v>6405</v>
      </c>
      <c r="D6358" s="733"/>
      <c r="E6358" s="733"/>
      <c r="G6358" s="733"/>
      <c r="H6358" s="733"/>
      <c r="I6358" s="733"/>
      <c r="J6358" s="733"/>
      <c r="K6358" s="733"/>
      <c r="L6358" s="733"/>
      <c r="M6358" s="733"/>
    </row>
    <row r="6359" spans="1:13" x14ac:dyDescent="0.3">
      <c r="A6359" s="733" t="s">
        <v>6397</v>
      </c>
      <c r="B6359" s="733" t="s">
        <v>645</v>
      </c>
      <c r="C6359" s="738" t="s">
        <v>6406</v>
      </c>
      <c r="D6359" s="733"/>
      <c r="E6359" s="733"/>
      <c r="G6359" s="733"/>
      <c r="H6359" s="733"/>
      <c r="I6359" s="733"/>
      <c r="J6359" s="733"/>
      <c r="K6359" s="733"/>
      <c r="L6359" s="733"/>
      <c r="M6359" s="733"/>
    </row>
    <row r="6360" spans="1:13" x14ac:dyDescent="0.3">
      <c r="A6360" s="733" t="s">
        <v>6397</v>
      </c>
      <c r="B6360" s="733" t="s">
        <v>645</v>
      </c>
      <c r="C6360" s="738" t="s">
        <v>6407</v>
      </c>
      <c r="D6360" s="733"/>
      <c r="E6360" s="733"/>
      <c r="G6360" s="733"/>
      <c r="H6360" s="733"/>
      <c r="I6360" s="733"/>
      <c r="J6360" s="733"/>
      <c r="K6360" s="733"/>
      <c r="L6360" s="733"/>
      <c r="M6360" s="733"/>
    </row>
    <row r="6361" spans="1:13" x14ac:dyDescent="0.3">
      <c r="A6361" s="733" t="s">
        <v>6397</v>
      </c>
      <c r="B6361" s="733" t="s">
        <v>664</v>
      </c>
      <c r="C6361" s="738" t="s">
        <v>6408</v>
      </c>
      <c r="D6361" s="733"/>
      <c r="E6361" s="733"/>
      <c r="G6361" s="733"/>
      <c r="H6361" s="733"/>
      <c r="I6361" s="733"/>
      <c r="J6361" s="733"/>
      <c r="K6361" s="733"/>
      <c r="L6361" s="733"/>
      <c r="M6361" s="733"/>
    </row>
    <row r="6362" spans="1:13" x14ac:dyDescent="0.3">
      <c r="A6362" s="733" t="s">
        <v>6397</v>
      </c>
      <c r="B6362" s="733" t="s">
        <v>664</v>
      </c>
      <c r="C6362" s="738" t="s">
        <v>6409</v>
      </c>
      <c r="D6362" s="733"/>
      <c r="E6362" s="733"/>
      <c r="G6362" s="733"/>
      <c r="H6362" s="733"/>
      <c r="I6362" s="733"/>
      <c r="J6362" s="733"/>
      <c r="K6362" s="733"/>
      <c r="L6362" s="733"/>
      <c r="M6362" s="733"/>
    </row>
    <row r="6363" spans="1:13" x14ac:dyDescent="0.3">
      <c r="A6363" s="733" t="s">
        <v>6397</v>
      </c>
      <c r="B6363" s="733" t="s">
        <v>664</v>
      </c>
      <c r="C6363" s="738" t="s">
        <v>6410</v>
      </c>
      <c r="D6363" s="733"/>
      <c r="E6363" s="733"/>
      <c r="G6363" s="733"/>
      <c r="H6363" s="733"/>
      <c r="I6363" s="733"/>
      <c r="J6363" s="733"/>
      <c r="K6363" s="733"/>
      <c r="L6363" s="733"/>
      <c r="M6363" s="733"/>
    </row>
    <row r="6364" spans="1:13" x14ac:dyDescent="0.3">
      <c r="A6364" s="733" t="s">
        <v>6397</v>
      </c>
      <c r="B6364" s="733" t="s">
        <v>664</v>
      </c>
      <c r="C6364" s="738" t="s">
        <v>6411</v>
      </c>
      <c r="D6364" s="733"/>
      <c r="E6364" s="733"/>
      <c r="G6364" s="733"/>
      <c r="H6364" s="733"/>
      <c r="I6364" s="733"/>
      <c r="J6364" s="733"/>
      <c r="K6364" s="733"/>
      <c r="L6364" s="733"/>
      <c r="M6364" s="733"/>
    </row>
    <row r="6365" spans="1:13" x14ac:dyDescent="0.3">
      <c r="A6365" s="733" t="s">
        <v>6397</v>
      </c>
      <c r="B6365" s="733" t="s">
        <v>664</v>
      </c>
      <c r="C6365" s="738" t="s">
        <v>6412</v>
      </c>
      <c r="D6365" s="733"/>
      <c r="E6365" s="733"/>
      <c r="G6365" s="733"/>
      <c r="H6365" s="733"/>
      <c r="I6365" s="733"/>
      <c r="J6365" s="733"/>
      <c r="K6365" s="733"/>
      <c r="L6365" s="733"/>
      <c r="M6365" s="733"/>
    </row>
    <row r="6366" spans="1:13" x14ac:dyDescent="0.3">
      <c r="A6366" s="733" t="s">
        <v>6397</v>
      </c>
      <c r="B6366" s="733" t="s">
        <v>664</v>
      </c>
      <c r="C6366" s="738" t="s">
        <v>6413</v>
      </c>
      <c r="D6366" s="733"/>
      <c r="E6366" s="733"/>
      <c r="G6366" s="733"/>
      <c r="H6366" s="733"/>
      <c r="I6366" s="733"/>
      <c r="J6366" s="733"/>
      <c r="K6366" s="733"/>
      <c r="L6366" s="733"/>
      <c r="M6366" s="733"/>
    </row>
    <row r="6367" spans="1:13" x14ac:dyDescent="0.3">
      <c r="A6367" s="733" t="s">
        <v>6397</v>
      </c>
      <c r="B6367" s="733" t="s">
        <v>664</v>
      </c>
      <c r="C6367" s="738" t="s">
        <v>6414</v>
      </c>
      <c r="D6367" s="733"/>
      <c r="E6367" s="733"/>
      <c r="G6367" s="733"/>
      <c r="H6367" s="733"/>
      <c r="I6367" s="733"/>
      <c r="J6367" s="733"/>
      <c r="K6367" s="733"/>
      <c r="L6367" s="733"/>
      <c r="M6367" s="733"/>
    </row>
    <row r="6368" spans="1:13" x14ac:dyDescent="0.3">
      <c r="A6368" s="733" t="s">
        <v>6397</v>
      </c>
      <c r="B6368" s="733" t="s">
        <v>664</v>
      </c>
      <c r="C6368" s="738" t="s">
        <v>6415</v>
      </c>
      <c r="D6368" s="733"/>
      <c r="E6368" s="733"/>
      <c r="G6368" s="733"/>
      <c r="H6368" s="733"/>
      <c r="I6368" s="733"/>
      <c r="J6368" s="733"/>
      <c r="K6368" s="733"/>
      <c r="L6368" s="733"/>
      <c r="M6368" s="733"/>
    </row>
    <row r="6369" spans="1:13" x14ac:dyDescent="0.3">
      <c r="A6369" s="733" t="s">
        <v>6397</v>
      </c>
      <c r="B6369" s="733" t="s">
        <v>664</v>
      </c>
      <c r="C6369" s="738" t="s">
        <v>6416</v>
      </c>
      <c r="D6369" s="733"/>
      <c r="E6369" s="733"/>
      <c r="G6369" s="733"/>
      <c r="H6369" s="733"/>
      <c r="I6369" s="733"/>
      <c r="J6369" s="733"/>
      <c r="K6369" s="733"/>
      <c r="L6369" s="733"/>
      <c r="M6369" s="733"/>
    </row>
    <row r="6370" spans="1:13" x14ac:dyDescent="0.3">
      <c r="A6370" s="733" t="s">
        <v>6397</v>
      </c>
      <c r="B6370" s="733" t="s">
        <v>664</v>
      </c>
      <c r="C6370" s="738" t="s">
        <v>6417</v>
      </c>
      <c r="D6370" s="733"/>
      <c r="E6370" s="733"/>
      <c r="G6370" s="733"/>
      <c r="H6370" s="733"/>
      <c r="I6370" s="733"/>
      <c r="J6370" s="733"/>
      <c r="K6370" s="733"/>
      <c r="L6370" s="733"/>
      <c r="M6370" s="733"/>
    </row>
    <row r="6371" spans="1:13" x14ac:dyDescent="0.3">
      <c r="A6371" s="733" t="s">
        <v>6397</v>
      </c>
      <c r="B6371" s="733" t="s">
        <v>612</v>
      </c>
      <c r="C6371" s="738" t="s">
        <v>6418</v>
      </c>
      <c r="D6371" s="733"/>
      <c r="E6371" s="733"/>
      <c r="G6371" s="733"/>
      <c r="H6371" s="733"/>
      <c r="I6371" s="733"/>
      <c r="J6371" s="733"/>
      <c r="K6371" s="733"/>
      <c r="L6371" s="733"/>
      <c r="M6371" s="733"/>
    </row>
    <row r="6372" spans="1:13" x14ac:dyDescent="0.3">
      <c r="A6372" s="733" t="s">
        <v>6397</v>
      </c>
      <c r="B6372" s="733" t="s">
        <v>612</v>
      </c>
      <c r="C6372" s="738" t="s">
        <v>6419</v>
      </c>
      <c r="D6372" s="733"/>
      <c r="E6372" s="733"/>
      <c r="G6372" s="733"/>
      <c r="H6372" s="733"/>
      <c r="I6372" s="733"/>
      <c r="J6372" s="733"/>
      <c r="K6372" s="733"/>
      <c r="L6372" s="733"/>
      <c r="M6372" s="733"/>
    </row>
    <row r="6373" spans="1:13" x14ac:dyDescent="0.3">
      <c r="A6373" s="733" t="s">
        <v>6397</v>
      </c>
      <c r="B6373" s="733" t="s">
        <v>612</v>
      </c>
      <c r="C6373" s="738" t="s">
        <v>6420</v>
      </c>
      <c r="D6373" s="733"/>
      <c r="E6373" s="733"/>
      <c r="G6373" s="733"/>
      <c r="H6373" s="733"/>
      <c r="I6373" s="733"/>
      <c r="J6373" s="733"/>
      <c r="K6373" s="733"/>
      <c r="L6373" s="733"/>
      <c r="M6373" s="733"/>
    </row>
    <row r="6374" spans="1:13" x14ac:dyDescent="0.3">
      <c r="A6374" s="733" t="s">
        <v>6397</v>
      </c>
      <c r="B6374" s="733" t="s">
        <v>612</v>
      </c>
      <c r="C6374" s="738" t="s">
        <v>6421</v>
      </c>
      <c r="D6374" s="733"/>
      <c r="E6374" s="733"/>
      <c r="G6374" s="733"/>
      <c r="H6374" s="733"/>
      <c r="I6374" s="733"/>
      <c r="J6374" s="733"/>
      <c r="K6374" s="733"/>
      <c r="L6374" s="733"/>
      <c r="M6374" s="733"/>
    </row>
    <row r="6375" spans="1:13" x14ac:dyDescent="0.3">
      <c r="A6375" s="733" t="s">
        <v>6397</v>
      </c>
      <c r="B6375" s="733" t="s">
        <v>612</v>
      </c>
      <c r="C6375" s="738" t="s">
        <v>6422</v>
      </c>
      <c r="D6375" s="733"/>
      <c r="E6375" s="733"/>
      <c r="G6375" s="733"/>
      <c r="H6375" s="733"/>
      <c r="I6375" s="733"/>
      <c r="J6375" s="733"/>
      <c r="K6375" s="733"/>
      <c r="L6375" s="733"/>
      <c r="M6375" s="733"/>
    </row>
    <row r="6376" spans="1:13" x14ac:dyDescent="0.3">
      <c r="A6376" s="733" t="s">
        <v>6397</v>
      </c>
      <c r="B6376" s="733" t="s">
        <v>612</v>
      </c>
      <c r="C6376" s="738" t="s">
        <v>6423</v>
      </c>
      <c r="D6376" s="733"/>
      <c r="E6376" s="733"/>
      <c r="G6376" s="733"/>
      <c r="H6376" s="733"/>
      <c r="I6376" s="733"/>
      <c r="J6376" s="733"/>
      <c r="K6376" s="733"/>
      <c r="L6376" s="733"/>
      <c r="M6376" s="733"/>
    </row>
    <row r="6377" spans="1:13" x14ac:dyDescent="0.3">
      <c r="A6377" s="733" t="s">
        <v>6397</v>
      </c>
      <c r="B6377" s="733" t="s">
        <v>612</v>
      </c>
      <c r="C6377" s="738" t="s">
        <v>6424</v>
      </c>
      <c r="D6377" s="733"/>
      <c r="E6377" s="733"/>
      <c r="G6377" s="733"/>
      <c r="H6377" s="733"/>
      <c r="I6377" s="733"/>
      <c r="J6377" s="733"/>
      <c r="K6377" s="733"/>
      <c r="L6377" s="733"/>
      <c r="M6377" s="733"/>
    </row>
    <row r="6378" spans="1:13" x14ac:dyDescent="0.3">
      <c r="A6378" s="733" t="s">
        <v>6397</v>
      </c>
      <c r="B6378" s="733" t="s">
        <v>612</v>
      </c>
      <c r="C6378" s="738" t="s">
        <v>6425</v>
      </c>
      <c r="D6378" s="733"/>
      <c r="E6378" s="733"/>
      <c r="G6378" s="733"/>
      <c r="H6378" s="733"/>
      <c r="I6378" s="733"/>
      <c r="J6378" s="733"/>
      <c r="K6378" s="733"/>
      <c r="L6378" s="733"/>
      <c r="M6378" s="733"/>
    </row>
    <row r="6379" spans="1:13" x14ac:dyDescent="0.3">
      <c r="A6379" s="733" t="s">
        <v>6397</v>
      </c>
      <c r="B6379" s="733" t="s">
        <v>612</v>
      </c>
      <c r="C6379" s="738" t="s">
        <v>6426</v>
      </c>
      <c r="D6379" s="733"/>
      <c r="E6379" s="733"/>
      <c r="G6379" s="733"/>
      <c r="H6379" s="733"/>
      <c r="I6379" s="733"/>
      <c r="J6379" s="733"/>
      <c r="K6379" s="733"/>
      <c r="L6379" s="733"/>
      <c r="M6379" s="733"/>
    </row>
    <row r="6380" spans="1:13" x14ac:dyDescent="0.3">
      <c r="A6380" s="733" t="s">
        <v>6397</v>
      </c>
      <c r="B6380" s="733" t="s">
        <v>612</v>
      </c>
      <c r="C6380" s="738" t="s">
        <v>6427</v>
      </c>
      <c r="D6380" s="733"/>
      <c r="E6380" s="733"/>
      <c r="G6380" s="733"/>
      <c r="H6380" s="733"/>
      <c r="I6380" s="733"/>
      <c r="J6380" s="733"/>
      <c r="K6380" s="733"/>
      <c r="L6380" s="733"/>
      <c r="M6380" s="733"/>
    </row>
    <row r="6381" spans="1:13" x14ac:dyDescent="0.3">
      <c r="A6381" s="733" t="s">
        <v>1760</v>
      </c>
      <c r="B6381" s="733" t="s">
        <v>645</v>
      </c>
      <c r="C6381" s="738" t="s">
        <v>6428</v>
      </c>
      <c r="D6381" s="733"/>
      <c r="E6381" s="733"/>
      <c r="G6381" s="733"/>
      <c r="H6381" s="733"/>
      <c r="I6381" s="733"/>
      <c r="J6381" s="733"/>
      <c r="K6381" s="733"/>
      <c r="L6381" s="733"/>
      <c r="M6381" s="733"/>
    </row>
    <row r="6382" spans="1:13" x14ac:dyDescent="0.3">
      <c r="A6382" s="733" t="s">
        <v>1760</v>
      </c>
      <c r="B6382" s="733" t="s">
        <v>645</v>
      </c>
      <c r="C6382" s="738" t="s">
        <v>6429</v>
      </c>
      <c r="D6382" s="733"/>
      <c r="E6382" s="733"/>
      <c r="G6382" s="733"/>
      <c r="H6382" s="733"/>
      <c r="I6382" s="733"/>
      <c r="J6382" s="733"/>
      <c r="K6382" s="733"/>
      <c r="L6382" s="733"/>
      <c r="M6382" s="733"/>
    </row>
    <row r="6383" spans="1:13" x14ac:dyDescent="0.3">
      <c r="A6383" s="733" t="s">
        <v>1760</v>
      </c>
      <c r="B6383" s="733" t="s">
        <v>645</v>
      </c>
      <c r="C6383" s="738" t="s">
        <v>6430</v>
      </c>
      <c r="D6383" s="733"/>
      <c r="E6383" s="733"/>
      <c r="G6383" s="733"/>
      <c r="H6383" s="733"/>
      <c r="I6383" s="733"/>
      <c r="J6383" s="733"/>
      <c r="K6383" s="733"/>
      <c r="L6383" s="733"/>
      <c r="M6383" s="733"/>
    </row>
    <row r="6384" spans="1:13" x14ac:dyDescent="0.3">
      <c r="A6384" s="733" t="s">
        <v>1760</v>
      </c>
      <c r="B6384" s="733" t="s">
        <v>645</v>
      </c>
      <c r="C6384" s="738" t="s">
        <v>6431</v>
      </c>
      <c r="D6384" s="733"/>
      <c r="E6384" s="733"/>
      <c r="G6384" s="733"/>
      <c r="H6384" s="733"/>
      <c r="I6384" s="733"/>
      <c r="J6384" s="733"/>
      <c r="K6384" s="733"/>
      <c r="L6384" s="733"/>
      <c r="M6384" s="733"/>
    </row>
    <row r="6385" spans="1:13" x14ac:dyDescent="0.3">
      <c r="A6385" s="733" t="s">
        <v>1760</v>
      </c>
      <c r="B6385" s="733" t="s">
        <v>645</v>
      </c>
      <c r="C6385" s="738" t="s">
        <v>6432</v>
      </c>
      <c r="D6385" s="733"/>
      <c r="E6385" s="733"/>
      <c r="G6385" s="733"/>
      <c r="H6385" s="733"/>
      <c r="I6385" s="733"/>
      <c r="J6385" s="733"/>
      <c r="K6385" s="733"/>
      <c r="L6385" s="733"/>
      <c r="M6385" s="733"/>
    </row>
    <row r="6386" spans="1:13" x14ac:dyDescent="0.3">
      <c r="A6386" s="733" t="s">
        <v>1760</v>
      </c>
      <c r="B6386" s="733" t="s">
        <v>645</v>
      </c>
      <c r="C6386" s="738" t="s">
        <v>6433</v>
      </c>
      <c r="D6386" s="733"/>
      <c r="E6386" s="733"/>
      <c r="G6386" s="733"/>
      <c r="H6386" s="733"/>
      <c r="I6386" s="733"/>
      <c r="J6386" s="733"/>
      <c r="K6386" s="733"/>
      <c r="L6386" s="733"/>
      <c r="M6386" s="733"/>
    </row>
    <row r="6387" spans="1:13" x14ac:dyDescent="0.3">
      <c r="A6387" s="733" t="s">
        <v>1760</v>
      </c>
      <c r="B6387" s="733" t="s">
        <v>645</v>
      </c>
      <c r="C6387" s="738" t="s">
        <v>6434</v>
      </c>
      <c r="D6387" s="733"/>
      <c r="E6387" s="733"/>
      <c r="G6387" s="733"/>
      <c r="H6387" s="733"/>
      <c r="I6387" s="733"/>
      <c r="J6387" s="733"/>
      <c r="K6387" s="733"/>
      <c r="L6387" s="733"/>
      <c r="M6387" s="733"/>
    </row>
    <row r="6388" spans="1:13" x14ac:dyDescent="0.3">
      <c r="A6388" s="733" t="s">
        <v>1760</v>
      </c>
      <c r="B6388" s="733" t="s">
        <v>645</v>
      </c>
      <c r="C6388" s="738" t="s">
        <v>6435</v>
      </c>
      <c r="D6388" s="733"/>
      <c r="E6388" s="733"/>
      <c r="G6388" s="733"/>
      <c r="H6388" s="733"/>
      <c r="I6388" s="733"/>
      <c r="J6388" s="733"/>
      <c r="K6388" s="733"/>
      <c r="L6388" s="733"/>
      <c r="M6388" s="733"/>
    </row>
    <row r="6389" spans="1:13" x14ac:dyDescent="0.3">
      <c r="A6389" s="733" t="s">
        <v>1760</v>
      </c>
      <c r="B6389" s="733" t="s">
        <v>645</v>
      </c>
      <c r="C6389" s="738" t="s">
        <v>6436</v>
      </c>
      <c r="D6389" s="733"/>
      <c r="E6389" s="733"/>
      <c r="G6389" s="733"/>
      <c r="H6389" s="733"/>
      <c r="I6389" s="733"/>
      <c r="J6389" s="733"/>
      <c r="K6389" s="733"/>
      <c r="L6389" s="733"/>
      <c r="M6389" s="733"/>
    </row>
    <row r="6390" spans="1:13" x14ac:dyDescent="0.3">
      <c r="A6390" s="733" t="s">
        <v>1760</v>
      </c>
      <c r="B6390" s="733" t="s">
        <v>645</v>
      </c>
      <c r="C6390" s="738" t="s">
        <v>6437</v>
      </c>
      <c r="D6390" s="733"/>
      <c r="E6390" s="733"/>
      <c r="G6390" s="733"/>
      <c r="H6390" s="733"/>
      <c r="I6390" s="733"/>
      <c r="J6390" s="733"/>
      <c r="K6390" s="733"/>
      <c r="L6390" s="733"/>
      <c r="M6390" s="733"/>
    </row>
    <row r="6391" spans="1:13" x14ac:dyDescent="0.3">
      <c r="A6391" s="733" t="s">
        <v>1760</v>
      </c>
      <c r="B6391" s="733" t="s">
        <v>664</v>
      </c>
      <c r="C6391" s="738" t="s">
        <v>6438</v>
      </c>
      <c r="D6391" s="733"/>
      <c r="E6391" s="733"/>
      <c r="G6391" s="733"/>
      <c r="H6391" s="733"/>
      <c r="I6391" s="733"/>
      <c r="J6391" s="733"/>
      <c r="K6391" s="733"/>
      <c r="L6391" s="733"/>
      <c r="M6391" s="733"/>
    </row>
    <row r="6392" spans="1:13" x14ac:dyDescent="0.3">
      <c r="A6392" s="733" t="s">
        <v>1760</v>
      </c>
      <c r="B6392" s="733" t="s">
        <v>664</v>
      </c>
      <c r="C6392" s="738" t="s">
        <v>6439</v>
      </c>
      <c r="D6392" s="733"/>
      <c r="E6392" s="733"/>
      <c r="G6392" s="733"/>
      <c r="H6392" s="733"/>
      <c r="I6392" s="733"/>
      <c r="J6392" s="733"/>
      <c r="K6392" s="733"/>
      <c r="L6392" s="733"/>
      <c r="M6392" s="733"/>
    </row>
    <row r="6393" spans="1:13" x14ac:dyDescent="0.3">
      <c r="A6393" s="733" t="s">
        <v>1760</v>
      </c>
      <c r="B6393" s="733" t="s">
        <v>664</v>
      </c>
      <c r="C6393" s="738" t="s">
        <v>6440</v>
      </c>
      <c r="D6393" s="733"/>
      <c r="E6393" s="733"/>
      <c r="G6393" s="733"/>
      <c r="H6393" s="733"/>
      <c r="I6393" s="733"/>
      <c r="J6393" s="733"/>
      <c r="K6393" s="733"/>
      <c r="L6393" s="733"/>
      <c r="M6393" s="733"/>
    </row>
    <row r="6394" spans="1:13" x14ac:dyDescent="0.3">
      <c r="A6394" s="733" t="s">
        <v>1760</v>
      </c>
      <c r="B6394" s="733" t="s">
        <v>664</v>
      </c>
      <c r="C6394" s="738" t="s">
        <v>6441</v>
      </c>
      <c r="D6394" s="733"/>
      <c r="E6394" s="733"/>
      <c r="G6394" s="733"/>
      <c r="H6394" s="733"/>
      <c r="I6394" s="733"/>
      <c r="J6394" s="733"/>
      <c r="K6394" s="733"/>
      <c r="L6394" s="733"/>
      <c r="M6394" s="733"/>
    </row>
    <row r="6395" spans="1:13" x14ac:dyDescent="0.3">
      <c r="A6395" s="733" t="s">
        <v>1760</v>
      </c>
      <c r="B6395" s="733" t="s">
        <v>664</v>
      </c>
      <c r="C6395" s="738" t="s">
        <v>6442</v>
      </c>
      <c r="D6395" s="733"/>
      <c r="E6395" s="733"/>
      <c r="G6395" s="733"/>
      <c r="H6395" s="733"/>
      <c r="I6395" s="733"/>
      <c r="J6395" s="733"/>
      <c r="K6395" s="733"/>
      <c r="L6395" s="733"/>
      <c r="M6395" s="733"/>
    </row>
    <row r="6396" spans="1:13" x14ac:dyDescent="0.3">
      <c r="A6396" s="733" t="s">
        <v>1760</v>
      </c>
      <c r="B6396" s="733" t="s">
        <v>664</v>
      </c>
      <c r="C6396" s="738" t="s">
        <v>6443</v>
      </c>
      <c r="D6396" s="733"/>
      <c r="E6396" s="733"/>
      <c r="G6396" s="733"/>
      <c r="H6396" s="733"/>
      <c r="I6396" s="733"/>
      <c r="J6396" s="733"/>
      <c r="K6396" s="733"/>
      <c r="L6396" s="733"/>
      <c r="M6396" s="733"/>
    </row>
    <row r="6397" spans="1:13" x14ac:dyDescent="0.3">
      <c r="A6397" s="733" t="s">
        <v>1760</v>
      </c>
      <c r="B6397" s="733" t="s">
        <v>664</v>
      </c>
      <c r="C6397" s="738" t="s">
        <v>6444</v>
      </c>
      <c r="D6397" s="733"/>
      <c r="E6397" s="733"/>
      <c r="G6397" s="733"/>
      <c r="H6397" s="733"/>
      <c r="I6397" s="733"/>
      <c r="J6397" s="733"/>
      <c r="K6397" s="733"/>
      <c r="L6397" s="733"/>
      <c r="M6397" s="733"/>
    </row>
    <row r="6398" spans="1:13" x14ac:dyDescent="0.3">
      <c r="A6398" s="733" t="s">
        <v>1760</v>
      </c>
      <c r="B6398" s="733" t="s">
        <v>664</v>
      </c>
      <c r="C6398" s="738" t="s">
        <v>6445</v>
      </c>
      <c r="D6398" s="733"/>
      <c r="E6398" s="733"/>
      <c r="G6398" s="733"/>
      <c r="H6398" s="733"/>
      <c r="I6398" s="733"/>
      <c r="J6398" s="733"/>
      <c r="K6398" s="733"/>
      <c r="L6398" s="733"/>
      <c r="M6398" s="733"/>
    </row>
    <row r="6399" spans="1:13" x14ac:dyDescent="0.3">
      <c r="A6399" s="733" t="s">
        <v>1760</v>
      </c>
      <c r="B6399" s="733" t="s">
        <v>664</v>
      </c>
      <c r="C6399" s="738" t="s">
        <v>6446</v>
      </c>
      <c r="D6399" s="733"/>
      <c r="E6399" s="733"/>
      <c r="G6399" s="733"/>
      <c r="H6399" s="733"/>
      <c r="I6399" s="733"/>
      <c r="J6399" s="733"/>
      <c r="K6399" s="733"/>
      <c r="L6399" s="733"/>
      <c r="M6399" s="733"/>
    </row>
    <row r="6400" spans="1:13" x14ac:dyDescent="0.3">
      <c r="A6400" s="733" t="s">
        <v>1760</v>
      </c>
      <c r="B6400" s="733" t="s">
        <v>664</v>
      </c>
      <c r="C6400" s="738" t="s">
        <v>6447</v>
      </c>
      <c r="D6400" s="733"/>
      <c r="E6400" s="733"/>
      <c r="G6400" s="733"/>
      <c r="H6400" s="733"/>
      <c r="I6400" s="733"/>
      <c r="J6400" s="733"/>
      <c r="K6400" s="733"/>
      <c r="L6400" s="733"/>
      <c r="M6400" s="733"/>
    </row>
    <row r="6401" spans="1:13" x14ac:dyDescent="0.3">
      <c r="A6401" s="733" t="s">
        <v>1760</v>
      </c>
      <c r="B6401" s="733" t="s">
        <v>612</v>
      </c>
      <c r="C6401" s="738" t="s">
        <v>6448</v>
      </c>
      <c r="D6401" s="733"/>
      <c r="E6401" s="733"/>
      <c r="G6401" s="733"/>
      <c r="H6401" s="733"/>
      <c r="I6401" s="733"/>
      <c r="J6401" s="733"/>
      <c r="K6401" s="733"/>
      <c r="L6401" s="733"/>
      <c r="M6401" s="733"/>
    </row>
    <row r="6402" spans="1:13" x14ac:dyDescent="0.3">
      <c r="A6402" s="733" t="s">
        <v>1760</v>
      </c>
      <c r="B6402" s="733" t="s">
        <v>612</v>
      </c>
      <c r="C6402" s="738" t="s">
        <v>6449</v>
      </c>
      <c r="D6402" s="733"/>
      <c r="E6402" s="733"/>
      <c r="G6402" s="733"/>
      <c r="H6402" s="733"/>
      <c r="I6402" s="733"/>
      <c r="J6402" s="733"/>
      <c r="K6402" s="733"/>
      <c r="L6402" s="733"/>
      <c r="M6402" s="733"/>
    </row>
    <row r="6403" spans="1:13" x14ac:dyDescent="0.3">
      <c r="A6403" s="733" t="s">
        <v>1760</v>
      </c>
      <c r="B6403" s="733" t="s">
        <v>612</v>
      </c>
      <c r="C6403" s="738" t="s">
        <v>6450</v>
      </c>
      <c r="D6403" s="733"/>
      <c r="E6403" s="733"/>
      <c r="G6403" s="733"/>
      <c r="H6403" s="733"/>
      <c r="I6403" s="733"/>
      <c r="J6403" s="733"/>
      <c r="K6403" s="733"/>
      <c r="L6403" s="733"/>
      <c r="M6403" s="733"/>
    </row>
    <row r="6404" spans="1:13" x14ac:dyDescent="0.3">
      <c r="A6404" s="733" t="s">
        <v>1760</v>
      </c>
      <c r="B6404" s="733" t="s">
        <v>612</v>
      </c>
      <c r="C6404" s="738" t="s">
        <v>6451</v>
      </c>
      <c r="D6404" s="733"/>
      <c r="E6404" s="733"/>
      <c r="G6404" s="733"/>
      <c r="H6404" s="733"/>
      <c r="I6404" s="733"/>
      <c r="J6404" s="733"/>
      <c r="K6404" s="733"/>
      <c r="L6404" s="733"/>
      <c r="M6404" s="733"/>
    </row>
    <row r="6405" spans="1:13" x14ac:dyDescent="0.3">
      <c r="A6405" s="733" t="s">
        <v>1760</v>
      </c>
      <c r="B6405" s="733" t="s">
        <v>612</v>
      </c>
      <c r="C6405" s="738" t="s">
        <v>6452</v>
      </c>
      <c r="D6405" s="733"/>
      <c r="E6405" s="733"/>
      <c r="G6405" s="733"/>
      <c r="H6405" s="733"/>
      <c r="I6405" s="733"/>
      <c r="J6405" s="733"/>
      <c r="K6405" s="733"/>
      <c r="L6405" s="733"/>
      <c r="M6405" s="733"/>
    </row>
    <row r="6406" spans="1:13" x14ac:dyDescent="0.3">
      <c r="A6406" s="733" t="s">
        <v>1760</v>
      </c>
      <c r="B6406" s="733" t="s">
        <v>612</v>
      </c>
      <c r="C6406" s="738" t="s">
        <v>6453</v>
      </c>
      <c r="D6406" s="733"/>
      <c r="E6406" s="733"/>
      <c r="G6406" s="733"/>
      <c r="H6406" s="733"/>
      <c r="I6406" s="733"/>
      <c r="J6406" s="733"/>
      <c r="K6406" s="733"/>
      <c r="L6406" s="733"/>
      <c r="M6406" s="733"/>
    </row>
    <row r="6407" spans="1:13" x14ac:dyDescent="0.3">
      <c r="A6407" s="733" t="s">
        <v>1760</v>
      </c>
      <c r="B6407" s="733" t="s">
        <v>612</v>
      </c>
      <c r="C6407" s="738" t="s">
        <v>6454</v>
      </c>
      <c r="D6407" s="733"/>
      <c r="E6407" s="733"/>
      <c r="G6407" s="733"/>
      <c r="H6407" s="733"/>
      <c r="I6407" s="733"/>
      <c r="J6407" s="733"/>
      <c r="K6407" s="733"/>
      <c r="L6407" s="733"/>
      <c r="M6407" s="733"/>
    </row>
    <row r="6408" spans="1:13" x14ac:dyDescent="0.3">
      <c r="A6408" s="733" t="s">
        <v>1760</v>
      </c>
      <c r="B6408" s="733" t="s">
        <v>612</v>
      </c>
      <c r="C6408" s="738" t="s">
        <v>6455</v>
      </c>
      <c r="D6408" s="733"/>
      <c r="E6408" s="733"/>
      <c r="G6408" s="733"/>
      <c r="H6408" s="733"/>
      <c r="I6408" s="733"/>
      <c r="J6408" s="733"/>
      <c r="K6408" s="733"/>
      <c r="L6408" s="733"/>
      <c r="M6408" s="733"/>
    </row>
    <row r="6409" spans="1:13" x14ac:dyDescent="0.3">
      <c r="A6409" s="733" t="s">
        <v>1760</v>
      </c>
      <c r="B6409" s="733" t="s">
        <v>612</v>
      </c>
      <c r="C6409" s="738" t="s">
        <v>6456</v>
      </c>
      <c r="D6409" s="733"/>
      <c r="E6409" s="733"/>
      <c r="G6409" s="733"/>
      <c r="H6409" s="733"/>
      <c r="I6409" s="733"/>
      <c r="J6409" s="733"/>
      <c r="K6409" s="733"/>
      <c r="L6409" s="733"/>
      <c r="M6409" s="733"/>
    </row>
    <row r="6410" spans="1:13" x14ac:dyDescent="0.3">
      <c r="A6410" s="733" t="s">
        <v>1760</v>
      </c>
      <c r="B6410" s="733" t="s">
        <v>612</v>
      </c>
      <c r="C6410" s="738" t="s">
        <v>6457</v>
      </c>
      <c r="D6410" s="733"/>
      <c r="E6410" s="733"/>
      <c r="G6410" s="733"/>
      <c r="H6410" s="733"/>
      <c r="I6410" s="733"/>
      <c r="J6410" s="733"/>
      <c r="K6410" s="733"/>
      <c r="L6410" s="733"/>
      <c r="M6410" s="733"/>
    </row>
    <row r="6411" spans="1:13" x14ac:dyDescent="0.3">
      <c r="A6411" s="733" t="s">
        <v>6458</v>
      </c>
      <c r="B6411" s="733" t="s">
        <v>645</v>
      </c>
      <c r="C6411" s="738" t="s">
        <v>6459</v>
      </c>
      <c r="D6411" s="733"/>
      <c r="E6411" s="733"/>
      <c r="G6411" s="733"/>
      <c r="H6411" s="733"/>
      <c r="I6411" s="733"/>
      <c r="J6411" s="733"/>
      <c r="K6411" s="733"/>
      <c r="L6411" s="733"/>
      <c r="M6411" s="733"/>
    </row>
    <row r="6412" spans="1:13" x14ac:dyDescent="0.3">
      <c r="A6412" s="733" t="s">
        <v>6458</v>
      </c>
      <c r="B6412" s="733" t="s">
        <v>645</v>
      </c>
      <c r="C6412" s="738" t="s">
        <v>6460</v>
      </c>
      <c r="D6412" s="733"/>
      <c r="E6412" s="733"/>
      <c r="G6412" s="733"/>
      <c r="H6412" s="733"/>
      <c r="I6412" s="733"/>
      <c r="J6412" s="733"/>
      <c r="K6412" s="733"/>
      <c r="L6412" s="733"/>
      <c r="M6412" s="733"/>
    </row>
    <row r="6413" spans="1:13" x14ac:dyDescent="0.3">
      <c r="A6413" s="733" t="s">
        <v>6458</v>
      </c>
      <c r="B6413" s="733" t="s">
        <v>645</v>
      </c>
      <c r="C6413" s="738" t="s">
        <v>6461</v>
      </c>
      <c r="D6413" s="733"/>
      <c r="E6413" s="733"/>
      <c r="G6413" s="733"/>
      <c r="H6413" s="733"/>
      <c r="I6413" s="733"/>
      <c r="J6413" s="733"/>
      <c r="K6413" s="733"/>
      <c r="L6413" s="733"/>
      <c r="M6413" s="733"/>
    </row>
    <row r="6414" spans="1:13" x14ac:dyDescent="0.3">
      <c r="A6414" s="733" t="s">
        <v>6458</v>
      </c>
      <c r="B6414" s="733" t="s">
        <v>645</v>
      </c>
      <c r="C6414" s="738" t="s">
        <v>6462</v>
      </c>
      <c r="D6414" s="733"/>
      <c r="E6414" s="733"/>
      <c r="G6414" s="733"/>
      <c r="H6414" s="733"/>
      <c r="I6414" s="733"/>
      <c r="J6414" s="733"/>
      <c r="K6414" s="733"/>
      <c r="L6414" s="733"/>
      <c r="M6414" s="733"/>
    </row>
    <row r="6415" spans="1:13" x14ac:dyDescent="0.3">
      <c r="A6415" s="733" t="s">
        <v>6458</v>
      </c>
      <c r="B6415" s="733" t="s">
        <v>645</v>
      </c>
      <c r="C6415" s="738" t="s">
        <v>6463</v>
      </c>
      <c r="D6415" s="733"/>
      <c r="E6415" s="733"/>
      <c r="G6415" s="733"/>
      <c r="H6415" s="733"/>
      <c r="I6415" s="733"/>
      <c r="J6415" s="733"/>
      <c r="K6415" s="733"/>
      <c r="L6415" s="733"/>
      <c r="M6415" s="733"/>
    </row>
    <row r="6416" spans="1:13" x14ac:dyDescent="0.3">
      <c r="A6416" s="733" t="s">
        <v>6458</v>
      </c>
      <c r="B6416" s="733" t="s">
        <v>645</v>
      </c>
      <c r="C6416" s="738" t="s">
        <v>6464</v>
      </c>
      <c r="D6416" s="733"/>
      <c r="E6416" s="733"/>
      <c r="G6416" s="733"/>
      <c r="H6416" s="733"/>
      <c r="I6416" s="733"/>
      <c r="J6416" s="733"/>
      <c r="K6416" s="733"/>
      <c r="L6416" s="733"/>
      <c r="M6416" s="733"/>
    </row>
    <row r="6417" spans="1:13" x14ac:dyDescent="0.3">
      <c r="A6417" s="733" t="s">
        <v>6458</v>
      </c>
      <c r="B6417" s="733" t="s">
        <v>645</v>
      </c>
      <c r="C6417" s="738" t="s">
        <v>6465</v>
      </c>
      <c r="D6417" s="733"/>
      <c r="E6417" s="733"/>
      <c r="G6417" s="733"/>
      <c r="H6417" s="733"/>
      <c r="I6417" s="733"/>
      <c r="J6417" s="733"/>
      <c r="K6417" s="733"/>
      <c r="L6417" s="733"/>
      <c r="M6417" s="733"/>
    </row>
    <row r="6418" spans="1:13" x14ac:dyDescent="0.3">
      <c r="A6418" s="733" t="s">
        <v>6458</v>
      </c>
      <c r="B6418" s="733" t="s">
        <v>645</v>
      </c>
      <c r="C6418" s="738" t="s">
        <v>6466</v>
      </c>
      <c r="D6418" s="733"/>
      <c r="E6418" s="733"/>
      <c r="G6418" s="733"/>
      <c r="H6418" s="733"/>
      <c r="I6418" s="733"/>
      <c r="J6418" s="733"/>
      <c r="K6418" s="733"/>
      <c r="L6418" s="733"/>
      <c r="M6418" s="733"/>
    </row>
    <row r="6419" spans="1:13" x14ac:dyDescent="0.3">
      <c r="A6419" s="733" t="s">
        <v>6458</v>
      </c>
      <c r="B6419" s="733" t="s">
        <v>645</v>
      </c>
      <c r="C6419" s="738" t="s">
        <v>6467</v>
      </c>
      <c r="D6419" s="733"/>
      <c r="E6419" s="733"/>
      <c r="G6419" s="733"/>
      <c r="H6419" s="733"/>
      <c r="I6419" s="733"/>
      <c r="J6419" s="733"/>
      <c r="K6419" s="733"/>
      <c r="L6419" s="733"/>
      <c r="M6419" s="733"/>
    </row>
    <row r="6420" spans="1:13" x14ac:dyDescent="0.3">
      <c r="A6420" s="733" t="s">
        <v>6458</v>
      </c>
      <c r="B6420" s="733" t="s">
        <v>645</v>
      </c>
      <c r="C6420" s="738" t="s">
        <v>6468</v>
      </c>
      <c r="D6420" s="733"/>
      <c r="E6420" s="733"/>
      <c r="G6420" s="733"/>
      <c r="H6420" s="733"/>
      <c r="I6420" s="733"/>
      <c r="J6420" s="733"/>
      <c r="K6420" s="733"/>
      <c r="L6420" s="733"/>
      <c r="M6420" s="733"/>
    </row>
    <row r="6421" spans="1:13" x14ac:dyDescent="0.3">
      <c r="A6421" s="733" t="s">
        <v>6458</v>
      </c>
      <c r="B6421" s="733" t="s">
        <v>664</v>
      </c>
      <c r="C6421" s="738" t="s">
        <v>6469</v>
      </c>
      <c r="D6421" s="733"/>
      <c r="E6421" s="733"/>
      <c r="G6421" s="733"/>
      <c r="H6421" s="733"/>
      <c r="I6421" s="733"/>
      <c r="J6421" s="733"/>
      <c r="K6421" s="733"/>
      <c r="L6421" s="733"/>
      <c r="M6421" s="733"/>
    </row>
    <row r="6422" spans="1:13" x14ac:dyDescent="0.3">
      <c r="A6422" s="733" t="s">
        <v>6458</v>
      </c>
      <c r="B6422" s="733" t="s">
        <v>664</v>
      </c>
      <c r="C6422" s="738" t="s">
        <v>6470</v>
      </c>
      <c r="D6422" s="733"/>
      <c r="E6422" s="733"/>
      <c r="G6422" s="733"/>
      <c r="H6422" s="733"/>
      <c r="I6422" s="733"/>
      <c r="J6422" s="733"/>
      <c r="K6422" s="733"/>
      <c r="L6422" s="733"/>
      <c r="M6422" s="733"/>
    </row>
    <row r="6423" spans="1:13" x14ac:dyDescent="0.3">
      <c r="A6423" s="733" t="s">
        <v>6458</v>
      </c>
      <c r="B6423" s="733" t="s">
        <v>664</v>
      </c>
      <c r="C6423" s="738" t="s">
        <v>6471</v>
      </c>
      <c r="D6423" s="733"/>
      <c r="E6423" s="733"/>
      <c r="G6423" s="733"/>
      <c r="H6423" s="733"/>
      <c r="I6423" s="733"/>
      <c r="J6423" s="733"/>
      <c r="K6423" s="733"/>
      <c r="L6423" s="733"/>
      <c r="M6423" s="733"/>
    </row>
    <row r="6424" spans="1:13" x14ac:dyDescent="0.3">
      <c r="A6424" s="733" t="s">
        <v>6458</v>
      </c>
      <c r="B6424" s="733" t="s">
        <v>664</v>
      </c>
      <c r="C6424" s="738" t="s">
        <v>6472</v>
      </c>
      <c r="D6424" s="733"/>
      <c r="E6424" s="733"/>
      <c r="G6424" s="733"/>
      <c r="H6424" s="733"/>
      <c r="I6424" s="733"/>
      <c r="J6424" s="733"/>
      <c r="K6424" s="733"/>
      <c r="L6424" s="733"/>
      <c r="M6424" s="733"/>
    </row>
    <row r="6425" spans="1:13" x14ac:dyDescent="0.3">
      <c r="A6425" s="733" t="s">
        <v>6458</v>
      </c>
      <c r="B6425" s="733" t="s">
        <v>664</v>
      </c>
      <c r="C6425" s="738" t="s">
        <v>6473</v>
      </c>
      <c r="D6425" s="733"/>
      <c r="E6425" s="733"/>
      <c r="G6425" s="733"/>
      <c r="H6425" s="733"/>
      <c r="I6425" s="733"/>
      <c r="J6425" s="733"/>
      <c r="K6425" s="733"/>
      <c r="L6425" s="733"/>
      <c r="M6425" s="733"/>
    </row>
    <row r="6426" spans="1:13" x14ac:dyDescent="0.3">
      <c r="A6426" s="733" t="s">
        <v>6458</v>
      </c>
      <c r="B6426" s="733" t="s">
        <v>664</v>
      </c>
      <c r="C6426" s="738" t="s">
        <v>6474</v>
      </c>
      <c r="D6426" s="733"/>
      <c r="E6426" s="733"/>
      <c r="G6426" s="733"/>
      <c r="H6426" s="733"/>
      <c r="I6426" s="733"/>
      <c r="J6426" s="733"/>
      <c r="K6426" s="733"/>
      <c r="L6426" s="733"/>
      <c r="M6426" s="733"/>
    </row>
    <row r="6427" spans="1:13" x14ac:dyDescent="0.3">
      <c r="A6427" s="733" t="s">
        <v>6458</v>
      </c>
      <c r="B6427" s="733" t="s">
        <v>664</v>
      </c>
      <c r="C6427" s="738" t="s">
        <v>6475</v>
      </c>
      <c r="D6427" s="733"/>
      <c r="E6427" s="733"/>
      <c r="G6427" s="733"/>
      <c r="H6427" s="733"/>
      <c r="I6427" s="733"/>
      <c r="J6427" s="733"/>
      <c r="K6427" s="733"/>
      <c r="L6427" s="733"/>
      <c r="M6427" s="733"/>
    </row>
    <row r="6428" spans="1:13" x14ac:dyDescent="0.3">
      <c r="A6428" s="733" t="s">
        <v>6458</v>
      </c>
      <c r="B6428" s="733" t="s">
        <v>664</v>
      </c>
      <c r="C6428" s="738" t="s">
        <v>6476</v>
      </c>
      <c r="D6428" s="733"/>
      <c r="E6428" s="733"/>
      <c r="G6428" s="733"/>
      <c r="H6428" s="733"/>
      <c r="I6428" s="733"/>
      <c r="J6428" s="733"/>
      <c r="K6428" s="733"/>
      <c r="L6428" s="733"/>
      <c r="M6428" s="733"/>
    </row>
    <row r="6429" spans="1:13" x14ac:dyDescent="0.3">
      <c r="A6429" s="733" t="s">
        <v>6458</v>
      </c>
      <c r="B6429" s="733" t="s">
        <v>664</v>
      </c>
      <c r="C6429" s="738" t="s">
        <v>6477</v>
      </c>
      <c r="D6429" s="733"/>
      <c r="E6429" s="733"/>
      <c r="G6429" s="733"/>
      <c r="H6429" s="733"/>
      <c r="I6429" s="733"/>
      <c r="J6429" s="733"/>
      <c r="K6429" s="733"/>
      <c r="L6429" s="733"/>
      <c r="M6429" s="733"/>
    </row>
    <row r="6430" spans="1:13" x14ac:dyDescent="0.3">
      <c r="A6430" s="733" t="s">
        <v>6458</v>
      </c>
      <c r="B6430" s="733" t="s">
        <v>664</v>
      </c>
      <c r="C6430" s="738" t="s">
        <v>6478</v>
      </c>
      <c r="D6430" s="733"/>
      <c r="E6430" s="733"/>
      <c r="G6430" s="733"/>
      <c r="H6430" s="733"/>
      <c r="I6430" s="733"/>
      <c r="J6430" s="733"/>
      <c r="K6430" s="733"/>
      <c r="L6430" s="733"/>
      <c r="M6430" s="733"/>
    </row>
    <row r="6431" spans="1:13" x14ac:dyDescent="0.3">
      <c r="A6431" s="733" t="s">
        <v>6458</v>
      </c>
      <c r="B6431" s="733" t="s">
        <v>612</v>
      </c>
      <c r="C6431" s="738" t="s">
        <v>6479</v>
      </c>
      <c r="D6431" s="733"/>
      <c r="E6431" s="733"/>
      <c r="G6431" s="733"/>
      <c r="H6431" s="733"/>
      <c r="I6431" s="733"/>
      <c r="J6431" s="733"/>
      <c r="K6431" s="733"/>
      <c r="L6431" s="733"/>
      <c r="M6431" s="733"/>
    </row>
    <row r="6432" spans="1:13" x14ac:dyDescent="0.3">
      <c r="A6432" s="733" t="s">
        <v>6458</v>
      </c>
      <c r="B6432" s="733" t="s">
        <v>612</v>
      </c>
      <c r="C6432" s="738" t="s">
        <v>6480</v>
      </c>
      <c r="D6432" s="733"/>
      <c r="E6432" s="733"/>
      <c r="G6432" s="733"/>
      <c r="H6432" s="733"/>
      <c r="I6432" s="733"/>
      <c r="J6432" s="733"/>
      <c r="K6432" s="733"/>
      <c r="L6432" s="733"/>
      <c r="M6432" s="733"/>
    </row>
    <row r="6433" spans="1:13" x14ac:dyDescent="0.3">
      <c r="A6433" s="733" t="s">
        <v>6458</v>
      </c>
      <c r="B6433" s="733" t="s">
        <v>612</v>
      </c>
      <c r="C6433" s="738" t="s">
        <v>6481</v>
      </c>
      <c r="D6433" s="733"/>
      <c r="E6433" s="733"/>
      <c r="G6433" s="733"/>
      <c r="H6433" s="733"/>
      <c r="I6433" s="733"/>
      <c r="J6433" s="733"/>
      <c r="K6433" s="733"/>
      <c r="L6433" s="733"/>
      <c r="M6433" s="733"/>
    </row>
    <row r="6434" spans="1:13" x14ac:dyDescent="0.3">
      <c r="A6434" s="733" t="s">
        <v>6458</v>
      </c>
      <c r="B6434" s="733" t="s">
        <v>612</v>
      </c>
      <c r="C6434" s="738" t="s">
        <v>6482</v>
      </c>
      <c r="D6434" s="733"/>
      <c r="E6434" s="733"/>
      <c r="G6434" s="733"/>
      <c r="H6434" s="733"/>
      <c r="I6434" s="733"/>
      <c r="J6434" s="733"/>
      <c r="K6434" s="733"/>
      <c r="L6434" s="733"/>
      <c r="M6434" s="733"/>
    </row>
    <row r="6435" spans="1:13" x14ac:dyDescent="0.3">
      <c r="A6435" s="733" t="s">
        <v>6458</v>
      </c>
      <c r="B6435" s="733" t="s">
        <v>612</v>
      </c>
      <c r="C6435" s="738" t="s">
        <v>6483</v>
      </c>
      <c r="D6435" s="733"/>
      <c r="E6435" s="733"/>
      <c r="G6435" s="733"/>
      <c r="H6435" s="733"/>
      <c r="I6435" s="733"/>
      <c r="J6435" s="733"/>
      <c r="K6435" s="733"/>
      <c r="L6435" s="733"/>
      <c r="M6435" s="733"/>
    </row>
    <row r="6436" spans="1:13" x14ac:dyDescent="0.3">
      <c r="A6436" s="733" t="s">
        <v>6458</v>
      </c>
      <c r="B6436" s="733" t="s">
        <v>612</v>
      </c>
      <c r="C6436" s="738" t="s">
        <v>6484</v>
      </c>
      <c r="D6436" s="733"/>
      <c r="E6436" s="733"/>
      <c r="G6436" s="733"/>
      <c r="H6436" s="733"/>
      <c r="I6436" s="733"/>
      <c r="J6436" s="733"/>
      <c r="K6436" s="733"/>
      <c r="L6436" s="733"/>
      <c r="M6436" s="733"/>
    </row>
    <row r="6437" spans="1:13" x14ac:dyDescent="0.3">
      <c r="A6437" s="733" t="s">
        <v>6458</v>
      </c>
      <c r="B6437" s="733" t="s">
        <v>612</v>
      </c>
      <c r="C6437" s="738" t="s">
        <v>6485</v>
      </c>
      <c r="D6437" s="733"/>
      <c r="E6437" s="733"/>
      <c r="G6437" s="733"/>
      <c r="H6437" s="733"/>
      <c r="I6437" s="733"/>
      <c r="J6437" s="733"/>
      <c r="K6437" s="733"/>
      <c r="L6437" s="733"/>
      <c r="M6437" s="733"/>
    </row>
    <row r="6438" spans="1:13" x14ac:dyDescent="0.3">
      <c r="A6438" s="733" t="s">
        <v>6458</v>
      </c>
      <c r="B6438" s="733" t="s">
        <v>612</v>
      </c>
      <c r="C6438" s="738" t="s">
        <v>6486</v>
      </c>
      <c r="D6438" s="733"/>
      <c r="E6438" s="733"/>
      <c r="G6438" s="733"/>
      <c r="H6438" s="733"/>
      <c r="I6438" s="733"/>
      <c r="J6438" s="733"/>
      <c r="K6438" s="733"/>
      <c r="L6438" s="733"/>
      <c r="M6438" s="733"/>
    </row>
    <row r="6439" spans="1:13" x14ac:dyDescent="0.3">
      <c r="A6439" s="733" t="s">
        <v>6458</v>
      </c>
      <c r="B6439" s="733" t="s">
        <v>612</v>
      </c>
      <c r="C6439" s="738" t="s">
        <v>6487</v>
      </c>
      <c r="D6439" s="733"/>
      <c r="E6439" s="733"/>
      <c r="G6439" s="733"/>
      <c r="H6439" s="733"/>
      <c r="I6439" s="733"/>
      <c r="J6439" s="733"/>
      <c r="K6439" s="733"/>
      <c r="L6439" s="733"/>
      <c r="M6439" s="733"/>
    </row>
    <row r="6440" spans="1:13" x14ac:dyDescent="0.3">
      <c r="A6440" s="733" t="s">
        <v>6458</v>
      </c>
      <c r="B6440" s="733" t="s">
        <v>612</v>
      </c>
      <c r="C6440" s="738" t="s">
        <v>6488</v>
      </c>
      <c r="D6440" s="733"/>
      <c r="E6440" s="733"/>
      <c r="G6440" s="733"/>
      <c r="H6440" s="733"/>
      <c r="I6440" s="733"/>
      <c r="J6440" s="733"/>
      <c r="K6440" s="733"/>
      <c r="L6440" s="733"/>
      <c r="M6440" s="733"/>
    </row>
    <row r="6441" spans="1:13" x14ac:dyDescent="0.3">
      <c r="A6441" s="733" t="s">
        <v>6489</v>
      </c>
      <c r="B6441" s="733" t="s">
        <v>645</v>
      </c>
      <c r="C6441" s="738" t="s">
        <v>6490</v>
      </c>
      <c r="D6441" s="733"/>
      <c r="E6441" s="733"/>
      <c r="G6441" s="733"/>
      <c r="H6441" s="733"/>
      <c r="I6441" s="733"/>
      <c r="J6441" s="733"/>
      <c r="K6441" s="733"/>
      <c r="L6441" s="733"/>
      <c r="M6441" s="733"/>
    </row>
    <row r="6442" spans="1:13" x14ac:dyDescent="0.3">
      <c r="A6442" s="733" t="s">
        <v>6489</v>
      </c>
      <c r="B6442" s="733" t="s">
        <v>645</v>
      </c>
      <c r="C6442" s="738" t="s">
        <v>6491</v>
      </c>
      <c r="D6442" s="733"/>
      <c r="E6442" s="733"/>
      <c r="G6442" s="733"/>
      <c r="H6442" s="733"/>
      <c r="I6442" s="733"/>
      <c r="J6442" s="733"/>
      <c r="K6442" s="733"/>
      <c r="L6442" s="733"/>
      <c r="M6442" s="733"/>
    </row>
    <row r="6443" spans="1:13" x14ac:dyDescent="0.3">
      <c r="A6443" s="733" t="s">
        <v>6489</v>
      </c>
      <c r="B6443" s="733" t="s">
        <v>645</v>
      </c>
      <c r="C6443" s="738" t="s">
        <v>6492</v>
      </c>
      <c r="D6443" s="733"/>
      <c r="E6443" s="733"/>
      <c r="G6443" s="733"/>
      <c r="H6443" s="733"/>
      <c r="I6443" s="733"/>
      <c r="J6443" s="733"/>
      <c r="K6443" s="733"/>
      <c r="L6443" s="733"/>
      <c r="M6443" s="733"/>
    </row>
    <row r="6444" spans="1:13" x14ac:dyDescent="0.3">
      <c r="A6444" s="733" t="s">
        <v>6489</v>
      </c>
      <c r="B6444" s="733" t="s">
        <v>645</v>
      </c>
      <c r="C6444" s="738" t="s">
        <v>6493</v>
      </c>
      <c r="D6444" s="733"/>
      <c r="E6444" s="733"/>
      <c r="G6444" s="733"/>
      <c r="H6444" s="733"/>
      <c r="I6444" s="733"/>
      <c r="J6444" s="733"/>
      <c r="K6444" s="733"/>
      <c r="L6444" s="733"/>
      <c r="M6444" s="733"/>
    </row>
    <row r="6445" spans="1:13" x14ac:dyDescent="0.3">
      <c r="A6445" s="733" t="s">
        <v>6489</v>
      </c>
      <c r="B6445" s="733" t="s">
        <v>645</v>
      </c>
      <c r="C6445" s="738" t="s">
        <v>6494</v>
      </c>
      <c r="D6445" s="733"/>
      <c r="E6445" s="733"/>
      <c r="G6445" s="733"/>
      <c r="H6445" s="733"/>
      <c r="I6445" s="733"/>
      <c r="J6445" s="733"/>
      <c r="K6445" s="733"/>
      <c r="L6445" s="733"/>
      <c r="M6445" s="733"/>
    </row>
    <row r="6446" spans="1:13" x14ac:dyDescent="0.3">
      <c r="A6446" s="733" t="s">
        <v>6489</v>
      </c>
      <c r="B6446" s="733" t="s">
        <v>645</v>
      </c>
      <c r="C6446" s="738" t="s">
        <v>6495</v>
      </c>
      <c r="D6446" s="733"/>
      <c r="E6446" s="733"/>
      <c r="G6446" s="733"/>
      <c r="H6446" s="733"/>
      <c r="I6446" s="733"/>
      <c r="J6446" s="733"/>
      <c r="K6446" s="733"/>
      <c r="L6446" s="733"/>
      <c r="M6446" s="733"/>
    </row>
    <row r="6447" spans="1:13" x14ac:dyDescent="0.3">
      <c r="A6447" s="733" t="s">
        <v>6489</v>
      </c>
      <c r="B6447" s="733" t="s">
        <v>645</v>
      </c>
      <c r="C6447" s="738" t="s">
        <v>6496</v>
      </c>
      <c r="D6447" s="733"/>
      <c r="E6447" s="733"/>
      <c r="G6447" s="733"/>
      <c r="H6447" s="733"/>
      <c r="I6447" s="733"/>
      <c r="J6447" s="733"/>
      <c r="K6447" s="733"/>
      <c r="L6447" s="733"/>
      <c r="M6447" s="733"/>
    </row>
    <row r="6448" spans="1:13" x14ac:dyDescent="0.3">
      <c r="A6448" s="733" t="s">
        <v>6489</v>
      </c>
      <c r="B6448" s="733" t="s">
        <v>645</v>
      </c>
      <c r="C6448" s="738" t="s">
        <v>6497</v>
      </c>
      <c r="D6448" s="733"/>
      <c r="E6448" s="733"/>
      <c r="G6448" s="733"/>
      <c r="H6448" s="733"/>
      <c r="I6448" s="733"/>
      <c r="J6448" s="733"/>
      <c r="K6448" s="733"/>
      <c r="L6448" s="733"/>
      <c r="M6448" s="733"/>
    </row>
    <row r="6449" spans="1:13" x14ac:dyDescent="0.3">
      <c r="A6449" s="733" t="s">
        <v>6489</v>
      </c>
      <c r="B6449" s="733" t="s">
        <v>645</v>
      </c>
      <c r="C6449" s="738" t="s">
        <v>6498</v>
      </c>
      <c r="D6449" s="733"/>
      <c r="E6449" s="733"/>
      <c r="G6449" s="733"/>
      <c r="H6449" s="733"/>
      <c r="I6449" s="733"/>
      <c r="J6449" s="733"/>
      <c r="K6449" s="733"/>
      <c r="L6449" s="733"/>
      <c r="M6449" s="733"/>
    </row>
    <row r="6450" spans="1:13" x14ac:dyDescent="0.3">
      <c r="A6450" s="733" t="s">
        <v>6489</v>
      </c>
      <c r="B6450" s="733" t="s">
        <v>645</v>
      </c>
      <c r="C6450" s="738" t="s">
        <v>6499</v>
      </c>
      <c r="D6450" s="733"/>
      <c r="E6450" s="733"/>
      <c r="G6450" s="733"/>
      <c r="H6450" s="733"/>
      <c r="I6450" s="733"/>
      <c r="J6450" s="733"/>
      <c r="K6450" s="733"/>
      <c r="L6450" s="733"/>
      <c r="M6450" s="733"/>
    </row>
    <row r="6451" spans="1:13" x14ac:dyDescent="0.3">
      <c r="A6451" s="733" t="s">
        <v>6489</v>
      </c>
      <c r="B6451" s="733" t="s">
        <v>664</v>
      </c>
      <c r="C6451" s="738" t="s">
        <v>6500</v>
      </c>
      <c r="D6451" s="733"/>
      <c r="E6451" s="733"/>
      <c r="G6451" s="733"/>
      <c r="H6451" s="733"/>
      <c r="I6451" s="733"/>
      <c r="J6451" s="733"/>
      <c r="K6451" s="733"/>
      <c r="L6451" s="733"/>
      <c r="M6451" s="733"/>
    </row>
    <row r="6452" spans="1:13" x14ac:dyDescent="0.3">
      <c r="A6452" s="733" t="s">
        <v>6489</v>
      </c>
      <c r="B6452" s="733" t="s">
        <v>664</v>
      </c>
      <c r="C6452" s="738" t="s">
        <v>6501</v>
      </c>
      <c r="D6452" s="733"/>
      <c r="E6452" s="733"/>
      <c r="G6452" s="733"/>
      <c r="H6452" s="733"/>
      <c r="I6452" s="733"/>
      <c r="J6452" s="733"/>
      <c r="K6452" s="733"/>
      <c r="L6452" s="733"/>
      <c r="M6452" s="733"/>
    </row>
    <row r="6453" spans="1:13" x14ac:dyDescent="0.3">
      <c r="A6453" s="733" t="s">
        <v>6489</v>
      </c>
      <c r="B6453" s="733" t="s">
        <v>664</v>
      </c>
      <c r="C6453" s="738" t="s">
        <v>6502</v>
      </c>
      <c r="D6453" s="733"/>
      <c r="E6453" s="733"/>
      <c r="G6453" s="733"/>
      <c r="H6453" s="733"/>
      <c r="I6453" s="733"/>
      <c r="J6453" s="733"/>
      <c r="K6453" s="733"/>
      <c r="L6453" s="733"/>
      <c r="M6453" s="733"/>
    </row>
    <row r="6454" spans="1:13" x14ac:dyDescent="0.3">
      <c r="A6454" s="733" t="s">
        <v>6489</v>
      </c>
      <c r="B6454" s="733" t="s">
        <v>664</v>
      </c>
      <c r="C6454" s="738" t="s">
        <v>6503</v>
      </c>
      <c r="D6454" s="733"/>
      <c r="E6454" s="733"/>
      <c r="G6454" s="733"/>
      <c r="H6454" s="733"/>
      <c r="I6454" s="733"/>
      <c r="J6454" s="733"/>
      <c r="K6454" s="733"/>
      <c r="L6454" s="733"/>
      <c r="M6454" s="733"/>
    </row>
    <row r="6455" spans="1:13" x14ac:dyDescent="0.3">
      <c r="A6455" s="733" t="s">
        <v>6489</v>
      </c>
      <c r="B6455" s="733" t="s">
        <v>664</v>
      </c>
      <c r="C6455" s="738" t="s">
        <v>6504</v>
      </c>
      <c r="D6455" s="733"/>
      <c r="E6455" s="733"/>
      <c r="G6455" s="733"/>
      <c r="H6455" s="733"/>
      <c r="I6455" s="733"/>
      <c r="J6455" s="733"/>
      <c r="K6455" s="733"/>
      <c r="L6455" s="733"/>
      <c r="M6455" s="733"/>
    </row>
    <row r="6456" spans="1:13" x14ac:dyDescent="0.3">
      <c r="A6456" s="733" t="s">
        <v>6489</v>
      </c>
      <c r="B6456" s="733" t="s">
        <v>664</v>
      </c>
      <c r="C6456" s="738" t="s">
        <v>6505</v>
      </c>
      <c r="D6456" s="733"/>
      <c r="E6456" s="733"/>
      <c r="G6456" s="733"/>
      <c r="H6456" s="733"/>
      <c r="I6456" s="733"/>
      <c r="J6456" s="733"/>
      <c r="K6456" s="733"/>
      <c r="L6456" s="733"/>
      <c r="M6456" s="733"/>
    </row>
    <row r="6457" spans="1:13" x14ac:dyDescent="0.3">
      <c r="A6457" s="733" t="s">
        <v>6489</v>
      </c>
      <c r="B6457" s="733" t="s">
        <v>664</v>
      </c>
      <c r="C6457" s="738" t="s">
        <v>6506</v>
      </c>
      <c r="D6457" s="733"/>
      <c r="E6457" s="733"/>
      <c r="G6457" s="733"/>
      <c r="H6457" s="733"/>
      <c r="I6457" s="733"/>
      <c r="J6457" s="733"/>
      <c r="K6457" s="733"/>
      <c r="L6457" s="733"/>
      <c r="M6457" s="733"/>
    </row>
    <row r="6458" spans="1:13" x14ac:dyDescent="0.3">
      <c r="A6458" s="733" t="s">
        <v>6489</v>
      </c>
      <c r="B6458" s="733" t="s">
        <v>664</v>
      </c>
      <c r="C6458" s="738" t="s">
        <v>6507</v>
      </c>
      <c r="D6458" s="733"/>
      <c r="E6458" s="733"/>
      <c r="G6458" s="733"/>
      <c r="H6458" s="733"/>
      <c r="I6458" s="733"/>
      <c r="J6458" s="733"/>
      <c r="K6458" s="733"/>
      <c r="L6458" s="733"/>
      <c r="M6458" s="733"/>
    </row>
    <row r="6459" spans="1:13" x14ac:dyDescent="0.3">
      <c r="A6459" s="733" t="s">
        <v>6489</v>
      </c>
      <c r="B6459" s="733" t="s">
        <v>664</v>
      </c>
      <c r="C6459" s="738" t="s">
        <v>6508</v>
      </c>
      <c r="D6459" s="733"/>
      <c r="E6459" s="733"/>
      <c r="G6459" s="733"/>
      <c r="H6459" s="733"/>
      <c r="I6459" s="733"/>
      <c r="J6459" s="733"/>
      <c r="K6459" s="733"/>
      <c r="L6459" s="733"/>
      <c r="M6459" s="733"/>
    </row>
    <row r="6460" spans="1:13" x14ac:dyDescent="0.3">
      <c r="A6460" s="733" t="s">
        <v>6489</v>
      </c>
      <c r="B6460" s="733" t="s">
        <v>664</v>
      </c>
      <c r="C6460" s="738" t="s">
        <v>6509</v>
      </c>
      <c r="D6460" s="733"/>
      <c r="E6460" s="733"/>
      <c r="G6460" s="733"/>
      <c r="H6460" s="733"/>
      <c r="I6460" s="733"/>
      <c r="J6460" s="733"/>
      <c r="K6460" s="733"/>
      <c r="L6460" s="733"/>
      <c r="M6460" s="733"/>
    </row>
    <row r="6461" spans="1:13" x14ac:dyDescent="0.3">
      <c r="A6461" s="733" t="s">
        <v>6489</v>
      </c>
      <c r="B6461" s="733" t="s">
        <v>612</v>
      </c>
      <c r="C6461" s="738" t="s">
        <v>6510</v>
      </c>
      <c r="D6461" s="733"/>
      <c r="E6461" s="733"/>
      <c r="G6461" s="733"/>
      <c r="H6461" s="733"/>
      <c r="I6461" s="733"/>
      <c r="J6461" s="733"/>
      <c r="K6461" s="733"/>
      <c r="L6461" s="733"/>
      <c r="M6461" s="733"/>
    </row>
    <row r="6462" spans="1:13" x14ac:dyDescent="0.3">
      <c r="A6462" s="733" t="s">
        <v>6489</v>
      </c>
      <c r="B6462" s="733" t="s">
        <v>612</v>
      </c>
      <c r="C6462" s="738" t="s">
        <v>6511</v>
      </c>
      <c r="D6462" s="733"/>
      <c r="E6462" s="733"/>
      <c r="G6462" s="733"/>
      <c r="H6462" s="733"/>
      <c r="I6462" s="733"/>
      <c r="J6462" s="733"/>
      <c r="K6462" s="733"/>
      <c r="L6462" s="733"/>
      <c r="M6462" s="733"/>
    </row>
    <row r="6463" spans="1:13" x14ac:dyDescent="0.3">
      <c r="A6463" s="733" t="s">
        <v>6489</v>
      </c>
      <c r="B6463" s="733" t="s">
        <v>612</v>
      </c>
      <c r="C6463" s="738" t="s">
        <v>6512</v>
      </c>
      <c r="D6463" s="733"/>
      <c r="E6463" s="733"/>
      <c r="G6463" s="733"/>
      <c r="H6463" s="733"/>
      <c r="I6463" s="733"/>
      <c r="J6463" s="733"/>
      <c r="K6463" s="733"/>
      <c r="L6463" s="733"/>
      <c r="M6463" s="733"/>
    </row>
    <row r="6464" spans="1:13" x14ac:dyDescent="0.3">
      <c r="A6464" s="733" t="s">
        <v>6489</v>
      </c>
      <c r="B6464" s="733" t="s">
        <v>612</v>
      </c>
      <c r="C6464" s="738" t="s">
        <v>6513</v>
      </c>
      <c r="D6464" s="733"/>
      <c r="E6464" s="733"/>
      <c r="G6464" s="733"/>
      <c r="H6464" s="733"/>
      <c r="I6464" s="733"/>
      <c r="J6464" s="733"/>
      <c r="K6464" s="733"/>
      <c r="L6464" s="733"/>
      <c r="M6464" s="733"/>
    </row>
    <row r="6465" spans="1:13" x14ac:dyDescent="0.3">
      <c r="A6465" s="733" t="s">
        <v>6489</v>
      </c>
      <c r="B6465" s="733" t="s">
        <v>612</v>
      </c>
      <c r="C6465" s="738" t="s">
        <v>6514</v>
      </c>
      <c r="D6465" s="733"/>
      <c r="E6465" s="733"/>
      <c r="G6465" s="733"/>
      <c r="H6465" s="733"/>
      <c r="I6465" s="733"/>
      <c r="J6465" s="733"/>
      <c r="K6465" s="733"/>
      <c r="L6465" s="733"/>
      <c r="M6465" s="733"/>
    </row>
    <row r="6466" spans="1:13" x14ac:dyDescent="0.3">
      <c r="A6466" s="733" t="s">
        <v>6489</v>
      </c>
      <c r="B6466" s="733" t="s">
        <v>612</v>
      </c>
      <c r="C6466" s="738" t="s">
        <v>6515</v>
      </c>
      <c r="D6466" s="733"/>
      <c r="E6466" s="733"/>
      <c r="G6466" s="733"/>
      <c r="H6466" s="733"/>
      <c r="I6466" s="733"/>
      <c r="J6466" s="733"/>
      <c r="K6466" s="733"/>
      <c r="L6466" s="733"/>
      <c r="M6466" s="733"/>
    </row>
    <row r="6467" spans="1:13" x14ac:dyDescent="0.3">
      <c r="A6467" s="733" t="s">
        <v>6489</v>
      </c>
      <c r="B6467" s="733" t="s">
        <v>612</v>
      </c>
      <c r="C6467" s="738" t="s">
        <v>6516</v>
      </c>
      <c r="D6467" s="733"/>
      <c r="E6467" s="733"/>
      <c r="G6467" s="733"/>
      <c r="H6467" s="733"/>
      <c r="I6467" s="733"/>
      <c r="J6467" s="733"/>
      <c r="K6467" s="733"/>
      <c r="L6467" s="733"/>
      <c r="M6467" s="733"/>
    </row>
    <row r="6468" spans="1:13" x14ac:dyDescent="0.3">
      <c r="A6468" s="733" t="s">
        <v>6489</v>
      </c>
      <c r="B6468" s="733" t="s">
        <v>612</v>
      </c>
      <c r="C6468" s="738" t="s">
        <v>6517</v>
      </c>
      <c r="D6468" s="733"/>
      <c r="E6468" s="733"/>
      <c r="G6468" s="733"/>
      <c r="H6468" s="733"/>
      <c r="I6468" s="733"/>
      <c r="J6468" s="733"/>
      <c r="K6468" s="733"/>
      <c r="L6468" s="733"/>
      <c r="M6468" s="733"/>
    </row>
    <row r="6469" spans="1:13" x14ac:dyDescent="0.3">
      <c r="A6469" s="733" t="s">
        <v>6489</v>
      </c>
      <c r="B6469" s="733" t="s">
        <v>612</v>
      </c>
      <c r="C6469" s="738" t="s">
        <v>6518</v>
      </c>
      <c r="D6469" s="733"/>
      <c r="E6469" s="733"/>
      <c r="G6469" s="733"/>
      <c r="H6469" s="733"/>
      <c r="I6469" s="733"/>
      <c r="J6469" s="733"/>
      <c r="K6469" s="733"/>
      <c r="L6469" s="733"/>
      <c r="M6469" s="733"/>
    </row>
    <row r="6470" spans="1:13" x14ac:dyDescent="0.3">
      <c r="A6470" s="733" t="s">
        <v>6489</v>
      </c>
      <c r="B6470" s="733" t="s">
        <v>612</v>
      </c>
      <c r="C6470" s="738" t="s">
        <v>6519</v>
      </c>
      <c r="D6470" s="733"/>
      <c r="E6470" s="733"/>
      <c r="G6470" s="733"/>
      <c r="H6470" s="733"/>
      <c r="I6470" s="733"/>
      <c r="J6470" s="733"/>
      <c r="K6470" s="733"/>
      <c r="L6470" s="733"/>
      <c r="M6470" s="733"/>
    </row>
    <row r="6471" spans="1:13" x14ac:dyDescent="0.3">
      <c r="A6471" s="733" t="s">
        <v>6520</v>
      </c>
      <c r="B6471" s="733" t="s">
        <v>645</v>
      </c>
      <c r="C6471" s="738" t="s">
        <v>6521</v>
      </c>
      <c r="D6471" s="733"/>
      <c r="E6471" s="733"/>
      <c r="G6471" s="733"/>
      <c r="H6471" s="733"/>
      <c r="I6471" s="733"/>
      <c r="J6471" s="733"/>
      <c r="K6471" s="733"/>
      <c r="L6471" s="733"/>
      <c r="M6471" s="733"/>
    </row>
    <row r="6472" spans="1:13" x14ac:dyDescent="0.3">
      <c r="A6472" s="733" t="s">
        <v>6520</v>
      </c>
      <c r="B6472" s="733" t="s">
        <v>645</v>
      </c>
      <c r="C6472" s="738" t="s">
        <v>6522</v>
      </c>
      <c r="D6472" s="733"/>
      <c r="E6472" s="733"/>
      <c r="G6472" s="733"/>
      <c r="H6472" s="733"/>
      <c r="I6472" s="733"/>
      <c r="J6472" s="733"/>
      <c r="K6472" s="733"/>
      <c r="L6472" s="733"/>
      <c r="M6472" s="733"/>
    </row>
    <row r="6473" spans="1:13" x14ac:dyDescent="0.3">
      <c r="A6473" s="733" t="s">
        <v>6520</v>
      </c>
      <c r="B6473" s="733" t="s">
        <v>645</v>
      </c>
      <c r="C6473" s="738" t="s">
        <v>6523</v>
      </c>
      <c r="D6473" s="733"/>
      <c r="E6473" s="733"/>
      <c r="G6473" s="733"/>
      <c r="H6473" s="733"/>
      <c r="I6473" s="733"/>
      <c r="J6473" s="733"/>
      <c r="K6473" s="733"/>
      <c r="L6473" s="733"/>
      <c r="M6473" s="733"/>
    </row>
    <row r="6474" spans="1:13" x14ac:dyDescent="0.3">
      <c r="A6474" s="733" t="s">
        <v>6520</v>
      </c>
      <c r="B6474" s="733" t="s">
        <v>645</v>
      </c>
      <c r="C6474" s="738" t="s">
        <v>6524</v>
      </c>
      <c r="D6474" s="733"/>
      <c r="E6474" s="733"/>
      <c r="G6474" s="733"/>
      <c r="H6474" s="733"/>
      <c r="I6474" s="733"/>
      <c r="J6474" s="733"/>
      <c r="K6474" s="733"/>
      <c r="L6474" s="733"/>
      <c r="M6474" s="733"/>
    </row>
    <row r="6475" spans="1:13" x14ac:dyDescent="0.3">
      <c r="A6475" s="733" t="s">
        <v>6520</v>
      </c>
      <c r="B6475" s="733" t="s">
        <v>645</v>
      </c>
      <c r="C6475" s="738" t="s">
        <v>6525</v>
      </c>
      <c r="D6475" s="733"/>
      <c r="E6475" s="733"/>
      <c r="G6475" s="733"/>
      <c r="H6475" s="733"/>
      <c r="I6475" s="733"/>
      <c r="J6475" s="733"/>
      <c r="K6475" s="733"/>
      <c r="L6475" s="733"/>
      <c r="M6475" s="733"/>
    </row>
    <row r="6476" spans="1:13" x14ac:dyDescent="0.3">
      <c r="A6476" s="733" t="s">
        <v>6520</v>
      </c>
      <c r="B6476" s="733" t="s">
        <v>645</v>
      </c>
      <c r="C6476" s="738" t="s">
        <v>6526</v>
      </c>
      <c r="D6476" s="733"/>
      <c r="E6476" s="733"/>
      <c r="G6476" s="733"/>
      <c r="H6476" s="733"/>
      <c r="I6476" s="733"/>
      <c r="J6476" s="733"/>
      <c r="K6476" s="733"/>
      <c r="L6476" s="733"/>
      <c r="M6476" s="733"/>
    </row>
    <row r="6477" spans="1:13" x14ac:dyDescent="0.3">
      <c r="A6477" s="733" t="s">
        <v>6520</v>
      </c>
      <c r="B6477" s="733" t="s">
        <v>645</v>
      </c>
      <c r="C6477" s="738" t="s">
        <v>6527</v>
      </c>
      <c r="D6477" s="733"/>
      <c r="E6477" s="733"/>
      <c r="G6477" s="733"/>
      <c r="H6477" s="733"/>
      <c r="I6477" s="733"/>
      <c r="J6477" s="733"/>
      <c r="K6477" s="733"/>
      <c r="L6477" s="733"/>
      <c r="M6477" s="733"/>
    </row>
    <row r="6478" spans="1:13" x14ac:dyDescent="0.3">
      <c r="A6478" s="733" t="s">
        <v>6520</v>
      </c>
      <c r="B6478" s="733" t="s">
        <v>645</v>
      </c>
      <c r="C6478" s="738" t="s">
        <v>6528</v>
      </c>
      <c r="D6478" s="733"/>
      <c r="E6478" s="733"/>
      <c r="G6478" s="733"/>
      <c r="H6478" s="733"/>
      <c r="I6478" s="733"/>
      <c r="J6478" s="733"/>
      <c r="K6478" s="733"/>
      <c r="L6478" s="733"/>
      <c r="M6478" s="733"/>
    </row>
    <row r="6479" spans="1:13" x14ac:dyDescent="0.3">
      <c r="A6479" s="733" t="s">
        <v>6520</v>
      </c>
      <c r="B6479" s="733" t="s">
        <v>645</v>
      </c>
      <c r="C6479" s="738" t="s">
        <v>6529</v>
      </c>
      <c r="D6479" s="733"/>
      <c r="E6479" s="733"/>
      <c r="G6479" s="733"/>
      <c r="H6479" s="733"/>
      <c r="I6479" s="733"/>
      <c r="J6479" s="733"/>
      <c r="K6479" s="733"/>
      <c r="L6479" s="733"/>
      <c r="M6479" s="733"/>
    </row>
    <row r="6480" spans="1:13" x14ac:dyDescent="0.3">
      <c r="A6480" s="733" t="s">
        <v>6520</v>
      </c>
      <c r="B6480" s="733" t="s">
        <v>645</v>
      </c>
      <c r="C6480" s="738" t="s">
        <v>6530</v>
      </c>
      <c r="D6480" s="733"/>
      <c r="E6480" s="733"/>
      <c r="G6480" s="733"/>
      <c r="H6480" s="733"/>
      <c r="I6480" s="733"/>
      <c r="J6480" s="733"/>
      <c r="K6480" s="733"/>
      <c r="L6480" s="733"/>
      <c r="M6480" s="733"/>
    </row>
    <row r="6481" spans="1:13" x14ac:dyDescent="0.3">
      <c r="A6481" s="733" t="s">
        <v>6520</v>
      </c>
      <c r="B6481" s="733" t="s">
        <v>664</v>
      </c>
      <c r="C6481" s="738" t="s">
        <v>6531</v>
      </c>
      <c r="D6481" s="733"/>
      <c r="E6481" s="733"/>
      <c r="G6481" s="733"/>
      <c r="H6481" s="733"/>
      <c r="I6481" s="733"/>
      <c r="J6481" s="733"/>
      <c r="K6481" s="733"/>
      <c r="L6481" s="733"/>
      <c r="M6481" s="733"/>
    </row>
    <row r="6482" spans="1:13" x14ac:dyDescent="0.3">
      <c r="A6482" s="733" t="s">
        <v>6520</v>
      </c>
      <c r="B6482" s="733" t="s">
        <v>664</v>
      </c>
      <c r="C6482" s="738" t="s">
        <v>6532</v>
      </c>
      <c r="D6482" s="733"/>
      <c r="E6482" s="733"/>
      <c r="G6482" s="733"/>
      <c r="H6482" s="733"/>
      <c r="I6482" s="733"/>
      <c r="J6482" s="733"/>
      <c r="K6482" s="733"/>
      <c r="L6482" s="733"/>
      <c r="M6482" s="733"/>
    </row>
    <row r="6483" spans="1:13" x14ac:dyDescent="0.3">
      <c r="A6483" s="733" t="s">
        <v>6520</v>
      </c>
      <c r="B6483" s="733" t="s">
        <v>664</v>
      </c>
      <c r="C6483" s="738" t="s">
        <v>6533</v>
      </c>
      <c r="D6483" s="733"/>
      <c r="E6483" s="733"/>
      <c r="G6483" s="733"/>
      <c r="H6483" s="733"/>
      <c r="I6483" s="733"/>
      <c r="J6483" s="733"/>
      <c r="K6483" s="733"/>
      <c r="L6483" s="733"/>
      <c r="M6483" s="733"/>
    </row>
    <row r="6484" spans="1:13" x14ac:dyDescent="0.3">
      <c r="A6484" s="733" t="s">
        <v>6520</v>
      </c>
      <c r="B6484" s="733" t="s">
        <v>664</v>
      </c>
      <c r="C6484" s="738" t="s">
        <v>6534</v>
      </c>
      <c r="D6484" s="733"/>
      <c r="E6484" s="733"/>
      <c r="G6484" s="733"/>
      <c r="H6484" s="733"/>
      <c r="I6484" s="733"/>
      <c r="J6484" s="733"/>
      <c r="K6484" s="733"/>
      <c r="L6484" s="733"/>
      <c r="M6484" s="733"/>
    </row>
    <row r="6485" spans="1:13" x14ac:dyDescent="0.3">
      <c r="A6485" s="733" t="s">
        <v>6520</v>
      </c>
      <c r="B6485" s="733" t="s">
        <v>664</v>
      </c>
      <c r="C6485" s="738" t="s">
        <v>6535</v>
      </c>
      <c r="D6485" s="733"/>
      <c r="E6485" s="733"/>
      <c r="G6485" s="733"/>
      <c r="H6485" s="733"/>
      <c r="I6485" s="733"/>
      <c r="J6485" s="733"/>
      <c r="K6485" s="733"/>
      <c r="L6485" s="733"/>
      <c r="M6485" s="733"/>
    </row>
    <row r="6486" spans="1:13" x14ac:dyDescent="0.3">
      <c r="A6486" s="733" t="s">
        <v>6520</v>
      </c>
      <c r="B6486" s="733" t="s">
        <v>664</v>
      </c>
      <c r="C6486" s="738" t="s">
        <v>6536</v>
      </c>
      <c r="D6486" s="733"/>
      <c r="E6486" s="733"/>
      <c r="G6486" s="733"/>
      <c r="H6486" s="733"/>
      <c r="I6486" s="733"/>
      <c r="J6486" s="733"/>
      <c r="K6486" s="733"/>
      <c r="L6486" s="733"/>
      <c r="M6486" s="733"/>
    </row>
    <row r="6487" spans="1:13" x14ac:dyDescent="0.3">
      <c r="A6487" s="733" t="s">
        <v>6520</v>
      </c>
      <c r="B6487" s="733" t="s">
        <v>664</v>
      </c>
      <c r="C6487" s="738" t="s">
        <v>6537</v>
      </c>
      <c r="D6487" s="733"/>
      <c r="E6487" s="733"/>
      <c r="G6487" s="733"/>
      <c r="H6487" s="733"/>
      <c r="I6487" s="733"/>
      <c r="J6487" s="733"/>
      <c r="K6487" s="733"/>
      <c r="L6487" s="733"/>
      <c r="M6487" s="733"/>
    </row>
    <row r="6488" spans="1:13" x14ac:dyDescent="0.3">
      <c r="A6488" s="733" t="s">
        <v>6520</v>
      </c>
      <c r="B6488" s="733" t="s">
        <v>664</v>
      </c>
      <c r="C6488" s="738" t="s">
        <v>6538</v>
      </c>
      <c r="D6488" s="733"/>
      <c r="E6488" s="733"/>
      <c r="G6488" s="733"/>
      <c r="H6488" s="733"/>
      <c r="I6488" s="733"/>
      <c r="J6488" s="733"/>
      <c r="K6488" s="733"/>
      <c r="L6488" s="733"/>
      <c r="M6488" s="733"/>
    </row>
    <row r="6489" spans="1:13" x14ac:dyDescent="0.3">
      <c r="A6489" s="733" t="s">
        <v>6520</v>
      </c>
      <c r="B6489" s="733" t="s">
        <v>664</v>
      </c>
      <c r="C6489" s="738" t="s">
        <v>6539</v>
      </c>
      <c r="D6489" s="733"/>
      <c r="E6489" s="733"/>
      <c r="G6489" s="733"/>
      <c r="H6489" s="733"/>
      <c r="I6489" s="733"/>
      <c r="J6489" s="733"/>
      <c r="K6489" s="733"/>
      <c r="L6489" s="733"/>
      <c r="M6489" s="733"/>
    </row>
    <row r="6490" spans="1:13" x14ac:dyDescent="0.3">
      <c r="A6490" s="733" t="s">
        <v>6520</v>
      </c>
      <c r="B6490" s="733" t="s">
        <v>664</v>
      </c>
      <c r="C6490" s="738" t="s">
        <v>6540</v>
      </c>
      <c r="D6490" s="733"/>
      <c r="E6490" s="733"/>
      <c r="G6490" s="733"/>
      <c r="H6490" s="733"/>
      <c r="I6490" s="733"/>
      <c r="J6490" s="733"/>
      <c r="K6490" s="733"/>
      <c r="L6490" s="733"/>
      <c r="M6490" s="733"/>
    </row>
    <row r="6491" spans="1:13" x14ac:dyDescent="0.3">
      <c r="A6491" s="733" t="s">
        <v>6520</v>
      </c>
      <c r="B6491" s="733" t="s">
        <v>612</v>
      </c>
      <c r="C6491" s="738" t="s">
        <v>6541</v>
      </c>
      <c r="D6491" s="733"/>
      <c r="E6491" s="733"/>
      <c r="G6491" s="733"/>
      <c r="H6491" s="733"/>
      <c r="I6491" s="733"/>
      <c r="J6491" s="733"/>
      <c r="K6491" s="733"/>
      <c r="L6491" s="733"/>
      <c r="M6491" s="733"/>
    </row>
    <row r="6492" spans="1:13" x14ac:dyDescent="0.3">
      <c r="A6492" s="733" t="s">
        <v>6520</v>
      </c>
      <c r="B6492" s="733" t="s">
        <v>612</v>
      </c>
      <c r="C6492" s="738" t="s">
        <v>6542</v>
      </c>
      <c r="D6492" s="733"/>
      <c r="E6492" s="733"/>
      <c r="G6492" s="733"/>
      <c r="H6492" s="733"/>
      <c r="I6492" s="733"/>
      <c r="J6492" s="733"/>
      <c r="K6492" s="733"/>
      <c r="L6492" s="733"/>
      <c r="M6492" s="733"/>
    </row>
    <row r="6493" spans="1:13" x14ac:dyDescent="0.3">
      <c r="A6493" s="733" t="s">
        <v>6520</v>
      </c>
      <c r="B6493" s="733" t="s">
        <v>612</v>
      </c>
      <c r="C6493" s="738" t="s">
        <v>6543</v>
      </c>
      <c r="D6493" s="733"/>
      <c r="E6493" s="733"/>
      <c r="G6493" s="733"/>
      <c r="H6493" s="733"/>
      <c r="I6493" s="733"/>
      <c r="J6493" s="733"/>
      <c r="K6493" s="733"/>
      <c r="L6493" s="733"/>
      <c r="M6493" s="733"/>
    </row>
    <row r="6494" spans="1:13" x14ac:dyDescent="0.3">
      <c r="A6494" s="733" t="s">
        <v>6520</v>
      </c>
      <c r="B6494" s="733" t="s">
        <v>612</v>
      </c>
      <c r="C6494" s="738" t="s">
        <v>6544</v>
      </c>
      <c r="D6494" s="733"/>
      <c r="E6494" s="733"/>
      <c r="G6494" s="733"/>
      <c r="H6494" s="733"/>
      <c r="I6494" s="733"/>
      <c r="J6494" s="733"/>
      <c r="K6494" s="733"/>
      <c r="L6494" s="733"/>
      <c r="M6494" s="733"/>
    </row>
    <row r="6495" spans="1:13" x14ac:dyDescent="0.3">
      <c r="A6495" s="733" t="s">
        <v>6520</v>
      </c>
      <c r="B6495" s="733" t="s">
        <v>612</v>
      </c>
      <c r="C6495" s="738" t="s">
        <v>6545</v>
      </c>
      <c r="D6495" s="733"/>
      <c r="E6495" s="733"/>
      <c r="G6495" s="733"/>
      <c r="H6495" s="733"/>
      <c r="I6495" s="733"/>
      <c r="J6495" s="733"/>
      <c r="K6495" s="733"/>
      <c r="L6495" s="733"/>
      <c r="M6495" s="733"/>
    </row>
    <row r="6496" spans="1:13" x14ac:dyDescent="0.3">
      <c r="A6496" s="733" t="s">
        <v>6520</v>
      </c>
      <c r="B6496" s="733" t="s">
        <v>612</v>
      </c>
      <c r="C6496" s="738" t="s">
        <v>6546</v>
      </c>
      <c r="D6496" s="733"/>
      <c r="E6496" s="733"/>
      <c r="G6496" s="733"/>
      <c r="H6496" s="733"/>
      <c r="I6496" s="733"/>
      <c r="J6496" s="733"/>
      <c r="K6496" s="733"/>
      <c r="L6496" s="733"/>
      <c r="M6496" s="733"/>
    </row>
    <row r="6497" spans="1:13" x14ac:dyDescent="0.3">
      <c r="A6497" s="733" t="s">
        <v>6520</v>
      </c>
      <c r="B6497" s="733" t="s">
        <v>612</v>
      </c>
      <c r="C6497" s="738" t="s">
        <v>6547</v>
      </c>
      <c r="D6497" s="733"/>
      <c r="E6497" s="733"/>
      <c r="G6497" s="733"/>
      <c r="H6497" s="733"/>
      <c r="I6497" s="733"/>
      <c r="J6497" s="733"/>
      <c r="K6497" s="733"/>
      <c r="L6497" s="733"/>
      <c r="M6497" s="733"/>
    </row>
    <row r="6498" spans="1:13" x14ac:dyDescent="0.3">
      <c r="A6498" s="733" t="s">
        <v>6520</v>
      </c>
      <c r="B6498" s="733" t="s">
        <v>612</v>
      </c>
      <c r="C6498" s="738" t="s">
        <v>6548</v>
      </c>
      <c r="D6498" s="733"/>
      <c r="E6498" s="733"/>
      <c r="G6498" s="733"/>
      <c r="H6498" s="733"/>
      <c r="I6498" s="733"/>
      <c r="J6498" s="733"/>
      <c r="K6498" s="733"/>
      <c r="L6498" s="733"/>
      <c r="M6498" s="733"/>
    </row>
    <row r="6499" spans="1:13" x14ac:dyDescent="0.3">
      <c r="A6499" s="733" t="s">
        <v>6520</v>
      </c>
      <c r="B6499" s="733" t="s">
        <v>612</v>
      </c>
      <c r="C6499" s="738" t="s">
        <v>6549</v>
      </c>
      <c r="D6499" s="733"/>
      <c r="E6499" s="733"/>
      <c r="G6499" s="733"/>
      <c r="H6499" s="733"/>
      <c r="I6499" s="733"/>
      <c r="J6499" s="733"/>
      <c r="K6499" s="733"/>
      <c r="L6499" s="733"/>
      <c r="M6499" s="733"/>
    </row>
    <row r="6500" spans="1:13" x14ac:dyDescent="0.3">
      <c r="A6500" s="733" t="s">
        <v>6520</v>
      </c>
      <c r="B6500" s="733" t="s">
        <v>612</v>
      </c>
      <c r="C6500" s="738" t="s">
        <v>6550</v>
      </c>
      <c r="D6500" s="733"/>
      <c r="E6500" s="733"/>
      <c r="G6500" s="733"/>
      <c r="H6500" s="733"/>
      <c r="I6500" s="733"/>
      <c r="J6500" s="733"/>
      <c r="K6500" s="733"/>
      <c r="L6500" s="733"/>
      <c r="M6500" s="733"/>
    </row>
    <row r="6501" spans="1:13" x14ac:dyDescent="0.3">
      <c r="A6501" s="733" t="s">
        <v>6551</v>
      </c>
      <c r="B6501" s="733" t="s">
        <v>645</v>
      </c>
      <c r="C6501" s="738" t="s">
        <v>6552</v>
      </c>
      <c r="D6501" s="733"/>
      <c r="E6501" s="733"/>
      <c r="G6501" s="733"/>
      <c r="H6501" s="733"/>
      <c r="I6501" s="733"/>
      <c r="J6501" s="733"/>
      <c r="K6501" s="733"/>
      <c r="L6501" s="733"/>
      <c r="M6501" s="733"/>
    </row>
    <row r="6502" spans="1:13" x14ac:dyDescent="0.3">
      <c r="A6502" s="733" t="s">
        <v>6551</v>
      </c>
      <c r="B6502" s="733" t="s">
        <v>645</v>
      </c>
      <c r="C6502" s="738" t="s">
        <v>6553</v>
      </c>
      <c r="D6502" s="733"/>
      <c r="E6502" s="733"/>
      <c r="G6502" s="733"/>
      <c r="H6502" s="733"/>
      <c r="I6502" s="733"/>
      <c r="J6502" s="733"/>
      <c r="K6502" s="733"/>
      <c r="L6502" s="733"/>
      <c r="M6502" s="733"/>
    </row>
    <row r="6503" spans="1:13" x14ac:dyDescent="0.3">
      <c r="A6503" s="733" t="s">
        <v>6551</v>
      </c>
      <c r="B6503" s="733" t="s">
        <v>645</v>
      </c>
      <c r="C6503" s="738" t="s">
        <v>6554</v>
      </c>
      <c r="D6503" s="733"/>
      <c r="E6503" s="733"/>
      <c r="G6503" s="733"/>
      <c r="H6503" s="733"/>
      <c r="I6503" s="733"/>
      <c r="J6503" s="733"/>
      <c r="K6503" s="733"/>
      <c r="L6503" s="733"/>
      <c r="M6503" s="733"/>
    </row>
    <row r="6504" spans="1:13" x14ac:dyDescent="0.3">
      <c r="A6504" s="733" t="s">
        <v>6551</v>
      </c>
      <c r="B6504" s="733" t="s">
        <v>645</v>
      </c>
      <c r="C6504" s="738" t="s">
        <v>6555</v>
      </c>
      <c r="D6504" s="733"/>
      <c r="E6504" s="733"/>
      <c r="G6504" s="733"/>
      <c r="H6504" s="733"/>
      <c r="I6504" s="733"/>
      <c r="J6504" s="733"/>
      <c r="K6504" s="733"/>
      <c r="L6504" s="733"/>
      <c r="M6504" s="733"/>
    </row>
    <row r="6505" spans="1:13" x14ac:dyDescent="0.3">
      <c r="A6505" s="733" t="s">
        <v>6551</v>
      </c>
      <c r="B6505" s="733" t="s">
        <v>645</v>
      </c>
      <c r="C6505" s="738" t="s">
        <v>6556</v>
      </c>
      <c r="D6505" s="733"/>
      <c r="E6505" s="733"/>
      <c r="G6505" s="733"/>
      <c r="H6505" s="733"/>
      <c r="I6505" s="733"/>
      <c r="J6505" s="733"/>
      <c r="K6505" s="733"/>
      <c r="L6505" s="733"/>
      <c r="M6505" s="733"/>
    </row>
    <row r="6506" spans="1:13" x14ac:dyDescent="0.3">
      <c r="A6506" s="733" t="s">
        <v>6551</v>
      </c>
      <c r="B6506" s="733" t="s">
        <v>645</v>
      </c>
      <c r="C6506" s="738" t="s">
        <v>6557</v>
      </c>
      <c r="D6506" s="733"/>
      <c r="E6506" s="733"/>
      <c r="G6506" s="733"/>
      <c r="H6506" s="733"/>
      <c r="I6506" s="733"/>
      <c r="J6506" s="733"/>
      <c r="K6506" s="733"/>
      <c r="L6506" s="733"/>
      <c r="M6506" s="733"/>
    </row>
    <row r="6507" spans="1:13" x14ac:dyDescent="0.3">
      <c r="A6507" s="733" t="s">
        <v>6551</v>
      </c>
      <c r="B6507" s="733" t="s">
        <v>645</v>
      </c>
      <c r="C6507" s="738" t="s">
        <v>6558</v>
      </c>
      <c r="D6507" s="733"/>
      <c r="E6507" s="733"/>
      <c r="G6507" s="733"/>
      <c r="H6507" s="733"/>
      <c r="I6507" s="733"/>
      <c r="J6507" s="733"/>
      <c r="K6507" s="733"/>
      <c r="L6507" s="733"/>
      <c r="M6507" s="733"/>
    </row>
    <row r="6508" spans="1:13" x14ac:dyDescent="0.3">
      <c r="A6508" s="733" t="s">
        <v>6551</v>
      </c>
      <c r="B6508" s="733" t="s">
        <v>645</v>
      </c>
      <c r="C6508" s="738" t="s">
        <v>6559</v>
      </c>
      <c r="D6508" s="733"/>
      <c r="E6508" s="733"/>
      <c r="G6508" s="733"/>
      <c r="H6508" s="733"/>
      <c r="I6508" s="733"/>
      <c r="J6508" s="733"/>
      <c r="K6508" s="733"/>
      <c r="L6508" s="733"/>
      <c r="M6508" s="733"/>
    </row>
    <row r="6509" spans="1:13" x14ac:dyDescent="0.3">
      <c r="A6509" s="733" t="s">
        <v>6551</v>
      </c>
      <c r="B6509" s="733" t="s">
        <v>645</v>
      </c>
      <c r="C6509" s="738" t="s">
        <v>6560</v>
      </c>
      <c r="D6509" s="733"/>
      <c r="E6509" s="733"/>
      <c r="G6509" s="733"/>
      <c r="H6509" s="733"/>
      <c r="I6509" s="733"/>
      <c r="J6509" s="733"/>
      <c r="K6509" s="733"/>
      <c r="L6509" s="733"/>
      <c r="M6509" s="733"/>
    </row>
    <row r="6510" spans="1:13" x14ac:dyDescent="0.3">
      <c r="A6510" s="733" t="s">
        <v>6551</v>
      </c>
      <c r="B6510" s="733" t="s">
        <v>645</v>
      </c>
      <c r="C6510" s="738" t="s">
        <v>6561</v>
      </c>
      <c r="D6510" s="733"/>
      <c r="E6510" s="733"/>
      <c r="G6510" s="733"/>
      <c r="H6510" s="733"/>
      <c r="I6510" s="733"/>
      <c r="J6510" s="733"/>
      <c r="K6510" s="733"/>
      <c r="L6510" s="733"/>
      <c r="M6510" s="733"/>
    </row>
    <row r="6511" spans="1:13" x14ac:dyDescent="0.3">
      <c r="A6511" s="733" t="s">
        <v>6551</v>
      </c>
      <c r="B6511" s="733" t="s">
        <v>664</v>
      </c>
      <c r="C6511" s="738" t="s">
        <v>6562</v>
      </c>
      <c r="D6511" s="733"/>
      <c r="E6511" s="733"/>
      <c r="G6511" s="733"/>
      <c r="H6511" s="733"/>
      <c r="I6511" s="733"/>
      <c r="J6511" s="733"/>
      <c r="K6511" s="733"/>
      <c r="L6511" s="733"/>
      <c r="M6511" s="733"/>
    </row>
    <row r="6512" spans="1:13" x14ac:dyDescent="0.3">
      <c r="A6512" s="733" t="s">
        <v>6551</v>
      </c>
      <c r="B6512" s="733" t="s">
        <v>664</v>
      </c>
      <c r="C6512" s="738" t="s">
        <v>6563</v>
      </c>
      <c r="D6512" s="733"/>
      <c r="E6512" s="733"/>
      <c r="G6512" s="733"/>
      <c r="H6512" s="733"/>
      <c r="I6512" s="733"/>
      <c r="J6512" s="733"/>
      <c r="K6512" s="733"/>
      <c r="L6512" s="733"/>
      <c r="M6512" s="733"/>
    </row>
    <row r="6513" spans="1:13" x14ac:dyDescent="0.3">
      <c r="A6513" s="733" t="s">
        <v>6551</v>
      </c>
      <c r="B6513" s="733" t="s">
        <v>664</v>
      </c>
      <c r="C6513" s="738" t="s">
        <v>6564</v>
      </c>
      <c r="D6513" s="733"/>
      <c r="E6513" s="733"/>
      <c r="G6513" s="733"/>
      <c r="H6513" s="733"/>
      <c r="I6513" s="733"/>
      <c r="J6513" s="733"/>
      <c r="K6513" s="733"/>
      <c r="L6513" s="733"/>
      <c r="M6513" s="733"/>
    </row>
    <row r="6514" spans="1:13" x14ac:dyDescent="0.3">
      <c r="A6514" s="733" t="s">
        <v>6551</v>
      </c>
      <c r="B6514" s="733" t="s">
        <v>664</v>
      </c>
      <c r="C6514" s="738" t="s">
        <v>6565</v>
      </c>
      <c r="D6514" s="733"/>
      <c r="E6514" s="733"/>
      <c r="G6514" s="733"/>
      <c r="H6514" s="733"/>
      <c r="I6514" s="733"/>
      <c r="J6514" s="733"/>
      <c r="K6514" s="733"/>
      <c r="L6514" s="733"/>
      <c r="M6514" s="733"/>
    </row>
    <row r="6515" spans="1:13" x14ac:dyDescent="0.3">
      <c r="A6515" s="733" t="s">
        <v>6551</v>
      </c>
      <c r="B6515" s="733" t="s">
        <v>664</v>
      </c>
      <c r="C6515" s="738" t="s">
        <v>6566</v>
      </c>
      <c r="D6515" s="733"/>
      <c r="E6515" s="733"/>
      <c r="G6515" s="733"/>
      <c r="H6515" s="733"/>
      <c r="I6515" s="733"/>
      <c r="J6515" s="733"/>
      <c r="K6515" s="733"/>
      <c r="L6515" s="733"/>
      <c r="M6515" s="733"/>
    </row>
    <row r="6516" spans="1:13" x14ac:dyDescent="0.3">
      <c r="A6516" s="733" t="s">
        <v>6551</v>
      </c>
      <c r="B6516" s="733" t="s">
        <v>664</v>
      </c>
      <c r="C6516" s="738" t="s">
        <v>6567</v>
      </c>
      <c r="D6516" s="733"/>
      <c r="E6516" s="733"/>
      <c r="G6516" s="733"/>
      <c r="H6516" s="733"/>
      <c r="I6516" s="733"/>
      <c r="J6516" s="733"/>
      <c r="K6516" s="733"/>
      <c r="L6516" s="733"/>
      <c r="M6516" s="733"/>
    </row>
    <row r="6517" spans="1:13" x14ac:dyDescent="0.3">
      <c r="A6517" s="733" t="s">
        <v>6551</v>
      </c>
      <c r="B6517" s="733" t="s">
        <v>664</v>
      </c>
      <c r="C6517" s="738" t="s">
        <v>6568</v>
      </c>
      <c r="D6517" s="733"/>
      <c r="E6517" s="733"/>
      <c r="G6517" s="733"/>
      <c r="H6517" s="733"/>
      <c r="I6517" s="733"/>
      <c r="J6517" s="733"/>
      <c r="K6517" s="733"/>
      <c r="L6517" s="733"/>
      <c r="M6517" s="733"/>
    </row>
    <row r="6518" spans="1:13" x14ac:dyDescent="0.3">
      <c r="A6518" s="733" t="s">
        <v>6551</v>
      </c>
      <c r="B6518" s="733" t="s">
        <v>664</v>
      </c>
      <c r="C6518" s="738" t="s">
        <v>6569</v>
      </c>
      <c r="D6518" s="733"/>
      <c r="E6518" s="733"/>
      <c r="G6518" s="733"/>
      <c r="H6518" s="733"/>
      <c r="I6518" s="733"/>
      <c r="J6518" s="733"/>
      <c r="K6518" s="733"/>
      <c r="L6518" s="733"/>
      <c r="M6518" s="733"/>
    </row>
    <row r="6519" spans="1:13" x14ac:dyDescent="0.3">
      <c r="A6519" s="733" t="s">
        <v>6551</v>
      </c>
      <c r="B6519" s="733" t="s">
        <v>664</v>
      </c>
      <c r="C6519" s="738" t="s">
        <v>6570</v>
      </c>
      <c r="D6519" s="733"/>
      <c r="E6519" s="733"/>
      <c r="G6519" s="733"/>
      <c r="H6519" s="733"/>
      <c r="I6519" s="733"/>
      <c r="J6519" s="733"/>
      <c r="K6519" s="733"/>
      <c r="L6519" s="733"/>
      <c r="M6519" s="733"/>
    </row>
    <row r="6520" spans="1:13" x14ac:dyDescent="0.3">
      <c r="A6520" s="733" t="s">
        <v>6551</v>
      </c>
      <c r="B6520" s="733" t="s">
        <v>664</v>
      </c>
      <c r="C6520" s="738" t="s">
        <v>6571</v>
      </c>
      <c r="D6520" s="733"/>
      <c r="E6520" s="733"/>
      <c r="G6520" s="733"/>
      <c r="H6520" s="733"/>
      <c r="I6520" s="733"/>
      <c r="J6520" s="733"/>
      <c r="K6520" s="733"/>
      <c r="L6520" s="733"/>
      <c r="M6520" s="733"/>
    </row>
    <row r="6521" spans="1:13" x14ac:dyDescent="0.3">
      <c r="A6521" s="733" t="s">
        <v>6551</v>
      </c>
      <c r="B6521" s="733" t="s">
        <v>612</v>
      </c>
      <c r="C6521" s="738" t="s">
        <v>6572</v>
      </c>
      <c r="D6521" s="733"/>
      <c r="E6521" s="733"/>
      <c r="G6521" s="733"/>
      <c r="H6521" s="733"/>
      <c r="I6521" s="733"/>
      <c r="J6521" s="733"/>
      <c r="K6521" s="733"/>
      <c r="L6521" s="733"/>
      <c r="M6521" s="733"/>
    </row>
    <row r="6522" spans="1:13" x14ac:dyDescent="0.3">
      <c r="A6522" s="733" t="s">
        <v>6551</v>
      </c>
      <c r="B6522" s="733" t="s">
        <v>612</v>
      </c>
      <c r="C6522" s="738" t="s">
        <v>6573</v>
      </c>
      <c r="D6522" s="733"/>
      <c r="E6522" s="733"/>
      <c r="G6522" s="733"/>
      <c r="H6522" s="733"/>
      <c r="I6522" s="733"/>
      <c r="J6522" s="733"/>
      <c r="K6522" s="733"/>
      <c r="L6522" s="733"/>
      <c r="M6522" s="733"/>
    </row>
    <row r="6523" spans="1:13" x14ac:dyDescent="0.3">
      <c r="A6523" s="733" t="s">
        <v>6551</v>
      </c>
      <c r="B6523" s="733" t="s">
        <v>612</v>
      </c>
      <c r="C6523" s="738" t="s">
        <v>6574</v>
      </c>
      <c r="D6523" s="733"/>
      <c r="E6523" s="733"/>
      <c r="G6523" s="733"/>
      <c r="H6523" s="733"/>
      <c r="I6523" s="733"/>
      <c r="J6523" s="733"/>
      <c r="K6523" s="733"/>
      <c r="L6523" s="733"/>
      <c r="M6523" s="733"/>
    </row>
    <row r="6524" spans="1:13" x14ac:dyDescent="0.3">
      <c r="A6524" s="733" t="s">
        <v>6551</v>
      </c>
      <c r="B6524" s="733" t="s">
        <v>612</v>
      </c>
      <c r="C6524" s="738" t="s">
        <v>6575</v>
      </c>
      <c r="D6524" s="733"/>
      <c r="E6524" s="733"/>
      <c r="G6524" s="733"/>
      <c r="H6524" s="733"/>
      <c r="I6524" s="733"/>
      <c r="J6524" s="733"/>
      <c r="K6524" s="733"/>
      <c r="L6524" s="733"/>
      <c r="M6524" s="733"/>
    </row>
    <row r="6525" spans="1:13" x14ac:dyDescent="0.3">
      <c r="A6525" s="733" t="s">
        <v>6551</v>
      </c>
      <c r="B6525" s="733" t="s">
        <v>612</v>
      </c>
      <c r="C6525" s="738" t="s">
        <v>6576</v>
      </c>
      <c r="D6525" s="733"/>
      <c r="E6525" s="733"/>
      <c r="G6525" s="733"/>
      <c r="H6525" s="733"/>
      <c r="I6525" s="733"/>
      <c r="J6525" s="733"/>
      <c r="K6525" s="733"/>
      <c r="L6525" s="733"/>
      <c r="M6525" s="733"/>
    </row>
    <row r="6526" spans="1:13" x14ac:dyDescent="0.3">
      <c r="A6526" s="733" t="s">
        <v>6551</v>
      </c>
      <c r="B6526" s="733" t="s">
        <v>612</v>
      </c>
      <c r="C6526" s="738" t="s">
        <v>6577</v>
      </c>
      <c r="D6526" s="733"/>
      <c r="E6526" s="733"/>
      <c r="G6526" s="733"/>
      <c r="H6526" s="733"/>
      <c r="I6526" s="733"/>
      <c r="J6526" s="733"/>
      <c r="K6526" s="733"/>
      <c r="L6526" s="733"/>
      <c r="M6526" s="733"/>
    </row>
    <row r="6527" spans="1:13" x14ac:dyDescent="0.3">
      <c r="A6527" s="733" t="s">
        <v>6551</v>
      </c>
      <c r="B6527" s="733" t="s">
        <v>612</v>
      </c>
      <c r="C6527" s="738" t="s">
        <v>6578</v>
      </c>
      <c r="D6527" s="733"/>
      <c r="E6527" s="733"/>
      <c r="G6527" s="733"/>
      <c r="H6527" s="733"/>
      <c r="I6527" s="733"/>
      <c r="J6527" s="733"/>
      <c r="K6527" s="733"/>
      <c r="L6527" s="733"/>
      <c r="M6527" s="733"/>
    </row>
    <row r="6528" spans="1:13" x14ac:dyDescent="0.3">
      <c r="A6528" s="733" t="s">
        <v>6551</v>
      </c>
      <c r="B6528" s="733" t="s">
        <v>612</v>
      </c>
      <c r="C6528" s="738" t="s">
        <v>6579</v>
      </c>
      <c r="D6528" s="733"/>
      <c r="E6528" s="733"/>
      <c r="G6528" s="733"/>
      <c r="H6528" s="733"/>
      <c r="I6528" s="733"/>
      <c r="J6528" s="733"/>
      <c r="K6528" s="733"/>
      <c r="L6528" s="733"/>
      <c r="M6528" s="733"/>
    </row>
    <row r="6529" spans="1:13" x14ac:dyDescent="0.3">
      <c r="A6529" s="733" t="s">
        <v>6551</v>
      </c>
      <c r="B6529" s="733" t="s">
        <v>612</v>
      </c>
      <c r="C6529" s="738" t="s">
        <v>6580</v>
      </c>
      <c r="D6529" s="733"/>
      <c r="E6529" s="733"/>
      <c r="G6529" s="733"/>
      <c r="H6529" s="733"/>
      <c r="I6529" s="733"/>
      <c r="J6529" s="733"/>
      <c r="K6529" s="733"/>
      <c r="L6529" s="733"/>
      <c r="M6529" s="733"/>
    </row>
    <row r="6530" spans="1:13" x14ac:dyDescent="0.3">
      <c r="A6530" s="733" t="s">
        <v>6551</v>
      </c>
      <c r="B6530" s="733" t="s">
        <v>612</v>
      </c>
      <c r="C6530" s="738" t="s">
        <v>6581</v>
      </c>
      <c r="D6530" s="733"/>
      <c r="E6530" s="733"/>
      <c r="G6530" s="733"/>
      <c r="H6530" s="733"/>
      <c r="I6530" s="733"/>
      <c r="J6530" s="733"/>
      <c r="K6530" s="733"/>
      <c r="L6530" s="733"/>
      <c r="M6530" s="733"/>
    </row>
    <row r="6531" spans="1:13" x14ac:dyDescent="0.3">
      <c r="A6531" s="733" t="s">
        <v>6582</v>
      </c>
      <c r="B6531" s="733" t="s">
        <v>645</v>
      </c>
      <c r="C6531" s="738" t="s">
        <v>6583</v>
      </c>
      <c r="D6531" s="733"/>
      <c r="E6531" s="733"/>
      <c r="G6531" s="733"/>
      <c r="H6531" s="733"/>
      <c r="I6531" s="733"/>
      <c r="J6531" s="733"/>
      <c r="K6531" s="733"/>
      <c r="L6531" s="733"/>
      <c r="M6531" s="733"/>
    </row>
    <row r="6532" spans="1:13" x14ac:dyDescent="0.3">
      <c r="A6532" s="733" t="s">
        <v>6582</v>
      </c>
      <c r="B6532" s="733" t="s">
        <v>645</v>
      </c>
      <c r="C6532" s="738" t="s">
        <v>6584</v>
      </c>
      <c r="D6532" s="733"/>
      <c r="E6532" s="733"/>
      <c r="G6532" s="733"/>
      <c r="H6532" s="733"/>
      <c r="I6532" s="733"/>
      <c r="J6532" s="733"/>
      <c r="K6532" s="733"/>
      <c r="L6532" s="733"/>
      <c r="M6532" s="733"/>
    </row>
    <row r="6533" spans="1:13" x14ac:dyDescent="0.3">
      <c r="A6533" s="733" t="s">
        <v>6582</v>
      </c>
      <c r="B6533" s="733" t="s">
        <v>645</v>
      </c>
      <c r="C6533" s="738" t="s">
        <v>6585</v>
      </c>
      <c r="D6533" s="733"/>
      <c r="E6533" s="733"/>
      <c r="G6533" s="733"/>
      <c r="H6533" s="733"/>
      <c r="I6533" s="733"/>
      <c r="J6533" s="733"/>
      <c r="K6533" s="733"/>
      <c r="L6533" s="733"/>
      <c r="M6533" s="733"/>
    </row>
    <row r="6534" spans="1:13" x14ac:dyDescent="0.3">
      <c r="A6534" s="733" t="s">
        <v>6582</v>
      </c>
      <c r="B6534" s="733" t="s">
        <v>645</v>
      </c>
      <c r="C6534" s="738" t="s">
        <v>6586</v>
      </c>
      <c r="D6534" s="733"/>
      <c r="E6534" s="733"/>
      <c r="G6534" s="733"/>
      <c r="H6534" s="733"/>
      <c r="I6534" s="733"/>
      <c r="J6534" s="733"/>
      <c r="K6534" s="733"/>
      <c r="L6534" s="733"/>
      <c r="M6534" s="733"/>
    </row>
    <row r="6535" spans="1:13" x14ac:dyDescent="0.3">
      <c r="A6535" s="733" t="s">
        <v>6582</v>
      </c>
      <c r="B6535" s="733" t="s">
        <v>645</v>
      </c>
      <c r="C6535" s="738" t="s">
        <v>6587</v>
      </c>
      <c r="D6535" s="733"/>
      <c r="E6535" s="733"/>
      <c r="G6535" s="733"/>
      <c r="H6535" s="733"/>
      <c r="I6535" s="733"/>
      <c r="J6535" s="733"/>
      <c r="K6535" s="733"/>
      <c r="L6535" s="733"/>
      <c r="M6535" s="733"/>
    </row>
    <row r="6536" spans="1:13" x14ac:dyDescent="0.3">
      <c r="A6536" s="733" t="s">
        <v>6582</v>
      </c>
      <c r="B6536" s="733" t="s">
        <v>645</v>
      </c>
      <c r="C6536" s="738" t="s">
        <v>6588</v>
      </c>
      <c r="D6536" s="733"/>
      <c r="E6536" s="733"/>
      <c r="G6536" s="733"/>
      <c r="H6536" s="733"/>
      <c r="I6536" s="733"/>
      <c r="J6536" s="733"/>
      <c r="K6536" s="733"/>
      <c r="L6536" s="733"/>
      <c r="M6536" s="733"/>
    </row>
    <row r="6537" spans="1:13" x14ac:dyDescent="0.3">
      <c r="A6537" s="733" t="s">
        <v>6582</v>
      </c>
      <c r="B6537" s="733" t="s">
        <v>645</v>
      </c>
      <c r="C6537" s="738" t="s">
        <v>6589</v>
      </c>
      <c r="D6537" s="733"/>
      <c r="E6537" s="733"/>
      <c r="G6537" s="733"/>
      <c r="H6537" s="733"/>
      <c r="I6537" s="733"/>
      <c r="J6537" s="733"/>
      <c r="K6537" s="733"/>
      <c r="L6537" s="733"/>
      <c r="M6537" s="733"/>
    </row>
    <row r="6538" spans="1:13" x14ac:dyDescent="0.3">
      <c r="A6538" s="733" t="s">
        <v>6582</v>
      </c>
      <c r="B6538" s="733" t="s">
        <v>645</v>
      </c>
      <c r="C6538" s="738" t="s">
        <v>6590</v>
      </c>
      <c r="D6538" s="733"/>
      <c r="E6538" s="733"/>
      <c r="G6538" s="733"/>
      <c r="H6538" s="733"/>
      <c r="I6538" s="733"/>
      <c r="J6538" s="733"/>
      <c r="K6538" s="733"/>
      <c r="L6538" s="733"/>
      <c r="M6538" s="733"/>
    </row>
    <row r="6539" spans="1:13" x14ac:dyDescent="0.3">
      <c r="A6539" s="733" t="s">
        <v>6582</v>
      </c>
      <c r="B6539" s="733" t="s">
        <v>645</v>
      </c>
      <c r="C6539" s="738" t="s">
        <v>6591</v>
      </c>
      <c r="D6539" s="733"/>
      <c r="E6539" s="733"/>
      <c r="G6539" s="733"/>
      <c r="H6539" s="733"/>
      <c r="I6539" s="733"/>
      <c r="J6539" s="733"/>
      <c r="K6539" s="733"/>
      <c r="L6539" s="733"/>
      <c r="M6539" s="733"/>
    </row>
    <row r="6540" spans="1:13" ht="28.8" x14ac:dyDescent="0.3">
      <c r="A6540" s="733" t="s">
        <v>6582</v>
      </c>
      <c r="B6540" s="733" t="s">
        <v>645</v>
      </c>
      <c r="C6540" s="738" t="s">
        <v>6592</v>
      </c>
      <c r="D6540" s="733"/>
      <c r="E6540" s="733"/>
      <c r="G6540" s="733"/>
      <c r="H6540" s="733"/>
      <c r="I6540" s="733"/>
      <c r="J6540" s="733"/>
      <c r="K6540" s="733"/>
      <c r="L6540" s="733"/>
      <c r="M6540" s="733"/>
    </row>
    <row r="6541" spans="1:13" ht="28.8" x14ac:dyDescent="0.3">
      <c r="A6541" s="733" t="s">
        <v>6582</v>
      </c>
      <c r="B6541" s="733" t="s">
        <v>664</v>
      </c>
      <c r="C6541" s="738" t="s">
        <v>6593</v>
      </c>
      <c r="D6541" s="733"/>
      <c r="E6541" s="733"/>
      <c r="G6541" s="733"/>
      <c r="H6541" s="733"/>
      <c r="I6541" s="733"/>
      <c r="J6541" s="733"/>
      <c r="K6541" s="733"/>
      <c r="L6541" s="733"/>
      <c r="M6541" s="733"/>
    </row>
    <row r="6542" spans="1:13" x14ac:dyDescent="0.3">
      <c r="A6542" s="733" t="s">
        <v>6582</v>
      </c>
      <c r="B6542" s="733" t="s">
        <v>664</v>
      </c>
      <c r="C6542" s="738" t="s">
        <v>6594</v>
      </c>
      <c r="D6542" s="733"/>
      <c r="E6542" s="733"/>
      <c r="G6542" s="733"/>
      <c r="H6542" s="733"/>
      <c r="I6542" s="733"/>
      <c r="J6542" s="733"/>
      <c r="K6542" s="733"/>
      <c r="L6542" s="733"/>
      <c r="M6542" s="733"/>
    </row>
    <row r="6543" spans="1:13" x14ac:dyDescent="0.3">
      <c r="A6543" s="733" t="s">
        <v>6582</v>
      </c>
      <c r="B6543" s="733" t="s">
        <v>664</v>
      </c>
      <c r="C6543" s="738" t="s">
        <v>6595</v>
      </c>
      <c r="D6543" s="733"/>
      <c r="E6543" s="733"/>
      <c r="G6543" s="733"/>
      <c r="H6543" s="733"/>
      <c r="I6543" s="733"/>
      <c r="J6543" s="733"/>
      <c r="K6543" s="733"/>
      <c r="L6543" s="733"/>
      <c r="M6543" s="733"/>
    </row>
    <row r="6544" spans="1:13" ht="28.8" x14ac:dyDescent="0.3">
      <c r="A6544" s="733" t="s">
        <v>6582</v>
      </c>
      <c r="B6544" s="733" t="s">
        <v>664</v>
      </c>
      <c r="C6544" s="738" t="s">
        <v>6596</v>
      </c>
      <c r="D6544" s="733"/>
      <c r="E6544" s="733"/>
      <c r="G6544" s="733"/>
      <c r="H6544" s="733"/>
      <c r="I6544" s="733"/>
      <c r="J6544" s="733"/>
      <c r="K6544" s="733"/>
      <c r="L6544" s="733"/>
      <c r="M6544" s="733"/>
    </row>
    <row r="6545" spans="1:13" x14ac:dyDescent="0.3">
      <c r="A6545" s="733" t="s">
        <v>6582</v>
      </c>
      <c r="B6545" s="733" t="s">
        <v>664</v>
      </c>
      <c r="C6545" s="738" t="s">
        <v>6597</v>
      </c>
      <c r="D6545" s="733"/>
      <c r="E6545" s="733"/>
      <c r="G6545" s="733"/>
      <c r="H6545" s="733"/>
      <c r="I6545" s="733"/>
      <c r="J6545" s="733"/>
      <c r="K6545" s="733"/>
      <c r="L6545" s="733"/>
      <c r="M6545" s="733"/>
    </row>
    <row r="6546" spans="1:13" x14ac:dyDescent="0.3">
      <c r="A6546" s="733" t="s">
        <v>6582</v>
      </c>
      <c r="B6546" s="733" t="s">
        <v>664</v>
      </c>
      <c r="C6546" s="738" t="s">
        <v>6598</v>
      </c>
      <c r="D6546" s="733"/>
      <c r="E6546" s="733"/>
      <c r="G6546" s="733"/>
      <c r="H6546" s="733"/>
      <c r="I6546" s="733"/>
      <c r="J6546" s="733"/>
      <c r="K6546" s="733"/>
      <c r="L6546" s="733"/>
      <c r="M6546" s="733"/>
    </row>
    <row r="6547" spans="1:13" x14ac:dyDescent="0.3">
      <c r="A6547" s="733" t="s">
        <v>6582</v>
      </c>
      <c r="B6547" s="733" t="s">
        <v>664</v>
      </c>
      <c r="C6547" s="738" t="s">
        <v>6599</v>
      </c>
      <c r="D6547" s="733"/>
      <c r="E6547" s="733"/>
      <c r="G6547" s="733"/>
      <c r="H6547" s="733"/>
      <c r="I6547" s="733"/>
      <c r="J6547" s="733"/>
      <c r="K6547" s="733"/>
      <c r="L6547" s="733"/>
      <c r="M6547" s="733"/>
    </row>
    <row r="6548" spans="1:13" x14ac:dyDescent="0.3">
      <c r="A6548" s="733" t="s">
        <v>6582</v>
      </c>
      <c r="B6548" s="733" t="s">
        <v>664</v>
      </c>
      <c r="C6548" s="738" t="s">
        <v>6600</v>
      </c>
      <c r="D6548" s="733"/>
      <c r="E6548" s="733"/>
      <c r="G6548" s="733"/>
      <c r="H6548" s="733"/>
      <c r="I6548" s="733"/>
      <c r="J6548" s="733"/>
      <c r="K6548" s="733"/>
      <c r="L6548" s="733"/>
      <c r="M6548" s="733"/>
    </row>
    <row r="6549" spans="1:13" ht="28.8" x14ac:dyDescent="0.3">
      <c r="A6549" s="733" t="s">
        <v>6582</v>
      </c>
      <c r="B6549" s="733" t="s">
        <v>664</v>
      </c>
      <c r="C6549" s="738" t="s">
        <v>6601</v>
      </c>
      <c r="D6549" s="733"/>
      <c r="E6549" s="733"/>
      <c r="G6549" s="733"/>
      <c r="H6549" s="733"/>
      <c r="I6549" s="733"/>
      <c r="J6549" s="733"/>
      <c r="K6549" s="733"/>
      <c r="L6549" s="733"/>
      <c r="M6549" s="733"/>
    </row>
    <row r="6550" spans="1:13" x14ac:dyDescent="0.3">
      <c r="A6550" s="733" t="s">
        <v>6582</v>
      </c>
      <c r="B6550" s="733" t="s">
        <v>664</v>
      </c>
      <c r="C6550" s="738" t="s">
        <v>6602</v>
      </c>
      <c r="D6550" s="733"/>
      <c r="E6550" s="733"/>
      <c r="G6550" s="733"/>
      <c r="H6550" s="733"/>
      <c r="I6550" s="733"/>
      <c r="J6550" s="733"/>
      <c r="K6550" s="733"/>
      <c r="L6550" s="733"/>
      <c r="M6550" s="733"/>
    </row>
    <row r="6551" spans="1:13" x14ac:dyDescent="0.3">
      <c r="A6551" s="733" t="s">
        <v>6582</v>
      </c>
      <c r="B6551" s="733" t="s">
        <v>612</v>
      </c>
      <c r="C6551" s="738" t="s">
        <v>6603</v>
      </c>
      <c r="D6551" s="733"/>
      <c r="E6551" s="733"/>
      <c r="G6551" s="733"/>
      <c r="H6551" s="733"/>
      <c r="I6551" s="733"/>
      <c r="J6551" s="733"/>
      <c r="K6551" s="733"/>
      <c r="L6551" s="733"/>
      <c r="M6551" s="733"/>
    </row>
    <row r="6552" spans="1:13" x14ac:dyDescent="0.3">
      <c r="A6552" s="733" t="s">
        <v>6582</v>
      </c>
      <c r="B6552" s="733" t="s">
        <v>612</v>
      </c>
      <c r="C6552" s="738" t="s">
        <v>6604</v>
      </c>
      <c r="D6552" s="733"/>
      <c r="E6552" s="733"/>
      <c r="G6552" s="733"/>
      <c r="H6552" s="733"/>
      <c r="I6552" s="733"/>
      <c r="J6552" s="733"/>
      <c r="K6552" s="733"/>
      <c r="L6552" s="733"/>
      <c r="M6552" s="733"/>
    </row>
    <row r="6553" spans="1:13" x14ac:dyDescent="0.3">
      <c r="A6553" s="733" t="s">
        <v>6582</v>
      </c>
      <c r="B6553" s="733" t="s">
        <v>612</v>
      </c>
      <c r="C6553" s="738" t="s">
        <v>6605</v>
      </c>
      <c r="D6553" s="733"/>
      <c r="E6553" s="733"/>
      <c r="G6553" s="733"/>
      <c r="H6553" s="733"/>
      <c r="I6553" s="733"/>
      <c r="J6553" s="733"/>
      <c r="K6553" s="733"/>
      <c r="L6553" s="733"/>
      <c r="M6553" s="733"/>
    </row>
    <row r="6554" spans="1:13" x14ac:dyDescent="0.3">
      <c r="A6554" s="733" t="s">
        <v>6582</v>
      </c>
      <c r="B6554" s="733" t="s">
        <v>612</v>
      </c>
      <c r="C6554" s="738" t="s">
        <v>6606</v>
      </c>
      <c r="D6554" s="733"/>
      <c r="E6554" s="733"/>
      <c r="G6554" s="733"/>
      <c r="H6554" s="733"/>
      <c r="I6554" s="733"/>
      <c r="J6554" s="733"/>
      <c r="K6554" s="733"/>
      <c r="L6554" s="733"/>
      <c r="M6554" s="733"/>
    </row>
    <row r="6555" spans="1:13" x14ac:dyDescent="0.3">
      <c r="A6555" s="733" t="s">
        <v>6582</v>
      </c>
      <c r="B6555" s="733" t="s">
        <v>612</v>
      </c>
      <c r="C6555" s="738" t="s">
        <v>6607</v>
      </c>
      <c r="D6555" s="733"/>
      <c r="E6555" s="733"/>
      <c r="G6555" s="733"/>
      <c r="H6555" s="733"/>
      <c r="I6555" s="733"/>
      <c r="J6555" s="733"/>
      <c r="K6555" s="733"/>
      <c r="L6555" s="733"/>
      <c r="M6555" s="733"/>
    </row>
    <row r="6556" spans="1:13" x14ac:dyDescent="0.3">
      <c r="A6556" s="733" t="s">
        <v>6582</v>
      </c>
      <c r="B6556" s="733" t="s">
        <v>612</v>
      </c>
      <c r="C6556" s="738" t="s">
        <v>6608</v>
      </c>
      <c r="D6556" s="733"/>
      <c r="E6556" s="733"/>
      <c r="G6556" s="733"/>
      <c r="H6556" s="733"/>
      <c r="I6556" s="733"/>
      <c r="J6556" s="733"/>
      <c r="K6556" s="733"/>
      <c r="L6556" s="733"/>
      <c r="M6556" s="733"/>
    </row>
    <row r="6557" spans="1:13" x14ac:dyDescent="0.3">
      <c r="A6557" s="733" t="s">
        <v>6582</v>
      </c>
      <c r="B6557" s="733" t="s">
        <v>612</v>
      </c>
      <c r="C6557" s="738" t="s">
        <v>6609</v>
      </c>
      <c r="D6557" s="733"/>
      <c r="E6557" s="733"/>
      <c r="G6557" s="733"/>
      <c r="H6557" s="733"/>
      <c r="I6557" s="733"/>
      <c r="J6557" s="733"/>
      <c r="K6557" s="733"/>
      <c r="L6557" s="733"/>
      <c r="M6557" s="733"/>
    </row>
    <row r="6558" spans="1:13" x14ac:dyDescent="0.3">
      <c r="A6558" s="733" t="s">
        <v>6582</v>
      </c>
      <c r="B6558" s="733" t="s">
        <v>612</v>
      </c>
      <c r="C6558" s="738" t="s">
        <v>6610</v>
      </c>
      <c r="D6558" s="733"/>
      <c r="E6558" s="733"/>
      <c r="G6558" s="733"/>
      <c r="H6558" s="733"/>
      <c r="I6558" s="733"/>
      <c r="J6558" s="733"/>
      <c r="K6558" s="733"/>
      <c r="L6558" s="733"/>
      <c r="M6558" s="733"/>
    </row>
    <row r="6559" spans="1:13" x14ac:dyDescent="0.3">
      <c r="A6559" s="733" t="s">
        <v>6582</v>
      </c>
      <c r="B6559" s="733" t="s">
        <v>612</v>
      </c>
      <c r="C6559" s="738" t="s">
        <v>6611</v>
      </c>
      <c r="D6559" s="733"/>
      <c r="E6559" s="733"/>
      <c r="G6559" s="733"/>
      <c r="H6559" s="733"/>
      <c r="I6559" s="733"/>
      <c r="J6559" s="733"/>
      <c r="K6559" s="733"/>
      <c r="L6559" s="733"/>
      <c r="M6559" s="733"/>
    </row>
    <row r="6560" spans="1:13" x14ac:dyDescent="0.3">
      <c r="A6560" s="733" t="s">
        <v>6582</v>
      </c>
      <c r="B6560" s="733" t="s">
        <v>612</v>
      </c>
      <c r="C6560" s="738" t="s">
        <v>6612</v>
      </c>
      <c r="D6560" s="733"/>
      <c r="E6560" s="733"/>
      <c r="G6560" s="733"/>
      <c r="H6560" s="733"/>
      <c r="I6560" s="733"/>
      <c r="J6560" s="733"/>
      <c r="K6560" s="733"/>
      <c r="L6560" s="733"/>
      <c r="M6560" s="733"/>
    </row>
    <row r="6561" spans="1:13" x14ac:dyDescent="0.3">
      <c r="A6561" s="733" t="s">
        <v>6613</v>
      </c>
      <c r="B6561" s="733" t="s">
        <v>645</v>
      </c>
      <c r="C6561" s="738" t="s">
        <v>6614</v>
      </c>
      <c r="D6561" s="733"/>
      <c r="E6561" s="733"/>
      <c r="G6561" s="733"/>
      <c r="H6561" s="733"/>
      <c r="I6561" s="733"/>
      <c r="J6561" s="733"/>
      <c r="K6561" s="733"/>
      <c r="L6561" s="733"/>
      <c r="M6561" s="733"/>
    </row>
    <row r="6562" spans="1:13" x14ac:dyDescent="0.3">
      <c r="A6562" s="733" t="s">
        <v>6613</v>
      </c>
      <c r="B6562" s="733" t="s">
        <v>645</v>
      </c>
      <c r="C6562" s="738" t="s">
        <v>6615</v>
      </c>
      <c r="D6562" s="733"/>
      <c r="E6562" s="733"/>
      <c r="G6562" s="733"/>
      <c r="H6562" s="733"/>
      <c r="I6562" s="733"/>
      <c r="J6562" s="733"/>
      <c r="K6562" s="733"/>
      <c r="L6562" s="733"/>
      <c r="M6562" s="733"/>
    </row>
    <row r="6563" spans="1:13" x14ac:dyDescent="0.3">
      <c r="A6563" s="733" t="s">
        <v>6613</v>
      </c>
      <c r="B6563" s="733" t="s">
        <v>645</v>
      </c>
      <c r="C6563" s="738" t="s">
        <v>6616</v>
      </c>
      <c r="D6563" s="733"/>
      <c r="E6563" s="733"/>
      <c r="G6563" s="733"/>
      <c r="H6563" s="733"/>
      <c r="I6563" s="733"/>
      <c r="J6563" s="733"/>
      <c r="K6563" s="733"/>
      <c r="L6563" s="733"/>
      <c r="M6563" s="733"/>
    </row>
    <row r="6564" spans="1:13" x14ac:dyDescent="0.3">
      <c r="A6564" s="733" t="s">
        <v>6613</v>
      </c>
      <c r="B6564" s="733" t="s">
        <v>645</v>
      </c>
      <c r="C6564" s="738" t="s">
        <v>6617</v>
      </c>
      <c r="D6564" s="733"/>
      <c r="E6564" s="733"/>
      <c r="G6564" s="733"/>
      <c r="H6564" s="733"/>
      <c r="I6564" s="733"/>
      <c r="J6564" s="733"/>
      <c r="K6564" s="733"/>
      <c r="L6564" s="733"/>
      <c r="M6564" s="733"/>
    </row>
    <row r="6565" spans="1:13" x14ac:dyDescent="0.3">
      <c r="A6565" s="733" t="s">
        <v>6613</v>
      </c>
      <c r="B6565" s="733" t="s">
        <v>645</v>
      </c>
      <c r="C6565" s="738" t="s">
        <v>6618</v>
      </c>
      <c r="D6565" s="733"/>
      <c r="E6565" s="733"/>
      <c r="G6565" s="733"/>
      <c r="H6565" s="733"/>
      <c r="I6565" s="733"/>
      <c r="J6565" s="733"/>
      <c r="K6565" s="733"/>
      <c r="L6565" s="733"/>
      <c r="M6565" s="733"/>
    </row>
    <row r="6566" spans="1:13" x14ac:dyDescent="0.3">
      <c r="A6566" s="733" t="s">
        <v>6613</v>
      </c>
      <c r="B6566" s="733" t="s">
        <v>664</v>
      </c>
      <c r="C6566" s="738" t="s">
        <v>6619</v>
      </c>
      <c r="D6566" s="733"/>
      <c r="E6566" s="733"/>
      <c r="G6566" s="733"/>
      <c r="H6566" s="733"/>
      <c r="I6566" s="733"/>
      <c r="J6566" s="733"/>
      <c r="K6566" s="733"/>
      <c r="L6566" s="733"/>
      <c r="M6566" s="733"/>
    </row>
    <row r="6567" spans="1:13" x14ac:dyDescent="0.3">
      <c r="A6567" s="733" t="s">
        <v>6613</v>
      </c>
      <c r="B6567" s="733" t="s">
        <v>664</v>
      </c>
      <c r="C6567" s="738" t="s">
        <v>6620</v>
      </c>
      <c r="D6567" s="733"/>
      <c r="E6567" s="733"/>
      <c r="G6567" s="733"/>
      <c r="H6567" s="733"/>
      <c r="I6567" s="733"/>
      <c r="J6567" s="733"/>
      <c r="K6567" s="733"/>
      <c r="L6567" s="733"/>
      <c r="M6567" s="733"/>
    </row>
    <row r="6568" spans="1:13" x14ac:dyDescent="0.3">
      <c r="A6568" s="733" t="s">
        <v>6613</v>
      </c>
      <c r="B6568" s="733" t="s">
        <v>664</v>
      </c>
      <c r="C6568" s="738" t="s">
        <v>6621</v>
      </c>
      <c r="D6568" s="733"/>
      <c r="E6568" s="733"/>
      <c r="G6568" s="733"/>
      <c r="H6568" s="733"/>
      <c r="I6568" s="733"/>
      <c r="J6568" s="733"/>
      <c r="K6568" s="733"/>
      <c r="L6568" s="733"/>
      <c r="M6568" s="733"/>
    </row>
    <row r="6569" spans="1:13" x14ac:dyDescent="0.3">
      <c r="A6569" s="733" t="s">
        <v>6613</v>
      </c>
      <c r="B6569" s="733" t="s">
        <v>664</v>
      </c>
      <c r="C6569" s="738" t="s">
        <v>6622</v>
      </c>
      <c r="D6569" s="733"/>
      <c r="E6569" s="733"/>
      <c r="G6569" s="733"/>
      <c r="H6569" s="733"/>
      <c r="I6569" s="733"/>
      <c r="J6569" s="733"/>
      <c r="K6569" s="733"/>
      <c r="L6569" s="733"/>
      <c r="M6569" s="733"/>
    </row>
    <row r="6570" spans="1:13" x14ac:dyDescent="0.3">
      <c r="A6570" s="733" t="s">
        <v>6613</v>
      </c>
      <c r="B6570" s="733" t="s">
        <v>664</v>
      </c>
      <c r="C6570" s="738" t="s">
        <v>6623</v>
      </c>
      <c r="D6570" s="733"/>
      <c r="E6570" s="733"/>
      <c r="G6570" s="733"/>
      <c r="H6570" s="733"/>
      <c r="I6570" s="733"/>
      <c r="J6570" s="733"/>
      <c r="K6570" s="733"/>
      <c r="L6570" s="733"/>
      <c r="M6570" s="733"/>
    </row>
    <row r="6571" spans="1:13" x14ac:dyDescent="0.3">
      <c r="A6571" s="733" t="s">
        <v>6613</v>
      </c>
      <c r="B6571" s="733" t="s">
        <v>612</v>
      </c>
      <c r="C6571" s="738" t="s">
        <v>6624</v>
      </c>
      <c r="D6571" s="733"/>
      <c r="E6571" s="733"/>
      <c r="G6571" s="733"/>
      <c r="H6571" s="733"/>
      <c r="I6571" s="733"/>
      <c r="J6571" s="733"/>
      <c r="K6571" s="733"/>
      <c r="L6571" s="733"/>
      <c r="M6571" s="733"/>
    </row>
    <row r="6572" spans="1:13" x14ac:dyDescent="0.3">
      <c r="A6572" s="733" t="s">
        <v>6613</v>
      </c>
      <c r="B6572" s="733" t="s">
        <v>612</v>
      </c>
      <c r="C6572" s="738" t="s">
        <v>6625</v>
      </c>
      <c r="D6572" s="733"/>
      <c r="E6572" s="733"/>
      <c r="G6572" s="733"/>
      <c r="H6572" s="733"/>
      <c r="I6572" s="733"/>
      <c r="J6572" s="733"/>
      <c r="K6572" s="733"/>
      <c r="L6572" s="733"/>
      <c r="M6572" s="733"/>
    </row>
    <row r="6573" spans="1:13" x14ac:dyDescent="0.3">
      <c r="A6573" s="733" t="s">
        <v>6613</v>
      </c>
      <c r="B6573" s="733" t="s">
        <v>612</v>
      </c>
      <c r="C6573" s="738" t="s">
        <v>6626</v>
      </c>
      <c r="D6573" s="733"/>
      <c r="E6573" s="733"/>
      <c r="G6573" s="733"/>
      <c r="H6573" s="733"/>
      <c r="I6573" s="733"/>
      <c r="J6573" s="733"/>
      <c r="K6573" s="733"/>
      <c r="L6573" s="733"/>
      <c r="M6573" s="733"/>
    </row>
    <row r="6574" spans="1:13" x14ac:dyDescent="0.3">
      <c r="A6574" s="733" t="s">
        <v>6613</v>
      </c>
      <c r="B6574" s="733" t="s">
        <v>612</v>
      </c>
      <c r="C6574" s="738" t="s">
        <v>6627</v>
      </c>
      <c r="D6574" s="733"/>
      <c r="E6574" s="733"/>
      <c r="G6574" s="733"/>
      <c r="H6574" s="733"/>
      <c r="I6574" s="733"/>
      <c r="J6574" s="733"/>
      <c r="K6574" s="733"/>
      <c r="L6574" s="733"/>
      <c r="M6574" s="733"/>
    </row>
    <row r="6575" spans="1:13" x14ac:dyDescent="0.3">
      <c r="A6575" s="733" t="s">
        <v>6613</v>
      </c>
      <c r="B6575" s="733" t="s">
        <v>612</v>
      </c>
      <c r="C6575" s="738" t="s">
        <v>6628</v>
      </c>
      <c r="D6575" s="733"/>
      <c r="E6575" s="733"/>
      <c r="G6575" s="733"/>
      <c r="H6575" s="733"/>
      <c r="I6575" s="733"/>
      <c r="J6575" s="733"/>
      <c r="K6575" s="733"/>
      <c r="L6575" s="733"/>
      <c r="M6575" s="733"/>
    </row>
    <row r="6576" spans="1:13" x14ac:dyDescent="0.3">
      <c r="A6576" s="733" t="s">
        <v>6629</v>
      </c>
      <c r="B6576" s="733" t="s">
        <v>645</v>
      </c>
      <c r="C6576" s="738" t="s">
        <v>6630</v>
      </c>
      <c r="D6576" s="733"/>
      <c r="E6576" s="733"/>
      <c r="G6576" s="733"/>
      <c r="H6576" s="733"/>
      <c r="I6576" s="733"/>
      <c r="J6576" s="733"/>
      <c r="K6576" s="733"/>
      <c r="L6576" s="733"/>
      <c r="M6576" s="733"/>
    </row>
    <row r="6577" spans="1:13" x14ac:dyDescent="0.3">
      <c r="A6577" s="733" t="s">
        <v>6629</v>
      </c>
      <c r="B6577" s="733" t="s">
        <v>645</v>
      </c>
      <c r="C6577" s="738" t="s">
        <v>6631</v>
      </c>
      <c r="D6577" s="733"/>
      <c r="E6577" s="733"/>
      <c r="G6577" s="733"/>
      <c r="H6577" s="733"/>
      <c r="I6577" s="733"/>
      <c r="J6577" s="733"/>
      <c r="K6577" s="733"/>
      <c r="L6577" s="733"/>
      <c r="M6577" s="733"/>
    </row>
    <row r="6578" spans="1:13" x14ac:dyDescent="0.3">
      <c r="A6578" s="733" t="s">
        <v>6629</v>
      </c>
      <c r="B6578" s="733" t="s">
        <v>645</v>
      </c>
      <c r="C6578" s="738" t="s">
        <v>6632</v>
      </c>
      <c r="D6578" s="733"/>
      <c r="E6578" s="733"/>
      <c r="G6578" s="733"/>
      <c r="H6578" s="733"/>
      <c r="I6578" s="733"/>
      <c r="J6578" s="733"/>
      <c r="K6578" s="733"/>
      <c r="L6578" s="733"/>
      <c r="M6578" s="733"/>
    </row>
    <row r="6579" spans="1:13" x14ac:dyDescent="0.3">
      <c r="A6579" s="733" t="s">
        <v>6629</v>
      </c>
      <c r="B6579" s="733" t="s">
        <v>645</v>
      </c>
      <c r="C6579" s="738" t="s">
        <v>6633</v>
      </c>
      <c r="D6579" s="733"/>
      <c r="E6579" s="733"/>
      <c r="G6579" s="733"/>
      <c r="H6579" s="733"/>
      <c r="I6579" s="733"/>
      <c r="J6579" s="733"/>
      <c r="K6579" s="733"/>
      <c r="L6579" s="733"/>
      <c r="M6579" s="733"/>
    </row>
    <row r="6580" spans="1:13" x14ac:dyDescent="0.3">
      <c r="A6580" s="733" t="s">
        <v>6629</v>
      </c>
      <c r="B6580" s="733" t="s">
        <v>645</v>
      </c>
      <c r="C6580" s="738" t="s">
        <v>6634</v>
      </c>
      <c r="D6580" s="733"/>
      <c r="E6580" s="733"/>
      <c r="G6580" s="733"/>
      <c r="H6580" s="733"/>
      <c r="I6580" s="733"/>
      <c r="J6580" s="733"/>
      <c r="K6580" s="733"/>
      <c r="L6580" s="733"/>
      <c r="M6580" s="733"/>
    </row>
    <row r="6581" spans="1:13" x14ac:dyDescent="0.3">
      <c r="A6581" s="733" t="s">
        <v>6629</v>
      </c>
      <c r="B6581" s="733" t="s">
        <v>664</v>
      </c>
      <c r="C6581" s="738" t="s">
        <v>6635</v>
      </c>
      <c r="D6581" s="733"/>
      <c r="E6581" s="733"/>
      <c r="G6581" s="733"/>
      <c r="H6581" s="733"/>
      <c r="I6581" s="733"/>
      <c r="J6581" s="733"/>
      <c r="K6581" s="733"/>
      <c r="L6581" s="733"/>
      <c r="M6581" s="733"/>
    </row>
    <row r="6582" spans="1:13" x14ac:dyDescent="0.3">
      <c r="A6582" s="733" t="s">
        <v>6629</v>
      </c>
      <c r="B6582" s="733" t="s">
        <v>664</v>
      </c>
      <c r="C6582" s="738" t="s">
        <v>6636</v>
      </c>
      <c r="D6582" s="733"/>
      <c r="E6582" s="733"/>
      <c r="G6582" s="733"/>
      <c r="H6582" s="733"/>
      <c r="I6582" s="733"/>
      <c r="J6582" s="733"/>
      <c r="K6582" s="733"/>
      <c r="L6582" s="733"/>
      <c r="M6582" s="733"/>
    </row>
    <row r="6583" spans="1:13" x14ac:dyDescent="0.3">
      <c r="A6583" s="733" t="s">
        <v>6629</v>
      </c>
      <c r="B6583" s="733" t="s">
        <v>664</v>
      </c>
      <c r="C6583" s="738" t="s">
        <v>6637</v>
      </c>
      <c r="D6583" s="733"/>
      <c r="E6583" s="733"/>
      <c r="G6583" s="733"/>
      <c r="H6583" s="733"/>
      <c r="I6583" s="733"/>
      <c r="J6583" s="733"/>
      <c r="K6583" s="733"/>
      <c r="L6583" s="733"/>
      <c r="M6583" s="733"/>
    </row>
    <row r="6584" spans="1:13" x14ac:dyDescent="0.3">
      <c r="A6584" s="733" t="s">
        <v>6629</v>
      </c>
      <c r="B6584" s="733" t="s">
        <v>664</v>
      </c>
      <c r="C6584" s="738" t="s">
        <v>6638</v>
      </c>
      <c r="D6584" s="733"/>
      <c r="E6584" s="733"/>
      <c r="G6584" s="733"/>
      <c r="H6584" s="733"/>
      <c r="I6584" s="733"/>
      <c r="J6584" s="733"/>
      <c r="K6584" s="733"/>
      <c r="L6584" s="733"/>
      <c r="M6584" s="733"/>
    </row>
    <row r="6585" spans="1:13" x14ac:dyDescent="0.3">
      <c r="A6585" s="733" t="s">
        <v>6629</v>
      </c>
      <c r="B6585" s="733" t="s">
        <v>664</v>
      </c>
      <c r="C6585" s="738" t="s">
        <v>6639</v>
      </c>
      <c r="D6585" s="733"/>
      <c r="E6585" s="733"/>
      <c r="G6585" s="733"/>
      <c r="H6585" s="733"/>
      <c r="I6585" s="733"/>
      <c r="J6585" s="733"/>
      <c r="K6585" s="733"/>
      <c r="L6585" s="733"/>
      <c r="M6585" s="733"/>
    </row>
    <row r="6586" spans="1:13" x14ac:dyDescent="0.3">
      <c r="A6586" s="733" t="s">
        <v>6629</v>
      </c>
      <c r="B6586" s="733" t="s">
        <v>612</v>
      </c>
      <c r="C6586" s="738" t="s">
        <v>6640</v>
      </c>
      <c r="D6586" s="733"/>
      <c r="E6586" s="733"/>
      <c r="G6586" s="733"/>
      <c r="H6586" s="733"/>
      <c r="I6586" s="733"/>
      <c r="J6586" s="733"/>
      <c r="K6586" s="733"/>
      <c r="L6586" s="733"/>
      <c r="M6586" s="733"/>
    </row>
    <row r="6587" spans="1:13" x14ac:dyDescent="0.3">
      <c r="A6587" s="733" t="s">
        <v>6629</v>
      </c>
      <c r="B6587" s="733" t="s">
        <v>612</v>
      </c>
      <c r="C6587" s="738" t="s">
        <v>6641</v>
      </c>
      <c r="D6587" s="733"/>
      <c r="E6587" s="733"/>
      <c r="G6587" s="733"/>
      <c r="H6587" s="733"/>
      <c r="I6587" s="733"/>
      <c r="J6587" s="733"/>
      <c r="K6587" s="733"/>
      <c r="L6587" s="733"/>
      <c r="M6587" s="733"/>
    </row>
    <row r="6588" spans="1:13" x14ac:dyDescent="0.3">
      <c r="A6588" s="733" t="s">
        <v>6629</v>
      </c>
      <c r="B6588" s="733" t="s">
        <v>612</v>
      </c>
      <c r="C6588" s="738" t="s">
        <v>6642</v>
      </c>
      <c r="D6588" s="733"/>
      <c r="E6588" s="733"/>
      <c r="G6588" s="733"/>
      <c r="H6588" s="733"/>
      <c r="I6588" s="733"/>
      <c r="J6588" s="733"/>
      <c r="K6588" s="733"/>
      <c r="L6588" s="733"/>
      <c r="M6588" s="733"/>
    </row>
    <row r="6589" spans="1:13" x14ac:dyDescent="0.3">
      <c r="A6589" s="733" t="s">
        <v>6629</v>
      </c>
      <c r="B6589" s="733" t="s">
        <v>612</v>
      </c>
      <c r="C6589" s="738" t="s">
        <v>6643</v>
      </c>
      <c r="D6589" s="733"/>
      <c r="E6589" s="733"/>
      <c r="G6589" s="733"/>
      <c r="H6589" s="733"/>
      <c r="I6589" s="733"/>
      <c r="J6589" s="733"/>
      <c r="K6589" s="733"/>
      <c r="L6589" s="733"/>
      <c r="M6589" s="733"/>
    </row>
    <row r="6590" spans="1:13" x14ac:dyDescent="0.3">
      <c r="A6590" s="733" t="s">
        <v>6629</v>
      </c>
      <c r="B6590" s="733" t="s">
        <v>612</v>
      </c>
      <c r="C6590" s="738" t="s">
        <v>6644</v>
      </c>
      <c r="D6590" s="733"/>
      <c r="E6590" s="733"/>
      <c r="G6590" s="733"/>
      <c r="H6590" s="733"/>
      <c r="I6590" s="733"/>
      <c r="J6590" s="733"/>
      <c r="K6590" s="733"/>
      <c r="L6590" s="733"/>
      <c r="M6590" s="733"/>
    </row>
    <row r="6591" spans="1:13" x14ac:dyDescent="0.3">
      <c r="A6591" s="733" t="s">
        <v>6645</v>
      </c>
      <c r="B6591" s="733" t="s">
        <v>645</v>
      </c>
      <c r="C6591" s="738" t="s">
        <v>6646</v>
      </c>
      <c r="D6591" s="733"/>
      <c r="E6591" s="733"/>
      <c r="G6591" s="733"/>
      <c r="H6591" s="733"/>
      <c r="I6591" s="733"/>
      <c r="J6591" s="733"/>
      <c r="K6591" s="733"/>
      <c r="L6591" s="733"/>
      <c r="M6591" s="733"/>
    </row>
    <row r="6592" spans="1:13" x14ac:dyDescent="0.3">
      <c r="A6592" s="733" t="s">
        <v>6645</v>
      </c>
      <c r="B6592" s="733" t="s">
        <v>645</v>
      </c>
      <c r="C6592" s="738" t="s">
        <v>6647</v>
      </c>
      <c r="D6592" s="733"/>
      <c r="E6592" s="733"/>
      <c r="G6592" s="733"/>
      <c r="H6592" s="733"/>
      <c r="I6592" s="733"/>
      <c r="J6592" s="733"/>
      <c r="K6592" s="733"/>
      <c r="L6592" s="733"/>
      <c r="M6592" s="733"/>
    </row>
    <row r="6593" spans="1:13" x14ac:dyDescent="0.3">
      <c r="A6593" s="733" t="s">
        <v>6645</v>
      </c>
      <c r="B6593" s="733" t="s">
        <v>645</v>
      </c>
      <c r="C6593" s="738" t="s">
        <v>6648</v>
      </c>
      <c r="D6593" s="733"/>
      <c r="E6593" s="733"/>
      <c r="G6593" s="733"/>
      <c r="H6593" s="733"/>
      <c r="I6593" s="733"/>
      <c r="J6593" s="733"/>
      <c r="K6593" s="733"/>
      <c r="L6593" s="733"/>
      <c r="M6593" s="733"/>
    </row>
    <row r="6594" spans="1:13" x14ac:dyDescent="0.3">
      <c r="A6594" s="733" t="s">
        <v>6645</v>
      </c>
      <c r="B6594" s="733" t="s">
        <v>645</v>
      </c>
      <c r="C6594" s="738" t="s">
        <v>6649</v>
      </c>
      <c r="D6594" s="733"/>
      <c r="E6594" s="733"/>
      <c r="G6594" s="733"/>
      <c r="H6594" s="733"/>
      <c r="I6594" s="733"/>
      <c r="J6594" s="733"/>
      <c r="K6594" s="733"/>
      <c r="L6594" s="733"/>
      <c r="M6594" s="733"/>
    </row>
    <row r="6595" spans="1:13" x14ac:dyDescent="0.3">
      <c r="A6595" s="733" t="s">
        <v>6645</v>
      </c>
      <c r="B6595" s="733" t="s">
        <v>645</v>
      </c>
      <c r="C6595" s="738" t="s">
        <v>6650</v>
      </c>
      <c r="D6595" s="733"/>
      <c r="E6595" s="733"/>
      <c r="G6595" s="733"/>
      <c r="H6595" s="733"/>
      <c r="I6595" s="733"/>
      <c r="J6595" s="733"/>
      <c r="K6595" s="733"/>
      <c r="L6595" s="733"/>
      <c r="M6595" s="733"/>
    </row>
    <row r="6596" spans="1:13" x14ac:dyDescent="0.3">
      <c r="A6596" s="733" t="s">
        <v>6645</v>
      </c>
      <c r="B6596" s="733" t="s">
        <v>664</v>
      </c>
      <c r="C6596" s="738" t="s">
        <v>6651</v>
      </c>
      <c r="D6596" s="733"/>
      <c r="E6596" s="733"/>
      <c r="G6596" s="733"/>
      <c r="H6596" s="733"/>
      <c r="I6596" s="733"/>
      <c r="J6596" s="733"/>
      <c r="K6596" s="733"/>
      <c r="L6596" s="733"/>
      <c r="M6596" s="733"/>
    </row>
    <row r="6597" spans="1:13" x14ac:dyDescent="0.3">
      <c r="A6597" s="733" t="s">
        <v>6645</v>
      </c>
      <c r="B6597" s="733" t="s">
        <v>664</v>
      </c>
      <c r="C6597" s="738" t="s">
        <v>6652</v>
      </c>
      <c r="D6597" s="733"/>
      <c r="E6597" s="733"/>
      <c r="G6597" s="733"/>
      <c r="H6597" s="733"/>
      <c r="I6597" s="733"/>
      <c r="J6597" s="733"/>
      <c r="K6597" s="733"/>
      <c r="L6597" s="733"/>
      <c r="M6597" s="733"/>
    </row>
    <row r="6598" spans="1:13" x14ac:dyDescent="0.3">
      <c r="A6598" s="733" t="s">
        <v>6645</v>
      </c>
      <c r="B6598" s="733" t="s">
        <v>664</v>
      </c>
      <c r="C6598" s="738" t="s">
        <v>6653</v>
      </c>
      <c r="D6598" s="733"/>
      <c r="E6598" s="733"/>
      <c r="G6598" s="733"/>
      <c r="H6598" s="733"/>
      <c r="I6598" s="733"/>
      <c r="J6598" s="733"/>
      <c r="K6598" s="733"/>
      <c r="L6598" s="733"/>
      <c r="M6598" s="733"/>
    </row>
    <row r="6599" spans="1:13" x14ac:dyDescent="0.3">
      <c r="A6599" s="733" t="s">
        <v>6645</v>
      </c>
      <c r="B6599" s="733" t="s">
        <v>664</v>
      </c>
      <c r="C6599" s="738" t="s">
        <v>6654</v>
      </c>
      <c r="D6599" s="733"/>
      <c r="E6599" s="733"/>
      <c r="G6599" s="733"/>
      <c r="H6599" s="733"/>
      <c r="I6599" s="733"/>
      <c r="J6599" s="733"/>
      <c r="K6599" s="733"/>
      <c r="L6599" s="733"/>
      <c r="M6599" s="733"/>
    </row>
    <row r="6600" spans="1:13" x14ac:dyDescent="0.3">
      <c r="A6600" s="733" t="s">
        <v>6645</v>
      </c>
      <c r="B6600" s="733" t="s">
        <v>664</v>
      </c>
      <c r="C6600" s="738" t="s">
        <v>6655</v>
      </c>
      <c r="D6600" s="733"/>
      <c r="E6600" s="733"/>
      <c r="G6600" s="733"/>
      <c r="H6600" s="733"/>
      <c r="I6600" s="733"/>
      <c r="J6600" s="733"/>
      <c r="K6600" s="733"/>
      <c r="L6600" s="733"/>
      <c r="M6600" s="733"/>
    </row>
    <row r="6601" spans="1:13" x14ac:dyDescent="0.3">
      <c r="A6601" s="733" t="s">
        <v>6645</v>
      </c>
      <c r="B6601" s="733" t="s">
        <v>612</v>
      </c>
      <c r="C6601" s="738" t="s">
        <v>6656</v>
      </c>
      <c r="D6601" s="733"/>
      <c r="E6601" s="733"/>
      <c r="G6601" s="733"/>
      <c r="H6601" s="733"/>
      <c r="I6601" s="733"/>
      <c r="J6601" s="733"/>
      <c r="K6601" s="733"/>
      <c r="L6601" s="733"/>
      <c r="M6601" s="733"/>
    </row>
    <row r="6602" spans="1:13" x14ac:dyDescent="0.3">
      <c r="A6602" s="733" t="s">
        <v>6645</v>
      </c>
      <c r="B6602" s="733" t="s">
        <v>612</v>
      </c>
      <c r="C6602" s="738" t="s">
        <v>6657</v>
      </c>
      <c r="D6602" s="733"/>
      <c r="E6602" s="733"/>
      <c r="G6602" s="733"/>
      <c r="H6602" s="733"/>
      <c r="I6602" s="733"/>
      <c r="J6602" s="733"/>
      <c r="K6602" s="733"/>
      <c r="L6602" s="733"/>
      <c r="M6602" s="733"/>
    </row>
    <row r="6603" spans="1:13" x14ac:dyDescent="0.3">
      <c r="A6603" s="733" t="s">
        <v>6645</v>
      </c>
      <c r="B6603" s="733" t="s">
        <v>612</v>
      </c>
      <c r="C6603" s="738" t="s">
        <v>6658</v>
      </c>
      <c r="D6603" s="733"/>
      <c r="E6603" s="733"/>
      <c r="G6603" s="733"/>
      <c r="H6603" s="733"/>
      <c r="I6603" s="733"/>
      <c r="J6603" s="733"/>
      <c r="K6603" s="733"/>
      <c r="L6603" s="733"/>
      <c r="M6603" s="733"/>
    </row>
    <row r="6604" spans="1:13" x14ac:dyDescent="0.3">
      <c r="A6604" s="733" t="s">
        <v>6645</v>
      </c>
      <c r="B6604" s="733" t="s">
        <v>612</v>
      </c>
      <c r="C6604" s="738" t="s">
        <v>6659</v>
      </c>
      <c r="D6604" s="733"/>
      <c r="E6604" s="733"/>
      <c r="G6604" s="733"/>
      <c r="H6604" s="733"/>
      <c r="I6604" s="733"/>
      <c r="J6604" s="733"/>
      <c r="K6604" s="733"/>
      <c r="L6604" s="733"/>
      <c r="M6604" s="733"/>
    </row>
    <row r="6605" spans="1:13" x14ac:dyDescent="0.3">
      <c r="A6605" s="733" t="s">
        <v>6645</v>
      </c>
      <c r="B6605" s="733" t="s">
        <v>612</v>
      </c>
      <c r="C6605" s="738" t="s">
        <v>6660</v>
      </c>
      <c r="D6605" s="733"/>
      <c r="E6605" s="733"/>
      <c r="G6605" s="733"/>
      <c r="H6605" s="733"/>
      <c r="I6605" s="733"/>
      <c r="J6605" s="733"/>
      <c r="K6605" s="733"/>
      <c r="L6605" s="733"/>
      <c r="M6605" s="733"/>
    </row>
    <row r="6606" spans="1:13" x14ac:dyDescent="0.3">
      <c r="A6606" s="733" t="s">
        <v>6661</v>
      </c>
      <c r="B6606" s="733" t="s">
        <v>645</v>
      </c>
      <c r="C6606" s="738" t="s">
        <v>6662</v>
      </c>
      <c r="D6606" s="733"/>
      <c r="E6606" s="733"/>
      <c r="G6606" s="733"/>
      <c r="H6606" s="733"/>
      <c r="I6606" s="733"/>
      <c r="J6606" s="733"/>
      <c r="K6606" s="733"/>
      <c r="L6606" s="733"/>
      <c r="M6606" s="733"/>
    </row>
    <row r="6607" spans="1:13" x14ac:dyDescent="0.3">
      <c r="A6607" s="733" t="s">
        <v>6661</v>
      </c>
      <c r="B6607" s="733" t="s">
        <v>645</v>
      </c>
      <c r="C6607" s="738" t="s">
        <v>6663</v>
      </c>
      <c r="D6607" s="733"/>
      <c r="E6607" s="733"/>
      <c r="G6607" s="733"/>
      <c r="H6607" s="733"/>
      <c r="I6607" s="733"/>
      <c r="J6607" s="733"/>
      <c r="K6607" s="733"/>
      <c r="L6607" s="733"/>
      <c r="M6607" s="733"/>
    </row>
    <row r="6608" spans="1:13" x14ac:dyDescent="0.3">
      <c r="A6608" s="733" t="s">
        <v>6661</v>
      </c>
      <c r="B6608" s="733" t="s">
        <v>645</v>
      </c>
      <c r="C6608" s="738" t="s">
        <v>6664</v>
      </c>
      <c r="D6608" s="733"/>
      <c r="E6608" s="733"/>
      <c r="G6608" s="733"/>
      <c r="H6608" s="733"/>
      <c r="I6608" s="733"/>
      <c r="J6608" s="733"/>
      <c r="K6608" s="733"/>
      <c r="L6608" s="733"/>
      <c r="M6608" s="733"/>
    </row>
    <row r="6609" spans="1:13" x14ac:dyDescent="0.3">
      <c r="A6609" s="733" t="s">
        <v>6661</v>
      </c>
      <c r="B6609" s="733" t="s">
        <v>645</v>
      </c>
      <c r="C6609" s="738" t="s">
        <v>6665</v>
      </c>
      <c r="D6609" s="733"/>
      <c r="E6609" s="733"/>
      <c r="G6609" s="733"/>
      <c r="H6609" s="733"/>
      <c r="I6609" s="733"/>
      <c r="J6609" s="733"/>
      <c r="K6609" s="733"/>
      <c r="L6609" s="733"/>
      <c r="M6609" s="733"/>
    </row>
    <row r="6610" spans="1:13" x14ac:dyDescent="0.3">
      <c r="A6610" s="733" t="s">
        <v>6661</v>
      </c>
      <c r="B6610" s="733" t="s">
        <v>645</v>
      </c>
      <c r="C6610" s="738" t="s">
        <v>6666</v>
      </c>
      <c r="D6610" s="733"/>
      <c r="E6610" s="733"/>
      <c r="G6610" s="733"/>
      <c r="H6610" s="733"/>
      <c r="I6610" s="733"/>
      <c r="J6610" s="733"/>
      <c r="K6610" s="733"/>
      <c r="L6610" s="733"/>
      <c r="M6610" s="733"/>
    </row>
    <row r="6611" spans="1:13" x14ac:dyDescent="0.3">
      <c r="A6611" s="733" t="s">
        <v>6661</v>
      </c>
      <c r="B6611" s="733" t="s">
        <v>645</v>
      </c>
      <c r="C6611" s="738" t="s">
        <v>6667</v>
      </c>
      <c r="D6611" s="733"/>
      <c r="E6611" s="733"/>
      <c r="G6611" s="733"/>
      <c r="H6611" s="733"/>
      <c r="I6611" s="733"/>
      <c r="J6611" s="733"/>
      <c r="K6611" s="733"/>
      <c r="L6611" s="733"/>
      <c r="M6611" s="733"/>
    </row>
    <row r="6612" spans="1:13" x14ac:dyDescent="0.3">
      <c r="A6612" s="733" t="s">
        <v>6661</v>
      </c>
      <c r="B6612" s="733" t="s">
        <v>645</v>
      </c>
      <c r="C6612" s="738" t="s">
        <v>6668</v>
      </c>
      <c r="D6612" s="733"/>
      <c r="E6612" s="733"/>
      <c r="G6612" s="733"/>
      <c r="H6612" s="733"/>
      <c r="I6612" s="733"/>
      <c r="J6612" s="733"/>
      <c r="K6612" s="733"/>
      <c r="L6612" s="733"/>
      <c r="M6612" s="733"/>
    </row>
    <row r="6613" spans="1:13" x14ac:dyDescent="0.3">
      <c r="A6613" s="733" t="s">
        <v>6661</v>
      </c>
      <c r="B6613" s="733" t="s">
        <v>645</v>
      </c>
      <c r="C6613" s="738" t="s">
        <v>6669</v>
      </c>
      <c r="D6613" s="733"/>
      <c r="E6613" s="733"/>
      <c r="G6613" s="733"/>
      <c r="H6613" s="733"/>
      <c r="I6613" s="733"/>
      <c r="J6613" s="733"/>
      <c r="K6613" s="733"/>
      <c r="L6613" s="733"/>
      <c r="M6613" s="733"/>
    </row>
    <row r="6614" spans="1:13" x14ac:dyDescent="0.3">
      <c r="A6614" s="733" t="s">
        <v>6661</v>
      </c>
      <c r="B6614" s="733" t="s">
        <v>645</v>
      </c>
      <c r="C6614" s="738" t="s">
        <v>6670</v>
      </c>
      <c r="D6614" s="733"/>
      <c r="E6614" s="733"/>
      <c r="G6614" s="733"/>
      <c r="H6614" s="733"/>
      <c r="I6614" s="733"/>
      <c r="J6614" s="733"/>
      <c r="K6614" s="733"/>
      <c r="L6614" s="733"/>
      <c r="M6614" s="733"/>
    </row>
    <row r="6615" spans="1:13" x14ac:dyDescent="0.3">
      <c r="A6615" s="733" t="s">
        <v>6661</v>
      </c>
      <c r="B6615" s="733" t="s">
        <v>645</v>
      </c>
      <c r="C6615" s="738" t="s">
        <v>6671</v>
      </c>
      <c r="D6615" s="733"/>
      <c r="E6615" s="733"/>
      <c r="G6615" s="733"/>
      <c r="H6615" s="733"/>
      <c r="I6615" s="733"/>
      <c r="J6615" s="733"/>
      <c r="K6615" s="733"/>
      <c r="L6615" s="733"/>
      <c r="M6615" s="733"/>
    </row>
    <row r="6616" spans="1:13" x14ac:dyDescent="0.3">
      <c r="A6616" s="733" t="s">
        <v>6661</v>
      </c>
      <c r="B6616" s="733" t="s">
        <v>664</v>
      </c>
      <c r="C6616" s="738" t="s">
        <v>6672</v>
      </c>
      <c r="D6616" s="733"/>
      <c r="E6616" s="733"/>
      <c r="G6616" s="733"/>
      <c r="H6616" s="733"/>
      <c r="I6616" s="733"/>
      <c r="J6616" s="733"/>
      <c r="K6616" s="733"/>
      <c r="L6616" s="733"/>
      <c r="M6616" s="733"/>
    </row>
    <row r="6617" spans="1:13" x14ac:dyDescent="0.3">
      <c r="A6617" s="733" t="s">
        <v>6661</v>
      </c>
      <c r="B6617" s="733" t="s">
        <v>664</v>
      </c>
      <c r="C6617" s="738" t="s">
        <v>6673</v>
      </c>
      <c r="D6617" s="733"/>
      <c r="E6617" s="733"/>
      <c r="G6617" s="733"/>
      <c r="H6617" s="733"/>
      <c r="I6617" s="733"/>
      <c r="J6617" s="733"/>
      <c r="K6617" s="733"/>
      <c r="L6617" s="733"/>
      <c r="M6617" s="733"/>
    </row>
    <row r="6618" spans="1:13" x14ac:dyDescent="0.3">
      <c r="A6618" s="733" t="s">
        <v>6661</v>
      </c>
      <c r="B6618" s="733" t="s">
        <v>664</v>
      </c>
      <c r="C6618" s="738" t="s">
        <v>6674</v>
      </c>
      <c r="D6618" s="733"/>
      <c r="E6618" s="733"/>
      <c r="G6618" s="733"/>
      <c r="H6618" s="733"/>
      <c r="I6618" s="733"/>
      <c r="J6618" s="733"/>
      <c r="K6618" s="733"/>
      <c r="L6618" s="733"/>
      <c r="M6618" s="733"/>
    </row>
    <row r="6619" spans="1:13" x14ac:dyDescent="0.3">
      <c r="A6619" s="733" t="s">
        <v>6661</v>
      </c>
      <c r="B6619" s="733" t="s">
        <v>664</v>
      </c>
      <c r="C6619" s="738" t="s">
        <v>6675</v>
      </c>
      <c r="D6619" s="733"/>
      <c r="E6619" s="733"/>
      <c r="G6619" s="733"/>
      <c r="H6619" s="733"/>
      <c r="I6619" s="733"/>
      <c r="J6619" s="733"/>
      <c r="K6619" s="733"/>
      <c r="L6619" s="733"/>
      <c r="M6619" s="733"/>
    </row>
    <row r="6620" spans="1:13" x14ac:dyDescent="0.3">
      <c r="A6620" s="733" t="s">
        <v>6661</v>
      </c>
      <c r="B6620" s="733" t="s">
        <v>664</v>
      </c>
      <c r="C6620" s="738" t="s">
        <v>6676</v>
      </c>
      <c r="D6620" s="733"/>
      <c r="E6620" s="733"/>
      <c r="G6620" s="733"/>
      <c r="H6620" s="733"/>
      <c r="I6620" s="733"/>
      <c r="J6620" s="733"/>
      <c r="K6620" s="733"/>
      <c r="L6620" s="733"/>
      <c r="M6620" s="733"/>
    </row>
    <row r="6621" spans="1:13" x14ac:dyDescent="0.3">
      <c r="A6621" s="733" t="s">
        <v>6661</v>
      </c>
      <c r="B6621" s="733" t="s">
        <v>664</v>
      </c>
      <c r="C6621" s="738" t="s">
        <v>6677</v>
      </c>
      <c r="D6621" s="733"/>
      <c r="E6621" s="733"/>
      <c r="G6621" s="733"/>
      <c r="H6621" s="733"/>
      <c r="I6621" s="733"/>
      <c r="J6621" s="733"/>
      <c r="K6621" s="733"/>
      <c r="L6621" s="733"/>
      <c r="M6621" s="733"/>
    </row>
    <row r="6622" spans="1:13" x14ac:dyDescent="0.3">
      <c r="A6622" s="733" t="s">
        <v>6661</v>
      </c>
      <c r="B6622" s="733" t="s">
        <v>664</v>
      </c>
      <c r="C6622" s="738" t="s">
        <v>6678</v>
      </c>
      <c r="D6622" s="733"/>
      <c r="E6622" s="733"/>
      <c r="G6622" s="733"/>
      <c r="H6622" s="733"/>
      <c r="I6622" s="733"/>
      <c r="J6622" s="733"/>
      <c r="K6622" s="733"/>
      <c r="L6622" s="733"/>
      <c r="M6622" s="733"/>
    </row>
    <row r="6623" spans="1:13" x14ac:dyDescent="0.3">
      <c r="A6623" s="733" t="s">
        <v>6661</v>
      </c>
      <c r="B6623" s="733" t="s">
        <v>664</v>
      </c>
      <c r="C6623" s="738" t="s">
        <v>6679</v>
      </c>
      <c r="D6623" s="733"/>
      <c r="E6623" s="733"/>
      <c r="G6623" s="733"/>
      <c r="H6623" s="733"/>
      <c r="I6623" s="733"/>
      <c r="J6623" s="733"/>
      <c r="K6623" s="733"/>
      <c r="L6623" s="733"/>
      <c r="M6623" s="733"/>
    </row>
    <row r="6624" spans="1:13" x14ac:dyDescent="0.3">
      <c r="A6624" s="733" t="s">
        <v>6661</v>
      </c>
      <c r="B6624" s="733" t="s">
        <v>664</v>
      </c>
      <c r="C6624" s="738" t="s">
        <v>6680</v>
      </c>
      <c r="D6624" s="733"/>
      <c r="E6624" s="733"/>
      <c r="G6624" s="733"/>
      <c r="H6624" s="733"/>
      <c r="I6624" s="733"/>
      <c r="J6624" s="733"/>
      <c r="K6624" s="733"/>
      <c r="L6624" s="733"/>
      <c r="M6624" s="733"/>
    </row>
    <row r="6625" spans="1:13" x14ac:dyDescent="0.3">
      <c r="A6625" s="733" t="s">
        <v>6661</v>
      </c>
      <c r="B6625" s="733" t="s">
        <v>664</v>
      </c>
      <c r="C6625" s="738" t="s">
        <v>6681</v>
      </c>
      <c r="D6625" s="733"/>
      <c r="E6625" s="733"/>
      <c r="G6625" s="733"/>
      <c r="H6625" s="733"/>
      <c r="I6625" s="733"/>
      <c r="J6625" s="733"/>
      <c r="K6625" s="733"/>
      <c r="L6625" s="733"/>
      <c r="M6625" s="733"/>
    </row>
    <row r="6626" spans="1:13" x14ac:dyDescent="0.3">
      <c r="A6626" s="733" t="s">
        <v>6661</v>
      </c>
      <c r="B6626" s="733" t="s">
        <v>612</v>
      </c>
      <c r="C6626" s="738" t="s">
        <v>6682</v>
      </c>
      <c r="D6626" s="733"/>
      <c r="E6626" s="733"/>
      <c r="G6626" s="733"/>
      <c r="H6626" s="733"/>
      <c r="I6626" s="733"/>
      <c r="J6626" s="733"/>
      <c r="K6626" s="733"/>
      <c r="L6626" s="733"/>
      <c r="M6626" s="733"/>
    </row>
    <row r="6627" spans="1:13" x14ac:dyDescent="0.3">
      <c r="A6627" s="733" t="s">
        <v>6661</v>
      </c>
      <c r="B6627" s="733" t="s">
        <v>612</v>
      </c>
      <c r="C6627" s="738" t="s">
        <v>6683</v>
      </c>
      <c r="D6627" s="733"/>
      <c r="E6627" s="733"/>
      <c r="G6627" s="733"/>
      <c r="H6627" s="733"/>
      <c r="I6627" s="733"/>
      <c r="J6627" s="733"/>
      <c r="K6627" s="733"/>
      <c r="L6627" s="733"/>
      <c r="M6627" s="733"/>
    </row>
    <row r="6628" spans="1:13" x14ac:dyDescent="0.3">
      <c r="A6628" s="733" t="s">
        <v>6661</v>
      </c>
      <c r="B6628" s="733" t="s">
        <v>612</v>
      </c>
      <c r="C6628" s="738" t="s">
        <v>6684</v>
      </c>
      <c r="D6628" s="733"/>
      <c r="E6628" s="733"/>
      <c r="G6628" s="733"/>
      <c r="H6628" s="733"/>
      <c r="I6628" s="733"/>
      <c r="J6628" s="733"/>
      <c r="K6628" s="733"/>
      <c r="L6628" s="733"/>
      <c r="M6628" s="733"/>
    </row>
    <row r="6629" spans="1:13" x14ac:dyDescent="0.3">
      <c r="A6629" s="733" t="s">
        <v>6661</v>
      </c>
      <c r="B6629" s="733" t="s">
        <v>612</v>
      </c>
      <c r="C6629" s="738" t="s">
        <v>6685</v>
      </c>
      <c r="D6629" s="733"/>
      <c r="E6629" s="733"/>
      <c r="G6629" s="733"/>
      <c r="H6629" s="733"/>
      <c r="I6629" s="733"/>
      <c r="J6629" s="733"/>
      <c r="K6629" s="733"/>
      <c r="L6629" s="733"/>
      <c r="M6629" s="733"/>
    </row>
    <row r="6630" spans="1:13" x14ac:dyDescent="0.3">
      <c r="A6630" s="733" t="s">
        <v>6661</v>
      </c>
      <c r="B6630" s="733" t="s">
        <v>612</v>
      </c>
      <c r="C6630" s="738" t="s">
        <v>6686</v>
      </c>
      <c r="D6630" s="733"/>
      <c r="E6630" s="733"/>
      <c r="G6630" s="733"/>
      <c r="H6630" s="733"/>
      <c r="I6630" s="733"/>
      <c r="J6630" s="733"/>
      <c r="K6630" s="733"/>
      <c r="L6630" s="733"/>
      <c r="M6630" s="733"/>
    </row>
    <row r="6631" spans="1:13" x14ac:dyDescent="0.3">
      <c r="A6631" s="733" t="s">
        <v>6661</v>
      </c>
      <c r="B6631" s="733" t="s">
        <v>612</v>
      </c>
      <c r="C6631" s="738" t="s">
        <v>6687</v>
      </c>
      <c r="D6631" s="733"/>
      <c r="E6631" s="733"/>
      <c r="G6631" s="733"/>
      <c r="H6631" s="733"/>
      <c r="I6631" s="733"/>
      <c r="J6631" s="733"/>
      <c r="K6631" s="733"/>
      <c r="L6631" s="733"/>
      <c r="M6631" s="733"/>
    </row>
    <row r="6632" spans="1:13" x14ac:dyDescent="0.3">
      <c r="A6632" s="733" t="s">
        <v>6661</v>
      </c>
      <c r="B6632" s="733" t="s">
        <v>612</v>
      </c>
      <c r="C6632" s="738" t="s">
        <v>6688</v>
      </c>
      <c r="D6632" s="733"/>
      <c r="E6632" s="733"/>
      <c r="G6632" s="733"/>
      <c r="H6632" s="733"/>
      <c r="I6632" s="733"/>
      <c r="J6632" s="733"/>
      <c r="K6632" s="733"/>
      <c r="L6632" s="733"/>
      <c r="M6632" s="733"/>
    </row>
    <row r="6633" spans="1:13" x14ac:dyDescent="0.3">
      <c r="A6633" s="733" t="s">
        <v>6661</v>
      </c>
      <c r="B6633" s="733" t="s">
        <v>612</v>
      </c>
      <c r="C6633" s="738" t="s">
        <v>6689</v>
      </c>
      <c r="D6633" s="733"/>
      <c r="E6633" s="733"/>
      <c r="G6633" s="733"/>
      <c r="H6633" s="733"/>
      <c r="I6633" s="733"/>
      <c r="J6633" s="733"/>
      <c r="K6633" s="733"/>
      <c r="L6633" s="733"/>
      <c r="M6633" s="733"/>
    </row>
    <row r="6634" spans="1:13" x14ac:dyDescent="0.3">
      <c r="A6634" s="733" t="s">
        <v>6661</v>
      </c>
      <c r="B6634" s="733" t="s">
        <v>612</v>
      </c>
      <c r="C6634" s="738" t="s">
        <v>6690</v>
      </c>
      <c r="D6634" s="733"/>
      <c r="E6634" s="733"/>
      <c r="G6634" s="733"/>
      <c r="H6634" s="733"/>
      <c r="I6634" s="733"/>
      <c r="J6634" s="733"/>
      <c r="K6634" s="733"/>
      <c r="L6634" s="733"/>
      <c r="M6634" s="733"/>
    </row>
    <row r="6635" spans="1:13" x14ac:dyDescent="0.3">
      <c r="A6635" s="733" t="s">
        <v>6661</v>
      </c>
      <c r="B6635" s="733" t="s">
        <v>612</v>
      </c>
      <c r="C6635" s="738" t="s">
        <v>6691</v>
      </c>
      <c r="D6635" s="733"/>
      <c r="E6635" s="733"/>
      <c r="G6635" s="733"/>
      <c r="H6635" s="733"/>
      <c r="I6635" s="733"/>
      <c r="J6635" s="733"/>
      <c r="K6635" s="733"/>
      <c r="L6635" s="733"/>
      <c r="M6635" s="733"/>
    </row>
    <row r="6636" spans="1:13" x14ac:dyDescent="0.3">
      <c r="A6636" s="733" t="s">
        <v>6692</v>
      </c>
      <c r="B6636" s="733" t="s">
        <v>645</v>
      </c>
      <c r="C6636" s="738" t="s">
        <v>6693</v>
      </c>
      <c r="D6636" s="733"/>
      <c r="E6636" s="733"/>
      <c r="G6636" s="733"/>
      <c r="H6636" s="733"/>
      <c r="I6636" s="733"/>
      <c r="J6636" s="733"/>
      <c r="K6636" s="733"/>
      <c r="L6636" s="733"/>
      <c r="M6636" s="733"/>
    </row>
    <row r="6637" spans="1:13" x14ac:dyDescent="0.3">
      <c r="A6637" s="733" t="s">
        <v>6692</v>
      </c>
      <c r="B6637" s="733" t="s">
        <v>645</v>
      </c>
      <c r="C6637" s="738" t="s">
        <v>6694</v>
      </c>
      <c r="D6637" s="733"/>
      <c r="E6637" s="733"/>
      <c r="G6637" s="733"/>
      <c r="H6637" s="733"/>
      <c r="I6637" s="733"/>
      <c r="J6637" s="733"/>
      <c r="K6637" s="733"/>
      <c r="L6637" s="733"/>
      <c r="M6637" s="733"/>
    </row>
    <row r="6638" spans="1:13" x14ac:dyDescent="0.3">
      <c r="A6638" s="733" t="s">
        <v>6692</v>
      </c>
      <c r="B6638" s="733" t="s">
        <v>645</v>
      </c>
      <c r="C6638" s="738" t="s">
        <v>6695</v>
      </c>
      <c r="D6638" s="733"/>
      <c r="E6638" s="733"/>
      <c r="G6638" s="733"/>
      <c r="H6638" s="733"/>
      <c r="I6638" s="733"/>
      <c r="J6638" s="733"/>
      <c r="K6638" s="733"/>
      <c r="L6638" s="733"/>
      <c r="M6638" s="733"/>
    </row>
    <row r="6639" spans="1:13" x14ac:dyDescent="0.3">
      <c r="A6639" s="733" t="s">
        <v>6692</v>
      </c>
      <c r="B6639" s="733" t="s">
        <v>645</v>
      </c>
      <c r="C6639" s="738" t="s">
        <v>6696</v>
      </c>
      <c r="D6639" s="733"/>
      <c r="E6639" s="733"/>
      <c r="G6639" s="733"/>
      <c r="H6639" s="733"/>
      <c r="I6639" s="733"/>
      <c r="J6639" s="733"/>
      <c r="K6639" s="733"/>
      <c r="L6639" s="733"/>
      <c r="M6639" s="733"/>
    </row>
    <row r="6640" spans="1:13" x14ac:dyDescent="0.3">
      <c r="A6640" s="733" t="s">
        <v>6692</v>
      </c>
      <c r="B6640" s="733" t="s">
        <v>645</v>
      </c>
      <c r="C6640" s="738" t="s">
        <v>6697</v>
      </c>
      <c r="D6640" s="733"/>
      <c r="E6640" s="733"/>
      <c r="G6640" s="733"/>
      <c r="H6640" s="733"/>
      <c r="I6640" s="733"/>
      <c r="J6640" s="733"/>
      <c r="K6640" s="733"/>
      <c r="L6640" s="733"/>
      <c r="M6640" s="733"/>
    </row>
    <row r="6641" spans="1:13" x14ac:dyDescent="0.3">
      <c r="A6641" s="733" t="s">
        <v>6692</v>
      </c>
      <c r="B6641" s="733" t="s">
        <v>645</v>
      </c>
      <c r="C6641" s="738" t="s">
        <v>6698</v>
      </c>
      <c r="D6641" s="733"/>
      <c r="E6641" s="733"/>
      <c r="G6641" s="733"/>
      <c r="H6641" s="733"/>
      <c r="I6641" s="733"/>
      <c r="J6641" s="733"/>
      <c r="K6641" s="733"/>
      <c r="L6641" s="733"/>
      <c r="M6641" s="733"/>
    </row>
    <row r="6642" spans="1:13" x14ac:dyDescent="0.3">
      <c r="A6642" s="733" t="s">
        <v>6692</v>
      </c>
      <c r="B6642" s="733" t="s">
        <v>645</v>
      </c>
      <c r="C6642" s="738" t="s">
        <v>6699</v>
      </c>
      <c r="D6642" s="733"/>
      <c r="E6642" s="733"/>
      <c r="G6642" s="733"/>
      <c r="H6642" s="733"/>
      <c r="I6642" s="733"/>
      <c r="J6642" s="733"/>
      <c r="K6642" s="733"/>
      <c r="L6642" s="733"/>
      <c r="M6642" s="733"/>
    </row>
    <row r="6643" spans="1:13" x14ac:dyDescent="0.3">
      <c r="A6643" s="733" t="s">
        <v>6692</v>
      </c>
      <c r="B6643" s="733" t="s">
        <v>645</v>
      </c>
      <c r="C6643" s="738" t="s">
        <v>6700</v>
      </c>
      <c r="D6643" s="733"/>
      <c r="E6643" s="733"/>
      <c r="G6643" s="733"/>
      <c r="H6643" s="733"/>
      <c r="I6643" s="733"/>
      <c r="J6643" s="733"/>
      <c r="K6643" s="733"/>
      <c r="L6643" s="733"/>
      <c r="M6643" s="733"/>
    </row>
    <row r="6644" spans="1:13" x14ac:dyDescent="0.3">
      <c r="A6644" s="733" t="s">
        <v>6692</v>
      </c>
      <c r="B6644" s="733" t="s">
        <v>645</v>
      </c>
      <c r="C6644" s="738" t="s">
        <v>6701</v>
      </c>
      <c r="D6644" s="733"/>
      <c r="E6644" s="733"/>
      <c r="G6644" s="733"/>
      <c r="H6644" s="733"/>
      <c r="I6644" s="733"/>
      <c r="J6644" s="733"/>
      <c r="K6644" s="733"/>
      <c r="L6644" s="733"/>
      <c r="M6644" s="733"/>
    </row>
    <row r="6645" spans="1:13" x14ac:dyDescent="0.3">
      <c r="A6645" s="733" t="s">
        <v>6692</v>
      </c>
      <c r="B6645" s="733" t="s">
        <v>645</v>
      </c>
      <c r="C6645" s="738" t="s">
        <v>6702</v>
      </c>
      <c r="D6645" s="733"/>
      <c r="E6645" s="733"/>
      <c r="G6645" s="733"/>
      <c r="H6645" s="733"/>
      <c r="I6645" s="733"/>
      <c r="J6645" s="733"/>
      <c r="K6645" s="733"/>
      <c r="L6645" s="733"/>
      <c r="M6645" s="733"/>
    </row>
    <row r="6646" spans="1:13" x14ac:dyDescent="0.3">
      <c r="A6646" s="733" t="s">
        <v>6692</v>
      </c>
      <c r="B6646" s="733" t="s">
        <v>664</v>
      </c>
      <c r="C6646" s="738" t="s">
        <v>6703</v>
      </c>
      <c r="D6646" s="733"/>
      <c r="E6646" s="733"/>
      <c r="G6646" s="733"/>
      <c r="H6646" s="733"/>
      <c r="I6646" s="733"/>
      <c r="J6646" s="733"/>
      <c r="K6646" s="733"/>
      <c r="L6646" s="733"/>
      <c r="M6646" s="733"/>
    </row>
    <row r="6647" spans="1:13" x14ac:dyDescent="0.3">
      <c r="A6647" s="733" t="s">
        <v>6692</v>
      </c>
      <c r="B6647" s="733" t="s">
        <v>664</v>
      </c>
      <c r="C6647" s="738" t="s">
        <v>6704</v>
      </c>
      <c r="D6647" s="733"/>
      <c r="E6647" s="733"/>
      <c r="G6647" s="733"/>
      <c r="H6647" s="733"/>
      <c r="I6647" s="733"/>
      <c r="J6647" s="733"/>
      <c r="K6647" s="733"/>
      <c r="L6647" s="733"/>
      <c r="M6647" s="733"/>
    </row>
    <row r="6648" spans="1:13" x14ac:dyDescent="0.3">
      <c r="A6648" s="733" t="s">
        <v>6692</v>
      </c>
      <c r="B6648" s="733" t="s">
        <v>664</v>
      </c>
      <c r="C6648" s="738" t="s">
        <v>6705</v>
      </c>
      <c r="D6648" s="733"/>
      <c r="E6648" s="733"/>
      <c r="G6648" s="733"/>
      <c r="H6648" s="733"/>
      <c r="I6648" s="733"/>
      <c r="J6648" s="733"/>
      <c r="K6648" s="733"/>
      <c r="L6648" s="733"/>
      <c r="M6648" s="733"/>
    </row>
    <row r="6649" spans="1:13" x14ac:dyDescent="0.3">
      <c r="A6649" s="733" t="s">
        <v>6692</v>
      </c>
      <c r="B6649" s="733" t="s">
        <v>664</v>
      </c>
      <c r="C6649" s="738" t="s">
        <v>6706</v>
      </c>
      <c r="D6649" s="733"/>
      <c r="E6649" s="733"/>
      <c r="G6649" s="733"/>
      <c r="H6649" s="733"/>
      <c r="I6649" s="733"/>
      <c r="J6649" s="733"/>
      <c r="K6649" s="733"/>
      <c r="L6649" s="733"/>
      <c r="M6649" s="733"/>
    </row>
    <row r="6650" spans="1:13" x14ac:dyDescent="0.3">
      <c r="A6650" s="733" t="s">
        <v>6692</v>
      </c>
      <c r="B6650" s="733" t="s">
        <v>664</v>
      </c>
      <c r="C6650" s="738" t="s">
        <v>6707</v>
      </c>
      <c r="D6650" s="733"/>
      <c r="E6650" s="733"/>
      <c r="G6650" s="733"/>
      <c r="H6650" s="733"/>
      <c r="I6650" s="733"/>
      <c r="J6650" s="733"/>
      <c r="K6650" s="733"/>
      <c r="L6650" s="733"/>
      <c r="M6650" s="733"/>
    </row>
    <row r="6651" spans="1:13" x14ac:dyDescent="0.3">
      <c r="A6651" s="733" t="s">
        <v>6692</v>
      </c>
      <c r="B6651" s="733" t="s">
        <v>664</v>
      </c>
      <c r="C6651" s="738" t="s">
        <v>6708</v>
      </c>
      <c r="D6651" s="733"/>
      <c r="E6651" s="733"/>
      <c r="G6651" s="733"/>
      <c r="H6651" s="733"/>
      <c r="I6651" s="733"/>
      <c r="J6651" s="733"/>
      <c r="K6651" s="733"/>
      <c r="L6651" s="733"/>
      <c r="M6651" s="733"/>
    </row>
    <row r="6652" spans="1:13" x14ac:dyDescent="0.3">
      <c r="A6652" s="733" t="s">
        <v>6692</v>
      </c>
      <c r="B6652" s="733" t="s">
        <v>664</v>
      </c>
      <c r="C6652" s="738" t="s">
        <v>6709</v>
      </c>
      <c r="D6652" s="733"/>
      <c r="E6652" s="733"/>
      <c r="G6652" s="733"/>
      <c r="H6652" s="733"/>
      <c r="I6652" s="733"/>
      <c r="J6652" s="733"/>
      <c r="K6652" s="733"/>
      <c r="L6652" s="733"/>
      <c r="M6652" s="733"/>
    </row>
    <row r="6653" spans="1:13" x14ac:dyDescent="0.3">
      <c r="A6653" s="733" t="s">
        <v>6692</v>
      </c>
      <c r="B6653" s="733" t="s">
        <v>664</v>
      </c>
      <c r="C6653" s="738" t="s">
        <v>6710</v>
      </c>
      <c r="D6653" s="733"/>
      <c r="E6653" s="733"/>
      <c r="G6653" s="733"/>
      <c r="H6653" s="733"/>
      <c r="I6653" s="733"/>
      <c r="J6653" s="733"/>
      <c r="K6653" s="733"/>
      <c r="L6653" s="733"/>
      <c r="M6653" s="733"/>
    </row>
    <row r="6654" spans="1:13" x14ac:dyDescent="0.3">
      <c r="A6654" s="733" t="s">
        <v>6692</v>
      </c>
      <c r="B6654" s="733" t="s">
        <v>664</v>
      </c>
      <c r="C6654" s="738" t="s">
        <v>6711</v>
      </c>
      <c r="D6654" s="733"/>
      <c r="E6654" s="733"/>
      <c r="G6654" s="733"/>
      <c r="H6654" s="733"/>
      <c r="I6654" s="733"/>
      <c r="J6654" s="733"/>
      <c r="K6654" s="733"/>
      <c r="L6654" s="733"/>
      <c r="M6654" s="733"/>
    </row>
    <row r="6655" spans="1:13" x14ac:dyDescent="0.3">
      <c r="A6655" s="733" t="s">
        <v>6692</v>
      </c>
      <c r="B6655" s="733" t="s">
        <v>664</v>
      </c>
      <c r="C6655" s="738" t="s">
        <v>6712</v>
      </c>
      <c r="D6655" s="733"/>
      <c r="E6655" s="733"/>
      <c r="G6655" s="733"/>
      <c r="H6655" s="733"/>
      <c r="I6655" s="733"/>
      <c r="J6655" s="733"/>
      <c r="K6655" s="733"/>
      <c r="L6655" s="733"/>
      <c r="M6655" s="733"/>
    </row>
    <row r="6656" spans="1:13" x14ac:dyDescent="0.3">
      <c r="A6656" s="733" t="s">
        <v>6692</v>
      </c>
      <c r="B6656" s="733" t="s">
        <v>612</v>
      </c>
      <c r="C6656" s="738" t="s">
        <v>6713</v>
      </c>
      <c r="D6656" s="733"/>
      <c r="E6656" s="733"/>
      <c r="G6656" s="733"/>
      <c r="H6656" s="733"/>
      <c r="I6656" s="733"/>
      <c r="J6656" s="733"/>
      <c r="K6656" s="733"/>
      <c r="L6656" s="733"/>
      <c r="M6656" s="733"/>
    </row>
    <row r="6657" spans="1:13" x14ac:dyDescent="0.3">
      <c r="A6657" s="733" t="s">
        <v>6692</v>
      </c>
      <c r="B6657" s="733" t="s">
        <v>612</v>
      </c>
      <c r="C6657" s="738" t="s">
        <v>6714</v>
      </c>
      <c r="D6657" s="733"/>
      <c r="E6657" s="733"/>
      <c r="G6657" s="733"/>
      <c r="H6657" s="733"/>
      <c r="I6657" s="733"/>
      <c r="J6657" s="733"/>
      <c r="K6657" s="733"/>
      <c r="L6657" s="733"/>
      <c r="M6657" s="733"/>
    </row>
    <row r="6658" spans="1:13" x14ac:dyDescent="0.3">
      <c r="A6658" s="733" t="s">
        <v>6692</v>
      </c>
      <c r="B6658" s="733" t="s">
        <v>612</v>
      </c>
      <c r="C6658" s="738" t="s">
        <v>6715</v>
      </c>
      <c r="D6658" s="733"/>
      <c r="E6658" s="733"/>
      <c r="G6658" s="733"/>
      <c r="H6658" s="733"/>
      <c r="I6658" s="733"/>
      <c r="J6658" s="733"/>
      <c r="K6658" s="733"/>
      <c r="L6658" s="733"/>
      <c r="M6658" s="733"/>
    </row>
    <row r="6659" spans="1:13" x14ac:dyDescent="0.3">
      <c r="A6659" s="733" t="s">
        <v>6692</v>
      </c>
      <c r="B6659" s="733" t="s">
        <v>612</v>
      </c>
      <c r="C6659" s="738" t="s">
        <v>6716</v>
      </c>
      <c r="D6659" s="733"/>
      <c r="E6659" s="733"/>
      <c r="G6659" s="733"/>
      <c r="H6659" s="733"/>
      <c r="I6659" s="733"/>
      <c r="J6659" s="733"/>
      <c r="K6659" s="733"/>
      <c r="L6659" s="733"/>
      <c r="M6659" s="733"/>
    </row>
    <row r="6660" spans="1:13" x14ac:dyDescent="0.3">
      <c r="A6660" s="733" t="s">
        <v>6692</v>
      </c>
      <c r="B6660" s="733" t="s">
        <v>612</v>
      </c>
      <c r="C6660" s="738" t="s">
        <v>6717</v>
      </c>
      <c r="D6660" s="733"/>
      <c r="E6660" s="733"/>
      <c r="G6660" s="733"/>
      <c r="H6660" s="733"/>
      <c r="I6660" s="733"/>
      <c r="J6660" s="733"/>
      <c r="K6660" s="733"/>
      <c r="L6660" s="733"/>
      <c r="M6660" s="733"/>
    </row>
    <row r="6661" spans="1:13" x14ac:dyDescent="0.3">
      <c r="A6661" s="733" t="s">
        <v>6692</v>
      </c>
      <c r="B6661" s="733" t="s">
        <v>612</v>
      </c>
      <c r="C6661" s="738" t="s">
        <v>6718</v>
      </c>
      <c r="D6661" s="733"/>
      <c r="E6661" s="733"/>
      <c r="G6661" s="733"/>
      <c r="H6661" s="733"/>
      <c r="I6661" s="733"/>
      <c r="J6661" s="733"/>
      <c r="K6661" s="733"/>
      <c r="L6661" s="733"/>
      <c r="M6661" s="733"/>
    </row>
    <row r="6662" spans="1:13" x14ac:dyDescent="0.3">
      <c r="A6662" s="733" t="s">
        <v>6692</v>
      </c>
      <c r="B6662" s="733" t="s">
        <v>612</v>
      </c>
      <c r="C6662" s="738" t="s">
        <v>6719</v>
      </c>
      <c r="D6662" s="733"/>
      <c r="E6662" s="733"/>
      <c r="G6662" s="733"/>
      <c r="H6662" s="733"/>
      <c r="I6662" s="733"/>
      <c r="J6662" s="733"/>
      <c r="K6662" s="733"/>
      <c r="L6662" s="733"/>
      <c r="M6662" s="733"/>
    </row>
    <row r="6663" spans="1:13" x14ac:dyDescent="0.3">
      <c r="A6663" s="733" t="s">
        <v>6692</v>
      </c>
      <c r="B6663" s="733" t="s">
        <v>612</v>
      </c>
      <c r="C6663" s="738" t="s">
        <v>6720</v>
      </c>
      <c r="D6663" s="733"/>
      <c r="E6663" s="733"/>
      <c r="G6663" s="733"/>
      <c r="H6663" s="733"/>
      <c r="I6663" s="733"/>
      <c r="J6663" s="733"/>
      <c r="K6663" s="733"/>
      <c r="L6663" s="733"/>
      <c r="M6663" s="733"/>
    </row>
    <row r="6664" spans="1:13" x14ac:dyDescent="0.3">
      <c r="A6664" s="733" t="s">
        <v>6692</v>
      </c>
      <c r="B6664" s="733" t="s">
        <v>612</v>
      </c>
      <c r="C6664" s="738" t="s">
        <v>6721</v>
      </c>
      <c r="D6664" s="733"/>
      <c r="E6664" s="733"/>
      <c r="G6664" s="733"/>
      <c r="H6664" s="733"/>
      <c r="I6664" s="733"/>
      <c r="J6664" s="733"/>
      <c r="K6664" s="733"/>
      <c r="L6664" s="733"/>
      <c r="M6664" s="733"/>
    </row>
    <row r="6665" spans="1:13" x14ac:dyDescent="0.3">
      <c r="A6665" s="733" t="s">
        <v>6692</v>
      </c>
      <c r="B6665" s="733" t="s">
        <v>612</v>
      </c>
      <c r="C6665" s="738" t="s">
        <v>6722</v>
      </c>
      <c r="D6665" s="733"/>
      <c r="E6665" s="733"/>
      <c r="G6665" s="733"/>
      <c r="H6665" s="733"/>
      <c r="I6665" s="733"/>
      <c r="J6665" s="733"/>
      <c r="K6665" s="733"/>
      <c r="L6665" s="733"/>
      <c r="M6665" s="733"/>
    </row>
    <row r="6666" spans="1:13" x14ac:dyDescent="0.3">
      <c r="A6666" s="733" t="s">
        <v>5745</v>
      </c>
      <c r="B6666" s="733" t="s">
        <v>645</v>
      </c>
      <c r="C6666" s="738" t="s">
        <v>6723</v>
      </c>
      <c r="D6666" s="733"/>
      <c r="E6666" s="733"/>
      <c r="G6666" s="733"/>
      <c r="H6666" s="733"/>
      <c r="I6666" s="733"/>
      <c r="J6666" s="733"/>
      <c r="K6666" s="733"/>
      <c r="L6666" s="733"/>
      <c r="M6666" s="733"/>
    </row>
    <row r="6667" spans="1:13" x14ac:dyDescent="0.3">
      <c r="A6667" s="733" t="s">
        <v>5745</v>
      </c>
      <c r="B6667" s="733" t="s">
        <v>645</v>
      </c>
      <c r="C6667" s="738" t="s">
        <v>6724</v>
      </c>
      <c r="D6667" s="733"/>
      <c r="E6667" s="733"/>
      <c r="G6667" s="733"/>
      <c r="H6667" s="733"/>
      <c r="I6667" s="733"/>
      <c r="J6667" s="733"/>
      <c r="K6667" s="733"/>
      <c r="L6667" s="733"/>
      <c r="M6667" s="733"/>
    </row>
    <row r="6668" spans="1:13" x14ac:dyDescent="0.3">
      <c r="A6668" s="733" t="s">
        <v>5745</v>
      </c>
      <c r="B6668" s="733" t="s">
        <v>645</v>
      </c>
      <c r="C6668" s="738" t="s">
        <v>6725</v>
      </c>
      <c r="D6668" s="733"/>
      <c r="E6668" s="733"/>
      <c r="G6668" s="733"/>
      <c r="H6668" s="733"/>
      <c r="I6668" s="733"/>
      <c r="J6668" s="733"/>
      <c r="K6668" s="733"/>
      <c r="L6668" s="733"/>
      <c r="M6668" s="733"/>
    </row>
    <row r="6669" spans="1:13" x14ac:dyDescent="0.3">
      <c r="A6669" s="733" t="s">
        <v>5745</v>
      </c>
      <c r="B6669" s="733" t="s">
        <v>645</v>
      </c>
      <c r="C6669" s="738" t="s">
        <v>6726</v>
      </c>
      <c r="D6669" s="733"/>
      <c r="E6669" s="733"/>
      <c r="G6669" s="733"/>
      <c r="H6669" s="733"/>
      <c r="I6669" s="733"/>
      <c r="J6669" s="733"/>
      <c r="K6669" s="733"/>
      <c r="L6669" s="733"/>
      <c r="M6669" s="733"/>
    </row>
    <row r="6670" spans="1:13" x14ac:dyDescent="0.3">
      <c r="A6670" s="733" t="s">
        <v>5745</v>
      </c>
      <c r="B6670" s="733" t="s">
        <v>645</v>
      </c>
      <c r="C6670" s="738" t="s">
        <v>6727</v>
      </c>
      <c r="D6670" s="733"/>
      <c r="E6670" s="733"/>
      <c r="G6670" s="733"/>
      <c r="H6670" s="733"/>
      <c r="I6670" s="733"/>
      <c r="J6670" s="733"/>
      <c r="K6670" s="733"/>
      <c r="L6670" s="733"/>
      <c r="M6670" s="733"/>
    </row>
    <row r="6671" spans="1:13" x14ac:dyDescent="0.3">
      <c r="A6671" s="733" t="s">
        <v>5745</v>
      </c>
      <c r="B6671" s="733" t="s">
        <v>645</v>
      </c>
      <c r="C6671" s="738" t="s">
        <v>6728</v>
      </c>
      <c r="D6671" s="733"/>
      <c r="E6671" s="733"/>
      <c r="G6671" s="733"/>
      <c r="H6671" s="733"/>
      <c r="I6671" s="733"/>
      <c r="J6671" s="733"/>
      <c r="K6671" s="733"/>
      <c r="L6671" s="733"/>
      <c r="M6671" s="733"/>
    </row>
    <row r="6672" spans="1:13" x14ac:dyDescent="0.3">
      <c r="A6672" s="733" t="s">
        <v>5745</v>
      </c>
      <c r="B6672" s="733" t="s">
        <v>645</v>
      </c>
      <c r="C6672" s="738" t="s">
        <v>6729</v>
      </c>
      <c r="D6672" s="733"/>
      <c r="E6672" s="733"/>
      <c r="G6672" s="733"/>
      <c r="H6672" s="733"/>
      <c r="I6672" s="733"/>
      <c r="J6672" s="733"/>
      <c r="K6672" s="733"/>
      <c r="L6672" s="733"/>
      <c r="M6672" s="733"/>
    </row>
    <row r="6673" spans="1:13" x14ac:dyDescent="0.3">
      <c r="A6673" s="733" t="s">
        <v>5745</v>
      </c>
      <c r="B6673" s="733" t="s">
        <v>645</v>
      </c>
      <c r="C6673" s="738" t="s">
        <v>6730</v>
      </c>
      <c r="D6673" s="733"/>
      <c r="E6673" s="733"/>
      <c r="G6673" s="733"/>
      <c r="H6673" s="733"/>
      <c r="I6673" s="733"/>
      <c r="J6673" s="733"/>
      <c r="K6673" s="733"/>
      <c r="L6673" s="733"/>
      <c r="M6673" s="733"/>
    </row>
    <row r="6674" spans="1:13" x14ac:dyDescent="0.3">
      <c r="A6674" s="733" t="s">
        <v>5745</v>
      </c>
      <c r="B6674" s="733" t="s">
        <v>645</v>
      </c>
      <c r="C6674" s="738" t="s">
        <v>6731</v>
      </c>
      <c r="D6674" s="733"/>
      <c r="E6674" s="733"/>
      <c r="G6674" s="733"/>
      <c r="H6674" s="733"/>
      <c r="I6674" s="733"/>
      <c r="J6674" s="733"/>
      <c r="K6674" s="733"/>
      <c r="L6674" s="733"/>
      <c r="M6674" s="733"/>
    </row>
    <row r="6675" spans="1:13" x14ac:dyDescent="0.3">
      <c r="A6675" s="733" t="s">
        <v>5745</v>
      </c>
      <c r="B6675" s="733" t="s">
        <v>645</v>
      </c>
      <c r="C6675" s="738" t="s">
        <v>6732</v>
      </c>
      <c r="D6675" s="733"/>
      <c r="E6675" s="733"/>
      <c r="G6675" s="733"/>
      <c r="H6675" s="733"/>
      <c r="I6675" s="733"/>
      <c r="J6675" s="733"/>
      <c r="K6675" s="733"/>
      <c r="L6675" s="733"/>
      <c r="M6675" s="733"/>
    </row>
    <row r="6676" spans="1:13" x14ac:dyDescent="0.3">
      <c r="A6676" s="733" t="s">
        <v>5745</v>
      </c>
      <c r="B6676" s="733" t="s">
        <v>664</v>
      </c>
      <c r="C6676" s="738" t="s">
        <v>6733</v>
      </c>
      <c r="D6676" s="733"/>
      <c r="E6676" s="733"/>
      <c r="G6676" s="733"/>
      <c r="H6676" s="733"/>
      <c r="I6676" s="733"/>
      <c r="J6676" s="733"/>
      <c r="K6676" s="733"/>
      <c r="L6676" s="733"/>
      <c r="M6676" s="733"/>
    </row>
    <row r="6677" spans="1:13" x14ac:dyDescent="0.3">
      <c r="A6677" s="733" t="s">
        <v>5745</v>
      </c>
      <c r="B6677" s="733" t="s">
        <v>664</v>
      </c>
      <c r="C6677" s="738" t="s">
        <v>6734</v>
      </c>
      <c r="D6677" s="733"/>
      <c r="E6677" s="733"/>
      <c r="G6677" s="733"/>
      <c r="H6677" s="733"/>
      <c r="I6677" s="733"/>
      <c r="J6677" s="733"/>
      <c r="K6677" s="733"/>
      <c r="L6677" s="733"/>
      <c r="M6677" s="733"/>
    </row>
    <row r="6678" spans="1:13" x14ac:dyDescent="0.3">
      <c r="A6678" s="733" t="s">
        <v>5745</v>
      </c>
      <c r="B6678" s="733" t="s">
        <v>664</v>
      </c>
      <c r="C6678" s="738" t="s">
        <v>6735</v>
      </c>
      <c r="D6678" s="733"/>
      <c r="E6678" s="733"/>
      <c r="G6678" s="733"/>
      <c r="H6678" s="733"/>
      <c r="I6678" s="733"/>
      <c r="J6678" s="733"/>
      <c r="K6678" s="733"/>
      <c r="L6678" s="733"/>
      <c r="M6678" s="733"/>
    </row>
    <row r="6679" spans="1:13" x14ac:dyDescent="0.3">
      <c r="A6679" s="733" t="s">
        <v>5745</v>
      </c>
      <c r="B6679" s="733" t="s">
        <v>664</v>
      </c>
      <c r="C6679" s="738" t="s">
        <v>6736</v>
      </c>
      <c r="D6679" s="733"/>
      <c r="E6679" s="733"/>
      <c r="G6679" s="733"/>
      <c r="H6679" s="733"/>
      <c r="I6679" s="733"/>
      <c r="J6679" s="733"/>
      <c r="K6679" s="733"/>
      <c r="L6679" s="733"/>
      <c r="M6679" s="733"/>
    </row>
    <row r="6680" spans="1:13" x14ac:dyDescent="0.3">
      <c r="A6680" s="733" t="s">
        <v>5745</v>
      </c>
      <c r="B6680" s="733" t="s">
        <v>664</v>
      </c>
      <c r="C6680" s="738" t="s">
        <v>6737</v>
      </c>
      <c r="D6680" s="733"/>
      <c r="E6680" s="733"/>
      <c r="G6680" s="733"/>
      <c r="H6680" s="733"/>
      <c r="I6680" s="733"/>
      <c r="J6680" s="733"/>
      <c r="K6680" s="733"/>
      <c r="L6680" s="733"/>
      <c r="M6680" s="733"/>
    </row>
    <row r="6681" spans="1:13" x14ac:dyDescent="0.3">
      <c r="A6681" s="733" t="s">
        <v>5745</v>
      </c>
      <c r="B6681" s="733" t="s">
        <v>664</v>
      </c>
      <c r="C6681" s="738" t="s">
        <v>6738</v>
      </c>
      <c r="D6681" s="733"/>
      <c r="E6681" s="733"/>
      <c r="G6681" s="733"/>
      <c r="H6681" s="733"/>
      <c r="I6681" s="733"/>
      <c r="J6681" s="733"/>
      <c r="K6681" s="733"/>
      <c r="L6681" s="733"/>
      <c r="M6681" s="733"/>
    </row>
    <row r="6682" spans="1:13" x14ac:dyDescent="0.3">
      <c r="A6682" s="733" t="s">
        <v>5745</v>
      </c>
      <c r="B6682" s="733" t="s">
        <v>664</v>
      </c>
      <c r="C6682" s="738" t="s">
        <v>6739</v>
      </c>
      <c r="D6682" s="733"/>
      <c r="E6682" s="733"/>
      <c r="G6682" s="733"/>
      <c r="H6682" s="733"/>
      <c r="I6682" s="733"/>
      <c r="J6682" s="733"/>
      <c r="K6682" s="733"/>
      <c r="L6682" s="733"/>
      <c r="M6682" s="733"/>
    </row>
    <row r="6683" spans="1:13" x14ac:dyDescent="0.3">
      <c r="A6683" s="733" t="s">
        <v>5745</v>
      </c>
      <c r="B6683" s="733" t="s">
        <v>664</v>
      </c>
      <c r="C6683" s="738" t="s">
        <v>6740</v>
      </c>
      <c r="D6683" s="733"/>
      <c r="E6683" s="733"/>
      <c r="G6683" s="733"/>
      <c r="H6683" s="733"/>
      <c r="I6683" s="733"/>
      <c r="J6683" s="733"/>
      <c r="K6683" s="733"/>
      <c r="L6683" s="733"/>
      <c r="M6683" s="733"/>
    </row>
    <row r="6684" spans="1:13" x14ac:dyDescent="0.3">
      <c r="A6684" s="733" t="s">
        <v>5745</v>
      </c>
      <c r="B6684" s="733" t="s">
        <v>664</v>
      </c>
      <c r="C6684" s="738" t="s">
        <v>6741</v>
      </c>
      <c r="D6684" s="733"/>
      <c r="E6684" s="733"/>
      <c r="G6684" s="733"/>
      <c r="H6684" s="733"/>
      <c r="I6684" s="733"/>
      <c r="J6684" s="733"/>
      <c r="K6684" s="733"/>
      <c r="L6684" s="733"/>
      <c r="M6684" s="733"/>
    </row>
    <row r="6685" spans="1:13" x14ac:dyDescent="0.3">
      <c r="A6685" s="733" t="s">
        <v>5745</v>
      </c>
      <c r="B6685" s="733" t="s">
        <v>664</v>
      </c>
      <c r="C6685" s="738" t="s">
        <v>6742</v>
      </c>
      <c r="D6685" s="733"/>
      <c r="E6685" s="733"/>
      <c r="G6685" s="733"/>
      <c r="H6685" s="733"/>
      <c r="I6685" s="733"/>
      <c r="J6685" s="733"/>
      <c r="K6685" s="733"/>
      <c r="L6685" s="733"/>
      <c r="M6685" s="733"/>
    </row>
    <row r="6686" spans="1:13" x14ac:dyDescent="0.3">
      <c r="A6686" s="733" t="s">
        <v>5745</v>
      </c>
      <c r="B6686" s="733" t="s">
        <v>612</v>
      </c>
      <c r="C6686" s="738" t="s">
        <v>6743</v>
      </c>
      <c r="D6686" s="733"/>
      <c r="E6686" s="733"/>
      <c r="G6686" s="733"/>
      <c r="H6686" s="733"/>
      <c r="I6686" s="733"/>
      <c r="J6686" s="733"/>
      <c r="K6686" s="733"/>
      <c r="L6686" s="733"/>
      <c r="M6686" s="733"/>
    </row>
    <row r="6687" spans="1:13" x14ac:dyDescent="0.3">
      <c r="A6687" s="733" t="s">
        <v>5745</v>
      </c>
      <c r="B6687" s="733" t="s">
        <v>612</v>
      </c>
      <c r="C6687" s="738" t="s">
        <v>6744</v>
      </c>
      <c r="D6687" s="733"/>
      <c r="E6687" s="733"/>
      <c r="G6687" s="733"/>
      <c r="H6687" s="733"/>
      <c r="I6687" s="733"/>
      <c r="J6687" s="733"/>
      <c r="K6687" s="733"/>
      <c r="L6687" s="733"/>
      <c r="M6687" s="733"/>
    </row>
    <row r="6688" spans="1:13" x14ac:dyDescent="0.3">
      <c r="A6688" s="733" t="s">
        <v>5745</v>
      </c>
      <c r="B6688" s="733" t="s">
        <v>612</v>
      </c>
      <c r="C6688" s="738" t="s">
        <v>6745</v>
      </c>
      <c r="D6688" s="733"/>
      <c r="E6688" s="733"/>
      <c r="G6688" s="733"/>
      <c r="H6688" s="733"/>
      <c r="I6688" s="733"/>
      <c r="J6688" s="733"/>
      <c r="K6688" s="733"/>
      <c r="L6688" s="733"/>
      <c r="M6688" s="733"/>
    </row>
    <row r="6689" spans="1:13" x14ac:dyDescent="0.3">
      <c r="A6689" s="733" t="s">
        <v>5745</v>
      </c>
      <c r="B6689" s="733" t="s">
        <v>612</v>
      </c>
      <c r="C6689" s="738" t="s">
        <v>6746</v>
      </c>
      <c r="D6689" s="733"/>
      <c r="E6689" s="733"/>
      <c r="G6689" s="733"/>
      <c r="H6689" s="733"/>
      <c r="I6689" s="733"/>
      <c r="J6689" s="733"/>
      <c r="K6689" s="733"/>
      <c r="L6689" s="733"/>
      <c r="M6689" s="733"/>
    </row>
    <row r="6690" spans="1:13" x14ac:dyDescent="0.3">
      <c r="A6690" s="733" t="s">
        <v>5745</v>
      </c>
      <c r="B6690" s="733" t="s">
        <v>612</v>
      </c>
      <c r="C6690" s="738" t="s">
        <v>6747</v>
      </c>
      <c r="D6690" s="733"/>
      <c r="E6690" s="733"/>
      <c r="G6690" s="733"/>
      <c r="H6690" s="733"/>
      <c r="I6690" s="733"/>
      <c r="J6690" s="733"/>
      <c r="K6690" s="733"/>
      <c r="L6690" s="733"/>
      <c r="M6690" s="733"/>
    </row>
    <row r="6691" spans="1:13" x14ac:dyDescent="0.3">
      <c r="A6691" s="733" t="s">
        <v>5745</v>
      </c>
      <c r="B6691" s="733" t="s">
        <v>612</v>
      </c>
      <c r="C6691" s="738" t="s">
        <v>6748</v>
      </c>
      <c r="D6691" s="733"/>
      <c r="E6691" s="733"/>
      <c r="G6691" s="733"/>
      <c r="H6691" s="733"/>
      <c r="I6691" s="733"/>
      <c r="J6691" s="733"/>
      <c r="K6691" s="733"/>
      <c r="L6691" s="733"/>
      <c r="M6691" s="733"/>
    </row>
    <row r="6692" spans="1:13" x14ac:dyDescent="0.3">
      <c r="A6692" s="733" t="s">
        <v>5745</v>
      </c>
      <c r="B6692" s="733" t="s">
        <v>612</v>
      </c>
      <c r="C6692" s="738" t="s">
        <v>6749</v>
      </c>
      <c r="D6692" s="733"/>
      <c r="E6692" s="733"/>
      <c r="G6692" s="733"/>
      <c r="H6692" s="733"/>
      <c r="I6692" s="733"/>
      <c r="J6692" s="733"/>
      <c r="K6692" s="733"/>
      <c r="L6692" s="733"/>
      <c r="M6692" s="733"/>
    </row>
    <row r="6693" spans="1:13" x14ac:dyDescent="0.3">
      <c r="A6693" s="733" t="s">
        <v>5745</v>
      </c>
      <c r="B6693" s="733" t="s">
        <v>612</v>
      </c>
      <c r="C6693" s="738" t="s">
        <v>6750</v>
      </c>
      <c r="D6693" s="733"/>
      <c r="E6693" s="733"/>
      <c r="G6693" s="733"/>
      <c r="H6693" s="733"/>
      <c r="I6693" s="733"/>
      <c r="J6693" s="733"/>
      <c r="K6693" s="733"/>
      <c r="L6693" s="733"/>
      <c r="M6693" s="733"/>
    </row>
    <row r="6694" spans="1:13" x14ac:dyDescent="0.3">
      <c r="A6694" s="733" t="s">
        <v>5745</v>
      </c>
      <c r="B6694" s="733" t="s">
        <v>612</v>
      </c>
      <c r="C6694" s="738" t="s">
        <v>6751</v>
      </c>
      <c r="D6694" s="733"/>
      <c r="E6694" s="733"/>
      <c r="G6694" s="733"/>
      <c r="H6694" s="733"/>
      <c r="I6694" s="733"/>
      <c r="J6694" s="733"/>
      <c r="K6694" s="733"/>
      <c r="L6694" s="733"/>
      <c r="M6694" s="733"/>
    </row>
    <row r="6695" spans="1:13" x14ac:dyDescent="0.3">
      <c r="A6695" s="733" t="s">
        <v>5745</v>
      </c>
      <c r="B6695" s="733" t="s">
        <v>612</v>
      </c>
      <c r="C6695" s="738" t="s">
        <v>6752</v>
      </c>
      <c r="D6695" s="733"/>
      <c r="E6695" s="733"/>
      <c r="G6695" s="733"/>
      <c r="H6695" s="733"/>
      <c r="I6695" s="733"/>
      <c r="J6695" s="733"/>
      <c r="K6695" s="733"/>
      <c r="L6695" s="733"/>
      <c r="M6695" s="733"/>
    </row>
    <row r="6696" spans="1:13" x14ac:dyDescent="0.3">
      <c r="A6696" s="733" t="s">
        <v>743</v>
      </c>
      <c r="B6696" s="733" t="s">
        <v>645</v>
      </c>
      <c r="C6696" s="738" t="s">
        <v>6753</v>
      </c>
      <c r="D6696" s="733"/>
      <c r="E6696" s="733"/>
      <c r="G6696" s="733"/>
      <c r="H6696" s="733"/>
      <c r="I6696" s="733"/>
      <c r="J6696" s="733"/>
      <c r="K6696" s="733"/>
      <c r="L6696" s="733"/>
      <c r="M6696" s="733"/>
    </row>
    <row r="6697" spans="1:13" x14ac:dyDescent="0.3">
      <c r="A6697" s="733" t="s">
        <v>743</v>
      </c>
      <c r="B6697" s="733" t="s">
        <v>645</v>
      </c>
      <c r="C6697" s="738" t="s">
        <v>6754</v>
      </c>
      <c r="D6697" s="733"/>
      <c r="E6697" s="733"/>
      <c r="G6697" s="733"/>
      <c r="H6697" s="733"/>
      <c r="I6697" s="733"/>
      <c r="J6697" s="733"/>
      <c r="K6697" s="733"/>
      <c r="L6697" s="733"/>
      <c r="M6697" s="733"/>
    </row>
    <row r="6698" spans="1:13" x14ac:dyDescent="0.3">
      <c r="A6698" s="733" t="s">
        <v>743</v>
      </c>
      <c r="B6698" s="733" t="s">
        <v>645</v>
      </c>
      <c r="C6698" s="738" t="s">
        <v>6755</v>
      </c>
      <c r="D6698" s="733"/>
      <c r="E6698" s="733"/>
      <c r="G6698" s="733"/>
      <c r="H6698" s="733"/>
      <c r="I6698" s="733"/>
      <c r="J6698" s="733"/>
      <c r="K6698" s="733"/>
      <c r="L6698" s="733"/>
      <c r="M6698" s="733"/>
    </row>
    <row r="6699" spans="1:13" x14ac:dyDescent="0.3">
      <c r="A6699" s="733" t="s">
        <v>743</v>
      </c>
      <c r="B6699" s="733" t="s">
        <v>645</v>
      </c>
      <c r="C6699" s="738" t="s">
        <v>6756</v>
      </c>
      <c r="D6699" s="733"/>
      <c r="E6699" s="733"/>
      <c r="G6699" s="733"/>
      <c r="H6699" s="733"/>
      <c r="I6699" s="733"/>
      <c r="J6699" s="733"/>
      <c r="K6699" s="733"/>
      <c r="L6699" s="733"/>
      <c r="M6699" s="733"/>
    </row>
    <row r="6700" spans="1:13" x14ac:dyDescent="0.3">
      <c r="A6700" s="733" t="s">
        <v>743</v>
      </c>
      <c r="B6700" s="733" t="s">
        <v>645</v>
      </c>
      <c r="C6700" s="738" t="s">
        <v>6757</v>
      </c>
      <c r="D6700" s="733"/>
      <c r="E6700" s="733"/>
      <c r="G6700" s="733"/>
      <c r="H6700" s="733"/>
      <c r="I6700" s="733"/>
      <c r="J6700" s="733"/>
      <c r="K6700" s="733"/>
      <c r="L6700" s="733"/>
      <c r="M6700" s="733"/>
    </row>
    <row r="6701" spans="1:13" x14ac:dyDescent="0.3">
      <c r="A6701" s="733" t="s">
        <v>743</v>
      </c>
      <c r="B6701" s="733" t="s">
        <v>645</v>
      </c>
      <c r="C6701" s="738" t="s">
        <v>6758</v>
      </c>
      <c r="D6701" s="733"/>
      <c r="E6701" s="733"/>
      <c r="G6701" s="733"/>
      <c r="H6701" s="733"/>
      <c r="I6701" s="733"/>
      <c r="J6701" s="733"/>
      <c r="K6701" s="733"/>
      <c r="L6701" s="733"/>
      <c r="M6701" s="733"/>
    </row>
    <row r="6702" spans="1:13" x14ac:dyDescent="0.3">
      <c r="A6702" s="733" t="s">
        <v>743</v>
      </c>
      <c r="B6702" s="733" t="s">
        <v>645</v>
      </c>
      <c r="C6702" s="738" t="s">
        <v>6759</v>
      </c>
      <c r="D6702" s="733"/>
      <c r="E6702" s="733"/>
      <c r="G6702" s="733"/>
      <c r="H6702" s="733"/>
      <c r="I6702" s="733"/>
      <c r="J6702" s="733"/>
      <c r="K6702" s="733"/>
      <c r="L6702" s="733"/>
      <c r="M6702" s="733"/>
    </row>
    <row r="6703" spans="1:13" x14ac:dyDescent="0.3">
      <c r="A6703" s="733" t="s">
        <v>743</v>
      </c>
      <c r="B6703" s="733" t="s">
        <v>645</v>
      </c>
      <c r="C6703" s="738" t="s">
        <v>6760</v>
      </c>
      <c r="D6703" s="733"/>
      <c r="E6703" s="733"/>
      <c r="G6703" s="733"/>
      <c r="H6703" s="733"/>
      <c r="I6703" s="733"/>
      <c r="J6703" s="733"/>
      <c r="K6703" s="733"/>
      <c r="L6703" s="733"/>
      <c r="M6703" s="733"/>
    </row>
    <row r="6704" spans="1:13" x14ac:dyDescent="0.3">
      <c r="A6704" s="733" t="s">
        <v>743</v>
      </c>
      <c r="B6704" s="733" t="s">
        <v>645</v>
      </c>
      <c r="C6704" s="738" t="s">
        <v>6761</v>
      </c>
      <c r="D6704" s="733"/>
      <c r="E6704" s="733"/>
      <c r="G6704" s="733"/>
      <c r="H6704" s="733"/>
      <c r="I6704" s="733"/>
      <c r="J6704" s="733"/>
      <c r="K6704" s="733"/>
      <c r="L6704" s="733"/>
      <c r="M6704" s="733"/>
    </row>
    <row r="6705" spans="1:13" x14ac:dyDescent="0.3">
      <c r="A6705" s="733" t="s">
        <v>743</v>
      </c>
      <c r="B6705" s="733" t="s">
        <v>645</v>
      </c>
      <c r="C6705" s="738" t="s">
        <v>6762</v>
      </c>
      <c r="D6705" s="733"/>
      <c r="E6705" s="733"/>
      <c r="G6705" s="733"/>
      <c r="H6705" s="733"/>
      <c r="I6705" s="733"/>
      <c r="J6705" s="733"/>
      <c r="K6705" s="733"/>
      <c r="L6705" s="733"/>
      <c r="M6705" s="733"/>
    </row>
    <row r="6706" spans="1:13" x14ac:dyDescent="0.3">
      <c r="A6706" s="733" t="s">
        <v>743</v>
      </c>
      <c r="B6706" s="733" t="s">
        <v>664</v>
      </c>
      <c r="C6706" s="738" t="s">
        <v>6763</v>
      </c>
      <c r="D6706" s="733"/>
      <c r="E6706" s="733"/>
      <c r="G6706" s="733"/>
      <c r="H6706" s="733"/>
      <c r="I6706" s="733"/>
      <c r="J6706" s="733"/>
      <c r="K6706" s="733"/>
      <c r="L6706" s="733"/>
      <c r="M6706" s="733"/>
    </row>
    <row r="6707" spans="1:13" x14ac:dyDescent="0.3">
      <c r="A6707" s="733" t="s">
        <v>743</v>
      </c>
      <c r="B6707" s="733" t="s">
        <v>664</v>
      </c>
      <c r="C6707" s="738" t="s">
        <v>6764</v>
      </c>
      <c r="D6707" s="733"/>
      <c r="E6707" s="733"/>
      <c r="G6707" s="733"/>
      <c r="H6707" s="733"/>
      <c r="I6707" s="733"/>
      <c r="J6707" s="733"/>
      <c r="K6707" s="733"/>
      <c r="L6707" s="733"/>
      <c r="M6707" s="733"/>
    </row>
    <row r="6708" spans="1:13" x14ac:dyDescent="0.3">
      <c r="A6708" s="733" t="s">
        <v>743</v>
      </c>
      <c r="B6708" s="733" t="s">
        <v>664</v>
      </c>
      <c r="C6708" s="738" t="s">
        <v>6765</v>
      </c>
      <c r="D6708" s="733"/>
      <c r="E6708" s="733"/>
      <c r="G6708" s="733"/>
      <c r="H6708" s="733"/>
      <c r="I6708" s="733"/>
      <c r="J6708" s="733"/>
      <c r="K6708" s="733"/>
      <c r="L6708" s="733"/>
      <c r="M6708" s="733"/>
    </row>
    <row r="6709" spans="1:13" x14ac:dyDescent="0.3">
      <c r="A6709" s="733" t="s">
        <v>743</v>
      </c>
      <c r="B6709" s="733" t="s">
        <v>664</v>
      </c>
      <c r="C6709" s="738" t="s">
        <v>6766</v>
      </c>
      <c r="D6709" s="733"/>
      <c r="E6709" s="733"/>
      <c r="G6709" s="733"/>
      <c r="H6709" s="733"/>
      <c r="I6709" s="733"/>
      <c r="J6709" s="733"/>
      <c r="K6709" s="733"/>
      <c r="L6709" s="733"/>
      <c r="M6709" s="733"/>
    </row>
    <row r="6710" spans="1:13" x14ac:dyDescent="0.3">
      <c r="A6710" s="733" t="s">
        <v>743</v>
      </c>
      <c r="B6710" s="733" t="s">
        <v>664</v>
      </c>
      <c r="C6710" s="738" t="s">
        <v>6767</v>
      </c>
      <c r="D6710" s="733"/>
      <c r="E6710" s="733"/>
      <c r="G6710" s="733"/>
      <c r="H6710" s="733"/>
      <c r="I6710" s="733"/>
      <c r="J6710" s="733"/>
      <c r="K6710" s="733"/>
      <c r="L6710" s="733"/>
      <c r="M6710" s="733"/>
    </row>
    <row r="6711" spans="1:13" x14ac:dyDescent="0.3">
      <c r="A6711" s="733" t="s">
        <v>743</v>
      </c>
      <c r="B6711" s="733" t="s">
        <v>664</v>
      </c>
      <c r="C6711" s="738" t="s">
        <v>6768</v>
      </c>
      <c r="D6711" s="733"/>
      <c r="E6711" s="733"/>
      <c r="G6711" s="733"/>
      <c r="H6711" s="733"/>
      <c r="I6711" s="733"/>
      <c r="J6711" s="733"/>
      <c r="K6711" s="733"/>
      <c r="L6711" s="733"/>
      <c r="M6711" s="733"/>
    </row>
    <row r="6712" spans="1:13" x14ac:dyDescent="0.3">
      <c r="A6712" s="733" t="s">
        <v>743</v>
      </c>
      <c r="B6712" s="733" t="s">
        <v>664</v>
      </c>
      <c r="C6712" s="738" t="s">
        <v>6769</v>
      </c>
      <c r="D6712" s="733"/>
      <c r="E6712" s="733"/>
      <c r="G6712" s="733"/>
      <c r="H6712" s="733"/>
      <c r="I6712" s="733"/>
      <c r="J6712" s="733"/>
      <c r="K6712" s="733"/>
      <c r="L6712" s="733"/>
      <c r="M6712" s="733"/>
    </row>
    <row r="6713" spans="1:13" x14ac:dyDescent="0.3">
      <c r="A6713" s="733" t="s">
        <v>743</v>
      </c>
      <c r="B6713" s="733" t="s">
        <v>664</v>
      </c>
      <c r="C6713" s="738" t="s">
        <v>6770</v>
      </c>
      <c r="D6713" s="733"/>
      <c r="E6713" s="733"/>
      <c r="G6713" s="733"/>
      <c r="H6713" s="733"/>
      <c r="I6713" s="733"/>
      <c r="J6713" s="733"/>
      <c r="K6713" s="733"/>
      <c r="L6713" s="733"/>
      <c r="M6713" s="733"/>
    </row>
    <row r="6714" spans="1:13" x14ac:dyDescent="0.3">
      <c r="A6714" s="733" t="s">
        <v>743</v>
      </c>
      <c r="B6714" s="733" t="s">
        <v>664</v>
      </c>
      <c r="C6714" s="738" t="s">
        <v>6771</v>
      </c>
      <c r="D6714" s="733"/>
      <c r="E6714" s="733"/>
      <c r="G6714" s="733"/>
      <c r="H6714" s="733"/>
      <c r="I6714" s="733"/>
      <c r="J6714" s="733"/>
      <c r="K6714" s="733"/>
      <c r="L6714" s="733"/>
      <c r="M6714" s="733"/>
    </row>
    <row r="6715" spans="1:13" x14ac:dyDescent="0.3">
      <c r="A6715" s="733" t="s">
        <v>743</v>
      </c>
      <c r="B6715" s="733" t="s">
        <v>664</v>
      </c>
      <c r="C6715" s="738" t="s">
        <v>6772</v>
      </c>
      <c r="D6715" s="733"/>
      <c r="E6715" s="733"/>
      <c r="G6715" s="733"/>
      <c r="H6715" s="733"/>
      <c r="I6715" s="733"/>
      <c r="J6715" s="733"/>
      <c r="K6715" s="733"/>
      <c r="L6715" s="733"/>
      <c r="M6715" s="733"/>
    </row>
    <row r="6716" spans="1:13" x14ac:dyDescent="0.3">
      <c r="A6716" s="733" t="s">
        <v>743</v>
      </c>
      <c r="B6716" s="733" t="s">
        <v>612</v>
      </c>
      <c r="C6716" s="738" t="s">
        <v>6773</v>
      </c>
      <c r="D6716" s="733"/>
      <c r="E6716" s="733"/>
      <c r="G6716" s="733"/>
      <c r="H6716" s="733"/>
      <c r="I6716" s="733"/>
      <c r="J6716" s="733"/>
      <c r="K6716" s="733"/>
      <c r="L6716" s="733"/>
      <c r="M6716" s="733"/>
    </row>
    <row r="6717" spans="1:13" x14ac:dyDescent="0.3">
      <c r="A6717" s="733" t="s">
        <v>743</v>
      </c>
      <c r="B6717" s="733" t="s">
        <v>612</v>
      </c>
      <c r="C6717" s="738" t="s">
        <v>6774</v>
      </c>
      <c r="D6717" s="733"/>
      <c r="E6717" s="733"/>
      <c r="G6717" s="733"/>
      <c r="H6717" s="733"/>
      <c r="I6717" s="733"/>
      <c r="J6717" s="733"/>
      <c r="K6717" s="733"/>
      <c r="L6717" s="733"/>
      <c r="M6717" s="733"/>
    </row>
    <row r="6718" spans="1:13" x14ac:dyDescent="0.3">
      <c r="A6718" s="733" t="s">
        <v>743</v>
      </c>
      <c r="B6718" s="733" t="s">
        <v>612</v>
      </c>
      <c r="C6718" s="738" t="s">
        <v>6775</v>
      </c>
      <c r="D6718" s="733"/>
      <c r="E6718" s="733"/>
      <c r="G6718" s="733"/>
      <c r="H6718" s="733"/>
      <c r="I6718" s="733"/>
      <c r="J6718" s="733"/>
      <c r="K6718" s="733"/>
      <c r="L6718" s="733"/>
      <c r="M6718" s="733"/>
    </row>
    <row r="6719" spans="1:13" x14ac:dyDescent="0.3">
      <c r="A6719" s="733" t="s">
        <v>743</v>
      </c>
      <c r="B6719" s="733" t="s">
        <v>612</v>
      </c>
      <c r="C6719" s="738" t="s">
        <v>6776</v>
      </c>
      <c r="D6719" s="733"/>
      <c r="E6719" s="733"/>
      <c r="G6719" s="733"/>
      <c r="H6719" s="733"/>
      <c r="I6719" s="733"/>
      <c r="J6719" s="733"/>
      <c r="K6719" s="733"/>
      <c r="L6719" s="733"/>
      <c r="M6719" s="733"/>
    </row>
    <row r="6720" spans="1:13" x14ac:dyDescent="0.3">
      <c r="A6720" s="733" t="s">
        <v>743</v>
      </c>
      <c r="B6720" s="733" t="s">
        <v>612</v>
      </c>
      <c r="C6720" s="738" t="s">
        <v>6777</v>
      </c>
      <c r="D6720" s="733"/>
      <c r="E6720" s="733"/>
      <c r="G6720" s="733"/>
      <c r="H6720" s="733"/>
      <c r="I6720" s="733"/>
      <c r="J6720" s="733"/>
      <c r="K6720" s="733"/>
      <c r="L6720" s="733"/>
      <c r="M6720" s="733"/>
    </row>
    <row r="6721" spans="1:13" x14ac:dyDescent="0.3">
      <c r="A6721" s="733" t="s">
        <v>743</v>
      </c>
      <c r="B6721" s="733" t="s">
        <v>612</v>
      </c>
      <c r="C6721" s="738" t="s">
        <v>6778</v>
      </c>
      <c r="D6721" s="733"/>
      <c r="E6721" s="733"/>
      <c r="G6721" s="733"/>
      <c r="H6721" s="733"/>
      <c r="I6721" s="733"/>
      <c r="J6721" s="733"/>
      <c r="K6721" s="733"/>
      <c r="L6721" s="733"/>
      <c r="M6721" s="733"/>
    </row>
    <row r="6722" spans="1:13" x14ac:dyDescent="0.3">
      <c r="A6722" s="733" t="s">
        <v>743</v>
      </c>
      <c r="B6722" s="733" t="s">
        <v>612</v>
      </c>
      <c r="C6722" s="738" t="s">
        <v>6779</v>
      </c>
      <c r="D6722" s="733"/>
      <c r="E6722" s="733"/>
      <c r="G6722" s="733"/>
      <c r="H6722" s="733"/>
      <c r="I6722" s="733"/>
      <c r="J6722" s="733"/>
      <c r="K6722" s="733"/>
      <c r="L6722" s="733"/>
      <c r="M6722" s="733"/>
    </row>
    <row r="6723" spans="1:13" x14ac:dyDescent="0.3">
      <c r="A6723" s="733" t="s">
        <v>743</v>
      </c>
      <c r="B6723" s="733" t="s">
        <v>612</v>
      </c>
      <c r="C6723" s="738" t="s">
        <v>6780</v>
      </c>
      <c r="D6723" s="733"/>
      <c r="E6723" s="733"/>
      <c r="G6723" s="733"/>
      <c r="H6723" s="733"/>
      <c r="I6723" s="733"/>
      <c r="J6723" s="733"/>
      <c r="K6723" s="733"/>
      <c r="L6723" s="733"/>
      <c r="M6723" s="733"/>
    </row>
    <row r="6724" spans="1:13" x14ac:dyDescent="0.3">
      <c r="A6724" s="733" t="s">
        <v>743</v>
      </c>
      <c r="B6724" s="733" t="s">
        <v>612</v>
      </c>
      <c r="C6724" s="738" t="s">
        <v>6781</v>
      </c>
      <c r="D6724" s="733"/>
      <c r="E6724" s="733"/>
      <c r="G6724" s="733"/>
      <c r="H6724" s="733"/>
      <c r="I6724" s="733"/>
      <c r="J6724" s="733"/>
      <c r="K6724" s="733"/>
      <c r="L6724" s="733"/>
      <c r="M6724" s="733"/>
    </row>
    <row r="6725" spans="1:13" x14ac:dyDescent="0.3">
      <c r="A6725" s="733" t="s">
        <v>743</v>
      </c>
      <c r="B6725" s="733" t="s">
        <v>612</v>
      </c>
      <c r="C6725" s="738" t="s">
        <v>6782</v>
      </c>
      <c r="D6725" s="733"/>
      <c r="E6725" s="733"/>
      <c r="G6725" s="733"/>
      <c r="H6725" s="733"/>
      <c r="I6725" s="733"/>
      <c r="J6725" s="733"/>
      <c r="K6725" s="733"/>
      <c r="L6725" s="733"/>
      <c r="M6725" s="733"/>
    </row>
    <row r="6726" spans="1:13" x14ac:dyDescent="0.3">
      <c r="A6726" s="733" t="s">
        <v>6783</v>
      </c>
      <c r="B6726" s="733" t="s">
        <v>645</v>
      </c>
      <c r="C6726" s="738" t="s">
        <v>6784</v>
      </c>
      <c r="D6726" s="733"/>
      <c r="E6726" s="733"/>
      <c r="G6726" s="733"/>
      <c r="H6726" s="733"/>
      <c r="I6726" s="733"/>
      <c r="J6726" s="733"/>
      <c r="K6726" s="733"/>
      <c r="L6726" s="733"/>
      <c r="M6726" s="733"/>
    </row>
    <row r="6727" spans="1:13" x14ac:dyDescent="0.3">
      <c r="A6727" s="733" t="s">
        <v>6783</v>
      </c>
      <c r="B6727" s="733" t="s">
        <v>645</v>
      </c>
      <c r="C6727" s="738" t="s">
        <v>6785</v>
      </c>
      <c r="D6727" s="733"/>
      <c r="E6727" s="733"/>
      <c r="G6727" s="733"/>
      <c r="H6727" s="733"/>
      <c r="I6727" s="733"/>
      <c r="J6727" s="733"/>
      <c r="K6727" s="733"/>
      <c r="L6727" s="733"/>
      <c r="M6727" s="733"/>
    </row>
    <row r="6728" spans="1:13" x14ac:dyDescent="0.3">
      <c r="A6728" s="733" t="s">
        <v>6783</v>
      </c>
      <c r="B6728" s="733" t="s">
        <v>645</v>
      </c>
      <c r="C6728" s="738" t="s">
        <v>6786</v>
      </c>
      <c r="D6728" s="733"/>
      <c r="E6728" s="733"/>
      <c r="G6728" s="733"/>
      <c r="H6728" s="733"/>
      <c r="I6728" s="733"/>
      <c r="J6728" s="733"/>
      <c r="K6728" s="733"/>
      <c r="L6728" s="733"/>
      <c r="M6728" s="733"/>
    </row>
    <row r="6729" spans="1:13" x14ac:dyDescent="0.3">
      <c r="A6729" s="733" t="s">
        <v>6783</v>
      </c>
      <c r="B6729" s="733" t="s">
        <v>645</v>
      </c>
      <c r="C6729" s="738" t="s">
        <v>6787</v>
      </c>
      <c r="D6729" s="733"/>
      <c r="E6729" s="733"/>
      <c r="G6729" s="733"/>
      <c r="H6729" s="733"/>
      <c r="I6729" s="733"/>
      <c r="J6729" s="733"/>
      <c r="K6729" s="733"/>
      <c r="L6729" s="733"/>
      <c r="M6729" s="733"/>
    </row>
    <row r="6730" spans="1:13" x14ac:dyDescent="0.3">
      <c r="A6730" s="733" t="s">
        <v>6783</v>
      </c>
      <c r="B6730" s="733" t="s">
        <v>645</v>
      </c>
      <c r="C6730" s="738" t="s">
        <v>6788</v>
      </c>
      <c r="D6730" s="733"/>
      <c r="E6730" s="733"/>
      <c r="G6730" s="733"/>
      <c r="H6730" s="733"/>
      <c r="I6730" s="733"/>
      <c r="J6730" s="733"/>
      <c r="K6730" s="733"/>
      <c r="L6730" s="733"/>
      <c r="M6730" s="733"/>
    </row>
    <row r="6731" spans="1:13" x14ac:dyDescent="0.3">
      <c r="A6731" s="733" t="s">
        <v>6783</v>
      </c>
      <c r="B6731" s="733" t="s">
        <v>645</v>
      </c>
      <c r="C6731" s="738" t="s">
        <v>6789</v>
      </c>
      <c r="D6731" s="733"/>
      <c r="E6731" s="733"/>
      <c r="G6731" s="733"/>
      <c r="H6731" s="733"/>
      <c r="I6731" s="733"/>
      <c r="J6731" s="733"/>
      <c r="K6731" s="733"/>
      <c r="L6731" s="733"/>
      <c r="M6731" s="733"/>
    </row>
    <row r="6732" spans="1:13" x14ac:dyDescent="0.3">
      <c r="A6732" s="733" t="s">
        <v>6783</v>
      </c>
      <c r="B6732" s="733" t="s">
        <v>645</v>
      </c>
      <c r="C6732" s="738" t="s">
        <v>6790</v>
      </c>
      <c r="D6732" s="733"/>
      <c r="E6732" s="733"/>
      <c r="G6732" s="733"/>
      <c r="H6732" s="733"/>
      <c r="I6732" s="733"/>
      <c r="J6732" s="733"/>
      <c r="K6732" s="733"/>
      <c r="L6732" s="733"/>
      <c r="M6732" s="733"/>
    </row>
    <row r="6733" spans="1:13" x14ac:dyDescent="0.3">
      <c r="A6733" s="733" t="s">
        <v>6783</v>
      </c>
      <c r="B6733" s="733" t="s">
        <v>645</v>
      </c>
      <c r="C6733" s="738" t="s">
        <v>6791</v>
      </c>
      <c r="D6733" s="733"/>
      <c r="E6733" s="733"/>
      <c r="G6733" s="733"/>
      <c r="H6733" s="733"/>
      <c r="I6733" s="733"/>
      <c r="J6733" s="733"/>
      <c r="K6733" s="733"/>
      <c r="L6733" s="733"/>
      <c r="M6733" s="733"/>
    </row>
    <row r="6734" spans="1:13" x14ac:dyDescent="0.3">
      <c r="A6734" s="733" t="s">
        <v>6783</v>
      </c>
      <c r="B6734" s="733" t="s">
        <v>645</v>
      </c>
      <c r="C6734" s="738" t="s">
        <v>6792</v>
      </c>
      <c r="D6734" s="733"/>
      <c r="E6734" s="733"/>
      <c r="G6734" s="733"/>
      <c r="H6734" s="733"/>
      <c r="I6734" s="733"/>
      <c r="J6734" s="733"/>
      <c r="K6734" s="733"/>
      <c r="L6734" s="733"/>
      <c r="M6734" s="733"/>
    </row>
    <row r="6735" spans="1:13" x14ac:dyDescent="0.3">
      <c r="A6735" s="733" t="s">
        <v>6783</v>
      </c>
      <c r="B6735" s="733" t="s">
        <v>645</v>
      </c>
      <c r="C6735" s="738" t="s">
        <v>6793</v>
      </c>
      <c r="D6735" s="733"/>
      <c r="E6735" s="733"/>
      <c r="G6735" s="733"/>
      <c r="H6735" s="733"/>
      <c r="I6735" s="733"/>
      <c r="J6735" s="733"/>
      <c r="K6735" s="733"/>
      <c r="L6735" s="733"/>
      <c r="M6735" s="733"/>
    </row>
    <row r="6736" spans="1:13" x14ac:dyDescent="0.3">
      <c r="A6736" s="733" t="s">
        <v>6783</v>
      </c>
      <c r="B6736" s="733" t="s">
        <v>664</v>
      </c>
      <c r="C6736" s="738" t="s">
        <v>6794</v>
      </c>
      <c r="D6736" s="733"/>
      <c r="E6736" s="733"/>
      <c r="G6736" s="733"/>
      <c r="H6736" s="733"/>
      <c r="I6736" s="733"/>
      <c r="J6736" s="733"/>
      <c r="K6736" s="733"/>
      <c r="L6736" s="733"/>
      <c r="M6736" s="733"/>
    </row>
    <row r="6737" spans="1:13" x14ac:dyDescent="0.3">
      <c r="A6737" s="733" t="s">
        <v>6783</v>
      </c>
      <c r="B6737" s="733" t="s">
        <v>664</v>
      </c>
      <c r="C6737" s="738" t="s">
        <v>6795</v>
      </c>
      <c r="D6737" s="733"/>
      <c r="E6737" s="733"/>
      <c r="G6737" s="733"/>
      <c r="H6737" s="733"/>
      <c r="I6737" s="733"/>
      <c r="J6737" s="733"/>
      <c r="K6737" s="733"/>
      <c r="L6737" s="733"/>
      <c r="M6737" s="733"/>
    </row>
    <row r="6738" spans="1:13" x14ac:dyDescent="0.3">
      <c r="A6738" s="733" t="s">
        <v>6783</v>
      </c>
      <c r="B6738" s="733" t="s">
        <v>664</v>
      </c>
      <c r="C6738" s="738" t="s">
        <v>6796</v>
      </c>
      <c r="D6738" s="733"/>
      <c r="E6738" s="733"/>
      <c r="G6738" s="733"/>
      <c r="H6738" s="733"/>
      <c r="I6738" s="733"/>
      <c r="J6738" s="733"/>
      <c r="K6738" s="733"/>
      <c r="L6738" s="733"/>
      <c r="M6738" s="733"/>
    </row>
    <row r="6739" spans="1:13" x14ac:dyDescent="0.3">
      <c r="A6739" s="733" t="s">
        <v>6783</v>
      </c>
      <c r="B6739" s="733" t="s">
        <v>664</v>
      </c>
      <c r="C6739" s="738" t="s">
        <v>6797</v>
      </c>
      <c r="D6739" s="733"/>
      <c r="E6739" s="733"/>
      <c r="G6739" s="733"/>
      <c r="H6739" s="733"/>
      <c r="I6739" s="733"/>
      <c r="J6739" s="733"/>
      <c r="K6739" s="733"/>
      <c r="L6739" s="733"/>
      <c r="M6739" s="733"/>
    </row>
    <row r="6740" spans="1:13" x14ac:dyDescent="0.3">
      <c r="A6740" s="733" t="s">
        <v>6783</v>
      </c>
      <c r="B6740" s="733" t="s">
        <v>664</v>
      </c>
      <c r="C6740" s="738" t="s">
        <v>6798</v>
      </c>
      <c r="D6740" s="733"/>
      <c r="E6740" s="733"/>
      <c r="G6740" s="733"/>
      <c r="H6740" s="733"/>
      <c r="I6740" s="733"/>
      <c r="J6740" s="733"/>
      <c r="K6740" s="733"/>
      <c r="L6740" s="733"/>
      <c r="M6740" s="733"/>
    </row>
    <row r="6741" spans="1:13" x14ac:dyDescent="0.3">
      <c r="A6741" s="733" t="s">
        <v>6783</v>
      </c>
      <c r="B6741" s="733" t="s">
        <v>664</v>
      </c>
      <c r="C6741" s="738" t="s">
        <v>6799</v>
      </c>
      <c r="D6741" s="733"/>
      <c r="E6741" s="733"/>
      <c r="G6741" s="733"/>
      <c r="H6741" s="733"/>
      <c r="I6741" s="733"/>
      <c r="J6741" s="733"/>
      <c r="K6741" s="733"/>
      <c r="L6741" s="733"/>
      <c r="M6741" s="733"/>
    </row>
    <row r="6742" spans="1:13" x14ac:dyDescent="0.3">
      <c r="A6742" s="733" t="s">
        <v>6783</v>
      </c>
      <c r="B6742" s="733" t="s">
        <v>664</v>
      </c>
      <c r="C6742" s="738" t="s">
        <v>6800</v>
      </c>
      <c r="D6742" s="733"/>
      <c r="E6742" s="733"/>
      <c r="G6742" s="733"/>
      <c r="H6742" s="733"/>
      <c r="I6742" s="733"/>
      <c r="J6742" s="733"/>
      <c r="K6742" s="733"/>
      <c r="L6742" s="733"/>
      <c r="M6742" s="733"/>
    </row>
    <row r="6743" spans="1:13" x14ac:dyDescent="0.3">
      <c r="A6743" s="733" t="s">
        <v>6783</v>
      </c>
      <c r="B6743" s="733" t="s">
        <v>664</v>
      </c>
      <c r="C6743" s="738" t="s">
        <v>6801</v>
      </c>
      <c r="D6743" s="733"/>
      <c r="E6743" s="733"/>
      <c r="G6743" s="733"/>
      <c r="H6743" s="733"/>
      <c r="I6743" s="733"/>
      <c r="J6743" s="733"/>
      <c r="K6743" s="733"/>
      <c r="L6743" s="733"/>
      <c r="M6743" s="733"/>
    </row>
    <row r="6744" spans="1:13" x14ac:dyDescent="0.3">
      <c r="A6744" s="733" t="s">
        <v>6783</v>
      </c>
      <c r="B6744" s="733" t="s">
        <v>664</v>
      </c>
      <c r="C6744" s="738" t="s">
        <v>6802</v>
      </c>
      <c r="D6744" s="733"/>
      <c r="E6744" s="733"/>
      <c r="G6744" s="733"/>
      <c r="H6744" s="733"/>
      <c r="I6744" s="733"/>
      <c r="J6744" s="733"/>
      <c r="K6744" s="733"/>
      <c r="L6744" s="733"/>
      <c r="M6744" s="733"/>
    </row>
    <row r="6745" spans="1:13" x14ac:dyDescent="0.3">
      <c r="A6745" s="733" t="s">
        <v>6783</v>
      </c>
      <c r="B6745" s="733" t="s">
        <v>664</v>
      </c>
      <c r="C6745" s="738" t="s">
        <v>6803</v>
      </c>
      <c r="D6745" s="733"/>
      <c r="E6745" s="733"/>
      <c r="G6745" s="733"/>
      <c r="H6745" s="733"/>
      <c r="I6745" s="733"/>
      <c r="J6745" s="733"/>
      <c r="K6745" s="733"/>
      <c r="L6745" s="733"/>
      <c r="M6745" s="733"/>
    </row>
    <row r="6746" spans="1:13" x14ac:dyDescent="0.3">
      <c r="A6746" s="733" t="s">
        <v>6783</v>
      </c>
      <c r="B6746" s="733" t="s">
        <v>612</v>
      </c>
      <c r="C6746" s="738" t="s">
        <v>6804</v>
      </c>
      <c r="D6746" s="733"/>
      <c r="E6746" s="733"/>
      <c r="G6746" s="733"/>
      <c r="H6746" s="733"/>
      <c r="I6746" s="733"/>
      <c r="J6746" s="733"/>
      <c r="K6746" s="733"/>
      <c r="L6746" s="733"/>
      <c r="M6746" s="733"/>
    </row>
    <row r="6747" spans="1:13" x14ac:dyDescent="0.3">
      <c r="A6747" s="733" t="s">
        <v>6783</v>
      </c>
      <c r="B6747" s="733" t="s">
        <v>612</v>
      </c>
      <c r="C6747" s="738" t="s">
        <v>6805</v>
      </c>
      <c r="D6747" s="733"/>
      <c r="E6747" s="733"/>
      <c r="G6747" s="733"/>
      <c r="H6747" s="733"/>
      <c r="I6747" s="733"/>
      <c r="J6747" s="733"/>
      <c r="K6747" s="733"/>
      <c r="L6747" s="733"/>
      <c r="M6747" s="733"/>
    </row>
    <row r="6748" spans="1:13" x14ac:dyDescent="0.3">
      <c r="A6748" s="733" t="s">
        <v>6783</v>
      </c>
      <c r="B6748" s="733" t="s">
        <v>612</v>
      </c>
      <c r="C6748" s="738" t="s">
        <v>6806</v>
      </c>
      <c r="D6748" s="733"/>
      <c r="E6748" s="733"/>
      <c r="G6748" s="733"/>
      <c r="H6748" s="733"/>
      <c r="I6748" s="733"/>
      <c r="J6748" s="733"/>
      <c r="K6748" s="733"/>
      <c r="L6748" s="733"/>
      <c r="M6748" s="733"/>
    </row>
    <row r="6749" spans="1:13" x14ac:dyDescent="0.3">
      <c r="A6749" s="733" t="s">
        <v>6783</v>
      </c>
      <c r="B6749" s="733" t="s">
        <v>612</v>
      </c>
      <c r="C6749" s="738" t="s">
        <v>6807</v>
      </c>
      <c r="D6749" s="733"/>
      <c r="E6749" s="733"/>
      <c r="G6749" s="733"/>
      <c r="H6749" s="733"/>
      <c r="I6749" s="733"/>
      <c r="J6749" s="733"/>
      <c r="K6749" s="733"/>
      <c r="L6749" s="733"/>
      <c r="M6749" s="733"/>
    </row>
    <row r="6750" spans="1:13" x14ac:dyDescent="0.3">
      <c r="A6750" s="733" t="s">
        <v>6783</v>
      </c>
      <c r="B6750" s="733" t="s">
        <v>612</v>
      </c>
      <c r="C6750" s="738" t="s">
        <v>6808</v>
      </c>
      <c r="D6750" s="733"/>
      <c r="E6750" s="733"/>
      <c r="G6750" s="733"/>
      <c r="H6750" s="733"/>
      <c r="I6750" s="733"/>
      <c r="J6750" s="733"/>
      <c r="K6750" s="733"/>
      <c r="L6750" s="733"/>
      <c r="M6750" s="733"/>
    </row>
    <row r="6751" spans="1:13" x14ac:dyDescent="0.3">
      <c r="A6751" s="733" t="s">
        <v>6783</v>
      </c>
      <c r="B6751" s="733" t="s">
        <v>612</v>
      </c>
      <c r="C6751" s="738" t="s">
        <v>6809</v>
      </c>
      <c r="D6751" s="733"/>
      <c r="E6751" s="733"/>
      <c r="G6751" s="733"/>
      <c r="H6751" s="733"/>
      <c r="I6751" s="733"/>
      <c r="J6751" s="733"/>
      <c r="K6751" s="733"/>
      <c r="L6751" s="733"/>
      <c r="M6751" s="733"/>
    </row>
    <row r="6752" spans="1:13" x14ac:dyDescent="0.3">
      <c r="A6752" s="733" t="s">
        <v>6783</v>
      </c>
      <c r="B6752" s="733" t="s">
        <v>612</v>
      </c>
      <c r="C6752" s="738" t="s">
        <v>6810</v>
      </c>
      <c r="D6752" s="733"/>
      <c r="E6752" s="733"/>
      <c r="G6752" s="733"/>
      <c r="H6752" s="733"/>
      <c r="I6752" s="733"/>
      <c r="J6752" s="733"/>
      <c r="K6752" s="733"/>
      <c r="L6752" s="733"/>
      <c r="M6752" s="733"/>
    </row>
    <row r="6753" spans="1:13" x14ac:dyDescent="0.3">
      <c r="A6753" s="733" t="s">
        <v>6783</v>
      </c>
      <c r="B6753" s="733" t="s">
        <v>612</v>
      </c>
      <c r="C6753" s="738" t="s">
        <v>6811</v>
      </c>
      <c r="D6753" s="733"/>
      <c r="E6753" s="733"/>
      <c r="G6753" s="733"/>
      <c r="H6753" s="733"/>
      <c r="I6753" s="733"/>
      <c r="J6753" s="733"/>
      <c r="K6753" s="733"/>
      <c r="L6753" s="733"/>
      <c r="M6753" s="733"/>
    </row>
    <row r="6754" spans="1:13" x14ac:dyDescent="0.3">
      <c r="A6754" s="733" t="s">
        <v>6783</v>
      </c>
      <c r="B6754" s="733" t="s">
        <v>612</v>
      </c>
      <c r="C6754" s="738" t="s">
        <v>6812</v>
      </c>
      <c r="D6754" s="733"/>
      <c r="E6754" s="733"/>
      <c r="G6754" s="733"/>
      <c r="H6754" s="733"/>
      <c r="I6754" s="733"/>
      <c r="J6754" s="733"/>
      <c r="K6754" s="733"/>
      <c r="L6754" s="733"/>
      <c r="M6754" s="733"/>
    </row>
    <row r="6755" spans="1:13" x14ac:dyDescent="0.3">
      <c r="A6755" s="733" t="s">
        <v>6783</v>
      </c>
      <c r="B6755" s="733" t="s">
        <v>612</v>
      </c>
      <c r="C6755" s="738" t="s">
        <v>6813</v>
      </c>
      <c r="D6755" s="733"/>
      <c r="E6755" s="733"/>
      <c r="G6755" s="733"/>
      <c r="H6755" s="733"/>
      <c r="I6755" s="733"/>
      <c r="J6755" s="733"/>
      <c r="K6755" s="733"/>
      <c r="L6755" s="733"/>
      <c r="M6755" s="733"/>
    </row>
    <row r="6756" spans="1:13" x14ac:dyDescent="0.3">
      <c r="A6756" s="733" t="s">
        <v>6814</v>
      </c>
      <c r="B6756" s="733" t="s">
        <v>645</v>
      </c>
      <c r="C6756" s="738" t="s">
        <v>6815</v>
      </c>
      <c r="D6756" s="733"/>
      <c r="E6756" s="733"/>
      <c r="G6756" s="733"/>
      <c r="H6756" s="733"/>
      <c r="I6756" s="733"/>
      <c r="J6756" s="733"/>
      <c r="K6756" s="733"/>
      <c r="L6756" s="733"/>
      <c r="M6756" s="733"/>
    </row>
    <row r="6757" spans="1:13" x14ac:dyDescent="0.3">
      <c r="A6757" s="733" t="s">
        <v>6814</v>
      </c>
      <c r="B6757" s="733" t="s">
        <v>645</v>
      </c>
      <c r="C6757" s="738" t="s">
        <v>6816</v>
      </c>
      <c r="D6757" s="733"/>
      <c r="E6757" s="733"/>
      <c r="G6757" s="733"/>
      <c r="H6757" s="733"/>
      <c r="I6757" s="733"/>
      <c r="J6757" s="733"/>
      <c r="K6757" s="733"/>
      <c r="L6757" s="733"/>
      <c r="M6757" s="733"/>
    </row>
    <row r="6758" spans="1:13" x14ac:dyDescent="0.3">
      <c r="A6758" s="733" t="s">
        <v>6814</v>
      </c>
      <c r="B6758" s="733" t="s">
        <v>645</v>
      </c>
      <c r="C6758" s="738" t="s">
        <v>6817</v>
      </c>
      <c r="D6758" s="733"/>
      <c r="E6758" s="733"/>
      <c r="G6758" s="733"/>
      <c r="H6758" s="733"/>
      <c r="I6758" s="733"/>
      <c r="J6758" s="733"/>
      <c r="K6758" s="733"/>
      <c r="L6758" s="733"/>
      <c r="M6758" s="733"/>
    </row>
    <row r="6759" spans="1:13" x14ac:dyDescent="0.3">
      <c r="A6759" s="733" t="s">
        <v>6814</v>
      </c>
      <c r="B6759" s="733" t="s">
        <v>645</v>
      </c>
      <c r="C6759" s="738" t="s">
        <v>6818</v>
      </c>
      <c r="D6759" s="733"/>
      <c r="E6759" s="733"/>
      <c r="G6759" s="733"/>
      <c r="H6759" s="733"/>
      <c r="I6759" s="733"/>
      <c r="J6759" s="733"/>
      <c r="K6759" s="733"/>
      <c r="L6759" s="733"/>
      <c r="M6759" s="733"/>
    </row>
    <row r="6760" spans="1:13" x14ac:dyDescent="0.3">
      <c r="A6760" s="733" t="s">
        <v>6814</v>
      </c>
      <c r="B6760" s="733" t="s">
        <v>645</v>
      </c>
      <c r="C6760" s="738" t="s">
        <v>6819</v>
      </c>
      <c r="D6760" s="733"/>
      <c r="E6760" s="733"/>
      <c r="G6760" s="733"/>
      <c r="H6760" s="733"/>
      <c r="I6760" s="733"/>
      <c r="J6760" s="733"/>
      <c r="K6760" s="733"/>
      <c r="L6760" s="733"/>
      <c r="M6760" s="733"/>
    </row>
    <row r="6761" spans="1:13" x14ac:dyDescent="0.3">
      <c r="A6761" s="733" t="s">
        <v>6814</v>
      </c>
      <c r="B6761" s="733" t="s">
        <v>645</v>
      </c>
      <c r="C6761" s="738" t="s">
        <v>6820</v>
      </c>
      <c r="D6761" s="733"/>
      <c r="E6761" s="733"/>
      <c r="G6761" s="733"/>
      <c r="H6761" s="733"/>
      <c r="I6761" s="733"/>
      <c r="J6761" s="733"/>
      <c r="K6761" s="733"/>
      <c r="L6761" s="733"/>
      <c r="M6761" s="733"/>
    </row>
    <row r="6762" spans="1:13" x14ac:dyDescent="0.3">
      <c r="A6762" s="733" t="s">
        <v>6814</v>
      </c>
      <c r="B6762" s="733" t="s">
        <v>645</v>
      </c>
      <c r="C6762" s="738" t="s">
        <v>6821</v>
      </c>
      <c r="D6762" s="733"/>
      <c r="E6762" s="733"/>
      <c r="G6762" s="733"/>
      <c r="H6762" s="733"/>
      <c r="I6762" s="733"/>
      <c r="J6762" s="733"/>
      <c r="K6762" s="733"/>
      <c r="L6762" s="733"/>
      <c r="M6762" s="733"/>
    </row>
    <row r="6763" spans="1:13" x14ac:dyDescent="0.3">
      <c r="A6763" s="733" t="s">
        <v>6814</v>
      </c>
      <c r="B6763" s="733" t="s">
        <v>645</v>
      </c>
      <c r="C6763" s="738" t="s">
        <v>6822</v>
      </c>
      <c r="D6763" s="733"/>
      <c r="E6763" s="733"/>
      <c r="G6763" s="733"/>
      <c r="H6763" s="733"/>
      <c r="I6763" s="733"/>
      <c r="J6763" s="733"/>
      <c r="K6763" s="733"/>
      <c r="L6763" s="733"/>
      <c r="M6763" s="733"/>
    </row>
    <row r="6764" spans="1:13" x14ac:dyDescent="0.3">
      <c r="A6764" s="733" t="s">
        <v>6814</v>
      </c>
      <c r="B6764" s="733" t="s">
        <v>645</v>
      </c>
      <c r="C6764" s="738" t="s">
        <v>6823</v>
      </c>
      <c r="D6764" s="733"/>
      <c r="E6764" s="733"/>
      <c r="G6764" s="733"/>
      <c r="H6764" s="733"/>
      <c r="I6764" s="733"/>
      <c r="J6764" s="733"/>
      <c r="K6764" s="733"/>
      <c r="L6764" s="733"/>
      <c r="M6764" s="733"/>
    </row>
    <row r="6765" spans="1:13" x14ac:dyDescent="0.3">
      <c r="A6765" s="733" t="s">
        <v>6814</v>
      </c>
      <c r="B6765" s="733" t="s">
        <v>645</v>
      </c>
      <c r="C6765" s="738" t="s">
        <v>6824</v>
      </c>
      <c r="D6765" s="733"/>
      <c r="E6765" s="733"/>
      <c r="G6765" s="733"/>
      <c r="H6765" s="733"/>
      <c r="I6765" s="733"/>
      <c r="J6765" s="733"/>
      <c r="K6765" s="733"/>
      <c r="L6765" s="733"/>
      <c r="M6765" s="733"/>
    </row>
    <row r="6766" spans="1:13" x14ac:dyDescent="0.3">
      <c r="A6766" s="733" t="s">
        <v>6814</v>
      </c>
      <c r="B6766" s="733" t="s">
        <v>664</v>
      </c>
      <c r="C6766" s="738" t="s">
        <v>6825</v>
      </c>
      <c r="D6766" s="733"/>
      <c r="E6766" s="733"/>
      <c r="G6766" s="733"/>
      <c r="H6766" s="733"/>
      <c r="I6766" s="733"/>
      <c r="J6766" s="733"/>
      <c r="K6766" s="733"/>
      <c r="L6766" s="733"/>
      <c r="M6766" s="733"/>
    </row>
    <row r="6767" spans="1:13" x14ac:dyDescent="0.3">
      <c r="A6767" s="733" t="s">
        <v>6814</v>
      </c>
      <c r="B6767" s="733" t="s">
        <v>664</v>
      </c>
      <c r="C6767" s="738" t="s">
        <v>6826</v>
      </c>
      <c r="D6767" s="733"/>
      <c r="E6767" s="733"/>
      <c r="G6767" s="733"/>
      <c r="H6767" s="733"/>
      <c r="I6767" s="733"/>
      <c r="J6767" s="733"/>
      <c r="K6767" s="733"/>
      <c r="L6767" s="733"/>
      <c r="M6767" s="733"/>
    </row>
    <row r="6768" spans="1:13" x14ac:dyDescent="0.3">
      <c r="A6768" s="733" t="s">
        <v>6814</v>
      </c>
      <c r="B6768" s="733" t="s">
        <v>664</v>
      </c>
      <c r="C6768" s="738" t="s">
        <v>6827</v>
      </c>
      <c r="D6768" s="733"/>
      <c r="E6768" s="733"/>
      <c r="G6768" s="733"/>
      <c r="H6768" s="733"/>
      <c r="I6768" s="733"/>
      <c r="J6768" s="733"/>
      <c r="K6768" s="733"/>
      <c r="L6768" s="733"/>
      <c r="M6768" s="733"/>
    </row>
    <row r="6769" spans="1:13" x14ac:dyDescent="0.3">
      <c r="A6769" s="733" t="s">
        <v>6814</v>
      </c>
      <c r="B6769" s="733" t="s">
        <v>664</v>
      </c>
      <c r="C6769" s="738" t="s">
        <v>6828</v>
      </c>
      <c r="D6769" s="733"/>
      <c r="E6769" s="733"/>
      <c r="G6769" s="733"/>
      <c r="H6769" s="733"/>
      <c r="I6769" s="733"/>
      <c r="J6769" s="733"/>
      <c r="K6769" s="733"/>
      <c r="L6769" s="733"/>
      <c r="M6769" s="733"/>
    </row>
    <row r="6770" spans="1:13" x14ac:dyDescent="0.3">
      <c r="A6770" s="733" t="s">
        <v>6814</v>
      </c>
      <c r="B6770" s="733" t="s">
        <v>664</v>
      </c>
      <c r="C6770" s="738" t="s">
        <v>6829</v>
      </c>
      <c r="D6770" s="733"/>
      <c r="E6770" s="733"/>
      <c r="G6770" s="733"/>
      <c r="H6770" s="733"/>
      <c r="I6770" s="733"/>
      <c r="J6770" s="733"/>
      <c r="K6770" s="733"/>
      <c r="L6770" s="733"/>
      <c r="M6770" s="733"/>
    </row>
    <row r="6771" spans="1:13" x14ac:dyDescent="0.3">
      <c r="A6771" s="733" t="s">
        <v>6814</v>
      </c>
      <c r="B6771" s="733" t="s">
        <v>664</v>
      </c>
      <c r="C6771" s="738" t="s">
        <v>6830</v>
      </c>
      <c r="D6771" s="733"/>
      <c r="E6771" s="733"/>
      <c r="G6771" s="733"/>
      <c r="H6771" s="733"/>
      <c r="I6771" s="733"/>
      <c r="J6771" s="733"/>
      <c r="K6771" s="733"/>
      <c r="L6771" s="733"/>
      <c r="M6771" s="733"/>
    </row>
    <row r="6772" spans="1:13" x14ac:dyDescent="0.3">
      <c r="A6772" s="733" t="s">
        <v>6814</v>
      </c>
      <c r="B6772" s="733" t="s">
        <v>664</v>
      </c>
      <c r="C6772" s="738" t="s">
        <v>6831</v>
      </c>
      <c r="D6772" s="733"/>
      <c r="E6772" s="733"/>
      <c r="G6772" s="733"/>
      <c r="H6772" s="733"/>
      <c r="I6772" s="733"/>
      <c r="J6772" s="733"/>
      <c r="K6772" s="733"/>
      <c r="L6772" s="733"/>
      <c r="M6772" s="733"/>
    </row>
    <row r="6773" spans="1:13" x14ac:dyDescent="0.3">
      <c r="A6773" s="733" t="s">
        <v>6814</v>
      </c>
      <c r="B6773" s="733" t="s">
        <v>664</v>
      </c>
      <c r="C6773" s="738" t="s">
        <v>6832</v>
      </c>
      <c r="D6773" s="733"/>
      <c r="E6773" s="733"/>
      <c r="G6773" s="733"/>
      <c r="H6773" s="733"/>
      <c r="I6773" s="733"/>
      <c r="J6773" s="733"/>
      <c r="K6773" s="733"/>
      <c r="L6773" s="733"/>
      <c r="M6773" s="733"/>
    </row>
    <row r="6774" spans="1:13" x14ac:dyDescent="0.3">
      <c r="A6774" s="733" t="s">
        <v>6814</v>
      </c>
      <c r="B6774" s="733" t="s">
        <v>664</v>
      </c>
      <c r="C6774" s="738" t="s">
        <v>6833</v>
      </c>
      <c r="D6774" s="733"/>
      <c r="E6774" s="733"/>
      <c r="G6774" s="733"/>
      <c r="H6774" s="733"/>
      <c r="I6774" s="733"/>
      <c r="J6774" s="733"/>
      <c r="K6774" s="733"/>
      <c r="L6774" s="733"/>
      <c r="M6774" s="733"/>
    </row>
    <row r="6775" spans="1:13" x14ac:dyDescent="0.3">
      <c r="A6775" s="733" t="s">
        <v>6814</v>
      </c>
      <c r="B6775" s="733" t="s">
        <v>664</v>
      </c>
      <c r="C6775" s="738" t="s">
        <v>6834</v>
      </c>
      <c r="D6775" s="733"/>
      <c r="E6775" s="733"/>
      <c r="G6775" s="733"/>
      <c r="H6775" s="733"/>
      <c r="I6775" s="733"/>
      <c r="J6775" s="733"/>
      <c r="K6775" s="733"/>
      <c r="L6775" s="733"/>
      <c r="M6775" s="733"/>
    </row>
    <row r="6776" spans="1:13" x14ac:dyDescent="0.3">
      <c r="A6776" s="733" t="s">
        <v>6814</v>
      </c>
      <c r="B6776" s="733" t="s">
        <v>612</v>
      </c>
      <c r="C6776" s="738" t="s">
        <v>6835</v>
      </c>
      <c r="D6776" s="733"/>
      <c r="E6776" s="733"/>
      <c r="G6776" s="733"/>
      <c r="H6776" s="733"/>
      <c r="I6776" s="733"/>
      <c r="J6776" s="733"/>
      <c r="K6776" s="733"/>
      <c r="L6776" s="733"/>
      <c r="M6776" s="733"/>
    </row>
    <row r="6777" spans="1:13" x14ac:dyDescent="0.3">
      <c r="A6777" s="733" t="s">
        <v>6814</v>
      </c>
      <c r="B6777" s="733" t="s">
        <v>612</v>
      </c>
      <c r="C6777" s="738" t="s">
        <v>6836</v>
      </c>
      <c r="D6777" s="733"/>
      <c r="E6777" s="733"/>
      <c r="G6777" s="733"/>
      <c r="H6777" s="733"/>
      <c r="I6777" s="733"/>
      <c r="J6777" s="733"/>
      <c r="K6777" s="733"/>
      <c r="L6777" s="733"/>
      <c r="M6777" s="733"/>
    </row>
    <row r="6778" spans="1:13" x14ac:dyDescent="0.3">
      <c r="A6778" s="733" t="s">
        <v>6814</v>
      </c>
      <c r="B6778" s="733" t="s">
        <v>612</v>
      </c>
      <c r="C6778" s="738" t="s">
        <v>6837</v>
      </c>
      <c r="D6778" s="733"/>
      <c r="E6778" s="733"/>
      <c r="G6778" s="733"/>
      <c r="H6778" s="733"/>
      <c r="I6778" s="733"/>
      <c r="J6778" s="733"/>
      <c r="K6778" s="733"/>
      <c r="L6778" s="733"/>
      <c r="M6778" s="733"/>
    </row>
    <row r="6779" spans="1:13" x14ac:dyDescent="0.3">
      <c r="A6779" s="733" t="s">
        <v>6814</v>
      </c>
      <c r="B6779" s="733" t="s">
        <v>612</v>
      </c>
      <c r="C6779" s="738" t="s">
        <v>6838</v>
      </c>
      <c r="D6779" s="733"/>
      <c r="E6779" s="733"/>
      <c r="G6779" s="733"/>
      <c r="H6779" s="733"/>
      <c r="I6779" s="733"/>
      <c r="J6779" s="733"/>
      <c r="K6779" s="733"/>
      <c r="L6779" s="733"/>
      <c r="M6779" s="733"/>
    </row>
    <row r="6780" spans="1:13" x14ac:dyDescent="0.3">
      <c r="A6780" s="733" t="s">
        <v>6814</v>
      </c>
      <c r="B6780" s="733" t="s">
        <v>612</v>
      </c>
      <c r="C6780" s="738" t="s">
        <v>6839</v>
      </c>
      <c r="D6780" s="733"/>
      <c r="E6780" s="733"/>
      <c r="G6780" s="733"/>
      <c r="H6780" s="733"/>
      <c r="I6780" s="733"/>
      <c r="J6780" s="733"/>
      <c r="K6780" s="733"/>
      <c r="L6780" s="733"/>
      <c r="M6780" s="733"/>
    </row>
    <row r="6781" spans="1:13" x14ac:dyDescent="0.3">
      <c r="A6781" s="733" t="s">
        <v>6814</v>
      </c>
      <c r="B6781" s="733" t="s">
        <v>612</v>
      </c>
      <c r="C6781" s="738" t="s">
        <v>6840</v>
      </c>
      <c r="D6781" s="733"/>
      <c r="E6781" s="733"/>
      <c r="G6781" s="733"/>
      <c r="H6781" s="733"/>
      <c r="I6781" s="733"/>
      <c r="J6781" s="733"/>
      <c r="K6781" s="733"/>
      <c r="L6781" s="733"/>
      <c r="M6781" s="733"/>
    </row>
    <row r="6782" spans="1:13" x14ac:dyDescent="0.3">
      <c r="A6782" s="733" t="s">
        <v>6814</v>
      </c>
      <c r="B6782" s="733" t="s">
        <v>612</v>
      </c>
      <c r="C6782" s="738" t="s">
        <v>6841</v>
      </c>
      <c r="D6782" s="733"/>
      <c r="E6782" s="733"/>
      <c r="G6782" s="733"/>
      <c r="H6782" s="733"/>
      <c r="I6782" s="733"/>
      <c r="J6782" s="733"/>
      <c r="K6782" s="733"/>
      <c r="L6782" s="733"/>
      <c r="M6782" s="733"/>
    </row>
    <row r="6783" spans="1:13" x14ac:dyDescent="0.3">
      <c r="A6783" s="733" t="s">
        <v>6814</v>
      </c>
      <c r="B6783" s="733" t="s">
        <v>612</v>
      </c>
      <c r="C6783" s="738" t="s">
        <v>6842</v>
      </c>
      <c r="D6783" s="733"/>
      <c r="E6783" s="733"/>
      <c r="G6783" s="733"/>
      <c r="H6783" s="733"/>
      <c r="I6783" s="733"/>
      <c r="J6783" s="733"/>
      <c r="K6783" s="733"/>
      <c r="L6783" s="733"/>
      <c r="M6783" s="733"/>
    </row>
    <row r="6784" spans="1:13" x14ac:dyDescent="0.3">
      <c r="A6784" s="733" t="s">
        <v>6814</v>
      </c>
      <c r="B6784" s="733" t="s">
        <v>612</v>
      </c>
      <c r="C6784" s="738" t="s">
        <v>6843</v>
      </c>
      <c r="D6784" s="733"/>
      <c r="E6784" s="733"/>
      <c r="G6784" s="733"/>
      <c r="H6784" s="733"/>
      <c r="I6784" s="733"/>
      <c r="J6784" s="733"/>
      <c r="K6784" s="733"/>
      <c r="L6784" s="733"/>
      <c r="M6784" s="733"/>
    </row>
    <row r="6785" spans="1:13" ht="28.8" x14ac:dyDescent="0.3">
      <c r="A6785" s="733" t="s">
        <v>6814</v>
      </c>
      <c r="B6785" s="733" t="s">
        <v>612</v>
      </c>
      <c r="C6785" s="738" t="s">
        <v>6844</v>
      </c>
      <c r="D6785" s="733"/>
      <c r="E6785" s="733"/>
      <c r="G6785" s="733"/>
      <c r="H6785" s="733"/>
      <c r="I6785" s="733"/>
      <c r="J6785" s="733"/>
      <c r="K6785" s="733"/>
      <c r="L6785" s="733"/>
      <c r="M6785" s="733"/>
    </row>
    <row r="6786" spans="1:13" x14ac:dyDescent="0.3">
      <c r="A6786" s="733" t="s">
        <v>6845</v>
      </c>
      <c r="B6786" s="733" t="s">
        <v>645</v>
      </c>
      <c r="C6786" s="738" t="s">
        <v>6846</v>
      </c>
      <c r="D6786" s="733"/>
      <c r="E6786" s="733"/>
      <c r="G6786" s="733"/>
      <c r="H6786" s="733"/>
      <c r="I6786" s="733"/>
      <c r="J6786" s="733"/>
      <c r="K6786" s="733"/>
      <c r="L6786" s="733"/>
      <c r="M6786" s="733"/>
    </row>
    <row r="6787" spans="1:13" x14ac:dyDescent="0.3">
      <c r="A6787" s="733" t="s">
        <v>6845</v>
      </c>
      <c r="B6787" s="733" t="s">
        <v>645</v>
      </c>
      <c r="C6787" s="738" t="s">
        <v>6847</v>
      </c>
      <c r="D6787" s="733"/>
      <c r="E6787" s="733"/>
      <c r="G6787" s="733"/>
      <c r="H6787" s="733"/>
      <c r="I6787" s="733"/>
      <c r="J6787" s="733"/>
      <c r="K6787" s="733"/>
      <c r="L6787" s="733"/>
      <c r="M6787" s="733"/>
    </row>
    <row r="6788" spans="1:13" x14ac:dyDescent="0.3">
      <c r="A6788" s="733" t="s">
        <v>6845</v>
      </c>
      <c r="B6788" s="733" t="s">
        <v>645</v>
      </c>
      <c r="C6788" s="738" t="s">
        <v>6848</v>
      </c>
      <c r="D6788" s="733"/>
      <c r="E6788" s="733"/>
      <c r="G6788" s="733"/>
      <c r="H6788" s="733"/>
      <c r="I6788" s="733"/>
      <c r="J6788" s="733"/>
      <c r="K6788" s="733"/>
      <c r="L6788" s="733"/>
      <c r="M6788" s="733"/>
    </row>
    <row r="6789" spans="1:13" x14ac:dyDescent="0.3">
      <c r="A6789" s="733" t="s">
        <v>6845</v>
      </c>
      <c r="B6789" s="733" t="s">
        <v>645</v>
      </c>
      <c r="C6789" s="738" t="s">
        <v>6849</v>
      </c>
      <c r="D6789" s="733"/>
      <c r="E6789" s="733"/>
      <c r="G6789" s="733"/>
      <c r="H6789" s="733"/>
      <c r="I6789" s="733"/>
      <c r="J6789" s="733"/>
      <c r="K6789" s="733"/>
      <c r="L6789" s="733"/>
      <c r="M6789" s="733"/>
    </row>
    <row r="6790" spans="1:13" x14ac:dyDescent="0.3">
      <c r="A6790" s="733" t="s">
        <v>6845</v>
      </c>
      <c r="B6790" s="733" t="s">
        <v>645</v>
      </c>
      <c r="C6790" s="738" t="s">
        <v>6850</v>
      </c>
      <c r="D6790" s="733"/>
      <c r="E6790" s="733"/>
      <c r="G6790" s="733"/>
      <c r="H6790" s="733"/>
      <c r="I6790" s="733"/>
      <c r="J6790" s="733"/>
      <c r="K6790" s="733"/>
      <c r="L6790" s="733"/>
      <c r="M6790" s="733"/>
    </row>
    <row r="6791" spans="1:13" x14ac:dyDescent="0.3">
      <c r="A6791" s="733" t="s">
        <v>6845</v>
      </c>
      <c r="B6791" s="733" t="s">
        <v>645</v>
      </c>
      <c r="C6791" s="738" t="s">
        <v>6851</v>
      </c>
      <c r="D6791" s="733"/>
      <c r="E6791" s="733"/>
      <c r="G6791" s="733"/>
      <c r="H6791" s="733"/>
      <c r="I6791" s="733"/>
      <c r="J6791" s="733"/>
      <c r="K6791" s="733"/>
      <c r="L6791" s="733"/>
      <c r="M6791" s="733"/>
    </row>
    <row r="6792" spans="1:13" x14ac:dyDescent="0.3">
      <c r="A6792" s="733" t="s">
        <v>6845</v>
      </c>
      <c r="B6792" s="733" t="s">
        <v>645</v>
      </c>
      <c r="C6792" s="738" t="s">
        <v>6852</v>
      </c>
      <c r="D6792" s="733"/>
      <c r="E6792" s="733"/>
      <c r="G6792" s="733"/>
      <c r="H6792" s="733"/>
      <c r="I6792" s="733"/>
      <c r="J6792" s="733"/>
      <c r="K6792" s="733"/>
      <c r="L6792" s="733"/>
      <c r="M6792" s="733"/>
    </row>
    <row r="6793" spans="1:13" x14ac:dyDescent="0.3">
      <c r="A6793" s="733" t="s">
        <v>6845</v>
      </c>
      <c r="B6793" s="733" t="s">
        <v>645</v>
      </c>
      <c r="C6793" s="738" t="s">
        <v>6853</v>
      </c>
      <c r="D6793" s="733"/>
      <c r="E6793" s="733"/>
      <c r="G6793" s="733"/>
      <c r="H6793" s="733"/>
      <c r="I6793" s="733"/>
      <c r="J6793" s="733"/>
      <c r="K6793" s="733"/>
      <c r="L6793" s="733"/>
      <c r="M6793" s="733"/>
    </row>
    <row r="6794" spans="1:13" x14ac:dyDescent="0.3">
      <c r="A6794" s="733" t="s">
        <v>6845</v>
      </c>
      <c r="B6794" s="733" t="s">
        <v>645</v>
      </c>
      <c r="C6794" s="738" t="s">
        <v>6854</v>
      </c>
      <c r="D6794" s="733"/>
      <c r="E6794" s="733"/>
      <c r="G6794" s="733"/>
      <c r="H6794" s="733"/>
      <c r="I6794" s="733"/>
      <c r="J6794" s="733"/>
      <c r="K6794" s="733"/>
      <c r="L6794" s="733"/>
      <c r="M6794" s="733"/>
    </row>
    <row r="6795" spans="1:13" x14ac:dyDescent="0.3">
      <c r="A6795" s="733" t="s">
        <v>6845</v>
      </c>
      <c r="B6795" s="733" t="s">
        <v>645</v>
      </c>
      <c r="C6795" s="738" t="s">
        <v>6855</v>
      </c>
      <c r="D6795" s="733"/>
      <c r="E6795" s="733"/>
      <c r="G6795" s="733"/>
      <c r="H6795" s="733"/>
      <c r="I6795" s="733"/>
      <c r="J6795" s="733"/>
      <c r="K6795" s="733"/>
      <c r="L6795" s="733"/>
      <c r="M6795" s="733"/>
    </row>
    <row r="6796" spans="1:13" x14ac:dyDescent="0.3">
      <c r="A6796" s="733" t="s">
        <v>6845</v>
      </c>
      <c r="B6796" s="733" t="s">
        <v>664</v>
      </c>
      <c r="C6796" s="738" t="s">
        <v>6856</v>
      </c>
      <c r="D6796" s="733"/>
      <c r="E6796" s="733"/>
      <c r="G6796" s="733"/>
      <c r="H6796" s="733"/>
      <c r="I6796" s="733"/>
      <c r="J6796" s="733"/>
      <c r="K6796" s="733"/>
      <c r="L6796" s="733"/>
      <c r="M6796" s="733"/>
    </row>
    <row r="6797" spans="1:13" x14ac:dyDescent="0.3">
      <c r="A6797" s="733" t="s">
        <v>6845</v>
      </c>
      <c r="B6797" s="733" t="s">
        <v>664</v>
      </c>
      <c r="C6797" s="738" t="s">
        <v>6857</v>
      </c>
      <c r="D6797" s="733"/>
      <c r="E6797" s="733"/>
      <c r="G6797" s="733"/>
      <c r="H6797" s="733"/>
      <c r="I6797" s="733"/>
      <c r="J6797" s="733"/>
      <c r="K6797" s="733"/>
      <c r="L6797" s="733"/>
      <c r="M6797" s="733"/>
    </row>
    <row r="6798" spans="1:13" x14ac:dyDescent="0.3">
      <c r="A6798" s="733" t="s">
        <v>6845</v>
      </c>
      <c r="B6798" s="733" t="s">
        <v>664</v>
      </c>
      <c r="C6798" s="738" t="s">
        <v>6858</v>
      </c>
      <c r="D6798" s="733"/>
      <c r="E6798" s="733"/>
      <c r="G6798" s="733"/>
      <c r="H6798" s="733"/>
      <c r="I6798" s="733"/>
      <c r="J6798" s="733"/>
      <c r="K6798" s="733"/>
      <c r="L6798" s="733"/>
      <c r="M6798" s="733"/>
    </row>
    <row r="6799" spans="1:13" x14ac:dyDescent="0.3">
      <c r="A6799" s="733" t="s">
        <v>6845</v>
      </c>
      <c r="B6799" s="733" t="s">
        <v>664</v>
      </c>
      <c r="C6799" s="738" t="s">
        <v>6859</v>
      </c>
      <c r="D6799" s="733"/>
      <c r="E6799" s="733"/>
      <c r="G6799" s="733"/>
      <c r="H6799" s="733"/>
      <c r="I6799" s="733"/>
      <c r="J6799" s="733"/>
      <c r="K6799" s="733"/>
      <c r="L6799" s="733"/>
      <c r="M6799" s="733"/>
    </row>
    <row r="6800" spans="1:13" x14ac:dyDescent="0.3">
      <c r="A6800" s="733" t="s">
        <v>6845</v>
      </c>
      <c r="B6800" s="733" t="s">
        <v>664</v>
      </c>
      <c r="C6800" s="738" t="s">
        <v>6860</v>
      </c>
      <c r="D6800" s="733"/>
      <c r="E6800" s="733"/>
      <c r="G6800" s="733"/>
      <c r="H6800" s="733"/>
      <c r="I6800" s="733"/>
      <c r="J6800" s="733"/>
      <c r="K6800" s="733"/>
      <c r="L6800" s="733"/>
      <c r="M6800" s="733"/>
    </row>
    <row r="6801" spans="1:13" x14ac:dyDescent="0.3">
      <c r="A6801" s="733" t="s">
        <v>6845</v>
      </c>
      <c r="B6801" s="733" t="s">
        <v>664</v>
      </c>
      <c r="C6801" s="738" t="s">
        <v>6861</v>
      </c>
      <c r="D6801" s="733"/>
      <c r="E6801" s="733"/>
      <c r="G6801" s="733"/>
      <c r="H6801" s="733"/>
      <c r="I6801" s="733"/>
      <c r="J6801" s="733"/>
      <c r="K6801" s="733"/>
      <c r="L6801" s="733"/>
      <c r="M6801" s="733"/>
    </row>
    <row r="6802" spans="1:13" x14ac:dyDescent="0.3">
      <c r="A6802" s="733" t="s">
        <v>6845</v>
      </c>
      <c r="B6802" s="733" t="s">
        <v>664</v>
      </c>
      <c r="C6802" s="738" t="s">
        <v>6862</v>
      </c>
      <c r="D6802" s="733"/>
      <c r="E6802" s="733"/>
      <c r="G6802" s="733"/>
      <c r="H6802" s="733"/>
      <c r="I6802" s="733"/>
      <c r="J6802" s="733"/>
      <c r="K6802" s="733"/>
      <c r="L6802" s="733"/>
      <c r="M6802" s="733"/>
    </row>
    <row r="6803" spans="1:13" x14ac:dyDescent="0.3">
      <c r="A6803" s="733" t="s">
        <v>6845</v>
      </c>
      <c r="B6803" s="733" t="s">
        <v>664</v>
      </c>
      <c r="C6803" s="738" t="s">
        <v>6863</v>
      </c>
      <c r="D6803" s="733"/>
      <c r="E6803" s="733"/>
      <c r="G6803" s="733"/>
      <c r="H6803" s="733"/>
      <c r="I6803" s="733"/>
      <c r="J6803" s="733"/>
      <c r="K6803" s="733"/>
      <c r="L6803" s="733"/>
      <c r="M6803" s="733"/>
    </row>
    <row r="6804" spans="1:13" x14ac:dyDescent="0.3">
      <c r="A6804" s="733" t="s">
        <v>6845</v>
      </c>
      <c r="B6804" s="733" t="s">
        <v>664</v>
      </c>
      <c r="C6804" s="738" t="s">
        <v>6864</v>
      </c>
      <c r="D6804" s="733"/>
      <c r="E6804" s="733"/>
      <c r="G6804" s="733"/>
      <c r="H6804" s="733"/>
      <c r="I6804" s="733"/>
      <c r="J6804" s="733"/>
      <c r="K6804" s="733"/>
      <c r="L6804" s="733"/>
      <c r="M6804" s="733"/>
    </row>
    <row r="6805" spans="1:13" x14ac:dyDescent="0.3">
      <c r="A6805" s="733" t="s">
        <v>6845</v>
      </c>
      <c r="B6805" s="733" t="s">
        <v>664</v>
      </c>
      <c r="C6805" s="738" t="s">
        <v>6865</v>
      </c>
      <c r="D6805" s="733"/>
      <c r="E6805" s="733"/>
      <c r="G6805" s="733"/>
      <c r="H6805" s="733"/>
      <c r="I6805" s="733"/>
      <c r="J6805" s="733"/>
      <c r="K6805" s="733"/>
      <c r="L6805" s="733"/>
      <c r="M6805" s="733"/>
    </row>
    <row r="6806" spans="1:13" x14ac:dyDescent="0.3">
      <c r="A6806" s="733" t="s">
        <v>6845</v>
      </c>
      <c r="B6806" s="733" t="s">
        <v>612</v>
      </c>
      <c r="C6806" s="738" t="s">
        <v>6866</v>
      </c>
      <c r="D6806" s="733"/>
      <c r="E6806" s="733"/>
      <c r="G6806" s="733"/>
      <c r="H6806" s="733"/>
      <c r="I6806" s="733"/>
      <c r="J6806" s="733"/>
      <c r="K6806" s="733"/>
      <c r="L6806" s="733"/>
      <c r="M6806" s="733"/>
    </row>
    <row r="6807" spans="1:13" x14ac:dyDescent="0.3">
      <c r="A6807" s="733" t="s">
        <v>6845</v>
      </c>
      <c r="B6807" s="733" t="s">
        <v>612</v>
      </c>
      <c r="C6807" s="738" t="s">
        <v>6867</v>
      </c>
      <c r="D6807" s="733"/>
      <c r="E6807" s="733"/>
      <c r="G6807" s="733"/>
      <c r="H6807" s="733"/>
      <c r="I6807" s="733"/>
      <c r="J6807" s="733"/>
      <c r="K6807" s="733"/>
      <c r="L6807" s="733"/>
      <c r="M6807" s="733"/>
    </row>
    <row r="6808" spans="1:13" x14ac:dyDescent="0.3">
      <c r="A6808" s="733" t="s">
        <v>6845</v>
      </c>
      <c r="B6808" s="733" t="s">
        <v>612</v>
      </c>
      <c r="C6808" s="738" t="s">
        <v>6868</v>
      </c>
      <c r="D6808" s="733"/>
      <c r="E6808" s="733"/>
      <c r="G6808" s="733"/>
      <c r="H6808" s="733"/>
      <c r="I6808" s="733"/>
      <c r="J6808" s="733"/>
      <c r="K6808" s="733"/>
      <c r="L6808" s="733"/>
      <c r="M6808" s="733"/>
    </row>
    <row r="6809" spans="1:13" x14ac:dyDescent="0.3">
      <c r="A6809" s="733" t="s">
        <v>6845</v>
      </c>
      <c r="B6809" s="733" t="s">
        <v>612</v>
      </c>
      <c r="C6809" s="738" t="s">
        <v>6869</v>
      </c>
      <c r="D6809" s="733"/>
      <c r="E6809" s="733"/>
      <c r="G6809" s="733"/>
      <c r="H6809" s="733"/>
      <c r="I6809" s="733"/>
      <c r="J6809" s="733"/>
      <c r="K6809" s="733"/>
      <c r="L6809" s="733"/>
      <c r="M6809" s="733"/>
    </row>
    <row r="6810" spans="1:13" x14ac:dyDescent="0.3">
      <c r="A6810" s="733" t="s">
        <v>6845</v>
      </c>
      <c r="B6810" s="733" t="s">
        <v>612</v>
      </c>
      <c r="C6810" s="738" t="s">
        <v>6870</v>
      </c>
      <c r="D6810" s="733"/>
      <c r="E6810" s="733"/>
      <c r="G6810" s="733"/>
      <c r="H6810" s="733"/>
      <c r="I6810" s="733"/>
      <c r="J6810" s="733"/>
      <c r="K6810" s="733"/>
      <c r="L6810" s="733"/>
      <c r="M6810" s="733"/>
    </row>
    <row r="6811" spans="1:13" x14ac:dyDescent="0.3">
      <c r="A6811" s="733" t="s">
        <v>6845</v>
      </c>
      <c r="B6811" s="733" t="s">
        <v>612</v>
      </c>
      <c r="C6811" s="738" t="s">
        <v>6871</v>
      </c>
      <c r="D6811" s="733"/>
      <c r="E6811" s="733"/>
      <c r="G6811" s="733"/>
      <c r="H6811" s="733"/>
      <c r="I6811" s="733"/>
      <c r="J6811" s="733"/>
      <c r="K6811" s="733"/>
      <c r="L6811" s="733"/>
      <c r="M6811" s="733"/>
    </row>
    <row r="6812" spans="1:13" x14ac:dyDescent="0.3">
      <c r="A6812" s="733" t="s">
        <v>6845</v>
      </c>
      <c r="B6812" s="733" t="s">
        <v>612</v>
      </c>
      <c r="C6812" s="738" t="s">
        <v>6872</v>
      </c>
      <c r="D6812" s="733"/>
      <c r="E6812" s="733"/>
      <c r="G6812" s="733"/>
      <c r="H6812" s="733"/>
      <c r="I6812" s="733"/>
      <c r="J6812" s="733"/>
      <c r="K6812" s="733"/>
      <c r="L6812" s="733"/>
      <c r="M6812" s="733"/>
    </row>
    <row r="6813" spans="1:13" x14ac:dyDescent="0.3">
      <c r="A6813" s="733" t="s">
        <v>6845</v>
      </c>
      <c r="B6813" s="733" t="s">
        <v>612</v>
      </c>
      <c r="C6813" s="738" t="s">
        <v>6873</v>
      </c>
      <c r="D6813" s="733"/>
      <c r="E6813" s="733"/>
      <c r="G6813" s="733"/>
      <c r="H6813" s="733"/>
      <c r="I6813" s="733"/>
      <c r="J6813" s="733"/>
      <c r="K6813" s="733"/>
      <c r="L6813" s="733"/>
      <c r="M6813" s="733"/>
    </row>
    <row r="6814" spans="1:13" x14ac:dyDescent="0.3">
      <c r="A6814" s="733" t="s">
        <v>6845</v>
      </c>
      <c r="B6814" s="733" t="s">
        <v>612</v>
      </c>
      <c r="C6814" s="738" t="s">
        <v>6874</v>
      </c>
      <c r="D6814" s="733"/>
      <c r="E6814" s="733"/>
      <c r="G6814" s="733"/>
      <c r="H6814" s="733"/>
      <c r="I6814" s="733"/>
      <c r="J6814" s="733"/>
      <c r="K6814" s="733"/>
      <c r="L6814" s="733"/>
      <c r="M6814" s="733"/>
    </row>
    <row r="6815" spans="1:13" x14ac:dyDescent="0.3">
      <c r="A6815" s="733" t="s">
        <v>6845</v>
      </c>
      <c r="B6815" s="733" t="s">
        <v>612</v>
      </c>
      <c r="C6815" s="738" t="s">
        <v>6875</v>
      </c>
      <c r="D6815" s="733"/>
      <c r="E6815" s="733"/>
      <c r="G6815" s="733"/>
      <c r="H6815" s="733"/>
      <c r="I6815" s="733"/>
      <c r="J6815" s="733"/>
      <c r="K6815" s="733"/>
      <c r="L6815" s="733"/>
      <c r="M6815" s="733"/>
    </row>
    <row r="6816" spans="1:13" x14ac:dyDescent="0.3">
      <c r="A6816" s="733" t="s">
        <v>1544</v>
      </c>
      <c r="B6816" s="733" t="s">
        <v>645</v>
      </c>
      <c r="C6816" s="738" t="s">
        <v>6876</v>
      </c>
      <c r="D6816" s="733"/>
      <c r="E6816" s="733"/>
      <c r="G6816" s="733"/>
      <c r="H6816" s="733"/>
      <c r="I6816" s="733"/>
      <c r="J6816" s="733"/>
      <c r="K6816" s="733"/>
      <c r="L6816" s="733"/>
      <c r="M6816" s="733"/>
    </row>
    <row r="6817" spans="1:13" x14ac:dyDescent="0.3">
      <c r="A6817" s="733" t="s">
        <v>1544</v>
      </c>
      <c r="B6817" s="733" t="s">
        <v>645</v>
      </c>
      <c r="C6817" s="738" t="s">
        <v>6877</v>
      </c>
      <c r="D6817" s="733"/>
      <c r="E6817" s="733"/>
      <c r="G6817" s="733"/>
      <c r="H6817" s="733"/>
      <c r="I6817" s="733"/>
      <c r="J6817" s="733"/>
      <c r="K6817" s="733"/>
      <c r="L6817" s="733"/>
      <c r="M6817" s="733"/>
    </row>
    <row r="6818" spans="1:13" x14ac:dyDescent="0.3">
      <c r="A6818" s="733" t="s">
        <v>1544</v>
      </c>
      <c r="B6818" s="733" t="s">
        <v>645</v>
      </c>
      <c r="C6818" s="738" t="s">
        <v>6878</v>
      </c>
      <c r="D6818" s="733"/>
      <c r="E6818" s="733"/>
      <c r="G6818" s="733"/>
      <c r="H6818" s="733"/>
      <c r="I6818" s="733"/>
      <c r="J6818" s="733"/>
      <c r="K6818" s="733"/>
      <c r="L6818" s="733"/>
      <c r="M6818" s="733"/>
    </row>
    <row r="6819" spans="1:13" x14ac:dyDescent="0.3">
      <c r="A6819" s="733" t="s">
        <v>1544</v>
      </c>
      <c r="B6819" s="733" t="s">
        <v>645</v>
      </c>
      <c r="C6819" s="738" t="s">
        <v>6879</v>
      </c>
      <c r="D6819" s="733"/>
      <c r="E6819" s="733"/>
      <c r="G6819" s="733"/>
      <c r="H6819" s="733"/>
      <c r="I6819" s="733"/>
      <c r="J6819" s="733"/>
      <c r="K6819" s="733"/>
      <c r="L6819" s="733"/>
      <c r="M6819" s="733"/>
    </row>
    <row r="6820" spans="1:13" x14ac:dyDescent="0.3">
      <c r="A6820" s="733" t="s">
        <v>1544</v>
      </c>
      <c r="B6820" s="733" t="s">
        <v>645</v>
      </c>
      <c r="C6820" s="738" t="s">
        <v>6880</v>
      </c>
      <c r="D6820" s="733"/>
      <c r="E6820" s="733"/>
      <c r="G6820" s="733"/>
      <c r="H6820" s="733"/>
      <c r="I6820" s="733"/>
      <c r="J6820" s="733"/>
      <c r="K6820" s="733"/>
      <c r="L6820" s="733"/>
      <c r="M6820" s="733"/>
    </row>
    <row r="6821" spans="1:13" x14ac:dyDescent="0.3">
      <c r="A6821" s="733" t="s">
        <v>1544</v>
      </c>
      <c r="B6821" s="733" t="s">
        <v>645</v>
      </c>
      <c r="C6821" s="738" t="s">
        <v>6881</v>
      </c>
      <c r="D6821" s="733"/>
      <c r="E6821" s="733"/>
      <c r="G6821" s="733"/>
      <c r="H6821" s="733"/>
      <c r="I6821" s="733"/>
      <c r="J6821" s="733"/>
      <c r="K6821" s="733"/>
      <c r="L6821" s="733"/>
      <c r="M6821" s="733"/>
    </row>
    <row r="6822" spans="1:13" x14ac:dyDescent="0.3">
      <c r="A6822" s="733" t="s">
        <v>1544</v>
      </c>
      <c r="B6822" s="733" t="s">
        <v>645</v>
      </c>
      <c r="C6822" s="738" t="s">
        <v>6882</v>
      </c>
      <c r="D6822" s="733"/>
      <c r="E6822" s="733"/>
      <c r="G6822" s="733"/>
      <c r="H6822" s="733"/>
      <c r="I6822" s="733"/>
      <c r="J6822" s="733"/>
      <c r="K6822" s="733"/>
      <c r="L6822" s="733"/>
      <c r="M6822" s="733"/>
    </row>
    <row r="6823" spans="1:13" x14ac:dyDescent="0.3">
      <c r="A6823" s="733" t="s">
        <v>1544</v>
      </c>
      <c r="B6823" s="733" t="s">
        <v>645</v>
      </c>
      <c r="C6823" s="738" t="s">
        <v>6883</v>
      </c>
      <c r="D6823" s="733"/>
      <c r="E6823" s="733"/>
      <c r="G6823" s="733"/>
      <c r="H6823" s="733"/>
      <c r="I6823" s="733"/>
      <c r="J6823" s="733"/>
      <c r="K6823" s="733"/>
      <c r="L6823" s="733"/>
      <c r="M6823" s="733"/>
    </row>
    <row r="6824" spans="1:13" x14ac:dyDescent="0.3">
      <c r="A6824" s="733" t="s">
        <v>1544</v>
      </c>
      <c r="B6824" s="733" t="s">
        <v>645</v>
      </c>
      <c r="C6824" s="738" t="s">
        <v>6884</v>
      </c>
      <c r="D6824" s="733"/>
      <c r="E6824" s="733"/>
      <c r="G6824" s="733"/>
      <c r="H6824" s="733"/>
      <c r="I6824" s="733"/>
      <c r="J6824" s="733"/>
      <c r="K6824" s="733"/>
      <c r="L6824" s="733"/>
      <c r="M6824" s="733"/>
    </row>
    <row r="6825" spans="1:13" x14ac:dyDescent="0.3">
      <c r="A6825" s="733" t="s">
        <v>1544</v>
      </c>
      <c r="B6825" s="733" t="s">
        <v>645</v>
      </c>
      <c r="C6825" s="738" t="s">
        <v>6885</v>
      </c>
      <c r="D6825" s="733"/>
      <c r="E6825" s="733"/>
      <c r="G6825" s="733"/>
      <c r="H6825" s="733"/>
      <c r="I6825" s="733"/>
      <c r="J6825" s="733"/>
      <c r="K6825" s="733"/>
      <c r="L6825" s="733"/>
      <c r="M6825" s="733"/>
    </row>
    <row r="6826" spans="1:13" x14ac:dyDescent="0.3">
      <c r="A6826" s="733" t="s">
        <v>1544</v>
      </c>
      <c r="B6826" s="733" t="s">
        <v>664</v>
      </c>
      <c r="C6826" s="738" t="s">
        <v>6886</v>
      </c>
      <c r="D6826" s="733"/>
      <c r="E6826" s="733"/>
      <c r="G6826" s="733"/>
      <c r="H6826" s="733"/>
      <c r="I6826" s="733"/>
      <c r="J6826" s="733"/>
      <c r="K6826" s="733"/>
      <c r="L6826" s="733"/>
      <c r="M6826" s="733"/>
    </row>
    <row r="6827" spans="1:13" ht="28.8" x14ac:dyDescent="0.3">
      <c r="A6827" s="733" t="s">
        <v>1544</v>
      </c>
      <c r="B6827" s="733" t="s">
        <v>664</v>
      </c>
      <c r="C6827" s="738" t="s">
        <v>6887</v>
      </c>
      <c r="D6827" s="733"/>
      <c r="E6827" s="733"/>
      <c r="G6827" s="733"/>
      <c r="H6827" s="733"/>
      <c r="I6827" s="733"/>
      <c r="J6827" s="733"/>
      <c r="K6827" s="733"/>
      <c r="L6827" s="733"/>
      <c r="M6827" s="733"/>
    </row>
    <row r="6828" spans="1:13" x14ac:dyDescent="0.3">
      <c r="A6828" s="733" t="s">
        <v>1544</v>
      </c>
      <c r="B6828" s="733" t="s">
        <v>664</v>
      </c>
      <c r="C6828" s="738" t="s">
        <v>6888</v>
      </c>
      <c r="D6828" s="733"/>
      <c r="E6828" s="733"/>
      <c r="G6828" s="733"/>
      <c r="H6828" s="733"/>
      <c r="I6828" s="733"/>
      <c r="J6828" s="733"/>
      <c r="K6828" s="733"/>
      <c r="L6828" s="733"/>
      <c r="M6828" s="733"/>
    </row>
    <row r="6829" spans="1:13" x14ac:dyDescent="0.3">
      <c r="A6829" s="733" t="s">
        <v>1544</v>
      </c>
      <c r="B6829" s="733" t="s">
        <v>664</v>
      </c>
      <c r="C6829" s="738" t="s">
        <v>6889</v>
      </c>
      <c r="D6829" s="733"/>
      <c r="E6829" s="733"/>
      <c r="G6829" s="733"/>
      <c r="H6829" s="733"/>
      <c r="I6829" s="733"/>
      <c r="J6829" s="733"/>
      <c r="K6829" s="733"/>
      <c r="L6829" s="733"/>
      <c r="M6829" s="733"/>
    </row>
    <row r="6830" spans="1:13" x14ac:dyDescent="0.3">
      <c r="A6830" s="733" t="s">
        <v>1544</v>
      </c>
      <c r="B6830" s="733" t="s">
        <v>664</v>
      </c>
      <c r="C6830" s="738" t="s">
        <v>6890</v>
      </c>
      <c r="D6830" s="733"/>
      <c r="E6830" s="733"/>
      <c r="G6830" s="733"/>
      <c r="H6830" s="733"/>
      <c r="I6830" s="733"/>
      <c r="J6830" s="733"/>
      <c r="K6830" s="733"/>
      <c r="L6830" s="733"/>
      <c r="M6830" s="733"/>
    </row>
    <row r="6831" spans="1:13" x14ac:dyDescent="0.3">
      <c r="A6831" s="733" t="s">
        <v>1544</v>
      </c>
      <c r="B6831" s="733" t="s">
        <v>664</v>
      </c>
      <c r="C6831" s="738" t="s">
        <v>6891</v>
      </c>
      <c r="D6831" s="733"/>
      <c r="E6831" s="733"/>
      <c r="G6831" s="733"/>
      <c r="H6831" s="733"/>
      <c r="I6831" s="733"/>
      <c r="J6831" s="733"/>
      <c r="K6831" s="733"/>
      <c r="L6831" s="733"/>
      <c r="M6831" s="733"/>
    </row>
    <row r="6832" spans="1:13" x14ac:dyDescent="0.3">
      <c r="A6832" s="733" t="s">
        <v>1544</v>
      </c>
      <c r="B6832" s="733" t="s">
        <v>664</v>
      </c>
      <c r="C6832" s="738" t="s">
        <v>6892</v>
      </c>
      <c r="D6832" s="733"/>
      <c r="E6832" s="733"/>
      <c r="G6832" s="733"/>
      <c r="H6832" s="733"/>
      <c r="I6832" s="733"/>
      <c r="J6832" s="733"/>
      <c r="K6832" s="733"/>
      <c r="L6832" s="733"/>
      <c r="M6832" s="733"/>
    </row>
    <row r="6833" spans="1:13" x14ac:dyDescent="0.3">
      <c r="A6833" s="733" t="s">
        <v>1544</v>
      </c>
      <c r="B6833" s="733" t="s">
        <v>664</v>
      </c>
      <c r="C6833" s="738" t="s">
        <v>6893</v>
      </c>
      <c r="D6833" s="733"/>
      <c r="E6833" s="733"/>
      <c r="G6833" s="733"/>
      <c r="H6833" s="733"/>
      <c r="I6833" s="733"/>
      <c r="J6833" s="733"/>
      <c r="K6833" s="733"/>
      <c r="L6833" s="733"/>
      <c r="M6833" s="733"/>
    </row>
    <row r="6834" spans="1:13" x14ac:dyDescent="0.3">
      <c r="A6834" s="733" t="s">
        <v>1544</v>
      </c>
      <c r="B6834" s="733" t="s">
        <v>664</v>
      </c>
      <c r="C6834" s="738" t="s">
        <v>6894</v>
      </c>
      <c r="D6834" s="733"/>
      <c r="E6834" s="733"/>
      <c r="G6834" s="733"/>
      <c r="H6834" s="733"/>
      <c r="I6834" s="733"/>
      <c r="J6834" s="733"/>
      <c r="K6834" s="733"/>
      <c r="L6834" s="733"/>
      <c r="M6834" s="733"/>
    </row>
    <row r="6835" spans="1:13" x14ac:dyDescent="0.3">
      <c r="A6835" s="733" t="s">
        <v>1544</v>
      </c>
      <c r="B6835" s="733" t="s">
        <v>664</v>
      </c>
      <c r="C6835" s="738" t="s">
        <v>6895</v>
      </c>
      <c r="D6835" s="733"/>
      <c r="E6835" s="733"/>
      <c r="G6835" s="733"/>
      <c r="H6835" s="733"/>
      <c r="I6835" s="733"/>
      <c r="J6835" s="733"/>
      <c r="K6835" s="733"/>
      <c r="L6835" s="733"/>
      <c r="M6835" s="733"/>
    </row>
    <row r="6836" spans="1:13" x14ac:dyDescent="0.3">
      <c r="A6836" s="733" t="s">
        <v>1544</v>
      </c>
      <c r="B6836" s="733" t="s">
        <v>612</v>
      </c>
      <c r="C6836" s="738" t="s">
        <v>6896</v>
      </c>
      <c r="D6836" s="733"/>
      <c r="E6836" s="733"/>
      <c r="G6836" s="733"/>
      <c r="H6836" s="733"/>
      <c r="I6836" s="733"/>
      <c r="J6836" s="733"/>
      <c r="K6836" s="733"/>
      <c r="L6836" s="733"/>
      <c r="M6836" s="733"/>
    </row>
    <row r="6837" spans="1:13" x14ac:dyDescent="0.3">
      <c r="A6837" s="733" t="s">
        <v>1544</v>
      </c>
      <c r="B6837" s="733" t="s">
        <v>612</v>
      </c>
      <c r="C6837" s="738" t="s">
        <v>6897</v>
      </c>
      <c r="D6837" s="733"/>
      <c r="E6837" s="733"/>
      <c r="G6837" s="733"/>
      <c r="H6837" s="733"/>
      <c r="I6837" s="733"/>
      <c r="J6837" s="733"/>
      <c r="K6837" s="733"/>
      <c r="L6837" s="733"/>
      <c r="M6837" s="733"/>
    </row>
    <row r="6838" spans="1:13" x14ac:dyDescent="0.3">
      <c r="A6838" s="733" t="s">
        <v>1544</v>
      </c>
      <c r="B6838" s="733" t="s">
        <v>612</v>
      </c>
      <c r="C6838" s="738" t="s">
        <v>6898</v>
      </c>
      <c r="D6838" s="733"/>
      <c r="E6838" s="733"/>
      <c r="G6838" s="733"/>
      <c r="H6838" s="733"/>
      <c r="I6838" s="733"/>
      <c r="J6838" s="733"/>
      <c r="K6838" s="733"/>
      <c r="L6838" s="733"/>
      <c r="M6838" s="733"/>
    </row>
    <row r="6839" spans="1:13" x14ac:dyDescent="0.3">
      <c r="A6839" s="733" t="s">
        <v>1544</v>
      </c>
      <c r="B6839" s="733" t="s">
        <v>612</v>
      </c>
      <c r="C6839" s="738" t="s">
        <v>6899</v>
      </c>
      <c r="D6839" s="733"/>
      <c r="E6839" s="733"/>
      <c r="G6839" s="733"/>
      <c r="H6839" s="733"/>
      <c r="I6839" s="733"/>
      <c r="J6839" s="733"/>
      <c r="K6839" s="733"/>
      <c r="L6839" s="733"/>
      <c r="M6839" s="733"/>
    </row>
    <row r="6840" spans="1:13" x14ac:dyDescent="0.3">
      <c r="A6840" s="733" t="s">
        <v>1544</v>
      </c>
      <c r="B6840" s="733" t="s">
        <v>612</v>
      </c>
      <c r="C6840" s="738" t="s">
        <v>6900</v>
      </c>
      <c r="D6840" s="733"/>
      <c r="E6840" s="733"/>
      <c r="G6840" s="733"/>
      <c r="H6840" s="733"/>
      <c r="I6840" s="733"/>
      <c r="J6840" s="733"/>
      <c r="K6840" s="733"/>
      <c r="L6840" s="733"/>
      <c r="M6840" s="733"/>
    </row>
    <row r="6841" spans="1:13" x14ac:dyDescent="0.3">
      <c r="A6841" s="733" t="s">
        <v>1544</v>
      </c>
      <c r="B6841" s="733" t="s">
        <v>612</v>
      </c>
      <c r="C6841" s="738" t="s">
        <v>6901</v>
      </c>
      <c r="D6841" s="733"/>
      <c r="E6841" s="733"/>
      <c r="G6841" s="733"/>
      <c r="H6841" s="733"/>
      <c r="I6841" s="733"/>
      <c r="J6841" s="733"/>
      <c r="K6841" s="733"/>
      <c r="L6841" s="733"/>
      <c r="M6841" s="733"/>
    </row>
    <row r="6842" spans="1:13" x14ac:dyDescent="0.3">
      <c r="A6842" s="733" t="s">
        <v>1544</v>
      </c>
      <c r="B6842" s="733" t="s">
        <v>612</v>
      </c>
      <c r="C6842" s="738" t="s">
        <v>6902</v>
      </c>
      <c r="D6842" s="733"/>
      <c r="E6842" s="733"/>
      <c r="G6842" s="733"/>
      <c r="H6842" s="733"/>
      <c r="I6842" s="733"/>
      <c r="J6842" s="733"/>
      <c r="K6842" s="733"/>
      <c r="L6842" s="733"/>
      <c r="M6842" s="733"/>
    </row>
    <row r="6843" spans="1:13" x14ac:dyDescent="0.3">
      <c r="A6843" s="733" t="s">
        <v>1544</v>
      </c>
      <c r="B6843" s="733" t="s">
        <v>612</v>
      </c>
      <c r="C6843" s="738" t="s">
        <v>6903</v>
      </c>
      <c r="D6843" s="733"/>
      <c r="E6843" s="733"/>
      <c r="G6843" s="733"/>
      <c r="H6843" s="733"/>
      <c r="I6843" s="733"/>
      <c r="J6843" s="733"/>
      <c r="K6843" s="733"/>
      <c r="L6843" s="733"/>
      <c r="M6843" s="733"/>
    </row>
    <row r="6844" spans="1:13" x14ac:dyDescent="0.3">
      <c r="A6844" s="733" t="s">
        <v>1544</v>
      </c>
      <c r="B6844" s="733" t="s">
        <v>612</v>
      </c>
      <c r="C6844" s="738" t="s">
        <v>6904</v>
      </c>
      <c r="D6844" s="733"/>
      <c r="E6844" s="733"/>
      <c r="G6844" s="733"/>
      <c r="H6844" s="733"/>
      <c r="I6844" s="733"/>
      <c r="J6844" s="733"/>
      <c r="K6844" s="733"/>
      <c r="L6844" s="733"/>
      <c r="M6844" s="733"/>
    </row>
    <row r="6845" spans="1:13" x14ac:dyDescent="0.3">
      <c r="A6845" s="733" t="s">
        <v>1544</v>
      </c>
      <c r="B6845" s="733" t="s">
        <v>612</v>
      </c>
      <c r="C6845" s="738" t="s">
        <v>6905</v>
      </c>
      <c r="D6845" s="733"/>
      <c r="E6845" s="733"/>
      <c r="G6845" s="733"/>
      <c r="H6845" s="733"/>
      <c r="I6845" s="733"/>
      <c r="J6845" s="733"/>
      <c r="K6845" s="733"/>
      <c r="L6845" s="733"/>
      <c r="M6845" s="733"/>
    </row>
    <row r="6846" spans="1:13" x14ac:dyDescent="0.3">
      <c r="A6846" s="733" t="s">
        <v>2000</v>
      </c>
      <c r="B6846" s="733" t="s">
        <v>645</v>
      </c>
      <c r="C6846" s="738" t="s">
        <v>6906</v>
      </c>
      <c r="D6846" s="733"/>
      <c r="E6846" s="733"/>
      <c r="G6846" s="733"/>
      <c r="H6846" s="733"/>
      <c r="I6846" s="733"/>
      <c r="J6846" s="733"/>
      <c r="K6846" s="733"/>
      <c r="L6846" s="733"/>
      <c r="M6846" s="733"/>
    </row>
    <row r="6847" spans="1:13" x14ac:dyDescent="0.3">
      <c r="A6847" s="733" t="s">
        <v>2000</v>
      </c>
      <c r="B6847" s="733" t="s">
        <v>645</v>
      </c>
      <c r="C6847" s="738" t="s">
        <v>6907</v>
      </c>
      <c r="D6847" s="733"/>
      <c r="E6847" s="733"/>
      <c r="G6847" s="733"/>
      <c r="H6847" s="733"/>
      <c r="I6847" s="733"/>
      <c r="J6847" s="733"/>
      <c r="K6847" s="733"/>
      <c r="L6847" s="733"/>
      <c r="M6847" s="733"/>
    </row>
    <row r="6848" spans="1:13" x14ac:dyDescent="0.3">
      <c r="A6848" s="733" t="s">
        <v>2000</v>
      </c>
      <c r="B6848" s="733" t="s">
        <v>645</v>
      </c>
      <c r="C6848" s="738" t="s">
        <v>6908</v>
      </c>
      <c r="D6848" s="733"/>
      <c r="E6848" s="733"/>
      <c r="G6848" s="733"/>
      <c r="H6848" s="733"/>
      <c r="I6848" s="733"/>
      <c r="J6848" s="733"/>
      <c r="K6848" s="733"/>
      <c r="L6848" s="733"/>
      <c r="M6848" s="733"/>
    </row>
    <row r="6849" spans="1:13" x14ac:dyDescent="0.3">
      <c r="A6849" s="733" t="s">
        <v>2000</v>
      </c>
      <c r="B6849" s="733" t="s">
        <v>645</v>
      </c>
      <c r="C6849" s="738" t="s">
        <v>6909</v>
      </c>
      <c r="D6849" s="733"/>
      <c r="E6849" s="733"/>
      <c r="G6849" s="733"/>
      <c r="H6849" s="733"/>
      <c r="I6849" s="733"/>
      <c r="J6849" s="733"/>
      <c r="K6849" s="733"/>
      <c r="L6849" s="733"/>
      <c r="M6849" s="733"/>
    </row>
    <row r="6850" spans="1:13" x14ac:dyDescent="0.3">
      <c r="A6850" s="733" t="s">
        <v>2000</v>
      </c>
      <c r="B6850" s="733" t="s">
        <v>645</v>
      </c>
      <c r="C6850" s="738" t="s">
        <v>6910</v>
      </c>
      <c r="D6850" s="733"/>
      <c r="E6850" s="733"/>
      <c r="G6850" s="733"/>
      <c r="H6850" s="733"/>
      <c r="I6850" s="733"/>
      <c r="J6850" s="733"/>
      <c r="K6850" s="733"/>
      <c r="L6850" s="733"/>
      <c r="M6850" s="733"/>
    </row>
    <row r="6851" spans="1:13" x14ac:dyDescent="0.3">
      <c r="A6851" s="733" t="s">
        <v>2000</v>
      </c>
      <c r="B6851" s="733" t="s">
        <v>645</v>
      </c>
      <c r="C6851" s="738" t="s">
        <v>6911</v>
      </c>
      <c r="D6851" s="733"/>
      <c r="E6851" s="733"/>
      <c r="G6851" s="733"/>
      <c r="H6851" s="733"/>
      <c r="I6851" s="733"/>
      <c r="J6851" s="733"/>
      <c r="K6851" s="733"/>
      <c r="L6851" s="733"/>
      <c r="M6851" s="733"/>
    </row>
    <row r="6852" spans="1:13" x14ac:dyDescent="0.3">
      <c r="A6852" s="733" t="s">
        <v>2000</v>
      </c>
      <c r="B6852" s="733" t="s">
        <v>645</v>
      </c>
      <c r="C6852" s="738" t="s">
        <v>6912</v>
      </c>
      <c r="D6852" s="733"/>
      <c r="E6852" s="733"/>
      <c r="G6852" s="733"/>
      <c r="H6852" s="733"/>
      <c r="I6852" s="733"/>
      <c r="J6852" s="733"/>
      <c r="K6852" s="733"/>
      <c r="L6852" s="733"/>
      <c r="M6852" s="733"/>
    </row>
    <row r="6853" spans="1:13" x14ac:dyDescent="0.3">
      <c r="A6853" s="733" t="s">
        <v>2000</v>
      </c>
      <c r="B6853" s="733" t="s">
        <v>645</v>
      </c>
      <c r="C6853" s="738" t="s">
        <v>6913</v>
      </c>
      <c r="D6853" s="733"/>
      <c r="E6853" s="733"/>
      <c r="G6853" s="733"/>
      <c r="H6853" s="733"/>
      <c r="I6853" s="733"/>
      <c r="J6853" s="733"/>
      <c r="K6853" s="733"/>
      <c r="L6853" s="733"/>
      <c r="M6853" s="733"/>
    </row>
    <row r="6854" spans="1:13" x14ac:dyDescent="0.3">
      <c r="A6854" s="733" t="s">
        <v>2000</v>
      </c>
      <c r="B6854" s="733" t="s">
        <v>645</v>
      </c>
      <c r="C6854" s="738" t="s">
        <v>6914</v>
      </c>
      <c r="D6854" s="733"/>
      <c r="E6854" s="733"/>
      <c r="G6854" s="733"/>
      <c r="H6854" s="733"/>
      <c r="I6854" s="733"/>
      <c r="J6854" s="733"/>
      <c r="K6854" s="733"/>
      <c r="L6854" s="733"/>
      <c r="M6854" s="733"/>
    </row>
    <row r="6855" spans="1:13" x14ac:dyDescent="0.3">
      <c r="A6855" s="733" t="s">
        <v>2000</v>
      </c>
      <c r="B6855" s="733" t="s">
        <v>645</v>
      </c>
      <c r="C6855" s="738" t="s">
        <v>6915</v>
      </c>
      <c r="D6855" s="733"/>
      <c r="E6855" s="733"/>
      <c r="G6855" s="733"/>
      <c r="H6855" s="733"/>
      <c r="I6855" s="733"/>
      <c r="J6855" s="733"/>
      <c r="K6855" s="733"/>
      <c r="L6855" s="733"/>
      <c r="M6855" s="733"/>
    </row>
    <row r="6856" spans="1:13" x14ac:dyDescent="0.3">
      <c r="A6856" s="733" t="s">
        <v>2000</v>
      </c>
      <c r="B6856" s="733" t="s">
        <v>664</v>
      </c>
      <c r="C6856" s="738" t="s">
        <v>6916</v>
      </c>
      <c r="D6856" s="733"/>
      <c r="E6856" s="733"/>
      <c r="G6856" s="733"/>
      <c r="H6856" s="733"/>
      <c r="I6856" s="733"/>
      <c r="J6856" s="733"/>
      <c r="K6856" s="733"/>
      <c r="L6856" s="733"/>
      <c r="M6856" s="733"/>
    </row>
    <row r="6857" spans="1:13" x14ac:dyDescent="0.3">
      <c r="A6857" s="733" t="s">
        <v>2000</v>
      </c>
      <c r="B6857" s="733" t="s">
        <v>664</v>
      </c>
      <c r="C6857" s="738" t="s">
        <v>6917</v>
      </c>
      <c r="D6857" s="733"/>
      <c r="E6857" s="733"/>
      <c r="G6857" s="733"/>
      <c r="H6857" s="733"/>
      <c r="I6857" s="733"/>
      <c r="J6857" s="733"/>
      <c r="K6857" s="733"/>
      <c r="L6857" s="733"/>
      <c r="M6857" s="733"/>
    </row>
    <row r="6858" spans="1:13" x14ac:dyDescent="0.3">
      <c r="A6858" s="733" t="s">
        <v>2000</v>
      </c>
      <c r="B6858" s="733" t="s">
        <v>664</v>
      </c>
      <c r="C6858" s="738" t="s">
        <v>6918</v>
      </c>
      <c r="D6858" s="733"/>
      <c r="E6858" s="733"/>
      <c r="G6858" s="733"/>
      <c r="H6858" s="733"/>
      <c r="I6858" s="733"/>
      <c r="J6858" s="733"/>
      <c r="K6858" s="733"/>
      <c r="L6858" s="733"/>
      <c r="M6858" s="733"/>
    </row>
    <row r="6859" spans="1:13" x14ac:dyDescent="0.3">
      <c r="A6859" s="733" t="s">
        <v>2000</v>
      </c>
      <c r="B6859" s="733" t="s">
        <v>664</v>
      </c>
      <c r="C6859" s="738" t="s">
        <v>6919</v>
      </c>
      <c r="D6859" s="733"/>
      <c r="E6859" s="733"/>
      <c r="G6859" s="733"/>
      <c r="H6859" s="733"/>
      <c r="I6859" s="733"/>
      <c r="J6859" s="733"/>
      <c r="K6859" s="733"/>
      <c r="L6859" s="733"/>
      <c r="M6859" s="733"/>
    </row>
    <row r="6860" spans="1:13" x14ac:dyDescent="0.3">
      <c r="A6860" s="733" t="s">
        <v>2000</v>
      </c>
      <c r="B6860" s="733" t="s">
        <v>664</v>
      </c>
      <c r="C6860" s="738" t="s">
        <v>6920</v>
      </c>
      <c r="D6860" s="733"/>
      <c r="E6860" s="733"/>
      <c r="G6860" s="733"/>
      <c r="H6860" s="733"/>
      <c r="I6860" s="733"/>
      <c r="J6860" s="733"/>
      <c r="K6860" s="733"/>
      <c r="L6860" s="733"/>
      <c r="M6860" s="733"/>
    </row>
    <row r="6861" spans="1:13" x14ac:dyDescent="0.3">
      <c r="A6861" s="733" t="s">
        <v>2000</v>
      </c>
      <c r="B6861" s="733" t="s">
        <v>664</v>
      </c>
      <c r="C6861" s="738" t="s">
        <v>6921</v>
      </c>
      <c r="D6861" s="733"/>
      <c r="E6861" s="733"/>
      <c r="G6861" s="733"/>
      <c r="H6861" s="733"/>
      <c r="I6861" s="733"/>
      <c r="J6861" s="733"/>
      <c r="K6861" s="733"/>
      <c r="L6861" s="733"/>
      <c r="M6861" s="733"/>
    </row>
    <row r="6862" spans="1:13" x14ac:dyDescent="0.3">
      <c r="A6862" s="733" t="s">
        <v>2000</v>
      </c>
      <c r="B6862" s="733" t="s">
        <v>664</v>
      </c>
      <c r="C6862" s="738" t="s">
        <v>6922</v>
      </c>
      <c r="D6862" s="733"/>
      <c r="E6862" s="733"/>
      <c r="G6862" s="733"/>
      <c r="H6862" s="733"/>
      <c r="I6862" s="733"/>
      <c r="J6862" s="733"/>
      <c r="K6862" s="733"/>
      <c r="L6862" s="733"/>
      <c r="M6862" s="733"/>
    </row>
    <row r="6863" spans="1:13" x14ac:dyDescent="0.3">
      <c r="A6863" s="733" t="s">
        <v>2000</v>
      </c>
      <c r="B6863" s="733" t="s">
        <v>664</v>
      </c>
      <c r="C6863" s="738" t="s">
        <v>6923</v>
      </c>
      <c r="D6863" s="733"/>
      <c r="E6863" s="733"/>
      <c r="G6863" s="733"/>
      <c r="H6863" s="733"/>
      <c r="I6863" s="733"/>
      <c r="J6863" s="733"/>
      <c r="K6863" s="733"/>
      <c r="L6863" s="733"/>
      <c r="M6863" s="733"/>
    </row>
    <row r="6864" spans="1:13" x14ac:dyDescent="0.3">
      <c r="A6864" s="733" t="s">
        <v>2000</v>
      </c>
      <c r="B6864" s="733" t="s">
        <v>664</v>
      </c>
      <c r="C6864" s="738" t="s">
        <v>6924</v>
      </c>
      <c r="D6864" s="733"/>
      <c r="E6864" s="733"/>
      <c r="G6864" s="733"/>
      <c r="H6864" s="733"/>
      <c r="I6864" s="733"/>
      <c r="J6864" s="733"/>
      <c r="K6864" s="733"/>
      <c r="L6864" s="733"/>
      <c r="M6864" s="733"/>
    </row>
    <row r="6865" spans="1:13" x14ac:dyDescent="0.3">
      <c r="A6865" s="733" t="s">
        <v>2000</v>
      </c>
      <c r="B6865" s="733" t="s">
        <v>664</v>
      </c>
      <c r="C6865" s="738" t="s">
        <v>6925</v>
      </c>
      <c r="D6865" s="733"/>
      <c r="E6865" s="733"/>
      <c r="G6865" s="733"/>
      <c r="H6865" s="733"/>
      <c r="I6865" s="733"/>
      <c r="J6865" s="733"/>
      <c r="K6865" s="733"/>
      <c r="L6865" s="733"/>
      <c r="M6865" s="733"/>
    </row>
    <row r="6866" spans="1:13" x14ac:dyDescent="0.3">
      <c r="A6866" s="733" t="s">
        <v>2000</v>
      </c>
      <c r="B6866" s="733" t="s">
        <v>612</v>
      </c>
      <c r="C6866" s="738" t="s">
        <v>6926</v>
      </c>
      <c r="D6866" s="733"/>
      <c r="E6866" s="733"/>
      <c r="G6866" s="733"/>
      <c r="H6866" s="733"/>
      <c r="I6866" s="733"/>
      <c r="J6866" s="733"/>
      <c r="K6866" s="733"/>
      <c r="L6866" s="733"/>
      <c r="M6866" s="733"/>
    </row>
    <row r="6867" spans="1:13" x14ac:dyDescent="0.3">
      <c r="A6867" s="733" t="s">
        <v>2000</v>
      </c>
      <c r="B6867" s="733" t="s">
        <v>612</v>
      </c>
      <c r="C6867" s="738" t="s">
        <v>6927</v>
      </c>
      <c r="D6867" s="733"/>
      <c r="E6867" s="733"/>
      <c r="G6867" s="733"/>
      <c r="H6867" s="733"/>
      <c r="I6867" s="733"/>
      <c r="J6867" s="733"/>
      <c r="K6867" s="733"/>
      <c r="L6867" s="733"/>
      <c r="M6867" s="733"/>
    </row>
    <row r="6868" spans="1:13" x14ac:dyDescent="0.3">
      <c r="A6868" s="733" t="s">
        <v>2000</v>
      </c>
      <c r="B6868" s="733" t="s">
        <v>612</v>
      </c>
      <c r="C6868" s="738" t="s">
        <v>6928</v>
      </c>
      <c r="D6868" s="733"/>
      <c r="E6868" s="733"/>
      <c r="G6868" s="733"/>
      <c r="H6868" s="733"/>
      <c r="I6868" s="733"/>
      <c r="J6868" s="733"/>
      <c r="K6868" s="733"/>
      <c r="L6868" s="733"/>
      <c r="M6868" s="733"/>
    </row>
    <row r="6869" spans="1:13" x14ac:dyDescent="0.3">
      <c r="A6869" s="733" t="s">
        <v>2000</v>
      </c>
      <c r="B6869" s="733" t="s">
        <v>612</v>
      </c>
      <c r="C6869" s="738" t="s">
        <v>6929</v>
      </c>
      <c r="D6869" s="733"/>
      <c r="E6869" s="733"/>
      <c r="G6869" s="733"/>
      <c r="H6869" s="733"/>
      <c r="I6869" s="733"/>
      <c r="J6869" s="733"/>
      <c r="K6869" s="733"/>
      <c r="L6869" s="733"/>
      <c r="M6869" s="733"/>
    </row>
    <row r="6870" spans="1:13" x14ac:dyDescent="0.3">
      <c r="A6870" s="733" t="s">
        <v>2000</v>
      </c>
      <c r="B6870" s="733" t="s">
        <v>612</v>
      </c>
      <c r="C6870" s="738" t="s">
        <v>6930</v>
      </c>
      <c r="D6870" s="733"/>
      <c r="E6870" s="733"/>
      <c r="G6870" s="733"/>
      <c r="H6870" s="733"/>
      <c r="I6870" s="733"/>
      <c r="J6870" s="733"/>
      <c r="K6870" s="733"/>
      <c r="L6870" s="733"/>
      <c r="M6870" s="733"/>
    </row>
    <row r="6871" spans="1:13" x14ac:dyDescent="0.3">
      <c r="A6871" s="733" t="s">
        <v>2000</v>
      </c>
      <c r="B6871" s="733" t="s">
        <v>612</v>
      </c>
      <c r="C6871" s="738" t="s">
        <v>6931</v>
      </c>
      <c r="D6871" s="733"/>
      <c r="E6871" s="733"/>
      <c r="G6871" s="733"/>
      <c r="H6871" s="733"/>
      <c r="I6871" s="733"/>
      <c r="J6871" s="733"/>
      <c r="K6871" s="733"/>
      <c r="L6871" s="733"/>
      <c r="M6871" s="733"/>
    </row>
    <row r="6872" spans="1:13" x14ac:dyDescent="0.3">
      <c r="A6872" s="733" t="s">
        <v>2000</v>
      </c>
      <c r="B6872" s="733" t="s">
        <v>612</v>
      </c>
      <c r="C6872" s="738" t="s">
        <v>6932</v>
      </c>
      <c r="D6872" s="733"/>
      <c r="E6872" s="733"/>
      <c r="G6872" s="733"/>
      <c r="H6872" s="733"/>
      <c r="I6872" s="733"/>
      <c r="J6872" s="733"/>
      <c r="K6872" s="733"/>
      <c r="L6872" s="733"/>
      <c r="M6872" s="733"/>
    </row>
    <row r="6873" spans="1:13" x14ac:dyDescent="0.3">
      <c r="A6873" s="733" t="s">
        <v>2000</v>
      </c>
      <c r="B6873" s="733" t="s">
        <v>612</v>
      </c>
      <c r="C6873" s="738" t="s">
        <v>6933</v>
      </c>
      <c r="D6873" s="733"/>
      <c r="E6873" s="733"/>
      <c r="G6873" s="733"/>
      <c r="H6873" s="733"/>
      <c r="I6873" s="733"/>
      <c r="J6873" s="733"/>
      <c r="K6873" s="733"/>
      <c r="L6873" s="733"/>
      <c r="M6873" s="733"/>
    </row>
    <row r="6874" spans="1:13" x14ac:dyDescent="0.3">
      <c r="A6874" s="733" t="s">
        <v>2000</v>
      </c>
      <c r="B6874" s="733" t="s">
        <v>612</v>
      </c>
      <c r="C6874" s="738" t="s">
        <v>6934</v>
      </c>
      <c r="D6874" s="733"/>
      <c r="E6874" s="733"/>
      <c r="G6874" s="733"/>
      <c r="H6874" s="733"/>
      <c r="I6874" s="733"/>
      <c r="J6874" s="733"/>
      <c r="K6874" s="733"/>
      <c r="L6874" s="733"/>
      <c r="M6874" s="733"/>
    </row>
    <row r="6875" spans="1:13" ht="28.8" x14ac:dyDescent="0.3">
      <c r="A6875" s="733" t="s">
        <v>2000</v>
      </c>
      <c r="B6875" s="733" t="s">
        <v>612</v>
      </c>
      <c r="C6875" s="738" t="s">
        <v>6935</v>
      </c>
      <c r="D6875" s="733"/>
      <c r="E6875" s="733"/>
      <c r="G6875" s="733"/>
      <c r="H6875" s="733"/>
      <c r="I6875" s="733"/>
      <c r="J6875" s="733"/>
      <c r="K6875" s="733"/>
      <c r="L6875" s="733"/>
      <c r="M6875" s="733"/>
    </row>
    <row r="6876" spans="1:13" ht="28.8" x14ac:dyDescent="0.3">
      <c r="A6876" s="733" t="s">
        <v>6936</v>
      </c>
      <c r="B6876" s="733" t="s">
        <v>645</v>
      </c>
      <c r="C6876" s="738" t="s">
        <v>6937</v>
      </c>
      <c r="D6876" s="733"/>
      <c r="E6876" s="733"/>
      <c r="G6876" s="733"/>
      <c r="H6876" s="733"/>
      <c r="I6876" s="733"/>
      <c r="J6876" s="733"/>
      <c r="K6876" s="733"/>
      <c r="L6876" s="733"/>
      <c r="M6876" s="733"/>
    </row>
    <row r="6877" spans="1:13" x14ac:dyDescent="0.3">
      <c r="A6877" s="733" t="s">
        <v>6936</v>
      </c>
      <c r="B6877" s="733" t="s">
        <v>645</v>
      </c>
      <c r="C6877" s="738" t="s">
        <v>6938</v>
      </c>
      <c r="D6877" s="733"/>
      <c r="E6877" s="733"/>
      <c r="G6877" s="733"/>
      <c r="H6877" s="733"/>
      <c r="I6877" s="733"/>
      <c r="J6877" s="733"/>
      <c r="K6877" s="733"/>
      <c r="L6877" s="733"/>
      <c r="M6877" s="733"/>
    </row>
    <row r="6878" spans="1:13" x14ac:dyDescent="0.3">
      <c r="A6878" s="733" t="s">
        <v>6936</v>
      </c>
      <c r="B6878" s="733" t="s">
        <v>645</v>
      </c>
      <c r="C6878" s="738" t="s">
        <v>6939</v>
      </c>
      <c r="D6878" s="733"/>
      <c r="E6878" s="733"/>
      <c r="G6878" s="733"/>
      <c r="H6878" s="733"/>
      <c r="I6878" s="733"/>
      <c r="J6878" s="733"/>
      <c r="K6878" s="733"/>
      <c r="L6878" s="733"/>
      <c r="M6878" s="733"/>
    </row>
    <row r="6879" spans="1:13" x14ac:dyDescent="0.3">
      <c r="A6879" s="733" t="s">
        <v>6936</v>
      </c>
      <c r="B6879" s="733" t="s">
        <v>645</v>
      </c>
      <c r="C6879" s="738" t="s">
        <v>6940</v>
      </c>
      <c r="D6879" s="733"/>
      <c r="E6879" s="733"/>
      <c r="G6879" s="733"/>
      <c r="H6879" s="733"/>
      <c r="I6879" s="733"/>
      <c r="J6879" s="733"/>
      <c r="K6879" s="733"/>
      <c r="L6879" s="733"/>
      <c r="M6879" s="733"/>
    </row>
    <row r="6880" spans="1:13" x14ac:dyDescent="0.3">
      <c r="A6880" s="733" t="s">
        <v>6936</v>
      </c>
      <c r="B6880" s="733" t="s">
        <v>645</v>
      </c>
      <c r="C6880" s="738" t="s">
        <v>6941</v>
      </c>
      <c r="D6880" s="733"/>
      <c r="E6880" s="733"/>
      <c r="G6880" s="733"/>
      <c r="H6880" s="733"/>
      <c r="I6880" s="733"/>
      <c r="J6880" s="733"/>
      <c r="K6880" s="733"/>
      <c r="L6880" s="733"/>
      <c r="M6880" s="733"/>
    </row>
    <row r="6881" spans="1:13" x14ac:dyDescent="0.3">
      <c r="A6881" s="733" t="s">
        <v>6936</v>
      </c>
      <c r="B6881" s="733" t="s">
        <v>645</v>
      </c>
      <c r="C6881" s="738" t="s">
        <v>6942</v>
      </c>
      <c r="D6881" s="733"/>
      <c r="E6881" s="733"/>
      <c r="G6881" s="733"/>
      <c r="H6881" s="733"/>
      <c r="I6881" s="733"/>
      <c r="J6881" s="733"/>
      <c r="K6881" s="733"/>
      <c r="L6881" s="733"/>
      <c r="M6881" s="733"/>
    </row>
    <row r="6882" spans="1:13" x14ac:dyDescent="0.3">
      <c r="A6882" s="733" t="s">
        <v>6936</v>
      </c>
      <c r="B6882" s="733" t="s">
        <v>645</v>
      </c>
      <c r="C6882" s="738" t="s">
        <v>6943</v>
      </c>
      <c r="D6882" s="733"/>
      <c r="E6882" s="733"/>
      <c r="G6882" s="733"/>
      <c r="H6882" s="733"/>
      <c r="I6882" s="733"/>
      <c r="J6882" s="733"/>
      <c r="K6882" s="733"/>
      <c r="L6882" s="733"/>
      <c r="M6882" s="733"/>
    </row>
    <row r="6883" spans="1:13" x14ac:dyDescent="0.3">
      <c r="A6883" s="733" t="s">
        <v>6936</v>
      </c>
      <c r="B6883" s="733" t="s">
        <v>645</v>
      </c>
      <c r="C6883" s="738" t="s">
        <v>6944</v>
      </c>
      <c r="D6883" s="733"/>
      <c r="E6883" s="733"/>
      <c r="G6883" s="733"/>
      <c r="H6883" s="733"/>
      <c r="I6883" s="733"/>
      <c r="J6883" s="733"/>
      <c r="K6883" s="733"/>
      <c r="L6883" s="733"/>
      <c r="M6883" s="733"/>
    </row>
    <row r="6884" spans="1:13" x14ac:dyDescent="0.3">
      <c r="A6884" s="733" t="s">
        <v>6936</v>
      </c>
      <c r="B6884" s="733" t="s">
        <v>645</v>
      </c>
      <c r="C6884" s="738" t="s">
        <v>6945</v>
      </c>
      <c r="D6884" s="733"/>
      <c r="E6884" s="733"/>
      <c r="G6884" s="733"/>
      <c r="H6884" s="733"/>
      <c r="I6884" s="733"/>
      <c r="J6884" s="733"/>
      <c r="K6884" s="733"/>
      <c r="L6884" s="733"/>
      <c r="M6884" s="733"/>
    </row>
    <row r="6885" spans="1:13" x14ac:dyDescent="0.3">
      <c r="A6885" s="733" t="s">
        <v>6936</v>
      </c>
      <c r="B6885" s="733" t="s">
        <v>645</v>
      </c>
      <c r="C6885" s="738" t="s">
        <v>6946</v>
      </c>
      <c r="D6885" s="733"/>
      <c r="E6885" s="733"/>
      <c r="G6885" s="733"/>
      <c r="H6885" s="733"/>
      <c r="I6885" s="733"/>
      <c r="J6885" s="733"/>
      <c r="K6885" s="733"/>
      <c r="L6885" s="733"/>
      <c r="M6885" s="733"/>
    </row>
    <row r="6886" spans="1:13" x14ac:dyDescent="0.3">
      <c r="A6886" s="733" t="s">
        <v>6936</v>
      </c>
      <c r="B6886" s="733" t="s">
        <v>664</v>
      </c>
      <c r="C6886" s="738" t="s">
        <v>6947</v>
      </c>
      <c r="D6886" s="733"/>
      <c r="E6886" s="733"/>
      <c r="G6886" s="733"/>
      <c r="H6886" s="733"/>
      <c r="I6886" s="733"/>
      <c r="J6886" s="733"/>
      <c r="K6886" s="733"/>
      <c r="L6886" s="733"/>
      <c r="M6886" s="733"/>
    </row>
    <row r="6887" spans="1:13" x14ac:dyDescent="0.3">
      <c r="A6887" s="733" t="s">
        <v>6936</v>
      </c>
      <c r="B6887" s="733" t="s">
        <v>664</v>
      </c>
      <c r="C6887" s="738" t="s">
        <v>6948</v>
      </c>
      <c r="D6887" s="733"/>
      <c r="E6887" s="733"/>
      <c r="G6887" s="733"/>
      <c r="H6887" s="733"/>
      <c r="I6887" s="733"/>
      <c r="J6887" s="733"/>
      <c r="K6887" s="733"/>
      <c r="L6887" s="733"/>
      <c r="M6887" s="733"/>
    </row>
    <row r="6888" spans="1:13" x14ac:dyDescent="0.3">
      <c r="A6888" s="733" t="s">
        <v>6936</v>
      </c>
      <c r="B6888" s="733" t="s">
        <v>664</v>
      </c>
      <c r="C6888" s="738" t="s">
        <v>6949</v>
      </c>
      <c r="D6888" s="733"/>
      <c r="E6888" s="733"/>
      <c r="G6888" s="733"/>
      <c r="H6888" s="733"/>
      <c r="I6888" s="733"/>
      <c r="J6888" s="733"/>
      <c r="K6888" s="733"/>
      <c r="L6888" s="733"/>
      <c r="M6888" s="733"/>
    </row>
    <row r="6889" spans="1:13" x14ac:dyDescent="0.3">
      <c r="A6889" s="733" t="s">
        <v>6936</v>
      </c>
      <c r="B6889" s="733" t="s">
        <v>664</v>
      </c>
      <c r="C6889" s="738" t="s">
        <v>5721</v>
      </c>
      <c r="D6889" s="733"/>
      <c r="E6889" s="733"/>
      <c r="G6889" s="733"/>
      <c r="H6889" s="733"/>
      <c r="I6889" s="733"/>
      <c r="J6889" s="733"/>
      <c r="K6889" s="733"/>
      <c r="L6889" s="733"/>
      <c r="M6889" s="733"/>
    </row>
    <row r="6890" spans="1:13" x14ac:dyDescent="0.3">
      <c r="A6890" s="733" t="s">
        <v>6936</v>
      </c>
      <c r="B6890" s="733" t="s">
        <v>664</v>
      </c>
      <c r="C6890" s="738" t="s">
        <v>6950</v>
      </c>
      <c r="D6890" s="733"/>
      <c r="E6890" s="733"/>
      <c r="G6890" s="733"/>
      <c r="H6890" s="733"/>
      <c r="I6890" s="733"/>
      <c r="J6890" s="733"/>
      <c r="K6890" s="733"/>
      <c r="L6890" s="733"/>
      <c r="M6890" s="733"/>
    </row>
    <row r="6891" spans="1:13" x14ac:dyDescent="0.3">
      <c r="A6891" s="733" t="s">
        <v>6936</v>
      </c>
      <c r="B6891" s="733" t="s">
        <v>664</v>
      </c>
      <c r="C6891" s="738" t="s">
        <v>6951</v>
      </c>
      <c r="D6891" s="733"/>
      <c r="E6891" s="733"/>
      <c r="G6891" s="733"/>
      <c r="H6891" s="733"/>
      <c r="I6891" s="733"/>
      <c r="J6891" s="733"/>
      <c r="K6891" s="733"/>
      <c r="L6891" s="733"/>
      <c r="M6891" s="733"/>
    </row>
    <row r="6892" spans="1:13" x14ac:dyDescent="0.3">
      <c r="A6892" s="733" t="s">
        <v>6936</v>
      </c>
      <c r="B6892" s="733" t="s">
        <v>664</v>
      </c>
      <c r="C6892" s="738" t="s">
        <v>6952</v>
      </c>
      <c r="D6892" s="733"/>
      <c r="E6892" s="733"/>
      <c r="G6892" s="733"/>
      <c r="H6892" s="733"/>
      <c r="I6892" s="733"/>
      <c r="J6892" s="733"/>
      <c r="K6892" s="733"/>
      <c r="L6892" s="733"/>
      <c r="M6892" s="733"/>
    </row>
    <row r="6893" spans="1:13" x14ac:dyDescent="0.3">
      <c r="A6893" s="733" t="s">
        <v>6936</v>
      </c>
      <c r="B6893" s="733" t="s">
        <v>664</v>
      </c>
      <c r="C6893" s="738" t="s">
        <v>6953</v>
      </c>
      <c r="D6893" s="733"/>
      <c r="E6893" s="733"/>
      <c r="G6893" s="733"/>
      <c r="H6893" s="733"/>
      <c r="I6893" s="733"/>
      <c r="J6893" s="733"/>
      <c r="K6893" s="733"/>
      <c r="L6893" s="733"/>
      <c r="M6893" s="733"/>
    </row>
    <row r="6894" spans="1:13" x14ac:dyDescent="0.3">
      <c r="A6894" s="733" t="s">
        <v>6936</v>
      </c>
      <c r="B6894" s="733" t="s">
        <v>664</v>
      </c>
      <c r="C6894" s="738" t="s">
        <v>6954</v>
      </c>
      <c r="D6894" s="733"/>
      <c r="E6894" s="733"/>
      <c r="G6894" s="733"/>
      <c r="H6894" s="733"/>
      <c r="I6894" s="733"/>
      <c r="J6894" s="733"/>
      <c r="K6894" s="733"/>
      <c r="L6894" s="733"/>
      <c r="M6894" s="733"/>
    </row>
    <row r="6895" spans="1:13" x14ac:dyDescent="0.3">
      <c r="A6895" s="733" t="s">
        <v>6936</v>
      </c>
      <c r="B6895" s="733" t="s">
        <v>664</v>
      </c>
      <c r="C6895" s="738" t="s">
        <v>6955</v>
      </c>
      <c r="D6895" s="733"/>
      <c r="E6895" s="733"/>
      <c r="G6895" s="733"/>
      <c r="H6895" s="733"/>
      <c r="I6895" s="733"/>
      <c r="J6895" s="733"/>
      <c r="K6895" s="733"/>
      <c r="L6895" s="733"/>
      <c r="M6895" s="733"/>
    </row>
    <row r="6896" spans="1:13" x14ac:dyDescent="0.3">
      <c r="A6896" s="733" t="s">
        <v>6936</v>
      </c>
      <c r="B6896" s="733" t="s">
        <v>612</v>
      </c>
      <c r="C6896" s="738" t="s">
        <v>6956</v>
      </c>
      <c r="D6896" s="733"/>
      <c r="E6896" s="733"/>
      <c r="G6896" s="733"/>
      <c r="H6896" s="733"/>
      <c r="I6896" s="733"/>
      <c r="J6896" s="733"/>
      <c r="K6896" s="733"/>
      <c r="L6896" s="733"/>
      <c r="M6896" s="733"/>
    </row>
    <row r="6897" spans="1:13" x14ac:dyDescent="0.3">
      <c r="A6897" s="733" t="s">
        <v>6936</v>
      </c>
      <c r="B6897" s="733" t="s">
        <v>612</v>
      </c>
      <c r="C6897" s="738" t="s">
        <v>6957</v>
      </c>
      <c r="D6897" s="733"/>
      <c r="E6897" s="733"/>
      <c r="G6897" s="733"/>
      <c r="H6897" s="733"/>
      <c r="I6897" s="733"/>
      <c r="J6897" s="733"/>
      <c r="K6897" s="733"/>
      <c r="L6897" s="733"/>
      <c r="M6897" s="733"/>
    </row>
    <row r="6898" spans="1:13" x14ac:dyDescent="0.3">
      <c r="A6898" s="733" t="s">
        <v>6936</v>
      </c>
      <c r="B6898" s="733" t="s">
        <v>612</v>
      </c>
      <c r="C6898" s="738" t="s">
        <v>6958</v>
      </c>
      <c r="D6898" s="733"/>
      <c r="E6898" s="733"/>
      <c r="G6898" s="733"/>
      <c r="H6898" s="733"/>
      <c r="I6898" s="733"/>
      <c r="J6898" s="733"/>
      <c r="K6898" s="733"/>
      <c r="L6898" s="733"/>
      <c r="M6898" s="733"/>
    </row>
    <row r="6899" spans="1:13" x14ac:dyDescent="0.3">
      <c r="A6899" s="733" t="s">
        <v>6936</v>
      </c>
      <c r="B6899" s="733" t="s">
        <v>612</v>
      </c>
      <c r="C6899" s="738" t="s">
        <v>6959</v>
      </c>
      <c r="D6899" s="733"/>
      <c r="E6899" s="733"/>
      <c r="G6899" s="733"/>
      <c r="H6899" s="733"/>
      <c r="I6899" s="733"/>
      <c r="J6899" s="733"/>
      <c r="K6899" s="733"/>
      <c r="L6899" s="733"/>
      <c r="M6899" s="733"/>
    </row>
    <row r="6900" spans="1:13" x14ac:dyDescent="0.3">
      <c r="A6900" s="733" t="s">
        <v>6936</v>
      </c>
      <c r="B6900" s="733" t="s">
        <v>612</v>
      </c>
      <c r="C6900" s="738" t="s">
        <v>6960</v>
      </c>
      <c r="D6900" s="733"/>
      <c r="E6900" s="733"/>
      <c r="G6900" s="733"/>
      <c r="H6900" s="733"/>
      <c r="I6900" s="733"/>
      <c r="J6900" s="733"/>
      <c r="K6900" s="733"/>
      <c r="L6900" s="733"/>
      <c r="M6900" s="733"/>
    </row>
    <row r="6901" spans="1:13" x14ac:dyDescent="0.3">
      <c r="A6901" s="733" t="s">
        <v>6936</v>
      </c>
      <c r="B6901" s="733" t="s">
        <v>612</v>
      </c>
      <c r="C6901" s="738" t="s">
        <v>6961</v>
      </c>
      <c r="D6901" s="733"/>
      <c r="E6901" s="733"/>
      <c r="G6901" s="733"/>
      <c r="H6901" s="733"/>
      <c r="I6901" s="733"/>
      <c r="J6901" s="733"/>
      <c r="K6901" s="733"/>
      <c r="L6901" s="733"/>
      <c r="M6901" s="733"/>
    </row>
    <row r="6902" spans="1:13" x14ac:dyDescent="0.3">
      <c r="A6902" s="733" t="s">
        <v>6936</v>
      </c>
      <c r="B6902" s="733" t="s">
        <v>612</v>
      </c>
      <c r="C6902" s="738" t="s">
        <v>6962</v>
      </c>
      <c r="D6902" s="733"/>
      <c r="E6902" s="733"/>
      <c r="G6902" s="733"/>
      <c r="H6902" s="733"/>
      <c r="I6902" s="733"/>
      <c r="J6902" s="733"/>
      <c r="K6902" s="733"/>
      <c r="L6902" s="733"/>
      <c r="M6902" s="733"/>
    </row>
    <row r="6903" spans="1:13" x14ac:dyDescent="0.3">
      <c r="A6903" s="733" t="s">
        <v>6936</v>
      </c>
      <c r="B6903" s="733" t="s">
        <v>612</v>
      </c>
      <c r="C6903" s="738" t="s">
        <v>6963</v>
      </c>
      <c r="D6903" s="733"/>
      <c r="E6903" s="733"/>
      <c r="G6903" s="733"/>
      <c r="H6903" s="733"/>
      <c r="I6903" s="733"/>
      <c r="J6903" s="733"/>
      <c r="K6903" s="733"/>
      <c r="L6903" s="733"/>
      <c r="M6903" s="733"/>
    </row>
    <row r="6904" spans="1:13" x14ac:dyDescent="0.3">
      <c r="A6904" s="733" t="s">
        <v>6936</v>
      </c>
      <c r="B6904" s="733" t="s">
        <v>612</v>
      </c>
      <c r="C6904" s="738" t="s">
        <v>6964</v>
      </c>
      <c r="D6904" s="733"/>
      <c r="E6904" s="733"/>
      <c r="G6904" s="733"/>
      <c r="H6904" s="733"/>
      <c r="I6904" s="733"/>
      <c r="J6904" s="733"/>
      <c r="K6904" s="733"/>
      <c r="L6904" s="733"/>
      <c r="M6904" s="733"/>
    </row>
    <row r="6905" spans="1:13" x14ac:dyDescent="0.3">
      <c r="A6905" s="733" t="s">
        <v>6936</v>
      </c>
      <c r="B6905" s="733" t="s">
        <v>612</v>
      </c>
      <c r="C6905" s="738" t="s">
        <v>6965</v>
      </c>
      <c r="D6905" s="733"/>
      <c r="E6905" s="733"/>
      <c r="G6905" s="733"/>
      <c r="H6905" s="733"/>
      <c r="I6905" s="733"/>
      <c r="J6905" s="733"/>
      <c r="K6905" s="733"/>
      <c r="L6905" s="733"/>
      <c r="M6905" s="733"/>
    </row>
    <row r="6906" spans="1:13" x14ac:dyDescent="0.3">
      <c r="A6906" s="733" t="s">
        <v>6966</v>
      </c>
      <c r="B6906" s="733" t="s">
        <v>645</v>
      </c>
      <c r="C6906" s="738" t="s">
        <v>6967</v>
      </c>
      <c r="D6906" s="733"/>
      <c r="E6906" s="733"/>
      <c r="G6906" s="733"/>
      <c r="H6906" s="733"/>
      <c r="I6906" s="733"/>
      <c r="J6906" s="733"/>
      <c r="K6906" s="733"/>
      <c r="L6906" s="733"/>
      <c r="M6906" s="733"/>
    </row>
    <row r="6907" spans="1:13" x14ac:dyDescent="0.3">
      <c r="A6907" s="733" t="s">
        <v>6966</v>
      </c>
      <c r="B6907" s="733" t="s">
        <v>645</v>
      </c>
      <c r="C6907" s="738" t="s">
        <v>6968</v>
      </c>
      <c r="D6907" s="733"/>
      <c r="E6907" s="733"/>
      <c r="G6907" s="733"/>
      <c r="H6907" s="733"/>
      <c r="I6907" s="733"/>
      <c r="J6907" s="733"/>
      <c r="K6907" s="733"/>
      <c r="L6907" s="733"/>
      <c r="M6907" s="733"/>
    </row>
    <row r="6908" spans="1:13" x14ac:dyDescent="0.3">
      <c r="A6908" s="733" t="s">
        <v>6966</v>
      </c>
      <c r="B6908" s="733" t="s">
        <v>645</v>
      </c>
      <c r="C6908" s="738" t="s">
        <v>6969</v>
      </c>
      <c r="D6908" s="733"/>
      <c r="E6908" s="733"/>
      <c r="G6908" s="733"/>
      <c r="H6908" s="733"/>
      <c r="I6908" s="733"/>
      <c r="J6908" s="733"/>
      <c r="K6908" s="733"/>
      <c r="L6908" s="733"/>
      <c r="M6908" s="733"/>
    </row>
    <row r="6909" spans="1:13" x14ac:dyDescent="0.3">
      <c r="A6909" s="733" t="s">
        <v>6966</v>
      </c>
      <c r="B6909" s="733" t="s">
        <v>645</v>
      </c>
      <c r="C6909" s="738" t="s">
        <v>6970</v>
      </c>
      <c r="D6909" s="733"/>
      <c r="E6909" s="733"/>
      <c r="G6909" s="733"/>
      <c r="H6909" s="733"/>
      <c r="I6909" s="733"/>
      <c r="J6909" s="733"/>
      <c r="K6909" s="733"/>
      <c r="L6909" s="733"/>
      <c r="M6909" s="733"/>
    </row>
    <row r="6910" spans="1:13" x14ac:dyDescent="0.3">
      <c r="A6910" s="733" t="s">
        <v>6966</v>
      </c>
      <c r="B6910" s="733" t="s">
        <v>645</v>
      </c>
      <c r="C6910" s="738" t="s">
        <v>6971</v>
      </c>
      <c r="D6910" s="733"/>
      <c r="E6910" s="733"/>
      <c r="G6910" s="733"/>
      <c r="H6910" s="733"/>
      <c r="I6910" s="733"/>
      <c r="J6910" s="733"/>
      <c r="K6910" s="733"/>
      <c r="L6910" s="733"/>
      <c r="M6910" s="733"/>
    </row>
    <row r="6911" spans="1:13" x14ac:dyDescent="0.3">
      <c r="A6911" s="733" t="s">
        <v>6966</v>
      </c>
      <c r="B6911" s="733" t="s">
        <v>645</v>
      </c>
      <c r="C6911" s="738" t="s">
        <v>6972</v>
      </c>
      <c r="D6911" s="733"/>
      <c r="E6911" s="733"/>
      <c r="G6911" s="733"/>
      <c r="H6911" s="733"/>
      <c r="I6911" s="733"/>
      <c r="J6911" s="733"/>
      <c r="K6911" s="733"/>
      <c r="L6911" s="733"/>
      <c r="M6911" s="733"/>
    </row>
    <row r="6912" spans="1:13" x14ac:dyDescent="0.3">
      <c r="A6912" s="733" t="s">
        <v>6966</v>
      </c>
      <c r="B6912" s="733" t="s">
        <v>645</v>
      </c>
      <c r="C6912" s="738" t="s">
        <v>6973</v>
      </c>
      <c r="D6912" s="733"/>
      <c r="E6912" s="733"/>
      <c r="G6912" s="733"/>
      <c r="H6912" s="733"/>
      <c r="I6912" s="733"/>
      <c r="J6912" s="733"/>
      <c r="K6912" s="733"/>
      <c r="L6912" s="733"/>
      <c r="M6912" s="733"/>
    </row>
    <row r="6913" spans="1:13" x14ac:dyDescent="0.3">
      <c r="A6913" s="733" t="s">
        <v>6966</v>
      </c>
      <c r="B6913" s="733" t="s">
        <v>645</v>
      </c>
      <c r="C6913" s="738" t="s">
        <v>6974</v>
      </c>
      <c r="D6913" s="733"/>
      <c r="E6913" s="733"/>
      <c r="G6913" s="733"/>
      <c r="H6913" s="733"/>
      <c r="I6913" s="733"/>
      <c r="J6913" s="733"/>
      <c r="K6913" s="733"/>
      <c r="L6913" s="733"/>
      <c r="M6913" s="733"/>
    </row>
    <row r="6914" spans="1:13" x14ac:dyDescent="0.3">
      <c r="A6914" s="733" t="s">
        <v>6966</v>
      </c>
      <c r="B6914" s="733" t="s">
        <v>645</v>
      </c>
      <c r="C6914" s="738" t="s">
        <v>6975</v>
      </c>
      <c r="D6914" s="733"/>
      <c r="E6914" s="733"/>
      <c r="G6914" s="733"/>
      <c r="H6914" s="733"/>
      <c r="I6914" s="733"/>
      <c r="J6914" s="733"/>
      <c r="K6914" s="733"/>
      <c r="L6914" s="733"/>
      <c r="M6914" s="733"/>
    </row>
    <row r="6915" spans="1:13" x14ac:dyDescent="0.3">
      <c r="A6915" s="733" t="s">
        <v>6966</v>
      </c>
      <c r="B6915" s="733" t="s">
        <v>645</v>
      </c>
      <c r="C6915" s="738" t="s">
        <v>6976</v>
      </c>
      <c r="D6915" s="733"/>
      <c r="E6915" s="733"/>
      <c r="G6915" s="733"/>
      <c r="H6915" s="733"/>
      <c r="I6915" s="733"/>
      <c r="J6915" s="733"/>
      <c r="K6915" s="733"/>
      <c r="L6915" s="733"/>
      <c r="M6915" s="733"/>
    </row>
    <row r="6916" spans="1:13" x14ac:dyDescent="0.3">
      <c r="A6916" s="733" t="s">
        <v>6966</v>
      </c>
      <c r="B6916" s="733" t="s">
        <v>664</v>
      </c>
      <c r="C6916" s="738" t="s">
        <v>6977</v>
      </c>
      <c r="D6916" s="733"/>
      <c r="E6916" s="733"/>
      <c r="G6916" s="733"/>
      <c r="H6916" s="733"/>
      <c r="I6916" s="733"/>
      <c r="J6916" s="733"/>
      <c r="K6916" s="733"/>
      <c r="L6916" s="733"/>
      <c r="M6916" s="733"/>
    </row>
    <row r="6917" spans="1:13" x14ac:dyDescent="0.3">
      <c r="A6917" s="733" t="s">
        <v>6966</v>
      </c>
      <c r="B6917" s="733" t="s">
        <v>664</v>
      </c>
      <c r="C6917" s="738" t="s">
        <v>6978</v>
      </c>
      <c r="D6917" s="733"/>
      <c r="E6917" s="733"/>
      <c r="G6917" s="733"/>
      <c r="H6917" s="733"/>
      <c r="I6917" s="733"/>
      <c r="J6917" s="733"/>
      <c r="K6917" s="733"/>
      <c r="L6917" s="733"/>
      <c r="M6917" s="733"/>
    </row>
    <row r="6918" spans="1:13" x14ac:dyDescent="0.3">
      <c r="A6918" s="733" t="s">
        <v>6966</v>
      </c>
      <c r="B6918" s="733" t="s">
        <v>664</v>
      </c>
      <c r="C6918" s="738" t="s">
        <v>6979</v>
      </c>
      <c r="D6918" s="733"/>
      <c r="E6918" s="733"/>
      <c r="G6918" s="733"/>
      <c r="H6918" s="733"/>
      <c r="I6918" s="733"/>
      <c r="J6918" s="733"/>
      <c r="K6918" s="733"/>
      <c r="L6918" s="733"/>
      <c r="M6918" s="733"/>
    </row>
    <row r="6919" spans="1:13" x14ac:dyDescent="0.3">
      <c r="A6919" s="733" t="s">
        <v>6966</v>
      </c>
      <c r="B6919" s="733" t="s">
        <v>664</v>
      </c>
      <c r="C6919" s="738" t="s">
        <v>6980</v>
      </c>
      <c r="D6919" s="733"/>
      <c r="E6919" s="733"/>
      <c r="G6919" s="733"/>
      <c r="H6919" s="733"/>
      <c r="I6919" s="733"/>
      <c r="J6919" s="733"/>
      <c r="K6919" s="733"/>
      <c r="L6919" s="733"/>
      <c r="M6919" s="733"/>
    </row>
    <row r="6920" spans="1:13" x14ac:dyDescent="0.3">
      <c r="A6920" s="733" t="s">
        <v>6966</v>
      </c>
      <c r="B6920" s="733" t="s">
        <v>664</v>
      </c>
      <c r="C6920" s="738" t="s">
        <v>6981</v>
      </c>
      <c r="D6920" s="733"/>
      <c r="E6920" s="733"/>
      <c r="G6920" s="733"/>
      <c r="H6920" s="733"/>
      <c r="I6920" s="733"/>
      <c r="J6920" s="733"/>
      <c r="K6920" s="733"/>
      <c r="L6920" s="733"/>
      <c r="M6920" s="733"/>
    </row>
    <row r="6921" spans="1:13" x14ac:dyDescent="0.3">
      <c r="A6921" s="733" t="s">
        <v>6966</v>
      </c>
      <c r="B6921" s="733" t="s">
        <v>664</v>
      </c>
      <c r="C6921" s="738" t="s">
        <v>6982</v>
      </c>
      <c r="D6921" s="733"/>
      <c r="E6921" s="733"/>
      <c r="G6921" s="733"/>
      <c r="H6921" s="733"/>
      <c r="I6921" s="733"/>
      <c r="J6921" s="733"/>
      <c r="K6921" s="733"/>
      <c r="L6921" s="733"/>
      <c r="M6921" s="733"/>
    </row>
    <row r="6922" spans="1:13" x14ac:dyDescent="0.3">
      <c r="A6922" s="733" t="s">
        <v>6966</v>
      </c>
      <c r="B6922" s="733" t="s">
        <v>664</v>
      </c>
      <c r="C6922" s="738" t="s">
        <v>6983</v>
      </c>
      <c r="D6922" s="733"/>
      <c r="E6922" s="733"/>
      <c r="G6922" s="733"/>
      <c r="H6922" s="733"/>
      <c r="I6922" s="733"/>
      <c r="J6922" s="733"/>
      <c r="K6922" s="733"/>
      <c r="L6922" s="733"/>
      <c r="M6922" s="733"/>
    </row>
    <row r="6923" spans="1:13" x14ac:dyDescent="0.3">
      <c r="A6923" s="733" t="s">
        <v>6966</v>
      </c>
      <c r="B6923" s="733" t="s">
        <v>664</v>
      </c>
      <c r="C6923" s="738" t="s">
        <v>6984</v>
      </c>
      <c r="D6923" s="733"/>
      <c r="E6923" s="733"/>
      <c r="G6923" s="733"/>
      <c r="H6923" s="733"/>
      <c r="I6923" s="733"/>
      <c r="J6923" s="733"/>
      <c r="K6923" s="733"/>
      <c r="L6923" s="733"/>
      <c r="M6923" s="733"/>
    </row>
    <row r="6924" spans="1:13" x14ac:dyDescent="0.3">
      <c r="A6924" s="733" t="s">
        <v>6966</v>
      </c>
      <c r="B6924" s="733" t="s">
        <v>664</v>
      </c>
      <c r="C6924" s="738" t="s">
        <v>6985</v>
      </c>
      <c r="D6924" s="733"/>
      <c r="E6924" s="733"/>
      <c r="G6924" s="733"/>
      <c r="H6924" s="733"/>
      <c r="I6924" s="733"/>
      <c r="J6924" s="733"/>
      <c r="K6924" s="733"/>
      <c r="L6924" s="733"/>
      <c r="M6924" s="733"/>
    </row>
    <row r="6925" spans="1:13" x14ac:dyDescent="0.3">
      <c r="A6925" s="733" t="s">
        <v>6966</v>
      </c>
      <c r="B6925" s="733" t="s">
        <v>664</v>
      </c>
      <c r="C6925" s="738" t="s">
        <v>6986</v>
      </c>
      <c r="D6925" s="733"/>
      <c r="E6925" s="733"/>
      <c r="G6925" s="733"/>
      <c r="H6925" s="733"/>
      <c r="I6925" s="733"/>
      <c r="J6925" s="733"/>
      <c r="K6925" s="733"/>
      <c r="L6925" s="733"/>
      <c r="M6925" s="733"/>
    </row>
    <row r="6926" spans="1:13" x14ac:dyDescent="0.3">
      <c r="A6926" s="733" t="s">
        <v>6966</v>
      </c>
      <c r="B6926" s="733" t="s">
        <v>612</v>
      </c>
      <c r="C6926" s="738" t="s">
        <v>6987</v>
      </c>
      <c r="D6926" s="733"/>
      <c r="E6926" s="733"/>
      <c r="G6926" s="733"/>
      <c r="H6926" s="733"/>
      <c r="I6926" s="733"/>
      <c r="J6926" s="733"/>
      <c r="K6926" s="733"/>
      <c r="L6926" s="733"/>
      <c r="M6926" s="733"/>
    </row>
    <row r="6927" spans="1:13" x14ac:dyDescent="0.3">
      <c r="A6927" s="733" t="s">
        <v>6966</v>
      </c>
      <c r="B6927" s="733" t="s">
        <v>612</v>
      </c>
      <c r="C6927" s="738" t="s">
        <v>6988</v>
      </c>
      <c r="D6927" s="733"/>
      <c r="E6927" s="733"/>
      <c r="G6927" s="733"/>
      <c r="H6927" s="733"/>
      <c r="I6927" s="733"/>
      <c r="J6927" s="733"/>
      <c r="K6927" s="733"/>
      <c r="L6927" s="733"/>
      <c r="M6927" s="733"/>
    </row>
    <row r="6928" spans="1:13" x14ac:dyDescent="0.3">
      <c r="A6928" s="733" t="s">
        <v>6966</v>
      </c>
      <c r="B6928" s="733" t="s">
        <v>612</v>
      </c>
      <c r="C6928" s="738" t="s">
        <v>6989</v>
      </c>
      <c r="D6928" s="733"/>
      <c r="E6928" s="733"/>
      <c r="G6928" s="733"/>
      <c r="H6928" s="733"/>
      <c r="I6928" s="733"/>
      <c r="J6928" s="733"/>
      <c r="K6928" s="733"/>
      <c r="L6928" s="733"/>
      <c r="M6928" s="733"/>
    </row>
    <row r="6929" spans="1:13" x14ac:dyDescent="0.3">
      <c r="A6929" s="733" t="s">
        <v>6966</v>
      </c>
      <c r="B6929" s="733" t="s">
        <v>612</v>
      </c>
      <c r="C6929" s="738" t="s">
        <v>6990</v>
      </c>
      <c r="D6929" s="733"/>
      <c r="E6929" s="733"/>
      <c r="G6929" s="733"/>
      <c r="H6929" s="733"/>
      <c r="I6929" s="733"/>
      <c r="J6929" s="733"/>
      <c r="K6929" s="733"/>
      <c r="L6929" s="733"/>
      <c r="M6929" s="733"/>
    </row>
    <row r="6930" spans="1:13" x14ac:dyDescent="0.3">
      <c r="A6930" s="733" t="s">
        <v>6966</v>
      </c>
      <c r="B6930" s="733" t="s">
        <v>612</v>
      </c>
      <c r="C6930" s="738" t="s">
        <v>6991</v>
      </c>
      <c r="D6930" s="733"/>
      <c r="E6930" s="733"/>
      <c r="G6930" s="733"/>
      <c r="H6930" s="733"/>
      <c r="I6930" s="733"/>
      <c r="J6930" s="733"/>
      <c r="K6930" s="733"/>
      <c r="L6930" s="733"/>
      <c r="M6930" s="733"/>
    </row>
    <row r="6931" spans="1:13" x14ac:dyDescent="0.3">
      <c r="A6931" s="733" t="s">
        <v>6966</v>
      </c>
      <c r="B6931" s="733" t="s">
        <v>612</v>
      </c>
      <c r="C6931" s="738" t="s">
        <v>6992</v>
      </c>
      <c r="D6931" s="733"/>
      <c r="E6931" s="733"/>
      <c r="G6931" s="733"/>
      <c r="H6931" s="733"/>
      <c r="I6931" s="733"/>
      <c r="J6931" s="733"/>
      <c r="K6931" s="733"/>
      <c r="L6931" s="733"/>
      <c r="M6931" s="733"/>
    </row>
    <row r="6932" spans="1:13" x14ac:dyDescent="0.3">
      <c r="A6932" s="733" t="s">
        <v>6966</v>
      </c>
      <c r="B6932" s="733" t="s">
        <v>612</v>
      </c>
      <c r="C6932" s="738" t="s">
        <v>6993</v>
      </c>
      <c r="D6932" s="733"/>
      <c r="E6932" s="733"/>
      <c r="G6932" s="733"/>
      <c r="H6932" s="733"/>
      <c r="I6932" s="733"/>
      <c r="J6932" s="733"/>
      <c r="K6932" s="733"/>
      <c r="L6932" s="733"/>
      <c r="M6932" s="733"/>
    </row>
    <row r="6933" spans="1:13" x14ac:dyDescent="0.3">
      <c r="A6933" s="733" t="s">
        <v>6966</v>
      </c>
      <c r="B6933" s="733" t="s">
        <v>612</v>
      </c>
      <c r="C6933" s="738" t="s">
        <v>6994</v>
      </c>
      <c r="D6933" s="733"/>
      <c r="E6933" s="733"/>
      <c r="G6933" s="733"/>
      <c r="H6933" s="733"/>
      <c r="I6933" s="733"/>
      <c r="J6933" s="733"/>
      <c r="K6933" s="733"/>
      <c r="L6933" s="733"/>
      <c r="M6933" s="733"/>
    </row>
    <row r="6934" spans="1:13" x14ac:dyDescent="0.3">
      <c r="A6934" s="733" t="s">
        <v>6966</v>
      </c>
      <c r="B6934" s="733" t="s">
        <v>612</v>
      </c>
      <c r="C6934" s="738" t="s">
        <v>6995</v>
      </c>
      <c r="D6934" s="733"/>
      <c r="E6934" s="733"/>
      <c r="G6934" s="733"/>
      <c r="H6934" s="733"/>
      <c r="I6934" s="733"/>
      <c r="J6934" s="733"/>
      <c r="K6934" s="733"/>
      <c r="L6934" s="733"/>
      <c r="M6934" s="733"/>
    </row>
    <row r="6935" spans="1:13" x14ac:dyDescent="0.3">
      <c r="A6935" s="733" t="s">
        <v>6966</v>
      </c>
      <c r="B6935" s="733" t="s">
        <v>612</v>
      </c>
      <c r="C6935" s="738" t="s">
        <v>6996</v>
      </c>
      <c r="D6935" s="733"/>
      <c r="E6935" s="733"/>
      <c r="G6935" s="733"/>
      <c r="H6935" s="733"/>
      <c r="I6935" s="733"/>
      <c r="J6935" s="733"/>
      <c r="K6935" s="733"/>
      <c r="L6935" s="733"/>
      <c r="M6935" s="733"/>
    </row>
    <row r="6936" spans="1:13" x14ac:dyDescent="0.3">
      <c r="A6936" s="733" t="s">
        <v>6997</v>
      </c>
      <c r="B6936" s="733" t="s">
        <v>645</v>
      </c>
      <c r="C6936" s="738" t="s">
        <v>6998</v>
      </c>
      <c r="D6936" s="733"/>
      <c r="E6936" s="733"/>
      <c r="G6936" s="733"/>
      <c r="H6936" s="733"/>
      <c r="I6936" s="733"/>
      <c r="J6936" s="733"/>
      <c r="K6936" s="733"/>
      <c r="L6936" s="733"/>
      <c r="M6936" s="733"/>
    </row>
    <row r="6937" spans="1:13" x14ac:dyDescent="0.3">
      <c r="A6937" s="733" t="s">
        <v>6997</v>
      </c>
      <c r="B6937" s="733" t="s">
        <v>645</v>
      </c>
      <c r="C6937" s="738" t="s">
        <v>6999</v>
      </c>
      <c r="D6937" s="733"/>
      <c r="E6937" s="733"/>
      <c r="G6937" s="733"/>
      <c r="H6937" s="733"/>
      <c r="I6937" s="733"/>
      <c r="J6937" s="733"/>
      <c r="K6937" s="733"/>
      <c r="L6937" s="733"/>
      <c r="M6937" s="733"/>
    </row>
    <row r="6938" spans="1:13" x14ac:dyDescent="0.3">
      <c r="A6938" s="733" t="s">
        <v>6997</v>
      </c>
      <c r="B6938" s="733" t="s">
        <v>645</v>
      </c>
      <c r="C6938" s="738" t="s">
        <v>7000</v>
      </c>
      <c r="D6938" s="733"/>
      <c r="E6938" s="733"/>
      <c r="G6938" s="733"/>
      <c r="H6938" s="733"/>
      <c r="I6938" s="733"/>
      <c r="J6938" s="733"/>
      <c r="K6938" s="733"/>
      <c r="L6938" s="733"/>
      <c r="M6938" s="733"/>
    </row>
    <row r="6939" spans="1:13" x14ac:dyDescent="0.3">
      <c r="A6939" s="733" t="s">
        <v>6997</v>
      </c>
      <c r="B6939" s="733" t="s">
        <v>645</v>
      </c>
      <c r="C6939" s="738" t="s">
        <v>7001</v>
      </c>
      <c r="D6939" s="733"/>
      <c r="E6939" s="733"/>
      <c r="G6939" s="733"/>
      <c r="H6939" s="733"/>
      <c r="I6939" s="733"/>
      <c r="J6939" s="733"/>
      <c r="K6939" s="733"/>
      <c r="L6939" s="733"/>
      <c r="M6939" s="733"/>
    </row>
    <row r="6940" spans="1:13" x14ac:dyDescent="0.3">
      <c r="A6940" s="733" t="s">
        <v>6997</v>
      </c>
      <c r="B6940" s="733" t="s">
        <v>645</v>
      </c>
      <c r="C6940" s="738" t="s">
        <v>7002</v>
      </c>
      <c r="D6940" s="733"/>
      <c r="E6940" s="733"/>
      <c r="G6940" s="733"/>
      <c r="H6940" s="733"/>
      <c r="I6940" s="733"/>
      <c r="J6940" s="733"/>
      <c r="K6940" s="733"/>
      <c r="L6940" s="733"/>
      <c r="M6940" s="733"/>
    </row>
    <row r="6941" spans="1:13" x14ac:dyDescent="0.3">
      <c r="A6941" s="733" t="s">
        <v>6997</v>
      </c>
      <c r="B6941" s="733" t="s">
        <v>645</v>
      </c>
      <c r="C6941" s="738" t="s">
        <v>7003</v>
      </c>
      <c r="D6941" s="733"/>
      <c r="E6941" s="733"/>
      <c r="G6941" s="733"/>
      <c r="H6941" s="733"/>
      <c r="I6941" s="733"/>
      <c r="J6941" s="733"/>
      <c r="K6941" s="733"/>
      <c r="L6941" s="733"/>
      <c r="M6941" s="733"/>
    </row>
    <row r="6942" spans="1:13" ht="28.8" x14ac:dyDescent="0.3">
      <c r="A6942" s="733" t="s">
        <v>6997</v>
      </c>
      <c r="B6942" s="733" t="s">
        <v>645</v>
      </c>
      <c r="C6942" s="738" t="s">
        <v>7004</v>
      </c>
      <c r="D6942" s="733"/>
      <c r="E6942" s="733"/>
      <c r="G6942" s="733"/>
      <c r="H6942" s="733"/>
      <c r="I6942" s="733"/>
      <c r="J6942" s="733"/>
      <c r="K6942" s="733"/>
      <c r="L6942" s="733"/>
      <c r="M6942" s="733"/>
    </row>
    <row r="6943" spans="1:13" x14ac:dyDescent="0.3">
      <c r="A6943" s="733" t="s">
        <v>6997</v>
      </c>
      <c r="B6943" s="733" t="s">
        <v>645</v>
      </c>
      <c r="C6943" s="738" t="s">
        <v>7005</v>
      </c>
      <c r="D6943" s="733"/>
      <c r="E6943" s="733"/>
      <c r="G6943" s="733"/>
      <c r="H6943" s="733"/>
      <c r="I6943" s="733"/>
      <c r="J6943" s="733"/>
      <c r="K6943" s="733"/>
      <c r="L6943" s="733"/>
      <c r="M6943" s="733"/>
    </row>
    <row r="6944" spans="1:13" x14ac:dyDescent="0.3">
      <c r="A6944" s="733" t="s">
        <v>6997</v>
      </c>
      <c r="B6944" s="733" t="s">
        <v>645</v>
      </c>
      <c r="C6944" s="738" t="s">
        <v>7006</v>
      </c>
      <c r="D6944" s="733"/>
      <c r="E6944" s="733"/>
      <c r="G6944" s="733"/>
      <c r="H6944" s="733"/>
      <c r="I6944" s="733"/>
      <c r="J6944" s="733"/>
      <c r="K6944" s="733"/>
      <c r="L6944" s="733"/>
      <c r="M6944" s="733"/>
    </row>
    <row r="6945" spans="1:13" x14ac:dyDescent="0.3">
      <c r="A6945" s="733" t="s">
        <v>6997</v>
      </c>
      <c r="B6945" s="733" t="s">
        <v>645</v>
      </c>
      <c r="C6945" s="738" t="s">
        <v>7007</v>
      </c>
      <c r="D6945" s="733"/>
      <c r="E6945" s="733"/>
      <c r="G6945" s="733"/>
      <c r="H6945" s="733"/>
      <c r="I6945" s="733"/>
      <c r="J6945" s="733"/>
      <c r="K6945" s="733"/>
      <c r="L6945" s="733"/>
      <c r="M6945" s="733"/>
    </row>
    <row r="6946" spans="1:13" x14ac:dyDescent="0.3">
      <c r="A6946" s="733" t="s">
        <v>6997</v>
      </c>
      <c r="B6946" s="733" t="s">
        <v>664</v>
      </c>
      <c r="C6946" s="738" t="s">
        <v>7008</v>
      </c>
      <c r="D6946" s="733"/>
      <c r="E6946" s="733"/>
      <c r="G6946" s="733"/>
      <c r="H6946" s="733"/>
      <c r="I6946" s="733"/>
      <c r="J6946" s="733"/>
      <c r="K6946" s="733"/>
      <c r="L6946" s="733"/>
      <c r="M6946" s="733"/>
    </row>
    <row r="6947" spans="1:13" x14ac:dyDescent="0.3">
      <c r="A6947" s="733" t="s">
        <v>6997</v>
      </c>
      <c r="B6947" s="733" t="s">
        <v>664</v>
      </c>
      <c r="C6947" s="738" t="s">
        <v>7009</v>
      </c>
      <c r="D6947" s="733"/>
      <c r="E6947" s="733"/>
      <c r="G6947" s="733"/>
      <c r="H6947" s="733"/>
      <c r="I6947" s="733"/>
      <c r="J6947" s="733"/>
      <c r="K6947" s="733"/>
      <c r="L6947" s="733"/>
      <c r="M6947" s="733"/>
    </row>
    <row r="6948" spans="1:13" x14ac:dyDescent="0.3">
      <c r="A6948" s="733" t="s">
        <v>6997</v>
      </c>
      <c r="B6948" s="733" t="s">
        <v>664</v>
      </c>
      <c r="C6948" s="738" t="s">
        <v>7010</v>
      </c>
      <c r="D6948" s="733"/>
      <c r="E6948" s="733"/>
      <c r="G6948" s="733"/>
      <c r="H6948" s="733"/>
      <c r="I6948" s="733"/>
      <c r="J6948" s="733"/>
      <c r="K6948" s="733"/>
      <c r="L6948" s="733"/>
      <c r="M6948" s="733"/>
    </row>
    <row r="6949" spans="1:13" x14ac:dyDescent="0.3">
      <c r="A6949" s="733" t="s">
        <v>6997</v>
      </c>
      <c r="B6949" s="733" t="s">
        <v>664</v>
      </c>
      <c r="C6949" s="738" t="s">
        <v>7011</v>
      </c>
      <c r="D6949" s="733"/>
      <c r="E6949" s="733"/>
      <c r="G6949" s="733"/>
      <c r="H6949" s="733"/>
      <c r="I6949" s="733"/>
      <c r="J6949" s="733"/>
      <c r="K6949" s="733"/>
      <c r="L6949" s="733"/>
      <c r="M6949" s="733"/>
    </row>
    <row r="6950" spans="1:13" x14ac:dyDescent="0.3">
      <c r="A6950" s="733" t="s">
        <v>6997</v>
      </c>
      <c r="B6950" s="733" t="s">
        <v>664</v>
      </c>
      <c r="C6950" s="738" t="s">
        <v>7012</v>
      </c>
      <c r="D6950" s="733"/>
      <c r="E6950" s="733"/>
      <c r="G6950" s="733"/>
      <c r="H6950" s="733"/>
      <c r="I6950" s="733"/>
      <c r="J6950" s="733"/>
      <c r="K6950" s="733"/>
      <c r="L6950" s="733"/>
      <c r="M6950" s="733"/>
    </row>
    <row r="6951" spans="1:13" x14ac:dyDescent="0.3">
      <c r="A6951" s="733" t="s">
        <v>6997</v>
      </c>
      <c r="B6951" s="733" t="s">
        <v>664</v>
      </c>
      <c r="C6951" s="738" t="s">
        <v>7013</v>
      </c>
      <c r="D6951" s="733"/>
      <c r="E6951" s="733"/>
      <c r="G6951" s="733"/>
      <c r="H6951" s="733"/>
      <c r="I6951" s="733"/>
      <c r="J6951" s="733"/>
      <c r="K6951" s="733"/>
      <c r="L6951" s="733"/>
      <c r="M6951" s="733"/>
    </row>
    <row r="6952" spans="1:13" x14ac:dyDescent="0.3">
      <c r="A6952" s="733" t="s">
        <v>6997</v>
      </c>
      <c r="B6952" s="733" t="s">
        <v>664</v>
      </c>
      <c r="C6952" s="738" t="s">
        <v>7014</v>
      </c>
      <c r="D6952" s="733"/>
      <c r="E6952" s="733"/>
      <c r="G6952" s="733"/>
      <c r="H6952" s="733"/>
      <c r="I6952" s="733"/>
      <c r="J6952" s="733"/>
      <c r="K6952" s="733"/>
      <c r="L6952" s="733"/>
      <c r="M6952" s="733"/>
    </row>
    <row r="6953" spans="1:13" x14ac:dyDescent="0.3">
      <c r="A6953" s="733" t="s">
        <v>6997</v>
      </c>
      <c r="B6953" s="733" t="s">
        <v>664</v>
      </c>
      <c r="C6953" s="738" t="s">
        <v>7015</v>
      </c>
      <c r="D6953" s="733"/>
      <c r="E6953" s="733"/>
      <c r="G6953" s="733"/>
      <c r="H6953" s="733"/>
      <c r="I6953" s="733"/>
      <c r="J6953" s="733"/>
      <c r="K6953" s="733"/>
      <c r="L6953" s="733"/>
      <c r="M6953" s="733"/>
    </row>
    <row r="6954" spans="1:13" x14ac:dyDescent="0.3">
      <c r="A6954" s="733" t="s">
        <v>6997</v>
      </c>
      <c r="B6954" s="733" t="s">
        <v>664</v>
      </c>
      <c r="C6954" s="738" t="s">
        <v>7016</v>
      </c>
      <c r="D6954" s="733"/>
      <c r="E6954" s="733"/>
      <c r="G6954" s="733"/>
      <c r="H6954" s="733"/>
      <c r="I6954" s="733"/>
      <c r="J6954" s="733"/>
      <c r="K6954" s="733"/>
      <c r="L6954" s="733"/>
      <c r="M6954" s="733"/>
    </row>
    <row r="6955" spans="1:13" x14ac:dyDescent="0.3">
      <c r="A6955" s="733" t="s">
        <v>6997</v>
      </c>
      <c r="B6955" s="733" t="s">
        <v>664</v>
      </c>
      <c r="C6955" s="738" t="s">
        <v>7017</v>
      </c>
      <c r="D6955" s="733"/>
      <c r="E6955" s="733"/>
      <c r="G6955" s="733"/>
      <c r="H6955" s="733"/>
      <c r="I6955" s="733"/>
      <c r="J6955" s="733"/>
      <c r="K6955" s="733"/>
      <c r="L6955" s="733"/>
      <c r="M6955" s="733"/>
    </row>
    <row r="6956" spans="1:13" x14ac:dyDescent="0.3">
      <c r="A6956" s="733" t="s">
        <v>6997</v>
      </c>
      <c r="B6956" s="733" t="s">
        <v>612</v>
      </c>
      <c r="C6956" s="738" t="s">
        <v>7018</v>
      </c>
      <c r="D6956" s="733"/>
      <c r="E6956" s="733"/>
      <c r="G6956" s="733"/>
      <c r="H6956" s="733"/>
      <c r="I6956" s="733"/>
      <c r="J6956" s="733"/>
      <c r="K6956" s="733"/>
      <c r="L6956" s="733"/>
      <c r="M6956" s="733"/>
    </row>
    <row r="6957" spans="1:13" x14ac:dyDescent="0.3">
      <c r="A6957" s="733" t="s">
        <v>6997</v>
      </c>
      <c r="B6957" s="733" t="s">
        <v>612</v>
      </c>
      <c r="C6957" s="738" t="s">
        <v>7019</v>
      </c>
      <c r="D6957" s="733"/>
      <c r="E6957" s="733"/>
      <c r="G6957" s="733"/>
      <c r="H6957" s="733"/>
      <c r="I6957" s="733"/>
      <c r="J6957" s="733"/>
      <c r="K6957" s="733"/>
      <c r="L6957" s="733"/>
      <c r="M6957" s="733"/>
    </row>
    <row r="6958" spans="1:13" x14ac:dyDescent="0.3">
      <c r="A6958" s="733" t="s">
        <v>6997</v>
      </c>
      <c r="B6958" s="733" t="s">
        <v>612</v>
      </c>
      <c r="C6958" s="738" t="s">
        <v>7020</v>
      </c>
      <c r="D6958" s="733"/>
      <c r="E6958" s="733"/>
      <c r="G6958" s="733"/>
      <c r="H6958" s="733"/>
      <c r="I6958" s="733"/>
      <c r="J6958" s="733"/>
      <c r="K6958" s="733"/>
      <c r="L6958" s="733"/>
      <c r="M6958" s="733"/>
    </row>
    <row r="6959" spans="1:13" x14ac:dyDescent="0.3">
      <c r="A6959" s="733" t="s">
        <v>6997</v>
      </c>
      <c r="B6959" s="733" t="s">
        <v>612</v>
      </c>
      <c r="C6959" s="738" t="s">
        <v>7021</v>
      </c>
      <c r="D6959" s="733"/>
      <c r="E6959" s="733"/>
      <c r="G6959" s="733"/>
      <c r="H6959" s="733"/>
      <c r="I6959" s="733"/>
      <c r="J6959" s="733"/>
      <c r="K6959" s="733"/>
      <c r="L6959" s="733"/>
      <c r="M6959" s="733"/>
    </row>
    <row r="6960" spans="1:13" x14ac:dyDescent="0.3">
      <c r="A6960" s="733" t="s">
        <v>6997</v>
      </c>
      <c r="B6960" s="733" t="s">
        <v>612</v>
      </c>
      <c r="C6960" s="738" t="s">
        <v>7022</v>
      </c>
      <c r="D6960" s="733"/>
      <c r="E6960" s="733"/>
      <c r="G6960" s="733"/>
      <c r="H6960" s="733"/>
      <c r="I6960" s="733"/>
      <c r="J6960" s="733"/>
      <c r="K6960" s="733"/>
      <c r="L6960" s="733"/>
      <c r="M6960" s="733"/>
    </row>
    <row r="6961" spans="1:13" x14ac:dyDescent="0.3">
      <c r="A6961" s="733" t="s">
        <v>6997</v>
      </c>
      <c r="B6961" s="733" t="s">
        <v>612</v>
      </c>
      <c r="C6961" s="738" t="s">
        <v>7023</v>
      </c>
      <c r="D6961" s="733"/>
      <c r="E6961" s="733"/>
      <c r="G6961" s="733"/>
      <c r="H6961" s="733"/>
      <c r="I6961" s="733"/>
      <c r="J6961" s="733"/>
      <c r="K6961" s="733"/>
      <c r="L6961" s="733"/>
      <c r="M6961" s="733"/>
    </row>
    <row r="6962" spans="1:13" x14ac:dyDescent="0.3">
      <c r="A6962" s="733" t="s">
        <v>6997</v>
      </c>
      <c r="B6962" s="733" t="s">
        <v>612</v>
      </c>
      <c r="C6962" s="738" t="s">
        <v>7024</v>
      </c>
      <c r="D6962" s="733"/>
      <c r="E6962" s="733"/>
      <c r="G6962" s="733"/>
      <c r="H6962" s="733"/>
      <c r="I6962" s="733"/>
      <c r="J6962" s="733"/>
      <c r="K6962" s="733"/>
      <c r="L6962" s="733"/>
      <c r="M6962" s="733"/>
    </row>
    <row r="6963" spans="1:13" x14ac:dyDescent="0.3">
      <c r="A6963" s="733" t="s">
        <v>6997</v>
      </c>
      <c r="B6963" s="733" t="s">
        <v>612</v>
      </c>
      <c r="C6963" s="738" t="s">
        <v>7025</v>
      </c>
      <c r="D6963" s="733"/>
      <c r="E6963" s="733"/>
      <c r="G6963" s="733"/>
      <c r="H6963" s="733"/>
      <c r="I6963" s="733"/>
      <c r="J6963" s="733"/>
      <c r="K6963" s="733"/>
      <c r="L6963" s="733"/>
      <c r="M6963" s="733"/>
    </row>
    <row r="6964" spans="1:13" x14ac:dyDescent="0.3">
      <c r="A6964" s="733" t="s">
        <v>6997</v>
      </c>
      <c r="B6964" s="733" t="s">
        <v>612</v>
      </c>
      <c r="C6964" s="738" t="s">
        <v>7026</v>
      </c>
      <c r="D6964" s="733"/>
      <c r="E6964" s="733"/>
      <c r="G6964" s="733"/>
      <c r="H6964" s="733"/>
      <c r="I6964" s="733"/>
      <c r="J6964" s="733"/>
      <c r="K6964" s="733"/>
      <c r="L6964" s="733"/>
      <c r="M6964" s="733"/>
    </row>
    <row r="6965" spans="1:13" ht="28.8" x14ac:dyDescent="0.3">
      <c r="A6965" s="733" t="s">
        <v>6997</v>
      </c>
      <c r="B6965" s="733" t="s">
        <v>612</v>
      </c>
      <c r="C6965" s="738" t="s">
        <v>7027</v>
      </c>
      <c r="D6965" s="733"/>
      <c r="E6965" s="733"/>
      <c r="G6965" s="733"/>
      <c r="H6965" s="733"/>
      <c r="I6965" s="733"/>
      <c r="J6965" s="733"/>
      <c r="K6965" s="733"/>
      <c r="L6965" s="733"/>
      <c r="M6965" s="733"/>
    </row>
    <row r="6966" spans="1:13" x14ac:dyDescent="0.3">
      <c r="A6966" s="733" t="s">
        <v>7028</v>
      </c>
      <c r="B6966" s="733" t="s">
        <v>645</v>
      </c>
      <c r="C6966" s="738" t="s">
        <v>7029</v>
      </c>
      <c r="D6966" s="733"/>
      <c r="E6966" s="733"/>
      <c r="G6966" s="733"/>
      <c r="H6966" s="733"/>
      <c r="I6966" s="733"/>
      <c r="J6966" s="733"/>
      <c r="K6966" s="733"/>
      <c r="L6966" s="733"/>
      <c r="M6966" s="733"/>
    </row>
    <row r="6967" spans="1:13" x14ac:dyDescent="0.3">
      <c r="A6967" s="733" t="s">
        <v>7028</v>
      </c>
      <c r="B6967" s="733" t="s">
        <v>645</v>
      </c>
      <c r="C6967" s="738" t="s">
        <v>7030</v>
      </c>
      <c r="D6967" s="733"/>
      <c r="E6967" s="733"/>
      <c r="G6967" s="733"/>
      <c r="H6967" s="733"/>
      <c r="I6967" s="733"/>
      <c r="J6967" s="733"/>
      <c r="K6967" s="733"/>
      <c r="L6967" s="733"/>
      <c r="M6967" s="733"/>
    </row>
    <row r="6968" spans="1:13" x14ac:dyDescent="0.3">
      <c r="A6968" s="733" t="s">
        <v>7028</v>
      </c>
      <c r="B6968" s="733" t="s">
        <v>645</v>
      </c>
      <c r="C6968" s="738" t="s">
        <v>7031</v>
      </c>
      <c r="D6968" s="733"/>
      <c r="E6968" s="733"/>
      <c r="G6968" s="733"/>
      <c r="H6968" s="733"/>
      <c r="I6968" s="733"/>
      <c r="J6968" s="733"/>
      <c r="K6968" s="733"/>
      <c r="L6968" s="733"/>
      <c r="M6968" s="733"/>
    </row>
    <row r="6969" spans="1:13" x14ac:dyDescent="0.3">
      <c r="A6969" s="733" t="s">
        <v>7028</v>
      </c>
      <c r="B6969" s="733" t="s">
        <v>645</v>
      </c>
      <c r="C6969" s="738" t="s">
        <v>7032</v>
      </c>
      <c r="D6969" s="733"/>
      <c r="E6969" s="733"/>
      <c r="G6969" s="733"/>
      <c r="H6969" s="733"/>
      <c r="I6969" s="733"/>
      <c r="J6969" s="733"/>
      <c r="K6969" s="733"/>
      <c r="L6969" s="733"/>
      <c r="M6969" s="733"/>
    </row>
    <row r="6970" spans="1:13" x14ac:dyDescent="0.3">
      <c r="A6970" s="733" t="s">
        <v>7028</v>
      </c>
      <c r="B6970" s="733" t="s">
        <v>645</v>
      </c>
      <c r="C6970" s="738" t="s">
        <v>7033</v>
      </c>
      <c r="D6970" s="733"/>
      <c r="E6970" s="733"/>
      <c r="G6970" s="733"/>
      <c r="H6970" s="733"/>
      <c r="I6970" s="733"/>
      <c r="J6970" s="733"/>
      <c r="K6970" s="733"/>
      <c r="L6970" s="733"/>
      <c r="M6970" s="733"/>
    </row>
    <row r="6971" spans="1:13" x14ac:dyDescent="0.3">
      <c r="A6971" s="733" t="s">
        <v>7028</v>
      </c>
      <c r="B6971" s="733" t="s">
        <v>664</v>
      </c>
      <c r="C6971" s="738" t="s">
        <v>7034</v>
      </c>
      <c r="D6971" s="733"/>
      <c r="E6971" s="733"/>
      <c r="G6971" s="733"/>
      <c r="H6971" s="733"/>
      <c r="I6971" s="733"/>
      <c r="J6971" s="733"/>
      <c r="K6971" s="733"/>
      <c r="L6971" s="733"/>
      <c r="M6971" s="733"/>
    </row>
    <row r="6972" spans="1:13" x14ac:dyDescent="0.3">
      <c r="A6972" s="733" t="s">
        <v>7028</v>
      </c>
      <c r="B6972" s="733" t="s">
        <v>664</v>
      </c>
      <c r="C6972" s="738" t="s">
        <v>7035</v>
      </c>
      <c r="D6972" s="733"/>
      <c r="E6972" s="733"/>
      <c r="G6972" s="733"/>
      <c r="H6972" s="733"/>
      <c r="I6972" s="733"/>
      <c r="J6972" s="733"/>
      <c r="K6972" s="733"/>
      <c r="L6972" s="733"/>
      <c r="M6972" s="733"/>
    </row>
    <row r="6973" spans="1:13" x14ac:dyDescent="0.3">
      <c r="A6973" s="733" t="s">
        <v>7028</v>
      </c>
      <c r="B6973" s="733" t="s">
        <v>664</v>
      </c>
      <c r="C6973" s="738" t="s">
        <v>7036</v>
      </c>
      <c r="D6973" s="733"/>
      <c r="E6973" s="733"/>
      <c r="G6973" s="733"/>
      <c r="H6973" s="733"/>
      <c r="I6973" s="733"/>
      <c r="J6973" s="733"/>
      <c r="K6973" s="733"/>
      <c r="L6973" s="733"/>
      <c r="M6973" s="733"/>
    </row>
    <row r="6974" spans="1:13" x14ac:dyDescent="0.3">
      <c r="A6974" s="733" t="s">
        <v>7028</v>
      </c>
      <c r="B6974" s="733" t="s">
        <v>664</v>
      </c>
      <c r="C6974" s="738" t="s">
        <v>7037</v>
      </c>
      <c r="D6974" s="733"/>
      <c r="E6974" s="733"/>
      <c r="G6974" s="733"/>
      <c r="H6974" s="733"/>
      <c r="I6974" s="733"/>
      <c r="J6974" s="733"/>
      <c r="K6974" s="733"/>
      <c r="L6974" s="733"/>
      <c r="M6974" s="733"/>
    </row>
    <row r="6975" spans="1:13" x14ac:dyDescent="0.3">
      <c r="A6975" s="733" t="s">
        <v>7028</v>
      </c>
      <c r="B6975" s="733" t="s">
        <v>664</v>
      </c>
      <c r="C6975" s="738" t="s">
        <v>7038</v>
      </c>
      <c r="D6975" s="733"/>
      <c r="E6975" s="733"/>
      <c r="G6975" s="733"/>
      <c r="H6975" s="733"/>
      <c r="I6975" s="733"/>
      <c r="J6975" s="733"/>
      <c r="K6975" s="733"/>
      <c r="L6975" s="733"/>
      <c r="M6975" s="733"/>
    </row>
    <row r="6976" spans="1:13" x14ac:dyDescent="0.3">
      <c r="A6976" s="733" t="s">
        <v>7028</v>
      </c>
      <c r="B6976" s="733" t="s">
        <v>612</v>
      </c>
      <c r="C6976" s="738" t="s">
        <v>7039</v>
      </c>
      <c r="D6976" s="733"/>
      <c r="E6976" s="733"/>
      <c r="G6976" s="733"/>
      <c r="H6976" s="733"/>
      <c r="I6976" s="733"/>
      <c r="J6976" s="733"/>
      <c r="K6976" s="733"/>
      <c r="L6976" s="733"/>
      <c r="M6976" s="733"/>
    </row>
    <row r="6977" spans="1:13" x14ac:dyDescent="0.3">
      <c r="A6977" s="733" t="s">
        <v>7028</v>
      </c>
      <c r="B6977" s="733" t="s">
        <v>612</v>
      </c>
      <c r="C6977" s="738" t="s">
        <v>7040</v>
      </c>
      <c r="D6977" s="733"/>
      <c r="E6977" s="733"/>
      <c r="G6977" s="733"/>
      <c r="H6977" s="733"/>
      <c r="I6977" s="733"/>
      <c r="J6977" s="733"/>
      <c r="K6977" s="733"/>
      <c r="L6977" s="733"/>
      <c r="M6977" s="733"/>
    </row>
    <row r="6978" spans="1:13" x14ac:dyDescent="0.3">
      <c r="A6978" s="733" t="s">
        <v>7028</v>
      </c>
      <c r="B6978" s="733" t="s">
        <v>612</v>
      </c>
      <c r="C6978" s="738" t="s">
        <v>7041</v>
      </c>
      <c r="D6978" s="733"/>
      <c r="E6978" s="733"/>
      <c r="G6978" s="733"/>
      <c r="H6978" s="733"/>
      <c r="I6978" s="733"/>
      <c r="J6978" s="733"/>
      <c r="K6978" s="733"/>
      <c r="L6978" s="733"/>
      <c r="M6978" s="733"/>
    </row>
    <row r="6979" spans="1:13" x14ac:dyDescent="0.3">
      <c r="A6979" s="733" t="s">
        <v>7028</v>
      </c>
      <c r="B6979" s="733" t="s">
        <v>612</v>
      </c>
      <c r="C6979" s="738" t="s">
        <v>7042</v>
      </c>
      <c r="D6979" s="733"/>
      <c r="E6979" s="733"/>
      <c r="G6979" s="733"/>
      <c r="H6979" s="733"/>
      <c r="I6979" s="733"/>
      <c r="J6979" s="733"/>
      <c r="K6979" s="733"/>
      <c r="L6979" s="733"/>
      <c r="M6979" s="733"/>
    </row>
    <row r="6980" spans="1:13" x14ac:dyDescent="0.3">
      <c r="A6980" s="733" t="s">
        <v>7028</v>
      </c>
      <c r="B6980" s="733" t="s">
        <v>612</v>
      </c>
      <c r="C6980" s="738" t="s">
        <v>7043</v>
      </c>
      <c r="D6980" s="733"/>
      <c r="E6980" s="733"/>
      <c r="G6980" s="733"/>
      <c r="H6980" s="733"/>
      <c r="I6980" s="733"/>
      <c r="J6980" s="733"/>
      <c r="K6980" s="733"/>
      <c r="L6980" s="733"/>
      <c r="M6980" s="733"/>
    </row>
    <row r="6981" spans="1:13" x14ac:dyDescent="0.3">
      <c r="A6981" s="733" t="s">
        <v>7044</v>
      </c>
      <c r="B6981" s="733" t="s">
        <v>645</v>
      </c>
      <c r="C6981" s="738" t="s">
        <v>7045</v>
      </c>
      <c r="D6981" s="733"/>
      <c r="E6981" s="733"/>
      <c r="G6981" s="733"/>
      <c r="H6981" s="733"/>
      <c r="I6981" s="733"/>
      <c r="J6981" s="733"/>
      <c r="K6981" s="733"/>
      <c r="L6981" s="733"/>
      <c r="M6981" s="733"/>
    </row>
    <row r="6982" spans="1:13" x14ac:dyDescent="0.3">
      <c r="A6982" s="733" t="s">
        <v>7044</v>
      </c>
      <c r="B6982" s="733" t="s">
        <v>645</v>
      </c>
      <c r="C6982" s="738" t="s">
        <v>7046</v>
      </c>
      <c r="D6982" s="733"/>
      <c r="E6982" s="733"/>
      <c r="G6982" s="733"/>
      <c r="H6982" s="733"/>
      <c r="I6982" s="733"/>
      <c r="J6982" s="733"/>
      <c r="K6982" s="733"/>
      <c r="L6982" s="733"/>
      <c r="M6982" s="733"/>
    </row>
    <row r="6983" spans="1:13" x14ac:dyDescent="0.3">
      <c r="A6983" s="733" t="s">
        <v>7044</v>
      </c>
      <c r="B6983" s="733" t="s">
        <v>645</v>
      </c>
      <c r="C6983" s="738" t="s">
        <v>7047</v>
      </c>
      <c r="D6983" s="733"/>
      <c r="E6983" s="733"/>
      <c r="G6983" s="733"/>
      <c r="H6983" s="733"/>
      <c r="I6983" s="733"/>
      <c r="J6983" s="733"/>
      <c r="K6983" s="733"/>
      <c r="L6983" s="733"/>
      <c r="M6983" s="733"/>
    </row>
    <row r="6984" spans="1:13" x14ac:dyDescent="0.3">
      <c r="A6984" s="733" t="s">
        <v>7044</v>
      </c>
      <c r="B6984" s="733" t="s">
        <v>645</v>
      </c>
      <c r="C6984" s="738" t="s">
        <v>7048</v>
      </c>
      <c r="D6984" s="733"/>
      <c r="E6984" s="733"/>
      <c r="G6984" s="733"/>
      <c r="H6984" s="733"/>
      <c r="I6984" s="733"/>
      <c r="J6984" s="733"/>
      <c r="K6984" s="733"/>
      <c r="L6984" s="733"/>
      <c r="M6984" s="733"/>
    </row>
    <row r="6985" spans="1:13" x14ac:dyDescent="0.3">
      <c r="A6985" s="733" t="s">
        <v>7044</v>
      </c>
      <c r="B6985" s="733" t="s">
        <v>645</v>
      </c>
      <c r="C6985" s="738" t="s">
        <v>7049</v>
      </c>
      <c r="D6985" s="733"/>
      <c r="E6985" s="733"/>
      <c r="G6985" s="733"/>
      <c r="H6985" s="733"/>
      <c r="I6985" s="733"/>
      <c r="J6985" s="733"/>
      <c r="K6985" s="733"/>
      <c r="L6985" s="733"/>
      <c r="M6985" s="733"/>
    </row>
    <row r="6986" spans="1:13" x14ac:dyDescent="0.3">
      <c r="A6986" s="733" t="s">
        <v>7044</v>
      </c>
      <c r="B6986" s="733" t="s">
        <v>664</v>
      </c>
      <c r="C6986" s="738" t="s">
        <v>7050</v>
      </c>
      <c r="D6986" s="733"/>
      <c r="E6986" s="733"/>
      <c r="G6986" s="733"/>
      <c r="H6986" s="733"/>
      <c r="I6986" s="733"/>
      <c r="J6986" s="733"/>
      <c r="K6986" s="733"/>
      <c r="L6986" s="733"/>
      <c r="M6986" s="733"/>
    </row>
    <row r="6987" spans="1:13" x14ac:dyDescent="0.3">
      <c r="A6987" s="733" t="s">
        <v>7044</v>
      </c>
      <c r="B6987" s="733" t="s">
        <v>664</v>
      </c>
      <c r="C6987" s="738" t="s">
        <v>7051</v>
      </c>
      <c r="D6987" s="733"/>
      <c r="E6987" s="733"/>
      <c r="G6987" s="733"/>
      <c r="H6987" s="733"/>
      <c r="I6987" s="733"/>
      <c r="J6987" s="733"/>
      <c r="K6987" s="733"/>
      <c r="L6987" s="733"/>
      <c r="M6987" s="733"/>
    </row>
    <row r="6988" spans="1:13" x14ac:dyDescent="0.3">
      <c r="A6988" s="733" t="s">
        <v>7044</v>
      </c>
      <c r="B6988" s="733" t="s">
        <v>664</v>
      </c>
      <c r="C6988" s="738" t="s">
        <v>7052</v>
      </c>
      <c r="D6988" s="733"/>
      <c r="E6988" s="733"/>
      <c r="G6988" s="733"/>
      <c r="H6988" s="733"/>
      <c r="I6988" s="733"/>
      <c r="J6988" s="733"/>
      <c r="K6988" s="733"/>
      <c r="L6988" s="733"/>
      <c r="M6988" s="733"/>
    </row>
    <row r="6989" spans="1:13" x14ac:dyDescent="0.3">
      <c r="A6989" s="733" t="s">
        <v>7044</v>
      </c>
      <c r="B6989" s="733" t="s">
        <v>664</v>
      </c>
      <c r="C6989" s="738" t="s">
        <v>7053</v>
      </c>
      <c r="D6989" s="733"/>
      <c r="E6989" s="733"/>
      <c r="G6989" s="733"/>
      <c r="H6989" s="733"/>
      <c r="I6989" s="733"/>
      <c r="J6989" s="733"/>
      <c r="K6989" s="733"/>
      <c r="L6989" s="733"/>
      <c r="M6989" s="733"/>
    </row>
    <row r="6990" spans="1:13" x14ac:dyDescent="0.3">
      <c r="A6990" s="733" t="s">
        <v>7044</v>
      </c>
      <c r="B6990" s="733" t="s">
        <v>664</v>
      </c>
      <c r="C6990" s="738" t="s">
        <v>7054</v>
      </c>
      <c r="D6990" s="733"/>
      <c r="E6990" s="733"/>
      <c r="G6990" s="733"/>
      <c r="H6990" s="733"/>
      <c r="I6990" s="733"/>
      <c r="J6990" s="733"/>
      <c r="K6990" s="733"/>
      <c r="L6990" s="733"/>
      <c r="M6990" s="733"/>
    </row>
    <row r="6991" spans="1:13" x14ac:dyDescent="0.3">
      <c r="A6991" s="733" t="s">
        <v>7044</v>
      </c>
      <c r="B6991" s="733" t="s">
        <v>612</v>
      </c>
      <c r="C6991" s="738" t="s">
        <v>7055</v>
      </c>
      <c r="D6991" s="733"/>
      <c r="E6991" s="733"/>
      <c r="G6991" s="733"/>
      <c r="H6991" s="733"/>
      <c r="I6991" s="733"/>
      <c r="J6991" s="733"/>
      <c r="K6991" s="733"/>
      <c r="L6991" s="733"/>
      <c r="M6991" s="733"/>
    </row>
    <row r="6992" spans="1:13" x14ac:dyDescent="0.3">
      <c r="A6992" s="733" t="s">
        <v>7044</v>
      </c>
      <c r="B6992" s="733" t="s">
        <v>612</v>
      </c>
      <c r="C6992" s="738" t="s">
        <v>7056</v>
      </c>
      <c r="D6992" s="733"/>
      <c r="E6992" s="733"/>
      <c r="G6992" s="733"/>
      <c r="H6992" s="733"/>
      <c r="I6992" s="733"/>
      <c r="J6992" s="733"/>
      <c r="K6992" s="733"/>
      <c r="L6992" s="733"/>
      <c r="M6992" s="733"/>
    </row>
    <row r="6993" spans="1:13" x14ac:dyDescent="0.3">
      <c r="A6993" s="733" t="s">
        <v>7044</v>
      </c>
      <c r="B6993" s="733" t="s">
        <v>612</v>
      </c>
      <c r="C6993" s="738" t="s">
        <v>7057</v>
      </c>
      <c r="D6993" s="733"/>
      <c r="E6993" s="733"/>
      <c r="G6993" s="733"/>
      <c r="H6993" s="733"/>
      <c r="I6993" s="733"/>
      <c r="J6993" s="733"/>
      <c r="K6993" s="733"/>
      <c r="L6993" s="733"/>
      <c r="M6993" s="733"/>
    </row>
    <row r="6994" spans="1:13" x14ac:dyDescent="0.3">
      <c r="A6994" s="733" t="s">
        <v>7044</v>
      </c>
      <c r="B6994" s="733" t="s">
        <v>612</v>
      </c>
      <c r="C6994" s="738" t="s">
        <v>7058</v>
      </c>
      <c r="D6994" s="733"/>
      <c r="E6994" s="733"/>
      <c r="G6994" s="733"/>
      <c r="H6994" s="733"/>
      <c r="I6994" s="733"/>
      <c r="J6994" s="733"/>
      <c r="K6994" s="733"/>
      <c r="L6994" s="733"/>
      <c r="M6994" s="733"/>
    </row>
    <row r="6995" spans="1:13" x14ac:dyDescent="0.3">
      <c r="A6995" s="733" t="s">
        <v>7044</v>
      </c>
      <c r="B6995" s="733" t="s">
        <v>612</v>
      </c>
      <c r="C6995" s="738" t="s">
        <v>7059</v>
      </c>
      <c r="D6995" s="733"/>
      <c r="E6995" s="733"/>
      <c r="G6995" s="733"/>
      <c r="H6995" s="733"/>
      <c r="I6995" s="733"/>
      <c r="J6995" s="733"/>
      <c r="K6995" s="733"/>
      <c r="L6995" s="733"/>
      <c r="M6995" s="733"/>
    </row>
    <row r="6996" spans="1:13" x14ac:dyDescent="0.3">
      <c r="A6996" s="733" t="s">
        <v>7060</v>
      </c>
      <c r="B6996" s="733" t="s">
        <v>645</v>
      </c>
      <c r="C6996" s="738" t="s">
        <v>7061</v>
      </c>
      <c r="D6996" s="733"/>
      <c r="E6996" s="733"/>
      <c r="G6996" s="733"/>
      <c r="H6996" s="733"/>
      <c r="I6996" s="733"/>
      <c r="J6996" s="733"/>
      <c r="K6996" s="733"/>
      <c r="L6996" s="733"/>
      <c r="M6996" s="733"/>
    </row>
    <row r="6997" spans="1:13" x14ac:dyDescent="0.3">
      <c r="A6997" s="733" t="s">
        <v>7060</v>
      </c>
      <c r="B6997" s="733" t="s">
        <v>645</v>
      </c>
      <c r="C6997" s="738" t="s">
        <v>7062</v>
      </c>
      <c r="D6997" s="733"/>
      <c r="E6997" s="733"/>
      <c r="G6997" s="733"/>
      <c r="H6997" s="733"/>
      <c r="I6997" s="733"/>
      <c r="J6997" s="733"/>
      <c r="K6997" s="733"/>
      <c r="L6997" s="733"/>
      <c r="M6997" s="733"/>
    </row>
    <row r="6998" spans="1:13" x14ac:dyDescent="0.3">
      <c r="A6998" s="733" t="s">
        <v>7060</v>
      </c>
      <c r="B6998" s="733" t="s">
        <v>645</v>
      </c>
      <c r="C6998" s="738" t="s">
        <v>7063</v>
      </c>
      <c r="D6998" s="733"/>
      <c r="E6998" s="733"/>
      <c r="G6998" s="733"/>
      <c r="H6998" s="733"/>
      <c r="I6998" s="733"/>
      <c r="J6998" s="733"/>
      <c r="K6998" s="733"/>
      <c r="L6998" s="733"/>
      <c r="M6998" s="733"/>
    </row>
    <row r="6999" spans="1:13" x14ac:dyDescent="0.3">
      <c r="A6999" s="733" t="s">
        <v>7060</v>
      </c>
      <c r="B6999" s="733" t="s">
        <v>645</v>
      </c>
      <c r="C6999" s="738" t="s">
        <v>7064</v>
      </c>
      <c r="D6999" s="733"/>
      <c r="E6999" s="733"/>
      <c r="G6999" s="733"/>
      <c r="H6999" s="733"/>
      <c r="I6999" s="733"/>
      <c r="J6999" s="733"/>
      <c r="K6999" s="733"/>
      <c r="L6999" s="733"/>
      <c r="M6999" s="733"/>
    </row>
    <row r="7000" spans="1:13" x14ac:dyDescent="0.3">
      <c r="A7000" s="733" t="s">
        <v>7060</v>
      </c>
      <c r="B7000" s="733" t="s">
        <v>645</v>
      </c>
      <c r="C7000" s="738" t="s">
        <v>7065</v>
      </c>
      <c r="D7000" s="733"/>
      <c r="E7000" s="733"/>
      <c r="G7000" s="733"/>
      <c r="H7000" s="733"/>
      <c r="I7000" s="733"/>
      <c r="J7000" s="733"/>
      <c r="K7000" s="733"/>
      <c r="L7000" s="733"/>
      <c r="M7000" s="733"/>
    </row>
    <row r="7001" spans="1:13" x14ac:dyDescent="0.3">
      <c r="A7001" s="733" t="s">
        <v>7060</v>
      </c>
      <c r="B7001" s="733" t="s">
        <v>664</v>
      </c>
      <c r="C7001" s="733" t="s">
        <v>7066</v>
      </c>
      <c r="D7001" s="733"/>
      <c r="E7001" s="733"/>
      <c r="G7001" s="733"/>
      <c r="H7001" s="733"/>
      <c r="I7001" s="733"/>
      <c r="J7001" s="733"/>
      <c r="K7001" s="733"/>
      <c r="L7001" s="733"/>
      <c r="M7001" s="733"/>
    </row>
    <row r="7002" spans="1:13" x14ac:dyDescent="0.3">
      <c r="A7002" s="733" t="s">
        <v>7060</v>
      </c>
      <c r="B7002" s="733" t="s">
        <v>664</v>
      </c>
      <c r="C7002" s="733" t="s">
        <v>7067</v>
      </c>
      <c r="D7002" s="733"/>
      <c r="E7002" s="733"/>
      <c r="G7002" s="733"/>
      <c r="H7002" s="733"/>
      <c r="I7002" s="733"/>
      <c r="J7002" s="733"/>
      <c r="K7002" s="733"/>
      <c r="L7002" s="733"/>
      <c r="M7002" s="733"/>
    </row>
    <row r="7003" spans="1:13" x14ac:dyDescent="0.3">
      <c r="A7003" s="733" t="s">
        <v>7060</v>
      </c>
      <c r="B7003" s="733" t="s">
        <v>664</v>
      </c>
      <c r="C7003" s="733" t="s">
        <v>7068</v>
      </c>
      <c r="D7003" s="733"/>
      <c r="E7003" s="733"/>
      <c r="G7003" s="733"/>
      <c r="H7003" s="733"/>
      <c r="I7003" s="733"/>
      <c r="J7003" s="733"/>
      <c r="K7003" s="733"/>
      <c r="L7003" s="733"/>
      <c r="M7003" s="733"/>
    </row>
    <row r="7004" spans="1:13" x14ac:dyDescent="0.3">
      <c r="A7004" s="733" t="s">
        <v>7060</v>
      </c>
      <c r="B7004" s="733" t="s">
        <v>664</v>
      </c>
      <c r="C7004" s="733" t="s">
        <v>7069</v>
      </c>
      <c r="D7004" s="733"/>
      <c r="E7004" s="733"/>
      <c r="G7004" s="733"/>
      <c r="H7004" s="733"/>
      <c r="I7004" s="733"/>
      <c r="J7004" s="733"/>
      <c r="K7004" s="733"/>
      <c r="L7004" s="733"/>
      <c r="M7004" s="733"/>
    </row>
    <row r="7005" spans="1:13" x14ac:dyDescent="0.3">
      <c r="A7005" s="733" t="s">
        <v>7060</v>
      </c>
      <c r="B7005" s="733" t="s">
        <v>664</v>
      </c>
      <c r="C7005" s="733" t="s">
        <v>7070</v>
      </c>
      <c r="D7005" s="733"/>
      <c r="E7005" s="733"/>
      <c r="G7005" s="733"/>
      <c r="H7005" s="733"/>
      <c r="I7005" s="733"/>
      <c r="J7005" s="733"/>
      <c r="K7005" s="733"/>
      <c r="L7005" s="733"/>
      <c r="M7005" s="733"/>
    </row>
    <row r="7006" spans="1:13" x14ac:dyDescent="0.3">
      <c r="A7006" s="733" t="s">
        <v>7060</v>
      </c>
      <c r="B7006" s="733" t="s">
        <v>612</v>
      </c>
      <c r="C7006" s="733" t="s">
        <v>7071</v>
      </c>
      <c r="D7006" s="733"/>
      <c r="E7006" s="733"/>
      <c r="G7006" s="733"/>
      <c r="H7006" s="733"/>
      <c r="I7006" s="733"/>
      <c r="J7006" s="733"/>
      <c r="K7006" s="733"/>
      <c r="L7006" s="733"/>
      <c r="M7006" s="733"/>
    </row>
    <row r="7007" spans="1:13" x14ac:dyDescent="0.3">
      <c r="A7007" s="733" t="s">
        <v>7060</v>
      </c>
      <c r="B7007" s="733" t="s">
        <v>612</v>
      </c>
      <c r="C7007" s="733" t="s">
        <v>7072</v>
      </c>
      <c r="D7007" s="733"/>
      <c r="E7007" s="733"/>
      <c r="G7007" s="733"/>
      <c r="H7007" s="733"/>
      <c r="I7007" s="733"/>
      <c r="J7007" s="733"/>
      <c r="K7007" s="733"/>
      <c r="L7007" s="733"/>
      <c r="M7007" s="733"/>
    </row>
    <row r="7008" spans="1:13" x14ac:dyDescent="0.3">
      <c r="A7008" s="733" t="s">
        <v>7060</v>
      </c>
      <c r="B7008" s="733" t="s">
        <v>612</v>
      </c>
      <c r="C7008" s="733" t="s">
        <v>7073</v>
      </c>
      <c r="D7008" s="733"/>
      <c r="E7008" s="733"/>
      <c r="G7008" s="733"/>
      <c r="H7008" s="733"/>
      <c r="I7008" s="733"/>
      <c r="J7008" s="733"/>
      <c r="K7008" s="733"/>
      <c r="L7008" s="733"/>
      <c r="M7008" s="733"/>
    </row>
    <row r="7009" spans="1:13" x14ac:dyDescent="0.3">
      <c r="A7009" s="733" t="s">
        <v>7060</v>
      </c>
      <c r="B7009" s="733" t="s">
        <v>612</v>
      </c>
      <c r="C7009" s="733" t="s">
        <v>7074</v>
      </c>
      <c r="D7009" s="733"/>
      <c r="E7009" s="733"/>
      <c r="G7009" s="733"/>
      <c r="H7009" s="733"/>
      <c r="I7009" s="733"/>
      <c r="J7009" s="733"/>
      <c r="K7009" s="733"/>
      <c r="L7009" s="733"/>
      <c r="M7009" s="733"/>
    </row>
    <row r="7010" spans="1:13" x14ac:dyDescent="0.3">
      <c r="A7010" s="733" t="s">
        <v>7060</v>
      </c>
      <c r="B7010" s="733" t="s">
        <v>612</v>
      </c>
      <c r="C7010" s="733" t="s">
        <v>7075</v>
      </c>
      <c r="D7010" s="733"/>
      <c r="E7010" s="733"/>
      <c r="G7010" s="733"/>
      <c r="H7010" s="733"/>
      <c r="I7010" s="733"/>
      <c r="J7010" s="733"/>
      <c r="K7010" s="733"/>
      <c r="L7010" s="733"/>
      <c r="M7010" s="733"/>
    </row>
    <row r="7011" spans="1:13" ht="28.8" x14ac:dyDescent="0.3">
      <c r="A7011" s="733" t="s">
        <v>7076</v>
      </c>
      <c r="B7011" s="733" t="s">
        <v>645</v>
      </c>
      <c r="C7011" s="738" t="s">
        <v>7077</v>
      </c>
      <c r="D7011" s="733"/>
      <c r="E7011" s="733"/>
      <c r="G7011" s="733"/>
      <c r="H7011" s="733"/>
      <c r="I7011" s="733"/>
      <c r="J7011" s="733"/>
      <c r="K7011" s="733"/>
      <c r="L7011" s="733"/>
      <c r="M7011" s="733"/>
    </row>
    <row r="7012" spans="1:13" x14ac:dyDescent="0.3">
      <c r="A7012" s="733" t="s">
        <v>7076</v>
      </c>
      <c r="B7012" s="733" t="s">
        <v>645</v>
      </c>
      <c r="C7012" s="738" t="s">
        <v>7078</v>
      </c>
      <c r="D7012" s="733"/>
      <c r="E7012" s="733"/>
      <c r="G7012" s="733"/>
      <c r="H7012" s="733"/>
      <c r="I7012" s="733"/>
      <c r="J7012" s="733"/>
      <c r="K7012" s="733"/>
      <c r="L7012" s="733"/>
      <c r="M7012" s="733"/>
    </row>
    <row r="7013" spans="1:13" x14ac:dyDescent="0.3">
      <c r="A7013" s="733" t="s">
        <v>7076</v>
      </c>
      <c r="B7013" s="733" t="s">
        <v>645</v>
      </c>
      <c r="C7013" s="738" t="s">
        <v>7079</v>
      </c>
      <c r="D7013" s="733"/>
      <c r="E7013" s="733"/>
      <c r="G7013" s="733"/>
      <c r="H7013" s="733"/>
      <c r="I7013" s="733"/>
      <c r="J7013" s="733"/>
      <c r="K7013" s="733"/>
      <c r="L7013" s="733"/>
      <c r="M7013" s="733"/>
    </row>
    <row r="7014" spans="1:13" x14ac:dyDescent="0.3">
      <c r="A7014" s="733" t="s">
        <v>7076</v>
      </c>
      <c r="B7014" s="733" t="s">
        <v>645</v>
      </c>
      <c r="C7014" s="738" t="s">
        <v>7080</v>
      </c>
      <c r="D7014" s="733"/>
      <c r="E7014" s="733"/>
      <c r="G7014" s="733"/>
      <c r="H7014" s="733"/>
      <c r="I7014" s="733"/>
      <c r="J7014" s="733"/>
      <c r="K7014" s="733"/>
      <c r="L7014" s="733"/>
      <c r="M7014" s="733"/>
    </row>
    <row r="7015" spans="1:13" x14ac:dyDescent="0.3">
      <c r="A7015" s="733" t="s">
        <v>7076</v>
      </c>
      <c r="B7015" s="733" t="s">
        <v>645</v>
      </c>
      <c r="C7015" s="738" t="s">
        <v>7081</v>
      </c>
      <c r="D7015" s="733"/>
      <c r="E7015" s="733"/>
      <c r="G7015" s="733"/>
      <c r="H7015" s="733"/>
      <c r="I7015" s="733"/>
      <c r="J7015" s="733"/>
      <c r="K7015" s="733"/>
      <c r="L7015" s="733"/>
      <c r="M7015" s="733"/>
    </row>
    <row r="7016" spans="1:13" x14ac:dyDescent="0.3">
      <c r="A7016" s="733" t="s">
        <v>7076</v>
      </c>
      <c r="B7016" s="733" t="s">
        <v>645</v>
      </c>
      <c r="C7016" s="738" t="s">
        <v>7082</v>
      </c>
      <c r="D7016" s="733"/>
      <c r="E7016" s="733"/>
      <c r="G7016" s="733"/>
      <c r="H7016" s="733"/>
      <c r="I7016" s="733"/>
      <c r="J7016" s="733"/>
      <c r="K7016" s="733"/>
      <c r="L7016" s="733"/>
      <c r="M7016" s="733"/>
    </row>
    <row r="7017" spans="1:13" x14ac:dyDescent="0.3">
      <c r="A7017" s="733" t="s">
        <v>7076</v>
      </c>
      <c r="B7017" s="733" t="s">
        <v>664</v>
      </c>
      <c r="C7017" s="738" t="s">
        <v>7083</v>
      </c>
      <c r="D7017" s="733"/>
      <c r="E7017" s="733"/>
      <c r="G7017" s="733"/>
      <c r="H7017" s="733"/>
      <c r="I7017" s="733"/>
      <c r="J7017" s="733"/>
      <c r="K7017" s="733"/>
      <c r="L7017" s="733"/>
      <c r="M7017" s="733"/>
    </row>
    <row r="7018" spans="1:13" x14ac:dyDescent="0.3">
      <c r="A7018" s="733" t="s">
        <v>7076</v>
      </c>
      <c r="B7018" s="733" t="s">
        <v>664</v>
      </c>
      <c r="C7018" s="738" t="s">
        <v>7084</v>
      </c>
      <c r="D7018" s="733"/>
      <c r="E7018" s="733"/>
      <c r="G7018" s="733"/>
      <c r="H7018" s="733"/>
      <c r="I7018" s="733"/>
      <c r="J7018" s="733"/>
      <c r="K7018" s="733"/>
      <c r="L7018" s="733"/>
      <c r="M7018" s="733"/>
    </row>
    <row r="7019" spans="1:13" x14ac:dyDescent="0.3">
      <c r="A7019" s="733" t="s">
        <v>7076</v>
      </c>
      <c r="B7019" s="733" t="s">
        <v>664</v>
      </c>
      <c r="C7019" s="738" t="s">
        <v>7085</v>
      </c>
      <c r="D7019" s="733"/>
      <c r="E7019" s="733"/>
      <c r="G7019" s="733"/>
      <c r="H7019" s="733"/>
      <c r="I7019" s="733"/>
      <c r="J7019" s="733"/>
      <c r="K7019" s="733"/>
      <c r="L7019" s="733"/>
      <c r="M7019" s="733"/>
    </row>
    <row r="7020" spans="1:13" x14ac:dyDescent="0.3">
      <c r="A7020" s="733" t="s">
        <v>7076</v>
      </c>
      <c r="B7020" s="733" t="s">
        <v>664</v>
      </c>
      <c r="C7020" s="738" t="s">
        <v>7086</v>
      </c>
      <c r="D7020" s="733"/>
      <c r="E7020" s="733"/>
      <c r="G7020" s="733"/>
      <c r="H7020" s="733"/>
      <c r="I7020" s="733"/>
      <c r="J7020" s="733"/>
      <c r="K7020" s="733"/>
      <c r="L7020" s="733"/>
      <c r="M7020" s="733"/>
    </row>
    <row r="7021" spans="1:13" x14ac:dyDescent="0.3">
      <c r="A7021" s="733" t="s">
        <v>7076</v>
      </c>
      <c r="B7021" s="733" t="s">
        <v>664</v>
      </c>
      <c r="C7021" s="738" t="s">
        <v>7087</v>
      </c>
      <c r="D7021" s="733"/>
      <c r="E7021" s="733"/>
      <c r="G7021" s="733"/>
      <c r="H7021" s="733"/>
      <c r="I7021" s="733"/>
      <c r="J7021" s="733"/>
      <c r="K7021" s="733"/>
      <c r="L7021" s="733"/>
      <c r="M7021" s="733"/>
    </row>
    <row r="7022" spans="1:13" x14ac:dyDescent="0.3">
      <c r="A7022" s="733" t="s">
        <v>7076</v>
      </c>
      <c r="B7022" s="733" t="s">
        <v>664</v>
      </c>
      <c r="C7022" s="738" t="s">
        <v>7088</v>
      </c>
      <c r="D7022" s="733"/>
      <c r="E7022" s="733"/>
      <c r="G7022" s="733"/>
      <c r="H7022" s="733"/>
      <c r="I7022" s="733"/>
      <c r="J7022" s="733"/>
      <c r="K7022" s="733"/>
      <c r="L7022" s="733"/>
      <c r="M7022" s="733"/>
    </row>
    <row r="7023" spans="1:13" x14ac:dyDescent="0.3">
      <c r="A7023" s="733" t="s">
        <v>7076</v>
      </c>
      <c r="B7023" s="733" t="s">
        <v>612</v>
      </c>
      <c r="C7023" s="738" t="s">
        <v>7089</v>
      </c>
      <c r="D7023" s="733"/>
      <c r="E7023" s="733"/>
      <c r="G7023" s="733"/>
      <c r="H7023" s="733"/>
      <c r="I7023" s="733"/>
      <c r="J7023" s="733"/>
      <c r="K7023" s="733"/>
      <c r="L7023" s="733"/>
      <c r="M7023" s="733"/>
    </row>
    <row r="7024" spans="1:13" x14ac:dyDescent="0.3">
      <c r="A7024" s="733" t="s">
        <v>7076</v>
      </c>
      <c r="B7024" s="733" t="s">
        <v>612</v>
      </c>
      <c r="C7024" s="738" t="s">
        <v>7090</v>
      </c>
      <c r="D7024" s="733"/>
      <c r="E7024" s="733"/>
      <c r="G7024" s="733"/>
      <c r="H7024" s="733"/>
      <c r="I7024" s="733"/>
      <c r="J7024" s="733"/>
      <c r="K7024" s="733"/>
      <c r="L7024" s="733"/>
      <c r="M7024" s="733"/>
    </row>
    <row r="7025" spans="1:13" x14ac:dyDescent="0.3">
      <c r="A7025" s="733" t="s">
        <v>7076</v>
      </c>
      <c r="B7025" s="733" t="s">
        <v>612</v>
      </c>
      <c r="C7025" s="738" t="s">
        <v>7091</v>
      </c>
      <c r="D7025" s="733"/>
      <c r="E7025" s="733"/>
      <c r="G7025" s="733"/>
      <c r="H7025" s="733"/>
      <c r="I7025" s="733"/>
      <c r="J7025" s="733"/>
      <c r="K7025" s="733"/>
      <c r="L7025" s="733"/>
      <c r="M7025" s="733"/>
    </row>
    <row r="7026" spans="1:13" x14ac:dyDescent="0.3">
      <c r="A7026" s="733" t="s">
        <v>7076</v>
      </c>
      <c r="B7026" s="733" t="s">
        <v>612</v>
      </c>
      <c r="C7026" s="738" t="s">
        <v>7092</v>
      </c>
      <c r="D7026" s="733"/>
      <c r="E7026" s="733"/>
      <c r="G7026" s="733"/>
      <c r="H7026" s="733"/>
      <c r="I7026" s="733"/>
      <c r="J7026" s="733"/>
      <c r="K7026" s="733"/>
      <c r="L7026" s="733"/>
      <c r="M7026" s="733"/>
    </row>
    <row r="7027" spans="1:13" x14ac:dyDescent="0.3">
      <c r="A7027" s="733" t="s">
        <v>7076</v>
      </c>
      <c r="B7027" s="733" t="s">
        <v>612</v>
      </c>
      <c r="C7027" s="738" t="s">
        <v>7093</v>
      </c>
      <c r="D7027" s="733"/>
      <c r="E7027" s="733"/>
      <c r="G7027" s="733"/>
      <c r="H7027" s="733"/>
      <c r="I7027" s="733"/>
      <c r="J7027" s="733"/>
      <c r="K7027" s="733"/>
      <c r="L7027" s="733"/>
      <c r="M7027" s="733"/>
    </row>
    <row r="7028" spans="1:13" x14ac:dyDescent="0.3">
      <c r="A7028" s="733" t="s">
        <v>7076</v>
      </c>
      <c r="B7028" s="733" t="s">
        <v>612</v>
      </c>
      <c r="C7028" s="738" t="s">
        <v>7094</v>
      </c>
      <c r="D7028" s="733"/>
      <c r="E7028" s="733"/>
      <c r="G7028" s="733"/>
      <c r="H7028" s="733"/>
      <c r="I7028" s="733"/>
      <c r="J7028" s="733"/>
      <c r="K7028" s="733"/>
      <c r="L7028" s="733"/>
      <c r="M7028" s="733"/>
    </row>
    <row r="7029" spans="1:13" x14ac:dyDescent="0.3">
      <c r="A7029" s="733" t="s">
        <v>7095</v>
      </c>
      <c r="B7029" s="733" t="s">
        <v>645</v>
      </c>
      <c r="C7029" s="738" t="s">
        <v>7096</v>
      </c>
      <c r="D7029" s="733"/>
      <c r="E7029" s="733"/>
      <c r="G7029" s="733"/>
      <c r="H7029" s="733"/>
      <c r="I7029" s="733"/>
      <c r="J7029" s="733"/>
      <c r="K7029" s="733"/>
      <c r="L7029" s="733"/>
      <c r="M7029" s="733"/>
    </row>
    <row r="7030" spans="1:13" x14ac:dyDescent="0.3">
      <c r="A7030" s="733" t="s">
        <v>7095</v>
      </c>
      <c r="B7030" s="733" t="s">
        <v>645</v>
      </c>
      <c r="C7030" s="738" t="s">
        <v>7097</v>
      </c>
      <c r="D7030" s="733"/>
      <c r="E7030" s="733"/>
      <c r="G7030" s="733"/>
      <c r="H7030" s="733"/>
      <c r="I7030" s="733"/>
      <c r="J7030" s="733"/>
      <c r="K7030" s="733"/>
      <c r="L7030" s="733"/>
      <c r="M7030" s="733"/>
    </row>
    <row r="7031" spans="1:13" x14ac:dyDescent="0.3">
      <c r="A7031" s="733" t="s">
        <v>7095</v>
      </c>
      <c r="B7031" s="733" t="s">
        <v>645</v>
      </c>
      <c r="C7031" s="738" t="s">
        <v>7098</v>
      </c>
      <c r="D7031" s="733"/>
      <c r="E7031" s="733"/>
      <c r="G7031" s="733"/>
      <c r="H7031" s="733"/>
      <c r="I7031" s="733"/>
      <c r="J7031" s="733"/>
      <c r="K7031" s="733"/>
      <c r="L7031" s="733"/>
      <c r="M7031" s="733"/>
    </row>
    <row r="7032" spans="1:13" x14ac:dyDescent="0.3">
      <c r="A7032" s="733" t="s">
        <v>7095</v>
      </c>
      <c r="B7032" s="733" t="s">
        <v>645</v>
      </c>
      <c r="C7032" s="738" t="s">
        <v>7099</v>
      </c>
      <c r="D7032" s="733"/>
      <c r="E7032" s="733"/>
      <c r="G7032" s="733"/>
      <c r="H7032" s="733"/>
      <c r="I7032" s="733"/>
      <c r="J7032" s="733"/>
      <c r="K7032" s="733"/>
      <c r="L7032" s="733"/>
      <c r="M7032" s="733"/>
    </row>
    <row r="7033" spans="1:13" x14ac:dyDescent="0.3">
      <c r="A7033" s="733" t="s">
        <v>7095</v>
      </c>
      <c r="B7033" s="733" t="s">
        <v>645</v>
      </c>
      <c r="C7033" s="738" t="s">
        <v>7100</v>
      </c>
      <c r="D7033" s="733"/>
      <c r="E7033" s="733"/>
      <c r="G7033" s="733"/>
      <c r="H7033" s="733"/>
      <c r="I7033" s="733"/>
      <c r="J7033" s="733"/>
      <c r="K7033" s="733"/>
      <c r="L7033" s="733"/>
      <c r="M7033" s="733"/>
    </row>
    <row r="7034" spans="1:13" x14ac:dyDescent="0.3">
      <c r="A7034" s="733" t="s">
        <v>7095</v>
      </c>
      <c r="B7034" s="733" t="s">
        <v>645</v>
      </c>
      <c r="C7034" s="738" t="s">
        <v>7101</v>
      </c>
      <c r="D7034" s="733"/>
      <c r="E7034" s="733"/>
      <c r="G7034" s="733"/>
      <c r="H7034" s="733"/>
      <c r="I7034" s="733"/>
      <c r="J7034" s="733"/>
      <c r="K7034" s="733"/>
      <c r="L7034" s="733"/>
      <c r="M7034" s="733"/>
    </row>
    <row r="7035" spans="1:13" x14ac:dyDescent="0.3">
      <c r="A7035" s="733" t="s">
        <v>7095</v>
      </c>
      <c r="B7035" s="733" t="s">
        <v>645</v>
      </c>
      <c r="C7035" s="738" t="s">
        <v>7102</v>
      </c>
      <c r="D7035" s="733"/>
      <c r="E7035" s="733"/>
      <c r="G7035" s="733"/>
      <c r="H7035" s="733"/>
      <c r="I7035" s="733"/>
      <c r="J7035" s="733"/>
      <c r="K7035" s="733"/>
      <c r="L7035" s="733"/>
      <c r="M7035" s="733"/>
    </row>
    <row r="7036" spans="1:13" x14ac:dyDescent="0.3">
      <c r="A7036" s="733" t="s">
        <v>7095</v>
      </c>
      <c r="B7036" s="733" t="s">
        <v>645</v>
      </c>
      <c r="C7036" s="738" t="s">
        <v>7103</v>
      </c>
      <c r="D7036" s="733"/>
      <c r="E7036" s="733"/>
      <c r="G7036" s="733"/>
      <c r="H7036" s="733"/>
      <c r="I7036" s="733"/>
      <c r="J7036" s="733"/>
      <c r="K7036" s="733"/>
      <c r="L7036" s="733"/>
      <c r="M7036" s="733"/>
    </row>
    <row r="7037" spans="1:13" x14ac:dyDescent="0.3">
      <c r="A7037" s="733" t="s">
        <v>7095</v>
      </c>
      <c r="B7037" s="733" t="s">
        <v>645</v>
      </c>
      <c r="C7037" s="738" t="s">
        <v>7104</v>
      </c>
      <c r="D7037" s="733"/>
      <c r="E7037" s="733"/>
      <c r="G7037" s="733"/>
      <c r="H7037" s="733"/>
      <c r="I7037" s="733"/>
      <c r="J7037" s="733"/>
      <c r="K7037" s="733"/>
      <c r="L7037" s="733"/>
      <c r="M7037" s="733"/>
    </row>
    <row r="7038" spans="1:13" x14ac:dyDescent="0.3">
      <c r="A7038" s="733" t="s">
        <v>7095</v>
      </c>
      <c r="B7038" s="733" t="s">
        <v>645</v>
      </c>
      <c r="C7038" s="738" t="s">
        <v>7105</v>
      </c>
      <c r="D7038" s="733"/>
      <c r="E7038" s="733"/>
      <c r="G7038" s="733"/>
      <c r="H7038" s="733"/>
      <c r="I7038" s="733"/>
      <c r="J7038" s="733"/>
      <c r="K7038" s="733"/>
      <c r="L7038" s="733"/>
      <c r="M7038" s="733"/>
    </row>
    <row r="7039" spans="1:13" x14ac:dyDescent="0.3">
      <c r="A7039" s="733" t="s">
        <v>7095</v>
      </c>
      <c r="B7039" s="733" t="s">
        <v>664</v>
      </c>
      <c r="C7039" s="738" t="s">
        <v>7106</v>
      </c>
      <c r="D7039" s="733"/>
      <c r="E7039" s="733"/>
      <c r="G7039" s="733"/>
      <c r="H7039" s="733"/>
      <c r="I7039" s="733"/>
      <c r="J7039" s="733"/>
      <c r="K7039" s="733"/>
      <c r="L7039" s="733"/>
      <c r="M7039" s="733"/>
    </row>
    <row r="7040" spans="1:13" x14ac:dyDescent="0.3">
      <c r="A7040" s="733" t="s">
        <v>7095</v>
      </c>
      <c r="B7040" s="733" t="s">
        <v>664</v>
      </c>
      <c r="C7040" s="738" t="s">
        <v>7107</v>
      </c>
      <c r="D7040" s="733"/>
      <c r="E7040" s="733"/>
      <c r="G7040" s="733"/>
      <c r="H7040" s="733"/>
      <c r="I7040" s="733"/>
      <c r="J7040" s="733"/>
      <c r="K7040" s="733"/>
      <c r="L7040" s="733"/>
      <c r="M7040" s="733"/>
    </row>
    <row r="7041" spans="1:13" x14ac:dyDescent="0.3">
      <c r="A7041" s="733" t="s">
        <v>7095</v>
      </c>
      <c r="B7041" s="733" t="s">
        <v>664</v>
      </c>
      <c r="C7041" s="738" t="s">
        <v>7108</v>
      </c>
      <c r="D7041" s="733"/>
      <c r="E7041" s="733"/>
      <c r="G7041" s="733"/>
      <c r="H7041" s="733"/>
      <c r="I7041" s="733"/>
      <c r="J7041" s="733"/>
      <c r="K7041" s="733"/>
      <c r="L7041" s="733"/>
      <c r="M7041" s="733"/>
    </row>
    <row r="7042" spans="1:13" x14ac:dyDescent="0.3">
      <c r="A7042" s="733" t="s">
        <v>7095</v>
      </c>
      <c r="B7042" s="733" t="s">
        <v>664</v>
      </c>
      <c r="C7042" s="738" t="s">
        <v>7109</v>
      </c>
      <c r="D7042" s="733"/>
      <c r="E7042" s="733"/>
      <c r="G7042" s="733"/>
      <c r="H7042" s="733"/>
      <c r="I7042" s="733"/>
      <c r="J7042" s="733"/>
      <c r="K7042" s="733"/>
      <c r="L7042" s="733"/>
      <c r="M7042" s="733"/>
    </row>
    <row r="7043" spans="1:13" x14ac:dyDescent="0.3">
      <c r="A7043" s="733" t="s">
        <v>7095</v>
      </c>
      <c r="B7043" s="733" t="s">
        <v>664</v>
      </c>
      <c r="C7043" s="738" t="s">
        <v>7110</v>
      </c>
      <c r="D7043" s="733"/>
      <c r="E7043" s="733"/>
      <c r="G7043" s="733"/>
      <c r="H7043" s="733"/>
      <c r="I7043" s="733"/>
      <c r="J7043" s="733"/>
      <c r="K7043" s="733"/>
      <c r="L7043" s="733"/>
      <c r="M7043" s="733"/>
    </row>
    <row r="7044" spans="1:13" x14ac:dyDescent="0.3">
      <c r="A7044" s="733" t="s">
        <v>7095</v>
      </c>
      <c r="B7044" s="733" t="s">
        <v>664</v>
      </c>
      <c r="C7044" s="738" t="s">
        <v>7111</v>
      </c>
      <c r="D7044" s="733"/>
      <c r="E7044" s="733"/>
      <c r="G7044" s="733"/>
      <c r="H7044" s="733"/>
      <c r="I7044" s="733"/>
      <c r="J7044" s="733"/>
      <c r="K7044" s="733"/>
      <c r="L7044" s="733"/>
      <c r="M7044" s="733"/>
    </row>
    <row r="7045" spans="1:13" x14ac:dyDescent="0.3">
      <c r="A7045" s="733" t="s">
        <v>7095</v>
      </c>
      <c r="B7045" s="733" t="s">
        <v>664</v>
      </c>
      <c r="C7045" s="738" t="s">
        <v>7112</v>
      </c>
      <c r="D7045" s="733"/>
      <c r="E7045" s="733"/>
      <c r="G7045" s="733"/>
      <c r="H7045" s="733"/>
      <c r="I7045" s="733"/>
      <c r="J7045" s="733"/>
      <c r="K7045" s="733"/>
      <c r="L7045" s="733"/>
      <c r="M7045" s="733"/>
    </row>
    <row r="7046" spans="1:13" x14ac:dyDescent="0.3">
      <c r="A7046" s="733" t="s">
        <v>7095</v>
      </c>
      <c r="B7046" s="733" t="s">
        <v>664</v>
      </c>
      <c r="C7046" s="738" t="s">
        <v>7113</v>
      </c>
      <c r="D7046" s="733"/>
      <c r="E7046" s="733"/>
      <c r="G7046" s="733"/>
      <c r="H7046" s="733"/>
      <c r="I7046" s="733"/>
      <c r="J7046" s="733"/>
      <c r="K7046" s="733"/>
      <c r="L7046" s="733"/>
      <c r="M7046" s="733"/>
    </row>
    <row r="7047" spans="1:13" x14ac:dyDescent="0.3">
      <c r="A7047" s="733" t="s">
        <v>7095</v>
      </c>
      <c r="B7047" s="733" t="s">
        <v>664</v>
      </c>
      <c r="C7047" s="738" t="s">
        <v>7114</v>
      </c>
      <c r="D7047" s="733"/>
      <c r="E7047" s="733"/>
      <c r="G7047" s="733"/>
      <c r="H7047" s="733"/>
      <c r="I7047" s="733"/>
      <c r="J7047" s="733"/>
      <c r="K7047" s="733"/>
      <c r="L7047" s="733"/>
      <c r="M7047" s="733"/>
    </row>
    <row r="7048" spans="1:13" x14ac:dyDescent="0.3">
      <c r="A7048" s="733" t="s">
        <v>7095</v>
      </c>
      <c r="B7048" s="733" t="s">
        <v>664</v>
      </c>
      <c r="C7048" s="738" t="s">
        <v>7115</v>
      </c>
      <c r="D7048" s="733"/>
      <c r="E7048" s="733"/>
      <c r="G7048" s="733"/>
      <c r="H7048" s="733"/>
      <c r="I7048" s="733"/>
      <c r="J7048" s="733"/>
      <c r="K7048" s="733"/>
      <c r="L7048" s="733"/>
      <c r="M7048" s="733"/>
    </row>
    <row r="7049" spans="1:13" x14ac:dyDescent="0.3">
      <c r="A7049" s="733" t="s">
        <v>7095</v>
      </c>
      <c r="B7049" s="733" t="s">
        <v>612</v>
      </c>
      <c r="C7049" s="738" t="s">
        <v>7116</v>
      </c>
      <c r="D7049" s="733"/>
      <c r="E7049" s="733"/>
      <c r="G7049" s="733"/>
      <c r="H7049" s="733"/>
      <c r="I7049" s="733"/>
      <c r="J7049" s="733"/>
      <c r="K7049" s="733"/>
      <c r="L7049" s="733"/>
      <c r="M7049" s="733"/>
    </row>
    <row r="7050" spans="1:13" x14ac:dyDescent="0.3">
      <c r="A7050" s="733" t="s">
        <v>7095</v>
      </c>
      <c r="B7050" s="733" t="s">
        <v>612</v>
      </c>
      <c r="C7050" s="738" t="s">
        <v>7117</v>
      </c>
      <c r="D7050" s="733"/>
      <c r="E7050" s="733"/>
      <c r="G7050" s="733"/>
      <c r="H7050" s="733"/>
      <c r="I7050" s="733"/>
      <c r="J7050" s="733"/>
      <c r="K7050" s="733"/>
      <c r="L7050" s="733"/>
      <c r="M7050" s="733"/>
    </row>
    <row r="7051" spans="1:13" x14ac:dyDescent="0.3">
      <c r="A7051" s="733" t="s">
        <v>7095</v>
      </c>
      <c r="B7051" s="733" t="s">
        <v>612</v>
      </c>
      <c r="C7051" s="738" t="s">
        <v>7118</v>
      </c>
      <c r="D7051" s="733"/>
      <c r="E7051" s="733"/>
      <c r="G7051" s="733"/>
      <c r="H7051" s="733"/>
      <c r="I7051" s="733"/>
      <c r="J7051" s="733"/>
      <c r="K7051" s="733"/>
      <c r="L7051" s="733"/>
      <c r="M7051" s="733"/>
    </row>
    <row r="7052" spans="1:13" x14ac:dyDescent="0.3">
      <c r="A7052" s="733" t="s">
        <v>7095</v>
      </c>
      <c r="B7052" s="733" t="s">
        <v>612</v>
      </c>
      <c r="C7052" s="738" t="s">
        <v>7119</v>
      </c>
      <c r="D7052" s="733"/>
      <c r="E7052" s="733"/>
      <c r="G7052" s="733"/>
      <c r="H7052" s="733"/>
      <c r="I7052" s="733"/>
      <c r="J7052" s="733"/>
      <c r="K7052" s="733"/>
      <c r="L7052" s="733"/>
      <c r="M7052" s="733"/>
    </row>
    <row r="7053" spans="1:13" x14ac:dyDescent="0.3">
      <c r="A7053" s="733" t="s">
        <v>7095</v>
      </c>
      <c r="B7053" s="733" t="s">
        <v>612</v>
      </c>
      <c r="C7053" s="738" t="s">
        <v>7120</v>
      </c>
      <c r="D7053" s="733"/>
      <c r="E7053" s="733"/>
      <c r="G7053" s="733"/>
      <c r="H7053" s="733"/>
      <c r="I7053" s="733"/>
      <c r="J7053" s="733"/>
      <c r="K7053" s="733"/>
      <c r="L7053" s="733"/>
      <c r="M7053" s="733"/>
    </row>
    <row r="7054" spans="1:13" x14ac:dyDescent="0.3">
      <c r="A7054" s="733" t="s">
        <v>7095</v>
      </c>
      <c r="B7054" s="733" t="s">
        <v>612</v>
      </c>
      <c r="C7054" s="738" t="s">
        <v>7121</v>
      </c>
      <c r="D7054" s="733"/>
      <c r="E7054" s="733"/>
      <c r="G7054" s="733"/>
      <c r="H7054" s="733"/>
      <c r="I7054" s="733"/>
      <c r="J7054" s="733"/>
      <c r="K7054" s="733"/>
      <c r="L7054" s="733"/>
      <c r="M7054" s="733"/>
    </row>
    <row r="7055" spans="1:13" x14ac:dyDescent="0.3">
      <c r="A7055" s="733" t="s">
        <v>7095</v>
      </c>
      <c r="B7055" s="733" t="s">
        <v>612</v>
      </c>
      <c r="C7055" s="738" t="s">
        <v>7122</v>
      </c>
      <c r="D7055" s="733"/>
      <c r="E7055" s="733"/>
      <c r="G7055" s="733"/>
      <c r="H7055" s="733"/>
      <c r="I7055" s="733"/>
      <c r="J7055" s="733"/>
      <c r="K7055" s="733"/>
      <c r="L7055" s="733"/>
      <c r="M7055" s="733"/>
    </row>
    <row r="7056" spans="1:13" x14ac:dyDescent="0.3">
      <c r="A7056" s="733" t="s">
        <v>7095</v>
      </c>
      <c r="B7056" s="733" t="s">
        <v>612</v>
      </c>
      <c r="C7056" s="738" t="s">
        <v>7123</v>
      </c>
      <c r="D7056" s="733"/>
      <c r="E7056" s="733"/>
      <c r="G7056" s="733"/>
      <c r="H7056" s="733"/>
      <c r="I7056" s="733"/>
      <c r="J7056" s="733"/>
      <c r="K7056" s="733"/>
      <c r="L7056" s="733"/>
      <c r="M7056" s="733"/>
    </row>
    <row r="7057" spans="1:13" x14ac:dyDescent="0.3">
      <c r="A7057" s="733" t="s">
        <v>7095</v>
      </c>
      <c r="B7057" s="733" t="s">
        <v>612</v>
      </c>
      <c r="C7057" s="738" t="s">
        <v>7124</v>
      </c>
      <c r="D7057" s="733"/>
      <c r="E7057" s="733"/>
      <c r="G7057" s="733"/>
      <c r="H7057" s="733"/>
      <c r="I7057" s="733"/>
      <c r="J7057" s="733"/>
      <c r="K7057" s="733"/>
      <c r="L7057" s="733"/>
      <c r="M7057" s="733"/>
    </row>
    <row r="7058" spans="1:13" x14ac:dyDescent="0.3">
      <c r="A7058" s="733" t="s">
        <v>7095</v>
      </c>
      <c r="B7058" s="733" t="s">
        <v>612</v>
      </c>
      <c r="C7058" s="738" t="s">
        <v>7125</v>
      </c>
      <c r="D7058" s="733"/>
      <c r="E7058" s="733"/>
      <c r="G7058" s="733"/>
      <c r="H7058" s="733"/>
      <c r="I7058" s="733"/>
      <c r="J7058" s="733"/>
      <c r="K7058" s="733"/>
      <c r="L7058" s="733"/>
      <c r="M7058" s="733"/>
    </row>
    <row r="7059" spans="1:13" x14ac:dyDescent="0.3">
      <c r="A7059" s="733" t="s">
        <v>7126</v>
      </c>
      <c r="B7059" s="733" t="s">
        <v>645</v>
      </c>
      <c r="C7059" s="738" t="s">
        <v>7127</v>
      </c>
      <c r="D7059" s="733"/>
      <c r="E7059" s="733"/>
      <c r="G7059" s="733"/>
      <c r="H7059" s="733"/>
      <c r="I7059" s="733"/>
      <c r="J7059" s="733"/>
      <c r="K7059" s="733"/>
      <c r="L7059" s="733"/>
      <c r="M7059" s="733"/>
    </row>
    <row r="7060" spans="1:13" x14ac:dyDescent="0.3">
      <c r="A7060" s="733" t="s">
        <v>7126</v>
      </c>
      <c r="B7060" s="733" t="s">
        <v>645</v>
      </c>
      <c r="C7060" s="738" t="s">
        <v>7128</v>
      </c>
      <c r="D7060" s="733"/>
      <c r="E7060" s="733"/>
      <c r="G7060" s="733"/>
      <c r="H7060" s="733"/>
      <c r="I7060" s="733"/>
      <c r="J7060" s="733"/>
      <c r="K7060" s="733"/>
      <c r="L7060" s="733"/>
      <c r="M7060" s="733"/>
    </row>
    <row r="7061" spans="1:13" x14ac:dyDescent="0.3">
      <c r="A7061" s="733" t="s">
        <v>7126</v>
      </c>
      <c r="B7061" s="733" t="s">
        <v>645</v>
      </c>
      <c r="C7061" s="738" t="s">
        <v>7129</v>
      </c>
      <c r="D7061" s="733"/>
      <c r="E7061" s="733"/>
      <c r="G7061" s="733"/>
      <c r="H7061" s="733"/>
      <c r="I7061" s="733"/>
      <c r="J7061" s="733"/>
      <c r="K7061" s="733"/>
      <c r="L7061" s="733"/>
      <c r="M7061" s="733"/>
    </row>
    <row r="7062" spans="1:13" x14ac:dyDescent="0.3">
      <c r="A7062" s="733" t="s">
        <v>7126</v>
      </c>
      <c r="B7062" s="733" t="s">
        <v>645</v>
      </c>
      <c r="C7062" s="738" t="s">
        <v>7130</v>
      </c>
      <c r="D7062" s="733"/>
      <c r="E7062" s="733"/>
      <c r="G7062" s="733"/>
      <c r="H7062" s="733"/>
      <c r="I7062" s="733"/>
      <c r="J7062" s="733"/>
      <c r="K7062" s="733"/>
      <c r="L7062" s="733"/>
      <c r="M7062" s="733"/>
    </row>
    <row r="7063" spans="1:13" x14ac:dyDescent="0.3">
      <c r="A7063" s="733" t="s">
        <v>7126</v>
      </c>
      <c r="B7063" s="733" t="s">
        <v>645</v>
      </c>
      <c r="C7063" s="738" t="s">
        <v>7131</v>
      </c>
      <c r="D7063" s="733"/>
      <c r="E7063" s="733"/>
      <c r="G7063" s="733"/>
      <c r="H7063" s="733"/>
      <c r="I7063" s="733"/>
      <c r="J7063" s="733"/>
      <c r="K7063" s="733"/>
      <c r="L7063" s="733"/>
      <c r="M7063" s="733"/>
    </row>
    <row r="7064" spans="1:13" x14ac:dyDescent="0.3">
      <c r="A7064" s="733" t="s">
        <v>7126</v>
      </c>
      <c r="B7064" s="733" t="s">
        <v>645</v>
      </c>
      <c r="C7064" s="738" t="s">
        <v>7132</v>
      </c>
      <c r="D7064" s="733"/>
      <c r="E7064" s="733"/>
      <c r="G7064" s="733"/>
      <c r="H7064" s="733"/>
      <c r="I7064" s="733"/>
      <c r="J7064" s="733"/>
      <c r="K7064" s="733"/>
      <c r="L7064" s="733"/>
      <c r="M7064" s="733"/>
    </row>
    <row r="7065" spans="1:13" x14ac:dyDescent="0.3">
      <c r="A7065" s="733" t="s">
        <v>7126</v>
      </c>
      <c r="B7065" s="733" t="s">
        <v>645</v>
      </c>
      <c r="C7065" s="738" t="s">
        <v>7133</v>
      </c>
      <c r="D7065" s="733"/>
      <c r="E7065" s="733"/>
      <c r="G7065" s="733"/>
      <c r="H7065" s="733"/>
      <c r="I7065" s="733"/>
      <c r="J7065" s="733"/>
      <c r="K7065" s="733"/>
      <c r="L7065" s="733"/>
      <c r="M7065" s="733"/>
    </row>
    <row r="7066" spans="1:13" x14ac:dyDescent="0.3">
      <c r="A7066" s="733" t="s">
        <v>7126</v>
      </c>
      <c r="B7066" s="733" t="s">
        <v>645</v>
      </c>
      <c r="C7066" s="738" t="s">
        <v>7134</v>
      </c>
      <c r="D7066" s="733"/>
      <c r="E7066" s="733"/>
      <c r="G7066" s="733"/>
      <c r="H7066" s="733"/>
      <c r="I7066" s="733"/>
      <c r="J7066" s="733"/>
      <c r="K7066" s="733"/>
      <c r="L7066" s="733"/>
      <c r="M7066" s="733"/>
    </row>
    <row r="7067" spans="1:13" x14ac:dyDescent="0.3">
      <c r="A7067" s="733" t="s">
        <v>7126</v>
      </c>
      <c r="B7067" s="733" t="s">
        <v>645</v>
      </c>
      <c r="C7067" s="738" t="s">
        <v>7135</v>
      </c>
      <c r="D7067" s="733"/>
      <c r="E7067" s="733"/>
      <c r="G7067" s="733"/>
      <c r="H7067" s="733"/>
      <c r="I7067" s="733"/>
      <c r="J7067" s="733"/>
      <c r="K7067" s="733"/>
      <c r="L7067" s="733"/>
      <c r="M7067" s="733"/>
    </row>
    <row r="7068" spans="1:13" x14ac:dyDescent="0.3">
      <c r="A7068" s="733" t="s">
        <v>7126</v>
      </c>
      <c r="B7068" s="733" t="s">
        <v>645</v>
      </c>
      <c r="C7068" s="738" t="s">
        <v>7136</v>
      </c>
      <c r="D7068" s="733"/>
      <c r="E7068" s="733"/>
      <c r="G7068" s="733"/>
      <c r="H7068" s="733"/>
      <c r="I7068" s="733"/>
      <c r="J7068" s="733"/>
      <c r="K7068" s="733"/>
      <c r="L7068" s="733"/>
      <c r="M7068" s="733"/>
    </row>
    <row r="7069" spans="1:13" x14ac:dyDescent="0.3">
      <c r="A7069" s="733" t="s">
        <v>7126</v>
      </c>
      <c r="B7069" s="733" t="s">
        <v>664</v>
      </c>
      <c r="C7069" s="738" t="s">
        <v>7137</v>
      </c>
      <c r="D7069" s="733"/>
      <c r="E7069" s="733"/>
      <c r="G7069" s="733"/>
      <c r="H7069" s="733"/>
      <c r="I7069" s="733"/>
      <c r="J7069" s="733"/>
      <c r="K7069" s="733"/>
      <c r="L7069" s="733"/>
      <c r="M7069" s="733"/>
    </row>
    <row r="7070" spans="1:13" x14ac:dyDescent="0.3">
      <c r="A7070" s="733" t="s">
        <v>7126</v>
      </c>
      <c r="B7070" s="733" t="s">
        <v>664</v>
      </c>
      <c r="C7070" s="738" t="s">
        <v>7138</v>
      </c>
      <c r="D7070" s="733"/>
      <c r="E7070" s="733"/>
      <c r="G7070" s="733"/>
      <c r="H7070" s="733"/>
      <c r="I7070" s="733"/>
      <c r="J7070" s="733"/>
      <c r="K7070" s="733"/>
      <c r="L7070" s="733"/>
      <c r="M7070" s="733"/>
    </row>
    <row r="7071" spans="1:13" x14ac:dyDescent="0.3">
      <c r="A7071" s="733" t="s">
        <v>7126</v>
      </c>
      <c r="B7071" s="733" t="s">
        <v>664</v>
      </c>
      <c r="C7071" s="738" t="s">
        <v>7139</v>
      </c>
      <c r="D7071" s="733"/>
      <c r="E7071" s="733"/>
      <c r="G7071" s="733"/>
      <c r="H7071" s="733"/>
      <c r="I7071" s="733"/>
      <c r="J7071" s="733"/>
      <c r="K7071" s="733"/>
      <c r="L7071" s="733"/>
      <c r="M7071" s="733"/>
    </row>
    <row r="7072" spans="1:13" x14ac:dyDescent="0.3">
      <c r="A7072" s="733" t="s">
        <v>7126</v>
      </c>
      <c r="B7072" s="733" t="s">
        <v>664</v>
      </c>
      <c r="C7072" s="738" t="s">
        <v>7140</v>
      </c>
      <c r="D7072" s="733"/>
      <c r="E7072" s="733"/>
      <c r="G7072" s="733"/>
      <c r="H7072" s="733"/>
      <c r="I7072" s="733"/>
      <c r="J7072" s="733"/>
      <c r="K7072" s="733"/>
      <c r="L7072" s="733"/>
      <c r="M7072" s="733"/>
    </row>
    <row r="7073" spans="1:13" x14ac:dyDescent="0.3">
      <c r="A7073" s="733" t="s">
        <v>7126</v>
      </c>
      <c r="B7073" s="733" t="s">
        <v>664</v>
      </c>
      <c r="C7073" s="738" t="s">
        <v>7141</v>
      </c>
      <c r="D7073" s="733"/>
      <c r="E7073" s="733"/>
      <c r="G7073" s="733"/>
      <c r="H7073" s="733"/>
      <c r="I7073" s="733"/>
      <c r="J7073" s="733"/>
      <c r="K7073" s="733"/>
      <c r="L7073" s="733"/>
      <c r="M7073" s="733"/>
    </row>
    <row r="7074" spans="1:13" x14ac:dyDescent="0.3">
      <c r="A7074" s="733" t="s">
        <v>7126</v>
      </c>
      <c r="B7074" s="733" t="s">
        <v>664</v>
      </c>
      <c r="C7074" s="738" t="s">
        <v>7142</v>
      </c>
      <c r="D7074" s="733"/>
      <c r="E7074" s="733"/>
      <c r="G7074" s="733"/>
      <c r="H7074" s="733"/>
      <c r="I7074" s="733"/>
      <c r="J7074" s="733"/>
      <c r="K7074" s="733"/>
      <c r="L7074" s="733"/>
      <c r="M7074" s="733"/>
    </row>
    <row r="7075" spans="1:13" x14ac:dyDescent="0.3">
      <c r="A7075" s="733" t="s">
        <v>7126</v>
      </c>
      <c r="B7075" s="733" t="s">
        <v>664</v>
      </c>
      <c r="C7075" s="738" t="s">
        <v>7143</v>
      </c>
      <c r="D7075" s="733"/>
      <c r="E7075" s="733"/>
      <c r="G7075" s="733"/>
      <c r="H7075" s="733"/>
      <c r="I7075" s="733"/>
      <c r="J7075" s="733"/>
      <c r="K7075" s="733"/>
      <c r="L7075" s="733"/>
      <c r="M7075" s="733"/>
    </row>
    <row r="7076" spans="1:13" x14ac:dyDescent="0.3">
      <c r="A7076" s="733" t="s">
        <v>7126</v>
      </c>
      <c r="B7076" s="733" t="s">
        <v>664</v>
      </c>
      <c r="C7076" s="738" t="s">
        <v>7144</v>
      </c>
      <c r="D7076" s="733"/>
      <c r="E7076" s="733"/>
      <c r="G7076" s="733"/>
      <c r="H7076" s="733"/>
      <c r="I7076" s="733"/>
      <c r="J7076" s="733"/>
      <c r="K7076" s="733"/>
      <c r="L7076" s="733"/>
      <c r="M7076" s="733"/>
    </row>
    <row r="7077" spans="1:13" x14ac:dyDescent="0.3">
      <c r="A7077" s="733" t="s">
        <v>7126</v>
      </c>
      <c r="B7077" s="733" t="s">
        <v>664</v>
      </c>
      <c r="C7077" s="738" t="s">
        <v>7145</v>
      </c>
      <c r="D7077" s="733"/>
      <c r="E7077" s="733"/>
      <c r="G7077" s="733"/>
      <c r="H7077" s="733"/>
      <c r="I7077" s="733"/>
      <c r="J7077" s="733"/>
      <c r="K7077" s="733"/>
      <c r="L7077" s="733"/>
      <c r="M7077" s="733"/>
    </row>
    <row r="7078" spans="1:13" x14ac:dyDescent="0.3">
      <c r="A7078" s="733" t="s">
        <v>7126</v>
      </c>
      <c r="B7078" s="733" t="s">
        <v>664</v>
      </c>
      <c r="C7078" s="738" t="s">
        <v>7146</v>
      </c>
      <c r="D7078" s="733"/>
      <c r="E7078" s="733"/>
      <c r="G7078" s="733"/>
      <c r="H7078" s="733"/>
      <c r="I7078" s="733"/>
      <c r="J7078" s="733"/>
      <c r="K7078" s="733"/>
      <c r="L7078" s="733"/>
      <c r="M7078" s="733"/>
    </row>
    <row r="7079" spans="1:13" x14ac:dyDescent="0.3">
      <c r="A7079" s="733" t="s">
        <v>7126</v>
      </c>
      <c r="B7079" s="733" t="s">
        <v>612</v>
      </c>
      <c r="C7079" s="738" t="s">
        <v>7147</v>
      </c>
      <c r="D7079" s="733"/>
      <c r="E7079" s="733"/>
      <c r="G7079" s="733"/>
      <c r="H7079" s="733"/>
      <c r="I7079" s="733"/>
      <c r="J7079" s="733"/>
      <c r="K7079" s="733"/>
      <c r="L7079" s="733"/>
      <c r="M7079" s="733"/>
    </row>
    <row r="7080" spans="1:13" x14ac:dyDescent="0.3">
      <c r="A7080" s="733" t="s">
        <v>7126</v>
      </c>
      <c r="B7080" s="733" t="s">
        <v>612</v>
      </c>
      <c r="C7080" s="738" t="s">
        <v>7148</v>
      </c>
      <c r="D7080" s="733"/>
      <c r="E7080" s="733"/>
      <c r="G7080" s="733"/>
      <c r="H7080" s="733"/>
      <c r="I7080" s="733"/>
      <c r="J7080" s="733"/>
      <c r="K7080" s="733"/>
      <c r="L7080" s="733"/>
      <c r="M7080" s="733"/>
    </row>
    <row r="7081" spans="1:13" x14ac:dyDescent="0.3">
      <c r="A7081" s="733" t="s">
        <v>7126</v>
      </c>
      <c r="B7081" s="733" t="s">
        <v>612</v>
      </c>
      <c r="C7081" s="738" t="s">
        <v>7149</v>
      </c>
      <c r="D7081" s="733"/>
      <c r="E7081" s="733"/>
      <c r="G7081" s="733"/>
      <c r="H7081" s="733"/>
      <c r="I7081" s="733"/>
      <c r="J7081" s="733"/>
      <c r="K7081" s="733"/>
      <c r="L7081" s="733"/>
      <c r="M7081" s="733"/>
    </row>
    <row r="7082" spans="1:13" x14ac:dyDescent="0.3">
      <c r="A7082" s="733" t="s">
        <v>7126</v>
      </c>
      <c r="B7082" s="733" t="s">
        <v>612</v>
      </c>
      <c r="C7082" s="738" t="s">
        <v>7150</v>
      </c>
      <c r="D7082" s="733"/>
      <c r="E7082" s="733"/>
      <c r="G7082" s="733"/>
      <c r="H7082" s="733"/>
      <c r="I7082" s="733"/>
      <c r="J7082" s="733"/>
      <c r="K7082" s="733"/>
      <c r="L7082" s="733"/>
      <c r="M7082" s="733"/>
    </row>
    <row r="7083" spans="1:13" x14ac:dyDescent="0.3">
      <c r="A7083" s="733" t="s">
        <v>7126</v>
      </c>
      <c r="B7083" s="733" t="s">
        <v>612</v>
      </c>
      <c r="C7083" s="738" t="s">
        <v>7151</v>
      </c>
      <c r="D7083" s="733"/>
      <c r="E7083" s="733"/>
      <c r="G7083" s="733"/>
      <c r="H7083" s="733"/>
      <c r="I7083" s="733"/>
      <c r="J7083" s="733"/>
      <c r="K7083" s="733"/>
      <c r="L7083" s="733"/>
      <c r="M7083" s="733"/>
    </row>
    <row r="7084" spans="1:13" x14ac:dyDescent="0.3">
      <c r="A7084" s="733" t="s">
        <v>7126</v>
      </c>
      <c r="B7084" s="733" t="s">
        <v>612</v>
      </c>
      <c r="C7084" s="738" t="s">
        <v>7152</v>
      </c>
      <c r="D7084" s="733"/>
      <c r="E7084" s="733"/>
      <c r="G7084" s="733"/>
      <c r="H7084" s="733"/>
      <c r="I7084" s="733"/>
      <c r="J7084" s="733"/>
      <c r="K7084" s="733"/>
      <c r="L7084" s="733"/>
      <c r="M7084" s="733"/>
    </row>
    <row r="7085" spans="1:13" x14ac:dyDescent="0.3">
      <c r="A7085" s="733" t="s">
        <v>7126</v>
      </c>
      <c r="B7085" s="733" t="s">
        <v>612</v>
      </c>
      <c r="C7085" s="738" t="s">
        <v>7153</v>
      </c>
      <c r="D7085" s="733"/>
      <c r="E7085" s="733"/>
      <c r="G7085" s="733"/>
      <c r="H7085" s="733"/>
      <c r="I7085" s="733"/>
      <c r="J7085" s="733"/>
      <c r="K7085" s="733"/>
      <c r="L7085" s="733"/>
      <c r="M7085" s="733"/>
    </row>
    <row r="7086" spans="1:13" x14ac:dyDescent="0.3">
      <c r="A7086" s="733" t="s">
        <v>7126</v>
      </c>
      <c r="B7086" s="733" t="s">
        <v>612</v>
      </c>
      <c r="C7086" s="738" t="s">
        <v>7154</v>
      </c>
      <c r="D7086" s="733"/>
      <c r="E7086" s="733"/>
      <c r="G7086" s="733"/>
      <c r="H7086" s="733"/>
      <c r="I7086" s="733"/>
      <c r="J7086" s="733"/>
      <c r="K7086" s="733"/>
      <c r="L7086" s="733"/>
      <c r="M7086" s="733"/>
    </row>
    <row r="7087" spans="1:13" x14ac:dyDescent="0.3">
      <c r="A7087" s="733" t="s">
        <v>7126</v>
      </c>
      <c r="B7087" s="733" t="s">
        <v>612</v>
      </c>
      <c r="C7087" s="738" t="s">
        <v>7155</v>
      </c>
      <c r="D7087" s="733"/>
      <c r="E7087" s="733"/>
      <c r="G7087" s="733"/>
      <c r="H7087" s="733"/>
      <c r="I7087" s="733"/>
      <c r="J7087" s="733"/>
      <c r="K7087" s="733"/>
      <c r="L7087" s="733"/>
      <c r="M7087" s="733"/>
    </row>
    <row r="7088" spans="1:13" x14ac:dyDescent="0.3">
      <c r="A7088" s="733" t="s">
        <v>7126</v>
      </c>
      <c r="B7088" s="733" t="s">
        <v>612</v>
      </c>
      <c r="C7088" s="738" t="s">
        <v>7156</v>
      </c>
      <c r="D7088" s="733"/>
      <c r="E7088" s="733"/>
      <c r="G7088" s="733"/>
      <c r="H7088" s="733"/>
      <c r="I7088" s="733"/>
      <c r="J7088" s="733"/>
      <c r="K7088" s="733"/>
      <c r="L7088" s="733"/>
      <c r="M7088" s="733"/>
    </row>
    <row r="7089" spans="1:13" x14ac:dyDescent="0.3">
      <c r="A7089" s="733" t="s">
        <v>7157</v>
      </c>
      <c r="B7089" s="733" t="s">
        <v>645</v>
      </c>
      <c r="C7089" s="738" t="s">
        <v>7158</v>
      </c>
      <c r="D7089" s="733"/>
      <c r="E7089" s="733"/>
      <c r="G7089" s="733"/>
      <c r="H7089" s="733"/>
      <c r="I7089" s="733"/>
      <c r="J7089" s="733"/>
      <c r="K7089" s="733"/>
      <c r="L7089" s="733"/>
      <c r="M7089" s="733"/>
    </row>
    <row r="7090" spans="1:13" x14ac:dyDescent="0.3">
      <c r="A7090" s="733" t="s">
        <v>7157</v>
      </c>
      <c r="B7090" s="733" t="s">
        <v>645</v>
      </c>
      <c r="C7090" s="738" t="s">
        <v>7159</v>
      </c>
      <c r="D7090" s="733"/>
      <c r="E7090" s="733"/>
      <c r="G7090" s="733"/>
      <c r="H7090" s="733"/>
      <c r="I7090" s="733"/>
      <c r="J7090" s="733"/>
      <c r="K7090" s="733"/>
      <c r="L7090" s="733"/>
      <c r="M7090" s="733"/>
    </row>
    <row r="7091" spans="1:13" x14ac:dyDescent="0.3">
      <c r="A7091" s="733" t="s">
        <v>7157</v>
      </c>
      <c r="B7091" s="733" t="s">
        <v>645</v>
      </c>
      <c r="C7091" s="738" t="s">
        <v>7160</v>
      </c>
      <c r="D7091" s="733"/>
      <c r="E7091" s="733"/>
      <c r="G7091" s="733"/>
      <c r="H7091" s="733"/>
      <c r="I7091" s="733"/>
      <c r="J7091" s="733"/>
      <c r="K7091" s="733"/>
      <c r="L7091" s="733"/>
      <c r="M7091" s="733"/>
    </row>
    <row r="7092" spans="1:13" x14ac:dyDescent="0.3">
      <c r="A7092" s="733" t="s">
        <v>7157</v>
      </c>
      <c r="B7092" s="733" t="s">
        <v>645</v>
      </c>
      <c r="C7092" s="738" t="s">
        <v>7161</v>
      </c>
      <c r="D7092" s="733"/>
      <c r="E7092" s="733"/>
      <c r="G7092" s="733"/>
      <c r="H7092" s="733"/>
      <c r="I7092" s="733"/>
      <c r="J7092" s="733"/>
      <c r="K7092" s="733"/>
      <c r="L7092" s="733"/>
      <c r="M7092" s="733"/>
    </row>
    <row r="7093" spans="1:13" x14ac:dyDescent="0.3">
      <c r="A7093" s="733" t="s">
        <v>7157</v>
      </c>
      <c r="B7093" s="733" t="s">
        <v>645</v>
      </c>
      <c r="C7093" s="738" t="s">
        <v>7162</v>
      </c>
      <c r="D7093" s="733"/>
      <c r="E7093" s="733"/>
      <c r="G7093" s="733"/>
      <c r="H7093" s="733"/>
      <c r="I7093" s="733"/>
      <c r="J7093" s="733"/>
      <c r="K7093" s="733"/>
      <c r="L7093" s="733"/>
      <c r="M7093" s="733"/>
    </row>
    <row r="7094" spans="1:13" x14ac:dyDescent="0.3">
      <c r="A7094" s="733" t="s">
        <v>7157</v>
      </c>
      <c r="B7094" s="733" t="s">
        <v>645</v>
      </c>
      <c r="C7094" s="738" t="s">
        <v>7163</v>
      </c>
      <c r="D7094" s="733"/>
      <c r="E7094" s="733"/>
      <c r="G7094" s="733"/>
      <c r="H7094" s="733"/>
      <c r="I7094" s="733"/>
      <c r="J7094" s="733"/>
      <c r="K7094" s="733"/>
      <c r="L7094" s="733"/>
      <c r="M7094" s="733"/>
    </row>
    <row r="7095" spans="1:13" x14ac:dyDescent="0.3">
      <c r="A7095" s="733" t="s">
        <v>7157</v>
      </c>
      <c r="B7095" s="733" t="s">
        <v>645</v>
      </c>
      <c r="C7095" s="738" t="s">
        <v>7164</v>
      </c>
      <c r="D7095" s="733"/>
      <c r="E7095" s="733"/>
      <c r="G7095" s="733"/>
      <c r="H7095" s="733"/>
      <c r="I7095" s="733"/>
      <c r="J7095" s="733"/>
      <c r="K7095" s="733"/>
      <c r="L7095" s="733"/>
      <c r="M7095" s="733"/>
    </row>
    <row r="7096" spans="1:13" x14ac:dyDescent="0.3">
      <c r="A7096" s="733" t="s">
        <v>7157</v>
      </c>
      <c r="B7096" s="733" t="s">
        <v>645</v>
      </c>
      <c r="C7096" s="738" t="s">
        <v>7165</v>
      </c>
      <c r="D7096" s="733"/>
      <c r="E7096" s="733"/>
      <c r="G7096" s="733"/>
      <c r="H7096" s="733"/>
      <c r="I7096" s="733"/>
      <c r="J7096" s="733"/>
      <c r="K7096" s="733"/>
      <c r="L7096" s="733"/>
      <c r="M7096" s="733"/>
    </row>
    <row r="7097" spans="1:13" x14ac:dyDescent="0.3">
      <c r="A7097" s="733" t="s">
        <v>7157</v>
      </c>
      <c r="B7097" s="733" t="s">
        <v>645</v>
      </c>
      <c r="C7097" s="738" t="s">
        <v>7166</v>
      </c>
      <c r="D7097" s="733"/>
      <c r="E7097" s="733"/>
      <c r="G7097" s="733"/>
      <c r="H7097" s="733"/>
      <c r="I7097" s="733"/>
      <c r="J7097" s="733"/>
      <c r="K7097" s="733"/>
      <c r="L7097" s="733"/>
      <c r="M7097" s="733"/>
    </row>
    <row r="7098" spans="1:13" x14ac:dyDescent="0.3">
      <c r="A7098" s="733" t="s">
        <v>7157</v>
      </c>
      <c r="B7098" s="733" t="s">
        <v>645</v>
      </c>
      <c r="C7098" s="738" t="s">
        <v>7167</v>
      </c>
      <c r="D7098" s="733"/>
      <c r="E7098" s="733"/>
      <c r="G7098" s="733"/>
      <c r="H7098" s="733"/>
      <c r="I7098" s="733"/>
      <c r="J7098" s="733"/>
      <c r="K7098" s="733"/>
      <c r="L7098" s="733"/>
      <c r="M7098" s="733"/>
    </row>
    <row r="7099" spans="1:13" x14ac:dyDescent="0.3">
      <c r="A7099" s="733" t="s">
        <v>7157</v>
      </c>
      <c r="B7099" s="733" t="s">
        <v>664</v>
      </c>
      <c r="C7099" s="738" t="s">
        <v>7168</v>
      </c>
      <c r="D7099" s="733"/>
      <c r="E7099" s="733"/>
      <c r="G7099" s="733"/>
      <c r="H7099" s="733"/>
      <c r="I7099" s="733"/>
      <c r="J7099" s="733"/>
      <c r="K7099" s="733"/>
      <c r="L7099" s="733"/>
      <c r="M7099" s="733"/>
    </row>
    <row r="7100" spans="1:13" x14ac:dyDescent="0.3">
      <c r="A7100" s="733" t="s">
        <v>7157</v>
      </c>
      <c r="B7100" s="733" t="s">
        <v>664</v>
      </c>
      <c r="C7100" s="738" t="s">
        <v>7169</v>
      </c>
      <c r="D7100" s="733"/>
      <c r="E7100" s="733"/>
      <c r="G7100" s="733"/>
      <c r="H7100" s="733"/>
      <c r="I7100" s="733"/>
      <c r="J7100" s="733"/>
      <c r="K7100" s="733"/>
      <c r="L7100" s="733"/>
      <c r="M7100" s="733"/>
    </row>
    <row r="7101" spans="1:13" x14ac:dyDescent="0.3">
      <c r="A7101" s="733" t="s">
        <v>7157</v>
      </c>
      <c r="B7101" s="733" t="s">
        <v>664</v>
      </c>
      <c r="C7101" s="738" t="s">
        <v>7170</v>
      </c>
      <c r="D7101" s="733"/>
      <c r="E7101" s="733"/>
      <c r="G7101" s="733"/>
      <c r="H7101" s="733"/>
      <c r="I7101" s="733"/>
      <c r="J7101" s="733"/>
      <c r="K7101" s="733"/>
      <c r="L7101" s="733"/>
      <c r="M7101" s="733"/>
    </row>
    <row r="7102" spans="1:13" x14ac:dyDescent="0.3">
      <c r="A7102" s="733" t="s">
        <v>7157</v>
      </c>
      <c r="B7102" s="733" t="s">
        <v>664</v>
      </c>
      <c r="C7102" s="738" t="s">
        <v>7171</v>
      </c>
      <c r="D7102" s="733"/>
      <c r="E7102" s="733"/>
      <c r="G7102" s="733"/>
      <c r="H7102" s="733"/>
      <c r="I7102" s="733"/>
      <c r="J7102" s="733"/>
      <c r="K7102" s="733"/>
      <c r="L7102" s="733"/>
      <c r="M7102" s="733"/>
    </row>
    <row r="7103" spans="1:13" x14ac:dyDescent="0.3">
      <c r="A7103" s="733" t="s">
        <v>7157</v>
      </c>
      <c r="B7103" s="733" t="s">
        <v>664</v>
      </c>
      <c r="C7103" s="738" t="s">
        <v>7172</v>
      </c>
      <c r="D7103" s="733"/>
      <c r="E7103" s="733"/>
      <c r="G7103" s="733"/>
      <c r="H7103" s="733"/>
      <c r="I7103" s="733"/>
      <c r="J7103" s="733"/>
      <c r="K7103" s="733"/>
      <c r="L7103" s="733"/>
      <c r="M7103" s="733"/>
    </row>
    <row r="7104" spans="1:13" x14ac:dyDescent="0.3">
      <c r="A7104" s="733" t="s">
        <v>7157</v>
      </c>
      <c r="B7104" s="733" t="s">
        <v>664</v>
      </c>
      <c r="C7104" s="738" t="s">
        <v>7173</v>
      </c>
      <c r="D7104" s="733"/>
      <c r="E7104" s="733"/>
      <c r="G7104" s="733"/>
      <c r="H7104" s="733"/>
      <c r="I7104" s="733"/>
      <c r="J7104" s="733"/>
      <c r="K7104" s="733"/>
      <c r="L7104" s="733"/>
      <c r="M7104" s="733"/>
    </row>
    <row r="7105" spans="1:13" x14ac:dyDescent="0.3">
      <c r="A7105" s="733" t="s">
        <v>7157</v>
      </c>
      <c r="B7105" s="733" t="s">
        <v>664</v>
      </c>
      <c r="C7105" s="738" t="s">
        <v>7174</v>
      </c>
      <c r="D7105" s="733"/>
      <c r="E7105" s="733"/>
      <c r="G7105" s="733"/>
      <c r="H7105" s="733"/>
      <c r="I7105" s="733"/>
      <c r="J7105" s="733"/>
      <c r="K7105" s="733"/>
      <c r="L7105" s="733"/>
      <c r="M7105" s="733"/>
    </row>
    <row r="7106" spans="1:13" x14ac:dyDescent="0.3">
      <c r="A7106" s="733" t="s">
        <v>7157</v>
      </c>
      <c r="B7106" s="733" t="s">
        <v>664</v>
      </c>
      <c r="C7106" s="738" t="s">
        <v>7175</v>
      </c>
      <c r="D7106" s="733"/>
      <c r="E7106" s="733"/>
      <c r="G7106" s="733"/>
      <c r="H7106" s="733"/>
      <c r="I7106" s="733"/>
      <c r="J7106" s="733"/>
      <c r="K7106" s="733"/>
      <c r="L7106" s="733"/>
      <c r="M7106" s="733"/>
    </row>
    <row r="7107" spans="1:13" x14ac:dyDescent="0.3">
      <c r="A7107" s="733" t="s">
        <v>7157</v>
      </c>
      <c r="B7107" s="733" t="s">
        <v>664</v>
      </c>
      <c r="C7107" s="738" t="s">
        <v>7176</v>
      </c>
      <c r="D7107" s="733"/>
      <c r="E7107" s="733"/>
      <c r="G7107" s="733"/>
      <c r="H7107" s="733"/>
      <c r="I7107" s="733"/>
      <c r="J7107" s="733"/>
      <c r="K7107" s="733"/>
      <c r="L7107" s="733"/>
      <c r="M7107" s="733"/>
    </row>
    <row r="7108" spans="1:13" x14ac:dyDescent="0.3">
      <c r="A7108" s="733" t="s">
        <v>7157</v>
      </c>
      <c r="B7108" s="733" t="s">
        <v>664</v>
      </c>
      <c r="C7108" s="738" t="s">
        <v>7177</v>
      </c>
      <c r="D7108" s="733"/>
      <c r="E7108" s="733"/>
      <c r="G7108" s="733"/>
      <c r="H7108" s="733"/>
      <c r="I7108" s="733"/>
      <c r="J7108" s="733"/>
      <c r="K7108" s="733"/>
      <c r="L7108" s="733"/>
      <c r="M7108" s="733"/>
    </row>
    <row r="7109" spans="1:13" x14ac:dyDescent="0.3">
      <c r="A7109" s="733" t="s">
        <v>7157</v>
      </c>
      <c r="B7109" s="733" t="s">
        <v>612</v>
      </c>
      <c r="C7109" s="738" t="s">
        <v>7178</v>
      </c>
      <c r="D7109" s="733"/>
      <c r="E7109" s="733"/>
      <c r="G7109" s="733"/>
      <c r="H7109" s="733"/>
      <c r="I7109" s="733"/>
      <c r="J7109" s="733"/>
      <c r="K7109" s="733"/>
      <c r="L7109" s="733"/>
      <c r="M7109" s="733"/>
    </row>
    <row r="7110" spans="1:13" x14ac:dyDescent="0.3">
      <c r="A7110" s="733" t="s">
        <v>7157</v>
      </c>
      <c r="B7110" s="733" t="s">
        <v>612</v>
      </c>
      <c r="C7110" s="738" t="s">
        <v>7179</v>
      </c>
      <c r="D7110" s="733"/>
      <c r="E7110" s="733"/>
      <c r="G7110" s="733"/>
      <c r="H7110" s="733"/>
      <c r="I7110" s="733"/>
      <c r="J7110" s="733"/>
      <c r="K7110" s="733"/>
      <c r="L7110" s="733"/>
      <c r="M7110" s="733"/>
    </row>
    <row r="7111" spans="1:13" x14ac:dyDescent="0.3">
      <c r="A7111" s="733" t="s">
        <v>7157</v>
      </c>
      <c r="B7111" s="733" t="s">
        <v>612</v>
      </c>
      <c r="C7111" s="738" t="s">
        <v>7180</v>
      </c>
      <c r="D7111" s="733"/>
      <c r="E7111" s="733"/>
      <c r="G7111" s="733"/>
      <c r="H7111" s="733"/>
      <c r="I7111" s="733"/>
      <c r="J7111" s="733"/>
      <c r="K7111" s="733"/>
      <c r="L7111" s="733"/>
      <c r="M7111" s="733"/>
    </row>
    <row r="7112" spans="1:13" x14ac:dyDescent="0.3">
      <c r="A7112" s="733" t="s">
        <v>7157</v>
      </c>
      <c r="B7112" s="733" t="s">
        <v>612</v>
      </c>
      <c r="C7112" s="738" t="s">
        <v>7181</v>
      </c>
      <c r="D7112" s="733"/>
      <c r="E7112" s="733"/>
      <c r="G7112" s="733"/>
      <c r="H7112" s="733"/>
      <c r="I7112" s="733"/>
      <c r="J7112" s="733"/>
      <c r="K7112" s="733"/>
      <c r="L7112" s="733"/>
      <c r="M7112" s="733"/>
    </row>
    <row r="7113" spans="1:13" x14ac:dyDescent="0.3">
      <c r="A7113" s="733" t="s">
        <v>7157</v>
      </c>
      <c r="B7113" s="733" t="s">
        <v>612</v>
      </c>
      <c r="C7113" s="738" t="s">
        <v>7182</v>
      </c>
      <c r="D7113" s="733"/>
      <c r="E7113" s="733"/>
      <c r="G7113" s="733"/>
      <c r="H7113" s="733"/>
      <c r="I7113" s="733"/>
      <c r="J7113" s="733"/>
      <c r="K7113" s="733"/>
      <c r="L7113" s="733"/>
      <c r="M7113" s="733"/>
    </row>
    <row r="7114" spans="1:13" x14ac:dyDescent="0.3">
      <c r="A7114" s="733" t="s">
        <v>7157</v>
      </c>
      <c r="B7114" s="733" t="s">
        <v>612</v>
      </c>
      <c r="C7114" s="738" t="s">
        <v>7183</v>
      </c>
      <c r="D7114" s="733"/>
      <c r="E7114" s="733"/>
      <c r="G7114" s="733"/>
      <c r="H7114" s="733"/>
      <c r="I7114" s="733"/>
      <c r="J7114" s="733"/>
      <c r="K7114" s="733"/>
      <c r="L7114" s="733"/>
      <c r="M7114" s="733"/>
    </row>
    <row r="7115" spans="1:13" x14ac:dyDescent="0.3">
      <c r="A7115" s="733" t="s">
        <v>7157</v>
      </c>
      <c r="B7115" s="733" t="s">
        <v>612</v>
      </c>
      <c r="C7115" s="738" t="s">
        <v>7184</v>
      </c>
      <c r="D7115" s="733"/>
      <c r="E7115" s="733"/>
      <c r="G7115" s="733"/>
      <c r="H7115" s="733"/>
      <c r="I7115" s="733"/>
      <c r="J7115" s="733"/>
      <c r="K7115" s="733"/>
      <c r="L7115" s="733"/>
      <c r="M7115" s="733"/>
    </row>
    <row r="7116" spans="1:13" x14ac:dyDescent="0.3">
      <c r="A7116" s="733" t="s">
        <v>7157</v>
      </c>
      <c r="B7116" s="733" t="s">
        <v>612</v>
      </c>
      <c r="C7116" s="738" t="s">
        <v>7185</v>
      </c>
      <c r="D7116" s="733"/>
      <c r="E7116" s="733"/>
      <c r="G7116" s="733"/>
      <c r="H7116" s="733"/>
      <c r="I7116" s="733"/>
      <c r="J7116" s="733"/>
      <c r="K7116" s="733"/>
      <c r="L7116" s="733"/>
      <c r="M7116" s="733"/>
    </row>
    <row r="7117" spans="1:13" x14ac:dyDescent="0.3">
      <c r="A7117" s="733" t="s">
        <v>7157</v>
      </c>
      <c r="B7117" s="733" t="s">
        <v>612</v>
      </c>
      <c r="C7117" s="738" t="s">
        <v>7186</v>
      </c>
      <c r="D7117" s="733"/>
      <c r="E7117" s="733"/>
      <c r="G7117" s="733"/>
      <c r="H7117" s="733"/>
      <c r="I7117" s="733"/>
      <c r="J7117" s="733"/>
      <c r="K7117" s="733"/>
      <c r="L7117" s="733"/>
      <c r="M7117" s="733"/>
    </row>
    <row r="7118" spans="1:13" x14ac:dyDescent="0.3">
      <c r="A7118" s="733" t="s">
        <v>7157</v>
      </c>
      <c r="B7118" s="733" t="s">
        <v>612</v>
      </c>
      <c r="C7118" s="738" t="s">
        <v>7187</v>
      </c>
      <c r="D7118" s="733"/>
      <c r="E7118" s="733"/>
      <c r="G7118" s="733"/>
      <c r="H7118" s="733"/>
      <c r="I7118" s="733"/>
      <c r="J7118" s="733"/>
      <c r="K7118" s="733"/>
      <c r="L7118" s="733"/>
      <c r="M7118" s="733"/>
    </row>
    <row r="7119" spans="1:13" x14ac:dyDescent="0.3">
      <c r="A7119" s="733" t="s">
        <v>7188</v>
      </c>
      <c r="B7119" s="733" t="s">
        <v>645</v>
      </c>
      <c r="C7119" s="738" t="s">
        <v>7189</v>
      </c>
      <c r="D7119" s="733"/>
      <c r="E7119" s="733"/>
      <c r="G7119" s="733"/>
      <c r="H7119" s="733"/>
      <c r="I7119" s="733"/>
      <c r="J7119" s="733"/>
      <c r="K7119" s="733"/>
      <c r="L7119" s="733"/>
      <c r="M7119" s="733"/>
    </row>
    <row r="7120" spans="1:13" x14ac:dyDescent="0.3">
      <c r="A7120" s="733" t="s">
        <v>7188</v>
      </c>
      <c r="B7120" s="733" t="s">
        <v>645</v>
      </c>
      <c r="C7120" s="738" t="s">
        <v>7190</v>
      </c>
      <c r="D7120" s="733"/>
      <c r="E7120" s="733"/>
      <c r="G7120" s="733"/>
      <c r="H7120" s="733"/>
      <c r="I7120" s="733"/>
      <c r="J7120" s="733"/>
      <c r="K7120" s="733"/>
      <c r="L7120" s="733"/>
      <c r="M7120" s="733"/>
    </row>
    <row r="7121" spans="1:13" x14ac:dyDescent="0.3">
      <c r="A7121" s="733" t="s">
        <v>7188</v>
      </c>
      <c r="B7121" s="733" t="s">
        <v>645</v>
      </c>
      <c r="C7121" s="738" t="s">
        <v>7191</v>
      </c>
      <c r="D7121" s="733"/>
      <c r="E7121" s="733"/>
      <c r="G7121" s="733"/>
      <c r="H7121" s="733"/>
      <c r="I7121" s="733"/>
      <c r="J7121" s="733"/>
      <c r="K7121" s="733"/>
      <c r="L7121" s="733"/>
      <c r="M7121" s="733"/>
    </row>
    <row r="7122" spans="1:13" x14ac:dyDescent="0.3">
      <c r="A7122" s="733" t="s">
        <v>7188</v>
      </c>
      <c r="B7122" s="733" t="s">
        <v>645</v>
      </c>
      <c r="C7122" s="738" t="s">
        <v>7192</v>
      </c>
      <c r="D7122" s="733"/>
      <c r="E7122" s="733"/>
      <c r="G7122" s="733"/>
      <c r="H7122" s="733"/>
      <c r="I7122" s="733"/>
      <c r="J7122" s="733"/>
      <c r="K7122" s="733"/>
      <c r="L7122" s="733"/>
      <c r="M7122" s="733"/>
    </row>
    <row r="7123" spans="1:13" x14ac:dyDescent="0.3">
      <c r="A7123" s="733" t="s">
        <v>7188</v>
      </c>
      <c r="B7123" s="733" t="s">
        <v>645</v>
      </c>
      <c r="C7123" s="738" t="s">
        <v>7193</v>
      </c>
      <c r="D7123" s="733"/>
      <c r="E7123" s="733"/>
      <c r="G7123" s="733"/>
      <c r="H7123" s="733"/>
      <c r="I7123" s="733"/>
      <c r="J7123" s="733"/>
      <c r="K7123" s="733"/>
      <c r="L7123" s="733"/>
      <c r="M7123" s="733"/>
    </row>
    <row r="7124" spans="1:13" x14ac:dyDescent="0.3">
      <c r="A7124" s="733" t="s">
        <v>7188</v>
      </c>
      <c r="B7124" s="733" t="s">
        <v>645</v>
      </c>
      <c r="C7124" s="738" t="s">
        <v>7194</v>
      </c>
      <c r="D7124" s="733"/>
      <c r="E7124" s="733"/>
      <c r="G7124" s="733"/>
      <c r="H7124" s="733"/>
      <c r="I7124" s="733"/>
      <c r="J7124" s="733"/>
      <c r="K7124" s="733"/>
      <c r="L7124" s="733"/>
      <c r="M7124" s="733"/>
    </row>
    <row r="7125" spans="1:13" x14ac:dyDescent="0.3">
      <c r="A7125" s="733" t="s">
        <v>7188</v>
      </c>
      <c r="B7125" s="733" t="s">
        <v>645</v>
      </c>
      <c r="C7125" s="738" t="s">
        <v>7195</v>
      </c>
      <c r="D7125" s="733"/>
      <c r="E7125" s="733"/>
      <c r="G7125" s="733"/>
      <c r="H7125" s="733"/>
      <c r="I7125" s="733"/>
      <c r="J7125" s="733"/>
      <c r="K7125" s="733"/>
      <c r="L7125" s="733"/>
      <c r="M7125" s="733"/>
    </row>
    <row r="7126" spans="1:13" x14ac:dyDescent="0.3">
      <c r="A7126" s="733" t="s">
        <v>7188</v>
      </c>
      <c r="B7126" s="733" t="s">
        <v>645</v>
      </c>
      <c r="C7126" s="738" t="s">
        <v>7196</v>
      </c>
      <c r="D7126" s="733"/>
      <c r="E7126" s="733"/>
      <c r="G7126" s="733"/>
      <c r="H7126" s="733"/>
      <c r="I7126" s="733"/>
      <c r="J7126" s="733"/>
      <c r="K7126" s="733"/>
      <c r="L7126" s="733"/>
      <c r="M7126" s="733"/>
    </row>
    <row r="7127" spans="1:13" x14ac:dyDescent="0.3">
      <c r="A7127" s="733" t="s">
        <v>7188</v>
      </c>
      <c r="B7127" s="733" t="s">
        <v>645</v>
      </c>
      <c r="C7127" s="738" t="s">
        <v>7197</v>
      </c>
      <c r="D7127" s="733"/>
      <c r="E7127" s="733"/>
      <c r="G7127" s="733"/>
      <c r="H7127" s="733"/>
      <c r="I7127" s="733"/>
      <c r="J7127" s="733"/>
      <c r="K7127" s="733"/>
      <c r="L7127" s="733"/>
      <c r="M7127" s="733"/>
    </row>
    <row r="7128" spans="1:13" x14ac:dyDescent="0.3">
      <c r="A7128" s="733" t="s">
        <v>7188</v>
      </c>
      <c r="B7128" s="733" t="s">
        <v>645</v>
      </c>
      <c r="C7128" s="738" t="s">
        <v>7198</v>
      </c>
      <c r="D7128" s="733"/>
      <c r="E7128" s="733"/>
      <c r="G7128" s="733"/>
      <c r="H7128" s="733"/>
      <c r="I7128" s="733"/>
      <c r="J7128" s="733"/>
      <c r="K7128" s="733"/>
      <c r="L7128" s="733"/>
      <c r="M7128" s="733"/>
    </row>
    <row r="7129" spans="1:13" x14ac:dyDescent="0.3">
      <c r="A7129" s="733" t="s">
        <v>7188</v>
      </c>
      <c r="B7129" s="733" t="s">
        <v>664</v>
      </c>
      <c r="C7129" s="738" t="s">
        <v>7199</v>
      </c>
      <c r="D7129" s="733"/>
      <c r="E7129" s="733"/>
      <c r="G7129" s="733"/>
      <c r="H7129" s="733"/>
      <c r="I7129" s="733"/>
      <c r="J7129" s="733"/>
      <c r="K7129" s="733"/>
      <c r="L7129" s="733"/>
      <c r="M7129" s="733"/>
    </row>
    <row r="7130" spans="1:13" x14ac:dyDescent="0.3">
      <c r="A7130" s="733" t="s">
        <v>7188</v>
      </c>
      <c r="B7130" s="733" t="s">
        <v>664</v>
      </c>
      <c r="C7130" s="738" t="s">
        <v>7200</v>
      </c>
      <c r="D7130" s="733"/>
      <c r="E7130" s="733"/>
      <c r="G7130" s="733"/>
      <c r="H7130" s="733"/>
      <c r="I7130" s="733"/>
      <c r="J7130" s="733"/>
      <c r="K7130" s="733"/>
      <c r="L7130" s="733"/>
      <c r="M7130" s="733"/>
    </row>
    <row r="7131" spans="1:13" x14ac:dyDescent="0.3">
      <c r="A7131" s="733" t="s">
        <v>7188</v>
      </c>
      <c r="B7131" s="733" t="s">
        <v>664</v>
      </c>
      <c r="C7131" s="738" t="s">
        <v>7201</v>
      </c>
      <c r="D7131" s="733"/>
      <c r="E7131" s="733"/>
      <c r="G7131" s="733"/>
      <c r="H7131" s="733"/>
      <c r="I7131" s="733"/>
      <c r="J7131" s="733"/>
      <c r="K7131" s="733"/>
      <c r="L7131" s="733"/>
      <c r="M7131" s="733"/>
    </row>
    <row r="7132" spans="1:13" x14ac:dyDescent="0.3">
      <c r="A7132" s="733" t="s">
        <v>7188</v>
      </c>
      <c r="B7132" s="733" t="s">
        <v>664</v>
      </c>
      <c r="C7132" s="738" t="s">
        <v>7202</v>
      </c>
      <c r="D7132" s="733"/>
      <c r="E7132" s="733"/>
      <c r="G7132" s="733"/>
      <c r="H7132" s="733"/>
      <c r="I7132" s="733"/>
      <c r="J7132" s="733"/>
      <c r="K7132" s="733"/>
      <c r="L7132" s="733"/>
      <c r="M7132" s="733"/>
    </row>
    <row r="7133" spans="1:13" x14ac:dyDescent="0.3">
      <c r="A7133" s="733" t="s">
        <v>7188</v>
      </c>
      <c r="B7133" s="733" t="s">
        <v>664</v>
      </c>
      <c r="C7133" s="738" t="s">
        <v>7203</v>
      </c>
      <c r="D7133" s="733"/>
      <c r="E7133" s="733"/>
      <c r="G7133" s="733"/>
      <c r="H7133" s="733"/>
      <c r="I7133" s="733"/>
      <c r="J7133" s="733"/>
      <c r="K7133" s="733"/>
      <c r="L7133" s="733"/>
      <c r="M7133" s="733"/>
    </row>
    <row r="7134" spans="1:13" x14ac:dyDescent="0.3">
      <c r="A7134" s="733" t="s">
        <v>7188</v>
      </c>
      <c r="B7134" s="733" t="s">
        <v>664</v>
      </c>
      <c r="C7134" s="738" t="s">
        <v>7204</v>
      </c>
      <c r="D7134" s="733"/>
      <c r="E7134" s="733"/>
      <c r="G7134" s="733"/>
      <c r="H7134" s="733"/>
      <c r="I7134" s="733"/>
      <c r="J7134" s="733"/>
      <c r="K7134" s="733"/>
      <c r="L7134" s="733"/>
      <c r="M7134" s="733"/>
    </row>
    <row r="7135" spans="1:13" x14ac:dyDescent="0.3">
      <c r="A7135" s="733" t="s">
        <v>7188</v>
      </c>
      <c r="B7135" s="733" t="s">
        <v>664</v>
      </c>
      <c r="C7135" s="738" t="s">
        <v>7205</v>
      </c>
      <c r="D7135" s="733"/>
      <c r="E7135" s="733"/>
      <c r="G7135" s="733"/>
      <c r="H7135" s="733"/>
      <c r="I7135" s="733"/>
      <c r="J7135" s="733"/>
      <c r="K7135" s="733"/>
      <c r="L7135" s="733"/>
      <c r="M7135" s="733"/>
    </row>
    <row r="7136" spans="1:13" x14ac:dyDescent="0.3">
      <c r="A7136" s="733" t="s">
        <v>7188</v>
      </c>
      <c r="B7136" s="733" t="s">
        <v>664</v>
      </c>
      <c r="C7136" s="738" t="s">
        <v>7206</v>
      </c>
      <c r="D7136" s="733"/>
      <c r="E7136" s="733"/>
      <c r="G7136" s="733"/>
      <c r="H7136" s="733"/>
      <c r="I7136" s="733"/>
      <c r="J7136" s="733"/>
      <c r="K7136" s="733"/>
      <c r="L7136" s="733"/>
      <c r="M7136" s="733"/>
    </row>
    <row r="7137" spans="1:13" x14ac:dyDescent="0.3">
      <c r="A7137" s="733" t="s">
        <v>7188</v>
      </c>
      <c r="B7137" s="733" t="s">
        <v>664</v>
      </c>
      <c r="C7137" s="738" t="s">
        <v>7207</v>
      </c>
      <c r="D7137" s="733"/>
      <c r="E7137" s="733"/>
      <c r="G7137" s="733"/>
      <c r="H7137" s="733"/>
      <c r="I7137" s="733"/>
      <c r="J7137" s="733"/>
      <c r="K7137" s="733"/>
      <c r="L7137" s="733"/>
      <c r="M7137" s="733"/>
    </row>
    <row r="7138" spans="1:13" x14ac:dyDescent="0.3">
      <c r="A7138" s="733" t="s">
        <v>7188</v>
      </c>
      <c r="B7138" s="733" t="s">
        <v>664</v>
      </c>
      <c r="C7138" s="738" t="s">
        <v>7208</v>
      </c>
      <c r="D7138" s="733"/>
      <c r="E7138" s="733"/>
      <c r="G7138" s="733"/>
      <c r="H7138" s="733"/>
      <c r="I7138" s="733"/>
      <c r="J7138" s="733"/>
      <c r="K7138" s="733"/>
      <c r="L7138" s="733"/>
      <c r="M7138" s="733"/>
    </row>
    <row r="7139" spans="1:13" x14ac:dyDescent="0.3">
      <c r="A7139" s="733" t="s">
        <v>7188</v>
      </c>
      <c r="B7139" s="733" t="s">
        <v>612</v>
      </c>
      <c r="C7139" s="738" t="s">
        <v>7209</v>
      </c>
      <c r="D7139" s="733"/>
      <c r="E7139" s="733"/>
      <c r="G7139" s="733"/>
      <c r="H7139" s="733"/>
      <c r="I7139" s="733"/>
      <c r="J7139" s="733"/>
      <c r="K7139" s="733"/>
      <c r="L7139" s="733"/>
      <c r="M7139" s="733"/>
    </row>
    <row r="7140" spans="1:13" x14ac:dyDescent="0.3">
      <c r="A7140" s="733" t="s">
        <v>7188</v>
      </c>
      <c r="B7140" s="733" t="s">
        <v>612</v>
      </c>
      <c r="C7140" s="738" t="s">
        <v>7210</v>
      </c>
      <c r="D7140" s="733"/>
      <c r="E7140" s="733"/>
      <c r="G7140" s="733"/>
      <c r="H7140" s="733"/>
      <c r="I7140" s="733"/>
      <c r="J7140" s="733"/>
      <c r="K7140" s="733"/>
      <c r="L7140" s="733"/>
      <c r="M7140" s="733"/>
    </row>
    <row r="7141" spans="1:13" x14ac:dyDescent="0.3">
      <c r="A7141" s="733" t="s">
        <v>7188</v>
      </c>
      <c r="B7141" s="733" t="s">
        <v>612</v>
      </c>
      <c r="C7141" s="738" t="s">
        <v>7211</v>
      </c>
      <c r="D7141" s="733"/>
      <c r="E7141" s="733"/>
      <c r="G7141" s="733"/>
      <c r="H7141" s="733"/>
      <c r="I7141" s="733"/>
      <c r="J7141" s="733"/>
      <c r="K7141" s="733"/>
      <c r="L7141" s="733"/>
      <c r="M7141" s="733"/>
    </row>
    <row r="7142" spans="1:13" x14ac:dyDescent="0.3">
      <c r="A7142" s="733" t="s">
        <v>7188</v>
      </c>
      <c r="B7142" s="733" t="s">
        <v>612</v>
      </c>
      <c r="C7142" s="738" t="s">
        <v>7212</v>
      </c>
      <c r="D7142" s="733"/>
      <c r="E7142" s="733"/>
      <c r="G7142" s="733"/>
      <c r="H7142" s="733"/>
      <c r="I7142" s="733"/>
      <c r="J7142" s="733"/>
      <c r="K7142" s="733"/>
      <c r="L7142" s="733"/>
      <c r="M7142" s="733"/>
    </row>
    <row r="7143" spans="1:13" x14ac:dyDescent="0.3">
      <c r="A7143" s="733" t="s">
        <v>7188</v>
      </c>
      <c r="B7143" s="733" t="s">
        <v>612</v>
      </c>
      <c r="C7143" s="738" t="s">
        <v>7213</v>
      </c>
      <c r="D7143" s="733"/>
      <c r="E7143" s="733"/>
      <c r="G7143" s="733"/>
      <c r="H7143" s="733"/>
      <c r="I7143" s="733"/>
      <c r="J7143" s="733"/>
      <c r="K7143" s="733"/>
      <c r="L7143" s="733"/>
      <c r="M7143" s="733"/>
    </row>
    <row r="7144" spans="1:13" x14ac:dyDescent="0.3">
      <c r="A7144" s="733" t="s">
        <v>7188</v>
      </c>
      <c r="B7144" s="733" t="s">
        <v>612</v>
      </c>
      <c r="C7144" s="738" t="s">
        <v>7214</v>
      </c>
      <c r="D7144" s="733"/>
      <c r="E7144" s="733"/>
      <c r="G7144" s="733"/>
      <c r="H7144" s="733"/>
      <c r="I7144" s="733"/>
      <c r="J7144" s="733"/>
      <c r="K7144" s="733"/>
      <c r="L7144" s="733"/>
      <c r="M7144" s="733"/>
    </row>
    <row r="7145" spans="1:13" x14ac:dyDescent="0.3">
      <c r="A7145" s="733" t="s">
        <v>7188</v>
      </c>
      <c r="B7145" s="733" t="s">
        <v>612</v>
      </c>
      <c r="C7145" s="738" t="s">
        <v>7215</v>
      </c>
      <c r="D7145" s="733"/>
      <c r="E7145" s="733"/>
      <c r="G7145" s="733"/>
      <c r="H7145" s="733"/>
      <c r="I7145" s="733"/>
      <c r="J7145" s="733"/>
      <c r="K7145" s="733"/>
      <c r="L7145" s="733"/>
      <c r="M7145" s="733"/>
    </row>
    <row r="7146" spans="1:13" x14ac:dyDescent="0.3">
      <c r="A7146" s="733" t="s">
        <v>7188</v>
      </c>
      <c r="B7146" s="733" t="s">
        <v>612</v>
      </c>
      <c r="C7146" s="738" t="s">
        <v>7216</v>
      </c>
      <c r="D7146" s="733"/>
      <c r="E7146" s="733"/>
      <c r="G7146" s="733"/>
      <c r="H7146" s="733"/>
      <c r="I7146" s="733"/>
      <c r="J7146" s="733"/>
      <c r="K7146" s="733"/>
      <c r="L7146" s="733"/>
      <c r="M7146" s="733"/>
    </row>
    <row r="7147" spans="1:13" x14ac:dyDescent="0.3">
      <c r="A7147" s="733" t="s">
        <v>7188</v>
      </c>
      <c r="B7147" s="733" t="s">
        <v>612</v>
      </c>
      <c r="C7147" s="738" t="s">
        <v>7217</v>
      </c>
      <c r="D7147" s="733"/>
      <c r="E7147" s="733"/>
      <c r="G7147" s="733"/>
      <c r="H7147" s="733"/>
      <c r="I7147" s="733"/>
      <c r="J7147" s="733"/>
      <c r="K7147" s="733"/>
      <c r="L7147" s="733"/>
      <c r="M7147" s="733"/>
    </row>
    <row r="7148" spans="1:13" x14ac:dyDescent="0.3">
      <c r="A7148" s="733" t="s">
        <v>7188</v>
      </c>
      <c r="B7148" s="733" t="s">
        <v>612</v>
      </c>
      <c r="C7148" s="738" t="s">
        <v>7218</v>
      </c>
      <c r="D7148" s="733"/>
      <c r="E7148" s="733"/>
      <c r="G7148" s="733"/>
      <c r="H7148" s="733"/>
      <c r="I7148" s="733"/>
      <c r="J7148" s="733"/>
      <c r="K7148" s="733"/>
      <c r="L7148" s="733"/>
      <c r="M7148" s="733"/>
    </row>
    <row r="7149" spans="1:13" x14ac:dyDescent="0.3">
      <c r="A7149" s="733" t="s">
        <v>7219</v>
      </c>
      <c r="B7149" s="733" t="s">
        <v>645</v>
      </c>
      <c r="C7149" s="738" t="s">
        <v>7220</v>
      </c>
      <c r="D7149" s="733"/>
      <c r="E7149" s="733"/>
      <c r="G7149" s="733"/>
      <c r="H7149" s="733"/>
      <c r="I7149" s="733"/>
      <c r="J7149" s="733"/>
      <c r="K7149" s="733"/>
      <c r="L7149" s="733"/>
      <c r="M7149" s="733"/>
    </row>
    <row r="7150" spans="1:13" x14ac:dyDescent="0.3">
      <c r="A7150" s="733" t="s">
        <v>7219</v>
      </c>
      <c r="B7150" s="733" t="s">
        <v>645</v>
      </c>
      <c r="C7150" s="738" t="s">
        <v>7221</v>
      </c>
      <c r="D7150" s="733"/>
      <c r="E7150" s="733"/>
      <c r="G7150" s="733"/>
      <c r="H7150" s="733"/>
      <c r="I7150" s="733"/>
      <c r="J7150" s="733"/>
      <c r="K7150" s="733"/>
      <c r="L7150" s="733"/>
      <c r="M7150" s="733"/>
    </row>
    <row r="7151" spans="1:13" x14ac:dyDescent="0.3">
      <c r="A7151" s="733" t="s">
        <v>7219</v>
      </c>
      <c r="B7151" s="733" t="s">
        <v>645</v>
      </c>
      <c r="C7151" s="738" t="s">
        <v>7222</v>
      </c>
      <c r="D7151" s="733"/>
      <c r="E7151" s="733"/>
      <c r="G7151" s="733"/>
      <c r="H7151" s="733"/>
      <c r="I7151" s="733"/>
      <c r="J7151" s="733"/>
      <c r="K7151" s="733"/>
      <c r="L7151" s="733"/>
      <c r="M7151" s="733"/>
    </row>
    <row r="7152" spans="1:13" x14ac:dyDescent="0.3">
      <c r="A7152" s="733" t="s">
        <v>7219</v>
      </c>
      <c r="B7152" s="733" t="s">
        <v>645</v>
      </c>
      <c r="C7152" s="738" t="s">
        <v>7223</v>
      </c>
      <c r="D7152" s="733"/>
      <c r="E7152" s="733"/>
      <c r="G7152" s="733"/>
      <c r="H7152" s="733"/>
      <c r="I7152" s="733"/>
      <c r="J7152" s="733"/>
      <c r="K7152" s="733"/>
      <c r="L7152" s="733"/>
      <c r="M7152" s="733"/>
    </row>
    <row r="7153" spans="1:13" x14ac:dyDescent="0.3">
      <c r="A7153" s="733" t="s">
        <v>7219</v>
      </c>
      <c r="B7153" s="733" t="s">
        <v>645</v>
      </c>
      <c r="C7153" s="738" t="s">
        <v>7224</v>
      </c>
      <c r="D7153" s="733"/>
      <c r="E7153" s="733"/>
      <c r="G7153" s="733"/>
      <c r="H7153" s="733"/>
      <c r="I7153" s="733"/>
      <c r="J7153" s="733"/>
      <c r="K7153" s="733"/>
      <c r="L7153" s="733"/>
      <c r="M7153" s="733"/>
    </row>
    <row r="7154" spans="1:13" x14ac:dyDescent="0.3">
      <c r="A7154" s="733" t="s">
        <v>7219</v>
      </c>
      <c r="B7154" s="733" t="s">
        <v>645</v>
      </c>
      <c r="C7154" s="738" t="s">
        <v>7225</v>
      </c>
      <c r="D7154" s="733"/>
      <c r="E7154" s="733"/>
      <c r="G7154" s="733"/>
      <c r="H7154" s="733"/>
      <c r="I7154" s="733"/>
      <c r="J7154" s="733"/>
      <c r="K7154" s="733"/>
      <c r="L7154" s="733"/>
      <c r="M7154" s="733"/>
    </row>
    <row r="7155" spans="1:13" x14ac:dyDescent="0.3">
      <c r="A7155" s="733" t="s">
        <v>7219</v>
      </c>
      <c r="B7155" s="733" t="s">
        <v>645</v>
      </c>
      <c r="C7155" s="738" t="s">
        <v>7226</v>
      </c>
      <c r="D7155" s="733"/>
      <c r="E7155" s="733"/>
      <c r="G7155" s="733"/>
      <c r="H7155" s="733"/>
      <c r="I7155" s="733"/>
      <c r="J7155" s="733"/>
      <c r="K7155" s="733"/>
      <c r="L7155" s="733"/>
      <c r="M7155" s="733"/>
    </row>
    <row r="7156" spans="1:13" x14ac:dyDescent="0.3">
      <c r="A7156" s="733" t="s">
        <v>7219</v>
      </c>
      <c r="B7156" s="733" t="s">
        <v>645</v>
      </c>
      <c r="C7156" s="738" t="s">
        <v>7227</v>
      </c>
      <c r="D7156" s="733"/>
      <c r="E7156" s="733"/>
      <c r="G7156" s="733"/>
      <c r="H7156" s="733"/>
      <c r="I7156" s="733"/>
      <c r="J7156" s="733"/>
      <c r="K7156" s="733"/>
      <c r="L7156" s="733"/>
      <c r="M7156" s="733"/>
    </row>
    <row r="7157" spans="1:13" x14ac:dyDescent="0.3">
      <c r="A7157" s="733" t="s">
        <v>7219</v>
      </c>
      <c r="B7157" s="733" t="s">
        <v>645</v>
      </c>
      <c r="C7157" s="738" t="s">
        <v>7228</v>
      </c>
      <c r="D7157" s="733"/>
      <c r="E7157" s="733"/>
      <c r="G7157" s="733"/>
      <c r="H7157" s="733"/>
      <c r="I7157" s="733"/>
      <c r="J7157" s="733"/>
      <c r="K7157" s="733"/>
      <c r="L7157" s="733"/>
      <c r="M7157" s="733"/>
    </row>
    <row r="7158" spans="1:13" x14ac:dyDescent="0.3">
      <c r="A7158" s="733" t="s">
        <v>7219</v>
      </c>
      <c r="B7158" s="733" t="s">
        <v>645</v>
      </c>
      <c r="C7158" s="738" t="s">
        <v>7229</v>
      </c>
      <c r="D7158" s="733"/>
      <c r="E7158" s="733"/>
      <c r="G7158" s="733"/>
      <c r="H7158" s="733"/>
      <c r="I7158" s="733"/>
      <c r="J7158" s="733"/>
      <c r="K7158" s="733"/>
      <c r="L7158" s="733"/>
      <c r="M7158" s="733"/>
    </row>
    <row r="7159" spans="1:13" x14ac:dyDescent="0.3">
      <c r="A7159" s="733" t="s">
        <v>7219</v>
      </c>
      <c r="B7159" s="733" t="s">
        <v>664</v>
      </c>
      <c r="C7159" s="738" t="s">
        <v>7230</v>
      </c>
      <c r="D7159" s="733"/>
      <c r="E7159" s="733"/>
      <c r="G7159" s="733"/>
      <c r="H7159" s="733"/>
      <c r="I7159" s="733"/>
      <c r="J7159" s="733"/>
      <c r="K7159" s="733"/>
      <c r="L7159" s="733"/>
      <c r="M7159" s="733"/>
    </row>
    <row r="7160" spans="1:13" x14ac:dyDescent="0.3">
      <c r="A7160" s="733" t="s">
        <v>7219</v>
      </c>
      <c r="B7160" s="733" t="s">
        <v>664</v>
      </c>
      <c r="C7160" s="738" t="s">
        <v>7231</v>
      </c>
      <c r="D7160" s="733"/>
      <c r="E7160" s="733"/>
      <c r="G7160" s="733"/>
      <c r="H7160" s="733"/>
      <c r="I7160" s="733"/>
      <c r="J7160" s="733"/>
      <c r="K7160" s="733"/>
      <c r="L7160" s="733"/>
      <c r="M7160" s="733"/>
    </row>
    <row r="7161" spans="1:13" x14ac:dyDescent="0.3">
      <c r="A7161" s="733" t="s">
        <v>7219</v>
      </c>
      <c r="B7161" s="733" t="s">
        <v>664</v>
      </c>
      <c r="C7161" s="738" t="s">
        <v>7232</v>
      </c>
      <c r="D7161" s="733"/>
      <c r="E7161" s="733"/>
      <c r="G7161" s="733"/>
      <c r="H7161" s="733"/>
      <c r="I7161" s="733"/>
      <c r="J7161" s="733"/>
      <c r="K7161" s="733"/>
      <c r="L7161" s="733"/>
      <c r="M7161" s="733"/>
    </row>
    <row r="7162" spans="1:13" x14ac:dyDescent="0.3">
      <c r="A7162" s="733" t="s">
        <v>7219</v>
      </c>
      <c r="B7162" s="733" t="s">
        <v>664</v>
      </c>
      <c r="C7162" s="738" t="s">
        <v>7233</v>
      </c>
      <c r="D7162" s="733"/>
      <c r="E7162" s="733"/>
      <c r="G7162" s="733"/>
      <c r="H7162" s="733"/>
      <c r="I7162" s="733"/>
      <c r="J7162" s="733"/>
      <c r="K7162" s="733"/>
      <c r="L7162" s="733"/>
      <c r="M7162" s="733"/>
    </row>
    <row r="7163" spans="1:13" x14ac:dyDescent="0.3">
      <c r="A7163" s="733" t="s">
        <v>7219</v>
      </c>
      <c r="B7163" s="733" t="s">
        <v>664</v>
      </c>
      <c r="C7163" s="738" t="s">
        <v>7234</v>
      </c>
      <c r="D7163" s="733"/>
      <c r="E7163" s="733"/>
      <c r="G7163" s="733"/>
      <c r="H7163" s="733"/>
      <c r="I7163" s="733"/>
      <c r="J7163" s="733"/>
      <c r="K7163" s="733"/>
      <c r="L7163" s="733"/>
      <c r="M7163" s="733"/>
    </row>
    <row r="7164" spans="1:13" x14ac:dyDescent="0.3">
      <c r="A7164" s="733" t="s">
        <v>7219</v>
      </c>
      <c r="B7164" s="733" t="s">
        <v>664</v>
      </c>
      <c r="C7164" s="738" t="s">
        <v>7235</v>
      </c>
      <c r="D7164" s="733"/>
      <c r="E7164" s="733"/>
      <c r="G7164" s="733"/>
      <c r="H7164" s="733"/>
      <c r="I7164" s="733"/>
      <c r="J7164" s="733"/>
      <c r="K7164" s="733"/>
      <c r="L7164" s="733"/>
      <c r="M7164" s="733"/>
    </row>
    <row r="7165" spans="1:13" x14ac:dyDescent="0.3">
      <c r="A7165" s="733" t="s">
        <v>7219</v>
      </c>
      <c r="B7165" s="733" t="s">
        <v>664</v>
      </c>
      <c r="C7165" s="738" t="s">
        <v>7236</v>
      </c>
      <c r="D7165" s="733"/>
      <c r="E7165" s="733"/>
      <c r="G7165" s="733"/>
      <c r="H7165" s="733"/>
      <c r="I7165" s="733"/>
      <c r="J7165" s="733"/>
      <c r="K7165" s="733"/>
      <c r="L7165" s="733"/>
      <c r="M7165" s="733"/>
    </row>
    <row r="7166" spans="1:13" x14ac:dyDescent="0.3">
      <c r="A7166" s="733" t="s">
        <v>7219</v>
      </c>
      <c r="B7166" s="733" t="s">
        <v>664</v>
      </c>
      <c r="C7166" s="738" t="s">
        <v>7237</v>
      </c>
      <c r="D7166" s="733"/>
      <c r="E7166" s="733"/>
      <c r="G7166" s="733"/>
      <c r="H7166" s="733"/>
      <c r="I7166" s="733"/>
      <c r="J7166" s="733"/>
      <c r="K7166" s="733"/>
      <c r="L7166" s="733"/>
      <c r="M7166" s="733"/>
    </row>
    <row r="7167" spans="1:13" x14ac:dyDescent="0.3">
      <c r="A7167" s="733" t="s">
        <v>7219</v>
      </c>
      <c r="B7167" s="733" t="s">
        <v>664</v>
      </c>
      <c r="C7167" s="738" t="s">
        <v>7238</v>
      </c>
      <c r="D7167" s="733"/>
      <c r="E7167" s="733"/>
      <c r="G7167" s="733"/>
      <c r="H7167" s="733"/>
      <c r="I7167" s="733"/>
      <c r="J7167" s="733"/>
      <c r="K7167" s="733"/>
      <c r="L7167" s="733"/>
      <c r="M7167" s="733"/>
    </row>
    <row r="7168" spans="1:13" x14ac:dyDescent="0.3">
      <c r="A7168" s="733" t="s">
        <v>7219</v>
      </c>
      <c r="B7168" s="733" t="s">
        <v>664</v>
      </c>
      <c r="C7168" s="738" t="s">
        <v>7239</v>
      </c>
      <c r="D7168" s="733"/>
      <c r="E7168" s="733"/>
      <c r="G7168" s="733"/>
      <c r="H7168" s="733"/>
      <c r="I7168" s="733"/>
      <c r="J7168" s="733"/>
      <c r="K7168" s="733"/>
      <c r="L7168" s="733"/>
      <c r="M7168" s="733"/>
    </row>
    <row r="7169" spans="1:13" x14ac:dyDescent="0.3">
      <c r="A7169" s="733" t="s">
        <v>7219</v>
      </c>
      <c r="B7169" s="733" t="s">
        <v>612</v>
      </c>
      <c r="C7169" s="738" t="s">
        <v>7240</v>
      </c>
      <c r="D7169" s="733"/>
      <c r="E7169" s="733"/>
      <c r="G7169" s="733"/>
      <c r="H7169" s="733"/>
      <c r="I7169" s="733"/>
      <c r="J7169" s="733"/>
      <c r="K7169" s="733"/>
      <c r="L7169" s="733"/>
      <c r="M7169" s="733"/>
    </row>
    <row r="7170" spans="1:13" x14ac:dyDescent="0.3">
      <c r="A7170" s="733" t="s">
        <v>7219</v>
      </c>
      <c r="B7170" s="733" t="s">
        <v>612</v>
      </c>
      <c r="C7170" s="738" t="s">
        <v>7241</v>
      </c>
      <c r="D7170" s="733"/>
      <c r="E7170" s="733"/>
      <c r="G7170" s="733"/>
      <c r="H7170" s="733"/>
      <c r="I7170" s="733"/>
      <c r="J7170" s="733"/>
      <c r="K7170" s="733"/>
      <c r="L7170" s="733"/>
      <c r="M7170" s="733"/>
    </row>
    <row r="7171" spans="1:13" x14ac:dyDescent="0.3">
      <c r="A7171" s="733" t="s">
        <v>7219</v>
      </c>
      <c r="B7171" s="733" t="s">
        <v>612</v>
      </c>
      <c r="C7171" s="738" t="s">
        <v>7242</v>
      </c>
      <c r="D7171" s="733"/>
      <c r="E7171" s="733"/>
      <c r="G7171" s="733"/>
      <c r="H7171" s="733"/>
      <c r="I7171" s="733"/>
      <c r="J7171" s="733"/>
      <c r="K7171" s="733"/>
      <c r="L7171" s="733"/>
      <c r="M7171" s="733"/>
    </row>
    <row r="7172" spans="1:13" x14ac:dyDescent="0.3">
      <c r="A7172" s="733" t="s">
        <v>7219</v>
      </c>
      <c r="B7172" s="733" t="s">
        <v>612</v>
      </c>
      <c r="C7172" s="738" t="s">
        <v>7243</v>
      </c>
      <c r="D7172" s="733"/>
      <c r="E7172" s="733"/>
      <c r="G7172" s="733"/>
      <c r="H7172" s="733"/>
      <c r="I7172" s="733"/>
      <c r="J7172" s="733"/>
      <c r="K7172" s="733"/>
      <c r="L7172" s="733"/>
      <c r="M7172" s="733"/>
    </row>
    <row r="7173" spans="1:13" x14ac:dyDescent="0.3">
      <c r="A7173" s="733" t="s">
        <v>7219</v>
      </c>
      <c r="B7173" s="733" t="s">
        <v>612</v>
      </c>
      <c r="C7173" s="738" t="s">
        <v>7244</v>
      </c>
      <c r="D7173" s="733"/>
      <c r="E7173" s="733"/>
      <c r="G7173" s="733"/>
      <c r="H7173" s="733"/>
      <c r="I7173" s="733"/>
      <c r="J7173" s="733"/>
      <c r="K7173" s="733"/>
      <c r="L7173" s="733"/>
      <c r="M7173" s="733"/>
    </row>
    <row r="7174" spans="1:13" x14ac:dyDescent="0.3">
      <c r="A7174" s="733" t="s">
        <v>7219</v>
      </c>
      <c r="B7174" s="733" t="s">
        <v>612</v>
      </c>
      <c r="C7174" s="738" t="s">
        <v>7245</v>
      </c>
      <c r="D7174" s="733"/>
      <c r="E7174" s="733"/>
      <c r="G7174" s="733"/>
      <c r="H7174" s="733"/>
      <c r="I7174" s="733"/>
      <c r="J7174" s="733"/>
      <c r="K7174" s="733"/>
      <c r="L7174" s="733"/>
      <c r="M7174" s="733"/>
    </row>
    <row r="7175" spans="1:13" x14ac:dyDescent="0.3">
      <c r="A7175" s="733" t="s">
        <v>7219</v>
      </c>
      <c r="B7175" s="733" t="s">
        <v>612</v>
      </c>
      <c r="C7175" s="738" t="s">
        <v>7246</v>
      </c>
      <c r="D7175" s="733"/>
      <c r="E7175" s="733"/>
      <c r="G7175" s="733"/>
      <c r="H7175" s="733"/>
      <c r="I7175" s="733"/>
      <c r="J7175" s="733"/>
      <c r="K7175" s="733"/>
      <c r="L7175" s="733"/>
      <c r="M7175" s="733"/>
    </row>
    <row r="7176" spans="1:13" x14ac:dyDescent="0.3">
      <c r="A7176" s="733" t="s">
        <v>7219</v>
      </c>
      <c r="B7176" s="733" t="s">
        <v>612</v>
      </c>
      <c r="C7176" s="738" t="s">
        <v>7247</v>
      </c>
      <c r="D7176" s="733"/>
      <c r="E7176" s="733"/>
      <c r="G7176" s="733"/>
      <c r="H7176" s="733"/>
      <c r="I7176" s="733"/>
      <c r="J7176" s="733"/>
      <c r="K7176" s="733"/>
      <c r="L7176" s="733"/>
      <c r="M7176" s="733"/>
    </row>
    <row r="7177" spans="1:13" x14ac:dyDescent="0.3">
      <c r="A7177" s="733" t="s">
        <v>7219</v>
      </c>
      <c r="B7177" s="733" t="s">
        <v>612</v>
      </c>
      <c r="C7177" s="738" t="s">
        <v>7248</v>
      </c>
      <c r="D7177" s="733"/>
      <c r="E7177" s="733"/>
      <c r="G7177" s="733"/>
      <c r="H7177" s="733"/>
      <c r="I7177" s="733"/>
      <c r="J7177" s="733"/>
      <c r="K7177" s="733"/>
      <c r="L7177" s="733"/>
      <c r="M7177" s="733"/>
    </row>
    <row r="7178" spans="1:13" x14ac:dyDescent="0.3">
      <c r="A7178" s="733" t="s">
        <v>7219</v>
      </c>
      <c r="B7178" s="733" t="s">
        <v>612</v>
      </c>
      <c r="C7178" s="738" t="s">
        <v>7249</v>
      </c>
      <c r="D7178" s="733"/>
      <c r="E7178" s="733"/>
      <c r="G7178" s="733"/>
      <c r="H7178" s="733"/>
      <c r="I7178" s="733"/>
      <c r="J7178" s="733"/>
      <c r="K7178" s="733"/>
      <c r="L7178" s="733"/>
      <c r="M7178" s="733"/>
    </row>
    <row r="7179" spans="1:13" x14ac:dyDescent="0.3">
      <c r="A7179" s="733" t="s">
        <v>7250</v>
      </c>
      <c r="B7179" s="733" t="s">
        <v>645</v>
      </c>
      <c r="C7179" s="738" t="s">
        <v>7251</v>
      </c>
      <c r="D7179" s="733"/>
      <c r="E7179" s="733"/>
      <c r="G7179" s="733"/>
      <c r="H7179" s="733"/>
      <c r="I7179" s="733"/>
      <c r="J7179" s="733"/>
      <c r="K7179" s="733"/>
      <c r="L7179" s="733"/>
      <c r="M7179" s="733"/>
    </row>
    <row r="7180" spans="1:13" x14ac:dyDescent="0.3">
      <c r="A7180" s="733" t="s">
        <v>7250</v>
      </c>
      <c r="B7180" s="733" t="s">
        <v>645</v>
      </c>
      <c r="C7180" s="738" t="s">
        <v>7252</v>
      </c>
      <c r="D7180" s="733"/>
      <c r="E7180" s="733"/>
      <c r="G7180" s="733"/>
      <c r="H7180" s="733"/>
      <c r="I7180" s="733"/>
      <c r="J7180" s="733"/>
      <c r="K7180" s="733"/>
      <c r="L7180" s="733"/>
      <c r="M7180" s="733"/>
    </row>
    <row r="7181" spans="1:13" x14ac:dyDescent="0.3">
      <c r="A7181" s="733" t="s">
        <v>7250</v>
      </c>
      <c r="B7181" s="733" t="s">
        <v>645</v>
      </c>
      <c r="C7181" s="738" t="s">
        <v>7253</v>
      </c>
      <c r="D7181" s="733"/>
      <c r="E7181" s="733"/>
      <c r="G7181" s="733"/>
      <c r="H7181" s="733"/>
      <c r="I7181" s="733"/>
      <c r="J7181" s="733"/>
      <c r="K7181" s="733"/>
      <c r="L7181" s="733"/>
      <c r="M7181" s="733"/>
    </row>
    <row r="7182" spans="1:13" x14ac:dyDescent="0.3">
      <c r="A7182" s="733" t="s">
        <v>7250</v>
      </c>
      <c r="B7182" s="733" t="s">
        <v>645</v>
      </c>
      <c r="C7182" s="738" t="s">
        <v>7254</v>
      </c>
      <c r="D7182" s="733"/>
      <c r="E7182" s="733"/>
      <c r="G7182" s="733"/>
      <c r="H7182" s="733"/>
      <c r="I7182" s="733"/>
      <c r="J7182" s="733"/>
      <c r="K7182" s="733"/>
      <c r="L7182" s="733"/>
      <c r="M7182" s="733"/>
    </row>
    <row r="7183" spans="1:13" x14ac:dyDescent="0.3">
      <c r="A7183" s="733" t="s">
        <v>7250</v>
      </c>
      <c r="B7183" s="733" t="s">
        <v>645</v>
      </c>
      <c r="C7183" s="738" t="s">
        <v>7255</v>
      </c>
      <c r="D7183" s="733"/>
      <c r="E7183" s="733"/>
      <c r="G7183" s="733"/>
      <c r="H7183" s="733"/>
      <c r="I7183" s="733"/>
      <c r="J7183" s="733"/>
      <c r="K7183" s="733"/>
      <c r="L7183" s="733"/>
      <c r="M7183" s="733"/>
    </row>
    <row r="7184" spans="1:13" x14ac:dyDescent="0.3">
      <c r="A7184" s="733" t="s">
        <v>7250</v>
      </c>
      <c r="B7184" s="733" t="s">
        <v>645</v>
      </c>
      <c r="C7184" s="738" t="s">
        <v>7256</v>
      </c>
      <c r="D7184" s="733"/>
      <c r="E7184" s="733"/>
      <c r="G7184" s="733"/>
      <c r="H7184" s="733"/>
      <c r="I7184" s="733"/>
      <c r="J7184" s="733"/>
      <c r="K7184" s="733"/>
      <c r="L7184" s="733"/>
      <c r="M7184" s="733"/>
    </row>
    <row r="7185" spans="1:13" x14ac:dyDescent="0.3">
      <c r="A7185" s="733" t="s">
        <v>7250</v>
      </c>
      <c r="B7185" s="733" t="s">
        <v>645</v>
      </c>
      <c r="C7185" s="738" t="s">
        <v>7257</v>
      </c>
      <c r="D7185" s="733"/>
      <c r="E7185" s="733"/>
      <c r="G7185" s="733"/>
      <c r="H7185" s="733"/>
      <c r="I7185" s="733"/>
      <c r="J7185" s="733"/>
      <c r="K7185" s="733"/>
      <c r="L7185" s="733"/>
      <c r="M7185" s="733"/>
    </row>
    <row r="7186" spans="1:13" x14ac:dyDescent="0.3">
      <c r="A7186" s="733" t="s">
        <v>7250</v>
      </c>
      <c r="B7186" s="733" t="s">
        <v>645</v>
      </c>
      <c r="C7186" s="738" t="s">
        <v>7258</v>
      </c>
      <c r="D7186" s="733"/>
      <c r="E7186" s="733"/>
      <c r="G7186" s="733"/>
      <c r="H7186" s="733"/>
      <c r="I7186" s="733"/>
      <c r="J7186" s="733"/>
      <c r="K7186" s="733"/>
      <c r="L7186" s="733"/>
      <c r="M7186" s="733"/>
    </row>
    <row r="7187" spans="1:13" x14ac:dyDescent="0.3">
      <c r="A7187" s="733" t="s">
        <v>7250</v>
      </c>
      <c r="B7187" s="733" t="s">
        <v>645</v>
      </c>
      <c r="C7187" s="738" t="s">
        <v>7259</v>
      </c>
      <c r="D7187" s="733"/>
      <c r="E7187" s="733"/>
      <c r="G7187" s="733"/>
      <c r="H7187" s="733"/>
      <c r="I7187" s="733"/>
      <c r="J7187" s="733"/>
      <c r="K7187" s="733"/>
      <c r="L7187" s="733"/>
      <c r="M7187" s="733"/>
    </row>
    <row r="7188" spans="1:13" x14ac:dyDescent="0.3">
      <c r="A7188" s="733" t="s">
        <v>7250</v>
      </c>
      <c r="B7188" s="733" t="s">
        <v>645</v>
      </c>
      <c r="C7188" s="738" t="s">
        <v>7260</v>
      </c>
      <c r="D7188" s="733"/>
      <c r="E7188" s="733"/>
      <c r="G7188" s="733"/>
      <c r="H7188" s="733"/>
      <c r="I7188" s="733"/>
      <c r="J7188" s="733"/>
      <c r="K7188" s="733"/>
      <c r="L7188" s="733"/>
      <c r="M7188" s="733"/>
    </row>
    <row r="7189" spans="1:13" x14ac:dyDescent="0.3">
      <c r="A7189" s="733" t="s">
        <v>7250</v>
      </c>
      <c r="B7189" s="733" t="s">
        <v>664</v>
      </c>
      <c r="C7189" s="738" t="s">
        <v>7261</v>
      </c>
      <c r="D7189" s="733"/>
      <c r="E7189" s="733"/>
      <c r="G7189" s="733"/>
      <c r="H7189" s="733"/>
      <c r="I7189" s="733"/>
      <c r="J7189" s="733"/>
      <c r="K7189" s="733"/>
      <c r="L7189" s="733"/>
      <c r="M7189" s="733"/>
    </row>
    <row r="7190" spans="1:13" x14ac:dyDescent="0.3">
      <c r="A7190" s="733" t="s">
        <v>7250</v>
      </c>
      <c r="B7190" s="733" t="s">
        <v>664</v>
      </c>
      <c r="C7190" s="738" t="s">
        <v>7262</v>
      </c>
      <c r="D7190" s="733"/>
      <c r="E7190" s="733"/>
      <c r="G7190" s="733"/>
      <c r="H7190" s="733"/>
      <c r="I7190" s="733"/>
      <c r="J7190" s="733"/>
      <c r="K7190" s="733"/>
      <c r="L7190" s="733"/>
      <c r="M7190" s="733"/>
    </row>
    <row r="7191" spans="1:13" x14ac:dyDescent="0.3">
      <c r="A7191" s="733" t="s">
        <v>7250</v>
      </c>
      <c r="B7191" s="733" t="s">
        <v>664</v>
      </c>
      <c r="C7191" s="738" t="s">
        <v>7263</v>
      </c>
      <c r="D7191" s="733"/>
      <c r="E7191" s="733"/>
      <c r="G7191" s="733"/>
      <c r="H7191" s="733"/>
      <c r="I7191" s="733"/>
      <c r="J7191" s="733"/>
      <c r="K7191" s="733"/>
      <c r="L7191" s="733"/>
      <c r="M7191" s="733"/>
    </row>
    <row r="7192" spans="1:13" x14ac:dyDescent="0.3">
      <c r="A7192" s="733" t="s">
        <v>7250</v>
      </c>
      <c r="B7192" s="733" t="s">
        <v>664</v>
      </c>
      <c r="C7192" s="738" t="s">
        <v>7264</v>
      </c>
      <c r="D7192" s="733"/>
      <c r="E7192" s="733"/>
      <c r="G7192" s="733"/>
      <c r="H7192" s="733"/>
      <c r="I7192" s="733"/>
      <c r="J7192" s="733"/>
      <c r="K7192" s="733"/>
      <c r="L7192" s="733"/>
      <c r="M7192" s="733"/>
    </row>
    <row r="7193" spans="1:13" x14ac:dyDescent="0.3">
      <c r="A7193" s="733" t="s">
        <v>7250</v>
      </c>
      <c r="B7193" s="733" t="s">
        <v>664</v>
      </c>
      <c r="C7193" s="738" t="s">
        <v>7265</v>
      </c>
      <c r="D7193" s="733"/>
      <c r="E7193" s="733"/>
      <c r="G7193" s="733"/>
      <c r="H7193" s="733"/>
      <c r="I7193" s="733"/>
      <c r="J7193" s="733"/>
      <c r="K7193" s="733"/>
      <c r="L7193" s="733"/>
      <c r="M7193" s="733"/>
    </row>
    <row r="7194" spans="1:13" x14ac:dyDescent="0.3">
      <c r="A7194" s="733" t="s">
        <v>7250</v>
      </c>
      <c r="B7194" s="733" t="s">
        <v>664</v>
      </c>
      <c r="C7194" s="738" t="s">
        <v>7266</v>
      </c>
      <c r="D7194" s="733"/>
      <c r="E7194" s="733"/>
      <c r="G7194" s="733"/>
      <c r="H7194" s="733"/>
      <c r="I7194" s="733"/>
      <c r="J7194" s="733"/>
      <c r="K7194" s="733"/>
      <c r="L7194" s="733"/>
      <c r="M7194" s="733"/>
    </row>
    <row r="7195" spans="1:13" x14ac:dyDescent="0.3">
      <c r="A7195" s="733" t="s">
        <v>7250</v>
      </c>
      <c r="B7195" s="733" t="s">
        <v>664</v>
      </c>
      <c r="C7195" s="738" t="s">
        <v>7267</v>
      </c>
      <c r="D7195" s="733"/>
      <c r="E7195" s="733"/>
      <c r="G7195" s="733"/>
      <c r="H7195" s="733"/>
      <c r="I7195" s="733"/>
      <c r="J7195" s="733"/>
      <c r="K7195" s="733"/>
      <c r="L7195" s="733"/>
      <c r="M7195" s="733"/>
    </row>
    <row r="7196" spans="1:13" x14ac:dyDescent="0.3">
      <c r="A7196" s="733" t="s">
        <v>7250</v>
      </c>
      <c r="B7196" s="733" t="s">
        <v>664</v>
      </c>
      <c r="C7196" s="738" t="s">
        <v>7268</v>
      </c>
      <c r="D7196" s="733"/>
      <c r="E7196" s="733"/>
      <c r="G7196" s="733"/>
      <c r="H7196" s="733"/>
      <c r="I7196" s="733"/>
      <c r="J7196" s="733"/>
      <c r="K7196" s="733"/>
      <c r="L7196" s="733"/>
      <c r="M7196" s="733"/>
    </row>
    <row r="7197" spans="1:13" x14ac:dyDescent="0.3">
      <c r="A7197" s="733" t="s">
        <v>7250</v>
      </c>
      <c r="B7197" s="733" t="s">
        <v>664</v>
      </c>
      <c r="C7197" s="738" t="s">
        <v>7269</v>
      </c>
      <c r="D7197" s="733"/>
      <c r="E7197" s="733"/>
      <c r="G7197" s="733"/>
      <c r="H7197" s="733"/>
      <c r="I7197" s="733"/>
      <c r="J7197" s="733"/>
      <c r="K7197" s="733"/>
      <c r="L7197" s="733"/>
      <c r="M7197" s="733"/>
    </row>
    <row r="7198" spans="1:13" x14ac:dyDescent="0.3">
      <c r="A7198" s="733" t="s">
        <v>7250</v>
      </c>
      <c r="B7198" s="733" t="s">
        <v>664</v>
      </c>
      <c r="C7198" s="738" t="s">
        <v>7270</v>
      </c>
      <c r="D7198" s="733"/>
      <c r="E7198" s="733"/>
      <c r="G7198" s="733"/>
      <c r="H7198" s="733"/>
      <c r="I7198" s="733"/>
      <c r="J7198" s="733"/>
      <c r="K7198" s="733"/>
      <c r="L7198" s="733"/>
      <c r="M7198" s="733"/>
    </row>
    <row r="7199" spans="1:13" x14ac:dyDescent="0.3">
      <c r="A7199" s="733" t="s">
        <v>7250</v>
      </c>
      <c r="B7199" s="733" t="s">
        <v>612</v>
      </c>
      <c r="C7199" s="738" t="s">
        <v>7271</v>
      </c>
      <c r="D7199" s="733"/>
      <c r="E7199" s="733"/>
      <c r="G7199" s="733"/>
      <c r="H7199" s="733"/>
      <c r="I7199" s="733"/>
      <c r="J7199" s="733"/>
      <c r="K7199" s="733"/>
      <c r="L7199" s="733"/>
      <c r="M7199" s="733"/>
    </row>
    <row r="7200" spans="1:13" x14ac:dyDescent="0.3">
      <c r="A7200" s="733" t="s">
        <v>7250</v>
      </c>
      <c r="B7200" s="733" t="s">
        <v>612</v>
      </c>
      <c r="C7200" s="738" t="s">
        <v>7272</v>
      </c>
      <c r="D7200" s="733"/>
      <c r="E7200" s="733"/>
      <c r="G7200" s="733"/>
      <c r="H7200" s="733"/>
      <c r="I7200" s="733"/>
      <c r="J7200" s="733"/>
      <c r="K7200" s="733"/>
      <c r="L7200" s="733"/>
      <c r="M7200" s="733"/>
    </row>
    <row r="7201" spans="1:13" x14ac:dyDescent="0.3">
      <c r="A7201" s="733" t="s">
        <v>7250</v>
      </c>
      <c r="B7201" s="733" t="s">
        <v>612</v>
      </c>
      <c r="C7201" s="738" t="s">
        <v>6960</v>
      </c>
      <c r="D7201" s="733"/>
      <c r="E7201" s="733"/>
      <c r="G7201" s="733"/>
      <c r="H7201" s="733"/>
      <c r="I7201" s="733"/>
      <c r="J7201" s="733"/>
      <c r="K7201" s="733"/>
      <c r="L7201" s="733"/>
      <c r="M7201" s="733"/>
    </row>
    <row r="7202" spans="1:13" x14ac:dyDescent="0.3">
      <c r="A7202" s="733" t="s">
        <v>7250</v>
      </c>
      <c r="B7202" s="733" t="s">
        <v>612</v>
      </c>
      <c r="C7202" s="738" t="s">
        <v>7273</v>
      </c>
      <c r="D7202" s="733"/>
      <c r="E7202" s="733"/>
      <c r="G7202" s="733"/>
      <c r="H7202" s="733"/>
      <c r="I7202" s="733"/>
      <c r="J7202" s="733"/>
      <c r="K7202" s="733"/>
      <c r="L7202" s="733"/>
      <c r="M7202" s="733"/>
    </row>
    <row r="7203" spans="1:13" x14ac:dyDescent="0.3">
      <c r="A7203" s="733" t="s">
        <v>7250</v>
      </c>
      <c r="B7203" s="733" t="s">
        <v>612</v>
      </c>
      <c r="C7203" s="738" t="s">
        <v>7274</v>
      </c>
      <c r="D7203" s="733"/>
      <c r="E7203" s="733"/>
      <c r="G7203" s="733"/>
      <c r="H7203" s="733"/>
      <c r="I7203" s="733"/>
      <c r="J7203" s="733"/>
      <c r="K7203" s="733"/>
      <c r="L7203" s="733"/>
      <c r="M7203" s="733"/>
    </row>
    <row r="7204" spans="1:13" x14ac:dyDescent="0.3">
      <c r="A7204" s="733" t="s">
        <v>7250</v>
      </c>
      <c r="B7204" s="733" t="s">
        <v>612</v>
      </c>
      <c r="C7204" s="738" t="s">
        <v>7275</v>
      </c>
      <c r="D7204" s="733"/>
      <c r="E7204" s="733"/>
      <c r="G7204" s="733"/>
      <c r="H7204" s="733"/>
      <c r="I7204" s="733"/>
      <c r="J7204" s="733"/>
      <c r="K7204" s="733"/>
      <c r="L7204" s="733"/>
      <c r="M7204" s="733"/>
    </row>
    <row r="7205" spans="1:13" x14ac:dyDescent="0.3">
      <c r="A7205" s="733" t="s">
        <v>7250</v>
      </c>
      <c r="B7205" s="733" t="s">
        <v>612</v>
      </c>
      <c r="C7205" s="738" t="s">
        <v>7276</v>
      </c>
      <c r="D7205" s="733"/>
      <c r="E7205" s="733"/>
      <c r="G7205" s="733"/>
      <c r="H7205" s="733"/>
      <c r="I7205" s="733"/>
      <c r="J7205" s="733"/>
      <c r="K7205" s="733"/>
      <c r="L7205" s="733"/>
      <c r="M7205" s="733"/>
    </row>
    <row r="7206" spans="1:13" x14ac:dyDescent="0.3">
      <c r="A7206" s="733" t="s">
        <v>7250</v>
      </c>
      <c r="B7206" s="733" t="s">
        <v>612</v>
      </c>
      <c r="C7206" s="738" t="s">
        <v>7277</v>
      </c>
      <c r="D7206" s="733"/>
      <c r="E7206" s="733"/>
      <c r="G7206" s="733"/>
      <c r="H7206" s="733"/>
      <c r="I7206" s="733"/>
      <c r="J7206" s="733"/>
      <c r="K7206" s="733"/>
      <c r="L7206" s="733"/>
      <c r="M7206" s="733"/>
    </row>
    <row r="7207" spans="1:13" x14ac:dyDescent="0.3">
      <c r="A7207" s="733" t="s">
        <v>7250</v>
      </c>
      <c r="B7207" s="733" t="s">
        <v>612</v>
      </c>
      <c r="C7207" s="738" t="s">
        <v>7278</v>
      </c>
      <c r="D7207" s="733"/>
      <c r="E7207" s="733"/>
      <c r="G7207" s="733"/>
      <c r="H7207" s="733"/>
      <c r="I7207" s="733"/>
      <c r="J7207" s="733"/>
      <c r="K7207" s="733"/>
      <c r="L7207" s="733"/>
      <c r="M7207" s="733"/>
    </row>
    <row r="7208" spans="1:13" x14ac:dyDescent="0.3">
      <c r="A7208" s="733" t="s">
        <v>7250</v>
      </c>
      <c r="B7208" s="733" t="s">
        <v>612</v>
      </c>
      <c r="C7208" s="738" t="s">
        <v>7279</v>
      </c>
      <c r="D7208" s="733"/>
      <c r="E7208" s="733"/>
      <c r="G7208" s="733"/>
      <c r="H7208" s="733"/>
      <c r="I7208" s="733"/>
      <c r="J7208" s="733"/>
      <c r="K7208" s="733"/>
      <c r="L7208" s="733"/>
      <c r="M7208" s="733"/>
    </row>
    <row r="7209" spans="1:13" x14ac:dyDescent="0.3">
      <c r="A7209" s="733" t="s">
        <v>7280</v>
      </c>
      <c r="B7209" s="733" t="s">
        <v>645</v>
      </c>
      <c r="C7209" s="738" t="s">
        <v>7281</v>
      </c>
      <c r="D7209" s="733"/>
      <c r="E7209" s="733"/>
      <c r="G7209" s="733"/>
      <c r="H7209" s="733"/>
      <c r="I7209" s="733"/>
      <c r="J7209" s="733"/>
      <c r="K7209" s="733"/>
      <c r="L7209" s="733"/>
      <c r="M7209" s="733"/>
    </row>
    <row r="7210" spans="1:13" x14ac:dyDescent="0.3">
      <c r="A7210" s="733" t="s">
        <v>7280</v>
      </c>
      <c r="B7210" s="733" t="s">
        <v>645</v>
      </c>
      <c r="C7210" s="738" t="s">
        <v>7282</v>
      </c>
      <c r="D7210" s="733"/>
      <c r="E7210" s="733"/>
      <c r="G7210" s="733"/>
      <c r="H7210" s="733"/>
      <c r="I7210" s="733"/>
      <c r="J7210" s="733"/>
      <c r="K7210" s="733"/>
      <c r="L7210" s="733"/>
      <c r="M7210" s="733"/>
    </row>
    <row r="7211" spans="1:13" x14ac:dyDescent="0.3">
      <c r="A7211" s="733" t="s">
        <v>7280</v>
      </c>
      <c r="B7211" s="733" t="s">
        <v>645</v>
      </c>
      <c r="C7211" s="738" t="s">
        <v>7283</v>
      </c>
      <c r="D7211" s="733"/>
      <c r="E7211" s="733"/>
      <c r="G7211" s="733"/>
      <c r="H7211" s="733"/>
      <c r="I7211" s="733"/>
      <c r="J7211" s="733"/>
      <c r="K7211" s="733"/>
      <c r="L7211" s="733"/>
      <c r="M7211" s="733"/>
    </row>
    <row r="7212" spans="1:13" x14ac:dyDescent="0.3">
      <c r="A7212" s="733" t="s">
        <v>7280</v>
      </c>
      <c r="B7212" s="733" t="s">
        <v>645</v>
      </c>
      <c r="C7212" s="738" t="s">
        <v>7284</v>
      </c>
      <c r="D7212" s="733"/>
      <c r="E7212" s="733"/>
      <c r="G7212" s="733"/>
      <c r="H7212" s="733"/>
      <c r="I7212" s="733"/>
      <c r="J7212" s="733"/>
      <c r="K7212" s="733"/>
      <c r="L7212" s="733"/>
      <c r="M7212" s="733"/>
    </row>
    <row r="7213" spans="1:13" x14ac:dyDescent="0.3">
      <c r="A7213" s="733" t="s">
        <v>7280</v>
      </c>
      <c r="B7213" s="733" t="s">
        <v>645</v>
      </c>
      <c r="C7213" s="738" t="s">
        <v>7285</v>
      </c>
      <c r="D7213" s="733"/>
      <c r="E7213" s="733"/>
      <c r="G7213" s="733"/>
      <c r="H7213" s="733"/>
      <c r="I7213" s="733"/>
      <c r="J7213" s="733"/>
      <c r="K7213" s="733"/>
      <c r="L7213" s="733"/>
      <c r="M7213" s="733"/>
    </row>
    <row r="7214" spans="1:13" x14ac:dyDescent="0.3">
      <c r="A7214" s="733" t="s">
        <v>7280</v>
      </c>
      <c r="B7214" s="733" t="s">
        <v>645</v>
      </c>
      <c r="C7214" s="738" t="s">
        <v>7286</v>
      </c>
      <c r="D7214" s="733"/>
      <c r="E7214" s="733"/>
      <c r="G7214" s="733"/>
      <c r="H7214" s="733"/>
      <c r="I7214" s="733"/>
      <c r="J7214" s="733"/>
      <c r="K7214" s="733"/>
      <c r="L7214" s="733"/>
      <c r="M7214" s="733"/>
    </row>
    <row r="7215" spans="1:13" x14ac:dyDescent="0.3">
      <c r="A7215" s="733" t="s">
        <v>7280</v>
      </c>
      <c r="B7215" s="733" t="s">
        <v>645</v>
      </c>
      <c r="C7215" s="738" t="s">
        <v>7287</v>
      </c>
      <c r="D7215" s="733"/>
      <c r="E7215" s="733"/>
      <c r="G7215" s="733"/>
      <c r="H7215" s="733"/>
      <c r="I7215" s="733"/>
      <c r="J7215" s="733"/>
      <c r="K7215" s="733"/>
      <c r="L7215" s="733"/>
      <c r="M7215" s="733"/>
    </row>
    <row r="7216" spans="1:13" x14ac:dyDescent="0.3">
      <c r="A7216" s="733" t="s">
        <v>7280</v>
      </c>
      <c r="B7216" s="733" t="s">
        <v>645</v>
      </c>
      <c r="C7216" s="738" t="s">
        <v>7288</v>
      </c>
      <c r="D7216" s="733"/>
      <c r="E7216" s="733"/>
      <c r="G7216" s="733"/>
      <c r="H7216" s="733"/>
      <c r="I7216" s="733"/>
      <c r="J7216" s="733"/>
      <c r="K7216" s="733"/>
      <c r="L7216" s="733"/>
      <c r="M7216" s="733"/>
    </row>
    <row r="7217" spans="1:13" x14ac:dyDescent="0.3">
      <c r="A7217" s="733" t="s">
        <v>7280</v>
      </c>
      <c r="B7217" s="733" t="s">
        <v>645</v>
      </c>
      <c r="C7217" s="738" t="s">
        <v>7289</v>
      </c>
      <c r="D7217" s="733"/>
      <c r="E7217" s="733"/>
      <c r="G7217" s="733"/>
      <c r="H7217" s="733"/>
      <c r="I7217" s="733"/>
      <c r="J7217" s="733"/>
      <c r="K7217" s="733"/>
      <c r="L7217" s="733"/>
      <c r="M7217" s="733"/>
    </row>
    <row r="7218" spans="1:13" x14ac:dyDescent="0.3">
      <c r="A7218" s="733" t="s">
        <v>7280</v>
      </c>
      <c r="B7218" s="733" t="s">
        <v>645</v>
      </c>
      <c r="C7218" s="738" t="s">
        <v>7290</v>
      </c>
      <c r="D7218" s="733"/>
      <c r="E7218" s="733"/>
      <c r="G7218" s="733"/>
      <c r="H7218" s="733"/>
      <c r="I7218" s="733"/>
      <c r="J7218" s="733"/>
      <c r="K7218" s="733"/>
      <c r="L7218" s="733"/>
      <c r="M7218" s="733"/>
    </row>
    <row r="7219" spans="1:13" x14ac:dyDescent="0.3">
      <c r="A7219" s="733" t="s">
        <v>7280</v>
      </c>
      <c r="B7219" s="733" t="s">
        <v>664</v>
      </c>
      <c r="C7219" s="738" t="s">
        <v>7291</v>
      </c>
      <c r="D7219" s="733"/>
      <c r="E7219" s="733"/>
      <c r="G7219" s="733"/>
      <c r="H7219" s="733"/>
      <c r="I7219" s="733"/>
      <c r="J7219" s="733"/>
      <c r="K7219" s="733"/>
      <c r="L7219" s="733"/>
      <c r="M7219" s="733"/>
    </row>
    <row r="7220" spans="1:13" x14ac:dyDescent="0.3">
      <c r="A7220" s="733" t="s">
        <v>7280</v>
      </c>
      <c r="B7220" s="733" t="s">
        <v>664</v>
      </c>
      <c r="C7220" s="738" t="s">
        <v>7292</v>
      </c>
      <c r="D7220" s="733"/>
      <c r="E7220" s="733"/>
      <c r="G7220" s="733"/>
      <c r="H7220" s="733"/>
      <c r="I7220" s="733"/>
      <c r="J7220" s="733"/>
      <c r="K7220" s="733"/>
      <c r="L7220" s="733"/>
      <c r="M7220" s="733"/>
    </row>
    <row r="7221" spans="1:13" x14ac:dyDescent="0.3">
      <c r="A7221" s="733" t="s">
        <v>7280</v>
      </c>
      <c r="B7221" s="733" t="s">
        <v>664</v>
      </c>
      <c r="C7221" s="738" t="s">
        <v>7293</v>
      </c>
      <c r="D7221" s="733"/>
      <c r="E7221" s="733"/>
      <c r="G7221" s="733"/>
      <c r="H7221" s="733"/>
      <c r="I7221" s="733"/>
      <c r="J7221" s="733"/>
      <c r="K7221" s="733"/>
      <c r="L7221" s="733"/>
      <c r="M7221" s="733"/>
    </row>
    <row r="7222" spans="1:13" x14ac:dyDescent="0.3">
      <c r="A7222" s="733" t="s">
        <v>7280</v>
      </c>
      <c r="B7222" s="733" t="s">
        <v>664</v>
      </c>
      <c r="C7222" s="738" t="s">
        <v>7294</v>
      </c>
      <c r="D7222" s="733"/>
      <c r="E7222" s="733"/>
      <c r="G7222" s="733"/>
      <c r="H7222" s="733"/>
      <c r="I7222" s="733"/>
      <c r="J7222" s="733"/>
      <c r="K7222" s="733"/>
      <c r="L7222" s="733"/>
      <c r="M7222" s="733"/>
    </row>
    <row r="7223" spans="1:13" x14ac:dyDescent="0.3">
      <c r="A7223" s="733" t="s">
        <v>7280</v>
      </c>
      <c r="B7223" s="733" t="s">
        <v>664</v>
      </c>
      <c r="C7223" s="738" t="s">
        <v>7295</v>
      </c>
      <c r="D7223" s="733"/>
      <c r="E7223" s="733"/>
      <c r="G7223" s="733"/>
      <c r="H7223" s="733"/>
      <c r="I7223" s="733"/>
      <c r="J7223" s="733"/>
      <c r="K7223" s="733"/>
      <c r="L7223" s="733"/>
      <c r="M7223" s="733"/>
    </row>
    <row r="7224" spans="1:13" x14ac:dyDescent="0.3">
      <c r="A7224" s="733" t="s">
        <v>7280</v>
      </c>
      <c r="B7224" s="733" t="s">
        <v>664</v>
      </c>
      <c r="C7224" s="738" t="s">
        <v>7296</v>
      </c>
      <c r="D7224" s="733"/>
      <c r="E7224" s="733"/>
      <c r="G7224" s="733"/>
      <c r="H7224" s="733"/>
      <c r="I7224" s="733"/>
      <c r="J7224" s="733"/>
      <c r="K7224" s="733"/>
      <c r="L7224" s="733"/>
      <c r="M7224" s="733"/>
    </row>
    <row r="7225" spans="1:13" x14ac:dyDescent="0.3">
      <c r="A7225" s="733" t="s">
        <v>7280</v>
      </c>
      <c r="B7225" s="733" t="s">
        <v>664</v>
      </c>
      <c r="C7225" s="738" t="s">
        <v>7297</v>
      </c>
      <c r="D7225" s="733"/>
      <c r="E7225" s="733"/>
      <c r="G7225" s="733"/>
      <c r="H7225" s="733"/>
      <c r="I7225" s="733"/>
      <c r="J7225" s="733"/>
      <c r="K7225" s="733"/>
      <c r="L7225" s="733"/>
      <c r="M7225" s="733"/>
    </row>
    <row r="7226" spans="1:13" x14ac:dyDescent="0.3">
      <c r="A7226" s="733" t="s">
        <v>7280</v>
      </c>
      <c r="B7226" s="733" t="s">
        <v>664</v>
      </c>
      <c r="C7226" s="738" t="s">
        <v>7298</v>
      </c>
      <c r="D7226" s="733"/>
      <c r="E7226" s="733"/>
      <c r="G7226" s="733"/>
      <c r="H7226" s="733"/>
      <c r="I7226" s="733"/>
      <c r="J7226" s="733"/>
      <c r="K7226" s="733"/>
      <c r="L7226" s="733"/>
      <c r="M7226" s="733"/>
    </row>
    <row r="7227" spans="1:13" x14ac:dyDescent="0.3">
      <c r="A7227" s="733" t="s">
        <v>7280</v>
      </c>
      <c r="B7227" s="733" t="s">
        <v>664</v>
      </c>
      <c r="C7227" s="738" t="s">
        <v>7299</v>
      </c>
      <c r="D7227" s="733"/>
      <c r="E7227" s="733"/>
      <c r="G7227" s="733"/>
      <c r="H7227" s="733"/>
      <c r="I7227" s="733"/>
      <c r="J7227" s="733"/>
      <c r="K7227" s="733"/>
      <c r="L7227" s="733"/>
      <c r="M7227" s="733"/>
    </row>
    <row r="7228" spans="1:13" x14ac:dyDescent="0.3">
      <c r="A7228" s="733" t="s">
        <v>7280</v>
      </c>
      <c r="B7228" s="733" t="s">
        <v>664</v>
      </c>
      <c r="C7228" s="738" t="s">
        <v>7300</v>
      </c>
      <c r="D7228" s="733"/>
      <c r="E7228" s="733"/>
      <c r="G7228" s="733"/>
      <c r="H7228" s="733"/>
      <c r="I7228" s="733"/>
      <c r="J7228" s="733"/>
      <c r="K7228" s="733"/>
      <c r="L7228" s="733"/>
      <c r="M7228" s="733"/>
    </row>
    <row r="7229" spans="1:13" x14ac:dyDescent="0.3">
      <c r="A7229" s="733" t="s">
        <v>7280</v>
      </c>
      <c r="B7229" s="733" t="s">
        <v>612</v>
      </c>
      <c r="C7229" s="738" t="s">
        <v>7301</v>
      </c>
      <c r="D7229" s="733"/>
      <c r="E7229" s="733"/>
      <c r="G7229" s="733"/>
      <c r="H7229" s="733"/>
      <c r="I7229" s="733"/>
      <c r="J7229" s="733"/>
      <c r="K7229" s="733"/>
      <c r="L7229" s="733"/>
      <c r="M7229" s="733"/>
    </row>
    <row r="7230" spans="1:13" x14ac:dyDescent="0.3">
      <c r="A7230" s="733" t="s">
        <v>7280</v>
      </c>
      <c r="B7230" s="733" t="s">
        <v>612</v>
      </c>
      <c r="C7230" s="738" t="s">
        <v>7302</v>
      </c>
      <c r="D7230" s="733"/>
      <c r="E7230" s="733"/>
      <c r="G7230" s="733"/>
      <c r="H7230" s="733"/>
      <c r="I7230" s="733"/>
      <c r="J7230" s="733"/>
      <c r="K7230" s="733"/>
      <c r="L7230" s="733"/>
      <c r="M7230" s="733"/>
    </row>
    <row r="7231" spans="1:13" x14ac:dyDescent="0.3">
      <c r="A7231" s="733" t="s">
        <v>7280</v>
      </c>
      <c r="B7231" s="733" t="s">
        <v>612</v>
      </c>
      <c r="C7231" s="738" t="s">
        <v>7303</v>
      </c>
      <c r="D7231" s="733"/>
      <c r="E7231" s="733"/>
      <c r="G7231" s="733"/>
      <c r="H7231" s="733"/>
      <c r="I7231" s="733"/>
      <c r="J7231" s="733"/>
      <c r="K7231" s="733"/>
      <c r="L7231" s="733"/>
      <c r="M7231" s="733"/>
    </row>
    <row r="7232" spans="1:13" x14ac:dyDescent="0.3">
      <c r="A7232" s="733" t="s">
        <v>7280</v>
      </c>
      <c r="B7232" s="733" t="s">
        <v>612</v>
      </c>
      <c r="C7232" s="738" t="s">
        <v>7304</v>
      </c>
      <c r="D7232" s="733"/>
      <c r="E7232" s="733"/>
      <c r="G7232" s="733"/>
      <c r="H7232" s="733"/>
      <c r="I7232" s="733"/>
      <c r="J7232" s="733"/>
      <c r="K7232" s="733"/>
      <c r="L7232" s="733"/>
      <c r="M7232" s="733"/>
    </row>
    <row r="7233" spans="1:13" x14ac:dyDescent="0.3">
      <c r="A7233" s="733" t="s">
        <v>7280</v>
      </c>
      <c r="B7233" s="733" t="s">
        <v>612</v>
      </c>
      <c r="C7233" s="738" t="s">
        <v>7305</v>
      </c>
      <c r="D7233" s="733"/>
      <c r="E7233" s="733"/>
      <c r="G7233" s="733"/>
      <c r="H7233" s="733"/>
      <c r="I7233" s="733"/>
      <c r="J7233" s="733"/>
      <c r="K7233" s="733"/>
      <c r="L7233" s="733"/>
      <c r="M7233" s="733"/>
    </row>
    <row r="7234" spans="1:13" x14ac:dyDescent="0.3">
      <c r="A7234" s="733" t="s">
        <v>7280</v>
      </c>
      <c r="B7234" s="733" t="s">
        <v>612</v>
      </c>
      <c r="C7234" s="738" t="s">
        <v>7306</v>
      </c>
      <c r="D7234" s="733"/>
      <c r="E7234" s="733"/>
      <c r="G7234" s="733"/>
      <c r="H7234" s="733"/>
      <c r="I7234" s="733"/>
      <c r="J7234" s="733"/>
      <c r="K7234" s="733"/>
      <c r="L7234" s="733"/>
      <c r="M7234" s="733"/>
    </row>
    <row r="7235" spans="1:13" x14ac:dyDescent="0.3">
      <c r="A7235" s="733" t="s">
        <v>7280</v>
      </c>
      <c r="B7235" s="733" t="s">
        <v>612</v>
      </c>
      <c r="C7235" s="738" t="s">
        <v>7307</v>
      </c>
      <c r="D7235" s="733"/>
      <c r="E7235" s="733"/>
      <c r="G7235" s="733"/>
      <c r="H7235" s="733"/>
      <c r="I7235" s="733"/>
      <c r="J7235" s="733"/>
      <c r="K7235" s="733"/>
      <c r="L7235" s="733"/>
      <c r="M7235" s="733"/>
    </row>
    <row r="7236" spans="1:13" x14ac:dyDescent="0.3">
      <c r="A7236" s="733" t="s">
        <v>7280</v>
      </c>
      <c r="B7236" s="733" t="s">
        <v>612</v>
      </c>
      <c r="C7236" s="738" t="s">
        <v>7308</v>
      </c>
      <c r="D7236" s="733"/>
      <c r="E7236" s="733"/>
      <c r="G7236" s="733"/>
      <c r="H7236" s="733"/>
      <c r="I7236" s="733"/>
      <c r="J7236" s="733"/>
      <c r="K7236" s="733"/>
      <c r="L7236" s="733"/>
      <c r="M7236" s="733"/>
    </row>
    <row r="7237" spans="1:13" x14ac:dyDescent="0.3">
      <c r="A7237" s="733" t="s">
        <v>7280</v>
      </c>
      <c r="B7237" s="733" t="s">
        <v>612</v>
      </c>
      <c r="C7237" s="738" t="s">
        <v>7309</v>
      </c>
      <c r="D7237" s="733"/>
      <c r="E7237" s="733"/>
      <c r="G7237" s="733"/>
      <c r="H7237" s="733"/>
      <c r="I7237" s="733"/>
      <c r="J7237" s="733"/>
      <c r="K7237" s="733"/>
      <c r="L7237" s="733"/>
      <c r="M7237" s="733"/>
    </row>
    <row r="7238" spans="1:13" x14ac:dyDescent="0.3">
      <c r="A7238" s="733" t="s">
        <v>7280</v>
      </c>
      <c r="B7238" s="733" t="s">
        <v>612</v>
      </c>
      <c r="C7238" s="738" t="s">
        <v>7310</v>
      </c>
      <c r="D7238" s="733"/>
      <c r="E7238" s="733"/>
      <c r="G7238" s="733"/>
      <c r="H7238" s="733"/>
      <c r="I7238" s="733"/>
      <c r="J7238" s="733"/>
      <c r="K7238" s="733"/>
      <c r="L7238" s="733"/>
      <c r="M7238" s="733"/>
    </row>
    <row r="7239" spans="1:13" x14ac:dyDescent="0.3">
      <c r="A7239" s="733" t="s">
        <v>7311</v>
      </c>
      <c r="B7239" s="733" t="s">
        <v>645</v>
      </c>
      <c r="C7239" s="738" t="s">
        <v>7312</v>
      </c>
      <c r="D7239" s="733"/>
      <c r="E7239" s="733"/>
      <c r="G7239" s="733"/>
      <c r="H7239" s="733"/>
      <c r="I7239" s="733"/>
      <c r="J7239" s="733"/>
      <c r="K7239" s="733"/>
      <c r="L7239" s="733"/>
      <c r="M7239" s="733"/>
    </row>
    <row r="7240" spans="1:13" x14ac:dyDescent="0.3">
      <c r="A7240" s="733" t="s">
        <v>7311</v>
      </c>
      <c r="B7240" s="733" t="s">
        <v>645</v>
      </c>
      <c r="C7240" s="738" t="s">
        <v>7313</v>
      </c>
      <c r="D7240" s="733"/>
      <c r="E7240" s="733"/>
      <c r="G7240" s="733"/>
      <c r="H7240" s="733"/>
      <c r="I7240" s="733"/>
      <c r="J7240" s="733"/>
      <c r="K7240" s="733"/>
      <c r="L7240" s="733"/>
      <c r="M7240" s="733"/>
    </row>
    <row r="7241" spans="1:13" x14ac:dyDescent="0.3">
      <c r="A7241" s="733" t="s">
        <v>7311</v>
      </c>
      <c r="B7241" s="733" t="s">
        <v>645</v>
      </c>
      <c r="C7241" s="738" t="s">
        <v>7314</v>
      </c>
      <c r="D7241" s="733"/>
      <c r="E7241" s="733"/>
      <c r="G7241" s="733"/>
      <c r="H7241" s="733"/>
      <c r="I7241" s="733"/>
      <c r="J7241" s="733"/>
      <c r="K7241" s="733"/>
      <c r="L7241" s="733"/>
      <c r="M7241" s="733"/>
    </row>
    <row r="7242" spans="1:13" x14ac:dyDescent="0.3">
      <c r="A7242" s="733" t="s">
        <v>7311</v>
      </c>
      <c r="B7242" s="733" t="s">
        <v>645</v>
      </c>
      <c r="C7242" s="738" t="s">
        <v>7315</v>
      </c>
      <c r="D7242" s="733"/>
      <c r="E7242" s="733"/>
      <c r="G7242" s="733"/>
      <c r="H7242" s="733"/>
      <c r="I7242" s="733"/>
      <c r="J7242" s="733"/>
      <c r="K7242" s="733"/>
      <c r="L7242" s="733"/>
      <c r="M7242" s="733"/>
    </row>
    <row r="7243" spans="1:13" x14ac:dyDescent="0.3">
      <c r="A7243" s="733" t="s">
        <v>7311</v>
      </c>
      <c r="B7243" s="733" t="s">
        <v>645</v>
      </c>
      <c r="C7243" s="738" t="s">
        <v>7316</v>
      </c>
      <c r="D7243" s="733"/>
      <c r="E7243" s="733"/>
      <c r="G7243" s="733"/>
      <c r="H7243" s="733"/>
      <c r="I7243" s="733"/>
      <c r="J7243" s="733"/>
      <c r="K7243" s="733"/>
      <c r="L7243" s="733"/>
      <c r="M7243" s="733"/>
    </row>
    <row r="7244" spans="1:13" x14ac:dyDescent="0.3">
      <c r="A7244" s="733" t="s">
        <v>7311</v>
      </c>
      <c r="B7244" s="733" t="s">
        <v>664</v>
      </c>
      <c r="C7244" s="738" t="s">
        <v>7317</v>
      </c>
      <c r="D7244" s="733"/>
      <c r="E7244" s="733"/>
      <c r="G7244" s="733"/>
      <c r="H7244" s="733"/>
      <c r="I7244" s="733"/>
      <c r="J7244" s="733"/>
      <c r="K7244" s="733"/>
      <c r="L7244" s="733"/>
      <c r="M7244" s="733"/>
    </row>
    <row r="7245" spans="1:13" x14ac:dyDescent="0.3">
      <c r="A7245" s="733" t="s">
        <v>7311</v>
      </c>
      <c r="B7245" s="733" t="s">
        <v>664</v>
      </c>
      <c r="C7245" s="738" t="s">
        <v>7318</v>
      </c>
      <c r="D7245" s="733"/>
      <c r="E7245" s="733"/>
      <c r="G7245" s="733"/>
      <c r="H7245" s="733"/>
      <c r="I7245" s="733"/>
      <c r="J7245" s="733"/>
      <c r="K7245" s="733"/>
      <c r="L7245" s="733"/>
      <c r="M7245" s="733"/>
    </row>
    <row r="7246" spans="1:13" x14ac:dyDescent="0.3">
      <c r="A7246" s="733" t="s">
        <v>7311</v>
      </c>
      <c r="B7246" s="733" t="s">
        <v>664</v>
      </c>
      <c r="C7246" s="738" t="s">
        <v>7319</v>
      </c>
      <c r="D7246" s="733"/>
      <c r="E7246" s="733"/>
      <c r="G7246" s="733"/>
      <c r="H7246" s="733"/>
      <c r="I7246" s="733"/>
      <c r="J7246" s="733"/>
      <c r="K7246" s="733"/>
      <c r="L7246" s="733"/>
      <c r="M7246" s="733"/>
    </row>
    <row r="7247" spans="1:13" x14ac:dyDescent="0.3">
      <c r="A7247" s="733" t="s">
        <v>7311</v>
      </c>
      <c r="B7247" s="733" t="s">
        <v>664</v>
      </c>
      <c r="C7247" s="738" t="s">
        <v>7320</v>
      </c>
      <c r="D7247" s="733"/>
      <c r="E7247" s="733"/>
      <c r="G7247" s="733"/>
      <c r="H7247" s="733"/>
      <c r="I7247" s="733"/>
      <c r="J7247" s="733"/>
      <c r="K7247" s="733"/>
      <c r="L7247" s="733"/>
      <c r="M7247" s="733"/>
    </row>
    <row r="7248" spans="1:13" x14ac:dyDescent="0.3">
      <c r="A7248" s="733" t="s">
        <v>7311</v>
      </c>
      <c r="B7248" s="733" t="s">
        <v>664</v>
      </c>
      <c r="C7248" s="738" t="s">
        <v>7321</v>
      </c>
      <c r="D7248" s="733"/>
      <c r="E7248" s="733"/>
      <c r="G7248" s="733"/>
      <c r="H7248" s="733"/>
      <c r="I7248" s="733"/>
      <c r="J7248" s="733"/>
      <c r="K7248" s="733"/>
      <c r="L7248" s="733"/>
      <c r="M7248" s="733"/>
    </row>
    <row r="7249" spans="1:13" x14ac:dyDescent="0.3">
      <c r="A7249" s="733" t="s">
        <v>7311</v>
      </c>
      <c r="B7249" s="733" t="s">
        <v>612</v>
      </c>
      <c r="C7249" s="738" t="s">
        <v>7322</v>
      </c>
      <c r="D7249" s="733"/>
      <c r="E7249" s="733"/>
      <c r="G7249" s="733"/>
      <c r="H7249" s="733"/>
      <c r="I7249" s="733"/>
      <c r="J7249" s="733"/>
      <c r="K7249" s="733"/>
      <c r="L7249" s="733"/>
      <c r="M7249" s="733"/>
    </row>
    <row r="7250" spans="1:13" x14ac:dyDescent="0.3">
      <c r="A7250" s="733" t="s">
        <v>7311</v>
      </c>
      <c r="B7250" s="733" t="s">
        <v>612</v>
      </c>
      <c r="C7250" s="738" t="s">
        <v>7323</v>
      </c>
      <c r="D7250" s="733"/>
      <c r="E7250" s="733"/>
      <c r="G7250" s="733"/>
      <c r="H7250" s="733"/>
      <c r="I7250" s="733"/>
      <c r="J7250" s="733"/>
      <c r="K7250" s="733"/>
      <c r="L7250" s="733"/>
      <c r="M7250" s="733"/>
    </row>
    <row r="7251" spans="1:13" x14ac:dyDescent="0.3">
      <c r="A7251" s="733" t="s">
        <v>7311</v>
      </c>
      <c r="B7251" s="733" t="s">
        <v>612</v>
      </c>
      <c r="C7251" s="738" t="s">
        <v>7324</v>
      </c>
      <c r="D7251" s="733"/>
      <c r="E7251" s="733"/>
      <c r="G7251" s="733"/>
      <c r="H7251" s="733"/>
      <c r="I7251" s="733"/>
      <c r="J7251" s="733"/>
      <c r="K7251" s="733"/>
      <c r="L7251" s="733"/>
      <c r="M7251" s="733"/>
    </row>
    <row r="7252" spans="1:13" x14ac:dyDescent="0.3">
      <c r="A7252" s="733" t="s">
        <v>7311</v>
      </c>
      <c r="B7252" s="733" t="s">
        <v>612</v>
      </c>
      <c r="C7252" s="738" t="s">
        <v>7325</v>
      </c>
      <c r="D7252" s="733"/>
      <c r="E7252" s="733"/>
      <c r="G7252" s="733"/>
      <c r="H7252" s="733"/>
      <c r="I7252" s="733"/>
      <c r="J7252" s="733"/>
      <c r="K7252" s="733"/>
      <c r="L7252" s="733"/>
      <c r="M7252" s="733"/>
    </row>
    <row r="7253" spans="1:13" x14ac:dyDescent="0.3">
      <c r="A7253" s="733" t="s">
        <v>7311</v>
      </c>
      <c r="B7253" s="733" t="s">
        <v>612</v>
      </c>
      <c r="C7253" s="738" t="s">
        <v>7326</v>
      </c>
      <c r="D7253" s="733"/>
      <c r="E7253" s="733"/>
      <c r="G7253" s="733"/>
      <c r="H7253" s="733"/>
      <c r="I7253" s="733"/>
      <c r="J7253" s="733"/>
      <c r="K7253" s="733"/>
      <c r="L7253" s="733"/>
      <c r="M7253" s="733"/>
    </row>
    <row r="7254" spans="1:13" x14ac:dyDescent="0.3">
      <c r="A7254" s="733" t="s">
        <v>7327</v>
      </c>
      <c r="B7254" s="733" t="s">
        <v>645</v>
      </c>
      <c r="C7254" s="738" t="s">
        <v>7328</v>
      </c>
      <c r="D7254" s="733"/>
      <c r="E7254" s="733"/>
      <c r="G7254" s="733"/>
      <c r="H7254" s="733"/>
      <c r="I7254" s="733"/>
      <c r="J7254" s="733"/>
      <c r="K7254" s="733"/>
      <c r="L7254" s="733"/>
      <c r="M7254" s="733"/>
    </row>
    <row r="7255" spans="1:13" x14ac:dyDescent="0.3">
      <c r="A7255" s="733" t="s">
        <v>7327</v>
      </c>
      <c r="B7255" s="733" t="s">
        <v>645</v>
      </c>
      <c r="C7255" s="738" t="s">
        <v>7329</v>
      </c>
      <c r="D7255" s="733"/>
      <c r="E7255" s="733"/>
      <c r="G7255" s="733"/>
      <c r="H7255" s="733"/>
      <c r="I7255" s="733"/>
      <c r="J7255" s="733"/>
      <c r="K7255" s="733"/>
      <c r="L7255" s="733"/>
      <c r="M7255" s="733"/>
    </row>
    <row r="7256" spans="1:13" x14ac:dyDescent="0.3">
      <c r="A7256" s="733" t="s">
        <v>7327</v>
      </c>
      <c r="B7256" s="733" t="s">
        <v>645</v>
      </c>
      <c r="C7256" s="738" t="s">
        <v>7330</v>
      </c>
      <c r="D7256" s="733"/>
      <c r="E7256" s="733"/>
      <c r="G7256" s="733"/>
      <c r="H7256" s="733"/>
      <c r="I7256" s="733"/>
      <c r="J7256" s="733"/>
      <c r="K7256" s="733"/>
      <c r="L7256" s="733"/>
      <c r="M7256" s="733"/>
    </row>
    <row r="7257" spans="1:13" x14ac:dyDescent="0.3">
      <c r="A7257" s="733" t="s">
        <v>7327</v>
      </c>
      <c r="B7257" s="733" t="s">
        <v>645</v>
      </c>
      <c r="C7257" s="738" t="s">
        <v>7331</v>
      </c>
      <c r="D7257" s="733"/>
      <c r="E7257" s="733"/>
      <c r="G7257" s="733"/>
      <c r="H7257" s="733"/>
      <c r="I7257" s="733"/>
      <c r="J7257" s="733"/>
      <c r="K7257" s="733"/>
      <c r="L7257" s="733"/>
      <c r="M7257" s="733"/>
    </row>
    <row r="7258" spans="1:13" x14ac:dyDescent="0.3">
      <c r="A7258" s="733" t="s">
        <v>7327</v>
      </c>
      <c r="B7258" s="733" t="s">
        <v>645</v>
      </c>
      <c r="C7258" s="738" t="s">
        <v>7332</v>
      </c>
      <c r="D7258" s="733"/>
      <c r="E7258" s="733"/>
      <c r="G7258" s="733"/>
      <c r="H7258" s="733"/>
      <c r="I7258" s="733"/>
      <c r="J7258" s="733"/>
      <c r="K7258" s="733"/>
      <c r="L7258" s="733"/>
      <c r="M7258" s="733"/>
    </row>
    <row r="7259" spans="1:13" x14ac:dyDescent="0.3">
      <c r="A7259" s="733" t="s">
        <v>7327</v>
      </c>
      <c r="B7259" s="733" t="s">
        <v>645</v>
      </c>
      <c r="C7259" s="738" t="s">
        <v>7333</v>
      </c>
      <c r="D7259" s="733"/>
      <c r="E7259" s="733"/>
      <c r="G7259" s="733"/>
      <c r="H7259" s="733"/>
      <c r="I7259" s="733"/>
      <c r="J7259" s="733"/>
      <c r="K7259" s="733"/>
      <c r="L7259" s="733"/>
      <c r="M7259" s="733"/>
    </row>
    <row r="7260" spans="1:13" x14ac:dyDescent="0.3">
      <c r="A7260" s="733" t="s">
        <v>7327</v>
      </c>
      <c r="B7260" s="733" t="s">
        <v>645</v>
      </c>
      <c r="C7260" s="738" t="s">
        <v>7334</v>
      </c>
      <c r="D7260" s="733"/>
      <c r="E7260" s="733"/>
      <c r="G7260" s="733"/>
      <c r="H7260" s="733"/>
      <c r="I7260" s="733"/>
      <c r="J7260" s="733"/>
      <c r="K7260" s="733"/>
      <c r="L7260" s="733"/>
      <c r="M7260" s="733"/>
    </row>
    <row r="7261" spans="1:13" x14ac:dyDescent="0.3">
      <c r="A7261" s="733" t="s">
        <v>7327</v>
      </c>
      <c r="B7261" s="733" t="s">
        <v>645</v>
      </c>
      <c r="C7261" s="738" t="s">
        <v>7335</v>
      </c>
      <c r="D7261" s="733"/>
      <c r="E7261" s="733"/>
      <c r="G7261" s="733"/>
      <c r="H7261" s="733"/>
      <c r="I7261" s="733"/>
      <c r="J7261" s="733"/>
      <c r="K7261" s="733"/>
      <c r="L7261" s="733"/>
      <c r="M7261" s="733"/>
    </row>
    <row r="7262" spans="1:13" x14ac:dyDescent="0.3">
      <c r="A7262" s="733" t="s">
        <v>7327</v>
      </c>
      <c r="B7262" s="733" t="s">
        <v>645</v>
      </c>
      <c r="C7262" s="738" t="s">
        <v>7336</v>
      </c>
      <c r="D7262" s="733"/>
      <c r="E7262" s="733"/>
      <c r="G7262" s="733"/>
      <c r="H7262" s="733"/>
      <c r="I7262" s="733"/>
      <c r="J7262" s="733"/>
      <c r="K7262" s="733"/>
      <c r="L7262" s="733"/>
      <c r="M7262" s="733"/>
    </row>
    <row r="7263" spans="1:13" x14ac:dyDescent="0.3">
      <c r="A7263" s="733" t="s">
        <v>7327</v>
      </c>
      <c r="B7263" s="733" t="s">
        <v>645</v>
      </c>
      <c r="C7263" s="738" t="s">
        <v>7337</v>
      </c>
      <c r="D7263" s="733"/>
      <c r="E7263" s="733"/>
      <c r="G7263" s="733"/>
      <c r="H7263" s="733"/>
      <c r="I7263" s="733"/>
      <c r="J7263" s="733"/>
      <c r="K7263" s="733"/>
      <c r="L7263" s="733"/>
      <c r="M7263" s="733"/>
    </row>
    <row r="7264" spans="1:13" x14ac:dyDescent="0.3">
      <c r="A7264" s="733" t="s">
        <v>7327</v>
      </c>
      <c r="B7264" s="733" t="s">
        <v>664</v>
      </c>
      <c r="C7264" s="738" t="s">
        <v>7338</v>
      </c>
      <c r="D7264" s="733"/>
      <c r="E7264" s="733"/>
      <c r="G7264" s="733"/>
      <c r="H7264" s="733"/>
      <c r="I7264" s="733"/>
      <c r="J7264" s="733"/>
      <c r="K7264" s="733"/>
      <c r="L7264" s="733"/>
      <c r="M7264" s="733"/>
    </row>
    <row r="7265" spans="1:13" x14ac:dyDescent="0.3">
      <c r="A7265" s="733" t="s">
        <v>7327</v>
      </c>
      <c r="B7265" s="733" t="s">
        <v>664</v>
      </c>
      <c r="C7265" s="738" t="s">
        <v>7339</v>
      </c>
      <c r="D7265" s="733"/>
      <c r="E7265" s="733"/>
      <c r="G7265" s="733"/>
      <c r="H7265" s="733"/>
      <c r="I7265" s="733"/>
      <c r="J7265" s="733"/>
      <c r="K7265" s="733"/>
      <c r="L7265" s="733"/>
      <c r="M7265" s="733"/>
    </row>
    <row r="7266" spans="1:13" x14ac:dyDescent="0.3">
      <c r="A7266" s="733" t="s">
        <v>7327</v>
      </c>
      <c r="B7266" s="733" t="s">
        <v>664</v>
      </c>
      <c r="C7266" s="738" t="s">
        <v>7340</v>
      </c>
      <c r="D7266" s="733"/>
      <c r="E7266" s="733"/>
      <c r="G7266" s="733"/>
      <c r="H7266" s="733"/>
      <c r="I7266" s="733"/>
      <c r="J7266" s="733"/>
      <c r="K7266" s="733"/>
      <c r="L7266" s="733"/>
      <c r="M7266" s="733"/>
    </row>
    <row r="7267" spans="1:13" x14ac:dyDescent="0.3">
      <c r="A7267" s="733" t="s">
        <v>7327</v>
      </c>
      <c r="B7267" s="733" t="s">
        <v>664</v>
      </c>
      <c r="C7267" s="738" t="s">
        <v>7341</v>
      </c>
      <c r="D7267" s="733"/>
      <c r="E7267" s="733"/>
      <c r="G7267" s="733"/>
      <c r="H7267" s="733"/>
      <c r="I7267" s="733"/>
      <c r="J7267" s="733"/>
      <c r="K7267" s="733"/>
      <c r="L7267" s="733"/>
      <c r="M7267" s="733"/>
    </row>
    <row r="7268" spans="1:13" x14ac:dyDescent="0.3">
      <c r="A7268" s="733" t="s">
        <v>7327</v>
      </c>
      <c r="B7268" s="733" t="s">
        <v>664</v>
      </c>
      <c r="C7268" s="738" t="s">
        <v>7342</v>
      </c>
      <c r="D7268" s="733"/>
      <c r="E7268" s="733"/>
      <c r="G7268" s="733"/>
      <c r="H7268" s="733"/>
      <c r="I7268" s="733"/>
      <c r="J7268" s="733"/>
      <c r="K7268" s="733"/>
      <c r="L7268" s="733"/>
      <c r="M7268" s="733"/>
    </row>
    <row r="7269" spans="1:13" x14ac:dyDescent="0.3">
      <c r="A7269" s="733" t="s">
        <v>7327</v>
      </c>
      <c r="B7269" s="733" t="s">
        <v>664</v>
      </c>
      <c r="C7269" s="738" t="s">
        <v>7343</v>
      </c>
      <c r="D7269" s="733"/>
      <c r="E7269" s="733"/>
      <c r="G7269" s="733"/>
      <c r="H7269" s="733"/>
      <c r="I7269" s="733"/>
      <c r="J7269" s="733"/>
      <c r="K7269" s="733"/>
      <c r="L7269" s="733"/>
      <c r="M7269" s="733"/>
    </row>
    <row r="7270" spans="1:13" x14ac:dyDescent="0.3">
      <c r="A7270" s="733" t="s">
        <v>7327</v>
      </c>
      <c r="B7270" s="733" t="s">
        <v>664</v>
      </c>
      <c r="C7270" s="738" t="s">
        <v>7344</v>
      </c>
      <c r="D7270" s="733"/>
      <c r="E7270" s="733"/>
      <c r="G7270" s="733"/>
      <c r="H7270" s="733"/>
      <c r="I7270" s="733"/>
      <c r="J7270" s="733"/>
      <c r="K7270" s="733"/>
      <c r="L7270" s="733"/>
      <c r="M7270" s="733"/>
    </row>
    <row r="7271" spans="1:13" x14ac:dyDescent="0.3">
      <c r="A7271" s="733" t="s">
        <v>7327</v>
      </c>
      <c r="B7271" s="733" t="s">
        <v>664</v>
      </c>
      <c r="C7271" s="738" t="s">
        <v>7345</v>
      </c>
      <c r="D7271" s="733"/>
      <c r="E7271" s="733"/>
      <c r="G7271" s="733"/>
      <c r="H7271" s="733"/>
      <c r="I7271" s="733"/>
      <c r="J7271" s="733"/>
      <c r="K7271" s="733"/>
      <c r="L7271" s="733"/>
      <c r="M7271" s="733"/>
    </row>
    <row r="7272" spans="1:13" x14ac:dyDescent="0.3">
      <c r="A7272" s="733" t="s">
        <v>7327</v>
      </c>
      <c r="B7272" s="733" t="s">
        <v>664</v>
      </c>
      <c r="C7272" s="738" t="s">
        <v>7346</v>
      </c>
      <c r="D7272" s="733"/>
      <c r="E7272" s="733"/>
      <c r="G7272" s="733"/>
      <c r="H7272" s="733"/>
      <c r="I7272" s="733"/>
      <c r="J7272" s="733"/>
      <c r="K7272" s="733"/>
      <c r="L7272" s="733"/>
      <c r="M7272" s="733"/>
    </row>
    <row r="7273" spans="1:13" x14ac:dyDescent="0.3">
      <c r="A7273" s="733" t="s">
        <v>7327</v>
      </c>
      <c r="B7273" s="733" t="s">
        <v>664</v>
      </c>
      <c r="C7273" s="738" t="s">
        <v>7347</v>
      </c>
      <c r="D7273" s="733"/>
      <c r="E7273" s="733"/>
      <c r="G7273" s="733"/>
      <c r="H7273" s="733"/>
      <c r="I7273" s="733"/>
      <c r="J7273" s="733"/>
      <c r="K7273" s="733"/>
      <c r="L7273" s="733"/>
      <c r="M7273" s="733"/>
    </row>
    <row r="7274" spans="1:13" x14ac:dyDescent="0.3">
      <c r="A7274" s="733" t="s">
        <v>7327</v>
      </c>
      <c r="B7274" s="733" t="s">
        <v>612</v>
      </c>
      <c r="C7274" s="738" t="s">
        <v>7348</v>
      </c>
      <c r="D7274" s="733"/>
      <c r="E7274" s="733"/>
      <c r="G7274" s="733"/>
      <c r="H7274" s="733"/>
      <c r="I7274" s="733"/>
      <c r="J7274" s="733"/>
      <c r="K7274" s="733"/>
      <c r="L7274" s="733"/>
      <c r="M7274" s="733"/>
    </row>
    <row r="7275" spans="1:13" x14ac:dyDescent="0.3">
      <c r="A7275" s="733" t="s">
        <v>7327</v>
      </c>
      <c r="B7275" s="733" t="s">
        <v>612</v>
      </c>
      <c r="C7275" s="738" t="s">
        <v>7349</v>
      </c>
      <c r="D7275" s="733"/>
      <c r="E7275" s="733"/>
      <c r="G7275" s="733"/>
      <c r="H7275" s="733"/>
      <c r="I7275" s="733"/>
      <c r="J7275" s="733"/>
      <c r="K7275" s="733"/>
      <c r="L7275" s="733"/>
      <c r="M7275" s="733"/>
    </row>
    <row r="7276" spans="1:13" x14ac:dyDescent="0.3">
      <c r="A7276" s="733" t="s">
        <v>7327</v>
      </c>
      <c r="B7276" s="733" t="s">
        <v>612</v>
      </c>
      <c r="C7276" s="738" t="s">
        <v>7350</v>
      </c>
      <c r="D7276" s="733"/>
      <c r="E7276" s="733"/>
      <c r="G7276" s="733"/>
      <c r="H7276" s="733"/>
      <c r="I7276" s="733"/>
      <c r="J7276" s="733"/>
      <c r="K7276" s="733"/>
      <c r="L7276" s="733"/>
      <c r="M7276" s="733"/>
    </row>
    <row r="7277" spans="1:13" x14ac:dyDescent="0.3">
      <c r="A7277" s="733" t="s">
        <v>7327</v>
      </c>
      <c r="B7277" s="733" t="s">
        <v>612</v>
      </c>
      <c r="C7277" s="738" t="s">
        <v>7351</v>
      </c>
      <c r="D7277" s="733"/>
      <c r="E7277" s="733"/>
      <c r="G7277" s="733"/>
      <c r="H7277" s="733"/>
      <c r="I7277" s="733"/>
      <c r="J7277" s="733"/>
      <c r="K7277" s="733"/>
      <c r="L7277" s="733"/>
      <c r="M7277" s="733"/>
    </row>
    <row r="7278" spans="1:13" x14ac:dyDescent="0.3">
      <c r="A7278" s="733" t="s">
        <v>7327</v>
      </c>
      <c r="B7278" s="733" t="s">
        <v>612</v>
      </c>
      <c r="C7278" s="738" t="s">
        <v>7352</v>
      </c>
      <c r="D7278" s="733"/>
      <c r="E7278" s="733"/>
      <c r="G7278" s="733"/>
      <c r="H7278" s="733"/>
      <c r="I7278" s="733"/>
      <c r="J7278" s="733"/>
      <c r="K7278" s="733"/>
      <c r="L7278" s="733"/>
      <c r="M7278" s="733"/>
    </row>
    <row r="7279" spans="1:13" x14ac:dyDescent="0.3">
      <c r="A7279" s="733" t="s">
        <v>7327</v>
      </c>
      <c r="B7279" s="733" t="s">
        <v>612</v>
      </c>
      <c r="C7279" s="738" t="s">
        <v>7353</v>
      </c>
      <c r="D7279" s="733"/>
      <c r="E7279" s="733"/>
      <c r="G7279" s="733"/>
      <c r="H7279" s="733"/>
      <c r="I7279" s="733"/>
      <c r="J7279" s="733"/>
      <c r="K7279" s="733"/>
      <c r="L7279" s="733"/>
      <c r="M7279" s="733"/>
    </row>
    <row r="7280" spans="1:13" x14ac:dyDescent="0.3">
      <c r="A7280" s="733" t="s">
        <v>7327</v>
      </c>
      <c r="B7280" s="733" t="s">
        <v>612</v>
      </c>
      <c r="C7280" s="738" t="s">
        <v>7354</v>
      </c>
      <c r="D7280" s="733"/>
      <c r="E7280" s="733"/>
      <c r="G7280" s="733"/>
      <c r="H7280" s="733"/>
      <c r="I7280" s="733"/>
      <c r="J7280" s="733"/>
      <c r="K7280" s="733"/>
      <c r="L7280" s="733"/>
      <c r="M7280" s="733"/>
    </row>
    <row r="7281" spans="1:13" x14ac:dyDescent="0.3">
      <c r="A7281" s="733" t="s">
        <v>7327</v>
      </c>
      <c r="B7281" s="733" t="s">
        <v>612</v>
      </c>
      <c r="C7281" s="738" t="s">
        <v>7355</v>
      </c>
      <c r="D7281" s="733"/>
      <c r="E7281" s="733"/>
      <c r="G7281" s="733"/>
      <c r="H7281" s="733"/>
      <c r="I7281" s="733"/>
      <c r="J7281" s="733"/>
      <c r="K7281" s="733"/>
      <c r="L7281" s="733"/>
      <c r="M7281" s="733"/>
    </row>
    <row r="7282" spans="1:13" x14ac:dyDescent="0.3">
      <c r="A7282" s="733" t="s">
        <v>7327</v>
      </c>
      <c r="B7282" s="733" t="s">
        <v>612</v>
      </c>
      <c r="C7282" s="738" t="s">
        <v>7356</v>
      </c>
      <c r="D7282" s="733"/>
      <c r="E7282" s="733"/>
      <c r="G7282" s="733"/>
      <c r="H7282" s="733"/>
      <c r="I7282" s="733"/>
      <c r="J7282" s="733"/>
      <c r="K7282" s="733"/>
      <c r="L7282" s="733"/>
      <c r="M7282" s="733"/>
    </row>
    <row r="7283" spans="1:13" x14ac:dyDescent="0.3">
      <c r="A7283" s="733" t="s">
        <v>7327</v>
      </c>
      <c r="B7283" s="733" t="s">
        <v>612</v>
      </c>
      <c r="C7283" s="738" t="s">
        <v>7357</v>
      </c>
      <c r="D7283" s="733"/>
      <c r="E7283" s="733"/>
      <c r="G7283" s="733"/>
      <c r="H7283" s="733"/>
      <c r="I7283" s="733"/>
      <c r="J7283" s="733"/>
      <c r="K7283" s="733"/>
      <c r="L7283" s="733"/>
      <c r="M7283" s="733"/>
    </row>
    <row r="7284" spans="1:13" x14ac:dyDescent="0.3">
      <c r="A7284" s="733" t="s">
        <v>7358</v>
      </c>
      <c r="B7284" s="733" t="s">
        <v>645</v>
      </c>
      <c r="C7284" s="738" t="s">
        <v>7359</v>
      </c>
      <c r="D7284" s="733"/>
      <c r="E7284" s="733"/>
      <c r="G7284" s="733"/>
      <c r="H7284" s="733"/>
      <c r="I7284" s="733"/>
      <c r="J7284" s="733"/>
      <c r="K7284" s="733"/>
      <c r="L7284" s="733"/>
      <c r="M7284" s="733"/>
    </row>
    <row r="7285" spans="1:13" x14ac:dyDescent="0.3">
      <c r="A7285" s="733" t="s">
        <v>7358</v>
      </c>
      <c r="B7285" s="733" t="s">
        <v>645</v>
      </c>
      <c r="C7285" s="738" t="s">
        <v>7360</v>
      </c>
      <c r="D7285" s="733"/>
      <c r="E7285" s="733"/>
      <c r="G7285" s="733"/>
      <c r="H7285" s="733"/>
      <c r="I7285" s="733"/>
      <c r="J7285" s="733"/>
      <c r="K7285" s="733"/>
      <c r="L7285" s="733"/>
      <c r="M7285" s="733"/>
    </row>
    <row r="7286" spans="1:13" x14ac:dyDescent="0.3">
      <c r="A7286" s="733" t="s">
        <v>7358</v>
      </c>
      <c r="B7286" s="733" t="s">
        <v>645</v>
      </c>
      <c r="C7286" s="738" t="s">
        <v>7361</v>
      </c>
      <c r="D7286" s="733"/>
      <c r="E7286" s="733"/>
      <c r="G7286" s="733"/>
      <c r="H7286" s="733"/>
      <c r="I7286" s="733"/>
      <c r="J7286" s="733"/>
      <c r="K7286" s="733"/>
      <c r="L7286" s="733"/>
      <c r="M7286" s="733"/>
    </row>
    <row r="7287" spans="1:13" x14ac:dyDescent="0.3">
      <c r="A7287" s="733" t="s">
        <v>7358</v>
      </c>
      <c r="B7287" s="733" t="s">
        <v>645</v>
      </c>
      <c r="C7287" s="738" t="s">
        <v>7362</v>
      </c>
      <c r="D7287" s="733"/>
      <c r="E7287" s="733"/>
      <c r="G7287" s="733"/>
      <c r="H7287" s="733"/>
      <c r="I7287" s="733"/>
      <c r="J7287" s="733"/>
      <c r="K7287" s="733"/>
      <c r="L7287" s="733"/>
      <c r="M7287" s="733"/>
    </row>
    <row r="7288" spans="1:13" x14ac:dyDescent="0.3">
      <c r="A7288" s="733" t="s">
        <v>7358</v>
      </c>
      <c r="B7288" s="733" t="s">
        <v>645</v>
      </c>
      <c r="C7288" s="738" t="s">
        <v>7363</v>
      </c>
      <c r="D7288" s="733"/>
      <c r="E7288" s="733"/>
      <c r="G7288" s="733"/>
      <c r="H7288" s="733"/>
      <c r="I7288" s="733"/>
      <c r="J7288" s="733"/>
      <c r="K7288" s="733"/>
      <c r="L7288" s="733"/>
      <c r="M7288" s="733"/>
    </row>
    <row r="7289" spans="1:13" x14ac:dyDescent="0.3">
      <c r="A7289" s="733" t="s">
        <v>7358</v>
      </c>
      <c r="B7289" s="733" t="s">
        <v>645</v>
      </c>
      <c r="C7289" s="738" t="s">
        <v>7364</v>
      </c>
      <c r="D7289" s="733"/>
      <c r="E7289" s="733"/>
      <c r="G7289" s="733"/>
      <c r="H7289" s="733"/>
      <c r="I7289" s="733"/>
      <c r="J7289" s="733"/>
      <c r="K7289" s="733"/>
      <c r="L7289" s="733"/>
      <c r="M7289" s="733"/>
    </row>
    <row r="7290" spans="1:13" x14ac:dyDescent="0.3">
      <c r="A7290" s="733" t="s">
        <v>7358</v>
      </c>
      <c r="B7290" s="733" t="s">
        <v>645</v>
      </c>
      <c r="C7290" s="738" t="s">
        <v>7365</v>
      </c>
      <c r="D7290" s="733"/>
      <c r="E7290" s="733"/>
      <c r="G7290" s="733"/>
      <c r="H7290" s="733"/>
      <c r="I7290" s="733"/>
      <c r="J7290" s="733"/>
      <c r="K7290" s="733"/>
      <c r="L7290" s="733"/>
      <c r="M7290" s="733"/>
    </row>
    <row r="7291" spans="1:13" x14ac:dyDescent="0.3">
      <c r="A7291" s="733" t="s">
        <v>7358</v>
      </c>
      <c r="B7291" s="733" t="s">
        <v>645</v>
      </c>
      <c r="C7291" s="738" t="s">
        <v>7366</v>
      </c>
      <c r="D7291" s="733"/>
      <c r="E7291" s="733"/>
      <c r="G7291" s="733"/>
      <c r="H7291" s="733"/>
      <c r="I7291" s="733"/>
      <c r="J7291" s="733"/>
      <c r="K7291" s="733"/>
      <c r="L7291" s="733"/>
      <c r="M7291" s="733"/>
    </row>
    <row r="7292" spans="1:13" x14ac:dyDescent="0.3">
      <c r="A7292" s="733" t="s">
        <v>7358</v>
      </c>
      <c r="B7292" s="733" t="s">
        <v>645</v>
      </c>
      <c r="C7292" s="738" t="s">
        <v>7367</v>
      </c>
      <c r="D7292" s="733"/>
      <c r="E7292" s="733"/>
      <c r="G7292" s="733"/>
      <c r="H7292" s="733"/>
      <c r="I7292" s="733"/>
      <c r="J7292" s="733"/>
      <c r="K7292" s="733"/>
      <c r="L7292" s="733"/>
      <c r="M7292" s="733"/>
    </row>
    <row r="7293" spans="1:13" x14ac:dyDescent="0.3">
      <c r="A7293" s="733" t="s">
        <v>7358</v>
      </c>
      <c r="B7293" s="733" t="s">
        <v>645</v>
      </c>
      <c r="C7293" s="738" t="s">
        <v>7368</v>
      </c>
      <c r="D7293" s="733"/>
      <c r="E7293" s="733"/>
      <c r="G7293" s="733"/>
      <c r="H7293" s="733"/>
      <c r="I7293" s="733"/>
      <c r="J7293" s="733"/>
      <c r="K7293" s="733"/>
      <c r="L7293" s="733"/>
      <c r="M7293" s="733"/>
    </row>
    <row r="7294" spans="1:13" x14ac:dyDescent="0.3">
      <c r="A7294" s="733" t="s">
        <v>7358</v>
      </c>
      <c r="B7294" s="733" t="s">
        <v>664</v>
      </c>
      <c r="C7294" s="738" t="s">
        <v>7369</v>
      </c>
      <c r="D7294" s="733"/>
      <c r="E7294" s="733"/>
      <c r="G7294" s="733"/>
      <c r="H7294" s="733"/>
      <c r="I7294" s="733"/>
      <c r="J7294" s="733"/>
      <c r="K7294" s="733"/>
      <c r="L7294" s="733"/>
      <c r="M7294" s="733"/>
    </row>
    <row r="7295" spans="1:13" x14ac:dyDescent="0.3">
      <c r="A7295" s="733" t="s">
        <v>7358</v>
      </c>
      <c r="B7295" s="733" t="s">
        <v>664</v>
      </c>
      <c r="C7295" s="738" t="s">
        <v>7370</v>
      </c>
      <c r="D7295" s="733"/>
      <c r="E7295" s="733"/>
      <c r="G7295" s="733"/>
      <c r="H7295" s="733"/>
      <c r="I7295" s="733"/>
      <c r="J7295" s="733"/>
      <c r="K7295" s="733"/>
      <c r="L7295" s="733"/>
      <c r="M7295" s="733"/>
    </row>
    <row r="7296" spans="1:13" x14ac:dyDescent="0.3">
      <c r="A7296" s="733" t="s">
        <v>7358</v>
      </c>
      <c r="B7296" s="733" t="s">
        <v>664</v>
      </c>
      <c r="C7296" s="738" t="s">
        <v>7371</v>
      </c>
      <c r="D7296" s="733"/>
      <c r="E7296" s="733"/>
      <c r="G7296" s="733"/>
      <c r="H7296" s="733"/>
      <c r="I7296" s="733"/>
      <c r="J7296" s="733"/>
      <c r="K7296" s="733"/>
      <c r="L7296" s="733"/>
      <c r="M7296" s="733"/>
    </row>
    <row r="7297" spans="1:13" x14ac:dyDescent="0.3">
      <c r="A7297" s="733" t="s">
        <v>7358</v>
      </c>
      <c r="B7297" s="733" t="s">
        <v>664</v>
      </c>
      <c r="C7297" s="738" t="s">
        <v>7372</v>
      </c>
      <c r="D7297" s="733"/>
      <c r="E7297" s="733"/>
      <c r="G7297" s="733"/>
      <c r="H7297" s="733"/>
      <c r="I7297" s="733"/>
      <c r="J7297" s="733"/>
      <c r="K7297" s="733"/>
      <c r="L7297" s="733"/>
      <c r="M7297" s="733"/>
    </row>
    <row r="7298" spans="1:13" x14ac:dyDescent="0.3">
      <c r="A7298" s="733" t="s">
        <v>7358</v>
      </c>
      <c r="B7298" s="733" t="s">
        <v>664</v>
      </c>
      <c r="C7298" s="738" t="s">
        <v>7373</v>
      </c>
      <c r="D7298" s="733"/>
      <c r="E7298" s="733"/>
      <c r="G7298" s="733"/>
      <c r="H7298" s="733"/>
      <c r="I7298" s="733"/>
      <c r="J7298" s="733"/>
      <c r="K7298" s="733"/>
      <c r="L7298" s="733"/>
      <c r="M7298" s="733"/>
    </row>
    <row r="7299" spans="1:13" x14ac:dyDescent="0.3">
      <c r="A7299" s="733" t="s">
        <v>7358</v>
      </c>
      <c r="B7299" s="733" t="s">
        <v>664</v>
      </c>
      <c r="C7299" s="738" t="s">
        <v>7374</v>
      </c>
      <c r="D7299" s="733"/>
      <c r="E7299" s="733"/>
      <c r="G7299" s="733"/>
      <c r="H7299" s="733"/>
      <c r="I7299" s="733"/>
      <c r="J7299" s="733"/>
      <c r="K7299" s="733"/>
      <c r="L7299" s="733"/>
      <c r="M7299" s="733"/>
    </row>
    <row r="7300" spans="1:13" x14ac:dyDescent="0.3">
      <c r="A7300" s="733" t="s">
        <v>7358</v>
      </c>
      <c r="B7300" s="733" t="s">
        <v>664</v>
      </c>
      <c r="C7300" s="738" t="s">
        <v>7375</v>
      </c>
      <c r="D7300" s="733"/>
      <c r="E7300" s="733"/>
      <c r="G7300" s="733"/>
      <c r="H7300" s="733"/>
      <c r="I7300" s="733"/>
      <c r="J7300" s="733"/>
      <c r="K7300" s="733"/>
      <c r="L7300" s="733"/>
      <c r="M7300" s="733"/>
    </row>
    <row r="7301" spans="1:13" x14ac:dyDescent="0.3">
      <c r="A7301" s="733" t="s">
        <v>7358</v>
      </c>
      <c r="B7301" s="733" t="s">
        <v>664</v>
      </c>
      <c r="C7301" s="738" t="s">
        <v>7376</v>
      </c>
      <c r="D7301" s="733"/>
      <c r="E7301" s="733"/>
      <c r="G7301" s="733"/>
      <c r="H7301" s="733"/>
      <c r="I7301" s="733"/>
      <c r="J7301" s="733"/>
      <c r="K7301" s="733"/>
      <c r="L7301" s="733"/>
      <c r="M7301" s="733"/>
    </row>
    <row r="7302" spans="1:13" x14ac:dyDescent="0.3">
      <c r="A7302" s="733" t="s">
        <v>7358</v>
      </c>
      <c r="B7302" s="733" t="s">
        <v>664</v>
      </c>
      <c r="C7302" s="738" t="s">
        <v>7377</v>
      </c>
      <c r="D7302" s="733"/>
      <c r="E7302" s="733"/>
      <c r="G7302" s="733"/>
      <c r="H7302" s="733"/>
      <c r="I7302" s="733"/>
      <c r="J7302" s="733"/>
      <c r="K7302" s="733"/>
      <c r="L7302" s="733"/>
      <c r="M7302" s="733"/>
    </row>
    <row r="7303" spans="1:13" x14ac:dyDescent="0.3">
      <c r="A7303" s="733" t="s">
        <v>7358</v>
      </c>
      <c r="B7303" s="733" t="s">
        <v>664</v>
      </c>
      <c r="C7303" s="738" t="s">
        <v>7378</v>
      </c>
      <c r="D7303" s="733"/>
      <c r="E7303" s="733"/>
      <c r="G7303" s="733"/>
      <c r="H7303" s="733"/>
      <c r="I7303" s="733"/>
      <c r="J7303" s="733"/>
      <c r="K7303" s="733"/>
      <c r="L7303" s="733"/>
      <c r="M7303" s="733"/>
    </row>
    <row r="7304" spans="1:13" x14ac:dyDescent="0.3">
      <c r="A7304" s="733" t="s">
        <v>7358</v>
      </c>
      <c r="B7304" s="733" t="s">
        <v>612</v>
      </c>
      <c r="C7304" s="738" t="s">
        <v>7379</v>
      </c>
      <c r="D7304" s="733"/>
      <c r="E7304" s="733"/>
      <c r="G7304" s="733"/>
      <c r="H7304" s="733"/>
      <c r="I7304" s="733"/>
      <c r="J7304" s="733"/>
      <c r="K7304" s="733"/>
      <c r="L7304" s="733"/>
      <c r="M7304" s="733"/>
    </row>
    <row r="7305" spans="1:13" x14ac:dyDescent="0.3">
      <c r="A7305" s="733" t="s">
        <v>7358</v>
      </c>
      <c r="B7305" s="733" t="s">
        <v>612</v>
      </c>
      <c r="C7305" s="738" t="s">
        <v>7380</v>
      </c>
      <c r="D7305" s="733"/>
      <c r="E7305" s="733"/>
      <c r="G7305" s="733"/>
      <c r="H7305" s="733"/>
      <c r="I7305" s="733"/>
      <c r="J7305" s="733"/>
      <c r="K7305" s="733"/>
      <c r="L7305" s="733"/>
      <c r="M7305" s="733"/>
    </row>
    <row r="7306" spans="1:13" x14ac:dyDescent="0.3">
      <c r="A7306" s="733" t="s">
        <v>7358</v>
      </c>
      <c r="B7306" s="733" t="s">
        <v>612</v>
      </c>
      <c r="C7306" s="738" t="s">
        <v>7381</v>
      </c>
      <c r="D7306" s="733"/>
      <c r="E7306" s="733"/>
      <c r="G7306" s="733"/>
      <c r="H7306" s="733"/>
      <c r="I7306" s="733"/>
      <c r="J7306" s="733"/>
      <c r="K7306" s="733"/>
      <c r="L7306" s="733"/>
      <c r="M7306" s="733"/>
    </row>
    <row r="7307" spans="1:13" x14ac:dyDescent="0.3">
      <c r="A7307" s="733" t="s">
        <v>7358</v>
      </c>
      <c r="B7307" s="733" t="s">
        <v>612</v>
      </c>
      <c r="C7307" s="738" t="s">
        <v>7382</v>
      </c>
      <c r="D7307" s="733"/>
      <c r="E7307" s="733"/>
      <c r="G7307" s="733"/>
      <c r="H7307" s="733"/>
      <c r="I7307" s="733"/>
      <c r="J7307" s="733"/>
      <c r="K7307" s="733"/>
      <c r="L7307" s="733"/>
      <c r="M7307" s="733"/>
    </row>
    <row r="7308" spans="1:13" x14ac:dyDescent="0.3">
      <c r="A7308" s="733" t="s">
        <v>7358</v>
      </c>
      <c r="B7308" s="733" t="s">
        <v>612</v>
      </c>
      <c r="C7308" s="738" t="s">
        <v>7383</v>
      </c>
      <c r="D7308" s="733"/>
      <c r="E7308" s="733"/>
      <c r="G7308" s="733"/>
      <c r="H7308" s="733"/>
      <c r="I7308" s="733"/>
      <c r="J7308" s="733"/>
      <c r="K7308" s="733"/>
      <c r="L7308" s="733"/>
      <c r="M7308" s="733"/>
    </row>
    <row r="7309" spans="1:13" x14ac:dyDescent="0.3">
      <c r="A7309" s="733" t="s">
        <v>7358</v>
      </c>
      <c r="B7309" s="733" t="s">
        <v>612</v>
      </c>
      <c r="C7309" s="738" t="s">
        <v>7384</v>
      </c>
      <c r="D7309" s="733"/>
      <c r="E7309" s="733"/>
      <c r="G7309" s="733"/>
      <c r="H7309" s="733"/>
      <c r="I7309" s="733"/>
      <c r="J7309" s="733"/>
      <c r="K7309" s="733"/>
      <c r="L7309" s="733"/>
      <c r="M7309" s="733"/>
    </row>
    <row r="7310" spans="1:13" x14ac:dyDescent="0.3">
      <c r="A7310" s="733" t="s">
        <v>7358</v>
      </c>
      <c r="B7310" s="733" t="s">
        <v>612</v>
      </c>
      <c r="C7310" s="738" t="s">
        <v>7385</v>
      </c>
      <c r="D7310" s="733"/>
      <c r="E7310" s="733"/>
      <c r="G7310" s="733"/>
      <c r="H7310" s="733"/>
      <c r="I7310" s="733"/>
      <c r="J7310" s="733"/>
      <c r="K7310" s="733"/>
      <c r="L7310" s="733"/>
      <c r="M7310" s="733"/>
    </row>
    <row r="7311" spans="1:13" x14ac:dyDescent="0.3">
      <c r="A7311" s="733" t="s">
        <v>7358</v>
      </c>
      <c r="B7311" s="733" t="s">
        <v>612</v>
      </c>
      <c r="C7311" s="738" t="s">
        <v>7386</v>
      </c>
      <c r="D7311" s="733"/>
      <c r="E7311" s="733"/>
      <c r="G7311" s="733"/>
      <c r="H7311" s="733"/>
      <c r="I7311" s="733"/>
      <c r="J7311" s="733"/>
      <c r="K7311" s="733"/>
      <c r="L7311" s="733"/>
      <c r="M7311" s="733"/>
    </row>
    <row r="7312" spans="1:13" x14ac:dyDescent="0.3">
      <c r="A7312" s="733" t="s">
        <v>7358</v>
      </c>
      <c r="B7312" s="733" t="s">
        <v>612</v>
      </c>
      <c r="C7312" s="738" t="s">
        <v>7387</v>
      </c>
      <c r="D7312" s="733"/>
      <c r="E7312" s="733"/>
      <c r="G7312" s="733"/>
      <c r="H7312" s="733"/>
      <c r="I7312" s="733"/>
      <c r="J7312" s="733"/>
      <c r="K7312" s="733"/>
      <c r="L7312" s="733"/>
      <c r="M7312" s="733"/>
    </row>
    <row r="7313" spans="1:13" x14ac:dyDescent="0.3">
      <c r="A7313" s="733" t="s">
        <v>7358</v>
      </c>
      <c r="B7313" s="733" t="s">
        <v>612</v>
      </c>
      <c r="C7313" s="738" t="s">
        <v>7388</v>
      </c>
      <c r="D7313" s="733"/>
      <c r="E7313" s="733"/>
      <c r="G7313" s="733"/>
      <c r="H7313" s="733"/>
      <c r="I7313" s="733"/>
      <c r="J7313" s="733"/>
      <c r="K7313" s="733"/>
      <c r="L7313" s="733"/>
      <c r="M7313" s="733"/>
    </row>
    <row r="7314" spans="1:13" x14ac:dyDescent="0.3">
      <c r="A7314" s="733" t="s">
        <v>7389</v>
      </c>
      <c r="B7314" s="733" t="s">
        <v>645</v>
      </c>
      <c r="C7314" s="738" t="s">
        <v>7390</v>
      </c>
      <c r="D7314" s="733"/>
      <c r="E7314" s="733"/>
      <c r="G7314" s="733"/>
      <c r="H7314" s="733"/>
      <c r="I7314" s="733"/>
      <c r="J7314" s="733"/>
      <c r="K7314" s="733"/>
      <c r="L7314" s="733"/>
      <c r="M7314" s="733"/>
    </row>
    <row r="7315" spans="1:13" x14ac:dyDescent="0.3">
      <c r="A7315" s="733" t="s">
        <v>7389</v>
      </c>
      <c r="B7315" s="733" t="s">
        <v>645</v>
      </c>
      <c r="C7315" s="738" t="s">
        <v>7391</v>
      </c>
      <c r="D7315" s="733"/>
      <c r="E7315" s="733"/>
      <c r="G7315" s="733"/>
      <c r="H7315" s="733"/>
      <c r="I7315" s="733"/>
      <c r="J7315" s="733"/>
      <c r="K7315" s="733"/>
      <c r="L7315" s="733"/>
      <c r="M7315" s="733"/>
    </row>
    <row r="7316" spans="1:13" x14ac:dyDescent="0.3">
      <c r="A7316" s="733" t="s">
        <v>7389</v>
      </c>
      <c r="B7316" s="733" t="s">
        <v>645</v>
      </c>
      <c r="C7316" s="738" t="s">
        <v>7392</v>
      </c>
      <c r="D7316" s="733"/>
      <c r="E7316" s="733"/>
      <c r="G7316" s="733"/>
      <c r="H7316" s="733"/>
      <c r="I7316" s="733"/>
      <c r="J7316" s="733"/>
      <c r="K7316" s="733"/>
      <c r="L7316" s="733"/>
      <c r="M7316" s="733"/>
    </row>
    <row r="7317" spans="1:13" x14ac:dyDescent="0.3">
      <c r="A7317" s="733" t="s">
        <v>7389</v>
      </c>
      <c r="B7317" s="733" t="s">
        <v>645</v>
      </c>
      <c r="C7317" s="738" t="s">
        <v>7393</v>
      </c>
      <c r="D7317" s="733"/>
      <c r="E7317" s="733"/>
      <c r="G7317" s="733"/>
      <c r="H7317" s="733"/>
      <c r="I7317" s="733"/>
      <c r="J7317" s="733"/>
      <c r="K7317" s="733"/>
      <c r="L7317" s="733"/>
      <c r="M7317" s="733"/>
    </row>
    <row r="7318" spans="1:13" x14ac:dyDescent="0.3">
      <c r="A7318" s="733" t="s">
        <v>7389</v>
      </c>
      <c r="B7318" s="733" t="s">
        <v>645</v>
      </c>
      <c r="C7318" s="738" t="s">
        <v>7394</v>
      </c>
      <c r="D7318" s="733"/>
      <c r="E7318" s="733"/>
      <c r="G7318" s="733"/>
      <c r="H7318" s="733"/>
      <c r="I7318" s="733"/>
      <c r="J7318" s="733"/>
      <c r="K7318" s="733"/>
      <c r="L7318" s="733"/>
      <c r="M7318" s="733"/>
    </row>
    <row r="7319" spans="1:13" x14ac:dyDescent="0.3">
      <c r="A7319" s="733" t="s">
        <v>7389</v>
      </c>
      <c r="B7319" s="733" t="s">
        <v>645</v>
      </c>
      <c r="C7319" s="738" t="s">
        <v>7395</v>
      </c>
      <c r="D7319" s="733"/>
      <c r="E7319" s="733"/>
      <c r="G7319" s="733"/>
      <c r="H7319" s="733"/>
      <c r="I7319" s="733"/>
      <c r="J7319" s="733"/>
      <c r="K7319" s="733"/>
      <c r="L7319" s="733"/>
      <c r="M7319" s="733"/>
    </row>
    <row r="7320" spans="1:13" x14ac:dyDescent="0.3">
      <c r="A7320" s="733" t="s">
        <v>7389</v>
      </c>
      <c r="B7320" s="733" t="s">
        <v>645</v>
      </c>
      <c r="C7320" s="738" t="s">
        <v>7396</v>
      </c>
      <c r="D7320" s="733"/>
      <c r="E7320" s="733"/>
      <c r="G7320" s="733"/>
      <c r="H7320" s="733"/>
      <c r="I7320" s="733"/>
      <c r="J7320" s="733"/>
      <c r="K7320" s="733"/>
      <c r="L7320" s="733"/>
      <c r="M7320" s="733"/>
    </row>
    <row r="7321" spans="1:13" x14ac:dyDescent="0.3">
      <c r="A7321" s="733" t="s">
        <v>7389</v>
      </c>
      <c r="B7321" s="733" t="s">
        <v>645</v>
      </c>
      <c r="C7321" s="738" t="s">
        <v>7397</v>
      </c>
      <c r="D7321" s="733"/>
      <c r="E7321" s="733"/>
      <c r="G7321" s="733"/>
      <c r="H7321" s="733"/>
      <c r="I7321" s="733"/>
      <c r="J7321" s="733"/>
      <c r="K7321" s="733"/>
      <c r="L7321" s="733"/>
      <c r="M7321" s="733"/>
    </row>
    <row r="7322" spans="1:13" x14ac:dyDescent="0.3">
      <c r="A7322" s="733" t="s">
        <v>7389</v>
      </c>
      <c r="B7322" s="733" t="s">
        <v>645</v>
      </c>
      <c r="C7322" s="738" t="s">
        <v>7398</v>
      </c>
      <c r="D7322" s="733"/>
      <c r="E7322" s="733"/>
      <c r="G7322" s="733"/>
      <c r="H7322" s="733"/>
      <c r="I7322" s="733"/>
      <c r="J7322" s="733"/>
      <c r="K7322" s="733"/>
      <c r="L7322" s="733"/>
      <c r="M7322" s="733"/>
    </row>
    <row r="7323" spans="1:13" x14ac:dyDescent="0.3">
      <c r="A7323" s="733" t="s">
        <v>7389</v>
      </c>
      <c r="B7323" s="733" t="s">
        <v>645</v>
      </c>
      <c r="C7323" s="738" t="s">
        <v>7399</v>
      </c>
      <c r="D7323" s="733"/>
      <c r="E7323" s="733"/>
      <c r="G7323" s="733"/>
      <c r="H7323" s="733"/>
      <c r="I7323" s="733"/>
      <c r="J7323" s="733"/>
      <c r="K7323" s="733"/>
      <c r="L7323" s="733"/>
      <c r="M7323" s="733"/>
    </row>
    <row r="7324" spans="1:13" x14ac:dyDescent="0.3">
      <c r="A7324" s="733" t="s">
        <v>7389</v>
      </c>
      <c r="B7324" s="733" t="s">
        <v>664</v>
      </c>
      <c r="C7324" s="738" t="s">
        <v>7400</v>
      </c>
      <c r="D7324" s="733"/>
      <c r="E7324" s="733"/>
      <c r="G7324" s="733"/>
      <c r="H7324" s="733"/>
      <c r="I7324" s="733"/>
      <c r="J7324" s="733"/>
      <c r="K7324" s="733"/>
      <c r="L7324" s="733"/>
      <c r="M7324" s="733"/>
    </row>
    <row r="7325" spans="1:13" x14ac:dyDescent="0.3">
      <c r="A7325" s="733" t="s">
        <v>7389</v>
      </c>
      <c r="B7325" s="733" t="s">
        <v>664</v>
      </c>
      <c r="C7325" s="738" t="s">
        <v>7401</v>
      </c>
      <c r="D7325" s="733"/>
      <c r="E7325" s="733"/>
      <c r="G7325" s="733"/>
      <c r="H7325" s="733"/>
      <c r="I7325" s="733"/>
      <c r="J7325" s="733"/>
      <c r="K7325" s="733"/>
      <c r="L7325" s="733"/>
      <c r="M7325" s="733"/>
    </row>
    <row r="7326" spans="1:13" x14ac:dyDescent="0.3">
      <c r="A7326" s="733" t="s">
        <v>7389</v>
      </c>
      <c r="B7326" s="733" t="s">
        <v>664</v>
      </c>
      <c r="C7326" s="738" t="s">
        <v>7402</v>
      </c>
      <c r="D7326" s="733"/>
      <c r="E7326" s="733"/>
      <c r="G7326" s="733"/>
      <c r="H7326" s="733"/>
      <c r="I7326" s="733"/>
      <c r="J7326" s="733"/>
      <c r="K7326" s="733"/>
      <c r="L7326" s="733"/>
      <c r="M7326" s="733"/>
    </row>
    <row r="7327" spans="1:13" x14ac:dyDescent="0.3">
      <c r="A7327" s="733" t="s">
        <v>7389</v>
      </c>
      <c r="B7327" s="733" t="s">
        <v>664</v>
      </c>
      <c r="C7327" s="738" t="s">
        <v>7403</v>
      </c>
      <c r="D7327" s="733"/>
      <c r="E7327" s="733"/>
      <c r="G7327" s="733"/>
      <c r="H7327" s="733"/>
      <c r="I7327" s="733"/>
      <c r="J7327" s="733"/>
      <c r="K7327" s="733"/>
      <c r="L7327" s="733"/>
      <c r="M7327" s="733"/>
    </row>
    <row r="7328" spans="1:13" x14ac:dyDescent="0.3">
      <c r="A7328" s="733" t="s">
        <v>7389</v>
      </c>
      <c r="B7328" s="733" t="s">
        <v>664</v>
      </c>
      <c r="C7328" s="738" t="s">
        <v>7404</v>
      </c>
      <c r="D7328" s="733"/>
      <c r="E7328" s="733"/>
      <c r="G7328" s="733"/>
      <c r="H7328" s="733"/>
      <c r="I7328" s="733"/>
      <c r="J7328" s="733"/>
      <c r="K7328" s="733"/>
      <c r="L7328" s="733"/>
      <c r="M7328" s="733"/>
    </row>
    <row r="7329" spans="1:13" x14ac:dyDescent="0.3">
      <c r="A7329" s="733" t="s">
        <v>7389</v>
      </c>
      <c r="B7329" s="733" t="s">
        <v>664</v>
      </c>
      <c r="C7329" s="738" t="s">
        <v>7405</v>
      </c>
      <c r="D7329" s="733"/>
      <c r="E7329" s="733"/>
      <c r="G7329" s="733"/>
      <c r="H7329" s="733"/>
      <c r="I7329" s="733"/>
      <c r="J7329" s="733"/>
      <c r="K7329" s="733"/>
      <c r="L7329" s="733"/>
      <c r="M7329" s="733"/>
    </row>
    <row r="7330" spans="1:13" x14ac:dyDescent="0.3">
      <c r="A7330" s="733" t="s">
        <v>7389</v>
      </c>
      <c r="B7330" s="733" t="s">
        <v>664</v>
      </c>
      <c r="C7330" s="738" t="s">
        <v>7406</v>
      </c>
      <c r="D7330" s="733"/>
      <c r="E7330" s="733"/>
      <c r="G7330" s="733"/>
      <c r="H7330" s="733"/>
      <c r="I7330" s="733"/>
      <c r="J7330" s="733"/>
      <c r="K7330" s="733"/>
      <c r="L7330" s="733"/>
      <c r="M7330" s="733"/>
    </row>
    <row r="7331" spans="1:13" x14ac:dyDescent="0.3">
      <c r="A7331" s="733" t="s">
        <v>7389</v>
      </c>
      <c r="B7331" s="733" t="s">
        <v>664</v>
      </c>
      <c r="C7331" s="738" t="s">
        <v>7407</v>
      </c>
      <c r="D7331" s="733"/>
      <c r="E7331" s="733"/>
      <c r="G7331" s="733"/>
      <c r="H7331" s="733"/>
      <c r="I7331" s="733"/>
      <c r="J7331" s="733"/>
      <c r="K7331" s="733"/>
      <c r="L7331" s="733"/>
      <c r="M7331" s="733"/>
    </row>
    <row r="7332" spans="1:13" x14ac:dyDescent="0.3">
      <c r="A7332" s="733" t="s">
        <v>7389</v>
      </c>
      <c r="B7332" s="733" t="s">
        <v>664</v>
      </c>
      <c r="C7332" s="738" t="s">
        <v>7408</v>
      </c>
      <c r="D7332" s="733"/>
      <c r="E7332" s="733"/>
      <c r="G7332" s="733"/>
      <c r="H7332" s="733"/>
      <c r="I7332" s="733"/>
      <c r="J7332" s="733"/>
      <c r="K7332" s="733"/>
      <c r="L7332" s="733"/>
      <c r="M7332" s="733"/>
    </row>
    <row r="7333" spans="1:13" x14ac:dyDescent="0.3">
      <c r="A7333" s="733" t="s">
        <v>7389</v>
      </c>
      <c r="B7333" s="733" t="s">
        <v>664</v>
      </c>
      <c r="C7333" s="738" t="s">
        <v>7409</v>
      </c>
      <c r="D7333" s="733"/>
      <c r="E7333" s="733"/>
      <c r="G7333" s="733"/>
      <c r="H7333" s="733"/>
      <c r="I7333" s="733"/>
      <c r="J7333" s="733"/>
      <c r="K7333" s="733"/>
      <c r="L7333" s="733"/>
      <c r="M7333" s="733"/>
    </row>
    <row r="7334" spans="1:13" x14ac:dyDescent="0.3">
      <c r="A7334" s="733" t="s">
        <v>7389</v>
      </c>
      <c r="B7334" s="733" t="s">
        <v>612</v>
      </c>
      <c r="C7334" s="738" t="s">
        <v>7410</v>
      </c>
      <c r="D7334" s="733"/>
      <c r="E7334" s="733"/>
      <c r="G7334" s="733"/>
      <c r="H7334" s="733"/>
      <c r="I7334" s="733"/>
      <c r="J7334" s="733"/>
      <c r="K7334" s="733"/>
      <c r="L7334" s="733"/>
      <c r="M7334" s="733"/>
    </row>
    <row r="7335" spans="1:13" x14ac:dyDescent="0.3">
      <c r="A7335" s="733" t="s">
        <v>7389</v>
      </c>
      <c r="B7335" s="733" t="s">
        <v>612</v>
      </c>
      <c r="C7335" s="738" t="s">
        <v>7411</v>
      </c>
      <c r="D7335" s="733"/>
      <c r="E7335" s="733"/>
      <c r="G7335" s="733"/>
      <c r="H7335" s="733"/>
      <c r="I7335" s="733"/>
      <c r="J7335" s="733"/>
      <c r="K7335" s="733"/>
      <c r="L7335" s="733"/>
      <c r="M7335" s="733"/>
    </row>
    <row r="7336" spans="1:13" x14ac:dyDescent="0.3">
      <c r="A7336" s="733" t="s">
        <v>7389</v>
      </c>
      <c r="B7336" s="733" t="s">
        <v>612</v>
      </c>
      <c r="C7336" s="738" t="s">
        <v>7412</v>
      </c>
      <c r="D7336" s="733"/>
      <c r="E7336" s="733"/>
      <c r="G7336" s="733"/>
      <c r="H7336" s="733"/>
      <c r="I7336" s="733"/>
      <c r="J7336" s="733"/>
      <c r="K7336" s="733"/>
      <c r="L7336" s="733"/>
      <c r="M7336" s="733"/>
    </row>
    <row r="7337" spans="1:13" x14ac:dyDescent="0.3">
      <c r="A7337" s="733" t="s">
        <v>7389</v>
      </c>
      <c r="B7337" s="733" t="s">
        <v>612</v>
      </c>
      <c r="C7337" s="738" t="s">
        <v>7413</v>
      </c>
      <c r="D7337" s="733"/>
      <c r="E7337" s="733"/>
      <c r="G7337" s="733"/>
      <c r="H7337" s="733"/>
      <c r="I7337" s="733"/>
      <c r="J7337" s="733"/>
      <c r="K7337" s="733"/>
      <c r="L7337" s="733"/>
      <c r="M7337" s="733"/>
    </row>
    <row r="7338" spans="1:13" x14ac:dyDescent="0.3">
      <c r="A7338" s="733" t="s">
        <v>7389</v>
      </c>
      <c r="B7338" s="733" t="s">
        <v>612</v>
      </c>
      <c r="C7338" s="738" t="s">
        <v>7414</v>
      </c>
      <c r="D7338" s="733"/>
      <c r="E7338" s="733"/>
      <c r="G7338" s="733"/>
      <c r="H7338" s="733"/>
      <c r="I7338" s="733"/>
      <c r="J7338" s="733"/>
      <c r="K7338" s="733"/>
      <c r="L7338" s="733"/>
      <c r="M7338" s="733"/>
    </row>
    <row r="7339" spans="1:13" x14ac:dyDescent="0.3">
      <c r="A7339" s="733" t="s">
        <v>7389</v>
      </c>
      <c r="B7339" s="733" t="s">
        <v>612</v>
      </c>
      <c r="C7339" s="738" t="s">
        <v>7415</v>
      </c>
      <c r="D7339" s="733"/>
      <c r="E7339" s="733"/>
      <c r="G7339" s="733"/>
      <c r="H7339" s="733"/>
      <c r="I7339" s="733"/>
      <c r="J7339" s="733"/>
      <c r="K7339" s="733"/>
      <c r="L7339" s="733"/>
      <c r="M7339" s="733"/>
    </row>
    <row r="7340" spans="1:13" x14ac:dyDescent="0.3">
      <c r="A7340" s="733" t="s">
        <v>7389</v>
      </c>
      <c r="B7340" s="733" t="s">
        <v>612</v>
      </c>
      <c r="C7340" s="738" t="s">
        <v>7416</v>
      </c>
      <c r="D7340" s="733"/>
      <c r="E7340" s="733"/>
      <c r="G7340" s="733"/>
      <c r="H7340" s="733"/>
      <c r="I7340" s="733"/>
      <c r="J7340" s="733"/>
      <c r="K7340" s="733"/>
      <c r="L7340" s="733"/>
      <c r="M7340" s="733"/>
    </row>
    <row r="7341" spans="1:13" x14ac:dyDescent="0.3">
      <c r="A7341" s="733" t="s">
        <v>7389</v>
      </c>
      <c r="B7341" s="733" t="s">
        <v>612</v>
      </c>
      <c r="C7341" s="738" t="s">
        <v>7417</v>
      </c>
      <c r="D7341" s="733"/>
      <c r="E7341" s="733"/>
      <c r="G7341" s="733"/>
      <c r="H7341" s="733"/>
      <c r="I7341" s="733"/>
      <c r="J7341" s="733"/>
      <c r="K7341" s="733"/>
      <c r="L7341" s="733"/>
      <c r="M7341" s="733"/>
    </row>
    <row r="7342" spans="1:13" x14ac:dyDescent="0.3">
      <c r="A7342" s="733" t="s">
        <v>7389</v>
      </c>
      <c r="B7342" s="733" t="s">
        <v>612</v>
      </c>
      <c r="C7342" s="738" t="s">
        <v>7418</v>
      </c>
      <c r="D7342" s="733"/>
      <c r="E7342" s="733"/>
      <c r="G7342" s="733"/>
      <c r="H7342" s="733"/>
      <c r="I7342" s="733"/>
      <c r="J7342" s="733"/>
      <c r="K7342" s="733"/>
      <c r="L7342" s="733"/>
      <c r="M7342" s="733"/>
    </row>
    <row r="7343" spans="1:13" x14ac:dyDescent="0.3">
      <c r="A7343" s="733" t="s">
        <v>7389</v>
      </c>
      <c r="B7343" s="733" t="s">
        <v>612</v>
      </c>
      <c r="C7343" s="738" t="s">
        <v>7419</v>
      </c>
      <c r="D7343" s="733"/>
      <c r="E7343" s="733"/>
      <c r="G7343" s="733"/>
      <c r="H7343" s="733"/>
      <c r="I7343" s="733"/>
      <c r="J7343" s="733"/>
      <c r="K7343" s="733"/>
      <c r="L7343" s="733"/>
      <c r="M7343" s="733"/>
    </row>
    <row r="7344" spans="1:13" x14ac:dyDescent="0.3">
      <c r="A7344" s="733" t="s">
        <v>7420</v>
      </c>
      <c r="B7344" s="733" t="s">
        <v>645</v>
      </c>
      <c r="C7344" s="738" t="s">
        <v>7421</v>
      </c>
      <c r="D7344" s="733"/>
      <c r="E7344" s="733"/>
      <c r="G7344" s="733"/>
      <c r="H7344" s="733"/>
      <c r="I7344" s="733"/>
      <c r="J7344" s="733"/>
      <c r="K7344" s="733"/>
      <c r="L7344" s="733"/>
      <c r="M7344" s="733"/>
    </row>
    <row r="7345" spans="1:13" x14ac:dyDescent="0.3">
      <c r="A7345" s="733" t="s">
        <v>7420</v>
      </c>
      <c r="B7345" s="733" t="s">
        <v>645</v>
      </c>
      <c r="C7345" s="738" t="s">
        <v>7422</v>
      </c>
      <c r="D7345" s="733"/>
      <c r="E7345" s="733"/>
      <c r="G7345" s="733"/>
      <c r="H7345" s="733"/>
      <c r="I7345" s="733"/>
      <c r="J7345" s="733"/>
      <c r="K7345" s="733"/>
      <c r="L7345" s="733"/>
      <c r="M7345" s="733"/>
    </row>
    <row r="7346" spans="1:13" x14ac:dyDescent="0.3">
      <c r="A7346" s="733" t="s">
        <v>7420</v>
      </c>
      <c r="B7346" s="733" t="s">
        <v>645</v>
      </c>
      <c r="C7346" s="738" t="s">
        <v>7423</v>
      </c>
      <c r="D7346" s="733"/>
      <c r="E7346" s="733"/>
      <c r="G7346" s="733"/>
      <c r="H7346" s="733"/>
      <c r="I7346" s="733"/>
      <c r="J7346" s="733"/>
      <c r="K7346" s="733"/>
      <c r="L7346" s="733"/>
      <c r="M7346" s="733"/>
    </row>
    <row r="7347" spans="1:13" x14ac:dyDescent="0.3">
      <c r="A7347" s="733" t="s">
        <v>7420</v>
      </c>
      <c r="B7347" s="733" t="s">
        <v>645</v>
      </c>
      <c r="C7347" s="738" t="s">
        <v>7424</v>
      </c>
      <c r="D7347" s="733"/>
      <c r="E7347" s="733"/>
      <c r="G7347" s="733"/>
      <c r="H7347" s="733"/>
      <c r="I7347" s="733"/>
      <c r="J7347" s="733"/>
      <c r="K7347" s="733"/>
      <c r="L7347" s="733"/>
      <c r="M7347" s="733"/>
    </row>
    <row r="7348" spans="1:13" x14ac:dyDescent="0.3">
      <c r="A7348" s="733" t="s">
        <v>7420</v>
      </c>
      <c r="B7348" s="733" t="s">
        <v>645</v>
      </c>
      <c r="C7348" s="738" t="s">
        <v>7425</v>
      </c>
      <c r="D7348" s="733"/>
      <c r="E7348" s="733"/>
      <c r="G7348" s="733"/>
      <c r="H7348" s="733"/>
      <c r="I7348" s="733"/>
      <c r="J7348" s="733"/>
      <c r="K7348" s="733"/>
      <c r="L7348" s="733"/>
      <c r="M7348" s="733"/>
    </row>
    <row r="7349" spans="1:13" x14ac:dyDescent="0.3">
      <c r="A7349" s="733" t="s">
        <v>7420</v>
      </c>
      <c r="B7349" s="733" t="s">
        <v>645</v>
      </c>
      <c r="C7349" s="738" t="s">
        <v>7426</v>
      </c>
      <c r="D7349" s="733"/>
      <c r="E7349" s="733"/>
      <c r="G7349" s="733"/>
      <c r="H7349" s="733"/>
      <c r="I7349" s="733"/>
      <c r="J7349" s="733"/>
      <c r="K7349" s="733"/>
      <c r="L7349" s="733"/>
      <c r="M7349" s="733"/>
    </row>
    <row r="7350" spans="1:13" x14ac:dyDescent="0.3">
      <c r="A7350" s="733" t="s">
        <v>7420</v>
      </c>
      <c r="B7350" s="733" t="s">
        <v>645</v>
      </c>
      <c r="C7350" s="738" t="s">
        <v>7427</v>
      </c>
      <c r="D7350" s="733"/>
      <c r="E7350" s="733"/>
      <c r="G7350" s="733"/>
      <c r="H7350" s="733"/>
      <c r="I7350" s="733"/>
      <c r="J7350" s="733"/>
      <c r="K7350" s="733"/>
      <c r="L7350" s="733"/>
      <c r="M7350" s="733"/>
    </row>
    <row r="7351" spans="1:13" x14ac:dyDescent="0.3">
      <c r="A7351" s="733" t="s">
        <v>7420</v>
      </c>
      <c r="B7351" s="733" t="s">
        <v>645</v>
      </c>
      <c r="C7351" s="738" t="s">
        <v>7428</v>
      </c>
      <c r="D7351" s="733"/>
      <c r="E7351" s="733"/>
      <c r="G7351" s="733"/>
      <c r="H7351" s="733"/>
      <c r="I7351" s="733"/>
      <c r="J7351" s="733"/>
      <c r="K7351" s="733"/>
      <c r="L7351" s="733"/>
      <c r="M7351" s="733"/>
    </row>
    <row r="7352" spans="1:13" x14ac:dyDescent="0.3">
      <c r="A7352" s="733" t="s">
        <v>7420</v>
      </c>
      <c r="B7352" s="733" t="s">
        <v>645</v>
      </c>
      <c r="C7352" s="738" t="s">
        <v>7429</v>
      </c>
      <c r="D7352" s="733"/>
      <c r="E7352" s="733"/>
      <c r="G7352" s="733"/>
      <c r="H7352" s="733"/>
      <c r="I7352" s="733"/>
      <c r="J7352" s="733"/>
      <c r="K7352" s="733"/>
      <c r="L7352" s="733"/>
      <c r="M7352" s="733"/>
    </row>
    <row r="7353" spans="1:13" x14ac:dyDescent="0.3">
      <c r="A7353" s="733" t="s">
        <v>7420</v>
      </c>
      <c r="B7353" s="733" t="s">
        <v>645</v>
      </c>
      <c r="C7353" s="738" t="s">
        <v>7430</v>
      </c>
      <c r="D7353" s="733"/>
      <c r="E7353" s="733"/>
      <c r="G7353" s="733"/>
      <c r="H7353" s="733"/>
      <c r="I7353" s="733"/>
      <c r="J7353" s="733"/>
      <c r="K7353" s="733"/>
      <c r="L7353" s="733"/>
      <c r="M7353" s="733"/>
    </row>
    <row r="7354" spans="1:13" x14ac:dyDescent="0.3">
      <c r="A7354" s="733" t="s">
        <v>7420</v>
      </c>
      <c r="B7354" s="733" t="s">
        <v>664</v>
      </c>
      <c r="C7354" s="738" t="s">
        <v>7431</v>
      </c>
      <c r="D7354" s="733"/>
      <c r="E7354" s="733"/>
      <c r="G7354" s="733"/>
      <c r="H7354" s="733"/>
      <c r="I7354" s="733"/>
      <c r="J7354" s="733"/>
      <c r="K7354" s="733"/>
      <c r="L7354" s="733"/>
      <c r="M7354" s="733"/>
    </row>
    <row r="7355" spans="1:13" x14ac:dyDescent="0.3">
      <c r="A7355" s="733" t="s">
        <v>7420</v>
      </c>
      <c r="B7355" s="733" t="s">
        <v>664</v>
      </c>
      <c r="C7355" s="738" t="s">
        <v>7432</v>
      </c>
      <c r="D7355" s="733"/>
      <c r="E7355" s="733"/>
      <c r="G7355" s="733"/>
      <c r="H7355" s="733"/>
      <c r="I7355" s="733"/>
      <c r="J7355" s="733"/>
      <c r="K7355" s="733"/>
      <c r="L7355" s="733"/>
      <c r="M7355" s="733"/>
    </row>
    <row r="7356" spans="1:13" x14ac:dyDescent="0.3">
      <c r="A7356" s="733" t="s">
        <v>7420</v>
      </c>
      <c r="B7356" s="733" t="s">
        <v>664</v>
      </c>
      <c r="C7356" s="738" t="s">
        <v>7433</v>
      </c>
      <c r="D7356" s="733"/>
      <c r="E7356" s="733"/>
      <c r="G7356" s="733"/>
      <c r="H7356" s="733"/>
      <c r="I7356" s="733"/>
      <c r="J7356" s="733"/>
      <c r="K7356" s="733"/>
      <c r="L7356" s="733"/>
      <c r="M7356" s="733"/>
    </row>
    <row r="7357" spans="1:13" x14ac:dyDescent="0.3">
      <c r="A7357" s="733" t="s">
        <v>7420</v>
      </c>
      <c r="B7357" s="733" t="s">
        <v>664</v>
      </c>
      <c r="C7357" s="738" t="s">
        <v>7434</v>
      </c>
      <c r="D7357" s="733"/>
      <c r="E7357" s="733"/>
      <c r="G7357" s="733"/>
      <c r="H7357" s="733"/>
      <c r="I7357" s="733"/>
      <c r="J7357" s="733"/>
      <c r="K7357" s="733"/>
      <c r="L7357" s="733"/>
      <c r="M7357" s="733"/>
    </row>
    <row r="7358" spans="1:13" x14ac:dyDescent="0.3">
      <c r="A7358" s="733" t="s">
        <v>7420</v>
      </c>
      <c r="B7358" s="733" t="s">
        <v>664</v>
      </c>
      <c r="C7358" s="738" t="s">
        <v>7435</v>
      </c>
      <c r="D7358" s="733"/>
      <c r="E7358" s="733"/>
      <c r="G7358" s="733"/>
      <c r="H7358" s="733"/>
      <c r="I7358" s="733"/>
      <c r="J7358" s="733"/>
      <c r="K7358" s="733"/>
      <c r="L7358" s="733"/>
      <c r="M7358" s="733"/>
    </row>
    <row r="7359" spans="1:13" x14ac:dyDescent="0.3">
      <c r="A7359" s="733" t="s">
        <v>7420</v>
      </c>
      <c r="B7359" s="733" t="s">
        <v>664</v>
      </c>
      <c r="C7359" s="738" t="s">
        <v>7436</v>
      </c>
      <c r="D7359" s="733"/>
      <c r="E7359" s="733"/>
      <c r="G7359" s="733"/>
      <c r="H7359" s="733"/>
      <c r="I7359" s="733"/>
      <c r="J7359" s="733"/>
      <c r="K7359" s="733"/>
      <c r="L7359" s="733"/>
      <c r="M7359" s="733"/>
    </row>
    <row r="7360" spans="1:13" x14ac:dyDescent="0.3">
      <c r="A7360" s="733" t="s">
        <v>7420</v>
      </c>
      <c r="B7360" s="733" t="s">
        <v>664</v>
      </c>
      <c r="C7360" s="738" t="s">
        <v>7437</v>
      </c>
      <c r="D7360" s="733"/>
      <c r="E7360" s="733"/>
      <c r="G7360" s="733"/>
      <c r="H7360" s="733"/>
      <c r="I7360" s="733"/>
      <c r="J7360" s="733"/>
      <c r="K7360" s="733"/>
      <c r="L7360" s="733"/>
      <c r="M7360" s="733"/>
    </row>
    <row r="7361" spans="1:13" x14ac:dyDescent="0.3">
      <c r="A7361" s="733" t="s">
        <v>7420</v>
      </c>
      <c r="B7361" s="733" t="s">
        <v>664</v>
      </c>
      <c r="C7361" s="738" t="s">
        <v>7438</v>
      </c>
      <c r="D7361" s="733"/>
      <c r="E7361" s="733"/>
      <c r="G7361" s="733"/>
      <c r="H7361" s="733"/>
      <c r="I7361" s="733"/>
      <c r="J7361" s="733"/>
      <c r="K7361" s="733"/>
      <c r="L7361" s="733"/>
      <c r="M7361" s="733"/>
    </row>
    <row r="7362" spans="1:13" x14ac:dyDescent="0.3">
      <c r="A7362" s="733" t="s">
        <v>7420</v>
      </c>
      <c r="B7362" s="733" t="s">
        <v>664</v>
      </c>
      <c r="C7362" s="738" t="s">
        <v>7439</v>
      </c>
      <c r="D7362" s="733"/>
      <c r="E7362" s="733"/>
      <c r="G7362" s="733"/>
      <c r="H7362" s="733"/>
      <c r="I7362" s="733"/>
      <c r="J7362" s="733"/>
      <c r="K7362" s="733"/>
      <c r="L7362" s="733"/>
      <c r="M7362" s="733"/>
    </row>
    <row r="7363" spans="1:13" x14ac:dyDescent="0.3">
      <c r="A7363" s="733" t="s">
        <v>7420</v>
      </c>
      <c r="B7363" s="733" t="s">
        <v>664</v>
      </c>
      <c r="C7363" s="738" t="s">
        <v>7440</v>
      </c>
      <c r="D7363" s="733"/>
      <c r="E7363" s="733"/>
      <c r="G7363" s="733"/>
      <c r="H7363" s="733"/>
      <c r="I7363" s="733"/>
      <c r="J7363" s="733"/>
      <c r="K7363" s="733"/>
      <c r="L7363" s="733"/>
      <c r="M7363" s="733"/>
    </row>
    <row r="7364" spans="1:13" x14ac:dyDescent="0.3">
      <c r="A7364" s="733" t="s">
        <v>7420</v>
      </c>
      <c r="B7364" s="733" t="s">
        <v>612</v>
      </c>
      <c r="C7364" s="738" t="s">
        <v>7441</v>
      </c>
      <c r="D7364" s="733"/>
      <c r="E7364" s="733"/>
      <c r="G7364" s="733"/>
      <c r="H7364" s="733"/>
      <c r="I7364" s="733"/>
      <c r="J7364" s="733"/>
      <c r="K7364" s="733"/>
      <c r="L7364" s="733"/>
      <c r="M7364" s="733"/>
    </row>
    <row r="7365" spans="1:13" x14ac:dyDescent="0.3">
      <c r="A7365" s="733" t="s">
        <v>7420</v>
      </c>
      <c r="B7365" s="733" t="s">
        <v>612</v>
      </c>
      <c r="C7365" s="738" t="s">
        <v>7442</v>
      </c>
      <c r="D7365" s="733"/>
      <c r="E7365" s="733"/>
      <c r="G7365" s="733"/>
      <c r="H7365" s="733"/>
      <c r="I7365" s="733"/>
      <c r="J7365" s="733"/>
      <c r="K7365" s="733"/>
      <c r="L7365" s="733"/>
      <c r="M7365" s="733"/>
    </row>
    <row r="7366" spans="1:13" x14ac:dyDescent="0.3">
      <c r="A7366" s="733" t="s">
        <v>7420</v>
      </c>
      <c r="B7366" s="733" t="s">
        <v>612</v>
      </c>
      <c r="C7366" s="738" t="s">
        <v>7443</v>
      </c>
      <c r="D7366" s="733"/>
      <c r="E7366" s="733"/>
      <c r="G7366" s="733"/>
      <c r="H7366" s="733"/>
      <c r="I7366" s="733"/>
      <c r="J7366" s="733"/>
      <c r="K7366" s="733"/>
      <c r="L7366" s="733"/>
      <c r="M7366" s="733"/>
    </row>
    <row r="7367" spans="1:13" x14ac:dyDescent="0.3">
      <c r="A7367" s="733" t="s">
        <v>7420</v>
      </c>
      <c r="B7367" s="733" t="s">
        <v>612</v>
      </c>
      <c r="C7367" s="738" t="s">
        <v>7444</v>
      </c>
      <c r="D7367" s="733"/>
      <c r="E7367" s="733"/>
      <c r="G7367" s="733"/>
      <c r="H7367" s="733"/>
      <c r="I7367" s="733"/>
      <c r="J7367" s="733"/>
      <c r="K7367" s="733"/>
      <c r="L7367" s="733"/>
      <c r="M7367" s="733"/>
    </row>
    <row r="7368" spans="1:13" x14ac:dyDescent="0.3">
      <c r="A7368" s="733" t="s">
        <v>7420</v>
      </c>
      <c r="B7368" s="733" t="s">
        <v>612</v>
      </c>
      <c r="C7368" s="738" t="s">
        <v>7445</v>
      </c>
      <c r="D7368" s="733"/>
      <c r="E7368" s="733"/>
      <c r="G7368" s="733"/>
      <c r="H7368" s="733"/>
      <c r="I7368" s="733"/>
      <c r="J7368" s="733"/>
      <c r="K7368" s="733"/>
      <c r="L7368" s="733"/>
      <c r="M7368" s="733"/>
    </row>
    <row r="7369" spans="1:13" x14ac:dyDescent="0.3">
      <c r="A7369" s="733" t="s">
        <v>7420</v>
      </c>
      <c r="B7369" s="733" t="s">
        <v>612</v>
      </c>
      <c r="C7369" s="738" t="s">
        <v>7446</v>
      </c>
      <c r="D7369" s="733"/>
      <c r="E7369" s="733"/>
      <c r="G7369" s="733"/>
      <c r="H7369" s="733"/>
      <c r="I7369" s="733"/>
      <c r="J7369" s="733"/>
      <c r="K7369" s="733"/>
      <c r="L7369" s="733"/>
      <c r="M7369" s="733"/>
    </row>
    <row r="7370" spans="1:13" x14ac:dyDescent="0.3">
      <c r="A7370" s="733" t="s">
        <v>7420</v>
      </c>
      <c r="B7370" s="733" t="s">
        <v>612</v>
      </c>
      <c r="C7370" s="738" t="s">
        <v>7447</v>
      </c>
      <c r="D7370" s="733"/>
      <c r="E7370" s="733"/>
      <c r="G7370" s="733"/>
      <c r="H7370" s="733"/>
      <c r="I7370" s="733"/>
      <c r="J7370" s="733"/>
      <c r="K7370" s="733"/>
      <c r="L7370" s="733"/>
      <c r="M7370" s="733"/>
    </row>
    <row r="7371" spans="1:13" x14ac:dyDescent="0.3">
      <c r="A7371" s="733" t="s">
        <v>7420</v>
      </c>
      <c r="B7371" s="733" t="s">
        <v>612</v>
      </c>
      <c r="C7371" s="738" t="s">
        <v>7448</v>
      </c>
      <c r="D7371" s="733"/>
      <c r="E7371" s="733"/>
      <c r="G7371" s="733"/>
      <c r="H7371" s="733"/>
      <c r="I7371" s="733"/>
      <c r="J7371" s="733"/>
      <c r="K7371" s="733"/>
      <c r="L7371" s="733"/>
      <c r="M7371" s="733"/>
    </row>
    <row r="7372" spans="1:13" x14ac:dyDescent="0.3">
      <c r="A7372" s="733" t="s">
        <v>7420</v>
      </c>
      <c r="B7372" s="733" t="s">
        <v>612</v>
      </c>
      <c r="C7372" s="738" t="s">
        <v>7449</v>
      </c>
      <c r="D7372" s="733"/>
      <c r="E7372" s="733"/>
      <c r="G7372" s="733"/>
      <c r="H7372" s="733"/>
      <c r="I7372" s="733"/>
      <c r="J7372" s="733"/>
      <c r="K7372" s="733"/>
      <c r="L7372" s="733"/>
      <c r="M7372" s="733"/>
    </row>
    <row r="7373" spans="1:13" x14ac:dyDescent="0.3">
      <c r="A7373" s="733" t="s">
        <v>7420</v>
      </c>
      <c r="B7373" s="733" t="s">
        <v>612</v>
      </c>
      <c r="C7373" s="738" t="s">
        <v>7450</v>
      </c>
      <c r="D7373" s="733"/>
      <c r="E7373" s="733"/>
      <c r="G7373" s="733"/>
      <c r="H7373" s="733"/>
      <c r="I7373" s="733"/>
      <c r="J7373" s="733"/>
      <c r="K7373" s="733"/>
      <c r="L7373" s="733"/>
      <c r="M7373" s="733"/>
    </row>
    <row r="7374" spans="1:13" x14ac:dyDescent="0.3">
      <c r="A7374" s="733" t="s">
        <v>7451</v>
      </c>
      <c r="B7374" s="733" t="s">
        <v>645</v>
      </c>
      <c r="C7374" s="738" t="s">
        <v>7452</v>
      </c>
      <c r="D7374" s="733"/>
      <c r="E7374" s="733"/>
      <c r="G7374" s="733"/>
      <c r="H7374" s="733"/>
      <c r="I7374" s="733"/>
      <c r="J7374" s="733"/>
      <c r="K7374" s="733"/>
      <c r="L7374" s="733"/>
      <c r="M7374" s="733"/>
    </row>
    <row r="7375" spans="1:13" x14ac:dyDescent="0.3">
      <c r="A7375" s="733" t="s">
        <v>7451</v>
      </c>
      <c r="B7375" s="733" t="s">
        <v>645</v>
      </c>
      <c r="C7375" s="738" t="s">
        <v>7453</v>
      </c>
      <c r="D7375" s="733"/>
      <c r="E7375" s="733"/>
      <c r="G7375" s="733"/>
      <c r="H7375" s="733"/>
      <c r="I7375" s="733"/>
      <c r="J7375" s="733"/>
      <c r="K7375" s="733"/>
      <c r="L7375" s="733"/>
      <c r="M7375" s="733"/>
    </row>
    <row r="7376" spans="1:13" x14ac:dyDescent="0.3">
      <c r="A7376" s="733" t="s">
        <v>7451</v>
      </c>
      <c r="B7376" s="733" t="s">
        <v>645</v>
      </c>
      <c r="C7376" s="738" t="s">
        <v>7454</v>
      </c>
      <c r="D7376" s="733"/>
      <c r="E7376" s="733"/>
      <c r="G7376" s="733"/>
      <c r="H7376" s="733"/>
      <c r="I7376" s="733"/>
      <c r="J7376" s="733"/>
      <c r="K7376" s="733"/>
      <c r="L7376" s="733"/>
      <c r="M7376" s="733"/>
    </row>
    <row r="7377" spans="1:13" x14ac:dyDescent="0.3">
      <c r="A7377" s="733" t="s">
        <v>7451</v>
      </c>
      <c r="B7377" s="733" t="s">
        <v>645</v>
      </c>
      <c r="C7377" s="738" t="s">
        <v>7455</v>
      </c>
      <c r="D7377" s="733"/>
      <c r="E7377" s="733"/>
      <c r="G7377" s="733"/>
      <c r="H7377" s="733"/>
      <c r="I7377" s="733"/>
      <c r="J7377" s="733"/>
      <c r="K7377" s="733"/>
      <c r="L7377" s="733"/>
      <c r="M7377" s="733"/>
    </row>
    <row r="7378" spans="1:13" x14ac:dyDescent="0.3">
      <c r="A7378" s="733" t="s">
        <v>7451</v>
      </c>
      <c r="B7378" s="733" t="s">
        <v>645</v>
      </c>
      <c r="C7378" s="738" t="s">
        <v>7456</v>
      </c>
      <c r="D7378" s="733"/>
      <c r="E7378" s="733"/>
      <c r="G7378" s="733"/>
      <c r="H7378" s="733"/>
      <c r="I7378" s="733"/>
      <c r="J7378" s="733"/>
      <c r="K7378" s="733"/>
      <c r="L7378" s="733"/>
      <c r="M7378" s="733"/>
    </row>
    <row r="7379" spans="1:13" x14ac:dyDescent="0.3">
      <c r="A7379" s="733" t="s">
        <v>7451</v>
      </c>
      <c r="B7379" s="733" t="s">
        <v>645</v>
      </c>
      <c r="C7379" s="738" t="s">
        <v>7457</v>
      </c>
      <c r="D7379" s="733"/>
      <c r="E7379" s="733"/>
      <c r="G7379" s="733"/>
      <c r="H7379" s="733"/>
      <c r="I7379" s="733"/>
      <c r="J7379" s="733"/>
      <c r="K7379" s="733"/>
      <c r="L7379" s="733"/>
      <c r="M7379" s="733"/>
    </row>
    <row r="7380" spans="1:13" x14ac:dyDescent="0.3">
      <c r="A7380" s="733" t="s">
        <v>7451</v>
      </c>
      <c r="B7380" s="733" t="s">
        <v>645</v>
      </c>
      <c r="C7380" s="738" t="s">
        <v>7458</v>
      </c>
      <c r="D7380" s="733"/>
      <c r="E7380" s="733"/>
      <c r="G7380" s="733"/>
      <c r="H7380" s="733"/>
      <c r="I7380" s="733"/>
      <c r="J7380" s="733"/>
      <c r="K7380" s="733"/>
      <c r="L7380" s="733"/>
      <c r="M7380" s="733"/>
    </row>
    <row r="7381" spans="1:13" x14ac:dyDescent="0.3">
      <c r="A7381" s="733" t="s">
        <v>7451</v>
      </c>
      <c r="B7381" s="733" t="s">
        <v>645</v>
      </c>
      <c r="C7381" s="738" t="s">
        <v>7459</v>
      </c>
      <c r="D7381" s="733"/>
      <c r="E7381" s="733"/>
      <c r="G7381" s="733"/>
      <c r="H7381" s="733"/>
      <c r="I7381" s="733"/>
      <c r="J7381" s="733"/>
      <c r="K7381" s="733"/>
      <c r="L7381" s="733"/>
      <c r="M7381" s="733"/>
    </row>
    <row r="7382" spans="1:13" x14ac:dyDescent="0.3">
      <c r="A7382" s="733" t="s">
        <v>7451</v>
      </c>
      <c r="B7382" s="733" t="s">
        <v>645</v>
      </c>
      <c r="C7382" s="738" t="s">
        <v>7460</v>
      </c>
      <c r="D7382" s="733"/>
      <c r="E7382" s="733"/>
      <c r="G7382" s="733"/>
      <c r="H7382" s="733"/>
      <c r="I7382" s="733"/>
      <c r="J7382" s="733"/>
      <c r="K7382" s="733"/>
      <c r="L7382" s="733"/>
      <c r="M7382" s="733"/>
    </row>
    <row r="7383" spans="1:13" x14ac:dyDescent="0.3">
      <c r="A7383" s="733" t="s">
        <v>7451</v>
      </c>
      <c r="B7383" s="733" t="s">
        <v>645</v>
      </c>
      <c r="C7383" s="738" t="s">
        <v>7461</v>
      </c>
      <c r="D7383" s="733"/>
      <c r="E7383" s="733"/>
      <c r="G7383" s="733"/>
      <c r="H7383" s="733"/>
      <c r="I7383" s="733"/>
      <c r="J7383" s="733"/>
      <c r="K7383" s="733"/>
      <c r="L7383" s="733"/>
      <c r="M7383" s="733"/>
    </row>
    <row r="7384" spans="1:13" x14ac:dyDescent="0.3">
      <c r="A7384" s="733" t="s">
        <v>7451</v>
      </c>
      <c r="B7384" s="733" t="s">
        <v>664</v>
      </c>
      <c r="C7384" s="738" t="s">
        <v>7462</v>
      </c>
      <c r="D7384" s="733"/>
      <c r="E7384" s="733"/>
      <c r="G7384" s="733"/>
      <c r="H7384" s="733"/>
      <c r="I7384" s="733"/>
      <c r="J7384" s="733"/>
      <c r="K7384" s="733"/>
      <c r="L7384" s="733"/>
      <c r="M7384" s="733"/>
    </row>
    <row r="7385" spans="1:13" x14ac:dyDescent="0.3">
      <c r="A7385" s="733" t="s">
        <v>7451</v>
      </c>
      <c r="B7385" s="733" t="s">
        <v>664</v>
      </c>
      <c r="C7385" s="738" t="s">
        <v>7463</v>
      </c>
      <c r="D7385" s="733"/>
      <c r="E7385" s="733"/>
      <c r="G7385" s="733"/>
      <c r="H7385" s="733"/>
      <c r="I7385" s="733"/>
      <c r="J7385" s="733"/>
      <c r="K7385" s="733"/>
      <c r="L7385" s="733"/>
      <c r="M7385" s="733"/>
    </row>
    <row r="7386" spans="1:13" x14ac:dyDescent="0.3">
      <c r="A7386" s="733" t="s">
        <v>7451</v>
      </c>
      <c r="B7386" s="733" t="s">
        <v>664</v>
      </c>
      <c r="C7386" s="738" t="s">
        <v>7464</v>
      </c>
      <c r="D7386" s="733"/>
      <c r="E7386" s="733"/>
      <c r="G7386" s="733"/>
      <c r="H7386" s="733"/>
      <c r="I7386" s="733"/>
      <c r="J7386" s="733"/>
      <c r="K7386" s="733"/>
      <c r="L7386" s="733"/>
      <c r="M7386" s="733"/>
    </row>
    <row r="7387" spans="1:13" x14ac:dyDescent="0.3">
      <c r="A7387" s="733" t="s">
        <v>7451</v>
      </c>
      <c r="B7387" s="733" t="s">
        <v>664</v>
      </c>
      <c r="C7387" s="738" t="s">
        <v>7465</v>
      </c>
      <c r="D7387" s="733"/>
      <c r="E7387" s="733"/>
      <c r="G7387" s="733"/>
      <c r="H7387" s="733"/>
      <c r="I7387" s="733"/>
      <c r="J7387" s="733"/>
      <c r="K7387" s="733"/>
      <c r="L7387" s="733"/>
      <c r="M7387" s="733"/>
    </row>
    <row r="7388" spans="1:13" x14ac:dyDescent="0.3">
      <c r="A7388" s="733" t="s">
        <v>7451</v>
      </c>
      <c r="B7388" s="733" t="s">
        <v>664</v>
      </c>
      <c r="C7388" s="738" t="s">
        <v>7466</v>
      </c>
      <c r="D7388" s="733"/>
      <c r="E7388" s="733"/>
      <c r="G7388" s="733"/>
      <c r="H7388" s="733"/>
      <c r="I7388" s="733"/>
      <c r="J7388" s="733"/>
      <c r="K7388" s="733"/>
      <c r="L7388" s="733"/>
      <c r="M7388" s="733"/>
    </row>
    <row r="7389" spans="1:13" x14ac:dyDescent="0.3">
      <c r="A7389" s="733" t="s">
        <v>7451</v>
      </c>
      <c r="B7389" s="733" t="s">
        <v>664</v>
      </c>
      <c r="C7389" s="738" t="s">
        <v>7467</v>
      </c>
      <c r="D7389" s="733"/>
      <c r="E7389" s="733"/>
      <c r="G7389" s="733"/>
      <c r="H7389" s="733"/>
      <c r="I7389" s="733"/>
      <c r="J7389" s="733"/>
      <c r="K7389" s="733"/>
      <c r="L7389" s="733"/>
      <c r="M7389" s="733"/>
    </row>
    <row r="7390" spans="1:13" x14ac:dyDescent="0.3">
      <c r="A7390" s="733" t="s">
        <v>7451</v>
      </c>
      <c r="B7390" s="733" t="s">
        <v>664</v>
      </c>
      <c r="C7390" s="738" t="s">
        <v>7468</v>
      </c>
      <c r="D7390" s="733"/>
      <c r="E7390" s="733"/>
      <c r="G7390" s="733"/>
      <c r="H7390" s="733"/>
      <c r="I7390" s="733"/>
      <c r="J7390" s="733"/>
      <c r="K7390" s="733"/>
      <c r="L7390" s="733"/>
      <c r="M7390" s="733"/>
    </row>
    <row r="7391" spans="1:13" x14ac:dyDescent="0.3">
      <c r="A7391" s="733" t="s">
        <v>7451</v>
      </c>
      <c r="B7391" s="733" t="s">
        <v>664</v>
      </c>
      <c r="C7391" s="738" t="s">
        <v>7469</v>
      </c>
      <c r="D7391" s="733"/>
      <c r="E7391" s="733"/>
      <c r="G7391" s="733"/>
      <c r="H7391" s="733"/>
      <c r="I7391" s="733"/>
      <c r="J7391" s="733"/>
      <c r="K7391" s="733"/>
      <c r="L7391" s="733"/>
      <c r="M7391" s="733"/>
    </row>
    <row r="7392" spans="1:13" x14ac:dyDescent="0.3">
      <c r="A7392" s="733" t="s">
        <v>7451</v>
      </c>
      <c r="B7392" s="733" t="s">
        <v>664</v>
      </c>
      <c r="C7392" s="738" t="s">
        <v>7470</v>
      </c>
      <c r="D7392" s="733"/>
      <c r="E7392" s="733"/>
      <c r="G7392" s="733"/>
      <c r="H7392" s="733"/>
      <c r="I7392" s="733"/>
      <c r="J7392" s="733"/>
      <c r="K7392" s="733"/>
      <c r="L7392" s="733"/>
      <c r="M7392" s="733"/>
    </row>
    <row r="7393" spans="1:13" x14ac:dyDescent="0.3">
      <c r="A7393" s="733" t="s">
        <v>7451</v>
      </c>
      <c r="B7393" s="733" t="s">
        <v>664</v>
      </c>
      <c r="C7393" s="738" t="s">
        <v>7471</v>
      </c>
      <c r="D7393" s="733"/>
      <c r="E7393" s="733"/>
      <c r="G7393" s="733"/>
      <c r="H7393" s="733"/>
      <c r="I7393" s="733"/>
      <c r="J7393" s="733"/>
      <c r="K7393" s="733"/>
      <c r="L7393" s="733"/>
      <c r="M7393" s="733"/>
    </row>
    <row r="7394" spans="1:13" x14ac:dyDescent="0.3">
      <c r="A7394" s="733" t="s">
        <v>7451</v>
      </c>
      <c r="B7394" s="733" t="s">
        <v>612</v>
      </c>
      <c r="C7394" s="738" t="s">
        <v>7472</v>
      </c>
      <c r="D7394" s="733"/>
      <c r="E7394" s="733"/>
      <c r="G7394" s="733"/>
      <c r="H7394" s="733"/>
      <c r="I7394" s="733"/>
      <c r="J7394" s="733"/>
      <c r="K7394" s="733"/>
      <c r="L7394" s="733"/>
      <c r="M7394" s="733"/>
    </row>
    <row r="7395" spans="1:13" x14ac:dyDescent="0.3">
      <c r="A7395" s="733" t="s">
        <v>7451</v>
      </c>
      <c r="B7395" s="733" t="s">
        <v>612</v>
      </c>
      <c r="C7395" s="738" t="s">
        <v>7473</v>
      </c>
      <c r="D7395" s="733"/>
      <c r="E7395" s="733"/>
      <c r="G7395" s="733"/>
      <c r="H7395" s="733"/>
      <c r="I7395" s="733"/>
      <c r="J7395" s="733"/>
      <c r="K7395" s="733"/>
      <c r="L7395" s="733"/>
      <c r="M7395" s="733"/>
    </row>
    <row r="7396" spans="1:13" x14ac:dyDescent="0.3">
      <c r="A7396" s="733" t="s">
        <v>7451</v>
      </c>
      <c r="B7396" s="733" t="s">
        <v>612</v>
      </c>
      <c r="C7396" s="738" t="s">
        <v>7474</v>
      </c>
      <c r="D7396" s="733"/>
      <c r="E7396" s="733"/>
      <c r="G7396" s="733"/>
      <c r="H7396" s="733"/>
      <c r="I7396" s="733"/>
      <c r="J7396" s="733"/>
      <c r="K7396" s="733"/>
      <c r="L7396" s="733"/>
      <c r="M7396" s="733"/>
    </row>
    <row r="7397" spans="1:13" x14ac:dyDescent="0.3">
      <c r="A7397" s="733" t="s">
        <v>7451</v>
      </c>
      <c r="B7397" s="733" t="s">
        <v>612</v>
      </c>
      <c r="C7397" s="738" t="s">
        <v>7475</v>
      </c>
      <c r="D7397" s="733"/>
      <c r="E7397" s="733"/>
      <c r="G7397" s="733"/>
      <c r="H7397" s="733"/>
      <c r="I7397" s="733"/>
      <c r="J7397" s="733"/>
      <c r="K7397" s="733"/>
      <c r="L7397" s="733"/>
      <c r="M7397" s="733"/>
    </row>
    <row r="7398" spans="1:13" x14ac:dyDescent="0.3">
      <c r="A7398" s="733" t="s">
        <v>7451</v>
      </c>
      <c r="B7398" s="733" t="s">
        <v>612</v>
      </c>
      <c r="C7398" s="738" t="s">
        <v>7476</v>
      </c>
      <c r="D7398" s="733"/>
      <c r="E7398" s="733"/>
      <c r="G7398" s="733"/>
      <c r="H7398" s="733"/>
      <c r="I7398" s="733"/>
      <c r="J7398" s="733"/>
      <c r="K7398" s="733"/>
      <c r="L7398" s="733"/>
      <c r="M7398" s="733"/>
    </row>
    <row r="7399" spans="1:13" x14ac:dyDescent="0.3">
      <c r="A7399" s="733" t="s">
        <v>7451</v>
      </c>
      <c r="B7399" s="733" t="s">
        <v>612</v>
      </c>
      <c r="C7399" s="738" t="s">
        <v>7477</v>
      </c>
      <c r="D7399" s="733"/>
      <c r="E7399" s="733"/>
      <c r="G7399" s="733"/>
      <c r="H7399" s="733"/>
      <c r="I7399" s="733"/>
      <c r="J7399" s="733"/>
      <c r="K7399" s="733"/>
      <c r="L7399" s="733"/>
      <c r="M7399" s="733"/>
    </row>
    <row r="7400" spans="1:13" x14ac:dyDescent="0.3">
      <c r="A7400" s="733" t="s">
        <v>7451</v>
      </c>
      <c r="B7400" s="733" t="s">
        <v>612</v>
      </c>
      <c r="C7400" s="738" t="s">
        <v>7478</v>
      </c>
      <c r="D7400" s="733"/>
      <c r="E7400" s="733"/>
      <c r="G7400" s="733"/>
      <c r="H7400" s="733"/>
      <c r="I7400" s="733"/>
      <c r="J7400" s="733"/>
      <c r="K7400" s="733"/>
      <c r="L7400" s="733"/>
      <c r="M7400" s="733"/>
    </row>
    <row r="7401" spans="1:13" x14ac:dyDescent="0.3">
      <c r="A7401" s="733" t="s">
        <v>7451</v>
      </c>
      <c r="B7401" s="733" t="s">
        <v>612</v>
      </c>
      <c r="C7401" s="738" t="s">
        <v>7479</v>
      </c>
      <c r="D7401" s="733"/>
      <c r="E7401" s="733"/>
      <c r="G7401" s="733"/>
      <c r="H7401" s="733"/>
      <c r="I7401" s="733"/>
      <c r="J7401" s="733"/>
      <c r="K7401" s="733"/>
      <c r="L7401" s="733"/>
      <c r="M7401" s="733"/>
    </row>
    <row r="7402" spans="1:13" x14ac:dyDescent="0.3">
      <c r="A7402" s="733" t="s">
        <v>7451</v>
      </c>
      <c r="B7402" s="733" t="s">
        <v>612</v>
      </c>
      <c r="C7402" s="738" t="s">
        <v>7480</v>
      </c>
      <c r="D7402" s="733"/>
      <c r="E7402" s="733"/>
      <c r="G7402" s="733"/>
      <c r="H7402" s="733"/>
      <c r="I7402" s="733"/>
      <c r="J7402" s="733"/>
      <c r="K7402" s="733"/>
      <c r="L7402" s="733"/>
      <c r="M7402" s="733"/>
    </row>
    <row r="7403" spans="1:13" x14ac:dyDescent="0.3">
      <c r="A7403" s="733" t="s">
        <v>7451</v>
      </c>
      <c r="B7403" s="733" t="s">
        <v>612</v>
      </c>
      <c r="C7403" s="738" t="s">
        <v>7481</v>
      </c>
      <c r="D7403" s="733"/>
      <c r="E7403" s="733"/>
      <c r="G7403" s="733"/>
      <c r="H7403" s="733"/>
      <c r="I7403" s="733"/>
      <c r="J7403" s="733"/>
      <c r="K7403" s="733"/>
      <c r="L7403" s="733"/>
      <c r="M7403" s="733"/>
    </row>
    <row r="7404" spans="1:13" x14ac:dyDescent="0.3">
      <c r="A7404" s="733" t="s">
        <v>1020</v>
      </c>
      <c r="B7404" s="733" t="s">
        <v>645</v>
      </c>
      <c r="C7404" s="738" t="s">
        <v>7482</v>
      </c>
      <c r="D7404" s="733"/>
      <c r="E7404" s="733"/>
      <c r="G7404" s="733"/>
      <c r="H7404" s="733"/>
      <c r="I7404" s="733"/>
      <c r="J7404" s="733"/>
      <c r="K7404" s="733"/>
      <c r="L7404" s="733"/>
      <c r="M7404" s="733"/>
    </row>
    <row r="7405" spans="1:13" x14ac:dyDescent="0.3">
      <c r="A7405" s="733" t="s">
        <v>1020</v>
      </c>
      <c r="B7405" s="733" t="s">
        <v>645</v>
      </c>
      <c r="C7405" s="738" t="s">
        <v>7483</v>
      </c>
      <c r="D7405" s="733"/>
      <c r="E7405" s="733"/>
      <c r="G7405" s="733"/>
      <c r="H7405" s="733"/>
      <c r="I7405" s="733"/>
      <c r="J7405" s="733"/>
      <c r="K7405" s="733"/>
      <c r="L7405" s="733"/>
      <c r="M7405" s="733"/>
    </row>
    <row r="7406" spans="1:13" x14ac:dyDescent="0.3">
      <c r="A7406" s="733" t="s">
        <v>1020</v>
      </c>
      <c r="B7406" s="733" t="s">
        <v>645</v>
      </c>
      <c r="C7406" s="738" t="s">
        <v>7484</v>
      </c>
      <c r="D7406" s="733"/>
      <c r="E7406" s="733"/>
      <c r="G7406" s="733"/>
      <c r="H7406" s="733"/>
      <c r="I7406" s="733"/>
      <c r="J7406" s="733"/>
      <c r="K7406" s="733"/>
      <c r="L7406" s="733"/>
      <c r="M7406" s="733"/>
    </row>
    <row r="7407" spans="1:13" x14ac:dyDescent="0.3">
      <c r="A7407" s="733" t="s">
        <v>1020</v>
      </c>
      <c r="B7407" s="733" t="s">
        <v>645</v>
      </c>
      <c r="C7407" s="738" t="s">
        <v>7485</v>
      </c>
      <c r="D7407" s="733"/>
      <c r="E7407" s="733"/>
      <c r="G7407" s="733"/>
      <c r="H7407" s="733"/>
      <c r="I7407" s="733"/>
      <c r="J7407" s="733"/>
      <c r="K7407" s="733"/>
      <c r="L7407" s="733"/>
      <c r="M7407" s="733"/>
    </row>
    <row r="7408" spans="1:13" x14ac:dyDescent="0.3">
      <c r="A7408" s="733" t="s">
        <v>1020</v>
      </c>
      <c r="B7408" s="733" t="s">
        <v>645</v>
      </c>
      <c r="C7408" s="738" t="s">
        <v>7486</v>
      </c>
      <c r="D7408" s="733"/>
      <c r="E7408" s="733"/>
      <c r="G7408" s="733"/>
      <c r="H7408" s="733"/>
      <c r="I7408" s="733"/>
      <c r="J7408" s="733"/>
      <c r="K7408" s="733"/>
      <c r="L7408" s="733"/>
      <c r="M7408" s="733"/>
    </row>
    <row r="7409" spans="1:13" x14ac:dyDescent="0.3">
      <c r="A7409" s="733" t="s">
        <v>1020</v>
      </c>
      <c r="B7409" s="733" t="s">
        <v>645</v>
      </c>
      <c r="C7409" s="738" t="s">
        <v>7487</v>
      </c>
      <c r="D7409" s="733"/>
      <c r="E7409" s="733"/>
      <c r="G7409" s="733"/>
      <c r="H7409" s="733"/>
      <c r="I7409" s="733"/>
      <c r="J7409" s="733"/>
      <c r="K7409" s="733"/>
      <c r="L7409" s="733"/>
      <c r="M7409" s="733"/>
    </row>
    <row r="7410" spans="1:13" x14ac:dyDescent="0.3">
      <c r="A7410" s="733" t="s">
        <v>1020</v>
      </c>
      <c r="B7410" s="733" t="s">
        <v>645</v>
      </c>
      <c r="C7410" s="738" t="s">
        <v>7488</v>
      </c>
      <c r="D7410" s="733"/>
      <c r="E7410" s="733"/>
      <c r="G7410" s="733"/>
      <c r="H7410" s="733"/>
      <c r="I7410" s="733"/>
      <c r="J7410" s="733"/>
      <c r="K7410" s="733"/>
      <c r="L7410" s="733"/>
      <c r="M7410" s="733"/>
    </row>
    <row r="7411" spans="1:13" x14ac:dyDescent="0.3">
      <c r="A7411" s="733" t="s">
        <v>1020</v>
      </c>
      <c r="B7411" s="733" t="s">
        <v>645</v>
      </c>
      <c r="C7411" s="738" t="s">
        <v>7489</v>
      </c>
      <c r="D7411" s="733"/>
      <c r="E7411" s="733"/>
      <c r="G7411" s="733"/>
      <c r="H7411" s="733"/>
      <c r="I7411" s="733"/>
      <c r="J7411" s="733"/>
      <c r="K7411" s="733"/>
      <c r="L7411" s="733"/>
      <c r="M7411" s="733"/>
    </row>
    <row r="7412" spans="1:13" x14ac:dyDescent="0.3">
      <c r="A7412" s="733" t="s">
        <v>1020</v>
      </c>
      <c r="B7412" s="733" t="s">
        <v>645</v>
      </c>
      <c r="C7412" s="738" t="s">
        <v>7490</v>
      </c>
      <c r="D7412" s="733"/>
      <c r="E7412" s="733"/>
      <c r="G7412" s="733"/>
      <c r="H7412" s="733"/>
      <c r="I7412" s="733"/>
      <c r="J7412" s="733"/>
      <c r="K7412" s="733"/>
      <c r="L7412" s="733"/>
      <c r="M7412" s="733"/>
    </row>
    <row r="7413" spans="1:13" x14ac:dyDescent="0.3">
      <c r="A7413" s="733" t="s">
        <v>1020</v>
      </c>
      <c r="B7413" s="733" t="s">
        <v>645</v>
      </c>
      <c r="C7413" s="738" t="s">
        <v>7491</v>
      </c>
      <c r="D7413" s="733"/>
      <c r="E7413" s="733"/>
      <c r="G7413" s="733"/>
      <c r="H7413" s="733"/>
      <c r="I7413" s="733"/>
      <c r="J7413" s="733"/>
      <c r="K7413" s="733"/>
      <c r="L7413" s="733"/>
      <c r="M7413" s="733"/>
    </row>
    <row r="7414" spans="1:13" x14ac:dyDescent="0.3">
      <c r="A7414" s="733" t="s">
        <v>1020</v>
      </c>
      <c r="B7414" s="733" t="s">
        <v>664</v>
      </c>
      <c r="C7414" s="738" t="s">
        <v>7492</v>
      </c>
      <c r="D7414" s="733"/>
      <c r="E7414" s="733"/>
      <c r="G7414" s="733"/>
      <c r="H7414" s="733"/>
      <c r="I7414" s="733"/>
      <c r="J7414" s="733"/>
      <c r="K7414" s="733"/>
      <c r="L7414" s="733"/>
      <c r="M7414" s="733"/>
    </row>
    <row r="7415" spans="1:13" x14ac:dyDescent="0.3">
      <c r="A7415" s="733" t="s">
        <v>1020</v>
      </c>
      <c r="B7415" s="733" t="s">
        <v>664</v>
      </c>
      <c r="C7415" s="738" t="s">
        <v>7493</v>
      </c>
      <c r="D7415" s="733"/>
      <c r="E7415" s="733"/>
      <c r="G7415" s="733"/>
      <c r="H7415" s="733"/>
      <c r="I7415" s="733"/>
      <c r="J7415" s="733"/>
      <c r="K7415" s="733"/>
      <c r="L7415" s="733"/>
      <c r="M7415" s="733"/>
    </row>
    <row r="7416" spans="1:13" x14ac:dyDescent="0.3">
      <c r="A7416" s="733" t="s">
        <v>1020</v>
      </c>
      <c r="B7416" s="733" t="s">
        <v>664</v>
      </c>
      <c r="C7416" s="738" t="s">
        <v>7494</v>
      </c>
      <c r="D7416" s="733"/>
      <c r="E7416" s="733"/>
      <c r="G7416" s="733"/>
      <c r="H7416" s="733"/>
      <c r="I7416" s="733"/>
      <c r="J7416" s="733"/>
      <c r="K7416" s="733"/>
      <c r="L7416" s="733"/>
      <c r="M7416" s="733"/>
    </row>
    <row r="7417" spans="1:13" x14ac:dyDescent="0.3">
      <c r="A7417" s="733" t="s">
        <v>1020</v>
      </c>
      <c r="B7417" s="733" t="s">
        <v>664</v>
      </c>
      <c r="C7417" s="738" t="s">
        <v>7495</v>
      </c>
      <c r="D7417" s="733"/>
      <c r="E7417" s="733"/>
      <c r="G7417" s="733"/>
      <c r="H7417" s="733"/>
      <c r="I7417" s="733"/>
      <c r="J7417" s="733"/>
      <c r="K7417" s="733"/>
      <c r="L7417" s="733"/>
      <c r="M7417" s="733"/>
    </row>
    <row r="7418" spans="1:13" x14ac:dyDescent="0.3">
      <c r="A7418" s="733" t="s">
        <v>1020</v>
      </c>
      <c r="B7418" s="733" t="s">
        <v>664</v>
      </c>
      <c r="C7418" s="738" t="s">
        <v>7496</v>
      </c>
      <c r="D7418" s="733"/>
      <c r="E7418" s="733"/>
      <c r="G7418" s="733"/>
      <c r="H7418" s="733"/>
      <c r="I7418" s="733"/>
      <c r="J7418" s="733"/>
      <c r="K7418" s="733"/>
      <c r="L7418" s="733"/>
      <c r="M7418" s="733"/>
    </row>
    <row r="7419" spans="1:13" x14ac:dyDescent="0.3">
      <c r="A7419" s="733" t="s">
        <v>1020</v>
      </c>
      <c r="B7419" s="733" t="s">
        <v>664</v>
      </c>
      <c r="C7419" s="738" t="s">
        <v>7497</v>
      </c>
      <c r="D7419" s="733"/>
      <c r="E7419" s="733"/>
      <c r="G7419" s="733"/>
      <c r="H7419" s="733"/>
      <c r="I7419" s="733"/>
      <c r="J7419" s="733"/>
      <c r="K7419" s="733"/>
      <c r="L7419" s="733"/>
      <c r="M7419" s="733"/>
    </row>
    <row r="7420" spans="1:13" x14ac:dyDescent="0.3">
      <c r="A7420" s="733" t="s">
        <v>1020</v>
      </c>
      <c r="B7420" s="733" t="s">
        <v>664</v>
      </c>
      <c r="C7420" s="738" t="s">
        <v>7498</v>
      </c>
      <c r="D7420" s="733"/>
      <c r="E7420" s="733"/>
      <c r="G7420" s="733"/>
      <c r="H7420" s="733"/>
      <c r="I7420" s="733"/>
      <c r="J7420" s="733"/>
      <c r="K7420" s="733"/>
      <c r="L7420" s="733"/>
      <c r="M7420" s="733"/>
    </row>
    <row r="7421" spans="1:13" x14ac:dyDescent="0.3">
      <c r="A7421" s="733" t="s">
        <v>1020</v>
      </c>
      <c r="B7421" s="733" t="s">
        <v>664</v>
      </c>
      <c r="C7421" s="738" t="s">
        <v>7499</v>
      </c>
      <c r="D7421" s="733"/>
      <c r="E7421" s="733"/>
      <c r="G7421" s="733"/>
      <c r="H7421" s="733"/>
      <c r="I7421" s="733"/>
      <c r="J7421" s="733"/>
      <c r="K7421" s="733"/>
      <c r="L7421" s="733"/>
      <c r="M7421" s="733"/>
    </row>
    <row r="7422" spans="1:13" x14ac:dyDescent="0.3">
      <c r="A7422" s="733" t="s">
        <v>1020</v>
      </c>
      <c r="B7422" s="733" t="s">
        <v>664</v>
      </c>
      <c r="C7422" s="738" t="s">
        <v>7500</v>
      </c>
      <c r="D7422" s="733"/>
      <c r="E7422" s="733"/>
      <c r="G7422" s="733"/>
      <c r="H7422" s="733"/>
      <c r="I7422" s="733"/>
      <c r="J7422" s="733"/>
      <c r="K7422" s="733"/>
      <c r="L7422" s="733"/>
      <c r="M7422" s="733"/>
    </row>
    <row r="7423" spans="1:13" x14ac:dyDescent="0.3">
      <c r="A7423" s="733" t="s">
        <v>1020</v>
      </c>
      <c r="B7423" s="733" t="s">
        <v>664</v>
      </c>
      <c r="C7423" s="738" t="s">
        <v>7501</v>
      </c>
      <c r="D7423" s="733"/>
      <c r="E7423" s="733"/>
      <c r="G7423" s="733"/>
      <c r="H7423" s="733"/>
      <c r="I7423" s="733"/>
      <c r="J7423" s="733"/>
      <c r="K7423" s="733"/>
      <c r="L7423" s="733"/>
      <c r="M7423" s="733"/>
    </row>
    <row r="7424" spans="1:13" x14ac:dyDescent="0.3">
      <c r="A7424" s="733" t="s">
        <v>1020</v>
      </c>
      <c r="B7424" s="733" t="s">
        <v>612</v>
      </c>
      <c r="C7424" s="738" t="s">
        <v>7502</v>
      </c>
      <c r="D7424" s="733"/>
      <c r="E7424" s="733"/>
      <c r="G7424" s="733"/>
      <c r="H7424" s="733"/>
      <c r="I7424" s="733"/>
      <c r="J7424" s="733"/>
      <c r="K7424" s="733"/>
      <c r="L7424" s="733"/>
      <c r="M7424" s="733"/>
    </row>
    <row r="7425" spans="1:13" x14ac:dyDescent="0.3">
      <c r="A7425" s="733" t="s">
        <v>1020</v>
      </c>
      <c r="B7425" s="733" t="s">
        <v>612</v>
      </c>
      <c r="C7425" s="738" t="s">
        <v>7503</v>
      </c>
      <c r="D7425" s="733"/>
      <c r="E7425" s="733"/>
      <c r="G7425" s="733"/>
      <c r="H7425" s="733"/>
      <c r="I7425" s="733"/>
      <c r="J7425" s="733"/>
      <c r="K7425" s="733"/>
      <c r="L7425" s="733"/>
      <c r="M7425" s="733"/>
    </row>
    <row r="7426" spans="1:13" x14ac:dyDescent="0.3">
      <c r="A7426" s="733" t="s">
        <v>1020</v>
      </c>
      <c r="B7426" s="733" t="s">
        <v>612</v>
      </c>
      <c r="C7426" s="738" t="s">
        <v>7504</v>
      </c>
      <c r="D7426" s="733"/>
      <c r="E7426" s="733"/>
      <c r="G7426" s="733"/>
      <c r="H7426" s="733"/>
      <c r="I7426" s="733"/>
      <c r="J7426" s="733"/>
      <c r="K7426" s="733"/>
      <c r="L7426" s="733"/>
      <c r="M7426" s="733"/>
    </row>
    <row r="7427" spans="1:13" x14ac:dyDescent="0.3">
      <c r="A7427" s="733" t="s">
        <v>1020</v>
      </c>
      <c r="B7427" s="733" t="s">
        <v>612</v>
      </c>
      <c r="C7427" s="738" t="s">
        <v>7505</v>
      </c>
      <c r="D7427" s="733"/>
      <c r="E7427" s="733"/>
      <c r="G7427" s="733"/>
      <c r="H7427" s="733"/>
      <c r="I7427" s="733"/>
      <c r="J7427" s="733"/>
      <c r="K7427" s="733"/>
      <c r="L7427" s="733"/>
      <c r="M7427" s="733"/>
    </row>
    <row r="7428" spans="1:13" x14ac:dyDescent="0.3">
      <c r="A7428" s="733" t="s">
        <v>1020</v>
      </c>
      <c r="B7428" s="733" t="s">
        <v>612</v>
      </c>
      <c r="C7428" s="738" t="s">
        <v>7506</v>
      </c>
      <c r="D7428" s="733"/>
      <c r="E7428" s="733"/>
      <c r="G7428" s="733"/>
      <c r="H7428" s="733"/>
      <c r="I7428" s="733"/>
      <c r="J7428" s="733"/>
      <c r="K7428" s="733"/>
      <c r="L7428" s="733"/>
      <c r="M7428" s="733"/>
    </row>
    <row r="7429" spans="1:13" x14ac:dyDescent="0.3">
      <c r="A7429" s="733" t="s">
        <v>1020</v>
      </c>
      <c r="B7429" s="733" t="s">
        <v>612</v>
      </c>
      <c r="C7429" s="738" t="s">
        <v>7507</v>
      </c>
      <c r="D7429" s="733"/>
      <c r="E7429" s="733"/>
      <c r="G7429" s="733"/>
      <c r="H7429" s="733"/>
      <c r="I7429" s="733"/>
      <c r="J7429" s="733"/>
      <c r="K7429" s="733"/>
      <c r="L7429" s="733"/>
      <c r="M7429" s="733"/>
    </row>
    <row r="7430" spans="1:13" x14ac:dyDescent="0.3">
      <c r="A7430" s="733" t="s">
        <v>1020</v>
      </c>
      <c r="B7430" s="733" t="s">
        <v>612</v>
      </c>
      <c r="C7430" s="738" t="s">
        <v>7508</v>
      </c>
      <c r="D7430" s="733"/>
      <c r="E7430" s="733"/>
      <c r="G7430" s="733"/>
      <c r="H7430" s="733"/>
      <c r="I7430" s="733"/>
      <c r="J7430" s="733"/>
      <c r="K7430" s="733"/>
      <c r="L7430" s="733"/>
      <c r="M7430" s="733"/>
    </row>
    <row r="7431" spans="1:13" x14ac:dyDescent="0.3">
      <c r="A7431" s="733" t="s">
        <v>1020</v>
      </c>
      <c r="B7431" s="733" t="s">
        <v>612</v>
      </c>
      <c r="C7431" s="738" t="s">
        <v>7509</v>
      </c>
      <c r="D7431" s="733"/>
      <c r="E7431" s="733"/>
      <c r="G7431" s="733"/>
      <c r="H7431" s="733"/>
      <c r="I7431" s="733"/>
      <c r="J7431" s="733"/>
      <c r="K7431" s="733"/>
      <c r="L7431" s="733"/>
      <c r="M7431" s="733"/>
    </row>
    <row r="7432" spans="1:13" x14ac:dyDescent="0.3">
      <c r="A7432" s="733" t="s">
        <v>1020</v>
      </c>
      <c r="B7432" s="733" t="s">
        <v>612</v>
      </c>
      <c r="C7432" s="738" t="s">
        <v>7510</v>
      </c>
      <c r="D7432" s="733"/>
      <c r="E7432" s="733"/>
      <c r="G7432" s="733"/>
      <c r="H7432" s="733"/>
      <c r="I7432" s="733"/>
      <c r="J7432" s="733"/>
      <c r="K7432" s="733"/>
      <c r="L7432" s="733"/>
      <c r="M7432" s="733"/>
    </row>
    <row r="7433" spans="1:13" x14ac:dyDescent="0.3">
      <c r="A7433" s="733" t="s">
        <v>1020</v>
      </c>
      <c r="B7433" s="733" t="s">
        <v>612</v>
      </c>
      <c r="C7433" s="738" t="s">
        <v>7511</v>
      </c>
      <c r="D7433" s="733"/>
      <c r="E7433" s="733"/>
      <c r="G7433" s="733"/>
      <c r="H7433" s="733"/>
      <c r="I7433" s="733"/>
      <c r="J7433" s="733"/>
      <c r="K7433" s="733"/>
      <c r="L7433" s="733"/>
      <c r="M7433" s="733"/>
    </row>
    <row r="7434" spans="1:13" x14ac:dyDescent="0.3">
      <c r="A7434" s="733" t="s">
        <v>7512</v>
      </c>
      <c r="B7434" s="733" t="s">
        <v>645</v>
      </c>
      <c r="C7434" s="738" t="s">
        <v>7513</v>
      </c>
      <c r="D7434" s="733"/>
      <c r="E7434" s="733"/>
      <c r="G7434" s="733"/>
      <c r="H7434" s="733"/>
      <c r="I7434" s="733"/>
      <c r="J7434" s="733"/>
      <c r="K7434" s="733"/>
      <c r="L7434" s="733"/>
      <c r="M7434" s="733"/>
    </row>
    <row r="7435" spans="1:13" x14ac:dyDescent="0.3">
      <c r="A7435" s="733" t="s">
        <v>7512</v>
      </c>
      <c r="B7435" s="733" t="s">
        <v>645</v>
      </c>
      <c r="C7435" s="738" t="s">
        <v>7514</v>
      </c>
      <c r="D7435" s="733"/>
      <c r="E7435" s="733"/>
      <c r="G7435" s="733"/>
      <c r="H7435" s="733"/>
      <c r="I7435" s="733"/>
      <c r="J7435" s="733"/>
      <c r="K7435" s="733"/>
      <c r="L7435" s="733"/>
      <c r="M7435" s="733"/>
    </row>
    <row r="7436" spans="1:13" x14ac:dyDescent="0.3">
      <c r="A7436" s="733" t="s">
        <v>7512</v>
      </c>
      <c r="B7436" s="733" t="s">
        <v>645</v>
      </c>
      <c r="C7436" s="738" t="s">
        <v>7515</v>
      </c>
      <c r="D7436" s="733"/>
      <c r="E7436" s="733"/>
      <c r="G7436" s="733"/>
      <c r="H7436" s="733"/>
      <c r="I7436" s="733"/>
      <c r="J7436" s="733"/>
      <c r="K7436" s="733"/>
      <c r="L7436" s="733"/>
      <c r="M7436" s="733"/>
    </row>
    <row r="7437" spans="1:13" x14ac:dyDescent="0.3">
      <c r="A7437" s="733" t="s">
        <v>7512</v>
      </c>
      <c r="B7437" s="733" t="s">
        <v>645</v>
      </c>
      <c r="C7437" s="738" t="s">
        <v>7516</v>
      </c>
      <c r="D7437" s="733"/>
      <c r="E7437" s="733"/>
      <c r="G7437" s="733"/>
      <c r="H7437" s="733"/>
      <c r="I7437" s="733"/>
      <c r="J7437" s="733"/>
      <c r="K7437" s="733"/>
      <c r="L7437" s="733"/>
      <c r="M7437" s="733"/>
    </row>
    <row r="7438" spans="1:13" x14ac:dyDescent="0.3">
      <c r="A7438" s="733" t="s">
        <v>7512</v>
      </c>
      <c r="B7438" s="733" t="s">
        <v>645</v>
      </c>
      <c r="C7438" s="738" t="s">
        <v>7517</v>
      </c>
      <c r="D7438" s="733"/>
      <c r="E7438" s="733"/>
      <c r="G7438" s="733"/>
      <c r="H7438" s="733"/>
      <c r="I7438" s="733"/>
      <c r="J7438" s="733"/>
      <c r="K7438" s="733"/>
      <c r="L7438" s="733"/>
      <c r="M7438" s="733"/>
    </row>
    <row r="7439" spans="1:13" x14ac:dyDescent="0.3">
      <c r="A7439" s="733" t="s">
        <v>7512</v>
      </c>
      <c r="B7439" s="733" t="s">
        <v>645</v>
      </c>
      <c r="C7439" s="738" t="s">
        <v>7518</v>
      </c>
      <c r="D7439" s="733"/>
      <c r="E7439" s="733"/>
      <c r="G7439" s="733"/>
      <c r="H7439" s="733"/>
      <c r="I7439" s="733"/>
      <c r="J7439" s="733"/>
      <c r="K7439" s="733"/>
      <c r="L7439" s="733"/>
      <c r="M7439" s="733"/>
    </row>
    <row r="7440" spans="1:13" x14ac:dyDescent="0.3">
      <c r="A7440" s="733" t="s">
        <v>7512</v>
      </c>
      <c r="B7440" s="733" t="s">
        <v>645</v>
      </c>
      <c r="C7440" s="738" t="s">
        <v>7519</v>
      </c>
      <c r="D7440" s="733"/>
      <c r="E7440" s="733"/>
      <c r="G7440" s="733"/>
      <c r="H7440" s="733"/>
      <c r="I7440" s="733"/>
      <c r="J7440" s="733"/>
      <c r="K7440" s="733"/>
      <c r="L7440" s="733"/>
      <c r="M7440" s="733"/>
    </row>
    <row r="7441" spans="1:13" x14ac:dyDescent="0.3">
      <c r="A7441" s="733" t="s">
        <v>7512</v>
      </c>
      <c r="B7441" s="733" t="s">
        <v>645</v>
      </c>
      <c r="C7441" s="738" t="s">
        <v>7520</v>
      </c>
      <c r="D7441" s="733"/>
      <c r="E7441" s="733"/>
      <c r="G7441" s="733"/>
      <c r="H7441" s="733"/>
      <c r="I7441" s="733"/>
      <c r="J7441" s="733"/>
      <c r="K7441" s="733"/>
      <c r="L7441" s="733"/>
      <c r="M7441" s="733"/>
    </row>
    <row r="7442" spans="1:13" x14ac:dyDescent="0.3">
      <c r="A7442" s="733" t="s">
        <v>7512</v>
      </c>
      <c r="B7442" s="733" t="s">
        <v>645</v>
      </c>
      <c r="C7442" s="738" t="s">
        <v>7521</v>
      </c>
      <c r="D7442" s="733"/>
      <c r="E7442" s="733"/>
      <c r="G7442" s="733"/>
      <c r="H7442" s="733"/>
      <c r="I7442" s="733"/>
      <c r="J7442" s="733"/>
      <c r="K7442" s="733"/>
      <c r="L7442" s="733"/>
      <c r="M7442" s="733"/>
    </row>
    <row r="7443" spans="1:13" x14ac:dyDescent="0.3">
      <c r="A7443" s="733" t="s">
        <v>7512</v>
      </c>
      <c r="B7443" s="733" t="s">
        <v>645</v>
      </c>
      <c r="C7443" s="738" t="s">
        <v>7522</v>
      </c>
      <c r="D7443" s="733"/>
      <c r="E7443" s="733"/>
      <c r="G7443" s="733"/>
      <c r="H7443" s="733"/>
      <c r="I7443" s="733"/>
      <c r="J7443" s="733"/>
      <c r="K7443" s="733"/>
      <c r="L7443" s="733"/>
      <c r="M7443" s="733"/>
    </row>
    <row r="7444" spans="1:13" x14ac:dyDescent="0.3">
      <c r="A7444" s="733" t="s">
        <v>7512</v>
      </c>
      <c r="B7444" s="733" t="s">
        <v>664</v>
      </c>
      <c r="C7444" s="738" t="s">
        <v>7523</v>
      </c>
      <c r="D7444" s="733"/>
      <c r="E7444" s="733"/>
      <c r="G7444" s="733"/>
      <c r="H7444" s="733"/>
      <c r="I7444" s="733"/>
      <c r="J7444" s="733"/>
      <c r="K7444" s="733"/>
      <c r="L7444" s="733"/>
      <c r="M7444" s="733"/>
    </row>
    <row r="7445" spans="1:13" x14ac:dyDescent="0.3">
      <c r="A7445" s="733" t="s">
        <v>7512</v>
      </c>
      <c r="B7445" s="733" t="s">
        <v>664</v>
      </c>
      <c r="C7445" s="738" t="s">
        <v>7524</v>
      </c>
      <c r="D7445" s="733"/>
      <c r="E7445" s="733"/>
      <c r="G7445" s="733"/>
      <c r="H7445" s="733"/>
      <c r="I7445" s="733"/>
      <c r="J7445" s="733"/>
      <c r="K7445" s="733"/>
      <c r="L7445" s="733"/>
      <c r="M7445" s="733"/>
    </row>
    <row r="7446" spans="1:13" x14ac:dyDescent="0.3">
      <c r="A7446" s="733" t="s">
        <v>7512</v>
      </c>
      <c r="B7446" s="733" t="s">
        <v>664</v>
      </c>
      <c r="C7446" s="738" t="s">
        <v>7525</v>
      </c>
      <c r="D7446" s="733"/>
      <c r="E7446" s="733"/>
      <c r="G7446" s="733"/>
      <c r="H7446" s="733"/>
      <c r="I7446" s="733"/>
      <c r="J7446" s="733"/>
      <c r="K7446" s="733"/>
      <c r="L7446" s="733"/>
      <c r="M7446" s="733"/>
    </row>
    <row r="7447" spans="1:13" x14ac:dyDescent="0.3">
      <c r="A7447" s="733" t="s">
        <v>7512</v>
      </c>
      <c r="B7447" s="733" t="s">
        <v>664</v>
      </c>
      <c r="C7447" s="738" t="s">
        <v>7526</v>
      </c>
      <c r="D7447" s="733"/>
      <c r="E7447" s="733"/>
      <c r="G7447" s="733"/>
      <c r="H7447" s="733"/>
      <c r="I7447" s="733"/>
      <c r="J7447" s="733"/>
      <c r="K7447" s="733"/>
      <c r="L7447" s="733"/>
      <c r="M7447" s="733"/>
    </row>
    <row r="7448" spans="1:13" x14ac:dyDescent="0.3">
      <c r="A7448" s="733" t="s">
        <v>7512</v>
      </c>
      <c r="B7448" s="733" t="s">
        <v>664</v>
      </c>
      <c r="C7448" s="738" t="s">
        <v>7527</v>
      </c>
      <c r="D7448" s="733"/>
      <c r="E7448" s="733"/>
      <c r="G7448" s="733"/>
      <c r="H7448" s="733"/>
      <c r="I7448" s="733"/>
      <c r="J7448" s="733"/>
      <c r="K7448" s="733"/>
      <c r="L7448" s="733"/>
      <c r="M7448" s="733"/>
    </row>
    <row r="7449" spans="1:13" x14ac:dyDescent="0.3">
      <c r="A7449" s="733" t="s">
        <v>7512</v>
      </c>
      <c r="B7449" s="733" t="s">
        <v>664</v>
      </c>
      <c r="C7449" s="738" t="s">
        <v>7528</v>
      </c>
      <c r="D7449" s="733"/>
      <c r="E7449" s="733"/>
      <c r="G7449" s="733"/>
      <c r="H7449" s="733"/>
      <c r="I7449" s="733"/>
      <c r="J7449" s="733"/>
      <c r="K7449" s="733"/>
      <c r="L7449" s="733"/>
      <c r="M7449" s="733"/>
    </row>
    <row r="7450" spans="1:13" x14ac:dyDescent="0.3">
      <c r="A7450" s="733" t="s">
        <v>7512</v>
      </c>
      <c r="B7450" s="733" t="s">
        <v>664</v>
      </c>
      <c r="C7450" s="738" t="s">
        <v>7529</v>
      </c>
      <c r="D7450" s="733"/>
      <c r="E7450" s="733"/>
      <c r="G7450" s="733"/>
      <c r="H7450" s="733"/>
      <c r="I7450" s="733"/>
      <c r="J7450" s="733"/>
      <c r="K7450" s="733"/>
      <c r="L7450" s="733"/>
      <c r="M7450" s="733"/>
    </row>
    <row r="7451" spans="1:13" x14ac:dyDescent="0.3">
      <c r="A7451" s="733" t="s">
        <v>7512</v>
      </c>
      <c r="B7451" s="733" t="s">
        <v>664</v>
      </c>
      <c r="C7451" s="738" t="s">
        <v>7530</v>
      </c>
      <c r="D7451" s="733"/>
      <c r="E7451" s="733"/>
      <c r="G7451" s="733"/>
      <c r="H7451" s="733"/>
      <c r="I7451" s="733"/>
      <c r="J7451" s="733"/>
      <c r="K7451" s="733"/>
      <c r="L7451" s="733"/>
      <c r="M7451" s="733"/>
    </row>
    <row r="7452" spans="1:13" x14ac:dyDescent="0.3">
      <c r="A7452" s="733" t="s">
        <v>7512</v>
      </c>
      <c r="B7452" s="733" t="s">
        <v>664</v>
      </c>
      <c r="C7452" s="738" t="s">
        <v>7531</v>
      </c>
      <c r="D7452" s="733"/>
      <c r="E7452" s="733"/>
      <c r="G7452" s="733"/>
      <c r="H7452" s="733"/>
      <c r="I7452" s="733"/>
      <c r="J7452" s="733"/>
      <c r="K7452" s="733"/>
      <c r="L7452" s="733"/>
      <c r="M7452" s="733"/>
    </row>
    <row r="7453" spans="1:13" x14ac:dyDescent="0.3">
      <c r="A7453" s="733" t="s">
        <v>7512</v>
      </c>
      <c r="B7453" s="733" t="s">
        <v>664</v>
      </c>
      <c r="C7453" s="738" t="s">
        <v>7532</v>
      </c>
      <c r="D7453" s="733"/>
      <c r="E7453" s="733"/>
      <c r="G7453" s="733"/>
      <c r="H7453" s="733"/>
      <c r="I7453" s="733"/>
      <c r="J7453" s="733"/>
      <c r="K7453" s="733"/>
      <c r="L7453" s="733"/>
      <c r="M7453" s="733"/>
    </row>
    <row r="7454" spans="1:13" x14ac:dyDescent="0.3">
      <c r="A7454" s="733" t="s">
        <v>7512</v>
      </c>
      <c r="B7454" s="733" t="s">
        <v>612</v>
      </c>
      <c r="C7454" s="738" t="s">
        <v>7533</v>
      </c>
      <c r="D7454" s="733"/>
      <c r="E7454" s="733"/>
      <c r="G7454" s="733"/>
      <c r="H7454" s="733"/>
      <c r="I7454" s="733"/>
      <c r="J7454" s="733"/>
      <c r="K7454" s="733"/>
      <c r="L7454" s="733"/>
      <c r="M7454" s="733"/>
    </row>
    <row r="7455" spans="1:13" x14ac:dyDescent="0.3">
      <c r="A7455" s="733" t="s">
        <v>7512</v>
      </c>
      <c r="B7455" s="733" t="s">
        <v>612</v>
      </c>
      <c r="C7455" s="738" t="s">
        <v>7534</v>
      </c>
      <c r="D7455" s="733"/>
      <c r="E7455" s="733"/>
      <c r="G7455" s="733"/>
      <c r="H7455" s="733"/>
      <c r="I7455" s="733"/>
      <c r="J7455" s="733"/>
      <c r="K7455" s="733"/>
      <c r="L7455" s="733"/>
      <c r="M7455" s="733"/>
    </row>
    <row r="7456" spans="1:13" x14ac:dyDescent="0.3">
      <c r="A7456" s="733" t="s">
        <v>7512</v>
      </c>
      <c r="B7456" s="733" t="s">
        <v>612</v>
      </c>
      <c r="C7456" s="738" t="s">
        <v>7535</v>
      </c>
      <c r="D7456" s="733"/>
      <c r="E7456" s="733"/>
      <c r="G7456" s="733"/>
      <c r="H7456" s="733"/>
      <c r="I7456" s="733"/>
      <c r="J7456" s="733"/>
      <c r="K7456" s="733"/>
      <c r="L7456" s="733"/>
      <c r="M7456" s="733"/>
    </row>
    <row r="7457" spans="1:13" x14ac:dyDescent="0.3">
      <c r="A7457" s="733" t="s">
        <v>7512</v>
      </c>
      <c r="B7457" s="733" t="s">
        <v>612</v>
      </c>
      <c r="C7457" s="738" t="s">
        <v>7536</v>
      </c>
      <c r="D7457" s="733"/>
      <c r="E7457" s="733"/>
      <c r="G7457" s="733"/>
      <c r="H7457" s="733"/>
      <c r="I7457" s="733"/>
      <c r="J7457" s="733"/>
      <c r="K7457" s="733"/>
      <c r="L7457" s="733"/>
      <c r="M7457" s="733"/>
    </row>
    <row r="7458" spans="1:13" x14ac:dyDescent="0.3">
      <c r="A7458" s="733" t="s">
        <v>7512</v>
      </c>
      <c r="B7458" s="733" t="s">
        <v>612</v>
      </c>
      <c r="C7458" s="738" t="s">
        <v>7537</v>
      </c>
      <c r="D7458" s="733"/>
      <c r="E7458" s="733"/>
      <c r="G7458" s="733"/>
      <c r="H7458" s="733"/>
      <c r="I7458" s="733"/>
      <c r="J7458" s="733"/>
      <c r="K7458" s="733"/>
      <c r="L7458" s="733"/>
      <c r="M7458" s="733"/>
    </row>
    <row r="7459" spans="1:13" x14ac:dyDescent="0.3">
      <c r="A7459" s="733" t="s">
        <v>7512</v>
      </c>
      <c r="B7459" s="733" t="s">
        <v>612</v>
      </c>
      <c r="C7459" s="738" t="s">
        <v>7538</v>
      </c>
      <c r="D7459" s="733"/>
      <c r="E7459" s="733"/>
      <c r="G7459" s="733"/>
      <c r="H7459" s="733"/>
      <c r="I7459" s="733"/>
      <c r="J7459" s="733"/>
      <c r="K7459" s="733"/>
      <c r="L7459" s="733"/>
      <c r="M7459" s="733"/>
    </row>
    <row r="7460" spans="1:13" x14ac:dyDescent="0.3">
      <c r="A7460" s="733" t="s">
        <v>7512</v>
      </c>
      <c r="B7460" s="733" t="s">
        <v>612</v>
      </c>
      <c r="C7460" s="738" t="s">
        <v>7539</v>
      </c>
      <c r="D7460" s="733"/>
      <c r="E7460" s="733"/>
      <c r="G7460" s="733"/>
      <c r="H7460" s="733"/>
      <c r="I7460" s="733"/>
      <c r="J7460" s="733"/>
      <c r="K7460" s="733"/>
      <c r="L7460" s="733"/>
      <c r="M7460" s="733"/>
    </row>
    <row r="7461" spans="1:13" x14ac:dyDescent="0.3">
      <c r="A7461" s="733" t="s">
        <v>7512</v>
      </c>
      <c r="B7461" s="733" t="s">
        <v>612</v>
      </c>
      <c r="C7461" s="738" t="s">
        <v>7540</v>
      </c>
      <c r="D7461" s="733"/>
      <c r="E7461" s="733"/>
      <c r="G7461" s="733"/>
      <c r="H7461" s="733"/>
      <c r="I7461" s="733"/>
      <c r="J7461" s="733"/>
      <c r="K7461" s="733"/>
      <c r="L7461" s="733"/>
      <c r="M7461" s="733"/>
    </row>
    <row r="7462" spans="1:13" x14ac:dyDescent="0.3">
      <c r="A7462" s="733" t="s">
        <v>7512</v>
      </c>
      <c r="B7462" s="733" t="s">
        <v>612</v>
      </c>
      <c r="C7462" s="738" t="s">
        <v>7541</v>
      </c>
      <c r="D7462" s="733"/>
      <c r="E7462" s="733"/>
      <c r="G7462" s="733"/>
      <c r="H7462" s="733"/>
      <c r="I7462" s="733"/>
      <c r="J7462" s="733"/>
      <c r="K7462" s="733"/>
      <c r="L7462" s="733"/>
      <c r="M7462" s="733"/>
    </row>
    <row r="7463" spans="1:13" x14ac:dyDescent="0.3">
      <c r="A7463" s="733" t="s">
        <v>7512</v>
      </c>
      <c r="B7463" s="733" t="s">
        <v>612</v>
      </c>
      <c r="C7463" s="738" t="s">
        <v>7542</v>
      </c>
      <c r="D7463" s="733"/>
      <c r="E7463" s="733"/>
      <c r="G7463" s="733"/>
      <c r="H7463" s="733"/>
      <c r="I7463" s="733"/>
      <c r="J7463" s="733"/>
      <c r="K7463" s="733"/>
      <c r="L7463" s="733"/>
      <c r="M7463" s="733"/>
    </row>
    <row r="7464" spans="1:13" x14ac:dyDescent="0.3">
      <c r="A7464" s="733" t="s">
        <v>7543</v>
      </c>
      <c r="B7464" s="733" t="s">
        <v>645</v>
      </c>
      <c r="C7464" s="738" t="s">
        <v>7544</v>
      </c>
      <c r="D7464" s="733"/>
      <c r="E7464" s="733"/>
      <c r="G7464" s="733"/>
      <c r="H7464" s="733"/>
      <c r="I7464" s="733"/>
      <c r="J7464" s="733"/>
      <c r="K7464" s="733"/>
      <c r="L7464" s="733"/>
      <c r="M7464" s="733"/>
    </row>
    <row r="7465" spans="1:13" x14ac:dyDescent="0.3">
      <c r="A7465" s="733" t="s">
        <v>7543</v>
      </c>
      <c r="B7465" s="733" t="s">
        <v>645</v>
      </c>
      <c r="C7465" s="738" t="s">
        <v>7545</v>
      </c>
      <c r="D7465" s="733"/>
      <c r="E7465" s="733"/>
      <c r="G7465" s="733"/>
      <c r="H7465" s="733"/>
      <c r="I7465" s="733"/>
      <c r="J7465" s="733"/>
      <c r="K7465" s="733"/>
      <c r="L7465" s="733"/>
      <c r="M7465" s="733"/>
    </row>
    <row r="7466" spans="1:13" x14ac:dyDescent="0.3">
      <c r="A7466" s="733" t="s">
        <v>7543</v>
      </c>
      <c r="B7466" s="733" t="s">
        <v>645</v>
      </c>
      <c r="C7466" s="738" t="s">
        <v>7546</v>
      </c>
      <c r="D7466" s="733"/>
      <c r="E7466" s="733"/>
      <c r="G7466" s="733"/>
      <c r="H7466" s="733"/>
      <c r="I7466" s="733"/>
      <c r="J7466" s="733"/>
      <c r="K7466" s="733"/>
      <c r="L7466" s="733"/>
      <c r="M7466" s="733"/>
    </row>
    <row r="7467" spans="1:13" x14ac:dyDescent="0.3">
      <c r="A7467" s="733" t="s">
        <v>7543</v>
      </c>
      <c r="B7467" s="733" t="s">
        <v>645</v>
      </c>
      <c r="C7467" s="738" t="s">
        <v>7547</v>
      </c>
      <c r="D7467" s="733"/>
      <c r="E7467" s="733"/>
      <c r="G7467" s="733"/>
      <c r="H7467" s="733"/>
      <c r="I7467" s="733"/>
      <c r="J7467" s="733"/>
      <c r="K7467" s="733"/>
      <c r="L7467" s="733"/>
      <c r="M7467" s="733"/>
    </row>
    <row r="7468" spans="1:13" x14ac:dyDescent="0.3">
      <c r="A7468" s="733" t="s">
        <v>7543</v>
      </c>
      <c r="B7468" s="733" t="s">
        <v>645</v>
      </c>
      <c r="C7468" s="738" t="s">
        <v>7548</v>
      </c>
      <c r="D7468" s="733"/>
      <c r="E7468" s="733"/>
      <c r="G7468" s="733"/>
      <c r="H7468" s="733"/>
      <c r="I7468" s="733"/>
      <c r="J7468" s="733"/>
      <c r="K7468" s="733"/>
      <c r="L7468" s="733"/>
      <c r="M7468" s="733"/>
    </row>
    <row r="7469" spans="1:13" x14ac:dyDescent="0.3">
      <c r="A7469" s="733" t="s">
        <v>7543</v>
      </c>
      <c r="B7469" s="733" t="s">
        <v>645</v>
      </c>
      <c r="C7469" s="738" t="s">
        <v>7549</v>
      </c>
      <c r="D7469" s="733"/>
      <c r="E7469" s="733"/>
      <c r="G7469" s="733"/>
      <c r="H7469" s="733"/>
      <c r="I7469" s="733"/>
      <c r="J7469" s="733"/>
      <c r="K7469" s="733"/>
      <c r="L7469" s="733"/>
      <c r="M7469" s="733"/>
    </row>
    <row r="7470" spans="1:13" x14ac:dyDescent="0.3">
      <c r="A7470" s="733" t="s">
        <v>7543</v>
      </c>
      <c r="B7470" s="733" t="s">
        <v>645</v>
      </c>
      <c r="C7470" s="738" t="s">
        <v>7550</v>
      </c>
      <c r="D7470" s="733"/>
      <c r="E7470" s="733"/>
      <c r="G7470" s="733"/>
      <c r="H7470" s="733"/>
      <c r="I7470" s="733"/>
      <c r="J7470" s="733"/>
      <c r="K7470" s="733"/>
      <c r="L7470" s="733"/>
      <c r="M7470" s="733"/>
    </row>
    <row r="7471" spans="1:13" x14ac:dyDescent="0.3">
      <c r="A7471" s="733" t="s">
        <v>7543</v>
      </c>
      <c r="B7471" s="733" t="s">
        <v>645</v>
      </c>
      <c r="C7471" s="738" t="s">
        <v>7551</v>
      </c>
      <c r="D7471" s="733"/>
      <c r="E7471" s="733"/>
      <c r="G7471" s="733"/>
      <c r="H7471" s="733"/>
      <c r="I7471" s="733"/>
      <c r="J7471" s="733"/>
      <c r="K7471" s="733"/>
      <c r="L7471" s="733"/>
      <c r="M7471" s="733"/>
    </row>
    <row r="7472" spans="1:13" x14ac:dyDescent="0.3">
      <c r="A7472" s="733" t="s">
        <v>7543</v>
      </c>
      <c r="B7472" s="733" t="s">
        <v>645</v>
      </c>
      <c r="C7472" s="738" t="s">
        <v>7552</v>
      </c>
      <c r="D7472" s="733"/>
      <c r="E7472" s="733"/>
      <c r="G7472" s="733"/>
      <c r="H7472" s="733"/>
      <c r="I7472" s="733"/>
      <c r="J7472" s="733"/>
      <c r="K7472" s="733"/>
      <c r="L7472" s="733"/>
      <c r="M7472" s="733"/>
    </row>
    <row r="7473" spans="1:13" x14ac:dyDescent="0.3">
      <c r="A7473" s="733" t="s">
        <v>7543</v>
      </c>
      <c r="B7473" s="733" t="s">
        <v>645</v>
      </c>
      <c r="C7473" s="738" t="s">
        <v>7553</v>
      </c>
      <c r="D7473" s="733"/>
      <c r="E7473" s="733"/>
      <c r="G7473" s="733"/>
      <c r="H7473" s="733"/>
      <c r="I7473" s="733"/>
      <c r="J7473" s="733"/>
      <c r="K7473" s="733"/>
      <c r="L7473" s="733"/>
      <c r="M7473" s="733"/>
    </row>
    <row r="7474" spans="1:13" x14ac:dyDescent="0.3">
      <c r="A7474" s="733" t="s">
        <v>7543</v>
      </c>
      <c r="B7474" s="733" t="s">
        <v>664</v>
      </c>
      <c r="C7474" s="738" t="s">
        <v>7554</v>
      </c>
      <c r="D7474" s="733"/>
      <c r="E7474" s="733"/>
      <c r="G7474" s="733"/>
      <c r="H7474" s="733"/>
      <c r="I7474" s="733"/>
      <c r="J7474" s="733"/>
      <c r="K7474" s="733"/>
      <c r="L7474" s="733"/>
      <c r="M7474" s="733"/>
    </row>
    <row r="7475" spans="1:13" x14ac:dyDescent="0.3">
      <c r="A7475" s="733" t="s">
        <v>7543</v>
      </c>
      <c r="B7475" s="733" t="s">
        <v>664</v>
      </c>
      <c r="C7475" s="738" t="s">
        <v>7555</v>
      </c>
      <c r="D7475" s="733"/>
      <c r="E7475" s="733"/>
      <c r="G7475" s="733"/>
      <c r="H7475" s="733"/>
      <c r="I7475" s="733"/>
      <c r="J7475" s="733"/>
      <c r="K7475" s="733"/>
      <c r="L7475" s="733"/>
      <c r="M7475" s="733"/>
    </row>
    <row r="7476" spans="1:13" x14ac:dyDescent="0.3">
      <c r="A7476" s="733" t="s">
        <v>7543</v>
      </c>
      <c r="B7476" s="733" t="s">
        <v>664</v>
      </c>
      <c r="C7476" s="738" t="s">
        <v>7556</v>
      </c>
      <c r="D7476" s="733"/>
      <c r="E7476" s="733"/>
      <c r="G7476" s="733"/>
      <c r="H7476" s="733"/>
      <c r="I7476" s="733"/>
      <c r="J7476" s="733"/>
      <c r="K7476" s="733"/>
      <c r="L7476" s="733"/>
      <c r="M7476" s="733"/>
    </row>
    <row r="7477" spans="1:13" x14ac:dyDescent="0.3">
      <c r="A7477" s="733" t="s">
        <v>7543</v>
      </c>
      <c r="B7477" s="733" t="s">
        <v>664</v>
      </c>
      <c r="C7477" s="738" t="s">
        <v>7557</v>
      </c>
      <c r="D7477" s="733"/>
      <c r="E7477" s="733"/>
      <c r="G7477" s="733"/>
      <c r="H7477" s="733"/>
      <c r="I7477" s="733"/>
      <c r="J7477" s="733"/>
      <c r="K7477" s="733"/>
      <c r="L7477" s="733"/>
      <c r="M7477" s="733"/>
    </row>
    <row r="7478" spans="1:13" x14ac:dyDescent="0.3">
      <c r="A7478" s="733" t="s">
        <v>7543</v>
      </c>
      <c r="B7478" s="733" t="s">
        <v>664</v>
      </c>
      <c r="C7478" s="738" t="s">
        <v>7558</v>
      </c>
      <c r="D7478" s="733"/>
      <c r="E7478" s="733"/>
      <c r="G7478" s="733"/>
      <c r="H7478" s="733"/>
      <c r="I7478" s="733"/>
      <c r="J7478" s="733"/>
      <c r="K7478" s="733"/>
      <c r="L7478" s="733"/>
      <c r="M7478" s="733"/>
    </row>
    <row r="7479" spans="1:13" x14ac:dyDescent="0.3">
      <c r="A7479" s="733" t="s">
        <v>7543</v>
      </c>
      <c r="B7479" s="733" t="s">
        <v>664</v>
      </c>
      <c r="C7479" s="738" t="s">
        <v>7559</v>
      </c>
      <c r="D7479" s="733"/>
      <c r="E7479" s="733"/>
      <c r="G7479" s="733"/>
      <c r="H7479" s="733"/>
      <c r="I7479" s="733"/>
      <c r="J7479" s="733"/>
      <c r="K7479" s="733"/>
      <c r="L7479" s="733"/>
      <c r="M7479" s="733"/>
    </row>
    <row r="7480" spans="1:13" x14ac:dyDescent="0.3">
      <c r="A7480" s="733" t="s">
        <v>7543</v>
      </c>
      <c r="B7480" s="733" t="s">
        <v>664</v>
      </c>
      <c r="C7480" s="738" t="s">
        <v>7560</v>
      </c>
      <c r="D7480" s="733"/>
      <c r="E7480" s="733"/>
      <c r="G7480" s="733"/>
      <c r="H7480" s="733"/>
      <c r="I7480" s="733"/>
      <c r="J7480" s="733"/>
      <c r="K7480" s="733"/>
      <c r="L7480" s="733"/>
      <c r="M7480" s="733"/>
    </row>
    <row r="7481" spans="1:13" x14ac:dyDescent="0.3">
      <c r="A7481" s="733" t="s">
        <v>7543</v>
      </c>
      <c r="B7481" s="733" t="s">
        <v>664</v>
      </c>
      <c r="C7481" s="738" t="s">
        <v>7561</v>
      </c>
      <c r="D7481" s="733"/>
      <c r="E7481" s="733"/>
      <c r="G7481" s="733"/>
      <c r="H7481" s="733"/>
      <c r="I7481" s="733"/>
      <c r="J7481" s="733"/>
      <c r="K7481" s="733"/>
      <c r="L7481" s="733"/>
      <c r="M7481" s="733"/>
    </row>
    <row r="7482" spans="1:13" x14ac:dyDescent="0.3">
      <c r="A7482" s="733" t="s">
        <v>7543</v>
      </c>
      <c r="B7482" s="733" t="s">
        <v>664</v>
      </c>
      <c r="C7482" s="738" t="s">
        <v>7562</v>
      </c>
      <c r="D7482" s="733"/>
      <c r="E7482" s="733"/>
      <c r="G7482" s="733"/>
      <c r="H7482" s="733"/>
      <c r="I7482" s="733"/>
      <c r="J7482" s="733"/>
      <c r="K7482" s="733"/>
      <c r="L7482" s="733"/>
      <c r="M7482" s="733"/>
    </row>
    <row r="7483" spans="1:13" x14ac:dyDescent="0.3">
      <c r="A7483" s="733" t="s">
        <v>7543</v>
      </c>
      <c r="B7483" s="733" t="s">
        <v>664</v>
      </c>
      <c r="C7483" s="738" t="s">
        <v>7563</v>
      </c>
      <c r="D7483" s="733"/>
      <c r="E7483" s="733"/>
      <c r="G7483" s="733"/>
      <c r="H7483" s="733"/>
      <c r="I7483" s="733"/>
      <c r="J7483" s="733"/>
      <c r="K7483" s="733"/>
      <c r="L7483" s="733"/>
      <c r="M7483" s="733"/>
    </row>
    <row r="7484" spans="1:13" x14ac:dyDescent="0.3">
      <c r="A7484" s="733" t="s">
        <v>7543</v>
      </c>
      <c r="B7484" s="733" t="s">
        <v>612</v>
      </c>
      <c r="C7484" s="738" t="s">
        <v>7564</v>
      </c>
      <c r="D7484" s="733"/>
      <c r="E7484" s="733"/>
      <c r="G7484" s="733"/>
      <c r="H7484" s="733"/>
      <c r="I7484" s="733"/>
      <c r="J7484" s="733"/>
      <c r="K7484" s="733"/>
      <c r="L7484" s="733"/>
      <c r="M7484" s="733"/>
    </row>
    <row r="7485" spans="1:13" x14ac:dyDescent="0.3">
      <c r="A7485" s="733" t="s">
        <v>7543</v>
      </c>
      <c r="B7485" s="733" t="s">
        <v>612</v>
      </c>
      <c r="C7485" s="738" t="s">
        <v>7565</v>
      </c>
      <c r="D7485" s="733"/>
      <c r="E7485" s="733"/>
      <c r="G7485" s="733"/>
      <c r="H7485" s="733"/>
      <c r="I7485" s="733"/>
      <c r="J7485" s="733"/>
      <c r="K7485" s="733"/>
      <c r="L7485" s="733"/>
      <c r="M7485" s="733"/>
    </row>
    <row r="7486" spans="1:13" x14ac:dyDescent="0.3">
      <c r="A7486" s="733" t="s">
        <v>7543</v>
      </c>
      <c r="B7486" s="733" t="s">
        <v>612</v>
      </c>
      <c r="C7486" s="738" t="s">
        <v>7566</v>
      </c>
      <c r="D7486" s="733"/>
      <c r="E7486" s="733"/>
      <c r="G7486" s="733"/>
      <c r="H7486" s="733"/>
      <c r="I7486" s="733"/>
      <c r="J7486" s="733"/>
      <c r="K7486" s="733"/>
      <c r="L7486" s="733"/>
      <c r="M7486" s="733"/>
    </row>
    <row r="7487" spans="1:13" x14ac:dyDescent="0.3">
      <c r="A7487" s="733" t="s">
        <v>7543</v>
      </c>
      <c r="B7487" s="733" t="s">
        <v>612</v>
      </c>
      <c r="C7487" s="738" t="s">
        <v>7567</v>
      </c>
      <c r="D7487" s="733"/>
      <c r="E7487" s="733"/>
      <c r="G7487" s="733"/>
      <c r="H7487" s="733"/>
      <c r="I7487" s="733"/>
      <c r="J7487" s="733"/>
      <c r="K7487" s="733"/>
      <c r="L7487" s="733"/>
      <c r="M7487" s="733"/>
    </row>
    <row r="7488" spans="1:13" x14ac:dyDescent="0.3">
      <c r="A7488" s="733" t="s">
        <v>7543</v>
      </c>
      <c r="B7488" s="733" t="s">
        <v>612</v>
      </c>
      <c r="C7488" s="738" t="s">
        <v>7568</v>
      </c>
      <c r="D7488" s="733"/>
      <c r="E7488" s="733"/>
      <c r="G7488" s="733"/>
      <c r="H7488" s="733"/>
      <c r="I7488" s="733"/>
      <c r="J7488" s="733"/>
      <c r="K7488" s="733"/>
      <c r="L7488" s="733"/>
      <c r="M7488" s="733"/>
    </row>
    <row r="7489" spans="1:13" x14ac:dyDescent="0.3">
      <c r="A7489" s="733" t="s">
        <v>7543</v>
      </c>
      <c r="B7489" s="733" t="s">
        <v>612</v>
      </c>
      <c r="C7489" s="738" t="s">
        <v>7569</v>
      </c>
      <c r="D7489" s="733"/>
      <c r="E7489" s="733"/>
      <c r="G7489" s="733"/>
      <c r="H7489" s="733"/>
      <c r="I7489" s="733"/>
      <c r="J7489" s="733"/>
      <c r="K7489" s="733"/>
      <c r="L7489" s="733"/>
      <c r="M7489" s="733"/>
    </row>
    <row r="7490" spans="1:13" x14ac:dyDescent="0.3">
      <c r="A7490" s="733" t="s">
        <v>7543</v>
      </c>
      <c r="B7490" s="733" t="s">
        <v>612</v>
      </c>
      <c r="C7490" s="738" t="s">
        <v>7570</v>
      </c>
      <c r="D7490" s="733"/>
      <c r="E7490" s="733"/>
      <c r="G7490" s="733"/>
      <c r="H7490" s="733"/>
      <c r="I7490" s="733"/>
      <c r="J7490" s="733"/>
      <c r="K7490" s="733"/>
      <c r="L7490" s="733"/>
      <c r="M7490" s="733"/>
    </row>
    <row r="7491" spans="1:13" x14ac:dyDescent="0.3">
      <c r="A7491" s="733" t="s">
        <v>7543</v>
      </c>
      <c r="B7491" s="733" t="s">
        <v>612</v>
      </c>
      <c r="C7491" s="738" t="s">
        <v>7571</v>
      </c>
      <c r="D7491" s="733"/>
      <c r="E7491" s="733"/>
      <c r="G7491" s="733"/>
      <c r="H7491" s="733"/>
      <c r="I7491" s="733"/>
      <c r="J7491" s="733"/>
      <c r="K7491" s="733"/>
      <c r="L7491" s="733"/>
      <c r="M7491" s="733"/>
    </row>
    <row r="7492" spans="1:13" x14ac:dyDescent="0.3">
      <c r="A7492" s="733" t="s">
        <v>7543</v>
      </c>
      <c r="B7492" s="733" t="s">
        <v>612</v>
      </c>
      <c r="C7492" s="738" t="s">
        <v>7572</v>
      </c>
      <c r="D7492" s="733"/>
      <c r="E7492" s="733"/>
      <c r="G7492" s="733"/>
      <c r="H7492" s="733"/>
      <c r="I7492" s="733"/>
      <c r="J7492" s="733"/>
      <c r="K7492" s="733"/>
      <c r="L7492" s="733"/>
      <c r="M7492" s="733"/>
    </row>
    <row r="7493" spans="1:13" x14ac:dyDescent="0.3">
      <c r="A7493" s="733" t="s">
        <v>7543</v>
      </c>
      <c r="B7493" s="733" t="s">
        <v>612</v>
      </c>
      <c r="C7493" s="738" t="s">
        <v>7573</v>
      </c>
      <c r="D7493" s="733"/>
      <c r="E7493" s="733"/>
      <c r="G7493" s="733"/>
      <c r="H7493" s="733"/>
      <c r="I7493" s="733"/>
      <c r="J7493" s="733"/>
      <c r="K7493" s="733"/>
      <c r="L7493" s="733"/>
      <c r="M7493" s="733"/>
    </row>
    <row r="7494" spans="1:13" x14ac:dyDescent="0.3">
      <c r="A7494" s="733" t="s">
        <v>7574</v>
      </c>
      <c r="B7494" s="733" t="s">
        <v>645</v>
      </c>
      <c r="C7494" s="738" t="s">
        <v>7575</v>
      </c>
      <c r="D7494" s="733"/>
      <c r="E7494" s="733"/>
      <c r="G7494" s="733"/>
      <c r="H7494" s="733"/>
      <c r="I7494" s="733"/>
      <c r="J7494" s="733"/>
      <c r="K7494" s="733"/>
      <c r="L7494" s="733"/>
      <c r="M7494" s="733"/>
    </row>
    <row r="7495" spans="1:13" x14ac:dyDescent="0.3">
      <c r="A7495" s="733" t="s">
        <v>7574</v>
      </c>
      <c r="B7495" s="733" t="s">
        <v>645</v>
      </c>
      <c r="C7495" s="738" t="s">
        <v>7576</v>
      </c>
      <c r="D7495" s="733"/>
      <c r="E7495" s="733"/>
      <c r="G7495" s="733"/>
      <c r="H7495" s="733"/>
      <c r="I7495" s="733"/>
      <c r="J7495" s="733"/>
      <c r="K7495" s="733"/>
      <c r="L7495" s="733"/>
      <c r="M7495" s="733"/>
    </row>
    <row r="7496" spans="1:13" x14ac:dyDescent="0.3">
      <c r="A7496" s="733" t="s">
        <v>7574</v>
      </c>
      <c r="B7496" s="733" t="s">
        <v>645</v>
      </c>
      <c r="C7496" s="738" t="s">
        <v>7577</v>
      </c>
      <c r="D7496" s="733"/>
      <c r="E7496" s="733"/>
      <c r="G7496" s="733"/>
      <c r="H7496" s="733"/>
      <c r="I7496" s="733"/>
      <c r="J7496" s="733"/>
      <c r="K7496" s="733"/>
      <c r="L7496" s="733"/>
      <c r="M7496" s="733"/>
    </row>
    <row r="7497" spans="1:13" x14ac:dyDescent="0.3">
      <c r="A7497" s="733" t="s">
        <v>7574</v>
      </c>
      <c r="B7497" s="733" t="s">
        <v>645</v>
      </c>
      <c r="C7497" s="738" t="s">
        <v>7578</v>
      </c>
      <c r="D7497" s="733"/>
      <c r="E7497" s="733"/>
      <c r="G7497" s="733"/>
      <c r="H7497" s="733"/>
      <c r="I7497" s="733"/>
      <c r="J7497" s="733"/>
      <c r="K7497" s="733"/>
      <c r="L7497" s="733"/>
      <c r="M7497" s="733"/>
    </row>
    <row r="7498" spans="1:13" x14ac:dyDescent="0.3">
      <c r="A7498" s="733" t="s">
        <v>7574</v>
      </c>
      <c r="B7498" s="733" t="s">
        <v>645</v>
      </c>
      <c r="C7498" s="738" t="s">
        <v>7579</v>
      </c>
      <c r="D7498" s="733"/>
      <c r="E7498" s="733"/>
      <c r="G7498" s="733"/>
      <c r="H7498" s="733"/>
      <c r="I7498" s="733"/>
      <c r="J7498" s="733"/>
      <c r="K7498" s="733"/>
      <c r="L7498" s="733"/>
      <c r="M7498" s="733"/>
    </row>
    <row r="7499" spans="1:13" x14ac:dyDescent="0.3">
      <c r="A7499" s="733" t="s">
        <v>7574</v>
      </c>
      <c r="B7499" s="733" t="s">
        <v>645</v>
      </c>
      <c r="C7499" s="738" t="s">
        <v>7580</v>
      </c>
      <c r="D7499" s="733"/>
      <c r="E7499" s="733"/>
      <c r="G7499" s="733"/>
      <c r="H7499" s="733"/>
      <c r="I7499" s="733"/>
      <c r="J7499" s="733"/>
      <c r="K7499" s="733"/>
      <c r="L7499" s="733"/>
      <c r="M7499" s="733"/>
    </row>
    <row r="7500" spans="1:13" x14ac:dyDescent="0.3">
      <c r="A7500" s="733" t="s">
        <v>7574</v>
      </c>
      <c r="B7500" s="733" t="s">
        <v>645</v>
      </c>
      <c r="C7500" s="738" t="s">
        <v>7581</v>
      </c>
      <c r="D7500" s="733"/>
      <c r="E7500" s="733"/>
      <c r="G7500" s="733"/>
      <c r="H7500" s="733"/>
      <c r="I7500" s="733"/>
      <c r="J7500" s="733"/>
      <c r="K7500" s="733"/>
      <c r="L7500" s="733"/>
      <c r="M7500" s="733"/>
    </row>
    <row r="7501" spans="1:13" x14ac:dyDescent="0.3">
      <c r="A7501" s="733" t="s">
        <v>7574</v>
      </c>
      <c r="B7501" s="733" t="s">
        <v>645</v>
      </c>
      <c r="C7501" s="738" t="s">
        <v>7582</v>
      </c>
      <c r="D7501" s="733"/>
      <c r="E7501" s="733"/>
      <c r="G7501" s="733"/>
      <c r="H7501" s="733"/>
      <c r="I7501" s="733"/>
      <c r="J7501" s="733"/>
      <c r="K7501" s="733"/>
      <c r="L7501" s="733"/>
      <c r="M7501" s="733"/>
    </row>
    <row r="7502" spans="1:13" x14ac:dyDescent="0.3">
      <c r="A7502" s="733" t="s">
        <v>7574</v>
      </c>
      <c r="B7502" s="733" t="s">
        <v>645</v>
      </c>
      <c r="C7502" s="738" t="s">
        <v>7583</v>
      </c>
      <c r="D7502" s="733"/>
      <c r="E7502" s="733"/>
      <c r="G7502" s="733"/>
      <c r="H7502" s="733"/>
      <c r="I7502" s="733"/>
      <c r="J7502" s="733"/>
      <c r="K7502" s="733"/>
      <c r="L7502" s="733"/>
      <c r="M7502" s="733"/>
    </row>
    <row r="7503" spans="1:13" x14ac:dyDescent="0.3">
      <c r="A7503" s="733" t="s">
        <v>7574</v>
      </c>
      <c r="B7503" s="733" t="s">
        <v>645</v>
      </c>
      <c r="C7503" s="738" t="s">
        <v>7584</v>
      </c>
      <c r="D7503" s="733"/>
      <c r="E7503" s="733"/>
      <c r="G7503" s="733"/>
      <c r="H7503" s="733"/>
      <c r="I7503" s="733"/>
      <c r="J7503" s="733"/>
      <c r="K7503" s="733"/>
      <c r="L7503" s="733"/>
      <c r="M7503" s="733"/>
    </row>
    <row r="7504" spans="1:13" x14ac:dyDescent="0.3">
      <c r="A7504" s="733" t="s">
        <v>7574</v>
      </c>
      <c r="B7504" s="733" t="s">
        <v>664</v>
      </c>
      <c r="C7504" s="738" t="s">
        <v>7585</v>
      </c>
      <c r="D7504" s="733"/>
      <c r="E7504" s="733"/>
      <c r="G7504" s="733"/>
      <c r="H7504" s="733"/>
      <c r="I7504" s="733"/>
      <c r="J7504" s="733"/>
      <c r="K7504" s="733"/>
      <c r="L7504" s="733"/>
      <c r="M7504" s="733"/>
    </row>
    <row r="7505" spans="1:13" x14ac:dyDescent="0.3">
      <c r="A7505" s="733" t="s">
        <v>7574</v>
      </c>
      <c r="B7505" s="733" t="s">
        <v>664</v>
      </c>
      <c r="C7505" s="738" t="s">
        <v>7586</v>
      </c>
      <c r="D7505" s="733"/>
      <c r="E7505" s="733"/>
      <c r="G7505" s="733"/>
      <c r="H7505" s="733"/>
      <c r="I7505" s="733"/>
      <c r="J7505" s="733"/>
      <c r="K7505" s="733"/>
      <c r="L7505" s="733"/>
      <c r="M7505" s="733"/>
    </row>
    <row r="7506" spans="1:13" x14ac:dyDescent="0.3">
      <c r="A7506" s="733" t="s">
        <v>7574</v>
      </c>
      <c r="B7506" s="733" t="s">
        <v>664</v>
      </c>
      <c r="C7506" s="738" t="s">
        <v>7587</v>
      </c>
      <c r="D7506" s="733"/>
      <c r="E7506" s="733"/>
      <c r="G7506" s="733"/>
      <c r="H7506" s="733"/>
      <c r="I7506" s="733"/>
      <c r="J7506" s="733"/>
      <c r="K7506" s="733"/>
      <c r="L7506" s="733"/>
      <c r="M7506" s="733"/>
    </row>
    <row r="7507" spans="1:13" x14ac:dyDescent="0.3">
      <c r="A7507" s="733" t="s">
        <v>7574</v>
      </c>
      <c r="B7507" s="733" t="s">
        <v>664</v>
      </c>
      <c r="C7507" s="738" t="s">
        <v>7588</v>
      </c>
      <c r="D7507" s="733"/>
      <c r="E7507" s="733"/>
      <c r="G7507" s="733"/>
      <c r="H7507" s="733"/>
      <c r="I7507" s="733"/>
      <c r="J7507" s="733"/>
      <c r="K7507" s="733"/>
      <c r="L7507" s="733"/>
      <c r="M7507" s="733"/>
    </row>
    <row r="7508" spans="1:13" x14ac:dyDescent="0.3">
      <c r="A7508" s="733" t="s">
        <v>7574</v>
      </c>
      <c r="B7508" s="733" t="s">
        <v>664</v>
      </c>
      <c r="C7508" s="738" t="s">
        <v>7589</v>
      </c>
      <c r="D7508" s="733"/>
      <c r="E7508" s="733"/>
      <c r="G7508" s="733"/>
      <c r="H7508" s="733"/>
      <c r="I7508" s="733"/>
      <c r="J7508" s="733"/>
      <c r="K7508" s="733"/>
      <c r="L7508" s="733"/>
      <c r="M7508" s="733"/>
    </row>
    <row r="7509" spans="1:13" x14ac:dyDescent="0.3">
      <c r="A7509" s="733" t="s">
        <v>7574</v>
      </c>
      <c r="B7509" s="733" t="s">
        <v>664</v>
      </c>
      <c r="C7509" s="738" t="s">
        <v>7590</v>
      </c>
      <c r="D7509" s="733"/>
      <c r="E7509" s="733"/>
      <c r="G7509" s="733"/>
      <c r="H7509" s="733"/>
      <c r="I7509" s="733"/>
      <c r="J7509" s="733"/>
      <c r="K7509" s="733"/>
      <c r="L7509" s="733"/>
      <c r="M7509" s="733"/>
    </row>
    <row r="7510" spans="1:13" x14ac:dyDescent="0.3">
      <c r="A7510" s="733" t="s">
        <v>7574</v>
      </c>
      <c r="B7510" s="733" t="s">
        <v>664</v>
      </c>
      <c r="C7510" s="738" t="s">
        <v>7591</v>
      </c>
      <c r="D7510" s="733"/>
      <c r="E7510" s="733"/>
      <c r="G7510" s="733"/>
      <c r="H7510" s="733"/>
      <c r="I7510" s="733"/>
      <c r="J7510" s="733"/>
      <c r="K7510" s="733"/>
      <c r="L7510" s="733"/>
      <c r="M7510" s="733"/>
    </row>
    <row r="7511" spans="1:13" x14ac:dyDescent="0.3">
      <c r="A7511" s="733" t="s">
        <v>7574</v>
      </c>
      <c r="B7511" s="733" t="s">
        <v>664</v>
      </c>
      <c r="C7511" s="738" t="s">
        <v>7592</v>
      </c>
      <c r="D7511" s="733"/>
      <c r="E7511" s="733"/>
      <c r="G7511" s="733"/>
      <c r="H7511" s="733"/>
      <c r="I7511" s="733"/>
      <c r="J7511" s="733"/>
      <c r="K7511" s="733"/>
      <c r="L7511" s="733"/>
      <c r="M7511" s="733"/>
    </row>
    <row r="7512" spans="1:13" x14ac:dyDescent="0.3">
      <c r="A7512" s="733" t="s">
        <v>7574</v>
      </c>
      <c r="B7512" s="733" t="s">
        <v>664</v>
      </c>
      <c r="C7512" s="738" t="s">
        <v>7593</v>
      </c>
      <c r="D7512" s="733"/>
      <c r="E7512" s="733"/>
      <c r="G7512" s="733"/>
      <c r="H7512" s="733"/>
      <c r="I7512" s="733"/>
      <c r="J7512" s="733"/>
      <c r="K7512" s="733"/>
      <c r="L7512" s="733"/>
      <c r="M7512" s="733"/>
    </row>
    <row r="7513" spans="1:13" x14ac:dyDescent="0.3">
      <c r="A7513" s="733" t="s">
        <v>7574</v>
      </c>
      <c r="B7513" s="733" t="s">
        <v>664</v>
      </c>
      <c r="C7513" s="738" t="s">
        <v>7594</v>
      </c>
      <c r="D7513" s="733"/>
      <c r="E7513" s="733"/>
      <c r="G7513" s="733"/>
      <c r="H7513" s="733"/>
      <c r="I7513" s="733"/>
      <c r="J7513" s="733"/>
      <c r="K7513" s="733"/>
      <c r="L7513" s="733"/>
      <c r="M7513" s="733"/>
    </row>
    <row r="7514" spans="1:13" x14ac:dyDescent="0.3">
      <c r="A7514" s="733" t="s">
        <v>7574</v>
      </c>
      <c r="B7514" s="733" t="s">
        <v>612</v>
      </c>
      <c r="C7514" s="738" t="s">
        <v>7595</v>
      </c>
      <c r="D7514" s="733"/>
      <c r="E7514" s="733"/>
      <c r="G7514" s="733"/>
      <c r="H7514" s="733"/>
      <c r="I7514" s="733"/>
      <c r="J7514" s="733"/>
      <c r="K7514" s="733"/>
      <c r="L7514" s="733"/>
      <c r="M7514" s="733"/>
    </row>
    <row r="7515" spans="1:13" x14ac:dyDescent="0.3">
      <c r="A7515" s="733" t="s">
        <v>7574</v>
      </c>
      <c r="B7515" s="733" t="s">
        <v>612</v>
      </c>
      <c r="C7515" s="738" t="s">
        <v>7596</v>
      </c>
      <c r="D7515" s="733"/>
      <c r="E7515" s="733"/>
      <c r="G7515" s="733"/>
      <c r="H7515" s="733"/>
      <c r="I7515" s="733"/>
      <c r="J7515" s="733"/>
      <c r="K7515" s="733"/>
      <c r="L7515" s="733"/>
      <c r="M7515" s="733"/>
    </row>
    <row r="7516" spans="1:13" x14ac:dyDescent="0.3">
      <c r="A7516" s="733" t="s">
        <v>7574</v>
      </c>
      <c r="B7516" s="733" t="s">
        <v>612</v>
      </c>
      <c r="C7516" s="738" t="s">
        <v>7597</v>
      </c>
      <c r="D7516" s="733"/>
      <c r="E7516" s="733"/>
      <c r="G7516" s="733"/>
      <c r="H7516" s="733"/>
      <c r="I7516" s="733"/>
      <c r="J7516" s="733"/>
      <c r="K7516" s="733"/>
      <c r="L7516" s="733"/>
      <c r="M7516" s="733"/>
    </row>
    <row r="7517" spans="1:13" x14ac:dyDescent="0.3">
      <c r="A7517" s="733" t="s">
        <v>7574</v>
      </c>
      <c r="B7517" s="733" t="s">
        <v>612</v>
      </c>
      <c r="C7517" s="738" t="s">
        <v>7598</v>
      </c>
      <c r="D7517" s="733"/>
      <c r="E7517" s="733"/>
      <c r="G7517" s="733"/>
      <c r="H7517" s="733"/>
      <c r="I7517" s="733"/>
      <c r="J7517" s="733"/>
      <c r="K7517" s="733"/>
      <c r="L7517" s="733"/>
      <c r="M7517" s="733"/>
    </row>
    <row r="7518" spans="1:13" x14ac:dyDescent="0.3">
      <c r="A7518" s="733" t="s">
        <v>7574</v>
      </c>
      <c r="B7518" s="733" t="s">
        <v>612</v>
      </c>
      <c r="C7518" s="738" t="s">
        <v>7599</v>
      </c>
      <c r="D7518" s="733"/>
      <c r="E7518" s="733"/>
      <c r="G7518" s="733"/>
      <c r="H7518" s="733"/>
      <c r="I7518" s="733"/>
      <c r="J7518" s="733"/>
      <c r="K7518" s="733"/>
      <c r="L7518" s="733"/>
      <c r="M7518" s="733"/>
    </row>
    <row r="7519" spans="1:13" x14ac:dyDescent="0.3">
      <c r="A7519" s="733" t="s">
        <v>7574</v>
      </c>
      <c r="B7519" s="733" t="s">
        <v>612</v>
      </c>
      <c r="C7519" s="738" t="s">
        <v>7600</v>
      </c>
      <c r="D7519" s="733"/>
      <c r="E7519" s="733"/>
      <c r="G7519" s="733"/>
      <c r="H7519" s="733"/>
      <c r="I7519" s="733"/>
      <c r="J7519" s="733"/>
      <c r="K7519" s="733"/>
      <c r="L7519" s="733"/>
      <c r="M7519" s="733"/>
    </row>
    <row r="7520" spans="1:13" x14ac:dyDescent="0.3">
      <c r="A7520" s="733" t="s">
        <v>7574</v>
      </c>
      <c r="B7520" s="733" t="s">
        <v>612</v>
      </c>
      <c r="C7520" s="738" t="s">
        <v>7601</v>
      </c>
      <c r="D7520" s="733"/>
      <c r="E7520" s="733"/>
      <c r="G7520" s="733"/>
      <c r="H7520" s="733"/>
      <c r="I7520" s="733"/>
      <c r="J7520" s="733"/>
      <c r="K7520" s="733"/>
      <c r="L7520" s="733"/>
      <c r="M7520" s="733"/>
    </row>
    <row r="7521" spans="1:13" x14ac:dyDescent="0.3">
      <c r="A7521" s="733" t="s">
        <v>7574</v>
      </c>
      <c r="B7521" s="733" t="s">
        <v>612</v>
      </c>
      <c r="C7521" s="738" t="s">
        <v>7602</v>
      </c>
      <c r="D7521" s="733"/>
      <c r="E7521" s="733"/>
      <c r="G7521" s="733"/>
      <c r="H7521" s="733"/>
      <c r="I7521" s="733"/>
      <c r="J7521" s="733"/>
      <c r="K7521" s="733"/>
      <c r="L7521" s="733"/>
      <c r="M7521" s="733"/>
    </row>
    <row r="7522" spans="1:13" x14ac:dyDescent="0.3">
      <c r="A7522" s="733" t="s">
        <v>7574</v>
      </c>
      <c r="B7522" s="733" t="s">
        <v>612</v>
      </c>
      <c r="C7522" s="738" t="s">
        <v>7603</v>
      </c>
      <c r="D7522" s="733"/>
      <c r="E7522" s="733"/>
      <c r="G7522" s="733"/>
      <c r="H7522" s="733"/>
      <c r="I7522" s="733"/>
      <c r="J7522" s="733"/>
      <c r="K7522" s="733"/>
      <c r="L7522" s="733"/>
      <c r="M7522" s="733"/>
    </row>
    <row r="7523" spans="1:13" x14ac:dyDescent="0.3">
      <c r="A7523" s="733" t="s">
        <v>7574</v>
      </c>
      <c r="B7523" s="733" t="s">
        <v>612</v>
      </c>
      <c r="C7523" s="738" t="s">
        <v>7604</v>
      </c>
      <c r="D7523" s="733"/>
      <c r="E7523" s="733"/>
      <c r="G7523" s="733"/>
      <c r="H7523" s="733"/>
      <c r="I7523" s="733"/>
      <c r="J7523" s="733"/>
      <c r="K7523" s="733"/>
      <c r="L7523" s="733"/>
      <c r="M7523" s="733"/>
    </row>
    <row r="7524" spans="1:13" x14ac:dyDescent="0.3">
      <c r="A7524" s="733" t="s">
        <v>7605</v>
      </c>
      <c r="B7524" s="733" t="s">
        <v>645</v>
      </c>
      <c r="C7524" s="738" t="s">
        <v>7606</v>
      </c>
      <c r="D7524" s="733"/>
      <c r="E7524" s="733"/>
      <c r="G7524" s="733"/>
      <c r="H7524" s="733"/>
      <c r="I7524" s="733"/>
      <c r="J7524" s="733"/>
      <c r="K7524" s="733"/>
      <c r="L7524" s="733"/>
      <c r="M7524" s="733"/>
    </row>
    <row r="7525" spans="1:13" x14ac:dyDescent="0.3">
      <c r="A7525" s="733" t="s">
        <v>7605</v>
      </c>
      <c r="B7525" s="733" t="s">
        <v>645</v>
      </c>
      <c r="C7525" s="738" t="s">
        <v>7607</v>
      </c>
      <c r="D7525" s="733"/>
      <c r="E7525" s="733"/>
      <c r="G7525" s="733"/>
      <c r="H7525" s="733"/>
      <c r="I7525" s="733"/>
      <c r="J7525" s="733"/>
      <c r="K7525" s="733"/>
      <c r="L7525" s="733"/>
      <c r="M7525" s="733"/>
    </row>
    <row r="7526" spans="1:13" x14ac:dyDescent="0.3">
      <c r="A7526" s="733" t="s">
        <v>7605</v>
      </c>
      <c r="B7526" s="733" t="s">
        <v>645</v>
      </c>
      <c r="C7526" s="738" t="s">
        <v>7608</v>
      </c>
      <c r="D7526" s="733"/>
      <c r="E7526" s="733"/>
      <c r="G7526" s="733"/>
      <c r="H7526" s="733"/>
      <c r="I7526" s="733"/>
      <c r="J7526" s="733"/>
      <c r="K7526" s="733"/>
      <c r="L7526" s="733"/>
      <c r="M7526" s="733"/>
    </row>
    <row r="7527" spans="1:13" x14ac:dyDescent="0.3">
      <c r="A7527" s="733" t="s">
        <v>7605</v>
      </c>
      <c r="B7527" s="733" t="s">
        <v>645</v>
      </c>
      <c r="C7527" s="738" t="s">
        <v>7609</v>
      </c>
      <c r="D7527" s="733"/>
      <c r="E7527" s="733"/>
      <c r="G7527" s="733"/>
      <c r="H7527" s="733"/>
      <c r="I7527" s="733"/>
      <c r="J7527" s="733"/>
      <c r="K7527" s="733"/>
      <c r="L7527" s="733"/>
      <c r="M7527" s="733"/>
    </row>
    <row r="7528" spans="1:13" x14ac:dyDescent="0.3">
      <c r="A7528" s="733" t="s">
        <v>7605</v>
      </c>
      <c r="B7528" s="733" t="s">
        <v>645</v>
      </c>
      <c r="C7528" s="738" t="s">
        <v>7610</v>
      </c>
      <c r="D7528" s="733"/>
      <c r="E7528" s="733"/>
      <c r="G7528" s="733"/>
      <c r="H7528" s="733"/>
      <c r="I7528" s="733"/>
      <c r="J7528" s="733"/>
      <c r="K7528" s="733"/>
      <c r="L7528" s="733"/>
      <c r="M7528" s="733"/>
    </row>
    <row r="7529" spans="1:13" x14ac:dyDescent="0.3">
      <c r="A7529" s="733" t="s">
        <v>7605</v>
      </c>
      <c r="B7529" s="733" t="s">
        <v>645</v>
      </c>
      <c r="C7529" s="738" t="s">
        <v>7611</v>
      </c>
      <c r="D7529" s="733"/>
      <c r="E7529" s="733"/>
      <c r="G7529" s="733"/>
      <c r="H7529" s="733"/>
      <c r="I7529" s="733"/>
      <c r="J7529" s="733"/>
      <c r="K7529" s="733"/>
      <c r="L7529" s="733"/>
      <c r="M7529" s="733"/>
    </row>
    <row r="7530" spans="1:13" x14ac:dyDescent="0.3">
      <c r="A7530" s="733" t="s">
        <v>7605</v>
      </c>
      <c r="B7530" s="733" t="s">
        <v>645</v>
      </c>
      <c r="C7530" s="738" t="s">
        <v>7612</v>
      </c>
      <c r="D7530" s="733"/>
      <c r="E7530" s="733"/>
      <c r="G7530" s="733"/>
      <c r="H7530" s="733"/>
      <c r="I7530" s="733"/>
      <c r="J7530" s="733"/>
      <c r="K7530" s="733"/>
      <c r="L7530" s="733"/>
      <c r="M7530" s="733"/>
    </row>
    <row r="7531" spans="1:13" x14ac:dyDescent="0.3">
      <c r="A7531" s="733" t="s">
        <v>7605</v>
      </c>
      <c r="B7531" s="733" t="s">
        <v>645</v>
      </c>
      <c r="C7531" s="738" t="s">
        <v>7613</v>
      </c>
      <c r="D7531" s="733"/>
      <c r="E7531" s="733"/>
      <c r="G7531" s="733"/>
      <c r="H7531" s="733"/>
      <c r="I7531" s="733"/>
      <c r="J7531" s="733"/>
      <c r="K7531" s="733"/>
      <c r="L7531" s="733"/>
      <c r="M7531" s="733"/>
    </row>
    <row r="7532" spans="1:13" x14ac:dyDescent="0.3">
      <c r="A7532" s="733" t="s">
        <v>7605</v>
      </c>
      <c r="B7532" s="733" t="s">
        <v>645</v>
      </c>
      <c r="C7532" s="738" t="s">
        <v>7614</v>
      </c>
      <c r="D7532" s="733"/>
      <c r="E7532" s="733"/>
      <c r="G7532" s="733"/>
      <c r="H7532" s="733"/>
      <c r="I7532" s="733"/>
      <c r="J7532" s="733"/>
      <c r="K7532" s="733"/>
      <c r="L7532" s="733"/>
      <c r="M7532" s="733"/>
    </row>
    <row r="7533" spans="1:13" x14ac:dyDescent="0.3">
      <c r="A7533" s="733" t="s">
        <v>7605</v>
      </c>
      <c r="B7533" s="733" t="s">
        <v>645</v>
      </c>
      <c r="C7533" s="738" t="s">
        <v>7615</v>
      </c>
      <c r="D7533" s="733"/>
      <c r="E7533" s="733"/>
      <c r="G7533" s="733"/>
      <c r="H7533" s="733"/>
      <c r="I7533" s="733"/>
      <c r="J7533" s="733"/>
      <c r="K7533" s="733"/>
      <c r="L7533" s="733"/>
      <c r="M7533" s="733"/>
    </row>
    <row r="7534" spans="1:13" x14ac:dyDescent="0.3">
      <c r="A7534" s="733" t="s">
        <v>7605</v>
      </c>
      <c r="B7534" s="733" t="s">
        <v>664</v>
      </c>
      <c r="C7534" s="738" t="s">
        <v>7616</v>
      </c>
      <c r="D7534" s="733"/>
      <c r="E7534" s="733"/>
      <c r="G7534" s="733"/>
      <c r="H7534" s="733"/>
      <c r="I7534" s="733"/>
      <c r="J7534" s="733"/>
      <c r="K7534" s="733"/>
      <c r="L7534" s="733"/>
      <c r="M7534" s="733"/>
    </row>
    <row r="7535" spans="1:13" x14ac:dyDescent="0.3">
      <c r="A7535" s="733" t="s">
        <v>7605</v>
      </c>
      <c r="B7535" s="733" t="s">
        <v>664</v>
      </c>
      <c r="C7535" s="738" t="s">
        <v>7617</v>
      </c>
      <c r="D7535" s="733"/>
      <c r="E7535" s="733"/>
      <c r="G7535" s="733"/>
      <c r="H7535" s="733"/>
      <c r="I7535" s="733"/>
      <c r="J7535" s="733"/>
      <c r="K7535" s="733"/>
      <c r="L7535" s="733"/>
      <c r="M7535" s="733"/>
    </row>
    <row r="7536" spans="1:13" x14ac:dyDescent="0.3">
      <c r="A7536" s="733" t="s">
        <v>7605</v>
      </c>
      <c r="B7536" s="733" t="s">
        <v>664</v>
      </c>
      <c r="C7536" s="738" t="s">
        <v>7618</v>
      </c>
      <c r="D7536" s="733"/>
      <c r="E7536" s="733"/>
      <c r="G7536" s="733"/>
      <c r="H7536" s="733"/>
      <c r="I7536" s="733"/>
      <c r="J7536" s="733"/>
      <c r="K7536" s="733"/>
      <c r="L7536" s="733"/>
      <c r="M7536" s="733"/>
    </row>
    <row r="7537" spans="1:13" x14ac:dyDescent="0.3">
      <c r="A7537" s="733" t="s">
        <v>7605</v>
      </c>
      <c r="B7537" s="733" t="s">
        <v>664</v>
      </c>
      <c r="C7537" s="738" t="s">
        <v>7619</v>
      </c>
      <c r="D7537" s="733"/>
      <c r="E7537" s="733"/>
      <c r="G7537" s="733"/>
      <c r="H7537" s="733"/>
      <c r="I7537" s="733"/>
      <c r="J7537" s="733"/>
      <c r="K7537" s="733"/>
      <c r="L7537" s="733"/>
      <c r="M7537" s="733"/>
    </row>
    <row r="7538" spans="1:13" x14ac:dyDescent="0.3">
      <c r="A7538" s="733" t="s">
        <v>7605</v>
      </c>
      <c r="B7538" s="733" t="s">
        <v>664</v>
      </c>
      <c r="C7538" s="738" t="s">
        <v>7620</v>
      </c>
      <c r="D7538" s="733"/>
      <c r="E7538" s="733"/>
      <c r="G7538" s="733"/>
      <c r="H7538" s="733"/>
      <c r="I7538" s="733"/>
      <c r="J7538" s="733"/>
      <c r="K7538" s="733"/>
      <c r="L7538" s="733"/>
      <c r="M7538" s="733"/>
    </row>
    <row r="7539" spans="1:13" x14ac:dyDescent="0.3">
      <c r="A7539" s="733" t="s">
        <v>7605</v>
      </c>
      <c r="B7539" s="733" t="s">
        <v>664</v>
      </c>
      <c r="C7539" s="738" t="s">
        <v>7621</v>
      </c>
      <c r="D7539" s="733"/>
      <c r="E7539" s="733"/>
      <c r="G7539" s="733"/>
      <c r="H7539" s="733"/>
      <c r="I7539" s="733"/>
      <c r="J7539" s="733"/>
      <c r="K7539" s="733"/>
      <c r="L7539" s="733"/>
      <c r="M7539" s="733"/>
    </row>
    <row r="7540" spans="1:13" x14ac:dyDescent="0.3">
      <c r="A7540" s="733" t="s">
        <v>7605</v>
      </c>
      <c r="B7540" s="733" t="s">
        <v>664</v>
      </c>
      <c r="C7540" s="738" t="s">
        <v>7622</v>
      </c>
      <c r="D7540" s="733"/>
      <c r="E7540" s="733"/>
      <c r="G7540" s="733"/>
      <c r="H7540" s="733"/>
      <c r="I7540" s="733"/>
      <c r="J7540" s="733"/>
      <c r="K7540" s="733"/>
      <c r="L7540" s="733"/>
      <c r="M7540" s="733"/>
    </row>
    <row r="7541" spans="1:13" x14ac:dyDescent="0.3">
      <c r="A7541" s="733" t="s">
        <v>7605</v>
      </c>
      <c r="B7541" s="733" t="s">
        <v>664</v>
      </c>
      <c r="C7541" s="738" t="s">
        <v>7623</v>
      </c>
      <c r="D7541" s="733"/>
      <c r="E7541" s="733"/>
      <c r="G7541" s="733"/>
      <c r="H7541" s="733"/>
      <c r="I7541" s="733"/>
      <c r="J7541" s="733"/>
      <c r="K7541" s="733"/>
      <c r="L7541" s="733"/>
      <c r="M7541" s="733"/>
    </row>
    <row r="7542" spans="1:13" x14ac:dyDescent="0.3">
      <c r="A7542" s="733" t="s">
        <v>7605</v>
      </c>
      <c r="B7542" s="733" t="s">
        <v>664</v>
      </c>
      <c r="C7542" s="738" t="s">
        <v>7624</v>
      </c>
      <c r="D7542" s="733"/>
      <c r="E7542" s="733"/>
      <c r="G7542" s="733"/>
      <c r="H7542" s="733"/>
      <c r="I7542" s="733"/>
      <c r="J7542" s="733"/>
      <c r="K7542" s="733"/>
      <c r="L7542" s="733"/>
      <c r="M7542" s="733"/>
    </row>
    <row r="7543" spans="1:13" x14ac:dyDescent="0.3">
      <c r="A7543" s="733" t="s">
        <v>7605</v>
      </c>
      <c r="B7543" s="733" t="s">
        <v>664</v>
      </c>
      <c r="C7543" s="738" t="s">
        <v>7625</v>
      </c>
      <c r="D7543" s="733"/>
      <c r="E7543" s="733"/>
      <c r="G7543" s="733"/>
      <c r="H7543" s="733"/>
      <c r="I7543" s="733"/>
      <c r="J7543" s="733"/>
      <c r="K7543" s="733"/>
      <c r="L7543" s="733"/>
      <c r="M7543" s="733"/>
    </row>
    <row r="7544" spans="1:13" x14ac:dyDescent="0.3">
      <c r="A7544" s="733" t="s">
        <v>7605</v>
      </c>
      <c r="B7544" s="733" t="s">
        <v>612</v>
      </c>
      <c r="C7544" s="738" t="s">
        <v>7626</v>
      </c>
      <c r="D7544" s="733"/>
      <c r="E7544" s="733"/>
      <c r="G7544" s="733"/>
      <c r="H7544" s="733"/>
      <c r="I7544" s="733"/>
      <c r="J7544" s="733"/>
      <c r="K7544" s="733"/>
      <c r="L7544" s="733"/>
      <c r="M7544" s="733"/>
    </row>
    <row r="7545" spans="1:13" x14ac:dyDescent="0.3">
      <c r="A7545" s="733" t="s">
        <v>7605</v>
      </c>
      <c r="B7545" s="733" t="s">
        <v>612</v>
      </c>
      <c r="C7545" s="738" t="s">
        <v>7627</v>
      </c>
      <c r="D7545" s="733"/>
      <c r="E7545" s="733"/>
      <c r="G7545" s="733"/>
      <c r="H7545" s="733"/>
      <c r="I7545" s="733"/>
      <c r="J7545" s="733"/>
      <c r="K7545" s="733"/>
      <c r="L7545" s="733"/>
      <c r="M7545" s="733"/>
    </row>
    <row r="7546" spans="1:13" x14ac:dyDescent="0.3">
      <c r="A7546" s="733" t="s">
        <v>7605</v>
      </c>
      <c r="B7546" s="733" t="s">
        <v>612</v>
      </c>
      <c r="C7546" s="738" t="s">
        <v>7628</v>
      </c>
      <c r="D7546" s="733"/>
      <c r="E7546" s="733"/>
      <c r="G7546" s="733"/>
      <c r="H7546" s="733"/>
      <c r="I7546" s="733"/>
      <c r="J7546" s="733"/>
      <c r="K7546" s="733"/>
      <c r="L7546" s="733"/>
      <c r="M7546" s="733"/>
    </row>
    <row r="7547" spans="1:13" x14ac:dyDescent="0.3">
      <c r="A7547" s="733" t="s">
        <v>7605</v>
      </c>
      <c r="B7547" s="733" t="s">
        <v>612</v>
      </c>
      <c r="C7547" s="738" t="s">
        <v>7629</v>
      </c>
      <c r="D7547" s="733"/>
      <c r="E7547" s="733"/>
      <c r="G7547" s="733"/>
      <c r="H7547" s="733"/>
      <c r="I7547" s="733"/>
      <c r="J7547" s="733"/>
      <c r="K7547" s="733"/>
      <c r="L7547" s="733"/>
      <c r="M7547" s="733"/>
    </row>
    <row r="7548" spans="1:13" x14ac:dyDescent="0.3">
      <c r="A7548" s="733" t="s">
        <v>7605</v>
      </c>
      <c r="B7548" s="733" t="s">
        <v>612</v>
      </c>
      <c r="C7548" s="738" t="s">
        <v>7630</v>
      </c>
      <c r="D7548" s="733"/>
      <c r="E7548" s="733"/>
      <c r="G7548" s="733"/>
      <c r="H7548" s="733"/>
      <c r="I7548" s="733"/>
      <c r="J7548" s="733"/>
      <c r="K7548" s="733"/>
      <c r="L7548" s="733"/>
      <c r="M7548" s="733"/>
    </row>
    <row r="7549" spans="1:13" x14ac:dyDescent="0.3">
      <c r="A7549" s="733" t="s">
        <v>7605</v>
      </c>
      <c r="B7549" s="733" t="s">
        <v>612</v>
      </c>
      <c r="C7549" s="738" t="s">
        <v>7631</v>
      </c>
      <c r="D7549" s="733"/>
      <c r="E7549" s="733"/>
      <c r="G7549" s="733"/>
      <c r="H7549" s="733"/>
      <c r="I7549" s="733"/>
      <c r="J7549" s="733"/>
      <c r="K7549" s="733"/>
      <c r="L7549" s="733"/>
      <c r="M7549" s="733"/>
    </row>
    <row r="7550" spans="1:13" x14ac:dyDescent="0.3">
      <c r="A7550" s="733" t="s">
        <v>7605</v>
      </c>
      <c r="B7550" s="733" t="s">
        <v>612</v>
      </c>
      <c r="C7550" s="738" t="s">
        <v>7632</v>
      </c>
      <c r="D7550" s="733"/>
      <c r="E7550" s="733"/>
      <c r="G7550" s="733"/>
      <c r="H7550" s="733"/>
      <c r="I7550" s="733"/>
      <c r="J7550" s="733"/>
      <c r="K7550" s="733"/>
      <c r="L7550" s="733"/>
      <c r="M7550" s="733"/>
    </row>
    <row r="7551" spans="1:13" x14ac:dyDescent="0.3">
      <c r="A7551" s="733" t="s">
        <v>7605</v>
      </c>
      <c r="B7551" s="733" t="s">
        <v>612</v>
      </c>
      <c r="C7551" s="738" t="s">
        <v>7633</v>
      </c>
      <c r="D7551" s="733"/>
      <c r="E7551" s="733"/>
      <c r="G7551" s="733"/>
      <c r="H7551" s="733"/>
      <c r="I7551" s="733"/>
      <c r="J7551" s="733"/>
      <c r="K7551" s="733"/>
      <c r="L7551" s="733"/>
      <c r="M7551" s="733"/>
    </row>
    <row r="7552" spans="1:13" x14ac:dyDescent="0.3">
      <c r="A7552" s="733" t="s">
        <v>7605</v>
      </c>
      <c r="B7552" s="733" t="s">
        <v>612</v>
      </c>
      <c r="C7552" s="738" t="s">
        <v>7634</v>
      </c>
      <c r="D7552" s="733"/>
      <c r="E7552" s="733"/>
      <c r="G7552" s="733"/>
      <c r="H7552" s="733"/>
      <c r="I7552" s="733"/>
      <c r="J7552" s="733"/>
      <c r="K7552" s="733"/>
      <c r="L7552" s="733"/>
      <c r="M7552" s="733"/>
    </row>
    <row r="7553" spans="1:13" x14ac:dyDescent="0.3">
      <c r="A7553" s="733" t="s">
        <v>7605</v>
      </c>
      <c r="B7553" s="733" t="s">
        <v>612</v>
      </c>
      <c r="C7553" s="738" t="s">
        <v>7635</v>
      </c>
      <c r="D7553" s="733"/>
      <c r="E7553" s="733"/>
      <c r="G7553" s="733"/>
      <c r="H7553" s="733"/>
      <c r="I7553" s="733"/>
      <c r="J7553" s="733"/>
      <c r="K7553" s="733"/>
      <c r="L7553" s="733"/>
      <c r="M7553" s="733"/>
    </row>
    <row r="7554" spans="1:13" x14ac:dyDescent="0.3">
      <c r="A7554" s="733" t="s">
        <v>7636</v>
      </c>
      <c r="B7554" s="733" t="s">
        <v>645</v>
      </c>
      <c r="C7554" s="738" t="s">
        <v>7637</v>
      </c>
      <c r="D7554" s="733"/>
      <c r="E7554" s="733"/>
      <c r="G7554" s="733"/>
      <c r="H7554" s="733"/>
      <c r="I7554" s="733"/>
      <c r="J7554" s="733"/>
      <c r="K7554" s="733"/>
      <c r="L7554" s="733"/>
      <c r="M7554" s="733"/>
    </row>
    <row r="7555" spans="1:13" x14ac:dyDescent="0.3">
      <c r="A7555" s="733" t="s">
        <v>7636</v>
      </c>
      <c r="B7555" s="733" t="s">
        <v>645</v>
      </c>
      <c r="C7555" s="738" t="s">
        <v>7638</v>
      </c>
      <c r="D7555" s="733"/>
      <c r="E7555" s="733"/>
      <c r="G7555" s="733"/>
      <c r="H7555" s="733"/>
      <c r="I7555" s="733"/>
      <c r="J7555" s="733"/>
      <c r="K7555" s="733"/>
      <c r="L7555" s="733"/>
      <c r="M7555" s="733"/>
    </row>
    <row r="7556" spans="1:13" x14ac:dyDescent="0.3">
      <c r="A7556" s="733" t="s">
        <v>7636</v>
      </c>
      <c r="B7556" s="733" t="s">
        <v>645</v>
      </c>
      <c r="C7556" s="738" t="s">
        <v>7639</v>
      </c>
      <c r="D7556" s="733"/>
      <c r="E7556" s="733"/>
      <c r="G7556" s="733"/>
      <c r="H7556" s="733"/>
      <c r="I7556" s="733"/>
      <c r="J7556" s="733"/>
      <c r="K7556" s="733"/>
      <c r="L7556" s="733"/>
      <c r="M7556" s="733"/>
    </row>
    <row r="7557" spans="1:13" x14ac:dyDescent="0.3">
      <c r="A7557" s="733" t="s">
        <v>7636</v>
      </c>
      <c r="B7557" s="733" t="s">
        <v>645</v>
      </c>
      <c r="C7557" s="738" t="s">
        <v>7640</v>
      </c>
      <c r="D7557" s="733"/>
      <c r="E7557" s="733"/>
      <c r="G7557" s="733"/>
      <c r="H7557" s="733"/>
      <c r="I7557" s="733"/>
      <c r="J7557" s="733"/>
      <c r="K7557" s="733"/>
      <c r="L7557" s="733"/>
      <c r="M7557" s="733"/>
    </row>
    <row r="7558" spans="1:13" x14ac:dyDescent="0.3">
      <c r="A7558" s="733" t="s">
        <v>7636</v>
      </c>
      <c r="B7558" s="733" t="s">
        <v>645</v>
      </c>
      <c r="C7558" s="738" t="s">
        <v>7641</v>
      </c>
      <c r="D7558" s="733"/>
      <c r="E7558" s="733"/>
      <c r="G7558" s="733"/>
      <c r="H7558" s="733"/>
      <c r="I7558" s="733"/>
      <c r="J7558" s="733"/>
      <c r="K7558" s="733"/>
      <c r="L7558" s="733"/>
      <c r="M7558" s="733"/>
    </row>
    <row r="7559" spans="1:13" x14ac:dyDescent="0.3">
      <c r="A7559" s="733" t="s">
        <v>7636</v>
      </c>
      <c r="B7559" s="733" t="s">
        <v>645</v>
      </c>
      <c r="C7559" s="738" t="s">
        <v>7642</v>
      </c>
      <c r="D7559" s="733"/>
      <c r="E7559" s="733"/>
      <c r="G7559" s="733"/>
      <c r="H7559" s="733"/>
      <c r="I7559" s="733"/>
      <c r="J7559" s="733"/>
      <c r="K7559" s="733"/>
      <c r="L7559" s="733"/>
      <c r="M7559" s="733"/>
    </row>
    <row r="7560" spans="1:13" x14ac:dyDescent="0.3">
      <c r="A7560" s="733" t="s">
        <v>7636</v>
      </c>
      <c r="B7560" s="733" t="s">
        <v>645</v>
      </c>
      <c r="C7560" s="738" t="s">
        <v>7643</v>
      </c>
      <c r="D7560" s="733"/>
      <c r="E7560" s="733"/>
      <c r="G7560" s="733"/>
      <c r="H7560" s="733"/>
      <c r="I7560" s="733"/>
      <c r="J7560" s="733"/>
      <c r="K7560" s="733"/>
      <c r="L7560" s="733"/>
      <c r="M7560" s="733"/>
    </row>
    <row r="7561" spans="1:13" x14ac:dyDescent="0.3">
      <c r="A7561" s="733" t="s">
        <v>7636</v>
      </c>
      <c r="B7561" s="733" t="s">
        <v>645</v>
      </c>
      <c r="C7561" s="738" t="s">
        <v>7644</v>
      </c>
      <c r="D7561" s="733"/>
      <c r="E7561" s="733"/>
      <c r="G7561" s="733"/>
      <c r="H7561" s="733"/>
      <c r="I7561" s="733"/>
      <c r="J7561" s="733"/>
      <c r="K7561" s="733"/>
      <c r="L7561" s="733"/>
      <c r="M7561" s="733"/>
    </row>
    <row r="7562" spans="1:13" x14ac:dyDescent="0.3">
      <c r="A7562" s="733" t="s">
        <v>7636</v>
      </c>
      <c r="B7562" s="733" t="s">
        <v>645</v>
      </c>
      <c r="C7562" s="738" t="s">
        <v>7645</v>
      </c>
      <c r="D7562" s="733"/>
      <c r="E7562" s="733"/>
      <c r="G7562" s="733"/>
      <c r="H7562" s="733"/>
      <c r="I7562" s="733"/>
      <c r="J7562" s="733"/>
      <c r="K7562" s="733"/>
      <c r="L7562" s="733"/>
      <c r="M7562" s="733"/>
    </row>
    <row r="7563" spans="1:13" x14ac:dyDescent="0.3">
      <c r="A7563" s="733" t="s">
        <v>7636</v>
      </c>
      <c r="B7563" s="733" t="s">
        <v>645</v>
      </c>
      <c r="C7563" s="738" t="s">
        <v>7646</v>
      </c>
      <c r="D7563" s="733"/>
      <c r="E7563" s="733"/>
      <c r="G7563" s="733"/>
      <c r="H7563" s="733"/>
      <c r="I7563" s="733"/>
      <c r="J7563" s="733"/>
      <c r="K7563" s="733"/>
      <c r="L7563" s="733"/>
      <c r="M7563" s="733"/>
    </row>
    <row r="7564" spans="1:13" x14ac:dyDescent="0.3">
      <c r="A7564" s="733" t="s">
        <v>7636</v>
      </c>
      <c r="B7564" s="733" t="s">
        <v>664</v>
      </c>
      <c r="C7564" s="738" t="s">
        <v>7647</v>
      </c>
      <c r="D7564" s="733"/>
      <c r="E7564" s="733"/>
      <c r="G7564" s="733"/>
      <c r="H7564" s="733"/>
      <c r="I7564" s="733"/>
      <c r="J7564" s="733"/>
      <c r="K7564" s="733"/>
      <c r="L7564" s="733"/>
      <c r="M7564" s="733"/>
    </row>
    <row r="7565" spans="1:13" x14ac:dyDescent="0.3">
      <c r="A7565" s="733" t="s">
        <v>7636</v>
      </c>
      <c r="B7565" s="733" t="s">
        <v>664</v>
      </c>
      <c r="C7565" s="738" t="s">
        <v>7648</v>
      </c>
      <c r="D7565" s="733"/>
      <c r="E7565" s="733"/>
      <c r="G7565" s="733"/>
      <c r="H7565" s="733"/>
      <c r="I7565" s="733"/>
      <c r="J7565" s="733"/>
      <c r="K7565" s="733"/>
      <c r="L7565" s="733"/>
      <c r="M7565" s="733"/>
    </row>
    <row r="7566" spans="1:13" x14ac:dyDescent="0.3">
      <c r="A7566" s="733" t="s">
        <v>7636</v>
      </c>
      <c r="B7566" s="733" t="s">
        <v>664</v>
      </c>
      <c r="C7566" s="738" t="s">
        <v>7649</v>
      </c>
      <c r="D7566" s="733"/>
      <c r="E7566" s="733"/>
      <c r="G7566" s="733"/>
      <c r="H7566" s="733"/>
      <c r="I7566" s="733"/>
      <c r="J7566" s="733"/>
      <c r="K7566" s="733"/>
      <c r="L7566" s="733"/>
      <c r="M7566" s="733"/>
    </row>
    <row r="7567" spans="1:13" x14ac:dyDescent="0.3">
      <c r="A7567" s="733" t="s">
        <v>7636</v>
      </c>
      <c r="B7567" s="733" t="s">
        <v>664</v>
      </c>
      <c r="C7567" s="738" t="s">
        <v>7650</v>
      </c>
      <c r="D7567" s="733"/>
      <c r="E7567" s="733"/>
      <c r="G7567" s="733"/>
      <c r="H7567" s="733"/>
      <c r="I7567" s="733"/>
      <c r="J7567" s="733"/>
      <c r="K7567" s="733"/>
      <c r="L7567" s="733"/>
      <c r="M7567" s="733"/>
    </row>
    <row r="7568" spans="1:13" x14ac:dyDescent="0.3">
      <c r="A7568" s="733" t="s">
        <v>7636</v>
      </c>
      <c r="B7568" s="733" t="s">
        <v>664</v>
      </c>
      <c r="C7568" s="738" t="s">
        <v>7651</v>
      </c>
      <c r="D7568" s="733"/>
      <c r="E7568" s="733"/>
      <c r="G7568" s="733"/>
      <c r="H7568" s="733"/>
      <c r="I7568" s="733"/>
      <c r="J7568" s="733"/>
      <c r="K7568" s="733"/>
      <c r="L7568" s="733"/>
      <c r="M7568" s="733"/>
    </row>
    <row r="7569" spans="1:13" x14ac:dyDescent="0.3">
      <c r="A7569" s="733" t="s">
        <v>7636</v>
      </c>
      <c r="B7569" s="733" t="s">
        <v>664</v>
      </c>
      <c r="C7569" s="738" t="s">
        <v>7652</v>
      </c>
      <c r="D7569" s="733"/>
      <c r="E7569" s="733"/>
      <c r="G7569" s="733"/>
      <c r="H7569" s="733"/>
      <c r="I7569" s="733"/>
      <c r="J7569" s="733"/>
      <c r="K7569" s="733"/>
      <c r="L7569" s="733"/>
      <c r="M7569" s="733"/>
    </row>
    <row r="7570" spans="1:13" x14ac:dyDescent="0.3">
      <c r="A7570" s="733" t="s">
        <v>7636</v>
      </c>
      <c r="B7570" s="733" t="s">
        <v>664</v>
      </c>
      <c r="C7570" s="738" t="s">
        <v>7653</v>
      </c>
      <c r="D7570" s="733"/>
      <c r="E7570" s="733"/>
      <c r="G7570" s="733"/>
      <c r="H7570" s="733"/>
      <c r="I7570" s="733"/>
      <c r="J7570" s="733"/>
      <c r="K7570" s="733"/>
      <c r="L7570" s="733"/>
      <c r="M7570" s="733"/>
    </row>
    <row r="7571" spans="1:13" x14ac:dyDescent="0.3">
      <c r="A7571" s="733" t="s">
        <v>7636</v>
      </c>
      <c r="B7571" s="733" t="s">
        <v>664</v>
      </c>
      <c r="C7571" s="738" t="s">
        <v>7654</v>
      </c>
      <c r="D7571" s="733"/>
      <c r="E7571" s="733"/>
      <c r="G7571" s="733"/>
      <c r="H7571" s="733"/>
      <c r="I7571" s="733"/>
      <c r="J7571" s="733"/>
      <c r="K7571" s="733"/>
      <c r="L7571" s="733"/>
      <c r="M7571" s="733"/>
    </row>
    <row r="7572" spans="1:13" x14ac:dyDescent="0.3">
      <c r="A7572" s="733" t="s">
        <v>7636</v>
      </c>
      <c r="B7572" s="733" t="s">
        <v>664</v>
      </c>
      <c r="C7572" s="738" t="s">
        <v>7655</v>
      </c>
      <c r="D7572" s="733"/>
      <c r="E7572" s="733"/>
      <c r="G7572" s="733"/>
      <c r="H7572" s="733"/>
      <c r="I7572" s="733"/>
      <c r="J7572" s="733"/>
      <c r="K7572" s="733"/>
      <c r="L7572" s="733"/>
      <c r="M7572" s="733"/>
    </row>
    <row r="7573" spans="1:13" x14ac:dyDescent="0.3">
      <c r="A7573" s="733" t="s">
        <v>7636</v>
      </c>
      <c r="B7573" s="733" t="s">
        <v>664</v>
      </c>
      <c r="C7573" s="738" t="s">
        <v>7656</v>
      </c>
      <c r="D7573" s="733"/>
      <c r="E7573" s="733"/>
      <c r="G7573" s="733"/>
      <c r="H7573" s="733"/>
      <c r="I7573" s="733"/>
      <c r="J7573" s="733"/>
      <c r="K7573" s="733"/>
      <c r="L7573" s="733"/>
      <c r="M7573" s="733"/>
    </row>
    <row r="7574" spans="1:13" x14ac:dyDescent="0.3">
      <c r="A7574" s="733" t="s">
        <v>7636</v>
      </c>
      <c r="B7574" s="733" t="s">
        <v>612</v>
      </c>
      <c r="C7574" s="738" t="s">
        <v>7657</v>
      </c>
      <c r="D7574" s="733"/>
      <c r="E7574" s="733"/>
      <c r="G7574" s="733"/>
      <c r="H7574" s="733"/>
      <c r="I7574" s="733"/>
      <c r="J7574" s="733"/>
      <c r="K7574" s="733"/>
      <c r="L7574" s="733"/>
      <c r="M7574" s="733"/>
    </row>
    <row r="7575" spans="1:13" x14ac:dyDescent="0.3">
      <c r="A7575" s="733" t="s">
        <v>7636</v>
      </c>
      <c r="B7575" s="733" t="s">
        <v>612</v>
      </c>
      <c r="C7575" s="738" t="s">
        <v>7658</v>
      </c>
      <c r="D7575" s="733"/>
      <c r="E7575" s="733"/>
      <c r="G7575" s="733"/>
      <c r="H7575" s="733"/>
      <c r="I7575" s="733"/>
      <c r="J7575" s="733"/>
      <c r="K7575" s="733"/>
      <c r="L7575" s="733"/>
      <c r="M7575" s="733"/>
    </row>
    <row r="7576" spans="1:13" x14ac:dyDescent="0.3">
      <c r="A7576" s="733" t="s">
        <v>7636</v>
      </c>
      <c r="B7576" s="733" t="s">
        <v>612</v>
      </c>
      <c r="C7576" s="738" t="s">
        <v>7659</v>
      </c>
      <c r="D7576" s="733"/>
      <c r="E7576" s="733"/>
      <c r="G7576" s="733"/>
      <c r="H7576" s="733"/>
      <c r="I7576" s="733"/>
      <c r="J7576" s="733"/>
      <c r="K7576" s="733"/>
      <c r="L7576" s="733"/>
      <c r="M7576" s="733"/>
    </row>
    <row r="7577" spans="1:13" x14ac:dyDescent="0.3">
      <c r="A7577" s="733" t="s">
        <v>7636</v>
      </c>
      <c r="B7577" s="733" t="s">
        <v>612</v>
      </c>
      <c r="C7577" s="738" t="s">
        <v>7660</v>
      </c>
      <c r="D7577" s="733"/>
      <c r="E7577" s="733"/>
      <c r="G7577" s="733"/>
      <c r="H7577" s="733"/>
      <c r="I7577" s="733"/>
      <c r="J7577" s="733"/>
      <c r="K7577" s="733"/>
      <c r="L7577" s="733"/>
      <c r="M7577" s="733"/>
    </row>
    <row r="7578" spans="1:13" x14ac:dyDescent="0.3">
      <c r="A7578" s="733" t="s">
        <v>7636</v>
      </c>
      <c r="B7578" s="733" t="s">
        <v>612</v>
      </c>
      <c r="C7578" s="738" t="s">
        <v>7661</v>
      </c>
      <c r="D7578" s="733"/>
      <c r="E7578" s="733"/>
      <c r="G7578" s="733"/>
      <c r="H7578" s="733"/>
      <c r="I7578" s="733"/>
      <c r="J7578" s="733"/>
      <c r="K7578" s="733"/>
      <c r="L7578" s="733"/>
      <c r="M7578" s="733"/>
    </row>
    <row r="7579" spans="1:13" x14ac:dyDescent="0.3">
      <c r="A7579" s="733" t="s">
        <v>7636</v>
      </c>
      <c r="B7579" s="733" t="s">
        <v>612</v>
      </c>
      <c r="C7579" s="738" t="s">
        <v>7662</v>
      </c>
      <c r="D7579" s="733"/>
      <c r="E7579" s="733"/>
      <c r="G7579" s="733"/>
      <c r="H7579" s="733"/>
      <c r="I7579" s="733"/>
      <c r="J7579" s="733"/>
      <c r="K7579" s="733"/>
      <c r="L7579" s="733"/>
      <c r="M7579" s="733"/>
    </row>
    <row r="7580" spans="1:13" x14ac:dyDescent="0.3">
      <c r="A7580" s="733" t="s">
        <v>7636</v>
      </c>
      <c r="B7580" s="733" t="s">
        <v>612</v>
      </c>
      <c r="C7580" s="738" t="s">
        <v>7663</v>
      </c>
      <c r="D7580" s="733"/>
      <c r="E7580" s="733"/>
      <c r="G7580" s="733"/>
      <c r="H7580" s="733"/>
      <c r="I7580" s="733"/>
      <c r="J7580" s="733"/>
      <c r="K7580" s="733"/>
      <c r="L7580" s="733"/>
      <c r="M7580" s="733"/>
    </row>
    <row r="7581" spans="1:13" x14ac:dyDescent="0.3">
      <c r="A7581" s="733" t="s">
        <v>7636</v>
      </c>
      <c r="B7581" s="733" t="s">
        <v>612</v>
      </c>
      <c r="C7581" s="738" t="s">
        <v>7664</v>
      </c>
      <c r="D7581" s="733"/>
      <c r="E7581" s="733"/>
      <c r="G7581" s="733"/>
      <c r="H7581" s="733"/>
      <c r="I7581" s="733"/>
      <c r="J7581" s="733"/>
      <c r="K7581" s="733"/>
      <c r="L7581" s="733"/>
      <c r="M7581" s="733"/>
    </row>
    <row r="7582" spans="1:13" x14ac:dyDescent="0.3">
      <c r="A7582" s="733" t="s">
        <v>7636</v>
      </c>
      <c r="B7582" s="733" t="s">
        <v>612</v>
      </c>
      <c r="C7582" s="738" t="s">
        <v>7665</v>
      </c>
      <c r="D7582" s="733"/>
      <c r="E7582" s="733"/>
      <c r="G7582" s="733"/>
      <c r="H7582" s="733"/>
      <c r="I7582" s="733"/>
      <c r="J7582" s="733"/>
      <c r="K7582" s="733"/>
      <c r="L7582" s="733"/>
      <c r="M7582" s="733"/>
    </row>
    <row r="7583" spans="1:13" x14ac:dyDescent="0.3">
      <c r="A7583" s="733" t="s">
        <v>7636</v>
      </c>
      <c r="B7583" s="733" t="s">
        <v>612</v>
      </c>
      <c r="C7583" s="738" t="s">
        <v>7666</v>
      </c>
      <c r="D7583" s="733"/>
      <c r="E7583" s="733"/>
      <c r="G7583" s="733"/>
      <c r="H7583" s="733"/>
      <c r="I7583" s="733"/>
      <c r="J7583" s="733"/>
      <c r="K7583" s="733"/>
      <c r="L7583" s="733"/>
      <c r="M7583" s="733"/>
    </row>
    <row r="7584" spans="1:13" x14ac:dyDescent="0.3">
      <c r="A7584" s="733" t="s">
        <v>7667</v>
      </c>
      <c r="B7584" s="733" t="s">
        <v>645</v>
      </c>
      <c r="C7584" s="738" t="s">
        <v>7668</v>
      </c>
      <c r="D7584" s="733"/>
      <c r="E7584" s="733"/>
      <c r="G7584" s="733"/>
      <c r="H7584" s="733"/>
      <c r="I7584" s="733"/>
      <c r="J7584" s="733"/>
      <c r="K7584" s="733"/>
      <c r="L7584" s="733"/>
      <c r="M7584" s="733"/>
    </row>
    <row r="7585" spans="1:13" x14ac:dyDescent="0.3">
      <c r="A7585" s="733" t="s">
        <v>7667</v>
      </c>
      <c r="B7585" s="733" t="s">
        <v>645</v>
      </c>
      <c r="C7585" s="738" t="s">
        <v>7669</v>
      </c>
      <c r="D7585" s="733"/>
      <c r="E7585" s="733"/>
      <c r="G7585" s="733"/>
      <c r="H7585" s="733"/>
      <c r="I7585" s="733"/>
      <c r="J7585" s="733"/>
      <c r="K7585" s="733"/>
      <c r="L7585" s="733"/>
      <c r="M7585" s="733"/>
    </row>
    <row r="7586" spans="1:13" x14ac:dyDescent="0.3">
      <c r="A7586" s="733" t="s">
        <v>7667</v>
      </c>
      <c r="B7586" s="733" t="s">
        <v>645</v>
      </c>
      <c r="C7586" s="738" t="s">
        <v>7670</v>
      </c>
      <c r="D7586" s="733"/>
      <c r="E7586" s="733"/>
      <c r="G7586" s="733"/>
      <c r="H7586" s="733"/>
      <c r="I7586" s="733"/>
      <c r="J7586" s="733"/>
      <c r="K7586" s="733"/>
      <c r="L7586" s="733"/>
      <c r="M7586" s="733"/>
    </row>
    <row r="7587" spans="1:13" x14ac:dyDescent="0.3">
      <c r="A7587" s="733" t="s">
        <v>7667</v>
      </c>
      <c r="B7587" s="733" t="s">
        <v>645</v>
      </c>
      <c r="C7587" s="738" t="s">
        <v>7671</v>
      </c>
      <c r="D7587" s="733"/>
      <c r="E7587" s="733"/>
      <c r="G7587" s="733"/>
      <c r="H7587" s="733"/>
      <c r="I7587" s="733"/>
      <c r="J7587" s="733"/>
      <c r="K7587" s="733"/>
      <c r="L7587" s="733"/>
      <c r="M7587" s="733"/>
    </row>
    <row r="7588" spans="1:13" x14ac:dyDescent="0.3">
      <c r="A7588" s="733" t="s">
        <v>7667</v>
      </c>
      <c r="B7588" s="733" t="s">
        <v>645</v>
      </c>
      <c r="C7588" s="738" t="s">
        <v>7672</v>
      </c>
      <c r="D7588" s="733"/>
      <c r="E7588" s="733"/>
      <c r="G7588" s="733"/>
      <c r="H7588" s="733"/>
      <c r="I7588" s="733"/>
      <c r="J7588" s="733"/>
      <c r="K7588" s="733"/>
      <c r="L7588" s="733"/>
      <c r="M7588" s="733"/>
    </row>
    <row r="7589" spans="1:13" x14ac:dyDescent="0.3">
      <c r="A7589" s="733" t="s">
        <v>7667</v>
      </c>
      <c r="B7589" s="733" t="s">
        <v>645</v>
      </c>
      <c r="C7589" s="738" t="s">
        <v>7673</v>
      </c>
      <c r="D7589" s="733"/>
      <c r="E7589" s="733"/>
      <c r="G7589" s="733"/>
      <c r="H7589" s="733"/>
      <c r="I7589" s="733"/>
      <c r="J7589" s="733"/>
      <c r="K7589" s="733"/>
      <c r="L7589" s="733"/>
      <c r="M7589" s="733"/>
    </row>
    <row r="7590" spans="1:13" ht="28.8" x14ac:dyDescent="0.3">
      <c r="A7590" s="733" t="s">
        <v>7667</v>
      </c>
      <c r="B7590" s="733" t="s">
        <v>645</v>
      </c>
      <c r="C7590" s="738" t="s">
        <v>7674</v>
      </c>
      <c r="D7590" s="733"/>
      <c r="E7590" s="733"/>
      <c r="G7590" s="733"/>
      <c r="H7590" s="733"/>
      <c r="I7590" s="733"/>
      <c r="J7590" s="733"/>
      <c r="K7590" s="733"/>
      <c r="L7590" s="733"/>
      <c r="M7590" s="733"/>
    </row>
    <row r="7591" spans="1:13" ht="28.8" x14ac:dyDescent="0.3">
      <c r="A7591" s="733" t="s">
        <v>7667</v>
      </c>
      <c r="B7591" s="733" t="s">
        <v>645</v>
      </c>
      <c r="C7591" s="738" t="s">
        <v>7675</v>
      </c>
      <c r="D7591" s="733"/>
      <c r="E7591" s="733"/>
      <c r="G7591" s="733"/>
      <c r="H7591" s="733"/>
      <c r="I7591" s="733"/>
      <c r="J7591" s="733"/>
      <c r="K7591" s="733"/>
      <c r="L7591" s="733"/>
      <c r="M7591" s="733"/>
    </row>
    <row r="7592" spans="1:13" x14ac:dyDescent="0.3">
      <c r="A7592" s="733" t="s">
        <v>7667</v>
      </c>
      <c r="B7592" s="733" t="s">
        <v>645</v>
      </c>
      <c r="C7592" s="738" t="s">
        <v>7676</v>
      </c>
      <c r="D7592" s="733"/>
      <c r="E7592" s="733"/>
      <c r="G7592" s="733"/>
      <c r="H7592" s="733"/>
      <c r="I7592" s="733"/>
      <c r="J7592" s="733"/>
      <c r="K7592" s="733"/>
      <c r="L7592" s="733"/>
      <c r="M7592" s="733"/>
    </row>
    <row r="7593" spans="1:13" x14ac:dyDescent="0.3">
      <c r="A7593" s="733" t="s">
        <v>7667</v>
      </c>
      <c r="B7593" s="733" t="s">
        <v>645</v>
      </c>
      <c r="C7593" s="738" t="s">
        <v>7677</v>
      </c>
      <c r="D7593" s="733"/>
      <c r="E7593" s="733"/>
      <c r="G7593" s="733"/>
      <c r="H7593" s="733"/>
      <c r="I7593" s="733"/>
      <c r="J7593" s="733"/>
      <c r="K7593" s="733"/>
      <c r="L7593" s="733"/>
      <c r="M7593" s="733"/>
    </row>
    <row r="7594" spans="1:13" ht="28.8" x14ac:dyDescent="0.3">
      <c r="A7594" s="733" t="s">
        <v>7667</v>
      </c>
      <c r="B7594" s="733" t="s">
        <v>664</v>
      </c>
      <c r="C7594" s="738" t="s">
        <v>7678</v>
      </c>
      <c r="D7594" s="733"/>
      <c r="E7594" s="733"/>
      <c r="G7594" s="733"/>
      <c r="H7594" s="733"/>
      <c r="I7594" s="733"/>
      <c r="J7594" s="733"/>
      <c r="K7594" s="733"/>
      <c r="L7594" s="733"/>
      <c r="M7594" s="733"/>
    </row>
    <row r="7595" spans="1:13" x14ac:dyDescent="0.3">
      <c r="A7595" s="733" t="s">
        <v>7667</v>
      </c>
      <c r="B7595" s="733" t="s">
        <v>664</v>
      </c>
      <c r="C7595" s="738" t="s">
        <v>7679</v>
      </c>
      <c r="D7595" s="733"/>
      <c r="E7595" s="733"/>
      <c r="G7595" s="733"/>
      <c r="H7595" s="733"/>
      <c r="I7595" s="733"/>
      <c r="J7595" s="733"/>
      <c r="K7595" s="733"/>
      <c r="L7595" s="733"/>
      <c r="M7595" s="733"/>
    </row>
    <row r="7596" spans="1:13" x14ac:dyDescent="0.3">
      <c r="A7596" s="733" t="s">
        <v>7667</v>
      </c>
      <c r="B7596" s="733" t="s">
        <v>664</v>
      </c>
      <c r="C7596" s="738" t="s">
        <v>7680</v>
      </c>
      <c r="D7596" s="733"/>
      <c r="E7596" s="733"/>
      <c r="G7596" s="733"/>
      <c r="H7596" s="733"/>
      <c r="I7596" s="733"/>
      <c r="J7596" s="733"/>
      <c r="K7596" s="733"/>
      <c r="L7596" s="733"/>
      <c r="M7596" s="733"/>
    </row>
    <row r="7597" spans="1:13" x14ac:dyDescent="0.3">
      <c r="A7597" s="733" t="s">
        <v>7667</v>
      </c>
      <c r="B7597" s="733" t="s">
        <v>664</v>
      </c>
      <c r="C7597" s="738" t="s">
        <v>7681</v>
      </c>
      <c r="D7597" s="733"/>
      <c r="E7597" s="733"/>
      <c r="G7597" s="733"/>
      <c r="H7597" s="733"/>
      <c r="I7597" s="733"/>
      <c r="J7597" s="733"/>
      <c r="K7597" s="733"/>
      <c r="L7597" s="733"/>
      <c r="M7597" s="733"/>
    </row>
    <row r="7598" spans="1:13" x14ac:dyDescent="0.3">
      <c r="A7598" s="733" t="s">
        <v>7667</v>
      </c>
      <c r="B7598" s="733" t="s">
        <v>664</v>
      </c>
      <c r="C7598" s="738" t="s">
        <v>7682</v>
      </c>
      <c r="D7598" s="733"/>
      <c r="E7598" s="733"/>
      <c r="G7598" s="733"/>
      <c r="H7598" s="733"/>
      <c r="I7598" s="733"/>
      <c r="J7598" s="733"/>
      <c r="K7598" s="733"/>
      <c r="L7598" s="733"/>
      <c r="M7598" s="733"/>
    </row>
    <row r="7599" spans="1:13" x14ac:dyDescent="0.3">
      <c r="A7599" s="733" t="s">
        <v>7667</v>
      </c>
      <c r="B7599" s="733" t="s">
        <v>664</v>
      </c>
      <c r="C7599" s="738" t="s">
        <v>7683</v>
      </c>
      <c r="D7599" s="733"/>
      <c r="E7599" s="733"/>
      <c r="G7599" s="733"/>
      <c r="H7599" s="733"/>
      <c r="I7599" s="733"/>
      <c r="J7599" s="733"/>
      <c r="K7599" s="733"/>
      <c r="L7599" s="733"/>
      <c r="M7599" s="733"/>
    </row>
    <row r="7600" spans="1:13" x14ac:dyDescent="0.3">
      <c r="A7600" s="733" t="s">
        <v>7667</v>
      </c>
      <c r="B7600" s="733" t="s">
        <v>664</v>
      </c>
      <c r="C7600" s="738" t="s">
        <v>7684</v>
      </c>
      <c r="D7600" s="733"/>
      <c r="E7600" s="733"/>
      <c r="G7600" s="733"/>
      <c r="H7600" s="733"/>
      <c r="I7600" s="733"/>
      <c r="J7600" s="733"/>
      <c r="K7600" s="733"/>
      <c r="L7600" s="733"/>
      <c r="M7600" s="733"/>
    </row>
    <row r="7601" spans="1:13" x14ac:dyDescent="0.3">
      <c r="A7601" s="733" t="s">
        <v>7667</v>
      </c>
      <c r="B7601" s="733" t="s">
        <v>664</v>
      </c>
      <c r="C7601" s="738" t="s">
        <v>7685</v>
      </c>
      <c r="D7601" s="733"/>
      <c r="E7601" s="733"/>
      <c r="G7601" s="733"/>
      <c r="H7601" s="733"/>
      <c r="I7601" s="733"/>
      <c r="J7601" s="733"/>
      <c r="K7601" s="733"/>
      <c r="L7601" s="733"/>
      <c r="M7601" s="733"/>
    </row>
    <row r="7602" spans="1:13" x14ac:dyDescent="0.3">
      <c r="A7602" s="733" t="s">
        <v>7667</v>
      </c>
      <c r="B7602" s="733" t="s">
        <v>664</v>
      </c>
      <c r="C7602" s="738" t="s">
        <v>7686</v>
      </c>
      <c r="D7602" s="733"/>
      <c r="E7602" s="733"/>
      <c r="G7602" s="733"/>
      <c r="H7602" s="733"/>
      <c r="I7602" s="733"/>
      <c r="J7602" s="733"/>
      <c r="K7602" s="733"/>
      <c r="L7602" s="733"/>
      <c r="M7602" s="733"/>
    </row>
    <row r="7603" spans="1:13" x14ac:dyDescent="0.3">
      <c r="A7603" s="733" t="s">
        <v>7667</v>
      </c>
      <c r="B7603" s="733" t="s">
        <v>664</v>
      </c>
      <c r="C7603" s="738" t="s">
        <v>7687</v>
      </c>
      <c r="D7603" s="733"/>
      <c r="E7603" s="733"/>
      <c r="G7603" s="733"/>
      <c r="H7603" s="733"/>
      <c r="I7603" s="733"/>
      <c r="J7603" s="733"/>
      <c r="K7603" s="733"/>
      <c r="L7603" s="733"/>
      <c r="M7603" s="733"/>
    </row>
    <row r="7604" spans="1:13" x14ac:dyDescent="0.3">
      <c r="A7604" s="733" t="s">
        <v>7667</v>
      </c>
      <c r="B7604" s="733" t="s">
        <v>612</v>
      </c>
      <c r="C7604" s="738" t="s">
        <v>7688</v>
      </c>
      <c r="D7604" s="733"/>
      <c r="E7604" s="733"/>
      <c r="G7604" s="733"/>
      <c r="H7604" s="733"/>
      <c r="I7604" s="733"/>
      <c r="J7604" s="733"/>
      <c r="K7604" s="733"/>
      <c r="L7604" s="733"/>
      <c r="M7604" s="733"/>
    </row>
    <row r="7605" spans="1:13" x14ac:dyDescent="0.3">
      <c r="A7605" s="733" t="s">
        <v>7667</v>
      </c>
      <c r="B7605" s="733" t="s">
        <v>612</v>
      </c>
      <c r="C7605" s="738" t="s">
        <v>7689</v>
      </c>
      <c r="D7605" s="733"/>
      <c r="E7605" s="733"/>
      <c r="G7605" s="733"/>
      <c r="H7605" s="733"/>
      <c r="I7605" s="733"/>
      <c r="J7605" s="733"/>
      <c r="K7605" s="733"/>
      <c r="L7605" s="733"/>
      <c r="M7605" s="733"/>
    </row>
    <row r="7606" spans="1:13" x14ac:dyDescent="0.3">
      <c r="A7606" s="733" t="s">
        <v>7667</v>
      </c>
      <c r="B7606" s="733" t="s">
        <v>612</v>
      </c>
      <c r="C7606" s="738" t="s">
        <v>7690</v>
      </c>
      <c r="D7606" s="733"/>
      <c r="E7606" s="733"/>
      <c r="G7606" s="733"/>
      <c r="H7606" s="733"/>
      <c r="I7606" s="733"/>
      <c r="J7606" s="733"/>
      <c r="K7606" s="733"/>
      <c r="L7606" s="733"/>
      <c r="M7606" s="733"/>
    </row>
    <row r="7607" spans="1:13" x14ac:dyDescent="0.3">
      <c r="A7607" s="733" t="s">
        <v>7667</v>
      </c>
      <c r="B7607" s="733" t="s">
        <v>612</v>
      </c>
      <c r="C7607" s="738" t="s">
        <v>7691</v>
      </c>
      <c r="D7607" s="733"/>
      <c r="E7607" s="733"/>
      <c r="G7607" s="733"/>
      <c r="H7607" s="733"/>
      <c r="I7607" s="733"/>
      <c r="J7607" s="733"/>
      <c r="K7607" s="733"/>
      <c r="L7607" s="733"/>
      <c r="M7607" s="733"/>
    </row>
    <row r="7608" spans="1:13" x14ac:dyDescent="0.3">
      <c r="A7608" s="733" t="s">
        <v>7667</v>
      </c>
      <c r="B7608" s="733" t="s">
        <v>612</v>
      </c>
      <c r="C7608" s="738" t="s">
        <v>7692</v>
      </c>
      <c r="D7608" s="733"/>
      <c r="E7608" s="733"/>
      <c r="G7608" s="733"/>
      <c r="H7608" s="733"/>
      <c r="I7608" s="733"/>
      <c r="J7608" s="733"/>
      <c r="K7608" s="733"/>
      <c r="L7608" s="733"/>
      <c r="M7608" s="733"/>
    </row>
    <row r="7609" spans="1:13" x14ac:dyDescent="0.3">
      <c r="A7609" s="733" t="s">
        <v>7667</v>
      </c>
      <c r="B7609" s="733" t="s">
        <v>612</v>
      </c>
      <c r="C7609" s="738" t="s">
        <v>7693</v>
      </c>
      <c r="D7609" s="733"/>
      <c r="E7609" s="733"/>
      <c r="G7609" s="733"/>
      <c r="H7609" s="733"/>
      <c r="I7609" s="733"/>
      <c r="J7609" s="733"/>
      <c r="K7609" s="733"/>
      <c r="L7609" s="733"/>
      <c r="M7609" s="733"/>
    </row>
    <row r="7610" spans="1:13" x14ac:dyDescent="0.3">
      <c r="A7610" s="733" t="s">
        <v>7667</v>
      </c>
      <c r="B7610" s="733" t="s">
        <v>612</v>
      </c>
      <c r="C7610" s="738" t="s">
        <v>7694</v>
      </c>
      <c r="D7610" s="733"/>
      <c r="E7610" s="733"/>
      <c r="G7610" s="733"/>
      <c r="H7610" s="733"/>
      <c r="I7610" s="733"/>
      <c r="J7610" s="733"/>
      <c r="K7610" s="733"/>
      <c r="L7610" s="733"/>
      <c r="M7610" s="733"/>
    </row>
    <row r="7611" spans="1:13" x14ac:dyDescent="0.3">
      <c r="A7611" s="733" t="s">
        <v>7667</v>
      </c>
      <c r="B7611" s="733" t="s">
        <v>612</v>
      </c>
      <c r="C7611" s="738" t="s">
        <v>7695</v>
      </c>
      <c r="D7611" s="733"/>
      <c r="E7611" s="733"/>
      <c r="G7611" s="733"/>
      <c r="H7611" s="733"/>
      <c r="I7611" s="733"/>
      <c r="J7611" s="733"/>
      <c r="K7611" s="733"/>
      <c r="L7611" s="733"/>
      <c r="M7611" s="733"/>
    </row>
    <row r="7612" spans="1:13" x14ac:dyDescent="0.3">
      <c r="A7612" s="733" t="s">
        <v>7667</v>
      </c>
      <c r="B7612" s="733" t="s">
        <v>612</v>
      </c>
      <c r="C7612" s="738" t="s">
        <v>7696</v>
      </c>
      <c r="D7612" s="733"/>
      <c r="E7612" s="733"/>
      <c r="G7612" s="733"/>
      <c r="H7612" s="733"/>
      <c r="I7612" s="733"/>
      <c r="J7612" s="733"/>
      <c r="K7612" s="733"/>
      <c r="L7612" s="733"/>
      <c r="M7612" s="733"/>
    </row>
    <row r="7613" spans="1:13" x14ac:dyDescent="0.3">
      <c r="A7613" s="733" t="s">
        <v>7667</v>
      </c>
      <c r="B7613" s="733" t="s">
        <v>612</v>
      </c>
      <c r="C7613" s="738" t="s">
        <v>7697</v>
      </c>
      <c r="D7613" s="733"/>
      <c r="E7613" s="733"/>
      <c r="G7613" s="733"/>
      <c r="H7613" s="733"/>
      <c r="I7613" s="733"/>
      <c r="J7613" s="733"/>
      <c r="K7613" s="733"/>
      <c r="L7613" s="733"/>
      <c r="M7613" s="733"/>
    </row>
    <row r="7614" spans="1:13" ht="28.8" x14ac:dyDescent="0.3">
      <c r="A7614" s="733" t="s">
        <v>2619</v>
      </c>
      <c r="B7614" s="733" t="s">
        <v>645</v>
      </c>
      <c r="C7614" s="738" t="s">
        <v>7698</v>
      </c>
      <c r="D7614" s="733"/>
      <c r="E7614" s="733"/>
      <c r="G7614" s="733"/>
      <c r="H7614" s="733"/>
      <c r="I7614" s="733"/>
      <c r="J7614" s="733"/>
      <c r="K7614" s="733"/>
      <c r="L7614" s="733"/>
      <c r="M7614" s="733"/>
    </row>
    <row r="7615" spans="1:13" x14ac:dyDescent="0.3">
      <c r="A7615" s="733" t="s">
        <v>2619</v>
      </c>
      <c r="B7615" s="733" t="s">
        <v>645</v>
      </c>
      <c r="C7615" s="738" t="s">
        <v>7699</v>
      </c>
      <c r="D7615" s="733"/>
      <c r="E7615" s="733"/>
      <c r="G7615" s="733"/>
      <c r="H7615" s="733"/>
      <c r="I7615" s="733"/>
      <c r="J7615" s="733"/>
      <c r="K7615" s="733"/>
      <c r="L7615" s="733"/>
      <c r="M7615" s="733"/>
    </row>
    <row r="7616" spans="1:13" ht="28.8" x14ac:dyDescent="0.3">
      <c r="A7616" s="733" t="s">
        <v>2619</v>
      </c>
      <c r="B7616" s="733" t="s">
        <v>645</v>
      </c>
      <c r="C7616" s="738" t="s">
        <v>7700</v>
      </c>
      <c r="D7616" s="733"/>
      <c r="E7616" s="733"/>
      <c r="G7616" s="733"/>
      <c r="H7616" s="733"/>
      <c r="I7616" s="733"/>
      <c r="J7616" s="733"/>
      <c r="K7616" s="733"/>
      <c r="L7616" s="733"/>
      <c r="M7616" s="733"/>
    </row>
    <row r="7617" spans="1:13" x14ac:dyDescent="0.3">
      <c r="A7617" s="733" t="s">
        <v>2619</v>
      </c>
      <c r="B7617" s="733" t="s">
        <v>645</v>
      </c>
      <c r="C7617" s="738" t="s">
        <v>7701</v>
      </c>
      <c r="D7617" s="733"/>
      <c r="E7617" s="733"/>
      <c r="G7617" s="733"/>
      <c r="H7617" s="733"/>
      <c r="I7617" s="733"/>
      <c r="J7617" s="733"/>
      <c r="K7617" s="733"/>
      <c r="L7617" s="733"/>
      <c r="M7617" s="733"/>
    </row>
    <row r="7618" spans="1:13" x14ac:dyDescent="0.3">
      <c r="A7618" s="733" t="s">
        <v>2619</v>
      </c>
      <c r="B7618" s="733" t="s">
        <v>645</v>
      </c>
      <c r="C7618" s="738" t="s">
        <v>7702</v>
      </c>
      <c r="D7618" s="733"/>
      <c r="E7618" s="733"/>
      <c r="G7618" s="733"/>
      <c r="H7618" s="733"/>
      <c r="I7618" s="733"/>
      <c r="J7618" s="733"/>
      <c r="K7618" s="733"/>
      <c r="L7618" s="733"/>
      <c r="M7618" s="733"/>
    </row>
    <row r="7619" spans="1:13" x14ac:dyDescent="0.3">
      <c r="A7619" s="733" t="s">
        <v>2619</v>
      </c>
      <c r="B7619" s="733" t="s">
        <v>645</v>
      </c>
      <c r="C7619" s="738" t="s">
        <v>7703</v>
      </c>
      <c r="D7619" s="733"/>
      <c r="E7619" s="733"/>
      <c r="G7619" s="733"/>
      <c r="H7619" s="733"/>
      <c r="I7619" s="733"/>
      <c r="J7619" s="733"/>
      <c r="K7619" s="733"/>
      <c r="L7619" s="733"/>
      <c r="M7619" s="733"/>
    </row>
    <row r="7620" spans="1:13" x14ac:dyDescent="0.3">
      <c r="A7620" s="733" t="s">
        <v>2619</v>
      </c>
      <c r="B7620" s="733" t="s">
        <v>645</v>
      </c>
      <c r="C7620" s="738" t="s">
        <v>7704</v>
      </c>
      <c r="D7620" s="733"/>
      <c r="E7620" s="733"/>
      <c r="G7620" s="733"/>
      <c r="H7620" s="733"/>
      <c r="I7620" s="733"/>
      <c r="J7620" s="733"/>
      <c r="K7620" s="733"/>
      <c r="L7620" s="733"/>
      <c r="M7620" s="733"/>
    </row>
    <row r="7621" spans="1:13" x14ac:dyDescent="0.3">
      <c r="A7621" s="733" t="s">
        <v>2619</v>
      </c>
      <c r="B7621" s="733" t="s">
        <v>645</v>
      </c>
      <c r="C7621" s="738" t="s">
        <v>7705</v>
      </c>
      <c r="D7621" s="733"/>
      <c r="E7621" s="733"/>
      <c r="G7621" s="733"/>
      <c r="H7621" s="733"/>
      <c r="I7621" s="733"/>
      <c r="J7621" s="733"/>
      <c r="K7621" s="733"/>
      <c r="L7621" s="733"/>
      <c r="M7621" s="733"/>
    </row>
    <row r="7622" spans="1:13" x14ac:dyDescent="0.3">
      <c r="A7622" s="733" t="s">
        <v>2619</v>
      </c>
      <c r="B7622" s="733" t="s">
        <v>645</v>
      </c>
      <c r="C7622" s="738" t="s">
        <v>7706</v>
      </c>
      <c r="D7622" s="733"/>
      <c r="E7622" s="733"/>
      <c r="G7622" s="733"/>
      <c r="H7622" s="733"/>
      <c r="I7622" s="733"/>
      <c r="J7622" s="733"/>
      <c r="K7622" s="733"/>
      <c r="L7622" s="733"/>
      <c r="M7622" s="733"/>
    </row>
    <row r="7623" spans="1:13" ht="28.8" x14ac:dyDescent="0.3">
      <c r="A7623" s="733" t="s">
        <v>2619</v>
      </c>
      <c r="B7623" s="733" t="s">
        <v>645</v>
      </c>
      <c r="C7623" s="738" t="s">
        <v>7707</v>
      </c>
      <c r="D7623" s="733"/>
      <c r="E7623" s="733"/>
      <c r="G7623" s="733"/>
      <c r="H7623" s="733"/>
      <c r="I7623" s="733"/>
      <c r="J7623" s="733"/>
      <c r="K7623" s="733"/>
      <c r="L7623" s="733"/>
      <c r="M7623" s="733"/>
    </row>
    <row r="7624" spans="1:13" x14ac:dyDescent="0.3">
      <c r="A7624" s="733" t="s">
        <v>2619</v>
      </c>
      <c r="B7624" s="733" t="s">
        <v>664</v>
      </c>
      <c r="C7624" s="738" t="s">
        <v>7708</v>
      </c>
      <c r="D7624" s="733"/>
      <c r="E7624" s="733"/>
      <c r="G7624" s="733"/>
      <c r="H7624" s="733"/>
      <c r="I7624" s="733"/>
      <c r="J7624" s="733"/>
      <c r="K7624" s="733"/>
      <c r="L7624" s="733"/>
      <c r="M7624" s="733"/>
    </row>
    <row r="7625" spans="1:13" x14ac:dyDescent="0.3">
      <c r="A7625" s="733" t="s">
        <v>2619</v>
      </c>
      <c r="B7625" s="733" t="s">
        <v>664</v>
      </c>
      <c r="C7625" s="738" t="s">
        <v>7709</v>
      </c>
      <c r="D7625" s="733"/>
      <c r="E7625" s="733"/>
      <c r="G7625" s="733"/>
      <c r="H7625" s="733"/>
      <c r="I7625" s="733"/>
      <c r="J7625" s="733"/>
      <c r="K7625" s="733"/>
      <c r="L7625" s="733"/>
      <c r="M7625" s="733"/>
    </row>
    <row r="7626" spans="1:13" x14ac:dyDescent="0.3">
      <c r="A7626" s="733" t="s">
        <v>2619</v>
      </c>
      <c r="B7626" s="733" t="s">
        <v>664</v>
      </c>
      <c r="C7626" s="738" t="s">
        <v>7710</v>
      </c>
      <c r="D7626" s="733"/>
      <c r="E7626" s="733"/>
      <c r="G7626" s="733"/>
      <c r="H7626" s="733"/>
      <c r="I7626" s="733"/>
      <c r="J7626" s="733"/>
      <c r="K7626" s="733"/>
      <c r="L7626" s="733"/>
      <c r="M7626" s="733"/>
    </row>
    <row r="7627" spans="1:13" x14ac:dyDescent="0.3">
      <c r="A7627" s="733" t="s">
        <v>2619</v>
      </c>
      <c r="B7627" s="733" t="s">
        <v>664</v>
      </c>
      <c r="C7627" s="738" t="s">
        <v>7711</v>
      </c>
      <c r="D7627" s="733"/>
      <c r="E7627" s="733"/>
      <c r="G7627" s="733"/>
      <c r="H7627" s="733"/>
      <c r="I7627" s="733"/>
      <c r="J7627" s="733"/>
      <c r="K7627" s="733"/>
      <c r="L7627" s="733"/>
      <c r="M7627" s="733"/>
    </row>
    <row r="7628" spans="1:13" x14ac:dyDescent="0.3">
      <c r="A7628" s="733" t="s">
        <v>2619</v>
      </c>
      <c r="B7628" s="733" t="s">
        <v>664</v>
      </c>
      <c r="C7628" s="738" t="s">
        <v>7712</v>
      </c>
      <c r="D7628" s="733"/>
      <c r="E7628" s="733"/>
      <c r="G7628" s="733"/>
      <c r="H7628" s="733"/>
      <c r="I7628" s="733"/>
      <c r="J7628" s="733"/>
      <c r="K7628" s="733"/>
      <c r="L7628" s="733"/>
      <c r="M7628" s="733"/>
    </row>
    <row r="7629" spans="1:13" ht="28.8" x14ac:dyDescent="0.3">
      <c r="A7629" s="733" t="s">
        <v>2619</v>
      </c>
      <c r="B7629" s="733" t="s">
        <v>664</v>
      </c>
      <c r="C7629" s="738" t="s">
        <v>7713</v>
      </c>
      <c r="D7629" s="733"/>
      <c r="E7629" s="733"/>
      <c r="G7629" s="733"/>
      <c r="H7629" s="733"/>
      <c r="I7629" s="733"/>
      <c r="J7629" s="733"/>
      <c r="K7629" s="733"/>
      <c r="L7629" s="733"/>
      <c r="M7629" s="733"/>
    </row>
    <row r="7630" spans="1:13" x14ac:dyDescent="0.3">
      <c r="A7630" s="733" t="s">
        <v>2619</v>
      </c>
      <c r="B7630" s="733" t="s">
        <v>664</v>
      </c>
      <c r="C7630" s="738" t="s">
        <v>7714</v>
      </c>
      <c r="D7630" s="733"/>
      <c r="E7630" s="733"/>
      <c r="G7630" s="733"/>
      <c r="H7630" s="733"/>
      <c r="I7630" s="733"/>
      <c r="J7630" s="733"/>
      <c r="K7630" s="733"/>
      <c r="L7630" s="733"/>
      <c r="M7630" s="733"/>
    </row>
    <row r="7631" spans="1:13" x14ac:dyDescent="0.3">
      <c r="A7631" s="733" t="s">
        <v>2619</v>
      </c>
      <c r="B7631" s="733" t="s">
        <v>664</v>
      </c>
      <c r="C7631" s="738" t="s">
        <v>7715</v>
      </c>
      <c r="D7631" s="733"/>
      <c r="E7631" s="733"/>
      <c r="G7631" s="733"/>
      <c r="H7631" s="733"/>
      <c r="I7631" s="733"/>
      <c r="J7631" s="733"/>
      <c r="K7631" s="733"/>
      <c r="L7631" s="733"/>
      <c r="M7631" s="733"/>
    </row>
    <row r="7632" spans="1:13" x14ac:dyDescent="0.3">
      <c r="A7632" s="733" t="s">
        <v>2619</v>
      </c>
      <c r="B7632" s="733" t="s">
        <v>664</v>
      </c>
      <c r="C7632" s="738" t="s">
        <v>7716</v>
      </c>
      <c r="D7632" s="733"/>
      <c r="E7632" s="733"/>
      <c r="G7632" s="733"/>
      <c r="H7632" s="733"/>
      <c r="I7632" s="733"/>
      <c r="J7632" s="733"/>
      <c r="K7632" s="733"/>
      <c r="L7632" s="733"/>
      <c r="M7632" s="733"/>
    </row>
    <row r="7633" spans="1:13" x14ac:dyDescent="0.3">
      <c r="A7633" s="733" t="s">
        <v>2619</v>
      </c>
      <c r="B7633" s="733" t="s">
        <v>664</v>
      </c>
      <c r="C7633" s="738" t="s">
        <v>7717</v>
      </c>
      <c r="D7633" s="733"/>
      <c r="E7633" s="733"/>
      <c r="G7633" s="733"/>
      <c r="H7633" s="733"/>
      <c r="I7633" s="733"/>
      <c r="J7633" s="733"/>
      <c r="K7633" s="733"/>
      <c r="L7633" s="733"/>
      <c r="M7633" s="733"/>
    </row>
    <row r="7634" spans="1:13" x14ac:dyDescent="0.3">
      <c r="A7634" s="733" t="s">
        <v>2619</v>
      </c>
      <c r="B7634" s="733" t="s">
        <v>612</v>
      </c>
      <c r="C7634" s="738" t="s">
        <v>7718</v>
      </c>
      <c r="D7634" s="733"/>
      <c r="E7634" s="733"/>
      <c r="G7634" s="733"/>
      <c r="H7634" s="733"/>
      <c r="I7634" s="733"/>
      <c r="J7634" s="733"/>
      <c r="K7634" s="733"/>
      <c r="L7634" s="733"/>
      <c r="M7634" s="733"/>
    </row>
    <row r="7635" spans="1:13" ht="28.8" x14ac:dyDescent="0.3">
      <c r="A7635" s="733" t="s">
        <v>2619</v>
      </c>
      <c r="B7635" s="733" t="s">
        <v>612</v>
      </c>
      <c r="C7635" s="738" t="s">
        <v>7719</v>
      </c>
      <c r="D7635" s="733"/>
      <c r="E7635" s="733"/>
      <c r="G7635" s="733"/>
      <c r="H7635" s="733"/>
      <c r="I7635" s="733"/>
      <c r="J7635" s="733"/>
      <c r="K7635" s="733"/>
      <c r="L7635" s="733"/>
      <c r="M7635" s="733"/>
    </row>
    <row r="7636" spans="1:13" x14ac:dyDescent="0.3">
      <c r="A7636" s="733" t="s">
        <v>2619</v>
      </c>
      <c r="B7636" s="733" t="s">
        <v>612</v>
      </c>
      <c r="C7636" s="738" t="s">
        <v>7720</v>
      </c>
      <c r="D7636" s="733"/>
      <c r="E7636" s="733"/>
      <c r="G7636" s="733"/>
      <c r="H7636" s="733"/>
      <c r="I7636" s="733"/>
      <c r="J7636" s="733"/>
      <c r="K7636" s="733"/>
      <c r="L7636" s="733"/>
      <c r="M7636" s="733"/>
    </row>
    <row r="7637" spans="1:13" x14ac:dyDescent="0.3">
      <c r="A7637" s="733" t="s">
        <v>2619</v>
      </c>
      <c r="B7637" s="733" t="s">
        <v>612</v>
      </c>
      <c r="C7637" s="738" t="s">
        <v>7721</v>
      </c>
      <c r="D7637" s="733"/>
      <c r="E7637" s="733"/>
      <c r="G7637" s="733"/>
      <c r="H7637" s="733"/>
      <c r="I7637" s="733"/>
      <c r="J7637" s="733"/>
      <c r="K7637" s="733"/>
      <c r="L7637" s="733"/>
      <c r="M7637" s="733"/>
    </row>
    <row r="7638" spans="1:13" x14ac:dyDescent="0.3">
      <c r="A7638" s="733" t="s">
        <v>2619</v>
      </c>
      <c r="B7638" s="733" t="s">
        <v>612</v>
      </c>
      <c r="C7638" s="738" t="s">
        <v>7722</v>
      </c>
      <c r="D7638" s="733"/>
      <c r="E7638" s="733"/>
      <c r="G7638" s="733"/>
      <c r="H7638" s="733"/>
      <c r="I7638" s="733"/>
      <c r="J7638" s="733"/>
      <c r="K7638" s="733"/>
      <c r="L7638" s="733"/>
      <c r="M7638" s="733"/>
    </row>
    <row r="7639" spans="1:13" x14ac:dyDescent="0.3">
      <c r="A7639" s="733" t="s">
        <v>2619</v>
      </c>
      <c r="B7639" s="733" t="s">
        <v>612</v>
      </c>
      <c r="C7639" s="738" t="s">
        <v>7723</v>
      </c>
      <c r="D7639" s="733"/>
      <c r="E7639" s="733"/>
      <c r="G7639" s="733"/>
      <c r="H7639" s="733"/>
      <c r="I7639" s="733"/>
      <c r="J7639" s="733"/>
      <c r="K7639" s="733"/>
      <c r="L7639" s="733"/>
      <c r="M7639" s="733"/>
    </row>
    <row r="7640" spans="1:13" x14ac:dyDescent="0.3">
      <c r="A7640" s="733" t="s">
        <v>2619</v>
      </c>
      <c r="B7640" s="733" t="s">
        <v>612</v>
      </c>
      <c r="C7640" s="738" t="s">
        <v>7724</v>
      </c>
      <c r="D7640" s="733"/>
      <c r="E7640" s="733"/>
      <c r="G7640" s="733"/>
      <c r="H7640" s="733"/>
      <c r="I7640" s="733"/>
      <c r="J7640" s="733"/>
      <c r="K7640" s="733"/>
      <c r="L7640" s="733"/>
      <c r="M7640" s="733"/>
    </row>
    <row r="7641" spans="1:13" x14ac:dyDescent="0.3">
      <c r="A7641" s="733" t="s">
        <v>2619</v>
      </c>
      <c r="B7641" s="733" t="s">
        <v>612</v>
      </c>
      <c r="C7641" s="738" t="s">
        <v>7725</v>
      </c>
      <c r="D7641" s="733"/>
      <c r="E7641" s="733"/>
      <c r="G7641" s="733"/>
      <c r="H7641" s="733"/>
      <c r="I7641" s="733"/>
      <c r="J7641" s="733"/>
      <c r="K7641" s="733"/>
      <c r="L7641" s="733"/>
      <c r="M7641" s="733"/>
    </row>
    <row r="7642" spans="1:13" x14ac:dyDescent="0.3">
      <c r="A7642" s="733" t="s">
        <v>2619</v>
      </c>
      <c r="B7642" s="733" t="s">
        <v>612</v>
      </c>
      <c r="C7642" s="738" t="s">
        <v>7726</v>
      </c>
      <c r="D7642" s="733"/>
      <c r="E7642" s="733"/>
      <c r="G7642" s="733"/>
      <c r="H7642" s="733"/>
      <c r="I7642" s="733"/>
      <c r="J7642" s="733"/>
      <c r="K7642" s="733"/>
      <c r="L7642" s="733"/>
      <c r="M7642" s="733"/>
    </row>
    <row r="7643" spans="1:13" x14ac:dyDescent="0.3">
      <c r="A7643" s="733" t="s">
        <v>2619</v>
      </c>
      <c r="B7643" s="733" t="s">
        <v>612</v>
      </c>
      <c r="C7643" s="738" t="s">
        <v>7727</v>
      </c>
      <c r="D7643" s="733"/>
      <c r="E7643" s="733"/>
      <c r="G7643" s="733"/>
      <c r="H7643" s="733"/>
      <c r="I7643" s="733"/>
      <c r="J7643" s="733"/>
      <c r="K7643" s="733"/>
      <c r="L7643" s="733"/>
      <c r="M7643" s="733"/>
    </row>
    <row r="7644" spans="1:13" x14ac:dyDescent="0.3">
      <c r="A7644" s="733" t="s">
        <v>7728</v>
      </c>
      <c r="B7644" s="733" t="s">
        <v>645</v>
      </c>
      <c r="C7644" s="738" t="s">
        <v>7729</v>
      </c>
      <c r="D7644" s="733"/>
      <c r="E7644" s="733"/>
      <c r="G7644" s="733"/>
      <c r="H7644" s="733"/>
      <c r="I7644" s="733"/>
      <c r="J7644" s="733"/>
      <c r="K7644" s="733"/>
      <c r="L7644" s="733"/>
      <c r="M7644" s="733"/>
    </row>
    <row r="7645" spans="1:13" x14ac:dyDescent="0.3">
      <c r="A7645" s="733" t="s">
        <v>7728</v>
      </c>
      <c r="B7645" s="733" t="s">
        <v>645</v>
      </c>
      <c r="C7645" s="738" t="s">
        <v>7730</v>
      </c>
      <c r="D7645" s="733"/>
      <c r="E7645" s="733"/>
      <c r="G7645" s="733"/>
      <c r="H7645" s="733"/>
      <c r="I7645" s="733"/>
      <c r="J7645" s="733"/>
      <c r="K7645" s="733"/>
      <c r="L7645" s="733"/>
      <c r="M7645" s="733"/>
    </row>
    <row r="7646" spans="1:13" x14ac:dyDescent="0.3">
      <c r="A7646" s="733" t="s">
        <v>7728</v>
      </c>
      <c r="B7646" s="733" t="s">
        <v>645</v>
      </c>
      <c r="C7646" s="738" t="s">
        <v>7731</v>
      </c>
      <c r="D7646" s="733"/>
      <c r="E7646" s="733"/>
      <c r="G7646" s="733"/>
      <c r="H7646" s="733"/>
      <c r="I7646" s="733"/>
      <c r="J7646" s="733"/>
      <c r="K7646" s="733"/>
      <c r="L7646" s="733"/>
      <c r="M7646" s="733"/>
    </row>
    <row r="7647" spans="1:13" x14ac:dyDescent="0.3">
      <c r="A7647" s="733" t="s">
        <v>7728</v>
      </c>
      <c r="B7647" s="733" t="s">
        <v>645</v>
      </c>
      <c r="C7647" s="738" t="s">
        <v>7732</v>
      </c>
      <c r="D7647" s="733"/>
      <c r="E7647" s="733"/>
      <c r="G7647" s="733"/>
      <c r="H7647" s="733"/>
      <c r="I7647" s="733"/>
      <c r="J7647" s="733"/>
      <c r="K7647" s="733"/>
      <c r="L7647" s="733"/>
      <c r="M7647" s="733"/>
    </row>
    <row r="7648" spans="1:13" x14ac:dyDescent="0.3">
      <c r="A7648" s="733" t="s">
        <v>7728</v>
      </c>
      <c r="B7648" s="733" t="s">
        <v>645</v>
      </c>
      <c r="C7648" s="738" t="s">
        <v>7733</v>
      </c>
      <c r="D7648" s="733"/>
      <c r="E7648" s="733"/>
      <c r="G7648" s="733"/>
      <c r="H7648" s="733"/>
      <c r="I7648" s="733"/>
      <c r="J7648" s="733"/>
      <c r="K7648" s="733"/>
      <c r="L7648" s="733"/>
      <c r="M7648" s="733"/>
    </row>
    <row r="7649" spans="1:13" x14ac:dyDescent="0.3">
      <c r="A7649" s="733" t="s">
        <v>7728</v>
      </c>
      <c r="B7649" s="733" t="s">
        <v>645</v>
      </c>
      <c r="C7649" s="738" t="s">
        <v>7734</v>
      </c>
      <c r="D7649" s="733"/>
      <c r="E7649" s="733"/>
      <c r="G7649" s="733"/>
      <c r="H7649" s="733"/>
      <c r="I7649" s="733"/>
      <c r="J7649" s="733"/>
      <c r="K7649" s="733"/>
      <c r="L7649" s="733"/>
      <c r="M7649" s="733"/>
    </row>
    <row r="7650" spans="1:13" x14ac:dyDescent="0.3">
      <c r="A7650" s="733" t="s">
        <v>7728</v>
      </c>
      <c r="B7650" s="733" t="s">
        <v>645</v>
      </c>
      <c r="C7650" s="738" t="s">
        <v>7735</v>
      </c>
      <c r="D7650" s="733"/>
      <c r="E7650" s="733"/>
      <c r="G7650" s="733"/>
      <c r="H7650" s="733"/>
      <c r="I7650" s="733"/>
      <c r="J7650" s="733"/>
      <c r="K7650" s="733"/>
      <c r="L7650" s="733"/>
      <c r="M7650" s="733"/>
    </row>
    <row r="7651" spans="1:13" x14ac:dyDescent="0.3">
      <c r="A7651" s="733" t="s">
        <v>7728</v>
      </c>
      <c r="B7651" s="733" t="s">
        <v>645</v>
      </c>
      <c r="C7651" s="738" t="s">
        <v>7736</v>
      </c>
      <c r="D7651" s="733"/>
      <c r="E7651" s="733"/>
      <c r="G7651" s="733"/>
      <c r="H7651" s="733"/>
      <c r="I7651" s="733"/>
      <c r="J7651" s="733"/>
      <c r="K7651" s="733"/>
      <c r="L7651" s="733"/>
      <c r="M7651" s="733"/>
    </row>
    <row r="7652" spans="1:13" x14ac:dyDescent="0.3">
      <c r="A7652" s="733" t="s">
        <v>7728</v>
      </c>
      <c r="B7652" s="733" t="s">
        <v>645</v>
      </c>
      <c r="C7652" s="738" t="s">
        <v>7737</v>
      </c>
      <c r="D7652" s="733"/>
      <c r="E7652" s="733"/>
      <c r="G7652" s="733"/>
      <c r="H7652" s="733"/>
      <c r="I7652" s="733"/>
      <c r="J7652" s="733"/>
      <c r="K7652" s="733"/>
      <c r="L7652" s="733"/>
      <c r="M7652" s="733"/>
    </row>
    <row r="7653" spans="1:13" x14ac:dyDescent="0.3">
      <c r="A7653" s="733" t="s">
        <v>7728</v>
      </c>
      <c r="B7653" s="733" t="s">
        <v>645</v>
      </c>
      <c r="C7653" s="738" t="s">
        <v>7738</v>
      </c>
      <c r="D7653" s="733"/>
      <c r="E7653" s="733"/>
      <c r="G7653" s="733"/>
      <c r="H7653" s="733"/>
      <c r="I7653" s="733"/>
      <c r="J7653" s="733"/>
      <c r="K7653" s="733"/>
      <c r="L7653" s="733"/>
      <c r="M7653" s="733"/>
    </row>
    <row r="7654" spans="1:13" x14ac:dyDescent="0.3">
      <c r="A7654" s="733" t="s">
        <v>7728</v>
      </c>
      <c r="B7654" s="733" t="s">
        <v>664</v>
      </c>
      <c r="C7654" s="738" t="s">
        <v>7739</v>
      </c>
      <c r="D7654" s="733"/>
      <c r="E7654" s="733"/>
      <c r="G7654" s="733"/>
      <c r="H7654" s="733"/>
      <c r="I7654" s="733"/>
      <c r="J7654" s="733"/>
      <c r="K7654" s="733"/>
      <c r="L7654" s="733"/>
      <c r="M7654" s="733"/>
    </row>
    <row r="7655" spans="1:13" x14ac:dyDescent="0.3">
      <c r="A7655" s="733" t="s">
        <v>7728</v>
      </c>
      <c r="B7655" s="733" t="s">
        <v>664</v>
      </c>
      <c r="C7655" s="738" t="s">
        <v>7740</v>
      </c>
      <c r="D7655" s="733"/>
      <c r="E7655" s="733"/>
      <c r="G7655" s="733"/>
      <c r="H7655" s="733"/>
      <c r="I7655" s="733"/>
      <c r="J7655" s="733"/>
      <c r="K7655" s="733"/>
      <c r="L7655" s="733"/>
      <c r="M7655" s="733"/>
    </row>
    <row r="7656" spans="1:13" x14ac:dyDescent="0.3">
      <c r="A7656" s="733" t="s">
        <v>7728</v>
      </c>
      <c r="B7656" s="733" t="s">
        <v>664</v>
      </c>
      <c r="C7656" s="738" t="s">
        <v>7741</v>
      </c>
      <c r="D7656" s="733"/>
      <c r="E7656" s="733"/>
      <c r="G7656" s="733"/>
      <c r="H7656" s="733"/>
      <c r="I7656" s="733"/>
      <c r="J7656" s="733"/>
      <c r="K7656" s="733"/>
      <c r="L7656" s="733"/>
      <c r="M7656" s="733"/>
    </row>
    <row r="7657" spans="1:13" x14ac:dyDescent="0.3">
      <c r="A7657" s="733" t="s">
        <v>7728</v>
      </c>
      <c r="B7657" s="733" t="s">
        <v>664</v>
      </c>
      <c r="C7657" s="738" t="s">
        <v>7742</v>
      </c>
      <c r="D7657" s="733"/>
      <c r="E7657" s="733"/>
      <c r="G7657" s="733"/>
      <c r="H7657" s="733"/>
      <c r="I7657" s="733"/>
      <c r="J7657" s="733"/>
      <c r="K7657" s="733"/>
      <c r="L7657" s="733"/>
      <c r="M7657" s="733"/>
    </row>
    <row r="7658" spans="1:13" x14ac:dyDescent="0.3">
      <c r="A7658" s="733" t="s">
        <v>7728</v>
      </c>
      <c r="B7658" s="733" t="s">
        <v>664</v>
      </c>
      <c r="C7658" s="738" t="s">
        <v>7743</v>
      </c>
      <c r="D7658" s="733"/>
      <c r="E7658" s="733"/>
      <c r="G7658" s="733"/>
      <c r="H7658" s="733"/>
      <c r="I7658" s="733"/>
      <c r="J7658" s="733"/>
      <c r="K7658" s="733"/>
      <c r="L7658" s="733"/>
      <c r="M7658" s="733"/>
    </row>
    <row r="7659" spans="1:13" x14ac:dyDescent="0.3">
      <c r="A7659" s="733" t="s">
        <v>7728</v>
      </c>
      <c r="B7659" s="733" t="s">
        <v>664</v>
      </c>
      <c r="C7659" s="738" t="s">
        <v>7744</v>
      </c>
      <c r="D7659" s="733"/>
      <c r="E7659" s="733"/>
      <c r="G7659" s="733"/>
      <c r="H7659" s="733"/>
      <c r="I7659" s="733"/>
      <c r="J7659" s="733"/>
      <c r="K7659" s="733"/>
      <c r="L7659" s="733"/>
      <c r="M7659" s="733"/>
    </row>
    <row r="7660" spans="1:13" x14ac:dyDescent="0.3">
      <c r="A7660" s="733" t="s">
        <v>7728</v>
      </c>
      <c r="B7660" s="733" t="s">
        <v>664</v>
      </c>
      <c r="C7660" s="738" t="s">
        <v>7745</v>
      </c>
      <c r="D7660" s="733"/>
      <c r="E7660" s="733"/>
      <c r="G7660" s="733"/>
      <c r="H7660" s="733"/>
      <c r="I7660" s="733"/>
      <c r="J7660" s="733"/>
      <c r="K7660" s="733"/>
      <c r="L7660" s="733"/>
      <c r="M7660" s="733"/>
    </row>
    <row r="7661" spans="1:13" x14ac:dyDescent="0.3">
      <c r="A7661" s="733" t="s">
        <v>7728</v>
      </c>
      <c r="B7661" s="733" t="s">
        <v>664</v>
      </c>
      <c r="C7661" s="738" t="s">
        <v>7746</v>
      </c>
      <c r="D7661" s="733"/>
      <c r="E7661" s="733"/>
      <c r="G7661" s="733"/>
      <c r="H7661" s="733"/>
      <c r="I7661" s="733"/>
      <c r="J7661" s="733"/>
      <c r="K7661" s="733"/>
      <c r="L7661" s="733"/>
      <c r="M7661" s="733"/>
    </row>
    <row r="7662" spans="1:13" x14ac:dyDescent="0.3">
      <c r="A7662" s="733" t="s">
        <v>7728</v>
      </c>
      <c r="B7662" s="733" t="s">
        <v>664</v>
      </c>
      <c r="C7662" s="738" t="s">
        <v>7747</v>
      </c>
      <c r="D7662" s="733"/>
      <c r="E7662" s="733"/>
      <c r="G7662" s="733"/>
      <c r="H7662" s="733"/>
      <c r="I7662" s="733"/>
      <c r="J7662" s="733"/>
      <c r="K7662" s="733"/>
      <c r="L7662" s="733"/>
      <c r="M7662" s="733"/>
    </row>
    <row r="7663" spans="1:13" x14ac:dyDescent="0.3">
      <c r="A7663" s="733" t="s">
        <v>7728</v>
      </c>
      <c r="B7663" s="733" t="s">
        <v>664</v>
      </c>
      <c r="C7663" s="738" t="s">
        <v>7748</v>
      </c>
      <c r="D7663" s="733"/>
      <c r="E7663" s="733"/>
      <c r="G7663" s="733"/>
      <c r="H7663" s="733"/>
      <c r="I7663" s="733"/>
      <c r="J7663" s="733"/>
      <c r="K7663" s="733"/>
      <c r="L7663" s="733"/>
      <c r="M7663" s="733"/>
    </row>
    <row r="7664" spans="1:13" x14ac:dyDescent="0.3">
      <c r="A7664" s="733" t="s">
        <v>7728</v>
      </c>
      <c r="B7664" s="733" t="s">
        <v>612</v>
      </c>
      <c r="C7664" s="738" t="s">
        <v>7749</v>
      </c>
      <c r="D7664" s="733"/>
      <c r="E7664" s="733"/>
      <c r="G7664" s="733"/>
      <c r="H7664" s="733"/>
      <c r="I7664" s="733"/>
      <c r="J7664" s="733"/>
      <c r="K7664" s="733"/>
      <c r="L7664" s="733"/>
      <c r="M7664" s="733"/>
    </row>
    <row r="7665" spans="1:13" x14ac:dyDescent="0.3">
      <c r="A7665" s="733" t="s">
        <v>7728</v>
      </c>
      <c r="B7665" s="733" t="s">
        <v>612</v>
      </c>
      <c r="C7665" s="738" t="s">
        <v>7750</v>
      </c>
      <c r="D7665" s="733"/>
      <c r="E7665" s="733"/>
      <c r="G7665" s="733"/>
      <c r="H7665" s="733"/>
      <c r="I7665" s="733"/>
      <c r="J7665" s="733"/>
      <c r="K7665" s="733"/>
      <c r="L7665" s="733"/>
      <c r="M7665" s="733"/>
    </row>
    <row r="7666" spans="1:13" x14ac:dyDescent="0.3">
      <c r="A7666" s="733" t="s">
        <v>7728</v>
      </c>
      <c r="B7666" s="733" t="s">
        <v>612</v>
      </c>
      <c r="C7666" s="738" t="s">
        <v>7751</v>
      </c>
      <c r="D7666" s="733"/>
      <c r="E7666" s="733"/>
      <c r="G7666" s="733"/>
      <c r="H7666" s="733"/>
      <c r="I7666" s="733"/>
      <c r="J7666" s="733"/>
      <c r="K7666" s="733"/>
      <c r="L7666" s="733"/>
      <c r="M7666" s="733"/>
    </row>
    <row r="7667" spans="1:13" x14ac:dyDescent="0.3">
      <c r="A7667" s="733" t="s">
        <v>7728</v>
      </c>
      <c r="B7667" s="733" t="s">
        <v>612</v>
      </c>
      <c r="C7667" s="738" t="s">
        <v>7752</v>
      </c>
      <c r="D7667" s="733"/>
      <c r="E7667" s="733"/>
      <c r="G7667" s="733"/>
      <c r="H7667" s="733"/>
      <c r="I7667" s="733"/>
      <c r="J7667" s="733"/>
      <c r="K7667" s="733"/>
      <c r="L7667" s="733"/>
      <c r="M7667" s="733"/>
    </row>
    <row r="7668" spans="1:13" x14ac:dyDescent="0.3">
      <c r="A7668" s="733" t="s">
        <v>7728</v>
      </c>
      <c r="B7668" s="733" t="s">
        <v>612</v>
      </c>
      <c r="C7668" s="738" t="s">
        <v>7753</v>
      </c>
      <c r="D7668" s="733"/>
      <c r="E7668" s="733"/>
      <c r="G7668" s="733"/>
      <c r="H7668" s="733"/>
      <c r="I7668" s="733"/>
      <c r="J7668" s="733"/>
      <c r="K7668" s="733"/>
      <c r="L7668" s="733"/>
      <c r="M7668" s="733"/>
    </row>
    <row r="7669" spans="1:13" x14ac:dyDescent="0.3">
      <c r="A7669" s="733" t="s">
        <v>7728</v>
      </c>
      <c r="B7669" s="733" t="s">
        <v>612</v>
      </c>
      <c r="C7669" s="738" t="s">
        <v>7754</v>
      </c>
      <c r="D7669" s="733"/>
      <c r="E7669" s="733"/>
      <c r="G7669" s="733"/>
      <c r="H7669" s="733"/>
      <c r="I7669" s="733"/>
      <c r="J7669" s="733"/>
      <c r="K7669" s="733"/>
      <c r="L7669" s="733"/>
      <c r="M7669" s="733"/>
    </row>
    <row r="7670" spans="1:13" x14ac:dyDescent="0.3">
      <c r="A7670" s="733" t="s">
        <v>7728</v>
      </c>
      <c r="B7670" s="733" t="s">
        <v>612</v>
      </c>
      <c r="C7670" s="738" t="s">
        <v>7755</v>
      </c>
      <c r="D7670" s="733"/>
      <c r="E7670" s="733"/>
      <c r="G7670" s="733"/>
      <c r="H7670" s="733"/>
      <c r="I7670" s="733"/>
      <c r="J7670" s="733"/>
      <c r="K7670" s="733"/>
      <c r="L7670" s="733"/>
      <c r="M7670" s="733"/>
    </row>
    <row r="7671" spans="1:13" x14ac:dyDescent="0.3">
      <c r="A7671" s="733" t="s">
        <v>7728</v>
      </c>
      <c r="B7671" s="733" t="s">
        <v>612</v>
      </c>
      <c r="C7671" s="738" t="s">
        <v>7756</v>
      </c>
      <c r="D7671" s="733"/>
      <c r="E7671" s="733"/>
      <c r="G7671" s="733"/>
      <c r="H7671" s="733"/>
      <c r="I7671" s="733"/>
      <c r="J7671" s="733"/>
      <c r="K7671" s="733"/>
      <c r="L7671" s="733"/>
      <c r="M7671" s="733"/>
    </row>
    <row r="7672" spans="1:13" x14ac:dyDescent="0.3">
      <c r="A7672" s="733" t="s">
        <v>7728</v>
      </c>
      <c r="B7672" s="733" t="s">
        <v>612</v>
      </c>
      <c r="C7672" s="738" t="s">
        <v>7757</v>
      </c>
      <c r="D7672" s="733"/>
      <c r="E7672" s="733"/>
      <c r="G7672" s="733"/>
      <c r="H7672" s="733"/>
      <c r="I7672" s="733"/>
      <c r="J7672" s="733"/>
      <c r="K7672" s="733"/>
      <c r="L7672" s="733"/>
      <c r="M7672" s="733"/>
    </row>
    <row r="7673" spans="1:13" x14ac:dyDescent="0.3">
      <c r="A7673" s="733" t="s">
        <v>7728</v>
      </c>
      <c r="B7673" s="733" t="s">
        <v>612</v>
      </c>
      <c r="C7673" s="738" t="s">
        <v>7758</v>
      </c>
      <c r="D7673" s="733"/>
      <c r="E7673" s="733"/>
      <c r="G7673" s="733"/>
      <c r="H7673" s="733"/>
      <c r="I7673" s="733"/>
      <c r="J7673" s="733"/>
      <c r="K7673" s="733"/>
      <c r="L7673" s="733"/>
      <c r="M7673" s="733"/>
    </row>
    <row r="7674" spans="1:13" x14ac:dyDescent="0.3">
      <c r="A7674" s="733" t="s">
        <v>7759</v>
      </c>
      <c r="B7674" s="733" t="s">
        <v>645</v>
      </c>
      <c r="C7674" s="738" t="s">
        <v>7760</v>
      </c>
      <c r="D7674" s="733"/>
      <c r="E7674" s="733"/>
      <c r="G7674" s="733"/>
      <c r="H7674" s="733"/>
      <c r="I7674" s="733"/>
      <c r="J7674" s="733"/>
      <c r="K7674" s="733"/>
      <c r="L7674" s="733"/>
      <c r="M7674" s="733"/>
    </row>
    <row r="7675" spans="1:13" x14ac:dyDescent="0.3">
      <c r="A7675" s="733" t="s">
        <v>7759</v>
      </c>
      <c r="B7675" s="733" t="s">
        <v>645</v>
      </c>
      <c r="C7675" s="738" t="s">
        <v>7761</v>
      </c>
      <c r="D7675" s="733"/>
      <c r="E7675" s="733"/>
      <c r="G7675" s="733"/>
      <c r="H7675" s="733"/>
      <c r="I7675" s="733"/>
      <c r="J7675" s="733"/>
      <c r="K7675" s="733"/>
      <c r="L7675" s="733"/>
      <c r="M7675" s="733"/>
    </row>
    <row r="7676" spans="1:13" x14ac:dyDescent="0.3">
      <c r="A7676" s="733" t="s">
        <v>7759</v>
      </c>
      <c r="B7676" s="733" t="s">
        <v>645</v>
      </c>
      <c r="C7676" s="738" t="s">
        <v>7762</v>
      </c>
      <c r="D7676" s="733"/>
      <c r="E7676" s="733"/>
      <c r="G7676" s="733"/>
      <c r="H7676" s="733"/>
      <c r="I7676" s="733"/>
      <c r="J7676" s="733"/>
      <c r="K7676" s="733"/>
      <c r="L7676" s="733"/>
      <c r="M7676" s="733"/>
    </row>
    <row r="7677" spans="1:13" x14ac:dyDescent="0.3">
      <c r="A7677" s="733" t="s">
        <v>7759</v>
      </c>
      <c r="B7677" s="733" t="s">
        <v>645</v>
      </c>
      <c r="C7677" s="738" t="s">
        <v>7763</v>
      </c>
      <c r="D7677" s="733"/>
      <c r="E7677" s="733"/>
      <c r="G7677" s="733"/>
      <c r="H7677" s="733"/>
      <c r="I7677" s="733"/>
      <c r="J7677" s="733"/>
      <c r="K7677" s="733"/>
      <c r="L7677" s="733"/>
      <c r="M7677" s="733"/>
    </row>
    <row r="7678" spans="1:13" x14ac:dyDescent="0.3">
      <c r="A7678" s="733" t="s">
        <v>7759</v>
      </c>
      <c r="B7678" s="733" t="s">
        <v>645</v>
      </c>
      <c r="C7678" s="738" t="s">
        <v>7764</v>
      </c>
      <c r="D7678" s="733"/>
      <c r="E7678" s="733"/>
      <c r="G7678" s="733"/>
      <c r="H7678" s="733"/>
      <c r="I7678" s="733"/>
      <c r="J7678" s="733"/>
      <c r="K7678" s="733"/>
      <c r="L7678" s="733"/>
      <c r="M7678" s="733"/>
    </row>
    <row r="7679" spans="1:13" x14ac:dyDescent="0.3">
      <c r="A7679" s="733" t="s">
        <v>7759</v>
      </c>
      <c r="B7679" s="733" t="s">
        <v>645</v>
      </c>
      <c r="C7679" s="738" t="s">
        <v>7765</v>
      </c>
      <c r="D7679" s="733"/>
      <c r="E7679" s="733"/>
      <c r="G7679" s="733"/>
      <c r="H7679" s="733"/>
      <c r="I7679" s="733"/>
      <c r="J7679" s="733"/>
      <c r="K7679" s="733"/>
      <c r="L7679" s="733"/>
      <c r="M7679" s="733"/>
    </row>
    <row r="7680" spans="1:13" x14ac:dyDescent="0.3">
      <c r="A7680" s="733" t="s">
        <v>7759</v>
      </c>
      <c r="B7680" s="733" t="s">
        <v>645</v>
      </c>
      <c r="C7680" s="738" t="s">
        <v>7766</v>
      </c>
      <c r="D7680" s="733"/>
      <c r="E7680" s="733"/>
      <c r="G7680" s="733"/>
      <c r="H7680" s="733"/>
      <c r="I7680" s="733"/>
      <c r="J7680" s="733"/>
      <c r="K7680" s="733"/>
      <c r="L7680" s="733"/>
      <c r="M7680" s="733"/>
    </row>
    <row r="7681" spans="1:13" x14ac:dyDescent="0.3">
      <c r="A7681" s="733" t="s">
        <v>7759</v>
      </c>
      <c r="B7681" s="733" t="s">
        <v>645</v>
      </c>
      <c r="C7681" s="738" t="s">
        <v>7767</v>
      </c>
      <c r="D7681" s="733"/>
      <c r="E7681" s="733"/>
      <c r="G7681" s="733"/>
      <c r="H7681" s="733"/>
      <c r="I7681" s="733"/>
      <c r="J7681" s="733"/>
      <c r="K7681" s="733"/>
      <c r="L7681" s="733"/>
      <c r="M7681" s="733"/>
    </row>
    <row r="7682" spans="1:13" x14ac:dyDescent="0.3">
      <c r="A7682" s="733" t="s">
        <v>7759</v>
      </c>
      <c r="B7682" s="733" t="s">
        <v>645</v>
      </c>
      <c r="C7682" s="738" t="s">
        <v>7768</v>
      </c>
      <c r="D7682" s="733"/>
      <c r="E7682" s="733"/>
      <c r="G7682" s="733"/>
      <c r="H7682" s="733"/>
      <c r="I7682" s="733"/>
      <c r="J7682" s="733"/>
      <c r="K7682" s="733"/>
      <c r="L7682" s="733"/>
      <c r="M7682" s="733"/>
    </row>
    <row r="7683" spans="1:13" x14ac:dyDescent="0.3">
      <c r="A7683" s="733" t="s">
        <v>7759</v>
      </c>
      <c r="B7683" s="733" t="s">
        <v>645</v>
      </c>
      <c r="C7683" s="738" t="s">
        <v>7769</v>
      </c>
      <c r="D7683" s="733"/>
      <c r="E7683" s="733"/>
      <c r="G7683" s="733"/>
      <c r="H7683" s="733"/>
      <c r="I7683" s="733"/>
      <c r="J7683" s="733"/>
      <c r="K7683" s="733"/>
      <c r="L7683" s="733"/>
      <c r="M7683" s="733"/>
    </row>
    <row r="7684" spans="1:13" x14ac:dyDescent="0.3">
      <c r="A7684" s="733" t="s">
        <v>7759</v>
      </c>
      <c r="B7684" s="733" t="s">
        <v>664</v>
      </c>
      <c r="C7684" s="738" t="s">
        <v>7770</v>
      </c>
      <c r="D7684" s="733"/>
      <c r="E7684" s="733"/>
      <c r="G7684" s="733"/>
      <c r="H7684" s="733"/>
      <c r="I7684" s="733"/>
      <c r="J7684" s="733"/>
      <c r="K7684" s="733"/>
      <c r="L7684" s="733"/>
      <c r="M7684" s="733"/>
    </row>
    <row r="7685" spans="1:13" x14ac:dyDescent="0.3">
      <c r="A7685" s="733" t="s">
        <v>7759</v>
      </c>
      <c r="B7685" s="733" t="s">
        <v>664</v>
      </c>
      <c r="C7685" s="738" t="s">
        <v>7771</v>
      </c>
      <c r="D7685" s="733"/>
      <c r="E7685" s="733"/>
      <c r="G7685" s="733"/>
      <c r="H7685" s="733"/>
      <c r="I7685" s="733"/>
      <c r="J7685" s="733"/>
      <c r="K7685" s="733"/>
      <c r="L7685" s="733"/>
      <c r="M7685" s="733"/>
    </row>
    <row r="7686" spans="1:13" x14ac:dyDescent="0.3">
      <c r="A7686" s="733" t="s">
        <v>7759</v>
      </c>
      <c r="B7686" s="733" t="s">
        <v>664</v>
      </c>
      <c r="C7686" s="738" t="s">
        <v>7772</v>
      </c>
      <c r="D7686" s="733"/>
      <c r="E7686" s="733"/>
      <c r="G7686" s="733"/>
      <c r="H7686" s="733"/>
      <c r="I7686" s="733"/>
      <c r="J7686" s="733"/>
      <c r="K7686" s="733"/>
      <c r="L7686" s="733"/>
      <c r="M7686" s="733"/>
    </row>
    <row r="7687" spans="1:13" x14ac:dyDescent="0.3">
      <c r="A7687" s="733" t="s">
        <v>7759</v>
      </c>
      <c r="B7687" s="733" t="s">
        <v>664</v>
      </c>
      <c r="C7687" s="738" t="s">
        <v>7773</v>
      </c>
      <c r="D7687" s="733"/>
      <c r="E7687" s="733"/>
      <c r="G7687" s="733"/>
      <c r="H7687" s="733"/>
      <c r="I7687" s="733"/>
      <c r="J7687" s="733"/>
      <c r="K7687" s="733"/>
      <c r="L7687" s="733"/>
      <c r="M7687" s="733"/>
    </row>
    <row r="7688" spans="1:13" x14ac:dyDescent="0.3">
      <c r="A7688" s="733" t="s">
        <v>7759</v>
      </c>
      <c r="B7688" s="733" t="s">
        <v>664</v>
      </c>
      <c r="C7688" s="738" t="s">
        <v>7774</v>
      </c>
      <c r="D7688" s="733"/>
      <c r="E7688" s="733"/>
      <c r="G7688" s="733"/>
      <c r="H7688" s="733"/>
      <c r="I7688" s="733"/>
      <c r="J7688" s="733"/>
      <c r="K7688" s="733"/>
      <c r="L7688" s="733"/>
      <c r="M7688" s="733"/>
    </row>
    <row r="7689" spans="1:13" x14ac:dyDescent="0.3">
      <c r="A7689" s="733" t="s">
        <v>7759</v>
      </c>
      <c r="B7689" s="733" t="s">
        <v>664</v>
      </c>
      <c r="C7689" s="738" t="s">
        <v>7775</v>
      </c>
      <c r="D7689" s="733"/>
      <c r="E7689" s="733"/>
      <c r="G7689" s="733"/>
      <c r="H7689" s="733"/>
      <c r="I7689" s="733"/>
      <c r="J7689" s="733"/>
      <c r="K7689" s="733"/>
      <c r="L7689" s="733"/>
      <c r="M7689" s="733"/>
    </row>
    <row r="7690" spans="1:13" x14ac:dyDescent="0.3">
      <c r="A7690" s="733" t="s">
        <v>7759</v>
      </c>
      <c r="B7690" s="733" t="s">
        <v>664</v>
      </c>
      <c r="C7690" s="738" t="s">
        <v>7776</v>
      </c>
      <c r="D7690" s="733"/>
      <c r="E7690" s="733"/>
      <c r="G7690" s="733"/>
      <c r="H7690" s="733"/>
      <c r="I7690" s="733"/>
      <c r="J7690" s="733"/>
      <c r="K7690" s="733"/>
      <c r="L7690" s="733"/>
      <c r="M7690" s="733"/>
    </row>
    <row r="7691" spans="1:13" x14ac:dyDescent="0.3">
      <c r="A7691" s="733" t="s">
        <v>7759</v>
      </c>
      <c r="B7691" s="733" t="s">
        <v>664</v>
      </c>
      <c r="C7691" s="738" t="s">
        <v>7777</v>
      </c>
      <c r="D7691" s="733"/>
      <c r="E7691" s="733"/>
      <c r="G7691" s="733"/>
      <c r="H7691" s="733"/>
      <c r="I7691" s="733"/>
      <c r="J7691" s="733"/>
      <c r="K7691" s="733"/>
      <c r="L7691" s="733"/>
      <c r="M7691" s="733"/>
    </row>
    <row r="7692" spans="1:13" x14ac:dyDescent="0.3">
      <c r="A7692" s="733" t="s">
        <v>7759</v>
      </c>
      <c r="B7692" s="733" t="s">
        <v>664</v>
      </c>
      <c r="C7692" s="738" t="s">
        <v>7778</v>
      </c>
      <c r="D7692" s="733"/>
      <c r="E7692" s="733"/>
      <c r="G7692" s="733"/>
      <c r="H7692" s="733"/>
      <c r="I7692" s="733"/>
      <c r="J7692" s="733"/>
      <c r="K7692" s="733"/>
      <c r="L7692" s="733"/>
      <c r="M7692" s="733"/>
    </row>
    <row r="7693" spans="1:13" x14ac:dyDescent="0.3">
      <c r="A7693" s="733" t="s">
        <v>7759</v>
      </c>
      <c r="B7693" s="733"/>
      <c r="C7693" s="738" t="s">
        <v>7779</v>
      </c>
      <c r="D7693" s="733"/>
      <c r="E7693" s="733"/>
      <c r="G7693" s="733"/>
      <c r="H7693" s="733"/>
      <c r="I7693" s="733"/>
      <c r="J7693" s="733"/>
      <c r="K7693" s="733"/>
      <c r="L7693" s="733"/>
      <c r="M7693" s="733"/>
    </row>
    <row r="7694" spans="1:13" x14ac:dyDescent="0.3">
      <c r="A7694" s="733" t="s">
        <v>7759</v>
      </c>
      <c r="B7694" s="733" t="s">
        <v>612</v>
      </c>
      <c r="C7694" s="738" t="s">
        <v>7780</v>
      </c>
      <c r="D7694" s="733"/>
      <c r="E7694" s="733"/>
      <c r="G7694" s="733"/>
      <c r="H7694" s="733"/>
      <c r="I7694" s="733"/>
      <c r="J7694" s="733"/>
      <c r="K7694" s="733"/>
      <c r="L7694" s="733"/>
      <c r="M7694" s="733"/>
    </row>
    <row r="7695" spans="1:13" x14ac:dyDescent="0.3">
      <c r="A7695" s="733" t="s">
        <v>7759</v>
      </c>
      <c r="B7695" s="733" t="s">
        <v>612</v>
      </c>
      <c r="C7695" s="738" t="s">
        <v>7781</v>
      </c>
      <c r="D7695" s="733"/>
      <c r="E7695" s="733"/>
      <c r="G7695" s="733"/>
      <c r="H7695" s="733"/>
      <c r="I7695" s="733"/>
      <c r="J7695" s="733"/>
      <c r="K7695" s="733"/>
      <c r="L7695" s="733"/>
      <c r="M7695" s="733"/>
    </row>
    <row r="7696" spans="1:13" x14ac:dyDescent="0.3">
      <c r="A7696" s="733" t="s">
        <v>7759</v>
      </c>
      <c r="B7696" s="733" t="s">
        <v>612</v>
      </c>
      <c r="C7696" s="738" t="s">
        <v>7782</v>
      </c>
      <c r="D7696" s="733"/>
      <c r="E7696" s="733"/>
      <c r="G7696" s="733"/>
      <c r="H7696" s="733"/>
      <c r="I7696" s="733"/>
      <c r="J7696" s="733"/>
      <c r="K7696" s="733"/>
      <c r="L7696" s="733"/>
      <c r="M7696" s="733"/>
    </row>
    <row r="7697" spans="1:13" x14ac:dyDescent="0.3">
      <c r="A7697" s="733" t="s">
        <v>7759</v>
      </c>
      <c r="B7697" s="733" t="s">
        <v>612</v>
      </c>
      <c r="C7697" s="738" t="s">
        <v>7783</v>
      </c>
      <c r="D7697" s="733"/>
      <c r="E7697" s="733"/>
      <c r="G7697" s="733"/>
      <c r="H7697" s="733"/>
      <c r="I7697" s="733"/>
      <c r="J7697" s="733"/>
      <c r="K7697" s="733"/>
      <c r="L7697" s="733"/>
      <c r="M7697" s="733"/>
    </row>
    <row r="7698" spans="1:13" x14ac:dyDescent="0.3">
      <c r="A7698" s="733" t="s">
        <v>7759</v>
      </c>
      <c r="B7698" s="733" t="s">
        <v>612</v>
      </c>
      <c r="C7698" s="738" t="s">
        <v>7784</v>
      </c>
      <c r="D7698" s="733"/>
      <c r="E7698" s="733"/>
      <c r="G7698" s="733"/>
      <c r="H7698" s="733"/>
      <c r="I7698" s="733"/>
      <c r="J7698" s="733"/>
      <c r="K7698" s="733"/>
      <c r="L7698" s="733"/>
      <c r="M7698" s="733"/>
    </row>
    <row r="7699" spans="1:13" x14ac:dyDescent="0.3">
      <c r="A7699" s="733" t="s">
        <v>7759</v>
      </c>
      <c r="B7699" s="733" t="s">
        <v>612</v>
      </c>
      <c r="C7699" s="738" t="s">
        <v>7785</v>
      </c>
      <c r="D7699" s="733"/>
      <c r="E7699" s="733"/>
      <c r="G7699" s="733"/>
      <c r="H7699" s="733"/>
      <c r="I7699" s="733"/>
      <c r="J7699" s="733"/>
      <c r="K7699" s="733"/>
      <c r="L7699" s="733"/>
      <c r="M7699" s="733"/>
    </row>
    <row r="7700" spans="1:13" x14ac:dyDescent="0.3">
      <c r="A7700" s="733" t="s">
        <v>7759</v>
      </c>
      <c r="B7700" s="733" t="s">
        <v>612</v>
      </c>
      <c r="C7700" s="738" t="s">
        <v>7786</v>
      </c>
      <c r="D7700" s="733"/>
      <c r="E7700" s="733"/>
      <c r="G7700" s="733"/>
      <c r="H7700" s="733"/>
      <c r="I7700" s="733"/>
      <c r="J7700" s="733"/>
      <c r="K7700" s="733"/>
      <c r="L7700" s="733"/>
      <c r="M7700" s="733"/>
    </row>
    <row r="7701" spans="1:13" x14ac:dyDescent="0.3">
      <c r="A7701" s="733" t="s">
        <v>7759</v>
      </c>
      <c r="B7701" s="733" t="s">
        <v>612</v>
      </c>
      <c r="C7701" s="738" t="s">
        <v>7787</v>
      </c>
      <c r="D7701" s="733"/>
      <c r="E7701" s="733"/>
      <c r="G7701" s="733"/>
      <c r="H7701" s="733"/>
      <c r="I7701" s="733"/>
      <c r="J7701" s="733"/>
      <c r="K7701" s="733"/>
      <c r="L7701" s="733"/>
      <c r="M7701" s="733"/>
    </row>
    <row r="7702" spans="1:13" x14ac:dyDescent="0.3">
      <c r="A7702" s="733" t="s">
        <v>7759</v>
      </c>
      <c r="B7702" s="733" t="s">
        <v>612</v>
      </c>
      <c r="C7702" s="738" t="s">
        <v>7788</v>
      </c>
      <c r="D7702" s="733"/>
      <c r="E7702" s="733"/>
      <c r="G7702" s="733"/>
      <c r="H7702" s="733"/>
      <c r="I7702" s="733"/>
      <c r="J7702" s="733"/>
      <c r="K7702" s="733"/>
      <c r="L7702" s="733"/>
      <c r="M7702" s="733"/>
    </row>
    <row r="7703" spans="1:13" x14ac:dyDescent="0.3">
      <c r="A7703" s="733" t="s">
        <v>7759</v>
      </c>
      <c r="B7703" s="733" t="s">
        <v>612</v>
      </c>
      <c r="C7703" s="738" t="s">
        <v>7789</v>
      </c>
      <c r="D7703" s="733"/>
      <c r="E7703" s="733"/>
      <c r="G7703" s="733"/>
      <c r="H7703" s="733"/>
      <c r="I7703" s="733"/>
      <c r="J7703" s="733"/>
      <c r="K7703" s="733"/>
      <c r="L7703" s="733"/>
      <c r="M7703" s="733"/>
    </row>
    <row r="7704" spans="1:13" ht="28.8" x14ac:dyDescent="0.3">
      <c r="A7704" s="733" t="s">
        <v>7790</v>
      </c>
      <c r="B7704" s="733" t="s">
        <v>645</v>
      </c>
      <c r="C7704" s="738" t="s">
        <v>7791</v>
      </c>
      <c r="D7704" s="733"/>
      <c r="E7704" s="733"/>
      <c r="G7704" s="733"/>
      <c r="H7704" s="733"/>
      <c r="I7704" s="733"/>
      <c r="J7704" s="733"/>
      <c r="K7704" s="733"/>
      <c r="L7704" s="733"/>
      <c r="M7704" s="733"/>
    </row>
    <row r="7705" spans="1:13" ht="28.8" x14ac:dyDescent="0.3">
      <c r="A7705" s="733" t="s">
        <v>7790</v>
      </c>
      <c r="B7705" s="733" t="s">
        <v>645</v>
      </c>
      <c r="C7705" s="738" t="s">
        <v>7792</v>
      </c>
      <c r="D7705" s="733"/>
      <c r="E7705" s="733"/>
      <c r="G7705" s="733"/>
      <c r="H7705" s="733"/>
      <c r="I7705" s="733"/>
      <c r="J7705" s="733"/>
      <c r="K7705" s="733"/>
      <c r="L7705" s="733"/>
      <c r="M7705" s="733"/>
    </row>
    <row r="7706" spans="1:13" x14ac:dyDescent="0.3">
      <c r="A7706" s="733" t="s">
        <v>7790</v>
      </c>
      <c r="B7706" s="733" t="s">
        <v>645</v>
      </c>
      <c r="C7706" s="738" t="s">
        <v>7793</v>
      </c>
      <c r="D7706" s="733"/>
      <c r="E7706" s="733"/>
      <c r="G7706" s="733"/>
      <c r="H7706" s="733"/>
      <c r="I7706" s="733"/>
      <c r="J7706" s="733"/>
      <c r="K7706" s="733"/>
      <c r="L7706" s="733"/>
      <c r="M7706" s="733"/>
    </row>
    <row r="7707" spans="1:13" x14ac:dyDescent="0.3">
      <c r="A7707" s="733" t="s">
        <v>7790</v>
      </c>
      <c r="B7707" s="733" t="s">
        <v>645</v>
      </c>
      <c r="C7707" s="738" t="s">
        <v>7794</v>
      </c>
      <c r="D7707" s="733"/>
      <c r="E7707" s="733"/>
      <c r="G7707" s="733"/>
      <c r="H7707" s="733"/>
      <c r="I7707" s="733"/>
      <c r="J7707" s="733"/>
      <c r="K7707" s="733"/>
      <c r="L7707" s="733"/>
      <c r="M7707" s="733"/>
    </row>
    <row r="7708" spans="1:13" x14ac:dyDescent="0.3">
      <c r="A7708" s="733" t="s">
        <v>7790</v>
      </c>
      <c r="B7708" s="733" t="s">
        <v>645</v>
      </c>
      <c r="C7708" s="738" t="s">
        <v>7795</v>
      </c>
      <c r="D7708" s="733"/>
      <c r="E7708" s="733"/>
      <c r="G7708" s="733"/>
      <c r="H7708" s="733"/>
      <c r="I7708" s="733"/>
      <c r="J7708" s="733"/>
      <c r="K7708" s="733"/>
      <c r="L7708" s="733"/>
      <c r="M7708" s="733"/>
    </row>
    <row r="7709" spans="1:13" x14ac:dyDescent="0.3">
      <c r="A7709" s="733" t="s">
        <v>7790</v>
      </c>
      <c r="B7709" s="733" t="s">
        <v>645</v>
      </c>
      <c r="C7709" s="738" t="s">
        <v>7796</v>
      </c>
      <c r="D7709" s="733"/>
      <c r="E7709" s="733"/>
      <c r="G7709" s="733"/>
      <c r="H7709" s="733"/>
      <c r="I7709" s="733"/>
      <c r="J7709" s="733"/>
      <c r="K7709" s="733"/>
      <c r="L7709" s="733"/>
      <c r="M7709" s="733"/>
    </row>
    <row r="7710" spans="1:13" x14ac:dyDescent="0.3">
      <c r="A7710" s="733" t="s">
        <v>7790</v>
      </c>
      <c r="B7710" s="733" t="s">
        <v>645</v>
      </c>
      <c r="C7710" s="738" t="s">
        <v>7797</v>
      </c>
      <c r="D7710" s="733"/>
      <c r="E7710" s="733"/>
      <c r="G7710" s="733"/>
      <c r="H7710" s="733"/>
      <c r="I7710" s="733"/>
      <c r="J7710" s="733"/>
      <c r="K7710" s="733"/>
      <c r="L7710" s="733"/>
      <c r="M7710" s="733"/>
    </row>
    <row r="7711" spans="1:13" x14ac:dyDescent="0.3">
      <c r="A7711" s="733" t="s">
        <v>7790</v>
      </c>
      <c r="B7711" s="733" t="s">
        <v>645</v>
      </c>
      <c r="C7711" s="738" t="s">
        <v>7798</v>
      </c>
      <c r="D7711" s="733"/>
      <c r="E7711" s="733"/>
      <c r="G7711" s="733"/>
      <c r="H7711" s="733"/>
      <c r="I7711" s="733"/>
      <c r="J7711" s="733"/>
      <c r="K7711" s="733"/>
      <c r="L7711" s="733"/>
      <c r="M7711" s="733"/>
    </row>
    <row r="7712" spans="1:13" x14ac:dyDescent="0.3">
      <c r="A7712" s="733" t="s">
        <v>7790</v>
      </c>
      <c r="B7712" s="733" t="s">
        <v>645</v>
      </c>
      <c r="C7712" s="738" t="s">
        <v>7799</v>
      </c>
      <c r="D7712" s="733"/>
      <c r="E7712" s="733"/>
      <c r="G7712" s="733"/>
      <c r="H7712" s="733"/>
      <c r="I7712" s="733"/>
      <c r="J7712" s="733"/>
      <c r="K7712" s="733"/>
      <c r="L7712" s="733"/>
      <c r="M7712" s="733"/>
    </row>
    <row r="7713" spans="1:13" x14ac:dyDescent="0.3">
      <c r="A7713" s="733" t="s">
        <v>7790</v>
      </c>
      <c r="B7713" s="733" t="s">
        <v>645</v>
      </c>
      <c r="C7713" s="738" t="s">
        <v>7800</v>
      </c>
      <c r="D7713" s="733"/>
      <c r="E7713" s="733"/>
      <c r="G7713" s="733"/>
      <c r="H7713" s="733"/>
      <c r="I7713" s="733"/>
      <c r="J7713" s="733"/>
      <c r="K7713" s="733"/>
      <c r="L7713" s="733"/>
      <c r="M7713" s="733"/>
    </row>
    <row r="7714" spans="1:13" x14ac:dyDescent="0.3">
      <c r="A7714" s="733" t="s">
        <v>7790</v>
      </c>
      <c r="B7714" s="733" t="s">
        <v>664</v>
      </c>
      <c r="C7714" s="738" t="s">
        <v>7801</v>
      </c>
      <c r="D7714" s="733"/>
      <c r="E7714" s="733"/>
      <c r="G7714" s="733"/>
      <c r="H7714" s="733"/>
      <c r="I7714" s="733"/>
      <c r="J7714" s="733"/>
      <c r="K7714" s="733"/>
      <c r="L7714" s="733"/>
      <c r="M7714" s="733"/>
    </row>
    <row r="7715" spans="1:13" x14ac:dyDescent="0.3">
      <c r="A7715" s="733" t="s">
        <v>7790</v>
      </c>
      <c r="B7715" s="733" t="s">
        <v>664</v>
      </c>
      <c r="C7715" s="738" t="s">
        <v>7802</v>
      </c>
      <c r="D7715" s="733"/>
      <c r="E7715" s="733"/>
      <c r="G7715" s="733"/>
      <c r="H7715" s="733"/>
      <c r="I7715" s="733"/>
      <c r="J7715" s="733"/>
      <c r="K7715" s="733"/>
      <c r="L7715" s="733"/>
      <c r="M7715" s="733"/>
    </row>
    <row r="7716" spans="1:13" x14ac:dyDescent="0.3">
      <c r="A7716" s="733" t="s">
        <v>7790</v>
      </c>
      <c r="B7716" s="733" t="s">
        <v>664</v>
      </c>
      <c r="C7716" s="738" t="s">
        <v>7803</v>
      </c>
      <c r="D7716" s="733"/>
      <c r="E7716" s="733"/>
      <c r="G7716" s="733"/>
      <c r="H7716" s="733"/>
      <c r="I7716" s="733"/>
      <c r="J7716" s="733"/>
      <c r="K7716" s="733"/>
      <c r="L7716" s="733"/>
      <c r="M7716" s="733"/>
    </row>
    <row r="7717" spans="1:13" x14ac:dyDescent="0.3">
      <c r="A7717" s="733" t="s">
        <v>7790</v>
      </c>
      <c r="B7717" s="733" t="s">
        <v>664</v>
      </c>
      <c r="C7717" s="738" t="s">
        <v>7804</v>
      </c>
      <c r="D7717" s="733"/>
      <c r="E7717" s="733"/>
      <c r="G7717" s="733"/>
      <c r="H7717" s="733"/>
      <c r="I7717" s="733"/>
      <c r="J7717" s="733"/>
      <c r="K7717" s="733"/>
      <c r="L7717" s="733"/>
      <c r="M7717" s="733"/>
    </row>
    <row r="7718" spans="1:13" x14ac:dyDescent="0.3">
      <c r="A7718" s="733" t="s">
        <v>7790</v>
      </c>
      <c r="B7718" s="733" t="s">
        <v>664</v>
      </c>
      <c r="C7718" s="738" t="s">
        <v>7805</v>
      </c>
      <c r="D7718" s="733"/>
      <c r="E7718" s="733"/>
      <c r="G7718" s="733"/>
      <c r="H7718" s="733"/>
      <c r="I7718" s="733"/>
      <c r="J7718" s="733"/>
      <c r="K7718" s="733"/>
      <c r="L7718" s="733"/>
      <c r="M7718" s="733"/>
    </row>
    <row r="7719" spans="1:13" x14ac:dyDescent="0.3">
      <c r="A7719" s="733" t="s">
        <v>7790</v>
      </c>
      <c r="B7719" s="733" t="s">
        <v>664</v>
      </c>
      <c r="C7719" s="738" t="s">
        <v>7806</v>
      </c>
      <c r="D7719" s="733"/>
      <c r="E7719" s="733"/>
      <c r="G7719" s="733"/>
      <c r="H7719" s="733"/>
      <c r="I7719" s="733"/>
      <c r="J7719" s="733"/>
      <c r="K7719" s="733"/>
      <c r="L7719" s="733"/>
      <c r="M7719" s="733"/>
    </row>
    <row r="7720" spans="1:13" x14ac:dyDescent="0.3">
      <c r="A7720" s="733" t="s">
        <v>7790</v>
      </c>
      <c r="B7720" s="733" t="s">
        <v>664</v>
      </c>
      <c r="C7720" s="738" t="s">
        <v>7807</v>
      </c>
      <c r="D7720" s="733"/>
      <c r="E7720" s="733"/>
      <c r="G7720" s="733"/>
      <c r="H7720" s="733"/>
      <c r="I7720" s="733"/>
      <c r="J7720" s="733"/>
      <c r="K7720" s="733"/>
      <c r="L7720" s="733"/>
      <c r="M7720" s="733"/>
    </row>
    <row r="7721" spans="1:13" x14ac:dyDescent="0.3">
      <c r="A7721" s="733" t="s">
        <v>7790</v>
      </c>
      <c r="B7721" s="733" t="s">
        <v>664</v>
      </c>
      <c r="C7721" s="738" t="s">
        <v>7808</v>
      </c>
      <c r="D7721" s="733"/>
      <c r="E7721" s="733"/>
      <c r="G7721" s="733"/>
      <c r="H7721" s="733"/>
      <c r="I7721" s="733"/>
      <c r="J7721" s="733"/>
      <c r="K7721" s="733"/>
      <c r="L7721" s="733"/>
      <c r="M7721" s="733"/>
    </row>
    <row r="7722" spans="1:13" x14ac:dyDescent="0.3">
      <c r="A7722" s="733" t="s">
        <v>7790</v>
      </c>
      <c r="B7722" s="733" t="s">
        <v>664</v>
      </c>
      <c r="C7722" s="738" t="s">
        <v>7809</v>
      </c>
      <c r="D7722" s="733"/>
      <c r="E7722" s="733"/>
      <c r="G7722" s="733"/>
      <c r="H7722" s="733"/>
      <c r="I7722" s="733"/>
      <c r="J7722" s="733"/>
      <c r="K7722" s="733"/>
      <c r="L7722" s="733"/>
      <c r="M7722" s="733"/>
    </row>
    <row r="7723" spans="1:13" x14ac:dyDescent="0.3">
      <c r="A7723" s="733" t="s">
        <v>7790</v>
      </c>
      <c r="B7723" s="733" t="s">
        <v>664</v>
      </c>
      <c r="C7723" s="738" t="s">
        <v>7810</v>
      </c>
      <c r="D7723" s="733"/>
      <c r="E7723" s="733"/>
      <c r="G7723" s="733"/>
      <c r="H7723" s="733"/>
      <c r="I7723" s="733"/>
      <c r="J7723" s="733"/>
      <c r="K7723" s="733"/>
      <c r="L7723" s="733"/>
      <c r="M7723" s="733"/>
    </row>
    <row r="7724" spans="1:13" x14ac:dyDescent="0.3">
      <c r="A7724" s="733" t="s">
        <v>7790</v>
      </c>
      <c r="B7724" s="733" t="s">
        <v>612</v>
      </c>
      <c r="C7724" s="738" t="s">
        <v>7811</v>
      </c>
      <c r="D7724" s="733"/>
      <c r="E7724" s="733"/>
      <c r="G7724" s="733"/>
      <c r="H7724" s="733"/>
      <c r="I7724" s="733"/>
      <c r="J7724" s="733"/>
      <c r="K7724" s="733"/>
      <c r="L7724" s="733"/>
      <c r="M7724" s="733"/>
    </row>
    <row r="7725" spans="1:13" x14ac:dyDescent="0.3">
      <c r="A7725" s="733" t="s">
        <v>7790</v>
      </c>
      <c r="B7725" s="733" t="s">
        <v>612</v>
      </c>
      <c r="C7725" s="738" t="s">
        <v>7812</v>
      </c>
      <c r="D7725" s="733"/>
      <c r="E7725" s="733"/>
      <c r="G7725" s="733"/>
      <c r="H7725" s="733"/>
      <c r="I7725" s="733"/>
      <c r="J7725" s="733"/>
      <c r="K7725" s="733"/>
      <c r="L7725" s="733"/>
      <c r="M7725" s="733"/>
    </row>
    <row r="7726" spans="1:13" x14ac:dyDescent="0.3">
      <c r="A7726" s="733" t="s">
        <v>7790</v>
      </c>
      <c r="B7726" s="733" t="s">
        <v>612</v>
      </c>
      <c r="C7726" s="738" t="s">
        <v>7813</v>
      </c>
      <c r="D7726" s="733"/>
      <c r="E7726" s="733"/>
      <c r="G7726" s="733"/>
      <c r="H7726" s="733"/>
      <c r="I7726" s="733"/>
      <c r="J7726" s="733"/>
      <c r="K7726" s="733"/>
      <c r="L7726" s="733"/>
      <c r="M7726" s="733"/>
    </row>
    <row r="7727" spans="1:13" x14ac:dyDescent="0.3">
      <c r="A7727" s="733" t="s">
        <v>7790</v>
      </c>
      <c r="B7727" s="733" t="s">
        <v>612</v>
      </c>
      <c r="C7727" s="738" t="s">
        <v>7814</v>
      </c>
      <c r="D7727" s="733"/>
      <c r="E7727" s="733"/>
      <c r="G7727" s="733"/>
      <c r="H7727" s="733"/>
      <c r="I7727" s="733"/>
      <c r="J7727" s="733"/>
      <c r="K7727" s="733"/>
      <c r="L7727" s="733"/>
      <c r="M7727" s="733"/>
    </row>
    <row r="7728" spans="1:13" x14ac:dyDescent="0.3">
      <c r="A7728" s="733" t="s">
        <v>7790</v>
      </c>
      <c r="B7728" s="733" t="s">
        <v>612</v>
      </c>
      <c r="C7728" s="738" t="s">
        <v>7815</v>
      </c>
      <c r="D7728" s="733"/>
      <c r="E7728" s="733"/>
      <c r="G7728" s="733"/>
      <c r="H7728" s="733"/>
      <c r="I7728" s="733"/>
      <c r="J7728" s="733"/>
      <c r="K7728" s="733"/>
      <c r="L7728" s="733"/>
      <c r="M7728" s="733"/>
    </row>
    <row r="7729" spans="1:13" x14ac:dyDescent="0.3">
      <c r="A7729" s="733" t="s">
        <v>7790</v>
      </c>
      <c r="B7729" s="733" t="s">
        <v>612</v>
      </c>
      <c r="C7729" s="738" t="s">
        <v>7816</v>
      </c>
      <c r="D7729" s="733"/>
      <c r="E7729" s="733"/>
      <c r="G7729" s="733"/>
      <c r="H7729" s="733"/>
      <c r="I7729" s="733"/>
      <c r="J7729" s="733"/>
      <c r="K7729" s="733"/>
      <c r="L7729" s="733"/>
      <c r="M7729" s="733"/>
    </row>
    <row r="7730" spans="1:13" x14ac:dyDescent="0.3">
      <c r="A7730" s="733" t="s">
        <v>7790</v>
      </c>
      <c r="B7730" s="733" t="s">
        <v>612</v>
      </c>
      <c r="C7730" s="738" t="s">
        <v>7817</v>
      </c>
      <c r="D7730" s="733"/>
      <c r="E7730" s="733"/>
      <c r="G7730" s="733"/>
      <c r="H7730" s="733"/>
      <c r="I7730" s="733"/>
      <c r="J7730" s="733"/>
      <c r="K7730" s="733"/>
      <c r="L7730" s="733"/>
      <c r="M7730" s="733"/>
    </row>
    <row r="7731" spans="1:13" x14ac:dyDescent="0.3">
      <c r="A7731" s="733" t="s">
        <v>7790</v>
      </c>
      <c r="B7731" s="733" t="s">
        <v>612</v>
      </c>
      <c r="C7731" s="738" t="s">
        <v>7818</v>
      </c>
      <c r="D7731" s="733"/>
      <c r="E7731" s="733"/>
      <c r="G7731" s="733"/>
      <c r="H7731" s="733"/>
      <c r="I7731" s="733"/>
      <c r="J7731" s="733"/>
      <c r="K7731" s="733"/>
      <c r="L7731" s="733"/>
      <c r="M7731" s="733"/>
    </row>
    <row r="7732" spans="1:13" x14ac:dyDescent="0.3">
      <c r="A7732" s="733" t="s">
        <v>7790</v>
      </c>
      <c r="B7732" s="733" t="s">
        <v>612</v>
      </c>
      <c r="C7732" s="738" t="s">
        <v>7819</v>
      </c>
      <c r="D7732" s="733"/>
      <c r="E7732" s="733"/>
      <c r="G7732" s="733"/>
      <c r="H7732" s="733"/>
      <c r="I7732" s="733"/>
      <c r="J7732" s="733"/>
      <c r="K7732" s="733"/>
      <c r="L7732" s="733"/>
      <c r="M7732" s="733"/>
    </row>
    <row r="7733" spans="1:13" x14ac:dyDescent="0.3">
      <c r="A7733" s="733" t="s">
        <v>7790</v>
      </c>
      <c r="B7733" s="733" t="s">
        <v>612</v>
      </c>
      <c r="C7733" s="738" t="s">
        <v>7820</v>
      </c>
      <c r="D7733" s="733"/>
      <c r="E7733" s="733"/>
      <c r="G7733" s="733"/>
      <c r="H7733" s="733"/>
      <c r="I7733" s="733"/>
      <c r="J7733" s="733"/>
      <c r="K7733" s="733"/>
      <c r="L7733" s="733"/>
      <c r="M7733" s="733"/>
    </row>
    <row r="7734" spans="1:13" x14ac:dyDescent="0.3">
      <c r="A7734" s="733" t="s">
        <v>7821</v>
      </c>
      <c r="B7734" s="733" t="s">
        <v>645</v>
      </c>
      <c r="C7734" s="738" t="s">
        <v>7822</v>
      </c>
      <c r="D7734" s="733"/>
      <c r="E7734" s="733"/>
      <c r="G7734" s="733"/>
      <c r="H7734" s="733"/>
      <c r="I7734" s="733"/>
      <c r="J7734" s="733"/>
      <c r="K7734" s="733"/>
      <c r="L7734" s="733"/>
      <c r="M7734" s="733"/>
    </row>
    <row r="7735" spans="1:13" x14ac:dyDescent="0.3">
      <c r="A7735" s="733" t="s">
        <v>7821</v>
      </c>
      <c r="B7735" s="733" t="s">
        <v>645</v>
      </c>
      <c r="C7735" s="738" t="s">
        <v>7823</v>
      </c>
      <c r="D7735" s="733"/>
      <c r="E7735" s="733"/>
      <c r="G7735" s="733"/>
      <c r="H7735" s="733"/>
      <c r="I7735" s="733"/>
      <c r="J7735" s="733"/>
      <c r="K7735" s="733"/>
      <c r="L7735" s="733"/>
      <c r="M7735" s="733"/>
    </row>
    <row r="7736" spans="1:13" x14ac:dyDescent="0.3">
      <c r="A7736" s="733" t="s">
        <v>7821</v>
      </c>
      <c r="B7736" s="733" t="s">
        <v>645</v>
      </c>
      <c r="C7736" s="738" t="s">
        <v>7824</v>
      </c>
      <c r="D7736" s="733"/>
      <c r="E7736" s="733"/>
      <c r="G7736" s="733"/>
      <c r="H7736" s="733"/>
      <c r="I7736" s="733"/>
      <c r="J7736" s="733"/>
      <c r="K7736" s="733"/>
      <c r="L7736" s="733"/>
      <c r="M7736" s="733"/>
    </row>
    <row r="7737" spans="1:13" x14ac:dyDescent="0.3">
      <c r="A7737" s="733" t="s">
        <v>7821</v>
      </c>
      <c r="B7737" s="733" t="s">
        <v>645</v>
      </c>
      <c r="C7737" s="738" t="s">
        <v>7825</v>
      </c>
      <c r="D7737" s="733"/>
      <c r="E7737" s="733"/>
      <c r="G7737" s="733"/>
      <c r="H7737" s="733"/>
      <c r="I7737" s="733"/>
      <c r="J7737" s="733"/>
      <c r="K7737" s="733"/>
      <c r="L7737" s="733"/>
      <c r="M7737" s="733"/>
    </row>
    <row r="7738" spans="1:13" x14ac:dyDescent="0.3">
      <c r="A7738" s="733" t="s">
        <v>7821</v>
      </c>
      <c r="B7738" s="733" t="s">
        <v>645</v>
      </c>
      <c r="C7738" s="738" t="s">
        <v>7826</v>
      </c>
      <c r="D7738" s="733"/>
      <c r="E7738" s="733"/>
      <c r="G7738" s="733"/>
      <c r="H7738" s="733"/>
      <c r="I7738" s="733"/>
      <c r="J7738" s="733"/>
      <c r="K7738" s="733"/>
      <c r="L7738" s="733"/>
      <c r="M7738" s="733"/>
    </row>
    <row r="7739" spans="1:13" x14ac:dyDescent="0.3">
      <c r="A7739" s="733" t="s">
        <v>7821</v>
      </c>
      <c r="B7739" s="733" t="s">
        <v>645</v>
      </c>
      <c r="C7739" s="738" t="s">
        <v>7827</v>
      </c>
      <c r="D7739" s="733"/>
      <c r="E7739" s="733"/>
      <c r="G7739" s="733"/>
      <c r="H7739" s="733"/>
      <c r="I7739" s="733"/>
      <c r="J7739" s="733"/>
      <c r="K7739" s="733"/>
      <c r="L7739" s="733"/>
      <c r="M7739" s="733"/>
    </row>
    <row r="7740" spans="1:13" x14ac:dyDescent="0.3">
      <c r="A7740" s="733" t="s">
        <v>7821</v>
      </c>
      <c r="B7740" s="733" t="s">
        <v>645</v>
      </c>
      <c r="C7740" s="738" t="s">
        <v>7828</v>
      </c>
      <c r="D7740" s="733"/>
      <c r="E7740" s="733"/>
      <c r="G7740" s="733"/>
      <c r="H7740" s="733"/>
      <c r="I7740" s="733"/>
      <c r="J7740" s="733"/>
      <c r="K7740" s="733"/>
      <c r="L7740" s="733"/>
      <c r="M7740" s="733"/>
    </row>
    <row r="7741" spans="1:13" x14ac:dyDescent="0.3">
      <c r="A7741" s="733" t="s">
        <v>7821</v>
      </c>
      <c r="B7741" s="733" t="s">
        <v>645</v>
      </c>
      <c r="C7741" s="738" t="s">
        <v>7829</v>
      </c>
      <c r="D7741" s="733"/>
      <c r="E7741" s="733"/>
      <c r="G7741" s="733"/>
      <c r="H7741" s="733"/>
      <c r="I7741" s="733"/>
      <c r="J7741" s="733"/>
      <c r="K7741" s="733"/>
      <c r="L7741" s="733"/>
      <c r="M7741" s="733"/>
    </row>
    <row r="7742" spans="1:13" x14ac:dyDescent="0.3">
      <c r="A7742" s="733" t="s">
        <v>7821</v>
      </c>
      <c r="B7742" s="733" t="s">
        <v>645</v>
      </c>
      <c r="C7742" s="738" t="s">
        <v>7830</v>
      </c>
      <c r="D7742" s="733"/>
      <c r="E7742" s="733"/>
      <c r="G7742" s="733"/>
      <c r="H7742" s="733"/>
      <c r="I7742" s="733"/>
      <c r="J7742" s="733"/>
      <c r="K7742" s="733"/>
      <c r="L7742" s="733"/>
      <c r="M7742" s="733"/>
    </row>
    <row r="7743" spans="1:13" x14ac:dyDescent="0.3">
      <c r="A7743" s="733" t="s">
        <v>7821</v>
      </c>
      <c r="B7743" s="733" t="s">
        <v>645</v>
      </c>
      <c r="C7743" s="738" t="s">
        <v>7831</v>
      </c>
      <c r="D7743" s="733"/>
      <c r="E7743" s="733"/>
      <c r="G7743" s="733"/>
      <c r="H7743" s="733"/>
      <c r="I7743" s="733"/>
      <c r="J7743" s="733"/>
      <c r="K7743" s="733"/>
      <c r="L7743" s="733"/>
      <c r="M7743" s="733"/>
    </row>
    <row r="7744" spans="1:13" x14ac:dyDescent="0.3">
      <c r="A7744" s="733" t="s">
        <v>7821</v>
      </c>
      <c r="B7744" s="733" t="s">
        <v>664</v>
      </c>
      <c r="C7744" s="738" t="s">
        <v>7832</v>
      </c>
      <c r="D7744" s="733"/>
      <c r="E7744" s="733"/>
      <c r="G7744" s="733"/>
      <c r="H7744" s="733"/>
      <c r="I7744" s="733"/>
      <c r="J7744" s="733"/>
      <c r="K7744" s="733"/>
      <c r="L7744" s="733"/>
      <c r="M7744" s="733"/>
    </row>
    <row r="7745" spans="1:13" x14ac:dyDescent="0.3">
      <c r="A7745" s="733" t="s">
        <v>7821</v>
      </c>
      <c r="B7745" s="733" t="s">
        <v>664</v>
      </c>
      <c r="C7745" s="738" t="s">
        <v>7833</v>
      </c>
      <c r="D7745" s="733"/>
      <c r="E7745" s="733"/>
      <c r="G7745" s="733"/>
      <c r="H7745" s="733"/>
      <c r="I7745" s="733"/>
      <c r="J7745" s="733"/>
      <c r="K7745" s="733"/>
      <c r="L7745" s="733"/>
      <c r="M7745" s="733"/>
    </row>
    <row r="7746" spans="1:13" x14ac:dyDescent="0.3">
      <c r="A7746" s="733" t="s">
        <v>7821</v>
      </c>
      <c r="B7746" s="733" t="s">
        <v>664</v>
      </c>
      <c r="C7746" s="738" t="s">
        <v>7834</v>
      </c>
      <c r="D7746" s="733"/>
      <c r="E7746" s="733"/>
      <c r="G7746" s="733"/>
      <c r="H7746" s="733"/>
      <c r="I7746" s="733"/>
      <c r="J7746" s="733"/>
      <c r="K7746" s="733"/>
      <c r="L7746" s="733"/>
      <c r="M7746" s="733"/>
    </row>
    <row r="7747" spans="1:13" x14ac:dyDescent="0.3">
      <c r="A7747" s="733" t="s">
        <v>7821</v>
      </c>
      <c r="B7747" s="733" t="s">
        <v>664</v>
      </c>
      <c r="C7747" s="738" t="s">
        <v>7835</v>
      </c>
      <c r="D7747" s="733"/>
      <c r="E7747" s="733"/>
      <c r="G7747" s="733"/>
      <c r="H7747" s="733"/>
      <c r="I7747" s="733"/>
      <c r="J7747" s="733"/>
      <c r="K7747" s="733"/>
      <c r="L7747" s="733"/>
      <c r="M7747" s="733"/>
    </row>
    <row r="7748" spans="1:13" x14ac:dyDescent="0.3">
      <c r="A7748" s="733" t="s">
        <v>7821</v>
      </c>
      <c r="B7748" s="733" t="s">
        <v>664</v>
      </c>
      <c r="C7748" s="738" t="s">
        <v>7836</v>
      </c>
      <c r="D7748" s="733"/>
      <c r="E7748" s="733"/>
      <c r="G7748" s="733"/>
      <c r="H7748" s="733"/>
      <c r="I7748" s="733"/>
      <c r="J7748" s="733"/>
      <c r="K7748" s="733"/>
      <c r="L7748" s="733"/>
      <c r="M7748" s="733"/>
    </row>
    <row r="7749" spans="1:13" x14ac:dyDescent="0.3">
      <c r="A7749" s="733" t="s">
        <v>7821</v>
      </c>
      <c r="B7749" s="733" t="s">
        <v>664</v>
      </c>
      <c r="C7749" s="738" t="s">
        <v>7837</v>
      </c>
      <c r="D7749" s="733"/>
      <c r="E7749" s="733"/>
      <c r="G7749" s="733"/>
      <c r="H7749" s="733"/>
      <c r="I7749" s="733"/>
      <c r="J7749" s="733"/>
      <c r="K7749" s="733"/>
      <c r="L7749" s="733"/>
      <c r="M7749" s="733"/>
    </row>
    <row r="7750" spans="1:13" x14ac:dyDescent="0.3">
      <c r="A7750" s="733" t="s">
        <v>7821</v>
      </c>
      <c r="B7750" s="733" t="s">
        <v>664</v>
      </c>
      <c r="C7750" s="738" t="s">
        <v>7838</v>
      </c>
      <c r="D7750" s="733"/>
      <c r="E7750" s="733"/>
      <c r="G7750" s="733"/>
      <c r="H7750" s="733"/>
      <c r="I7750" s="733"/>
      <c r="J7750" s="733"/>
      <c r="K7750" s="733"/>
      <c r="L7750" s="733"/>
      <c r="M7750" s="733"/>
    </row>
    <row r="7751" spans="1:13" x14ac:dyDescent="0.3">
      <c r="A7751" s="733" t="s">
        <v>7821</v>
      </c>
      <c r="B7751" s="733" t="s">
        <v>664</v>
      </c>
      <c r="C7751" s="738" t="s">
        <v>7839</v>
      </c>
      <c r="D7751" s="733"/>
      <c r="E7751" s="733"/>
      <c r="G7751" s="733"/>
      <c r="H7751" s="733"/>
      <c r="I7751" s="733"/>
      <c r="J7751" s="733"/>
      <c r="K7751" s="733"/>
      <c r="L7751" s="733"/>
      <c r="M7751" s="733"/>
    </row>
    <row r="7752" spans="1:13" x14ac:dyDescent="0.3">
      <c r="A7752" s="733" t="s">
        <v>7821</v>
      </c>
      <c r="B7752" s="733" t="s">
        <v>664</v>
      </c>
      <c r="C7752" s="738" t="s">
        <v>7840</v>
      </c>
      <c r="D7752" s="733"/>
      <c r="E7752" s="733"/>
      <c r="G7752" s="733"/>
      <c r="H7752" s="733"/>
      <c r="I7752" s="733"/>
      <c r="J7752" s="733"/>
      <c r="K7752" s="733"/>
      <c r="L7752" s="733"/>
      <c r="M7752" s="733"/>
    </row>
    <row r="7753" spans="1:13" x14ac:dyDescent="0.3">
      <c r="A7753" s="733" t="s">
        <v>7821</v>
      </c>
      <c r="B7753" s="733" t="s">
        <v>664</v>
      </c>
      <c r="C7753" s="738" t="s">
        <v>7841</v>
      </c>
      <c r="D7753" s="733"/>
      <c r="E7753" s="733"/>
      <c r="G7753" s="733"/>
      <c r="H7753" s="733"/>
      <c r="I7753" s="733"/>
      <c r="J7753" s="733"/>
      <c r="K7753" s="733"/>
      <c r="L7753" s="733"/>
      <c r="M7753" s="733"/>
    </row>
    <row r="7754" spans="1:13" x14ac:dyDescent="0.3">
      <c r="A7754" s="733" t="s">
        <v>7821</v>
      </c>
      <c r="B7754" s="733" t="s">
        <v>612</v>
      </c>
      <c r="C7754" s="738" t="s">
        <v>7842</v>
      </c>
      <c r="D7754" s="733"/>
      <c r="E7754" s="733"/>
      <c r="G7754" s="733"/>
      <c r="H7754" s="733"/>
      <c r="I7754" s="733"/>
      <c r="J7754" s="733"/>
      <c r="K7754" s="733"/>
      <c r="L7754" s="733"/>
      <c r="M7754" s="733"/>
    </row>
    <row r="7755" spans="1:13" x14ac:dyDescent="0.3">
      <c r="A7755" s="733" t="s">
        <v>7821</v>
      </c>
      <c r="B7755" s="733" t="s">
        <v>612</v>
      </c>
      <c r="C7755" s="738" t="s">
        <v>7843</v>
      </c>
      <c r="D7755" s="733"/>
      <c r="E7755" s="733"/>
      <c r="G7755" s="733"/>
      <c r="H7755" s="733"/>
      <c r="I7755" s="733"/>
      <c r="J7755" s="733"/>
      <c r="K7755" s="733"/>
      <c r="L7755" s="733"/>
      <c r="M7755" s="733"/>
    </row>
    <row r="7756" spans="1:13" x14ac:dyDescent="0.3">
      <c r="A7756" s="733" t="s">
        <v>7821</v>
      </c>
      <c r="B7756" s="733" t="s">
        <v>612</v>
      </c>
      <c r="C7756" s="738" t="s">
        <v>7844</v>
      </c>
      <c r="D7756" s="733"/>
      <c r="E7756" s="733"/>
      <c r="G7756" s="733"/>
      <c r="H7756" s="733"/>
      <c r="I7756" s="733"/>
      <c r="J7756" s="733"/>
      <c r="K7756" s="733"/>
      <c r="L7756" s="733"/>
      <c r="M7756" s="733"/>
    </row>
    <row r="7757" spans="1:13" x14ac:dyDescent="0.3">
      <c r="A7757" s="733" t="s">
        <v>7821</v>
      </c>
      <c r="B7757" s="733" t="s">
        <v>612</v>
      </c>
      <c r="C7757" s="738" t="s">
        <v>7845</v>
      </c>
      <c r="D7757" s="733"/>
      <c r="E7757" s="733"/>
      <c r="G7757" s="733"/>
      <c r="H7757" s="733"/>
      <c r="I7757" s="733"/>
      <c r="J7757" s="733"/>
      <c r="K7757" s="733"/>
      <c r="L7757" s="733"/>
      <c r="M7757" s="733"/>
    </row>
    <row r="7758" spans="1:13" x14ac:dyDescent="0.3">
      <c r="A7758" s="733" t="s">
        <v>7821</v>
      </c>
      <c r="B7758" s="733" t="s">
        <v>612</v>
      </c>
      <c r="C7758" s="738" t="s">
        <v>7846</v>
      </c>
      <c r="D7758" s="733"/>
      <c r="E7758" s="733"/>
      <c r="G7758" s="733"/>
      <c r="H7758" s="733"/>
      <c r="I7758" s="733"/>
      <c r="J7758" s="733"/>
      <c r="K7758" s="733"/>
      <c r="L7758" s="733"/>
      <c r="M7758" s="733"/>
    </row>
    <row r="7759" spans="1:13" x14ac:dyDescent="0.3">
      <c r="A7759" s="733" t="s">
        <v>7821</v>
      </c>
      <c r="B7759" s="733" t="s">
        <v>612</v>
      </c>
      <c r="C7759" s="738" t="s">
        <v>7847</v>
      </c>
      <c r="D7759" s="733"/>
      <c r="E7759" s="733"/>
      <c r="G7759" s="733"/>
      <c r="H7759" s="733"/>
      <c r="I7759" s="733"/>
      <c r="J7759" s="733"/>
      <c r="K7759" s="733"/>
      <c r="L7759" s="733"/>
      <c r="M7759" s="733"/>
    </row>
    <row r="7760" spans="1:13" x14ac:dyDescent="0.3">
      <c r="A7760" s="733" t="s">
        <v>7821</v>
      </c>
      <c r="B7760" s="733" t="s">
        <v>612</v>
      </c>
      <c r="C7760" s="738" t="s">
        <v>7848</v>
      </c>
      <c r="D7760" s="733"/>
      <c r="E7760" s="733"/>
      <c r="G7760" s="733"/>
      <c r="H7760" s="733"/>
      <c r="I7760" s="733"/>
      <c r="J7760" s="733"/>
      <c r="K7760" s="733"/>
      <c r="L7760" s="733"/>
      <c r="M7760" s="733"/>
    </row>
    <row r="7761" spans="1:13" x14ac:dyDescent="0.3">
      <c r="A7761" s="733" t="s">
        <v>7821</v>
      </c>
      <c r="B7761" s="733" t="s">
        <v>612</v>
      </c>
      <c r="C7761" s="738" t="s">
        <v>7849</v>
      </c>
      <c r="D7761" s="733"/>
      <c r="E7761" s="733"/>
      <c r="G7761" s="733"/>
      <c r="H7761" s="733"/>
      <c r="I7761" s="733"/>
      <c r="J7761" s="733"/>
      <c r="K7761" s="733"/>
      <c r="L7761" s="733"/>
      <c r="M7761" s="733"/>
    </row>
    <row r="7762" spans="1:13" x14ac:dyDescent="0.3">
      <c r="A7762" s="733" t="s">
        <v>7821</v>
      </c>
      <c r="B7762" s="733" t="s">
        <v>612</v>
      </c>
      <c r="C7762" s="738" t="s">
        <v>7850</v>
      </c>
      <c r="D7762" s="733"/>
      <c r="E7762" s="733"/>
      <c r="G7762" s="733"/>
      <c r="H7762" s="733"/>
      <c r="I7762" s="733"/>
      <c r="J7762" s="733"/>
      <c r="K7762" s="733"/>
      <c r="L7762" s="733"/>
      <c r="M7762" s="733"/>
    </row>
    <row r="7763" spans="1:13" x14ac:dyDescent="0.3">
      <c r="A7763" s="733" t="s">
        <v>7821</v>
      </c>
      <c r="B7763" s="733" t="s">
        <v>612</v>
      </c>
      <c r="C7763" s="738" t="s">
        <v>7851</v>
      </c>
      <c r="D7763" s="733"/>
      <c r="E7763" s="733"/>
      <c r="G7763" s="733"/>
      <c r="H7763" s="733"/>
      <c r="I7763" s="733"/>
      <c r="J7763" s="733"/>
      <c r="K7763" s="733"/>
      <c r="L7763" s="733"/>
      <c r="M7763" s="733"/>
    </row>
    <row r="7764" spans="1:13" x14ac:dyDescent="0.3">
      <c r="A7764" s="733" t="s">
        <v>3302</v>
      </c>
      <c r="B7764" s="733" t="s">
        <v>645</v>
      </c>
      <c r="C7764" s="738" t="s">
        <v>7852</v>
      </c>
      <c r="D7764" s="733"/>
      <c r="E7764" s="733"/>
      <c r="G7764" s="733"/>
      <c r="H7764" s="733"/>
      <c r="I7764" s="733"/>
      <c r="J7764" s="733"/>
      <c r="K7764" s="733"/>
      <c r="L7764" s="733"/>
      <c r="M7764" s="733"/>
    </row>
    <row r="7765" spans="1:13" x14ac:dyDescent="0.3">
      <c r="A7765" s="733" t="s">
        <v>3302</v>
      </c>
      <c r="B7765" s="733" t="s">
        <v>645</v>
      </c>
      <c r="C7765" s="738" t="s">
        <v>7853</v>
      </c>
      <c r="D7765" s="733"/>
      <c r="E7765" s="733"/>
      <c r="G7765" s="733"/>
      <c r="H7765" s="733"/>
      <c r="I7765" s="733"/>
      <c r="J7765" s="733"/>
      <c r="K7765" s="733"/>
      <c r="L7765" s="733"/>
      <c r="M7765" s="733"/>
    </row>
    <row r="7766" spans="1:13" x14ac:dyDescent="0.3">
      <c r="A7766" s="733" t="s">
        <v>3302</v>
      </c>
      <c r="B7766" s="733" t="s">
        <v>645</v>
      </c>
      <c r="C7766" s="738" t="s">
        <v>7854</v>
      </c>
      <c r="D7766" s="733"/>
      <c r="E7766" s="733"/>
      <c r="G7766" s="733"/>
      <c r="H7766" s="733"/>
      <c r="I7766" s="733"/>
      <c r="J7766" s="733"/>
      <c r="K7766" s="733"/>
      <c r="L7766" s="733"/>
      <c r="M7766" s="733"/>
    </row>
    <row r="7767" spans="1:13" x14ac:dyDescent="0.3">
      <c r="A7767" s="733" t="s">
        <v>3302</v>
      </c>
      <c r="B7767" s="733" t="s">
        <v>645</v>
      </c>
      <c r="C7767" s="738" t="s">
        <v>7855</v>
      </c>
      <c r="D7767" s="733"/>
      <c r="E7767" s="733"/>
      <c r="G7767" s="733"/>
      <c r="H7767" s="733"/>
      <c r="I7767" s="733"/>
      <c r="J7767" s="733"/>
      <c r="K7767" s="733"/>
      <c r="L7767" s="733"/>
      <c r="M7767" s="733"/>
    </row>
    <row r="7768" spans="1:13" x14ac:dyDescent="0.3">
      <c r="A7768" s="733" t="s">
        <v>3302</v>
      </c>
      <c r="B7768" s="733" t="s">
        <v>645</v>
      </c>
      <c r="C7768" s="738" t="s">
        <v>7856</v>
      </c>
      <c r="D7768" s="733"/>
      <c r="E7768" s="733"/>
      <c r="G7768" s="733"/>
      <c r="H7768" s="733"/>
      <c r="I7768" s="733"/>
      <c r="J7768" s="733"/>
      <c r="K7768" s="733"/>
      <c r="L7768" s="733"/>
      <c r="M7768" s="733"/>
    </row>
    <row r="7769" spans="1:13" x14ac:dyDescent="0.3">
      <c r="A7769" s="733" t="s">
        <v>3302</v>
      </c>
      <c r="B7769" s="733" t="s">
        <v>645</v>
      </c>
      <c r="C7769" s="738" t="s">
        <v>7857</v>
      </c>
      <c r="D7769" s="733"/>
      <c r="E7769" s="733"/>
      <c r="G7769" s="733"/>
      <c r="H7769" s="733"/>
      <c r="I7769" s="733"/>
      <c r="J7769" s="733"/>
      <c r="K7769" s="733"/>
      <c r="L7769" s="733"/>
      <c r="M7769" s="733"/>
    </row>
    <row r="7770" spans="1:13" x14ac:dyDescent="0.3">
      <c r="A7770" s="733" t="s">
        <v>3302</v>
      </c>
      <c r="B7770" s="733" t="s">
        <v>645</v>
      </c>
      <c r="C7770" s="738" t="s">
        <v>7858</v>
      </c>
      <c r="D7770" s="733"/>
      <c r="E7770" s="733"/>
      <c r="G7770" s="733"/>
      <c r="H7770" s="733"/>
      <c r="I7770" s="733"/>
      <c r="J7770" s="733"/>
      <c r="K7770" s="733"/>
      <c r="L7770" s="733"/>
      <c r="M7770" s="733"/>
    </row>
    <row r="7771" spans="1:13" x14ac:dyDescent="0.3">
      <c r="A7771" s="733" t="s">
        <v>3302</v>
      </c>
      <c r="B7771" s="733" t="s">
        <v>645</v>
      </c>
      <c r="C7771" s="738" t="s">
        <v>7859</v>
      </c>
      <c r="D7771" s="733"/>
      <c r="E7771" s="733"/>
      <c r="G7771" s="733"/>
      <c r="H7771" s="733"/>
      <c r="I7771" s="733"/>
      <c r="J7771" s="733"/>
      <c r="K7771" s="733"/>
      <c r="L7771" s="733"/>
      <c r="M7771" s="733"/>
    </row>
    <row r="7772" spans="1:13" x14ac:dyDescent="0.3">
      <c r="A7772" s="733" t="s">
        <v>3302</v>
      </c>
      <c r="B7772" s="733" t="s">
        <v>645</v>
      </c>
      <c r="C7772" s="738" t="s">
        <v>7860</v>
      </c>
      <c r="D7772" s="733"/>
      <c r="E7772" s="733"/>
      <c r="G7772" s="733"/>
      <c r="H7772" s="733"/>
      <c r="I7772" s="733"/>
      <c r="J7772" s="733"/>
      <c r="K7772" s="733"/>
      <c r="L7772" s="733"/>
      <c r="M7772" s="733"/>
    </row>
    <row r="7773" spans="1:13" x14ac:dyDescent="0.3">
      <c r="A7773" s="733" t="s">
        <v>3302</v>
      </c>
      <c r="B7773" s="733" t="s">
        <v>645</v>
      </c>
      <c r="C7773" s="738" t="s">
        <v>7861</v>
      </c>
      <c r="D7773" s="733"/>
      <c r="E7773" s="733"/>
      <c r="G7773" s="733"/>
      <c r="H7773" s="733"/>
      <c r="I7773" s="733"/>
      <c r="J7773" s="733"/>
      <c r="K7773" s="733"/>
      <c r="L7773" s="733"/>
      <c r="M7773" s="733"/>
    </row>
    <row r="7774" spans="1:13" x14ac:dyDescent="0.3">
      <c r="A7774" s="733" t="s">
        <v>3302</v>
      </c>
      <c r="B7774" s="733" t="s">
        <v>664</v>
      </c>
      <c r="C7774" s="738" t="s">
        <v>7862</v>
      </c>
      <c r="D7774" s="733"/>
      <c r="E7774" s="733"/>
      <c r="G7774" s="733"/>
      <c r="H7774" s="733"/>
      <c r="I7774" s="733"/>
      <c r="J7774" s="733"/>
      <c r="K7774" s="733"/>
      <c r="L7774" s="733"/>
      <c r="M7774" s="733"/>
    </row>
    <row r="7775" spans="1:13" x14ac:dyDescent="0.3">
      <c r="A7775" s="733" t="s">
        <v>3302</v>
      </c>
      <c r="B7775" s="733" t="s">
        <v>664</v>
      </c>
      <c r="C7775" s="738" t="s">
        <v>7863</v>
      </c>
      <c r="D7775" s="733"/>
      <c r="E7775" s="733"/>
      <c r="G7775" s="733"/>
      <c r="H7775" s="733"/>
      <c r="I7775" s="733"/>
      <c r="J7775" s="733"/>
      <c r="K7775" s="733"/>
      <c r="L7775" s="733"/>
      <c r="M7775" s="733"/>
    </row>
    <row r="7776" spans="1:13" x14ac:dyDescent="0.3">
      <c r="A7776" s="733" t="s">
        <v>3302</v>
      </c>
      <c r="B7776" s="733" t="s">
        <v>664</v>
      </c>
      <c r="C7776" s="738" t="s">
        <v>7864</v>
      </c>
      <c r="D7776" s="733"/>
      <c r="E7776" s="733"/>
      <c r="G7776" s="733"/>
      <c r="H7776" s="733"/>
      <c r="I7776" s="733"/>
      <c r="J7776" s="733"/>
      <c r="K7776" s="733"/>
      <c r="L7776" s="733"/>
      <c r="M7776" s="733"/>
    </row>
    <row r="7777" spans="1:13" x14ac:dyDescent="0.3">
      <c r="A7777" s="733" t="s">
        <v>3302</v>
      </c>
      <c r="B7777" s="733" t="s">
        <v>664</v>
      </c>
      <c r="C7777" s="738" t="s">
        <v>7865</v>
      </c>
      <c r="D7777" s="733"/>
      <c r="E7777" s="733"/>
      <c r="G7777" s="733"/>
      <c r="H7777" s="733"/>
      <c r="I7777" s="733"/>
      <c r="J7777" s="733"/>
      <c r="K7777" s="733"/>
      <c r="L7777" s="733"/>
      <c r="M7777" s="733"/>
    </row>
    <row r="7778" spans="1:13" x14ac:dyDescent="0.3">
      <c r="A7778" s="733" t="s">
        <v>3302</v>
      </c>
      <c r="B7778" s="733" t="s">
        <v>664</v>
      </c>
      <c r="C7778" s="738" t="s">
        <v>7866</v>
      </c>
      <c r="D7778" s="733"/>
      <c r="E7778" s="733"/>
      <c r="G7778" s="733"/>
      <c r="H7778" s="733"/>
      <c r="I7778" s="733"/>
      <c r="J7778" s="733"/>
      <c r="K7778" s="733"/>
      <c r="L7778" s="733"/>
      <c r="M7778" s="733"/>
    </row>
    <row r="7779" spans="1:13" x14ac:dyDescent="0.3">
      <c r="A7779" s="733" t="s">
        <v>3302</v>
      </c>
      <c r="B7779" s="733" t="s">
        <v>664</v>
      </c>
      <c r="C7779" s="738" t="s">
        <v>7867</v>
      </c>
      <c r="D7779" s="733"/>
      <c r="E7779" s="733"/>
      <c r="G7779" s="733"/>
      <c r="H7779" s="733"/>
      <c r="I7779" s="733"/>
      <c r="J7779" s="733"/>
      <c r="K7779" s="733"/>
      <c r="L7779" s="733"/>
      <c r="M7779" s="733"/>
    </row>
    <row r="7780" spans="1:13" x14ac:dyDescent="0.3">
      <c r="A7780" s="733" t="s">
        <v>3302</v>
      </c>
      <c r="B7780" s="733" t="s">
        <v>664</v>
      </c>
      <c r="C7780" s="738" t="s">
        <v>7868</v>
      </c>
      <c r="D7780" s="733"/>
      <c r="E7780" s="733"/>
      <c r="G7780" s="733"/>
      <c r="H7780" s="733"/>
      <c r="I7780" s="733"/>
      <c r="J7780" s="733"/>
      <c r="K7780" s="733"/>
      <c r="L7780" s="733"/>
      <c r="M7780" s="733"/>
    </row>
    <row r="7781" spans="1:13" x14ac:dyDescent="0.3">
      <c r="A7781" s="733" t="s">
        <v>3302</v>
      </c>
      <c r="B7781" s="733" t="s">
        <v>664</v>
      </c>
      <c r="C7781" s="738" t="s">
        <v>7869</v>
      </c>
      <c r="D7781" s="733"/>
      <c r="E7781" s="733"/>
      <c r="G7781" s="733"/>
      <c r="H7781" s="733"/>
      <c r="I7781" s="733"/>
      <c r="J7781" s="733"/>
      <c r="K7781" s="733"/>
      <c r="L7781" s="733"/>
      <c r="M7781" s="733"/>
    </row>
    <row r="7782" spans="1:13" x14ac:dyDescent="0.3">
      <c r="A7782" s="733" t="s">
        <v>3302</v>
      </c>
      <c r="B7782" s="733" t="s">
        <v>664</v>
      </c>
      <c r="C7782" s="738" t="s">
        <v>7870</v>
      </c>
      <c r="D7782" s="733"/>
      <c r="E7782" s="733"/>
      <c r="G7782" s="733"/>
      <c r="H7782" s="733"/>
      <c r="I7782" s="733"/>
      <c r="J7782" s="733"/>
      <c r="K7782" s="733"/>
      <c r="L7782" s="733"/>
      <c r="M7782" s="733"/>
    </row>
    <row r="7783" spans="1:13" x14ac:dyDescent="0.3">
      <c r="A7783" s="733" t="s">
        <v>3302</v>
      </c>
      <c r="B7783" s="733" t="s">
        <v>664</v>
      </c>
      <c r="C7783" s="738" t="s">
        <v>7871</v>
      </c>
      <c r="D7783" s="733"/>
      <c r="E7783" s="733"/>
      <c r="G7783" s="733"/>
      <c r="H7783" s="733"/>
      <c r="I7783" s="733"/>
      <c r="J7783" s="733"/>
      <c r="K7783" s="733"/>
      <c r="L7783" s="733"/>
      <c r="M7783" s="733"/>
    </row>
    <row r="7784" spans="1:13" x14ac:dyDescent="0.3">
      <c r="A7784" s="733" t="s">
        <v>3302</v>
      </c>
      <c r="B7784" s="733" t="s">
        <v>612</v>
      </c>
      <c r="C7784" s="738" t="s">
        <v>7872</v>
      </c>
      <c r="D7784" s="733"/>
      <c r="E7784" s="733"/>
      <c r="G7784" s="733"/>
      <c r="H7784" s="733"/>
      <c r="I7784" s="733"/>
      <c r="J7784" s="733"/>
      <c r="K7784" s="733"/>
      <c r="L7784" s="733"/>
      <c r="M7784" s="733"/>
    </row>
    <row r="7785" spans="1:13" x14ac:dyDescent="0.3">
      <c r="A7785" s="733" t="s">
        <v>3302</v>
      </c>
      <c r="B7785" s="733" t="s">
        <v>612</v>
      </c>
      <c r="C7785" s="738" t="s">
        <v>7873</v>
      </c>
      <c r="D7785" s="733"/>
      <c r="E7785" s="733"/>
      <c r="G7785" s="733"/>
      <c r="H7785" s="733"/>
      <c r="I7785" s="733"/>
      <c r="J7785" s="733"/>
      <c r="K7785" s="733"/>
      <c r="L7785" s="733"/>
      <c r="M7785" s="733"/>
    </row>
    <row r="7786" spans="1:13" x14ac:dyDescent="0.3">
      <c r="A7786" s="733" t="s">
        <v>3302</v>
      </c>
      <c r="B7786" s="733" t="s">
        <v>612</v>
      </c>
      <c r="C7786" s="738" t="s">
        <v>7874</v>
      </c>
      <c r="D7786" s="733"/>
      <c r="E7786" s="733"/>
      <c r="G7786" s="733"/>
      <c r="H7786" s="733"/>
      <c r="I7786" s="733"/>
      <c r="J7786" s="733"/>
      <c r="K7786" s="733"/>
      <c r="L7786" s="733"/>
      <c r="M7786" s="733"/>
    </row>
    <row r="7787" spans="1:13" x14ac:dyDescent="0.3">
      <c r="A7787" s="733" t="s">
        <v>3302</v>
      </c>
      <c r="B7787" s="733" t="s">
        <v>612</v>
      </c>
      <c r="C7787" s="738" t="s">
        <v>7875</v>
      </c>
      <c r="D7787" s="733"/>
      <c r="E7787" s="733"/>
      <c r="G7787" s="733"/>
      <c r="H7787" s="733"/>
      <c r="I7787" s="733"/>
      <c r="J7787" s="733"/>
      <c r="K7787" s="733"/>
      <c r="L7787" s="733"/>
      <c r="M7787" s="733"/>
    </row>
    <row r="7788" spans="1:13" x14ac:dyDescent="0.3">
      <c r="A7788" s="733" t="s">
        <v>3302</v>
      </c>
      <c r="B7788" s="733" t="s">
        <v>612</v>
      </c>
      <c r="C7788" s="738" t="s">
        <v>7876</v>
      </c>
      <c r="D7788" s="733"/>
      <c r="E7788" s="733"/>
      <c r="G7788" s="733"/>
      <c r="H7788" s="733"/>
      <c r="I7788" s="733"/>
      <c r="J7788" s="733"/>
      <c r="K7788" s="733"/>
      <c r="L7788" s="733"/>
      <c r="M7788" s="733"/>
    </row>
    <row r="7789" spans="1:13" x14ac:dyDescent="0.3">
      <c r="A7789" s="733" t="s">
        <v>3302</v>
      </c>
      <c r="B7789" s="733" t="s">
        <v>612</v>
      </c>
      <c r="C7789" s="738" t="s">
        <v>7877</v>
      </c>
      <c r="D7789" s="733"/>
      <c r="E7789" s="733"/>
      <c r="G7789" s="733"/>
      <c r="H7789" s="733"/>
      <c r="I7789" s="733"/>
      <c r="J7789" s="733"/>
      <c r="K7789" s="733"/>
      <c r="L7789" s="733"/>
      <c r="M7789" s="733"/>
    </row>
    <row r="7790" spans="1:13" x14ac:dyDescent="0.3">
      <c r="A7790" s="733" t="s">
        <v>3302</v>
      </c>
      <c r="B7790" s="733" t="s">
        <v>612</v>
      </c>
      <c r="C7790" s="738" t="s">
        <v>7878</v>
      </c>
      <c r="D7790" s="733"/>
      <c r="E7790" s="733"/>
      <c r="G7790" s="733"/>
      <c r="H7790" s="733"/>
      <c r="I7790" s="733"/>
      <c r="J7790" s="733"/>
      <c r="K7790" s="733"/>
      <c r="L7790" s="733"/>
      <c r="M7790" s="733"/>
    </row>
    <row r="7791" spans="1:13" x14ac:dyDescent="0.3">
      <c r="A7791" s="733" t="s">
        <v>3302</v>
      </c>
      <c r="B7791" s="733" t="s">
        <v>612</v>
      </c>
      <c r="C7791" s="738" t="s">
        <v>7879</v>
      </c>
      <c r="D7791" s="733"/>
      <c r="E7791" s="733"/>
      <c r="G7791" s="733"/>
      <c r="H7791" s="733"/>
      <c r="I7791" s="733"/>
      <c r="J7791" s="733"/>
      <c r="K7791" s="733"/>
      <c r="L7791" s="733"/>
      <c r="M7791" s="733"/>
    </row>
    <row r="7792" spans="1:13" x14ac:dyDescent="0.3">
      <c r="A7792" s="733" t="s">
        <v>3302</v>
      </c>
      <c r="B7792" s="733" t="s">
        <v>612</v>
      </c>
      <c r="C7792" s="738" t="s">
        <v>7880</v>
      </c>
      <c r="D7792" s="733"/>
      <c r="E7792" s="733"/>
      <c r="G7792" s="733"/>
      <c r="H7792" s="733"/>
      <c r="I7792" s="733"/>
      <c r="J7792" s="733"/>
      <c r="K7792" s="733"/>
      <c r="L7792" s="733"/>
      <c r="M7792" s="733"/>
    </row>
    <row r="7793" spans="1:13" x14ac:dyDescent="0.3">
      <c r="A7793" s="733" t="s">
        <v>3302</v>
      </c>
      <c r="B7793" s="733" t="s">
        <v>612</v>
      </c>
      <c r="C7793" s="738" t="s">
        <v>7881</v>
      </c>
      <c r="D7793" s="733"/>
      <c r="E7793" s="733"/>
      <c r="G7793" s="733"/>
      <c r="H7793" s="733"/>
      <c r="I7793" s="733"/>
      <c r="J7793" s="733"/>
      <c r="K7793" s="733"/>
      <c r="L7793" s="733"/>
      <c r="M7793" s="733"/>
    </row>
    <row r="7794" spans="1:13" x14ac:dyDescent="0.3">
      <c r="A7794" s="733" t="s">
        <v>7882</v>
      </c>
      <c r="B7794" s="733" t="s">
        <v>645</v>
      </c>
      <c r="C7794" s="738" t="s">
        <v>7883</v>
      </c>
      <c r="D7794" s="733"/>
      <c r="E7794" s="733"/>
      <c r="G7794" s="733"/>
      <c r="H7794" s="733"/>
      <c r="I7794" s="733"/>
      <c r="J7794" s="733"/>
      <c r="K7794" s="733"/>
      <c r="L7794" s="733"/>
      <c r="M7794" s="733"/>
    </row>
    <row r="7795" spans="1:13" x14ac:dyDescent="0.3">
      <c r="A7795" s="733" t="s">
        <v>7882</v>
      </c>
      <c r="B7795" s="733" t="s">
        <v>645</v>
      </c>
      <c r="C7795" s="738" t="s">
        <v>7884</v>
      </c>
      <c r="D7795" s="733"/>
      <c r="E7795" s="733"/>
      <c r="G7795" s="733"/>
      <c r="H7795" s="733"/>
      <c r="I7795" s="733"/>
      <c r="J7795" s="733"/>
      <c r="K7795" s="733"/>
      <c r="L7795" s="733"/>
      <c r="M7795" s="733"/>
    </row>
    <row r="7796" spans="1:13" x14ac:dyDescent="0.3">
      <c r="A7796" s="733" t="s">
        <v>7882</v>
      </c>
      <c r="B7796" s="733" t="s">
        <v>645</v>
      </c>
      <c r="C7796" s="738" t="s">
        <v>7885</v>
      </c>
      <c r="D7796" s="733"/>
      <c r="E7796" s="733"/>
      <c r="G7796" s="733"/>
      <c r="H7796" s="733"/>
      <c r="I7796" s="733"/>
      <c r="J7796" s="733"/>
      <c r="K7796" s="733"/>
      <c r="L7796" s="733"/>
      <c r="M7796" s="733"/>
    </row>
    <row r="7797" spans="1:13" x14ac:dyDescent="0.3">
      <c r="A7797" s="733" t="s">
        <v>7882</v>
      </c>
      <c r="B7797" s="733" t="s">
        <v>645</v>
      </c>
      <c r="C7797" s="738" t="s">
        <v>7886</v>
      </c>
      <c r="D7797" s="733"/>
      <c r="E7797" s="733"/>
      <c r="G7797" s="733"/>
      <c r="H7797" s="733"/>
      <c r="I7797" s="733"/>
      <c r="J7797" s="733"/>
      <c r="K7797" s="733"/>
      <c r="L7797" s="733"/>
      <c r="M7797" s="733"/>
    </row>
    <row r="7798" spans="1:13" x14ac:dyDescent="0.3">
      <c r="A7798" s="733" t="s">
        <v>7882</v>
      </c>
      <c r="B7798" s="733" t="s">
        <v>645</v>
      </c>
      <c r="C7798" s="738" t="s">
        <v>7887</v>
      </c>
      <c r="D7798" s="733"/>
      <c r="E7798" s="733"/>
      <c r="G7798" s="733"/>
      <c r="H7798" s="733"/>
      <c r="I7798" s="733"/>
      <c r="J7798" s="733"/>
      <c r="K7798" s="733"/>
      <c r="L7798" s="733"/>
      <c r="M7798" s="733"/>
    </row>
    <row r="7799" spans="1:13" x14ac:dyDescent="0.3">
      <c r="A7799" s="733" t="s">
        <v>7882</v>
      </c>
      <c r="B7799" s="733" t="s">
        <v>645</v>
      </c>
      <c r="C7799" s="738" t="s">
        <v>7888</v>
      </c>
      <c r="D7799" s="733"/>
      <c r="E7799" s="733"/>
      <c r="G7799" s="733"/>
      <c r="H7799" s="733"/>
      <c r="I7799" s="733"/>
      <c r="J7799" s="733"/>
      <c r="K7799" s="733"/>
      <c r="L7799" s="733"/>
      <c r="M7799" s="733"/>
    </row>
    <row r="7800" spans="1:13" x14ac:dyDescent="0.3">
      <c r="A7800" s="733" t="s">
        <v>7882</v>
      </c>
      <c r="B7800" s="733" t="s">
        <v>645</v>
      </c>
      <c r="C7800" s="738" t="s">
        <v>7889</v>
      </c>
      <c r="D7800" s="733"/>
      <c r="E7800" s="733"/>
      <c r="G7800" s="733"/>
      <c r="H7800" s="733"/>
      <c r="I7800" s="733"/>
      <c r="J7800" s="733"/>
      <c r="K7800" s="733"/>
      <c r="L7800" s="733"/>
      <c r="M7800" s="733"/>
    </row>
    <row r="7801" spans="1:13" x14ac:dyDescent="0.3">
      <c r="A7801" s="733" t="s">
        <v>7882</v>
      </c>
      <c r="B7801" s="733" t="s">
        <v>645</v>
      </c>
      <c r="C7801" s="738" t="s">
        <v>7890</v>
      </c>
      <c r="D7801" s="733"/>
      <c r="E7801" s="733"/>
      <c r="G7801" s="733"/>
      <c r="H7801" s="733"/>
      <c r="I7801" s="733"/>
      <c r="J7801" s="733"/>
      <c r="K7801" s="733"/>
      <c r="L7801" s="733"/>
      <c r="M7801" s="733"/>
    </row>
    <row r="7802" spans="1:13" x14ac:dyDescent="0.3">
      <c r="A7802" s="733" t="s">
        <v>7882</v>
      </c>
      <c r="B7802" s="733" t="s">
        <v>645</v>
      </c>
      <c r="C7802" s="738" t="s">
        <v>7891</v>
      </c>
      <c r="D7802" s="733"/>
      <c r="E7802" s="733"/>
      <c r="G7802" s="733"/>
      <c r="H7802" s="733"/>
      <c r="I7802" s="733"/>
      <c r="J7802" s="733"/>
      <c r="K7802" s="733"/>
      <c r="L7802" s="733"/>
      <c r="M7802" s="733"/>
    </row>
    <row r="7803" spans="1:13" x14ac:dyDescent="0.3">
      <c r="A7803" s="733" t="s">
        <v>7882</v>
      </c>
      <c r="B7803" s="733" t="s">
        <v>645</v>
      </c>
      <c r="C7803" s="738" t="s">
        <v>7892</v>
      </c>
      <c r="D7803" s="733"/>
      <c r="E7803" s="733"/>
      <c r="G7803" s="733"/>
      <c r="H7803" s="733"/>
      <c r="I7803" s="733"/>
      <c r="J7803" s="733"/>
      <c r="K7803" s="733"/>
      <c r="L7803" s="733"/>
      <c r="M7803" s="733"/>
    </row>
    <row r="7804" spans="1:13" x14ac:dyDescent="0.3">
      <c r="A7804" s="733" t="s">
        <v>7882</v>
      </c>
      <c r="B7804" s="733" t="s">
        <v>664</v>
      </c>
      <c r="C7804" s="738" t="s">
        <v>7893</v>
      </c>
      <c r="D7804" s="733"/>
      <c r="E7804" s="733"/>
      <c r="G7804" s="733"/>
      <c r="H7804" s="733"/>
      <c r="I7804" s="733"/>
      <c r="J7804" s="733"/>
      <c r="K7804" s="733"/>
      <c r="L7804" s="733"/>
      <c r="M7804" s="733"/>
    </row>
    <row r="7805" spans="1:13" x14ac:dyDescent="0.3">
      <c r="A7805" s="733" t="s">
        <v>7882</v>
      </c>
      <c r="B7805" s="733" t="s">
        <v>664</v>
      </c>
      <c r="C7805" s="738" t="s">
        <v>7894</v>
      </c>
      <c r="D7805" s="733"/>
      <c r="E7805" s="733"/>
      <c r="G7805" s="733"/>
      <c r="H7805" s="733"/>
      <c r="I7805" s="733"/>
      <c r="J7805" s="733"/>
      <c r="K7805" s="733"/>
      <c r="L7805" s="733"/>
      <c r="M7805" s="733"/>
    </row>
    <row r="7806" spans="1:13" x14ac:dyDescent="0.3">
      <c r="A7806" s="733" t="s">
        <v>7882</v>
      </c>
      <c r="B7806" s="733" t="s">
        <v>664</v>
      </c>
      <c r="C7806" s="738" t="s">
        <v>7895</v>
      </c>
      <c r="D7806" s="733"/>
      <c r="E7806" s="733"/>
      <c r="G7806" s="733"/>
      <c r="H7806" s="733"/>
      <c r="I7806" s="733"/>
      <c r="J7806" s="733"/>
      <c r="K7806" s="733"/>
      <c r="L7806" s="733"/>
      <c r="M7806" s="733"/>
    </row>
    <row r="7807" spans="1:13" x14ac:dyDescent="0.3">
      <c r="A7807" s="733" t="s">
        <v>7882</v>
      </c>
      <c r="B7807" s="733" t="s">
        <v>664</v>
      </c>
      <c r="C7807" s="738" t="s">
        <v>7896</v>
      </c>
      <c r="D7807" s="733"/>
      <c r="E7807" s="733"/>
      <c r="G7807" s="733"/>
      <c r="H7807" s="733"/>
      <c r="I7807" s="733"/>
      <c r="J7807" s="733"/>
      <c r="K7807" s="733"/>
      <c r="L7807" s="733"/>
      <c r="M7807" s="733"/>
    </row>
    <row r="7808" spans="1:13" x14ac:dyDescent="0.3">
      <c r="A7808" s="733" t="s">
        <v>7882</v>
      </c>
      <c r="B7808" s="733" t="s">
        <v>664</v>
      </c>
      <c r="C7808" s="738" t="s">
        <v>7897</v>
      </c>
      <c r="D7808" s="733"/>
      <c r="E7808" s="733"/>
      <c r="G7808" s="733"/>
      <c r="H7808" s="733"/>
      <c r="I7808" s="733"/>
      <c r="J7808" s="733"/>
      <c r="K7808" s="733"/>
      <c r="L7808" s="733"/>
      <c r="M7808" s="733"/>
    </row>
    <row r="7809" spans="1:13" x14ac:dyDescent="0.3">
      <c r="A7809" s="733" t="s">
        <v>7882</v>
      </c>
      <c r="B7809" s="733" t="s">
        <v>664</v>
      </c>
      <c r="C7809" s="738" t="s">
        <v>7898</v>
      </c>
      <c r="D7809" s="733"/>
      <c r="E7809" s="733"/>
      <c r="G7809" s="733"/>
      <c r="H7809" s="733"/>
      <c r="I7809" s="733"/>
      <c r="J7809" s="733"/>
      <c r="K7809" s="733"/>
      <c r="L7809" s="733"/>
      <c r="M7809" s="733"/>
    </row>
    <row r="7810" spans="1:13" x14ac:dyDescent="0.3">
      <c r="A7810" s="733" t="s">
        <v>7882</v>
      </c>
      <c r="B7810" s="733" t="s">
        <v>664</v>
      </c>
      <c r="C7810" s="738" t="s">
        <v>7899</v>
      </c>
      <c r="D7810" s="733"/>
      <c r="E7810" s="733"/>
      <c r="G7810" s="733"/>
      <c r="H7810" s="733"/>
      <c r="I7810" s="733"/>
      <c r="J7810" s="733"/>
      <c r="K7810" s="733"/>
      <c r="L7810" s="733"/>
      <c r="M7810" s="733"/>
    </row>
    <row r="7811" spans="1:13" x14ac:dyDescent="0.3">
      <c r="A7811" s="733" t="s">
        <v>7882</v>
      </c>
      <c r="B7811" s="733" t="s">
        <v>664</v>
      </c>
      <c r="C7811" s="738" t="s">
        <v>7900</v>
      </c>
      <c r="D7811" s="733"/>
      <c r="E7811" s="733"/>
      <c r="G7811" s="733"/>
      <c r="H7811" s="733"/>
      <c r="I7811" s="733"/>
      <c r="J7811" s="733"/>
      <c r="K7811" s="733"/>
      <c r="L7811" s="733"/>
      <c r="M7811" s="733"/>
    </row>
    <row r="7812" spans="1:13" x14ac:dyDescent="0.3">
      <c r="A7812" s="733" t="s">
        <v>7882</v>
      </c>
      <c r="B7812" s="733" t="s">
        <v>664</v>
      </c>
      <c r="C7812" s="738" t="s">
        <v>7901</v>
      </c>
      <c r="D7812" s="733"/>
      <c r="E7812" s="733"/>
      <c r="G7812" s="733"/>
      <c r="H7812" s="733"/>
      <c r="I7812" s="733"/>
      <c r="J7812" s="733"/>
      <c r="K7812" s="733"/>
      <c r="L7812" s="733"/>
      <c r="M7812" s="733"/>
    </row>
    <row r="7813" spans="1:13" x14ac:dyDescent="0.3">
      <c r="A7813" s="733" t="s">
        <v>7882</v>
      </c>
      <c r="B7813" s="733" t="s">
        <v>664</v>
      </c>
      <c r="C7813" s="738" t="s">
        <v>7902</v>
      </c>
      <c r="D7813" s="733"/>
      <c r="E7813" s="733"/>
      <c r="G7813" s="733"/>
      <c r="H7813" s="733"/>
      <c r="I7813" s="733"/>
      <c r="J7813" s="733"/>
      <c r="K7813" s="733"/>
      <c r="L7813" s="733"/>
      <c r="M7813" s="733"/>
    </row>
    <row r="7814" spans="1:13" x14ac:dyDescent="0.3">
      <c r="A7814" s="733" t="s">
        <v>7882</v>
      </c>
      <c r="B7814" s="733" t="s">
        <v>612</v>
      </c>
      <c r="C7814" s="738" t="s">
        <v>7903</v>
      </c>
      <c r="D7814" s="733"/>
      <c r="E7814" s="733"/>
      <c r="G7814" s="733"/>
      <c r="H7814" s="733"/>
      <c r="I7814" s="733"/>
      <c r="J7814" s="733"/>
      <c r="K7814" s="733"/>
      <c r="L7814" s="733"/>
      <c r="M7814" s="733"/>
    </row>
    <row r="7815" spans="1:13" x14ac:dyDescent="0.3">
      <c r="A7815" s="733" t="s">
        <v>7882</v>
      </c>
      <c r="B7815" s="733" t="s">
        <v>612</v>
      </c>
      <c r="C7815" s="738" t="s">
        <v>7904</v>
      </c>
      <c r="D7815" s="733"/>
      <c r="E7815" s="733"/>
      <c r="G7815" s="733"/>
      <c r="H7815" s="733"/>
      <c r="I7815" s="733"/>
      <c r="J7815" s="733"/>
      <c r="K7815" s="733"/>
      <c r="L7815" s="733"/>
      <c r="M7815" s="733"/>
    </row>
    <row r="7816" spans="1:13" x14ac:dyDescent="0.3">
      <c r="A7816" s="733" t="s">
        <v>7882</v>
      </c>
      <c r="B7816" s="733" t="s">
        <v>612</v>
      </c>
      <c r="C7816" s="738" t="s">
        <v>7905</v>
      </c>
      <c r="D7816" s="733"/>
      <c r="E7816" s="733"/>
      <c r="G7816" s="733"/>
      <c r="H7816" s="733"/>
      <c r="I7816" s="733"/>
      <c r="J7816" s="733"/>
      <c r="K7816" s="733"/>
      <c r="L7816" s="733"/>
      <c r="M7816" s="733"/>
    </row>
    <row r="7817" spans="1:13" x14ac:dyDescent="0.3">
      <c r="A7817" s="733" t="s">
        <v>7882</v>
      </c>
      <c r="B7817" s="733" t="s">
        <v>612</v>
      </c>
      <c r="C7817" s="738" t="s">
        <v>7906</v>
      </c>
      <c r="D7817" s="733"/>
      <c r="E7817" s="733"/>
      <c r="G7817" s="733"/>
      <c r="H7817" s="733"/>
      <c r="I7817" s="733"/>
      <c r="J7817" s="733"/>
      <c r="K7817" s="733"/>
      <c r="L7817" s="733"/>
      <c r="M7817" s="733"/>
    </row>
    <row r="7818" spans="1:13" x14ac:dyDescent="0.3">
      <c r="A7818" s="733" t="s">
        <v>7882</v>
      </c>
      <c r="B7818" s="733" t="s">
        <v>612</v>
      </c>
      <c r="C7818" s="738" t="s">
        <v>7907</v>
      </c>
      <c r="D7818" s="733"/>
      <c r="E7818" s="733"/>
      <c r="G7818" s="733"/>
      <c r="H7818" s="733"/>
      <c r="I7818" s="733"/>
      <c r="J7818" s="733"/>
      <c r="K7818" s="733"/>
      <c r="L7818" s="733"/>
      <c r="M7818" s="733"/>
    </row>
    <row r="7819" spans="1:13" x14ac:dyDescent="0.3">
      <c r="A7819" s="733" t="s">
        <v>7882</v>
      </c>
      <c r="B7819" s="733" t="s">
        <v>612</v>
      </c>
      <c r="C7819" s="738" t="s">
        <v>7908</v>
      </c>
      <c r="D7819" s="733"/>
      <c r="E7819" s="733"/>
      <c r="G7819" s="733"/>
      <c r="H7819" s="733"/>
      <c r="I7819" s="733"/>
      <c r="J7819" s="733"/>
      <c r="K7819" s="733"/>
      <c r="L7819" s="733"/>
      <c r="M7819" s="733"/>
    </row>
    <row r="7820" spans="1:13" x14ac:dyDescent="0.3">
      <c r="A7820" s="733" t="s">
        <v>7882</v>
      </c>
      <c r="B7820" s="733" t="s">
        <v>612</v>
      </c>
      <c r="C7820" s="738" t="s">
        <v>7909</v>
      </c>
      <c r="D7820" s="733"/>
      <c r="E7820" s="733"/>
      <c r="G7820" s="733"/>
      <c r="H7820" s="733"/>
      <c r="I7820" s="733"/>
      <c r="J7820" s="733"/>
      <c r="K7820" s="733"/>
      <c r="L7820" s="733"/>
      <c r="M7820" s="733"/>
    </row>
    <row r="7821" spans="1:13" x14ac:dyDescent="0.3">
      <c r="A7821" s="733" t="s">
        <v>7882</v>
      </c>
      <c r="B7821" s="733" t="s">
        <v>612</v>
      </c>
      <c r="C7821" s="738" t="s">
        <v>7910</v>
      </c>
      <c r="D7821" s="733"/>
      <c r="E7821" s="733"/>
      <c r="G7821" s="733"/>
      <c r="H7821" s="733"/>
      <c r="I7821" s="733"/>
      <c r="J7821" s="733"/>
      <c r="K7821" s="733"/>
      <c r="L7821" s="733"/>
      <c r="M7821" s="733"/>
    </row>
    <row r="7822" spans="1:13" x14ac:dyDescent="0.3">
      <c r="A7822" s="733" t="s">
        <v>7882</v>
      </c>
      <c r="B7822" s="733" t="s">
        <v>612</v>
      </c>
      <c r="C7822" s="738" t="s">
        <v>7911</v>
      </c>
      <c r="D7822" s="733"/>
      <c r="E7822" s="733"/>
      <c r="G7822" s="733"/>
      <c r="H7822" s="733"/>
      <c r="I7822" s="733"/>
      <c r="J7822" s="733"/>
      <c r="K7822" s="733"/>
      <c r="L7822" s="733"/>
      <c r="M7822" s="733"/>
    </row>
    <row r="7823" spans="1:13" x14ac:dyDescent="0.3">
      <c r="A7823" s="733" t="s">
        <v>7882</v>
      </c>
      <c r="B7823" s="733" t="s">
        <v>612</v>
      </c>
      <c r="C7823" s="738" t="s">
        <v>7912</v>
      </c>
      <c r="D7823" s="733"/>
      <c r="E7823" s="733"/>
      <c r="G7823" s="733"/>
      <c r="H7823" s="733"/>
      <c r="I7823" s="733"/>
      <c r="J7823" s="733"/>
      <c r="K7823" s="733"/>
      <c r="L7823" s="733"/>
      <c r="M7823" s="733"/>
    </row>
    <row r="7824" spans="1:13" x14ac:dyDescent="0.3">
      <c r="A7824" s="733" t="s">
        <v>7913</v>
      </c>
      <c r="B7824" s="733" t="s">
        <v>645</v>
      </c>
      <c r="C7824" s="733" t="s">
        <v>7914</v>
      </c>
      <c r="D7824" s="733"/>
      <c r="E7824" s="733"/>
      <c r="G7824" s="733"/>
      <c r="H7824" s="733"/>
      <c r="I7824" s="733"/>
      <c r="J7824" s="733"/>
      <c r="K7824" s="733"/>
      <c r="L7824" s="733"/>
      <c r="M7824" s="733"/>
    </row>
    <row r="7825" spans="1:13" x14ac:dyDescent="0.3">
      <c r="A7825" s="733" t="s">
        <v>7913</v>
      </c>
      <c r="B7825" s="733" t="s">
        <v>645</v>
      </c>
      <c r="C7825" s="733" t="s">
        <v>7915</v>
      </c>
      <c r="D7825" s="733"/>
      <c r="E7825" s="733"/>
      <c r="G7825" s="733"/>
      <c r="H7825" s="733"/>
      <c r="I7825" s="733"/>
      <c r="J7825" s="733"/>
      <c r="K7825" s="733"/>
      <c r="L7825" s="733"/>
      <c r="M7825" s="733"/>
    </row>
    <row r="7826" spans="1:13" x14ac:dyDescent="0.3">
      <c r="A7826" s="733" t="s">
        <v>7913</v>
      </c>
      <c r="B7826" s="733" t="s">
        <v>645</v>
      </c>
      <c r="C7826" s="733" t="s">
        <v>7916</v>
      </c>
      <c r="D7826" s="733"/>
      <c r="E7826" s="733"/>
      <c r="G7826" s="733"/>
      <c r="H7826" s="733"/>
      <c r="I7826" s="733"/>
      <c r="J7826" s="733"/>
      <c r="K7826" s="733"/>
      <c r="L7826" s="733"/>
      <c r="M7826" s="733"/>
    </row>
    <row r="7827" spans="1:13" x14ac:dyDescent="0.3">
      <c r="A7827" s="733" t="s">
        <v>7913</v>
      </c>
      <c r="B7827" s="733" t="s">
        <v>645</v>
      </c>
      <c r="C7827" s="733" t="s">
        <v>7917</v>
      </c>
      <c r="D7827" s="733"/>
      <c r="E7827" s="733"/>
      <c r="G7827" s="733"/>
      <c r="H7827" s="733"/>
      <c r="I7827" s="733"/>
      <c r="J7827" s="733"/>
      <c r="K7827" s="733"/>
      <c r="L7827" s="733"/>
      <c r="M7827" s="733"/>
    </row>
    <row r="7828" spans="1:13" x14ac:dyDescent="0.3">
      <c r="A7828" s="733" t="s">
        <v>7913</v>
      </c>
      <c r="B7828" s="733" t="s">
        <v>645</v>
      </c>
      <c r="C7828" s="733" t="s">
        <v>7918</v>
      </c>
      <c r="D7828" s="733"/>
      <c r="E7828" s="733"/>
      <c r="G7828" s="733"/>
      <c r="H7828" s="733"/>
      <c r="I7828" s="733"/>
      <c r="J7828" s="733"/>
      <c r="K7828" s="733"/>
      <c r="L7828" s="733"/>
      <c r="M7828" s="733"/>
    </row>
    <row r="7829" spans="1:13" x14ac:dyDescent="0.3">
      <c r="A7829" s="733" t="s">
        <v>7913</v>
      </c>
      <c r="B7829" s="733" t="s">
        <v>645</v>
      </c>
      <c r="C7829" s="733" t="s">
        <v>7919</v>
      </c>
      <c r="D7829" s="733"/>
      <c r="E7829" s="733"/>
      <c r="G7829" s="733"/>
      <c r="H7829" s="733"/>
      <c r="I7829" s="733"/>
      <c r="J7829" s="733"/>
      <c r="K7829" s="733"/>
      <c r="L7829" s="733"/>
      <c r="M7829" s="733"/>
    </row>
    <row r="7830" spans="1:13" x14ac:dyDescent="0.3">
      <c r="A7830" s="733" t="s">
        <v>7913</v>
      </c>
      <c r="B7830" s="733" t="s">
        <v>645</v>
      </c>
      <c r="C7830" s="733" t="s">
        <v>7920</v>
      </c>
      <c r="D7830" s="733"/>
      <c r="E7830" s="733"/>
      <c r="G7830" s="733"/>
      <c r="H7830" s="733"/>
      <c r="I7830" s="733"/>
      <c r="J7830" s="733"/>
      <c r="K7830" s="733"/>
      <c r="L7830" s="733"/>
      <c r="M7830" s="733"/>
    </row>
    <row r="7831" spans="1:13" x14ac:dyDescent="0.3">
      <c r="A7831" s="733" t="s">
        <v>7913</v>
      </c>
      <c r="B7831" s="733" t="s">
        <v>645</v>
      </c>
      <c r="C7831" s="733" t="s">
        <v>7921</v>
      </c>
      <c r="D7831" s="733"/>
      <c r="E7831" s="733"/>
      <c r="G7831" s="733"/>
      <c r="H7831" s="733"/>
      <c r="I7831" s="733"/>
      <c r="J7831" s="733"/>
      <c r="K7831" s="733"/>
      <c r="L7831" s="733"/>
      <c r="M7831" s="733"/>
    </row>
    <row r="7832" spans="1:13" x14ac:dyDescent="0.3">
      <c r="A7832" s="733" t="s">
        <v>7913</v>
      </c>
      <c r="B7832" s="733" t="s">
        <v>645</v>
      </c>
      <c r="C7832" s="733" t="s">
        <v>7922</v>
      </c>
      <c r="D7832" s="733"/>
      <c r="E7832" s="733"/>
      <c r="G7832" s="733"/>
      <c r="H7832" s="733"/>
      <c r="I7832" s="733"/>
      <c r="J7832" s="733"/>
      <c r="K7832" s="733"/>
      <c r="L7832" s="733"/>
      <c r="M7832" s="733"/>
    </row>
    <row r="7833" spans="1:13" x14ac:dyDescent="0.3">
      <c r="A7833" s="733" t="s">
        <v>7913</v>
      </c>
      <c r="B7833" s="733" t="s">
        <v>645</v>
      </c>
      <c r="C7833" s="733" t="s">
        <v>7923</v>
      </c>
      <c r="D7833" s="733"/>
      <c r="E7833" s="733"/>
      <c r="G7833" s="733"/>
      <c r="H7833" s="733"/>
      <c r="I7833" s="733"/>
      <c r="J7833" s="733"/>
      <c r="K7833" s="733"/>
      <c r="L7833" s="733"/>
      <c r="M7833" s="733"/>
    </row>
    <row r="7834" spans="1:13" x14ac:dyDescent="0.3">
      <c r="A7834" s="733" t="s">
        <v>7913</v>
      </c>
      <c r="B7834" s="733" t="s">
        <v>664</v>
      </c>
      <c r="C7834" s="733" t="s">
        <v>7924</v>
      </c>
      <c r="D7834" s="733"/>
      <c r="E7834" s="733"/>
      <c r="G7834" s="733"/>
      <c r="H7834" s="733"/>
      <c r="I7834" s="733"/>
      <c r="J7834" s="733"/>
      <c r="K7834" s="733"/>
      <c r="L7834" s="733"/>
      <c r="M7834" s="733"/>
    </row>
    <row r="7835" spans="1:13" x14ac:dyDescent="0.3">
      <c r="A7835" s="733" t="s">
        <v>7913</v>
      </c>
      <c r="B7835" s="733" t="s">
        <v>664</v>
      </c>
      <c r="C7835" s="733" t="s">
        <v>7925</v>
      </c>
      <c r="D7835" s="733"/>
      <c r="E7835" s="733"/>
      <c r="G7835" s="733"/>
      <c r="H7835" s="733"/>
      <c r="I7835" s="733"/>
      <c r="J7835" s="733"/>
      <c r="K7835" s="733"/>
      <c r="L7835" s="733"/>
      <c r="M7835" s="733"/>
    </row>
    <row r="7836" spans="1:13" x14ac:dyDescent="0.3">
      <c r="A7836" s="733" t="s">
        <v>7913</v>
      </c>
      <c r="B7836" s="733" t="s">
        <v>664</v>
      </c>
      <c r="C7836" s="733" t="s">
        <v>7926</v>
      </c>
      <c r="D7836" s="733"/>
      <c r="E7836" s="733"/>
      <c r="G7836" s="733"/>
      <c r="H7836" s="733"/>
      <c r="I7836" s="733"/>
      <c r="J7836" s="733"/>
      <c r="K7836" s="733"/>
      <c r="L7836" s="733"/>
      <c r="M7836" s="733"/>
    </row>
    <row r="7837" spans="1:13" x14ac:dyDescent="0.3">
      <c r="A7837" s="733" t="s">
        <v>7913</v>
      </c>
      <c r="B7837" s="733" t="s">
        <v>664</v>
      </c>
      <c r="C7837" s="733" t="s">
        <v>7927</v>
      </c>
      <c r="D7837" s="733"/>
      <c r="E7837" s="733"/>
      <c r="G7837" s="733"/>
      <c r="H7837" s="733"/>
      <c r="I7837" s="733"/>
      <c r="J7837" s="733"/>
      <c r="K7837" s="733"/>
      <c r="L7837" s="733"/>
      <c r="M7837" s="733"/>
    </row>
    <row r="7838" spans="1:13" x14ac:dyDescent="0.3">
      <c r="A7838" s="733" t="s">
        <v>7913</v>
      </c>
      <c r="B7838" s="733" t="s">
        <v>664</v>
      </c>
      <c r="C7838" s="733" t="s">
        <v>7928</v>
      </c>
      <c r="D7838" s="733"/>
      <c r="E7838" s="733"/>
      <c r="G7838" s="733"/>
      <c r="H7838" s="733"/>
      <c r="I7838" s="733"/>
      <c r="J7838" s="733"/>
      <c r="K7838" s="733"/>
      <c r="L7838" s="733"/>
      <c r="M7838" s="733"/>
    </row>
    <row r="7839" spans="1:13" x14ac:dyDescent="0.3">
      <c r="A7839" s="733" t="s">
        <v>7913</v>
      </c>
      <c r="B7839" s="733" t="s">
        <v>664</v>
      </c>
      <c r="C7839" s="733" t="s">
        <v>7929</v>
      </c>
      <c r="D7839" s="733"/>
      <c r="E7839" s="733"/>
      <c r="G7839" s="733"/>
      <c r="H7839" s="733"/>
      <c r="I7839" s="733"/>
      <c r="J7839" s="733"/>
      <c r="K7839" s="733"/>
      <c r="L7839" s="733"/>
      <c r="M7839" s="733"/>
    </row>
    <row r="7840" spans="1:13" x14ac:dyDescent="0.3">
      <c r="A7840" s="733" t="s">
        <v>7913</v>
      </c>
      <c r="B7840" s="733" t="s">
        <v>664</v>
      </c>
      <c r="C7840" s="733" t="s">
        <v>7930</v>
      </c>
      <c r="D7840" s="733"/>
      <c r="E7840" s="733"/>
      <c r="G7840" s="733"/>
      <c r="H7840" s="733"/>
      <c r="I7840" s="733"/>
      <c r="J7840" s="733"/>
      <c r="K7840" s="733"/>
      <c r="L7840" s="733"/>
      <c r="M7840" s="733"/>
    </row>
    <row r="7841" spans="1:13" x14ac:dyDescent="0.3">
      <c r="A7841" s="733" t="s">
        <v>7913</v>
      </c>
      <c r="B7841" s="733" t="s">
        <v>664</v>
      </c>
      <c r="C7841" s="733" t="s">
        <v>7931</v>
      </c>
      <c r="D7841" s="733"/>
      <c r="E7841" s="733"/>
      <c r="G7841" s="733"/>
      <c r="H7841" s="733"/>
      <c r="I7841" s="733"/>
      <c r="J7841" s="733"/>
      <c r="K7841" s="733"/>
      <c r="L7841" s="733"/>
      <c r="M7841" s="733"/>
    </row>
    <row r="7842" spans="1:13" x14ac:dyDescent="0.3">
      <c r="A7842" s="733" t="s">
        <v>7913</v>
      </c>
      <c r="B7842" s="733" t="s">
        <v>664</v>
      </c>
      <c r="C7842" s="733" t="s">
        <v>7932</v>
      </c>
      <c r="D7842" s="733"/>
      <c r="E7842" s="733"/>
      <c r="G7842" s="733"/>
      <c r="H7842" s="733"/>
      <c r="I7842" s="733"/>
      <c r="J7842" s="733"/>
      <c r="K7842" s="733"/>
      <c r="L7842" s="733"/>
      <c r="M7842" s="733"/>
    </row>
    <row r="7843" spans="1:13" x14ac:dyDescent="0.3">
      <c r="A7843" s="733" t="s">
        <v>7913</v>
      </c>
      <c r="B7843" s="733" t="s">
        <v>664</v>
      </c>
      <c r="C7843" s="733" t="s">
        <v>7933</v>
      </c>
      <c r="D7843" s="733"/>
      <c r="E7843" s="733"/>
      <c r="G7843" s="733"/>
      <c r="H7843" s="733"/>
      <c r="I7843" s="733"/>
      <c r="J7843" s="733"/>
      <c r="K7843" s="733"/>
      <c r="L7843" s="733"/>
      <c r="M7843" s="733"/>
    </row>
    <row r="7844" spans="1:13" x14ac:dyDescent="0.3">
      <c r="A7844" s="733" t="s">
        <v>7913</v>
      </c>
      <c r="B7844" s="733" t="s">
        <v>612</v>
      </c>
      <c r="C7844" s="733" t="s">
        <v>7934</v>
      </c>
      <c r="D7844" s="733"/>
      <c r="E7844" s="733"/>
      <c r="G7844" s="733"/>
      <c r="H7844" s="733"/>
      <c r="I7844" s="733"/>
      <c r="J7844" s="733"/>
      <c r="K7844" s="733"/>
      <c r="L7844" s="733"/>
      <c r="M7844" s="733"/>
    </row>
    <row r="7845" spans="1:13" x14ac:dyDescent="0.3">
      <c r="A7845" s="733" t="s">
        <v>7913</v>
      </c>
      <c r="B7845" s="733" t="s">
        <v>612</v>
      </c>
      <c r="C7845" s="733" t="s">
        <v>7935</v>
      </c>
      <c r="D7845" s="733"/>
      <c r="E7845" s="733"/>
      <c r="G7845" s="733"/>
      <c r="H7845" s="733"/>
      <c r="I7845" s="733"/>
      <c r="J7845" s="733"/>
      <c r="K7845" s="733"/>
      <c r="L7845" s="733"/>
      <c r="M7845" s="733"/>
    </row>
    <row r="7846" spans="1:13" x14ac:dyDescent="0.3">
      <c r="A7846" s="733" t="s">
        <v>7913</v>
      </c>
      <c r="B7846" s="733" t="s">
        <v>612</v>
      </c>
      <c r="C7846" s="733" t="s">
        <v>7936</v>
      </c>
      <c r="D7846" s="733"/>
      <c r="E7846" s="733"/>
      <c r="G7846" s="733"/>
      <c r="H7846" s="733"/>
      <c r="I7846" s="733"/>
      <c r="J7846" s="733"/>
      <c r="K7846" s="733"/>
      <c r="L7846" s="733"/>
      <c r="M7846" s="733"/>
    </row>
    <row r="7847" spans="1:13" x14ac:dyDescent="0.3">
      <c r="A7847" s="733" t="s">
        <v>7913</v>
      </c>
      <c r="B7847" s="733" t="s">
        <v>612</v>
      </c>
      <c r="C7847" s="733" t="s">
        <v>7937</v>
      </c>
      <c r="D7847" s="733"/>
      <c r="E7847" s="733"/>
      <c r="G7847" s="733"/>
      <c r="H7847" s="733"/>
      <c r="I7847" s="733"/>
      <c r="J7847" s="733"/>
      <c r="K7847" s="733"/>
      <c r="L7847" s="733"/>
      <c r="M7847" s="733"/>
    </row>
    <row r="7848" spans="1:13" x14ac:dyDescent="0.3">
      <c r="A7848" s="733" t="s">
        <v>7913</v>
      </c>
      <c r="B7848" s="733" t="s">
        <v>612</v>
      </c>
      <c r="C7848" s="733" t="s">
        <v>7938</v>
      </c>
      <c r="D7848" s="733"/>
      <c r="E7848" s="733"/>
      <c r="G7848" s="733"/>
      <c r="H7848" s="733"/>
      <c r="I7848" s="733"/>
      <c r="J7848" s="733"/>
      <c r="K7848" s="733"/>
      <c r="L7848" s="733"/>
      <c r="M7848" s="733"/>
    </row>
    <row r="7849" spans="1:13" x14ac:dyDescent="0.3">
      <c r="A7849" s="733" t="s">
        <v>7913</v>
      </c>
      <c r="B7849" s="733" t="s">
        <v>612</v>
      </c>
      <c r="C7849" s="733" t="s">
        <v>7939</v>
      </c>
      <c r="D7849" s="733"/>
      <c r="E7849" s="733"/>
      <c r="G7849" s="733"/>
      <c r="H7849" s="733"/>
      <c r="I7849" s="733"/>
      <c r="J7849" s="733"/>
      <c r="K7849" s="733"/>
      <c r="L7849" s="733"/>
      <c r="M7849" s="733"/>
    </row>
    <row r="7850" spans="1:13" x14ac:dyDescent="0.3">
      <c r="A7850" s="733" t="s">
        <v>7913</v>
      </c>
      <c r="B7850" s="733" t="s">
        <v>612</v>
      </c>
      <c r="C7850" s="733" t="s">
        <v>7940</v>
      </c>
      <c r="D7850" s="733"/>
      <c r="E7850" s="733"/>
      <c r="G7850" s="733"/>
      <c r="H7850" s="733"/>
      <c r="I7850" s="733"/>
      <c r="J7850" s="733"/>
      <c r="K7850" s="733"/>
      <c r="L7850" s="733"/>
      <c r="M7850" s="733"/>
    </row>
    <row r="7851" spans="1:13" x14ac:dyDescent="0.3">
      <c r="A7851" s="733" t="s">
        <v>7913</v>
      </c>
      <c r="B7851" s="733" t="s">
        <v>612</v>
      </c>
      <c r="C7851" s="733" t="s">
        <v>7941</v>
      </c>
      <c r="D7851" s="733"/>
      <c r="E7851" s="733"/>
      <c r="G7851" s="733"/>
      <c r="H7851" s="733"/>
      <c r="I7851" s="733"/>
      <c r="J7851" s="733"/>
      <c r="K7851" s="733"/>
      <c r="L7851" s="733"/>
      <c r="M7851" s="733"/>
    </row>
    <row r="7852" spans="1:13" x14ac:dyDescent="0.3">
      <c r="A7852" s="733" t="s">
        <v>7913</v>
      </c>
      <c r="B7852" s="733" t="s">
        <v>612</v>
      </c>
      <c r="C7852" s="733" t="s">
        <v>7942</v>
      </c>
      <c r="D7852" s="733"/>
      <c r="E7852" s="733"/>
      <c r="G7852" s="733"/>
      <c r="H7852" s="733"/>
      <c r="I7852" s="733"/>
      <c r="J7852" s="733"/>
      <c r="K7852" s="733"/>
      <c r="L7852" s="733"/>
      <c r="M7852" s="733"/>
    </row>
    <row r="7853" spans="1:13" x14ac:dyDescent="0.3">
      <c r="A7853" s="733" t="s">
        <v>7913</v>
      </c>
      <c r="B7853" s="733" t="s">
        <v>612</v>
      </c>
      <c r="C7853" s="733" t="s">
        <v>7943</v>
      </c>
      <c r="D7853" s="733"/>
      <c r="E7853" s="733"/>
      <c r="G7853" s="733"/>
      <c r="H7853" s="733"/>
      <c r="I7853" s="733"/>
      <c r="J7853" s="733"/>
      <c r="K7853" s="733"/>
      <c r="L7853" s="733"/>
      <c r="M7853" s="733"/>
    </row>
    <row r="7854" spans="1:13" x14ac:dyDescent="0.3">
      <c r="A7854" s="733" t="s">
        <v>7944</v>
      </c>
      <c r="B7854" s="733" t="s">
        <v>645</v>
      </c>
      <c r="C7854" s="733" t="s">
        <v>7945</v>
      </c>
      <c r="D7854" s="733"/>
      <c r="E7854" s="733"/>
      <c r="G7854" s="733"/>
      <c r="H7854" s="733"/>
      <c r="I7854" s="733"/>
      <c r="J7854" s="733"/>
      <c r="K7854" s="733"/>
      <c r="L7854" s="733"/>
      <c r="M7854" s="733"/>
    </row>
    <row r="7855" spans="1:13" x14ac:dyDescent="0.3">
      <c r="A7855" s="733" t="s">
        <v>7944</v>
      </c>
      <c r="B7855" s="733" t="s">
        <v>645</v>
      </c>
      <c r="C7855" s="733" t="s">
        <v>7946</v>
      </c>
      <c r="D7855" s="733"/>
      <c r="E7855" s="733"/>
      <c r="G7855" s="733"/>
      <c r="H7855" s="733"/>
      <c r="I7855" s="733"/>
      <c r="J7855" s="733"/>
      <c r="K7855" s="733"/>
      <c r="L7855" s="733"/>
      <c r="M7855" s="733"/>
    </row>
    <row r="7856" spans="1:13" x14ac:dyDescent="0.3">
      <c r="A7856" s="733" t="s">
        <v>7944</v>
      </c>
      <c r="B7856" s="733" t="s">
        <v>645</v>
      </c>
      <c r="C7856" s="733" t="s">
        <v>7947</v>
      </c>
      <c r="D7856" s="733"/>
      <c r="E7856" s="733"/>
      <c r="G7856" s="733"/>
      <c r="H7856" s="733"/>
      <c r="I7856" s="733"/>
      <c r="J7856" s="733"/>
      <c r="K7856" s="733"/>
      <c r="L7856" s="733"/>
      <c r="M7856" s="733"/>
    </row>
    <row r="7857" spans="1:13" x14ac:dyDescent="0.3">
      <c r="A7857" s="733" t="s">
        <v>7944</v>
      </c>
      <c r="B7857" s="733" t="s">
        <v>645</v>
      </c>
      <c r="C7857" s="733" t="s">
        <v>7948</v>
      </c>
      <c r="D7857" s="733"/>
      <c r="E7857" s="733"/>
      <c r="G7857" s="733"/>
      <c r="H7857" s="733"/>
      <c r="I7857" s="733"/>
      <c r="J7857" s="733"/>
      <c r="K7857" s="733"/>
      <c r="L7857" s="733"/>
      <c r="M7857" s="733"/>
    </row>
    <row r="7858" spans="1:13" x14ac:dyDescent="0.3">
      <c r="A7858" s="733" t="s">
        <v>7944</v>
      </c>
      <c r="B7858" s="733" t="s">
        <v>645</v>
      </c>
      <c r="C7858" s="733" t="s">
        <v>7949</v>
      </c>
      <c r="D7858" s="733"/>
      <c r="E7858" s="733"/>
      <c r="G7858" s="733"/>
      <c r="H7858" s="733"/>
      <c r="I7858" s="733"/>
      <c r="J7858" s="733"/>
      <c r="K7858" s="733"/>
      <c r="L7858" s="733"/>
      <c r="M7858" s="733"/>
    </row>
    <row r="7859" spans="1:13" x14ac:dyDescent="0.3">
      <c r="A7859" s="733" t="s">
        <v>7944</v>
      </c>
      <c r="B7859" s="733" t="s">
        <v>645</v>
      </c>
      <c r="C7859" s="733" t="s">
        <v>7950</v>
      </c>
      <c r="D7859" s="733"/>
      <c r="E7859" s="733"/>
      <c r="G7859" s="733"/>
      <c r="H7859" s="733"/>
      <c r="I7859" s="733"/>
      <c r="J7859" s="733"/>
      <c r="K7859" s="733"/>
      <c r="L7859" s="733"/>
      <c r="M7859" s="733"/>
    </row>
    <row r="7860" spans="1:13" x14ac:dyDescent="0.3">
      <c r="A7860" s="733" t="s">
        <v>7944</v>
      </c>
      <c r="B7860" s="733" t="s">
        <v>645</v>
      </c>
      <c r="C7860" s="733" t="s">
        <v>7951</v>
      </c>
      <c r="D7860" s="733"/>
      <c r="E7860" s="733"/>
      <c r="G7860" s="733"/>
      <c r="H7860" s="733"/>
      <c r="I7860" s="733"/>
      <c r="J7860" s="733"/>
      <c r="K7860" s="733"/>
      <c r="L7860" s="733"/>
      <c r="M7860" s="733"/>
    </row>
    <row r="7861" spans="1:13" x14ac:dyDescent="0.3">
      <c r="A7861" s="733" t="s">
        <v>7944</v>
      </c>
      <c r="B7861" s="733" t="s">
        <v>645</v>
      </c>
      <c r="C7861" s="733" t="s">
        <v>7952</v>
      </c>
      <c r="D7861" s="733"/>
      <c r="E7861" s="733"/>
      <c r="G7861" s="733"/>
      <c r="H7861" s="733"/>
      <c r="I7861" s="733"/>
      <c r="J7861" s="733"/>
      <c r="K7861" s="733"/>
      <c r="L7861" s="733"/>
      <c r="M7861" s="733"/>
    </row>
    <row r="7862" spans="1:13" x14ac:dyDescent="0.3">
      <c r="A7862" s="733" t="s">
        <v>7944</v>
      </c>
      <c r="B7862" s="733" t="s">
        <v>645</v>
      </c>
      <c r="C7862" s="733" t="s">
        <v>7953</v>
      </c>
      <c r="D7862" s="733"/>
      <c r="E7862" s="733"/>
      <c r="G7862" s="733"/>
      <c r="H7862" s="733"/>
      <c r="I7862" s="733"/>
      <c r="J7862" s="733"/>
      <c r="K7862" s="733"/>
      <c r="L7862" s="733"/>
      <c r="M7862" s="733"/>
    </row>
    <row r="7863" spans="1:13" x14ac:dyDescent="0.3">
      <c r="A7863" s="733" t="s">
        <v>7944</v>
      </c>
      <c r="B7863" s="733" t="s">
        <v>645</v>
      </c>
      <c r="C7863" s="733" t="s">
        <v>7954</v>
      </c>
      <c r="D7863" s="733"/>
      <c r="E7863" s="733"/>
      <c r="G7863" s="733"/>
      <c r="H7863" s="733"/>
      <c r="I7863" s="733"/>
      <c r="J7863" s="733"/>
      <c r="K7863" s="733"/>
      <c r="L7863" s="733"/>
      <c r="M7863" s="733"/>
    </row>
    <row r="7864" spans="1:13" x14ac:dyDescent="0.3">
      <c r="A7864" s="733" t="s">
        <v>7944</v>
      </c>
      <c r="B7864" s="733" t="s">
        <v>664</v>
      </c>
      <c r="C7864" s="733" t="s">
        <v>7955</v>
      </c>
      <c r="D7864" s="733"/>
      <c r="E7864" s="733"/>
      <c r="G7864" s="733"/>
      <c r="H7864" s="733"/>
      <c r="I7864" s="733"/>
      <c r="J7864" s="733"/>
      <c r="K7864" s="733"/>
      <c r="L7864" s="733"/>
      <c r="M7864" s="733"/>
    </row>
    <row r="7865" spans="1:13" x14ac:dyDescent="0.3">
      <c r="A7865" s="733" t="s">
        <v>7944</v>
      </c>
      <c r="B7865" s="733" t="s">
        <v>664</v>
      </c>
      <c r="C7865" s="733" t="s">
        <v>7956</v>
      </c>
      <c r="D7865" s="733"/>
      <c r="E7865" s="733"/>
      <c r="G7865" s="733"/>
      <c r="H7865" s="733"/>
      <c r="I7865" s="733"/>
      <c r="J7865" s="733"/>
      <c r="K7865" s="733"/>
      <c r="L7865" s="733"/>
      <c r="M7865" s="733"/>
    </row>
    <row r="7866" spans="1:13" x14ac:dyDescent="0.3">
      <c r="A7866" s="733" t="s">
        <v>7944</v>
      </c>
      <c r="B7866" s="733" t="s">
        <v>664</v>
      </c>
      <c r="C7866" s="733" t="s">
        <v>7957</v>
      </c>
      <c r="D7866" s="733"/>
      <c r="E7866" s="733"/>
      <c r="G7866" s="733"/>
      <c r="H7866" s="733"/>
      <c r="I7866" s="733"/>
      <c r="J7866" s="733"/>
      <c r="K7866" s="733"/>
      <c r="L7866" s="733"/>
      <c r="M7866" s="733"/>
    </row>
    <row r="7867" spans="1:13" x14ac:dyDescent="0.3">
      <c r="A7867" s="733" t="s">
        <v>7944</v>
      </c>
      <c r="B7867" s="733" t="s">
        <v>664</v>
      </c>
      <c r="C7867" s="733" t="s">
        <v>7958</v>
      </c>
      <c r="D7867" s="733"/>
      <c r="E7867" s="733"/>
      <c r="G7867" s="733"/>
      <c r="H7867" s="733"/>
      <c r="I7867" s="733"/>
      <c r="J7867" s="733"/>
      <c r="K7867" s="733"/>
      <c r="L7867" s="733"/>
      <c r="M7867" s="733"/>
    </row>
    <row r="7868" spans="1:13" x14ac:dyDescent="0.3">
      <c r="A7868" s="733" t="s">
        <v>7944</v>
      </c>
      <c r="B7868" s="733" t="s">
        <v>664</v>
      </c>
      <c r="C7868" s="733" t="s">
        <v>7959</v>
      </c>
      <c r="D7868" s="733"/>
      <c r="E7868" s="733"/>
      <c r="G7868" s="733"/>
      <c r="H7868" s="733"/>
      <c r="I7868" s="733"/>
      <c r="J7868" s="733"/>
      <c r="K7868" s="733"/>
      <c r="L7868" s="733"/>
      <c r="M7868" s="733"/>
    </row>
    <row r="7869" spans="1:13" x14ac:dyDescent="0.3">
      <c r="A7869" s="733" t="s">
        <v>7944</v>
      </c>
      <c r="B7869" s="733" t="s">
        <v>664</v>
      </c>
      <c r="C7869" s="733" t="s">
        <v>7960</v>
      </c>
      <c r="D7869" s="733"/>
      <c r="E7869" s="733"/>
      <c r="G7869" s="733"/>
      <c r="H7869" s="733"/>
      <c r="I7869" s="733"/>
      <c r="J7869" s="733"/>
      <c r="K7869" s="733"/>
      <c r="L7869" s="733"/>
      <c r="M7869" s="733"/>
    </row>
    <row r="7870" spans="1:13" x14ac:dyDescent="0.3">
      <c r="A7870" s="733" t="s">
        <v>7944</v>
      </c>
      <c r="B7870" s="733" t="s">
        <v>664</v>
      </c>
      <c r="C7870" s="733" t="s">
        <v>7961</v>
      </c>
      <c r="D7870" s="733"/>
      <c r="E7870" s="733"/>
      <c r="G7870" s="733"/>
      <c r="H7870" s="733"/>
      <c r="I7870" s="733"/>
      <c r="J7870" s="733"/>
      <c r="K7870" s="733"/>
      <c r="L7870" s="733"/>
      <c r="M7870" s="733"/>
    </row>
    <row r="7871" spans="1:13" x14ac:dyDescent="0.3">
      <c r="A7871" s="733" t="s">
        <v>7944</v>
      </c>
      <c r="B7871" s="733" t="s">
        <v>664</v>
      </c>
      <c r="C7871" s="733" t="s">
        <v>7962</v>
      </c>
      <c r="D7871" s="733"/>
      <c r="E7871" s="733"/>
      <c r="G7871" s="733"/>
      <c r="H7871" s="733"/>
      <c r="I7871" s="733"/>
      <c r="J7871" s="733"/>
      <c r="K7871" s="733"/>
      <c r="L7871" s="733"/>
      <c r="M7871" s="733"/>
    </row>
    <row r="7872" spans="1:13" x14ac:dyDescent="0.3">
      <c r="A7872" s="733" t="s">
        <v>7944</v>
      </c>
      <c r="B7872" s="733" t="s">
        <v>664</v>
      </c>
      <c r="C7872" s="733" t="s">
        <v>7963</v>
      </c>
      <c r="D7872" s="733"/>
      <c r="E7872" s="733"/>
      <c r="G7872" s="733"/>
      <c r="H7872" s="733"/>
      <c r="I7872" s="733"/>
      <c r="J7872" s="733"/>
      <c r="K7872" s="733"/>
      <c r="L7872" s="733"/>
      <c r="M7872" s="733"/>
    </row>
    <row r="7873" spans="1:13" x14ac:dyDescent="0.3">
      <c r="A7873" s="733" t="s">
        <v>7944</v>
      </c>
      <c r="B7873" s="733" t="s">
        <v>664</v>
      </c>
      <c r="C7873" s="733" t="s">
        <v>7964</v>
      </c>
      <c r="D7873" s="733"/>
      <c r="E7873" s="733"/>
      <c r="G7873" s="733"/>
      <c r="H7873" s="733"/>
      <c r="I7873" s="733"/>
      <c r="J7873" s="733"/>
      <c r="K7873" s="733"/>
      <c r="L7873" s="733"/>
      <c r="M7873" s="733"/>
    </row>
    <row r="7874" spans="1:13" x14ac:dyDescent="0.3">
      <c r="A7874" s="733" t="s">
        <v>7944</v>
      </c>
      <c r="B7874" s="733" t="s">
        <v>612</v>
      </c>
      <c r="C7874" s="733" t="s">
        <v>7965</v>
      </c>
      <c r="D7874" s="733"/>
      <c r="E7874" s="733"/>
      <c r="G7874" s="733"/>
      <c r="H7874" s="733"/>
      <c r="I7874" s="733"/>
      <c r="J7874" s="733"/>
      <c r="K7874" s="733"/>
      <c r="L7874" s="733"/>
      <c r="M7874" s="733"/>
    </row>
    <row r="7875" spans="1:13" x14ac:dyDescent="0.3">
      <c r="A7875" s="733" t="s">
        <v>7944</v>
      </c>
      <c r="B7875" s="733" t="s">
        <v>612</v>
      </c>
      <c r="C7875" s="733" t="s">
        <v>7966</v>
      </c>
      <c r="D7875" s="733"/>
      <c r="E7875" s="733"/>
      <c r="G7875" s="733"/>
      <c r="H7875" s="733"/>
      <c r="I7875" s="733"/>
      <c r="J7875" s="733"/>
      <c r="K7875" s="733"/>
      <c r="L7875" s="733"/>
      <c r="M7875" s="733"/>
    </row>
    <row r="7876" spans="1:13" x14ac:dyDescent="0.3">
      <c r="A7876" s="733" t="s">
        <v>7944</v>
      </c>
      <c r="B7876" s="733" t="s">
        <v>612</v>
      </c>
      <c r="C7876" s="733" t="s">
        <v>7967</v>
      </c>
      <c r="D7876" s="733"/>
      <c r="E7876" s="733"/>
      <c r="G7876" s="733"/>
      <c r="H7876" s="733"/>
      <c r="I7876" s="733"/>
      <c r="J7876" s="733"/>
      <c r="K7876" s="733"/>
      <c r="L7876" s="733"/>
      <c r="M7876" s="733"/>
    </row>
    <row r="7877" spans="1:13" x14ac:dyDescent="0.3">
      <c r="A7877" s="733" t="s">
        <v>7944</v>
      </c>
      <c r="B7877" s="733" t="s">
        <v>612</v>
      </c>
      <c r="C7877" s="733" t="s">
        <v>7968</v>
      </c>
      <c r="D7877" s="733"/>
      <c r="E7877" s="733"/>
      <c r="G7877" s="733"/>
      <c r="H7877" s="733"/>
      <c r="I7877" s="733"/>
      <c r="J7877" s="733"/>
      <c r="K7877" s="733"/>
      <c r="L7877" s="733"/>
      <c r="M7877" s="733"/>
    </row>
    <row r="7878" spans="1:13" x14ac:dyDescent="0.3">
      <c r="A7878" s="733" t="s">
        <v>7944</v>
      </c>
      <c r="B7878" s="733" t="s">
        <v>612</v>
      </c>
      <c r="C7878" s="733" t="s">
        <v>7969</v>
      </c>
      <c r="D7878" s="733"/>
      <c r="E7878" s="733"/>
      <c r="G7878" s="733"/>
      <c r="H7878" s="733"/>
      <c r="I7878" s="733"/>
      <c r="J7878" s="733"/>
      <c r="K7878" s="733"/>
      <c r="L7878" s="733"/>
      <c r="M7878" s="733"/>
    </row>
    <row r="7879" spans="1:13" x14ac:dyDescent="0.3">
      <c r="A7879" s="733" t="s">
        <v>7944</v>
      </c>
      <c r="B7879" s="733" t="s">
        <v>612</v>
      </c>
      <c r="C7879" s="733" t="s">
        <v>7970</v>
      </c>
      <c r="D7879" s="733"/>
      <c r="E7879" s="733"/>
      <c r="G7879" s="733"/>
      <c r="H7879" s="733"/>
      <c r="I7879" s="733"/>
      <c r="J7879" s="733"/>
      <c r="K7879" s="733"/>
      <c r="L7879" s="733"/>
      <c r="M7879" s="733"/>
    </row>
    <row r="7880" spans="1:13" x14ac:dyDescent="0.3">
      <c r="A7880" s="733" t="s">
        <v>7944</v>
      </c>
      <c r="B7880" s="733" t="s">
        <v>612</v>
      </c>
      <c r="C7880" s="733" t="s">
        <v>7971</v>
      </c>
      <c r="D7880" s="733"/>
      <c r="E7880" s="733"/>
      <c r="G7880" s="733"/>
      <c r="H7880" s="733"/>
      <c r="I7880" s="733"/>
      <c r="J7880" s="733"/>
      <c r="K7880" s="733"/>
      <c r="L7880" s="733"/>
      <c r="M7880" s="733"/>
    </row>
    <row r="7881" spans="1:13" x14ac:dyDescent="0.3">
      <c r="A7881" s="733" t="s">
        <v>7944</v>
      </c>
      <c r="B7881" s="733" t="s">
        <v>612</v>
      </c>
      <c r="C7881" s="733" t="s">
        <v>7972</v>
      </c>
      <c r="D7881" s="733"/>
      <c r="E7881" s="733"/>
      <c r="G7881" s="733"/>
      <c r="H7881" s="733"/>
      <c r="I7881" s="733"/>
      <c r="J7881" s="733"/>
      <c r="K7881" s="733"/>
      <c r="L7881" s="733"/>
      <c r="M7881" s="733"/>
    </row>
    <row r="7882" spans="1:13" x14ac:dyDescent="0.3">
      <c r="A7882" s="733" t="s">
        <v>7944</v>
      </c>
      <c r="B7882" s="733" t="s">
        <v>612</v>
      </c>
      <c r="C7882" s="733" t="s">
        <v>7973</v>
      </c>
      <c r="D7882" s="733"/>
      <c r="E7882" s="733"/>
      <c r="G7882" s="733"/>
      <c r="H7882" s="733"/>
      <c r="I7882" s="733"/>
      <c r="J7882" s="733"/>
      <c r="K7882" s="733"/>
      <c r="L7882" s="733"/>
      <c r="M7882" s="733"/>
    </row>
    <row r="7883" spans="1:13" x14ac:dyDescent="0.3">
      <c r="A7883" s="733" t="s">
        <v>7944</v>
      </c>
      <c r="B7883" s="733" t="s">
        <v>612</v>
      </c>
      <c r="C7883" s="733" t="s">
        <v>7974</v>
      </c>
      <c r="D7883" s="733"/>
      <c r="E7883" s="733"/>
      <c r="G7883" s="733"/>
      <c r="H7883" s="733"/>
      <c r="I7883" s="733"/>
      <c r="J7883" s="733"/>
      <c r="K7883" s="733"/>
      <c r="L7883" s="733"/>
      <c r="M7883" s="733"/>
    </row>
    <row r="7884" spans="1:13" x14ac:dyDescent="0.3">
      <c r="A7884" s="733" t="s">
        <v>7975</v>
      </c>
      <c r="B7884" s="733" t="s">
        <v>645</v>
      </c>
      <c r="C7884" s="733" t="s">
        <v>7976</v>
      </c>
      <c r="D7884" s="733"/>
      <c r="E7884" s="733"/>
      <c r="G7884" s="733"/>
      <c r="H7884" s="733"/>
      <c r="I7884" s="733"/>
      <c r="J7884" s="733"/>
      <c r="K7884" s="733"/>
      <c r="L7884" s="733"/>
      <c r="M7884" s="733"/>
    </row>
    <row r="7885" spans="1:13" x14ac:dyDescent="0.3">
      <c r="A7885" s="733" t="s">
        <v>7975</v>
      </c>
      <c r="B7885" s="733" t="s">
        <v>645</v>
      </c>
      <c r="C7885" s="733" t="s">
        <v>7977</v>
      </c>
      <c r="D7885" s="733"/>
      <c r="E7885" s="733"/>
      <c r="G7885" s="733"/>
      <c r="H7885" s="733"/>
      <c r="I7885" s="733"/>
      <c r="J7885" s="733"/>
      <c r="K7885" s="733"/>
      <c r="L7885" s="733"/>
      <c r="M7885" s="733"/>
    </row>
    <row r="7886" spans="1:13" x14ac:dyDescent="0.3">
      <c r="A7886" s="733" t="s">
        <v>7975</v>
      </c>
      <c r="B7886" s="733" t="s">
        <v>645</v>
      </c>
      <c r="C7886" s="733" t="s">
        <v>7978</v>
      </c>
      <c r="D7886" s="733"/>
      <c r="E7886" s="733"/>
      <c r="G7886" s="733"/>
      <c r="H7886" s="733"/>
      <c r="I7886" s="733"/>
      <c r="J7886" s="733"/>
      <c r="K7886" s="733"/>
      <c r="L7886" s="733"/>
      <c r="M7886" s="733"/>
    </row>
    <row r="7887" spans="1:13" x14ac:dyDescent="0.3">
      <c r="A7887" s="733" t="s">
        <v>7975</v>
      </c>
      <c r="B7887" s="733" t="s">
        <v>645</v>
      </c>
      <c r="C7887" s="733" t="s">
        <v>7979</v>
      </c>
      <c r="D7887" s="733"/>
      <c r="E7887" s="733"/>
      <c r="G7887" s="733"/>
      <c r="H7887" s="733"/>
      <c r="I7887" s="733"/>
      <c r="J7887" s="733"/>
      <c r="K7887" s="733"/>
      <c r="L7887" s="733"/>
      <c r="M7887" s="733"/>
    </row>
    <row r="7888" spans="1:13" x14ac:dyDescent="0.3">
      <c r="A7888" s="733" t="s">
        <v>7975</v>
      </c>
      <c r="B7888" s="733" t="s">
        <v>645</v>
      </c>
      <c r="C7888" s="733" t="s">
        <v>7980</v>
      </c>
      <c r="D7888" s="733"/>
      <c r="E7888" s="733"/>
      <c r="G7888" s="733"/>
      <c r="H7888" s="733"/>
      <c r="I7888" s="733"/>
      <c r="J7888" s="733"/>
      <c r="K7888" s="733"/>
      <c r="L7888" s="733"/>
      <c r="M7888" s="733"/>
    </row>
    <row r="7889" spans="1:13" x14ac:dyDescent="0.3">
      <c r="A7889" s="733" t="s">
        <v>7975</v>
      </c>
      <c r="B7889" s="733" t="s">
        <v>645</v>
      </c>
      <c r="C7889" s="733" t="s">
        <v>7981</v>
      </c>
      <c r="D7889" s="733"/>
      <c r="E7889" s="733"/>
      <c r="G7889" s="733"/>
      <c r="H7889" s="733"/>
      <c r="I7889" s="733"/>
      <c r="J7889" s="733"/>
      <c r="K7889" s="733"/>
      <c r="L7889" s="733"/>
      <c r="M7889" s="733"/>
    </row>
    <row r="7890" spans="1:13" x14ac:dyDescent="0.3">
      <c r="A7890" s="733" t="s">
        <v>7975</v>
      </c>
      <c r="B7890" s="733" t="s">
        <v>645</v>
      </c>
      <c r="C7890" s="733" t="s">
        <v>7982</v>
      </c>
      <c r="D7890" s="733"/>
      <c r="E7890" s="733"/>
      <c r="G7890" s="733"/>
      <c r="H7890" s="733"/>
      <c r="I7890" s="733"/>
      <c r="J7890" s="733"/>
      <c r="K7890" s="733"/>
      <c r="L7890" s="733"/>
      <c r="M7890" s="733"/>
    </row>
    <row r="7891" spans="1:13" x14ac:dyDescent="0.3">
      <c r="A7891" s="733" t="s">
        <v>7975</v>
      </c>
      <c r="B7891" s="733" t="s">
        <v>645</v>
      </c>
      <c r="C7891" s="733" t="s">
        <v>7983</v>
      </c>
      <c r="D7891" s="733"/>
      <c r="E7891" s="733"/>
      <c r="G7891" s="733"/>
      <c r="H7891" s="733"/>
      <c r="I7891" s="733"/>
      <c r="J7891" s="733"/>
      <c r="K7891" s="733"/>
      <c r="L7891" s="733"/>
      <c r="M7891" s="733"/>
    </row>
    <row r="7892" spans="1:13" x14ac:dyDescent="0.3">
      <c r="A7892" s="733" t="s">
        <v>7975</v>
      </c>
      <c r="B7892" s="733" t="s">
        <v>645</v>
      </c>
      <c r="C7892" s="733" t="s">
        <v>7984</v>
      </c>
      <c r="D7892" s="733"/>
      <c r="E7892" s="733"/>
      <c r="G7892" s="733"/>
      <c r="H7892" s="733"/>
      <c r="I7892" s="733"/>
      <c r="J7892" s="733"/>
      <c r="K7892" s="733"/>
      <c r="L7892" s="733"/>
      <c r="M7892" s="733"/>
    </row>
    <row r="7893" spans="1:13" x14ac:dyDescent="0.3">
      <c r="A7893" s="733" t="s">
        <v>7975</v>
      </c>
      <c r="B7893" s="733" t="s">
        <v>645</v>
      </c>
      <c r="C7893" s="733" t="s">
        <v>7985</v>
      </c>
      <c r="D7893" s="733"/>
      <c r="E7893" s="733"/>
      <c r="G7893" s="733"/>
      <c r="H7893" s="733"/>
      <c r="I7893" s="733"/>
      <c r="J7893" s="733"/>
      <c r="K7893" s="733"/>
      <c r="L7893" s="733"/>
      <c r="M7893" s="733"/>
    </row>
    <row r="7894" spans="1:13" x14ac:dyDescent="0.3">
      <c r="A7894" s="733" t="s">
        <v>7975</v>
      </c>
      <c r="B7894" s="733" t="s">
        <v>664</v>
      </c>
      <c r="C7894" s="733" t="s">
        <v>7986</v>
      </c>
      <c r="D7894" s="733"/>
      <c r="E7894" s="733"/>
      <c r="G7894" s="733"/>
      <c r="H7894" s="733"/>
      <c r="I7894" s="733"/>
      <c r="J7894" s="733"/>
      <c r="K7894" s="733"/>
      <c r="L7894" s="733"/>
      <c r="M7894" s="733"/>
    </row>
    <row r="7895" spans="1:13" x14ac:dyDescent="0.3">
      <c r="A7895" s="733" t="s">
        <v>7975</v>
      </c>
      <c r="B7895" s="733" t="s">
        <v>664</v>
      </c>
      <c r="C7895" s="733" t="s">
        <v>7987</v>
      </c>
      <c r="D7895" s="733"/>
      <c r="E7895" s="733"/>
      <c r="G7895" s="733"/>
      <c r="H7895" s="733"/>
      <c r="I7895" s="733"/>
      <c r="J7895" s="733"/>
      <c r="K7895" s="733"/>
      <c r="L7895" s="733"/>
      <c r="M7895" s="733"/>
    </row>
    <row r="7896" spans="1:13" x14ac:dyDescent="0.3">
      <c r="A7896" s="733" t="s">
        <v>7975</v>
      </c>
      <c r="B7896" s="733" t="s">
        <v>664</v>
      </c>
      <c r="C7896" s="733" t="s">
        <v>7988</v>
      </c>
      <c r="D7896" s="733"/>
      <c r="E7896" s="733"/>
      <c r="G7896" s="733"/>
      <c r="H7896" s="733"/>
      <c r="I7896" s="733"/>
      <c r="J7896" s="733"/>
      <c r="K7896" s="733"/>
      <c r="L7896" s="733"/>
      <c r="M7896" s="733"/>
    </row>
    <row r="7897" spans="1:13" x14ac:dyDescent="0.3">
      <c r="A7897" s="733" t="s">
        <v>7975</v>
      </c>
      <c r="B7897" s="733" t="s">
        <v>664</v>
      </c>
      <c r="C7897" s="733" t="s">
        <v>7989</v>
      </c>
      <c r="D7897" s="733"/>
      <c r="E7897" s="733"/>
      <c r="G7897" s="733"/>
      <c r="H7897" s="733"/>
      <c r="I7897" s="733"/>
      <c r="J7897" s="733"/>
      <c r="K7897" s="733"/>
      <c r="L7897" s="733"/>
      <c r="M7897" s="733"/>
    </row>
    <row r="7898" spans="1:13" x14ac:dyDescent="0.3">
      <c r="A7898" s="733" t="s">
        <v>7975</v>
      </c>
      <c r="B7898" s="733" t="s">
        <v>664</v>
      </c>
      <c r="C7898" s="733" t="s">
        <v>7990</v>
      </c>
      <c r="D7898" s="733"/>
      <c r="E7898" s="733"/>
      <c r="G7898" s="733"/>
      <c r="H7898" s="733"/>
      <c r="I7898" s="733"/>
      <c r="J7898" s="733"/>
      <c r="K7898" s="733"/>
      <c r="L7898" s="733"/>
      <c r="M7898" s="733"/>
    </row>
    <row r="7899" spans="1:13" x14ac:dyDescent="0.3">
      <c r="A7899" s="733" t="s">
        <v>7975</v>
      </c>
      <c r="B7899" s="733" t="s">
        <v>664</v>
      </c>
      <c r="C7899" s="733" t="s">
        <v>7991</v>
      </c>
      <c r="D7899" s="733"/>
      <c r="E7899" s="733"/>
      <c r="G7899" s="733"/>
      <c r="H7899" s="733"/>
      <c r="I7899" s="733"/>
      <c r="J7899" s="733"/>
      <c r="K7899" s="733"/>
      <c r="L7899" s="733"/>
      <c r="M7899" s="733"/>
    </row>
    <row r="7900" spans="1:13" x14ac:dyDescent="0.3">
      <c r="A7900" s="733" t="s">
        <v>7975</v>
      </c>
      <c r="B7900" s="733" t="s">
        <v>664</v>
      </c>
      <c r="C7900" s="733" t="s">
        <v>7992</v>
      </c>
      <c r="D7900" s="733"/>
      <c r="E7900" s="733"/>
      <c r="G7900" s="733"/>
      <c r="H7900" s="733"/>
      <c r="I7900" s="733"/>
      <c r="J7900" s="733"/>
      <c r="K7900" s="733"/>
      <c r="L7900" s="733"/>
      <c r="M7900" s="733"/>
    </row>
    <row r="7901" spans="1:13" x14ac:dyDescent="0.3">
      <c r="A7901" s="733" t="s">
        <v>7975</v>
      </c>
      <c r="B7901" s="733" t="s">
        <v>664</v>
      </c>
      <c r="C7901" s="733" t="s">
        <v>7993</v>
      </c>
      <c r="D7901" s="733"/>
      <c r="E7901" s="733"/>
      <c r="G7901" s="733"/>
      <c r="H7901" s="733"/>
      <c r="I7901" s="733"/>
      <c r="J7901" s="733"/>
      <c r="K7901" s="733"/>
      <c r="L7901" s="733"/>
      <c r="M7901" s="733"/>
    </row>
    <row r="7902" spans="1:13" x14ac:dyDescent="0.3">
      <c r="A7902" s="733" t="s">
        <v>7975</v>
      </c>
      <c r="B7902" s="733" t="s">
        <v>664</v>
      </c>
      <c r="C7902" s="733" t="s">
        <v>7994</v>
      </c>
      <c r="D7902" s="733"/>
      <c r="E7902" s="733"/>
      <c r="G7902" s="733"/>
      <c r="H7902" s="733"/>
      <c r="I7902" s="733"/>
      <c r="J7902" s="733"/>
      <c r="K7902" s="733"/>
      <c r="L7902" s="733"/>
      <c r="M7902" s="733"/>
    </row>
    <row r="7903" spans="1:13" x14ac:dyDescent="0.3">
      <c r="A7903" s="733" t="s">
        <v>7975</v>
      </c>
      <c r="B7903" s="733" t="s">
        <v>664</v>
      </c>
      <c r="C7903" s="733" t="s">
        <v>7995</v>
      </c>
      <c r="D7903" s="733"/>
      <c r="E7903" s="733"/>
      <c r="G7903" s="733"/>
      <c r="H7903" s="733"/>
      <c r="I7903" s="733"/>
      <c r="J7903" s="733"/>
      <c r="K7903" s="733"/>
      <c r="L7903" s="733"/>
      <c r="M7903" s="733"/>
    </row>
    <row r="7904" spans="1:13" x14ac:dyDescent="0.3">
      <c r="A7904" s="733" t="s">
        <v>7975</v>
      </c>
      <c r="B7904" s="733" t="s">
        <v>612</v>
      </c>
      <c r="C7904" s="733" t="s">
        <v>7996</v>
      </c>
      <c r="D7904" s="733"/>
      <c r="E7904" s="733"/>
      <c r="G7904" s="733"/>
      <c r="H7904" s="733"/>
      <c r="I7904" s="733"/>
      <c r="J7904" s="733"/>
      <c r="K7904" s="733"/>
      <c r="L7904" s="733"/>
      <c r="M7904" s="733"/>
    </row>
    <row r="7905" spans="1:13" x14ac:dyDescent="0.3">
      <c r="A7905" s="733" t="s">
        <v>7975</v>
      </c>
      <c r="B7905" s="733" t="s">
        <v>612</v>
      </c>
      <c r="C7905" s="733" t="s">
        <v>7997</v>
      </c>
      <c r="D7905" s="733"/>
      <c r="E7905" s="733"/>
      <c r="G7905" s="733"/>
      <c r="H7905" s="733"/>
      <c r="I7905" s="733"/>
      <c r="J7905" s="733"/>
      <c r="K7905" s="733"/>
      <c r="L7905" s="733"/>
      <c r="M7905" s="733"/>
    </row>
    <row r="7906" spans="1:13" x14ac:dyDescent="0.3">
      <c r="A7906" s="733" t="s">
        <v>7975</v>
      </c>
      <c r="B7906" s="733" t="s">
        <v>612</v>
      </c>
      <c r="C7906" s="733" t="s">
        <v>7998</v>
      </c>
      <c r="D7906" s="733"/>
      <c r="E7906" s="733"/>
      <c r="G7906" s="733"/>
      <c r="H7906" s="733"/>
      <c r="I7906" s="733"/>
      <c r="J7906" s="733"/>
      <c r="K7906" s="733"/>
      <c r="L7906" s="733"/>
      <c r="M7906" s="733"/>
    </row>
    <row r="7907" spans="1:13" x14ac:dyDescent="0.3">
      <c r="A7907" s="733" t="s">
        <v>7975</v>
      </c>
      <c r="B7907" s="733" t="s">
        <v>612</v>
      </c>
      <c r="C7907" s="733" t="s">
        <v>7999</v>
      </c>
      <c r="D7907" s="733"/>
      <c r="E7907" s="733"/>
      <c r="G7907" s="733"/>
      <c r="H7907" s="733"/>
      <c r="I7907" s="733"/>
      <c r="J7907" s="733"/>
      <c r="K7907" s="733"/>
      <c r="L7907" s="733"/>
      <c r="M7907" s="733"/>
    </row>
    <row r="7908" spans="1:13" x14ac:dyDescent="0.3">
      <c r="A7908" s="733" t="s">
        <v>7975</v>
      </c>
      <c r="B7908" s="733" t="s">
        <v>612</v>
      </c>
      <c r="C7908" s="733" t="s">
        <v>8000</v>
      </c>
      <c r="D7908" s="733"/>
      <c r="E7908" s="733"/>
      <c r="G7908" s="733"/>
      <c r="H7908" s="733"/>
      <c r="I7908" s="733"/>
      <c r="J7908" s="733"/>
      <c r="K7908" s="733"/>
      <c r="L7908" s="733"/>
      <c r="M7908" s="733"/>
    </row>
    <row r="7909" spans="1:13" x14ac:dyDescent="0.3">
      <c r="A7909" s="733" t="s">
        <v>7975</v>
      </c>
      <c r="B7909" s="733" t="s">
        <v>612</v>
      </c>
      <c r="C7909" s="733" t="s">
        <v>8001</v>
      </c>
      <c r="D7909" s="733"/>
      <c r="E7909" s="733"/>
      <c r="G7909" s="733"/>
      <c r="H7909" s="733"/>
      <c r="I7909" s="733"/>
      <c r="J7909" s="733"/>
      <c r="K7909" s="733"/>
      <c r="L7909" s="733"/>
      <c r="M7909" s="733"/>
    </row>
    <row r="7910" spans="1:13" x14ac:dyDescent="0.3">
      <c r="A7910" s="733" t="s">
        <v>7975</v>
      </c>
      <c r="B7910" s="733" t="s">
        <v>612</v>
      </c>
      <c r="C7910" s="733" t="s">
        <v>8002</v>
      </c>
      <c r="D7910" s="733"/>
      <c r="E7910" s="733"/>
      <c r="G7910" s="733"/>
      <c r="H7910" s="733"/>
      <c r="I7910" s="733"/>
      <c r="J7910" s="733"/>
      <c r="K7910" s="733"/>
      <c r="L7910" s="733"/>
      <c r="M7910" s="733"/>
    </row>
    <row r="7911" spans="1:13" x14ac:dyDescent="0.3">
      <c r="A7911" s="733" t="s">
        <v>7975</v>
      </c>
      <c r="B7911" s="733" t="s">
        <v>612</v>
      </c>
      <c r="C7911" s="733" t="s">
        <v>8003</v>
      </c>
      <c r="D7911" s="733"/>
      <c r="E7911" s="733"/>
      <c r="G7911" s="733"/>
      <c r="H7911" s="733"/>
      <c r="I7911" s="733"/>
      <c r="J7911" s="733"/>
      <c r="K7911" s="733"/>
      <c r="L7911" s="733"/>
      <c r="M7911" s="733"/>
    </row>
    <row r="7912" spans="1:13" x14ac:dyDescent="0.3">
      <c r="A7912" s="733" t="s">
        <v>7975</v>
      </c>
      <c r="B7912" s="733" t="s">
        <v>612</v>
      </c>
      <c r="C7912" s="733" t="s">
        <v>8004</v>
      </c>
      <c r="D7912" s="733"/>
      <c r="E7912" s="733"/>
      <c r="G7912" s="733"/>
      <c r="H7912" s="733"/>
      <c r="I7912" s="733"/>
      <c r="J7912" s="733"/>
      <c r="K7912" s="733"/>
      <c r="L7912" s="733"/>
      <c r="M7912" s="733"/>
    </row>
    <row r="7913" spans="1:13" x14ac:dyDescent="0.3">
      <c r="A7913" s="733" t="s">
        <v>7975</v>
      </c>
      <c r="B7913" s="733" t="s">
        <v>612</v>
      </c>
      <c r="C7913" s="733" t="s">
        <v>8005</v>
      </c>
      <c r="D7913" s="733"/>
      <c r="E7913" s="733"/>
      <c r="G7913" s="733"/>
      <c r="H7913" s="733"/>
      <c r="I7913" s="733"/>
      <c r="J7913" s="733"/>
      <c r="K7913" s="733"/>
      <c r="L7913" s="733"/>
      <c r="M7913" s="733"/>
    </row>
    <row r="7914" spans="1:13" x14ac:dyDescent="0.3">
      <c r="A7914" s="733" t="s">
        <v>8006</v>
      </c>
      <c r="B7914" s="733" t="s">
        <v>645</v>
      </c>
      <c r="C7914" s="738" t="s">
        <v>8007</v>
      </c>
      <c r="D7914" s="733"/>
      <c r="E7914" s="733"/>
      <c r="G7914" s="733"/>
      <c r="H7914" s="733"/>
      <c r="I7914" s="733"/>
      <c r="J7914" s="733"/>
      <c r="K7914" s="733"/>
      <c r="L7914" s="733"/>
      <c r="M7914" s="733"/>
    </row>
    <row r="7915" spans="1:13" x14ac:dyDescent="0.3">
      <c r="A7915" s="733" t="s">
        <v>8006</v>
      </c>
      <c r="B7915" s="733" t="s">
        <v>645</v>
      </c>
      <c r="C7915" s="738" t="s">
        <v>8008</v>
      </c>
      <c r="D7915" s="733"/>
      <c r="E7915" s="733"/>
      <c r="G7915" s="733"/>
      <c r="H7915" s="733"/>
      <c r="I7915" s="733"/>
      <c r="J7915" s="733"/>
      <c r="K7915" s="733"/>
      <c r="L7915" s="733"/>
      <c r="M7915" s="733"/>
    </row>
    <row r="7916" spans="1:13" x14ac:dyDescent="0.3">
      <c r="A7916" s="733" t="s">
        <v>8006</v>
      </c>
      <c r="B7916" s="733" t="s">
        <v>645</v>
      </c>
      <c r="C7916" s="738" t="s">
        <v>8009</v>
      </c>
      <c r="D7916" s="733"/>
      <c r="E7916" s="733"/>
      <c r="G7916" s="733"/>
      <c r="H7916" s="733"/>
      <c r="I7916" s="733"/>
      <c r="J7916" s="733"/>
      <c r="K7916" s="733"/>
      <c r="L7916" s="733"/>
      <c r="M7916" s="733"/>
    </row>
    <row r="7917" spans="1:13" x14ac:dyDescent="0.3">
      <c r="A7917" s="733" t="s">
        <v>8006</v>
      </c>
      <c r="B7917" s="733" t="s">
        <v>645</v>
      </c>
      <c r="C7917" s="738" t="s">
        <v>8010</v>
      </c>
      <c r="D7917" s="733"/>
      <c r="E7917" s="733"/>
      <c r="G7917" s="733"/>
      <c r="H7917" s="733"/>
      <c r="I7917" s="733"/>
      <c r="J7917" s="733"/>
      <c r="K7917" s="733"/>
      <c r="L7917" s="733"/>
      <c r="M7917" s="733"/>
    </row>
    <row r="7918" spans="1:13" x14ac:dyDescent="0.3">
      <c r="A7918" s="733" t="s">
        <v>8006</v>
      </c>
      <c r="B7918" s="733" t="s">
        <v>645</v>
      </c>
      <c r="C7918" s="738" t="s">
        <v>8011</v>
      </c>
      <c r="D7918" s="733"/>
      <c r="E7918" s="733"/>
      <c r="G7918" s="733"/>
      <c r="H7918" s="733"/>
      <c r="I7918" s="733"/>
      <c r="J7918" s="733"/>
      <c r="K7918" s="733"/>
      <c r="L7918" s="733"/>
      <c r="M7918" s="733"/>
    </row>
    <row r="7919" spans="1:13" x14ac:dyDescent="0.3">
      <c r="A7919" s="733" t="s">
        <v>8006</v>
      </c>
      <c r="B7919" s="733" t="s">
        <v>645</v>
      </c>
      <c r="C7919" s="738" t="s">
        <v>8012</v>
      </c>
      <c r="D7919" s="733"/>
      <c r="E7919" s="733"/>
      <c r="G7919" s="733"/>
      <c r="H7919" s="733"/>
      <c r="I7919" s="733"/>
      <c r="J7919" s="733"/>
      <c r="K7919" s="733"/>
      <c r="L7919" s="733"/>
      <c r="M7919" s="733"/>
    </row>
    <row r="7920" spans="1:13" x14ac:dyDescent="0.3">
      <c r="A7920" s="733" t="s">
        <v>8006</v>
      </c>
      <c r="B7920" s="733" t="s">
        <v>645</v>
      </c>
      <c r="C7920" s="738" t="s">
        <v>8013</v>
      </c>
      <c r="D7920" s="733"/>
      <c r="E7920" s="733"/>
      <c r="G7920" s="733"/>
      <c r="H7920" s="733"/>
      <c r="I7920" s="733"/>
      <c r="J7920" s="733"/>
      <c r="K7920" s="733"/>
      <c r="L7920" s="733"/>
      <c r="M7920" s="733"/>
    </row>
    <row r="7921" spans="1:13" x14ac:dyDescent="0.3">
      <c r="A7921" s="733" t="s">
        <v>8006</v>
      </c>
      <c r="B7921" s="733" t="s">
        <v>645</v>
      </c>
      <c r="C7921" s="738" t="s">
        <v>8014</v>
      </c>
      <c r="D7921" s="733"/>
      <c r="E7921" s="733"/>
      <c r="G7921" s="733"/>
      <c r="H7921" s="733"/>
      <c r="I7921" s="733"/>
      <c r="J7921" s="733"/>
      <c r="K7921" s="733"/>
      <c r="L7921" s="733"/>
      <c r="M7921" s="733"/>
    </row>
    <row r="7922" spans="1:13" x14ac:dyDescent="0.3">
      <c r="A7922" s="733" t="s">
        <v>8006</v>
      </c>
      <c r="B7922" s="733" t="s">
        <v>645</v>
      </c>
      <c r="C7922" s="738" t="s">
        <v>8015</v>
      </c>
      <c r="D7922" s="733"/>
      <c r="E7922" s="733"/>
      <c r="G7922" s="733"/>
      <c r="H7922" s="733"/>
      <c r="I7922" s="733"/>
      <c r="J7922" s="733"/>
      <c r="K7922" s="733"/>
      <c r="L7922" s="733"/>
      <c r="M7922" s="733"/>
    </row>
    <row r="7923" spans="1:13" x14ac:dyDescent="0.3">
      <c r="A7923" s="733" t="s">
        <v>8006</v>
      </c>
      <c r="B7923" s="733" t="s">
        <v>645</v>
      </c>
      <c r="C7923" s="738" t="s">
        <v>8016</v>
      </c>
      <c r="D7923" s="733"/>
      <c r="E7923" s="733"/>
      <c r="G7923" s="733"/>
      <c r="H7923" s="733"/>
      <c r="I7923" s="733"/>
      <c r="J7923" s="733"/>
      <c r="K7923" s="733"/>
      <c r="L7923" s="733"/>
      <c r="M7923" s="733"/>
    </row>
    <row r="7924" spans="1:13" x14ac:dyDescent="0.3">
      <c r="A7924" s="733" t="s">
        <v>8006</v>
      </c>
      <c r="B7924" s="733" t="s">
        <v>664</v>
      </c>
      <c r="C7924" s="738" t="s">
        <v>8017</v>
      </c>
      <c r="D7924" s="733"/>
      <c r="E7924" s="733"/>
      <c r="G7924" s="733"/>
      <c r="H7924" s="733"/>
      <c r="I7924" s="733"/>
      <c r="J7924" s="733"/>
      <c r="K7924" s="733"/>
      <c r="L7924" s="733"/>
      <c r="M7924" s="733"/>
    </row>
    <row r="7925" spans="1:13" x14ac:dyDescent="0.3">
      <c r="A7925" s="733" t="s">
        <v>8006</v>
      </c>
      <c r="B7925" s="733" t="s">
        <v>664</v>
      </c>
      <c r="C7925" s="738" t="s">
        <v>8018</v>
      </c>
      <c r="D7925" s="733"/>
      <c r="E7925" s="733"/>
      <c r="G7925" s="733"/>
      <c r="H7925" s="733"/>
      <c r="I7925" s="733"/>
      <c r="J7925" s="733"/>
      <c r="K7925" s="733"/>
      <c r="L7925" s="733"/>
      <c r="M7925" s="733"/>
    </row>
    <row r="7926" spans="1:13" x14ac:dyDescent="0.3">
      <c r="A7926" s="733" t="s">
        <v>8006</v>
      </c>
      <c r="B7926" s="733" t="s">
        <v>664</v>
      </c>
      <c r="C7926" s="738" t="s">
        <v>8019</v>
      </c>
      <c r="D7926" s="733"/>
      <c r="E7926" s="733"/>
      <c r="G7926" s="733"/>
      <c r="H7926" s="733"/>
      <c r="I7926" s="733"/>
      <c r="J7926" s="733"/>
      <c r="K7926" s="733"/>
      <c r="L7926" s="733"/>
      <c r="M7926" s="733"/>
    </row>
    <row r="7927" spans="1:13" x14ac:dyDescent="0.3">
      <c r="A7927" s="733" t="s">
        <v>8006</v>
      </c>
      <c r="B7927" s="733" t="s">
        <v>664</v>
      </c>
      <c r="C7927" s="738" t="s">
        <v>8020</v>
      </c>
      <c r="D7927" s="733"/>
      <c r="E7927" s="733"/>
      <c r="G7927" s="733"/>
      <c r="H7927" s="733"/>
      <c r="I7927" s="733"/>
      <c r="J7927" s="733"/>
      <c r="K7927" s="733"/>
      <c r="L7927" s="733"/>
      <c r="M7927" s="733"/>
    </row>
    <row r="7928" spans="1:13" x14ac:dyDescent="0.3">
      <c r="A7928" s="733" t="s">
        <v>8006</v>
      </c>
      <c r="B7928" s="733" t="s">
        <v>664</v>
      </c>
      <c r="C7928" s="738" t="s">
        <v>8021</v>
      </c>
      <c r="D7928" s="733"/>
      <c r="E7928" s="733"/>
      <c r="G7928" s="733"/>
      <c r="H7928" s="733"/>
      <c r="I7928" s="733"/>
      <c r="J7928" s="733"/>
      <c r="K7928" s="733"/>
      <c r="L7928" s="733"/>
      <c r="M7928" s="733"/>
    </row>
    <row r="7929" spans="1:13" x14ac:dyDescent="0.3">
      <c r="A7929" s="733" t="s">
        <v>8006</v>
      </c>
      <c r="B7929" s="733" t="s">
        <v>664</v>
      </c>
      <c r="C7929" s="738" t="s">
        <v>8022</v>
      </c>
      <c r="D7929" s="733"/>
      <c r="E7929" s="733"/>
      <c r="G7929" s="733"/>
      <c r="H7929" s="733"/>
      <c r="I7929" s="733"/>
      <c r="J7929" s="733"/>
      <c r="K7929" s="733"/>
      <c r="L7929" s="733"/>
      <c r="M7929" s="733"/>
    </row>
    <row r="7930" spans="1:13" x14ac:dyDescent="0.3">
      <c r="A7930" s="733" t="s">
        <v>8006</v>
      </c>
      <c r="B7930" s="733" t="s">
        <v>664</v>
      </c>
      <c r="C7930" s="738" t="s">
        <v>8023</v>
      </c>
      <c r="D7930" s="733"/>
      <c r="E7930" s="733"/>
      <c r="G7930" s="733"/>
      <c r="H7930" s="733"/>
      <c r="I7930" s="733"/>
      <c r="J7930" s="733"/>
      <c r="K7930" s="733"/>
      <c r="L7930" s="733"/>
      <c r="M7930" s="733"/>
    </row>
    <row r="7931" spans="1:13" x14ac:dyDescent="0.3">
      <c r="A7931" s="733" t="s">
        <v>8006</v>
      </c>
      <c r="B7931" s="733" t="s">
        <v>664</v>
      </c>
      <c r="C7931" s="738" t="s">
        <v>8024</v>
      </c>
      <c r="D7931" s="733"/>
      <c r="E7931" s="733"/>
      <c r="G7931" s="733"/>
      <c r="H7931" s="733"/>
      <c r="I7931" s="733"/>
      <c r="J7931" s="733"/>
      <c r="K7931" s="733"/>
      <c r="L7931" s="733"/>
      <c r="M7931" s="733"/>
    </row>
    <row r="7932" spans="1:13" x14ac:dyDescent="0.3">
      <c r="A7932" s="733" t="s">
        <v>8006</v>
      </c>
      <c r="B7932" s="733" t="s">
        <v>664</v>
      </c>
      <c r="C7932" s="738" t="s">
        <v>8025</v>
      </c>
      <c r="D7932" s="733"/>
      <c r="E7932" s="733"/>
      <c r="G7932" s="733"/>
      <c r="H7932" s="733"/>
      <c r="I7932" s="733"/>
      <c r="J7932" s="733"/>
      <c r="K7932" s="733"/>
      <c r="L7932" s="733"/>
      <c r="M7932" s="733"/>
    </row>
    <row r="7933" spans="1:13" x14ac:dyDescent="0.3">
      <c r="A7933" s="733" t="s">
        <v>8006</v>
      </c>
      <c r="B7933" s="733" t="s">
        <v>664</v>
      </c>
      <c r="C7933" s="738" t="s">
        <v>8026</v>
      </c>
      <c r="D7933" s="733"/>
      <c r="E7933" s="733"/>
      <c r="G7933" s="733"/>
      <c r="H7933" s="733"/>
      <c r="I7933" s="733"/>
      <c r="J7933" s="733"/>
      <c r="K7933" s="733"/>
      <c r="L7933" s="733"/>
      <c r="M7933" s="733"/>
    </row>
    <row r="7934" spans="1:13" x14ac:dyDescent="0.3">
      <c r="A7934" s="733" t="s">
        <v>8006</v>
      </c>
      <c r="B7934" s="733" t="s">
        <v>612</v>
      </c>
      <c r="C7934" s="738" t="s">
        <v>8027</v>
      </c>
      <c r="D7934" s="733"/>
      <c r="E7934" s="733"/>
      <c r="G7934" s="733"/>
      <c r="H7934" s="733"/>
      <c r="I7934" s="733"/>
      <c r="J7934" s="733"/>
      <c r="K7934" s="733"/>
      <c r="L7934" s="733"/>
      <c r="M7934" s="733"/>
    </row>
    <row r="7935" spans="1:13" x14ac:dyDescent="0.3">
      <c r="A7935" s="733" t="s">
        <v>8006</v>
      </c>
      <c r="B7935" s="733" t="s">
        <v>612</v>
      </c>
      <c r="C7935" s="738" t="s">
        <v>8028</v>
      </c>
      <c r="D7935" s="733"/>
      <c r="E7935" s="733"/>
      <c r="G7935" s="733"/>
      <c r="H7935" s="733"/>
      <c r="I7935" s="733"/>
      <c r="J7935" s="733"/>
      <c r="K7935" s="733"/>
      <c r="L7935" s="733"/>
      <c r="M7935" s="733"/>
    </row>
    <row r="7936" spans="1:13" x14ac:dyDescent="0.3">
      <c r="A7936" s="733" t="s">
        <v>8006</v>
      </c>
      <c r="B7936" s="733" t="s">
        <v>612</v>
      </c>
      <c r="C7936" s="738" t="s">
        <v>8029</v>
      </c>
      <c r="D7936" s="733"/>
      <c r="E7936" s="733"/>
      <c r="G7936" s="733"/>
      <c r="H7936" s="733"/>
      <c r="I7936" s="733"/>
      <c r="J7936" s="733"/>
      <c r="K7936" s="733"/>
      <c r="L7936" s="733"/>
      <c r="M7936" s="733"/>
    </row>
    <row r="7937" spans="1:13" x14ac:dyDescent="0.3">
      <c r="A7937" s="733" t="s">
        <v>8006</v>
      </c>
      <c r="B7937" s="733" t="s">
        <v>612</v>
      </c>
      <c r="C7937" s="738" t="s">
        <v>8030</v>
      </c>
      <c r="D7937" s="733"/>
      <c r="E7937" s="733"/>
      <c r="G7937" s="733"/>
      <c r="H7937" s="733"/>
      <c r="I7937" s="733"/>
      <c r="J7937" s="733"/>
      <c r="K7937" s="733"/>
      <c r="L7937" s="733"/>
      <c r="M7937" s="733"/>
    </row>
    <row r="7938" spans="1:13" x14ac:dyDescent="0.3">
      <c r="A7938" s="733" t="s">
        <v>8006</v>
      </c>
      <c r="B7938" s="733" t="s">
        <v>612</v>
      </c>
      <c r="C7938" s="738" t="s">
        <v>8031</v>
      </c>
      <c r="D7938" s="733"/>
      <c r="E7938" s="733"/>
      <c r="G7938" s="733"/>
      <c r="H7938" s="733"/>
      <c r="I7938" s="733"/>
      <c r="J7938" s="733"/>
      <c r="K7938" s="733"/>
      <c r="L7938" s="733"/>
      <c r="M7938" s="733"/>
    </row>
    <row r="7939" spans="1:13" x14ac:dyDescent="0.3">
      <c r="A7939" s="733" t="s">
        <v>8006</v>
      </c>
      <c r="B7939" s="733" t="s">
        <v>612</v>
      </c>
      <c r="C7939" s="738" t="s">
        <v>8032</v>
      </c>
      <c r="D7939" s="733"/>
      <c r="E7939" s="733"/>
      <c r="G7939" s="733"/>
      <c r="H7939" s="733"/>
      <c r="I7939" s="733"/>
      <c r="J7939" s="733"/>
      <c r="K7939" s="733"/>
      <c r="L7939" s="733"/>
      <c r="M7939" s="733"/>
    </row>
    <row r="7940" spans="1:13" x14ac:dyDescent="0.3">
      <c r="A7940" s="733" t="s">
        <v>8006</v>
      </c>
      <c r="B7940" s="733" t="s">
        <v>612</v>
      </c>
      <c r="C7940" s="738" t="s">
        <v>8033</v>
      </c>
      <c r="D7940" s="733"/>
      <c r="E7940" s="733"/>
      <c r="G7940" s="733"/>
      <c r="H7940" s="733"/>
      <c r="I7940" s="733"/>
      <c r="J7940" s="733"/>
      <c r="K7940" s="733"/>
      <c r="L7940" s="733"/>
      <c r="M7940" s="733"/>
    </row>
    <row r="7941" spans="1:13" x14ac:dyDescent="0.3">
      <c r="A7941" s="733" t="s">
        <v>8006</v>
      </c>
      <c r="B7941" s="733" t="s">
        <v>612</v>
      </c>
      <c r="C7941" s="738" t="s">
        <v>8034</v>
      </c>
      <c r="D7941" s="733"/>
      <c r="E7941" s="733"/>
      <c r="G7941" s="733"/>
      <c r="H7941" s="733"/>
      <c r="I7941" s="733"/>
      <c r="J7941" s="733"/>
      <c r="K7941" s="733"/>
      <c r="L7941" s="733"/>
      <c r="M7941" s="733"/>
    </row>
    <row r="7942" spans="1:13" x14ac:dyDescent="0.3">
      <c r="A7942" s="733" t="s">
        <v>8006</v>
      </c>
      <c r="B7942" s="733" t="s">
        <v>612</v>
      </c>
      <c r="C7942" s="738" t="s">
        <v>8035</v>
      </c>
      <c r="D7942" s="733"/>
      <c r="E7942" s="733"/>
      <c r="G7942" s="733"/>
      <c r="H7942" s="733"/>
      <c r="I7942" s="733"/>
      <c r="J7942" s="733"/>
      <c r="K7942" s="733"/>
      <c r="L7942" s="733"/>
      <c r="M7942" s="733"/>
    </row>
    <row r="7943" spans="1:13" x14ac:dyDescent="0.3">
      <c r="A7943" s="733" t="s">
        <v>8006</v>
      </c>
      <c r="B7943" s="733" t="s">
        <v>612</v>
      </c>
      <c r="C7943" s="738" t="s">
        <v>8036</v>
      </c>
      <c r="D7943" s="733"/>
      <c r="E7943" s="733"/>
      <c r="G7943" s="733"/>
      <c r="H7943" s="733"/>
      <c r="I7943" s="733"/>
      <c r="J7943" s="733"/>
      <c r="K7943" s="733"/>
      <c r="L7943" s="733"/>
      <c r="M7943" s="733"/>
    </row>
    <row r="7944" spans="1:13" x14ac:dyDescent="0.3">
      <c r="A7944" s="733" t="s">
        <v>8037</v>
      </c>
      <c r="B7944" s="733" t="s">
        <v>645</v>
      </c>
      <c r="C7944" s="738" t="s">
        <v>8038</v>
      </c>
      <c r="D7944" s="733"/>
      <c r="E7944" s="733"/>
      <c r="G7944" s="733"/>
      <c r="H7944" s="733"/>
      <c r="I7944" s="733"/>
      <c r="J7944" s="733"/>
      <c r="K7944" s="733"/>
      <c r="L7944" s="733"/>
      <c r="M7944" s="733"/>
    </row>
    <row r="7945" spans="1:13" x14ac:dyDescent="0.3">
      <c r="A7945" s="733" t="s">
        <v>8037</v>
      </c>
      <c r="B7945" s="733" t="s">
        <v>645</v>
      </c>
      <c r="C7945" s="738" t="s">
        <v>8039</v>
      </c>
      <c r="D7945" s="733"/>
      <c r="E7945" s="733"/>
      <c r="G7945" s="733"/>
      <c r="H7945" s="733"/>
      <c r="I7945" s="733"/>
      <c r="J7945" s="733"/>
      <c r="K7945" s="733"/>
      <c r="L7945" s="733"/>
      <c r="M7945" s="733"/>
    </row>
    <row r="7946" spans="1:13" x14ac:dyDescent="0.3">
      <c r="A7946" s="733" t="s">
        <v>8037</v>
      </c>
      <c r="B7946" s="733" t="s">
        <v>645</v>
      </c>
      <c r="C7946" s="738" t="s">
        <v>8040</v>
      </c>
      <c r="D7946" s="733"/>
      <c r="E7946" s="733"/>
      <c r="G7946" s="733"/>
      <c r="H7946" s="733"/>
      <c r="I7946" s="733"/>
      <c r="J7946" s="733"/>
      <c r="K7946" s="733"/>
      <c r="L7946" s="733"/>
      <c r="M7946" s="733"/>
    </row>
    <row r="7947" spans="1:13" x14ac:dyDescent="0.3">
      <c r="A7947" s="733" t="s">
        <v>8037</v>
      </c>
      <c r="B7947" s="733" t="s">
        <v>645</v>
      </c>
      <c r="C7947" s="738" t="s">
        <v>8041</v>
      </c>
      <c r="D7947" s="733"/>
      <c r="E7947" s="733"/>
      <c r="G7947" s="733"/>
      <c r="H7947" s="733"/>
      <c r="I7947" s="733"/>
      <c r="J7947" s="733"/>
      <c r="K7947" s="733"/>
      <c r="L7947" s="733"/>
      <c r="M7947" s="733"/>
    </row>
    <row r="7948" spans="1:13" x14ac:dyDescent="0.3">
      <c r="A7948" s="733" t="s">
        <v>8037</v>
      </c>
      <c r="B7948" s="733" t="s">
        <v>645</v>
      </c>
      <c r="C7948" s="738" t="s">
        <v>8042</v>
      </c>
      <c r="D7948" s="733"/>
      <c r="E7948" s="733"/>
      <c r="G7948" s="733"/>
      <c r="H7948" s="733"/>
      <c r="I7948" s="733"/>
      <c r="J7948" s="733"/>
      <c r="K7948" s="733"/>
      <c r="L7948" s="733"/>
      <c r="M7948" s="733"/>
    </row>
    <row r="7949" spans="1:13" x14ac:dyDescent="0.3">
      <c r="A7949" s="733" t="s">
        <v>8037</v>
      </c>
      <c r="B7949" s="733" t="s">
        <v>645</v>
      </c>
      <c r="C7949" s="738" t="s">
        <v>8043</v>
      </c>
      <c r="D7949" s="733"/>
      <c r="E7949" s="733"/>
      <c r="G7949" s="733"/>
      <c r="H7949" s="733"/>
      <c r="I7949" s="733"/>
      <c r="J7949" s="733"/>
      <c r="K7949" s="733"/>
      <c r="L7949" s="733"/>
      <c r="M7949" s="733"/>
    </row>
    <row r="7950" spans="1:13" x14ac:dyDescent="0.3">
      <c r="A7950" s="733" t="s">
        <v>8037</v>
      </c>
      <c r="B7950" s="733" t="s">
        <v>645</v>
      </c>
      <c r="C7950" s="738" t="s">
        <v>8044</v>
      </c>
      <c r="D7950" s="733"/>
      <c r="E7950" s="733"/>
      <c r="G7950" s="733"/>
      <c r="H7950" s="733"/>
      <c r="I7950" s="733"/>
      <c r="J7950" s="733"/>
      <c r="K7950" s="733"/>
      <c r="L7950" s="733"/>
      <c r="M7950" s="733"/>
    </row>
    <row r="7951" spans="1:13" x14ac:dyDescent="0.3">
      <c r="A7951" s="733" t="s">
        <v>8037</v>
      </c>
      <c r="B7951" s="733" t="s">
        <v>645</v>
      </c>
      <c r="C7951" s="738" t="s">
        <v>8045</v>
      </c>
      <c r="D7951" s="733"/>
      <c r="E7951" s="733"/>
      <c r="G7951" s="733"/>
      <c r="H7951" s="733"/>
      <c r="I7951" s="733"/>
      <c r="J7951" s="733"/>
      <c r="K7951" s="733"/>
      <c r="L7951" s="733"/>
      <c r="M7951" s="733"/>
    </row>
    <row r="7952" spans="1:13" x14ac:dyDescent="0.3">
      <c r="A7952" s="733" t="s">
        <v>8037</v>
      </c>
      <c r="B7952" s="733" t="s">
        <v>645</v>
      </c>
      <c r="C7952" s="738" t="s">
        <v>8046</v>
      </c>
      <c r="D7952" s="733"/>
      <c r="E7952" s="733"/>
      <c r="G7952" s="733"/>
      <c r="H7952" s="733"/>
      <c r="I7952" s="733"/>
      <c r="J7952" s="733"/>
      <c r="K7952" s="733"/>
      <c r="L7952" s="733"/>
      <c r="M7952" s="733"/>
    </row>
    <row r="7953" spans="1:13" x14ac:dyDescent="0.3">
      <c r="A7953" s="733" t="s">
        <v>8037</v>
      </c>
      <c r="B7953" s="733" t="s">
        <v>645</v>
      </c>
      <c r="C7953" s="738" t="s">
        <v>8047</v>
      </c>
      <c r="D7953" s="733"/>
      <c r="E7953" s="733"/>
      <c r="G7953" s="733"/>
      <c r="H7953" s="733"/>
      <c r="I7953" s="733"/>
      <c r="J7953" s="733"/>
      <c r="K7953" s="733"/>
      <c r="L7953" s="733"/>
      <c r="M7953" s="733"/>
    </row>
    <row r="7954" spans="1:13" x14ac:dyDescent="0.3">
      <c r="A7954" s="733" t="s">
        <v>8037</v>
      </c>
      <c r="B7954" s="733" t="s">
        <v>664</v>
      </c>
      <c r="C7954" s="738" t="s">
        <v>8048</v>
      </c>
      <c r="D7954" s="733"/>
      <c r="E7954" s="733"/>
      <c r="G7954" s="733"/>
      <c r="H7954" s="733"/>
      <c r="I7954" s="733"/>
      <c r="J7954" s="733"/>
      <c r="K7954" s="733"/>
      <c r="L7954" s="733"/>
      <c r="M7954" s="733"/>
    </row>
    <row r="7955" spans="1:13" x14ac:dyDescent="0.3">
      <c r="A7955" s="733" t="s">
        <v>8037</v>
      </c>
      <c r="B7955" s="733" t="s">
        <v>664</v>
      </c>
      <c r="C7955" s="738" t="s">
        <v>8049</v>
      </c>
      <c r="D7955" s="733"/>
      <c r="E7955" s="733"/>
      <c r="G7955" s="733"/>
      <c r="H7955" s="733"/>
      <c r="I7955" s="733"/>
      <c r="J7955" s="733"/>
      <c r="K7955" s="733"/>
      <c r="L7955" s="733"/>
      <c r="M7955" s="733"/>
    </row>
    <row r="7956" spans="1:13" x14ac:dyDescent="0.3">
      <c r="A7956" s="733" t="s">
        <v>8037</v>
      </c>
      <c r="B7956" s="733" t="s">
        <v>664</v>
      </c>
      <c r="C7956" s="738" t="s">
        <v>8050</v>
      </c>
      <c r="D7956" s="733"/>
      <c r="E7956" s="733"/>
      <c r="G7956" s="733"/>
      <c r="H7956" s="733"/>
      <c r="I7956" s="733"/>
      <c r="J7956" s="733"/>
      <c r="K7956" s="733"/>
      <c r="L7956" s="733"/>
      <c r="M7956" s="733"/>
    </row>
    <row r="7957" spans="1:13" x14ac:dyDescent="0.3">
      <c r="A7957" s="733" t="s">
        <v>8037</v>
      </c>
      <c r="B7957" s="733" t="s">
        <v>664</v>
      </c>
      <c r="C7957" s="738" t="s">
        <v>8051</v>
      </c>
      <c r="D7957" s="733"/>
      <c r="E7957" s="733"/>
      <c r="G7957" s="733"/>
      <c r="H7957" s="733"/>
      <c r="I7957" s="733"/>
      <c r="J7957" s="733"/>
      <c r="K7957" s="733"/>
      <c r="L7957" s="733"/>
      <c r="M7957" s="733"/>
    </row>
    <row r="7958" spans="1:13" x14ac:dyDescent="0.3">
      <c r="A7958" s="733" t="s">
        <v>8037</v>
      </c>
      <c r="B7958" s="733" t="s">
        <v>664</v>
      </c>
      <c r="C7958" s="738" t="s">
        <v>8052</v>
      </c>
      <c r="D7958" s="733"/>
      <c r="E7958" s="733"/>
      <c r="G7958" s="733"/>
      <c r="H7958" s="733"/>
      <c r="I7958" s="733"/>
      <c r="J7958" s="733"/>
      <c r="K7958" s="733"/>
      <c r="L7958" s="733"/>
      <c r="M7958" s="733"/>
    </row>
    <row r="7959" spans="1:13" x14ac:dyDescent="0.3">
      <c r="A7959" s="733" t="s">
        <v>8037</v>
      </c>
      <c r="B7959" s="733" t="s">
        <v>664</v>
      </c>
      <c r="C7959" s="738" t="s">
        <v>8053</v>
      </c>
      <c r="D7959" s="733"/>
      <c r="E7959" s="733"/>
      <c r="G7959" s="733"/>
      <c r="H7959" s="733"/>
      <c r="I7959" s="733"/>
      <c r="J7959" s="733"/>
      <c r="K7959" s="733"/>
      <c r="L7959" s="733"/>
      <c r="M7959" s="733"/>
    </row>
    <row r="7960" spans="1:13" x14ac:dyDescent="0.3">
      <c r="A7960" s="733" t="s">
        <v>8037</v>
      </c>
      <c r="B7960" s="733" t="s">
        <v>664</v>
      </c>
      <c r="C7960" s="738" t="s">
        <v>8054</v>
      </c>
      <c r="D7960" s="733"/>
      <c r="E7960" s="733"/>
      <c r="G7960" s="733"/>
      <c r="H7960" s="733"/>
      <c r="I7960" s="733"/>
      <c r="J7960" s="733"/>
      <c r="K7960" s="733"/>
      <c r="L7960" s="733"/>
      <c r="M7960" s="733"/>
    </row>
    <row r="7961" spans="1:13" x14ac:dyDescent="0.3">
      <c r="A7961" s="733" t="s">
        <v>8037</v>
      </c>
      <c r="B7961" s="733" t="s">
        <v>664</v>
      </c>
      <c r="C7961" s="738" t="s">
        <v>8055</v>
      </c>
      <c r="D7961" s="733"/>
      <c r="E7961" s="733"/>
      <c r="G7961" s="733"/>
      <c r="H7961" s="733"/>
      <c r="I7961" s="733"/>
      <c r="J7961" s="733"/>
      <c r="K7961" s="733"/>
      <c r="L7961" s="733"/>
      <c r="M7961" s="733"/>
    </row>
    <row r="7962" spans="1:13" x14ac:dyDescent="0.3">
      <c r="A7962" s="733" t="s">
        <v>8037</v>
      </c>
      <c r="B7962" s="733" t="s">
        <v>664</v>
      </c>
      <c r="C7962" s="738" t="s">
        <v>8056</v>
      </c>
      <c r="D7962" s="733"/>
      <c r="E7962" s="733"/>
      <c r="G7962" s="733"/>
      <c r="H7962" s="733"/>
      <c r="I7962" s="733"/>
      <c r="J7962" s="733"/>
      <c r="K7962" s="733"/>
      <c r="L7962" s="733"/>
      <c r="M7962" s="733"/>
    </row>
    <row r="7963" spans="1:13" x14ac:dyDescent="0.3">
      <c r="A7963" s="733" t="s">
        <v>8037</v>
      </c>
      <c r="B7963" s="733" t="s">
        <v>664</v>
      </c>
      <c r="C7963" s="738" t="s">
        <v>8057</v>
      </c>
      <c r="D7963" s="733"/>
      <c r="E7963" s="733"/>
      <c r="G7963" s="733"/>
      <c r="H7963" s="733"/>
      <c r="I7963" s="733"/>
      <c r="J7963" s="733"/>
      <c r="K7963" s="733"/>
      <c r="L7963" s="733"/>
      <c r="M7963" s="733"/>
    </row>
    <row r="7964" spans="1:13" x14ac:dyDescent="0.3">
      <c r="A7964" s="733" t="s">
        <v>8037</v>
      </c>
      <c r="B7964" s="733" t="s">
        <v>612</v>
      </c>
      <c r="C7964" s="738" t="s">
        <v>8058</v>
      </c>
      <c r="D7964" s="733"/>
      <c r="E7964" s="733"/>
      <c r="G7964" s="733"/>
      <c r="H7964" s="733"/>
      <c r="I7964" s="733"/>
      <c r="J7964" s="733"/>
      <c r="K7964" s="733"/>
      <c r="L7964" s="733"/>
      <c r="M7964" s="733"/>
    </row>
    <row r="7965" spans="1:13" x14ac:dyDescent="0.3">
      <c r="A7965" s="733" t="s">
        <v>8037</v>
      </c>
      <c r="B7965" s="733" t="s">
        <v>612</v>
      </c>
      <c r="C7965" s="738" t="s">
        <v>8059</v>
      </c>
      <c r="D7965" s="733"/>
      <c r="E7965" s="733"/>
      <c r="G7965" s="733"/>
      <c r="H7965" s="733"/>
      <c r="I7965" s="733"/>
      <c r="J7965" s="733"/>
      <c r="K7965" s="733"/>
      <c r="L7965" s="733"/>
      <c r="M7965" s="733"/>
    </row>
    <row r="7966" spans="1:13" x14ac:dyDescent="0.3">
      <c r="A7966" s="733" t="s">
        <v>8037</v>
      </c>
      <c r="B7966" s="733" t="s">
        <v>612</v>
      </c>
      <c r="C7966" s="738" t="s">
        <v>8060</v>
      </c>
      <c r="D7966" s="733"/>
      <c r="E7966" s="733"/>
      <c r="G7966" s="733"/>
      <c r="H7966" s="733"/>
      <c r="I7966" s="733"/>
      <c r="J7966" s="733"/>
      <c r="K7966" s="733"/>
      <c r="L7966" s="733"/>
      <c r="M7966" s="733"/>
    </row>
    <row r="7967" spans="1:13" x14ac:dyDescent="0.3">
      <c r="A7967" s="733" t="s">
        <v>8037</v>
      </c>
      <c r="B7967" s="733" t="s">
        <v>612</v>
      </c>
      <c r="C7967" s="738" t="s">
        <v>8061</v>
      </c>
      <c r="D7967" s="733"/>
      <c r="E7967" s="733"/>
      <c r="G7967" s="733"/>
      <c r="H7967" s="733"/>
      <c r="I7967" s="733"/>
      <c r="J7967" s="733"/>
      <c r="K7967" s="733"/>
      <c r="L7967" s="733"/>
      <c r="M7967" s="733"/>
    </row>
    <row r="7968" spans="1:13" x14ac:dyDescent="0.3">
      <c r="A7968" s="733" t="s">
        <v>8037</v>
      </c>
      <c r="B7968" s="733" t="s">
        <v>612</v>
      </c>
      <c r="C7968" s="738" t="s">
        <v>8062</v>
      </c>
      <c r="D7968" s="733"/>
      <c r="E7968" s="733"/>
      <c r="G7968" s="733"/>
      <c r="H7968" s="733"/>
      <c r="I7968" s="733"/>
      <c r="J7968" s="733"/>
      <c r="K7968" s="733"/>
      <c r="L7968" s="733"/>
      <c r="M7968" s="733"/>
    </row>
    <row r="7969" spans="1:13" x14ac:dyDescent="0.3">
      <c r="A7969" s="733" t="s">
        <v>8037</v>
      </c>
      <c r="B7969" s="733" t="s">
        <v>612</v>
      </c>
      <c r="C7969" s="738" t="s">
        <v>8063</v>
      </c>
      <c r="D7969" s="733"/>
      <c r="E7969" s="733"/>
      <c r="G7969" s="733"/>
      <c r="H7969" s="733"/>
      <c r="I7969" s="733"/>
      <c r="J7969" s="733"/>
      <c r="K7969" s="733"/>
      <c r="L7969" s="733"/>
      <c r="M7969" s="733"/>
    </row>
    <row r="7970" spans="1:13" x14ac:dyDescent="0.3">
      <c r="A7970" s="733" t="s">
        <v>8037</v>
      </c>
      <c r="B7970" s="733" t="s">
        <v>612</v>
      </c>
      <c r="C7970" s="738" t="s">
        <v>8064</v>
      </c>
      <c r="D7970" s="733"/>
      <c r="E7970" s="733"/>
      <c r="G7970" s="733"/>
      <c r="H7970" s="733"/>
      <c r="I7970" s="733"/>
      <c r="J7970" s="733"/>
      <c r="K7970" s="733"/>
      <c r="L7970" s="733"/>
      <c r="M7970" s="733"/>
    </row>
    <row r="7971" spans="1:13" x14ac:dyDescent="0.3">
      <c r="A7971" s="733" t="s">
        <v>8037</v>
      </c>
      <c r="B7971" s="733" t="s">
        <v>612</v>
      </c>
      <c r="C7971" s="738" t="s">
        <v>8065</v>
      </c>
      <c r="D7971" s="733"/>
      <c r="E7971" s="733"/>
      <c r="G7971" s="733"/>
      <c r="H7971" s="733"/>
      <c r="I7971" s="733"/>
      <c r="J7971" s="733"/>
      <c r="K7971" s="733"/>
      <c r="L7971" s="733"/>
      <c r="M7971" s="733"/>
    </row>
    <row r="7972" spans="1:13" x14ac:dyDescent="0.3">
      <c r="A7972" s="733" t="s">
        <v>8037</v>
      </c>
      <c r="B7972" s="733" t="s">
        <v>612</v>
      </c>
      <c r="C7972" s="738" t="s">
        <v>8066</v>
      </c>
      <c r="D7972" s="733"/>
      <c r="E7972" s="733"/>
      <c r="G7972" s="733"/>
      <c r="H7972" s="733"/>
      <c r="I7972" s="733"/>
      <c r="J7972" s="733"/>
      <c r="K7972" s="733"/>
      <c r="L7972" s="733"/>
      <c r="M7972" s="733"/>
    </row>
    <row r="7973" spans="1:13" x14ac:dyDescent="0.3">
      <c r="A7973" s="733" t="s">
        <v>8037</v>
      </c>
      <c r="B7973" s="733" t="s">
        <v>612</v>
      </c>
      <c r="C7973" s="738" t="s">
        <v>8067</v>
      </c>
      <c r="D7973" s="733"/>
      <c r="E7973" s="733"/>
      <c r="G7973" s="733"/>
      <c r="H7973" s="733"/>
      <c r="I7973" s="733"/>
      <c r="J7973" s="733"/>
      <c r="K7973" s="733"/>
      <c r="L7973" s="733"/>
      <c r="M7973" s="733"/>
    </row>
    <row r="7974" spans="1:13" x14ac:dyDescent="0.3">
      <c r="A7974" s="733" t="s">
        <v>8068</v>
      </c>
      <c r="B7974" s="733" t="s">
        <v>645</v>
      </c>
      <c r="C7974" s="738" t="s">
        <v>8069</v>
      </c>
      <c r="D7974" s="733"/>
      <c r="E7974" s="733"/>
      <c r="G7974" s="733"/>
      <c r="H7974" s="733"/>
      <c r="I7974" s="733"/>
      <c r="J7974" s="733"/>
      <c r="K7974" s="733"/>
      <c r="L7974" s="733"/>
      <c r="M7974" s="733"/>
    </row>
    <row r="7975" spans="1:13" x14ac:dyDescent="0.3">
      <c r="A7975" s="733" t="s">
        <v>8068</v>
      </c>
      <c r="B7975" s="733" t="s">
        <v>645</v>
      </c>
      <c r="C7975" s="738" t="s">
        <v>8070</v>
      </c>
      <c r="D7975" s="733"/>
      <c r="E7975" s="733"/>
      <c r="G7975" s="733"/>
      <c r="H7975" s="733"/>
      <c r="I7975" s="733"/>
      <c r="J7975" s="733"/>
      <c r="K7975" s="733"/>
      <c r="L7975" s="733"/>
      <c r="M7975" s="733"/>
    </row>
    <row r="7976" spans="1:13" x14ac:dyDescent="0.3">
      <c r="A7976" s="733" t="s">
        <v>8068</v>
      </c>
      <c r="B7976" s="733" t="s">
        <v>645</v>
      </c>
      <c r="C7976" s="738" t="s">
        <v>8071</v>
      </c>
      <c r="D7976" s="733"/>
      <c r="E7976" s="733"/>
      <c r="G7976" s="733"/>
      <c r="H7976" s="733"/>
      <c r="I7976" s="733"/>
      <c r="J7976" s="733"/>
      <c r="K7976" s="733"/>
      <c r="L7976" s="733"/>
      <c r="M7976" s="733"/>
    </row>
    <row r="7977" spans="1:13" x14ac:dyDescent="0.3">
      <c r="A7977" s="733" t="s">
        <v>8068</v>
      </c>
      <c r="B7977" s="733" t="s">
        <v>645</v>
      </c>
      <c r="C7977" s="738" t="s">
        <v>8072</v>
      </c>
      <c r="D7977" s="733"/>
      <c r="E7977" s="733"/>
      <c r="G7977" s="733"/>
      <c r="H7977" s="733"/>
      <c r="I7977" s="733"/>
      <c r="J7977" s="733"/>
      <c r="K7977" s="733"/>
      <c r="L7977" s="733"/>
      <c r="M7977" s="733"/>
    </row>
    <row r="7978" spans="1:13" x14ac:dyDescent="0.3">
      <c r="A7978" s="733" t="s">
        <v>8068</v>
      </c>
      <c r="B7978" s="733" t="s">
        <v>645</v>
      </c>
      <c r="C7978" s="738" t="s">
        <v>8073</v>
      </c>
      <c r="D7978" s="733"/>
      <c r="E7978" s="733"/>
      <c r="G7978" s="733"/>
      <c r="H7978" s="733"/>
      <c r="I7978" s="733"/>
      <c r="J7978" s="733"/>
      <c r="K7978" s="733"/>
      <c r="L7978" s="733"/>
      <c r="M7978" s="733"/>
    </row>
    <row r="7979" spans="1:13" x14ac:dyDescent="0.3">
      <c r="A7979" s="733" t="s">
        <v>8068</v>
      </c>
      <c r="B7979" s="733" t="s">
        <v>645</v>
      </c>
      <c r="C7979" s="738" t="s">
        <v>8074</v>
      </c>
      <c r="D7979" s="733"/>
      <c r="E7979" s="733"/>
      <c r="G7979" s="733"/>
      <c r="H7979" s="733"/>
      <c r="I7979" s="733"/>
      <c r="J7979" s="733"/>
      <c r="K7979" s="733"/>
      <c r="L7979" s="733"/>
      <c r="M7979" s="733"/>
    </row>
    <row r="7980" spans="1:13" x14ac:dyDescent="0.3">
      <c r="A7980" s="733" t="s">
        <v>8068</v>
      </c>
      <c r="B7980" s="733" t="s">
        <v>645</v>
      </c>
      <c r="C7980" s="738" t="s">
        <v>8075</v>
      </c>
      <c r="D7980" s="733"/>
      <c r="E7980" s="733"/>
      <c r="G7980" s="733"/>
      <c r="H7980" s="733"/>
      <c r="I7980" s="733"/>
      <c r="J7980" s="733"/>
      <c r="K7980" s="733"/>
      <c r="L7980" s="733"/>
      <c r="M7980" s="733"/>
    </row>
    <row r="7981" spans="1:13" x14ac:dyDescent="0.3">
      <c r="A7981" s="733" t="s">
        <v>8068</v>
      </c>
      <c r="B7981" s="733" t="s">
        <v>645</v>
      </c>
      <c r="C7981" s="738" t="s">
        <v>8076</v>
      </c>
      <c r="D7981" s="733"/>
      <c r="E7981" s="733"/>
      <c r="G7981" s="733"/>
      <c r="H7981" s="733"/>
      <c r="I7981" s="733"/>
      <c r="J7981" s="733"/>
      <c r="K7981" s="733"/>
      <c r="L7981" s="733"/>
      <c r="M7981" s="733"/>
    </row>
    <row r="7982" spans="1:13" x14ac:dyDescent="0.3">
      <c r="A7982" s="733" t="s">
        <v>8068</v>
      </c>
      <c r="B7982" s="733" t="s">
        <v>645</v>
      </c>
      <c r="C7982" s="738" t="s">
        <v>8077</v>
      </c>
      <c r="D7982" s="733"/>
      <c r="E7982" s="733"/>
      <c r="G7982" s="733"/>
      <c r="H7982" s="733"/>
      <c r="I7982" s="733"/>
      <c r="J7982" s="733"/>
      <c r="K7982" s="733"/>
      <c r="L7982" s="733"/>
      <c r="M7982" s="733"/>
    </row>
    <row r="7983" spans="1:13" x14ac:dyDescent="0.3">
      <c r="A7983" s="733" t="s">
        <v>8068</v>
      </c>
      <c r="B7983" s="733" t="s">
        <v>645</v>
      </c>
      <c r="C7983" s="738" t="s">
        <v>8078</v>
      </c>
      <c r="D7983" s="733"/>
      <c r="E7983" s="733"/>
      <c r="G7983" s="733"/>
      <c r="H7983" s="733"/>
      <c r="I7983" s="733"/>
      <c r="J7983" s="733"/>
      <c r="K7983" s="733"/>
      <c r="L7983" s="733"/>
      <c r="M7983" s="733"/>
    </row>
    <row r="7984" spans="1:13" x14ac:dyDescent="0.3">
      <c r="A7984" s="733" t="s">
        <v>8068</v>
      </c>
      <c r="B7984" s="733" t="s">
        <v>664</v>
      </c>
      <c r="C7984" s="738" t="s">
        <v>8079</v>
      </c>
      <c r="D7984" s="733"/>
      <c r="E7984" s="733"/>
      <c r="G7984" s="733"/>
      <c r="H7984" s="733"/>
      <c r="I7984" s="733"/>
      <c r="J7984" s="733"/>
      <c r="K7984" s="733"/>
      <c r="L7984" s="733"/>
      <c r="M7984" s="733"/>
    </row>
    <row r="7985" spans="1:13" x14ac:dyDescent="0.3">
      <c r="A7985" s="733" t="s">
        <v>8068</v>
      </c>
      <c r="B7985" s="733" t="s">
        <v>664</v>
      </c>
      <c r="C7985" s="738" t="s">
        <v>8080</v>
      </c>
      <c r="D7985" s="733"/>
      <c r="E7985" s="733"/>
      <c r="G7985" s="733"/>
      <c r="H7985" s="733"/>
      <c r="I7985" s="733"/>
      <c r="J7985" s="733"/>
      <c r="K7985" s="733"/>
      <c r="L7985" s="733"/>
      <c r="M7985" s="733"/>
    </row>
    <row r="7986" spans="1:13" x14ac:dyDescent="0.3">
      <c r="A7986" s="733" t="s">
        <v>8068</v>
      </c>
      <c r="B7986" s="733" t="s">
        <v>664</v>
      </c>
      <c r="C7986" s="738" t="s">
        <v>8081</v>
      </c>
      <c r="D7986" s="733"/>
      <c r="E7986" s="733"/>
      <c r="G7986" s="733"/>
      <c r="H7986" s="733"/>
      <c r="I7986" s="733"/>
      <c r="J7986" s="733"/>
      <c r="K7986" s="733"/>
      <c r="L7986" s="733"/>
      <c r="M7986" s="733"/>
    </row>
    <row r="7987" spans="1:13" x14ac:dyDescent="0.3">
      <c r="A7987" s="733" t="s">
        <v>8068</v>
      </c>
      <c r="B7987" s="733" t="s">
        <v>664</v>
      </c>
      <c r="C7987" s="738" t="s">
        <v>8082</v>
      </c>
      <c r="D7987" s="733"/>
      <c r="E7987" s="733"/>
      <c r="G7987" s="733"/>
      <c r="H7987" s="733"/>
      <c r="I7987" s="733"/>
      <c r="J7987" s="733"/>
      <c r="K7987" s="733"/>
      <c r="L7987" s="733"/>
      <c r="M7987" s="733"/>
    </row>
    <row r="7988" spans="1:13" x14ac:dyDescent="0.3">
      <c r="A7988" s="733" t="s">
        <v>8068</v>
      </c>
      <c r="B7988" s="733" t="s">
        <v>664</v>
      </c>
      <c r="C7988" s="738" t="s">
        <v>8083</v>
      </c>
      <c r="D7988" s="733"/>
      <c r="E7988" s="733"/>
      <c r="G7988" s="733"/>
      <c r="H7988" s="733"/>
      <c r="I7988" s="733"/>
      <c r="J7988" s="733"/>
      <c r="K7988" s="733"/>
      <c r="L7988" s="733"/>
      <c r="M7988" s="733"/>
    </row>
    <row r="7989" spans="1:13" x14ac:dyDescent="0.3">
      <c r="A7989" s="733" t="s">
        <v>8068</v>
      </c>
      <c r="B7989" s="733" t="s">
        <v>664</v>
      </c>
      <c r="C7989" s="738" t="s">
        <v>8084</v>
      </c>
      <c r="D7989" s="733"/>
      <c r="E7989" s="733"/>
      <c r="G7989" s="733"/>
      <c r="H7989" s="733"/>
      <c r="I7989" s="733"/>
      <c r="J7989" s="733"/>
      <c r="K7989" s="733"/>
      <c r="L7989" s="733"/>
      <c r="M7989" s="733"/>
    </row>
    <row r="7990" spans="1:13" x14ac:dyDescent="0.3">
      <c r="A7990" s="733" t="s">
        <v>8068</v>
      </c>
      <c r="B7990" s="733" t="s">
        <v>664</v>
      </c>
      <c r="C7990" s="738" t="s">
        <v>8085</v>
      </c>
      <c r="D7990" s="733"/>
      <c r="E7990" s="733"/>
      <c r="G7990" s="733"/>
      <c r="H7990" s="733"/>
      <c r="I7990" s="733"/>
      <c r="J7990" s="733"/>
      <c r="K7990" s="733"/>
      <c r="L7990" s="733"/>
      <c r="M7990" s="733"/>
    </row>
    <row r="7991" spans="1:13" x14ac:dyDescent="0.3">
      <c r="A7991" s="733" t="s">
        <v>8068</v>
      </c>
      <c r="B7991" s="733" t="s">
        <v>664</v>
      </c>
      <c r="C7991" s="738" t="s">
        <v>8086</v>
      </c>
      <c r="D7991" s="733"/>
      <c r="E7991" s="733"/>
      <c r="G7991" s="733"/>
      <c r="H7991" s="733"/>
      <c r="I7991" s="733"/>
      <c r="J7991" s="733"/>
      <c r="K7991" s="733"/>
      <c r="L7991" s="733"/>
      <c r="M7991" s="733"/>
    </row>
    <row r="7992" spans="1:13" x14ac:dyDescent="0.3">
      <c r="A7992" s="733" t="s">
        <v>8068</v>
      </c>
      <c r="B7992" s="733" t="s">
        <v>664</v>
      </c>
      <c r="C7992" s="738" t="s">
        <v>8087</v>
      </c>
      <c r="D7992" s="733"/>
      <c r="E7992" s="733"/>
      <c r="G7992" s="733"/>
      <c r="H7992" s="733"/>
      <c r="I7992" s="733"/>
      <c r="J7992" s="733"/>
      <c r="K7992" s="733"/>
      <c r="L7992" s="733"/>
      <c r="M7992" s="733"/>
    </row>
    <row r="7993" spans="1:13" x14ac:dyDescent="0.3">
      <c r="A7993" s="733" t="s">
        <v>8068</v>
      </c>
      <c r="B7993" s="733" t="s">
        <v>664</v>
      </c>
      <c r="C7993" s="738" t="s">
        <v>8088</v>
      </c>
      <c r="D7993" s="733"/>
      <c r="E7993" s="733"/>
      <c r="G7993" s="733"/>
      <c r="H7993" s="733"/>
      <c r="I7993" s="733"/>
      <c r="J7993" s="733"/>
      <c r="K7993" s="733"/>
      <c r="L7993" s="733"/>
      <c r="M7993" s="733"/>
    </row>
    <row r="7994" spans="1:13" x14ac:dyDescent="0.3">
      <c r="A7994" s="733" t="s">
        <v>8068</v>
      </c>
      <c r="B7994" s="733" t="s">
        <v>612</v>
      </c>
      <c r="C7994" s="738" t="s">
        <v>8089</v>
      </c>
      <c r="D7994" s="733"/>
      <c r="E7994" s="733"/>
      <c r="G7994" s="733"/>
      <c r="H7994" s="733"/>
      <c r="I7994" s="733"/>
      <c r="J7994" s="733"/>
      <c r="K7994" s="733"/>
      <c r="L7994" s="733"/>
      <c r="M7994" s="733"/>
    </row>
    <row r="7995" spans="1:13" x14ac:dyDescent="0.3">
      <c r="A7995" s="733" t="s">
        <v>8068</v>
      </c>
      <c r="B7995" s="733" t="s">
        <v>612</v>
      </c>
      <c r="C7995" s="738" t="s">
        <v>8090</v>
      </c>
      <c r="D7995" s="733"/>
      <c r="E7995" s="733"/>
      <c r="G7995" s="733"/>
      <c r="H7995" s="733"/>
      <c r="I7995" s="733"/>
      <c r="J7995" s="733"/>
      <c r="K7995" s="733"/>
      <c r="L7995" s="733"/>
      <c r="M7995" s="733"/>
    </row>
    <row r="7996" spans="1:13" x14ac:dyDescent="0.3">
      <c r="A7996" s="733" t="s">
        <v>8068</v>
      </c>
      <c r="B7996" s="733" t="s">
        <v>612</v>
      </c>
      <c r="C7996" s="738" t="s">
        <v>8091</v>
      </c>
      <c r="D7996" s="733"/>
      <c r="E7996" s="733"/>
      <c r="G7996" s="733"/>
      <c r="H7996" s="733"/>
      <c r="I7996" s="733"/>
      <c r="J7996" s="733"/>
      <c r="K7996" s="733"/>
      <c r="L7996" s="733"/>
      <c r="M7996" s="733"/>
    </row>
    <row r="7997" spans="1:13" x14ac:dyDescent="0.3">
      <c r="A7997" s="733" t="s">
        <v>8068</v>
      </c>
      <c r="B7997" s="733" t="s">
        <v>612</v>
      </c>
      <c r="C7997" s="738" t="s">
        <v>8092</v>
      </c>
      <c r="D7997" s="733"/>
      <c r="E7997" s="733"/>
      <c r="G7997" s="733"/>
      <c r="H7997" s="733"/>
      <c r="I7997" s="733"/>
      <c r="J7997" s="733"/>
      <c r="K7997" s="733"/>
      <c r="L7997" s="733"/>
      <c r="M7997" s="733"/>
    </row>
    <row r="7998" spans="1:13" x14ac:dyDescent="0.3">
      <c r="A7998" s="733" t="s">
        <v>8068</v>
      </c>
      <c r="B7998" s="733" t="s">
        <v>612</v>
      </c>
      <c r="C7998" s="738" t="s">
        <v>8093</v>
      </c>
      <c r="D7998" s="733"/>
      <c r="E7998" s="733"/>
      <c r="G7998" s="733"/>
      <c r="H7998" s="733"/>
      <c r="I7998" s="733"/>
      <c r="J7998" s="733"/>
      <c r="K7998" s="733"/>
      <c r="L7998" s="733"/>
      <c r="M7998" s="733"/>
    </row>
    <row r="7999" spans="1:13" x14ac:dyDescent="0.3">
      <c r="A7999" s="733" t="s">
        <v>8068</v>
      </c>
      <c r="B7999" s="733" t="s">
        <v>612</v>
      </c>
      <c r="C7999" s="738" t="s">
        <v>8094</v>
      </c>
      <c r="D7999" s="733"/>
      <c r="E7999" s="733"/>
      <c r="G7999" s="733"/>
      <c r="H7999" s="733"/>
      <c r="I7999" s="733"/>
      <c r="J7999" s="733"/>
      <c r="K7999" s="733"/>
      <c r="L7999" s="733"/>
      <c r="M7999" s="733"/>
    </row>
    <row r="8000" spans="1:13" x14ac:dyDescent="0.3">
      <c r="A8000" s="733" t="s">
        <v>8068</v>
      </c>
      <c r="B8000" s="733" t="s">
        <v>612</v>
      </c>
      <c r="C8000" s="738" t="s">
        <v>8095</v>
      </c>
      <c r="D8000" s="733"/>
      <c r="E8000" s="733"/>
      <c r="G8000" s="733"/>
      <c r="H8000" s="733"/>
      <c r="I8000" s="733"/>
      <c r="J8000" s="733"/>
      <c r="K8000" s="733"/>
      <c r="L8000" s="733"/>
      <c r="M8000" s="733"/>
    </row>
    <row r="8001" spans="1:13" x14ac:dyDescent="0.3">
      <c r="A8001" s="733" t="s">
        <v>8068</v>
      </c>
      <c r="B8001" s="733" t="s">
        <v>612</v>
      </c>
      <c r="C8001" s="738" t="s">
        <v>8096</v>
      </c>
      <c r="D8001" s="733"/>
      <c r="E8001" s="733"/>
      <c r="G8001" s="733"/>
      <c r="H8001" s="733"/>
      <c r="I8001" s="733"/>
      <c r="J8001" s="733"/>
      <c r="K8001" s="733"/>
      <c r="L8001" s="733"/>
      <c r="M8001" s="733"/>
    </row>
    <row r="8002" spans="1:13" x14ac:dyDescent="0.3">
      <c r="A8002" s="733" t="s">
        <v>8068</v>
      </c>
      <c r="B8002" s="733" t="s">
        <v>612</v>
      </c>
      <c r="C8002" s="738" t="s">
        <v>8097</v>
      </c>
      <c r="D8002" s="733"/>
      <c r="E8002" s="733"/>
      <c r="G8002" s="733"/>
      <c r="H8002" s="733"/>
      <c r="I8002" s="733"/>
      <c r="J8002" s="733"/>
      <c r="K8002" s="733"/>
      <c r="L8002" s="733"/>
      <c r="M8002" s="733"/>
    </row>
    <row r="8003" spans="1:13" x14ac:dyDescent="0.3">
      <c r="A8003" s="733" t="s">
        <v>8068</v>
      </c>
      <c r="B8003" s="733" t="s">
        <v>612</v>
      </c>
      <c r="C8003" s="738" t="s">
        <v>8098</v>
      </c>
      <c r="D8003" s="733"/>
      <c r="E8003" s="733"/>
      <c r="G8003" s="733"/>
      <c r="H8003" s="733"/>
      <c r="I8003" s="733"/>
      <c r="J8003" s="733"/>
      <c r="K8003" s="733"/>
      <c r="L8003" s="733"/>
      <c r="M8003" s="733"/>
    </row>
    <row r="8004" spans="1:13" x14ac:dyDescent="0.3">
      <c r="A8004" s="733" t="s">
        <v>8099</v>
      </c>
      <c r="B8004" s="733" t="s">
        <v>645</v>
      </c>
      <c r="C8004" s="738" t="s">
        <v>8100</v>
      </c>
      <c r="D8004" s="733"/>
      <c r="E8004" s="733"/>
      <c r="G8004" s="733"/>
      <c r="H8004" s="733"/>
      <c r="I8004" s="733"/>
      <c r="J8004" s="733"/>
      <c r="K8004" s="733"/>
      <c r="L8004" s="733"/>
      <c r="M8004" s="733"/>
    </row>
    <row r="8005" spans="1:13" x14ac:dyDescent="0.3">
      <c r="A8005" s="733" t="s">
        <v>8099</v>
      </c>
      <c r="B8005" s="733" t="s">
        <v>645</v>
      </c>
      <c r="C8005" s="738" t="s">
        <v>8101</v>
      </c>
      <c r="D8005" s="733"/>
      <c r="E8005" s="733"/>
      <c r="G8005" s="733"/>
      <c r="H8005" s="733"/>
      <c r="I8005" s="733"/>
      <c r="J8005" s="733"/>
      <c r="K8005" s="733"/>
      <c r="L8005" s="733"/>
      <c r="M8005" s="733"/>
    </row>
    <row r="8006" spans="1:13" x14ac:dyDescent="0.3">
      <c r="A8006" s="733" t="s">
        <v>8099</v>
      </c>
      <c r="B8006" s="733" t="s">
        <v>645</v>
      </c>
      <c r="C8006" s="738" t="s">
        <v>8102</v>
      </c>
      <c r="D8006" s="733"/>
      <c r="E8006" s="733"/>
      <c r="G8006" s="733"/>
      <c r="H8006" s="733"/>
      <c r="I8006" s="733"/>
      <c r="J8006" s="733"/>
      <c r="K8006" s="733"/>
      <c r="L8006" s="733"/>
      <c r="M8006" s="733"/>
    </row>
    <row r="8007" spans="1:13" x14ac:dyDescent="0.3">
      <c r="A8007" s="733" t="s">
        <v>8099</v>
      </c>
      <c r="B8007" s="733" t="s">
        <v>645</v>
      </c>
      <c r="C8007" s="738" t="s">
        <v>8103</v>
      </c>
      <c r="D8007" s="733"/>
      <c r="E8007" s="733"/>
      <c r="G8007" s="733"/>
      <c r="H8007" s="733"/>
      <c r="I8007" s="733"/>
      <c r="J8007" s="733"/>
      <c r="K8007" s="733"/>
      <c r="L8007" s="733"/>
      <c r="M8007" s="733"/>
    </row>
    <row r="8008" spans="1:13" x14ac:dyDescent="0.3">
      <c r="A8008" s="733" t="s">
        <v>8099</v>
      </c>
      <c r="B8008" s="733" t="s">
        <v>645</v>
      </c>
      <c r="C8008" s="738" t="s">
        <v>8104</v>
      </c>
      <c r="D8008" s="733"/>
      <c r="E8008" s="733"/>
      <c r="G8008" s="733"/>
      <c r="H8008" s="733"/>
      <c r="I8008" s="733"/>
      <c r="J8008" s="733"/>
      <c r="K8008" s="733"/>
      <c r="L8008" s="733"/>
      <c r="M8008" s="733"/>
    </row>
    <row r="8009" spans="1:13" x14ac:dyDescent="0.3">
      <c r="A8009" s="733" t="s">
        <v>8099</v>
      </c>
      <c r="B8009" s="733" t="s">
        <v>645</v>
      </c>
      <c r="C8009" s="738" t="s">
        <v>8105</v>
      </c>
      <c r="D8009" s="733"/>
      <c r="E8009" s="733"/>
      <c r="G8009" s="733"/>
      <c r="H8009" s="733"/>
      <c r="I8009" s="733"/>
      <c r="J8009" s="733"/>
      <c r="K8009" s="733"/>
      <c r="L8009" s="733"/>
      <c r="M8009" s="733"/>
    </row>
    <row r="8010" spans="1:13" x14ac:dyDescent="0.3">
      <c r="A8010" s="733" t="s">
        <v>8099</v>
      </c>
      <c r="B8010" s="733" t="s">
        <v>645</v>
      </c>
      <c r="C8010" s="738" t="s">
        <v>8106</v>
      </c>
      <c r="D8010" s="733"/>
      <c r="E8010" s="733"/>
      <c r="G8010" s="733"/>
      <c r="H8010" s="733"/>
      <c r="I8010" s="733"/>
      <c r="J8010" s="733"/>
      <c r="K8010" s="733"/>
      <c r="L8010" s="733"/>
      <c r="M8010" s="733"/>
    </row>
    <row r="8011" spans="1:13" x14ac:dyDescent="0.3">
      <c r="A8011" s="733" t="s">
        <v>8099</v>
      </c>
      <c r="B8011" s="733" t="s">
        <v>645</v>
      </c>
      <c r="C8011" s="738" t="s">
        <v>8107</v>
      </c>
      <c r="D8011" s="733"/>
      <c r="E8011" s="733"/>
      <c r="G8011" s="733"/>
      <c r="H8011" s="733"/>
      <c r="I8011" s="733"/>
      <c r="J8011" s="733"/>
      <c r="K8011" s="733"/>
      <c r="L8011" s="733"/>
      <c r="M8011" s="733"/>
    </row>
    <row r="8012" spans="1:13" x14ac:dyDescent="0.3">
      <c r="A8012" s="733" t="s">
        <v>8099</v>
      </c>
      <c r="B8012" s="733" t="s">
        <v>645</v>
      </c>
      <c r="C8012" s="738" t="s">
        <v>8108</v>
      </c>
      <c r="D8012" s="733"/>
      <c r="E8012" s="733"/>
      <c r="G8012" s="733"/>
      <c r="H8012" s="733"/>
      <c r="I8012" s="733"/>
      <c r="J8012" s="733"/>
      <c r="K8012" s="733"/>
      <c r="L8012" s="733"/>
      <c r="M8012" s="733"/>
    </row>
    <row r="8013" spans="1:13" x14ac:dyDescent="0.3">
      <c r="A8013" s="733" t="s">
        <v>8099</v>
      </c>
      <c r="B8013" s="733" t="s">
        <v>645</v>
      </c>
      <c r="C8013" s="738" t="s">
        <v>8109</v>
      </c>
      <c r="D8013" s="733"/>
      <c r="E8013" s="733"/>
      <c r="G8013" s="733"/>
      <c r="H8013" s="733"/>
      <c r="I8013" s="733"/>
      <c r="J8013" s="733"/>
      <c r="K8013" s="733"/>
      <c r="L8013" s="733"/>
      <c r="M8013" s="733"/>
    </row>
    <row r="8014" spans="1:13" x14ac:dyDescent="0.3">
      <c r="A8014" s="733" t="s">
        <v>8099</v>
      </c>
      <c r="B8014" s="733" t="s">
        <v>664</v>
      </c>
      <c r="C8014" s="738" t="s">
        <v>8110</v>
      </c>
      <c r="D8014" s="733"/>
      <c r="E8014" s="733"/>
      <c r="G8014" s="733"/>
      <c r="H8014" s="733"/>
      <c r="I8014" s="733"/>
      <c r="J8014" s="733"/>
      <c r="K8014" s="733"/>
      <c r="L8014" s="733"/>
      <c r="M8014" s="733"/>
    </row>
    <row r="8015" spans="1:13" x14ac:dyDescent="0.3">
      <c r="A8015" s="733" t="s">
        <v>8099</v>
      </c>
      <c r="B8015" s="733" t="s">
        <v>664</v>
      </c>
      <c r="C8015" s="738" t="s">
        <v>8111</v>
      </c>
      <c r="D8015" s="733"/>
      <c r="E8015" s="733"/>
      <c r="G8015" s="733"/>
      <c r="H8015" s="733"/>
      <c r="I8015" s="733"/>
      <c r="J8015" s="733"/>
      <c r="K8015" s="733"/>
      <c r="L8015" s="733"/>
      <c r="M8015" s="733"/>
    </row>
    <row r="8016" spans="1:13" x14ac:dyDescent="0.3">
      <c r="A8016" s="733" t="s">
        <v>8099</v>
      </c>
      <c r="B8016" s="733" t="s">
        <v>664</v>
      </c>
      <c r="C8016" s="738" t="s">
        <v>8112</v>
      </c>
      <c r="D8016" s="733"/>
      <c r="E8016" s="733"/>
      <c r="G8016" s="733"/>
      <c r="H8016" s="733"/>
      <c r="I8016" s="733"/>
      <c r="J8016" s="733"/>
      <c r="K8016" s="733"/>
      <c r="L8016" s="733"/>
      <c r="M8016" s="733"/>
    </row>
    <row r="8017" spans="1:13" x14ac:dyDescent="0.3">
      <c r="A8017" s="733" t="s">
        <v>8099</v>
      </c>
      <c r="B8017" s="733" t="s">
        <v>664</v>
      </c>
      <c r="C8017" s="738" t="s">
        <v>8113</v>
      </c>
      <c r="D8017" s="733"/>
      <c r="E8017" s="733"/>
      <c r="G8017" s="733"/>
      <c r="H8017" s="733"/>
      <c r="I8017" s="733"/>
      <c r="J8017" s="733"/>
      <c r="K8017" s="733"/>
      <c r="L8017" s="733"/>
      <c r="M8017" s="733"/>
    </row>
    <row r="8018" spans="1:13" x14ac:dyDescent="0.3">
      <c r="A8018" s="733" t="s">
        <v>8099</v>
      </c>
      <c r="B8018" s="733" t="s">
        <v>664</v>
      </c>
      <c r="C8018" s="738" t="s">
        <v>8114</v>
      </c>
      <c r="D8018" s="733"/>
      <c r="E8018" s="733"/>
      <c r="G8018" s="733"/>
      <c r="H8018" s="733"/>
      <c r="I8018" s="733"/>
      <c r="J8018" s="733"/>
      <c r="K8018" s="733"/>
      <c r="L8018" s="733"/>
      <c r="M8018" s="733"/>
    </row>
    <row r="8019" spans="1:13" x14ac:dyDescent="0.3">
      <c r="A8019" s="733" t="s">
        <v>8099</v>
      </c>
      <c r="B8019" s="733" t="s">
        <v>664</v>
      </c>
      <c r="C8019" s="738" t="s">
        <v>8115</v>
      </c>
      <c r="D8019" s="733"/>
      <c r="E8019" s="733"/>
      <c r="G8019" s="733"/>
      <c r="H8019" s="733"/>
      <c r="I8019" s="733"/>
      <c r="J8019" s="733"/>
      <c r="K8019" s="733"/>
      <c r="L8019" s="733"/>
      <c r="M8019" s="733"/>
    </row>
    <row r="8020" spans="1:13" x14ac:dyDescent="0.3">
      <c r="A8020" s="733" t="s">
        <v>8099</v>
      </c>
      <c r="B8020" s="733" t="s">
        <v>664</v>
      </c>
      <c r="C8020" s="738" t="s">
        <v>8116</v>
      </c>
      <c r="D8020" s="733"/>
      <c r="E8020" s="733"/>
      <c r="G8020" s="733"/>
      <c r="H8020" s="733"/>
      <c r="I8020" s="733"/>
      <c r="J8020" s="733"/>
      <c r="K8020" s="733"/>
      <c r="L8020" s="733"/>
      <c r="M8020" s="733"/>
    </row>
    <row r="8021" spans="1:13" x14ac:dyDescent="0.3">
      <c r="A8021" s="733" t="s">
        <v>8099</v>
      </c>
      <c r="B8021" s="733" t="s">
        <v>664</v>
      </c>
      <c r="C8021" s="738" t="s">
        <v>8117</v>
      </c>
      <c r="D8021" s="733"/>
      <c r="E8021" s="733"/>
      <c r="G8021" s="733"/>
      <c r="H8021" s="733"/>
      <c r="I8021" s="733"/>
      <c r="J8021" s="733"/>
      <c r="K8021" s="733"/>
      <c r="L8021" s="733"/>
      <c r="M8021" s="733"/>
    </row>
    <row r="8022" spans="1:13" x14ac:dyDescent="0.3">
      <c r="A8022" s="733" t="s">
        <v>8099</v>
      </c>
      <c r="B8022" s="733" t="s">
        <v>664</v>
      </c>
      <c r="C8022" s="738" t="s">
        <v>8118</v>
      </c>
      <c r="D8022" s="733"/>
      <c r="E8022" s="733"/>
      <c r="G8022" s="733"/>
      <c r="H8022" s="733"/>
      <c r="I8022" s="733"/>
      <c r="J8022" s="733"/>
      <c r="K8022" s="733"/>
      <c r="L8022" s="733"/>
      <c r="M8022" s="733"/>
    </row>
    <row r="8023" spans="1:13" x14ac:dyDescent="0.3">
      <c r="A8023" s="733" t="s">
        <v>8099</v>
      </c>
      <c r="B8023" s="733" t="s">
        <v>664</v>
      </c>
      <c r="C8023" s="738" t="s">
        <v>8119</v>
      </c>
      <c r="D8023" s="733"/>
      <c r="E8023" s="733"/>
      <c r="G8023" s="733"/>
      <c r="H8023" s="733"/>
      <c r="I8023" s="733"/>
      <c r="J8023" s="733"/>
      <c r="K8023" s="733"/>
      <c r="L8023" s="733"/>
      <c r="M8023" s="733"/>
    </row>
    <row r="8024" spans="1:13" x14ac:dyDescent="0.3">
      <c r="A8024" s="733" t="s">
        <v>8099</v>
      </c>
      <c r="B8024" s="733" t="s">
        <v>612</v>
      </c>
      <c r="C8024" s="738" t="s">
        <v>8120</v>
      </c>
      <c r="D8024" s="733"/>
      <c r="E8024" s="733"/>
      <c r="G8024" s="733"/>
      <c r="H8024" s="733"/>
      <c r="I8024" s="733"/>
      <c r="J8024" s="733"/>
      <c r="K8024" s="733"/>
      <c r="L8024" s="733"/>
      <c r="M8024" s="733"/>
    </row>
    <row r="8025" spans="1:13" x14ac:dyDescent="0.3">
      <c r="A8025" s="733" t="s">
        <v>8099</v>
      </c>
      <c r="B8025" s="733" t="s">
        <v>612</v>
      </c>
      <c r="C8025" s="738" t="s">
        <v>8121</v>
      </c>
      <c r="D8025" s="733"/>
      <c r="E8025" s="733"/>
      <c r="G8025" s="733"/>
      <c r="H8025" s="733"/>
      <c r="I8025" s="733"/>
      <c r="J8025" s="733"/>
      <c r="K8025" s="733"/>
      <c r="L8025" s="733"/>
      <c r="M8025" s="733"/>
    </row>
    <row r="8026" spans="1:13" x14ac:dyDescent="0.3">
      <c r="A8026" s="733" t="s">
        <v>8099</v>
      </c>
      <c r="B8026" s="733" t="s">
        <v>612</v>
      </c>
      <c r="C8026" s="738" t="s">
        <v>8122</v>
      </c>
      <c r="D8026" s="733"/>
      <c r="E8026" s="733"/>
      <c r="G8026" s="733"/>
      <c r="H8026" s="733"/>
      <c r="I8026" s="733"/>
      <c r="J8026" s="733"/>
      <c r="K8026" s="733"/>
      <c r="L8026" s="733"/>
      <c r="M8026" s="733"/>
    </row>
    <row r="8027" spans="1:13" x14ac:dyDescent="0.3">
      <c r="A8027" s="733" t="s">
        <v>8099</v>
      </c>
      <c r="B8027" s="733" t="s">
        <v>612</v>
      </c>
      <c r="C8027" s="738" t="s">
        <v>8123</v>
      </c>
      <c r="D8027" s="733"/>
      <c r="E8027" s="733"/>
      <c r="G8027" s="733"/>
      <c r="H8027" s="733"/>
      <c r="I8027" s="733"/>
      <c r="J8027" s="733"/>
      <c r="K8027" s="733"/>
      <c r="L8027" s="733"/>
      <c r="M8027" s="733"/>
    </row>
    <row r="8028" spans="1:13" x14ac:dyDescent="0.3">
      <c r="A8028" s="733" t="s">
        <v>8099</v>
      </c>
      <c r="B8028" s="733" t="s">
        <v>612</v>
      </c>
      <c r="C8028" s="738" t="s">
        <v>8124</v>
      </c>
      <c r="D8028" s="733"/>
      <c r="E8028" s="733"/>
      <c r="G8028" s="733"/>
      <c r="H8028" s="733"/>
      <c r="I8028" s="733"/>
      <c r="J8028" s="733"/>
      <c r="K8028" s="733"/>
      <c r="L8028" s="733"/>
      <c r="M8028" s="733"/>
    </row>
    <row r="8029" spans="1:13" x14ac:dyDescent="0.3">
      <c r="A8029" s="733" t="s">
        <v>8099</v>
      </c>
      <c r="B8029" s="733" t="s">
        <v>612</v>
      </c>
      <c r="C8029" s="738" t="s">
        <v>8125</v>
      </c>
      <c r="D8029" s="733"/>
      <c r="E8029" s="733"/>
      <c r="G8029" s="733"/>
      <c r="H8029" s="733"/>
      <c r="I8029" s="733"/>
      <c r="J8029" s="733"/>
      <c r="K8029" s="733"/>
      <c r="L8029" s="733"/>
      <c r="M8029" s="733"/>
    </row>
    <row r="8030" spans="1:13" x14ac:dyDescent="0.3">
      <c r="A8030" s="733" t="s">
        <v>8099</v>
      </c>
      <c r="B8030" s="733" t="s">
        <v>612</v>
      </c>
      <c r="C8030" s="738" t="s">
        <v>8126</v>
      </c>
      <c r="D8030" s="733"/>
      <c r="E8030" s="733"/>
      <c r="G8030" s="733"/>
      <c r="H8030" s="733"/>
      <c r="I8030" s="733"/>
      <c r="J8030" s="733"/>
      <c r="K8030" s="733"/>
      <c r="L8030" s="733"/>
      <c r="M8030" s="733"/>
    </row>
    <row r="8031" spans="1:13" x14ac:dyDescent="0.3">
      <c r="A8031" s="733" t="s">
        <v>8099</v>
      </c>
      <c r="B8031" s="733" t="s">
        <v>612</v>
      </c>
      <c r="C8031" s="738" t="s">
        <v>8127</v>
      </c>
      <c r="D8031" s="733"/>
      <c r="E8031" s="733"/>
      <c r="G8031" s="733"/>
      <c r="H8031" s="733"/>
      <c r="I8031" s="733"/>
      <c r="J8031" s="733"/>
      <c r="K8031" s="733"/>
      <c r="L8031" s="733"/>
      <c r="M8031" s="733"/>
    </row>
    <row r="8032" spans="1:13" x14ac:dyDescent="0.3">
      <c r="A8032" s="733" t="s">
        <v>8099</v>
      </c>
      <c r="B8032" s="733" t="s">
        <v>612</v>
      </c>
      <c r="C8032" s="738" t="s">
        <v>8128</v>
      </c>
      <c r="D8032" s="733"/>
      <c r="E8032" s="733"/>
      <c r="G8032" s="733"/>
      <c r="H8032" s="733"/>
      <c r="I8032" s="733"/>
      <c r="J8032" s="733"/>
      <c r="K8032" s="733"/>
      <c r="L8032" s="733"/>
      <c r="M8032" s="733"/>
    </row>
    <row r="8033" spans="1:13" x14ac:dyDescent="0.3">
      <c r="A8033" s="733" t="s">
        <v>8099</v>
      </c>
      <c r="B8033" s="733" t="s">
        <v>612</v>
      </c>
      <c r="C8033" s="738" t="s">
        <v>8129</v>
      </c>
      <c r="D8033" s="733"/>
      <c r="E8033" s="733"/>
      <c r="G8033" s="733"/>
      <c r="H8033" s="733"/>
      <c r="I8033" s="733"/>
      <c r="J8033" s="733"/>
      <c r="K8033" s="733"/>
      <c r="L8033" s="733"/>
      <c r="M8033" s="733"/>
    </row>
    <row r="8034" spans="1:13" x14ac:dyDescent="0.3">
      <c r="A8034" s="733" t="s">
        <v>8130</v>
      </c>
      <c r="B8034" s="733" t="s">
        <v>645</v>
      </c>
      <c r="C8034" s="738" t="s">
        <v>8131</v>
      </c>
      <c r="D8034" s="733"/>
      <c r="E8034" s="733"/>
      <c r="G8034" s="733"/>
      <c r="H8034" s="733"/>
      <c r="I8034" s="733"/>
      <c r="J8034" s="733"/>
      <c r="K8034" s="733"/>
      <c r="L8034" s="733"/>
      <c r="M8034" s="733"/>
    </row>
    <row r="8035" spans="1:13" x14ac:dyDescent="0.3">
      <c r="A8035" s="733" t="s">
        <v>8130</v>
      </c>
      <c r="B8035" s="733" t="s">
        <v>645</v>
      </c>
      <c r="C8035" s="738" t="s">
        <v>8132</v>
      </c>
      <c r="D8035" s="733"/>
      <c r="E8035" s="733"/>
      <c r="G8035" s="733"/>
      <c r="H8035" s="733"/>
      <c r="I8035" s="733"/>
      <c r="J8035" s="733"/>
      <c r="K8035" s="733"/>
      <c r="L8035" s="733"/>
      <c r="M8035" s="733"/>
    </row>
    <row r="8036" spans="1:13" x14ac:dyDescent="0.3">
      <c r="A8036" s="733" t="s">
        <v>8130</v>
      </c>
      <c r="B8036" s="733" t="s">
        <v>645</v>
      </c>
      <c r="C8036" s="738" t="s">
        <v>8133</v>
      </c>
      <c r="D8036" s="733"/>
      <c r="E8036" s="733"/>
      <c r="G8036" s="733"/>
      <c r="H8036" s="733"/>
      <c r="I8036" s="733"/>
      <c r="J8036" s="733"/>
      <c r="K8036" s="733"/>
      <c r="L8036" s="733"/>
      <c r="M8036" s="733"/>
    </row>
    <row r="8037" spans="1:13" x14ac:dyDescent="0.3">
      <c r="A8037" s="733" t="s">
        <v>8130</v>
      </c>
      <c r="B8037" s="733" t="s">
        <v>645</v>
      </c>
      <c r="C8037" s="738" t="s">
        <v>8134</v>
      </c>
      <c r="D8037" s="733"/>
      <c r="E8037" s="733"/>
      <c r="G8037" s="733"/>
      <c r="H8037" s="733"/>
      <c r="I8037" s="733"/>
      <c r="J8037" s="733"/>
      <c r="K8037" s="733"/>
      <c r="L8037" s="733"/>
      <c r="M8037" s="733"/>
    </row>
    <row r="8038" spans="1:13" x14ac:dyDescent="0.3">
      <c r="A8038" s="733" t="s">
        <v>8130</v>
      </c>
      <c r="B8038" s="733" t="s">
        <v>645</v>
      </c>
      <c r="C8038" s="738" t="s">
        <v>8135</v>
      </c>
      <c r="D8038" s="733"/>
      <c r="E8038" s="733"/>
      <c r="G8038" s="733"/>
      <c r="H8038" s="733"/>
      <c r="I8038" s="733"/>
      <c r="J8038" s="733"/>
      <c r="K8038" s="733"/>
      <c r="L8038" s="733"/>
      <c r="M8038" s="733"/>
    </row>
    <row r="8039" spans="1:13" x14ac:dyDescent="0.3">
      <c r="A8039" s="733" t="s">
        <v>8130</v>
      </c>
      <c r="B8039" s="733" t="s">
        <v>664</v>
      </c>
      <c r="C8039" s="738" t="s">
        <v>8136</v>
      </c>
      <c r="D8039" s="733"/>
      <c r="E8039" s="733"/>
      <c r="G8039" s="733"/>
      <c r="H8039" s="733"/>
      <c r="I8039" s="733"/>
      <c r="J8039" s="733"/>
      <c r="K8039" s="733"/>
      <c r="L8039" s="733"/>
      <c r="M8039" s="733"/>
    </row>
    <row r="8040" spans="1:13" x14ac:dyDescent="0.3">
      <c r="A8040" s="733" t="s">
        <v>8130</v>
      </c>
      <c r="B8040" s="733" t="s">
        <v>664</v>
      </c>
      <c r="C8040" s="738" t="s">
        <v>8137</v>
      </c>
      <c r="D8040" s="733"/>
      <c r="E8040" s="733"/>
      <c r="G8040" s="733"/>
      <c r="H8040" s="733"/>
      <c r="I8040" s="733"/>
      <c r="J8040" s="733"/>
      <c r="K8040" s="733"/>
      <c r="L8040" s="733"/>
      <c r="M8040" s="733"/>
    </row>
    <row r="8041" spans="1:13" x14ac:dyDescent="0.3">
      <c r="A8041" s="733" t="s">
        <v>8130</v>
      </c>
      <c r="B8041" s="733" t="s">
        <v>664</v>
      </c>
      <c r="C8041" s="738" t="s">
        <v>8138</v>
      </c>
      <c r="D8041" s="733"/>
      <c r="E8041" s="733"/>
      <c r="G8041" s="733"/>
      <c r="H8041" s="733"/>
      <c r="I8041" s="733"/>
      <c r="J8041" s="733"/>
      <c r="K8041" s="733"/>
      <c r="L8041" s="733"/>
      <c r="M8041" s="733"/>
    </row>
    <row r="8042" spans="1:13" x14ac:dyDescent="0.3">
      <c r="A8042" s="733" t="s">
        <v>8130</v>
      </c>
      <c r="B8042" s="733" t="s">
        <v>664</v>
      </c>
      <c r="C8042" s="738" t="s">
        <v>8139</v>
      </c>
      <c r="D8042" s="733"/>
      <c r="E8042" s="733"/>
      <c r="G8042" s="733"/>
      <c r="H8042" s="733"/>
      <c r="I8042" s="733"/>
      <c r="J8042" s="733"/>
      <c r="K8042" s="733"/>
      <c r="L8042" s="733"/>
      <c r="M8042" s="733"/>
    </row>
    <row r="8043" spans="1:13" x14ac:dyDescent="0.3">
      <c r="A8043" s="733" t="s">
        <v>8130</v>
      </c>
      <c r="B8043" s="733" t="s">
        <v>664</v>
      </c>
      <c r="C8043" s="738" t="s">
        <v>8140</v>
      </c>
      <c r="D8043" s="733"/>
      <c r="E8043" s="733"/>
      <c r="G8043" s="733"/>
      <c r="H8043" s="733"/>
      <c r="I8043" s="733"/>
      <c r="J8043" s="733"/>
      <c r="K8043" s="733"/>
      <c r="L8043" s="733"/>
      <c r="M8043" s="733"/>
    </row>
    <row r="8044" spans="1:13" x14ac:dyDescent="0.3">
      <c r="A8044" s="733" t="s">
        <v>8130</v>
      </c>
      <c r="B8044" s="733" t="s">
        <v>612</v>
      </c>
      <c r="C8044" s="738" t="s">
        <v>8141</v>
      </c>
      <c r="D8044" s="733"/>
      <c r="E8044" s="733"/>
      <c r="G8044" s="733"/>
      <c r="H8044" s="733"/>
      <c r="I8044" s="733"/>
      <c r="J8044" s="733"/>
      <c r="K8044" s="733"/>
      <c r="L8044" s="733"/>
      <c r="M8044" s="733"/>
    </row>
    <row r="8045" spans="1:13" x14ac:dyDescent="0.3">
      <c r="A8045" s="733" t="s">
        <v>8130</v>
      </c>
      <c r="B8045" s="733" t="s">
        <v>612</v>
      </c>
      <c r="C8045" s="738" t="s">
        <v>8142</v>
      </c>
      <c r="D8045" s="733"/>
      <c r="E8045" s="733"/>
      <c r="G8045" s="733"/>
      <c r="H8045" s="733"/>
      <c r="I8045" s="733"/>
      <c r="J8045" s="733"/>
      <c r="K8045" s="733"/>
      <c r="L8045" s="733"/>
      <c r="M8045" s="733"/>
    </row>
    <row r="8046" spans="1:13" x14ac:dyDescent="0.3">
      <c r="A8046" s="733" t="s">
        <v>8130</v>
      </c>
      <c r="B8046" s="733" t="s">
        <v>612</v>
      </c>
      <c r="C8046" s="738" t="s">
        <v>8143</v>
      </c>
      <c r="D8046" s="733"/>
      <c r="E8046" s="733"/>
      <c r="G8046" s="733"/>
      <c r="H8046" s="733"/>
      <c r="I8046" s="733"/>
      <c r="J8046" s="733"/>
      <c r="K8046" s="733"/>
      <c r="L8046" s="733"/>
      <c r="M8046" s="733"/>
    </row>
    <row r="8047" spans="1:13" x14ac:dyDescent="0.3">
      <c r="A8047" s="733" t="s">
        <v>8130</v>
      </c>
      <c r="B8047" s="733" t="s">
        <v>612</v>
      </c>
      <c r="C8047" s="738" t="s">
        <v>8144</v>
      </c>
      <c r="D8047" s="733"/>
      <c r="E8047" s="733"/>
      <c r="G8047" s="733"/>
      <c r="H8047" s="733"/>
      <c r="I8047" s="733"/>
      <c r="J8047" s="733"/>
      <c r="K8047" s="733"/>
      <c r="L8047" s="733"/>
      <c r="M8047" s="733"/>
    </row>
    <row r="8048" spans="1:13" x14ac:dyDescent="0.3">
      <c r="A8048" s="733" t="s">
        <v>8130</v>
      </c>
      <c r="B8048" s="733" t="s">
        <v>612</v>
      </c>
      <c r="C8048" s="738" t="s">
        <v>8145</v>
      </c>
      <c r="D8048" s="733"/>
      <c r="E8048" s="733"/>
      <c r="G8048" s="733"/>
      <c r="H8048" s="733"/>
      <c r="I8048" s="733"/>
      <c r="J8048" s="733"/>
      <c r="K8048" s="733"/>
      <c r="L8048" s="733"/>
      <c r="M8048" s="733"/>
    </row>
    <row r="8049" spans="1:13" x14ac:dyDescent="0.3">
      <c r="A8049" s="733" t="s">
        <v>8146</v>
      </c>
      <c r="B8049" s="733" t="s">
        <v>645</v>
      </c>
      <c r="C8049" s="738" t="s">
        <v>8147</v>
      </c>
      <c r="D8049" s="733"/>
      <c r="E8049" s="733"/>
      <c r="G8049" s="733"/>
      <c r="H8049" s="733"/>
      <c r="I8049" s="733"/>
      <c r="J8049" s="733"/>
      <c r="K8049" s="733"/>
      <c r="L8049" s="733"/>
      <c r="M8049" s="733"/>
    </row>
    <row r="8050" spans="1:13" x14ac:dyDescent="0.3">
      <c r="A8050" s="733" t="s">
        <v>8146</v>
      </c>
      <c r="B8050" s="733" t="s">
        <v>645</v>
      </c>
      <c r="C8050" s="738" t="s">
        <v>8148</v>
      </c>
      <c r="D8050" s="733"/>
      <c r="E8050" s="733"/>
      <c r="G8050" s="733"/>
      <c r="H8050" s="733"/>
      <c r="I8050" s="733"/>
      <c r="J8050" s="733"/>
      <c r="K8050" s="733"/>
      <c r="L8050" s="733"/>
      <c r="M8050" s="733"/>
    </row>
    <row r="8051" spans="1:13" x14ac:dyDescent="0.3">
      <c r="A8051" s="733" t="s">
        <v>8146</v>
      </c>
      <c r="B8051" s="733" t="s">
        <v>645</v>
      </c>
      <c r="C8051" s="738" t="s">
        <v>8149</v>
      </c>
      <c r="D8051" s="733"/>
      <c r="E8051" s="733"/>
      <c r="G8051" s="733"/>
      <c r="H8051" s="733"/>
      <c r="I8051" s="733"/>
      <c r="J8051" s="733"/>
      <c r="K8051" s="733"/>
      <c r="L8051" s="733"/>
      <c r="M8051" s="733"/>
    </row>
    <row r="8052" spans="1:13" x14ac:dyDescent="0.3">
      <c r="A8052" s="733" t="s">
        <v>8146</v>
      </c>
      <c r="B8052" s="733" t="s">
        <v>645</v>
      </c>
      <c r="C8052" s="738" t="s">
        <v>8150</v>
      </c>
      <c r="D8052" s="733"/>
      <c r="E8052" s="733"/>
      <c r="G8052" s="733"/>
      <c r="H8052" s="733"/>
      <c r="I8052" s="733"/>
      <c r="J8052" s="733"/>
      <c r="K8052" s="733"/>
      <c r="L8052" s="733"/>
      <c r="M8052" s="733"/>
    </row>
    <row r="8053" spans="1:13" x14ac:dyDescent="0.3">
      <c r="A8053" s="733" t="s">
        <v>8146</v>
      </c>
      <c r="B8053" s="733" t="s">
        <v>645</v>
      </c>
      <c r="C8053" s="738" t="s">
        <v>8151</v>
      </c>
      <c r="D8053" s="733"/>
      <c r="E8053" s="733"/>
      <c r="G8053" s="733"/>
      <c r="H8053" s="733"/>
      <c r="I8053" s="733"/>
      <c r="J8053" s="733"/>
      <c r="K8053" s="733"/>
      <c r="L8053" s="733"/>
      <c r="M8053" s="733"/>
    </row>
    <row r="8054" spans="1:13" x14ac:dyDescent="0.3">
      <c r="A8054" s="733" t="s">
        <v>8146</v>
      </c>
      <c r="B8054" s="733" t="s">
        <v>645</v>
      </c>
      <c r="C8054" s="738" t="s">
        <v>8152</v>
      </c>
      <c r="D8054" s="733"/>
      <c r="E8054" s="733"/>
      <c r="G8054" s="733"/>
      <c r="H8054" s="733"/>
      <c r="I8054" s="733"/>
      <c r="J8054" s="733"/>
      <c r="K8054" s="733"/>
      <c r="L8054" s="733"/>
      <c r="M8054" s="733"/>
    </row>
    <row r="8055" spans="1:13" x14ac:dyDescent="0.3">
      <c r="A8055" s="733" t="s">
        <v>8146</v>
      </c>
      <c r="B8055" s="733" t="s">
        <v>645</v>
      </c>
      <c r="C8055" s="738" t="s">
        <v>8153</v>
      </c>
      <c r="D8055" s="733"/>
      <c r="E8055" s="733"/>
      <c r="G8055" s="733"/>
      <c r="H8055" s="733"/>
      <c r="I8055" s="733"/>
      <c r="J8055" s="733"/>
      <c r="K8055" s="733"/>
      <c r="L8055" s="733"/>
      <c r="M8055" s="733"/>
    </row>
    <row r="8056" spans="1:13" x14ac:dyDescent="0.3">
      <c r="A8056" s="733" t="s">
        <v>8146</v>
      </c>
      <c r="B8056" s="733" t="s">
        <v>645</v>
      </c>
      <c r="C8056" s="738" t="s">
        <v>8154</v>
      </c>
      <c r="D8056" s="733"/>
      <c r="E8056" s="733"/>
      <c r="G8056" s="733"/>
      <c r="H8056" s="733"/>
      <c r="I8056" s="733"/>
      <c r="J8056" s="733"/>
      <c r="K8056" s="733"/>
      <c r="L8056" s="733"/>
      <c r="M8056" s="733"/>
    </row>
    <row r="8057" spans="1:13" x14ac:dyDescent="0.3">
      <c r="A8057" s="733" t="s">
        <v>8146</v>
      </c>
      <c r="B8057" s="733" t="s">
        <v>645</v>
      </c>
      <c r="C8057" s="738" t="s">
        <v>8155</v>
      </c>
      <c r="D8057" s="733"/>
      <c r="E8057" s="733"/>
      <c r="G8057" s="733"/>
      <c r="H8057" s="733"/>
      <c r="I8057" s="733"/>
      <c r="J8057" s="733"/>
      <c r="K8057" s="733"/>
      <c r="L8057" s="733"/>
      <c r="M8057" s="733"/>
    </row>
    <row r="8058" spans="1:13" x14ac:dyDescent="0.3">
      <c r="A8058" s="733" t="s">
        <v>8146</v>
      </c>
      <c r="B8058" s="733" t="s">
        <v>645</v>
      </c>
      <c r="C8058" s="738" t="s">
        <v>8156</v>
      </c>
      <c r="D8058" s="733"/>
      <c r="E8058" s="733"/>
      <c r="G8058" s="733"/>
      <c r="H8058" s="733"/>
      <c r="I8058" s="733"/>
      <c r="J8058" s="733"/>
      <c r="K8058" s="733"/>
      <c r="L8058" s="733"/>
      <c r="M8058" s="733"/>
    </row>
    <row r="8059" spans="1:13" x14ac:dyDescent="0.3">
      <c r="A8059" s="733" t="s">
        <v>8146</v>
      </c>
      <c r="B8059" s="733" t="s">
        <v>664</v>
      </c>
      <c r="C8059" s="738" t="s">
        <v>8157</v>
      </c>
      <c r="D8059" s="733"/>
      <c r="E8059" s="733"/>
      <c r="G8059" s="733"/>
      <c r="H8059" s="733"/>
      <c r="I8059" s="733"/>
      <c r="J8059" s="733"/>
      <c r="K8059" s="733"/>
      <c r="L8059" s="733"/>
      <c r="M8059" s="733"/>
    </row>
    <row r="8060" spans="1:13" x14ac:dyDescent="0.3">
      <c r="A8060" s="733" t="s">
        <v>8146</v>
      </c>
      <c r="B8060" s="733" t="s">
        <v>664</v>
      </c>
      <c r="C8060" s="738" t="s">
        <v>8158</v>
      </c>
      <c r="D8060" s="733"/>
      <c r="E8060" s="733"/>
      <c r="G8060" s="733"/>
      <c r="H8060" s="733"/>
      <c r="I8060" s="733"/>
      <c r="J8060" s="733"/>
      <c r="K8060" s="733"/>
      <c r="L8060" s="733"/>
      <c r="M8060" s="733"/>
    </row>
    <row r="8061" spans="1:13" x14ac:dyDescent="0.3">
      <c r="A8061" s="733" t="s">
        <v>8146</v>
      </c>
      <c r="B8061" s="733" t="s">
        <v>664</v>
      </c>
      <c r="C8061" s="738" t="s">
        <v>8159</v>
      </c>
      <c r="D8061" s="733"/>
      <c r="E8061" s="733"/>
      <c r="G8061" s="733"/>
      <c r="H8061" s="733"/>
      <c r="I8061" s="733"/>
      <c r="J8061" s="733"/>
      <c r="K8061" s="733"/>
      <c r="L8061" s="733"/>
      <c r="M8061" s="733"/>
    </row>
    <row r="8062" spans="1:13" x14ac:dyDescent="0.3">
      <c r="A8062" s="733" t="s">
        <v>8146</v>
      </c>
      <c r="B8062" s="733" t="s">
        <v>664</v>
      </c>
      <c r="C8062" s="738" t="s">
        <v>8160</v>
      </c>
      <c r="D8062" s="733"/>
      <c r="E8062" s="733"/>
      <c r="G8062" s="733"/>
      <c r="H8062" s="733"/>
      <c r="I8062" s="733"/>
      <c r="J8062" s="733"/>
      <c r="K8062" s="733"/>
      <c r="L8062" s="733"/>
      <c r="M8062" s="733"/>
    </row>
    <row r="8063" spans="1:13" x14ac:dyDescent="0.3">
      <c r="A8063" s="733" t="s">
        <v>8146</v>
      </c>
      <c r="B8063" s="733" t="s">
        <v>664</v>
      </c>
      <c r="C8063" s="738" t="s">
        <v>8161</v>
      </c>
      <c r="D8063" s="733"/>
      <c r="E8063" s="733"/>
      <c r="G8063" s="733"/>
      <c r="H8063" s="733"/>
      <c r="I8063" s="733"/>
      <c r="J8063" s="733"/>
      <c r="K8063" s="733"/>
      <c r="L8063" s="733"/>
      <c r="M8063" s="733"/>
    </row>
    <row r="8064" spans="1:13" x14ac:dyDescent="0.3">
      <c r="A8064" s="733" t="s">
        <v>8146</v>
      </c>
      <c r="B8064" s="733" t="s">
        <v>664</v>
      </c>
      <c r="C8064" s="738" t="s">
        <v>8162</v>
      </c>
      <c r="D8064" s="733"/>
      <c r="E8064" s="733"/>
      <c r="G8064" s="733"/>
      <c r="H8064" s="733"/>
      <c r="I8064" s="733"/>
      <c r="J8064" s="733"/>
      <c r="K8064" s="733"/>
      <c r="L8064" s="733"/>
      <c r="M8064" s="733"/>
    </row>
    <row r="8065" spans="1:13" x14ac:dyDescent="0.3">
      <c r="A8065" s="733" t="s">
        <v>8146</v>
      </c>
      <c r="B8065" s="733" t="s">
        <v>664</v>
      </c>
      <c r="C8065" s="738" t="s">
        <v>8163</v>
      </c>
      <c r="D8065" s="733"/>
      <c r="E8065" s="733"/>
      <c r="G8065" s="733"/>
      <c r="H8065" s="733"/>
      <c r="I8065" s="733"/>
      <c r="J8065" s="733"/>
      <c r="K8065" s="733"/>
      <c r="L8065" s="733"/>
      <c r="M8065" s="733"/>
    </row>
    <row r="8066" spans="1:13" x14ac:dyDescent="0.3">
      <c r="A8066" s="733" t="s">
        <v>8146</v>
      </c>
      <c r="B8066" s="733" t="s">
        <v>664</v>
      </c>
      <c r="C8066" s="738" t="s">
        <v>8164</v>
      </c>
      <c r="D8066" s="733"/>
      <c r="E8066" s="733"/>
      <c r="G8066" s="733"/>
      <c r="H8066" s="733"/>
      <c r="I8066" s="733"/>
      <c r="J8066" s="733"/>
      <c r="K8066" s="733"/>
      <c r="L8066" s="733"/>
      <c r="M8066" s="733"/>
    </row>
    <row r="8067" spans="1:13" x14ac:dyDescent="0.3">
      <c r="A8067" s="733" t="s">
        <v>8146</v>
      </c>
      <c r="B8067" s="733" t="s">
        <v>664</v>
      </c>
      <c r="C8067" s="738" t="s">
        <v>8165</v>
      </c>
      <c r="D8067" s="733"/>
      <c r="E8067" s="733"/>
      <c r="G8067" s="733"/>
      <c r="H8067" s="733"/>
      <c r="I8067" s="733"/>
      <c r="J8067" s="733"/>
      <c r="K8067" s="733"/>
      <c r="L8067" s="733"/>
      <c r="M8067" s="733"/>
    </row>
    <row r="8068" spans="1:13" x14ac:dyDescent="0.3">
      <c r="A8068" s="733" t="s">
        <v>8146</v>
      </c>
      <c r="B8068" s="733" t="s">
        <v>664</v>
      </c>
      <c r="C8068" s="738" t="s">
        <v>8166</v>
      </c>
      <c r="D8068" s="733"/>
      <c r="E8068" s="733"/>
      <c r="G8068" s="733"/>
      <c r="H8068" s="733"/>
      <c r="I8068" s="733"/>
      <c r="J8068" s="733"/>
      <c r="K8068" s="733"/>
      <c r="L8068" s="733"/>
      <c r="M8068" s="733"/>
    </row>
    <row r="8069" spans="1:13" x14ac:dyDescent="0.3">
      <c r="A8069" s="733" t="s">
        <v>8146</v>
      </c>
      <c r="B8069" s="733" t="s">
        <v>612</v>
      </c>
      <c r="C8069" s="738" t="s">
        <v>8167</v>
      </c>
      <c r="D8069" s="733"/>
      <c r="E8069" s="733"/>
      <c r="G8069" s="733"/>
      <c r="H8069" s="733"/>
      <c r="I8069" s="733"/>
      <c r="J8069" s="733"/>
      <c r="K8069" s="733"/>
      <c r="L8069" s="733"/>
      <c r="M8069" s="733"/>
    </row>
    <row r="8070" spans="1:13" x14ac:dyDescent="0.3">
      <c r="A8070" s="733" t="s">
        <v>8146</v>
      </c>
      <c r="B8070" s="733" t="s">
        <v>612</v>
      </c>
      <c r="C8070" s="738" t="s">
        <v>8168</v>
      </c>
      <c r="D8070" s="733"/>
      <c r="E8070" s="733"/>
      <c r="G8070" s="733"/>
      <c r="H8070" s="733"/>
      <c r="I8070" s="733"/>
      <c r="J8070" s="733"/>
      <c r="K8070" s="733"/>
      <c r="L8070" s="733"/>
      <c r="M8070" s="733"/>
    </row>
    <row r="8071" spans="1:13" x14ac:dyDescent="0.3">
      <c r="A8071" s="733" t="s">
        <v>8146</v>
      </c>
      <c r="B8071" s="733" t="s">
        <v>612</v>
      </c>
      <c r="C8071" s="738" t="s">
        <v>8169</v>
      </c>
      <c r="D8071" s="733"/>
      <c r="E8071" s="733"/>
      <c r="G8071" s="733"/>
      <c r="H8071" s="733"/>
      <c r="I8071" s="733"/>
      <c r="J8071" s="733"/>
      <c r="K8071" s="733"/>
      <c r="L8071" s="733"/>
      <c r="M8071" s="733"/>
    </row>
    <row r="8072" spans="1:13" x14ac:dyDescent="0.3">
      <c r="A8072" s="733" t="s">
        <v>8146</v>
      </c>
      <c r="B8072" s="733" t="s">
        <v>612</v>
      </c>
      <c r="C8072" s="738" t="s">
        <v>8170</v>
      </c>
      <c r="D8072" s="733"/>
      <c r="E8072" s="733"/>
      <c r="G8072" s="733"/>
      <c r="H8072" s="733"/>
      <c r="I8072" s="733"/>
      <c r="J8072" s="733"/>
      <c r="K8072" s="733"/>
      <c r="L8072" s="733"/>
      <c r="M8072" s="733"/>
    </row>
    <row r="8073" spans="1:13" x14ac:dyDescent="0.3">
      <c r="A8073" s="733" t="s">
        <v>8146</v>
      </c>
      <c r="B8073" s="733" t="s">
        <v>612</v>
      </c>
      <c r="C8073" s="738" t="s">
        <v>8171</v>
      </c>
      <c r="D8073" s="733"/>
      <c r="E8073" s="733"/>
      <c r="G8073" s="733"/>
      <c r="H8073" s="733"/>
      <c r="I8073" s="733"/>
      <c r="J8073" s="733"/>
      <c r="K8073" s="733"/>
      <c r="L8073" s="733"/>
      <c r="M8073" s="733"/>
    </row>
    <row r="8074" spans="1:13" x14ac:dyDescent="0.3">
      <c r="A8074" s="733" t="s">
        <v>8146</v>
      </c>
      <c r="B8074" s="733" t="s">
        <v>612</v>
      </c>
      <c r="C8074" s="738" t="s">
        <v>8172</v>
      </c>
      <c r="D8074" s="733"/>
      <c r="E8074" s="733"/>
      <c r="G8074" s="733"/>
      <c r="H8074" s="733"/>
      <c r="I8074" s="733"/>
      <c r="J8074" s="733"/>
      <c r="K8074" s="733"/>
      <c r="L8074" s="733"/>
      <c r="M8074" s="733"/>
    </row>
    <row r="8075" spans="1:13" x14ac:dyDescent="0.3">
      <c r="A8075" s="733" t="s">
        <v>8146</v>
      </c>
      <c r="B8075" s="733" t="s">
        <v>612</v>
      </c>
      <c r="C8075" s="738" t="s">
        <v>8173</v>
      </c>
      <c r="D8075" s="733"/>
      <c r="E8075" s="733"/>
      <c r="G8075" s="733"/>
      <c r="H8075" s="733"/>
      <c r="I8075" s="733"/>
      <c r="J8075" s="733"/>
      <c r="K8075" s="733"/>
      <c r="L8075" s="733"/>
      <c r="M8075" s="733"/>
    </row>
    <row r="8076" spans="1:13" x14ac:dyDescent="0.3">
      <c r="A8076" s="733" t="s">
        <v>8146</v>
      </c>
      <c r="B8076" s="733" t="s">
        <v>612</v>
      </c>
      <c r="C8076" s="738" t="s">
        <v>8174</v>
      </c>
      <c r="D8076" s="733"/>
      <c r="E8076" s="733"/>
      <c r="G8076" s="733"/>
      <c r="H8076" s="733"/>
      <c r="I8076" s="733"/>
      <c r="J8076" s="733"/>
      <c r="K8076" s="733"/>
      <c r="L8076" s="733"/>
      <c r="M8076" s="733"/>
    </row>
    <row r="8077" spans="1:13" x14ac:dyDescent="0.3">
      <c r="A8077" s="733" t="s">
        <v>8146</v>
      </c>
      <c r="B8077" s="733" t="s">
        <v>612</v>
      </c>
      <c r="C8077" s="738" t="s">
        <v>8175</v>
      </c>
      <c r="D8077" s="733"/>
      <c r="E8077" s="733"/>
      <c r="G8077" s="733"/>
      <c r="H8077" s="733"/>
      <c r="I8077" s="733"/>
      <c r="J8077" s="733"/>
      <c r="K8077" s="733"/>
      <c r="L8077" s="733"/>
      <c r="M8077" s="733"/>
    </row>
    <row r="8078" spans="1:13" x14ac:dyDescent="0.3">
      <c r="A8078" s="733" t="s">
        <v>8146</v>
      </c>
      <c r="B8078" s="733" t="s">
        <v>612</v>
      </c>
      <c r="C8078" s="738" t="s">
        <v>8176</v>
      </c>
      <c r="D8078" s="733"/>
      <c r="E8078" s="733"/>
      <c r="G8078" s="733"/>
      <c r="H8078" s="733"/>
      <c r="I8078" s="733"/>
      <c r="J8078" s="733"/>
      <c r="K8078" s="733"/>
      <c r="L8078" s="733"/>
      <c r="M8078" s="733"/>
    </row>
    <row r="8079" spans="1:13" x14ac:dyDescent="0.3">
      <c r="A8079" s="733" t="s">
        <v>8177</v>
      </c>
      <c r="B8079" s="733" t="s">
        <v>645</v>
      </c>
      <c r="C8079" s="738" t="s">
        <v>8178</v>
      </c>
      <c r="D8079" s="733"/>
      <c r="E8079" s="733"/>
      <c r="G8079" s="733"/>
      <c r="H8079" s="733"/>
      <c r="I8079" s="733"/>
      <c r="J8079" s="733"/>
      <c r="K8079" s="733"/>
      <c r="L8079" s="733"/>
      <c r="M8079" s="733"/>
    </row>
    <row r="8080" spans="1:13" x14ac:dyDescent="0.3">
      <c r="A8080" s="733" t="s">
        <v>8177</v>
      </c>
      <c r="B8080" s="733" t="s">
        <v>645</v>
      </c>
      <c r="C8080" s="738" t="s">
        <v>8179</v>
      </c>
      <c r="D8080" s="733"/>
      <c r="E8080" s="733"/>
      <c r="G8080" s="733"/>
      <c r="H8080" s="733"/>
      <c r="I8080" s="733"/>
      <c r="J8080" s="733"/>
      <c r="K8080" s="733"/>
      <c r="L8080" s="733"/>
      <c r="M8080" s="733"/>
    </row>
    <row r="8081" spans="1:13" x14ac:dyDescent="0.3">
      <c r="A8081" s="733" t="s">
        <v>8177</v>
      </c>
      <c r="B8081" s="733" t="s">
        <v>645</v>
      </c>
      <c r="C8081" s="738" t="s">
        <v>8180</v>
      </c>
      <c r="D8081" s="733"/>
      <c r="E8081" s="733"/>
      <c r="G8081" s="733"/>
      <c r="H8081" s="733"/>
      <c r="I8081" s="733"/>
      <c r="J8081" s="733"/>
      <c r="K8081" s="733"/>
      <c r="L8081" s="733"/>
      <c r="M8081" s="733"/>
    </row>
    <row r="8082" spans="1:13" x14ac:dyDescent="0.3">
      <c r="A8082" s="733" t="s">
        <v>8177</v>
      </c>
      <c r="B8082" s="733" t="s">
        <v>645</v>
      </c>
      <c r="C8082" s="738" t="s">
        <v>8181</v>
      </c>
      <c r="D8082" s="733"/>
      <c r="E8082" s="733"/>
      <c r="G8082" s="733"/>
      <c r="H8082" s="733"/>
      <c r="I8082" s="733"/>
      <c r="J8082" s="733"/>
      <c r="K8082" s="733"/>
      <c r="L8082" s="733"/>
      <c r="M8082" s="733"/>
    </row>
    <row r="8083" spans="1:13" x14ac:dyDescent="0.3">
      <c r="A8083" s="733" t="s">
        <v>8177</v>
      </c>
      <c r="B8083" s="733" t="s">
        <v>645</v>
      </c>
      <c r="C8083" s="738" t="s">
        <v>8182</v>
      </c>
      <c r="D8083" s="733"/>
      <c r="E8083" s="733"/>
      <c r="G8083" s="733"/>
      <c r="H8083" s="733"/>
      <c r="I8083" s="733"/>
      <c r="J8083" s="733"/>
      <c r="K8083" s="733"/>
      <c r="L8083" s="733"/>
      <c r="M8083" s="733"/>
    </row>
    <row r="8084" spans="1:13" x14ac:dyDescent="0.3">
      <c r="A8084" s="733" t="s">
        <v>8177</v>
      </c>
      <c r="B8084" s="733" t="s">
        <v>645</v>
      </c>
      <c r="C8084" s="738" t="s">
        <v>8183</v>
      </c>
      <c r="D8084" s="733"/>
      <c r="E8084" s="733"/>
      <c r="G8084" s="733"/>
      <c r="H8084" s="733"/>
      <c r="I8084" s="733"/>
      <c r="J8084" s="733"/>
      <c r="K8084" s="733"/>
      <c r="L8084" s="733"/>
      <c r="M8084" s="733"/>
    </row>
    <row r="8085" spans="1:13" x14ac:dyDescent="0.3">
      <c r="A8085" s="733" t="s">
        <v>8177</v>
      </c>
      <c r="B8085" s="733" t="s">
        <v>645</v>
      </c>
      <c r="C8085" s="738" t="s">
        <v>8184</v>
      </c>
      <c r="D8085" s="733"/>
      <c r="E8085" s="733"/>
      <c r="G8085" s="733"/>
      <c r="H8085" s="733"/>
      <c r="I8085" s="733"/>
      <c r="J8085" s="733"/>
      <c r="K8085" s="733"/>
      <c r="L8085" s="733"/>
      <c r="M8085" s="733"/>
    </row>
    <row r="8086" spans="1:13" x14ac:dyDescent="0.3">
      <c r="A8086" s="733" t="s">
        <v>8177</v>
      </c>
      <c r="B8086" s="733" t="s">
        <v>645</v>
      </c>
      <c r="C8086" s="738" t="s">
        <v>8185</v>
      </c>
      <c r="D8086" s="733"/>
      <c r="E8086" s="733"/>
      <c r="G8086" s="733"/>
      <c r="H8086" s="733"/>
      <c r="I8086" s="733"/>
      <c r="J8086" s="733"/>
      <c r="K8086" s="733"/>
      <c r="L8086" s="733"/>
      <c r="M8086" s="733"/>
    </row>
    <row r="8087" spans="1:13" x14ac:dyDescent="0.3">
      <c r="A8087" s="733" t="s">
        <v>8177</v>
      </c>
      <c r="B8087" s="733" t="s">
        <v>645</v>
      </c>
      <c r="C8087" s="738" t="s">
        <v>8186</v>
      </c>
      <c r="D8087" s="733"/>
      <c r="E8087" s="733"/>
      <c r="G8087" s="733"/>
      <c r="H8087" s="733"/>
      <c r="I8087" s="733"/>
      <c r="J8087" s="733"/>
      <c r="K8087" s="733"/>
      <c r="L8087" s="733"/>
      <c r="M8087" s="733"/>
    </row>
    <row r="8088" spans="1:13" x14ac:dyDescent="0.3">
      <c r="A8088" s="733" t="s">
        <v>8177</v>
      </c>
      <c r="B8088" s="733" t="s">
        <v>645</v>
      </c>
      <c r="C8088" s="738" t="s">
        <v>8187</v>
      </c>
      <c r="D8088" s="733"/>
      <c r="E8088" s="733"/>
      <c r="G8088" s="733"/>
      <c r="H8088" s="733"/>
      <c r="I8088" s="733"/>
      <c r="J8088" s="733"/>
      <c r="K8088" s="733"/>
      <c r="L8088" s="733"/>
      <c r="M8088" s="733"/>
    </row>
    <row r="8089" spans="1:13" x14ac:dyDescent="0.3">
      <c r="A8089" s="733" t="s">
        <v>8177</v>
      </c>
      <c r="B8089" s="733" t="s">
        <v>664</v>
      </c>
      <c r="C8089" s="738" t="s">
        <v>8188</v>
      </c>
      <c r="D8089" s="733"/>
      <c r="E8089" s="733"/>
      <c r="G8089" s="733"/>
      <c r="H8089" s="733"/>
      <c r="I8089" s="733"/>
      <c r="J8089" s="733"/>
      <c r="K8089" s="733"/>
      <c r="L8089" s="733"/>
      <c r="M8089" s="733"/>
    </row>
    <row r="8090" spans="1:13" x14ac:dyDescent="0.3">
      <c r="A8090" s="733" t="s">
        <v>8177</v>
      </c>
      <c r="B8090" s="733" t="s">
        <v>664</v>
      </c>
      <c r="C8090" s="738" t="s">
        <v>8189</v>
      </c>
      <c r="D8090" s="733"/>
      <c r="E8090" s="733"/>
      <c r="G8090" s="733"/>
      <c r="H8090" s="733"/>
      <c r="I8090" s="733"/>
      <c r="J8090" s="733"/>
      <c r="K8090" s="733"/>
      <c r="L8090" s="733"/>
      <c r="M8090" s="733"/>
    </row>
    <row r="8091" spans="1:13" x14ac:dyDescent="0.3">
      <c r="A8091" s="733" t="s">
        <v>8177</v>
      </c>
      <c r="B8091" s="733" t="s">
        <v>664</v>
      </c>
      <c r="C8091" s="738" t="s">
        <v>8190</v>
      </c>
      <c r="D8091" s="733"/>
      <c r="E8091" s="733"/>
      <c r="G8091" s="733"/>
      <c r="H8091" s="733"/>
      <c r="I8091" s="733"/>
      <c r="J8091" s="733"/>
      <c r="K8091" s="733"/>
      <c r="L8091" s="733"/>
      <c r="M8091" s="733"/>
    </row>
    <row r="8092" spans="1:13" x14ac:dyDescent="0.3">
      <c r="A8092" s="733" t="s">
        <v>8177</v>
      </c>
      <c r="B8092" s="733" t="s">
        <v>664</v>
      </c>
      <c r="C8092" s="738" t="s">
        <v>8191</v>
      </c>
      <c r="D8092" s="733"/>
      <c r="E8092" s="733"/>
      <c r="G8092" s="733"/>
      <c r="H8092" s="733"/>
      <c r="I8092" s="733"/>
      <c r="J8092" s="733"/>
      <c r="K8092" s="733"/>
      <c r="L8092" s="733"/>
      <c r="M8092" s="733"/>
    </row>
    <row r="8093" spans="1:13" x14ac:dyDescent="0.3">
      <c r="A8093" s="733" t="s">
        <v>8177</v>
      </c>
      <c r="B8093" s="733" t="s">
        <v>664</v>
      </c>
      <c r="C8093" s="738" t="s">
        <v>8192</v>
      </c>
      <c r="D8093" s="733"/>
      <c r="E8093" s="733"/>
      <c r="G8093" s="733"/>
      <c r="H8093" s="733"/>
      <c r="I8093" s="733"/>
      <c r="J8093" s="733"/>
      <c r="K8093" s="733"/>
      <c r="L8093" s="733"/>
      <c r="M8093" s="733"/>
    </row>
    <row r="8094" spans="1:13" x14ac:dyDescent="0.3">
      <c r="A8094" s="733" t="s">
        <v>8177</v>
      </c>
      <c r="B8094" s="733" t="s">
        <v>664</v>
      </c>
      <c r="C8094" s="738" t="s">
        <v>8193</v>
      </c>
      <c r="D8094" s="733"/>
      <c r="E8094" s="733"/>
      <c r="G8094" s="733"/>
      <c r="H8094" s="733"/>
      <c r="I8094" s="733"/>
      <c r="J8094" s="733"/>
      <c r="K8094" s="733"/>
      <c r="L8094" s="733"/>
      <c r="M8094" s="733"/>
    </row>
    <row r="8095" spans="1:13" x14ac:dyDescent="0.3">
      <c r="A8095" s="733" t="s">
        <v>8177</v>
      </c>
      <c r="B8095" s="733" t="s">
        <v>664</v>
      </c>
      <c r="C8095" s="738" t="s">
        <v>8194</v>
      </c>
      <c r="D8095" s="733"/>
      <c r="E8095" s="733"/>
      <c r="G8095" s="733"/>
      <c r="H8095" s="733"/>
      <c r="I8095" s="733"/>
      <c r="J8095" s="733"/>
      <c r="K8095" s="733"/>
      <c r="L8095" s="733"/>
      <c r="M8095" s="733"/>
    </row>
    <row r="8096" spans="1:13" x14ac:dyDescent="0.3">
      <c r="A8096" s="733" t="s">
        <v>8177</v>
      </c>
      <c r="B8096" s="733" t="s">
        <v>664</v>
      </c>
      <c r="C8096" s="738" t="s">
        <v>8195</v>
      </c>
      <c r="D8096" s="733"/>
      <c r="E8096" s="733"/>
      <c r="G8096" s="733"/>
      <c r="H8096" s="733"/>
      <c r="I8096" s="733"/>
      <c r="J8096" s="733"/>
      <c r="K8096" s="733"/>
      <c r="L8096" s="733"/>
      <c r="M8096" s="733"/>
    </row>
    <row r="8097" spans="1:13" x14ac:dyDescent="0.3">
      <c r="A8097" s="733" t="s">
        <v>8177</v>
      </c>
      <c r="B8097" s="733" t="s">
        <v>664</v>
      </c>
      <c r="C8097" s="738" t="s">
        <v>8196</v>
      </c>
      <c r="D8097" s="733"/>
      <c r="E8097" s="733"/>
      <c r="G8097" s="733"/>
      <c r="H8097" s="733"/>
      <c r="I8097" s="733"/>
      <c r="J8097" s="733"/>
      <c r="K8097" s="733"/>
      <c r="L8097" s="733"/>
      <c r="M8097" s="733"/>
    </row>
    <row r="8098" spans="1:13" x14ac:dyDescent="0.3">
      <c r="A8098" s="733" t="s">
        <v>8177</v>
      </c>
      <c r="B8098" s="733" t="s">
        <v>664</v>
      </c>
      <c r="C8098" s="738" t="s">
        <v>8197</v>
      </c>
      <c r="D8098" s="733"/>
      <c r="E8098" s="733"/>
      <c r="G8098" s="733"/>
      <c r="H8098" s="733"/>
      <c r="I8098" s="733"/>
      <c r="J8098" s="733"/>
      <c r="K8098" s="733"/>
      <c r="L8098" s="733"/>
      <c r="M8098" s="733"/>
    </row>
    <row r="8099" spans="1:13" x14ac:dyDescent="0.3">
      <c r="A8099" s="733" t="s">
        <v>8177</v>
      </c>
      <c r="B8099" s="733" t="s">
        <v>612</v>
      </c>
      <c r="C8099" s="738" t="s">
        <v>8198</v>
      </c>
      <c r="D8099" s="733"/>
      <c r="E8099" s="733"/>
      <c r="G8099" s="733"/>
      <c r="H8099" s="733"/>
      <c r="I8099" s="733"/>
      <c r="J8099" s="733"/>
      <c r="K8099" s="733"/>
      <c r="L8099" s="733"/>
      <c r="M8099" s="733"/>
    </row>
    <row r="8100" spans="1:13" x14ac:dyDescent="0.3">
      <c r="A8100" s="733" t="s">
        <v>8177</v>
      </c>
      <c r="B8100" s="733" t="s">
        <v>612</v>
      </c>
      <c r="C8100" s="738" t="s">
        <v>8199</v>
      </c>
      <c r="D8100" s="733"/>
      <c r="E8100" s="733"/>
      <c r="G8100" s="733"/>
      <c r="H8100" s="733"/>
      <c r="I8100" s="733"/>
      <c r="J8100" s="733"/>
      <c r="K8100" s="733"/>
      <c r="L8100" s="733"/>
      <c r="M8100" s="733"/>
    </row>
    <row r="8101" spans="1:13" x14ac:dyDescent="0.3">
      <c r="A8101" s="733" t="s">
        <v>8177</v>
      </c>
      <c r="B8101" s="733" t="s">
        <v>612</v>
      </c>
      <c r="C8101" s="738" t="s">
        <v>8200</v>
      </c>
      <c r="D8101" s="733"/>
      <c r="E8101" s="733"/>
      <c r="G8101" s="733"/>
      <c r="H8101" s="733"/>
      <c r="I8101" s="733"/>
      <c r="J8101" s="733"/>
      <c r="K8101" s="733"/>
      <c r="L8101" s="733"/>
      <c r="M8101" s="733"/>
    </row>
    <row r="8102" spans="1:13" x14ac:dyDescent="0.3">
      <c r="A8102" s="733" t="s">
        <v>8177</v>
      </c>
      <c r="B8102" s="733" t="s">
        <v>612</v>
      </c>
      <c r="C8102" s="738" t="s">
        <v>8201</v>
      </c>
      <c r="D8102" s="733"/>
      <c r="E8102" s="733"/>
      <c r="G8102" s="733"/>
      <c r="H8102" s="733"/>
      <c r="I8102" s="733"/>
      <c r="J8102" s="733"/>
      <c r="K8102" s="733"/>
      <c r="L8102" s="733"/>
      <c r="M8102" s="733"/>
    </row>
    <row r="8103" spans="1:13" x14ac:dyDescent="0.3">
      <c r="A8103" s="733" t="s">
        <v>8177</v>
      </c>
      <c r="B8103" s="733" t="s">
        <v>612</v>
      </c>
      <c r="C8103" s="738" t="s">
        <v>8202</v>
      </c>
      <c r="D8103" s="733"/>
      <c r="E8103" s="733"/>
      <c r="G8103" s="733"/>
      <c r="H8103" s="733"/>
      <c r="I8103" s="733"/>
      <c r="J8103" s="733"/>
      <c r="K8103" s="733"/>
      <c r="L8103" s="733"/>
      <c r="M8103" s="733"/>
    </row>
    <row r="8104" spans="1:13" x14ac:dyDescent="0.3">
      <c r="A8104" s="733" t="s">
        <v>8177</v>
      </c>
      <c r="B8104" s="733" t="s">
        <v>612</v>
      </c>
      <c r="C8104" s="738" t="s">
        <v>8203</v>
      </c>
      <c r="D8104" s="733"/>
      <c r="E8104" s="733"/>
      <c r="G8104" s="733"/>
      <c r="H8104" s="733"/>
      <c r="I8104" s="733"/>
      <c r="J8104" s="733"/>
      <c r="K8104" s="733"/>
      <c r="L8104" s="733"/>
      <c r="M8104" s="733"/>
    </row>
    <row r="8105" spans="1:13" x14ac:dyDescent="0.3">
      <c r="A8105" s="733" t="s">
        <v>8177</v>
      </c>
      <c r="B8105" s="733" t="s">
        <v>612</v>
      </c>
      <c r="C8105" s="738" t="s">
        <v>8204</v>
      </c>
      <c r="D8105" s="733"/>
      <c r="E8105" s="733"/>
      <c r="G8105" s="733"/>
      <c r="H8105" s="733"/>
      <c r="I8105" s="733"/>
      <c r="J8105" s="733"/>
      <c r="K8105" s="733"/>
      <c r="L8105" s="733"/>
      <c r="M8105" s="733"/>
    </row>
    <row r="8106" spans="1:13" x14ac:dyDescent="0.3">
      <c r="A8106" s="733" t="s">
        <v>8177</v>
      </c>
      <c r="B8106" s="733" t="s">
        <v>612</v>
      </c>
      <c r="C8106" s="738" t="s">
        <v>8205</v>
      </c>
      <c r="D8106" s="733"/>
      <c r="E8106" s="733"/>
      <c r="G8106" s="733"/>
      <c r="H8106" s="733"/>
      <c r="I8106" s="733"/>
      <c r="J8106" s="733"/>
      <c r="K8106" s="733"/>
      <c r="L8106" s="733"/>
      <c r="M8106" s="733"/>
    </row>
    <row r="8107" spans="1:13" x14ac:dyDescent="0.3">
      <c r="A8107" s="733" t="s">
        <v>8177</v>
      </c>
      <c r="B8107" s="733" t="s">
        <v>612</v>
      </c>
      <c r="C8107" s="738" t="s">
        <v>8206</v>
      </c>
      <c r="D8107" s="733"/>
      <c r="E8107" s="733"/>
      <c r="G8107" s="733"/>
      <c r="H8107" s="733"/>
      <c r="I8107" s="733"/>
      <c r="J8107" s="733"/>
      <c r="K8107" s="733"/>
      <c r="L8107" s="733"/>
      <c r="M8107" s="733"/>
    </row>
    <row r="8108" spans="1:13" x14ac:dyDescent="0.3">
      <c r="A8108" s="733" t="s">
        <v>8177</v>
      </c>
      <c r="B8108" s="733" t="s">
        <v>612</v>
      </c>
      <c r="C8108" s="738" t="s">
        <v>8207</v>
      </c>
      <c r="D8108" s="733"/>
      <c r="E8108" s="733"/>
      <c r="G8108" s="733"/>
      <c r="H8108" s="733"/>
      <c r="I8108" s="733"/>
      <c r="J8108" s="733"/>
      <c r="K8108" s="733"/>
      <c r="L8108" s="733"/>
      <c r="M8108" s="733"/>
    </row>
    <row r="8109" spans="1:13" x14ac:dyDescent="0.3">
      <c r="A8109" s="733" t="s">
        <v>8208</v>
      </c>
      <c r="B8109" s="733" t="s">
        <v>645</v>
      </c>
      <c r="C8109" s="738" t="s">
        <v>8209</v>
      </c>
      <c r="D8109" s="733"/>
      <c r="E8109" s="733"/>
      <c r="G8109" s="733"/>
      <c r="H8109" s="733"/>
      <c r="I8109" s="733"/>
      <c r="J8109" s="733"/>
      <c r="K8109" s="733"/>
      <c r="L8109" s="733"/>
      <c r="M8109" s="733"/>
    </row>
    <row r="8110" spans="1:13" x14ac:dyDescent="0.3">
      <c r="A8110" s="733" t="s">
        <v>8208</v>
      </c>
      <c r="B8110" s="733" t="s">
        <v>645</v>
      </c>
      <c r="C8110" s="738" t="s">
        <v>8210</v>
      </c>
      <c r="D8110" s="733"/>
      <c r="E8110" s="733"/>
      <c r="G8110" s="733"/>
      <c r="H8110" s="733"/>
      <c r="I8110" s="733"/>
      <c r="J8110" s="733"/>
      <c r="K8110" s="733"/>
      <c r="L8110" s="733"/>
      <c r="M8110" s="733"/>
    </row>
    <row r="8111" spans="1:13" x14ac:dyDescent="0.3">
      <c r="A8111" s="733" t="s">
        <v>8208</v>
      </c>
      <c r="B8111" s="733" t="s">
        <v>645</v>
      </c>
      <c r="C8111" s="738" t="s">
        <v>8211</v>
      </c>
      <c r="D8111" s="733"/>
      <c r="E8111" s="733"/>
      <c r="G8111" s="733"/>
      <c r="H8111" s="733"/>
      <c r="I8111" s="733"/>
      <c r="J8111" s="733"/>
      <c r="K8111" s="733"/>
      <c r="L8111" s="733"/>
      <c r="M8111" s="733"/>
    </row>
    <row r="8112" spans="1:13" x14ac:dyDescent="0.3">
      <c r="A8112" s="733" t="s">
        <v>8208</v>
      </c>
      <c r="B8112" s="733" t="s">
        <v>645</v>
      </c>
      <c r="C8112" s="738" t="s">
        <v>8212</v>
      </c>
      <c r="D8112" s="733"/>
      <c r="E8112" s="733"/>
      <c r="G8112" s="733"/>
      <c r="H8112" s="733"/>
      <c r="I8112" s="733"/>
      <c r="J8112" s="733"/>
      <c r="K8112" s="733"/>
      <c r="L8112" s="733"/>
      <c r="M8112" s="733"/>
    </row>
    <row r="8113" spans="1:13" x14ac:dyDescent="0.3">
      <c r="A8113" s="733" t="s">
        <v>8208</v>
      </c>
      <c r="B8113" s="733" t="s">
        <v>645</v>
      </c>
      <c r="C8113" s="738" t="s">
        <v>8213</v>
      </c>
      <c r="D8113" s="733"/>
      <c r="E8113" s="733"/>
      <c r="G8113" s="733"/>
      <c r="H8113" s="733"/>
      <c r="I8113" s="733"/>
      <c r="J8113" s="733"/>
      <c r="K8113" s="733"/>
      <c r="L8113" s="733"/>
      <c r="M8113" s="733"/>
    </row>
    <row r="8114" spans="1:13" x14ac:dyDescent="0.3">
      <c r="A8114" s="733" t="s">
        <v>8208</v>
      </c>
      <c r="B8114" s="733" t="s">
        <v>645</v>
      </c>
      <c r="C8114" s="738" t="s">
        <v>8214</v>
      </c>
      <c r="D8114" s="733"/>
      <c r="E8114" s="733"/>
      <c r="G8114" s="733"/>
      <c r="H8114" s="733"/>
      <c r="I8114" s="733"/>
      <c r="J8114" s="733"/>
      <c r="K8114" s="733"/>
      <c r="L8114" s="733"/>
      <c r="M8114" s="733"/>
    </row>
    <row r="8115" spans="1:13" x14ac:dyDescent="0.3">
      <c r="A8115" s="733" t="s">
        <v>8208</v>
      </c>
      <c r="B8115" s="733" t="s">
        <v>645</v>
      </c>
      <c r="C8115" s="738" t="s">
        <v>8215</v>
      </c>
      <c r="D8115" s="733"/>
      <c r="E8115" s="733"/>
      <c r="G8115" s="733"/>
      <c r="H8115" s="733"/>
      <c r="I8115" s="733"/>
      <c r="J8115" s="733"/>
      <c r="K8115" s="733"/>
      <c r="L8115" s="733"/>
      <c r="M8115" s="733"/>
    </row>
    <row r="8116" spans="1:13" x14ac:dyDescent="0.3">
      <c r="A8116" s="733" t="s">
        <v>8208</v>
      </c>
      <c r="B8116" s="733" t="s">
        <v>645</v>
      </c>
      <c r="C8116" s="738" t="s">
        <v>8216</v>
      </c>
      <c r="D8116" s="733"/>
      <c r="E8116" s="733"/>
      <c r="G8116" s="733"/>
      <c r="H8116" s="733"/>
      <c r="I8116" s="733"/>
      <c r="J8116" s="733"/>
      <c r="K8116" s="733"/>
      <c r="L8116" s="733"/>
      <c r="M8116" s="733"/>
    </row>
    <row r="8117" spans="1:13" x14ac:dyDescent="0.3">
      <c r="A8117" s="733" t="s">
        <v>8208</v>
      </c>
      <c r="B8117" s="733" t="s">
        <v>645</v>
      </c>
      <c r="C8117" s="738" t="s">
        <v>8217</v>
      </c>
      <c r="D8117" s="733"/>
      <c r="E8117" s="733"/>
      <c r="G8117" s="733"/>
      <c r="H8117" s="733"/>
      <c r="I8117" s="733"/>
      <c r="J8117" s="733"/>
      <c r="K8117" s="733"/>
      <c r="L8117" s="733"/>
      <c r="M8117" s="733"/>
    </row>
    <row r="8118" spans="1:13" x14ac:dyDescent="0.3">
      <c r="A8118" s="733" t="s">
        <v>8208</v>
      </c>
      <c r="B8118" s="733" t="s">
        <v>645</v>
      </c>
      <c r="C8118" s="738" t="s">
        <v>8218</v>
      </c>
      <c r="D8118" s="733"/>
      <c r="E8118" s="733"/>
      <c r="G8118" s="733"/>
      <c r="H8118" s="733"/>
      <c r="I8118" s="733"/>
      <c r="J8118" s="733"/>
      <c r="K8118" s="733"/>
      <c r="L8118" s="733"/>
      <c r="M8118" s="733"/>
    </row>
    <row r="8119" spans="1:13" x14ac:dyDescent="0.3">
      <c r="A8119" s="733" t="s">
        <v>8208</v>
      </c>
      <c r="B8119" s="733" t="s">
        <v>664</v>
      </c>
      <c r="C8119" s="738" t="s">
        <v>8219</v>
      </c>
      <c r="D8119" s="733"/>
      <c r="E8119" s="733"/>
      <c r="G8119" s="733"/>
      <c r="H8119" s="733"/>
      <c r="I8119" s="733"/>
      <c r="J8119" s="733"/>
      <c r="K8119" s="733"/>
      <c r="L8119" s="733"/>
      <c r="M8119" s="733"/>
    </row>
    <row r="8120" spans="1:13" x14ac:dyDescent="0.3">
      <c r="A8120" s="733" t="s">
        <v>8208</v>
      </c>
      <c r="B8120" s="733" t="s">
        <v>664</v>
      </c>
      <c r="C8120" s="738" t="s">
        <v>8220</v>
      </c>
      <c r="D8120" s="733"/>
      <c r="E8120" s="733"/>
      <c r="G8120" s="733"/>
      <c r="H8120" s="733"/>
      <c r="I8120" s="733"/>
      <c r="J8120" s="733"/>
      <c r="K8120" s="733"/>
      <c r="L8120" s="733"/>
      <c r="M8120" s="733"/>
    </row>
    <row r="8121" spans="1:13" x14ac:dyDescent="0.3">
      <c r="A8121" s="733" t="s">
        <v>8208</v>
      </c>
      <c r="B8121" s="733" t="s">
        <v>664</v>
      </c>
      <c r="C8121" s="738" t="s">
        <v>8221</v>
      </c>
      <c r="D8121" s="733"/>
      <c r="E8121" s="733"/>
      <c r="G8121" s="733"/>
      <c r="H8121" s="733"/>
      <c r="I8121" s="733"/>
      <c r="J8121" s="733"/>
      <c r="K8121" s="733"/>
      <c r="L8121" s="733"/>
      <c r="M8121" s="733"/>
    </row>
    <row r="8122" spans="1:13" x14ac:dyDescent="0.3">
      <c r="A8122" s="733" t="s">
        <v>8208</v>
      </c>
      <c r="B8122" s="733" t="s">
        <v>664</v>
      </c>
      <c r="C8122" s="738" t="s">
        <v>8222</v>
      </c>
      <c r="D8122" s="733"/>
      <c r="E8122" s="733"/>
      <c r="G8122" s="733"/>
      <c r="H8122" s="733"/>
      <c r="I8122" s="733"/>
      <c r="J8122" s="733"/>
      <c r="K8122" s="733"/>
      <c r="L8122" s="733"/>
      <c r="M8122" s="733"/>
    </row>
    <row r="8123" spans="1:13" x14ac:dyDescent="0.3">
      <c r="A8123" s="733" t="s">
        <v>8208</v>
      </c>
      <c r="B8123" s="733" t="s">
        <v>664</v>
      </c>
      <c r="C8123" s="738" t="s">
        <v>8223</v>
      </c>
      <c r="D8123" s="733"/>
      <c r="E8123" s="733"/>
      <c r="G8123" s="733"/>
      <c r="H8123" s="733"/>
      <c r="I8123" s="733"/>
      <c r="J8123" s="733"/>
      <c r="K8123" s="733"/>
      <c r="L8123" s="733"/>
      <c r="M8123" s="733"/>
    </row>
    <row r="8124" spans="1:13" x14ac:dyDescent="0.3">
      <c r="A8124" s="733" t="s">
        <v>8208</v>
      </c>
      <c r="B8124" s="733" t="s">
        <v>664</v>
      </c>
      <c r="C8124" s="738" t="s">
        <v>8224</v>
      </c>
      <c r="D8124" s="733"/>
      <c r="E8124" s="733"/>
      <c r="G8124" s="733"/>
      <c r="H8124" s="733"/>
      <c r="I8124" s="733"/>
      <c r="J8124" s="733"/>
      <c r="K8124" s="733"/>
      <c r="L8124" s="733"/>
      <c r="M8124" s="733"/>
    </row>
    <row r="8125" spans="1:13" x14ac:dyDescent="0.3">
      <c r="A8125" s="733" t="s">
        <v>8208</v>
      </c>
      <c r="B8125" s="733" t="s">
        <v>664</v>
      </c>
      <c r="C8125" s="738" t="s">
        <v>8225</v>
      </c>
      <c r="D8125" s="733"/>
      <c r="E8125" s="733"/>
      <c r="G8125" s="733"/>
      <c r="H8125" s="733"/>
      <c r="I8125" s="733"/>
      <c r="J8125" s="733"/>
      <c r="K8125" s="733"/>
      <c r="L8125" s="733"/>
      <c r="M8125" s="733"/>
    </row>
    <row r="8126" spans="1:13" x14ac:dyDescent="0.3">
      <c r="A8126" s="733" t="s">
        <v>8208</v>
      </c>
      <c r="B8126" s="733" t="s">
        <v>664</v>
      </c>
      <c r="C8126" s="738" t="s">
        <v>8226</v>
      </c>
      <c r="D8126" s="733"/>
      <c r="E8126" s="733"/>
      <c r="G8126" s="733"/>
      <c r="H8126" s="733"/>
      <c r="I8126" s="733"/>
      <c r="J8126" s="733"/>
      <c r="K8126" s="733"/>
      <c r="L8126" s="733"/>
      <c r="M8126" s="733"/>
    </row>
    <row r="8127" spans="1:13" x14ac:dyDescent="0.3">
      <c r="A8127" s="733" t="s">
        <v>8208</v>
      </c>
      <c r="B8127" s="733" t="s">
        <v>664</v>
      </c>
      <c r="C8127" s="738" t="s">
        <v>8227</v>
      </c>
      <c r="D8127" s="733"/>
      <c r="E8127" s="733"/>
      <c r="G8127" s="733"/>
      <c r="H8127" s="733"/>
      <c r="I8127" s="733"/>
      <c r="J8127" s="733"/>
      <c r="K8127" s="733"/>
      <c r="L8127" s="733"/>
      <c r="M8127" s="733"/>
    </row>
    <row r="8128" spans="1:13" x14ac:dyDescent="0.3">
      <c r="A8128" s="733" t="s">
        <v>8208</v>
      </c>
      <c r="B8128" s="733" t="s">
        <v>664</v>
      </c>
      <c r="C8128" s="738" t="s">
        <v>8228</v>
      </c>
      <c r="D8128" s="733"/>
      <c r="E8128" s="733"/>
      <c r="G8128" s="733"/>
      <c r="H8128" s="733"/>
      <c r="I8128" s="733"/>
      <c r="J8128" s="733"/>
      <c r="K8128" s="733"/>
      <c r="L8128" s="733"/>
      <c r="M8128" s="733"/>
    </row>
    <row r="8129" spans="1:13" x14ac:dyDescent="0.3">
      <c r="A8129" s="733" t="s">
        <v>8208</v>
      </c>
      <c r="B8129" s="733" t="s">
        <v>612</v>
      </c>
      <c r="C8129" s="738" t="s">
        <v>8229</v>
      </c>
      <c r="D8129" s="733"/>
      <c r="E8129" s="733"/>
      <c r="G8129" s="733"/>
      <c r="H8129" s="733"/>
      <c r="I8129" s="733"/>
      <c r="J8129" s="733"/>
      <c r="K8129" s="733"/>
      <c r="L8129" s="733"/>
      <c r="M8129" s="733"/>
    </row>
    <row r="8130" spans="1:13" x14ac:dyDescent="0.3">
      <c r="A8130" s="733" t="s">
        <v>8208</v>
      </c>
      <c r="B8130" s="733" t="s">
        <v>612</v>
      </c>
      <c r="C8130" s="738" t="s">
        <v>8230</v>
      </c>
      <c r="D8130" s="733"/>
      <c r="E8130" s="733"/>
      <c r="G8130" s="733"/>
      <c r="H8130" s="733"/>
      <c r="I8130" s="733"/>
      <c r="J8130" s="733"/>
      <c r="K8130" s="733"/>
      <c r="L8130" s="733"/>
      <c r="M8130" s="733"/>
    </row>
    <row r="8131" spans="1:13" x14ac:dyDescent="0.3">
      <c r="A8131" s="733" t="s">
        <v>8208</v>
      </c>
      <c r="B8131" s="733" t="s">
        <v>612</v>
      </c>
      <c r="C8131" s="738" t="s">
        <v>8231</v>
      </c>
      <c r="D8131" s="733"/>
      <c r="E8131" s="733"/>
      <c r="G8131" s="733"/>
      <c r="H8131" s="733"/>
      <c r="I8131" s="733"/>
      <c r="J8131" s="733"/>
      <c r="K8131" s="733"/>
      <c r="L8131" s="733"/>
      <c r="M8131" s="733"/>
    </row>
    <row r="8132" spans="1:13" x14ac:dyDescent="0.3">
      <c r="A8132" s="733" t="s">
        <v>8208</v>
      </c>
      <c r="B8132" s="733" t="s">
        <v>612</v>
      </c>
      <c r="C8132" s="738" t="s">
        <v>8232</v>
      </c>
      <c r="D8132" s="733"/>
      <c r="E8132" s="733"/>
      <c r="G8132" s="733"/>
      <c r="H8132" s="733"/>
      <c r="I8132" s="733"/>
      <c r="J8132" s="733"/>
      <c r="K8132" s="733"/>
      <c r="L8132" s="733"/>
      <c r="M8132" s="733"/>
    </row>
    <row r="8133" spans="1:13" x14ac:dyDescent="0.3">
      <c r="A8133" s="733" t="s">
        <v>8208</v>
      </c>
      <c r="B8133" s="733" t="s">
        <v>612</v>
      </c>
      <c r="C8133" s="738" t="s">
        <v>8233</v>
      </c>
      <c r="D8133" s="733"/>
      <c r="E8133" s="733"/>
      <c r="G8133" s="733"/>
      <c r="H8133" s="733"/>
      <c r="I8133" s="733"/>
      <c r="J8133" s="733"/>
      <c r="K8133" s="733"/>
      <c r="L8133" s="733"/>
      <c r="M8133" s="733"/>
    </row>
    <row r="8134" spans="1:13" x14ac:dyDescent="0.3">
      <c r="A8134" s="733" t="s">
        <v>8208</v>
      </c>
      <c r="B8134" s="733" t="s">
        <v>612</v>
      </c>
      <c r="C8134" s="738" t="s">
        <v>8234</v>
      </c>
      <c r="D8134" s="733"/>
      <c r="E8134" s="733"/>
      <c r="G8134" s="733"/>
      <c r="H8134" s="733"/>
      <c r="I8134" s="733"/>
      <c r="J8134" s="733"/>
      <c r="K8134" s="733"/>
      <c r="L8134" s="733"/>
      <c r="M8134" s="733"/>
    </row>
    <row r="8135" spans="1:13" x14ac:dyDescent="0.3">
      <c r="A8135" s="733" t="s">
        <v>8208</v>
      </c>
      <c r="B8135" s="733" t="s">
        <v>612</v>
      </c>
      <c r="C8135" s="738" t="s">
        <v>8235</v>
      </c>
      <c r="D8135" s="733"/>
      <c r="E8135" s="733"/>
      <c r="G8135" s="733"/>
      <c r="H8135" s="733"/>
      <c r="I8135" s="733"/>
      <c r="J8135" s="733"/>
      <c r="K8135" s="733"/>
      <c r="L8135" s="733"/>
      <c r="M8135" s="733"/>
    </row>
    <row r="8136" spans="1:13" x14ac:dyDescent="0.3">
      <c r="A8136" s="733" t="s">
        <v>8208</v>
      </c>
      <c r="B8136" s="733" t="s">
        <v>612</v>
      </c>
      <c r="C8136" s="738" t="s">
        <v>8236</v>
      </c>
      <c r="D8136" s="733"/>
      <c r="E8136" s="733"/>
      <c r="G8136" s="733"/>
      <c r="H8136" s="733"/>
      <c r="I8136" s="733"/>
      <c r="J8136" s="733"/>
      <c r="K8136" s="733"/>
      <c r="L8136" s="733"/>
      <c r="M8136" s="733"/>
    </row>
    <row r="8137" spans="1:13" x14ac:dyDescent="0.3">
      <c r="A8137" s="733" t="s">
        <v>8208</v>
      </c>
      <c r="B8137" s="733" t="s">
        <v>612</v>
      </c>
      <c r="C8137" s="738" t="s">
        <v>8237</v>
      </c>
      <c r="D8137" s="733"/>
      <c r="E8137" s="733"/>
      <c r="G8137" s="733"/>
      <c r="H8137" s="733"/>
      <c r="I8137" s="733"/>
      <c r="J8137" s="733"/>
      <c r="K8137" s="733"/>
      <c r="L8137" s="733"/>
      <c r="M8137" s="733"/>
    </row>
    <row r="8138" spans="1:13" x14ac:dyDescent="0.3">
      <c r="A8138" s="733" t="s">
        <v>8208</v>
      </c>
      <c r="B8138" s="733" t="s">
        <v>612</v>
      </c>
      <c r="C8138" s="738" t="s">
        <v>8238</v>
      </c>
      <c r="D8138" s="733"/>
      <c r="E8138" s="733"/>
      <c r="G8138" s="733"/>
      <c r="H8138" s="733"/>
      <c r="I8138" s="733"/>
      <c r="J8138" s="733"/>
      <c r="K8138" s="733"/>
      <c r="L8138" s="733"/>
      <c r="M8138" s="733"/>
    </row>
    <row r="8139" spans="1:13" x14ac:dyDescent="0.3">
      <c r="A8139" s="733" t="s">
        <v>8239</v>
      </c>
      <c r="B8139" s="733" t="s">
        <v>645</v>
      </c>
      <c r="C8139" s="738" t="s">
        <v>8240</v>
      </c>
      <c r="D8139" s="733"/>
      <c r="E8139" s="733"/>
      <c r="G8139" s="733"/>
      <c r="H8139" s="733"/>
      <c r="I8139" s="733"/>
      <c r="J8139" s="733"/>
      <c r="K8139" s="733"/>
      <c r="L8139" s="733"/>
      <c r="M8139" s="733"/>
    </row>
    <row r="8140" spans="1:13" x14ac:dyDescent="0.3">
      <c r="A8140" s="733" t="s">
        <v>8239</v>
      </c>
      <c r="B8140" s="733" t="s">
        <v>645</v>
      </c>
      <c r="C8140" s="738" t="s">
        <v>8241</v>
      </c>
      <c r="D8140" s="733"/>
      <c r="E8140" s="733"/>
      <c r="G8140" s="733"/>
      <c r="H8140" s="733"/>
      <c r="I8140" s="733"/>
      <c r="J8140" s="733"/>
      <c r="K8140" s="733"/>
      <c r="L8140" s="733"/>
      <c r="M8140" s="733"/>
    </row>
    <row r="8141" spans="1:13" x14ac:dyDescent="0.3">
      <c r="A8141" s="733" t="s">
        <v>8239</v>
      </c>
      <c r="B8141" s="733" t="s">
        <v>645</v>
      </c>
      <c r="C8141" s="738" t="s">
        <v>8242</v>
      </c>
      <c r="D8141" s="733"/>
      <c r="E8141" s="733"/>
      <c r="G8141" s="733"/>
      <c r="H8141" s="733"/>
      <c r="I8141" s="733"/>
      <c r="J8141" s="733"/>
      <c r="K8141" s="733"/>
      <c r="L8141" s="733"/>
      <c r="M8141" s="733"/>
    </row>
    <row r="8142" spans="1:13" x14ac:dyDescent="0.3">
      <c r="A8142" s="733" t="s">
        <v>8239</v>
      </c>
      <c r="B8142" s="733" t="s">
        <v>645</v>
      </c>
      <c r="C8142" s="738" t="s">
        <v>8243</v>
      </c>
      <c r="D8142" s="733"/>
      <c r="E8142" s="733"/>
      <c r="G8142" s="733"/>
      <c r="H8142" s="733"/>
      <c r="I8142" s="733"/>
      <c r="J8142" s="733"/>
      <c r="K8142" s="733"/>
      <c r="L8142" s="733"/>
      <c r="M8142" s="733"/>
    </row>
    <row r="8143" spans="1:13" x14ac:dyDescent="0.3">
      <c r="A8143" s="733" t="s">
        <v>8239</v>
      </c>
      <c r="B8143" s="733" t="s">
        <v>645</v>
      </c>
      <c r="C8143" s="738" t="s">
        <v>8244</v>
      </c>
      <c r="D8143" s="733"/>
      <c r="E8143" s="733"/>
      <c r="G8143" s="733"/>
      <c r="H8143" s="733"/>
      <c r="I8143" s="733"/>
      <c r="J8143" s="733"/>
      <c r="K8143" s="733"/>
      <c r="L8143" s="733"/>
      <c r="M8143" s="733"/>
    </row>
    <row r="8144" spans="1:13" x14ac:dyDescent="0.3">
      <c r="A8144" s="733" t="s">
        <v>8239</v>
      </c>
      <c r="B8144" s="733" t="s">
        <v>645</v>
      </c>
      <c r="C8144" s="738" t="s">
        <v>8245</v>
      </c>
      <c r="D8144" s="733"/>
      <c r="E8144" s="733"/>
      <c r="G8144" s="733"/>
      <c r="H8144" s="733"/>
      <c r="I8144" s="733"/>
      <c r="J8144" s="733"/>
      <c r="K8144" s="733"/>
      <c r="L8144" s="733"/>
      <c r="M8144" s="733"/>
    </row>
    <row r="8145" spans="1:13" x14ac:dyDescent="0.3">
      <c r="A8145" s="733" t="s">
        <v>8239</v>
      </c>
      <c r="B8145" s="733" t="s">
        <v>645</v>
      </c>
      <c r="C8145" s="738" t="s">
        <v>8246</v>
      </c>
      <c r="D8145" s="733"/>
      <c r="E8145" s="733"/>
      <c r="G8145" s="733"/>
      <c r="H8145" s="733"/>
      <c r="I8145" s="733"/>
      <c r="J8145" s="733"/>
      <c r="K8145" s="733"/>
      <c r="L8145" s="733"/>
      <c r="M8145" s="733"/>
    </row>
    <row r="8146" spans="1:13" x14ac:dyDescent="0.3">
      <c r="A8146" s="733" t="s">
        <v>8239</v>
      </c>
      <c r="B8146" s="733" t="s">
        <v>645</v>
      </c>
      <c r="C8146" s="738" t="s">
        <v>8247</v>
      </c>
      <c r="D8146" s="733"/>
      <c r="E8146" s="733"/>
      <c r="G8146" s="733"/>
      <c r="H8146" s="733"/>
      <c r="I8146" s="733"/>
      <c r="J8146" s="733"/>
      <c r="K8146" s="733"/>
      <c r="L8146" s="733"/>
      <c r="M8146" s="733"/>
    </row>
    <row r="8147" spans="1:13" x14ac:dyDescent="0.3">
      <c r="A8147" s="733" t="s">
        <v>8239</v>
      </c>
      <c r="B8147" s="733" t="s">
        <v>645</v>
      </c>
      <c r="C8147" s="738" t="s">
        <v>8248</v>
      </c>
      <c r="D8147" s="733"/>
      <c r="E8147" s="733"/>
      <c r="G8147" s="733"/>
      <c r="H8147" s="733"/>
      <c r="I8147" s="733"/>
      <c r="J8147" s="733"/>
      <c r="K8147" s="733"/>
      <c r="L8147" s="733"/>
      <c r="M8147" s="733"/>
    </row>
    <row r="8148" spans="1:13" x14ac:dyDescent="0.3">
      <c r="A8148" s="733" t="s">
        <v>8239</v>
      </c>
      <c r="B8148" s="733" t="s">
        <v>645</v>
      </c>
      <c r="C8148" s="738" t="s">
        <v>8249</v>
      </c>
      <c r="D8148" s="733"/>
      <c r="E8148" s="733"/>
      <c r="G8148" s="733"/>
      <c r="H8148" s="733"/>
      <c r="I8148" s="733"/>
      <c r="J8148" s="733"/>
      <c r="K8148" s="733"/>
      <c r="L8148" s="733"/>
      <c r="M8148" s="733"/>
    </row>
    <row r="8149" spans="1:13" x14ac:dyDescent="0.3">
      <c r="A8149" s="733" t="s">
        <v>8239</v>
      </c>
      <c r="B8149" s="733" t="s">
        <v>664</v>
      </c>
      <c r="C8149" s="738" t="s">
        <v>8250</v>
      </c>
      <c r="D8149" s="733"/>
      <c r="E8149" s="733"/>
      <c r="G8149" s="733"/>
      <c r="H8149" s="733"/>
      <c r="I8149" s="733"/>
      <c r="J8149" s="733"/>
      <c r="K8149" s="733"/>
      <c r="L8149" s="733"/>
      <c r="M8149" s="733"/>
    </row>
    <row r="8150" spans="1:13" x14ac:dyDescent="0.3">
      <c r="A8150" s="733" t="s">
        <v>8239</v>
      </c>
      <c r="B8150" s="733" t="s">
        <v>664</v>
      </c>
      <c r="C8150" s="738" t="s">
        <v>8251</v>
      </c>
      <c r="D8150" s="733"/>
      <c r="E8150" s="733"/>
      <c r="G8150" s="733"/>
      <c r="H8150" s="733"/>
      <c r="I8150" s="733"/>
      <c r="J8150" s="733"/>
      <c r="K8150" s="733"/>
      <c r="L8150" s="733"/>
      <c r="M8150" s="733"/>
    </row>
    <row r="8151" spans="1:13" x14ac:dyDescent="0.3">
      <c r="A8151" s="733" t="s">
        <v>8239</v>
      </c>
      <c r="B8151" s="733" t="s">
        <v>664</v>
      </c>
      <c r="C8151" s="738" t="s">
        <v>8252</v>
      </c>
      <c r="D8151" s="733"/>
      <c r="E8151" s="733"/>
      <c r="G8151" s="733"/>
      <c r="H8151" s="733"/>
      <c r="I8151" s="733"/>
      <c r="J8151" s="733"/>
      <c r="K8151" s="733"/>
      <c r="L8151" s="733"/>
      <c r="M8151" s="733"/>
    </row>
    <row r="8152" spans="1:13" x14ac:dyDescent="0.3">
      <c r="A8152" s="733" t="s">
        <v>8239</v>
      </c>
      <c r="B8152" s="733" t="s">
        <v>664</v>
      </c>
      <c r="C8152" s="738" t="s">
        <v>8253</v>
      </c>
      <c r="D8152" s="733"/>
      <c r="E8152" s="733"/>
      <c r="G8152" s="733"/>
      <c r="H8152" s="733"/>
      <c r="I8152" s="733"/>
      <c r="J8152" s="733"/>
      <c r="K8152" s="733"/>
      <c r="L8152" s="733"/>
      <c r="M8152" s="733"/>
    </row>
    <row r="8153" spans="1:13" x14ac:dyDescent="0.3">
      <c r="A8153" s="733" t="s">
        <v>8239</v>
      </c>
      <c r="B8153" s="733" t="s">
        <v>664</v>
      </c>
      <c r="C8153" s="738" t="s">
        <v>8254</v>
      </c>
      <c r="D8153" s="733"/>
      <c r="E8153" s="733"/>
      <c r="G8153" s="733"/>
      <c r="H8153" s="733"/>
      <c r="I8153" s="733"/>
      <c r="J8153" s="733"/>
      <c r="K8153" s="733"/>
      <c r="L8153" s="733"/>
      <c r="M8153" s="733"/>
    </row>
    <row r="8154" spans="1:13" x14ac:dyDescent="0.3">
      <c r="A8154" s="733" t="s">
        <v>8239</v>
      </c>
      <c r="B8154" s="733" t="s">
        <v>664</v>
      </c>
      <c r="C8154" s="738" t="s">
        <v>8255</v>
      </c>
      <c r="D8154" s="733"/>
      <c r="E8154" s="733"/>
      <c r="G8154" s="733"/>
      <c r="H8154" s="733"/>
      <c r="I8154" s="733"/>
      <c r="J8154" s="733"/>
      <c r="K8154" s="733"/>
      <c r="L8154" s="733"/>
      <c r="M8154" s="733"/>
    </row>
    <row r="8155" spans="1:13" x14ac:dyDescent="0.3">
      <c r="A8155" s="733" t="s">
        <v>8239</v>
      </c>
      <c r="B8155" s="733" t="s">
        <v>664</v>
      </c>
      <c r="C8155" s="738" t="s">
        <v>8256</v>
      </c>
      <c r="D8155" s="733"/>
      <c r="E8155" s="733"/>
      <c r="G8155" s="733"/>
      <c r="H8155" s="733"/>
      <c r="I8155" s="733"/>
      <c r="J8155" s="733"/>
      <c r="K8155" s="733"/>
      <c r="L8155" s="733"/>
      <c r="M8155" s="733"/>
    </row>
    <row r="8156" spans="1:13" x14ac:dyDescent="0.3">
      <c r="A8156" s="733" t="s">
        <v>8239</v>
      </c>
      <c r="B8156" s="733" t="s">
        <v>664</v>
      </c>
      <c r="C8156" s="738" t="s">
        <v>8257</v>
      </c>
      <c r="D8156" s="733"/>
      <c r="E8156" s="733"/>
      <c r="G8156" s="733"/>
      <c r="H8156" s="733"/>
      <c r="I8156" s="733"/>
      <c r="J8156" s="733"/>
      <c r="K8156" s="733"/>
      <c r="L8156" s="733"/>
      <c r="M8156" s="733"/>
    </row>
    <row r="8157" spans="1:13" x14ac:dyDescent="0.3">
      <c r="A8157" s="733" t="s">
        <v>8239</v>
      </c>
      <c r="B8157" s="733" t="s">
        <v>664</v>
      </c>
      <c r="C8157" s="738" t="s">
        <v>8258</v>
      </c>
      <c r="D8157" s="733"/>
      <c r="E8157" s="733"/>
      <c r="G8157" s="733"/>
      <c r="H8157" s="733"/>
      <c r="I8157" s="733"/>
      <c r="J8157" s="733"/>
      <c r="K8157" s="733"/>
      <c r="L8157" s="733"/>
      <c r="M8157" s="733"/>
    </row>
    <row r="8158" spans="1:13" x14ac:dyDescent="0.3">
      <c r="A8158" s="733" t="s">
        <v>8239</v>
      </c>
      <c r="B8158" s="733" t="s">
        <v>664</v>
      </c>
      <c r="C8158" s="738" t="s">
        <v>8259</v>
      </c>
      <c r="D8158" s="733"/>
      <c r="E8158" s="733"/>
      <c r="G8158" s="733"/>
      <c r="H8158" s="733"/>
      <c r="I8158" s="733"/>
      <c r="J8158" s="733"/>
      <c r="K8158" s="733"/>
      <c r="L8158" s="733"/>
      <c r="M8158" s="733"/>
    </row>
    <row r="8159" spans="1:13" x14ac:dyDescent="0.3">
      <c r="A8159" s="733" t="s">
        <v>8239</v>
      </c>
      <c r="B8159" s="733" t="s">
        <v>612</v>
      </c>
      <c r="C8159" s="738" t="s">
        <v>8260</v>
      </c>
      <c r="D8159" s="733"/>
      <c r="E8159" s="733"/>
      <c r="G8159" s="733"/>
      <c r="H8159" s="733"/>
      <c r="I8159" s="733"/>
      <c r="J8159" s="733"/>
      <c r="K8159" s="733"/>
      <c r="L8159" s="733"/>
      <c r="M8159" s="733"/>
    </row>
    <row r="8160" spans="1:13" x14ac:dyDescent="0.3">
      <c r="A8160" s="733" t="s">
        <v>8239</v>
      </c>
      <c r="B8160" s="733" t="s">
        <v>612</v>
      </c>
      <c r="C8160" s="738" t="s">
        <v>8261</v>
      </c>
      <c r="D8160" s="733"/>
      <c r="E8160" s="733"/>
      <c r="G8160" s="733"/>
      <c r="H8160" s="733"/>
      <c r="I8160" s="733"/>
      <c r="J8160" s="733"/>
      <c r="K8160" s="733"/>
      <c r="L8160" s="733"/>
      <c r="M8160" s="733"/>
    </row>
    <row r="8161" spans="1:13" x14ac:dyDescent="0.3">
      <c r="A8161" s="733" t="s">
        <v>8239</v>
      </c>
      <c r="B8161" s="733" t="s">
        <v>612</v>
      </c>
      <c r="C8161" s="738" t="s">
        <v>8262</v>
      </c>
      <c r="D8161" s="733"/>
      <c r="E8161" s="733"/>
      <c r="G8161" s="733"/>
      <c r="H8161" s="733"/>
      <c r="I8161" s="733"/>
      <c r="J8161" s="733"/>
      <c r="K8161" s="733"/>
      <c r="L8161" s="733"/>
      <c r="M8161" s="733"/>
    </row>
    <row r="8162" spans="1:13" x14ac:dyDescent="0.3">
      <c r="A8162" s="733" t="s">
        <v>8239</v>
      </c>
      <c r="B8162" s="733" t="s">
        <v>612</v>
      </c>
      <c r="C8162" s="738" t="s">
        <v>8263</v>
      </c>
      <c r="D8162" s="733"/>
      <c r="E8162" s="733"/>
      <c r="G8162" s="733"/>
      <c r="H8162" s="733"/>
      <c r="I8162" s="733"/>
      <c r="J8162" s="733"/>
      <c r="K8162" s="733"/>
      <c r="L8162" s="733"/>
      <c r="M8162" s="733"/>
    </row>
    <row r="8163" spans="1:13" x14ac:dyDescent="0.3">
      <c r="A8163" s="733" t="s">
        <v>8239</v>
      </c>
      <c r="B8163" s="733" t="s">
        <v>612</v>
      </c>
      <c r="C8163" s="738" t="s">
        <v>8264</v>
      </c>
      <c r="D8163" s="733"/>
      <c r="E8163" s="733"/>
      <c r="G8163" s="733"/>
      <c r="H8163" s="733"/>
      <c r="I8163" s="733"/>
      <c r="J8163" s="733"/>
      <c r="K8163" s="733"/>
      <c r="L8163" s="733"/>
      <c r="M8163" s="733"/>
    </row>
    <row r="8164" spans="1:13" x14ac:dyDescent="0.3">
      <c r="A8164" s="733" t="s">
        <v>8239</v>
      </c>
      <c r="B8164" s="733" t="s">
        <v>612</v>
      </c>
      <c r="C8164" s="738" t="s">
        <v>8265</v>
      </c>
      <c r="D8164" s="733"/>
      <c r="E8164" s="733"/>
      <c r="G8164" s="733"/>
      <c r="H8164" s="733"/>
      <c r="I8164" s="733"/>
      <c r="J8164" s="733"/>
      <c r="K8164" s="733"/>
      <c r="L8164" s="733"/>
      <c r="M8164" s="733"/>
    </row>
    <row r="8165" spans="1:13" x14ac:dyDescent="0.3">
      <c r="A8165" s="733" t="s">
        <v>8239</v>
      </c>
      <c r="B8165" s="733" t="s">
        <v>612</v>
      </c>
      <c r="C8165" s="738" t="s">
        <v>8266</v>
      </c>
      <c r="D8165" s="733"/>
      <c r="E8165" s="733"/>
      <c r="G8165" s="733"/>
      <c r="H8165" s="733"/>
      <c r="I8165" s="733"/>
      <c r="J8165" s="733"/>
      <c r="K8165" s="733"/>
      <c r="L8165" s="733"/>
      <c r="M8165" s="733"/>
    </row>
    <row r="8166" spans="1:13" x14ac:dyDescent="0.3">
      <c r="A8166" s="733" t="s">
        <v>8239</v>
      </c>
      <c r="B8166" s="733" t="s">
        <v>612</v>
      </c>
      <c r="C8166" s="738" t="s">
        <v>8267</v>
      </c>
      <c r="D8166" s="733"/>
      <c r="E8166" s="733"/>
      <c r="G8166" s="733"/>
      <c r="H8166" s="733"/>
      <c r="I8166" s="733"/>
      <c r="J8166" s="733"/>
      <c r="K8166" s="733"/>
      <c r="L8166" s="733"/>
      <c r="M8166" s="733"/>
    </row>
    <row r="8167" spans="1:13" x14ac:dyDescent="0.3">
      <c r="A8167" s="733" t="s">
        <v>8239</v>
      </c>
      <c r="B8167" s="733" t="s">
        <v>612</v>
      </c>
      <c r="C8167" s="738" t="s">
        <v>8268</v>
      </c>
      <c r="D8167" s="733"/>
      <c r="E8167" s="733"/>
      <c r="G8167" s="733"/>
      <c r="H8167" s="733"/>
      <c r="I8167" s="733"/>
      <c r="J8167" s="733"/>
      <c r="K8167" s="733"/>
      <c r="L8167" s="733"/>
      <c r="M8167" s="733"/>
    </row>
    <row r="8168" spans="1:13" x14ac:dyDescent="0.3">
      <c r="A8168" s="733" t="s">
        <v>8239</v>
      </c>
      <c r="B8168" s="733" t="s">
        <v>612</v>
      </c>
      <c r="C8168" s="738" t="s">
        <v>8269</v>
      </c>
      <c r="D8168" s="733"/>
      <c r="E8168" s="733"/>
      <c r="G8168" s="733"/>
      <c r="H8168" s="733"/>
      <c r="I8168" s="733"/>
      <c r="J8168" s="733"/>
      <c r="K8168" s="733"/>
      <c r="L8168" s="733"/>
      <c r="M8168" s="733"/>
    </row>
    <row r="8169" spans="1:13" x14ac:dyDescent="0.3">
      <c r="A8169" s="733" t="s">
        <v>8270</v>
      </c>
      <c r="B8169" s="733" t="s">
        <v>645</v>
      </c>
      <c r="C8169" s="738" t="s">
        <v>8271</v>
      </c>
      <c r="D8169" s="733"/>
      <c r="E8169" s="733"/>
      <c r="G8169" s="733"/>
      <c r="H8169" s="733"/>
      <c r="I8169" s="733"/>
      <c r="J8169" s="733"/>
      <c r="K8169" s="733"/>
      <c r="L8169" s="733"/>
      <c r="M8169" s="733"/>
    </row>
    <row r="8170" spans="1:13" x14ac:dyDescent="0.3">
      <c r="A8170" s="733" t="s">
        <v>8270</v>
      </c>
      <c r="B8170" s="733" t="s">
        <v>645</v>
      </c>
      <c r="C8170" s="738" t="s">
        <v>8272</v>
      </c>
      <c r="D8170" s="733"/>
      <c r="E8170" s="733"/>
      <c r="G8170" s="733"/>
      <c r="H8170" s="733"/>
      <c r="I8170" s="733"/>
      <c r="J8170" s="733"/>
      <c r="K8170" s="733"/>
      <c r="L8170" s="733"/>
      <c r="M8170" s="733"/>
    </row>
    <row r="8171" spans="1:13" x14ac:dyDescent="0.3">
      <c r="A8171" s="733" t="s">
        <v>8270</v>
      </c>
      <c r="B8171" s="733" t="s">
        <v>645</v>
      </c>
      <c r="C8171" s="738" t="s">
        <v>8273</v>
      </c>
      <c r="D8171" s="733"/>
      <c r="E8171" s="733"/>
      <c r="G8171" s="733"/>
      <c r="H8171" s="733"/>
      <c r="I8171" s="733"/>
      <c r="J8171" s="733"/>
      <c r="K8171" s="733"/>
      <c r="L8171" s="733"/>
      <c r="M8171" s="733"/>
    </row>
    <row r="8172" spans="1:13" x14ac:dyDescent="0.3">
      <c r="A8172" s="733" t="s">
        <v>8270</v>
      </c>
      <c r="B8172" s="733" t="s">
        <v>645</v>
      </c>
      <c r="C8172" s="738" t="s">
        <v>8274</v>
      </c>
      <c r="D8172" s="733"/>
      <c r="E8172" s="733"/>
      <c r="G8172" s="733"/>
      <c r="H8172" s="733"/>
      <c r="I8172" s="733"/>
      <c r="J8172" s="733"/>
      <c r="K8172" s="733"/>
      <c r="L8172" s="733"/>
      <c r="M8172" s="733"/>
    </row>
    <row r="8173" spans="1:13" x14ac:dyDescent="0.3">
      <c r="A8173" s="733" t="s">
        <v>8270</v>
      </c>
      <c r="B8173" s="733" t="s">
        <v>645</v>
      </c>
      <c r="C8173" s="738" t="s">
        <v>8275</v>
      </c>
      <c r="D8173" s="733"/>
      <c r="E8173" s="733"/>
      <c r="G8173" s="733"/>
      <c r="H8173" s="733"/>
      <c r="I8173" s="733"/>
      <c r="J8173" s="733"/>
      <c r="K8173" s="733"/>
      <c r="L8173" s="733"/>
      <c r="M8173" s="733"/>
    </row>
    <row r="8174" spans="1:13" x14ac:dyDescent="0.3">
      <c r="A8174" s="733" t="s">
        <v>8270</v>
      </c>
      <c r="B8174" s="733" t="s">
        <v>645</v>
      </c>
      <c r="C8174" s="738" t="s">
        <v>8276</v>
      </c>
      <c r="D8174" s="733"/>
      <c r="E8174" s="733"/>
      <c r="G8174" s="733"/>
      <c r="H8174" s="733"/>
      <c r="I8174" s="733"/>
      <c r="J8174" s="733"/>
      <c r="K8174" s="733"/>
      <c r="L8174" s="733"/>
      <c r="M8174" s="733"/>
    </row>
    <row r="8175" spans="1:13" x14ac:dyDescent="0.3">
      <c r="A8175" s="733" t="s">
        <v>8270</v>
      </c>
      <c r="B8175" s="733" t="s">
        <v>645</v>
      </c>
      <c r="C8175" s="738" t="s">
        <v>8277</v>
      </c>
      <c r="D8175" s="733"/>
      <c r="E8175" s="733"/>
      <c r="G8175" s="733"/>
      <c r="H8175" s="733"/>
      <c r="I8175" s="733"/>
      <c r="J8175" s="733"/>
      <c r="K8175" s="733"/>
      <c r="L8175" s="733"/>
      <c r="M8175" s="733"/>
    </row>
    <row r="8176" spans="1:13" x14ac:dyDescent="0.3">
      <c r="A8176" s="733" t="s">
        <v>8270</v>
      </c>
      <c r="B8176" s="733" t="s">
        <v>645</v>
      </c>
      <c r="C8176" s="738" t="s">
        <v>8278</v>
      </c>
      <c r="D8176" s="733"/>
      <c r="E8176" s="733"/>
      <c r="G8176" s="733"/>
      <c r="H8176" s="733"/>
      <c r="I8176" s="733"/>
      <c r="J8176" s="733"/>
      <c r="K8176" s="733"/>
      <c r="L8176" s="733"/>
      <c r="M8176" s="733"/>
    </row>
    <row r="8177" spans="1:13" x14ac:dyDescent="0.3">
      <c r="A8177" s="733" t="s">
        <v>8270</v>
      </c>
      <c r="B8177" s="733" t="s">
        <v>645</v>
      </c>
      <c r="C8177" s="738" t="s">
        <v>8279</v>
      </c>
      <c r="D8177" s="733"/>
      <c r="E8177" s="733"/>
      <c r="G8177" s="733"/>
      <c r="H8177" s="733"/>
      <c r="I8177" s="733"/>
      <c r="J8177" s="733"/>
      <c r="K8177" s="733"/>
      <c r="L8177" s="733"/>
      <c r="M8177" s="733"/>
    </row>
    <row r="8178" spans="1:13" x14ac:dyDescent="0.3">
      <c r="A8178" s="733" t="s">
        <v>8270</v>
      </c>
      <c r="B8178" s="733" t="s">
        <v>645</v>
      </c>
      <c r="C8178" s="738" t="s">
        <v>8280</v>
      </c>
      <c r="D8178" s="733"/>
      <c r="E8178" s="733"/>
      <c r="G8178" s="733"/>
      <c r="H8178" s="733"/>
      <c r="I8178" s="733"/>
      <c r="J8178" s="733"/>
      <c r="K8178" s="733"/>
      <c r="L8178" s="733"/>
      <c r="M8178" s="733"/>
    </row>
    <row r="8179" spans="1:13" x14ac:dyDescent="0.3">
      <c r="A8179" s="733" t="s">
        <v>8270</v>
      </c>
      <c r="B8179" s="733" t="s">
        <v>664</v>
      </c>
      <c r="C8179" s="738" t="s">
        <v>8281</v>
      </c>
      <c r="D8179" s="733"/>
      <c r="E8179" s="733"/>
      <c r="G8179" s="733"/>
      <c r="H8179" s="733"/>
      <c r="I8179" s="733"/>
      <c r="J8179" s="733"/>
      <c r="K8179" s="733"/>
      <c r="L8179" s="733"/>
      <c r="M8179" s="733"/>
    </row>
    <row r="8180" spans="1:13" x14ac:dyDescent="0.3">
      <c r="A8180" s="733" t="s">
        <v>8270</v>
      </c>
      <c r="B8180" s="733" t="s">
        <v>664</v>
      </c>
      <c r="C8180" s="738" t="s">
        <v>8282</v>
      </c>
      <c r="D8180" s="733"/>
      <c r="E8180" s="733"/>
      <c r="G8180" s="733"/>
      <c r="H8180" s="733"/>
      <c r="I8180" s="733"/>
      <c r="J8180" s="733"/>
      <c r="K8180" s="733"/>
      <c r="L8180" s="733"/>
      <c r="M8180" s="733"/>
    </row>
    <row r="8181" spans="1:13" x14ac:dyDescent="0.3">
      <c r="A8181" s="733" t="s">
        <v>8270</v>
      </c>
      <c r="B8181" s="733" t="s">
        <v>664</v>
      </c>
      <c r="C8181" s="738" t="s">
        <v>8283</v>
      </c>
      <c r="D8181" s="733"/>
      <c r="E8181" s="733"/>
      <c r="G8181" s="733"/>
      <c r="H8181" s="733"/>
      <c r="I8181" s="733"/>
      <c r="J8181" s="733"/>
      <c r="K8181" s="733"/>
      <c r="L8181" s="733"/>
      <c r="M8181" s="733"/>
    </row>
    <row r="8182" spans="1:13" x14ac:dyDescent="0.3">
      <c r="A8182" s="733" t="s">
        <v>8270</v>
      </c>
      <c r="B8182" s="733" t="s">
        <v>664</v>
      </c>
      <c r="C8182" s="738" t="s">
        <v>8284</v>
      </c>
      <c r="D8182" s="733"/>
      <c r="E8182" s="733"/>
      <c r="G8182" s="733"/>
      <c r="H8182" s="733"/>
      <c r="I8182" s="733"/>
      <c r="J8182" s="733"/>
      <c r="K8182" s="733"/>
      <c r="L8182" s="733"/>
      <c r="M8182" s="733"/>
    </row>
    <row r="8183" spans="1:13" x14ac:dyDescent="0.3">
      <c r="A8183" s="733" t="s">
        <v>8270</v>
      </c>
      <c r="B8183" s="733" t="s">
        <v>664</v>
      </c>
      <c r="C8183" s="738" t="s">
        <v>8285</v>
      </c>
      <c r="D8183" s="733"/>
      <c r="E8183" s="733"/>
      <c r="G8183" s="733"/>
      <c r="H8183" s="733"/>
      <c r="I8183" s="733"/>
      <c r="J8183" s="733"/>
      <c r="K8183" s="733"/>
      <c r="L8183" s="733"/>
      <c r="M8183" s="733"/>
    </row>
    <row r="8184" spans="1:13" x14ac:dyDescent="0.3">
      <c r="A8184" s="733" t="s">
        <v>8270</v>
      </c>
      <c r="B8184" s="733" t="s">
        <v>664</v>
      </c>
      <c r="C8184" s="738" t="s">
        <v>8286</v>
      </c>
      <c r="D8184" s="733"/>
      <c r="E8184" s="733"/>
      <c r="G8184" s="733"/>
      <c r="H8184" s="733"/>
      <c r="I8184" s="733"/>
      <c r="J8184" s="733"/>
      <c r="K8184" s="733"/>
      <c r="L8184" s="733"/>
      <c r="M8184" s="733"/>
    </row>
    <row r="8185" spans="1:13" x14ac:dyDescent="0.3">
      <c r="A8185" s="733" t="s">
        <v>8270</v>
      </c>
      <c r="B8185" s="733" t="s">
        <v>664</v>
      </c>
      <c r="C8185" s="738" t="s">
        <v>8287</v>
      </c>
      <c r="D8185" s="733"/>
      <c r="E8185" s="733"/>
      <c r="G8185" s="733"/>
      <c r="H8185" s="733"/>
      <c r="I8185" s="733"/>
      <c r="J8185" s="733"/>
      <c r="K8185" s="733"/>
      <c r="L8185" s="733"/>
      <c r="M8185" s="733"/>
    </row>
    <row r="8186" spans="1:13" x14ac:dyDescent="0.3">
      <c r="A8186" s="733" t="s">
        <v>8270</v>
      </c>
      <c r="B8186" s="733" t="s">
        <v>664</v>
      </c>
      <c r="C8186" s="738" t="s">
        <v>8288</v>
      </c>
      <c r="D8186" s="733"/>
      <c r="E8186" s="733"/>
      <c r="G8186" s="733"/>
      <c r="H8186" s="733"/>
      <c r="I8186" s="733"/>
      <c r="J8186" s="733"/>
      <c r="K8186" s="733"/>
      <c r="L8186" s="733"/>
      <c r="M8186" s="733"/>
    </row>
    <row r="8187" spans="1:13" x14ac:dyDescent="0.3">
      <c r="A8187" s="733" t="s">
        <v>8270</v>
      </c>
      <c r="B8187" s="733" t="s">
        <v>664</v>
      </c>
      <c r="C8187" s="738" t="s">
        <v>8289</v>
      </c>
      <c r="D8187" s="733"/>
      <c r="E8187" s="733"/>
      <c r="G8187" s="733"/>
      <c r="H8187" s="733"/>
      <c r="I8187" s="733"/>
      <c r="J8187" s="733"/>
      <c r="K8187" s="733"/>
      <c r="L8187" s="733"/>
      <c r="M8187" s="733"/>
    </row>
    <row r="8188" spans="1:13" x14ac:dyDescent="0.3">
      <c r="A8188" s="733" t="s">
        <v>8270</v>
      </c>
      <c r="B8188" s="733" t="s">
        <v>664</v>
      </c>
      <c r="C8188" s="738" t="s">
        <v>8290</v>
      </c>
      <c r="D8188" s="733"/>
      <c r="E8188" s="733"/>
      <c r="G8188" s="733"/>
      <c r="H8188" s="733"/>
      <c r="I8188" s="733"/>
      <c r="J8188" s="733"/>
      <c r="K8188" s="733"/>
      <c r="L8188" s="733"/>
      <c r="M8188" s="733"/>
    </row>
    <row r="8189" spans="1:13" x14ac:dyDescent="0.3">
      <c r="A8189" s="733" t="s">
        <v>8270</v>
      </c>
      <c r="B8189" s="733" t="s">
        <v>612</v>
      </c>
      <c r="C8189" s="738" t="s">
        <v>8291</v>
      </c>
      <c r="D8189" s="733"/>
      <c r="E8189" s="733"/>
      <c r="G8189" s="733"/>
      <c r="H8189" s="733"/>
      <c r="I8189" s="733"/>
      <c r="J8189" s="733"/>
      <c r="K8189" s="733"/>
      <c r="L8189" s="733"/>
      <c r="M8189" s="733"/>
    </row>
    <row r="8190" spans="1:13" x14ac:dyDescent="0.3">
      <c r="A8190" s="733" t="s">
        <v>8270</v>
      </c>
      <c r="B8190" s="733" t="s">
        <v>612</v>
      </c>
      <c r="C8190" s="738" t="s">
        <v>8292</v>
      </c>
      <c r="D8190" s="733"/>
      <c r="E8190" s="733"/>
      <c r="G8190" s="733"/>
      <c r="H8190" s="733"/>
      <c r="I8190" s="733"/>
      <c r="J8190" s="733"/>
      <c r="K8190" s="733"/>
      <c r="L8190" s="733"/>
      <c r="M8190" s="733"/>
    </row>
    <row r="8191" spans="1:13" x14ac:dyDescent="0.3">
      <c r="A8191" s="733" t="s">
        <v>8270</v>
      </c>
      <c r="B8191" s="733" t="s">
        <v>612</v>
      </c>
      <c r="C8191" s="738" t="s">
        <v>8293</v>
      </c>
      <c r="D8191" s="733"/>
      <c r="E8191" s="733"/>
      <c r="G8191" s="733"/>
      <c r="H8191" s="733"/>
      <c r="I8191" s="733"/>
      <c r="J8191" s="733"/>
      <c r="K8191" s="733"/>
      <c r="L8191" s="733"/>
      <c r="M8191" s="733"/>
    </row>
    <row r="8192" spans="1:13" x14ac:dyDescent="0.3">
      <c r="A8192" s="733" t="s">
        <v>8270</v>
      </c>
      <c r="B8192" s="733" t="s">
        <v>612</v>
      </c>
      <c r="C8192" s="738" t="s">
        <v>8294</v>
      </c>
      <c r="D8192" s="733"/>
      <c r="E8192" s="733"/>
      <c r="G8192" s="733"/>
      <c r="H8192" s="733"/>
      <c r="I8192" s="733"/>
      <c r="J8192" s="733"/>
      <c r="K8192" s="733"/>
      <c r="L8192" s="733"/>
      <c r="M8192" s="733"/>
    </row>
    <row r="8193" spans="1:13" x14ac:dyDescent="0.3">
      <c r="A8193" s="733" t="s">
        <v>8270</v>
      </c>
      <c r="B8193" s="733" t="s">
        <v>612</v>
      </c>
      <c r="C8193" s="738" t="s">
        <v>8295</v>
      </c>
      <c r="D8193" s="733"/>
      <c r="E8193" s="733"/>
      <c r="G8193" s="733"/>
      <c r="H8193" s="733"/>
      <c r="I8193" s="733"/>
      <c r="J8193" s="733"/>
      <c r="K8193" s="733"/>
      <c r="L8193" s="733"/>
      <c r="M8193" s="733"/>
    </row>
    <row r="8194" spans="1:13" x14ac:dyDescent="0.3">
      <c r="A8194" s="733" t="s">
        <v>8270</v>
      </c>
      <c r="B8194" s="733" t="s">
        <v>612</v>
      </c>
      <c r="C8194" s="738" t="s">
        <v>8296</v>
      </c>
      <c r="D8194" s="733"/>
      <c r="E8194" s="733"/>
      <c r="G8194" s="733"/>
      <c r="H8194" s="733"/>
      <c r="I8194" s="733"/>
      <c r="J8194" s="733"/>
      <c r="K8194" s="733"/>
      <c r="L8194" s="733"/>
      <c r="M8194" s="733"/>
    </row>
    <row r="8195" spans="1:13" x14ac:dyDescent="0.3">
      <c r="A8195" s="733" t="s">
        <v>8270</v>
      </c>
      <c r="B8195" s="733" t="s">
        <v>612</v>
      </c>
      <c r="C8195" s="738" t="s">
        <v>8297</v>
      </c>
      <c r="D8195" s="733"/>
      <c r="E8195" s="733"/>
      <c r="G8195" s="733"/>
      <c r="H8195" s="733"/>
      <c r="I8195" s="733"/>
      <c r="J8195" s="733"/>
      <c r="K8195" s="733"/>
      <c r="L8195" s="733"/>
      <c r="M8195" s="733"/>
    </row>
    <row r="8196" spans="1:13" x14ac:dyDescent="0.3">
      <c r="A8196" s="733" t="s">
        <v>8270</v>
      </c>
      <c r="B8196" s="733" t="s">
        <v>612</v>
      </c>
      <c r="C8196" s="738" t="s">
        <v>8298</v>
      </c>
      <c r="D8196" s="733"/>
      <c r="E8196" s="733"/>
      <c r="G8196" s="733"/>
      <c r="H8196" s="733"/>
      <c r="I8196" s="733"/>
      <c r="J8196" s="733"/>
      <c r="K8196" s="733"/>
      <c r="L8196" s="733"/>
      <c r="M8196" s="733"/>
    </row>
    <row r="8197" spans="1:13" x14ac:dyDescent="0.3">
      <c r="A8197" s="733" t="s">
        <v>8270</v>
      </c>
      <c r="B8197" s="733" t="s">
        <v>612</v>
      </c>
      <c r="C8197" s="738" t="s">
        <v>8299</v>
      </c>
      <c r="D8197" s="733"/>
      <c r="E8197" s="733"/>
      <c r="G8197" s="733"/>
      <c r="H8197" s="733"/>
      <c r="I8197" s="733"/>
      <c r="J8197" s="733"/>
      <c r="K8197" s="733"/>
      <c r="L8197" s="733"/>
      <c r="M8197" s="733"/>
    </row>
    <row r="8198" spans="1:13" x14ac:dyDescent="0.3">
      <c r="A8198" s="733" t="s">
        <v>8270</v>
      </c>
      <c r="B8198" s="733" t="s">
        <v>612</v>
      </c>
      <c r="C8198" s="738" t="s">
        <v>8300</v>
      </c>
      <c r="D8198" s="733"/>
      <c r="E8198" s="733"/>
      <c r="G8198" s="733"/>
      <c r="H8198" s="733"/>
      <c r="I8198" s="733"/>
      <c r="J8198" s="733"/>
      <c r="K8198" s="733"/>
      <c r="L8198" s="733"/>
      <c r="M8198" s="733"/>
    </row>
  </sheetData>
  <mergeCells count="3092">
    <mergeCell ref="E5065:F5065"/>
    <mergeCell ref="E5066:F5066"/>
    <mergeCell ref="E5067:F5067"/>
    <mergeCell ref="E5059:F5059"/>
    <mergeCell ref="E5060:F5060"/>
    <mergeCell ref="E5061:F5061"/>
    <mergeCell ref="E5062:F5062"/>
    <mergeCell ref="E5063:F5063"/>
    <mergeCell ref="E5064:F5064"/>
    <mergeCell ref="E5053:F5053"/>
    <mergeCell ref="E5054:F5054"/>
    <mergeCell ref="E5055:F5055"/>
    <mergeCell ref="E5056:F5056"/>
    <mergeCell ref="E5057:F5057"/>
    <mergeCell ref="E5058:F5058"/>
    <mergeCell ref="E5047:F5047"/>
    <mergeCell ref="E5048:F5048"/>
    <mergeCell ref="E5049:F5049"/>
    <mergeCell ref="E5050:F5050"/>
    <mergeCell ref="E5051:F5051"/>
    <mergeCell ref="E5052:F5052"/>
    <mergeCell ref="E5041:F5041"/>
    <mergeCell ref="E5042:F5042"/>
    <mergeCell ref="E5043:F5043"/>
    <mergeCell ref="E5044:F5044"/>
    <mergeCell ref="E5045:F5045"/>
    <mergeCell ref="E5046:F5046"/>
    <mergeCell ref="E5035:F5035"/>
    <mergeCell ref="E5036:F5036"/>
    <mergeCell ref="E5037:F5037"/>
    <mergeCell ref="E5038:F5038"/>
    <mergeCell ref="E5039:F5039"/>
    <mergeCell ref="E5040:F5040"/>
    <mergeCell ref="E5029:F5029"/>
    <mergeCell ref="E5030:F5030"/>
    <mergeCell ref="E5031:F5031"/>
    <mergeCell ref="E5032:F5032"/>
    <mergeCell ref="E5033:F5033"/>
    <mergeCell ref="E5034:F5034"/>
    <mergeCell ref="E5023:F5023"/>
    <mergeCell ref="E5024:F5024"/>
    <mergeCell ref="E5025:F5025"/>
    <mergeCell ref="E5026:F5026"/>
    <mergeCell ref="E5027:F5027"/>
    <mergeCell ref="E5028:F5028"/>
    <mergeCell ref="E5017:F5017"/>
    <mergeCell ref="E5018:F5018"/>
    <mergeCell ref="E5019:F5019"/>
    <mergeCell ref="E5020:F5020"/>
    <mergeCell ref="E5021:F5021"/>
    <mergeCell ref="E5022:F5022"/>
    <mergeCell ref="E5011:F5011"/>
    <mergeCell ref="E5012:F5012"/>
    <mergeCell ref="E5013:F5013"/>
    <mergeCell ref="E5014:F5014"/>
    <mergeCell ref="E5015:F5015"/>
    <mergeCell ref="E5016:F5016"/>
    <mergeCell ref="E5005:F5005"/>
    <mergeCell ref="E5006:F5006"/>
    <mergeCell ref="E5007:F5007"/>
    <mergeCell ref="E5008:F5008"/>
    <mergeCell ref="E5009:F5009"/>
    <mergeCell ref="E5010:F5010"/>
    <mergeCell ref="E4999:F4999"/>
    <mergeCell ref="E5000:F5000"/>
    <mergeCell ref="E5001:F5001"/>
    <mergeCell ref="E5002:F5002"/>
    <mergeCell ref="E5003:F5003"/>
    <mergeCell ref="E5004:F5004"/>
    <mergeCell ref="E4993:F4993"/>
    <mergeCell ref="E4994:F4994"/>
    <mergeCell ref="E4995:F4995"/>
    <mergeCell ref="E4996:F4996"/>
    <mergeCell ref="E4997:F4997"/>
    <mergeCell ref="E4998:F4998"/>
    <mergeCell ref="E4987:F4987"/>
    <mergeCell ref="E4988:F4988"/>
    <mergeCell ref="E4989:F4989"/>
    <mergeCell ref="E4990:F4990"/>
    <mergeCell ref="E4991:F4991"/>
    <mergeCell ref="E4992:F4992"/>
    <mergeCell ref="E4981:F4981"/>
    <mergeCell ref="E4982:F4982"/>
    <mergeCell ref="E4983:F4983"/>
    <mergeCell ref="E4984:F4984"/>
    <mergeCell ref="E4985:F4985"/>
    <mergeCell ref="E4986:F4986"/>
    <mergeCell ref="E4975:F4975"/>
    <mergeCell ref="E4976:F4976"/>
    <mergeCell ref="E4977:F4977"/>
    <mergeCell ref="E4978:F4978"/>
    <mergeCell ref="E4979:F4979"/>
    <mergeCell ref="E4980:F4980"/>
    <mergeCell ref="E4969:F4969"/>
    <mergeCell ref="E4970:F4970"/>
    <mergeCell ref="E4971:F4971"/>
    <mergeCell ref="E4972:F4972"/>
    <mergeCell ref="E4973:F4973"/>
    <mergeCell ref="E4974:F4974"/>
    <mergeCell ref="E4963:F4963"/>
    <mergeCell ref="E4964:F4964"/>
    <mergeCell ref="E4965:F4965"/>
    <mergeCell ref="E4966:F4966"/>
    <mergeCell ref="E4967:F4967"/>
    <mergeCell ref="E4968:F4968"/>
    <mergeCell ref="E4957:F4957"/>
    <mergeCell ref="E4958:F4958"/>
    <mergeCell ref="E4959:F4959"/>
    <mergeCell ref="E4960:F4960"/>
    <mergeCell ref="E4961:F4961"/>
    <mergeCell ref="E4962:F4962"/>
    <mergeCell ref="E4951:F4951"/>
    <mergeCell ref="E4952:F4952"/>
    <mergeCell ref="E4953:F4953"/>
    <mergeCell ref="E4954:F4954"/>
    <mergeCell ref="E4955:F4955"/>
    <mergeCell ref="E4956:F4956"/>
    <mergeCell ref="E4945:F4945"/>
    <mergeCell ref="E4946:F4946"/>
    <mergeCell ref="E4947:F4947"/>
    <mergeCell ref="E4948:F4948"/>
    <mergeCell ref="E4949:F4949"/>
    <mergeCell ref="E4950:F4950"/>
    <mergeCell ref="E4939:F4939"/>
    <mergeCell ref="E4940:F4940"/>
    <mergeCell ref="E4941:F4941"/>
    <mergeCell ref="E4942:F4942"/>
    <mergeCell ref="E4943:F4943"/>
    <mergeCell ref="E4944:F4944"/>
    <mergeCell ref="E4933:F4933"/>
    <mergeCell ref="E4934:F4934"/>
    <mergeCell ref="E4935:F4935"/>
    <mergeCell ref="E4936:F4936"/>
    <mergeCell ref="E4937:F4937"/>
    <mergeCell ref="E4938:F4938"/>
    <mergeCell ref="E4927:F4927"/>
    <mergeCell ref="E4928:F4928"/>
    <mergeCell ref="E4929:F4929"/>
    <mergeCell ref="E4930:F4930"/>
    <mergeCell ref="E4931:F4931"/>
    <mergeCell ref="E4932:F4932"/>
    <mergeCell ref="E4921:F4921"/>
    <mergeCell ref="E4922:F4922"/>
    <mergeCell ref="E4923:F4923"/>
    <mergeCell ref="E4924:F4924"/>
    <mergeCell ref="E4925:F4925"/>
    <mergeCell ref="E4926:F4926"/>
    <mergeCell ref="E4915:F4915"/>
    <mergeCell ref="E4916:F4916"/>
    <mergeCell ref="E4917:F4917"/>
    <mergeCell ref="E4918:F4918"/>
    <mergeCell ref="E4919:F4919"/>
    <mergeCell ref="E4920:F4920"/>
    <mergeCell ref="E4909:F4909"/>
    <mergeCell ref="E4910:F4910"/>
    <mergeCell ref="E4911:F4911"/>
    <mergeCell ref="E4912:F4912"/>
    <mergeCell ref="E4913:F4913"/>
    <mergeCell ref="E4914:F4914"/>
    <mergeCell ref="E4903:F4903"/>
    <mergeCell ref="E4904:F4904"/>
    <mergeCell ref="E4905:F4905"/>
    <mergeCell ref="E4906:F4906"/>
    <mergeCell ref="E4907:F4907"/>
    <mergeCell ref="E4908:F4908"/>
    <mergeCell ref="E4897:F4897"/>
    <mergeCell ref="E4898:F4898"/>
    <mergeCell ref="E4899:F4899"/>
    <mergeCell ref="E4900:F4900"/>
    <mergeCell ref="E4901:F4901"/>
    <mergeCell ref="E4902:F4902"/>
    <mergeCell ref="E4891:F4891"/>
    <mergeCell ref="E4892:F4892"/>
    <mergeCell ref="E4893:F4893"/>
    <mergeCell ref="E4894:F4894"/>
    <mergeCell ref="E4895:F4895"/>
    <mergeCell ref="E4896:F4896"/>
    <mergeCell ref="E4885:F4885"/>
    <mergeCell ref="E4886:F4886"/>
    <mergeCell ref="E4887:F4887"/>
    <mergeCell ref="E4888:F4888"/>
    <mergeCell ref="E4889:F4889"/>
    <mergeCell ref="E4890:F4890"/>
    <mergeCell ref="E4879:F4879"/>
    <mergeCell ref="E4880:F4880"/>
    <mergeCell ref="E4881:F4881"/>
    <mergeCell ref="E4882:F4882"/>
    <mergeCell ref="E4883:F4883"/>
    <mergeCell ref="E4884:F4884"/>
    <mergeCell ref="E4873:F4873"/>
    <mergeCell ref="E4874:F4874"/>
    <mergeCell ref="E4875:F4875"/>
    <mergeCell ref="E4876:F4876"/>
    <mergeCell ref="E4877:F4877"/>
    <mergeCell ref="E4878:F4878"/>
    <mergeCell ref="E4867:F4867"/>
    <mergeCell ref="E4868:F4868"/>
    <mergeCell ref="E4869:F4869"/>
    <mergeCell ref="E4870:F4870"/>
    <mergeCell ref="E4871:F4871"/>
    <mergeCell ref="E4872:F4872"/>
    <mergeCell ref="E4861:F4861"/>
    <mergeCell ref="E4862:F4862"/>
    <mergeCell ref="E4863:F4863"/>
    <mergeCell ref="E4864:F4864"/>
    <mergeCell ref="E4865:F4865"/>
    <mergeCell ref="E4866:F4866"/>
    <mergeCell ref="E4855:F4855"/>
    <mergeCell ref="E4856:F4856"/>
    <mergeCell ref="E4857:F4857"/>
    <mergeCell ref="E4858:F4858"/>
    <mergeCell ref="E4859:F4859"/>
    <mergeCell ref="E4860:F4860"/>
    <mergeCell ref="E4849:F4849"/>
    <mergeCell ref="E4850:F4850"/>
    <mergeCell ref="E4851:F4851"/>
    <mergeCell ref="E4852:F4852"/>
    <mergeCell ref="E4853:F4853"/>
    <mergeCell ref="E4854:F4854"/>
    <mergeCell ref="E4843:F4843"/>
    <mergeCell ref="E4844:F4844"/>
    <mergeCell ref="E4845:F4845"/>
    <mergeCell ref="E4846:F4846"/>
    <mergeCell ref="E4847:F4847"/>
    <mergeCell ref="E4848:F4848"/>
    <mergeCell ref="E4837:F4837"/>
    <mergeCell ref="E4838:F4838"/>
    <mergeCell ref="E4839:F4839"/>
    <mergeCell ref="E4840:F4840"/>
    <mergeCell ref="E4841:F4841"/>
    <mergeCell ref="E4842:F4842"/>
    <mergeCell ref="E4831:F4831"/>
    <mergeCell ref="E4832:F4832"/>
    <mergeCell ref="E4833:F4833"/>
    <mergeCell ref="E4834:F4834"/>
    <mergeCell ref="E4835:F4835"/>
    <mergeCell ref="E4836:F4836"/>
    <mergeCell ref="E4825:F4825"/>
    <mergeCell ref="E4826:F4826"/>
    <mergeCell ref="E4827:F4827"/>
    <mergeCell ref="E4828:F4828"/>
    <mergeCell ref="E4829:F4829"/>
    <mergeCell ref="E4830:F4830"/>
    <mergeCell ref="E4819:F4819"/>
    <mergeCell ref="E4820:F4820"/>
    <mergeCell ref="E4821:F4821"/>
    <mergeCell ref="E4822:F4822"/>
    <mergeCell ref="E4823:F4823"/>
    <mergeCell ref="E4824:F4824"/>
    <mergeCell ref="E4813:F4813"/>
    <mergeCell ref="E4814:F4814"/>
    <mergeCell ref="E4815:F4815"/>
    <mergeCell ref="E4816:F4816"/>
    <mergeCell ref="E4817:F4817"/>
    <mergeCell ref="E4818:F4818"/>
    <mergeCell ref="E4807:F4807"/>
    <mergeCell ref="E4808:F4808"/>
    <mergeCell ref="E4809:F4809"/>
    <mergeCell ref="E4810:F4810"/>
    <mergeCell ref="E4811:F4811"/>
    <mergeCell ref="E4812:F4812"/>
    <mergeCell ref="E4801:F4801"/>
    <mergeCell ref="E4802:F4802"/>
    <mergeCell ref="E4803:F4803"/>
    <mergeCell ref="E4804:F4804"/>
    <mergeCell ref="E4805:F4805"/>
    <mergeCell ref="E4806:F4806"/>
    <mergeCell ref="E4795:F4795"/>
    <mergeCell ref="E4796:F4796"/>
    <mergeCell ref="E4797:F4797"/>
    <mergeCell ref="E4798:F4798"/>
    <mergeCell ref="E4799:F4799"/>
    <mergeCell ref="E4800:F4800"/>
    <mergeCell ref="E4789:F4789"/>
    <mergeCell ref="E4790:F4790"/>
    <mergeCell ref="E4791:F4791"/>
    <mergeCell ref="E4792:F4792"/>
    <mergeCell ref="E4793:F4793"/>
    <mergeCell ref="E4794:F4794"/>
    <mergeCell ref="E4783:F4783"/>
    <mergeCell ref="E4784:F4784"/>
    <mergeCell ref="E4785:F4785"/>
    <mergeCell ref="E4786:F4786"/>
    <mergeCell ref="E4787:F4787"/>
    <mergeCell ref="E4788:F4788"/>
    <mergeCell ref="E4777:F4777"/>
    <mergeCell ref="E4778:F4778"/>
    <mergeCell ref="E4779:F4779"/>
    <mergeCell ref="E4780:F4780"/>
    <mergeCell ref="E4781:F4781"/>
    <mergeCell ref="E4782:F4782"/>
    <mergeCell ref="E4771:F4771"/>
    <mergeCell ref="E4772:F4772"/>
    <mergeCell ref="E4773:F4773"/>
    <mergeCell ref="E4774:F4774"/>
    <mergeCell ref="E4775:F4775"/>
    <mergeCell ref="E4776:F4776"/>
    <mergeCell ref="E4765:F4765"/>
    <mergeCell ref="E4766:F4766"/>
    <mergeCell ref="E4767:F4767"/>
    <mergeCell ref="E4768:F4768"/>
    <mergeCell ref="E4769:F4769"/>
    <mergeCell ref="E4770:F4770"/>
    <mergeCell ref="E4759:F4759"/>
    <mergeCell ref="E4760:F4760"/>
    <mergeCell ref="E4761:F4761"/>
    <mergeCell ref="E4762:F4762"/>
    <mergeCell ref="E4763:F4763"/>
    <mergeCell ref="E4764:F4764"/>
    <mergeCell ref="E4753:F4753"/>
    <mergeCell ref="E4754:F4754"/>
    <mergeCell ref="E4755:F4755"/>
    <mergeCell ref="E4756:F4756"/>
    <mergeCell ref="E4757:F4757"/>
    <mergeCell ref="E4758:F4758"/>
    <mergeCell ref="E4747:F4747"/>
    <mergeCell ref="E4748:F4748"/>
    <mergeCell ref="E4749:F4749"/>
    <mergeCell ref="E4750:F4750"/>
    <mergeCell ref="E4751:F4751"/>
    <mergeCell ref="E4752:F4752"/>
    <mergeCell ref="E4741:F4741"/>
    <mergeCell ref="E4742:F4742"/>
    <mergeCell ref="E4743:F4743"/>
    <mergeCell ref="E4744:F4744"/>
    <mergeCell ref="E4745:F4745"/>
    <mergeCell ref="E4746:F4746"/>
    <mergeCell ref="E4735:F4735"/>
    <mergeCell ref="E4736:F4736"/>
    <mergeCell ref="E4737:F4737"/>
    <mergeCell ref="E4738:F4738"/>
    <mergeCell ref="E4739:F4739"/>
    <mergeCell ref="E4740:F4740"/>
    <mergeCell ref="E4729:F4729"/>
    <mergeCell ref="E4730:F4730"/>
    <mergeCell ref="E4731:F4731"/>
    <mergeCell ref="E4732:F4732"/>
    <mergeCell ref="E4733:F4733"/>
    <mergeCell ref="E4734:F4734"/>
    <mergeCell ref="E4723:F4723"/>
    <mergeCell ref="E4724:F4724"/>
    <mergeCell ref="E4725:F4725"/>
    <mergeCell ref="E4726:F4726"/>
    <mergeCell ref="E4727:F4727"/>
    <mergeCell ref="E4728:F4728"/>
    <mergeCell ref="E4717:F4717"/>
    <mergeCell ref="E4718:F4718"/>
    <mergeCell ref="E4719:F4719"/>
    <mergeCell ref="E4720:F4720"/>
    <mergeCell ref="E4721:F4721"/>
    <mergeCell ref="E4722:F4722"/>
    <mergeCell ref="E4711:F4711"/>
    <mergeCell ref="E4712:F4712"/>
    <mergeCell ref="E4713:F4713"/>
    <mergeCell ref="E4714:F4714"/>
    <mergeCell ref="E4715:F4715"/>
    <mergeCell ref="E4716:F4716"/>
    <mergeCell ref="E4705:F4705"/>
    <mergeCell ref="E4706:F4706"/>
    <mergeCell ref="E4707:F4707"/>
    <mergeCell ref="E4708:F4708"/>
    <mergeCell ref="E4709:F4709"/>
    <mergeCell ref="E4710:F4710"/>
    <mergeCell ref="E4699:F4699"/>
    <mergeCell ref="E4700:F4700"/>
    <mergeCell ref="E4701:F4701"/>
    <mergeCell ref="E4702:F4702"/>
    <mergeCell ref="E4703:F4703"/>
    <mergeCell ref="E4704:F4704"/>
    <mergeCell ref="E4693:F4693"/>
    <mergeCell ref="E4694:F4694"/>
    <mergeCell ref="E4695:F4695"/>
    <mergeCell ref="E4696:F4696"/>
    <mergeCell ref="E4697:F4697"/>
    <mergeCell ref="E4698:F4698"/>
    <mergeCell ref="E4687:F4687"/>
    <mergeCell ref="E4688:F4688"/>
    <mergeCell ref="E4689:F4689"/>
    <mergeCell ref="E4690:F4690"/>
    <mergeCell ref="E4691:F4691"/>
    <mergeCell ref="E4692:F4692"/>
    <mergeCell ref="E4681:F4681"/>
    <mergeCell ref="E4682:F4682"/>
    <mergeCell ref="E4683:F4683"/>
    <mergeCell ref="E4684:F4684"/>
    <mergeCell ref="E4685:F4685"/>
    <mergeCell ref="E4686:F4686"/>
    <mergeCell ref="E4675:F4675"/>
    <mergeCell ref="E4676:F4676"/>
    <mergeCell ref="E4677:F4677"/>
    <mergeCell ref="E4678:F4678"/>
    <mergeCell ref="E4679:F4679"/>
    <mergeCell ref="E4680:F4680"/>
    <mergeCell ref="E4669:F4669"/>
    <mergeCell ref="E4670:F4670"/>
    <mergeCell ref="E4671:F4671"/>
    <mergeCell ref="E4672:F4672"/>
    <mergeCell ref="E4673:F4673"/>
    <mergeCell ref="E4674:F4674"/>
    <mergeCell ref="E4663:F4663"/>
    <mergeCell ref="E4664:F4664"/>
    <mergeCell ref="E4665:F4665"/>
    <mergeCell ref="E4666:F4666"/>
    <mergeCell ref="E4667:F4667"/>
    <mergeCell ref="E4668:F4668"/>
    <mergeCell ref="E4657:F4657"/>
    <mergeCell ref="E4658:F4658"/>
    <mergeCell ref="E4659:F4659"/>
    <mergeCell ref="E4660:F4660"/>
    <mergeCell ref="E4661:F4661"/>
    <mergeCell ref="E4662:F4662"/>
    <mergeCell ref="E4651:F4651"/>
    <mergeCell ref="E4652:F4652"/>
    <mergeCell ref="E4653:F4653"/>
    <mergeCell ref="E4654:F4654"/>
    <mergeCell ref="E4655:F4655"/>
    <mergeCell ref="E4656:F4656"/>
    <mergeCell ref="E4645:F4645"/>
    <mergeCell ref="E4646:F4646"/>
    <mergeCell ref="E4647:F4647"/>
    <mergeCell ref="E4648:F4648"/>
    <mergeCell ref="E4649:F4649"/>
    <mergeCell ref="E4650:F4650"/>
    <mergeCell ref="E4639:F4639"/>
    <mergeCell ref="E4640:F4640"/>
    <mergeCell ref="E4641:F4641"/>
    <mergeCell ref="E4642:F4642"/>
    <mergeCell ref="E4643:F4643"/>
    <mergeCell ref="E4644:F4644"/>
    <mergeCell ref="E4633:F4633"/>
    <mergeCell ref="E4634:F4634"/>
    <mergeCell ref="E4635:F4635"/>
    <mergeCell ref="E4636:F4636"/>
    <mergeCell ref="E4637:F4637"/>
    <mergeCell ref="E4638:F4638"/>
    <mergeCell ref="E4627:F4627"/>
    <mergeCell ref="E4628:F4628"/>
    <mergeCell ref="E4629:F4629"/>
    <mergeCell ref="E4630:F4630"/>
    <mergeCell ref="E4631:F4631"/>
    <mergeCell ref="E4632:F4632"/>
    <mergeCell ref="E4621:F4621"/>
    <mergeCell ref="E4622:F4622"/>
    <mergeCell ref="E4623:F4623"/>
    <mergeCell ref="E4624:F4624"/>
    <mergeCell ref="E4625:F4625"/>
    <mergeCell ref="E4626:F4626"/>
    <mergeCell ref="E4615:F4615"/>
    <mergeCell ref="E4616:F4616"/>
    <mergeCell ref="E4617:F4617"/>
    <mergeCell ref="E4618:F4618"/>
    <mergeCell ref="E4619:F4619"/>
    <mergeCell ref="E4620:F4620"/>
    <mergeCell ref="E4609:F4609"/>
    <mergeCell ref="E4610:F4610"/>
    <mergeCell ref="E4611:F4611"/>
    <mergeCell ref="E4612:F4612"/>
    <mergeCell ref="E4613:F4613"/>
    <mergeCell ref="E4614:F4614"/>
    <mergeCell ref="E4603:F4603"/>
    <mergeCell ref="E4604:F4604"/>
    <mergeCell ref="E4605:F4605"/>
    <mergeCell ref="E4606:F4606"/>
    <mergeCell ref="E4607:F4607"/>
    <mergeCell ref="E4608:F4608"/>
    <mergeCell ref="E4597:F4597"/>
    <mergeCell ref="E4598:F4598"/>
    <mergeCell ref="E4599:F4599"/>
    <mergeCell ref="E4600:F4600"/>
    <mergeCell ref="E4601:F4601"/>
    <mergeCell ref="E4602:F4602"/>
    <mergeCell ref="E4591:F4591"/>
    <mergeCell ref="E4592:F4592"/>
    <mergeCell ref="E4593:F4593"/>
    <mergeCell ref="E4594:F4594"/>
    <mergeCell ref="E4595:F4595"/>
    <mergeCell ref="E4596:F4596"/>
    <mergeCell ref="E4585:F4585"/>
    <mergeCell ref="E4586:F4586"/>
    <mergeCell ref="E4587:F4587"/>
    <mergeCell ref="E4588:F4588"/>
    <mergeCell ref="E4589:F4589"/>
    <mergeCell ref="E4590:F4590"/>
    <mergeCell ref="E4579:F4579"/>
    <mergeCell ref="E4580:F4580"/>
    <mergeCell ref="E4581:F4581"/>
    <mergeCell ref="E4582:F4582"/>
    <mergeCell ref="E4583:F4583"/>
    <mergeCell ref="E4584:F4584"/>
    <mergeCell ref="E4573:F4573"/>
    <mergeCell ref="E4574:F4574"/>
    <mergeCell ref="E4575:F4575"/>
    <mergeCell ref="E4576:F4576"/>
    <mergeCell ref="E4577:F4577"/>
    <mergeCell ref="E4578:F4578"/>
    <mergeCell ref="E4567:F4567"/>
    <mergeCell ref="E4568:F4568"/>
    <mergeCell ref="E4569:F4569"/>
    <mergeCell ref="E4570:F4570"/>
    <mergeCell ref="E4571:F4571"/>
    <mergeCell ref="E4572:F4572"/>
    <mergeCell ref="E4561:F4561"/>
    <mergeCell ref="E4562:F4562"/>
    <mergeCell ref="E4563:F4563"/>
    <mergeCell ref="E4564:F4564"/>
    <mergeCell ref="E4565:F4565"/>
    <mergeCell ref="E4566:F4566"/>
    <mergeCell ref="E4555:F4555"/>
    <mergeCell ref="E4556:F4556"/>
    <mergeCell ref="E4557:F4557"/>
    <mergeCell ref="E4558:F4558"/>
    <mergeCell ref="E4559:F4559"/>
    <mergeCell ref="E4560:F4560"/>
    <mergeCell ref="E4549:F4549"/>
    <mergeCell ref="E4550:F4550"/>
    <mergeCell ref="E4551:F4551"/>
    <mergeCell ref="E4552:F4552"/>
    <mergeCell ref="E4553:F4553"/>
    <mergeCell ref="E4554:F4554"/>
    <mergeCell ref="E4543:F4543"/>
    <mergeCell ref="E4544:F4544"/>
    <mergeCell ref="E4545:F4545"/>
    <mergeCell ref="E4546:F4546"/>
    <mergeCell ref="E4547:F4547"/>
    <mergeCell ref="E4548:F4548"/>
    <mergeCell ref="E4537:F4537"/>
    <mergeCell ref="E4538:F4538"/>
    <mergeCell ref="E4539:F4539"/>
    <mergeCell ref="E4540:F4540"/>
    <mergeCell ref="E4541:F4541"/>
    <mergeCell ref="E4542:F4542"/>
    <mergeCell ref="E4531:F4531"/>
    <mergeCell ref="E4532:F4532"/>
    <mergeCell ref="E4533:F4533"/>
    <mergeCell ref="E4534:F4534"/>
    <mergeCell ref="E4535:F4535"/>
    <mergeCell ref="E4536:F4536"/>
    <mergeCell ref="E4525:F4525"/>
    <mergeCell ref="E4526:F4526"/>
    <mergeCell ref="E4527:F4527"/>
    <mergeCell ref="E4528:F4528"/>
    <mergeCell ref="E4529:F4529"/>
    <mergeCell ref="E4530:F4530"/>
    <mergeCell ref="E4519:F4519"/>
    <mergeCell ref="E4520:F4520"/>
    <mergeCell ref="E4521:F4521"/>
    <mergeCell ref="E4522:F4522"/>
    <mergeCell ref="E4523:F4523"/>
    <mergeCell ref="E4524:F4524"/>
    <mergeCell ref="E4513:F4513"/>
    <mergeCell ref="E4514:F4514"/>
    <mergeCell ref="E4515:F4515"/>
    <mergeCell ref="E4516:F4516"/>
    <mergeCell ref="E4517:F4517"/>
    <mergeCell ref="E4518:F4518"/>
    <mergeCell ref="E4507:F4507"/>
    <mergeCell ref="E4508:F4508"/>
    <mergeCell ref="E4509:F4509"/>
    <mergeCell ref="E4510:F4510"/>
    <mergeCell ref="E4511:F4511"/>
    <mergeCell ref="E4512:F4512"/>
    <mergeCell ref="E4501:F4501"/>
    <mergeCell ref="E4502:F4502"/>
    <mergeCell ref="E4503:F4503"/>
    <mergeCell ref="E4504:F4504"/>
    <mergeCell ref="E4505:F4505"/>
    <mergeCell ref="E4506:F4506"/>
    <mergeCell ref="E4495:F4495"/>
    <mergeCell ref="E4496:F4496"/>
    <mergeCell ref="E4497:F4497"/>
    <mergeCell ref="E4498:F4498"/>
    <mergeCell ref="E4499:F4499"/>
    <mergeCell ref="E4500:F4500"/>
    <mergeCell ref="E4489:F4489"/>
    <mergeCell ref="E4490:F4490"/>
    <mergeCell ref="E4491:F4491"/>
    <mergeCell ref="E4492:F4492"/>
    <mergeCell ref="E4493:F4493"/>
    <mergeCell ref="E4494:F4494"/>
    <mergeCell ref="E4483:F4483"/>
    <mergeCell ref="E4484:F4484"/>
    <mergeCell ref="E4485:F4485"/>
    <mergeCell ref="E4486:F4486"/>
    <mergeCell ref="E4487:F4487"/>
    <mergeCell ref="E4488:F4488"/>
    <mergeCell ref="E4477:F4477"/>
    <mergeCell ref="E4478:F4478"/>
    <mergeCell ref="E4479:F4479"/>
    <mergeCell ref="E4480:F4480"/>
    <mergeCell ref="E4481:F4481"/>
    <mergeCell ref="E4482:F4482"/>
    <mergeCell ref="E4471:F4471"/>
    <mergeCell ref="E4472:F4472"/>
    <mergeCell ref="E4473:F4473"/>
    <mergeCell ref="E4474:F4474"/>
    <mergeCell ref="E4475:F4475"/>
    <mergeCell ref="E4476:F4476"/>
    <mergeCell ref="E4465:F4465"/>
    <mergeCell ref="E4466:F4466"/>
    <mergeCell ref="E4467:F4467"/>
    <mergeCell ref="E4468:F4468"/>
    <mergeCell ref="E4469:F4469"/>
    <mergeCell ref="E4470:F4470"/>
    <mergeCell ref="E4459:F4459"/>
    <mergeCell ref="E4460:F4460"/>
    <mergeCell ref="E4461:F4461"/>
    <mergeCell ref="E4462:F4462"/>
    <mergeCell ref="E4463:F4463"/>
    <mergeCell ref="E4464:F4464"/>
    <mergeCell ref="E4453:F4453"/>
    <mergeCell ref="E4454:F4454"/>
    <mergeCell ref="E4455:F4455"/>
    <mergeCell ref="E4456:F4456"/>
    <mergeCell ref="E4457:F4457"/>
    <mergeCell ref="E4458:F4458"/>
    <mergeCell ref="E4447:F4447"/>
    <mergeCell ref="E4448:F4448"/>
    <mergeCell ref="E4449:F4449"/>
    <mergeCell ref="E4450:F4450"/>
    <mergeCell ref="E4451:F4451"/>
    <mergeCell ref="E4452:F4452"/>
    <mergeCell ref="E4441:F4441"/>
    <mergeCell ref="E4442:F4442"/>
    <mergeCell ref="E4443:F4443"/>
    <mergeCell ref="E4444:F4444"/>
    <mergeCell ref="E4445:F4445"/>
    <mergeCell ref="E4446:F4446"/>
    <mergeCell ref="E4435:F4435"/>
    <mergeCell ref="E4436:F4436"/>
    <mergeCell ref="E4437:F4437"/>
    <mergeCell ref="E4438:F4438"/>
    <mergeCell ref="E4439:F4439"/>
    <mergeCell ref="E4440:F4440"/>
    <mergeCell ref="E4429:F4429"/>
    <mergeCell ref="E4430:F4430"/>
    <mergeCell ref="E4431:F4431"/>
    <mergeCell ref="E4432:F4432"/>
    <mergeCell ref="E4433:F4433"/>
    <mergeCell ref="E4434:F4434"/>
    <mergeCell ref="E4423:F4423"/>
    <mergeCell ref="E4424:F4424"/>
    <mergeCell ref="E4425:F4425"/>
    <mergeCell ref="E4426:F4426"/>
    <mergeCell ref="E4427:F4427"/>
    <mergeCell ref="E4428:F4428"/>
    <mergeCell ref="E4417:F4417"/>
    <mergeCell ref="E4418:F4418"/>
    <mergeCell ref="E4419:F4419"/>
    <mergeCell ref="E4420:F4420"/>
    <mergeCell ref="E4421:F4421"/>
    <mergeCell ref="E4422:F4422"/>
    <mergeCell ref="E4411:F4411"/>
    <mergeCell ref="E4412:F4412"/>
    <mergeCell ref="E4413:F4413"/>
    <mergeCell ref="E4414:F4414"/>
    <mergeCell ref="E4415:F4415"/>
    <mergeCell ref="E4416:F4416"/>
    <mergeCell ref="E4405:F4405"/>
    <mergeCell ref="E4406:F4406"/>
    <mergeCell ref="E4407:F4407"/>
    <mergeCell ref="E4408:F4408"/>
    <mergeCell ref="E4409:F4409"/>
    <mergeCell ref="E4410:F4410"/>
    <mergeCell ref="E4399:F4399"/>
    <mergeCell ref="E4400:F4400"/>
    <mergeCell ref="E4401:F4401"/>
    <mergeCell ref="E4402:F4402"/>
    <mergeCell ref="E4403:F4403"/>
    <mergeCell ref="E4404:F4404"/>
    <mergeCell ref="E4393:F4393"/>
    <mergeCell ref="E4394:F4394"/>
    <mergeCell ref="E4395:F4395"/>
    <mergeCell ref="E4396:F4396"/>
    <mergeCell ref="E4397:F4397"/>
    <mergeCell ref="E4398:F4398"/>
    <mergeCell ref="E4387:F4387"/>
    <mergeCell ref="E4388:F4388"/>
    <mergeCell ref="E4389:F4389"/>
    <mergeCell ref="E4390:F4390"/>
    <mergeCell ref="E4391:F4391"/>
    <mergeCell ref="E4392:F4392"/>
    <mergeCell ref="E4381:F4381"/>
    <mergeCell ref="E4382:F4382"/>
    <mergeCell ref="E4383:F4383"/>
    <mergeCell ref="E4384:F4384"/>
    <mergeCell ref="E4385:F4385"/>
    <mergeCell ref="E4386:F4386"/>
    <mergeCell ref="E4375:F4375"/>
    <mergeCell ref="E4376:F4376"/>
    <mergeCell ref="E4377:F4377"/>
    <mergeCell ref="E4378:F4378"/>
    <mergeCell ref="E4379:F4379"/>
    <mergeCell ref="E4380:F4380"/>
    <mergeCell ref="E4369:F4369"/>
    <mergeCell ref="E4370:F4370"/>
    <mergeCell ref="E4371:F4371"/>
    <mergeCell ref="E4372:F4372"/>
    <mergeCell ref="E4373:F4373"/>
    <mergeCell ref="E4374:F4374"/>
    <mergeCell ref="E4363:F4363"/>
    <mergeCell ref="E4364:F4364"/>
    <mergeCell ref="E4365:F4365"/>
    <mergeCell ref="E4366:F4366"/>
    <mergeCell ref="E4367:F4367"/>
    <mergeCell ref="E4368:F4368"/>
    <mergeCell ref="E4357:F4357"/>
    <mergeCell ref="E4358:F4358"/>
    <mergeCell ref="E4359:F4359"/>
    <mergeCell ref="E4360:F4360"/>
    <mergeCell ref="E4361:F4361"/>
    <mergeCell ref="E4362:F4362"/>
    <mergeCell ref="E4351:F4351"/>
    <mergeCell ref="E4352:F4352"/>
    <mergeCell ref="E4353:F4353"/>
    <mergeCell ref="E4354:F4354"/>
    <mergeCell ref="E4355:F4355"/>
    <mergeCell ref="E4356:F4356"/>
    <mergeCell ref="E4345:F4345"/>
    <mergeCell ref="E4346:F4346"/>
    <mergeCell ref="E4347:F4347"/>
    <mergeCell ref="E4348:F4348"/>
    <mergeCell ref="E4349:F4349"/>
    <mergeCell ref="E4350:F4350"/>
    <mergeCell ref="E4339:F4339"/>
    <mergeCell ref="E4340:F4340"/>
    <mergeCell ref="E4341:F4341"/>
    <mergeCell ref="E4342:F4342"/>
    <mergeCell ref="E4343:F4343"/>
    <mergeCell ref="E4344:F4344"/>
    <mergeCell ref="E4333:F4333"/>
    <mergeCell ref="E4334:F4334"/>
    <mergeCell ref="E4335:F4335"/>
    <mergeCell ref="E4336:F4336"/>
    <mergeCell ref="E4337:F4337"/>
    <mergeCell ref="E4338:F4338"/>
    <mergeCell ref="E4327:F4327"/>
    <mergeCell ref="E4328:F4328"/>
    <mergeCell ref="E4329:F4329"/>
    <mergeCell ref="E4330:F4330"/>
    <mergeCell ref="E4331:F4331"/>
    <mergeCell ref="E4332:F4332"/>
    <mergeCell ref="E4321:F4321"/>
    <mergeCell ref="E4322:F4322"/>
    <mergeCell ref="E4323:F4323"/>
    <mergeCell ref="E4324:F4324"/>
    <mergeCell ref="E4325:F4325"/>
    <mergeCell ref="E4326:F4326"/>
    <mergeCell ref="E4315:F4315"/>
    <mergeCell ref="E4316:F4316"/>
    <mergeCell ref="E4317:F4317"/>
    <mergeCell ref="E4318:F4318"/>
    <mergeCell ref="E4319:F4319"/>
    <mergeCell ref="E4320:F4320"/>
    <mergeCell ref="E4309:F4309"/>
    <mergeCell ref="E4310:F4310"/>
    <mergeCell ref="E4311:F4311"/>
    <mergeCell ref="E4312:F4312"/>
    <mergeCell ref="E4313:F4313"/>
    <mergeCell ref="E4314:F4314"/>
    <mergeCell ref="E4303:F4303"/>
    <mergeCell ref="E4304:F4304"/>
    <mergeCell ref="E4305:F4305"/>
    <mergeCell ref="E4306:F4306"/>
    <mergeCell ref="E4307:F4307"/>
    <mergeCell ref="E4308:F4308"/>
    <mergeCell ref="E4297:F4297"/>
    <mergeCell ref="E4298:F4298"/>
    <mergeCell ref="E4299:F4299"/>
    <mergeCell ref="E4300:F4300"/>
    <mergeCell ref="E4301:F4301"/>
    <mergeCell ref="E4302:F4302"/>
    <mergeCell ref="E4291:F4291"/>
    <mergeCell ref="E4292:F4292"/>
    <mergeCell ref="E4293:F4293"/>
    <mergeCell ref="E4294:F4294"/>
    <mergeCell ref="E4295:F4295"/>
    <mergeCell ref="E4296:F4296"/>
    <mergeCell ref="E4285:F4285"/>
    <mergeCell ref="E4286:F4286"/>
    <mergeCell ref="E4287:F4287"/>
    <mergeCell ref="E4288:F4288"/>
    <mergeCell ref="E4289:F4289"/>
    <mergeCell ref="E4290:F4290"/>
    <mergeCell ref="E4279:F4279"/>
    <mergeCell ref="E4280:F4280"/>
    <mergeCell ref="E4281:F4281"/>
    <mergeCell ref="E4282:F4282"/>
    <mergeCell ref="E4283:F4283"/>
    <mergeCell ref="E4284:F4284"/>
    <mergeCell ref="E4273:F4273"/>
    <mergeCell ref="E4274:F4274"/>
    <mergeCell ref="E4275:F4275"/>
    <mergeCell ref="E4276:F4276"/>
    <mergeCell ref="E4277:F4277"/>
    <mergeCell ref="E4278:F4278"/>
    <mergeCell ref="E4267:F4267"/>
    <mergeCell ref="E4268:F4268"/>
    <mergeCell ref="E4269:F4269"/>
    <mergeCell ref="E4270:F4270"/>
    <mergeCell ref="E4271:F4271"/>
    <mergeCell ref="E4272:F4272"/>
    <mergeCell ref="E4261:F4261"/>
    <mergeCell ref="E4262:F4262"/>
    <mergeCell ref="E4263:F4263"/>
    <mergeCell ref="E4264:F4264"/>
    <mergeCell ref="E4265:F4265"/>
    <mergeCell ref="E4266:F4266"/>
    <mergeCell ref="E4255:F4255"/>
    <mergeCell ref="E4256:F4256"/>
    <mergeCell ref="E4257:F4257"/>
    <mergeCell ref="E4258:F4258"/>
    <mergeCell ref="E4259:F4259"/>
    <mergeCell ref="E4260:F4260"/>
    <mergeCell ref="E4249:F4249"/>
    <mergeCell ref="E4250:F4250"/>
    <mergeCell ref="E4251:F4251"/>
    <mergeCell ref="E4252:F4252"/>
    <mergeCell ref="E4253:F4253"/>
    <mergeCell ref="E4254:F4254"/>
    <mergeCell ref="E4243:F4243"/>
    <mergeCell ref="E4244:F4244"/>
    <mergeCell ref="E4245:F4245"/>
    <mergeCell ref="E4246:F4246"/>
    <mergeCell ref="E4247:F4247"/>
    <mergeCell ref="E4248:F4248"/>
    <mergeCell ref="E4237:F4237"/>
    <mergeCell ref="E4238:F4238"/>
    <mergeCell ref="E4239:F4239"/>
    <mergeCell ref="E4240:F4240"/>
    <mergeCell ref="E4241:F4241"/>
    <mergeCell ref="E4242:F4242"/>
    <mergeCell ref="E4231:F4231"/>
    <mergeCell ref="E4232:F4232"/>
    <mergeCell ref="E4233:F4233"/>
    <mergeCell ref="E4234:F4234"/>
    <mergeCell ref="E4235:F4235"/>
    <mergeCell ref="E4236:F4236"/>
    <mergeCell ref="E4225:F4225"/>
    <mergeCell ref="E4226:F4226"/>
    <mergeCell ref="E4227:F4227"/>
    <mergeCell ref="E4228:F4228"/>
    <mergeCell ref="E4229:F4229"/>
    <mergeCell ref="E4230:F4230"/>
    <mergeCell ref="E4219:F4219"/>
    <mergeCell ref="E4220:F4220"/>
    <mergeCell ref="E4221:F4221"/>
    <mergeCell ref="E4222:F4222"/>
    <mergeCell ref="E4223:F4223"/>
    <mergeCell ref="E4224:F4224"/>
    <mergeCell ref="E4213:F4213"/>
    <mergeCell ref="E4214:F4214"/>
    <mergeCell ref="E4215:F4215"/>
    <mergeCell ref="E4216:F4216"/>
    <mergeCell ref="E4217:F4217"/>
    <mergeCell ref="E4218:F4218"/>
    <mergeCell ref="E4207:F4207"/>
    <mergeCell ref="E4208:F4208"/>
    <mergeCell ref="E4209:F4209"/>
    <mergeCell ref="E4210:F4210"/>
    <mergeCell ref="E4211:F4211"/>
    <mergeCell ref="E4212:F4212"/>
    <mergeCell ref="E4201:F4201"/>
    <mergeCell ref="E4202:F4202"/>
    <mergeCell ref="E4203:F4203"/>
    <mergeCell ref="E4204:F4204"/>
    <mergeCell ref="E4205:F4205"/>
    <mergeCell ref="E4206:F4206"/>
    <mergeCell ref="E4195:F4195"/>
    <mergeCell ref="E4196:F4196"/>
    <mergeCell ref="E4197:F4197"/>
    <mergeCell ref="E4198:F4198"/>
    <mergeCell ref="E4199:F4199"/>
    <mergeCell ref="E4200:F4200"/>
    <mergeCell ref="E4189:F4189"/>
    <mergeCell ref="E4190:F4190"/>
    <mergeCell ref="E4191:F4191"/>
    <mergeCell ref="E4192:F4192"/>
    <mergeCell ref="E4193:F4193"/>
    <mergeCell ref="E4194:F4194"/>
    <mergeCell ref="E4183:F4183"/>
    <mergeCell ref="E4184:F4184"/>
    <mergeCell ref="E4185:F4185"/>
    <mergeCell ref="E4186:F4186"/>
    <mergeCell ref="E4187:F4187"/>
    <mergeCell ref="E4188:F4188"/>
    <mergeCell ref="E4177:F4177"/>
    <mergeCell ref="E4178:F4178"/>
    <mergeCell ref="E4179:F4179"/>
    <mergeCell ref="E4180:F4180"/>
    <mergeCell ref="E4181:F4181"/>
    <mergeCell ref="E4182:F4182"/>
    <mergeCell ref="E4171:F4171"/>
    <mergeCell ref="E4172:F4172"/>
    <mergeCell ref="E4173:F4173"/>
    <mergeCell ref="E4174:F4174"/>
    <mergeCell ref="E4175:F4175"/>
    <mergeCell ref="E4176:F4176"/>
    <mergeCell ref="E4165:F4165"/>
    <mergeCell ref="E4166:F4166"/>
    <mergeCell ref="E4167:F4167"/>
    <mergeCell ref="E4168:F4168"/>
    <mergeCell ref="E4169:F4169"/>
    <mergeCell ref="E4170:F4170"/>
    <mergeCell ref="E4159:F4159"/>
    <mergeCell ref="E4160:F4160"/>
    <mergeCell ref="E4161:F4161"/>
    <mergeCell ref="E4162:F4162"/>
    <mergeCell ref="E4163:F4163"/>
    <mergeCell ref="E4164:F4164"/>
    <mergeCell ref="E4153:F4153"/>
    <mergeCell ref="E4154:F4154"/>
    <mergeCell ref="E4155:F4155"/>
    <mergeCell ref="E4156:F4156"/>
    <mergeCell ref="E4157:F4157"/>
    <mergeCell ref="E4158:F4158"/>
    <mergeCell ref="E4147:F4147"/>
    <mergeCell ref="E4148:F4148"/>
    <mergeCell ref="E4149:F4149"/>
    <mergeCell ref="E4150:F4150"/>
    <mergeCell ref="E4151:F4151"/>
    <mergeCell ref="E4152:F4152"/>
    <mergeCell ref="E4141:F4141"/>
    <mergeCell ref="E4142:F4142"/>
    <mergeCell ref="E4143:F4143"/>
    <mergeCell ref="E4144:F4144"/>
    <mergeCell ref="E4145:F4145"/>
    <mergeCell ref="E4146:F4146"/>
    <mergeCell ref="E4135:F4135"/>
    <mergeCell ref="E4136:F4136"/>
    <mergeCell ref="E4137:F4137"/>
    <mergeCell ref="E4138:F4138"/>
    <mergeCell ref="E4139:F4139"/>
    <mergeCell ref="E4140:F4140"/>
    <mergeCell ref="E4129:F4129"/>
    <mergeCell ref="E4130:F4130"/>
    <mergeCell ref="E4131:F4131"/>
    <mergeCell ref="E4132:F4132"/>
    <mergeCell ref="E4133:F4133"/>
    <mergeCell ref="E4134:F4134"/>
    <mergeCell ref="E4123:F4123"/>
    <mergeCell ref="E4124:F4124"/>
    <mergeCell ref="E4125:F4125"/>
    <mergeCell ref="E4126:F4126"/>
    <mergeCell ref="E4127:F4127"/>
    <mergeCell ref="E4128:F4128"/>
    <mergeCell ref="E4117:F4117"/>
    <mergeCell ref="E4118:F4118"/>
    <mergeCell ref="E4119:F4119"/>
    <mergeCell ref="E4120:F4120"/>
    <mergeCell ref="E4121:F4121"/>
    <mergeCell ref="E4122:F4122"/>
    <mergeCell ref="E4111:F4111"/>
    <mergeCell ref="E4112:F4112"/>
    <mergeCell ref="E4113:F4113"/>
    <mergeCell ref="E4114:F4114"/>
    <mergeCell ref="E4115:F4115"/>
    <mergeCell ref="E4116:F4116"/>
    <mergeCell ref="E4105:F4105"/>
    <mergeCell ref="E4106:F4106"/>
    <mergeCell ref="E4107:F4107"/>
    <mergeCell ref="E4108:F4108"/>
    <mergeCell ref="E4109:F4109"/>
    <mergeCell ref="E4110:F4110"/>
    <mergeCell ref="E4099:F4099"/>
    <mergeCell ref="E4100:F4100"/>
    <mergeCell ref="E4101:F4101"/>
    <mergeCell ref="E4102:F4102"/>
    <mergeCell ref="E4103:F4103"/>
    <mergeCell ref="E4104:F4104"/>
    <mergeCell ref="E4093:F4093"/>
    <mergeCell ref="E4094:F4094"/>
    <mergeCell ref="E4095:F4095"/>
    <mergeCell ref="E4096:F4096"/>
    <mergeCell ref="E4097:F4097"/>
    <mergeCell ref="E4098:F4098"/>
    <mergeCell ref="E4087:F4087"/>
    <mergeCell ref="E4088:F4088"/>
    <mergeCell ref="E4089:F4089"/>
    <mergeCell ref="E4090:F4090"/>
    <mergeCell ref="E4091:F4091"/>
    <mergeCell ref="E4092:F4092"/>
    <mergeCell ref="E4081:F4081"/>
    <mergeCell ref="E4082:F4082"/>
    <mergeCell ref="E4083:F4083"/>
    <mergeCell ref="E4084:F4084"/>
    <mergeCell ref="E4085:F4085"/>
    <mergeCell ref="E4086:F4086"/>
    <mergeCell ref="E4075:F4075"/>
    <mergeCell ref="E4076:F4076"/>
    <mergeCell ref="E4077:F4077"/>
    <mergeCell ref="E4078:F4078"/>
    <mergeCell ref="E4079:F4079"/>
    <mergeCell ref="E4080:F4080"/>
    <mergeCell ref="E4069:F4069"/>
    <mergeCell ref="E4070:F4070"/>
    <mergeCell ref="E4071:F4071"/>
    <mergeCell ref="E4072:F4072"/>
    <mergeCell ref="E4073:F4073"/>
    <mergeCell ref="E4074:F4074"/>
    <mergeCell ref="E4063:F4063"/>
    <mergeCell ref="E4064:F4064"/>
    <mergeCell ref="E4065:F4065"/>
    <mergeCell ref="E4066:F4066"/>
    <mergeCell ref="E4067:F4067"/>
    <mergeCell ref="E4068:F4068"/>
    <mergeCell ref="E4057:F4057"/>
    <mergeCell ref="E4058:F4058"/>
    <mergeCell ref="E4059:F4059"/>
    <mergeCell ref="E4060:F4060"/>
    <mergeCell ref="E4061:F4061"/>
    <mergeCell ref="E4062:F4062"/>
    <mergeCell ref="E4051:F4051"/>
    <mergeCell ref="E4052:F4052"/>
    <mergeCell ref="E4053:F4053"/>
    <mergeCell ref="E4054:F4054"/>
    <mergeCell ref="E4055:F4055"/>
    <mergeCell ref="E4056:F4056"/>
    <mergeCell ref="E4045:F4045"/>
    <mergeCell ref="E4046:F4046"/>
    <mergeCell ref="E4047:F4047"/>
    <mergeCell ref="E4048:F4048"/>
    <mergeCell ref="E4049:F4049"/>
    <mergeCell ref="E4050:F4050"/>
    <mergeCell ref="E4039:F4039"/>
    <mergeCell ref="E4040:F4040"/>
    <mergeCell ref="E4041:F4041"/>
    <mergeCell ref="E4042:F4042"/>
    <mergeCell ref="E4043:F4043"/>
    <mergeCell ref="E4044:F4044"/>
    <mergeCell ref="E4033:F4033"/>
    <mergeCell ref="E4034:F4034"/>
    <mergeCell ref="E4035:F4035"/>
    <mergeCell ref="E4036:F4036"/>
    <mergeCell ref="E4037:F4037"/>
    <mergeCell ref="E4038:F4038"/>
    <mergeCell ref="E4027:F4027"/>
    <mergeCell ref="E4028:F4028"/>
    <mergeCell ref="E4029:F4029"/>
    <mergeCell ref="E4030:F4030"/>
    <mergeCell ref="E4031:F4031"/>
    <mergeCell ref="E4032:F4032"/>
    <mergeCell ref="E4021:F4021"/>
    <mergeCell ref="E4022:F4022"/>
    <mergeCell ref="E4023:F4023"/>
    <mergeCell ref="E4024:F4024"/>
    <mergeCell ref="E4025:F4025"/>
    <mergeCell ref="E4026:F4026"/>
    <mergeCell ref="E4015:F4015"/>
    <mergeCell ref="E4016:F4016"/>
    <mergeCell ref="E4017:F4017"/>
    <mergeCell ref="E4018:F4018"/>
    <mergeCell ref="E4019:F4019"/>
    <mergeCell ref="E4020:F4020"/>
    <mergeCell ref="E4009:F4009"/>
    <mergeCell ref="E4010:F4010"/>
    <mergeCell ref="E4011:F4011"/>
    <mergeCell ref="E4012:F4012"/>
    <mergeCell ref="E4013:F4013"/>
    <mergeCell ref="E4014:F4014"/>
    <mergeCell ref="E4003:F4003"/>
    <mergeCell ref="E4004:F4004"/>
    <mergeCell ref="E4005:F4005"/>
    <mergeCell ref="E4006:F4006"/>
    <mergeCell ref="E4007:F4007"/>
    <mergeCell ref="E4008:F4008"/>
    <mergeCell ref="E3997:F3997"/>
    <mergeCell ref="E3998:F3998"/>
    <mergeCell ref="E3999:F3999"/>
    <mergeCell ref="E4000:F4000"/>
    <mergeCell ref="E4001:F4001"/>
    <mergeCell ref="E4002:F4002"/>
    <mergeCell ref="E3991:F3991"/>
    <mergeCell ref="E3992:F3992"/>
    <mergeCell ref="E3993:F3993"/>
    <mergeCell ref="E3994:F3994"/>
    <mergeCell ref="E3995:F3995"/>
    <mergeCell ref="E3996:F3996"/>
    <mergeCell ref="E3985:F3985"/>
    <mergeCell ref="E3986:F3986"/>
    <mergeCell ref="E3987:F3987"/>
    <mergeCell ref="E3988:F3988"/>
    <mergeCell ref="E3989:F3989"/>
    <mergeCell ref="E3990:F3990"/>
    <mergeCell ref="E3979:F3979"/>
    <mergeCell ref="E3980:F3980"/>
    <mergeCell ref="E3981:F3981"/>
    <mergeCell ref="E3982:F3982"/>
    <mergeCell ref="E3983:F3983"/>
    <mergeCell ref="E3984:F3984"/>
    <mergeCell ref="E3973:F3973"/>
    <mergeCell ref="E3974:F3974"/>
    <mergeCell ref="E3975:F3975"/>
    <mergeCell ref="E3976:F3976"/>
    <mergeCell ref="E3977:F3977"/>
    <mergeCell ref="E3978:F3978"/>
    <mergeCell ref="E3967:F3967"/>
    <mergeCell ref="E3968:F3968"/>
    <mergeCell ref="E3969:F3969"/>
    <mergeCell ref="E3970:F3970"/>
    <mergeCell ref="E3971:F3971"/>
    <mergeCell ref="E3972:F3972"/>
    <mergeCell ref="E3961:F3961"/>
    <mergeCell ref="E3962:F3962"/>
    <mergeCell ref="E3963:F3963"/>
    <mergeCell ref="E3964:F3964"/>
    <mergeCell ref="E3965:F3965"/>
    <mergeCell ref="E3966:F3966"/>
    <mergeCell ref="E3955:F3955"/>
    <mergeCell ref="E3956:F3956"/>
    <mergeCell ref="E3957:F3957"/>
    <mergeCell ref="E3958:F3958"/>
    <mergeCell ref="E3959:F3959"/>
    <mergeCell ref="E3960:F3960"/>
    <mergeCell ref="E3949:F3949"/>
    <mergeCell ref="E3950:F3950"/>
    <mergeCell ref="E3951:F3951"/>
    <mergeCell ref="E3952:F3952"/>
    <mergeCell ref="E3953:F3953"/>
    <mergeCell ref="E3954:F3954"/>
    <mergeCell ref="E3943:F3943"/>
    <mergeCell ref="E3944:F3944"/>
    <mergeCell ref="E3945:F3945"/>
    <mergeCell ref="E3946:F3946"/>
    <mergeCell ref="E3947:F3947"/>
    <mergeCell ref="E3948:F3948"/>
    <mergeCell ref="E3937:F3937"/>
    <mergeCell ref="E3938:F3938"/>
    <mergeCell ref="E3939:F3939"/>
    <mergeCell ref="E3940:F3940"/>
    <mergeCell ref="E3941:F3941"/>
    <mergeCell ref="E3942:F3942"/>
    <mergeCell ref="E3931:F3931"/>
    <mergeCell ref="E3932:F3932"/>
    <mergeCell ref="E3933:F3933"/>
    <mergeCell ref="E3934:F3934"/>
    <mergeCell ref="E3935:F3935"/>
    <mergeCell ref="E3936:F3936"/>
    <mergeCell ref="E3925:F3925"/>
    <mergeCell ref="E3926:F3926"/>
    <mergeCell ref="E3927:F3927"/>
    <mergeCell ref="E3928:F3928"/>
    <mergeCell ref="E3929:F3929"/>
    <mergeCell ref="E3930:F3930"/>
    <mergeCell ref="E3919:F3919"/>
    <mergeCell ref="E3920:F3920"/>
    <mergeCell ref="E3921:F3921"/>
    <mergeCell ref="E3922:F3922"/>
    <mergeCell ref="E3923:F3923"/>
    <mergeCell ref="E3924:F3924"/>
    <mergeCell ref="E3913:F3913"/>
    <mergeCell ref="E3914:F3914"/>
    <mergeCell ref="E3915:F3915"/>
    <mergeCell ref="E3916:F3916"/>
    <mergeCell ref="E3917:F3917"/>
    <mergeCell ref="E3918:F3918"/>
    <mergeCell ref="E3907:F3907"/>
    <mergeCell ref="E3908:F3908"/>
    <mergeCell ref="E3909:F3909"/>
    <mergeCell ref="E3910:F3910"/>
    <mergeCell ref="E3911:F3911"/>
    <mergeCell ref="E3912:F3912"/>
    <mergeCell ref="E3901:F3901"/>
    <mergeCell ref="E3902:F3902"/>
    <mergeCell ref="E3903:F3903"/>
    <mergeCell ref="E3904:F3904"/>
    <mergeCell ref="E3905:F3905"/>
    <mergeCell ref="E3906:F3906"/>
    <mergeCell ref="E3895:F3895"/>
    <mergeCell ref="E3896:F3896"/>
    <mergeCell ref="E3897:F3897"/>
    <mergeCell ref="E3898:F3898"/>
    <mergeCell ref="E3899:F3899"/>
    <mergeCell ref="E3900:F3900"/>
    <mergeCell ref="E3889:F3889"/>
    <mergeCell ref="E3890:F3890"/>
    <mergeCell ref="E3891:F3891"/>
    <mergeCell ref="E3892:F3892"/>
    <mergeCell ref="E3893:F3893"/>
    <mergeCell ref="E3894:F3894"/>
    <mergeCell ref="E3883:F3883"/>
    <mergeCell ref="E3884:F3884"/>
    <mergeCell ref="E3885:F3885"/>
    <mergeCell ref="E3886:F3886"/>
    <mergeCell ref="E3887:F3887"/>
    <mergeCell ref="E3888:F3888"/>
    <mergeCell ref="E3877:F3877"/>
    <mergeCell ref="E3878:F3878"/>
    <mergeCell ref="E3879:F3879"/>
    <mergeCell ref="E3880:F3880"/>
    <mergeCell ref="E3881:F3881"/>
    <mergeCell ref="E3882:F3882"/>
    <mergeCell ref="E3871:F3871"/>
    <mergeCell ref="E3872:F3872"/>
    <mergeCell ref="E3873:F3873"/>
    <mergeCell ref="E3874:F3874"/>
    <mergeCell ref="E3875:F3875"/>
    <mergeCell ref="E3876:F3876"/>
    <mergeCell ref="E3865:F3865"/>
    <mergeCell ref="E3866:F3866"/>
    <mergeCell ref="E3867:F3867"/>
    <mergeCell ref="E3868:F3868"/>
    <mergeCell ref="E3869:F3869"/>
    <mergeCell ref="E3870:F3870"/>
    <mergeCell ref="E3859:F3859"/>
    <mergeCell ref="E3860:F3860"/>
    <mergeCell ref="E3861:F3861"/>
    <mergeCell ref="E3862:F3862"/>
    <mergeCell ref="E3863:F3863"/>
    <mergeCell ref="E3864:F3864"/>
    <mergeCell ref="E3853:F3853"/>
    <mergeCell ref="E3854:F3854"/>
    <mergeCell ref="E3855:F3855"/>
    <mergeCell ref="E3856:F3856"/>
    <mergeCell ref="E3857:F3857"/>
    <mergeCell ref="E3858:F3858"/>
    <mergeCell ref="E3847:F3847"/>
    <mergeCell ref="E3848:F3848"/>
    <mergeCell ref="E3849:F3849"/>
    <mergeCell ref="E3850:F3850"/>
    <mergeCell ref="E3851:F3851"/>
    <mergeCell ref="E3852:F3852"/>
    <mergeCell ref="E3841:F3841"/>
    <mergeCell ref="E3842:F3842"/>
    <mergeCell ref="E3843:F3843"/>
    <mergeCell ref="E3844:F3844"/>
    <mergeCell ref="E3845:F3845"/>
    <mergeCell ref="E3846:F3846"/>
    <mergeCell ref="E3835:F3835"/>
    <mergeCell ref="E3836:F3836"/>
    <mergeCell ref="E3837:F3837"/>
    <mergeCell ref="E3838:F3838"/>
    <mergeCell ref="E3839:F3839"/>
    <mergeCell ref="E3840:F3840"/>
    <mergeCell ref="E3829:F3829"/>
    <mergeCell ref="E3830:F3830"/>
    <mergeCell ref="E3831:F3831"/>
    <mergeCell ref="E3832:F3832"/>
    <mergeCell ref="E3833:F3833"/>
    <mergeCell ref="E3834:F3834"/>
    <mergeCell ref="E3823:F3823"/>
    <mergeCell ref="E3824:F3824"/>
    <mergeCell ref="E3825:F3825"/>
    <mergeCell ref="E3826:F3826"/>
    <mergeCell ref="E3827:F3827"/>
    <mergeCell ref="E3828:F3828"/>
    <mergeCell ref="E3817:F3817"/>
    <mergeCell ref="E3818:F3818"/>
    <mergeCell ref="E3819:F3819"/>
    <mergeCell ref="E3820:F3820"/>
    <mergeCell ref="E3821:F3821"/>
    <mergeCell ref="E3822:F3822"/>
    <mergeCell ref="E3811:F3811"/>
    <mergeCell ref="E3812:F3812"/>
    <mergeCell ref="E3813:F3813"/>
    <mergeCell ref="E3814:F3814"/>
    <mergeCell ref="E3815:F3815"/>
    <mergeCell ref="E3816:F3816"/>
    <mergeCell ref="E3805:F3805"/>
    <mergeCell ref="E3806:F3806"/>
    <mergeCell ref="E3807:F3807"/>
    <mergeCell ref="E3808:F3808"/>
    <mergeCell ref="E3809:F3809"/>
    <mergeCell ref="E3810:F3810"/>
    <mergeCell ref="E3799:F3799"/>
    <mergeCell ref="E3800:F3800"/>
    <mergeCell ref="E3801:F3801"/>
    <mergeCell ref="E3802:F3802"/>
    <mergeCell ref="E3803:F3803"/>
    <mergeCell ref="E3804:F3804"/>
    <mergeCell ref="E3793:F3793"/>
    <mergeCell ref="E3794:F3794"/>
    <mergeCell ref="E3795:F3795"/>
    <mergeCell ref="E3796:F3796"/>
    <mergeCell ref="E3797:F3797"/>
    <mergeCell ref="E3798:F3798"/>
    <mergeCell ref="E3787:F3787"/>
    <mergeCell ref="E3788:F3788"/>
    <mergeCell ref="E3789:F3789"/>
    <mergeCell ref="E3790:F3790"/>
    <mergeCell ref="E3791:F3791"/>
    <mergeCell ref="E3792:F3792"/>
    <mergeCell ref="E3781:F3781"/>
    <mergeCell ref="E3782:F3782"/>
    <mergeCell ref="E3783:F3783"/>
    <mergeCell ref="E3784:F3784"/>
    <mergeCell ref="E3785:F3785"/>
    <mergeCell ref="E3786:F3786"/>
    <mergeCell ref="E3775:F3775"/>
    <mergeCell ref="E3776:F3776"/>
    <mergeCell ref="E3777:F3777"/>
    <mergeCell ref="E3778:F3778"/>
    <mergeCell ref="E3779:F3779"/>
    <mergeCell ref="E3780:F3780"/>
    <mergeCell ref="E3769:F3769"/>
    <mergeCell ref="E3770:F3770"/>
    <mergeCell ref="E3771:F3771"/>
    <mergeCell ref="E3772:F3772"/>
    <mergeCell ref="E3773:F3773"/>
    <mergeCell ref="E3774:F3774"/>
    <mergeCell ref="E3763:F3763"/>
    <mergeCell ref="E3764:F3764"/>
    <mergeCell ref="E3765:F3765"/>
    <mergeCell ref="E3766:F3766"/>
    <mergeCell ref="E3767:F3767"/>
    <mergeCell ref="E3768:F3768"/>
    <mergeCell ref="E3757:F3757"/>
    <mergeCell ref="E3758:F3758"/>
    <mergeCell ref="E3759:F3759"/>
    <mergeCell ref="E3760:F3760"/>
    <mergeCell ref="E3761:F3761"/>
    <mergeCell ref="E3762:F3762"/>
    <mergeCell ref="E3751:F3751"/>
    <mergeCell ref="E3752:F3752"/>
    <mergeCell ref="E3753:F3753"/>
    <mergeCell ref="E3754:F3754"/>
    <mergeCell ref="E3755:F3755"/>
    <mergeCell ref="E3756:F3756"/>
    <mergeCell ref="E3745:F3745"/>
    <mergeCell ref="E3746:F3746"/>
    <mergeCell ref="E3747:F3747"/>
    <mergeCell ref="E3748:F3748"/>
    <mergeCell ref="E3749:F3749"/>
    <mergeCell ref="E3750:F3750"/>
    <mergeCell ref="E3739:F3739"/>
    <mergeCell ref="E3740:F3740"/>
    <mergeCell ref="E3741:F3741"/>
    <mergeCell ref="E3742:F3742"/>
    <mergeCell ref="E3743:F3743"/>
    <mergeCell ref="E3744:F3744"/>
    <mergeCell ref="E3733:F3733"/>
    <mergeCell ref="E3734:F3734"/>
    <mergeCell ref="E3735:F3735"/>
    <mergeCell ref="E3736:F3736"/>
    <mergeCell ref="E3737:F3737"/>
    <mergeCell ref="E3738:F3738"/>
    <mergeCell ref="E3727:F3727"/>
    <mergeCell ref="E3728:F3728"/>
    <mergeCell ref="E3729:F3729"/>
    <mergeCell ref="E3730:F3730"/>
    <mergeCell ref="E3731:F3731"/>
    <mergeCell ref="E3732:F3732"/>
    <mergeCell ref="E3721:F3721"/>
    <mergeCell ref="E3722:F3722"/>
    <mergeCell ref="E3723:F3723"/>
    <mergeCell ref="E3724:F3724"/>
    <mergeCell ref="E3725:F3725"/>
    <mergeCell ref="E3726:F3726"/>
    <mergeCell ref="E3715:F3715"/>
    <mergeCell ref="E3716:F3716"/>
    <mergeCell ref="E3717:F3717"/>
    <mergeCell ref="E3718:F3718"/>
    <mergeCell ref="E3719:F3719"/>
    <mergeCell ref="E3720:F3720"/>
    <mergeCell ref="E3709:F3709"/>
    <mergeCell ref="E3710:F3710"/>
    <mergeCell ref="E3711:F3711"/>
    <mergeCell ref="E3712:F3712"/>
    <mergeCell ref="E3713:F3713"/>
    <mergeCell ref="E3714:F3714"/>
    <mergeCell ref="E3703:F3703"/>
    <mergeCell ref="E3704:F3704"/>
    <mergeCell ref="E3705:F3705"/>
    <mergeCell ref="E3706:F3706"/>
    <mergeCell ref="E3707:F3707"/>
    <mergeCell ref="E3708:F3708"/>
    <mergeCell ref="E3697:F3697"/>
    <mergeCell ref="E3698:F3698"/>
    <mergeCell ref="E3699:F3699"/>
    <mergeCell ref="E3700:F3700"/>
    <mergeCell ref="E3701:F3701"/>
    <mergeCell ref="E3702:F3702"/>
    <mergeCell ref="E3691:F3691"/>
    <mergeCell ref="E3692:F3692"/>
    <mergeCell ref="E3693:F3693"/>
    <mergeCell ref="E3694:F3694"/>
    <mergeCell ref="E3695:F3695"/>
    <mergeCell ref="E3696:F3696"/>
    <mergeCell ref="E3685:F3685"/>
    <mergeCell ref="E3686:F3686"/>
    <mergeCell ref="E3687:F3687"/>
    <mergeCell ref="E3688:F3688"/>
    <mergeCell ref="E3689:F3689"/>
    <mergeCell ref="E3690:F3690"/>
    <mergeCell ref="E3679:F3679"/>
    <mergeCell ref="E3680:F3680"/>
    <mergeCell ref="E3681:F3681"/>
    <mergeCell ref="E3682:F3682"/>
    <mergeCell ref="E3683:F3683"/>
    <mergeCell ref="E3684:F3684"/>
    <mergeCell ref="E3673:F3673"/>
    <mergeCell ref="E3674:F3674"/>
    <mergeCell ref="E3675:F3675"/>
    <mergeCell ref="E3676:F3676"/>
    <mergeCell ref="E3677:F3677"/>
    <mergeCell ref="E3678:F3678"/>
    <mergeCell ref="E3667:F3667"/>
    <mergeCell ref="E3668:F3668"/>
    <mergeCell ref="E3669:F3669"/>
    <mergeCell ref="E3670:F3670"/>
    <mergeCell ref="E3671:F3671"/>
    <mergeCell ref="E3672:F3672"/>
    <mergeCell ref="E3661:F3661"/>
    <mergeCell ref="E3662:F3662"/>
    <mergeCell ref="E3663:F3663"/>
    <mergeCell ref="E3664:F3664"/>
    <mergeCell ref="E3665:F3665"/>
    <mergeCell ref="E3666:F3666"/>
    <mergeCell ref="E3655:F3655"/>
    <mergeCell ref="E3656:F3656"/>
    <mergeCell ref="E3657:F3657"/>
    <mergeCell ref="E3658:F3658"/>
    <mergeCell ref="E3659:F3659"/>
    <mergeCell ref="E3660:F3660"/>
    <mergeCell ref="E3649:F3649"/>
    <mergeCell ref="E3650:F3650"/>
    <mergeCell ref="E3651:F3651"/>
    <mergeCell ref="E3652:F3652"/>
    <mergeCell ref="E3653:F3653"/>
    <mergeCell ref="E3654:F3654"/>
    <mergeCell ref="E3643:F3643"/>
    <mergeCell ref="E3644:F3644"/>
    <mergeCell ref="E3645:F3645"/>
    <mergeCell ref="E3646:F3646"/>
    <mergeCell ref="E3647:F3647"/>
    <mergeCell ref="E3648:F3648"/>
    <mergeCell ref="E3637:F3637"/>
    <mergeCell ref="E3638:F3638"/>
    <mergeCell ref="E3639:F3639"/>
    <mergeCell ref="E3640:F3640"/>
    <mergeCell ref="E3641:F3641"/>
    <mergeCell ref="E3642:F3642"/>
    <mergeCell ref="E3631:F3631"/>
    <mergeCell ref="E3632:F3632"/>
    <mergeCell ref="E3633:F3633"/>
    <mergeCell ref="E3634:F3634"/>
    <mergeCell ref="E3635:F3635"/>
    <mergeCell ref="E3636:F3636"/>
    <mergeCell ref="E3625:F3625"/>
    <mergeCell ref="E3626:F3626"/>
    <mergeCell ref="E3627:F3627"/>
    <mergeCell ref="E3628:F3628"/>
    <mergeCell ref="E3629:F3629"/>
    <mergeCell ref="E3630:F3630"/>
    <mergeCell ref="E3619:F3619"/>
    <mergeCell ref="E3620:F3620"/>
    <mergeCell ref="E3621:F3621"/>
    <mergeCell ref="E3622:F3622"/>
    <mergeCell ref="E3623:F3623"/>
    <mergeCell ref="E3624:F3624"/>
    <mergeCell ref="E3613:F3613"/>
    <mergeCell ref="E3614:F3614"/>
    <mergeCell ref="E3615:F3615"/>
    <mergeCell ref="E3616:F3616"/>
    <mergeCell ref="E3617:F3617"/>
    <mergeCell ref="E3618:F3618"/>
    <mergeCell ref="E3607:F3607"/>
    <mergeCell ref="E3608:F3608"/>
    <mergeCell ref="E3609:F3609"/>
    <mergeCell ref="E3610:F3610"/>
    <mergeCell ref="E3611:F3611"/>
    <mergeCell ref="E3612:F3612"/>
    <mergeCell ref="E3601:F3601"/>
    <mergeCell ref="E3602:F3602"/>
    <mergeCell ref="E3603:F3603"/>
    <mergeCell ref="E3604:F3604"/>
    <mergeCell ref="E3605:F3605"/>
    <mergeCell ref="E3606:F3606"/>
    <mergeCell ref="E3595:F3595"/>
    <mergeCell ref="E3596:F3596"/>
    <mergeCell ref="E3597:F3597"/>
    <mergeCell ref="E3598:F3598"/>
    <mergeCell ref="E3599:F3599"/>
    <mergeCell ref="E3600:F3600"/>
    <mergeCell ref="E3589:F3589"/>
    <mergeCell ref="E3590:F3590"/>
    <mergeCell ref="E3591:F3591"/>
    <mergeCell ref="E3592:F3592"/>
    <mergeCell ref="E3593:F3593"/>
    <mergeCell ref="E3594:F3594"/>
    <mergeCell ref="E3583:F3583"/>
    <mergeCell ref="E3584:F3584"/>
    <mergeCell ref="E3585:F3585"/>
    <mergeCell ref="E3586:F3586"/>
    <mergeCell ref="E3587:F3587"/>
    <mergeCell ref="E3588:F3588"/>
    <mergeCell ref="E3577:F3577"/>
    <mergeCell ref="E3578:F3578"/>
    <mergeCell ref="E3579:F3579"/>
    <mergeCell ref="E3580:F3580"/>
    <mergeCell ref="E3581:F3581"/>
    <mergeCell ref="E3582:F3582"/>
    <mergeCell ref="E3571:F3571"/>
    <mergeCell ref="E3572:F3572"/>
    <mergeCell ref="E3573:F3573"/>
    <mergeCell ref="E3574:F3574"/>
    <mergeCell ref="E3575:F3575"/>
    <mergeCell ref="E3576:F3576"/>
    <mergeCell ref="E3565:F3565"/>
    <mergeCell ref="E3566:F3566"/>
    <mergeCell ref="E3567:F3567"/>
    <mergeCell ref="E3568:F3568"/>
    <mergeCell ref="E3569:F3569"/>
    <mergeCell ref="E3570:F3570"/>
    <mergeCell ref="E3559:F3559"/>
    <mergeCell ref="E3560:F3560"/>
    <mergeCell ref="E3561:F3561"/>
    <mergeCell ref="E3562:F3562"/>
    <mergeCell ref="E3563:F3563"/>
    <mergeCell ref="E3564:F3564"/>
    <mergeCell ref="E3553:F3553"/>
    <mergeCell ref="E3554:F3554"/>
    <mergeCell ref="E3555:F3555"/>
    <mergeCell ref="E3556:F3556"/>
    <mergeCell ref="E3557:F3557"/>
    <mergeCell ref="E3558:F3558"/>
    <mergeCell ref="E3547:F3547"/>
    <mergeCell ref="E3548:F3548"/>
    <mergeCell ref="E3549:F3549"/>
    <mergeCell ref="E3550:F3550"/>
    <mergeCell ref="E3551:F3551"/>
    <mergeCell ref="E3552:F3552"/>
    <mergeCell ref="E3541:F3541"/>
    <mergeCell ref="E3542:F3542"/>
    <mergeCell ref="E3543:F3543"/>
    <mergeCell ref="E3544:F3544"/>
    <mergeCell ref="E3545:F3545"/>
    <mergeCell ref="E3546:F3546"/>
    <mergeCell ref="E3535:F3535"/>
    <mergeCell ref="E3536:F3536"/>
    <mergeCell ref="E3537:F3537"/>
    <mergeCell ref="E3538:F3538"/>
    <mergeCell ref="E3539:F3539"/>
    <mergeCell ref="E3540:F3540"/>
    <mergeCell ref="E3529:F3529"/>
    <mergeCell ref="E3530:F3530"/>
    <mergeCell ref="E3531:F3531"/>
    <mergeCell ref="E3532:F3532"/>
    <mergeCell ref="E3533:F3533"/>
    <mergeCell ref="E3534:F3534"/>
    <mergeCell ref="E3523:F3523"/>
    <mergeCell ref="E3524:F3524"/>
    <mergeCell ref="E3525:F3525"/>
    <mergeCell ref="E3526:F3526"/>
    <mergeCell ref="E3527:F3527"/>
    <mergeCell ref="E3528:F3528"/>
    <mergeCell ref="E3517:F3517"/>
    <mergeCell ref="E3518:F3518"/>
    <mergeCell ref="E3519:F3519"/>
    <mergeCell ref="E3520:F3520"/>
    <mergeCell ref="E3521:F3521"/>
    <mergeCell ref="E3522:F3522"/>
    <mergeCell ref="E3511:F3511"/>
    <mergeCell ref="E3512:F3512"/>
    <mergeCell ref="E3513:F3513"/>
    <mergeCell ref="E3514:F3514"/>
    <mergeCell ref="E3515:F3515"/>
    <mergeCell ref="E3516:F3516"/>
    <mergeCell ref="E3505:F3505"/>
    <mergeCell ref="E3506:F3506"/>
    <mergeCell ref="E3507:F3507"/>
    <mergeCell ref="E3508:F3508"/>
    <mergeCell ref="E3509:F3509"/>
    <mergeCell ref="E3510:F3510"/>
    <mergeCell ref="E3499:F3499"/>
    <mergeCell ref="E3500:F3500"/>
    <mergeCell ref="E3501:F3501"/>
    <mergeCell ref="E3502:F3502"/>
    <mergeCell ref="E3503:F3503"/>
    <mergeCell ref="E3504:F3504"/>
    <mergeCell ref="E3493:F3493"/>
    <mergeCell ref="E3494:F3494"/>
    <mergeCell ref="E3495:F3495"/>
    <mergeCell ref="E3496:F3496"/>
    <mergeCell ref="E3497:F3497"/>
    <mergeCell ref="E3498:F3498"/>
    <mergeCell ref="E3487:F3487"/>
    <mergeCell ref="E3488:F3488"/>
    <mergeCell ref="E3489:F3489"/>
    <mergeCell ref="E3490:F3490"/>
    <mergeCell ref="E3491:F3491"/>
    <mergeCell ref="E3492:F3492"/>
    <mergeCell ref="E3481:F3481"/>
    <mergeCell ref="E3482:F3482"/>
    <mergeCell ref="E3483:F3483"/>
    <mergeCell ref="E3484:F3484"/>
    <mergeCell ref="E3485:F3485"/>
    <mergeCell ref="E3486:F3486"/>
    <mergeCell ref="E3475:F3475"/>
    <mergeCell ref="E3476:F3476"/>
    <mergeCell ref="E3477:F3477"/>
    <mergeCell ref="E3478:F3478"/>
    <mergeCell ref="E3479:F3479"/>
    <mergeCell ref="E3480:F3480"/>
    <mergeCell ref="E3469:F3469"/>
    <mergeCell ref="E3470:F3470"/>
    <mergeCell ref="E3471:F3471"/>
    <mergeCell ref="E3472:F3472"/>
    <mergeCell ref="E3473:F3473"/>
    <mergeCell ref="E3474:F3474"/>
    <mergeCell ref="E3463:F3463"/>
    <mergeCell ref="E3464:F3464"/>
    <mergeCell ref="E3465:F3465"/>
    <mergeCell ref="E3466:F3466"/>
    <mergeCell ref="E3467:F3467"/>
    <mergeCell ref="E3468:F3468"/>
    <mergeCell ref="E3457:F3457"/>
    <mergeCell ref="E3458:F3458"/>
    <mergeCell ref="E3459:F3459"/>
    <mergeCell ref="E3460:F3460"/>
    <mergeCell ref="E3461:F3461"/>
    <mergeCell ref="E3462:F3462"/>
    <mergeCell ref="E3451:F3451"/>
    <mergeCell ref="E3452:F3452"/>
    <mergeCell ref="E3453:F3453"/>
    <mergeCell ref="E3454:F3454"/>
    <mergeCell ref="E3455:F3455"/>
    <mergeCell ref="E3456:F3456"/>
    <mergeCell ref="E3445:F3445"/>
    <mergeCell ref="E3446:F3446"/>
    <mergeCell ref="E3447:F3447"/>
    <mergeCell ref="E3448:F3448"/>
    <mergeCell ref="E3449:F3449"/>
    <mergeCell ref="E3450:F3450"/>
    <mergeCell ref="E3439:F3439"/>
    <mergeCell ref="E3440:F3440"/>
    <mergeCell ref="E3441:F3441"/>
    <mergeCell ref="E3442:F3442"/>
    <mergeCell ref="E3443:F3443"/>
    <mergeCell ref="E3444:F3444"/>
    <mergeCell ref="E3433:F3433"/>
    <mergeCell ref="E3434:F3434"/>
    <mergeCell ref="E3435:F3435"/>
    <mergeCell ref="E3436:F3436"/>
    <mergeCell ref="E3437:F3437"/>
    <mergeCell ref="E3438:F3438"/>
    <mergeCell ref="E3427:F3427"/>
    <mergeCell ref="E3428:F3428"/>
    <mergeCell ref="E3429:F3429"/>
    <mergeCell ref="E3430:F3430"/>
    <mergeCell ref="E3431:F3431"/>
    <mergeCell ref="E3432:F3432"/>
    <mergeCell ref="E3421:F3421"/>
    <mergeCell ref="E3422:F3422"/>
    <mergeCell ref="E3423:F3423"/>
    <mergeCell ref="E3424:F3424"/>
    <mergeCell ref="E3425:F3425"/>
    <mergeCell ref="E3426:F3426"/>
    <mergeCell ref="E3415:F3415"/>
    <mergeCell ref="E3416:F3416"/>
    <mergeCell ref="E3417:F3417"/>
    <mergeCell ref="E3418:F3418"/>
    <mergeCell ref="E3419:F3419"/>
    <mergeCell ref="E3420:F3420"/>
    <mergeCell ref="E3409:F3409"/>
    <mergeCell ref="E3410:F3410"/>
    <mergeCell ref="E3411:F3411"/>
    <mergeCell ref="E3412:F3412"/>
    <mergeCell ref="E3413:F3413"/>
    <mergeCell ref="E3414:F3414"/>
    <mergeCell ref="E3403:F3403"/>
    <mergeCell ref="E3404:F3404"/>
    <mergeCell ref="E3405:F3405"/>
    <mergeCell ref="E3406:F3406"/>
    <mergeCell ref="E3407:F3407"/>
    <mergeCell ref="E3408:F3408"/>
    <mergeCell ref="E3397:F3397"/>
    <mergeCell ref="E3398:F3398"/>
    <mergeCell ref="E3399:F3399"/>
    <mergeCell ref="E3400:F3400"/>
    <mergeCell ref="E3401:F3401"/>
    <mergeCell ref="E3402:F3402"/>
    <mergeCell ref="E3391:F3391"/>
    <mergeCell ref="E3392:F3392"/>
    <mergeCell ref="E3393:F3393"/>
    <mergeCell ref="E3394:F3394"/>
    <mergeCell ref="E3395:F3395"/>
    <mergeCell ref="E3396:F3396"/>
    <mergeCell ref="E3385:F3385"/>
    <mergeCell ref="E3386:F3386"/>
    <mergeCell ref="E3387:F3387"/>
    <mergeCell ref="E3388:F3388"/>
    <mergeCell ref="E3389:F3389"/>
    <mergeCell ref="E3390:F3390"/>
    <mergeCell ref="E3379:F3379"/>
    <mergeCell ref="E3380:F3380"/>
    <mergeCell ref="E3381:F3381"/>
    <mergeCell ref="E3382:F3382"/>
    <mergeCell ref="E3383:F3383"/>
    <mergeCell ref="E3384:F3384"/>
    <mergeCell ref="E3373:F3373"/>
    <mergeCell ref="E3374:F3374"/>
    <mergeCell ref="E3375:F3375"/>
    <mergeCell ref="E3376:F3376"/>
    <mergeCell ref="E3377:F3377"/>
    <mergeCell ref="E3378:F3378"/>
    <mergeCell ref="E3367:F3367"/>
    <mergeCell ref="E3368:F3368"/>
    <mergeCell ref="E3369:F3369"/>
    <mergeCell ref="E3370:F3370"/>
    <mergeCell ref="E3371:F3371"/>
    <mergeCell ref="E3372:F3372"/>
    <mergeCell ref="E3361:F3361"/>
    <mergeCell ref="E3362:F3362"/>
    <mergeCell ref="E3363:F3363"/>
    <mergeCell ref="E3364:F3364"/>
    <mergeCell ref="E3365:F3365"/>
    <mergeCell ref="E3366:F3366"/>
    <mergeCell ref="E3355:F3355"/>
    <mergeCell ref="E3356:F3356"/>
    <mergeCell ref="E3357:F3357"/>
    <mergeCell ref="E3358:F3358"/>
    <mergeCell ref="E3359:F3359"/>
    <mergeCell ref="E3360:F3360"/>
    <mergeCell ref="E3349:F3349"/>
    <mergeCell ref="E3350:F3350"/>
    <mergeCell ref="E3351:F3351"/>
    <mergeCell ref="E3352:F3352"/>
    <mergeCell ref="E3353:F3353"/>
    <mergeCell ref="E3354:F3354"/>
    <mergeCell ref="E3343:F3343"/>
    <mergeCell ref="E3344:F3344"/>
    <mergeCell ref="E3345:F3345"/>
    <mergeCell ref="E3346:F3346"/>
    <mergeCell ref="E3347:F3347"/>
    <mergeCell ref="E3348:F3348"/>
    <mergeCell ref="E3337:F3337"/>
    <mergeCell ref="E3338:F3338"/>
    <mergeCell ref="E3339:F3339"/>
    <mergeCell ref="E3340:F3340"/>
    <mergeCell ref="E3341:F3341"/>
    <mergeCell ref="E3342:F3342"/>
    <mergeCell ref="E3331:F3331"/>
    <mergeCell ref="E3332:F3332"/>
    <mergeCell ref="E3333:F3333"/>
    <mergeCell ref="E3334:F3334"/>
    <mergeCell ref="E3335:F3335"/>
    <mergeCell ref="E3336:F3336"/>
    <mergeCell ref="E3325:F3325"/>
    <mergeCell ref="E3326:F3326"/>
    <mergeCell ref="E3327:F3327"/>
    <mergeCell ref="E3328:F3328"/>
    <mergeCell ref="E3329:F3329"/>
    <mergeCell ref="E3330:F3330"/>
    <mergeCell ref="E3319:F3319"/>
    <mergeCell ref="E3320:F3320"/>
    <mergeCell ref="E3321:F3321"/>
    <mergeCell ref="E3322:F3322"/>
    <mergeCell ref="E3323:F3323"/>
    <mergeCell ref="E3324:F3324"/>
    <mergeCell ref="E3313:F3313"/>
    <mergeCell ref="E3314:F3314"/>
    <mergeCell ref="E3315:F3315"/>
    <mergeCell ref="E3316:F3316"/>
    <mergeCell ref="E3317:F3317"/>
    <mergeCell ref="E3318:F3318"/>
    <mergeCell ref="E3307:F3307"/>
    <mergeCell ref="E3308:F3308"/>
    <mergeCell ref="E3309:F3309"/>
    <mergeCell ref="E3310:F3310"/>
    <mergeCell ref="E3311:F3311"/>
    <mergeCell ref="E3312:F3312"/>
    <mergeCell ref="E3301:F3301"/>
    <mergeCell ref="E3302:F3302"/>
    <mergeCell ref="E3303:F3303"/>
    <mergeCell ref="E3304:F3304"/>
    <mergeCell ref="E3305:F3305"/>
    <mergeCell ref="E3306:F3306"/>
    <mergeCell ref="E3295:F3295"/>
    <mergeCell ref="E3296:F3296"/>
    <mergeCell ref="E3297:F3297"/>
    <mergeCell ref="E3298:F3298"/>
    <mergeCell ref="E3299:F3299"/>
    <mergeCell ref="E3300:F3300"/>
    <mergeCell ref="E3289:F3289"/>
    <mergeCell ref="E3290:F3290"/>
    <mergeCell ref="E3291:F3291"/>
    <mergeCell ref="E3292:F3292"/>
    <mergeCell ref="E3293:F3293"/>
    <mergeCell ref="E3294:F3294"/>
    <mergeCell ref="E3283:F3283"/>
    <mergeCell ref="E3284:F3284"/>
    <mergeCell ref="E3285:F3285"/>
    <mergeCell ref="E3286:F3286"/>
    <mergeCell ref="E3287:F3287"/>
    <mergeCell ref="E3288:F3288"/>
    <mergeCell ref="E3277:F3277"/>
    <mergeCell ref="E3278:F3278"/>
    <mergeCell ref="E3279:F3279"/>
    <mergeCell ref="E3280:F3280"/>
    <mergeCell ref="E3281:F3281"/>
    <mergeCell ref="E3282:F3282"/>
    <mergeCell ref="E3271:F3271"/>
    <mergeCell ref="E3272:F3272"/>
    <mergeCell ref="E3273:F3273"/>
    <mergeCell ref="E3274:F3274"/>
    <mergeCell ref="E3275:F3275"/>
    <mergeCell ref="E3276:F3276"/>
    <mergeCell ref="E3265:F3265"/>
    <mergeCell ref="E3266:F3266"/>
    <mergeCell ref="E3267:F3267"/>
    <mergeCell ref="E3268:F3268"/>
    <mergeCell ref="E3269:F3269"/>
    <mergeCell ref="E3270:F3270"/>
    <mergeCell ref="E3259:F3259"/>
    <mergeCell ref="E3260:F3260"/>
    <mergeCell ref="E3261:F3261"/>
    <mergeCell ref="E3262:F3262"/>
    <mergeCell ref="E3263:F3263"/>
    <mergeCell ref="E3264:F3264"/>
    <mergeCell ref="E3253:F3253"/>
    <mergeCell ref="E3254:F3254"/>
    <mergeCell ref="E3255:F3255"/>
    <mergeCell ref="E3256:F3256"/>
    <mergeCell ref="E3257:F3257"/>
    <mergeCell ref="E3258:F3258"/>
    <mergeCell ref="E3247:F3247"/>
    <mergeCell ref="E3248:F3248"/>
    <mergeCell ref="E3249:F3249"/>
    <mergeCell ref="E3250:F3250"/>
    <mergeCell ref="E3251:F3251"/>
    <mergeCell ref="E3252:F3252"/>
    <mergeCell ref="E3241:F3241"/>
    <mergeCell ref="E3242:F3242"/>
    <mergeCell ref="E3243:F3243"/>
    <mergeCell ref="E3244:F3244"/>
    <mergeCell ref="E3245:F3245"/>
    <mergeCell ref="E3246:F3246"/>
    <mergeCell ref="E3235:F3235"/>
    <mergeCell ref="E3236:F3236"/>
    <mergeCell ref="E3237:F3237"/>
    <mergeCell ref="E3238:F3238"/>
    <mergeCell ref="E3239:F3239"/>
    <mergeCell ref="E3240:F3240"/>
    <mergeCell ref="E3229:F3229"/>
    <mergeCell ref="E3230:F3230"/>
    <mergeCell ref="E3231:F3231"/>
    <mergeCell ref="E3232:F3232"/>
    <mergeCell ref="E3233:F3233"/>
    <mergeCell ref="E3234:F3234"/>
    <mergeCell ref="E3223:F3223"/>
    <mergeCell ref="E3224:F3224"/>
    <mergeCell ref="E3225:F3225"/>
    <mergeCell ref="E3226:F3226"/>
    <mergeCell ref="E3227:F3227"/>
    <mergeCell ref="E3228:F3228"/>
    <mergeCell ref="E3217:F3217"/>
    <mergeCell ref="E3218:F3218"/>
    <mergeCell ref="E3219:F3219"/>
    <mergeCell ref="E3220:F3220"/>
    <mergeCell ref="E3221:F3221"/>
    <mergeCell ref="E3222:F3222"/>
    <mergeCell ref="E3211:F3211"/>
    <mergeCell ref="E3212:F3212"/>
    <mergeCell ref="E3213:F3213"/>
    <mergeCell ref="E3214:F3214"/>
    <mergeCell ref="E3215:F3215"/>
    <mergeCell ref="E3216:F3216"/>
    <mergeCell ref="E3205:F3205"/>
    <mergeCell ref="E3206:F3206"/>
    <mergeCell ref="E3207:F3207"/>
    <mergeCell ref="E3208:F3208"/>
    <mergeCell ref="E3209:F3209"/>
    <mergeCell ref="E3210:F3210"/>
    <mergeCell ref="E3199:F3199"/>
    <mergeCell ref="E3200:F3200"/>
    <mergeCell ref="E3201:F3201"/>
    <mergeCell ref="E3202:F3202"/>
    <mergeCell ref="E3203:F3203"/>
    <mergeCell ref="E3204:F3204"/>
    <mergeCell ref="E3193:F3193"/>
    <mergeCell ref="E3194:F3194"/>
    <mergeCell ref="E3195:F3195"/>
    <mergeCell ref="E3196:F3196"/>
    <mergeCell ref="E3197:F3197"/>
    <mergeCell ref="E3198:F3198"/>
    <mergeCell ref="E3187:F3187"/>
    <mergeCell ref="E3188:F3188"/>
    <mergeCell ref="E3189:F3189"/>
    <mergeCell ref="E3190:F3190"/>
    <mergeCell ref="E3191:F3191"/>
    <mergeCell ref="E3192:F3192"/>
    <mergeCell ref="E3181:F3181"/>
    <mergeCell ref="E3182:F3182"/>
    <mergeCell ref="E3183:F3183"/>
    <mergeCell ref="E3184:F3184"/>
    <mergeCell ref="E3185:F3185"/>
    <mergeCell ref="E3186:F3186"/>
    <mergeCell ref="E3175:F3175"/>
    <mergeCell ref="E3176:F3176"/>
    <mergeCell ref="E3177:F3177"/>
    <mergeCell ref="E3178:F3178"/>
    <mergeCell ref="E3179:F3179"/>
    <mergeCell ref="E3180:F3180"/>
    <mergeCell ref="E3169:F3169"/>
    <mergeCell ref="E3170:F3170"/>
    <mergeCell ref="E3171:F3171"/>
    <mergeCell ref="E3172:F3172"/>
    <mergeCell ref="E3173:F3173"/>
    <mergeCell ref="E3174:F3174"/>
    <mergeCell ref="E3163:F3163"/>
    <mergeCell ref="E3164:F3164"/>
    <mergeCell ref="E3165:F3165"/>
    <mergeCell ref="E3166:F3166"/>
    <mergeCell ref="E3167:F3167"/>
    <mergeCell ref="E3168:F3168"/>
    <mergeCell ref="E3157:F3157"/>
    <mergeCell ref="E3158:F3158"/>
    <mergeCell ref="E3159:F3159"/>
    <mergeCell ref="E3160:F3160"/>
    <mergeCell ref="E3161:F3161"/>
    <mergeCell ref="E3162:F3162"/>
    <mergeCell ref="E3151:F3151"/>
    <mergeCell ref="E3152:F3152"/>
    <mergeCell ref="E3153:F3153"/>
    <mergeCell ref="E3154:F3154"/>
    <mergeCell ref="E3155:F3155"/>
    <mergeCell ref="E3156:F3156"/>
    <mergeCell ref="E3145:F3145"/>
    <mergeCell ref="E3146:F3146"/>
    <mergeCell ref="E3147:F3147"/>
    <mergeCell ref="E3148:F3148"/>
    <mergeCell ref="E3149:F3149"/>
    <mergeCell ref="E3150:F3150"/>
    <mergeCell ref="E3139:F3139"/>
    <mergeCell ref="E3140:F3140"/>
    <mergeCell ref="E3141:F3141"/>
    <mergeCell ref="E3142:F3142"/>
    <mergeCell ref="E3143:F3143"/>
    <mergeCell ref="E3144:F3144"/>
    <mergeCell ref="E3133:F3133"/>
    <mergeCell ref="E3134:F3134"/>
    <mergeCell ref="E3135:F3135"/>
    <mergeCell ref="E3136:F3136"/>
    <mergeCell ref="E3137:F3137"/>
    <mergeCell ref="E3138:F3138"/>
    <mergeCell ref="E3127:F3127"/>
    <mergeCell ref="E3128:F3128"/>
    <mergeCell ref="E3129:F3129"/>
    <mergeCell ref="E3130:F3130"/>
    <mergeCell ref="E3131:F3131"/>
    <mergeCell ref="E3132:F3132"/>
    <mergeCell ref="E3121:F3121"/>
    <mergeCell ref="E3122:F3122"/>
    <mergeCell ref="E3123:F3123"/>
    <mergeCell ref="E3124:F3124"/>
    <mergeCell ref="E3125:F3125"/>
    <mergeCell ref="E3126:F3126"/>
    <mergeCell ref="E3115:F3115"/>
    <mergeCell ref="E3116:F3116"/>
    <mergeCell ref="E3117:F3117"/>
    <mergeCell ref="E3118:F3118"/>
    <mergeCell ref="E3119:F3119"/>
    <mergeCell ref="E3120:F3120"/>
    <mergeCell ref="E3109:F3109"/>
    <mergeCell ref="E3110:F3110"/>
    <mergeCell ref="E3111:F3111"/>
    <mergeCell ref="E3112:F3112"/>
    <mergeCell ref="E3113:F3113"/>
    <mergeCell ref="E3114:F3114"/>
    <mergeCell ref="E3103:F3103"/>
    <mergeCell ref="E3104:F3104"/>
    <mergeCell ref="E3105:F3105"/>
    <mergeCell ref="E3106:F3106"/>
    <mergeCell ref="E3107:F3107"/>
    <mergeCell ref="E3108:F3108"/>
    <mergeCell ref="E3097:F3097"/>
    <mergeCell ref="E3098:F3098"/>
    <mergeCell ref="E3099:F3099"/>
    <mergeCell ref="E3100:F3100"/>
    <mergeCell ref="E3101:F3101"/>
    <mergeCell ref="E3102:F3102"/>
    <mergeCell ref="E3091:F3091"/>
    <mergeCell ref="E3092:F3092"/>
    <mergeCell ref="E3093:F3093"/>
    <mergeCell ref="E3094:F3094"/>
    <mergeCell ref="E3095:F3095"/>
    <mergeCell ref="E3096:F3096"/>
    <mergeCell ref="E3085:F3085"/>
    <mergeCell ref="E3086:F3086"/>
    <mergeCell ref="E3087:F3087"/>
    <mergeCell ref="E3088:F3088"/>
    <mergeCell ref="E3089:F3089"/>
    <mergeCell ref="E3090:F3090"/>
    <mergeCell ref="E3079:F3079"/>
    <mergeCell ref="E3080:F3080"/>
    <mergeCell ref="E3081:F3081"/>
    <mergeCell ref="E3082:F3082"/>
    <mergeCell ref="E3083:F3083"/>
    <mergeCell ref="E3084:F3084"/>
    <mergeCell ref="E3073:F3073"/>
    <mergeCell ref="E3074:F3074"/>
    <mergeCell ref="E3075:F3075"/>
    <mergeCell ref="E3076:F3076"/>
    <mergeCell ref="E3077:F3077"/>
    <mergeCell ref="E3078:F3078"/>
    <mergeCell ref="E3067:F3067"/>
    <mergeCell ref="E3068:F3068"/>
    <mergeCell ref="E3069:F3069"/>
    <mergeCell ref="E3070:F3070"/>
    <mergeCell ref="E3071:F3071"/>
    <mergeCell ref="E3072:F3072"/>
    <mergeCell ref="E3061:F3061"/>
    <mergeCell ref="E3062:F3062"/>
    <mergeCell ref="E3063:F3063"/>
    <mergeCell ref="E3064:F3064"/>
    <mergeCell ref="E3065:F3065"/>
    <mergeCell ref="E3066:F3066"/>
    <mergeCell ref="E3055:F3055"/>
    <mergeCell ref="E3056:F3056"/>
    <mergeCell ref="E3057:F3057"/>
    <mergeCell ref="E3058:F3058"/>
    <mergeCell ref="E3059:F3059"/>
    <mergeCell ref="E3060:F3060"/>
    <mergeCell ref="E3049:F3049"/>
    <mergeCell ref="E3050:F3050"/>
    <mergeCell ref="E3051:F3051"/>
    <mergeCell ref="E3052:F3052"/>
    <mergeCell ref="E3053:F3053"/>
    <mergeCell ref="E3054:F3054"/>
    <mergeCell ref="E3043:F3043"/>
    <mergeCell ref="E3044:F3044"/>
    <mergeCell ref="E3045:F3045"/>
    <mergeCell ref="E3046:F3046"/>
    <mergeCell ref="E3047:F3047"/>
    <mergeCell ref="E3048:F3048"/>
    <mergeCell ref="E3037:F3037"/>
    <mergeCell ref="E3038:F3038"/>
    <mergeCell ref="E3039:F3039"/>
    <mergeCell ref="E3040:F3040"/>
    <mergeCell ref="E3041:F3041"/>
    <mergeCell ref="E3042:F3042"/>
    <mergeCell ref="E3031:F3031"/>
    <mergeCell ref="E3032:F3032"/>
    <mergeCell ref="E3033:F3033"/>
    <mergeCell ref="E3034:F3034"/>
    <mergeCell ref="E3035:F3035"/>
    <mergeCell ref="E3036:F3036"/>
    <mergeCell ref="E3025:F3025"/>
    <mergeCell ref="E3026:F3026"/>
    <mergeCell ref="E3027:F3027"/>
    <mergeCell ref="E3028:F3028"/>
    <mergeCell ref="E3029:F3029"/>
    <mergeCell ref="E3030:F3030"/>
    <mergeCell ref="E3019:F3019"/>
    <mergeCell ref="E3020:F3020"/>
    <mergeCell ref="E3021:F3021"/>
    <mergeCell ref="E3022:F3022"/>
    <mergeCell ref="E3023:F3023"/>
    <mergeCell ref="E3024:F3024"/>
    <mergeCell ref="E3013:F3013"/>
    <mergeCell ref="E3014:F3014"/>
    <mergeCell ref="E3015:F3015"/>
    <mergeCell ref="E3016:F3016"/>
    <mergeCell ref="E3017:F3017"/>
    <mergeCell ref="E3018:F3018"/>
    <mergeCell ref="E3007:F3007"/>
    <mergeCell ref="E3008:F3008"/>
    <mergeCell ref="E3009:F3009"/>
    <mergeCell ref="E3010:F3010"/>
    <mergeCell ref="E3011:F3011"/>
    <mergeCell ref="E3012:F3012"/>
    <mergeCell ref="E3001:F3001"/>
    <mergeCell ref="E3002:F3002"/>
    <mergeCell ref="E3003:F3003"/>
    <mergeCell ref="E3004:F3004"/>
    <mergeCell ref="E3005:F3005"/>
    <mergeCell ref="E3006:F3006"/>
    <mergeCell ref="E2995:F2995"/>
    <mergeCell ref="E2996:F2996"/>
    <mergeCell ref="E2997:F2997"/>
    <mergeCell ref="E2998:F2998"/>
    <mergeCell ref="E2999:F2999"/>
    <mergeCell ref="E3000:F3000"/>
    <mergeCell ref="E2989:F2989"/>
    <mergeCell ref="E2990:F2990"/>
    <mergeCell ref="E2991:F2991"/>
    <mergeCell ref="E2992:F2992"/>
    <mergeCell ref="E2993:F2993"/>
    <mergeCell ref="E2994:F2994"/>
    <mergeCell ref="E2983:F2983"/>
    <mergeCell ref="E2984:F2984"/>
    <mergeCell ref="E2985:F2985"/>
    <mergeCell ref="E2986:F2986"/>
    <mergeCell ref="E2987:F2987"/>
    <mergeCell ref="E2988:F2988"/>
    <mergeCell ref="E2977:F2977"/>
    <mergeCell ref="E2978:F2978"/>
    <mergeCell ref="E2979:F2979"/>
    <mergeCell ref="E2980:F2980"/>
    <mergeCell ref="E2981:F2981"/>
    <mergeCell ref="E2982:F2982"/>
    <mergeCell ref="E2971:F2971"/>
    <mergeCell ref="E2972:F2972"/>
    <mergeCell ref="E2973:F2973"/>
    <mergeCell ref="E2974:F2974"/>
    <mergeCell ref="E2975:F2975"/>
    <mergeCell ref="E2976:F2976"/>
    <mergeCell ref="E2965:F2965"/>
    <mergeCell ref="E2966:F2966"/>
    <mergeCell ref="E2967:F2967"/>
    <mergeCell ref="E2968:F2968"/>
    <mergeCell ref="E2969:F2969"/>
    <mergeCell ref="E2970:F2970"/>
    <mergeCell ref="E2959:F2959"/>
    <mergeCell ref="E2960:F2960"/>
    <mergeCell ref="E2961:F2961"/>
    <mergeCell ref="E2962:F2962"/>
    <mergeCell ref="E2963:F2963"/>
    <mergeCell ref="E2964:F2964"/>
    <mergeCell ref="E2953:F2953"/>
    <mergeCell ref="E2954:F2954"/>
    <mergeCell ref="E2955:F2955"/>
    <mergeCell ref="E2956:F2956"/>
    <mergeCell ref="E2957:F2957"/>
    <mergeCell ref="E2958:F2958"/>
    <mergeCell ref="E2947:F2947"/>
    <mergeCell ref="E2948:F2948"/>
    <mergeCell ref="E2949:F2949"/>
    <mergeCell ref="E2950:F2950"/>
    <mergeCell ref="E2951:F2951"/>
    <mergeCell ref="E2952:F2952"/>
    <mergeCell ref="E2941:F2941"/>
    <mergeCell ref="E2942:F2942"/>
    <mergeCell ref="E2943:F2943"/>
    <mergeCell ref="E2944:F2944"/>
    <mergeCell ref="E2945:F2945"/>
    <mergeCell ref="E2946:F2946"/>
    <mergeCell ref="E2935:F2935"/>
    <mergeCell ref="E2936:F2936"/>
    <mergeCell ref="E2937:F2937"/>
    <mergeCell ref="E2938:F2938"/>
    <mergeCell ref="E2939:F2939"/>
    <mergeCell ref="E2940:F2940"/>
    <mergeCell ref="E2929:F2929"/>
    <mergeCell ref="E2930:F2930"/>
    <mergeCell ref="E2931:F2931"/>
    <mergeCell ref="E2932:F2932"/>
    <mergeCell ref="E2933:F2933"/>
    <mergeCell ref="E2934:F2934"/>
    <mergeCell ref="E2923:F2923"/>
    <mergeCell ref="E2924:F2924"/>
    <mergeCell ref="E2925:F2925"/>
    <mergeCell ref="E2926:F2926"/>
    <mergeCell ref="E2927:F2927"/>
    <mergeCell ref="E2928:F2928"/>
    <mergeCell ref="E2917:F2917"/>
    <mergeCell ref="E2918:F2918"/>
    <mergeCell ref="E2919:F2919"/>
    <mergeCell ref="E2920:F2920"/>
    <mergeCell ref="E2921:F2921"/>
    <mergeCell ref="E2922:F2922"/>
    <mergeCell ref="E2911:F2911"/>
    <mergeCell ref="E2912:F2912"/>
    <mergeCell ref="E2913:F2913"/>
    <mergeCell ref="E2914:F2914"/>
    <mergeCell ref="E2915:F2915"/>
    <mergeCell ref="E2916:F2916"/>
    <mergeCell ref="E2905:F2905"/>
    <mergeCell ref="E2906:F2906"/>
    <mergeCell ref="E2907:F2907"/>
    <mergeCell ref="E2908:F2908"/>
    <mergeCell ref="E2909:F2909"/>
    <mergeCell ref="E2910:F2910"/>
    <mergeCell ref="E2899:F2899"/>
    <mergeCell ref="E2900:F2900"/>
    <mergeCell ref="E2901:F2901"/>
    <mergeCell ref="E2902:F2902"/>
    <mergeCell ref="E2903:F2903"/>
    <mergeCell ref="E2904:F2904"/>
    <mergeCell ref="E2893:F2893"/>
    <mergeCell ref="E2894:F2894"/>
    <mergeCell ref="E2895:F2895"/>
    <mergeCell ref="E2896:F2896"/>
    <mergeCell ref="E2897:F2897"/>
    <mergeCell ref="E2898:F2898"/>
    <mergeCell ref="E2887:F2887"/>
    <mergeCell ref="E2888:F2888"/>
    <mergeCell ref="E2889:F2889"/>
    <mergeCell ref="E2890:F2890"/>
    <mergeCell ref="E2891:F2891"/>
    <mergeCell ref="E2892:F2892"/>
    <mergeCell ref="E2881:F2881"/>
    <mergeCell ref="E2882:F2882"/>
    <mergeCell ref="E2883:F2883"/>
    <mergeCell ref="E2884:F2884"/>
    <mergeCell ref="E2885:F2885"/>
    <mergeCell ref="E2886:F2886"/>
    <mergeCell ref="E2875:F2875"/>
    <mergeCell ref="E2876:F2876"/>
    <mergeCell ref="E2877:F2877"/>
    <mergeCell ref="E2878:F2878"/>
    <mergeCell ref="E2879:F2879"/>
    <mergeCell ref="E2880:F2880"/>
    <mergeCell ref="E2869:F2869"/>
    <mergeCell ref="E2870:F2870"/>
    <mergeCell ref="E2871:F2871"/>
    <mergeCell ref="E2872:F2872"/>
    <mergeCell ref="E2873:F2873"/>
    <mergeCell ref="E2874:F2874"/>
    <mergeCell ref="E2863:F2863"/>
    <mergeCell ref="E2864:F2864"/>
    <mergeCell ref="E2865:F2865"/>
    <mergeCell ref="E2866:F2866"/>
    <mergeCell ref="E2867:F2867"/>
    <mergeCell ref="E2868:F2868"/>
    <mergeCell ref="E2857:F2857"/>
    <mergeCell ref="E2858:F2858"/>
    <mergeCell ref="E2859:F2859"/>
    <mergeCell ref="E2860:F2860"/>
    <mergeCell ref="E2861:F2861"/>
    <mergeCell ref="E2862:F2862"/>
    <mergeCell ref="E2851:F2851"/>
    <mergeCell ref="E2852:F2852"/>
    <mergeCell ref="E2853:F2853"/>
    <mergeCell ref="E2854:F2854"/>
    <mergeCell ref="E2855:F2855"/>
    <mergeCell ref="E2856:F2856"/>
    <mergeCell ref="E2845:F2845"/>
    <mergeCell ref="E2846:F2846"/>
    <mergeCell ref="E2847:F2847"/>
    <mergeCell ref="E2848:F2848"/>
    <mergeCell ref="E2849:F2849"/>
    <mergeCell ref="E2850:F2850"/>
    <mergeCell ref="E2839:F2839"/>
    <mergeCell ref="E2840:F2840"/>
    <mergeCell ref="E2841:F2841"/>
    <mergeCell ref="E2842:F2842"/>
    <mergeCell ref="E2843:F2843"/>
    <mergeCell ref="E2844:F2844"/>
    <mergeCell ref="E2833:F2833"/>
    <mergeCell ref="E2834:F2834"/>
    <mergeCell ref="E2835:F2835"/>
    <mergeCell ref="E2836:F2836"/>
    <mergeCell ref="E2837:F2837"/>
    <mergeCell ref="E2838:F2838"/>
    <mergeCell ref="E2827:F2827"/>
    <mergeCell ref="E2828:F2828"/>
    <mergeCell ref="E2829:F2829"/>
    <mergeCell ref="E2830:F2830"/>
    <mergeCell ref="E2831:F2831"/>
    <mergeCell ref="E2832:F2832"/>
    <mergeCell ref="E2821:F2821"/>
    <mergeCell ref="E2822:F2822"/>
    <mergeCell ref="E2823:F2823"/>
    <mergeCell ref="E2824:F2824"/>
    <mergeCell ref="E2825:F2825"/>
    <mergeCell ref="E2826:F2826"/>
    <mergeCell ref="E2815:F2815"/>
    <mergeCell ref="E2816:F2816"/>
    <mergeCell ref="E2817:F2817"/>
    <mergeCell ref="E2818:F2818"/>
    <mergeCell ref="E2819:F2819"/>
    <mergeCell ref="E2820:F2820"/>
    <mergeCell ref="E2809:F2809"/>
    <mergeCell ref="E2810:F2810"/>
    <mergeCell ref="E2811:F2811"/>
    <mergeCell ref="E2812:F2812"/>
    <mergeCell ref="E2813:F2813"/>
    <mergeCell ref="E2814:F2814"/>
    <mergeCell ref="E2803:F2803"/>
    <mergeCell ref="E2804:F2804"/>
    <mergeCell ref="E2805:F2805"/>
    <mergeCell ref="E2806:F2806"/>
    <mergeCell ref="E2807:F2807"/>
    <mergeCell ref="E2808:F2808"/>
    <mergeCell ref="E2797:F2797"/>
    <mergeCell ref="E2798:F2798"/>
    <mergeCell ref="E2799:F2799"/>
    <mergeCell ref="E2800:F2800"/>
    <mergeCell ref="E2801:F2801"/>
    <mergeCell ref="E2802:F2802"/>
    <mergeCell ref="E2791:F2791"/>
    <mergeCell ref="E2792:F2792"/>
    <mergeCell ref="E2793:F2793"/>
    <mergeCell ref="E2794:F2794"/>
    <mergeCell ref="E2795:F2795"/>
    <mergeCell ref="E2796:F2796"/>
    <mergeCell ref="E2785:F2785"/>
    <mergeCell ref="E2786:F2786"/>
    <mergeCell ref="E2787:F2787"/>
    <mergeCell ref="E2788:F2788"/>
    <mergeCell ref="E2789:F2789"/>
    <mergeCell ref="E2790:F2790"/>
    <mergeCell ref="E2563:F2563"/>
    <mergeCell ref="E2780:F2780"/>
    <mergeCell ref="E2781:F2781"/>
    <mergeCell ref="E2782:F2782"/>
    <mergeCell ref="E2783:F2783"/>
    <mergeCell ref="E2784:F2784"/>
    <mergeCell ref="E2557:F2557"/>
    <mergeCell ref="E2558:F2558"/>
    <mergeCell ref="E2559:F2559"/>
    <mergeCell ref="E2560:F2560"/>
    <mergeCell ref="E2561:F2561"/>
    <mergeCell ref="E2562:F2562"/>
    <mergeCell ref="E2551:F2551"/>
    <mergeCell ref="E2552:F2552"/>
    <mergeCell ref="E2553:F2553"/>
    <mergeCell ref="E2554:F2554"/>
    <mergeCell ref="E2555:F2555"/>
    <mergeCell ref="E2556:F2556"/>
    <mergeCell ref="E2362:F2362"/>
    <mergeCell ref="E2363:F2363"/>
    <mergeCell ref="E2364:F2364"/>
    <mergeCell ref="E2365:F2365"/>
    <mergeCell ref="E2549:F2549"/>
    <mergeCell ref="E2550:F2550"/>
    <mergeCell ref="E2356:F2356"/>
    <mergeCell ref="E2357:F2357"/>
    <mergeCell ref="E2358:F2358"/>
    <mergeCell ref="E2359:F2359"/>
    <mergeCell ref="E2360:F2360"/>
    <mergeCell ref="E2361:F2361"/>
    <mergeCell ref="E2273:F2273"/>
    <mergeCell ref="E2351:F2351"/>
    <mergeCell ref="E2352:F2352"/>
    <mergeCell ref="E2353:F2353"/>
    <mergeCell ref="E2354:F2354"/>
    <mergeCell ref="E2355:F2355"/>
    <mergeCell ref="E2267:F2267"/>
    <mergeCell ref="E2268:F2268"/>
    <mergeCell ref="E2269:F2269"/>
    <mergeCell ref="E2270:F2270"/>
    <mergeCell ref="E2271:F2271"/>
    <mergeCell ref="E2272:F2272"/>
    <mergeCell ref="E2261:F2261"/>
    <mergeCell ref="E2262:F2262"/>
    <mergeCell ref="E2263:F2263"/>
    <mergeCell ref="E2264:F2264"/>
    <mergeCell ref="E2265:F2265"/>
    <mergeCell ref="E2266:F2266"/>
    <mergeCell ref="E1928:F1928"/>
    <mergeCell ref="E1929:F1929"/>
    <mergeCell ref="E1930:F1930"/>
    <mergeCell ref="E2223:F2223"/>
    <mergeCell ref="E2259:F2259"/>
    <mergeCell ref="E2260:F2260"/>
    <mergeCell ref="E1922:F1922"/>
    <mergeCell ref="E1923:F1923"/>
    <mergeCell ref="E1924:F1924"/>
    <mergeCell ref="E1925:F1925"/>
    <mergeCell ref="E1926:F1926"/>
    <mergeCell ref="E1927:F1927"/>
    <mergeCell ref="E1916:F1916"/>
    <mergeCell ref="E1917:F1917"/>
    <mergeCell ref="E1918:F1918"/>
    <mergeCell ref="E1919:F1919"/>
    <mergeCell ref="E1920:F1920"/>
    <mergeCell ref="E1921:F1921"/>
    <mergeCell ref="E1910:F1910"/>
    <mergeCell ref="E1911:F1911"/>
    <mergeCell ref="E1912:F1912"/>
    <mergeCell ref="E1913:F1913"/>
    <mergeCell ref="E1914:F1914"/>
    <mergeCell ref="E1915:F1915"/>
    <mergeCell ref="E1904:F1904"/>
    <mergeCell ref="E1905:F1905"/>
    <mergeCell ref="E1906:F1906"/>
    <mergeCell ref="E1907:F1907"/>
    <mergeCell ref="E1908:F1908"/>
    <mergeCell ref="E1909:F1909"/>
    <mergeCell ref="K1870:K1871"/>
    <mergeCell ref="L1870:L1871"/>
    <mergeCell ref="M1870:M1871"/>
    <mergeCell ref="E1895:F1895"/>
    <mergeCell ref="E1902:F1902"/>
    <mergeCell ref="E1903:F1903"/>
    <mergeCell ref="M1868:M1869"/>
    <mergeCell ref="B1870:B1871"/>
    <mergeCell ref="C1870:C1871"/>
    <mergeCell ref="D1870:D1871"/>
    <mergeCell ref="E1870:E1871"/>
    <mergeCell ref="F1870:F1871"/>
    <mergeCell ref="G1870:G1871"/>
    <mergeCell ref="H1870:H1871"/>
    <mergeCell ref="I1870:I1871"/>
    <mergeCell ref="J1870:J1871"/>
    <mergeCell ref="G1868:G1869"/>
    <mergeCell ref="H1868:H1869"/>
    <mergeCell ref="I1868:I1869"/>
    <mergeCell ref="J1868:J1869"/>
    <mergeCell ref="K1868:K1869"/>
    <mergeCell ref="L1868:L1869"/>
    <mergeCell ref="I1866:I1867"/>
    <mergeCell ref="J1866:J1867"/>
    <mergeCell ref="K1866:K1867"/>
    <mergeCell ref="L1866:L1867"/>
    <mergeCell ref="M1866:M1867"/>
    <mergeCell ref="B1868:B1869"/>
    <mergeCell ref="C1868:C1869"/>
    <mergeCell ref="D1868:D1869"/>
    <mergeCell ref="E1868:E1869"/>
    <mergeCell ref="F1868:F1869"/>
    <mergeCell ref="K1864:K1865"/>
    <mergeCell ref="L1864:L1865"/>
    <mergeCell ref="M1864:M1865"/>
    <mergeCell ref="B1866:B1867"/>
    <mergeCell ref="C1866:C1867"/>
    <mergeCell ref="D1866:D1867"/>
    <mergeCell ref="E1866:E1867"/>
    <mergeCell ref="F1866:F1867"/>
    <mergeCell ref="G1866:G1867"/>
    <mergeCell ref="H1866:H1867"/>
    <mergeCell ref="M1862:M1863"/>
    <mergeCell ref="B1864:B1865"/>
    <mergeCell ref="C1864:C1865"/>
    <mergeCell ref="D1864:D1865"/>
    <mergeCell ref="E1864:E1865"/>
    <mergeCell ref="F1864:F1865"/>
    <mergeCell ref="G1864:G1865"/>
    <mergeCell ref="H1864:H1865"/>
    <mergeCell ref="I1864:I1865"/>
    <mergeCell ref="J1864:J1865"/>
    <mergeCell ref="G1862:G1863"/>
    <mergeCell ref="H1862:H1863"/>
    <mergeCell ref="I1862:I1863"/>
    <mergeCell ref="J1862:J1863"/>
    <mergeCell ref="K1862:K1863"/>
    <mergeCell ref="L1862:L1863"/>
    <mergeCell ref="I1860:I1861"/>
    <mergeCell ref="J1860:J1861"/>
    <mergeCell ref="K1860:K1861"/>
    <mergeCell ref="L1860:L1861"/>
    <mergeCell ref="M1860:M1861"/>
    <mergeCell ref="B1862:B1863"/>
    <mergeCell ref="C1862:C1863"/>
    <mergeCell ref="D1862:D1863"/>
    <mergeCell ref="E1862:E1863"/>
    <mergeCell ref="F1862:F1863"/>
    <mergeCell ref="K1858:K1859"/>
    <mergeCell ref="L1858:L1859"/>
    <mergeCell ref="M1858:M1859"/>
    <mergeCell ref="B1860:B1861"/>
    <mergeCell ref="C1860:C1861"/>
    <mergeCell ref="D1860:D1861"/>
    <mergeCell ref="E1860:E1861"/>
    <mergeCell ref="F1860:F1861"/>
    <mergeCell ref="G1860:G1861"/>
    <mergeCell ref="H1860:H1861"/>
    <mergeCell ref="M1856:M1857"/>
    <mergeCell ref="B1858:B1859"/>
    <mergeCell ref="C1858:C1859"/>
    <mergeCell ref="D1858:D1859"/>
    <mergeCell ref="E1858:E1859"/>
    <mergeCell ref="F1858:F1859"/>
    <mergeCell ref="G1858:G1859"/>
    <mergeCell ref="H1858:H1859"/>
    <mergeCell ref="I1858:I1859"/>
    <mergeCell ref="J1858:J1859"/>
    <mergeCell ref="G1856:G1857"/>
    <mergeCell ref="H1856:H1857"/>
    <mergeCell ref="I1856:I1857"/>
    <mergeCell ref="J1856:J1857"/>
    <mergeCell ref="K1856:K1857"/>
    <mergeCell ref="L1856:L1857"/>
    <mergeCell ref="I1854:I1855"/>
    <mergeCell ref="J1854:J1855"/>
    <mergeCell ref="K1854:K1855"/>
    <mergeCell ref="L1854:L1855"/>
    <mergeCell ref="M1854:M1855"/>
    <mergeCell ref="B1856:B1857"/>
    <mergeCell ref="C1856:C1857"/>
    <mergeCell ref="D1856:D1857"/>
    <mergeCell ref="E1856:E1857"/>
    <mergeCell ref="F1856:F1857"/>
    <mergeCell ref="K1852:K1853"/>
    <mergeCell ref="L1852:L1853"/>
    <mergeCell ref="M1852:M1853"/>
    <mergeCell ref="B1854:B1855"/>
    <mergeCell ref="C1854:C1855"/>
    <mergeCell ref="D1854:D1855"/>
    <mergeCell ref="E1854:E1855"/>
    <mergeCell ref="F1854:F1855"/>
    <mergeCell ref="G1854:G1855"/>
    <mergeCell ref="H1854:H1855"/>
    <mergeCell ref="M1850:M1851"/>
    <mergeCell ref="B1852:B1853"/>
    <mergeCell ref="C1852:C1853"/>
    <mergeCell ref="D1852:D1853"/>
    <mergeCell ref="E1852:E1853"/>
    <mergeCell ref="F1852:F1853"/>
    <mergeCell ref="G1852:G1853"/>
    <mergeCell ref="H1852:H1853"/>
    <mergeCell ref="I1852:I1853"/>
    <mergeCell ref="J1852:J1853"/>
    <mergeCell ref="G1850:G1851"/>
    <mergeCell ref="H1850:H1851"/>
    <mergeCell ref="I1850:I1851"/>
    <mergeCell ref="J1850:J1851"/>
    <mergeCell ref="K1850:K1851"/>
    <mergeCell ref="L1850:L1851"/>
    <mergeCell ref="I1848:I1849"/>
    <mergeCell ref="J1848:J1849"/>
    <mergeCell ref="K1848:K1849"/>
    <mergeCell ref="L1848:L1849"/>
    <mergeCell ref="M1848:M1849"/>
    <mergeCell ref="B1850:B1851"/>
    <mergeCell ref="C1850:C1851"/>
    <mergeCell ref="D1850:D1851"/>
    <mergeCell ref="E1850:E1851"/>
    <mergeCell ref="F1850:F1851"/>
    <mergeCell ref="K1846:K1847"/>
    <mergeCell ref="L1846:L1847"/>
    <mergeCell ref="M1846:M1847"/>
    <mergeCell ref="B1848:B1849"/>
    <mergeCell ref="C1848:C1849"/>
    <mergeCell ref="D1848:D1849"/>
    <mergeCell ref="E1848:E1849"/>
    <mergeCell ref="F1848:F1849"/>
    <mergeCell ref="G1848:G1849"/>
    <mergeCell ref="H1848:H1849"/>
    <mergeCell ref="M1844:M1845"/>
    <mergeCell ref="B1846:B1847"/>
    <mergeCell ref="C1846:C1847"/>
    <mergeCell ref="D1846:D1847"/>
    <mergeCell ref="E1846:E1847"/>
    <mergeCell ref="F1846:F1847"/>
    <mergeCell ref="G1846:G1847"/>
    <mergeCell ref="H1846:H1847"/>
    <mergeCell ref="I1846:I1847"/>
    <mergeCell ref="J1846:J1847"/>
    <mergeCell ref="G1844:G1845"/>
    <mergeCell ref="H1844:H1845"/>
    <mergeCell ref="I1844:I1845"/>
    <mergeCell ref="J1844:J1845"/>
    <mergeCell ref="K1844:K1845"/>
    <mergeCell ref="L1844:L1845"/>
    <mergeCell ref="I1842:I1843"/>
    <mergeCell ref="J1842:J1843"/>
    <mergeCell ref="K1842:K1843"/>
    <mergeCell ref="L1842:L1843"/>
    <mergeCell ref="M1842:M1843"/>
    <mergeCell ref="B1844:B1845"/>
    <mergeCell ref="C1844:C1845"/>
    <mergeCell ref="D1844:D1845"/>
    <mergeCell ref="E1844:E1845"/>
    <mergeCell ref="F1844:F1845"/>
    <mergeCell ref="K1840:K1841"/>
    <mergeCell ref="L1840:L1841"/>
    <mergeCell ref="M1840:M1841"/>
    <mergeCell ref="B1842:B1843"/>
    <mergeCell ref="C1842:C1843"/>
    <mergeCell ref="D1842:D1843"/>
    <mergeCell ref="E1842:E1843"/>
    <mergeCell ref="F1842:F1843"/>
    <mergeCell ref="G1842:G1843"/>
    <mergeCell ref="H1842:H1843"/>
    <mergeCell ref="M1838:M1839"/>
    <mergeCell ref="B1840:B1841"/>
    <mergeCell ref="C1840:C1841"/>
    <mergeCell ref="D1840:D1841"/>
    <mergeCell ref="E1840:E1841"/>
    <mergeCell ref="F1840:F1841"/>
    <mergeCell ref="G1840:G1841"/>
    <mergeCell ref="H1840:H1841"/>
    <mergeCell ref="I1840:I1841"/>
    <mergeCell ref="J1840:J1841"/>
    <mergeCell ref="G1838:G1839"/>
    <mergeCell ref="H1838:H1839"/>
    <mergeCell ref="I1838:I1839"/>
    <mergeCell ref="J1838:J1839"/>
    <mergeCell ref="K1838:K1839"/>
    <mergeCell ref="L1838:L1839"/>
    <mergeCell ref="I1836:I1837"/>
    <mergeCell ref="J1836:J1837"/>
    <mergeCell ref="K1836:K1837"/>
    <mergeCell ref="L1836:L1837"/>
    <mergeCell ref="M1836:M1837"/>
    <mergeCell ref="B1838:B1839"/>
    <mergeCell ref="C1838:C1839"/>
    <mergeCell ref="D1838:D1839"/>
    <mergeCell ref="E1838:E1839"/>
    <mergeCell ref="F1838:F1839"/>
    <mergeCell ref="K1834:K1835"/>
    <mergeCell ref="L1834:L1835"/>
    <mergeCell ref="M1834:M1835"/>
    <mergeCell ref="B1836:B1837"/>
    <mergeCell ref="C1836:C1837"/>
    <mergeCell ref="D1836:D1837"/>
    <mergeCell ref="E1836:E1837"/>
    <mergeCell ref="F1836:F1837"/>
    <mergeCell ref="G1836:G1837"/>
    <mergeCell ref="H1836:H1837"/>
    <mergeCell ref="M1832:M1833"/>
    <mergeCell ref="B1834:B1835"/>
    <mergeCell ref="C1834:C1835"/>
    <mergeCell ref="D1834:D1835"/>
    <mergeCell ref="E1834:E1835"/>
    <mergeCell ref="F1834:F1835"/>
    <mergeCell ref="G1834:G1835"/>
    <mergeCell ref="H1834:H1835"/>
    <mergeCell ref="I1834:I1835"/>
    <mergeCell ref="J1834:J1835"/>
    <mergeCell ref="G1832:G1833"/>
    <mergeCell ref="H1832:H1833"/>
    <mergeCell ref="I1832:I1833"/>
    <mergeCell ref="J1832:J1833"/>
    <mergeCell ref="K1832:K1833"/>
    <mergeCell ref="L1832:L1833"/>
    <mergeCell ref="I1830:I1831"/>
    <mergeCell ref="J1830:J1831"/>
    <mergeCell ref="K1830:K1831"/>
    <mergeCell ref="L1830:L1831"/>
    <mergeCell ref="M1830:M1831"/>
    <mergeCell ref="B1832:B1833"/>
    <mergeCell ref="C1832:C1833"/>
    <mergeCell ref="D1832:D1833"/>
    <mergeCell ref="E1832:E1833"/>
    <mergeCell ref="F1832:F1833"/>
    <mergeCell ref="K1828:K1829"/>
    <mergeCell ref="L1828:L1829"/>
    <mergeCell ref="M1828:M1829"/>
    <mergeCell ref="B1830:B1831"/>
    <mergeCell ref="C1830:C1831"/>
    <mergeCell ref="D1830:D1831"/>
    <mergeCell ref="E1830:E1831"/>
    <mergeCell ref="F1830:F1831"/>
    <mergeCell ref="G1830:G1831"/>
    <mergeCell ref="H1830:H1831"/>
    <mergeCell ref="M1826:M1827"/>
    <mergeCell ref="B1828:B1829"/>
    <mergeCell ref="C1828:C1829"/>
    <mergeCell ref="D1828:D1829"/>
    <mergeCell ref="E1828:E1829"/>
    <mergeCell ref="F1828:F1829"/>
    <mergeCell ref="G1828:G1829"/>
    <mergeCell ref="H1828:H1829"/>
    <mergeCell ref="I1828:I1829"/>
    <mergeCell ref="J1828:J1829"/>
    <mergeCell ref="G1826:G1827"/>
    <mergeCell ref="H1826:H1827"/>
    <mergeCell ref="I1826:I1827"/>
    <mergeCell ref="J1826:J1827"/>
    <mergeCell ref="K1826:K1827"/>
    <mergeCell ref="L1826:L1827"/>
    <mergeCell ref="I1824:I1825"/>
    <mergeCell ref="J1824:J1825"/>
    <mergeCell ref="K1824:K1825"/>
    <mergeCell ref="L1824:L1825"/>
    <mergeCell ref="M1824:M1825"/>
    <mergeCell ref="B1826:B1827"/>
    <mergeCell ref="C1826:C1827"/>
    <mergeCell ref="D1826:D1827"/>
    <mergeCell ref="E1826:E1827"/>
    <mergeCell ref="F1826:F1827"/>
    <mergeCell ref="K1822:K1823"/>
    <mergeCell ref="L1822:L1823"/>
    <mergeCell ref="M1822:M1823"/>
    <mergeCell ref="B1824:B1825"/>
    <mergeCell ref="C1824:C1825"/>
    <mergeCell ref="D1824:D1825"/>
    <mergeCell ref="E1824:E1825"/>
    <mergeCell ref="F1824:F1825"/>
    <mergeCell ref="G1824:G1825"/>
    <mergeCell ref="H1824:H1825"/>
    <mergeCell ref="M1820:M1821"/>
    <mergeCell ref="B1822:B1823"/>
    <mergeCell ref="C1822:C1823"/>
    <mergeCell ref="D1822:D1823"/>
    <mergeCell ref="E1822:E1823"/>
    <mergeCell ref="F1822:F1823"/>
    <mergeCell ref="G1822:G1823"/>
    <mergeCell ref="H1822:H1823"/>
    <mergeCell ref="I1822:I1823"/>
    <mergeCell ref="J1822:J1823"/>
    <mergeCell ref="G1820:G1821"/>
    <mergeCell ref="H1820:H1821"/>
    <mergeCell ref="I1820:I1821"/>
    <mergeCell ref="J1820:J1821"/>
    <mergeCell ref="K1820:K1821"/>
    <mergeCell ref="L1820:L1821"/>
    <mergeCell ref="I1818:I1819"/>
    <mergeCell ref="J1818:J1819"/>
    <mergeCell ref="K1818:K1819"/>
    <mergeCell ref="L1818:L1819"/>
    <mergeCell ref="M1818:M1819"/>
    <mergeCell ref="B1820:B1821"/>
    <mergeCell ref="C1820:C1821"/>
    <mergeCell ref="D1820:D1821"/>
    <mergeCell ref="E1820:E1821"/>
    <mergeCell ref="F1820:F1821"/>
    <mergeCell ref="K1816:K1817"/>
    <mergeCell ref="L1816:L1817"/>
    <mergeCell ref="M1816:M1817"/>
    <mergeCell ref="B1818:B1819"/>
    <mergeCell ref="C1818:C1819"/>
    <mergeCell ref="D1818:D1819"/>
    <mergeCell ref="E1818:E1819"/>
    <mergeCell ref="F1818:F1819"/>
    <mergeCell ref="G1818:G1819"/>
    <mergeCell ref="H1818:H1819"/>
    <mergeCell ref="M1814:M1815"/>
    <mergeCell ref="B1816:B1817"/>
    <mergeCell ref="C1816:C1817"/>
    <mergeCell ref="D1816:D1817"/>
    <mergeCell ref="E1816:E1817"/>
    <mergeCell ref="F1816:F1817"/>
    <mergeCell ref="G1816:G1817"/>
    <mergeCell ref="H1816:H1817"/>
    <mergeCell ref="I1816:I1817"/>
    <mergeCell ref="J1816:J1817"/>
    <mergeCell ref="G1814:G1815"/>
    <mergeCell ref="H1814:H1815"/>
    <mergeCell ref="I1814:I1815"/>
    <mergeCell ref="J1814:J1815"/>
    <mergeCell ref="K1814:K1815"/>
    <mergeCell ref="L1814:L1815"/>
    <mergeCell ref="I1812:I1813"/>
    <mergeCell ref="J1812:J1813"/>
    <mergeCell ref="K1812:K1813"/>
    <mergeCell ref="L1812:L1813"/>
    <mergeCell ref="M1812:M1813"/>
    <mergeCell ref="B1814:B1815"/>
    <mergeCell ref="C1814:C1815"/>
    <mergeCell ref="D1814:D1815"/>
    <mergeCell ref="E1814:E1815"/>
    <mergeCell ref="F1814:F1815"/>
    <mergeCell ref="K1810:K1811"/>
    <mergeCell ref="L1810:L1811"/>
    <mergeCell ref="M1810:M1811"/>
    <mergeCell ref="B1812:B1813"/>
    <mergeCell ref="C1812:C1813"/>
    <mergeCell ref="D1812:D1813"/>
    <mergeCell ref="E1812:E1813"/>
    <mergeCell ref="F1812:F1813"/>
    <mergeCell ref="G1812:G1813"/>
    <mergeCell ref="H1812:H1813"/>
    <mergeCell ref="M1808:M1809"/>
    <mergeCell ref="B1810:B1811"/>
    <mergeCell ref="C1810:C1811"/>
    <mergeCell ref="D1810:D1811"/>
    <mergeCell ref="E1810:E1811"/>
    <mergeCell ref="F1810:F1811"/>
    <mergeCell ref="G1810:G1811"/>
    <mergeCell ref="H1810:H1811"/>
    <mergeCell ref="I1810:I1811"/>
    <mergeCell ref="J1810:J1811"/>
    <mergeCell ref="G1808:G1809"/>
    <mergeCell ref="H1808:H1809"/>
    <mergeCell ref="I1808:I1809"/>
    <mergeCell ref="J1808:J1809"/>
    <mergeCell ref="K1808:K1809"/>
    <mergeCell ref="L1808:L1809"/>
    <mergeCell ref="I1806:I1807"/>
    <mergeCell ref="J1806:J1807"/>
    <mergeCell ref="K1806:K1807"/>
    <mergeCell ref="L1806:L1807"/>
    <mergeCell ref="M1806:M1807"/>
    <mergeCell ref="B1808:B1809"/>
    <mergeCell ref="C1808:C1809"/>
    <mergeCell ref="D1808:D1809"/>
    <mergeCell ref="E1808:E1809"/>
    <mergeCell ref="F1808:F1809"/>
    <mergeCell ref="K1804:K1805"/>
    <mergeCell ref="L1804:L1805"/>
    <mergeCell ref="M1804:M1805"/>
    <mergeCell ref="B1806:B1807"/>
    <mergeCell ref="C1806:C1807"/>
    <mergeCell ref="D1806:D1807"/>
    <mergeCell ref="E1806:E1807"/>
    <mergeCell ref="F1806:F1807"/>
    <mergeCell ref="G1806:G1807"/>
    <mergeCell ref="H1806:H1807"/>
    <mergeCell ref="M1740:M1742"/>
    <mergeCell ref="B1804:B1805"/>
    <mergeCell ref="C1804:C1805"/>
    <mergeCell ref="D1804:D1805"/>
    <mergeCell ref="E1804:E1805"/>
    <mergeCell ref="F1804:F1805"/>
    <mergeCell ref="G1804:G1805"/>
    <mergeCell ref="H1804:H1805"/>
    <mergeCell ref="I1804:I1805"/>
    <mergeCell ref="J1804:J1805"/>
    <mergeCell ref="G1740:G1742"/>
    <mergeCell ref="H1740:H1742"/>
    <mergeCell ref="I1740:I1742"/>
    <mergeCell ref="J1740:J1742"/>
    <mergeCell ref="K1740:K1742"/>
    <mergeCell ref="L1740:L1742"/>
    <mergeCell ref="E1724:F1724"/>
    <mergeCell ref="E1734:F1734"/>
    <mergeCell ref="B1740:B1742"/>
    <mergeCell ref="C1740:C1742"/>
    <mergeCell ref="D1740:D1742"/>
    <mergeCell ref="E1740:E1742"/>
    <mergeCell ref="F1740:F1742"/>
    <mergeCell ref="E1718:F1718"/>
    <mergeCell ref="E1719:F1719"/>
    <mergeCell ref="E1720:F1720"/>
    <mergeCell ref="E1721:F1721"/>
    <mergeCell ref="E1722:F1722"/>
    <mergeCell ref="E1723:F1723"/>
    <mergeCell ref="E1712:F1712"/>
    <mergeCell ref="E1713:F1713"/>
    <mergeCell ref="E1714:F1714"/>
    <mergeCell ref="E1715:F1715"/>
    <mergeCell ref="E1716:F1716"/>
    <mergeCell ref="E1717:F1717"/>
    <mergeCell ref="E1546:F1546"/>
    <mergeCell ref="E1547:F1547"/>
    <mergeCell ref="E1548:F1548"/>
    <mergeCell ref="E1549:F1549"/>
    <mergeCell ref="E1710:F1710"/>
    <mergeCell ref="E1711:F1711"/>
    <mergeCell ref="E1540:F1540"/>
    <mergeCell ref="E1541:F1541"/>
    <mergeCell ref="E1542:F1542"/>
    <mergeCell ref="E1543:F1543"/>
    <mergeCell ref="E1544:F1544"/>
    <mergeCell ref="E1545:F1545"/>
    <mergeCell ref="E1433:F1433"/>
    <mergeCell ref="E1535:F1535"/>
    <mergeCell ref="E1536:F1536"/>
    <mergeCell ref="E1537:F1537"/>
    <mergeCell ref="E1538:F1538"/>
    <mergeCell ref="E1539:F1539"/>
    <mergeCell ref="E1427:F1427"/>
    <mergeCell ref="E1428:F1428"/>
    <mergeCell ref="E1429:F1429"/>
    <mergeCell ref="E1430:F1430"/>
    <mergeCell ref="E1431:F1431"/>
    <mergeCell ref="E1432:F1432"/>
    <mergeCell ref="E1421:F1421"/>
    <mergeCell ref="E1422:F1422"/>
    <mergeCell ref="E1423:F1423"/>
    <mergeCell ref="E1424:F1424"/>
    <mergeCell ref="E1425:F1425"/>
    <mergeCell ref="E1426:F1426"/>
    <mergeCell ref="E1405:F1405"/>
    <mergeCell ref="E1406:F1406"/>
    <mergeCell ref="E1407:F1407"/>
    <mergeCell ref="E1416:F1416"/>
    <mergeCell ref="E1419:F1419"/>
    <mergeCell ref="E1420:F1420"/>
    <mergeCell ref="E1399:F1399"/>
    <mergeCell ref="E1400:F1400"/>
    <mergeCell ref="E1401:F1401"/>
    <mergeCell ref="E1402:F1402"/>
    <mergeCell ref="E1403:F1403"/>
    <mergeCell ref="E1404:F1404"/>
    <mergeCell ref="E1393:F1393"/>
    <mergeCell ref="E1394:F1394"/>
    <mergeCell ref="E1395:F1395"/>
    <mergeCell ref="E1396:F1396"/>
    <mergeCell ref="E1397:F1397"/>
    <mergeCell ref="E1398:F1398"/>
    <mergeCell ref="H1321:H1322"/>
    <mergeCell ref="I1321:I1322"/>
    <mergeCell ref="J1321:J1322"/>
    <mergeCell ref="K1321:K1322"/>
    <mergeCell ref="L1321:L1322"/>
    <mergeCell ref="M1321:M1322"/>
    <mergeCell ref="B1321:B1322"/>
    <mergeCell ref="C1321:C1322"/>
    <mergeCell ref="D1321:D1322"/>
    <mergeCell ref="E1321:E1322"/>
    <mergeCell ref="F1321:F1322"/>
    <mergeCell ref="G1321:G1322"/>
    <mergeCell ref="H1319:H1320"/>
    <mergeCell ref="I1319:I1320"/>
    <mergeCell ref="J1319:J1320"/>
    <mergeCell ref="K1319:K1320"/>
    <mergeCell ref="L1319:L1320"/>
    <mergeCell ref="M1319:M1320"/>
    <mergeCell ref="B1319:B1320"/>
    <mergeCell ref="C1319:C1320"/>
    <mergeCell ref="D1319:D1320"/>
    <mergeCell ref="E1319:E1320"/>
    <mergeCell ref="F1319:F1320"/>
    <mergeCell ref="G1319:G1320"/>
    <mergeCell ref="H1317:H1318"/>
    <mergeCell ref="I1317:I1318"/>
    <mergeCell ref="J1317:J1318"/>
    <mergeCell ref="K1317:K1318"/>
    <mergeCell ref="L1317:L1318"/>
    <mergeCell ref="M1317:M1318"/>
    <mergeCell ref="B1317:B1318"/>
    <mergeCell ref="C1317:C1318"/>
    <mergeCell ref="D1317:D1318"/>
    <mergeCell ref="E1317:E1318"/>
    <mergeCell ref="F1317:F1318"/>
    <mergeCell ref="G1317:G1318"/>
    <mergeCell ref="H1315:H1316"/>
    <mergeCell ref="I1315:I1316"/>
    <mergeCell ref="J1315:J1316"/>
    <mergeCell ref="K1315:K1316"/>
    <mergeCell ref="L1315:L1316"/>
    <mergeCell ref="M1315:M1316"/>
    <mergeCell ref="B1315:B1316"/>
    <mergeCell ref="C1315:C1316"/>
    <mergeCell ref="D1315:D1316"/>
    <mergeCell ref="E1315:E1316"/>
    <mergeCell ref="F1315:F1316"/>
    <mergeCell ref="G1315:G1316"/>
    <mergeCell ref="H1313:H1314"/>
    <mergeCell ref="I1313:I1314"/>
    <mergeCell ref="J1313:J1314"/>
    <mergeCell ref="K1313:K1314"/>
    <mergeCell ref="L1313:L1314"/>
    <mergeCell ref="M1313:M1314"/>
    <mergeCell ref="B1313:B1314"/>
    <mergeCell ref="C1313:C1314"/>
    <mergeCell ref="D1313:D1314"/>
    <mergeCell ref="E1313:E1314"/>
    <mergeCell ref="F1313:F1314"/>
    <mergeCell ref="G1313:G1314"/>
    <mergeCell ref="E1111:F1111"/>
    <mergeCell ref="E1112:F1112"/>
    <mergeCell ref="E1113:F1113"/>
    <mergeCell ref="E1114:F1114"/>
    <mergeCell ref="E1115:F1115"/>
    <mergeCell ref="E1116:F1116"/>
    <mergeCell ref="E1105:F1105"/>
    <mergeCell ref="E1106:F1106"/>
    <mergeCell ref="E1107:F1107"/>
    <mergeCell ref="E1108:F1108"/>
    <mergeCell ref="E1109:F1109"/>
    <mergeCell ref="E1110:F1110"/>
    <mergeCell ref="E1099:F1099"/>
    <mergeCell ref="E1100:F1100"/>
    <mergeCell ref="E1101:F1101"/>
    <mergeCell ref="E1102:F1102"/>
    <mergeCell ref="E1103:F1103"/>
    <mergeCell ref="E1104:F1104"/>
    <mergeCell ref="E1093:F1093"/>
    <mergeCell ref="E1094:F1094"/>
    <mergeCell ref="E1095:F1095"/>
    <mergeCell ref="E1096:F1096"/>
    <mergeCell ref="E1097:F1097"/>
    <mergeCell ref="E1098:F1098"/>
    <mergeCell ref="E1087:F1087"/>
    <mergeCell ref="E1088:F1088"/>
    <mergeCell ref="E1089:F1089"/>
    <mergeCell ref="E1090:F1090"/>
    <mergeCell ref="E1091:F1091"/>
    <mergeCell ref="E1092:F1092"/>
    <mergeCell ref="H877:H878"/>
    <mergeCell ref="I877:I878"/>
    <mergeCell ref="J877:J878"/>
    <mergeCell ref="K877:K878"/>
    <mergeCell ref="L877:L878"/>
    <mergeCell ref="M877:M878"/>
    <mergeCell ref="A877:A878"/>
    <mergeCell ref="B877:B878"/>
    <mergeCell ref="D877:D878"/>
    <mergeCell ref="E877:E878"/>
    <mergeCell ref="F877:F878"/>
    <mergeCell ref="G877:G878"/>
    <mergeCell ref="H875:H876"/>
    <mergeCell ref="I875:I876"/>
    <mergeCell ref="J875:J876"/>
    <mergeCell ref="K875:K876"/>
    <mergeCell ref="L875:L876"/>
    <mergeCell ref="M875:M876"/>
    <mergeCell ref="A875:A876"/>
    <mergeCell ref="B875:B876"/>
    <mergeCell ref="D875:D876"/>
    <mergeCell ref="E875:E876"/>
    <mergeCell ref="F875:F876"/>
    <mergeCell ref="G875:G876"/>
    <mergeCell ref="E811:F811"/>
    <mergeCell ref="E812:F812"/>
    <mergeCell ref="E813:F813"/>
    <mergeCell ref="E814:F814"/>
    <mergeCell ref="E815:F815"/>
    <mergeCell ref="E816:F816"/>
    <mergeCell ref="E805:F805"/>
    <mergeCell ref="E806:F806"/>
    <mergeCell ref="E807:F807"/>
    <mergeCell ref="E808:F808"/>
    <mergeCell ref="E809:F809"/>
    <mergeCell ref="E810:F810"/>
    <mergeCell ref="E750:F750"/>
    <mergeCell ref="E751:F751"/>
    <mergeCell ref="E752:F752"/>
    <mergeCell ref="E802:F802"/>
    <mergeCell ref="E803:F803"/>
    <mergeCell ref="E804:F804"/>
    <mergeCell ref="E744:F744"/>
    <mergeCell ref="E745:F745"/>
    <mergeCell ref="E746:F746"/>
    <mergeCell ref="E747:F747"/>
    <mergeCell ref="E748:F748"/>
    <mergeCell ref="E749:F749"/>
    <mergeCell ref="E738:F738"/>
    <mergeCell ref="E739:F739"/>
    <mergeCell ref="E740:F740"/>
    <mergeCell ref="E741:F741"/>
    <mergeCell ref="E742:F742"/>
    <mergeCell ref="E743:F743"/>
    <mergeCell ref="E656:F656"/>
    <mergeCell ref="E657:F657"/>
    <mergeCell ref="E658:F658"/>
    <mergeCell ref="E659:F659"/>
    <mergeCell ref="E660:F660"/>
    <mergeCell ref="E661:F661"/>
    <mergeCell ref="E650:F650"/>
    <mergeCell ref="E651:F651"/>
    <mergeCell ref="E652:F652"/>
    <mergeCell ref="E653:F653"/>
    <mergeCell ref="E654:F654"/>
    <mergeCell ref="E655:F655"/>
    <mergeCell ref="E519:F519"/>
    <mergeCell ref="E520:F520"/>
    <mergeCell ref="E521:F521"/>
    <mergeCell ref="E647:F647"/>
    <mergeCell ref="E648:F648"/>
    <mergeCell ref="E649:F649"/>
    <mergeCell ref="E513:F513"/>
    <mergeCell ref="E514:F514"/>
    <mergeCell ref="E515:F515"/>
    <mergeCell ref="E516:F516"/>
    <mergeCell ref="E517:F517"/>
    <mergeCell ref="E518:F518"/>
    <mergeCell ref="E507:F507"/>
    <mergeCell ref="E508:F508"/>
    <mergeCell ref="E509:F509"/>
    <mergeCell ref="E510:F510"/>
    <mergeCell ref="E511:F511"/>
    <mergeCell ref="E512:F512"/>
    <mergeCell ref="E501:F501"/>
    <mergeCell ref="E502:F502"/>
    <mergeCell ref="E503:F503"/>
    <mergeCell ref="E504:F504"/>
    <mergeCell ref="E505:F505"/>
    <mergeCell ref="E506:F506"/>
    <mergeCell ref="E495:F495"/>
    <mergeCell ref="E496:F496"/>
    <mergeCell ref="E497:F497"/>
    <mergeCell ref="E498:F498"/>
    <mergeCell ref="E499:F499"/>
    <mergeCell ref="E500:F500"/>
    <mergeCell ref="E340:F340"/>
    <mergeCell ref="E341:F341"/>
    <mergeCell ref="E342:F342"/>
    <mergeCell ref="E492:F492"/>
    <mergeCell ref="E493:F493"/>
    <mergeCell ref="E494:F494"/>
    <mergeCell ref="E334:F334"/>
    <mergeCell ref="E335:F335"/>
    <mergeCell ref="E336:F336"/>
    <mergeCell ref="E337:F337"/>
    <mergeCell ref="E338:F338"/>
    <mergeCell ref="E339:F339"/>
    <mergeCell ref="E328:F328"/>
    <mergeCell ref="E329:F329"/>
    <mergeCell ref="E330:F330"/>
    <mergeCell ref="E331:F331"/>
    <mergeCell ref="E332:F332"/>
    <mergeCell ref="E333:F333"/>
    <mergeCell ref="E322:F322"/>
    <mergeCell ref="E323:F323"/>
    <mergeCell ref="E324:F324"/>
    <mergeCell ref="E325:F325"/>
    <mergeCell ref="E326:F326"/>
    <mergeCell ref="E327:F327"/>
    <mergeCell ref="E316:F316"/>
    <mergeCell ref="E317:F317"/>
    <mergeCell ref="E318:F318"/>
    <mergeCell ref="E319:F319"/>
    <mergeCell ref="E320:F320"/>
    <mergeCell ref="E321:F321"/>
    <mergeCell ref="E310:F310"/>
    <mergeCell ref="E311:F311"/>
    <mergeCell ref="E312:F312"/>
    <mergeCell ref="E313:F313"/>
    <mergeCell ref="E314:F314"/>
    <mergeCell ref="E315:F315"/>
    <mergeCell ref="B9:B11"/>
    <mergeCell ref="C9:C11"/>
    <mergeCell ref="B12:B14"/>
    <mergeCell ref="C12:C14"/>
    <mergeCell ref="B15:B17"/>
    <mergeCell ref="C15:C17"/>
    <mergeCell ref="E304:F304"/>
    <mergeCell ref="E305:F305"/>
    <mergeCell ref="E306:F306"/>
    <mergeCell ref="E307:F307"/>
    <mergeCell ref="E308:F308"/>
    <mergeCell ref="E309:F309"/>
    <mergeCell ref="E298:F298"/>
    <mergeCell ref="E299:F299"/>
    <mergeCell ref="E300:F300"/>
    <mergeCell ref="E301:F301"/>
    <mergeCell ref="E302:F302"/>
    <mergeCell ref="E303:F303"/>
    <mergeCell ref="B18:B20"/>
    <mergeCell ref="C18:C20"/>
    <mergeCell ref="B21:B23"/>
    <mergeCell ref="C21:C23"/>
    <mergeCell ref="B24:B26"/>
    <mergeCell ref="C24:C26"/>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C61CC-5C7A-46DC-A176-09593817668D}">
  <sheetPr>
    <tabColor theme="8" tint="0.79998168889431442"/>
    <pageSetUpPr fitToPage="1"/>
  </sheetPr>
  <dimension ref="B1:AF71"/>
  <sheetViews>
    <sheetView zoomScale="70" zoomScaleNormal="70" workbookViewId="0">
      <pane xSplit="2" ySplit="7" topLeftCell="R8" activePane="bottomRight" state="frozen"/>
      <selection pane="topRight" activeCell="J29" sqref="J29"/>
      <selection pane="bottomLeft" activeCell="J29" sqref="J29"/>
      <selection pane="bottomRight" activeCell="K31" sqref="K31"/>
    </sheetView>
  </sheetViews>
  <sheetFormatPr defaultRowHeight="14.4" x14ac:dyDescent="0.3"/>
  <cols>
    <col min="1" max="1" width="2.5546875" customWidth="1"/>
    <col min="2" max="2" width="6.88671875" style="9" customWidth="1"/>
    <col min="3" max="3" width="14.109375" customWidth="1"/>
    <col min="4" max="4" width="22.88671875" style="66" customWidth="1"/>
    <col min="5" max="5" width="29.109375" style="32" customWidth="1"/>
    <col min="6" max="6" width="22.109375" style="8" customWidth="1"/>
    <col min="7" max="7" width="15.88671875" style="8" customWidth="1"/>
    <col min="8" max="8" width="14.5546875" style="8" bestFit="1" customWidth="1"/>
    <col min="9" max="9" width="9.109375" style="8" customWidth="1"/>
    <col min="10" max="10" width="17.109375" style="27" bestFit="1" customWidth="1"/>
    <col min="11" max="11" width="22.44140625" style="8" bestFit="1" customWidth="1"/>
    <col min="12" max="12" width="18.5546875" style="43" bestFit="1" customWidth="1"/>
    <col min="13" max="13" width="24.109375" style="43" bestFit="1" customWidth="1"/>
    <col min="14" max="14" width="22.88671875" style="43" bestFit="1" customWidth="1"/>
    <col min="15" max="15" width="21.109375" style="8" bestFit="1" customWidth="1"/>
    <col min="16" max="16" width="22.109375" style="66" bestFit="1" customWidth="1"/>
    <col min="17" max="17" width="19.5546875" style="8" customWidth="1"/>
    <col min="18" max="18" width="17.109375" style="8" customWidth="1"/>
    <col min="19" max="19" width="13.5546875" style="8" bestFit="1" customWidth="1"/>
    <col min="20" max="20" width="19.109375" style="8" customWidth="1"/>
    <col min="23" max="23" width="43.109375" style="32" customWidth="1"/>
    <col min="25" max="25" width="29.109375" bestFit="1" customWidth="1"/>
    <col min="26" max="26" width="17.5546875" customWidth="1"/>
    <col min="27" max="27" width="12.44140625" customWidth="1"/>
    <col min="30" max="30" width="13.5546875" customWidth="1"/>
    <col min="31" max="31" width="12.88671875" customWidth="1"/>
    <col min="32" max="32" width="14.44140625" customWidth="1"/>
  </cols>
  <sheetData>
    <row r="1" spans="2:32" ht="40.35" customHeight="1" x14ac:dyDescent="0.3">
      <c r="B1" s="352" t="s">
        <v>413</v>
      </c>
      <c r="C1" s="352"/>
      <c r="D1" s="352"/>
      <c r="E1" s="352"/>
      <c r="F1" s="352"/>
      <c r="G1" s="352"/>
      <c r="H1" s="352"/>
      <c r="I1" s="352"/>
      <c r="J1" s="352"/>
      <c r="K1" s="352"/>
      <c r="L1" s="352"/>
      <c r="M1" s="352"/>
      <c r="N1" s="352"/>
      <c r="O1" s="313"/>
      <c r="P1" s="313"/>
      <c r="Q1" s="210"/>
      <c r="R1" s="210"/>
      <c r="S1" s="210"/>
      <c r="T1" s="210"/>
      <c r="U1" s="210"/>
      <c r="V1" s="210"/>
      <c r="W1" s="210"/>
    </row>
    <row r="2" spans="2:32" ht="15.6" x14ac:dyDescent="0.3">
      <c r="B2" s="117"/>
      <c r="C2" s="31"/>
      <c r="D2" s="117"/>
      <c r="E2" s="117"/>
      <c r="F2" s="31"/>
      <c r="G2" s="117"/>
      <c r="H2" s="117"/>
      <c r="I2" s="117"/>
      <c r="J2" s="25"/>
      <c r="K2" s="117"/>
      <c r="L2" s="117"/>
      <c r="M2" s="117"/>
      <c r="N2" s="117"/>
      <c r="O2" s="117"/>
      <c r="P2" s="117"/>
      <c r="Q2" s="117"/>
      <c r="R2" s="117"/>
      <c r="S2" s="117"/>
      <c r="T2" s="117"/>
      <c r="U2" s="117"/>
      <c r="V2" s="31"/>
      <c r="W2" s="31"/>
    </row>
    <row r="3" spans="2:32" x14ac:dyDescent="0.3">
      <c r="D3" s="5" t="s">
        <v>68</v>
      </c>
      <c r="E3" s="5" t="e">
        <f>#REF!</f>
        <v>#REF!</v>
      </c>
      <c r="F3" s="32"/>
      <c r="L3"/>
      <c r="M3"/>
      <c r="N3"/>
      <c r="P3"/>
      <c r="V3" s="32"/>
    </row>
    <row r="4" spans="2:32" ht="18" x14ac:dyDescent="0.35">
      <c r="D4" s="5" t="s">
        <v>69</v>
      </c>
      <c r="E4" s="230" t="e">
        <f>#REF!</f>
        <v>#REF!</v>
      </c>
      <c r="F4" s="5"/>
      <c r="G4" s="116"/>
      <c r="H4" s="116"/>
      <c r="I4" s="116"/>
      <c r="L4"/>
      <c r="M4"/>
      <c r="N4"/>
      <c r="O4" s="116"/>
      <c r="P4" s="5"/>
      <c r="Q4" s="149"/>
      <c r="R4" s="116"/>
      <c r="S4" s="116"/>
      <c r="T4" s="149"/>
      <c r="U4" s="5"/>
      <c r="V4" s="5"/>
      <c r="W4" s="5"/>
      <c r="X4" s="5"/>
    </row>
    <row r="5" spans="2:32" ht="18.600000000000001" thickBot="1" x14ac:dyDescent="0.4">
      <c r="D5" s="5" t="s">
        <v>275</v>
      </c>
      <c r="E5" s="230" t="e">
        <f>#REF!</f>
        <v>#REF!</v>
      </c>
      <c r="F5" s="5"/>
      <c r="G5" s="116"/>
      <c r="H5" s="116"/>
      <c r="I5" s="116"/>
      <c r="M5"/>
      <c r="N5"/>
      <c r="O5" s="116"/>
      <c r="P5" s="5"/>
      <c r="Q5" s="149"/>
      <c r="R5" s="116"/>
      <c r="S5" s="116"/>
      <c r="T5" s="149"/>
      <c r="U5" s="5"/>
      <c r="V5" s="5"/>
      <c r="W5" s="5"/>
      <c r="X5" s="5"/>
      <c r="Y5" s="354" t="s">
        <v>277</v>
      </c>
      <c r="Z5" s="390"/>
    </row>
    <row r="6" spans="2:32" ht="15" thickBot="1" x14ac:dyDescent="0.35">
      <c r="D6" s="341"/>
      <c r="O6" s="294" t="s">
        <v>282</v>
      </c>
      <c r="P6" s="296"/>
      <c r="Q6" s="749" t="s">
        <v>283</v>
      </c>
      <c r="R6" s="750"/>
      <c r="S6" s="750"/>
      <c r="T6" s="751"/>
    </row>
    <row r="7" spans="2:32" s="265" customFormat="1" ht="31.2" x14ac:dyDescent="0.3">
      <c r="B7" s="261" t="s">
        <v>372</v>
      </c>
      <c r="C7" s="261" t="s">
        <v>373</v>
      </c>
      <c r="D7" s="263" t="s">
        <v>227</v>
      </c>
      <c r="E7" s="263" t="s">
        <v>231</v>
      </c>
      <c r="F7" s="263" t="s">
        <v>236</v>
      </c>
      <c r="G7" s="263" t="s">
        <v>237</v>
      </c>
      <c r="H7" s="263" t="s">
        <v>238</v>
      </c>
      <c r="I7" s="263" t="s">
        <v>230</v>
      </c>
      <c r="J7" s="263" t="s">
        <v>375</v>
      </c>
      <c r="K7" s="263" t="s">
        <v>234</v>
      </c>
      <c r="L7" s="263" t="s">
        <v>376</v>
      </c>
      <c r="M7" s="264" t="s">
        <v>377</v>
      </c>
      <c r="N7" s="263" t="s">
        <v>378</v>
      </c>
      <c r="O7" s="263" t="s">
        <v>379</v>
      </c>
      <c r="P7" s="295" t="s">
        <v>380</v>
      </c>
      <c r="Q7" s="263" t="s">
        <v>381</v>
      </c>
      <c r="R7" s="263" t="s">
        <v>382</v>
      </c>
      <c r="S7" s="263" t="s">
        <v>383</v>
      </c>
      <c r="T7" s="263" t="s">
        <v>384</v>
      </c>
      <c r="U7" s="13" t="s">
        <v>414</v>
      </c>
      <c r="V7" s="13" t="s">
        <v>415</v>
      </c>
      <c r="W7" s="263" t="s">
        <v>385</v>
      </c>
      <c r="Y7" s="369" t="s">
        <v>246</v>
      </c>
      <c r="Z7" s="369" t="s">
        <v>247</v>
      </c>
      <c r="AA7" s="369" t="s">
        <v>248</v>
      </c>
      <c r="AB7" s="369" t="s">
        <v>249</v>
      </c>
      <c r="AC7" s="369" t="s">
        <v>250</v>
      </c>
      <c r="AD7" s="370" t="s">
        <v>251</v>
      </c>
      <c r="AE7" s="369" t="s">
        <v>252</v>
      </c>
      <c r="AF7" s="369" t="s">
        <v>253</v>
      </c>
    </row>
    <row r="8" spans="2:32" ht="15.6" x14ac:dyDescent="0.3">
      <c r="B8" s="11"/>
      <c r="C8" s="16"/>
      <c r="D8" s="35"/>
      <c r="E8" s="35"/>
      <c r="F8" s="35"/>
      <c r="G8" s="29"/>
      <c r="H8" s="70"/>
      <c r="I8" s="29"/>
      <c r="J8" s="120"/>
      <c r="K8" s="82"/>
      <c r="L8" s="42"/>
      <c r="M8" s="51"/>
      <c r="N8" s="42"/>
      <c r="O8" s="70"/>
      <c r="P8" s="29"/>
      <c r="Q8" s="150"/>
      <c r="R8" s="29"/>
      <c r="S8" s="29"/>
      <c r="T8" s="29"/>
      <c r="U8" s="86"/>
      <c r="V8" s="86"/>
      <c r="W8" s="35"/>
      <c r="Y8" s="371" t="s">
        <v>113</v>
      </c>
      <c r="Z8" s="372"/>
      <c r="AA8" s="372"/>
      <c r="AB8" s="372"/>
      <c r="AC8" s="372"/>
      <c r="AD8" s="373"/>
      <c r="AE8" s="374"/>
      <c r="AF8" s="375"/>
    </row>
    <row r="9" spans="2:32" ht="15" customHeight="1" x14ac:dyDescent="0.3">
      <c r="B9" s="11">
        <v>1</v>
      </c>
      <c r="C9" s="16"/>
      <c r="D9" s="35"/>
      <c r="E9" s="35"/>
      <c r="F9" s="35"/>
      <c r="G9" s="29"/>
      <c r="H9" s="29"/>
      <c r="I9" s="29"/>
      <c r="J9" s="120"/>
      <c r="K9" s="82"/>
      <c r="L9" s="170">
        <v>0</v>
      </c>
      <c r="M9" s="51">
        <v>0</v>
      </c>
      <c r="N9" s="42">
        <f>L9-M9</f>
        <v>0</v>
      </c>
      <c r="O9" s="29"/>
      <c r="P9" s="29"/>
      <c r="Q9" s="150"/>
      <c r="R9" s="29"/>
      <c r="S9" s="29"/>
      <c r="T9" s="29"/>
      <c r="U9" s="86"/>
      <c r="V9" s="86"/>
      <c r="W9" s="35"/>
      <c r="Y9" s="378">
        <f>D9</f>
        <v>0</v>
      </c>
      <c r="Z9" s="376">
        <f>E9</f>
        <v>0</v>
      </c>
      <c r="AA9" s="376">
        <f>F9</f>
        <v>0</v>
      </c>
      <c r="AB9" s="376">
        <f>G9</f>
        <v>0</v>
      </c>
      <c r="AC9" s="376">
        <f>H9</f>
        <v>0</v>
      </c>
      <c r="AD9" s="373">
        <f>J9</f>
        <v>0</v>
      </c>
      <c r="AE9" s="377">
        <f>K9</f>
        <v>0</v>
      </c>
      <c r="AF9" s="375">
        <f>N9</f>
        <v>0</v>
      </c>
    </row>
    <row r="10" spans="2:32" ht="15" customHeight="1" x14ac:dyDescent="0.3">
      <c r="B10" s="11">
        <v>2</v>
      </c>
      <c r="C10" s="16"/>
      <c r="D10" s="35"/>
      <c r="E10" s="35"/>
      <c r="F10" s="35"/>
      <c r="G10" s="29"/>
      <c r="H10" s="29"/>
      <c r="I10" s="29"/>
      <c r="J10" s="120"/>
      <c r="K10" s="83"/>
      <c r="L10" s="170">
        <v>0</v>
      </c>
      <c r="M10" s="51">
        <v>0</v>
      </c>
      <c r="N10" s="42">
        <f t="shared" ref="N10:N39" si="0">L10-M10</f>
        <v>0</v>
      </c>
      <c r="O10" s="29"/>
      <c r="P10" s="29"/>
      <c r="Q10" s="150"/>
      <c r="R10" s="29"/>
      <c r="S10" s="29"/>
      <c r="T10" s="29"/>
      <c r="U10" s="86"/>
      <c r="V10" s="86"/>
      <c r="W10" s="35"/>
      <c r="Y10" s="378">
        <f t="shared" ref="Y10:Y40" si="1">D10</f>
        <v>0</v>
      </c>
      <c r="Z10" s="376">
        <f t="shared" ref="Z10:Z40" si="2">E10</f>
        <v>0</v>
      </c>
      <c r="AA10" s="376">
        <f t="shared" ref="AA10:AA40" si="3">F10</f>
        <v>0</v>
      </c>
      <c r="AB10" s="376">
        <f t="shared" ref="AB10:AB40" si="4">G10</f>
        <v>0</v>
      </c>
      <c r="AC10" s="376">
        <f t="shared" ref="AC10:AC40" si="5">H10</f>
        <v>0</v>
      </c>
      <c r="AD10" s="373">
        <f t="shared" ref="AD10:AD40" si="6">J10</f>
        <v>0</v>
      </c>
      <c r="AE10" s="377">
        <f t="shared" ref="AE10:AE40" si="7">K10</f>
        <v>0</v>
      </c>
      <c r="AF10" s="375">
        <f t="shared" ref="AF10:AF40" si="8">N10</f>
        <v>0</v>
      </c>
    </row>
    <row r="11" spans="2:32" ht="15.6" x14ac:dyDescent="0.3">
      <c r="B11" s="11">
        <v>3</v>
      </c>
      <c r="C11" s="16"/>
      <c r="D11" s="35"/>
      <c r="E11" s="35"/>
      <c r="F11" s="35"/>
      <c r="G11" s="29"/>
      <c r="H11" s="29"/>
      <c r="I11" s="29"/>
      <c r="J11" s="120"/>
      <c r="K11" s="84"/>
      <c r="L11" s="170">
        <v>0</v>
      </c>
      <c r="M11" s="51">
        <v>0</v>
      </c>
      <c r="N11" s="42">
        <f t="shared" si="0"/>
        <v>0</v>
      </c>
      <c r="O11" s="29"/>
      <c r="P11" s="29"/>
      <c r="Q11" s="150"/>
      <c r="R11" s="29"/>
      <c r="S11" s="29"/>
      <c r="T11" s="29"/>
      <c r="U11" s="86"/>
      <c r="V11" s="86"/>
      <c r="W11" s="35"/>
      <c r="Y11" s="378">
        <f t="shared" si="1"/>
        <v>0</v>
      </c>
      <c r="Z11" s="376">
        <f t="shared" si="2"/>
        <v>0</v>
      </c>
      <c r="AA11" s="376">
        <f t="shared" si="3"/>
        <v>0</v>
      </c>
      <c r="AB11" s="376">
        <f t="shared" si="4"/>
        <v>0</v>
      </c>
      <c r="AC11" s="376">
        <f t="shared" si="5"/>
        <v>0</v>
      </c>
      <c r="AD11" s="373">
        <f t="shared" si="6"/>
        <v>0</v>
      </c>
      <c r="AE11" s="377">
        <f t="shared" si="7"/>
        <v>0</v>
      </c>
      <c r="AF11" s="375">
        <f t="shared" si="8"/>
        <v>0</v>
      </c>
    </row>
    <row r="12" spans="2:32" ht="15" customHeight="1" x14ac:dyDescent="0.3">
      <c r="B12" s="11">
        <v>4</v>
      </c>
      <c r="C12" s="16"/>
      <c r="D12" s="35"/>
      <c r="E12" s="35"/>
      <c r="F12" s="35"/>
      <c r="G12" s="29"/>
      <c r="H12" s="29"/>
      <c r="I12" s="29"/>
      <c r="J12" s="120"/>
      <c r="K12" s="84"/>
      <c r="L12" s="170">
        <v>0</v>
      </c>
      <c r="M12" s="51">
        <v>0</v>
      </c>
      <c r="N12" s="42">
        <f t="shared" si="0"/>
        <v>0</v>
      </c>
      <c r="O12" s="29"/>
      <c r="P12" s="29"/>
      <c r="Q12" s="150"/>
      <c r="R12" s="29"/>
      <c r="S12" s="29"/>
      <c r="T12" s="29"/>
      <c r="U12" s="86"/>
      <c r="V12" s="86"/>
      <c r="W12" s="35"/>
      <c r="Y12" s="378">
        <f t="shared" si="1"/>
        <v>0</v>
      </c>
      <c r="Z12" s="376">
        <f t="shared" si="2"/>
        <v>0</v>
      </c>
      <c r="AA12" s="376">
        <f t="shared" si="3"/>
        <v>0</v>
      </c>
      <c r="AB12" s="376">
        <f t="shared" si="4"/>
        <v>0</v>
      </c>
      <c r="AC12" s="376">
        <f t="shared" si="5"/>
        <v>0</v>
      </c>
      <c r="AD12" s="373">
        <f t="shared" si="6"/>
        <v>0</v>
      </c>
      <c r="AE12" s="377">
        <f t="shared" si="7"/>
        <v>0</v>
      </c>
      <c r="AF12" s="375">
        <f t="shared" si="8"/>
        <v>0</v>
      </c>
    </row>
    <row r="13" spans="2:32" ht="15.6" x14ac:dyDescent="0.3">
      <c r="B13" s="11">
        <v>5</v>
      </c>
      <c r="C13" s="16"/>
      <c r="D13" s="35"/>
      <c r="F13" s="35"/>
      <c r="G13" s="29"/>
      <c r="H13" s="29"/>
      <c r="I13" s="29"/>
      <c r="J13" s="120"/>
      <c r="K13" s="82"/>
      <c r="L13" s="170">
        <v>0</v>
      </c>
      <c r="M13" s="51">
        <v>0</v>
      </c>
      <c r="N13" s="42">
        <f t="shared" si="0"/>
        <v>0</v>
      </c>
      <c r="O13" s="29"/>
      <c r="P13" s="29"/>
      <c r="Q13" s="150"/>
      <c r="R13" s="29"/>
      <c r="S13" s="29"/>
      <c r="T13" s="29"/>
      <c r="U13" s="86"/>
      <c r="V13" s="86"/>
      <c r="W13" s="35"/>
      <c r="Y13" s="378">
        <f t="shared" si="1"/>
        <v>0</v>
      </c>
      <c r="Z13" s="376">
        <f t="shared" si="2"/>
        <v>0</v>
      </c>
      <c r="AA13" s="376">
        <f t="shared" si="3"/>
        <v>0</v>
      </c>
      <c r="AB13" s="376">
        <f t="shared" si="4"/>
        <v>0</v>
      </c>
      <c r="AC13" s="376">
        <f t="shared" si="5"/>
        <v>0</v>
      </c>
      <c r="AD13" s="373">
        <f t="shared" si="6"/>
        <v>0</v>
      </c>
      <c r="AE13" s="377">
        <f t="shared" si="7"/>
        <v>0</v>
      </c>
      <c r="AF13" s="375">
        <f t="shared" si="8"/>
        <v>0</v>
      </c>
    </row>
    <row r="14" spans="2:32" ht="15.6" x14ac:dyDescent="0.3">
      <c r="B14" s="11">
        <v>6</v>
      </c>
      <c r="C14" s="16"/>
      <c r="D14" s="35"/>
      <c r="E14" s="35"/>
      <c r="F14" s="35"/>
      <c r="G14" s="29"/>
      <c r="H14" s="29"/>
      <c r="I14" s="29"/>
      <c r="J14" s="120"/>
      <c r="K14" s="82"/>
      <c r="L14" s="170">
        <v>0</v>
      </c>
      <c r="M14" s="51">
        <v>0</v>
      </c>
      <c r="N14" s="42">
        <f t="shared" si="0"/>
        <v>0</v>
      </c>
      <c r="O14" s="29"/>
      <c r="P14" s="29"/>
      <c r="Q14" s="150"/>
      <c r="R14" s="29"/>
      <c r="S14" s="29"/>
      <c r="T14" s="29"/>
      <c r="U14" s="86"/>
      <c r="V14" s="86"/>
      <c r="W14" s="35"/>
      <c r="Y14" s="378">
        <f t="shared" si="1"/>
        <v>0</v>
      </c>
      <c r="Z14" s="376">
        <f t="shared" si="2"/>
        <v>0</v>
      </c>
      <c r="AA14" s="376">
        <f t="shared" si="3"/>
        <v>0</v>
      </c>
      <c r="AB14" s="376">
        <f t="shared" si="4"/>
        <v>0</v>
      </c>
      <c r="AC14" s="376">
        <f t="shared" si="5"/>
        <v>0</v>
      </c>
      <c r="AD14" s="373">
        <f t="shared" si="6"/>
        <v>0</v>
      </c>
      <c r="AE14" s="377">
        <f t="shared" si="7"/>
        <v>0</v>
      </c>
      <c r="AF14" s="375">
        <f t="shared" si="8"/>
        <v>0</v>
      </c>
    </row>
    <row r="15" spans="2:32" ht="15" customHeight="1" x14ac:dyDescent="0.3">
      <c r="B15" s="11">
        <v>7</v>
      </c>
      <c r="C15" s="16"/>
      <c r="D15" s="35"/>
      <c r="E15" s="35"/>
      <c r="F15" s="35"/>
      <c r="G15" s="29"/>
      <c r="H15" s="70"/>
      <c r="I15" s="29"/>
      <c r="J15" s="120"/>
      <c r="K15" s="83"/>
      <c r="L15" s="170">
        <v>0</v>
      </c>
      <c r="M15" s="51">
        <v>0</v>
      </c>
      <c r="N15" s="42">
        <f t="shared" si="0"/>
        <v>0</v>
      </c>
      <c r="O15" s="70"/>
      <c r="P15" s="29"/>
      <c r="Q15" s="150"/>
      <c r="R15" s="29"/>
      <c r="S15" s="29"/>
      <c r="T15" s="29"/>
      <c r="U15" s="86"/>
      <c r="V15" s="86"/>
      <c r="W15" s="35"/>
      <c r="Y15" s="378">
        <f t="shared" si="1"/>
        <v>0</v>
      </c>
      <c r="Z15" s="376">
        <f t="shared" si="2"/>
        <v>0</v>
      </c>
      <c r="AA15" s="376">
        <f t="shared" si="3"/>
        <v>0</v>
      </c>
      <c r="AB15" s="376">
        <f t="shared" si="4"/>
        <v>0</v>
      </c>
      <c r="AC15" s="376">
        <f t="shared" si="5"/>
        <v>0</v>
      </c>
      <c r="AD15" s="373">
        <f t="shared" si="6"/>
        <v>0</v>
      </c>
      <c r="AE15" s="377">
        <f t="shared" si="7"/>
        <v>0</v>
      </c>
      <c r="AF15" s="375">
        <f t="shared" si="8"/>
        <v>0</v>
      </c>
    </row>
    <row r="16" spans="2:32" ht="15.6" x14ac:dyDescent="0.3">
      <c r="B16" s="11">
        <v>8</v>
      </c>
      <c r="C16" s="16"/>
      <c r="D16" s="35"/>
      <c r="E16" s="35"/>
      <c r="F16" s="35"/>
      <c r="G16" s="29"/>
      <c r="H16" s="70"/>
      <c r="I16" s="29"/>
      <c r="J16" s="120"/>
      <c r="K16" s="83"/>
      <c r="L16" s="170">
        <v>0</v>
      </c>
      <c r="M16" s="51">
        <v>0</v>
      </c>
      <c r="N16" s="42">
        <f t="shared" si="0"/>
        <v>0</v>
      </c>
      <c r="O16" s="70"/>
      <c r="P16" s="29"/>
      <c r="Q16" s="150"/>
      <c r="R16" s="29"/>
      <c r="S16" s="29"/>
      <c r="T16" s="29"/>
      <c r="U16" s="86"/>
      <c r="V16" s="86"/>
      <c r="W16" s="35"/>
      <c r="Y16" s="378">
        <f t="shared" si="1"/>
        <v>0</v>
      </c>
      <c r="Z16" s="376">
        <f t="shared" si="2"/>
        <v>0</v>
      </c>
      <c r="AA16" s="376">
        <f t="shared" si="3"/>
        <v>0</v>
      </c>
      <c r="AB16" s="376">
        <f t="shared" si="4"/>
        <v>0</v>
      </c>
      <c r="AC16" s="376">
        <f t="shared" si="5"/>
        <v>0</v>
      </c>
      <c r="AD16" s="373">
        <f t="shared" si="6"/>
        <v>0</v>
      </c>
      <c r="AE16" s="377">
        <f t="shared" si="7"/>
        <v>0</v>
      </c>
      <c r="AF16" s="375">
        <f t="shared" si="8"/>
        <v>0</v>
      </c>
    </row>
    <row r="17" spans="2:32" ht="15.6" x14ac:dyDescent="0.3">
      <c r="B17" s="11">
        <v>9</v>
      </c>
      <c r="C17" s="16"/>
      <c r="D17" s="35"/>
      <c r="E17" s="35"/>
      <c r="F17" s="35"/>
      <c r="G17" s="29"/>
      <c r="H17" s="70"/>
      <c r="I17" s="29"/>
      <c r="J17" s="120"/>
      <c r="K17" s="83"/>
      <c r="L17" s="170">
        <v>0</v>
      </c>
      <c r="M17" s="51">
        <v>0</v>
      </c>
      <c r="N17" s="42">
        <f t="shared" si="0"/>
        <v>0</v>
      </c>
      <c r="O17" s="70"/>
      <c r="P17" s="29"/>
      <c r="Q17" s="150"/>
      <c r="R17" s="29"/>
      <c r="S17" s="29"/>
      <c r="T17" s="29"/>
      <c r="U17" s="86"/>
      <c r="V17" s="86"/>
      <c r="W17" s="35"/>
      <c r="Y17" s="378">
        <f t="shared" si="1"/>
        <v>0</v>
      </c>
      <c r="Z17" s="376">
        <f t="shared" si="2"/>
        <v>0</v>
      </c>
      <c r="AA17" s="376">
        <f t="shared" si="3"/>
        <v>0</v>
      </c>
      <c r="AB17" s="376">
        <f t="shared" si="4"/>
        <v>0</v>
      </c>
      <c r="AC17" s="376">
        <f t="shared" si="5"/>
        <v>0</v>
      </c>
      <c r="AD17" s="373">
        <f t="shared" si="6"/>
        <v>0</v>
      </c>
      <c r="AE17" s="377">
        <f t="shared" si="7"/>
        <v>0</v>
      </c>
      <c r="AF17" s="375">
        <f t="shared" si="8"/>
        <v>0</v>
      </c>
    </row>
    <row r="18" spans="2:32" ht="15" customHeight="1" x14ac:dyDescent="0.3">
      <c r="B18" s="11">
        <v>10</v>
      </c>
      <c r="C18" s="16"/>
      <c r="D18" s="35"/>
      <c r="E18" s="35"/>
      <c r="F18" s="35"/>
      <c r="G18" s="29"/>
      <c r="H18" s="29"/>
      <c r="I18" s="29"/>
      <c r="J18" s="120"/>
      <c r="K18" s="83"/>
      <c r="L18" s="170">
        <v>0</v>
      </c>
      <c r="M18" s="51">
        <v>0</v>
      </c>
      <c r="N18" s="42">
        <f t="shared" si="0"/>
        <v>0</v>
      </c>
      <c r="O18" s="29"/>
      <c r="P18" s="29"/>
      <c r="Q18" s="150"/>
      <c r="R18" s="29"/>
      <c r="S18" s="29"/>
      <c r="T18" s="29"/>
      <c r="U18" s="86"/>
      <c r="V18" s="86"/>
      <c r="W18" s="35"/>
      <c r="Y18" s="378">
        <f t="shared" si="1"/>
        <v>0</v>
      </c>
      <c r="Z18" s="376">
        <f t="shared" si="2"/>
        <v>0</v>
      </c>
      <c r="AA18" s="376">
        <f t="shared" si="3"/>
        <v>0</v>
      </c>
      <c r="AB18" s="376">
        <f t="shared" si="4"/>
        <v>0</v>
      </c>
      <c r="AC18" s="376">
        <f t="shared" si="5"/>
        <v>0</v>
      </c>
      <c r="AD18" s="373">
        <f t="shared" si="6"/>
        <v>0</v>
      </c>
      <c r="AE18" s="377">
        <f t="shared" si="7"/>
        <v>0</v>
      </c>
      <c r="AF18" s="375">
        <f t="shared" si="8"/>
        <v>0</v>
      </c>
    </row>
    <row r="19" spans="2:32" ht="15" customHeight="1" x14ac:dyDescent="0.3">
      <c r="B19" s="11">
        <v>11</v>
      </c>
      <c r="C19" s="16"/>
      <c r="D19" s="35"/>
      <c r="E19" s="35"/>
      <c r="F19" s="35"/>
      <c r="G19" s="29"/>
      <c r="H19" s="70"/>
      <c r="I19" s="29"/>
      <c r="J19" s="120"/>
      <c r="K19" s="69"/>
      <c r="L19" s="170">
        <v>0</v>
      </c>
      <c r="M19" s="51">
        <v>0</v>
      </c>
      <c r="N19" s="42">
        <f t="shared" si="0"/>
        <v>0</v>
      </c>
      <c r="O19" s="70"/>
      <c r="P19" s="29"/>
      <c r="Q19" s="150"/>
      <c r="R19" s="29"/>
      <c r="S19" s="29"/>
      <c r="T19" s="29"/>
      <c r="U19" s="86"/>
      <c r="V19" s="86"/>
      <c r="W19" s="35"/>
      <c r="Y19" s="378">
        <f t="shared" si="1"/>
        <v>0</v>
      </c>
      <c r="Z19" s="376">
        <f t="shared" si="2"/>
        <v>0</v>
      </c>
      <c r="AA19" s="376">
        <f t="shared" si="3"/>
        <v>0</v>
      </c>
      <c r="AB19" s="376">
        <f t="shared" si="4"/>
        <v>0</v>
      </c>
      <c r="AC19" s="376">
        <f t="shared" si="5"/>
        <v>0</v>
      </c>
      <c r="AD19" s="373">
        <f t="shared" si="6"/>
        <v>0</v>
      </c>
      <c r="AE19" s="377">
        <f t="shared" si="7"/>
        <v>0</v>
      </c>
      <c r="AF19" s="375">
        <f t="shared" si="8"/>
        <v>0</v>
      </c>
    </row>
    <row r="20" spans="2:32" ht="15" customHeight="1" x14ac:dyDescent="0.3">
      <c r="B20" s="11">
        <v>12</v>
      </c>
      <c r="C20" s="16"/>
      <c r="D20" s="35"/>
      <c r="E20" s="35"/>
      <c r="F20" s="35"/>
      <c r="G20" s="29"/>
      <c r="H20" s="70"/>
      <c r="I20" s="29"/>
      <c r="J20" s="120"/>
      <c r="K20" s="83"/>
      <c r="L20" s="170">
        <v>0</v>
      </c>
      <c r="M20" s="51">
        <v>0</v>
      </c>
      <c r="N20" s="42">
        <f t="shared" si="0"/>
        <v>0</v>
      </c>
      <c r="O20" s="70"/>
      <c r="P20" s="29"/>
      <c r="Q20" s="150"/>
      <c r="R20" s="29"/>
      <c r="S20" s="29"/>
      <c r="T20" s="29"/>
      <c r="U20" s="86"/>
      <c r="V20" s="86"/>
      <c r="W20" s="35"/>
      <c r="Y20" s="378">
        <f t="shared" si="1"/>
        <v>0</v>
      </c>
      <c r="Z20" s="376">
        <f t="shared" si="2"/>
        <v>0</v>
      </c>
      <c r="AA20" s="376">
        <f t="shared" si="3"/>
        <v>0</v>
      </c>
      <c r="AB20" s="376">
        <f t="shared" si="4"/>
        <v>0</v>
      </c>
      <c r="AC20" s="376">
        <f t="shared" si="5"/>
        <v>0</v>
      </c>
      <c r="AD20" s="373">
        <f t="shared" si="6"/>
        <v>0</v>
      </c>
      <c r="AE20" s="377">
        <f t="shared" si="7"/>
        <v>0</v>
      </c>
      <c r="AF20" s="375">
        <f t="shared" si="8"/>
        <v>0</v>
      </c>
    </row>
    <row r="21" spans="2:32" ht="15" customHeight="1" x14ac:dyDescent="0.3">
      <c r="B21" s="11">
        <v>13</v>
      </c>
      <c r="C21" s="16"/>
      <c r="D21" s="35"/>
      <c r="E21" s="35"/>
      <c r="F21" s="35"/>
      <c r="G21" s="29"/>
      <c r="H21" s="70"/>
      <c r="I21" s="29"/>
      <c r="J21" s="120"/>
      <c r="K21" s="83"/>
      <c r="L21" s="170">
        <v>0</v>
      </c>
      <c r="M21" s="51">
        <v>0</v>
      </c>
      <c r="N21" s="42">
        <f t="shared" si="0"/>
        <v>0</v>
      </c>
      <c r="O21" s="70"/>
      <c r="P21" s="29"/>
      <c r="Q21" s="150"/>
      <c r="R21" s="29"/>
      <c r="S21" s="29"/>
      <c r="T21" s="29"/>
      <c r="U21" s="86"/>
      <c r="V21" s="86"/>
      <c r="W21" s="35"/>
      <c r="Y21" s="378">
        <f t="shared" si="1"/>
        <v>0</v>
      </c>
      <c r="Z21" s="376">
        <f t="shared" si="2"/>
        <v>0</v>
      </c>
      <c r="AA21" s="376">
        <f t="shared" si="3"/>
        <v>0</v>
      </c>
      <c r="AB21" s="376">
        <f t="shared" si="4"/>
        <v>0</v>
      </c>
      <c r="AC21" s="376">
        <f t="shared" si="5"/>
        <v>0</v>
      </c>
      <c r="AD21" s="373">
        <f t="shared" si="6"/>
        <v>0</v>
      </c>
      <c r="AE21" s="377">
        <f t="shared" si="7"/>
        <v>0</v>
      </c>
      <c r="AF21" s="375">
        <f t="shared" si="8"/>
        <v>0</v>
      </c>
    </row>
    <row r="22" spans="2:32" ht="15" customHeight="1" x14ac:dyDescent="0.3">
      <c r="B22" s="11">
        <v>14</v>
      </c>
      <c r="C22" s="16"/>
      <c r="D22" s="35"/>
      <c r="E22" s="35"/>
      <c r="F22" s="35"/>
      <c r="G22" s="29"/>
      <c r="H22" s="70"/>
      <c r="I22" s="29"/>
      <c r="J22" s="120"/>
      <c r="K22" s="83"/>
      <c r="L22" s="170">
        <v>0</v>
      </c>
      <c r="M22" s="51">
        <v>0</v>
      </c>
      <c r="N22" s="42">
        <f t="shared" si="0"/>
        <v>0</v>
      </c>
      <c r="O22" s="70"/>
      <c r="P22" s="29"/>
      <c r="Q22" s="150"/>
      <c r="R22" s="29"/>
      <c r="S22" s="29"/>
      <c r="T22" s="29"/>
      <c r="U22" s="86"/>
      <c r="V22" s="86"/>
      <c r="W22" s="35"/>
      <c r="Y22" s="378">
        <f t="shared" si="1"/>
        <v>0</v>
      </c>
      <c r="Z22" s="376">
        <f t="shared" si="2"/>
        <v>0</v>
      </c>
      <c r="AA22" s="376">
        <f t="shared" si="3"/>
        <v>0</v>
      </c>
      <c r="AB22" s="376">
        <f t="shared" si="4"/>
        <v>0</v>
      </c>
      <c r="AC22" s="376">
        <f t="shared" si="5"/>
        <v>0</v>
      </c>
      <c r="AD22" s="373">
        <f t="shared" si="6"/>
        <v>0</v>
      </c>
      <c r="AE22" s="377">
        <f t="shared" si="7"/>
        <v>0</v>
      </c>
      <c r="AF22" s="375">
        <f t="shared" si="8"/>
        <v>0</v>
      </c>
    </row>
    <row r="23" spans="2:32" ht="15" customHeight="1" x14ac:dyDescent="0.3">
      <c r="B23" s="11">
        <v>15</v>
      </c>
      <c r="C23" s="16"/>
      <c r="D23" s="35"/>
      <c r="E23" s="35"/>
      <c r="F23" s="35"/>
      <c r="G23" s="29"/>
      <c r="H23" s="70"/>
      <c r="I23" s="29"/>
      <c r="J23" s="120"/>
      <c r="K23" s="83"/>
      <c r="L23" s="170">
        <v>0</v>
      </c>
      <c r="M23" s="51">
        <v>0</v>
      </c>
      <c r="N23" s="42">
        <f t="shared" si="0"/>
        <v>0</v>
      </c>
      <c r="O23" s="70"/>
      <c r="P23" s="29"/>
      <c r="Q23" s="150"/>
      <c r="R23" s="29"/>
      <c r="S23" s="29"/>
      <c r="T23" s="29"/>
      <c r="U23" s="86"/>
      <c r="V23" s="86"/>
      <c r="W23" s="35"/>
      <c r="Y23" s="378">
        <f t="shared" si="1"/>
        <v>0</v>
      </c>
      <c r="Z23" s="376">
        <f t="shared" si="2"/>
        <v>0</v>
      </c>
      <c r="AA23" s="376">
        <f t="shared" si="3"/>
        <v>0</v>
      </c>
      <c r="AB23" s="376">
        <f t="shared" si="4"/>
        <v>0</v>
      </c>
      <c r="AC23" s="376">
        <f t="shared" si="5"/>
        <v>0</v>
      </c>
      <c r="AD23" s="373">
        <f t="shared" si="6"/>
        <v>0</v>
      </c>
      <c r="AE23" s="377">
        <f t="shared" si="7"/>
        <v>0</v>
      </c>
      <c r="AF23" s="375">
        <f t="shared" si="8"/>
        <v>0</v>
      </c>
    </row>
    <row r="24" spans="2:32" ht="15" customHeight="1" x14ac:dyDescent="0.3">
      <c r="B24" s="11">
        <v>16</v>
      </c>
      <c r="C24" s="16"/>
      <c r="D24" s="35"/>
      <c r="E24" s="35"/>
      <c r="F24" s="35"/>
      <c r="G24" s="29"/>
      <c r="H24" s="70"/>
      <c r="I24" s="29"/>
      <c r="J24" s="120"/>
      <c r="K24" s="83"/>
      <c r="L24" s="170">
        <v>0</v>
      </c>
      <c r="M24" s="51">
        <v>0</v>
      </c>
      <c r="N24" s="42">
        <f t="shared" si="0"/>
        <v>0</v>
      </c>
      <c r="O24" s="70"/>
      <c r="P24" s="29"/>
      <c r="Q24" s="150"/>
      <c r="R24" s="29"/>
      <c r="S24" s="29"/>
      <c r="T24" s="29"/>
      <c r="U24" s="86"/>
      <c r="V24" s="86"/>
      <c r="W24" s="35"/>
      <c r="Y24" s="378">
        <f t="shared" si="1"/>
        <v>0</v>
      </c>
      <c r="Z24" s="376">
        <f t="shared" si="2"/>
        <v>0</v>
      </c>
      <c r="AA24" s="376">
        <f t="shared" si="3"/>
        <v>0</v>
      </c>
      <c r="AB24" s="376">
        <f t="shared" si="4"/>
        <v>0</v>
      </c>
      <c r="AC24" s="376">
        <f t="shared" si="5"/>
        <v>0</v>
      </c>
      <c r="AD24" s="373">
        <f t="shared" si="6"/>
        <v>0</v>
      </c>
      <c r="AE24" s="377">
        <f t="shared" si="7"/>
        <v>0</v>
      </c>
      <c r="AF24" s="375">
        <f t="shared" si="8"/>
        <v>0</v>
      </c>
    </row>
    <row r="25" spans="2:32" ht="15" customHeight="1" x14ac:dyDescent="0.3">
      <c r="B25" s="11">
        <v>17</v>
      </c>
      <c r="C25" s="16"/>
      <c r="D25" s="35"/>
      <c r="E25" s="35"/>
      <c r="F25" s="35"/>
      <c r="G25" s="29"/>
      <c r="H25" s="70"/>
      <c r="I25" s="29"/>
      <c r="J25" s="120"/>
      <c r="K25" s="83"/>
      <c r="L25" s="170">
        <v>0</v>
      </c>
      <c r="M25" s="51">
        <v>0</v>
      </c>
      <c r="N25" s="42">
        <f t="shared" si="0"/>
        <v>0</v>
      </c>
      <c r="O25" s="70"/>
      <c r="P25" s="29"/>
      <c r="Q25" s="150"/>
      <c r="R25" s="29"/>
      <c r="S25" s="29"/>
      <c r="T25" s="29"/>
      <c r="U25" s="86"/>
      <c r="V25" s="86"/>
      <c r="W25" s="35"/>
      <c r="Y25" s="378">
        <f t="shared" si="1"/>
        <v>0</v>
      </c>
      <c r="Z25" s="376">
        <f t="shared" si="2"/>
        <v>0</v>
      </c>
      <c r="AA25" s="376">
        <f t="shared" si="3"/>
        <v>0</v>
      </c>
      <c r="AB25" s="376">
        <f t="shared" si="4"/>
        <v>0</v>
      </c>
      <c r="AC25" s="376">
        <f t="shared" si="5"/>
        <v>0</v>
      </c>
      <c r="AD25" s="373">
        <f t="shared" si="6"/>
        <v>0</v>
      </c>
      <c r="AE25" s="377">
        <f t="shared" si="7"/>
        <v>0</v>
      </c>
      <c r="AF25" s="375">
        <f t="shared" si="8"/>
        <v>0</v>
      </c>
    </row>
    <row r="26" spans="2:32" ht="15" customHeight="1" x14ac:dyDescent="0.3">
      <c r="B26" s="11">
        <v>18</v>
      </c>
      <c r="C26" s="16"/>
      <c r="D26" s="35"/>
      <c r="E26" s="35"/>
      <c r="F26" s="35"/>
      <c r="G26" s="29"/>
      <c r="H26" s="70"/>
      <c r="I26" s="29"/>
      <c r="J26" s="120"/>
      <c r="K26" s="83"/>
      <c r="L26" s="170">
        <v>0</v>
      </c>
      <c r="M26" s="51">
        <v>0</v>
      </c>
      <c r="N26" s="42">
        <f t="shared" si="0"/>
        <v>0</v>
      </c>
      <c r="O26" s="70"/>
      <c r="P26" s="29"/>
      <c r="Q26" s="150"/>
      <c r="R26" s="29"/>
      <c r="S26" s="29"/>
      <c r="T26" s="29"/>
      <c r="U26" s="86"/>
      <c r="V26" s="86"/>
      <c r="W26" s="35"/>
      <c r="Y26" s="378">
        <f t="shared" si="1"/>
        <v>0</v>
      </c>
      <c r="Z26" s="376">
        <f t="shared" si="2"/>
        <v>0</v>
      </c>
      <c r="AA26" s="376">
        <f t="shared" si="3"/>
        <v>0</v>
      </c>
      <c r="AB26" s="376">
        <f t="shared" si="4"/>
        <v>0</v>
      </c>
      <c r="AC26" s="376">
        <f t="shared" si="5"/>
        <v>0</v>
      </c>
      <c r="AD26" s="373">
        <f t="shared" si="6"/>
        <v>0</v>
      </c>
      <c r="AE26" s="377">
        <f t="shared" si="7"/>
        <v>0</v>
      </c>
      <c r="AF26" s="375">
        <f t="shared" si="8"/>
        <v>0</v>
      </c>
    </row>
    <row r="27" spans="2:32" ht="15" customHeight="1" x14ac:dyDescent="0.3">
      <c r="B27" s="11">
        <v>19</v>
      </c>
      <c r="C27" s="16"/>
      <c r="D27" s="35"/>
      <c r="E27" s="35"/>
      <c r="F27" s="35"/>
      <c r="G27" s="29"/>
      <c r="H27" s="70"/>
      <c r="I27" s="29"/>
      <c r="J27" s="120"/>
      <c r="K27" s="83"/>
      <c r="L27" s="170">
        <v>0</v>
      </c>
      <c r="M27" s="51">
        <v>0</v>
      </c>
      <c r="N27" s="42">
        <f t="shared" si="0"/>
        <v>0</v>
      </c>
      <c r="O27" s="70"/>
      <c r="P27" s="29"/>
      <c r="Q27" s="150"/>
      <c r="R27" s="29"/>
      <c r="S27" s="29"/>
      <c r="T27" s="29"/>
      <c r="U27" s="86"/>
      <c r="V27" s="86"/>
      <c r="W27" s="35"/>
      <c r="Y27" s="378">
        <f t="shared" si="1"/>
        <v>0</v>
      </c>
      <c r="Z27" s="376">
        <f t="shared" si="2"/>
        <v>0</v>
      </c>
      <c r="AA27" s="376">
        <f t="shared" si="3"/>
        <v>0</v>
      </c>
      <c r="AB27" s="376">
        <f t="shared" si="4"/>
        <v>0</v>
      </c>
      <c r="AC27" s="376">
        <f t="shared" si="5"/>
        <v>0</v>
      </c>
      <c r="AD27" s="373">
        <f t="shared" si="6"/>
        <v>0</v>
      </c>
      <c r="AE27" s="377">
        <f t="shared" si="7"/>
        <v>0</v>
      </c>
      <c r="AF27" s="375">
        <f t="shared" si="8"/>
        <v>0</v>
      </c>
    </row>
    <row r="28" spans="2:32" ht="15" customHeight="1" x14ac:dyDescent="0.3">
      <c r="B28" s="11">
        <v>20</v>
      </c>
      <c r="C28" s="16"/>
      <c r="D28" s="35"/>
      <c r="E28" s="35"/>
      <c r="F28" s="35"/>
      <c r="G28" s="29"/>
      <c r="H28" s="70"/>
      <c r="I28" s="29"/>
      <c r="J28" s="120"/>
      <c r="K28" s="83"/>
      <c r="L28" s="170">
        <v>0</v>
      </c>
      <c r="M28" s="51">
        <v>0</v>
      </c>
      <c r="N28" s="42">
        <f t="shared" si="0"/>
        <v>0</v>
      </c>
      <c r="O28" s="70"/>
      <c r="P28" s="29"/>
      <c r="Q28" s="150"/>
      <c r="R28" s="29"/>
      <c r="S28" s="29"/>
      <c r="T28" s="29"/>
      <c r="U28" s="86"/>
      <c r="V28" s="86"/>
      <c r="W28" s="35"/>
      <c r="Y28" s="378">
        <f t="shared" si="1"/>
        <v>0</v>
      </c>
      <c r="Z28" s="376">
        <f t="shared" si="2"/>
        <v>0</v>
      </c>
      <c r="AA28" s="376">
        <f t="shared" si="3"/>
        <v>0</v>
      </c>
      <c r="AB28" s="376">
        <f t="shared" si="4"/>
        <v>0</v>
      </c>
      <c r="AC28" s="376">
        <f t="shared" si="5"/>
        <v>0</v>
      </c>
      <c r="AD28" s="373">
        <f t="shared" si="6"/>
        <v>0</v>
      </c>
      <c r="AE28" s="377">
        <f t="shared" si="7"/>
        <v>0</v>
      </c>
      <c r="AF28" s="375">
        <f t="shared" si="8"/>
        <v>0</v>
      </c>
    </row>
    <row r="29" spans="2:32" ht="15" customHeight="1" x14ac:dyDescent="0.3">
      <c r="B29" s="11">
        <v>21</v>
      </c>
      <c r="C29" s="16"/>
      <c r="D29" s="35"/>
      <c r="E29" s="35"/>
      <c r="F29" s="35"/>
      <c r="G29" s="29"/>
      <c r="H29" s="70"/>
      <c r="I29" s="29"/>
      <c r="J29" s="120"/>
      <c r="K29" s="83"/>
      <c r="L29" s="170">
        <v>0</v>
      </c>
      <c r="M29" s="51">
        <v>0</v>
      </c>
      <c r="N29" s="42">
        <f t="shared" si="0"/>
        <v>0</v>
      </c>
      <c r="O29" s="70"/>
      <c r="P29" s="29"/>
      <c r="Q29" s="150"/>
      <c r="R29" s="29"/>
      <c r="S29" s="29"/>
      <c r="T29" s="29"/>
      <c r="U29" s="86"/>
      <c r="V29" s="86"/>
      <c r="W29" s="35"/>
      <c r="Y29" s="378">
        <f t="shared" si="1"/>
        <v>0</v>
      </c>
      <c r="Z29" s="376">
        <f t="shared" si="2"/>
        <v>0</v>
      </c>
      <c r="AA29" s="376">
        <f t="shared" si="3"/>
        <v>0</v>
      </c>
      <c r="AB29" s="376">
        <f t="shared" si="4"/>
        <v>0</v>
      </c>
      <c r="AC29" s="376">
        <f t="shared" si="5"/>
        <v>0</v>
      </c>
      <c r="AD29" s="373">
        <f t="shared" si="6"/>
        <v>0</v>
      </c>
      <c r="AE29" s="377">
        <f t="shared" si="7"/>
        <v>0</v>
      </c>
      <c r="AF29" s="375">
        <f t="shared" si="8"/>
        <v>0</v>
      </c>
    </row>
    <row r="30" spans="2:32" ht="15" customHeight="1" x14ac:dyDescent="0.3">
      <c r="B30" s="11">
        <v>22</v>
      </c>
      <c r="C30" s="16"/>
      <c r="D30" s="35"/>
      <c r="E30" s="35"/>
      <c r="F30" s="35"/>
      <c r="G30" s="29"/>
      <c r="H30" s="70"/>
      <c r="I30" s="29"/>
      <c r="J30" s="120"/>
      <c r="K30" s="83"/>
      <c r="L30" s="170">
        <v>0</v>
      </c>
      <c r="M30" s="51">
        <v>0</v>
      </c>
      <c r="N30" s="42">
        <f t="shared" si="0"/>
        <v>0</v>
      </c>
      <c r="O30" s="70"/>
      <c r="P30" s="29"/>
      <c r="Q30" s="150"/>
      <c r="R30" s="29"/>
      <c r="S30" s="29"/>
      <c r="T30" s="29"/>
      <c r="U30" s="86"/>
      <c r="V30" s="86"/>
      <c r="W30" s="35"/>
      <c r="Y30" s="378">
        <f t="shared" si="1"/>
        <v>0</v>
      </c>
      <c r="Z30" s="376">
        <f t="shared" si="2"/>
        <v>0</v>
      </c>
      <c r="AA30" s="376">
        <f t="shared" si="3"/>
        <v>0</v>
      </c>
      <c r="AB30" s="376">
        <f t="shared" si="4"/>
        <v>0</v>
      </c>
      <c r="AC30" s="376">
        <f t="shared" si="5"/>
        <v>0</v>
      </c>
      <c r="AD30" s="373">
        <f t="shared" si="6"/>
        <v>0</v>
      </c>
      <c r="AE30" s="377">
        <f t="shared" si="7"/>
        <v>0</v>
      </c>
      <c r="AF30" s="375">
        <f t="shared" si="8"/>
        <v>0</v>
      </c>
    </row>
    <row r="31" spans="2:32" ht="15" customHeight="1" x14ac:dyDescent="0.3">
      <c r="B31" s="11">
        <v>23</v>
      </c>
      <c r="C31" s="16"/>
      <c r="D31" s="35"/>
      <c r="E31" s="35"/>
      <c r="F31" s="35"/>
      <c r="G31" s="29"/>
      <c r="H31" s="70"/>
      <c r="I31" s="29"/>
      <c r="J31" s="120"/>
      <c r="K31" s="83"/>
      <c r="L31" s="170">
        <v>0</v>
      </c>
      <c r="M31" s="51">
        <v>0</v>
      </c>
      <c r="N31" s="42">
        <f t="shared" si="0"/>
        <v>0</v>
      </c>
      <c r="O31" s="70"/>
      <c r="P31" s="29"/>
      <c r="Q31" s="150"/>
      <c r="R31" s="29"/>
      <c r="S31" s="29"/>
      <c r="T31" s="29"/>
      <c r="U31" s="86"/>
      <c r="V31" s="86"/>
      <c r="W31" s="35"/>
      <c r="Y31" s="378">
        <f t="shared" si="1"/>
        <v>0</v>
      </c>
      <c r="Z31" s="376">
        <f t="shared" si="2"/>
        <v>0</v>
      </c>
      <c r="AA31" s="376">
        <f t="shared" si="3"/>
        <v>0</v>
      </c>
      <c r="AB31" s="376">
        <f t="shared" si="4"/>
        <v>0</v>
      </c>
      <c r="AC31" s="376">
        <f t="shared" si="5"/>
        <v>0</v>
      </c>
      <c r="AD31" s="373">
        <f t="shared" si="6"/>
        <v>0</v>
      </c>
      <c r="AE31" s="377">
        <f t="shared" si="7"/>
        <v>0</v>
      </c>
      <c r="AF31" s="375">
        <f t="shared" si="8"/>
        <v>0</v>
      </c>
    </row>
    <row r="32" spans="2:32" ht="15" customHeight="1" x14ac:dyDescent="0.3">
      <c r="B32" s="11">
        <v>24</v>
      </c>
      <c r="C32" s="16"/>
      <c r="D32" s="35"/>
      <c r="E32" s="35"/>
      <c r="F32" s="35"/>
      <c r="G32" s="29"/>
      <c r="H32" s="70"/>
      <c r="I32" s="29"/>
      <c r="J32" s="120"/>
      <c r="K32" s="83"/>
      <c r="L32" s="170">
        <v>0</v>
      </c>
      <c r="M32" s="51">
        <v>0</v>
      </c>
      <c r="N32" s="42">
        <f t="shared" si="0"/>
        <v>0</v>
      </c>
      <c r="O32" s="70"/>
      <c r="P32" s="29"/>
      <c r="Q32" s="150"/>
      <c r="R32" s="29"/>
      <c r="S32" s="29"/>
      <c r="T32" s="29"/>
      <c r="U32" s="86"/>
      <c r="V32" s="86"/>
      <c r="W32" s="35"/>
      <c r="Y32" s="378">
        <f t="shared" si="1"/>
        <v>0</v>
      </c>
      <c r="Z32" s="376">
        <f t="shared" si="2"/>
        <v>0</v>
      </c>
      <c r="AA32" s="376">
        <f t="shared" si="3"/>
        <v>0</v>
      </c>
      <c r="AB32" s="376">
        <f t="shared" si="4"/>
        <v>0</v>
      </c>
      <c r="AC32" s="376">
        <f t="shared" si="5"/>
        <v>0</v>
      </c>
      <c r="AD32" s="373">
        <f t="shared" si="6"/>
        <v>0</v>
      </c>
      <c r="AE32" s="377">
        <f t="shared" si="7"/>
        <v>0</v>
      </c>
      <c r="AF32" s="375">
        <f t="shared" si="8"/>
        <v>0</v>
      </c>
    </row>
    <row r="33" spans="2:32" ht="15" customHeight="1" x14ac:dyDescent="0.3">
      <c r="B33" s="11">
        <v>25</v>
      </c>
      <c r="C33" s="16"/>
      <c r="D33" s="35"/>
      <c r="E33" s="35"/>
      <c r="F33" s="35"/>
      <c r="G33" s="29"/>
      <c r="H33" s="70"/>
      <c r="I33" s="29"/>
      <c r="J33" s="120"/>
      <c r="K33" s="83"/>
      <c r="L33" s="170">
        <v>0</v>
      </c>
      <c r="M33" s="51">
        <v>0</v>
      </c>
      <c r="N33" s="42">
        <f t="shared" si="0"/>
        <v>0</v>
      </c>
      <c r="O33" s="70"/>
      <c r="P33" s="29"/>
      <c r="Q33" s="150"/>
      <c r="R33" s="29"/>
      <c r="S33" s="29"/>
      <c r="T33" s="29"/>
      <c r="U33" s="86"/>
      <c r="V33" s="86"/>
      <c r="W33" s="35"/>
      <c r="Y33" s="378">
        <f t="shared" si="1"/>
        <v>0</v>
      </c>
      <c r="Z33" s="376">
        <f t="shared" si="2"/>
        <v>0</v>
      </c>
      <c r="AA33" s="376">
        <f t="shared" si="3"/>
        <v>0</v>
      </c>
      <c r="AB33" s="376">
        <f t="shared" si="4"/>
        <v>0</v>
      </c>
      <c r="AC33" s="376">
        <f t="shared" si="5"/>
        <v>0</v>
      </c>
      <c r="AD33" s="373">
        <f t="shared" si="6"/>
        <v>0</v>
      </c>
      <c r="AE33" s="377">
        <f t="shared" si="7"/>
        <v>0</v>
      </c>
      <c r="AF33" s="375">
        <f t="shared" si="8"/>
        <v>0</v>
      </c>
    </row>
    <row r="34" spans="2:32" ht="15" customHeight="1" x14ac:dyDescent="0.3">
      <c r="B34" s="11">
        <v>26</v>
      </c>
      <c r="C34" s="16"/>
      <c r="D34" s="35"/>
      <c r="E34" s="35"/>
      <c r="F34" s="35"/>
      <c r="G34" s="29"/>
      <c r="H34" s="29"/>
      <c r="I34" s="29"/>
      <c r="J34" s="120"/>
      <c r="K34" s="85"/>
      <c r="L34" s="170">
        <v>0</v>
      </c>
      <c r="M34" s="51">
        <v>0</v>
      </c>
      <c r="N34" s="42">
        <f t="shared" si="0"/>
        <v>0</v>
      </c>
      <c r="O34" s="29"/>
      <c r="P34" s="29"/>
      <c r="Q34" s="150"/>
      <c r="R34" s="29"/>
      <c r="S34" s="29"/>
      <c r="T34" s="29"/>
      <c r="U34" s="86"/>
      <c r="V34" s="86"/>
      <c r="W34" s="35"/>
      <c r="Y34" s="378">
        <f t="shared" si="1"/>
        <v>0</v>
      </c>
      <c r="Z34" s="376">
        <f t="shared" si="2"/>
        <v>0</v>
      </c>
      <c r="AA34" s="376">
        <f t="shared" si="3"/>
        <v>0</v>
      </c>
      <c r="AB34" s="376">
        <f t="shared" si="4"/>
        <v>0</v>
      </c>
      <c r="AC34" s="376">
        <f t="shared" si="5"/>
        <v>0</v>
      </c>
      <c r="AD34" s="373">
        <f t="shared" si="6"/>
        <v>0</v>
      </c>
      <c r="AE34" s="377">
        <f t="shared" si="7"/>
        <v>0</v>
      </c>
      <c r="AF34" s="375">
        <f t="shared" si="8"/>
        <v>0</v>
      </c>
    </row>
    <row r="35" spans="2:32" ht="15" customHeight="1" x14ac:dyDescent="0.3">
      <c r="B35" s="11">
        <v>27</v>
      </c>
      <c r="C35" s="16"/>
      <c r="D35" s="35"/>
      <c r="E35" s="35"/>
      <c r="F35" s="35"/>
      <c r="G35" s="29"/>
      <c r="H35" s="70"/>
      <c r="I35" s="29"/>
      <c r="J35" s="120"/>
      <c r="K35" s="83"/>
      <c r="L35" s="170">
        <v>0</v>
      </c>
      <c r="M35" s="51">
        <v>0</v>
      </c>
      <c r="N35" s="42">
        <f t="shared" si="0"/>
        <v>0</v>
      </c>
      <c r="O35" s="70"/>
      <c r="P35" s="29"/>
      <c r="Q35" s="150"/>
      <c r="R35" s="29"/>
      <c r="S35" s="29"/>
      <c r="T35" s="29"/>
      <c r="U35" s="86"/>
      <c r="V35" s="86"/>
      <c r="W35" s="35"/>
      <c r="Y35" s="378">
        <f t="shared" si="1"/>
        <v>0</v>
      </c>
      <c r="Z35" s="376">
        <f t="shared" si="2"/>
        <v>0</v>
      </c>
      <c r="AA35" s="376">
        <f t="shared" si="3"/>
        <v>0</v>
      </c>
      <c r="AB35" s="376">
        <f t="shared" si="4"/>
        <v>0</v>
      </c>
      <c r="AC35" s="376">
        <f t="shared" si="5"/>
        <v>0</v>
      </c>
      <c r="AD35" s="373">
        <f t="shared" si="6"/>
        <v>0</v>
      </c>
      <c r="AE35" s="377">
        <f t="shared" si="7"/>
        <v>0</v>
      </c>
      <c r="AF35" s="375">
        <f t="shared" si="8"/>
        <v>0</v>
      </c>
    </row>
    <row r="36" spans="2:32" ht="15" customHeight="1" x14ac:dyDescent="0.3">
      <c r="B36" s="11">
        <v>28</v>
      </c>
      <c r="C36" s="16"/>
      <c r="D36" s="35"/>
      <c r="E36" s="35"/>
      <c r="F36" s="35"/>
      <c r="G36" s="29"/>
      <c r="H36" s="29"/>
      <c r="I36" s="29"/>
      <c r="J36" s="120"/>
      <c r="K36" s="85"/>
      <c r="L36" s="170">
        <v>0</v>
      </c>
      <c r="M36" s="51">
        <v>0</v>
      </c>
      <c r="N36" s="42">
        <f t="shared" si="0"/>
        <v>0</v>
      </c>
      <c r="O36" s="29"/>
      <c r="P36" s="29"/>
      <c r="Q36" s="150"/>
      <c r="R36" s="29"/>
      <c r="S36" s="29"/>
      <c r="T36" s="29"/>
      <c r="U36" s="86"/>
      <c r="V36" s="86"/>
      <c r="W36" s="35"/>
      <c r="Y36" s="378">
        <f t="shared" si="1"/>
        <v>0</v>
      </c>
      <c r="Z36" s="376">
        <f t="shared" si="2"/>
        <v>0</v>
      </c>
      <c r="AA36" s="376">
        <f t="shared" si="3"/>
        <v>0</v>
      </c>
      <c r="AB36" s="376">
        <f t="shared" si="4"/>
        <v>0</v>
      </c>
      <c r="AC36" s="376">
        <f t="shared" si="5"/>
        <v>0</v>
      </c>
      <c r="AD36" s="373">
        <f t="shared" si="6"/>
        <v>0</v>
      </c>
      <c r="AE36" s="377">
        <f t="shared" si="7"/>
        <v>0</v>
      </c>
      <c r="AF36" s="375">
        <f t="shared" si="8"/>
        <v>0</v>
      </c>
    </row>
    <row r="37" spans="2:32" ht="15" customHeight="1" x14ac:dyDescent="0.3">
      <c r="B37" s="11">
        <v>29</v>
      </c>
      <c r="C37" s="16"/>
      <c r="D37" s="35"/>
      <c r="E37" s="35"/>
      <c r="F37" s="35"/>
      <c r="G37" s="29"/>
      <c r="H37" s="29"/>
      <c r="I37" s="29"/>
      <c r="J37" s="120"/>
      <c r="K37" s="85"/>
      <c r="L37" s="170">
        <v>0</v>
      </c>
      <c r="M37" s="51">
        <v>0</v>
      </c>
      <c r="N37" s="42">
        <f t="shared" si="0"/>
        <v>0</v>
      </c>
      <c r="O37" s="29"/>
      <c r="P37" s="29"/>
      <c r="Q37" s="150"/>
      <c r="R37" s="29"/>
      <c r="S37" s="29"/>
      <c r="T37" s="29"/>
      <c r="U37" s="86"/>
      <c r="V37" s="86"/>
      <c r="W37" s="35"/>
      <c r="Y37" s="378">
        <f t="shared" si="1"/>
        <v>0</v>
      </c>
      <c r="Z37" s="376">
        <f t="shared" si="2"/>
        <v>0</v>
      </c>
      <c r="AA37" s="376">
        <f t="shared" si="3"/>
        <v>0</v>
      </c>
      <c r="AB37" s="376">
        <f t="shared" si="4"/>
        <v>0</v>
      </c>
      <c r="AC37" s="376">
        <f t="shared" si="5"/>
        <v>0</v>
      </c>
      <c r="AD37" s="373">
        <f t="shared" si="6"/>
        <v>0</v>
      </c>
      <c r="AE37" s="377">
        <f t="shared" si="7"/>
        <v>0</v>
      </c>
      <c r="AF37" s="375">
        <f t="shared" si="8"/>
        <v>0</v>
      </c>
    </row>
    <row r="38" spans="2:32" ht="15" customHeight="1" x14ac:dyDescent="0.3">
      <c r="B38" s="11">
        <v>30</v>
      </c>
      <c r="C38" s="16"/>
      <c r="D38" s="35"/>
      <c r="E38" s="35"/>
      <c r="F38" s="35"/>
      <c r="G38" s="29"/>
      <c r="H38" s="29"/>
      <c r="I38" s="29"/>
      <c r="J38" s="120"/>
      <c r="K38" s="85"/>
      <c r="L38" s="170">
        <v>0</v>
      </c>
      <c r="M38" s="51">
        <v>0</v>
      </c>
      <c r="N38" s="42">
        <f t="shared" si="0"/>
        <v>0</v>
      </c>
      <c r="O38" s="29"/>
      <c r="P38" s="29"/>
      <c r="Q38" s="150"/>
      <c r="R38" s="29"/>
      <c r="S38" s="29"/>
      <c r="T38" s="29"/>
      <c r="U38" s="86"/>
      <c r="V38" s="86"/>
      <c r="W38" s="35"/>
      <c r="Y38" s="378">
        <f t="shared" si="1"/>
        <v>0</v>
      </c>
      <c r="Z38" s="376">
        <f t="shared" si="2"/>
        <v>0</v>
      </c>
      <c r="AA38" s="376">
        <f t="shared" si="3"/>
        <v>0</v>
      </c>
      <c r="AB38" s="376">
        <f t="shared" si="4"/>
        <v>0</v>
      </c>
      <c r="AC38" s="376">
        <f t="shared" si="5"/>
        <v>0</v>
      </c>
      <c r="AD38" s="373">
        <f t="shared" si="6"/>
        <v>0</v>
      </c>
      <c r="AE38" s="377">
        <f t="shared" si="7"/>
        <v>0</v>
      </c>
      <c r="AF38" s="375">
        <f t="shared" si="8"/>
        <v>0</v>
      </c>
    </row>
    <row r="39" spans="2:32" ht="15" customHeight="1" x14ac:dyDescent="0.3">
      <c r="B39" s="11"/>
      <c r="C39" s="16"/>
      <c r="D39" s="35"/>
      <c r="E39" s="35"/>
      <c r="F39" s="35"/>
      <c r="G39" s="29"/>
      <c r="H39" s="29"/>
      <c r="I39" s="29"/>
      <c r="J39" s="120"/>
      <c r="K39" s="85"/>
      <c r="L39" s="170">
        <v>0</v>
      </c>
      <c r="M39" s="51">
        <v>0</v>
      </c>
      <c r="N39" s="42">
        <f t="shared" si="0"/>
        <v>0</v>
      </c>
      <c r="O39" s="29"/>
      <c r="P39" s="29"/>
      <c r="Q39" s="150"/>
      <c r="R39" s="29"/>
      <c r="S39" s="29"/>
      <c r="T39" s="29"/>
      <c r="U39" s="86"/>
      <c r="V39" s="86"/>
      <c r="W39" s="35"/>
      <c r="Y39" s="378">
        <f t="shared" si="1"/>
        <v>0</v>
      </c>
      <c r="Z39" s="376">
        <f t="shared" si="2"/>
        <v>0</v>
      </c>
      <c r="AA39" s="376">
        <f t="shared" si="3"/>
        <v>0</v>
      </c>
      <c r="AB39" s="376">
        <f t="shared" si="4"/>
        <v>0</v>
      </c>
      <c r="AC39" s="376">
        <f t="shared" si="5"/>
        <v>0</v>
      </c>
      <c r="AD39" s="373">
        <f t="shared" si="6"/>
        <v>0</v>
      </c>
      <c r="AE39" s="377">
        <f t="shared" si="7"/>
        <v>0</v>
      </c>
      <c r="AF39" s="375">
        <f t="shared" si="8"/>
        <v>0</v>
      </c>
    </row>
    <row r="40" spans="2:32" ht="15.6" x14ac:dyDescent="0.3">
      <c r="B40" s="11"/>
      <c r="C40" s="16"/>
      <c r="D40" s="35"/>
      <c r="E40" s="35"/>
      <c r="F40" s="35"/>
      <c r="G40" s="29"/>
      <c r="H40" s="29"/>
      <c r="I40" s="29"/>
      <c r="J40" s="120"/>
      <c r="K40" s="16"/>
      <c r="L40" s="42"/>
      <c r="M40" s="51"/>
      <c r="N40" s="42"/>
      <c r="O40" s="29"/>
      <c r="P40" s="29"/>
      <c r="Q40" s="150"/>
      <c r="R40" s="29"/>
      <c r="S40" s="29"/>
      <c r="T40" s="29"/>
      <c r="U40" s="86"/>
      <c r="V40" s="86"/>
      <c r="W40" s="35"/>
      <c r="Y40" s="378">
        <f t="shared" si="1"/>
        <v>0</v>
      </c>
      <c r="Z40" s="376">
        <f t="shared" si="2"/>
        <v>0</v>
      </c>
      <c r="AA40" s="376">
        <f t="shared" si="3"/>
        <v>0</v>
      </c>
      <c r="AB40" s="376">
        <f t="shared" si="4"/>
        <v>0</v>
      </c>
      <c r="AC40" s="376">
        <f t="shared" si="5"/>
        <v>0</v>
      </c>
      <c r="AD40" s="373">
        <f t="shared" si="6"/>
        <v>0</v>
      </c>
      <c r="AE40" s="377">
        <f t="shared" si="7"/>
        <v>0</v>
      </c>
      <c r="AF40" s="375">
        <f t="shared" si="8"/>
        <v>0</v>
      </c>
    </row>
    <row r="41" spans="2:32" x14ac:dyDescent="0.3">
      <c r="C41" s="22"/>
      <c r="D41" s="67"/>
      <c r="E41" s="33"/>
      <c r="F41" s="19"/>
      <c r="G41" s="19"/>
      <c r="H41" s="19"/>
      <c r="I41" s="19"/>
      <c r="J41" s="77"/>
      <c r="K41" s="59"/>
      <c r="L41" s="76">
        <f>SUBTOTAL(9,L8:L40)</f>
        <v>0</v>
      </c>
      <c r="M41" s="46">
        <f>SUBTOTAL(9,M8:M40)</f>
        <v>0</v>
      </c>
      <c r="N41" s="46">
        <f>SUBTOTAL(9,N8:N40)</f>
        <v>0</v>
      </c>
      <c r="O41" s="19"/>
      <c r="P41" s="236"/>
      <c r="Q41" s="18"/>
      <c r="R41" s="17"/>
      <c r="S41" s="30">
        <f>SUBTOTAL(2,S8:S40)</f>
        <v>0</v>
      </c>
      <c r="T41" s="19"/>
      <c r="W41" s="36"/>
    </row>
    <row r="42" spans="2:32" x14ac:dyDescent="0.3">
      <c r="L42" s="47"/>
      <c r="M42" s="47"/>
      <c r="N42" s="47"/>
    </row>
    <row r="43" spans="2:32" x14ac:dyDescent="0.3">
      <c r="L43" s="47"/>
      <c r="M43" s="47"/>
      <c r="N43" s="47"/>
    </row>
    <row r="44" spans="2:32" ht="15" thickBot="1" x14ac:dyDescent="0.35">
      <c r="C44" s="4"/>
      <c r="D44" s="72"/>
      <c r="E44" s="34"/>
      <c r="F44" s="15"/>
      <c r="G44" s="15"/>
      <c r="H44" s="15"/>
      <c r="I44" s="15"/>
      <c r="J44" s="28"/>
      <c r="K44" s="20"/>
      <c r="L44" s="71">
        <f>SUM(L8:L40)</f>
        <v>0</v>
      </c>
      <c r="M44" s="71">
        <f>SUM(M8:M40)</f>
        <v>0</v>
      </c>
      <c r="N44" s="71">
        <f>SUM(N8:N40)</f>
        <v>0</v>
      </c>
      <c r="O44" s="15"/>
      <c r="P44" s="72"/>
      <c r="Q44" s="15"/>
      <c r="R44" s="15"/>
      <c r="T44" s="15"/>
    </row>
    <row r="45" spans="2:32" ht="15" thickTop="1" x14ac:dyDescent="0.3">
      <c r="Q45" s="15"/>
    </row>
    <row r="46" spans="2:32" x14ac:dyDescent="0.3">
      <c r="U46" s="113"/>
      <c r="V46" s="8"/>
      <c r="X46" s="27"/>
    </row>
    <row r="47" spans="2:32" x14ac:dyDescent="0.3">
      <c r="K47" s="27"/>
      <c r="L47" s="8"/>
      <c r="O47" s="43"/>
      <c r="P47" s="8"/>
    </row>
    <row r="48" spans="2:32" x14ac:dyDescent="0.3">
      <c r="K48" s="522" t="s">
        <v>347</v>
      </c>
      <c r="L48" s="514"/>
      <c r="M48" s="514"/>
      <c r="N48" s="535"/>
      <c r="P48" s="8"/>
    </row>
    <row r="49" spans="5:19" x14ac:dyDescent="0.3">
      <c r="K49" s="16" t="s">
        <v>348</v>
      </c>
      <c r="L49" s="16" t="s">
        <v>349</v>
      </c>
      <c r="M49" s="93" t="s">
        <v>350</v>
      </c>
      <c r="N49" s="102" t="s">
        <v>352</v>
      </c>
      <c r="O49" s="92"/>
      <c r="P49" s="8"/>
    </row>
    <row r="50" spans="5:19" x14ac:dyDescent="0.3">
      <c r="K50" s="143">
        <f>SUMIF($C$8:$C$40,K49,$N$8:$N$40)</f>
        <v>0</v>
      </c>
      <c r="L50" s="143">
        <f>SUMIF($C$8:$C$40,L49,$N$8:$N$40)</f>
        <v>0</v>
      </c>
      <c r="M50" s="143">
        <f>SUMIF($C$8:$C$40,M49,$N$8:$N$40)</f>
        <v>0</v>
      </c>
      <c r="N50" s="143">
        <f>SUMIF($C$8:$C$39,N49,$N$8:$N$40)</f>
        <v>0</v>
      </c>
      <c r="O50" s="96">
        <f>SUM(K50:N50)</f>
        <v>0</v>
      </c>
      <c r="P50" s="8"/>
    </row>
    <row r="51" spans="5:19" x14ac:dyDescent="0.3">
      <c r="L51" s="8"/>
      <c r="M51"/>
      <c r="N51"/>
      <c r="O51" s="98">
        <f>N44-O50</f>
        <v>0</v>
      </c>
      <c r="P51" s="8"/>
    </row>
    <row r="52" spans="5:19" x14ac:dyDescent="0.3">
      <c r="L52" s="32"/>
      <c r="M52" s="8"/>
      <c r="N52" s="8"/>
      <c r="P52" s="8"/>
    </row>
    <row r="53" spans="5:19" x14ac:dyDescent="0.3">
      <c r="K53" s="522" t="s">
        <v>356</v>
      </c>
      <c r="L53" s="514"/>
      <c r="M53" s="514"/>
      <c r="N53" s="535"/>
      <c r="P53" s="8"/>
      <c r="R53" s="43"/>
      <c r="S53" s="119"/>
    </row>
    <row r="54" spans="5:19" x14ac:dyDescent="0.3">
      <c r="K54" s="16" t="s">
        <v>348</v>
      </c>
      <c r="L54" s="16" t="s">
        <v>349</v>
      </c>
      <c r="M54" s="93" t="s">
        <v>350</v>
      </c>
      <c r="N54" s="102" t="s">
        <v>352</v>
      </c>
      <c r="P54" s="8"/>
      <c r="R54" s="43"/>
      <c r="S54" s="119"/>
    </row>
    <row r="55" spans="5:19" x14ac:dyDescent="0.3">
      <c r="K55" s="143">
        <f>SUMIF($C$8:$C$40,K54,$M$8:$M$40)</f>
        <v>0</v>
      </c>
      <c r="L55" s="143">
        <f>SUMIF($C$8:$C$40,L54,$M$8:$M$40)</f>
        <v>0</v>
      </c>
      <c r="M55" s="143">
        <f>SUMIF($C$8:$C$40,M54,$M$8:$M$40)</f>
        <v>0</v>
      </c>
      <c r="N55" s="143">
        <f>SUMIF($C$8:$C$40,N54,$M$8:$M$40)</f>
        <v>0</v>
      </c>
      <c r="O55" s="118">
        <f>SUM(K55:N55)</f>
        <v>0</v>
      </c>
      <c r="P55" s="8"/>
      <c r="R55" s="43"/>
      <c r="S55" s="119"/>
    </row>
    <row r="56" spans="5:19" x14ac:dyDescent="0.3">
      <c r="L56" s="32"/>
      <c r="M56" s="32"/>
      <c r="N56" s="144"/>
      <c r="O56" s="98">
        <f>M44-O55</f>
        <v>0</v>
      </c>
      <c r="P56" s="8"/>
      <c r="R56" s="66"/>
    </row>
    <row r="57" spans="5:19" x14ac:dyDescent="0.3">
      <c r="L57" s="32"/>
      <c r="M57" s="8"/>
      <c r="N57" s="8"/>
      <c r="P57" s="8"/>
    </row>
    <row r="58" spans="5:19" x14ac:dyDescent="0.3">
      <c r="L58" s="32"/>
      <c r="M58" s="8"/>
      <c r="N58" s="8"/>
      <c r="P58" s="8"/>
    </row>
    <row r="59" spans="5:19" x14ac:dyDescent="0.3">
      <c r="L59" s="32"/>
      <c r="M59" s="8"/>
      <c r="N59" s="8"/>
      <c r="P59" s="8"/>
    </row>
    <row r="60" spans="5:19" x14ac:dyDescent="0.3">
      <c r="K60" s="66"/>
      <c r="L60" s="43" t="s">
        <v>353</v>
      </c>
      <c r="M60" s="43">
        <f>N50</f>
        <v>0</v>
      </c>
      <c r="O60" s="43"/>
      <c r="P60" s="8"/>
    </row>
    <row r="61" spans="5:19" x14ac:dyDescent="0.3">
      <c r="E61"/>
      <c r="F61"/>
      <c r="G61" s="32"/>
      <c r="H61" s="66"/>
      <c r="K61" s="66"/>
      <c r="L61" s="32" t="s">
        <v>387</v>
      </c>
      <c r="M61" s="53">
        <f>K50</f>
        <v>0</v>
      </c>
      <c r="O61" s="92"/>
      <c r="P61" s="8"/>
    </row>
    <row r="62" spans="5:19" ht="15" thickBot="1" x14ac:dyDescent="0.35">
      <c r="K62" s="66"/>
      <c r="L62" s="100" t="s">
        <v>355</v>
      </c>
      <c r="M62" s="100">
        <f>L50+M50+L55+M55+N55+K55</f>
        <v>0</v>
      </c>
      <c r="O62" s="97"/>
      <c r="P62" s="8"/>
    </row>
    <row r="63" spans="5:19" ht="15" thickTop="1" x14ac:dyDescent="0.3">
      <c r="K63" s="66"/>
      <c r="L63" s="43" t="s">
        <v>358</v>
      </c>
      <c r="M63" s="43">
        <f>SUM(M60:M62)</f>
        <v>0</v>
      </c>
      <c r="N63" s="98">
        <f>L44-M63</f>
        <v>0</v>
      </c>
      <c r="O63" s="92"/>
      <c r="P63" s="8"/>
    </row>
    <row r="64" spans="5:19" x14ac:dyDescent="0.3">
      <c r="K64" s="27"/>
      <c r="L64" s="8"/>
      <c r="O64" s="43"/>
      <c r="P64" s="8"/>
    </row>
    <row r="65" spans="4:16" x14ac:dyDescent="0.3">
      <c r="K65" s="27"/>
      <c r="L65" s="8"/>
      <c r="O65" s="43"/>
      <c r="P65" s="8"/>
    </row>
    <row r="66" spans="4:16" x14ac:dyDescent="0.3">
      <c r="K66" s="27"/>
      <c r="L66" s="53"/>
      <c r="O66" s="43"/>
      <c r="P66" s="8"/>
    </row>
    <row r="67" spans="4:16" x14ac:dyDescent="0.3">
      <c r="D67" s="43"/>
      <c r="K67" s="27"/>
      <c r="L67" s="536" t="s">
        <v>353</v>
      </c>
      <c r="M67" s="43">
        <f>M60</f>
        <v>0</v>
      </c>
      <c r="O67" s="43"/>
      <c r="P67" s="8"/>
    </row>
    <row r="68" spans="4:16" x14ac:dyDescent="0.3">
      <c r="K68" s="27"/>
      <c r="L68" s="536" t="s">
        <v>112</v>
      </c>
      <c r="M68" s="43">
        <f>'Talent &amp; Extras'!N84</f>
        <v>0</v>
      </c>
      <c r="O68" s="43"/>
      <c r="P68" s="8"/>
    </row>
    <row r="69" spans="4:16" ht="15" thickBot="1" x14ac:dyDescent="0.35">
      <c r="K69" s="27"/>
      <c r="L69" s="100" t="s">
        <v>110</v>
      </c>
      <c r="M69" s="100">
        <f>'Talent &amp; Extras'!O85</f>
        <v>0</v>
      </c>
      <c r="O69" s="43"/>
      <c r="P69" s="8"/>
    </row>
    <row r="70" spans="4:16" ht="15" thickTop="1" x14ac:dyDescent="0.3">
      <c r="K70" s="27"/>
      <c r="L70" s="43" t="s">
        <v>416</v>
      </c>
      <c r="M70" s="43">
        <f>SUM(M67:M69)</f>
        <v>0</v>
      </c>
      <c r="O70" s="43"/>
      <c r="P70" s="8"/>
    </row>
    <row r="71" spans="4:16" x14ac:dyDescent="0.3">
      <c r="K71" s="27"/>
      <c r="L71" s="8"/>
      <c r="O71" s="43"/>
      <c r="P71" s="8"/>
    </row>
  </sheetData>
  <autoFilter ref="B7:T40" xr:uid="{00000000-0009-0000-0000-000001000000}"/>
  <dataConsolidate/>
  <mergeCells count="1">
    <mergeCell ref="Q6:T6"/>
  </mergeCells>
  <conditionalFormatting sqref="C8:C40 O8:O40">
    <cfRule type="cellIs" dxfId="23" priority="5" operator="equal">
      <formula>"PENDING"</formula>
    </cfRule>
  </conditionalFormatting>
  <conditionalFormatting sqref="K49 K54">
    <cfRule type="cellIs" dxfId="22" priority="1" operator="equal">
      <formula>"PENDING"</formula>
    </cfRule>
    <cfRule type="cellIs" dxfId="21" priority="3" operator="equal">
      <formula>"NO-IL"</formula>
    </cfRule>
  </conditionalFormatting>
  <conditionalFormatting sqref="K49:L49 K54:L54">
    <cfRule type="cellIs" dxfId="20" priority="2" operator="equal">
      <formula>"NO-OOS"</formula>
    </cfRule>
    <cfRule type="cellIs" dxfId="19" priority="4" operator="equal">
      <formula>"YES"</formula>
    </cfRule>
  </conditionalFormatting>
  <conditionalFormatting sqref="L49">
    <cfRule type="cellIs" dxfId="18" priority="21" operator="equal">
      <formula>"NO-CO"</formula>
    </cfRule>
    <cfRule type="cellIs" dxfId="17" priority="23" operator="equal">
      <formula>"NO"</formula>
    </cfRule>
  </conditionalFormatting>
  <conditionalFormatting sqref="L54">
    <cfRule type="cellIs" dxfId="16" priority="17" operator="equal">
      <formula>"NO-CO"</formula>
    </cfRule>
    <cfRule type="cellIs" dxfId="15" priority="19" operator="equal">
      <formula>"NO"</formula>
    </cfRule>
  </conditionalFormatting>
  <conditionalFormatting sqref="O8:O40 C8:C40">
    <cfRule type="cellIs" dxfId="14" priority="13" operator="equal">
      <formula>"NO-OOS"</formula>
    </cfRule>
    <cfRule type="cellIs" dxfId="13" priority="14" operator="equal">
      <formula>"NO-IL"</formula>
    </cfRule>
    <cfRule type="cellIs" dxfId="12" priority="15" operator="equal">
      <formula>"YES"</formula>
    </cfRule>
  </conditionalFormatting>
  <conditionalFormatting sqref="O8:O40">
    <cfRule type="containsText" dxfId="11" priority="6" operator="containsText" text="NO">
      <formula>NOT(ISERROR(SEARCH("NO",O8)))</formula>
    </cfRule>
    <cfRule type="containsText" dxfId="10" priority="7" operator="containsText" text="YES">
      <formula>NOT(ISERROR(SEARCH("YES",O8)))</formula>
    </cfRule>
  </conditionalFormatting>
  <conditionalFormatting sqref="P8:Q40">
    <cfRule type="containsText" dxfId="9" priority="8" operator="containsText" text="Invalid">
      <formula>NOT(ISERROR(SEARCH("Invalid",P8)))</formula>
    </cfRule>
    <cfRule type="containsText" dxfId="8" priority="9" operator="containsText" text="Missing">
      <formula>NOT(ISERROR(SEARCH("Missing",P8)))</formula>
    </cfRule>
    <cfRule type="containsText" dxfId="7" priority="10" operator="containsText" text="Valid">
      <formula>NOT(ISERROR(SEARCH("Valid",P8)))</formula>
    </cfRule>
  </conditionalFormatting>
  <conditionalFormatting sqref="Q8:Q40">
    <cfRule type="cellIs" dxfId="6" priority="11" operator="equal">
      <formula>"YES"</formula>
    </cfRule>
    <cfRule type="cellIs" dxfId="5" priority="12" operator="equal">
      <formula>"NO"</formula>
    </cfRule>
  </conditionalFormatting>
  <dataValidations count="3">
    <dataValidation type="list" allowBlank="1" showInputMessage="1" showErrorMessage="1" sqref="C8:C40 T8:T39 W8:W39 O8:R40" xr:uid="{FE5D1B0B-703E-40FB-8D1A-92679964587D}">
      <formula1>#REF!</formula1>
    </dataValidation>
    <dataValidation type="list" allowBlank="1" showInputMessage="1" showErrorMessage="1" error="Please select a valid option from the 3 below" promptTitle="Payment Method" prompt="Select a payment method" sqref="N54 R41:R47 R57:R1048576 R7 N56 S52:S56 L60 L62:L63" xr:uid="{13CD8F9B-CF9D-4934-A4A0-47452D09C864}">
      <formula1>#REF!</formula1>
    </dataValidation>
    <dataValidation type="list" allowBlank="1" showInputMessage="1" showErrorMessage="1" sqref="U2:U5 L49 L54" xr:uid="{B290D499-EB9C-468C-940D-E4ED29EA2C8C}"/>
  </dataValidations>
  <hyperlinks>
    <hyperlink ref="L44" location="'Comm Summary'!A1" display="'Comm Summary'!A1" xr:uid="{67DC48F6-E444-44E6-BE60-09D798BFF722}"/>
  </hyperlinks>
  <pageMargins left="0.45" right="0.45" top="0.75" bottom="0.75" header="0.3" footer="0.3"/>
  <pageSetup scale="2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F449E-0602-4B39-9F14-DFD7E86FC65A}">
  <sheetPr>
    <tabColor rgb="FFFFC000"/>
  </sheetPr>
  <dimension ref="A1:R12"/>
  <sheetViews>
    <sheetView workbookViewId="0">
      <selection activeCell="D15" sqref="D15"/>
    </sheetView>
  </sheetViews>
  <sheetFormatPr defaultRowHeight="14.4" x14ac:dyDescent="0.3"/>
  <cols>
    <col min="1" max="1" width="14.88671875" bestFit="1" customWidth="1"/>
    <col min="2" max="2" width="17" customWidth="1"/>
    <col min="3" max="3" width="28.33203125" customWidth="1"/>
    <col min="4" max="4" width="21.88671875" bestFit="1" customWidth="1"/>
    <col min="5" max="5" width="33.33203125" bestFit="1" customWidth="1"/>
    <col min="6" max="6" width="20.77734375" bestFit="1" customWidth="1"/>
    <col min="7" max="7" width="13.21875" customWidth="1"/>
    <col min="8" max="8" width="12.21875" bestFit="1" customWidth="1"/>
    <col min="9" max="9" width="22.5546875" bestFit="1" customWidth="1"/>
    <col min="10" max="10" width="15.88671875" customWidth="1"/>
    <col min="11" max="11" width="17" bestFit="1" customWidth="1"/>
    <col min="12" max="12" width="27.109375" bestFit="1" customWidth="1"/>
    <col min="15" max="15" width="12.21875" bestFit="1" customWidth="1"/>
    <col min="16" max="16" width="10.6640625" bestFit="1" customWidth="1"/>
    <col min="17" max="17" width="13.44140625" bestFit="1" customWidth="1"/>
  </cols>
  <sheetData>
    <row r="1" spans="1:18" ht="28.8" x14ac:dyDescent="0.55000000000000004">
      <c r="A1" s="716" t="s">
        <v>557</v>
      </c>
    </row>
    <row r="3" spans="1:18" ht="21" x14ac:dyDescent="0.4">
      <c r="A3" s="717" t="s">
        <v>558</v>
      </c>
      <c r="B3" s="717" t="s">
        <v>529</v>
      </c>
      <c r="C3" s="717"/>
    </row>
    <row r="4" spans="1:18" ht="21" x14ac:dyDescent="0.4">
      <c r="A4" s="717" t="s">
        <v>559</v>
      </c>
      <c r="B4" s="712">
        <v>46155</v>
      </c>
      <c r="C4" s="717" t="s">
        <v>553</v>
      </c>
    </row>
    <row r="6" spans="1:18" x14ac:dyDescent="0.3">
      <c r="A6" s="719" t="s">
        <v>552</v>
      </c>
      <c r="B6" s="720" t="s">
        <v>546</v>
      </c>
      <c r="C6" s="721" t="s">
        <v>560</v>
      </c>
      <c r="D6" s="722" t="s">
        <v>549</v>
      </c>
      <c r="E6" s="720" t="s">
        <v>551</v>
      </c>
      <c r="F6" s="721" t="s">
        <v>561</v>
      </c>
      <c r="G6" s="720" t="s">
        <v>562</v>
      </c>
      <c r="H6" s="723" t="s">
        <v>550</v>
      </c>
      <c r="I6" s="723" t="s">
        <v>563</v>
      </c>
      <c r="J6" s="722" t="s">
        <v>564</v>
      </c>
      <c r="K6" s="722" t="s">
        <v>548</v>
      </c>
      <c r="L6" s="722" t="s">
        <v>248</v>
      </c>
      <c r="M6" s="722" t="s">
        <v>547</v>
      </c>
      <c r="N6" s="722" t="s">
        <v>565</v>
      </c>
      <c r="O6" s="722" t="s">
        <v>251</v>
      </c>
      <c r="P6" s="722" t="s">
        <v>234</v>
      </c>
      <c r="Q6" s="722" t="s">
        <v>254</v>
      </c>
      <c r="R6" s="722" t="s">
        <v>566</v>
      </c>
    </row>
    <row r="7" spans="1:18" x14ac:dyDescent="0.3">
      <c r="A7" t="s">
        <v>529</v>
      </c>
      <c r="B7" s="711" t="b">
        <v>0</v>
      </c>
      <c r="C7" t="s">
        <v>567</v>
      </c>
      <c r="D7" t="s">
        <v>543</v>
      </c>
      <c r="E7" t="s">
        <v>545</v>
      </c>
      <c r="F7" t="s">
        <v>568</v>
      </c>
      <c r="H7" t="s">
        <v>544</v>
      </c>
      <c r="I7" s="4">
        <v>850</v>
      </c>
      <c r="J7" s="4">
        <v>42.42</v>
      </c>
      <c r="K7" t="s">
        <v>530</v>
      </c>
      <c r="L7" t="s">
        <v>569</v>
      </c>
      <c r="M7" t="s">
        <v>570</v>
      </c>
      <c r="N7" t="s">
        <v>524</v>
      </c>
      <c r="O7" s="196">
        <v>46155</v>
      </c>
      <c r="P7" s="718">
        <v>1807</v>
      </c>
      <c r="Q7" s="196">
        <v>46162</v>
      </c>
    </row>
    <row r="8" spans="1:18" x14ac:dyDescent="0.3">
      <c r="A8" t="s">
        <v>529</v>
      </c>
      <c r="B8" s="711" t="b">
        <v>0</v>
      </c>
      <c r="C8" t="s">
        <v>571</v>
      </c>
      <c r="D8" t="s">
        <v>540</v>
      </c>
      <c r="E8" t="s">
        <v>542</v>
      </c>
      <c r="F8" t="s">
        <v>572</v>
      </c>
      <c r="H8" t="s">
        <v>541</v>
      </c>
      <c r="I8" s="4">
        <v>1725</v>
      </c>
      <c r="J8" s="4">
        <v>86.08</v>
      </c>
      <c r="K8" t="s">
        <v>530</v>
      </c>
      <c r="L8" t="s">
        <v>573</v>
      </c>
      <c r="M8" t="s">
        <v>524</v>
      </c>
      <c r="N8" t="s">
        <v>524</v>
      </c>
      <c r="O8" s="196">
        <v>46156</v>
      </c>
      <c r="P8" s="718">
        <v>240065</v>
      </c>
      <c r="Q8" s="196">
        <v>46162</v>
      </c>
    </row>
    <row r="9" spans="1:18" x14ac:dyDescent="0.3">
      <c r="A9" t="s">
        <v>529</v>
      </c>
      <c r="B9" s="711" t="b">
        <v>0</v>
      </c>
      <c r="C9" t="s">
        <v>574</v>
      </c>
      <c r="D9" t="s">
        <v>537</v>
      </c>
      <c r="E9" t="s">
        <v>539</v>
      </c>
      <c r="F9" t="s">
        <v>575</v>
      </c>
      <c r="H9" t="s">
        <v>538</v>
      </c>
      <c r="I9" s="4">
        <v>6150.76</v>
      </c>
      <c r="J9" s="4">
        <v>306.92</v>
      </c>
      <c r="K9" t="s">
        <v>530</v>
      </c>
      <c r="L9" t="s">
        <v>576</v>
      </c>
      <c r="M9" t="s">
        <v>577</v>
      </c>
      <c r="N9" t="s">
        <v>524</v>
      </c>
      <c r="O9" s="196">
        <v>46157</v>
      </c>
      <c r="P9" s="718" t="s">
        <v>578</v>
      </c>
      <c r="Q9" s="196">
        <v>46162</v>
      </c>
    </row>
    <row r="10" spans="1:18" x14ac:dyDescent="0.3">
      <c r="A10" t="s">
        <v>529</v>
      </c>
      <c r="B10" s="711" t="b">
        <v>0</v>
      </c>
      <c r="C10" t="s">
        <v>579</v>
      </c>
      <c r="D10" t="s">
        <v>534</v>
      </c>
      <c r="E10" t="s">
        <v>536</v>
      </c>
      <c r="F10" t="s">
        <v>580</v>
      </c>
      <c r="H10" t="s">
        <v>535</v>
      </c>
      <c r="I10" s="4">
        <v>1518.75</v>
      </c>
      <c r="J10" s="4">
        <v>75.790000000000006</v>
      </c>
      <c r="K10" t="s">
        <v>530</v>
      </c>
      <c r="L10" t="s">
        <v>581</v>
      </c>
      <c r="M10" t="s">
        <v>577</v>
      </c>
      <c r="N10" t="s">
        <v>524</v>
      </c>
      <c r="O10" s="196">
        <v>46158</v>
      </c>
      <c r="P10" s="718" t="s">
        <v>582</v>
      </c>
      <c r="Q10" s="196">
        <v>46162</v>
      </c>
    </row>
    <row r="11" spans="1:18" x14ac:dyDescent="0.3">
      <c r="A11" t="s">
        <v>529</v>
      </c>
      <c r="B11" s="711" t="b">
        <v>0</v>
      </c>
      <c r="C11" t="s">
        <v>583</v>
      </c>
      <c r="D11" t="s">
        <v>531</v>
      </c>
      <c r="E11" t="s">
        <v>533</v>
      </c>
      <c r="F11" t="s">
        <v>572</v>
      </c>
      <c r="H11" t="s">
        <v>532</v>
      </c>
      <c r="I11" s="4">
        <v>1400</v>
      </c>
      <c r="J11" s="4">
        <v>69.86</v>
      </c>
      <c r="K11" t="s">
        <v>530</v>
      </c>
      <c r="L11" t="s">
        <v>584</v>
      </c>
      <c r="M11" t="s">
        <v>577</v>
      </c>
      <c r="N11" t="s">
        <v>524</v>
      </c>
      <c r="O11" s="196">
        <v>46159</v>
      </c>
      <c r="P11" s="718" t="s">
        <v>585</v>
      </c>
      <c r="Q11" s="196">
        <v>46162</v>
      </c>
    </row>
    <row r="12" spans="1:18" x14ac:dyDescent="0.3">
      <c r="A12" t="s">
        <v>529</v>
      </c>
      <c r="B12" s="711" t="b">
        <v>0</v>
      </c>
      <c r="C12" t="s">
        <v>586</v>
      </c>
      <c r="D12" t="s">
        <v>526</v>
      </c>
      <c r="E12" t="s">
        <v>528</v>
      </c>
      <c r="F12" t="s">
        <v>572</v>
      </c>
      <c r="H12" t="s">
        <v>527</v>
      </c>
      <c r="I12" s="4">
        <v>18000</v>
      </c>
      <c r="J12" s="4">
        <v>898.2</v>
      </c>
      <c r="K12" t="s">
        <v>525</v>
      </c>
      <c r="L12" t="s">
        <v>587</v>
      </c>
      <c r="M12" t="s">
        <v>577</v>
      </c>
      <c r="N12" t="s">
        <v>524</v>
      </c>
      <c r="O12" s="196">
        <v>46160</v>
      </c>
      <c r="P12" s="718" t="s">
        <v>588</v>
      </c>
      <c r="Q12" s="196">
        <v>46162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7ff3518b-2e3d-4dfb-a834-48e552d5b5bf" xsi:nil="true"/>
    <lcf76f155ced4ddcb4097134ff3c332f xmlns="f4e7d37e-1dcc-4436-a729-076bff741ea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04A511723502843AC0584E68EC60535" ma:contentTypeVersion="10" ma:contentTypeDescription="Create a new document." ma:contentTypeScope="" ma:versionID="b0bd1cbe17078d78dd890561300979b8">
  <xsd:schema xmlns:xsd="http://www.w3.org/2001/XMLSchema" xmlns:xs="http://www.w3.org/2001/XMLSchema" xmlns:p="http://schemas.microsoft.com/office/2006/metadata/properties" xmlns:ns2="f4e7d37e-1dcc-4436-a729-076bff741eab" xmlns:ns3="7ff3518b-2e3d-4dfb-a834-48e552d5b5bf" targetNamespace="http://schemas.microsoft.com/office/2006/metadata/properties" ma:root="true" ma:fieldsID="64768f17ba0d1c3e2bca806e029f0efd" ns2:_="" ns3:_="">
    <xsd:import namespace="f4e7d37e-1dcc-4436-a729-076bff741eab"/>
    <xsd:import namespace="7ff3518b-2e3d-4dfb-a834-48e552d5b5b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e7d37e-1dcc-4436-a729-076bff741e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be8b6ea-d13c-4d71-97d6-b0474eec2ac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ff3518b-2e3d-4dfb-a834-48e552d5b5b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e8a67d3-72a2-4d67-a918-656f717b250f}" ma:internalName="TaxCatchAll" ma:showField="CatchAllData" ma:web="7ff3518b-2e3d-4dfb-a834-48e552d5b5b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2EFDF4-478B-496A-AFF0-A81AD35CE1A8}">
  <ds:schemaRefs>
    <ds:schemaRef ds:uri="http://schemas.microsoft.com/office/2006/metadata/properties"/>
    <ds:schemaRef ds:uri="http://schemas.microsoft.com/office/infopath/2007/PartnerControls"/>
    <ds:schemaRef ds:uri="76a59bb2-c683-447d-99ce-9d6742243c7a"/>
    <ds:schemaRef ds:uri="85925d68-4395-4619-9ed4-82205d641ac6"/>
    <ds:schemaRef ds:uri="7ff3518b-2e3d-4dfb-a834-48e552d5b5bf"/>
    <ds:schemaRef ds:uri="f4e7d37e-1dcc-4436-a729-076bff741eab"/>
  </ds:schemaRefs>
</ds:datastoreItem>
</file>

<file path=customXml/itemProps2.xml><?xml version="1.0" encoding="utf-8"?>
<ds:datastoreItem xmlns:ds="http://schemas.openxmlformats.org/officeDocument/2006/customXml" ds:itemID="{7EAFA0D3-A418-471C-B26F-BBEE9005BBB6}"/>
</file>

<file path=customXml/itemProps3.xml><?xml version="1.0" encoding="utf-8"?>
<ds:datastoreItem xmlns:ds="http://schemas.openxmlformats.org/officeDocument/2006/customXml" ds:itemID="{F92C5647-19B1-459A-B435-B3765F6633EF}">
  <ds:schemaRefs>
    <ds:schemaRef ds:uri="http://schemas.microsoft.com/sharepoint/v3/contenttype/forms"/>
  </ds:schemaRefs>
</ds:datastoreItem>
</file>

<file path=docMetadata/LabelInfo.xml><?xml version="1.0" encoding="utf-8"?>
<clbl:labelList xmlns:clbl="http://schemas.microsoft.com/office/2020/mipLabelMetadata">
  <clbl:label id="{39b5d844-4294-4ce8-9e0c-caf4d2f741f4}" enabled="0" method="" siteId="{39b5d844-4294-4ce8-9e0c-caf4d2f741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4</vt:i4>
      </vt:variant>
    </vt:vector>
  </HeadingPairs>
  <TitlesOfParts>
    <vt:vector size="20" baseType="lpstr">
      <vt:lpstr>Guidelines</vt:lpstr>
      <vt:lpstr>Comm Summary (O-O,N-O)</vt:lpstr>
      <vt:lpstr>Comm Summary (A-O)</vt:lpstr>
      <vt:lpstr>Comm Summary (L-L, L-O)</vt:lpstr>
      <vt:lpstr>Billings</vt:lpstr>
      <vt:lpstr>Residency - Callsheet</vt:lpstr>
      <vt:lpstr>Crew Payroll</vt:lpstr>
      <vt:lpstr>AICP Bid</vt:lpstr>
      <vt:lpstr>PO Log</vt:lpstr>
      <vt:lpstr>ProdCo Sub-Vendors</vt:lpstr>
      <vt:lpstr>Prod - Petty Cash</vt:lpstr>
      <vt:lpstr>Talent &amp; Extras</vt:lpstr>
      <vt:lpstr>Agency Hours</vt:lpstr>
      <vt:lpstr>Agency Job Description</vt:lpstr>
      <vt:lpstr>Agency Sub-Vendors</vt:lpstr>
      <vt:lpstr>Loan Out Withholding</vt:lpstr>
      <vt:lpstr>'Agency Sub-Vendors'!_FilterDatabase</vt:lpstr>
      <vt:lpstr>Billings!_FilterDatabase</vt:lpstr>
      <vt:lpstr>'ProdCo Sub-Vendors'!_FilterDatabase</vt:lpstr>
      <vt:lpstr>'Talent &amp; Extras'!Print_Area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Tina Dankova</dc:creator>
  <cp:keywords/>
  <dc:description/>
  <cp:lastModifiedBy>Steven Ward</cp:lastModifiedBy>
  <cp:revision/>
  <dcterms:created xsi:type="dcterms:W3CDTF">2013-07-17T19:19:18Z</dcterms:created>
  <dcterms:modified xsi:type="dcterms:W3CDTF">2026-07-20T16:37:09Z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0x010100504A511723502843AC0584E68EC60535</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GUID">
    <vt:lpwstr>2f90f808-fc2f-45a3-8ee1-8bfd8b41f43c</vt:lpwstr>
  </property>
</Properties>
</file>