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https://tpcus808.sharepoint.com/sites/DataEntryAutomation/Shared Documents/New Automation Documents/Templates/"/>
    </mc:Choice>
  </mc:AlternateContent>
  <xr:revisionPtr revIDLastSave="2" documentId="13_ncr:1_{3DED6170-0B99-4E78-9EFD-10FB09D737EE}" xr6:coauthVersionLast="47" xr6:coauthVersionMax="47" xr10:uidLastSave="{CBA5552E-7907-4C33-BB93-D9482C7CED9B}"/>
  <bookViews>
    <workbookView xWindow="-28920" yWindow="-285" windowWidth="29040" windowHeight="15720" tabRatio="824" activeTab="6" xr2:uid="{6FB5994E-2679-43F6-BB3B-0F32DCF9474F}"/>
  </bookViews>
  <sheets>
    <sheet name="Overview" sheetId="20" r:id="rId1"/>
    <sheet name="Cost Report" sheetId="24" r:id="rId2"/>
    <sheet name="Check Figure" sheetId="25" r:id="rId3"/>
    <sheet name="Checklist" sheetId="27" r:id="rId4"/>
    <sheet name="GL(BILLING)" sheetId="28" r:id="rId5"/>
    <sheet name="GL (PRODCO)" sheetId="29" r:id="rId6"/>
    <sheet name="Payroll Report" sheetId="18" r:id="rId7"/>
    <sheet name="Payroll Roster" sheetId="8" r:id="rId8"/>
    <sheet name="Talent" sheetId="23" r:id="rId9"/>
    <sheet name="AP" sheetId="15" r:id="rId10"/>
    <sheet name="Hotel Charges Summary" sheetId="22" r:id="rId11"/>
    <sheet name="Petty Cash" sheetId="14" r:id="rId12"/>
    <sheet name="Loan Out Withholding" sheetId="30" r:id="rId13"/>
    <sheet name="Loan-out Allocation - Days" sheetId="10" r:id="rId14"/>
    <sheet name="Legend" sheetId="17" r:id="rId15"/>
  </sheets>
  <definedNames>
    <definedName name="_xlnm._FilterDatabase" localSheetId="9" hidden="1">AP!$A$3:$AR$3</definedName>
    <definedName name="_xlnm._FilterDatabase" localSheetId="5" hidden="1">'GL (PRODCO)'!$A$3:$Z$3</definedName>
    <definedName name="_xlnm._FilterDatabase" localSheetId="4" hidden="1">'GL(BILLING)'!$A$3:$Z$3</definedName>
    <definedName name="_xlnm._FilterDatabase" localSheetId="6" hidden="1">'Payroll Report'!$A$3:$AV$13</definedName>
    <definedName name="_xlnm._FilterDatabase" localSheetId="7" hidden="1">'Payroll Roster'!$A$3:$K$70</definedName>
    <definedName name="_xlnm._FilterDatabase" localSheetId="11" hidden="1">'Petty Cash'!$A$3:$AO$3</definedName>
    <definedName name="_xlnm._FilterDatabase" localSheetId="8" hidden="1">Talent!$A$3:$AA$34</definedName>
    <definedName name="OLE_LINK1" localSheetId="10">#REF!</definedName>
    <definedName name="OLE_LINK1">#REF!</definedName>
    <definedName name="_xlnm.Print_Area" localSheetId="1">'Cost Report'!$B$8:$H$42</definedName>
    <definedName name="rngCeilingAm">#REF!</definedName>
    <definedName name="rngCeilingCnt">#REF!</definedName>
    <definedName name="rngCeilingVal">#REF!</definedName>
    <definedName name="rngFloorAm">#REF!</definedName>
    <definedName name="rngFloorCnt">#REF!</definedName>
    <definedName name="rngFloorVal">#REF!</definedName>
    <definedName name="rngMaximum">#REF!</definedName>
    <definedName name="rngMinimum">#REF!</definedName>
    <definedName name="rngNegCnt">#REF!</definedName>
    <definedName name="rngNegVal">#REF!</definedName>
    <definedName name="rngRecInDwnld">#REF!</definedName>
    <definedName name="rngRecInDwnldVal">#REF!</definedName>
    <definedName name="rngSmpSz1">#REF!</definedName>
    <definedName name="rngSmpSz2">#REF!</definedName>
    <definedName name="rngSmpSz3">#REF!</definedName>
    <definedName name="rngSmpSz4">#REF!</definedName>
    <definedName name="rngSmpSz5">#REF!</definedName>
    <definedName name="rngSmpSz6">#REF!</definedName>
    <definedName name="rngStr1BrkVal">#REF!</definedName>
    <definedName name="rngStr2BrkVal">#REF!</definedName>
    <definedName name="rngStr3BrkVal">#REF!</definedName>
    <definedName name="rngStr4BrkVal">#REF!</definedName>
    <definedName name="rngStr5BrkVal">#REF!</definedName>
    <definedName name="rngUnitsSmpCnt">#REF!</definedName>
    <definedName name="rngUnitsSmpVal">#REF!</definedName>
    <definedName name="rngUnSz1">#REF!</definedName>
    <definedName name="rngUnSz1Val">#REF!</definedName>
    <definedName name="rngUnSz2">#REF!</definedName>
    <definedName name="rngUnSz2Val">#REF!</definedName>
    <definedName name="rngUnSz3">#REF!</definedName>
    <definedName name="rngUnSz3Val">#REF!</definedName>
    <definedName name="rngUnSz4">#REF!</definedName>
    <definedName name="rngUnSz4Val">#REF!</definedName>
    <definedName name="rngUnSz5">#REF!</definedName>
    <definedName name="rngUnSz5Val">#REF!</definedName>
    <definedName name="rngUnSz6">#REF!</definedName>
    <definedName name="rngUnSz6Va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0" i="25" l="1"/>
  <c r="M61" i="25"/>
  <c r="L61" i="25"/>
  <c r="K61" i="25"/>
  <c r="J61" i="25"/>
  <c r="I61" i="25"/>
  <c r="D61" i="25"/>
  <c r="C61" i="25"/>
  <c r="B61" i="25"/>
  <c r="M36" i="25"/>
  <c r="M37" i="25"/>
  <c r="M38" i="25"/>
  <c r="M39" i="25"/>
  <c r="M40" i="25"/>
  <c r="M41" i="25"/>
  <c r="M42" i="25"/>
  <c r="M43" i="25"/>
  <c r="M44" i="25"/>
  <c r="M45" i="25"/>
  <c r="M46" i="25"/>
  <c r="M47" i="25"/>
  <c r="M48" i="25"/>
  <c r="M49" i="25"/>
  <c r="M50" i="25"/>
  <c r="M51" i="25"/>
  <c r="M52" i="25"/>
  <c r="M53" i="25"/>
  <c r="M54" i="25"/>
  <c r="M55" i="25"/>
  <c r="M56" i="25"/>
  <c r="M57" i="25"/>
  <c r="M58" i="25"/>
  <c r="M59" i="25"/>
  <c r="M35" i="25"/>
  <c r="L36" i="25"/>
  <c r="L37" i="25"/>
  <c r="L38" i="25"/>
  <c r="L39" i="25"/>
  <c r="L40" i="25"/>
  <c r="L41" i="25"/>
  <c r="L42" i="25"/>
  <c r="L43" i="25"/>
  <c r="L44" i="25"/>
  <c r="L45" i="25"/>
  <c r="L46" i="25"/>
  <c r="L47" i="25"/>
  <c r="L48" i="25"/>
  <c r="L49" i="25"/>
  <c r="L50" i="25"/>
  <c r="L51" i="25"/>
  <c r="L52" i="25"/>
  <c r="L53" i="25"/>
  <c r="L54" i="25"/>
  <c r="L55" i="25"/>
  <c r="L56" i="25"/>
  <c r="L57" i="25"/>
  <c r="L58" i="25"/>
  <c r="L59" i="25"/>
  <c r="L35" i="25"/>
  <c r="K36" i="25"/>
  <c r="K37" i="25"/>
  <c r="K38" i="25"/>
  <c r="K39" i="25"/>
  <c r="K40" i="25"/>
  <c r="K41" i="25"/>
  <c r="K42" i="25"/>
  <c r="K43" i="25"/>
  <c r="K44" i="25"/>
  <c r="K45" i="25"/>
  <c r="K46" i="25"/>
  <c r="K47" i="25"/>
  <c r="K48" i="25"/>
  <c r="K49" i="25"/>
  <c r="K50" i="25"/>
  <c r="K51" i="25"/>
  <c r="K52" i="25"/>
  <c r="K53" i="25"/>
  <c r="K54" i="25"/>
  <c r="K55" i="25"/>
  <c r="K56" i="25"/>
  <c r="K57" i="25"/>
  <c r="K58" i="25"/>
  <c r="K59" i="25"/>
  <c r="K35" i="25"/>
  <c r="J36" i="25"/>
  <c r="J37" i="25"/>
  <c r="J38" i="25"/>
  <c r="J39" i="25"/>
  <c r="J40" i="25"/>
  <c r="J41" i="25"/>
  <c r="J42" i="25"/>
  <c r="J43" i="25"/>
  <c r="J44" i="25"/>
  <c r="J45" i="25"/>
  <c r="J46" i="25"/>
  <c r="J47" i="25"/>
  <c r="J48" i="25"/>
  <c r="J49" i="25"/>
  <c r="J50" i="25"/>
  <c r="J51" i="25"/>
  <c r="J52" i="25"/>
  <c r="J53" i="25"/>
  <c r="J54" i="25"/>
  <c r="J55" i="25"/>
  <c r="J56" i="25"/>
  <c r="J57" i="25"/>
  <c r="J58" i="25"/>
  <c r="J59" i="25"/>
  <c r="J35" i="25"/>
  <c r="I36" i="25"/>
  <c r="I37" i="25"/>
  <c r="I38" i="25"/>
  <c r="I39" i="25"/>
  <c r="I40" i="25"/>
  <c r="I41" i="25"/>
  <c r="I42" i="25"/>
  <c r="I43" i="25"/>
  <c r="I44" i="25"/>
  <c r="I45" i="25"/>
  <c r="I46" i="25"/>
  <c r="I47" i="25"/>
  <c r="I48" i="25"/>
  <c r="I49" i="25"/>
  <c r="I50" i="25"/>
  <c r="I51" i="25"/>
  <c r="I52" i="25"/>
  <c r="I53" i="25"/>
  <c r="I54" i="25"/>
  <c r="I55" i="25"/>
  <c r="I56" i="25"/>
  <c r="I57" i="25"/>
  <c r="I58" i="25"/>
  <c r="I59" i="25"/>
  <c r="I35" i="25"/>
  <c r="D36" i="25"/>
  <c r="D37" i="25"/>
  <c r="D38" i="25"/>
  <c r="D39" i="25"/>
  <c r="D40" i="25"/>
  <c r="D41" i="25"/>
  <c r="D42" i="25"/>
  <c r="D43" i="25"/>
  <c r="D44" i="25"/>
  <c r="D45" i="25"/>
  <c r="D46" i="25"/>
  <c r="D47" i="25"/>
  <c r="D48" i="25"/>
  <c r="D49" i="25"/>
  <c r="D50" i="25"/>
  <c r="D51" i="25"/>
  <c r="D52" i="25"/>
  <c r="D53" i="25"/>
  <c r="D54" i="25"/>
  <c r="D55" i="25"/>
  <c r="D56" i="25"/>
  <c r="D57" i="25"/>
  <c r="D58" i="25"/>
  <c r="D59" i="25"/>
  <c r="D35" i="25"/>
  <c r="C36" i="25"/>
  <c r="C37" i="25"/>
  <c r="C38" i="25"/>
  <c r="C39" i="25"/>
  <c r="C40" i="25"/>
  <c r="C41" i="25"/>
  <c r="C42" i="25"/>
  <c r="C43" i="25"/>
  <c r="C44" i="25"/>
  <c r="C45" i="25"/>
  <c r="C46" i="25"/>
  <c r="C47" i="25"/>
  <c r="C48" i="25"/>
  <c r="C49" i="25"/>
  <c r="C50" i="25"/>
  <c r="C51" i="25"/>
  <c r="C52" i="25"/>
  <c r="C53" i="25"/>
  <c r="C54" i="25"/>
  <c r="C55" i="25"/>
  <c r="C56" i="25"/>
  <c r="C57" i="25"/>
  <c r="C58" i="25"/>
  <c r="C59" i="25"/>
  <c r="C35" i="25"/>
  <c r="B36" i="25"/>
  <c r="B37" i="25"/>
  <c r="B38" i="25"/>
  <c r="B39" i="25"/>
  <c r="B40" i="25"/>
  <c r="B41" i="25"/>
  <c r="B42" i="25"/>
  <c r="B43" i="25"/>
  <c r="B44" i="25"/>
  <c r="B45" i="25"/>
  <c r="B46" i="25"/>
  <c r="B47" i="25"/>
  <c r="B48" i="25"/>
  <c r="B49" i="25"/>
  <c r="B50" i="25"/>
  <c r="B51" i="25"/>
  <c r="B52" i="25"/>
  <c r="B53" i="25"/>
  <c r="B54" i="25"/>
  <c r="B55" i="25"/>
  <c r="B56" i="25"/>
  <c r="B57" i="25"/>
  <c r="B58" i="25"/>
  <c r="B59" i="25"/>
  <c r="B35" i="25"/>
  <c r="J8" i="30"/>
  <c r="J9" i="30"/>
  <c r="J10" i="30"/>
  <c r="J11" i="30"/>
  <c r="J12" i="30"/>
  <c r="J7" i="30"/>
  <c r="V35" i="15"/>
  <c r="K35" i="23"/>
  <c r="L35" i="23"/>
  <c r="M35" i="23"/>
  <c r="N35" i="23"/>
  <c r="O35" i="23"/>
  <c r="P35" i="23"/>
  <c r="Q35" i="23"/>
  <c r="K37" i="23"/>
  <c r="L37" i="23"/>
  <c r="M37" i="23"/>
  <c r="N37" i="23"/>
  <c r="O37" i="23"/>
  <c r="P37" i="23"/>
  <c r="Q37" i="23"/>
  <c r="J37" i="23"/>
  <c r="J35" i="23"/>
  <c r="AK4" i="15"/>
  <c r="AK27" i="15"/>
  <c r="X27" i="15"/>
  <c r="AK26" i="15"/>
  <c r="X26" i="15"/>
  <c r="AK25" i="15"/>
  <c r="X25" i="15"/>
  <c r="AK24" i="15"/>
  <c r="X24" i="15"/>
  <c r="F44" i="15" a="1"/>
  <c r="F44" i="15" s="1"/>
  <c r="AP5" i="18"/>
  <c r="AP6" i="18"/>
  <c r="AP7" i="18"/>
  <c r="AP8" i="18"/>
  <c r="AP9" i="18"/>
  <c r="AP10" i="18"/>
  <c r="AP11" i="18"/>
  <c r="AP12" i="18"/>
  <c r="AP13" i="18"/>
  <c r="AP14" i="18"/>
  <c r="AP15" i="18"/>
  <c r="AP16" i="18"/>
  <c r="AP17" i="18"/>
  <c r="AP18" i="18"/>
  <c r="AP19" i="18"/>
  <c r="AP20" i="18"/>
  <c r="AP21" i="18"/>
  <c r="AP22" i="18"/>
  <c r="AP23" i="18"/>
  <c r="AP24" i="18"/>
  <c r="AP25" i="18"/>
  <c r="AP26" i="18"/>
  <c r="AP27" i="18"/>
  <c r="AP28" i="18"/>
  <c r="AP29" i="18"/>
  <c r="AP30" i="18"/>
  <c r="AP31" i="18"/>
  <c r="AP32" i="18"/>
  <c r="AP33" i="18"/>
  <c r="AP34" i="18"/>
  <c r="AP35" i="18"/>
  <c r="AP36" i="18"/>
  <c r="AP37" i="18"/>
  <c r="AP38" i="18"/>
  <c r="AP39" i="18"/>
  <c r="AP40" i="18"/>
  <c r="AP41" i="18"/>
  <c r="AP42" i="18"/>
  <c r="AP43" i="18"/>
  <c r="AP44" i="18"/>
  <c r="AP45" i="18"/>
  <c r="AP46" i="18"/>
  <c r="AP47" i="18"/>
  <c r="AP48" i="18"/>
  <c r="AP49" i="18"/>
  <c r="AP50" i="18"/>
  <c r="AP51" i="18"/>
  <c r="AP52" i="18"/>
  <c r="AP53" i="18"/>
  <c r="AP54" i="18"/>
  <c r="AP55" i="18"/>
  <c r="AP56" i="18"/>
  <c r="AP57" i="18"/>
  <c r="AP58" i="18"/>
  <c r="AP59" i="18"/>
  <c r="AP60" i="18"/>
  <c r="AP61" i="18"/>
  <c r="AP62" i="18"/>
  <c r="AP63" i="18"/>
  <c r="AP64" i="18"/>
  <c r="AP65" i="18"/>
  <c r="AP66" i="18"/>
  <c r="AP67" i="18"/>
  <c r="AP68" i="18"/>
  <c r="AP69" i="18"/>
  <c r="AP70" i="18"/>
  <c r="AP71" i="18"/>
  <c r="AP72" i="18"/>
  <c r="AP73" i="18"/>
  <c r="AP74" i="18"/>
  <c r="AP75" i="18"/>
  <c r="AP76" i="18"/>
  <c r="AP77" i="18"/>
  <c r="AP78" i="18"/>
  <c r="AP79" i="18"/>
  <c r="AP80" i="18"/>
  <c r="AP81" i="18"/>
  <c r="AP82" i="18"/>
  <c r="AP83" i="18"/>
  <c r="AP84" i="18"/>
  <c r="AP85" i="18"/>
  <c r="AP86" i="18"/>
  <c r="AP87" i="18"/>
  <c r="AP88" i="18"/>
  <c r="AP89" i="18"/>
  <c r="AP90" i="18"/>
  <c r="AP91" i="18"/>
  <c r="AP92" i="18"/>
  <c r="AP93" i="18"/>
  <c r="AP94" i="18"/>
  <c r="AP95" i="18"/>
  <c r="AP96" i="18"/>
  <c r="AP97" i="18"/>
  <c r="AP98" i="18"/>
  <c r="AP99" i="18"/>
  <c r="AP100" i="18"/>
  <c r="AP101" i="18"/>
  <c r="AP102" i="18"/>
  <c r="AP103" i="18"/>
  <c r="AP104" i="18"/>
  <c r="AP105" i="18"/>
  <c r="AP106" i="18"/>
  <c r="AP107" i="18"/>
  <c r="AP108" i="18"/>
  <c r="AP109" i="18"/>
  <c r="AP110" i="18"/>
  <c r="AP111" i="18"/>
  <c r="AP112" i="18"/>
  <c r="AP113" i="18"/>
  <c r="AP114" i="18"/>
  <c r="AP115" i="18"/>
  <c r="AP116" i="18"/>
  <c r="AP117" i="18"/>
  <c r="AP118" i="18"/>
  <c r="AP119" i="18"/>
  <c r="AP120" i="18"/>
  <c r="AP121" i="18"/>
  <c r="AP122" i="18"/>
  <c r="AP123" i="18"/>
  <c r="AP124" i="18"/>
  <c r="AP125" i="18"/>
  <c r="AP126" i="18"/>
  <c r="AP127" i="18"/>
  <c r="AP128" i="18"/>
  <c r="AP129" i="18"/>
  <c r="AP130" i="18"/>
  <c r="AP131" i="18"/>
  <c r="AP132" i="18"/>
  <c r="AP133" i="18"/>
  <c r="AP134" i="18"/>
  <c r="AP135" i="18"/>
  <c r="AP136" i="18"/>
  <c r="AP137" i="18"/>
  <c r="AP138" i="18"/>
  <c r="AP139" i="18"/>
  <c r="AP140" i="18"/>
  <c r="AP141" i="18"/>
  <c r="AP142" i="18"/>
  <c r="AP143" i="18"/>
  <c r="AP144" i="18"/>
  <c r="AP145" i="18"/>
  <c r="AP146" i="18"/>
  <c r="AP147" i="18"/>
  <c r="AP148" i="18"/>
  <c r="AP149" i="18"/>
  <c r="AP150" i="18"/>
  <c r="AP151" i="18"/>
  <c r="AP152" i="18"/>
  <c r="AP153" i="18"/>
  <c r="AP154" i="18"/>
  <c r="AP155" i="18"/>
  <c r="AP156" i="18"/>
  <c r="AP157" i="18"/>
  <c r="AP158" i="18"/>
  <c r="AP159" i="18"/>
  <c r="AP160" i="18"/>
  <c r="AP161" i="18"/>
  <c r="AP162" i="18"/>
  <c r="AP163" i="18"/>
  <c r="AP164" i="18"/>
  <c r="AP165" i="18"/>
  <c r="AP166" i="18"/>
  <c r="AP167" i="18"/>
  <c r="AP168" i="18"/>
  <c r="AP169" i="18"/>
  <c r="AP170" i="18"/>
  <c r="AP171" i="18"/>
  <c r="AP172" i="18"/>
  <c r="AP173" i="18"/>
  <c r="AP174" i="18"/>
  <c r="AP175" i="18"/>
  <c r="AP176" i="18"/>
  <c r="AP177" i="18"/>
  <c r="AP178" i="18"/>
  <c r="AP179" i="18"/>
  <c r="AP180" i="18"/>
  <c r="AP181" i="18"/>
  <c r="AP182" i="18"/>
  <c r="AP183" i="18"/>
  <c r="AP184" i="18"/>
  <c r="AP185" i="18"/>
  <c r="AP186" i="18"/>
  <c r="AP187" i="18"/>
  <c r="AP188" i="18"/>
  <c r="AP189" i="18"/>
  <c r="AP190" i="18"/>
  <c r="AP191" i="18"/>
  <c r="AP192" i="18"/>
  <c r="AP193" i="18"/>
  <c r="AP194" i="18"/>
  <c r="AP195" i="18"/>
  <c r="AP196" i="18"/>
  <c r="AP197" i="18"/>
  <c r="AP198" i="18"/>
  <c r="AP199" i="18"/>
  <c r="AP200" i="18"/>
  <c r="AP201" i="18"/>
  <c r="AP202" i="18"/>
  <c r="AP203" i="18"/>
  <c r="AP204" i="18"/>
  <c r="AP205" i="18"/>
  <c r="AP206" i="18"/>
  <c r="AP207" i="18"/>
  <c r="AP208" i="18"/>
  <c r="AP209" i="18"/>
  <c r="AP210" i="18"/>
  <c r="AP211" i="18"/>
  <c r="AP212" i="18"/>
  <c r="AP213" i="18"/>
  <c r="AP214" i="18"/>
  <c r="AP215" i="18"/>
  <c r="AP216" i="18"/>
  <c r="AP217" i="18"/>
  <c r="AP218" i="18"/>
  <c r="AP219" i="18"/>
  <c r="AP220" i="18"/>
  <c r="AP221" i="18"/>
  <c r="AP222" i="18"/>
  <c r="AP223" i="18"/>
  <c r="AP224" i="18"/>
  <c r="AP225" i="18"/>
  <c r="AP226" i="18"/>
  <c r="AP227" i="18"/>
  <c r="AP228" i="18"/>
  <c r="AP229" i="18"/>
  <c r="AP230" i="18"/>
  <c r="AP231" i="18"/>
  <c r="AP232" i="18"/>
  <c r="AP233" i="18"/>
  <c r="AP234" i="18"/>
  <c r="AP235" i="18"/>
  <c r="AP236" i="18"/>
  <c r="AP237" i="18"/>
  <c r="AP238" i="18"/>
  <c r="AP239" i="18"/>
  <c r="AP240" i="18"/>
  <c r="AP241" i="18"/>
  <c r="AP242" i="18"/>
  <c r="AP243" i="18"/>
  <c r="AP244" i="18"/>
  <c r="AP245" i="18"/>
  <c r="AP246" i="18"/>
  <c r="AP247" i="18"/>
  <c r="AP248" i="18"/>
  <c r="AP249" i="18"/>
  <c r="AP250" i="18"/>
  <c r="AP251" i="18"/>
  <c r="AP252" i="18"/>
  <c r="AP253" i="18"/>
  <c r="AP254" i="18"/>
  <c r="AP255" i="18"/>
  <c r="AP256" i="18"/>
  <c r="AP257" i="18"/>
  <c r="AP258" i="18"/>
  <c r="AP259" i="18"/>
  <c r="AP260" i="18"/>
  <c r="AP261" i="18"/>
  <c r="AP262" i="18"/>
  <c r="AP263" i="18"/>
  <c r="AP264" i="18"/>
  <c r="AP265" i="18"/>
  <c r="AP266" i="18"/>
  <c r="AP267" i="18"/>
  <c r="AP268" i="18"/>
  <c r="AP269" i="18"/>
  <c r="AP270" i="18"/>
  <c r="AP271" i="18"/>
  <c r="AP272" i="18"/>
  <c r="AP273" i="18"/>
  <c r="AP274" i="18"/>
  <c r="AP275" i="18"/>
  <c r="AP276" i="18"/>
  <c r="AP277" i="18"/>
  <c r="AP278" i="18"/>
  <c r="AP279" i="18"/>
  <c r="AP280" i="18"/>
  <c r="AP281" i="18"/>
  <c r="AP282" i="18"/>
  <c r="AP283" i="18"/>
  <c r="AP284" i="18"/>
  <c r="AP285" i="18"/>
  <c r="AP286" i="18"/>
  <c r="AP287" i="18"/>
  <c r="AP288" i="18"/>
  <c r="AP289" i="18"/>
  <c r="AP290" i="18"/>
  <c r="AP291" i="18"/>
  <c r="AP292" i="18"/>
  <c r="AP293" i="18"/>
  <c r="AP294" i="18"/>
  <c r="AP295" i="18"/>
  <c r="AP296" i="18"/>
  <c r="AP297" i="18"/>
  <c r="AP298" i="18"/>
  <c r="AP299" i="18"/>
  <c r="AP300" i="18"/>
  <c r="AP301" i="18"/>
  <c r="AP302" i="18"/>
  <c r="AP303" i="18"/>
  <c r="AP304" i="18"/>
  <c r="AP305" i="18"/>
  <c r="AP306" i="18"/>
  <c r="AP307" i="18"/>
  <c r="AP308" i="18"/>
  <c r="AP309" i="18"/>
  <c r="AP310" i="18"/>
  <c r="AP311" i="18"/>
  <c r="AP312" i="18"/>
  <c r="AP313" i="18"/>
  <c r="AP314" i="18"/>
  <c r="AP315" i="18"/>
  <c r="AP316" i="18"/>
  <c r="AP317" i="18"/>
  <c r="AP318" i="18"/>
  <c r="AP319" i="18"/>
  <c r="AP320" i="18"/>
  <c r="AP321" i="18"/>
  <c r="AP322" i="18"/>
  <c r="AP323" i="18"/>
  <c r="AP324" i="18"/>
  <c r="AP325" i="18"/>
  <c r="AP326" i="18"/>
  <c r="AP327" i="18"/>
  <c r="AP328" i="18"/>
  <c r="AP329" i="18"/>
  <c r="AP330" i="18"/>
  <c r="AP331" i="18"/>
  <c r="AP332" i="18"/>
  <c r="AP333" i="18"/>
  <c r="AP334" i="18"/>
  <c r="AP335" i="18"/>
  <c r="AP336" i="18"/>
  <c r="AP337" i="18"/>
  <c r="AP338" i="18"/>
  <c r="AP339" i="18"/>
  <c r="AP340" i="18"/>
  <c r="AP341" i="18"/>
  <c r="AP342" i="18"/>
  <c r="AP343" i="18"/>
  <c r="AP344" i="18"/>
  <c r="AP345" i="18"/>
  <c r="AP346" i="18"/>
  <c r="AP347" i="18"/>
  <c r="AP348" i="18"/>
  <c r="AP349" i="18"/>
  <c r="AP350" i="18"/>
  <c r="AP351" i="18"/>
  <c r="AP352" i="18"/>
  <c r="AP353" i="18"/>
  <c r="AP354" i="18"/>
  <c r="AP355" i="18"/>
  <c r="AP356" i="18"/>
  <c r="AP357" i="18"/>
  <c r="AP358" i="18"/>
  <c r="AP359" i="18"/>
  <c r="AP360" i="18"/>
  <c r="AP361" i="18"/>
  <c r="AP362" i="18"/>
  <c r="AP363" i="18"/>
  <c r="AP364" i="18"/>
  <c r="AP365" i="18"/>
  <c r="AP366" i="18"/>
  <c r="AP367" i="18"/>
  <c r="AP368" i="18"/>
  <c r="AP369" i="18"/>
  <c r="AP370" i="18"/>
  <c r="AP371" i="18"/>
  <c r="AP372" i="18"/>
  <c r="AP373" i="18"/>
  <c r="AP374" i="18"/>
  <c r="AP375" i="18"/>
  <c r="AP376" i="18"/>
  <c r="AP377" i="18"/>
  <c r="AP378" i="18"/>
  <c r="AP379" i="18"/>
  <c r="AP380" i="18"/>
  <c r="AP381" i="18"/>
  <c r="AP382" i="18"/>
  <c r="AP383" i="18"/>
  <c r="AP384" i="18"/>
  <c r="AP385" i="18"/>
  <c r="AP386" i="18"/>
  <c r="AP387" i="18"/>
  <c r="AP388" i="18"/>
  <c r="AP389" i="18"/>
  <c r="AP390" i="18"/>
  <c r="AP391" i="18"/>
  <c r="AP392" i="18"/>
  <c r="AP393" i="18"/>
  <c r="AP394" i="18"/>
  <c r="AP395" i="18"/>
  <c r="AP396" i="18"/>
  <c r="AP397" i="18"/>
  <c r="AP398" i="18"/>
  <c r="AP399" i="18"/>
  <c r="AP400" i="18"/>
  <c r="AP401" i="18"/>
  <c r="AP402" i="18"/>
  <c r="AP403" i="18"/>
  <c r="AP404" i="18"/>
  <c r="AP405" i="18"/>
  <c r="AP406" i="18"/>
  <c r="AP407" i="18"/>
  <c r="AP408" i="18"/>
  <c r="AP409" i="18"/>
  <c r="AP410" i="18"/>
  <c r="AP411" i="18"/>
  <c r="AP412" i="18"/>
  <c r="AP413" i="18"/>
  <c r="AP414" i="18"/>
  <c r="AP415" i="18"/>
  <c r="AP416" i="18"/>
  <c r="AP417" i="18"/>
  <c r="AP418" i="18"/>
  <c r="AP419" i="18"/>
  <c r="AP420" i="18"/>
  <c r="AP421" i="18"/>
  <c r="AP422" i="18"/>
  <c r="AP423" i="18"/>
  <c r="AP424" i="18"/>
  <c r="AP425" i="18"/>
  <c r="AP426" i="18"/>
  <c r="AP427" i="18"/>
  <c r="AP428" i="18"/>
  <c r="AP429" i="18"/>
  <c r="AP430" i="18"/>
  <c r="AP431" i="18"/>
  <c r="AP432" i="18"/>
  <c r="AP433" i="18"/>
  <c r="AP434" i="18"/>
  <c r="AP435" i="18"/>
  <c r="AP436" i="18"/>
  <c r="AP437" i="18"/>
  <c r="AP438" i="18"/>
  <c r="AP439" i="18"/>
  <c r="AP440" i="18"/>
  <c r="AP441" i="18"/>
  <c r="AP442" i="18"/>
  <c r="AP443" i="18"/>
  <c r="AP444" i="18"/>
  <c r="AP445" i="18"/>
  <c r="AP446" i="18"/>
  <c r="AP447" i="18"/>
  <c r="AP448" i="18"/>
  <c r="AP449" i="18"/>
  <c r="AP450" i="18"/>
  <c r="AP451" i="18"/>
  <c r="AP452" i="18"/>
  <c r="AP453" i="18"/>
  <c r="AP454" i="18"/>
  <c r="AP455" i="18"/>
  <c r="AP456" i="18"/>
  <c r="AP457" i="18"/>
  <c r="AP458" i="18"/>
  <c r="AP459" i="18"/>
  <c r="AP460" i="18"/>
  <c r="AP461" i="18"/>
  <c r="AP462" i="18"/>
  <c r="AP463" i="18"/>
  <c r="AP464" i="18"/>
  <c r="AP465" i="18"/>
  <c r="AP466" i="18"/>
  <c r="AP467" i="18"/>
  <c r="AP468" i="18"/>
  <c r="AP469" i="18"/>
  <c r="AP470" i="18"/>
  <c r="AP471" i="18"/>
  <c r="AP472" i="18"/>
  <c r="AP473" i="18"/>
  <c r="AP474" i="18"/>
  <c r="AP475" i="18"/>
  <c r="AP476" i="18"/>
  <c r="AP477" i="18"/>
  <c r="AP478" i="18"/>
  <c r="AP479" i="18"/>
  <c r="AP480" i="18"/>
  <c r="AP481" i="18"/>
  <c r="AP482" i="18"/>
  <c r="AP483" i="18"/>
  <c r="AP484" i="18"/>
  <c r="AP485" i="18"/>
  <c r="AP486" i="18"/>
  <c r="AP487" i="18"/>
  <c r="AP488" i="18"/>
  <c r="AP489" i="18"/>
  <c r="AP490" i="18"/>
  <c r="AP491" i="18"/>
  <c r="AP492" i="18"/>
  <c r="AP493" i="18"/>
  <c r="AP494" i="18"/>
  <c r="AP495" i="18"/>
  <c r="AP496" i="18"/>
  <c r="AP497" i="18"/>
  <c r="AP498" i="18"/>
  <c r="AP499" i="18"/>
  <c r="AP500" i="18"/>
  <c r="AP501" i="18"/>
  <c r="AP502" i="18"/>
  <c r="AP503" i="18"/>
  <c r="AP504" i="18"/>
  <c r="AP505" i="18"/>
  <c r="AP506" i="18"/>
  <c r="AP507" i="18"/>
  <c r="AP508" i="18"/>
  <c r="AP509" i="18"/>
  <c r="AP510" i="18"/>
  <c r="AP511" i="18"/>
  <c r="AP512" i="18"/>
  <c r="AP513" i="18"/>
  <c r="AP514" i="18"/>
  <c r="AP515" i="18"/>
  <c r="AP516" i="18"/>
  <c r="AP517" i="18"/>
  <c r="AP518" i="18"/>
  <c r="AP519" i="18"/>
  <c r="AP520" i="18"/>
  <c r="AP521" i="18"/>
  <c r="AP522" i="18"/>
  <c r="AP523" i="18"/>
  <c r="AP524" i="18"/>
  <c r="AP525" i="18"/>
  <c r="AP526" i="18"/>
  <c r="AP527" i="18"/>
  <c r="AP528" i="18"/>
  <c r="AP529" i="18"/>
  <c r="AP530" i="18"/>
  <c r="AP531" i="18"/>
  <c r="AP532" i="18"/>
  <c r="AP533" i="18"/>
  <c r="AP534" i="18"/>
  <c r="AP535" i="18"/>
  <c r="AP536" i="18"/>
  <c r="AP537" i="18"/>
  <c r="AP538" i="18"/>
  <c r="AP539" i="18"/>
  <c r="AP540" i="18"/>
  <c r="AP541" i="18"/>
  <c r="AP542" i="18"/>
  <c r="AP543" i="18"/>
  <c r="AP544" i="18"/>
  <c r="AP545" i="18"/>
  <c r="AP546" i="18"/>
  <c r="AP547" i="18"/>
  <c r="AP548" i="18"/>
  <c r="AP549" i="18"/>
  <c r="AP550" i="18"/>
  <c r="AP551" i="18"/>
  <c r="AP552" i="18"/>
  <c r="AP553" i="18"/>
  <c r="AP554" i="18"/>
  <c r="AP555" i="18"/>
  <c r="AP556" i="18"/>
  <c r="AP557" i="18"/>
  <c r="AP558" i="18"/>
  <c r="AP559" i="18"/>
  <c r="AP560" i="18"/>
  <c r="AP561" i="18"/>
  <c r="AP562" i="18"/>
  <c r="AP563" i="18"/>
  <c r="AP564" i="18"/>
  <c r="AP565" i="18"/>
  <c r="AP566" i="18"/>
  <c r="AP567" i="18"/>
  <c r="AP568" i="18"/>
  <c r="AP569" i="18"/>
  <c r="AP570" i="18"/>
  <c r="AP571" i="18"/>
  <c r="AP572" i="18"/>
  <c r="AP573" i="18"/>
  <c r="AP574" i="18"/>
  <c r="AP4" i="18"/>
  <c r="C17" i="22"/>
  <c r="P15" i="22"/>
  <c r="P13" i="22"/>
  <c r="D29" i="22"/>
  <c r="D27" i="22"/>
  <c r="M187" i="22"/>
  <c r="L187" i="22"/>
  <c r="N186" i="22"/>
  <c r="N185" i="22"/>
  <c r="N184" i="22"/>
  <c r="N183" i="22"/>
  <c r="N182" i="22"/>
  <c r="N181" i="22"/>
  <c r="C181" i="22"/>
  <c r="N180" i="22"/>
  <c r="J180" i="22"/>
  <c r="I180" i="22"/>
  <c r="N179" i="22"/>
  <c r="J179" i="22"/>
  <c r="D179" i="22"/>
  <c r="E179" i="22" s="1"/>
  <c r="N178" i="22"/>
  <c r="J178" i="22"/>
  <c r="E178" i="22"/>
  <c r="D178" i="22"/>
  <c r="N177" i="22"/>
  <c r="J177" i="22"/>
  <c r="D177" i="22"/>
  <c r="E177" i="22" s="1"/>
  <c r="N176" i="22"/>
  <c r="N187" i="22" s="1"/>
  <c r="D176" i="22"/>
  <c r="D181" i="22" s="1"/>
  <c r="M173" i="22"/>
  <c r="L173" i="22"/>
  <c r="N172" i="22"/>
  <c r="N171" i="22"/>
  <c r="N170" i="22"/>
  <c r="N169" i="22"/>
  <c r="N168" i="22"/>
  <c r="N167" i="22"/>
  <c r="C167" i="22"/>
  <c r="H162" i="22" s="1"/>
  <c r="N166" i="22"/>
  <c r="I166" i="22"/>
  <c r="J166" i="22" s="1"/>
  <c r="N165" i="22"/>
  <c r="J165" i="22"/>
  <c r="D165" i="22"/>
  <c r="E165" i="22" s="1"/>
  <c r="N164" i="22"/>
  <c r="J164" i="22"/>
  <c r="D164" i="22"/>
  <c r="E164" i="22" s="1"/>
  <c r="N163" i="22"/>
  <c r="J163" i="22"/>
  <c r="D163" i="22"/>
  <c r="D167" i="22" s="1"/>
  <c r="N162" i="22"/>
  <c r="N173" i="22" s="1"/>
  <c r="E162" i="22"/>
  <c r="D162" i="22"/>
  <c r="M159" i="22"/>
  <c r="L159" i="22"/>
  <c r="N158" i="22"/>
  <c r="N157" i="22"/>
  <c r="N156" i="22"/>
  <c r="N155" i="22"/>
  <c r="N154" i="22"/>
  <c r="N153" i="22"/>
  <c r="C153" i="22"/>
  <c r="N152" i="22"/>
  <c r="I152" i="22"/>
  <c r="J152" i="22" s="1"/>
  <c r="N151" i="22"/>
  <c r="J151" i="22"/>
  <c r="E151" i="22"/>
  <c r="D151" i="22"/>
  <c r="N150" i="22"/>
  <c r="J150" i="22"/>
  <c r="D150" i="22"/>
  <c r="E150" i="22" s="1"/>
  <c r="N149" i="22"/>
  <c r="J149" i="22"/>
  <c r="E149" i="22"/>
  <c r="D149" i="22"/>
  <c r="D153" i="22" s="1"/>
  <c r="E153" i="22" s="1"/>
  <c r="I148" i="22" s="1"/>
  <c r="I153" i="22" s="1"/>
  <c r="N148" i="22"/>
  <c r="N159" i="22" s="1"/>
  <c r="H148" i="22"/>
  <c r="H153" i="22" s="1"/>
  <c r="D148" i="22"/>
  <c r="E148" i="22" s="1"/>
  <c r="M145" i="22"/>
  <c r="I138" i="22" s="1"/>
  <c r="J138" i="22" s="1"/>
  <c r="L145" i="22"/>
  <c r="N144" i="22"/>
  <c r="N143" i="22"/>
  <c r="N142" i="22"/>
  <c r="N141" i="22"/>
  <c r="N140" i="22"/>
  <c r="N139" i="22"/>
  <c r="H139" i="22"/>
  <c r="C139" i="22"/>
  <c r="N138" i="22"/>
  <c r="N145" i="22" s="1"/>
  <c r="N137" i="22"/>
  <c r="J137" i="22"/>
  <c r="E137" i="22"/>
  <c r="D137" i="22"/>
  <c r="N136" i="22"/>
  <c r="J136" i="22"/>
  <c r="E136" i="22"/>
  <c r="D136" i="22"/>
  <c r="N135" i="22"/>
  <c r="J135" i="22"/>
  <c r="E135" i="22"/>
  <c r="D135" i="22"/>
  <c r="N134" i="22"/>
  <c r="H134" i="22"/>
  <c r="D134" i="22"/>
  <c r="D139" i="22" s="1"/>
  <c r="E139" i="22" s="1"/>
  <c r="I134" i="22" s="1"/>
  <c r="M131" i="22"/>
  <c r="L131" i="22"/>
  <c r="N130" i="22"/>
  <c r="N129" i="22"/>
  <c r="N128" i="22"/>
  <c r="N127" i="22"/>
  <c r="N126" i="22"/>
  <c r="N125" i="22"/>
  <c r="C125" i="22"/>
  <c r="H120" i="22" s="1"/>
  <c r="N124" i="22"/>
  <c r="I124" i="22"/>
  <c r="J124" i="22" s="1"/>
  <c r="N123" i="22"/>
  <c r="J123" i="22"/>
  <c r="D123" i="22"/>
  <c r="E123" i="22" s="1"/>
  <c r="N122" i="22"/>
  <c r="J122" i="22"/>
  <c r="D122" i="22"/>
  <c r="E122" i="22" s="1"/>
  <c r="N121" i="22"/>
  <c r="J121" i="22"/>
  <c r="D121" i="22"/>
  <c r="E121" i="22" s="1"/>
  <c r="N120" i="22"/>
  <c r="N131" i="22" s="1"/>
  <c r="E120" i="22"/>
  <c r="D120" i="22"/>
  <c r="D125" i="22" s="1"/>
  <c r="M117" i="22"/>
  <c r="L117" i="22"/>
  <c r="N116" i="22"/>
  <c r="N115" i="22"/>
  <c r="N114" i="22"/>
  <c r="N113" i="22"/>
  <c r="N112" i="22"/>
  <c r="N111" i="22"/>
  <c r="C111" i="22"/>
  <c r="N110" i="22"/>
  <c r="I110" i="22"/>
  <c r="J110" i="22" s="1"/>
  <c r="N109" i="22"/>
  <c r="J109" i="22"/>
  <c r="D109" i="22"/>
  <c r="E109" i="22" s="1"/>
  <c r="N108" i="22"/>
  <c r="J108" i="22"/>
  <c r="D108" i="22"/>
  <c r="E108" i="22" s="1"/>
  <c r="N107" i="22"/>
  <c r="J107" i="22"/>
  <c r="D107" i="22"/>
  <c r="E107" i="22" s="1"/>
  <c r="N106" i="22"/>
  <c r="N117" i="22" s="1"/>
  <c r="H106" i="22"/>
  <c r="H111" i="22" s="1"/>
  <c r="E106" i="22"/>
  <c r="D106" i="22"/>
  <c r="I4" i="22"/>
  <c r="K4" i="22"/>
  <c r="AA13" i="18"/>
  <c r="Z13" i="18"/>
  <c r="AB13" i="18" s="1"/>
  <c r="AC13" i="18" s="1"/>
  <c r="AA12" i="18"/>
  <c r="Z12" i="18"/>
  <c r="AA11" i="18"/>
  <c r="Z11" i="18"/>
  <c r="AB11" i="18" s="1"/>
  <c r="AC11" i="18" s="1"/>
  <c r="AA10" i="18"/>
  <c r="Z10" i="18"/>
  <c r="AB10" i="18" s="1"/>
  <c r="AC10" i="18" s="1"/>
  <c r="AA9" i="18"/>
  <c r="Z9" i="18"/>
  <c r="AB9" i="18" s="1"/>
  <c r="AC9" i="18" s="1"/>
  <c r="AA8" i="18"/>
  <c r="Z8" i="18"/>
  <c r="AA7" i="18"/>
  <c r="Z7" i="18"/>
  <c r="AB7" i="18" s="1"/>
  <c r="AC7" i="18" s="1"/>
  <c r="AA6" i="18"/>
  <c r="Z6" i="18"/>
  <c r="AB6" i="18" s="1"/>
  <c r="AC6" i="18" s="1"/>
  <c r="AA5" i="18"/>
  <c r="Z5" i="18"/>
  <c r="AB5" i="18" s="1"/>
  <c r="AC5" i="18" s="1"/>
  <c r="AA4" i="18"/>
  <c r="Z4" i="18"/>
  <c r="C5" i="22"/>
  <c r="E2" i="14"/>
  <c r="D2" i="15"/>
  <c r="X12" i="15"/>
  <c r="AC581" i="18"/>
  <c r="AB581" i="18"/>
  <c r="S4" i="23"/>
  <c r="AB4" i="18" l="1"/>
  <c r="AC4" i="18" s="1"/>
  <c r="AB8" i="18"/>
  <c r="AC8" i="18" s="1"/>
  <c r="AB12" i="18"/>
  <c r="AC12" i="18" s="1"/>
  <c r="H125" i="22"/>
  <c r="E111" i="22"/>
  <c r="I106" i="22" s="1"/>
  <c r="I111" i="22" s="1"/>
  <c r="J134" i="22"/>
  <c r="J139" i="22" s="1"/>
  <c r="I139" i="22"/>
  <c r="K139" i="22" s="1"/>
  <c r="H167" i="22"/>
  <c r="E181" i="22"/>
  <c r="I176" i="22" s="1"/>
  <c r="I181" i="22" s="1"/>
  <c r="E134" i="22"/>
  <c r="J148" i="22"/>
  <c r="J153" i="22" s="1"/>
  <c r="K153" i="22" s="1"/>
  <c r="E163" i="22"/>
  <c r="E167" i="22"/>
  <c r="I162" i="22" s="1"/>
  <c r="I167" i="22" s="1"/>
  <c r="H176" i="22"/>
  <c r="E125" i="22"/>
  <c r="I120" i="22" s="1"/>
  <c r="I125" i="22" s="1"/>
  <c r="E176" i="22"/>
  <c r="D111" i="22"/>
  <c r="D13" i="22"/>
  <c r="V5" i="14"/>
  <c r="V6" i="14"/>
  <c r="V7" i="14"/>
  <c r="V8" i="14"/>
  <c r="V9" i="14"/>
  <c r="V10" i="14"/>
  <c r="V11" i="14"/>
  <c r="V12" i="14"/>
  <c r="V13" i="14"/>
  <c r="V14" i="14"/>
  <c r="V15" i="14"/>
  <c r="V16" i="14"/>
  <c r="V17" i="14"/>
  <c r="V18" i="14"/>
  <c r="V19" i="14"/>
  <c r="V20" i="14"/>
  <c r="V21" i="14"/>
  <c r="V22" i="14"/>
  <c r="V23" i="14"/>
  <c r="V24" i="14"/>
  <c r="V25" i="14"/>
  <c r="V26" i="14"/>
  <c r="V27" i="14"/>
  <c r="V28" i="14"/>
  <c r="V29" i="14"/>
  <c r="V30" i="14"/>
  <c r="V31" i="14"/>
  <c r="V32" i="14"/>
  <c r="V33" i="14"/>
  <c r="V34" i="14"/>
  <c r="V4" i="14"/>
  <c r="J120" i="22" l="1"/>
  <c r="J125" i="22" s="1"/>
  <c r="K125" i="22" s="1"/>
  <c r="H190" i="22"/>
  <c r="J106" i="22"/>
  <c r="J111" i="22" s="1"/>
  <c r="J162" i="22"/>
  <c r="J167" i="22" s="1"/>
  <c r="K167" i="22" s="1"/>
  <c r="I190" i="22"/>
  <c r="J176" i="22"/>
  <c r="J181" i="22" s="1"/>
  <c r="H181" i="22"/>
  <c r="K181" i="22" s="1"/>
  <c r="I45" i="23"/>
  <c r="I46" i="23"/>
  <c r="I47" i="23"/>
  <c r="I48" i="23"/>
  <c r="I49" i="23"/>
  <c r="I50" i="23"/>
  <c r="I51" i="23"/>
  <c r="I52" i="23"/>
  <c r="I53" i="23"/>
  <c r="I54" i="23"/>
  <c r="I55" i="23"/>
  <c r="I56" i="23"/>
  <c r="I57" i="23"/>
  <c r="I58" i="23"/>
  <c r="AF5" i="14"/>
  <c r="AF6" i="14"/>
  <c r="AF7" i="14"/>
  <c r="AF8" i="14"/>
  <c r="AF9" i="14"/>
  <c r="AF10" i="14"/>
  <c r="AF11" i="14"/>
  <c r="AF12" i="14"/>
  <c r="AF13" i="14"/>
  <c r="AF14" i="14"/>
  <c r="AF15" i="14"/>
  <c r="AF16" i="14"/>
  <c r="AF17" i="14"/>
  <c r="AF18" i="14"/>
  <c r="AF19" i="14"/>
  <c r="AF20" i="14"/>
  <c r="AF21" i="14"/>
  <c r="AF22" i="14"/>
  <c r="AF23" i="14"/>
  <c r="AF24" i="14"/>
  <c r="AF25" i="14"/>
  <c r="AF26" i="14"/>
  <c r="AF27" i="14"/>
  <c r="AF28" i="14"/>
  <c r="AF29" i="14"/>
  <c r="AF30" i="14"/>
  <c r="AF31" i="14"/>
  <c r="AF32" i="14"/>
  <c r="AF33" i="14"/>
  <c r="AF34" i="14"/>
  <c r="H45" i="23"/>
  <c r="H46" i="23"/>
  <c r="H47" i="23"/>
  <c r="H48" i="23"/>
  <c r="H49" i="23"/>
  <c r="H50" i="23"/>
  <c r="H51" i="23"/>
  <c r="H52" i="23"/>
  <c r="H53" i="23"/>
  <c r="H54" i="23"/>
  <c r="H55" i="23"/>
  <c r="H56" i="23"/>
  <c r="H57" i="23"/>
  <c r="H58" i="23"/>
  <c r="I120" i="25"/>
  <c r="G45" i="15"/>
  <c r="H45" i="15" s="1"/>
  <c r="G44" i="15"/>
  <c r="H44" i="15" s="1"/>
  <c r="AB585" i="18"/>
  <c r="AB586" i="18"/>
  <c r="AB587" i="18"/>
  <c r="AB588" i="18"/>
  <c r="AB589" i="18"/>
  <c r="AB590" i="18"/>
  <c r="AB591" i="18"/>
  <c r="AB592" i="18"/>
  <c r="AB593" i="18"/>
  <c r="AB594" i="18"/>
  <c r="AB595" i="18"/>
  <c r="AB596" i="18"/>
  <c r="AB597" i="18"/>
  <c r="AB598" i="18"/>
  <c r="AB599" i="18"/>
  <c r="AB600" i="18"/>
  <c r="AB601" i="18"/>
  <c r="AB602" i="18"/>
  <c r="AB603" i="18"/>
  <c r="AB604" i="18"/>
  <c r="AA585" i="18"/>
  <c r="AA586" i="18"/>
  <c r="AA587" i="18"/>
  <c r="AA588" i="18"/>
  <c r="AA589" i="18"/>
  <c r="AA590" i="18"/>
  <c r="AA591" i="18"/>
  <c r="AA592" i="18"/>
  <c r="AA593" i="18"/>
  <c r="AA594" i="18"/>
  <c r="AA595" i="18"/>
  <c r="AA596" i="18"/>
  <c r="AA597" i="18"/>
  <c r="AA598" i="18"/>
  <c r="AA599" i="18"/>
  <c r="AA600" i="18"/>
  <c r="AA601" i="18"/>
  <c r="AA602" i="18"/>
  <c r="AA603" i="18"/>
  <c r="AA604" i="18"/>
  <c r="AA581" i="18"/>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I44" i="23"/>
  <c r="R4" i="23"/>
  <c r="K58" i="23"/>
  <c r="J58" i="23"/>
  <c r="G58" i="23"/>
  <c r="K57" i="23"/>
  <c r="J57" i="23"/>
  <c r="G57" i="23"/>
  <c r="K56" i="23"/>
  <c r="J56" i="23"/>
  <c r="G56" i="23"/>
  <c r="K55" i="23"/>
  <c r="J55" i="23"/>
  <c r="G55" i="23"/>
  <c r="K54" i="23"/>
  <c r="J54" i="23"/>
  <c r="G54" i="23"/>
  <c r="K53" i="23"/>
  <c r="J53" i="23"/>
  <c r="G53" i="23"/>
  <c r="K52" i="23"/>
  <c r="J52" i="23"/>
  <c r="G52" i="23"/>
  <c r="K51" i="23"/>
  <c r="J51" i="23"/>
  <c r="G51" i="23"/>
  <c r="R5" i="23"/>
  <c r="J44" i="23" s="1"/>
  <c r="R6" i="23"/>
  <c r="K44" i="23" s="1"/>
  <c r="R7" i="23"/>
  <c r="R8" i="23"/>
  <c r="T8" i="23" s="1"/>
  <c r="R9" i="23"/>
  <c r="R10" i="23"/>
  <c r="R11" i="23"/>
  <c r="R12" i="23"/>
  <c r="R13" i="23"/>
  <c r="R14" i="23"/>
  <c r="R15" i="23"/>
  <c r="R16" i="23"/>
  <c r="T16" i="23" s="1"/>
  <c r="R17" i="23"/>
  <c r="R18" i="23"/>
  <c r="T18" i="23" s="1"/>
  <c r="R19" i="23"/>
  <c r="R20" i="23"/>
  <c r="R21" i="23"/>
  <c r="R22" i="23"/>
  <c r="R23" i="23"/>
  <c r="R24" i="23"/>
  <c r="T24" i="23" s="1"/>
  <c r="R25" i="23"/>
  <c r="R26" i="23"/>
  <c r="T26" i="23" s="1"/>
  <c r="R27" i="23"/>
  <c r="R28" i="23"/>
  <c r="R29" i="23"/>
  <c r="R30" i="23"/>
  <c r="R31" i="23"/>
  <c r="R32" i="23"/>
  <c r="T32" i="23" s="1"/>
  <c r="R33" i="23"/>
  <c r="R34" i="23"/>
  <c r="T34" i="23" s="1"/>
  <c r="K45" i="23"/>
  <c r="K47" i="23"/>
  <c r="K48" i="23"/>
  <c r="K49" i="23"/>
  <c r="K50" i="23"/>
  <c r="J46" i="23"/>
  <c r="J47" i="23"/>
  <c r="J48" i="23"/>
  <c r="J49" i="23"/>
  <c r="J50" i="23"/>
  <c r="G47" i="23"/>
  <c r="G48" i="23"/>
  <c r="G49" i="23"/>
  <c r="G50" i="23"/>
  <c r="AC34" i="23"/>
  <c r="AC33" i="23"/>
  <c r="AC32" i="23"/>
  <c r="AC31" i="23"/>
  <c r="AC30" i="23"/>
  <c r="AC29" i="23"/>
  <c r="AC28" i="23"/>
  <c r="AC27" i="23"/>
  <c r="AC26" i="23"/>
  <c r="AC25" i="23"/>
  <c r="AC24" i="23"/>
  <c r="AC23" i="23"/>
  <c r="AC22" i="23"/>
  <c r="AC21" i="23"/>
  <c r="AC20" i="23"/>
  <c r="AC19" i="23"/>
  <c r="AC18" i="23"/>
  <c r="AC17" i="23"/>
  <c r="AC16" i="23"/>
  <c r="AC15" i="23"/>
  <c r="AC14" i="23"/>
  <c r="AC13" i="23"/>
  <c r="AC12" i="23"/>
  <c r="AC11" i="23"/>
  <c r="AC10" i="23"/>
  <c r="AC9" i="23"/>
  <c r="AC8" i="23"/>
  <c r="AC7" i="23"/>
  <c r="AC6" i="23"/>
  <c r="AC5" i="23"/>
  <c r="AC4" i="23"/>
  <c r="AA584" i="18"/>
  <c r="Z14" i="18"/>
  <c r="Z15" i="18"/>
  <c r="Z16" i="18"/>
  <c r="Z17" i="18"/>
  <c r="Z18" i="18"/>
  <c r="Z19" i="18"/>
  <c r="Z20" i="18"/>
  <c r="Z21" i="18"/>
  <c r="Z22" i="18"/>
  <c r="Z23" i="18"/>
  <c r="Z24" i="18"/>
  <c r="Z25" i="18"/>
  <c r="Z26" i="18"/>
  <c r="Z27" i="18"/>
  <c r="Z28" i="18"/>
  <c r="Z29" i="18"/>
  <c r="Z30" i="18"/>
  <c r="Z31" i="18"/>
  <c r="Z32" i="18"/>
  <c r="Z33" i="18"/>
  <c r="Z34" i="18"/>
  <c r="Z35" i="18"/>
  <c r="Z36" i="18"/>
  <c r="Z37" i="18"/>
  <c r="Z38" i="18"/>
  <c r="Z39" i="18"/>
  <c r="Z40" i="18"/>
  <c r="Z41" i="18"/>
  <c r="Z42" i="18"/>
  <c r="Z43" i="18"/>
  <c r="Z44" i="18"/>
  <c r="Z45" i="18"/>
  <c r="Z46" i="18"/>
  <c r="Z47" i="18"/>
  <c r="Z48" i="18"/>
  <c r="Z49" i="18"/>
  <c r="Z50" i="18"/>
  <c r="Z51" i="18"/>
  <c r="Z52" i="18"/>
  <c r="Z53" i="18"/>
  <c r="Z54" i="18"/>
  <c r="Z55" i="18"/>
  <c r="Z56" i="18"/>
  <c r="Z57" i="18"/>
  <c r="Z58" i="18"/>
  <c r="Z59" i="18"/>
  <c r="Z60" i="18"/>
  <c r="Z61" i="18"/>
  <c r="Z62" i="18"/>
  <c r="Z63" i="18"/>
  <c r="Z64" i="18"/>
  <c r="Z65" i="18"/>
  <c r="Z66" i="18"/>
  <c r="Z67" i="18"/>
  <c r="Z68" i="18"/>
  <c r="Z69" i="18"/>
  <c r="Z70" i="18"/>
  <c r="Z71" i="18"/>
  <c r="Z72" i="18"/>
  <c r="Z73" i="18"/>
  <c r="Z74" i="18"/>
  <c r="Z75" i="18"/>
  <c r="Z76" i="18"/>
  <c r="Z77" i="18"/>
  <c r="Z78" i="18"/>
  <c r="Z79" i="18"/>
  <c r="Z80" i="18"/>
  <c r="Z81" i="18"/>
  <c r="Z82" i="18"/>
  <c r="Z83" i="18"/>
  <c r="Z84" i="18"/>
  <c r="Z85" i="18"/>
  <c r="Z86" i="18"/>
  <c r="Z87" i="18"/>
  <c r="Z88" i="18"/>
  <c r="Z89" i="18"/>
  <c r="Z90" i="18"/>
  <c r="Z91" i="18"/>
  <c r="Z92" i="18"/>
  <c r="Z93" i="18"/>
  <c r="Z94" i="18"/>
  <c r="Z95" i="18"/>
  <c r="Z96" i="18"/>
  <c r="Z97" i="18"/>
  <c r="Z98" i="18"/>
  <c r="Z99" i="18"/>
  <c r="Z100" i="18"/>
  <c r="Z101" i="18"/>
  <c r="Z102" i="18"/>
  <c r="Z103" i="18"/>
  <c r="Z104" i="18"/>
  <c r="Z105" i="18"/>
  <c r="Z106" i="18"/>
  <c r="Z107" i="18"/>
  <c r="Z108" i="18"/>
  <c r="Z109" i="18"/>
  <c r="Z110" i="18"/>
  <c r="Z111" i="18"/>
  <c r="Z112" i="18"/>
  <c r="Z113" i="18"/>
  <c r="Z114" i="18"/>
  <c r="Z115" i="18"/>
  <c r="Z116" i="18"/>
  <c r="Z117" i="18"/>
  <c r="Z118" i="18"/>
  <c r="Z119" i="18"/>
  <c r="Z120" i="18"/>
  <c r="Z121" i="18"/>
  <c r="Z122" i="18"/>
  <c r="Z123" i="18"/>
  <c r="Z124" i="18"/>
  <c r="Z125" i="18"/>
  <c r="Z126" i="18"/>
  <c r="Z127" i="18"/>
  <c r="Z128" i="18"/>
  <c r="Z129" i="18"/>
  <c r="Z130" i="18"/>
  <c r="Z131" i="18"/>
  <c r="Z132" i="18"/>
  <c r="Z133" i="18"/>
  <c r="Z134" i="18"/>
  <c r="Z135" i="18"/>
  <c r="Z136" i="18"/>
  <c r="Z137" i="18"/>
  <c r="Z138" i="18"/>
  <c r="Z139" i="18"/>
  <c r="Z140" i="18"/>
  <c r="Z141" i="18"/>
  <c r="Z142" i="18"/>
  <c r="Z143" i="18"/>
  <c r="Z144" i="18"/>
  <c r="Z145" i="18"/>
  <c r="Z146" i="18"/>
  <c r="Z147" i="18"/>
  <c r="Z148" i="18"/>
  <c r="Z149" i="18"/>
  <c r="Z150" i="18"/>
  <c r="Z151" i="18"/>
  <c r="Z152" i="18"/>
  <c r="Z153" i="18"/>
  <c r="Z154" i="18"/>
  <c r="Z155" i="18"/>
  <c r="Z156" i="18"/>
  <c r="Z157" i="18"/>
  <c r="Z158" i="18"/>
  <c r="Z159" i="18"/>
  <c r="Z160" i="18"/>
  <c r="Z161" i="18"/>
  <c r="Z162" i="18"/>
  <c r="Z163" i="18"/>
  <c r="Z164" i="18"/>
  <c r="Z165" i="18"/>
  <c r="Z166" i="18"/>
  <c r="Z167" i="18"/>
  <c r="Z168" i="18"/>
  <c r="Z169" i="18"/>
  <c r="Z170" i="18"/>
  <c r="Z171" i="18"/>
  <c r="Z172" i="18"/>
  <c r="Z173" i="18"/>
  <c r="Z174" i="18"/>
  <c r="Z175" i="18"/>
  <c r="Z176" i="18"/>
  <c r="Z177" i="18"/>
  <c r="Z178" i="18"/>
  <c r="Z179" i="18"/>
  <c r="Z180" i="18"/>
  <c r="Z181" i="18"/>
  <c r="Z182" i="18"/>
  <c r="Z183" i="18"/>
  <c r="Z184" i="18"/>
  <c r="Z185" i="18"/>
  <c r="Z186" i="18"/>
  <c r="Z187" i="18"/>
  <c r="Z188" i="18"/>
  <c r="Z189" i="18"/>
  <c r="Z190" i="18"/>
  <c r="Z191" i="18"/>
  <c r="Z192" i="18"/>
  <c r="Z193" i="18"/>
  <c r="Z194" i="18"/>
  <c r="Z195" i="18"/>
  <c r="Z196" i="18"/>
  <c r="Z197" i="18"/>
  <c r="Z198" i="18"/>
  <c r="Z199" i="18"/>
  <c r="Z200" i="18"/>
  <c r="Z201" i="18"/>
  <c r="Z202" i="18"/>
  <c r="Z203" i="18"/>
  <c r="Z204" i="18"/>
  <c r="Z205" i="18"/>
  <c r="Z206" i="18"/>
  <c r="Z207" i="18"/>
  <c r="Z208" i="18"/>
  <c r="Z209" i="18"/>
  <c r="Z210" i="18"/>
  <c r="Z211" i="18"/>
  <c r="Z212" i="18"/>
  <c r="Z213" i="18"/>
  <c r="Z214" i="18"/>
  <c r="Z215" i="18"/>
  <c r="Z216" i="18"/>
  <c r="Z217" i="18"/>
  <c r="Z218" i="18"/>
  <c r="Z219" i="18"/>
  <c r="Z220" i="18"/>
  <c r="Z221" i="18"/>
  <c r="Z222" i="18"/>
  <c r="Z223" i="18"/>
  <c r="Z224" i="18"/>
  <c r="Z225" i="18"/>
  <c r="Z226" i="18"/>
  <c r="Z227" i="18"/>
  <c r="Z228" i="18"/>
  <c r="Z229" i="18"/>
  <c r="Z230" i="18"/>
  <c r="Z231" i="18"/>
  <c r="Z232" i="18"/>
  <c r="Z233" i="18"/>
  <c r="Z234" i="18"/>
  <c r="Z235" i="18"/>
  <c r="Z236" i="18"/>
  <c r="Z237" i="18"/>
  <c r="Z238" i="18"/>
  <c r="Z239" i="18"/>
  <c r="Z240" i="18"/>
  <c r="Z241" i="18"/>
  <c r="Z242" i="18"/>
  <c r="Z243" i="18"/>
  <c r="Z244" i="18"/>
  <c r="Z245" i="18"/>
  <c r="Z246" i="18"/>
  <c r="Z247" i="18"/>
  <c r="Z248" i="18"/>
  <c r="Z249" i="18"/>
  <c r="Z250" i="18"/>
  <c r="Z251" i="18"/>
  <c r="Z252" i="18"/>
  <c r="Z253" i="18"/>
  <c r="Z254" i="18"/>
  <c r="Z255" i="18"/>
  <c r="Z256" i="18"/>
  <c r="Z257" i="18"/>
  <c r="Z258" i="18"/>
  <c r="Z259" i="18"/>
  <c r="Z260" i="18"/>
  <c r="Z261" i="18"/>
  <c r="Z262" i="18"/>
  <c r="Z263" i="18"/>
  <c r="Z264" i="18"/>
  <c r="Z265" i="18"/>
  <c r="Z266" i="18"/>
  <c r="Z267" i="18"/>
  <c r="Z268" i="18"/>
  <c r="Z269" i="18"/>
  <c r="Z270" i="18"/>
  <c r="Z271" i="18"/>
  <c r="Z272" i="18"/>
  <c r="Z273" i="18"/>
  <c r="Z274" i="18"/>
  <c r="Z275" i="18"/>
  <c r="Z276" i="18"/>
  <c r="Z277" i="18"/>
  <c r="Z278" i="18"/>
  <c r="Z279" i="18"/>
  <c r="Z280" i="18"/>
  <c r="Z281" i="18"/>
  <c r="Z282" i="18"/>
  <c r="Z283" i="18"/>
  <c r="Z284" i="18"/>
  <c r="Z285" i="18"/>
  <c r="Z286" i="18"/>
  <c r="Z287" i="18"/>
  <c r="Z288" i="18"/>
  <c r="Z289" i="18"/>
  <c r="Z290" i="18"/>
  <c r="Z291" i="18"/>
  <c r="Z292" i="18"/>
  <c r="Z293" i="18"/>
  <c r="Z294" i="18"/>
  <c r="Z295" i="18"/>
  <c r="Z296" i="18"/>
  <c r="Z297" i="18"/>
  <c r="Z298" i="18"/>
  <c r="Z299" i="18"/>
  <c r="Z300" i="18"/>
  <c r="Z301" i="18"/>
  <c r="Z302" i="18"/>
  <c r="Z303" i="18"/>
  <c r="Z304" i="18"/>
  <c r="Z305" i="18"/>
  <c r="Z306" i="18"/>
  <c r="Z307" i="18"/>
  <c r="Z308" i="18"/>
  <c r="Z309" i="18"/>
  <c r="Z310" i="18"/>
  <c r="Z311" i="18"/>
  <c r="Z312" i="18"/>
  <c r="Z313" i="18"/>
  <c r="Z314" i="18"/>
  <c r="Z315" i="18"/>
  <c r="Z316" i="18"/>
  <c r="Z317" i="18"/>
  <c r="Z318" i="18"/>
  <c r="Z319" i="18"/>
  <c r="Z320" i="18"/>
  <c r="Z321" i="18"/>
  <c r="Z322" i="18"/>
  <c r="Z323" i="18"/>
  <c r="Z324" i="18"/>
  <c r="Z325" i="18"/>
  <c r="Z326" i="18"/>
  <c r="Z327" i="18"/>
  <c r="Z328" i="18"/>
  <c r="Z329" i="18"/>
  <c r="Z330" i="18"/>
  <c r="Z331" i="18"/>
  <c r="Z332" i="18"/>
  <c r="Z333" i="18"/>
  <c r="Z334" i="18"/>
  <c r="Z335" i="18"/>
  <c r="Z336" i="18"/>
  <c r="Z337" i="18"/>
  <c r="Z338" i="18"/>
  <c r="Z339" i="18"/>
  <c r="Z340" i="18"/>
  <c r="Z341" i="18"/>
  <c r="Z342" i="18"/>
  <c r="Z343" i="18"/>
  <c r="Z344" i="18"/>
  <c r="Z345" i="18"/>
  <c r="Z346" i="18"/>
  <c r="Z347" i="18"/>
  <c r="Z348" i="18"/>
  <c r="Z349" i="18"/>
  <c r="Z350" i="18"/>
  <c r="Z351" i="18"/>
  <c r="Z352" i="18"/>
  <c r="Z353" i="18"/>
  <c r="Z354" i="18"/>
  <c r="Z355" i="18"/>
  <c r="Z356" i="18"/>
  <c r="Z357" i="18"/>
  <c r="Z358" i="18"/>
  <c r="Z359" i="18"/>
  <c r="Z360" i="18"/>
  <c r="Z361" i="18"/>
  <c r="Z362" i="18"/>
  <c r="Z363" i="18"/>
  <c r="Z364" i="18"/>
  <c r="Z365" i="18"/>
  <c r="Z366" i="18"/>
  <c r="Z367" i="18"/>
  <c r="Z368" i="18"/>
  <c r="Z369" i="18"/>
  <c r="Z370" i="18"/>
  <c r="Z371" i="18"/>
  <c r="Z372" i="18"/>
  <c r="Z373" i="18"/>
  <c r="Z374" i="18"/>
  <c r="Z375" i="18"/>
  <c r="Z376" i="18"/>
  <c r="Z377" i="18"/>
  <c r="Z378" i="18"/>
  <c r="Z379" i="18"/>
  <c r="Z380" i="18"/>
  <c r="Z381" i="18"/>
  <c r="Z382" i="18"/>
  <c r="Z383" i="18"/>
  <c r="Z384" i="18"/>
  <c r="Z385" i="18"/>
  <c r="Z386" i="18"/>
  <c r="Z387" i="18"/>
  <c r="Z388" i="18"/>
  <c r="Z389" i="18"/>
  <c r="Z390" i="18"/>
  <c r="Z391" i="18"/>
  <c r="Z392" i="18"/>
  <c r="Z393" i="18"/>
  <c r="Z394" i="18"/>
  <c r="Z395" i="18"/>
  <c r="Z396" i="18"/>
  <c r="Z397" i="18"/>
  <c r="Z398" i="18"/>
  <c r="Z399" i="18"/>
  <c r="Z400" i="18"/>
  <c r="Z401" i="18"/>
  <c r="Z402" i="18"/>
  <c r="Z403" i="18"/>
  <c r="Z404" i="18"/>
  <c r="Z405" i="18"/>
  <c r="Z406" i="18"/>
  <c r="Z407" i="18"/>
  <c r="Z408" i="18"/>
  <c r="Z409" i="18"/>
  <c r="Z410" i="18"/>
  <c r="Z411" i="18"/>
  <c r="Z412" i="18"/>
  <c r="Z413" i="18"/>
  <c r="Z414" i="18"/>
  <c r="Z415" i="18"/>
  <c r="Z416" i="18"/>
  <c r="Z417" i="18"/>
  <c r="Z418" i="18"/>
  <c r="Z419" i="18"/>
  <c r="Z420" i="18"/>
  <c r="Z421" i="18"/>
  <c r="Z422" i="18"/>
  <c r="Z423" i="18"/>
  <c r="Z424" i="18"/>
  <c r="Z425" i="18"/>
  <c r="Z426" i="18"/>
  <c r="Z427" i="18"/>
  <c r="Z428" i="18"/>
  <c r="Z429" i="18"/>
  <c r="Z430" i="18"/>
  <c r="Z431" i="18"/>
  <c r="Z432" i="18"/>
  <c r="Z433" i="18"/>
  <c r="Z434" i="18"/>
  <c r="Z435" i="18"/>
  <c r="Z436" i="18"/>
  <c r="Z437" i="18"/>
  <c r="Z438" i="18"/>
  <c r="Z439" i="18"/>
  <c r="Z440" i="18"/>
  <c r="Z441" i="18"/>
  <c r="Z442" i="18"/>
  <c r="Z443" i="18"/>
  <c r="Z444" i="18"/>
  <c r="Z445" i="18"/>
  <c r="Z446" i="18"/>
  <c r="Z447" i="18"/>
  <c r="Z448" i="18"/>
  <c r="Z449" i="18"/>
  <c r="Z450" i="18"/>
  <c r="Z451" i="18"/>
  <c r="Z452" i="18"/>
  <c r="Z453" i="18"/>
  <c r="Z454" i="18"/>
  <c r="Z455" i="18"/>
  <c r="Z456" i="18"/>
  <c r="Z457" i="18"/>
  <c r="Z458" i="18"/>
  <c r="Z459" i="18"/>
  <c r="Z460" i="18"/>
  <c r="Z461" i="18"/>
  <c r="Z462" i="18"/>
  <c r="Z463" i="18"/>
  <c r="Z464" i="18"/>
  <c r="Z465" i="18"/>
  <c r="Z466" i="18"/>
  <c r="Z467" i="18"/>
  <c r="Z468" i="18"/>
  <c r="Z469" i="18"/>
  <c r="Z470" i="18"/>
  <c r="Z471" i="18"/>
  <c r="Z472" i="18"/>
  <c r="Z473" i="18"/>
  <c r="Z474" i="18"/>
  <c r="Z475" i="18"/>
  <c r="Z476" i="18"/>
  <c r="Z477" i="18"/>
  <c r="Z478" i="18"/>
  <c r="Z479" i="18"/>
  <c r="Z480" i="18"/>
  <c r="Z481" i="18"/>
  <c r="Z482" i="18"/>
  <c r="Z483" i="18"/>
  <c r="Z484" i="18"/>
  <c r="Z485" i="18"/>
  <c r="Z486" i="18"/>
  <c r="Z487" i="18"/>
  <c r="Z488" i="18"/>
  <c r="Z489" i="18"/>
  <c r="Z490" i="18"/>
  <c r="Z491" i="18"/>
  <c r="Z492" i="18"/>
  <c r="Z493" i="18"/>
  <c r="Z494" i="18"/>
  <c r="Z495" i="18"/>
  <c r="Z496" i="18"/>
  <c r="Z497" i="18"/>
  <c r="Z498" i="18"/>
  <c r="Z499" i="18"/>
  <c r="Z500" i="18"/>
  <c r="Z501" i="18"/>
  <c r="Z502" i="18"/>
  <c r="Z503" i="18"/>
  <c r="Z504" i="18"/>
  <c r="Z505" i="18"/>
  <c r="Z506" i="18"/>
  <c r="Z507" i="18"/>
  <c r="Z508" i="18"/>
  <c r="Z509" i="18"/>
  <c r="Z510" i="18"/>
  <c r="Z511" i="18"/>
  <c r="Z512" i="18"/>
  <c r="Z513" i="18"/>
  <c r="Z514" i="18"/>
  <c r="Z515" i="18"/>
  <c r="Z516" i="18"/>
  <c r="Z517" i="18"/>
  <c r="Z518" i="18"/>
  <c r="Z519" i="18"/>
  <c r="Z520" i="18"/>
  <c r="Z521" i="18"/>
  <c r="Z522" i="18"/>
  <c r="Z523" i="18"/>
  <c r="Z524" i="18"/>
  <c r="Z525" i="18"/>
  <c r="Z526" i="18"/>
  <c r="Z527" i="18"/>
  <c r="Z528" i="18"/>
  <c r="Z529" i="18"/>
  <c r="Z530" i="18"/>
  <c r="Z531" i="18"/>
  <c r="Z532" i="18"/>
  <c r="Z533" i="18"/>
  <c r="Z534" i="18"/>
  <c r="Z535" i="18"/>
  <c r="Z536" i="18"/>
  <c r="Z537" i="18"/>
  <c r="Z538" i="18"/>
  <c r="Z539" i="18"/>
  <c r="Z540" i="18"/>
  <c r="Z541" i="18"/>
  <c r="Z542" i="18"/>
  <c r="Z543" i="18"/>
  <c r="Z544" i="18"/>
  <c r="Z545" i="18"/>
  <c r="Z546" i="18"/>
  <c r="Z547" i="18"/>
  <c r="Z548" i="18"/>
  <c r="Z549" i="18"/>
  <c r="Z550" i="18"/>
  <c r="Z551" i="18"/>
  <c r="Z552" i="18"/>
  <c r="Z553" i="18"/>
  <c r="Z554" i="18"/>
  <c r="Z555" i="18"/>
  <c r="Z556" i="18"/>
  <c r="Z557" i="18"/>
  <c r="Z558" i="18"/>
  <c r="Z559" i="18"/>
  <c r="Z560" i="18"/>
  <c r="Z561" i="18"/>
  <c r="Z562" i="18"/>
  <c r="Z563" i="18"/>
  <c r="Z564" i="18"/>
  <c r="Z565" i="18"/>
  <c r="Z566" i="18"/>
  <c r="Z567" i="18"/>
  <c r="Z568" i="18"/>
  <c r="Z569" i="18"/>
  <c r="Z570" i="18"/>
  <c r="Z571" i="18"/>
  <c r="Z572" i="18"/>
  <c r="Z573" i="18"/>
  <c r="Z574" i="18"/>
  <c r="X4" i="15"/>
  <c r="X5" i="15"/>
  <c r="X6" i="15"/>
  <c r="X7" i="15"/>
  <c r="X8" i="15"/>
  <c r="X9" i="15"/>
  <c r="X10" i="15"/>
  <c r="X11" i="15"/>
  <c r="X13" i="15"/>
  <c r="X14" i="15"/>
  <c r="X15" i="15"/>
  <c r="X16" i="15"/>
  <c r="X17" i="15"/>
  <c r="X18" i="15"/>
  <c r="X19" i="15"/>
  <c r="X20" i="15"/>
  <c r="X21" i="15"/>
  <c r="X22" i="15"/>
  <c r="X23" i="15"/>
  <c r="X28" i="15"/>
  <c r="X29" i="15"/>
  <c r="X30" i="15"/>
  <c r="X31" i="15"/>
  <c r="X32" i="15"/>
  <c r="X33" i="15"/>
  <c r="T35" i="14"/>
  <c r="T38" i="14"/>
  <c r="AK5" i="15"/>
  <c r="AK6" i="15"/>
  <c r="AK7" i="15"/>
  <c r="AK8" i="15"/>
  <c r="AK9" i="15"/>
  <c r="AK10" i="15"/>
  <c r="AK11" i="15"/>
  <c r="AK12" i="15"/>
  <c r="AK13" i="15"/>
  <c r="AK14" i="15"/>
  <c r="AK15" i="15"/>
  <c r="AK16" i="15"/>
  <c r="AK17" i="15"/>
  <c r="AK18" i="15"/>
  <c r="AK19" i="15"/>
  <c r="AK20" i="15"/>
  <c r="AK21" i="15"/>
  <c r="AK22" i="15"/>
  <c r="AK23" i="15"/>
  <c r="AK28" i="15"/>
  <c r="AK29" i="15"/>
  <c r="AK30" i="15"/>
  <c r="AK31" i="15"/>
  <c r="AK32" i="15"/>
  <c r="AK33" i="15"/>
  <c r="AK34" i="15"/>
  <c r="W44" i="15" l="1"/>
  <c r="V44" i="23"/>
  <c r="N44" i="23"/>
  <c r="R44" i="23"/>
  <c r="S35" i="23"/>
  <c r="S37" i="23"/>
  <c r="R35" i="23"/>
  <c r="R37" i="23"/>
  <c r="B95" i="25"/>
  <c r="O44" i="15"/>
  <c r="N44" i="15"/>
  <c r="J190" i="22"/>
  <c r="K115" i="22"/>
  <c r="T4" i="23"/>
  <c r="T66" i="23" s="1"/>
  <c r="H117" i="25" s="1"/>
  <c r="T27" i="23"/>
  <c r="T19" i="23"/>
  <c r="T11" i="23"/>
  <c r="T33" i="23"/>
  <c r="T25" i="23"/>
  <c r="T17" i="23"/>
  <c r="T9" i="23"/>
  <c r="T28" i="23"/>
  <c r="T20" i="23"/>
  <c r="T12" i="23"/>
  <c r="K46" i="23"/>
  <c r="K59" i="23" s="1"/>
  <c r="J45" i="23"/>
  <c r="J59" i="23" s="1"/>
  <c r="T10" i="23"/>
  <c r="G46" i="23"/>
  <c r="G45" i="23"/>
  <c r="F95" i="25"/>
  <c r="I59" i="23"/>
  <c r="T29" i="23"/>
  <c r="T21" i="23"/>
  <c r="T13" i="23"/>
  <c r="T30" i="23"/>
  <c r="T14" i="23"/>
  <c r="O53" i="23"/>
  <c r="C104" i="25" s="1"/>
  <c r="T22" i="23"/>
  <c r="O61" i="23"/>
  <c r="C112" i="25" s="1"/>
  <c r="T31" i="23"/>
  <c r="T23" i="23"/>
  <c r="T7" i="23"/>
  <c r="T15" i="23"/>
  <c r="X45" i="23"/>
  <c r="L96" i="25" s="1"/>
  <c r="X53" i="23"/>
  <c r="L104" i="25" s="1"/>
  <c r="X61" i="23"/>
  <c r="L112" i="25" s="1"/>
  <c r="X69" i="23"/>
  <c r="W49" i="23"/>
  <c r="K100" i="25" s="1"/>
  <c r="W57" i="23"/>
  <c r="K108" i="25" s="1"/>
  <c r="W65" i="23"/>
  <c r="K116" i="25" s="1"/>
  <c r="V45" i="23"/>
  <c r="J96" i="25" s="1"/>
  <c r="V53" i="23"/>
  <c r="J104" i="25" s="1"/>
  <c r="V61" i="23"/>
  <c r="J112" i="25" s="1"/>
  <c r="V69" i="23"/>
  <c r="T49" i="23"/>
  <c r="H100" i="25" s="1"/>
  <c r="T57" i="23"/>
  <c r="H108" i="25" s="1"/>
  <c r="T65" i="23"/>
  <c r="H116" i="25" s="1"/>
  <c r="S45" i="23"/>
  <c r="G96" i="25" s="1"/>
  <c r="S53" i="23"/>
  <c r="G104" i="25" s="1"/>
  <c r="S61" i="23"/>
  <c r="G112" i="25" s="1"/>
  <c r="S69" i="23"/>
  <c r="R48" i="23"/>
  <c r="F99" i="25" s="1"/>
  <c r="R56" i="23"/>
  <c r="F107" i="25" s="1"/>
  <c r="R64" i="23"/>
  <c r="F115" i="25" s="1"/>
  <c r="P52" i="23"/>
  <c r="D103" i="25" s="1"/>
  <c r="P60" i="23"/>
  <c r="D111" i="25" s="1"/>
  <c r="P68" i="23"/>
  <c r="D119" i="25" s="1"/>
  <c r="O48" i="23"/>
  <c r="C99" i="25" s="1"/>
  <c r="O56" i="23"/>
  <c r="C107" i="25" s="1"/>
  <c r="O64" i="23"/>
  <c r="C115" i="25" s="1"/>
  <c r="O44" i="23"/>
  <c r="C95" i="25" s="1"/>
  <c r="X46" i="23"/>
  <c r="L97" i="25" s="1"/>
  <c r="X54" i="23"/>
  <c r="L105" i="25" s="1"/>
  <c r="X62" i="23"/>
  <c r="L113" i="25" s="1"/>
  <c r="X70" i="23"/>
  <c r="W50" i="23"/>
  <c r="K101" i="25" s="1"/>
  <c r="W58" i="23"/>
  <c r="K109" i="25" s="1"/>
  <c r="W66" i="23"/>
  <c r="K117" i="25" s="1"/>
  <c r="V46" i="23"/>
  <c r="J97" i="25" s="1"/>
  <c r="V54" i="23"/>
  <c r="J105" i="25" s="1"/>
  <c r="V62" i="23"/>
  <c r="J113" i="25" s="1"/>
  <c r="V70" i="23"/>
  <c r="T50" i="23"/>
  <c r="H101" i="25" s="1"/>
  <c r="T58" i="23"/>
  <c r="H109" i="25" s="1"/>
  <c r="S46" i="23"/>
  <c r="G97" i="25" s="1"/>
  <c r="S54" i="23"/>
  <c r="G105" i="25" s="1"/>
  <c r="S62" i="23"/>
  <c r="G113" i="25" s="1"/>
  <c r="S70" i="23"/>
  <c r="R49" i="23"/>
  <c r="F100" i="25" s="1"/>
  <c r="R57" i="23"/>
  <c r="F108" i="25" s="1"/>
  <c r="R65" i="23"/>
  <c r="F116" i="25" s="1"/>
  <c r="P45" i="23"/>
  <c r="D96" i="25" s="1"/>
  <c r="P53" i="23"/>
  <c r="D104" i="25" s="1"/>
  <c r="P61" i="23"/>
  <c r="D112" i="25" s="1"/>
  <c r="P69" i="23"/>
  <c r="O49" i="23"/>
  <c r="C100" i="25" s="1"/>
  <c r="O57" i="23"/>
  <c r="C108" i="25" s="1"/>
  <c r="O65" i="23"/>
  <c r="C116" i="25" s="1"/>
  <c r="X47" i="23"/>
  <c r="L98" i="25" s="1"/>
  <c r="X55" i="23"/>
  <c r="L106" i="25" s="1"/>
  <c r="X63" i="23"/>
  <c r="L114" i="25" s="1"/>
  <c r="X71" i="23"/>
  <c r="W51" i="23"/>
  <c r="K102" i="25" s="1"/>
  <c r="W59" i="23"/>
  <c r="K110" i="25" s="1"/>
  <c r="W67" i="23"/>
  <c r="K118" i="25" s="1"/>
  <c r="V47" i="23"/>
  <c r="J98" i="25" s="1"/>
  <c r="V55" i="23"/>
  <c r="J106" i="25" s="1"/>
  <c r="V63" i="23"/>
  <c r="J114" i="25" s="1"/>
  <c r="V71" i="23"/>
  <c r="T51" i="23"/>
  <c r="H102" i="25" s="1"/>
  <c r="T59" i="23"/>
  <c r="H110" i="25" s="1"/>
  <c r="T67" i="23"/>
  <c r="H118" i="25" s="1"/>
  <c r="S47" i="23"/>
  <c r="G98" i="25" s="1"/>
  <c r="S55" i="23"/>
  <c r="G106" i="25" s="1"/>
  <c r="S63" i="23"/>
  <c r="G114" i="25" s="1"/>
  <c r="S71" i="23"/>
  <c r="R50" i="23"/>
  <c r="F101" i="25" s="1"/>
  <c r="R58" i="23"/>
  <c r="F109" i="25" s="1"/>
  <c r="P46" i="23"/>
  <c r="D97" i="25" s="1"/>
  <c r="P54" i="23"/>
  <c r="D105" i="25" s="1"/>
  <c r="P62" i="23"/>
  <c r="D113" i="25" s="1"/>
  <c r="P70" i="23"/>
  <c r="O50" i="23"/>
  <c r="C101" i="25" s="1"/>
  <c r="O58" i="23"/>
  <c r="C109" i="25" s="1"/>
  <c r="O66" i="23"/>
  <c r="C117" i="25" s="1"/>
  <c r="X57" i="23"/>
  <c r="L108" i="25" s="1"/>
  <c r="X65" i="23"/>
  <c r="L116" i="25" s="1"/>
  <c r="W53" i="23"/>
  <c r="K104" i="25" s="1"/>
  <c r="W69" i="23"/>
  <c r="V49" i="23"/>
  <c r="J100" i="25" s="1"/>
  <c r="V65" i="23"/>
  <c r="J116" i="25" s="1"/>
  <c r="T53" i="23"/>
  <c r="H104" i="25" s="1"/>
  <c r="T69" i="23"/>
  <c r="S49" i="23"/>
  <c r="G100" i="25" s="1"/>
  <c r="S65" i="23"/>
  <c r="G116" i="25" s="1"/>
  <c r="R60" i="23"/>
  <c r="F111" i="25" s="1"/>
  <c r="R68" i="23"/>
  <c r="F119" i="25" s="1"/>
  <c r="P56" i="23"/>
  <c r="D107" i="25" s="1"/>
  <c r="P44" i="23"/>
  <c r="D95" i="25" s="1"/>
  <c r="O60" i="23"/>
  <c r="C111" i="25" s="1"/>
  <c r="X58" i="23"/>
  <c r="L109" i="25" s="1"/>
  <c r="X66" i="23"/>
  <c r="L117" i="25" s="1"/>
  <c r="W54" i="23"/>
  <c r="K105" i="25" s="1"/>
  <c r="W70" i="23"/>
  <c r="V50" i="23"/>
  <c r="J101" i="25" s="1"/>
  <c r="V66" i="23"/>
  <c r="J117" i="25" s="1"/>
  <c r="T54" i="23"/>
  <c r="H105" i="25" s="1"/>
  <c r="T62" i="23"/>
  <c r="H113" i="25" s="1"/>
  <c r="S50" i="23"/>
  <c r="G101" i="25" s="1"/>
  <c r="R53" i="23"/>
  <c r="F104" i="25" s="1"/>
  <c r="R69" i="23"/>
  <c r="P57" i="23"/>
  <c r="D108" i="25" s="1"/>
  <c r="P65" i="23"/>
  <c r="D116" i="25" s="1"/>
  <c r="X48" i="23"/>
  <c r="L99" i="25" s="1"/>
  <c r="X56" i="23"/>
  <c r="L107" i="25" s="1"/>
  <c r="X64" i="23"/>
  <c r="L115" i="25" s="1"/>
  <c r="X44" i="23"/>
  <c r="W52" i="23"/>
  <c r="K103" i="25" s="1"/>
  <c r="W60" i="23"/>
  <c r="K111" i="25" s="1"/>
  <c r="W68" i="23"/>
  <c r="K119" i="25" s="1"/>
  <c r="V48" i="23"/>
  <c r="J99" i="25" s="1"/>
  <c r="V56" i="23"/>
  <c r="J107" i="25" s="1"/>
  <c r="V64" i="23"/>
  <c r="J115" i="25" s="1"/>
  <c r="J95" i="25"/>
  <c r="T52" i="23"/>
  <c r="H103" i="25" s="1"/>
  <c r="T60" i="23"/>
  <c r="H111" i="25" s="1"/>
  <c r="T68" i="23"/>
  <c r="H119" i="25" s="1"/>
  <c r="S48" i="23"/>
  <c r="G99" i="25" s="1"/>
  <c r="S56" i="23"/>
  <c r="G107" i="25" s="1"/>
  <c r="S64" i="23"/>
  <c r="G115" i="25" s="1"/>
  <c r="S44" i="23"/>
  <c r="G95" i="25" s="1"/>
  <c r="R51" i="23"/>
  <c r="F102" i="25" s="1"/>
  <c r="R59" i="23"/>
  <c r="F110" i="25" s="1"/>
  <c r="P47" i="23"/>
  <c r="D98" i="25" s="1"/>
  <c r="P55" i="23"/>
  <c r="D106" i="25" s="1"/>
  <c r="P63" i="23"/>
  <c r="D114" i="25" s="1"/>
  <c r="P71" i="23"/>
  <c r="O51" i="23"/>
  <c r="C102" i="25" s="1"/>
  <c r="O59" i="23"/>
  <c r="C110" i="25" s="1"/>
  <c r="O67" i="23"/>
  <c r="C118" i="25" s="1"/>
  <c r="X49" i="23"/>
  <c r="L100" i="25" s="1"/>
  <c r="W45" i="23"/>
  <c r="K96" i="25" s="1"/>
  <c r="W61" i="23"/>
  <c r="K112" i="25" s="1"/>
  <c r="V57" i="23"/>
  <c r="J108" i="25" s="1"/>
  <c r="T45" i="23"/>
  <c r="H96" i="25" s="1"/>
  <c r="T61" i="23"/>
  <c r="H112" i="25" s="1"/>
  <c r="S57" i="23"/>
  <c r="G108" i="25" s="1"/>
  <c r="R52" i="23"/>
  <c r="F103" i="25" s="1"/>
  <c r="P48" i="23"/>
  <c r="D99" i="25" s="1"/>
  <c r="P64" i="23"/>
  <c r="D115" i="25" s="1"/>
  <c r="O52" i="23"/>
  <c r="C103" i="25" s="1"/>
  <c r="O68" i="23"/>
  <c r="C119" i="25" s="1"/>
  <c r="X50" i="23"/>
  <c r="L101" i="25" s="1"/>
  <c r="W46" i="23"/>
  <c r="K97" i="25" s="1"/>
  <c r="W62" i="23"/>
  <c r="K113" i="25" s="1"/>
  <c r="V58" i="23"/>
  <c r="J109" i="25" s="1"/>
  <c r="T46" i="23"/>
  <c r="H97" i="25" s="1"/>
  <c r="T70" i="23"/>
  <c r="S58" i="23"/>
  <c r="G109" i="25" s="1"/>
  <c r="R45" i="23"/>
  <c r="F96" i="25" s="1"/>
  <c r="R61" i="23"/>
  <c r="F112" i="25" s="1"/>
  <c r="P49" i="23"/>
  <c r="D100" i="25" s="1"/>
  <c r="O45" i="23"/>
  <c r="C96" i="25" s="1"/>
  <c r="X51" i="23"/>
  <c r="L102" i="25" s="1"/>
  <c r="X59" i="23"/>
  <c r="L110" i="25" s="1"/>
  <c r="X67" i="23"/>
  <c r="L118" i="25" s="1"/>
  <c r="W47" i="23"/>
  <c r="K98" i="25" s="1"/>
  <c r="W55" i="23"/>
  <c r="K106" i="25" s="1"/>
  <c r="W63" i="23"/>
  <c r="K114" i="25" s="1"/>
  <c r="W71" i="23"/>
  <c r="V51" i="23"/>
  <c r="J102" i="25" s="1"/>
  <c r="V59" i="23"/>
  <c r="J110" i="25" s="1"/>
  <c r="V67" i="23"/>
  <c r="J118" i="25" s="1"/>
  <c r="T47" i="23"/>
  <c r="H98" i="25" s="1"/>
  <c r="T55" i="23"/>
  <c r="H106" i="25" s="1"/>
  <c r="T63" i="23"/>
  <c r="H114" i="25" s="1"/>
  <c r="T71" i="23"/>
  <c r="S51" i="23"/>
  <c r="G102" i="25" s="1"/>
  <c r="S59" i="23"/>
  <c r="G110" i="25" s="1"/>
  <c r="R46" i="23"/>
  <c r="F97" i="25" s="1"/>
  <c r="R54" i="23"/>
  <c r="F105" i="25" s="1"/>
  <c r="R62" i="23"/>
  <c r="F113" i="25" s="1"/>
  <c r="R70" i="23"/>
  <c r="P50" i="23"/>
  <c r="D101" i="25" s="1"/>
  <c r="P58" i="23"/>
  <c r="D109" i="25" s="1"/>
  <c r="O46" i="23"/>
  <c r="C97" i="25" s="1"/>
  <c r="O54" i="23"/>
  <c r="C105" i="25" s="1"/>
  <c r="O62" i="23"/>
  <c r="C113" i="25" s="1"/>
  <c r="O70" i="23"/>
  <c r="X52" i="23"/>
  <c r="L103" i="25" s="1"/>
  <c r="X60" i="23"/>
  <c r="L111" i="25" s="1"/>
  <c r="X68" i="23"/>
  <c r="L119" i="25" s="1"/>
  <c r="W48" i="23"/>
  <c r="K99" i="25" s="1"/>
  <c r="W56" i="23"/>
  <c r="K107" i="25" s="1"/>
  <c r="W64" i="23"/>
  <c r="K115" i="25" s="1"/>
  <c r="W44" i="23"/>
  <c r="K95" i="25" s="1"/>
  <c r="V52" i="23"/>
  <c r="J103" i="25" s="1"/>
  <c r="V60" i="23"/>
  <c r="J111" i="25" s="1"/>
  <c r="V68" i="23"/>
  <c r="J119" i="25" s="1"/>
  <c r="T48" i="23"/>
  <c r="H99" i="25" s="1"/>
  <c r="T56" i="23"/>
  <c r="H107" i="25" s="1"/>
  <c r="T64" i="23"/>
  <c r="H115" i="25" s="1"/>
  <c r="T44" i="23"/>
  <c r="S52" i="23"/>
  <c r="G103" i="25" s="1"/>
  <c r="S60" i="23"/>
  <c r="G111" i="25" s="1"/>
  <c r="S68" i="23"/>
  <c r="G119" i="25" s="1"/>
  <c r="R47" i="23"/>
  <c r="F98" i="25" s="1"/>
  <c r="R55" i="23"/>
  <c r="F106" i="25" s="1"/>
  <c r="R63" i="23"/>
  <c r="F114" i="25" s="1"/>
  <c r="R71" i="23"/>
  <c r="P51" i="23"/>
  <c r="D102" i="25" s="1"/>
  <c r="P59" i="23"/>
  <c r="D110" i="25" s="1"/>
  <c r="O47" i="23"/>
  <c r="C98" i="25" s="1"/>
  <c r="O55" i="23"/>
  <c r="O63" i="23"/>
  <c r="O71" i="23"/>
  <c r="O69" i="23"/>
  <c r="T6" i="23"/>
  <c r="R67" i="23" s="1"/>
  <c r="F118" i="25" s="1"/>
  <c r="T5" i="23"/>
  <c r="S67" i="23" s="1"/>
  <c r="G118" i="25" s="1"/>
  <c r="I44" i="15"/>
  <c r="J44" i="15"/>
  <c r="J45" i="15"/>
  <c r="I45" i="15"/>
  <c r="AA583" i="18"/>
  <c r="AA582" i="18"/>
  <c r="N70" i="23"/>
  <c r="G44" i="23"/>
  <c r="N62" i="23"/>
  <c r="B113" i="25" s="1"/>
  <c r="N54" i="23"/>
  <c r="B105" i="25" s="1"/>
  <c r="N46" i="23"/>
  <c r="B97" i="25" s="1"/>
  <c r="N61" i="23"/>
  <c r="B112" i="25" s="1"/>
  <c r="N53" i="23"/>
  <c r="B104" i="25" s="1"/>
  <c r="N45" i="23"/>
  <c r="B96" i="25" s="1"/>
  <c r="N67" i="23"/>
  <c r="B118" i="25" s="1"/>
  <c r="N59" i="23"/>
  <c r="B110" i="25" s="1"/>
  <c r="N51" i="23"/>
  <c r="B102" i="25" s="1"/>
  <c r="N60" i="23"/>
  <c r="B111" i="25" s="1"/>
  <c r="N69" i="23"/>
  <c r="N66" i="23"/>
  <c r="B117" i="25" s="1"/>
  <c r="N58" i="23"/>
  <c r="B109" i="25" s="1"/>
  <c r="N50" i="23"/>
  <c r="B101" i="25" s="1"/>
  <c r="N71" i="23"/>
  <c r="N52" i="23"/>
  <c r="B103" i="25" s="1"/>
  <c r="N65" i="23"/>
  <c r="B116" i="25" s="1"/>
  <c r="N57" i="23"/>
  <c r="B108" i="25" s="1"/>
  <c r="N49" i="23"/>
  <c r="B100" i="25" s="1"/>
  <c r="N68" i="23"/>
  <c r="B119" i="25" s="1"/>
  <c r="N64" i="23"/>
  <c r="B115" i="25" s="1"/>
  <c r="N56" i="23"/>
  <c r="B107" i="25" s="1"/>
  <c r="N48" i="23"/>
  <c r="B99" i="25" s="1"/>
  <c r="N63" i="23"/>
  <c r="B114" i="25" s="1"/>
  <c r="N55" i="23"/>
  <c r="B106" i="25" s="1"/>
  <c r="N47" i="23"/>
  <c r="B98" i="25" s="1"/>
  <c r="T54" i="15"/>
  <c r="H44" i="23" l="1"/>
  <c r="H59" i="23" s="1"/>
  <c r="T37" i="23"/>
  <c r="T35" i="23"/>
  <c r="R49" i="15"/>
  <c r="T59" i="15"/>
  <c r="T46" i="15"/>
  <c r="T57" i="15"/>
  <c r="T44" i="15"/>
  <c r="X50" i="15"/>
  <c r="X58" i="15"/>
  <c r="X66" i="15"/>
  <c r="X74" i="15"/>
  <c r="W51" i="15"/>
  <c r="W59" i="15"/>
  <c r="W67" i="15"/>
  <c r="V51" i="15"/>
  <c r="V59" i="15"/>
  <c r="V67" i="15"/>
  <c r="T49" i="15"/>
  <c r="T72" i="15"/>
  <c r="S50" i="15"/>
  <c r="S58" i="15"/>
  <c r="R70" i="15"/>
  <c r="X51" i="15"/>
  <c r="X59" i="15"/>
  <c r="X67" i="15"/>
  <c r="X44" i="15"/>
  <c r="W52" i="15"/>
  <c r="W60" i="15"/>
  <c r="W68" i="15"/>
  <c r="V74" i="15"/>
  <c r="V52" i="15"/>
  <c r="V60" i="15"/>
  <c r="V68" i="15"/>
  <c r="T63" i="15"/>
  <c r="T73" i="15"/>
  <c r="S51" i="15"/>
  <c r="S59" i="15"/>
  <c r="S68" i="15"/>
  <c r="R46" i="15"/>
  <c r="R55" i="15"/>
  <c r="R63" i="15"/>
  <c r="R71" i="15"/>
  <c r="S61" i="15"/>
  <c r="R57" i="15"/>
  <c r="R73" i="15"/>
  <c r="X46" i="15"/>
  <c r="X70" i="15"/>
  <c r="W55" i="15"/>
  <c r="V47" i="15"/>
  <c r="V63" i="15"/>
  <c r="T67" i="15"/>
  <c r="S62" i="15"/>
  <c r="R58" i="15"/>
  <c r="X52" i="15"/>
  <c r="X60" i="15"/>
  <c r="X68" i="15"/>
  <c r="W45" i="15"/>
  <c r="W53" i="15"/>
  <c r="W61" i="15"/>
  <c r="W69" i="15"/>
  <c r="V45" i="15"/>
  <c r="V53" i="15"/>
  <c r="V61" i="15"/>
  <c r="V69" i="15"/>
  <c r="T65" i="15"/>
  <c r="T74" i="15"/>
  <c r="S52" i="15"/>
  <c r="S60" i="15"/>
  <c r="S69" i="15"/>
  <c r="R47" i="15"/>
  <c r="R56" i="15"/>
  <c r="R64" i="15"/>
  <c r="R72" i="15"/>
  <c r="V70" i="15"/>
  <c r="T66" i="15"/>
  <c r="S45" i="15"/>
  <c r="S70" i="15"/>
  <c r="R48" i="15"/>
  <c r="R65" i="15"/>
  <c r="X54" i="15"/>
  <c r="X62" i="15"/>
  <c r="W63" i="15"/>
  <c r="W71" i="15"/>
  <c r="V55" i="15"/>
  <c r="V71" i="15"/>
  <c r="S46" i="15"/>
  <c r="S71" i="15"/>
  <c r="R50" i="15"/>
  <c r="R66" i="15"/>
  <c r="X45" i="15"/>
  <c r="X53" i="15"/>
  <c r="X61" i="15"/>
  <c r="X69" i="15"/>
  <c r="W46" i="15"/>
  <c r="W54" i="15"/>
  <c r="W62" i="15"/>
  <c r="W70" i="15"/>
  <c r="V46" i="15"/>
  <c r="V54" i="15"/>
  <c r="V62" i="15"/>
  <c r="S53" i="15"/>
  <c r="W47" i="15"/>
  <c r="S54" i="15"/>
  <c r="X47" i="15"/>
  <c r="X55" i="15"/>
  <c r="X63" i="15"/>
  <c r="X71" i="15"/>
  <c r="W48" i="15"/>
  <c r="W56" i="15"/>
  <c r="W64" i="15"/>
  <c r="W72" i="15"/>
  <c r="V48" i="15"/>
  <c r="V56" i="15"/>
  <c r="V64" i="15"/>
  <c r="V72" i="15"/>
  <c r="T69" i="15"/>
  <c r="S47" i="15"/>
  <c r="S55" i="15"/>
  <c r="S64" i="15"/>
  <c r="S72" i="15"/>
  <c r="R51" i="15"/>
  <c r="R59" i="15"/>
  <c r="R67" i="15"/>
  <c r="R44" i="15"/>
  <c r="X57" i="15"/>
  <c r="X65" i="15"/>
  <c r="W58" i="15"/>
  <c r="W74" i="15"/>
  <c r="V58" i="15"/>
  <c r="V44" i="15"/>
  <c r="S49" i="15"/>
  <c r="S66" i="15"/>
  <c r="R53" i="15"/>
  <c r="R69" i="15"/>
  <c r="R45" i="15"/>
  <c r="R62" i="15"/>
  <c r="R74" i="15"/>
  <c r="X48" i="15"/>
  <c r="X56" i="15"/>
  <c r="X64" i="15"/>
  <c r="X72" i="15"/>
  <c r="W49" i="15"/>
  <c r="W57" i="15"/>
  <c r="W65" i="15"/>
  <c r="W73" i="15"/>
  <c r="V49" i="15"/>
  <c r="V57" i="15"/>
  <c r="V65" i="15"/>
  <c r="V73" i="15"/>
  <c r="T70" i="15"/>
  <c r="S48" i="15"/>
  <c r="S56" i="15"/>
  <c r="S65" i="15"/>
  <c r="S73" i="15"/>
  <c r="R52" i="15"/>
  <c r="R60" i="15"/>
  <c r="R68" i="15"/>
  <c r="X49" i="15"/>
  <c r="X73" i="15"/>
  <c r="W50" i="15"/>
  <c r="W66" i="15"/>
  <c r="V50" i="15"/>
  <c r="V66" i="15"/>
  <c r="T71" i="15"/>
  <c r="S57" i="15"/>
  <c r="S44" i="15"/>
  <c r="R61" i="15"/>
  <c r="S67" i="15"/>
  <c r="R54" i="15"/>
  <c r="T53" i="15"/>
  <c r="T61" i="15"/>
  <c r="T62" i="15"/>
  <c r="T55" i="15"/>
  <c r="T64" i="15"/>
  <c r="T51" i="15"/>
  <c r="T47" i="15"/>
  <c r="T50" i="15"/>
  <c r="T52" i="15"/>
  <c r="S63" i="15"/>
  <c r="T45" i="15"/>
  <c r="T56" i="15"/>
  <c r="T68" i="15"/>
  <c r="T58" i="15"/>
  <c r="T60" i="15"/>
  <c r="T48" i="15"/>
  <c r="AA605" i="18"/>
  <c r="Y69" i="23"/>
  <c r="R66" i="23"/>
  <c r="F117" i="25" s="1"/>
  <c r="S66" i="23"/>
  <c r="G117" i="25" s="1"/>
  <c r="P66" i="23"/>
  <c r="D117" i="25" s="1"/>
  <c r="G59" i="23"/>
  <c r="L59" i="23" s="1"/>
  <c r="K120" i="25"/>
  <c r="J120" i="25"/>
  <c r="H95" i="25"/>
  <c r="T72" i="23"/>
  <c r="K26" i="20" s="1"/>
  <c r="X72" i="23"/>
  <c r="L95" i="25"/>
  <c r="Y63" i="23"/>
  <c r="C114" i="25"/>
  <c r="Y55" i="23"/>
  <c r="C106" i="25"/>
  <c r="O72" i="23"/>
  <c r="U49" i="23"/>
  <c r="Y47" i="23"/>
  <c r="Y70" i="23"/>
  <c r="W72" i="23"/>
  <c r="Y66" i="23"/>
  <c r="Y53" i="23"/>
  <c r="Y45" i="23"/>
  <c r="Y59" i="23"/>
  <c r="Y60" i="23"/>
  <c r="Y71" i="23"/>
  <c r="Y61" i="23"/>
  <c r="U69" i="23"/>
  <c r="U58" i="23"/>
  <c r="Y51" i="23"/>
  <c r="U50" i="23"/>
  <c r="U71" i="23"/>
  <c r="U44" i="23"/>
  <c r="Y50" i="23"/>
  <c r="U53" i="23"/>
  <c r="Y64" i="23"/>
  <c r="Y44" i="23"/>
  <c r="Y68" i="23"/>
  <c r="U63" i="23"/>
  <c r="U65" i="23"/>
  <c r="U56" i="23"/>
  <c r="U70" i="23"/>
  <c r="U45" i="23"/>
  <c r="Y56" i="23"/>
  <c r="Y58" i="23"/>
  <c r="U61" i="23"/>
  <c r="P67" i="23"/>
  <c r="Y52" i="23"/>
  <c r="U55" i="23"/>
  <c r="U57" i="23"/>
  <c r="U62" i="23"/>
  <c r="Y48" i="23"/>
  <c r="Y62" i="23"/>
  <c r="U64" i="23"/>
  <c r="U47" i="23"/>
  <c r="U54" i="23"/>
  <c r="Y65" i="23"/>
  <c r="U68" i="23"/>
  <c r="U59" i="23"/>
  <c r="U51" i="23"/>
  <c r="Y54" i="23"/>
  <c r="U48" i="23"/>
  <c r="U46" i="23"/>
  <c r="Y57" i="23"/>
  <c r="U60" i="23"/>
  <c r="Y46" i="23"/>
  <c r="Y67" i="23"/>
  <c r="Y49" i="23"/>
  <c r="U52" i="23"/>
  <c r="N72" i="23"/>
  <c r="H26" i="20" s="1"/>
  <c r="P44" i="15"/>
  <c r="V75" i="15"/>
  <c r="W75" i="15"/>
  <c r="X75" i="15"/>
  <c r="AC585" i="18"/>
  <c r="AC586" i="18"/>
  <c r="AC587" i="18"/>
  <c r="AC588" i="18"/>
  <c r="AC589" i="18"/>
  <c r="AC590" i="18"/>
  <c r="AC591" i="18"/>
  <c r="AC592" i="18"/>
  <c r="AC593" i="18"/>
  <c r="AC594" i="18"/>
  <c r="AC595" i="18"/>
  <c r="AC596" i="18"/>
  <c r="AC597" i="18"/>
  <c r="AC598" i="18"/>
  <c r="AC599" i="18"/>
  <c r="AC600" i="18"/>
  <c r="AC601" i="18"/>
  <c r="AC602" i="18"/>
  <c r="AC603" i="18"/>
  <c r="AC604" i="18"/>
  <c r="AA14" i="18"/>
  <c r="AA15" i="18"/>
  <c r="AA16" i="18"/>
  <c r="AA17" i="18"/>
  <c r="AA18" i="18"/>
  <c r="AA19" i="18"/>
  <c r="AA20" i="18"/>
  <c r="AA21" i="18"/>
  <c r="AA22" i="18"/>
  <c r="AA23" i="18"/>
  <c r="AA24" i="18"/>
  <c r="AA25" i="18"/>
  <c r="AA26" i="18"/>
  <c r="AA27" i="18"/>
  <c r="AA28" i="18"/>
  <c r="AA29" i="18"/>
  <c r="AA30" i="18"/>
  <c r="AA31" i="18"/>
  <c r="AA32" i="18"/>
  <c r="AA33" i="18"/>
  <c r="AA34" i="18"/>
  <c r="AA35" i="18"/>
  <c r="AA36" i="18"/>
  <c r="AA37" i="18"/>
  <c r="AA38" i="18"/>
  <c r="AA39" i="18"/>
  <c r="AA40" i="18"/>
  <c r="AA41" i="18"/>
  <c r="AA42" i="18"/>
  <c r="AA43" i="18"/>
  <c r="AA44" i="18"/>
  <c r="AA45" i="18"/>
  <c r="AA46" i="18"/>
  <c r="AA47" i="18"/>
  <c r="AA48" i="18"/>
  <c r="AA49" i="18"/>
  <c r="AA50" i="18"/>
  <c r="AA51" i="18"/>
  <c r="AA52" i="18"/>
  <c r="AA53" i="18"/>
  <c r="AA54" i="18"/>
  <c r="AA55" i="18"/>
  <c r="AA56" i="18"/>
  <c r="AA57" i="18"/>
  <c r="AA58" i="18"/>
  <c r="AA59" i="18"/>
  <c r="AA60" i="18"/>
  <c r="AA61" i="18"/>
  <c r="AA62" i="18"/>
  <c r="AA63" i="18"/>
  <c r="AA64" i="18"/>
  <c r="AA65" i="18"/>
  <c r="AA66" i="18"/>
  <c r="AA67" i="18"/>
  <c r="AA68" i="18"/>
  <c r="AA69" i="18"/>
  <c r="AA70" i="18"/>
  <c r="AA71" i="18"/>
  <c r="AA72" i="18"/>
  <c r="AA73" i="18"/>
  <c r="AA74" i="18"/>
  <c r="AA75" i="18"/>
  <c r="AA76" i="18"/>
  <c r="AA77" i="18"/>
  <c r="AA78" i="18"/>
  <c r="AA79" i="18"/>
  <c r="AA80" i="18"/>
  <c r="AA81" i="18"/>
  <c r="AA82" i="18"/>
  <c r="AA83" i="18"/>
  <c r="AA84" i="18"/>
  <c r="AA85" i="18"/>
  <c r="AA86" i="18"/>
  <c r="AA87" i="18"/>
  <c r="AA88" i="18"/>
  <c r="AA89" i="18"/>
  <c r="AA90" i="18"/>
  <c r="AA91" i="18"/>
  <c r="AA92" i="18"/>
  <c r="AA93" i="18"/>
  <c r="AA94" i="18"/>
  <c r="AA95" i="18"/>
  <c r="AA96" i="18"/>
  <c r="AA97" i="18"/>
  <c r="AA98" i="18"/>
  <c r="AA99" i="18"/>
  <c r="AA100" i="18"/>
  <c r="AA101" i="18"/>
  <c r="AA102" i="18"/>
  <c r="AA103" i="18"/>
  <c r="AA104" i="18"/>
  <c r="AA105" i="18"/>
  <c r="AA106" i="18"/>
  <c r="AA107" i="18"/>
  <c r="AA108" i="18"/>
  <c r="AA109" i="18"/>
  <c r="AA110" i="18"/>
  <c r="AA111" i="18"/>
  <c r="AA112" i="18"/>
  <c r="AA113" i="18"/>
  <c r="AA114" i="18"/>
  <c r="AA115" i="18"/>
  <c r="AA116" i="18"/>
  <c r="AA117" i="18"/>
  <c r="AA118" i="18"/>
  <c r="AA119" i="18"/>
  <c r="AA120" i="18"/>
  <c r="AA121" i="18"/>
  <c r="AA122" i="18"/>
  <c r="AA123" i="18"/>
  <c r="AA124" i="18"/>
  <c r="AA125" i="18"/>
  <c r="AA126" i="18"/>
  <c r="AA127" i="18"/>
  <c r="AA128" i="18"/>
  <c r="AA129" i="18"/>
  <c r="AA130" i="18"/>
  <c r="AA131" i="18"/>
  <c r="AA132" i="18"/>
  <c r="AA133" i="18"/>
  <c r="AA134" i="18"/>
  <c r="AA135" i="18"/>
  <c r="AA136" i="18"/>
  <c r="AA137" i="18"/>
  <c r="AA138" i="18"/>
  <c r="AA139" i="18"/>
  <c r="AA140" i="18"/>
  <c r="AA141" i="18"/>
  <c r="AA142" i="18"/>
  <c r="AA143" i="18"/>
  <c r="AA144" i="18"/>
  <c r="AA145" i="18"/>
  <c r="AA146" i="18"/>
  <c r="AA147" i="18"/>
  <c r="AA148" i="18"/>
  <c r="AA149" i="18"/>
  <c r="AA150" i="18"/>
  <c r="AA151" i="18"/>
  <c r="AA152" i="18"/>
  <c r="AA153" i="18"/>
  <c r="AA154" i="18"/>
  <c r="AA155" i="18"/>
  <c r="AA156" i="18"/>
  <c r="AA157" i="18"/>
  <c r="AA158" i="18"/>
  <c r="AA159" i="18"/>
  <c r="AA160" i="18"/>
  <c r="AA161" i="18"/>
  <c r="AA162" i="18"/>
  <c r="AA163" i="18"/>
  <c r="AA164" i="18"/>
  <c r="AA165" i="18"/>
  <c r="AA166" i="18"/>
  <c r="AA167" i="18"/>
  <c r="AA168" i="18"/>
  <c r="AA169" i="18"/>
  <c r="AA170" i="18"/>
  <c r="AA171" i="18"/>
  <c r="AA172" i="18"/>
  <c r="AA173" i="18"/>
  <c r="AA174" i="18"/>
  <c r="AA175" i="18"/>
  <c r="AA176" i="18"/>
  <c r="AA177" i="18"/>
  <c r="AA178" i="18"/>
  <c r="AA179" i="18"/>
  <c r="AA180" i="18"/>
  <c r="AA181" i="18"/>
  <c r="AA182" i="18"/>
  <c r="AA183" i="18"/>
  <c r="AA184" i="18"/>
  <c r="AA185" i="18"/>
  <c r="AA186" i="18"/>
  <c r="AA187" i="18"/>
  <c r="AA188" i="18"/>
  <c r="AA189" i="18"/>
  <c r="AA190" i="18"/>
  <c r="AA191" i="18"/>
  <c r="AA192" i="18"/>
  <c r="AA193" i="18"/>
  <c r="AA194" i="18"/>
  <c r="AA195" i="18"/>
  <c r="AA196" i="18"/>
  <c r="AA197" i="18"/>
  <c r="AA198" i="18"/>
  <c r="AA199" i="18"/>
  <c r="AA200" i="18"/>
  <c r="AA201" i="18"/>
  <c r="AA202" i="18"/>
  <c r="AA203" i="18"/>
  <c r="AA204" i="18"/>
  <c r="AA205" i="18"/>
  <c r="AA206" i="18"/>
  <c r="AA207" i="18"/>
  <c r="AA208" i="18"/>
  <c r="AA209" i="18"/>
  <c r="AA210" i="18"/>
  <c r="AA211" i="18"/>
  <c r="AA212" i="18"/>
  <c r="AA213" i="18"/>
  <c r="AA214" i="18"/>
  <c r="AA215" i="18"/>
  <c r="AA216" i="18"/>
  <c r="AA217" i="18"/>
  <c r="AA218" i="18"/>
  <c r="AA219" i="18"/>
  <c r="AA220" i="18"/>
  <c r="AA221" i="18"/>
  <c r="AA222" i="18"/>
  <c r="AA223" i="18"/>
  <c r="AA224" i="18"/>
  <c r="AA225" i="18"/>
  <c r="AA226" i="18"/>
  <c r="AA227" i="18"/>
  <c r="AA228" i="18"/>
  <c r="AA229" i="18"/>
  <c r="AA230" i="18"/>
  <c r="AA231" i="18"/>
  <c r="AA232" i="18"/>
  <c r="AA233" i="18"/>
  <c r="AA234" i="18"/>
  <c r="AA235" i="18"/>
  <c r="AA236" i="18"/>
  <c r="AA237" i="18"/>
  <c r="AA238" i="18"/>
  <c r="AA239" i="18"/>
  <c r="AA240" i="18"/>
  <c r="AA241" i="18"/>
  <c r="AA242" i="18"/>
  <c r="AA243" i="18"/>
  <c r="AA244" i="18"/>
  <c r="AA245" i="18"/>
  <c r="AA246" i="18"/>
  <c r="AA247" i="18"/>
  <c r="AA248" i="18"/>
  <c r="AA249" i="18"/>
  <c r="AA250" i="18"/>
  <c r="AA251" i="18"/>
  <c r="AA252" i="18"/>
  <c r="AA253" i="18"/>
  <c r="AA254" i="18"/>
  <c r="AA255" i="18"/>
  <c r="AA256" i="18"/>
  <c r="AA257" i="18"/>
  <c r="AA258" i="18"/>
  <c r="AA259" i="18"/>
  <c r="AA260" i="18"/>
  <c r="AA261" i="18"/>
  <c r="AA262" i="18"/>
  <c r="AA263" i="18"/>
  <c r="AA264" i="18"/>
  <c r="AA265" i="18"/>
  <c r="AA266" i="18"/>
  <c r="AA267" i="18"/>
  <c r="AA268" i="18"/>
  <c r="AA269" i="18"/>
  <c r="AA270" i="18"/>
  <c r="AA271" i="18"/>
  <c r="AA272" i="18"/>
  <c r="AA273" i="18"/>
  <c r="AA274" i="18"/>
  <c r="AA275" i="18"/>
  <c r="AA276" i="18"/>
  <c r="AA277" i="18"/>
  <c r="AA278" i="18"/>
  <c r="AA279" i="18"/>
  <c r="AA280" i="18"/>
  <c r="AA281" i="18"/>
  <c r="AA282" i="18"/>
  <c r="AA283" i="18"/>
  <c r="AA284" i="18"/>
  <c r="AA285" i="18"/>
  <c r="AA286" i="18"/>
  <c r="AA287" i="18"/>
  <c r="AA288" i="18"/>
  <c r="AA289" i="18"/>
  <c r="AA290" i="18"/>
  <c r="AA291" i="18"/>
  <c r="AA292" i="18"/>
  <c r="AA293" i="18"/>
  <c r="AA294" i="18"/>
  <c r="AA295" i="18"/>
  <c r="AA296" i="18"/>
  <c r="AA297" i="18"/>
  <c r="AA298" i="18"/>
  <c r="AA299" i="18"/>
  <c r="AA300" i="18"/>
  <c r="AA301" i="18"/>
  <c r="AA302" i="18"/>
  <c r="AA303" i="18"/>
  <c r="AA304" i="18"/>
  <c r="AA305" i="18"/>
  <c r="AA306" i="18"/>
  <c r="AA307" i="18"/>
  <c r="AA308" i="18"/>
  <c r="AA309" i="18"/>
  <c r="AA310" i="18"/>
  <c r="AA311" i="18"/>
  <c r="AA312" i="18"/>
  <c r="AA313" i="18"/>
  <c r="AA314" i="18"/>
  <c r="AA315" i="18"/>
  <c r="AA316" i="18"/>
  <c r="AA317" i="18"/>
  <c r="AA318" i="18"/>
  <c r="AA319" i="18"/>
  <c r="AA320" i="18"/>
  <c r="AA321" i="18"/>
  <c r="AA322" i="18"/>
  <c r="AA323" i="18"/>
  <c r="AA324" i="18"/>
  <c r="AA325" i="18"/>
  <c r="AA326" i="18"/>
  <c r="AA327" i="18"/>
  <c r="AA328" i="18"/>
  <c r="AA329" i="18"/>
  <c r="AA330" i="18"/>
  <c r="AA331" i="18"/>
  <c r="AA332" i="18"/>
  <c r="AA333" i="18"/>
  <c r="AA334" i="18"/>
  <c r="AA335" i="18"/>
  <c r="AA336" i="18"/>
  <c r="AA337" i="18"/>
  <c r="AA338" i="18"/>
  <c r="AA339" i="18"/>
  <c r="AA340" i="18"/>
  <c r="AA341" i="18"/>
  <c r="AA342" i="18"/>
  <c r="AA343" i="18"/>
  <c r="AA344" i="18"/>
  <c r="AA345" i="18"/>
  <c r="AA346" i="18"/>
  <c r="AA347" i="18"/>
  <c r="AA348" i="18"/>
  <c r="AA349" i="18"/>
  <c r="AA350" i="18"/>
  <c r="AA351" i="18"/>
  <c r="AA352" i="18"/>
  <c r="AA353" i="18"/>
  <c r="AA354" i="18"/>
  <c r="AA355" i="18"/>
  <c r="AA356" i="18"/>
  <c r="AA357" i="18"/>
  <c r="AA358" i="18"/>
  <c r="AA359" i="18"/>
  <c r="AA360" i="18"/>
  <c r="AA361" i="18"/>
  <c r="AA362" i="18"/>
  <c r="AA363" i="18"/>
  <c r="AA364" i="18"/>
  <c r="AA365" i="18"/>
  <c r="AA366" i="18"/>
  <c r="AA367" i="18"/>
  <c r="AA368" i="18"/>
  <c r="AA369" i="18"/>
  <c r="AA370" i="18"/>
  <c r="AA371" i="18"/>
  <c r="AA372" i="18"/>
  <c r="AA373" i="18"/>
  <c r="AA374" i="18"/>
  <c r="AA375" i="18"/>
  <c r="AA376" i="18"/>
  <c r="AA377" i="18"/>
  <c r="AA378" i="18"/>
  <c r="AA379" i="18"/>
  <c r="AA380" i="18"/>
  <c r="AA381" i="18"/>
  <c r="AA382" i="18"/>
  <c r="AA383" i="18"/>
  <c r="AA384" i="18"/>
  <c r="AA385" i="18"/>
  <c r="AA386" i="18"/>
  <c r="AA387" i="18"/>
  <c r="AA388" i="18"/>
  <c r="AA389" i="18"/>
  <c r="AA390" i="18"/>
  <c r="AA391" i="18"/>
  <c r="AA392" i="18"/>
  <c r="AA393" i="18"/>
  <c r="AA394" i="18"/>
  <c r="AA395" i="18"/>
  <c r="AA396" i="18"/>
  <c r="AA397" i="18"/>
  <c r="AA398" i="18"/>
  <c r="AA399" i="18"/>
  <c r="AA400" i="18"/>
  <c r="AA401" i="18"/>
  <c r="AA402" i="18"/>
  <c r="AA403" i="18"/>
  <c r="AA404" i="18"/>
  <c r="AA405" i="18"/>
  <c r="AA406" i="18"/>
  <c r="AA407" i="18"/>
  <c r="AA408" i="18"/>
  <c r="AA409" i="18"/>
  <c r="AA410" i="18"/>
  <c r="AA411" i="18"/>
  <c r="AA412" i="18"/>
  <c r="AA413" i="18"/>
  <c r="AA414" i="18"/>
  <c r="AA415" i="18"/>
  <c r="AA416" i="18"/>
  <c r="AA417" i="18"/>
  <c r="AA418" i="18"/>
  <c r="AA419" i="18"/>
  <c r="AA420" i="18"/>
  <c r="AA421" i="18"/>
  <c r="AA422" i="18"/>
  <c r="AA423" i="18"/>
  <c r="AA424" i="18"/>
  <c r="AA425" i="18"/>
  <c r="AA426" i="18"/>
  <c r="AA427" i="18"/>
  <c r="AA428" i="18"/>
  <c r="AA429" i="18"/>
  <c r="AA430" i="18"/>
  <c r="AA431" i="18"/>
  <c r="AA432" i="18"/>
  <c r="AA433" i="18"/>
  <c r="AA434" i="18"/>
  <c r="AA435" i="18"/>
  <c r="AA436" i="18"/>
  <c r="AA437" i="18"/>
  <c r="AA438" i="18"/>
  <c r="AA439" i="18"/>
  <c r="AA440" i="18"/>
  <c r="AA441" i="18"/>
  <c r="AA442" i="18"/>
  <c r="AA443" i="18"/>
  <c r="AA444" i="18"/>
  <c r="AA445" i="18"/>
  <c r="AA446" i="18"/>
  <c r="AA447" i="18"/>
  <c r="AA448" i="18"/>
  <c r="AA449" i="18"/>
  <c r="AA450" i="18"/>
  <c r="AA451" i="18"/>
  <c r="AA452" i="18"/>
  <c r="AA453" i="18"/>
  <c r="AA454" i="18"/>
  <c r="AA455" i="18"/>
  <c r="AA456" i="18"/>
  <c r="AA457" i="18"/>
  <c r="AA458" i="18"/>
  <c r="AA459" i="18"/>
  <c r="AA460" i="18"/>
  <c r="AA461" i="18"/>
  <c r="AA462" i="18"/>
  <c r="AA463" i="18"/>
  <c r="AA464" i="18"/>
  <c r="AA465" i="18"/>
  <c r="AA466" i="18"/>
  <c r="AA467" i="18"/>
  <c r="AA468" i="18"/>
  <c r="AA469" i="18"/>
  <c r="AA470" i="18"/>
  <c r="AA471" i="18"/>
  <c r="AA472" i="18"/>
  <c r="AA473" i="18"/>
  <c r="AA474" i="18"/>
  <c r="AA475" i="18"/>
  <c r="AA476" i="18"/>
  <c r="AA477" i="18"/>
  <c r="AA478" i="18"/>
  <c r="AA479" i="18"/>
  <c r="AA480" i="18"/>
  <c r="AA481" i="18"/>
  <c r="AA482" i="18"/>
  <c r="AA483" i="18"/>
  <c r="AA484" i="18"/>
  <c r="AA485" i="18"/>
  <c r="AA486" i="18"/>
  <c r="AA487" i="18"/>
  <c r="AA488" i="18"/>
  <c r="AA489" i="18"/>
  <c r="AA490" i="18"/>
  <c r="AA491" i="18"/>
  <c r="AA492" i="18"/>
  <c r="AA493" i="18"/>
  <c r="AA494" i="18"/>
  <c r="AA495" i="18"/>
  <c r="AA496" i="18"/>
  <c r="AA497" i="18"/>
  <c r="AA498" i="18"/>
  <c r="AA499" i="18"/>
  <c r="AA500" i="18"/>
  <c r="AA501" i="18"/>
  <c r="AA502" i="18"/>
  <c r="AA503" i="18"/>
  <c r="AA504" i="18"/>
  <c r="AA505" i="18"/>
  <c r="AA506" i="18"/>
  <c r="AA507" i="18"/>
  <c r="AA508" i="18"/>
  <c r="AA509" i="18"/>
  <c r="AA510" i="18"/>
  <c r="AA511" i="18"/>
  <c r="AA512" i="18"/>
  <c r="AA513" i="18"/>
  <c r="AA514" i="18"/>
  <c r="AA515" i="18"/>
  <c r="AA516" i="18"/>
  <c r="AA517" i="18"/>
  <c r="AA518" i="18"/>
  <c r="AA519" i="18"/>
  <c r="AA520" i="18"/>
  <c r="AA521" i="18"/>
  <c r="AA522" i="18"/>
  <c r="AA523" i="18"/>
  <c r="AA524" i="18"/>
  <c r="AA525" i="18"/>
  <c r="AA526" i="18"/>
  <c r="AA527" i="18"/>
  <c r="AA528" i="18"/>
  <c r="AA529" i="18"/>
  <c r="AA530" i="18"/>
  <c r="AA531" i="18"/>
  <c r="AA532" i="18"/>
  <c r="AA533" i="18"/>
  <c r="AA534" i="18"/>
  <c r="AA535" i="18"/>
  <c r="AA536" i="18"/>
  <c r="AA537" i="18"/>
  <c r="AA538" i="18"/>
  <c r="AA539" i="18"/>
  <c r="AA540" i="18"/>
  <c r="AA541" i="18"/>
  <c r="AA542" i="18"/>
  <c r="AA543" i="18"/>
  <c r="AA544" i="18"/>
  <c r="AA545" i="18"/>
  <c r="AA546" i="18"/>
  <c r="AA547" i="18"/>
  <c r="AA548" i="18"/>
  <c r="AA549" i="18"/>
  <c r="AA550" i="18"/>
  <c r="AA551" i="18"/>
  <c r="AA552" i="18"/>
  <c r="AA553" i="18"/>
  <c r="AA554" i="18"/>
  <c r="AA555" i="18"/>
  <c r="AA556" i="18"/>
  <c r="AA557" i="18"/>
  <c r="AA558" i="18"/>
  <c r="AA559" i="18"/>
  <c r="AA560" i="18"/>
  <c r="AA561" i="18"/>
  <c r="AA562" i="18"/>
  <c r="AA563" i="18"/>
  <c r="AA564" i="18"/>
  <c r="AA565" i="18"/>
  <c r="AA566" i="18"/>
  <c r="AA567" i="18"/>
  <c r="AA568" i="18"/>
  <c r="AA569" i="18"/>
  <c r="AA570" i="18"/>
  <c r="AA571" i="18"/>
  <c r="AA572" i="18"/>
  <c r="AA573" i="18"/>
  <c r="AA574" i="18"/>
  <c r="AC612" i="18"/>
  <c r="AA2" i="18" l="1"/>
  <c r="S72" i="23"/>
  <c r="R72" i="23"/>
  <c r="F120" i="25"/>
  <c r="U66" i="23"/>
  <c r="G120" i="25"/>
  <c r="U67" i="23"/>
  <c r="D118" i="25"/>
  <c r="H120" i="25"/>
  <c r="L120" i="25"/>
  <c r="Y72" i="23"/>
  <c r="P72" i="23"/>
  <c r="P73" i="23" s="1"/>
  <c r="V72" i="23"/>
  <c r="Z577" i="18"/>
  <c r="X76" i="15"/>
  <c r="V76" i="15"/>
  <c r="W76" i="15"/>
  <c r="AB14" i="18"/>
  <c r="AB15" i="18"/>
  <c r="AC15" i="18" s="1"/>
  <c r="AB16" i="18"/>
  <c r="AC16" i="18" s="1"/>
  <c r="AB17" i="18"/>
  <c r="AC17" i="18" s="1"/>
  <c r="AB18" i="18"/>
  <c r="AC18" i="18" s="1"/>
  <c r="AB19" i="18"/>
  <c r="AC19" i="18" s="1"/>
  <c r="AB20" i="18"/>
  <c r="AC20" i="18" s="1"/>
  <c r="AB21" i="18"/>
  <c r="AC21" i="18" s="1"/>
  <c r="AB22" i="18"/>
  <c r="AC22" i="18" s="1"/>
  <c r="AB23" i="18"/>
  <c r="AC23" i="18" s="1"/>
  <c r="AB24" i="18"/>
  <c r="AC24" i="18" s="1"/>
  <c r="AB25" i="18"/>
  <c r="AC25" i="18" s="1"/>
  <c r="AB26" i="18"/>
  <c r="AC26" i="18" s="1"/>
  <c r="AB27" i="18"/>
  <c r="AC27" i="18" s="1"/>
  <c r="AB28" i="18"/>
  <c r="AC28" i="18" s="1"/>
  <c r="AB29" i="18"/>
  <c r="AC29" i="18" s="1"/>
  <c r="AB30" i="18"/>
  <c r="AC30" i="18" s="1"/>
  <c r="AB31" i="18"/>
  <c r="AC31" i="18" s="1"/>
  <c r="AB32" i="18"/>
  <c r="AC32" i="18" s="1"/>
  <c r="AB33" i="18"/>
  <c r="AC33" i="18" s="1"/>
  <c r="AB34" i="18"/>
  <c r="AC34" i="18" s="1"/>
  <c r="AB35" i="18"/>
  <c r="AC35" i="18" s="1"/>
  <c r="AB36" i="18"/>
  <c r="AC36" i="18" s="1"/>
  <c r="AB37" i="18"/>
  <c r="AC37" i="18" s="1"/>
  <c r="AB38" i="18"/>
  <c r="AC38" i="18" s="1"/>
  <c r="AB39" i="18"/>
  <c r="AC39" i="18" s="1"/>
  <c r="AB40" i="18"/>
  <c r="AC40" i="18" s="1"/>
  <c r="AB41" i="18"/>
  <c r="AC41" i="18" s="1"/>
  <c r="AB42" i="18"/>
  <c r="AC42" i="18" s="1"/>
  <c r="AB43" i="18"/>
  <c r="AC43" i="18" s="1"/>
  <c r="AB44" i="18"/>
  <c r="AC44" i="18" s="1"/>
  <c r="AB45" i="18"/>
  <c r="AC45" i="18" s="1"/>
  <c r="AB46" i="18"/>
  <c r="AC46" i="18" s="1"/>
  <c r="AB47" i="18"/>
  <c r="AC47" i="18" s="1"/>
  <c r="AB48" i="18"/>
  <c r="AC48" i="18" s="1"/>
  <c r="AB49" i="18"/>
  <c r="AC49" i="18" s="1"/>
  <c r="AB50" i="18"/>
  <c r="AC50" i="18" s="1"/>
  <c r="AB51" i="18"/>
  <c r="AC51" i="18" s="1"/>
  <c r="AB52" i="18"/>
  <c r="AC52" i="18" s="1"/>
  <c r="AB53" i="18"/>
  <c r="AC53" i="18" s="1"/>
  <c r="AB54" i="18"/>
  <c r="AC54" i="18" s="1"/>
  <c r="AB55" i="18"/>
  <c r="AC55" i="18" s="1"/>
  <c r="AB56" i="18"/>
  <c r="AC56" i="18" s="1"/>
  <c r="AB57" i="18"/>
  <c r="AC57" i="18" s="1"/>
  <c r="AB58" i="18"/>
  <c r="AC58" i="18" s="1"/>
  <c r="AB59" i="18"/>
  <c r="AC59" i="18" s="1"/>
  <c r="AB60" i="18"/>
  <c r="AC60" i="18" s="1"/>
  <c r="AB61" i="18"/>
  <c r="AC61" i="18" s="1"/>
  <c r="AB62" i="18"/>
  <c r="AC62" i="18" s="1"/>
  <c r="AB63" i="18"/>
  <c r="AC63" i="18" s="1"/>
  <c r="AB64" i="18"/>
  <c r="AC64" i="18" s="1"/>
  <c r="AB65" i="18"/>
  <c r="AC65" i="18" s="1"/>
  <c r="AB66" i="18"/>
  <c r="AC66" i="18" s="1"/>
  <c r="AB67" i="18"/>
  <c r="AC67" i="18" s="1"/>
  <c r="AB68" i="18"/>
  <c r="AC68" i="18" s="1"/>
  <c r="AB69" i="18"/>
  <c r="AC69" i="18" s="1"/>
  <c r="AB70" i="18"/>
  <c r="AC70" i="18" s="1"/>
  <c r="AB71" i="18"/>
  <c r="AC71" i="18" s="1"/>
  <c r="AB72" i="18"/>
  <c r="AC72" i="18" s="1"/>
  <c r="AB73" i="18"/>
  <c r="AC73" i="18" s="1"/>
  <c r="AB74" i="18"/>
  <c r="AC74" i="18" s="1"/>
  <c r="AB75" i="18"/>
  <c r="AC75" i="18" s="1"/>
  <c r="AB76" i="18"/>
  <c r="AC76" i="18" s="1"/>
  <c r="AB77" i="18"/>
  <c r="AC77" i="18" s="1"/>
  <c r="AB78" i="18"/>
  <c r="AC78" i="18" s="1"/>
  <c r="AB79" i="18"/>
  <c r="AC79" i="18" s="1"/>
  <c r="AB80" i="18"/>
  <c r="AC80" i="18" s="1"/>
  <c r="AB81" i="18"/>
  <c r="AC81" i="18" s="1"/>
  <c r="AB82" i="18"/>
  <c r="AC82" i="18" s="1"/>
  <c r="AB83" i="18"/>
  <c r="AC83" i="18" s="1"/>
  <c r="AB84" i="18"/>
  <c r="AC84" i="18" s="1"/>
  <c r="AB85" i="18"/>
  <c r="AC85" i="18" s="1"/>
  <c r="AB86" i="18"/>
  <c r="AC86" i="18" s="1"/>
  <c r="AB87" i="18"/>
  <c r="AC87" i="18" s="1"/>
  <c r="AB88" i="18"/>
  <c r="AC88" i="18" s="1"/>
  <c r="AB89" i="18"/>
  <c r="AC89" i="18" s="1"/>
  <c r="AB90" i="18"/>
  <c r="AC90" i="18" s="1"/>
  <c r="AB91" i="18"/>
  <c r="AC91" i="18" s="1"/>
  <c r="AB92" i="18"/>
  <c r="AC92" i="18" s="1"/>
  <c r="AB93" i="18"/>
  <c r="AC93" i="18" s="1"/>
  <c r="AB94" i="18"/>
  <c r="AC94" i="18" s="1"/>
  <c r="AB95" i="18"/>
  <c r="AC95" i="18" s="1"/>
  <c r="AB96" i="18"/>
  <c r="AC96" i="18" s="1"/>
  <c r="AB97" i="18"/>
  <c r="AC97" i="18" s="1"/>
  <c r="AB98" i="18"/>
  <c r="AC98" i="18" s="1"/>
  <c r="AB99" i="18"/>
  <c r="AC99" i="18" s="1"/>
  <c r="AB100" i="18"/>
  <c r="AC100" i="18" s="1"/>
  <c r="AB101" i="18"/>
  <c r="AC101" i="18" s="1"/>
  <c r="AB102" i="18"/>
  <c r="AC102" i="18" s="1"/>
  <c r="AB103" i="18"/>
  <c r="AC103" i="18" s="1"/>
  <c r="AB104" i="18"/>
  <c r="AC104" i="18" s="1"/>
  <c r="AB105" i="18"/>
  <c r="AC105" i="18" s="1"/>
  <c r="AB106" i="18"/>
  <c r="AC106" i="18" s="1"/>
  <c r="AB107" i="18"/>
  <c r="AC107" i="18" s="1"/>
  <c r="AB108" i="18"/>
  <c r="AC108" i="18" s="1"/>
  <c r="AB109" i="18"/>
  <c r="AC109" i="18" s="1"/>
  <c r="AB110" i="18"/>
  <c r="AC110" i="18" s="1"/>
  <c r="AB111" i="18"/>
  <c r="AC111" i="18" s="1"/>
  <c r="AB112" i="18"/>
  <c r="AC112" i="18" s="1"/>
  <c r="AB113" i="18"/>
  <c r="AC113" i="18" s="1"/>
  <c r="AB114" i="18"/>
  <c r="AC114" i="18" s="1"/>
  <c r="AB115" i="18"/>
  <c r="AC115" i="18" s="1"/>
  <c r="AB116" i="18"/>
  <c r="AC116" i="18" s="1"/>
  <c r="AB117" i="18"/>
  <c r="AC117" i="18" s="1"/>
  <c r="AB118" i="18"/>
  <c r="AC118" i="18" s="1"/>
  <c r="AB119" i="18"/>
  <c r="AC119" i="18" s="1"/>
  <c r="AB120" i="18"/>
  <c r="AC120" i="18" s="1"/>
  <c r="AB121" i="18"/>
  <c r="AC121" i="18" s="1"/>
  <c r="AB122" i="18"/>
  <c r="AC122" i="18" s="1"/>
  <c r="AB123" i="18"/>
  <c r="AC123" i="18" s="1"/>
  <c r="AB124" i="18"/>
  <c r="AC124" i="18" s="1"/>
  <c r="AB125" i="18"/>
  <c r="AC125" i="18" s="1"/>
  <c r="AB126" i="18"/>
  <c r="AC126" i="18" s="1"/>
  <c r="AB127" i="18"/>
  <c r="AC127" i="18" s="1"/>
  <c r="AB128" i="18"/>
  <c r="AC128" i="18" s="1"/>
  <c r="AB129" i="18"/>
  <c r="AC129" i="18" s="1"/>
  <c r="AB130" i="18"/>
  <c r="AC130" i="18" s="1"/>
  <c r="AB131" i="18"/>
  <c r="AC131" i="18" s="1"/>
  <c r="AB132" i="18"/>
  <c r="AC132" i="18" s="1"/>
  <c r="AB133" i="18"/>
  <c r="AC133" i="18" s="1"/>
  <c r="AB134" i="18"/>
  <c r="AC134" i="18" s="1"/>
  <c r="AB135" i="18"/>
  <c r="AC135" i="18" s="1"/>
  <c r="AB136" i="18"/>
  <c r="AC136" i="18" s="1"/>
  <c r="AB137" i="18"/>
  <c r="AC137" i="18" s="1"/>
  <c r="AB138" i="18"/>
  <c r="AC138" i="18" s="1"/>
  <c r="AB139" i="18"/>
  <c r="AC139" i="18" s="1"/>
  <c r="AB140" i="18"/>
  <c r="AC140" i="18" s="1"/>
  <c r="AB141" i="18"/>
  <c r="AC141" i="18" s="1"/>
  <c r="AB142" i="18"/>
  <c r="AC142" i="18" s="1"/>
  <c r="AB143" i="18"/>
  <c r="AC143" i="18" s="1"/>
  <c r="AB144" i="18"/>
  <c r="AC144" i="18" s="1"/>
  <c r="AB145" i="18"/>
  <c r="AC145" i="18" s="1"/>
  <c r="AB146" i="18"/>
  <c r="AC146" i="18" s="1"/>
  <c r="AB147" i="18"/>
  <c r="AC147" i="18" s="1"/>
  <c r="AB148" i="18"/>
  <c r="AC148" i="18" s="1"/>
  <c r="AB149" i="18"/>
  <c r="AC149" i="18" s="1"/>
  <c r="AB150" i="18"/>
  <c r="AC150" i="18" s="1"/>
  <c r="AB151" i="18"/>
  <c r="AC151" i="18" s="1"/>
  <c r="AB152" i="18"/>
  <c r="AC152" i="18" s="1"/>
  <c r="AB153" i="18"/>
  <c r="AC153" i="18" s="1"/>
  <c r="AB154" i="18"/>
  <c r="AC154" i="18" s="1"/>
  <c r="AB155" i="18"/>
  <c r="AC155" i="18" s="1"/>
  <c r="AB156" i="18"/>
  <c r="AC156" i="18" s="1"/>
  <c r="AB157" i="18"/>
  <c r="AC157" i="18" s="1"/>
  <c r="AB158" i="18"/>
  <c r="AC158" i="18" s="1"/>
  <c r="AB159" i="18"/>
  <c r="AC159" i="18" s="1"/>
  <c r="AB160" i="18"/>
  <c r="AC160" i="18" s="1"/>
  <c r="AB161" i="18"/>
  <c r="AC161" i="18" s="1"/>
  <c r="AB162" i="18"/>
  <c r="AC162" i="18" s="1"/>
  <c r="AB163" i="18"/>
  <c r="AC163" i="18" s="1"/>
  <c r="AB164" i="18"/>
  <c r="AC164" i="18" s="1"/>
  <c r="AB165" i="18"/>
  <c r="AC165" i="18" s="1"/>
  <c r="AB166" i="18"/>
  <c r="AC166" i="18" s="1"/>
  <c r="AB167" i="18"/>
  <c r="AC167" i="18" s="1"/>
  <c r="AB168" i="18"/>
  <c r="AC168" i="18" s="1"/>
  <c r="AB169" i="18"/>
  <c r="AC169" i="18" s="1"/>
  <c r="AB170" i="18"/>
  <c r="AC170" i="18" s="1"/>
  <c r="AB171" i="18"/>
  <c r="AC171" i="18" s="1"/>
  <c r="AB172" i="18"/>
  <c r="AC172" i="18" s="1"/>
  <c r="AB173" i="18"/>
  <c r="AC173" i="18" s="1"/>
  <c r="AB174" i="18"/>
  <c r="AC174" i="18" s="1"/>
  <c r="AB175" i="18"/>
  <c r="AC175" i="18" s="1"/>
  <c r="AB176" i="18"/>
  <c r="AC176" i="18" s="1"/>
  <c r="AB177" i="18"/>
  <c r="AC177" i="18" s="1"/>
  <c r="AB178" i="18"/>
  <c r="AC178" i="18" s="1"/>
  <c r="AB179" i="18"/>
  <c r="AC179" i="18" s="1"/>
  <c r="AB180" i="18"/>
  <c r="AC180" i="18" s="1"/>
  <c r="AB181" i="18"/>
  <c r="AC181" i="18" s="1"/>
  <c r="AB182" i="18"/>
  <c r="AC182" i="18" s="1"/>
  <c r="AB183" i="18"/>
  <c r="AC183" i="18" s="1"/>
  <c r="AB184" i="18"/>
  <c r="AC184" i="18" s="1"/>
  <c r="AB185" i="18"/>
  <c r="AC185" i="18" s="1"/>
  <c r="AB186" i="18"/>
  <c r="AC186" i="18" s="1"/>
  <c r="AB187" i="18"/>
  <c r="AC187" i="18" s="1"/>
  <c r="AB188" i="18"/>
  <c r="AC188" i="18" s="1"/>
  <c r="AB189" i="18"/>
  <c r="AC189" i="18" s="1"/>
  <c r="AB190" i="18"/>
  <c r="AC190" i="18" s="1"/>
  <c r="AB191" i="18"/>
  <c r="AC191" i="18" s="1"/>
  <c r="AB192" i="18"/>
  <c r="AC192" i="18" s="1"/>
  <c r="AB193" i="18"/>
  <c r="AC193" i="18" s="1"/>
  <c r="AB194" i="18"/>
  <c r="AC194" i="18" s="1"/>
  <c r="AB195" i="18"/>
  <c r="AC195" i="18" s="1"/>
  <c r="AB196" i="18"/>
  <c r="AC196" i="18" s="1"/>
  <c r="AB197" i="18"/>
  <c r="AC197" i="18" s="1"/>
  <c r="AB198" i="18"/>
  <c r="AC198" i="18" s="1"/>
  <c r="AB199" i="18"/>
  <c r="AC199" i="18" s="1"/>
  <c r="AB200" i="18"/>
  <c r="AC200" i="18" s="1"/>
  <c r="AB201" i="18"/>
  <c r="AC201" i="18" s="1"/>
  <c r="AB202" i="18"/>
  <c r="AC202" i="18" s="1"/>
  <c r="AB203" i="18"/>
  <c r="AC203" i="18" s="1"/>
  <c r="AB204" i="18"/>
  <c r="AC204" i="18" s="1"/>
  <c r="AB205" i="18"/>
  <c r="AC205" i="18" s="1"/>
  <c r="AB206" i="18"/>
  <c r="AC206" i="18" s="1"/>
  <c r="AB207" i="18"/>
  <c r="AC207" i="18" s="1"/>
  <c r="AB208" i="18"/>
  <c r="AC208" i="18" s="1"/>
  <c r="AB209" i="18"/>
  <c r="AC209" i="18" s="1"/>
  <c r="AB210" i="18"/>
  <c r="AC210" i="18" s="1"/>
  <c r="AB211" i="18"/>
  <c r="AC211" i="18" s="1"/>
  <c r="AB212" i="18"/>
  <c r="AC212" i="18" s="1"/>
  <c r="AB213" i="18"/>
  <c r="AC213" i="18" s="1"/>
  <c r="AB214" i="18"/>
  <c r="AC214" i="18" s="1"/>
  <c r="AB215" i="18"/>
  <c r="AC215" i="18" s="1"/>
  <c r="AB216" i="18"/>
  <c r="AC216" i="18" s="1"/>
  <c r="AB217" i="18"/>
  <c r="AC217" i="18" s="1"/>
  <c r="AB218" i="18"/>
  <c r="AC218" i="18" s="1"/>
  <c r="AB219" i="18"/>
  <c r="AC219" i="18" s="1"/>
  <c r="AB220" i="18"/>
  <c r="AC220" i="18" s="1"/>
  <c r="AB221" i="18"/>
  <c r="AC221" i="18" s="1"/>
  <c r="AB222" i="18"/>
  <c r="AC222" i="18" s="1"/>
  <c r="AB223" i="18"/>
  <c r="AC223" i="18" s="1"/>
  <c r="AB224" i="18"/>
  <c r="AC224" i="18" s="1"/>
  <c r="AB225" i="18"/>
  <c r="AC225" i="18" s="1"/>
  <c r="AB226" i="18"/>
  <c r="AC226" i="18" s="1"/>
  <c r="AB227" i="18"/>
  <c r="AC227" i="18" s="1"/>
  <c r="AB228" i="18"/>
  <c r="AC228" i="18" s="1"/>
  <c r="AB229" i="18"/>
  <c r="AC229" i="18" s="1"/>
  <c r="AB230" i="18"/>
  <c r="AC230" i="18" s="1"/>
  <c r="AB231" i="18"/>
  <c r="AC231" i="18" s="1"/>
  <c r="AB232" i="18"/>
  <c r="AC232" i="18" s="1"/>
  <c r="AB233" i="18"/>
  <c r="AC233" i="18" s="1"/>
  <c r="AB234" i="18"/>
  <c r="AC234" i="18" s="1"/>
  <c r="AB235" i="18"/>
  <c r="AC235" i="18" s="1"/>
  <c r="AB236" i="18"/>
  <c r="AC236" i="18" s="1"/>
  <c r="AB237" i="18"/>
  <c r="AC237" i="18" s="1"/>
  <c r="AB238" i="18"/>
  <c r="AC238" i="18" s="1"/>
  <c r="AB239" i="18"/>
  <c r="AC239" i="18" s="1"/>
  <c r="AB240" i="18"/>
  <c r="AC240" i="18" s="1"/>
  <c r="AB241" i="18"/>
  <c r="AC241" i="18" s="1"/>
  <c r="AB242" i="18"/>
  <c r="AC242" i="18" s="1"/>
  <c r="AB243" i="18"/>
  <c r="AC243" i="18" s="1"/>
  <c r="AB244" i="18"/>
  <c r="AC244" i="18" s="1"/>
  <c r="AB245" i="18"/>
  <c r="AC245" i="18" s="1"/>
  <c r="AB246" i="18"/>
  <c r="AC246" i="18" s="1"/>
  <c r="AB247" i="18"/>
  <c r="AC247" i="18" s="1"/>
  <c r="AB248" i="18"/>
  <c r="AC248" i="18" s="1"/>
  <c r="AB249" i="18"/>
  <c r="AC249" i="18" s="1"/>
  <c r="AB250" i="18"/>
  <c r="AC250" i="18" s="1"/>
  <c r="AB251" i="18"/>
  <c r="AC251" i="18" s="1"/>
  <c r="AB252" i="18"/>
  <c r="AC252" i="18" s="1"/>
  <c r="AB253" i="18"/>
  <c r="AC253" i="18" s="1"/>
  <c r="AB254" i="18"/>
  <c r="AC254" i="18" s="1"/>
  <c r="AB255" i="18"/>
  <c r="AC255" i="18" s="1"/>
  <c r="AB256" i="18"/>
  <c r="AC256" i="18" s="1"/>
  <c r="AB257" i="18"/>
  <c r="AC257" i="18" s="1"/>
  <c r="AB258" i="18"/>
  <c r="AC258" i="18" s="1"/>
  <c r="AB259" i="18"/>
  <c r="AC259" i="18" s="1"/>
  <c r="AB260" i="18"/>
  <c r="AC260" i="18" s="1"/>
  <c r="AB261" i="18"/>
  <c r="AC261" i="18" s="1"/>
  <c r="AB262" i="18"/>
  <c r="AC262" i="18" s="1"/>
  <c r="AB263" i="18"/>
  <c r="AC263" i="18" s="1"/>
  <c r="AB264" i="18"/>
  <c r="AC264" i="18" s="1"/>
  <c r="AB265" i="18"/>
  <c r="AC265" i="18" s="1"/>
  <c r="AB266" i="18"/>
  <c r="AC266" i="18" s="1"/>
  <c r="AB267" i="18"/>
  <c r="AC267" i="18" s="1"/>
  <c r="AB268" i="18"/>
  <c r="AC268" i="18" s="1"/>
  <c r="AB269" i="18"/>
  <c r="AC269" i="18" s="1"/>
  <c r="AB270" i="18"/>
  <c r="AC270" i="18" s="1"/>
  <c r="AB271" i="18"/>
  <c r="AC271" i="18" s="1"/>
  <c r="AB272" i="18"/>
  <c r="AC272" i="18" s="1"/>
  <c r="AB273" i="18"/>
  <c r="AC273" i="18" s="1"/>
  <c r="AB274" i="18"/>
  <c r="AC274" i="18" s="1"/>
  <c r="AB275" i="18"/>
  <c r="AC275" i="18" s="1"/>
  <c r="AB276" i="18"/>
  <c r="AC276" i="18" s="1"/>
  <c r="AB277" i="18"/>
  <c r="AC277" i="18" s="1"/>
  <c r="AB278" i="18"/>
  <c r="AC278" i="18" s="1"/>
  <c r="AB279" i="18"/>
  <c r="AC279" i="18" s="1"/>
  <c r="AB280" i="18"/>
  <c r="AC280" i="18" s="1"/>
  <c r="AB281" i="18"/>
  <c r="AC281" i="18" s="1"/>
  <c r="AB282" i="18"/>
  <c r="AC282" i="18" s="1"/>
  <c r="AB283" i="18"/>
  <c r="AC283" i="18" s="1"/>
  <c r="AB284" i="18"/>
  <c r="AC284" i="18" s="1"/>
  <c r="AB285" i="18"/>
  <c r="AC285" i="18" s="1"/>
  <c r="AB286" i="18"/>
  <c r="AC286" i="18" s="1"/>
  <c r="AB287" i="18"/>
  <c r="AC287" i="18" s="1"/>
  <c r="AB288" i="18"/>
  <c r="AC288" i="18" s="1"/>
  <c r="AB289" i="18"/>
  <c r="AC289" i="18" s="1"/>
  <c r="AB290" i="18"/>
  <c r="AC290" i="18" s="1"/>
  <c r="AB291" i="18"/>
  <c r="AC291" i="18" s="1"/>
  <c r="AB292" i="18"/>
  <c r="AC292" i="18" s="1"/>
  <c r="AB293" i="18"/>
  <c r="AC293" i="18" s="1"/>
  <c r="AB294" i="18"/>
  <c r="AC294" i="18" s="1"/>
  <c r="AB295" i="18"/>
  <c r="AC295" i="18" s="1"/>
  <c r="AB296" i="18"/>
  <c r="AC296" i="18" s="1"/>
  <c r="AB297" i="18"/>
  <c r="AC297" i="18" s="1"/>
  <c r="AB298" i="18"/>
  <c r="AC298" i="18" s="1"/>
  <c r="AB299" i="18"/>
  <c r="AC299" i="18" s="1"/>
  <c r="AB300" i="18"/>
  <c r="AC300" i="18" s="1"/>
  <c r="AB301" i="18"/>
  <c r="AC301" i="18" s="1"/>
  <c r="AB302" i="18"/>
  <c r="AC302" i="18" s="1"/>
  <c r="AB303" i="18"/>
  <c r="AC303" i="18" s="1"/>
  <c r="AB304" i="18"/>
  <c r="AC304" i="18" s="1"/>
  <c r="AB305" i="18"/>
  <c r="AC305" i="18" s="1"/>
  <c r="AB306" i="18"/>
  <c r="AC306" i="18" s="1"/>
  <c r="AB307" i="18"/>
  <c r="AC307" i="18" s="1"/>
  <c r="AB308" i="18"/>
  <c r="AC308" i="18" s="1"/>
  <c r="AB309" i="18"/>
  <c r="AC309" i="18" s="1"/>
  <c r="AB310" i="18"/>
  <c r="AC310" i="18" s="1"/>
  <c r="AB311" i="18"/>
  <c r="AC311" i="18" s="1"/>
  <c r="AB312" i="18"/>
  <c r="AC312" i="18" s="1"/>
  <c r="AB313" i="18"/>
  <c r="AC313" i="18" s="1"/>
  <c r="AB314" i="18"/>
  <c r="AC314" i="18" s="1"/>
  <c r="AB315" i="18"/>
  <c r="AC315" i="18" s="1"/>
  <c r="AB316" i="18"/>
  <c r="AC316" i="18" s="1"/>
  <c r="AB317" i="18"/>
  <c r="AC317" i="18" s="1"/>
  <c r="AB318" i="18"/>
  <c r="AC318" i="18" s="1"/>
  <c r="AB319" i="18"/>
  <c r="AC319" i="18" s="1"/>
  <c r="AB320" i="18"/>
  <c r="AC320" i="18" s="1"/>
  <c r="AB321" i="18"/>
  <c r="AC321" i="18" s="1"/>
  <c r="AB322" i="18"/>
  <c r="AC322" i="18" s="1"/>
  <c r="AB323" i="18"/>
  <c r="AC323" i="18" s="1"/>
  <c r="AB324" i="18"/>
  <c r="AC324" i="18" s="1"/>
  <c r="AB325" i="18"/>
  <c r="AC325" i="18" s="1"/>
  <c r="AB326" i="18"/>
  <c r="AC326" i="18" s="1"/>
  <c r="AB327" i="18"/>
  <c r="AC327" i="18" s="1"/>
  <c r="AB328" i="18"/>
  <c r="AC328" i="18" s="1"/>
  <c r="AB329" i="18"/>
  <c r="AC329" i="18" s="1"/>
  <c r="AB330" i="18"/>
  <c r="AC330" i="18" s="1"/>
  <c r="AB331" i="18"/>
  <c r="AC331" i="18" s="1"/>
  <c r="AB332" i="18"/>
  <c r="AC332" i="18" s="1"/>
  <c r="AB333" i="18"/>
  <c r="AC333" i="18" s="1"/>
  <c r="AB334" i="18"/>
  <c r="AC334" i="18" s="1"/>
  <c r="AB335" i="18"/>
  <c r="AC335" i="18" s="1"/>
  <c r="AB336" i="18"/>
  <c r="AC336" i="18" s="1"/>
  <c r="AB337" i="18"/>
  <c r="AC337" i="18" s="1"/>
  <c r="AB338" i="18"/>
  <c r="AC338" i="18" s="1"/>
  <c r="AB339" i="18"/>
  <c r="AC339" i="18" s="1"/>
  <c r="AB340" i="18"/>
  <c r="AC340" i="18" s="1"/>
  <c r="AB341" i="18"/>
  <c r="AC341" i="18" s="1"/>
  <c r="AB342" i="18"/>
  <c r="AC342" i="18" s="1"/>
  <c r="AB343" i="18"/>
  <c r="AC343" i="18" s="1"/>
  <c r="AB344" i="18"/>
  <c r="AC344" i="18" s="1"/>
  <c r="AB345" i="18"/>
  <c r="AC345" i="18" s="1"/>
  <c r="AB346" i="18"/>
  <c r="AC346" i="18" s="1"/>
  <c r="AB347" i="18"/>
  <c r="AC347" i="18" s="1"/>
  <c r="AB348" i="18"/>
  <c r="AC348" i="18" s="1"/>
  <c r="AB349" i="18"/>
  <c r="AC349" i="18" s="1"/>
  <c r="AB350" i="18"/>
  <c r="AC350" i="18" s="1"/>
  <c r="AB351" i="18"/>
  <c r="AC351" i="18" s="1"/>
  <c r="AB352" i="18"/>
  <c r="AC352" i="18" s="1"/>
  <c r="AB353" i="18"/>
  <c r="AC353" i="18" s="1"/>
  <c r="AB354" i="18"/>
  <c r="AC354" i="18" s="1"/>
  <c r="AB355" i="18"/>
  <c r="AC355" i="18" s="1"/>
  <c r="AB356" i="18"/>
  <c r="AC356" i="18" s="1"/>
  <c r="AB357" i="18"/>
  <c r="AC357" i="18" s="1"/>
  <c r="AB358" i="18"/>
  <c r="AC358" i="18" s="1"/>
  <c r="AB359" i="18"/>
  <c r="AC359" i="18" s="1"/>
  <c r="AB360" i="18"/>
  <c r="AC360" i="18" s="1"/>
  <c r="AB361" i="18"/>
  <c r="AC361" i="18" s="1"/>
  <c r="AB362" i="18"/>
  <c r="AC362" i="18" s="1"/>
  <c r="AB363" i="18"/>
  <c r="AC363" i="18" s="1"/>
  <c r="AB364" i="18"/>
  <c r="AC364" i="18" s="1"/>
  <c r="AB365" i="18"/>
  <c r="AC365" i="18" s="1"/>
  <c r="AB366" i="18"/>
  <c r="AC366" i="18" s="1"/>
  <c r="AB367" i="18"/>
  <c r="AC367" i="18" s="1"/>
  <c r="AB368" i="18"/>
  <c r="AC368" i="18" s="1"/>
  <c r="AB369" i="18"/>
  <c r="AC369" i="18" s="1"/>
  <c r="AB370" i="18"/>
  <c r="AC370" i="18" s="1"/>
  <c r="AB371" i="18"/>
  <c r="AC371" i="18" s="1"/>
  <c r="AB372" i="18"/>
  <c r="AC372" i="18" s="1"/>
  <c r="AB373" i="18"/>
  <c r="AC373" i="18" s="1"/>
  <c r="AB374" i="18"/>
  <c r="AC374" i="18" s="1"/>
  <c r="AB375" i="18"/>
  <c r="AC375" i="18" s="1"/>
  <c r="AB376" i="18"/>
  <c r="AC376" i="18" s="1"/>
  <c r="AB377" i="18"/>
  <c r="AC377" i="18" s="1"/>
  <c r="AB378" i="18"/>
  <c r="AC378" i="18" s="1"/>
  <c r="AB379" i="18"/>
  <c r="AC379" i="18" s="1"/>
  <c r="AB380" i="18"/>
  <c r="AC380" i="18" s="1"/>
  <c r="AB381" i="18"/>
  <c r="AC381" i="18" s="1"/>
  <c r="AB382" i="18"/>
  <c r="AC382" i="18" s="1"/>
  <c r="AB383" i="18"/>
  <c r="AC383" i="18" s="1"/>
  <c r="AB384" i="18"/>
  <c r="AC384" i="18" s="1"/>
  <c r="AB385" i="18"/>
  <c r="AC385" i="18" s="1"/>
  <c r="AB386" i="18"/>
  <c r="AC386" i="18" s="1"/>
  <c r="AB387" i="18"/>
  <c r="AC387" i="18" s="1"/>
  <c r="AB388" i="18"/>
  <c r="AC388" i="18" s="1"/>
  <c r="AB389" i="18"/>
  <c r="AC389" i="18" s="1"/>
  <c r="AB390" i="18"/>
  <c r="AC390" i="18" s="1"/>
  <c r="AB391" i="18"/>
  <c r="AC391" i="18" s="1"/>
  <c r="AB392" i="18"/>
  <c r="AC392" i="18" s="1"/>
  <c r="AB393" i="18"/>
  <c r="AC393" i="18" s="1"/>
  <c r="AB394" i="18"/>
  <c r="AC394" i="18" s="1"/>
  <c r="AB395" i="18"/>
  <c r="AC395" i="18" s="1"/>
  <c r="AB396" i="18"/>
  <c r="AC396" i="18" s="1"/>
  <c r="AB397" i="18"/>
  <c r="AC397" i="18" s="1"/>
  <c r="AB398" i="18"/>
  <c r="AC398" i="18" s="1"/>
  <c r="AB399" i="18"/>
  <c r="AC399" i="18" s="1"/>
  <c r="AB400" i="18"/>
  <c r="AC400" i="18" s="1"/>
  <c r="AB401" i="18"/>
  <c r="AC401" i="18" s="1"/>
  <c r="AB402" i="18"/>
  <c r="AC402" i="18" s="1"/>
  <c r="AB403" i="18"/>
  <c r="AC403" i="18" s="1"/>
  <c r="AB404" i="18"/>
  <c r="AC404" i="18" s="1"/>
  <c r="AB405" i="18"/>
  <c r="AC405" i="18" s="1"/>
  <c r="AB406" i="18"/>
  <c r="AC406" i="18" s="1"/>
  <c r="AB407" i="18"/>
  <c r="AC407" i="18" s="1"/>
  <c r="AB408" i="18"/>
  <c r="AC408" i="18" s="1"/>
  <c r="AB409" i="18"/>
  <c r="AC409" i="18" s="1"/>
  <c r="AB410" i="18"/>
  <c r="AC410" i="18" s="1"/>
  <c r="AB411" i="18"/>
  <c r="AC411" i="18" s="1"/>
  <c r="AB412" i="18"/>
  <c r="AC412" i="18" s="1"/>
  <c r="AB413" i="18"/>
  <c r="AC413" i="18" s="1"/>
  <c r="AB414" i="18"/>
  <c r="AC414" i="18" s="1"/>
  <c r="AB415" i="18"/>
  <c r="AC415" i="18" s="1"/>
  <c r="AB416" i="18"/>
  <c r="AC416" i="18" s="1"/>
  <c r="AB417" i="18"/>
  <c r="AC417" i="18" s="1"/>
  <c r="AB418" i="18"/>
  <c r="AC418" i="18" s="1"/>
  <c r="AB419" i="18"/>
  <c r="AC419" i="18" s="1"/>
  <c r="AB420" i="18"/>
  <c r="AC420" i="18" s="1"/>
  <c r="AB421" i="18"/>
  <c r="AC421" i="18" s="1"/>
  <c r="AB422" i="18"/>
  <c r="AC422" i="18" s="1"/>
  <c r="AB423" i="18"/>
  <c r="AC423" i="18" s="1"/>
  <c r="AB424" i="18"/>
  <c r="AC424" i="18" s="1"/>
  <c r="AB425" i="18"/>
  <c r="AC425" i="18" s="1"/>
  <c r="AB426" i="18"/>
  <c r="AC426" i="18" s="1"/>
  <c r="AB427" i="18"/>
  <c r="AC427" i="18" s="1"/>
  <c r="AB428" i="18"/>
  <c r="AC428" i="18" s="1"/>
  <c r="AB429" i="18"/>
  <c r="AC429" i="18" s="1"/>
  <c r="AB430" i="18"/>
  <c r="AC430" i="18" s="1"/>
  <c r="AB431" i="18"/>
  <c r="AC431" i="18" s="1"/>
  <c r="AB432" i="18"/>
  <c r="AC432" i="18" s="1"/>
  <c r="AB433" i="18"/>
  <c r="AC433" i="18" s="1"/>
  <c r="AB434" i="18"/>
  <c r="AC434" i="18" s="1"/>
  <c r="AB435" i="18"/>
  <c r="AC435" i="18" s="1"/>
  <c r="AB436" i="18"/>
  <c r="AC436" i="18" s="1"/>
  <c r="AB437" i="18"/>
  <c r="AC437" i="18" s="1"/>
  <c r="AB438" i="18"/>
  <c r="AC438" i="18" s="1"/>
  <c r="AB439" i="18"/>
  <c r="AC439" i="18" s="1"/>
  <c r="AB440" i="18"/>
  <c r="AC440" i="18" s="1"/>
  <c r="AB441" i="18"/>
  <c r="AC441" i="18" s="1"/>
  <c r="AB442" i="18"/>
  <c r="AC442" i="18" s="1"/>
  <c r="AB443" i="18"/>
  <c r="AC443" i="18" s="1"/>
  <c r="AB444" i="18"/>
  <c r="AC444" i="18" s="1"/>
  <c r="AB445" i="18"/>
  <c r="AC445" i="18" s="1"/>
  <c r="AB446" i="18"/>
  <c r="AC446" i="18" s="1"/>
  <c r="AB447" i="18"/>
  <c r="AC447" i="18" s="1"/>
  <c r="AB448" i="18"/>
  <c r="AC448" i="18" s="1"/>
  <c r="AB449" i="18"/>
  <c r="AC449" i="18" s="1"/>
  <c r="AB450" i="18"/>
  <c r="AC450" i="18" s="1"/>
  <c r="AB451" i="18"/>
  <c r="AC451" i="18" s="1"/>
  <c r="AB452" i="18"/>
  <c r="AC452" i="18" s="1"/>
  <c r="AB453" i="18"/>
  <c r="AC453" i="18" s="1"/>
  <c r="AB454" i="18"/>
  <c r="AC454" i="18" s="1"/>
  <c r="AB455" i="18"/>
  <c r="AC455" i="18" s="1"/>
  <c r="AB456" i="18"/>
  <c r="AC456" i="18" s="1"/>
  <c r="AB457" i="18"/>
  <c r="AC457" i="18" s="1"/>
  <c r="AB458" i="18"/>
  <c r="AC458" i="18" s="1"/>
  <c r="AB459" i="18"/>
  <c r="AC459" i="18" s="1"/>
  <c r="AB460" i="18"/>
  <c r="AC460" i="18" s="1"/>
  <c r="AB461" i="18"/>
  <c r="AC461" i="18" s="1"/>
  <c r="AB462" i="18"/>
  <c r="AC462" i="18" s="1"/>
  <c r="AB463" i="18"/>
  <c r="AC463" i="18" s="1"/>
  <c r="AB464" i="18"/>
  <c r="AC464" i="18" s="1"/>
  <c r="AB465" i="18"/>
  <c r="AC465" i="18" s="1"/>
  <c r="AB466" i="18"/>
  <c r="AC466" i="18" s="1"/>
  <c r="AB467" i="18"/>
  <c r="AC467" i="18" s="1"/>
  <c r="AB468" i="18"/>
  <c r="AC468" i="18" s="1"/>
  <c r="AB469" i="18"/>
  <c r="AC469" i="18" s="1"/>
  <c r="AB470" i="18"/>
  <c r="AC470" i="18" s="1"/>
  <c r="AB471" i="18"/>
  <c r="AC471" i="18" s="1"/>
  <c r="AB472" i="18"/>
  <c r="AC472" i="18" s="1"/>
  <c r="AB473" i="18"/>
  <c r="AC473" i="18" s="1"/>
  <c r="AB474" i="18"/>
  <c r="AC474" i="18" s="1"/>
  <c r="AB475" i="18"/>
  <c r="AC475" i="18" s="1"/>
  <c r="AB476" i="18"/>
  <c r="AC476" i="18" s="1"/>
  <c r="AB477" i="18"/>
  <c r="AC477" i="18" s="1"/>
  <c r="AB478" i="18"/>
  <c r="AC478" i="18" s="1"/>
  <c r="AB479" i="18"/>
  <c r="AC479" i="18" s="1"/>
  <c r="AB480" i="18"/>
  <c r="AC480" i="18" s="1"/>
  <c r="AB481" i="18"/>
  <c r="AC481" i="18" s="1"/>
  <c r="AB482" i="18"/>
  <c r="AC482" i="18" s="1"/>
  <c r="AB483" i="18"/>
  <c r="AC483" i="18" s="1"/>
  <c r="AB484" i="18"/>
  <c r="AC484" i="18" s="1"/>
  <c r="AB485" i="18"/>
  <c r="AC485" i="18" s="1"/>
  <c r="AB486" i="18"/>
  <c r="AC486" i="18" s="1"/>
  <c r="AB487" i="18"/>
  <c r="AC487" i="18" s="1"/>
  <c r="AB488" i="18"/>
  <c r="AC488" i="18" s="1"/>
  <c r="AB489" i="18"/>
  <c r="AC489" i="18" s="1"/>
  <c r="AB490" i="18"/>
  <c r="AC490" i="18" s="1"/>
  <c r="AB491" i="18"/>
  <c r="AC491" i="18" s="1"/>
  <c r="AB492" i="18"/>
  <c r="AC492" i="18" s="1"/>
  <c r="AB493" i="18"/>
  <c r="AC493" i="18" s="1"/>
  <c r="AB494" i="18"/>
  <c r="AC494" i="18" s="1"/>
  <c r="AB495" i="18"/>
  <c r="AC495" i="18" s="1"/>
  <c r="AB496" i="18"/>
  <c r="AC496" i="18" s="1"/>
  <c r="AB497" i="18"/>
  <c r="AC497" i="18" s="1"/>
  <c r="AB498" i="18"/>
  <c r="AC498" i="18" s="1"/>
  <c r="AB499" i="18"/>
  <c r="AC499" i="18" s="1"/>
  <c r="AB500" i="18"/>
  <c r="AC500" i="18" s="1"/>
  <c r="AB501" i="18"/>
  <c r="AC501" i="18" s="1"/>
  <c r="AB502" i="18"/>
  <c r="AC502" i="18" s="1"/>
  <c r="AB503" i="18"/>
  <c r="AC503" i="18" s="1"/>
  <c r="AB504" i="18"/>
  <c r="AC504" i="18" s="1"/>
  <c r="AB505" i="18"/>
  <c r="AC505" i="18" s="1"/>
  <c r="AB506" i="18"/>
  <c r="AC506" i="18" s="1"/>
  <c r="AB507" i="18"/>
  <c r="AC507" i="18" s="1"/>
  <c r="AB508" i="18"/>
  <c r="AC508" i="18" s="1"/>
  <c r="AB509" i="18"/>
  <c r="AC509" i="18" s="1"/>
  <c r="AB510" i="18"/>
  <c r="AC510" i="18" s="1"/>
  <c r="AB511" i="18"/>
  <c r="AC511" i="18" s="1"/>
  <c r="AB512" i="18"/>
  <c r="AC512" i="18" s="1"/>
  <c r="AB513" i="18"/>
  <c r="AC513" i="18" s="1"/>
  <c r="AB514" i="18"/>
  <c r="AC514" i="18" s="1"/>
  <c r="AB515" i="18"/>
  <c r="AC515" i="18" s="1"/>
  <c r="AB516" i="18"/>
  <c r="AC516" i="18" s="1"/>
  <c r="AB517" i="18"/>
  <c r="AC517" i="18" s="1"/>
  <c r="AB518" i="18"/>
  <c r="AC518" i="18" s="1"/>
  <c r="AB519" i="18"/>
  <c r="AC519" i="18" s="1"/>
  <c r="AB520" i="18"/>
  <c r="AC520" i="18" s="1"/>
  <c r="AB521" i="18"/>
  <c r="AC521" i="18" s="1"/>
  <c r="AB522" i="18"/>
  <c r="AC522" i="18" s="1"/>
  <c r="AB523" i="18"/>
  <c r="AC523" i="18" s="1"/>
  <c r="AB524" i="18"/>
  <c r="AC524" i="18" s="1"/>
  <c r="AB525" i="18"/>
  <c r="AC525" i="18" s="1"/>
  <c r="AB526" i="18"/>
  <c r="AC526" i="18" s="1"/>
  <c r="AB527" i="18"/>
  <c r="AC527" i="18" s="1"/>
  <c r="AB528" i="18"/>
  <c r="AC528" i="18" s="1"/>
  <c r="AB529" i="18"/>
  <c r="AC529" i="18" s="1"/>
  <c r="AB530" i="18"/>
  <c r="AC530" i="18" s="1"/>
  <c r="AB531" i="18"/>
  <c r="AC531" i="18" s="1"/>
  <c r="AB532" i="18"/>
  <c r="AC532" i="18" s="1"/>
  <c r="AB533" i="18"/>
  <c r="AC533" i="18" s="1"/>
  <c r="AB534" i="18"/>
  <c r="AC534" i="18" s="1"/>
  <c r="AB535" i="18"/>
  <c r="AC535" i="18" s="1"/>
  <c r="AB536" i="18"/>
  <c r="AC536" i="18" s="1"/>
  <c r="AB537" i="18"/>
  <c r="AC537" i="18" s="1"/>
  <c r="AB538" i="18"/>
  <c r="AC538" i="18" s="1"/>
  <c r="AB539" i="18"/>
  <c r="AC539" i="18" s="1"/>
  <c r="AB540" i="18"/>
  <c r="AC540" i="18" s="1"/>
  <c r="AB541" i="18"/>
  <c r="AC541" i="18" s="1"/>
  <c r="AB542" i="18"/>
  <c r="AC542" i="18" s="1"/>
  <c r="AB543" i="18"/>
  <c r="AC543" i="18" s="1"/>
  <c r="AB544" i="18"/>
  <c r="AC544" i="18" s="1"/>
  <c r="AB545" i="18"/>
  <c r="AC545" i="18" s="1"/>
  <c r="AB546" i="18"/>
  <c r="AC546" i="18" s="1"/>
  <c r="AB547" i="18"/>
  <c r="AC547" i="18" s="1"/>
  <c r="AB548" i="18"/>
  <c r="AC548" i="18" s="1"/>
  <c r="AB549" i="18"/>
  <c r="AC549" i="18" s="1"/>
  <c r="AB550" i="18"/>
  <c r="AC550" i="18" s="1"/>
  <c r="AB551" i="18"/>
  <c r="AC551" i="18" s="1"/>
  <c r="AB552" i="18"/>
  <c r="AC552" i="18" s="1"/>
  <c r="AB553" i="18"/>
  <c r="AC553" i="18" s="1"/>
  <c r="AB554" i="18"/>
  <c r="AC554" i="18" s="1"/>
  <c r="AB555" i="18"/>
  <c r="AC555" i="18" s="1"/>
  <c r="AB556" i="18"/>
  <c r="AC556" i="18" s="1"/>
  <c r="AB557" i="18"/>
  <c r="AC557" i="18" s="1"/>
  <c r="AB558" i="18"/>
  <c r="AC558" i="18" s="1"/>
  <c r="AB559" i="18"/>
  <c r="AC559" i="18" s="1"/>
  <c r="AB560" i="18"/>
  <c r="AC560" i="18" s="1"/>
  <c r="AB561" i="18"/>
  <c r="AC561" i="18" s="1"/>
  <c r="AB562" i="18"/>
  <c r="AC562" i="18" s="1"/>
  <c r="AB563" i="18"/>
  <c r="AC563" i="18" s="1"/>
  <c r="AB564" i="18"/>
  <c r="AC564" i="18" s="1"/>
  <c r="AB565" i="18"/>
  <c r="AC565" i="18" s="1"/>
  <c r="AB566" i="18"/>
  <c r="AC566" i="18" s="1"/>
  <c r="AB567" i="18"/>
  <c r="AC567" i="18" s="1"/>
  <c r="AB568" i="18"/>
  <c r="AC568" i="18" s="1"/>
  <c r="AB569" i="18"/>
  <c r="AC569" i="18" s="1"/>
  <c r="AB570" i="18"/>
  <c r="AC570" i="18" s="1"/>
  <c r="AB571" i="18"/>
  <c r="AC571" i="18" s="1"/>
  <c r="AB572" i="18"/>
  <c r="AC572" i="18" s="1"/>
  <c r="AB573" i="18"/>
  <c r="AC573" i="18" s="1"/>
  <c r="AB574" i="18"/>
  <c r="AC574" i="18" s="1"/>
  <c r="N92" i="22"/>
  <c r="N91" i="22"/>
  <c r="N90" i="22"/>
  <c r="N89" i="22"/>
  <c r="N88" i="22"/>
  <c r="N87" i="22"/>
  <c r="N86" i="22"/>
  <c r="N85" i="22"/>
  <c r="N84" i="22"/>
  <c r="N83" i="22"/>
  <c r="N82" i="22"/>
  <c r="N78" i="22"/>
  <c r="N77" i="22"/>
  <c r="N76" i="22"/>
  <c r="N75" i="22"/>
  <c r="N74" i="22"/>
  <c r="N73" i="22"/>
  <c r="N72" i="22"/>
  <c r="N71" i="22"/>
  <c r="N70" i="22"/>
  <c r="N69" i="22"/>
  <c r="N68" i="22"/>
  <c r="N64" i="22"/>
  <c r="N63" i="22"/>
  <c r="N62" i="22"/>
  <c r="N61" i="22"/>
  <c r="N60" i="22"/>
  <c r="N59" i="22"/>
  <c r="N58" i="22"/>
  <c r="N57" i="22"/>
  <c r="N56" i="22"/>
  <c r="N55" i="22"/>
  <c r="N54" i="22"/>
  <c r="N50" i="22"/>
  <c r="N49" i="22"/>
  <c r="N48" i="22"/>
  <c r="N47" i="22"/>
  <c r="N46" i="22"/>
  <c r="N45" i="22"/>
  <c r="N44" i="22"/>
  <c r="N43" i="22"/>
  <c r="N42" i="22"/>
  <c r="N41" i="22"/>
  <c r="N40" i="22"/>
  <c r="N36" i="22"/>
  <c r="N35" i="22"/>
  <c r="N34" i="22"/>
  <c r="N33" i="22"/>
  <c r="N32" i="22"/>
  <c r="N31" i="22"/>
  <c r="N30" i="22"/>
  <c r="N29" i="22"/>
  <c r="N28" i="22"/>
  <c r="N27" i="22"/>
  <c r="N26" i="22"/>
  <c r="N22" i="22"/>
  <c r="N21" i="22"/>
  <c r="N20" i="22"/>
  <c r="N19" i="22"/>
  <c r="N18" i="22"/>
  <c r="N17" i="22"/>
  <c r="N16" i="22"/>
  <c r="N15" i="22"/>
  <c r="N14" i="22"/>
  <c r="N13" i="22"/>
  <c r="N12" i="22"/>
  <c r="J85" i="22"/>
  <c r="J84" i="22"/>
  <c r="J83" i="22"/>
  <c r="D84" i="22"/>
  <c r="E84" i="22" s="1"/>
  <c r="D82" i="22"/>
  <c r="J71" i="22"/>
  <c r="J70" i="22"/>
  <c r="J69" i="22"/>
  <c r="D70" i="22"/>
  <c r="E70" i="22" s="1"/>
  <c r="D68" i="22"/>
  <c r="J57" i="22"/>
  <c r="J56" i="22"/>
  <c r="J55" i="22"/>
  <c r="D56" i="22"/>
  <c r="E56" i="22" s="1"/>
  <c r="D54" i="22"/>
  <c r="J43" i="22"/>
  <c r="J42" i="22"/>
  <c r="J41" i="22"/>
  <c r="D42" i="22"/>
  <c r="E42" i="22" s="1"/>
  <c r="D40" i="22"/>
  <c r="J29" i="22"/>
  <c r="J28" i="22"/>
  <c r="J27" i="22"/>
  <c r="D28" i="22"/>
  <c r="E28" i="22" s="1"/>
  <c r="D26" i="22"/>
  <c r="D14" i="22"/>
  <c r="E14" i="22" s="1"/>
  <c r="D12" i="22"/>
  <c r="E12" i="22" s="1"/>
  <c r="H12" i="22"/>
  <c r="J13" i="22"/>
  <c r="J15" i="22"/>
  <c r="J14" i="22"/>
  <c r="AC14" i="18" l="1"/>
  <c r="AB2" i="18"/>
  <c r="U72" i="23"/>
  <c r="P74" i="23"/>
  <c r="AB582" i="18"/>
  <c r="AC583" i="18"/>
  <c r="AB583" i="18"/>
  <c r="AC584" i="18"/>
  <c r="AB584" i="18"/>
  <c r="N37" i="22"/>
  <c r="N65" i="22"/>
  <c r="N23" i="22"/>
  <c r="N79" i="22"/>
  <c r="N51" i="22"/>
  <c r="N93" i="22"/>
  <c r="E82" i="22"/>
  <c r="E68" i="22"/>
  <c r="E54" i="22"/>
  <c r="E40" i="22"/>
  <c r="E26" i="22"/>
  <c r="L575" i="18"/>
  <c r="M575" i="18"/>
  <c r="N575" i="18"/>
  <c r="O575" i="18"/>
  <c r="Q575" i="18"/>
  <c r="R575" i="18"/>
  <c r="S575" i="18"/>
  <c r="T575" i="18"/>
  <c r="U575" i="18"/>
  <c r="V575" i="18"/>
  <c r="W575" i="18"/>
  <c r="X575" i="18"/>
  <c r="Y575" i="18"/>
  <c r="AD575" i="18"/>
  <c r="AE575" i="18"/>
  <c r="L577" i="18"/>
  <c r="M577" i="18"/>
  <c r="N577" i="18"/>
  <c r="O577" i="18"/>
  <c r="Q577" i="18"/>
  <c r="R577" i="18"/>
  <c r="S577" i="18"/>
  <c r="T577" i="18"/>
  <c r="U577" i="18"/>
  <c r="V577" i="18"/>
  <c r="W577" i="18"/>
  <c r="X577" i="18"/>
  <c r="Y577" i="18"/>
  <c r="AD577" i="18"/>
  <c r="AE577" i="18"/>
  <c r="K577" i="18"/>
  <c r="K575" i="18"/>
  <c r="AF4" i="14"/>
  <c r="N46" i="14" s="1"/>
  <c r="F35" i="25" s="1"/>
  <c r="V38" i="14"/>
  <c r="U38" i="14"/>
  <c r="V35" i="14"/>
  <c r="U35" i="14"/>
  <c r="W35" i="15"/>
  <c r="W38" i="15"/>
  <c r="M91" i="25"/>
  <c r="M26" i="20" l="1"/>
  <c r="AM581" i="18"/>
  <c r="AL581" i="18"/>
  <c r="AK581" i="18"/>
  <c r="F65" i="25" s="1"/>
  <c r="AC582" i="18"/>
  <c r="AC605" i="18" s="1"/>
  <c r="AE581" i="18"/>
  <c r="AO581" i="18"/>
  <c r="J65" i="25" s="1"/>
  <c r="AO586" i="18"/>
  <c r="J70" i="25" s="1"/>
  <c r="AO594" i="18"/>
  <c r="J78" i="25" s="1"/>
  <c r="AO595" i="18"/>
  <c r="J79" i="25" s="1"/>
  <c r="AO585" i="18"/>
  <c r="J69" i="25" s="1"/>
  <c r="AO587" i="18"/>
  <c r="J71" i="25" s="1"/>
  <c r="AO588" i="18"/>
  <c r="J72" i="25" s="1"/>
  <c r="AO597" i="18"/>
  <c r="J81" i="25" s="1"/>
  <c r="AM584" i="18"/>
  <c r="AO589" i="18"/>
  <c r="J73" i="25" s="1"/>
  <c r="AK591" i="18"/>
  <c r="AO590" i="18"/>
  <c r="J74" i="25" s="1"/>
  <c r="AO591" i="18"/>
  <c r="J75" i="25" s="1"/>
  <c r="AO609" i="18"/>
  <c r="AO593" i="18"/>
  <c r="J77" i="25" s="1"/>
  <c r="AM586" i="18"/>
  <c r="AO582" i="18"/>
  <c r="J66" i="25" s="1"/>
  <c r="AM587" i="18"/>
  <c r="AO584" i="18"/>
  <c r="J68" i="25" s="1"/>
  <c r="AO592" i="18"/>
  <c r="J76" i="25" s="1"/>
  <c r="AF581" i="18"/>
  <c r="AM589" i="18"/>
  <c r="AM597" i="18"/>
  <c r="AM605" i="18"/>
  <c r="AM582" i="18"/>
  <c r="AM590" i="18"/>
  <c r="AM598" i="18"/>
  <c r="AM606" i="18"/>
  <c r="AM583" i="18"/>
  <c r="AM591" i="18"/>
  <c r="AM599" i="18"/>
  <c r="AM607" i="18"/>
  <c r="AM592" i="18"/>
  <c r="AM600" i="18"/>
  <c r="AM608" i="18"/>
  <c r="AM585" i="18"/>
  <c r="AM593" i="18"/>
  <c r="AM601" i="18"/>
  <c r="AM609" i="18"/>
  <c r="AM594" i="18"/>
  <c r="AM602" i="18"/>
  <c r="AM610" i="18"/>
  <c r="AM595" i="18"/>
  <c r="AM603" i="18"/>
  <c r="AM611" i="18"/>
  <c r="AM596" i="18"/>
  <c r="AM604" i="18"/>
  <c r="AM612" i="18"/>
  <c r="AM588" i="18"/>
  <c r="AG581" i="18"/>
  <c r="AP609" i="18"/>
  <c r="AP582" i="18"/>
  <c r="K66" i="25" s="1"/>
  <c r="AP586" i="18"/>
  <c r="K70" i="25" s="1"/>
  <c r="AP590" i="18"/>
  <c r="K74" i="25" s="1"/>
  <c r="AP594" i="18"/>
  <c r="K78" i="25" s="1"/>
  <c r="AP581" i="18"/>
  <c r="K65" i="25" s="1"/>
  <c r="AO610" i="18"/>
  <c r="AO583" i="18"/>
  <c r="J67" i="25" s="1"/>
  <c r="AO603" i="18"/>
  <c r="J87" i="25" s="1"/>
  <c r="AP610" i="18"/>
  <c r="AP583" i="18"/>
  <c r="K67" i="25" s="1"/>
  <c r="AP587" i="18"/>
  <c r="K71" i="25" s="1"/>
  <c r="AP591" i="18"/>
  <c r="K75" i="25" s="1"/>
  <c r="AP595" i="18"/>
  <c r="K79" i="25" s="1"/>
  <c r="AP603" i="18"/>
  <c r="K87" i="25" s="1"/>
  <c r="AO611" i="18"/>
  <c r="AO607" i="18"/>
  <c r="AP611" i="18"/>
  <c r="AP584" i="18"/>
  <c r="K68" i="25" s="1"/>
  <c r="AP588" i="18"/>
  <c r="K72" i="25" s="1"/>
  <c r="AP592" i="18"/>
  <c r="K76" i="25" s="1"/>
  <c r="AP596" i="18"/>
  <c r="K80" i="25" s="1"/>
  <c r="AP607" i="18"/>
  <c r="AO612" i="18"/>
  <c r="AO608" i="18"/>
  <c r="AP612" i="18"/>
  <c r="AP585" i="18"/>
  <c r="K69" i="25" s="1"/>
  <c r="AP589" i="18"/>
  <c r="K73" i="25" s="1"/>
  <c r="AP593" i="18"/>
  <c r="K77" i="25" s="1"/>
  <c r="AP597" i="18"/>
  <c r="K81" i="25" s="1"/>
  <c r="AO604" i="18"/>
  <c r="J88" i="25" s="1"/>
  <c r="AP604" i="18"/>
  <c r="K88" i="25" s="1"/>
  <c r="AP608" i="18"/>
  <c r="AO601" i="18"/>
  <c r="J85" i="25" s="1"/>
  <c r="AO605" i="18"/>
  <c r="J89" i="25" s="1"/>
  <c r="AP601" i="18"/>
  <c r="K85" i="25" s="1"/>
  <c r="AP605" i="18"/>
  <c r="K89" i="25" s="1"/>
  <c r="AO602" i="18"/>
  <c r="J86" i="25" s="1"/>
  <c r="AO606" i="18"/>
  <c r="AP602" i="18"/>
  <c r="K86" i="25" s="1"/>
  <c r="AP606" i="18"/>
  <c r="AO600" i="18"/>
  <c r="J84" i="25" s="1"/>
  <c r="AQ602" i="18"/>
  <c r="L86" i="25" s="1"/>
  <c r="AQ610" i="18"/>
  <c r="AQ587" i="18"/>
  <c r="L71" i="25" s="1"/>
  <c r="AQ595" i="18"/>
  <c r="L79" i="25" s="1"/>
  <c r="AQ582" i="18"/>
  <c r="L66" i="25" s="1"/>
  <c r="AP600" i="18"/>
  <c r="K84" i="25" s="1"/>
  <c r="AQ605" i="18"/>
  <c r="L89" i="25" s="1"/>
  <c r="AO598" i="18"/>
  <c r="J82" i="25" s="1"/>
  <c r="AQ600" i="18"/>
  <c r="L84" i="25" s="1"/>
  <c r="AQ608" i="18"/>
  <c r="AQ585" i="18"/>
  <c r="L69" i="25" s="1"/>
  <c r="AQ593" i="18"/>
  <c r="L77" i="25" s="1"/>
  <c r="AP598" i="18"/>
  <c r="K82" i="25" s="1"/>
  <c r="AQ603" i="18"/>
  <c r="L87" i="25" s="1"/>
  <c r="AQ611" i="18"/>
  <c r="AQ588" i="18"/>
  <c r="L72" i="25" s="1"/>
  <c r="AQ596" i="18"/>
  <c r="AQ598" i="18"/>
  <c r="L82" i="25" s="1"/>
  <c r="AQ606" i="18"/>
  <c r="AQ583" i="18"/>
  <c r="L67" i="25" s="1"/>
  <c r="AQ591" i="18"/>
  <c r="L75" i="25" s="1"/>
  <c r="AQ594" i="18"/>
  <c r="L78" i="25" s="1"/>
  <c r="AQ590" i="18"/>
  <c r="L74" i="25" s="1"/>
  <c r="AO599" i="18"/>
  <c r="J83" i="25" s="1"/>
  <c r="AQ601" i="18"/>
  <c r="L85" i="25" s="1"/>
  <c r="AQ609" i="18"/>
  <c r="AQ586" i="18"/>
  <c r="L70" i="25" s="1"/>
  <c r="AQ581" i="18"/>
  <c r="L65" i="25" s="1"/>
  <c r="AP599" i="18"/>
  <c r="K83" i="25" s="1"/>
  <c r="AQ604" i="18"/>
  <c r="L88" i="25" s="1"/>
  <c r="AQ612" i="18"/>
  <c r="AQ589" i="18"/>
  <c r="L73" i="25" s="1"/>
  <c r="AQ597" i="18"/>
  <c r="L81" i="25" s="1"/>
  <c r="AQ592" i="18"/>
  <c r="L76" i="25" s="1"/>
  <c r="AQ599" i="18"/>
  <c r="L83" i="25" s="1"/>
  <c r="AQ607" i="18"/>
  <c r="AQ584" i="18"/>
  <c r="L68" i="25" s="1"/>
  <c r="AL602" i="18"/>
  <c r="G86" i="25" s="1"/>
  <c r="AE602" i="18"/>
  <c r="B86" i="25" s="1"/>
  <c r="M66" i="25"/>
  <c r="M67" i="25"/>
  <c r="M68" i="25"/>
  <c r="M69" i="25"/>
  <c r="M70" i="25"/>
  <c r="M71" i="25"/>
  <c r="M72" i="25"/>
  <c r="M73" i="25"/>
  <c r="M74" i="25"/>
  <c r="M75" i="25"/>
  <c r="M76" i="25"/>
  <c r="M77" i="25"/>
  <c r="M78" i="25"/>
  <c r="M79" i="25"/>
  <c r="M80" i="25"/>
  <c r="M81" i="25"/>
  <c r="M82" i="25"/>
  <c r="M83" i="25"/>
  <c r="M84" i="25"/>
  <c r="M85" i="25"/>
  <c r="M86" i="25"/>
  <c r="M87" i="25"/>
  <c r="M88" i="25"/>
  <c r="M89" i="25"/>
  <c r="M65" i="25"/>
  <c r="AM613" i="18" l="1"/>
  <c r="U44" i="15"/>
  <c r="J246" i="25"/>
  <c r="C120" i="25"/>
  <c r="Z2" i="18"/>
  <c r="J6" i="25"/>
  <c r="K6" i="25"/>
  <c r="L6" i="25"/>
  <c r="J7" i="25"/>
  <c r="K7" i="25"/>
  <c r="L7" i="25"/>
  <c r="J8" i="25"/>
  <c r="K8" i="25"/>
  <c r="L8" i="25"/>
  <c r="J9" i="25"/>
  <c r="K9" i="25"/>
  <c r="L9" i="25"/>
  <c r="K10" i="25"/>
  <c r="L10" i="25"/>
  <c r="J11" i="25"/>
  <c r="K11" i="25"/>
  <c r="L11" i="25"/>
  <c r="J12" i="25"/>
  <c r="K12" i="25"/>
  <c r="L12" i="25"/>
  <c r="J13" i="25"/>
  <c r="L13" i="25"/>
  <c r="J14" i="25"/>
  <c r="K14" i="25"/>
  <c r="L14" i="25"/>
  <c r="J15" i="25"/>
  <c r="K15" i="25"/>
  <c r="L15" i="25"/>
  <c r="J16" i="25"/>
  <c r="K16" i="25"/>
  <c r="L16" i="25"/>
  <c r="J17" i="25"/>
  <c r="K17" i="25"/>
  <c r="L17" i="25"/>
  <c r="K18" i="25"/>
  <c r="L18" i="25"/>
  <c r="J19" i="25"/>
  <c r="K19" i="25"/>
  <c r="L19" i="25"/>
  <c r="J20" i="25"/>
  <c r="K20" i="25"/>
  <c r="J21" i="25"/>
  <c r="K21" i="25"/>
  <c r="L21" i="25"/>
  <c r="J22" i="25"/>
  <c r="K22" i="25"/>
  <c r="L22" i="25"/>
  <c r="J23" i="25"/>
  <c r="K23" i="25"/>
  <c r="L23" i="25"/>
  <c r="J24" i="25"/>
  <c r="K24" i="25"/>
  <c r="L24" i="25"/>
  <c r="J25" i="25"/>
  <c r="K25" i="25"/>
  <c r="L25" i="25"/>
  <c r="K26" i="25"/>
  <c r="L26" i="25"/>
  <c r="J27" i="25"/>
  <c r="K27" i="25"/>
  <c r="L27" i="25"/>
  <c r="J28" i="25"/>
  <c r="K28" i="25"/>
  <c r="L28" i="25"/>
  <c r="J29" i="25"/>
  <c r="L29" i="25"/>
  <c r="K5" i="25"/>
  <c r="L5" i="25"/>
  <c r="J5" i="25"/>
  <c r="R47" i="14"/>
  <c r="S47" i="14"/>
  <c r="T47" i="14"/>
  <c r="R48" i="14"/>
  <c r="S48" i="14"/>
  <c r="T48" i="14"/>
  <c r="R49" i="14"/>
  <c r="S49" i="14"/>
  <c r="T49" i="14"/>
  <c r="R50" i="14"/>
  <c r="S50" i="14"/>
  <c r="T50" i="14"/>
  <c r="R51" i="14"/>
  <c r="S51" i="14"/>
  <c r="T51" i="14"/>
  <c r="R52" i="14"/>
  <c r="S52" i="14"/>
  <c r="T52" i="14"/>
  <c r="R53" i="14"/>
  <c r="S53" i="14"/>
  <c r="T53" i="14"/>
  <c r="R54" i="14"/>
  <c r="S54" i="14"/>
  <c r="T54" i="14"/>
  <c r="R55" i="14"/>
  <c r="S55" i="14"/>
  <c r="T55" i="14"/>
  <c r="R56" i="14"/>
  <c r="S56" i="14"/>
  <c r="T56" i="14"/>
  <c r="R57" i="14"/>
  <c r="S57" i="14"/>
  <c r="T57" i="14"/>
  <c r="R58" i="14"/>
  <c r="S58" i="14"/>
  <c r="T58" i="14"/>
  <c r="R59" i="14"/>
  <c r="S59" i="14"/>
  <c r="T59" i="14"/>
  <c r="R60" i="14"/>
  <c r="S60" i="14"/>
  <c r="T60" i="14"/>
  <c r="R61" i="14"/>
  <c r="S61" i="14"/>
  <c r="T61" i="14"/>
  <c r="R62" i="14"/>
  <c r="S62" i="14"/>
  <c r="T62" i="14"/>
  <c r="R63" i="14"/>
  <c r="S63" i="14"/>
  <c r="T63" i="14"/>
  <c r="R64" i="14"/>
  <c r="S64" i="14"/>
  <c r="T64" i="14"/>
  <c r="R65" i="14"/>
  <c r="S65" i="14"/>
  <c r="T65" i="14"/>
  <c r="R66" i="14"/>
  <c r="S66" i="14"/>
  <c r="T66" i="14"/>
  <c r="R67" i="14"/>
  <c r="S67" i="14"/>
  <c r="T67" i="14"/>
  <c r="R68" i="14"/>
  <c r="S68" i="14"/>
  <c r="T68" i="14"/>
  <c r="R69" i="14"/>
  <c r="S69" i="14"/>
  <c r="T69" i="14"/>
  <c r="R70" i="14"/>
  <c r="S70" i="14"/>
  <c r="T70" i="14"/>
  <c r="R71" i="14"/>
  <c r="S71" i="14"/>
  <c r="T71" i="14"/>
  <c r="R72" i="14"/>
  <c r="S72" i="14"/>
  <c r="T72" i="14"/>
  <c r="R73" i="14"/>
  <c r="S73" i="14"/>
  <c r="T73" i="14"/>
  <c r="R74" i="14"/>
  <c r="S74" i="14"/>
  <c r="T74" i="14"/>
  <c r="R75" i="14"/>
  <c r="S75" i="14"/>
  <c r="T75" i="14"/>
  <c r="R76" i="14"/>
  <c r="S76" i="14"/>
  <c r="T76" i="14"/>
  <c r="S46" i="14"/>
  <c r="R46" i="14"/>
  <c r="T46" i="14"/>
  <c r="T77" i="14"/>
  <c r="S77" i="14"/>
  <c r="R77" i="14"/>
  <c r="V38" i="15"/>
  <c r="AC606" i="18" l="1"/>
  <c r="K25" i="20"/>
  <c r="L206" i="25"/>
  <c r="K212" i="25"/>
  <c r="L209" i="25"/>
  <c r="J207" i="25"/>
  <c r="K204" i="25"/>
  <c r="L201" i="25"/>
  <c r="J199" i="25"/>
  <c r="K196" i="25"/>
  <c r="AO596" i="18"/>
  <c r="J80" i="25" s="1"/>
  <c r="J90" i="25" s="1"/>
  <c r="AB605" i="18"/>
  <c r="B120" i="25"/>
  <c r="I181" i="25"/>
  <c r="K151" i="25"/>
  <c r="D181" i="25"/>
  <c r="F151" i="25"/>
  <c r="J181" i="25"/>
  <c r="G181" i="25"/>
  <c r="K193" i="25"/>
  <c r="L198" i="25"/>
  <c r="J212" i="25"/>
  <c r="L193" i="25"/>
  <c r="J191" i="25"/>
  <c r="L80" i="25"/>
  <c r="L90" i="25" s="1"/>
  <c r="AA575" i="18"/>
  <c r="AA577" i="18"/>
  <c r="Z575" i="18"/>
  <c r="D151" i="25"/>
  <c r="L211" i="25"/>
  <c r="J209" i="25"/>
  <c r="L203" i="25"/>
  <c r="J201" i="25"/>
  <c r="L195" i="25"/>
  <c r="J193" i="25"/>
  <c r="L214" i="25"/>
  <c r="K200" i="25"/>
  <c r="L197" i="25"/>
  <c r="K192" i="25"/>
  <c r="K90" i="25"/>
  <c r="L151" i="25"/>
  <c r="J214" i="25"/>
  <c r="L208" i="25"/>
  <c r="J206" i="25"/>
  <c r="K203" i="25"/>
  <c r="L200" i="25"/>
  <c r="J198" i="25"/>
  <c r="K195" i="25"/>
  <c r="L192" i="25"/>
  <c r="K211" i="25"/>
  <c r="K208" i="25"/>
  <c r="J190" i="25"/>
  <c r="L213" i="25"/>
  <c r="L212" i="25"/>
  <c r="J210" i="25"/>
  <c r="K207" i="25"/>
  <c r="L204" i="25"/>
  <c r="J202" i="25"/>
  <c r="K199" i="25"/>
  <c r="L196" i="25"/>
  <c r="J194" i="25"/>
  <c r="K191" i="25"/>
  <c r="L190" i="25"/>
  <c r="K213" i="25"/>
  <c r="L210" i="25"/>
  <c r="J208" i="25"/>
  <c r="K205" i="25"/>
  <c r="L202" i="25"/>
  <c r="J200" i="25"/>
  <c r="K197" i="25"/>
  <c r="L194" i="25"/>
  <c r="J192" i="25"/>
  <c r="K190" i="25"/>
  <c r="J213" i="25"/>
  <c r="K210" i="25"/>
  <c r="L207" i="25"/>
  <c r="K202" i="25"/>
  <c r="L199" i="25"/>
  <c r="J197" i="25"/>
  <c r="K194" i="25"/>
  <c r="L191" i="25"/>
  <c r="K209" i="25"/>
  <c r="J204" i="25"/>
  <c r="K201" i="25"/>
  <c r="J196" i="25"/>
  <c r="K206" i="25"/>
  <c r="C151" i="25"/>
  <c r="J151" i="25"/>
  <c r="B181" i="25"/>
  <c r="C181" i="25"/>
  <c r="D120" i="25"/>
  <c r="F181" i="25"/>
  <c r="M181" i="25"/>
  <c r="K29" i="25"/>
  <c r="K13" i="25"/>
  <c r="L20" i="25"/>
  <c r="J26" i="25"/>
  <c r="J211" i="25" s="1"/>
  <c r="J18" i="25"/>
  <c r="J10" i="25"/>
  <c r="H181" i="25"/>
  <c r="G151" i="25"/>
  <c r="B151" i="25"/>
  <c r="H151" i="25"/>
  <c r="I151" i="25"/>
  <c r="K181" i="25"/>
  <c r="M151" i="25"/>
  <c r="L181" i="25"/>
  <c r="R78" i="14"/>
  <c r="K214" i="25" l="1"/>
  <c r="N120" i="25"/>
  <c r="I26" i="20"/>
  <c r="J195" i="25"/>
  <c r="K198" i="25"/>
  <c r="J203" i="25"/>
  <c r="L205" i="25"/>
  <c r="J205" i="25"/>
  <c r="N181" i="25"/>
  <c r="N151" i="25"/>
  <c r="AC577" i="18"/>
  <c r="AC575" i="18"/>
  <c r="AB575" i="18"/>
  <c r="AB577" i="18"/>
  <c r="J60" i="25"/>
  <c r="L60" i="25"/>
  <c r="K60" i="25"/>
  <c r="K215" i="25" l="1"/>
  <c r="M93" i="22"/>
  <c r="I86" i="22" s="1"/>
  <c r="J86" i="22" s="1"/>
  <c r="L93" i="22"/>
  <c r="C87" i="22"/>
  <c r="H82" i="22" s="1"/>
  <c r="M79" i="22"/>
  <c r="I72" i="22" s="1"/>
  <c r="J72" i="22" s="1"/>
  <c r="L79" i="22"/>
  <c r="C73" i="22"/>
  <c r="H68" i="22" s="1"/>
  <c r="M65" i="22"/>
  <c r="I58" i="22" s="1"/>
  <c r="J58" i="22" s="1"/>
  <c r="L65" i="22"/>
  <c r="C59" i="22"/>
  <c r="H54" i="22" s="1"/>
  <c r="M51" i="22"/>
  <c r="I44" i="22" s="1"/>
  <c r="J44" i="22" s="1"/>
  <c r="L51" i="22"/>
  <c r="C45" i="22"/>
  <c r="H40" i="22" s="1"/>
  <c r="H73" i="22" l="1"/>
  <c r="H59" i="22"/>
  <c r="H45" i="22"/>
  <c r="H87" i="22"/>
  <c r="M37" i="22"/>
  <c r="I30" i="22" s="1"/>
  <c r="J30" i="22" s="1"/>
  <c r="L37" i="22"/>
  <c r="C31" i="22"/>
  <c r="H26" i="22" s="1"/>
  <c r="H31" i="22" l="1"/>
  <c r="AK607" i="18" l="1"/>
  <c r="AL586" i="18"/>
  <c r="G70" i="25" s="1"/>
  <c r="H74" i="25"/>
  <c r="AK583" i="18"/>
  <c r="F67" i="25" s="1"/>
  <c r="F75" i="25"/>
  <c r="AK603" i="18"/>
  <c r="F87" i="25" s="1"/>
  <c r="AL582" i="18"/>
  <c r="G66" i="25" s="1"/>
  <c r="AL594" i="18"/>
  <c r="G78" i="25" s="1"/>
  <c r="AL606" i="18"/>
  <c r="H70" i="25"/>
  <c r="H82" i="25"/>
  <c r="AK595" i="18"/>
  <c r="F79" i="25" s="1"/>
  <c r="AK592" i="18"/>
  <c r="F76" i="25" s="1"/>
  <c r="AK604" i="18"/>
  <c r="F88" i="25" s="1"/>
  <c r="AL583" i="18"/>
  <c r="G67" i="25" s="1"/>
  <c r="AL595" i="18"/>
  <c r="G79" i="25" s="1"/>
  <c r="AL607" i="18"/>
  <c r="H71" i="25"/>
  <c r="H83" i="25"/>
  <c r="AK593" i="18"/>
  <c r="F77" i="25" s="1"/>
  <c r="AK605" i="18"/>
  <c r="F89" i="25" s="1"/>
  <c r="AL584" i="18"/>
  <c r="G68" i="25" s="1"/>
  <c r="AL596" i="18"/>
  <c r="G80" i="25" s="1"/>
  <c r="AL608" i="18"/>
  <c r="H72" i="25"/>
  <c r="H84" i="25"/>
  <c r="AK582" i="18"/>
  <c r="F66" i="25" s="1"/>
  <c r="AK594" i="18"/>
  <c r="F78" i="25" s="1"/>
  <c r="AK606" i="18"/>
  <c r="AL585" i="18"/>
  <c r="G69" i="25" s="1"/>
  <c r="AL597" i="18"/>
  <c r="G81" i="25" s="1"/>
  <c r="AL609" i="18"/>
  <c r="H73" i="25"/>
  <c r="H85" i="25"/>
  <c r="AL598" i="18"/>
  <c r="G82" i="25" s="1"/>
  <c r="AK584" i="18"/>
  <c r="F68" i="25" s="1"/>
  <c r="AK596" i="18"/>
  <c r="F80" i="25" s="1"/>
  <c r="AK608" i="18"/>
  <c r="AL587" i="18"/>
  <c r="G71" i="25" s="1"/>
  <c r="AL599" i="18"/>
  <c r="G83" i="25" s="1"/>
  <c r="AL611" i="18"/>
  <c r="H75" i="25"/>
  <c r="H87" i="25"/>
  <c r="AK585" i="18"/>
  <c r="F69" i="25" s="1"/>
  <c r="AK597" i="18"/>
  <c r="F81" i="25" s="1"/>
  <c r="AK609" i="18"/>
  <c r="AL588" i="18"/>
  <c r="G72" i="25" s="1"/>
  <c r="AL600" i="18"/>
  <c r="G84" i="25" s="1"/>
  <c r="AL612" i="18"/>
  <c r="H76" i="25"/>
  <c r="H88" i="25"/>
  <c r="AL610" i="18"/>
  <c r="AK586" i="18"/>
  <c r="F70" i="25" s="1"/>
  <c r="AK598" i="18"/>
  <c r="F82" i="25" s="1"/>
  <c r="AK610" i="18"/>
  <c r="AL589" i="18"/>
  <c r="G73" i="25" s="1"/>
  <c r="AL601" i="18"/>
  <c r="G85" i="25" s="1"/>
  <c r="H65" i="25"/>
  <c r="H77" i="25"/>
  <c r="H89" i="25"/>
  <c r="AK587" i="18"/>
  <c r="F71" i="25" s="1"/>
  <c r="AK599" i="18"/>
  <c r="F83" i="25" s="1"/>
  <c r="AK611" i="18"/>
  <c r="AL590" i="18"/>
  <c r="G74" i="25" s="1"/>
  <c r="H66" i="25"/>
  <c r="H78" i="25"/>
  <c r="AK588" i="18"/>
  <c r="F72" i="25" s="1"/>
  <c r="AK600" i="18"/>
  <c r="F84" i="25" s="1"/>
  <c r="AK612" i="18"/>
  <c r="AL591" i="18"/>
  <c r="G75" i="25" s="1"/>
  <c r="AL603" i="18"/>
  <c r="G87" i="25" s="1"/>
  <c r="H67" i="25"/>
  <c r="H79" i="25"/>
  <c r="AK589" i="18"/>
  <c r="F73" i="25" s="1"/>
  <c r="AK601" i="18"/>
  <c r="F85" i="25" s="1"/>
  <c r="AL592" i="18"/>
  <c r="G76" i="25" s="1"/>
  <c r="AL604" i="18"/>
  <c r="G88" i="25" s="1"/>
  <c r="H68" i="25"/>
  <c r="H80" i="25"/>
  <c r="AK590" i="18"/>
  <c r="F74" i="25" s="1"/>
  <c r="G65" i="25"/>
  <c r="AL593" i="18"/>
  <c r="G77" i="25" s="1"/>
  <c r="AL605" i="18"/>
  <c r="G89" i="25" s="1"/>
  <c r="H69" i="25"/>
  <c r="H81" i="25"/>
  <c r="AC613" i="18"/>
  <c r="B65" i="25"/>
  <c r="AE589" i="18"/>
  <c r="B73" i="25" s="1"/>
  <c r="AE597" i="18"/>
  <c r="B81" i="25" s="1"/>
  <c r="AE605" i="18"/>
  <c r="B89" i="25" s="1"/>
  <c r="AF589" i="18"/>
  <c r="AF597" i="18"/>
  <c r="AF605" i="18"/>
  <c r="D65" i="25"/>
  <c r="AG589" i="18"/>
  <c r="AG597" i="18"/>
  <c r="AG605" i="18"/>
  <c r="AE582" i="18"/>
  <c r="B66" i="25" s="1"/>
  <c r="AE590" i="18"/>
  <c r="B74" i="25" s="1"/>
  <c r="AE598" i="18"/>
  <c r="B82" i="25" s="1"/>
  <c r="AE606" i="18"/>
  <c r="AF582" i="18"/>
  <c r="AF590" i="18"/>
  <c r="AF598" i="18"/>
  <c r="AF606" i="18"/>
  <c r="AG582" i="18"/>
  <c r="AG590" i="18"/>
  <c r="AG598" i="18"/>
  <c r="AG606" i="18"/>
  <c r="AE583" i="18"/>
  <c r="B67" i="25" s="1"/>
  <c r="AE591" i="18"/>
  <c r="B75" i="25" s="1"/>
  <c r="AE599" i="18"/>
  <c r="B83" i="25" s="1"/>
  <c r="AE607" i="18"/>
  <c r="AF583" i="18"/>
  <c r="AF591" i="18"/>
  <c r="AF599" i="18"/>
  <c r="AF607" i="18"/>
  <c r="AG583" i="18"/>
  <c r="AG591" i="18"/>
  <c r="AG599" i="18"/>
  <c r="AG607" i="18"/>
  <c r="AE584" i="18"/>
  <c r="B68" i="25" s="1"/>
  <c r="AE592" i="18"/>
  <c r="B76" i="25" s="1"/>
  <c r="AE600" i="18"/>
  <c r="B84" i="25" s="1"/>
  <c r="AE608" i="18"/>
  <c r="AF584" i="18"/>
  <c r="AF592" i="18"/>
  <c r="AF600" i="18"/>
  <c r="AF608" i="18"/>
  <c r="AG584" i="18"/>
  <c r="AG592" i="18"/>
  <c r="AG600" i="18"/>
  <c r="AG608" i="18"/>
  <c r="AE585" i="18"/>
  <c r="B69" i="25" s="1"/>
  <c r="AE593" i="18"/>
  <c r="B77" i="25" s="1"/>
  <c r="AE601" i="18"/>
  <c r="B85" i="25" s="1"/>
  <c r="AE609" i="18"/>
  <c r="AF585" i="18"/>
  <c r="AF593" i="18"/>
  <c r="AF601" i="18"/>
  <c r="AF609" i="18"/>
  <c r="AG585" i="18"/>
  <c r="AG593" i="18"/>
  <c r="AG601" i="18"/>
  <c r="AG609" i="18"/>
  <c r="AE586" i="18"/>
  <c r="B70" i="25" s="1"/>
  <c r="AE594" i="18"/>
  <c r="B78" i="25" s="1"/>
  <c r="AE610" i="18"/>
  <c r="AF586" i="18"/>
  <c r="AF594" i="18"/>
  <c r="AF610" i="18"/>
  <c r="AG586" i="18"/>
  <c r="AG594" i="18"/>
  <c r="AG610" i="18"/>
  <c r="AE587" i="18"/>
  <c r="B71" i="25" s="1"/>
  <c r="AE595" i="18"/>
  <c r="B79" i="25" s="1"/>
  <c r="AE603" i="18"/>
  <c r="B87" i="25" s="1"/>
  <c r="AE611" i="18"/>
  <c r="AF587" i="18"/>
  <c r="AF595" i="18"/>
  <c r="AF603" i="18"/>
  <c r="AF611" i="18"/>
  <c r="AG587" i="18"/>
  <c r="AG595" i="18"/>
  <c r="AG603" i="18"/>
  <c r="AG611" i="18"/>
  <c r="AE588" i="18"/>
  <c r="B72" i="25" s="1"/>
  <c r="AE596" i="18"/>
  <c r="B80" i="25" s="1"/>
  <c r="AE604" i="18"/>
  <c r="B88" i="25" s="1"/>
  <c r="AE612" i="18"/>
  <c r="AF588" i="18"/>
  <c r="AF596" i="18"/>
  <c r="AF604" i="18"/>
  <c r="AF612" i="18"/>
  <c r="AG588" i="18"/>
  <c r="AG596" i="18"/>
  <c r="AG604" i="18"/>
  <c r="AG612" i="18"/>
  <c r="AN588" i="18" l="1"/>
  <c r="I72" i="25" s="1"/>
  <c r="D72" i="25"/>
  <c r="AN600" i="18"/>
  <c r="I84" i="25" s="1"/>
  <c r="D84" i="25"/>
  <c r="AN583" i="18"/>
  <c r="I67" i="25" s="1"/>
  <c r="D67" i="25"/>
  <c r="AN594" i="18"/>
  <c r="I78" i="25" s="1"/>
  <c r="D78" i="25"/>
  <c r="AN592" i="18"/>
  <c r="I76" i="25" s="1"/>
  <c r="D76" i="25"/>
  <c r="AN603" i="18"/>
  <c r="I87" i="25" s="1"/>
  <c r="D87" i="25"/>
  <c r="AN586" i="18"/>
  <c r="I70" i="25" s="1"/>
  <c r="D70" i="25"/>
  <c r="AN584" i="18"/>
  <c r="I68" i="25" s="1"/>
  <c r="D68" i="25"/>
  <c r="AN605" i="18"/>
  <c r="I89" i="25" s="1"/>
  <c r="D89" i="25"/>
  <c r="AN595" i="18"/>
  <c r="I79" i="25" s="1"/>
  <c r="D79" i="25"/>
  <c r="AN597" i="18"/>
  <c r="I81" i="25" s="1"/>
  <c r="D81" i="25"/>
  <c r="AN604" i="18"/>
  <c r="I88" i="25" s="1"/>
  <c r="D88" i="25"/>
  <c r="AN601" i="18"/>
  <c r="I85" i="25" s="1"/>
  <c r="D85" i="25"/>
  <c r="AN587" i="18"/>
  <c r="I71" i="25" s="1"/>
  <c r="D71" i="25"/>
  <c r="AN593" i="18"/>
  <c r="I77" i="25" s="1"/>
  <c r="D77" i="25"/>
  <c r="AN598" i="18"/>
  <c r="I82" i="25" s="1"/>
  <c r="D82" i="25"/>
  <c r="AN589" i="18"/>
  <c r="I73" i="25" s="1"/>
  <c r="D73" i="25"/>
  <c r="AN585" i="18"/>
  <c r="I69" i="25" s="1"/>
  <c r="D69" i="25"/>
  <c r="AN590" i="18"/>
  <c r="I74" i="25" s="1"/>
  <c r="D74" i="25"/>
  <c r="B90" i="25"/>
  <c r="AN596" i="18"/>
  <c r="I80" i="25" s="1"/>
  <c r="D80" i="25"/>
  <c r="AN599" i="18"/>
  <c r="I83" i="25" s="1"/>
  <c r="D83" i="25"/>
  <c r="AN582" i="18"/>
  <c r="I66" i="25" s="1"/>
  <c r="D66" i="25"/>
  <c r="AN591" i="18"/>
  <c r="I75" i="25" s="1"/>
  <c r="D75" i="25"/>
  <c r="G90" i="25"/>
  <c r="AN612" i="18"/>
  <c r="AN581" i="18"/>
  <c r="I65" i="25" s="1"/>
  <c r="AN606" i="18"/>
  <c r="AN607" i="18"/>
  <c r="AN608" i="18"/>
  <c r="AQ613" i="18"/>
  <c r="L91" i="25" s="1"/>
  <c r="AO613" i="18"/>
  <c r="J91" i="25" s="1"/>
  <c r="AP613" i="18"/>
  <c r="K91" i="25" s="1"/>
  <c r="AN609" i="18"/>
  <c r="AN611" i="18"/>
  <c r="AN610" i="18"/>
  <c r="M23" i="22" l="1"/>
  <c r="I16" i="22" s="1"/>
  <c r="J16" i="22" s="1"/>
  <c r="L23" i="22"/>
  <c r="D57" i="22" l="1"/>
  <c r="E57" i="22" s="1"/>
  <c r="D85" i="22"/>
  <c r="E85" i="22" s="1"/>
  <c r="E29" i="22"/>
  <c r="D15" i="22"/>
  <c r="E15" i="22" s="1"/>
  <c r="D43" i="22"/>
  <c r="E43" i="22" s="1"/>
  <c r="D71" i="22"/>
  <c r="E71" i="22" s="1"/>
  <c r="D83" i="22"/>
  <c r="D69" i="22"/>
  <c r="D55" i="22"/>
  <c r="D41" i="22"/>
  <c r="H17" i="22"/>
  <c r="H96" i="22" s="1"/>
  <c r="E83" i="22" l="1"/>
  <c r="D87" i="22"/>
  <c r="E87" i="22" s="1"/>
  <c r="I82" i="22" s="1"/>
  <c r="E41" i="22"/>
  <c r="D45" i="22"/>
  <c r="E45" i="22" s="1"/>
  <c r="I40" i="22" s="1"/>
  <c r="E13" i="22"/>
  <c r="D17" i="22"/>
  <c r="E17" i="22" s="1"/>
  <c r="I12" i="22" s="1"/>
  <c r="J12" i="22" s="1"/>
  <c r="E55" i="22"/>
  <c r="D59" i="22"/>
  <c r="E59" i="22" s="1"/>
  <c r="I54" i="22" s="1"/>
  <c r="E27" i="22"/>
  <c r="D31" i="22"/>
  <c r="E31" i="22" s="1"/>
  <c r="I26" i="22" s="1"/>
  <c r="E69" i="22"/>
  <c r="D73" i="22"/>
  <c r="E73" i="22" s="1"/>
  <c r="I68" i="22" s="1"/>
  <c r="J17" i="22" l="1"/>
  <c r="I73" i="22"/>
  <c r="J68" i="22"/>
  <c r="J73" i="22" s="1"/>
  <c r="I45" i="22"/>
  <c r="J40" i="22"/>
  <c r="J45" i="22" s="1"/>
  <c r="I59" i="22"/>
  <c r="J54" i="22"/>
  <c r="J59" i="22" s="1"/>
  <c r="I31" i="22"/>
  <c r="J26" i="22"/>
  <c r="J31" i="22" s="1"/>
  <c r="I87" i="22"/>
  <c r="J82" i="22"/>
  <c r="J87" i="22" s="1"/>
  <c r="J96" i="22" l="1"/>
  <c r="K87" i="22"/>
  <c r="K73" i="22"/>
  <c r="K59" i="22"/>
  <c r="K31" i="22"/>
  <c r="K45" i="22"/>
  <c r="I17" i="22"/>
  <c r="I96" i="22" l="1"/>
  <c r="K21" i="22"/>
  <c r="I17" i="20" l="1"/>
  <c r="H17" i="20"/>
  <c r="C4" i="20"/>
  <c r="X38" i="15" l="1"/>
  <c r="X35" i="15"/>
  <c r="J46" i="14"/>
  <c r="J52" i="14"/>
  <c r="K46" i="14"/>
  <c r="K52" i="14"/>
  <c r="K58" i="14"/>
  <c r="K64" i="14"/>
  <c r="K70" i="14"/>
  <c r="K76" i="14"/>
  <c r="U76" i="14" s="1"/>
  <c r="J53" i="14"/>
  <c r="J59" i="14"/>
  <c r="J65" i="14"/>
  <c r="J71" i="14"/>
  <c r="J77" i="14"/>
  <c r="K53" i="14"/>
  <c r="K59" i="14"/>
  <c r="K65" i="14"/>
  <c r="K77" i="14"/>
  <c r="U77" i="14" s="1"/>
  <c r="K68" i="14"/>
  <c r="K69" i="14"/>
  <c r="J47" i="14"/>
  <c r="J58" i="14"/>
  <c r="K47" i="14"/>
  <c r="K71" i="14"/>
  <c r="U71" i="14" s="1"/>
  <c r="J64" i="14"/>
  <c r="J48" i="14"/>
  <c r="J54" i="14"/>
  <c r="J60" i="14"/>
  <c r="J66" i="14"/>
  <c r="J72" i="14"/>
  <c r="K54" i="14"/>
  <c r="K60" i="14"/>
  <c r="K66" i="14"/>
  <c r="K72" i="14"/>
  <c r="U72" i="14" s="1"/>
  <c r="J68" i="14"/>
  <c r="K62" i="14"/>
  <c r="J63" i="14"/>
  <c r="K75" i="14"/>
  <c r="U75" i="14" s="1"/>
  <c r="J70" i="14"/>
  <c r="K48" i="14"/>
  <c r="J69" i="14"/>
  <c r="J49" i="14"/>
  <c r="J55" i="14"/>
  <c r="J61" i="14"/>
  <c r="J67" i="14"/>
  <c r="J73" i="14"/>
  <c r="K55" i="14"/>
  <c r="K61" i="14"/>
  <c r="K67" i="14"/>
  <c r="K73" i="14"/>
  <c r="U73" i="14" s="1"/>
  <c r="J56" i="14"/>
  <c r="J62" i="14"/>
  <c r="J74" i="14"/>
  <c r="K56" i="14"/>
  <c r="K74" i="14"/>
  <c r="U74" i="14" s="1"/>
  <c r="J75" i="14"/>
  <c r="K63" i="14"/>
  <c r="J76" i="14"/>
  <c r="K49" i="14"/>
  <c r="J50" i="14"/>
  <c r="K50" i="14"/>
  <c r="J51" i="14"/>
  <c r="J57" i="14"/>
  <c r="K51" i="14"/>
  <c r="K57" i="14"/>
  <c r="D5" i="25"/>
  <c r="P75" i="15"/>
  <c r="Y75" i="15" s="1"/>
  <c r="P67" i="15"/>
  <c r="D28" i="25" s="1"/>
  <c r="P59" i="15"/>
  <c r="D20" i="25" s="1"/>
  <c r="P51" i="15"/>
  <c r="D12" i="25" s="1"/>
  <c r="O75" i="15"/>
  <c r="O67" i="15"/>
  <c r="O59" i="15"/>
  <c r="O51" i="15"/>
  <c r="N75" i="15"/>
  <c r="N67" i="15"/>
  <c r="B28" i="25" s="1"/>
  <c r="N59" i="15"/>
  <c r="B20" i="25" s="1"/>
  <c r="N51" i="15"/>
  <c r="B12" i="25" s="1"/>
  <c r="P74" i="15"/>
  <c r="P66" i="15"/>
  <c r="D27" i="25" s="1"/>
  <c r="P58" i="15"/>
  <c r="D19" i="25" s="1"/>
  <c r="P50" i="15"/>
  <c r="D11" i="25" s="1"/>
  <c r="O74" i="15"/>
  <c r="Y74" i="15" s="1"/>
  <c r="O66" i="15"/>
  <c r="O58" i="15"/>
  <c r="O50" i="15"/>
  <c r="N74" i="15"/>
  <c r="N66" i="15"/>
  <c r="B27" i="25" s="1"/>
  <c r="N58" i="15"/>
  <c r="B19" i="25" s="1"/>
  <c r="N50" i="15"/>
  <c r="B11" i="25" s="1"/>
  <c r="P65" i="15"/>
  <c r="D26" i="25" s="1"/>
  <c r="P57" i="15"/>
  <c r="D18" i="25" s="1"/>
  <c r="P49" i="15"/>
  <c r="D10" i="25" s="1"/>
  <c r="O73" i="15"/>
  <c r="Y73" i="15" s="1"/>
  <c r="O65" i="15"/>
  <c r="O57" i="15"/>
  <c r="O49" i="15"/>
  <c r="N73" i="15"/>
  <c r="N65" i="15"/>
  <c r="B26" i="25" s="1"/>
  <c r="N57" i="15"/>
  <c r="B18" i="25" s="1"/>
  <c r="N49" i="15"/>
  <c r="B10" i="25" s="1"/>
  <c r="P64" i="15"/>
  <c r="D25" i="25" s="1"/>
  <c r="P56" i="15"/>
  <c r="D17" i="25" s="1"/>
  <c r="P48" i="15"/>
  <c r="D9" i="25" s="1"/>
  <c r="O72" i="15"/>
  <c r="Y72" i="15" s="1"/>
  <c r="O64" i="15"/>
  <c r="O56" i="15"/>
  <c r="O48" i="15"/>
  <c r="N72" i="15"/>
  <c r="N64" i="15"/>
  <c r="B25" i="25" s="1"/>
  <c r="N56" i="15"/>
  <c r="B17" i="25" s="1"/>
  <c r="N48" i="15"/>
  <c r="B9" i="25" s="1"/>
  <c r="P63" i="15"/>
  <c r="D24" i="25" s="1"/>
  <c r="P47" i="15"/>
  <c r="D8" i="25" s="1"/>
  <c r="O71" i="15"/>
  <c r="Y71" i="15" s="1"/>
  <c r="O63" i="15"/>
  <c r="O55" i="15"/>
  <c r="O47" i="15"/>
  <c r="N71" i="15"/>
  <c r="N55" i="15"/>
  <c r="B16" i="25" s="1"/>
  <c r="N47" i="15"/>
  <c r="B8" i="25" s="1"/>
  <c r="P54" i="15"/>
  <c r="D15" i="25" s="1"/>
  <c r="O70" i="15"/>
  <c r="Y70" i="15" s="1"/>
  <c r="O62" i="15"/>
  <c r="O46" i="15"/>
  <c r="N70" i="15"/>
  <c r="N54" i="15"/>
  <c r="B15" i="25" s="1"/>
  <c r="P73" i="15"/>
  <c r="P55" i="15"/>
  <c r="D16" i="25" s="1"/>
  <c r="N63" i="15"/>
  <c r="B24" i="25" s="1"/>
  <c r="P62" i="15"/>
  <c r="D23" i="25" s="1"/>
  <c r="P46" i="15"/>
  <c r="D7" i="25" s="1"/>
  <c r="O54" i="15"/>
  <c r="N62" i="15"/>
  <c r="B23" i="25" s="1"/>
  <c r="N46" i="15"/>
  <c r="B7" i="25" s="1"/>
  <c r="P72" i="15"/>
  <c r="P71" i="15"/>
  <c r="P70" i="15"/>
  <c r="P69" i="15"/>
  <c r="P61" i="15"/>
  <c r="D22" i="25" s="1"/>
  <c r="P53" i="15"/>
  <c r="D14" i="25" s="1"/>
  <c r="P45" i="15"/>
  <c r="O69" i="15"/>
  <c r="Y69" i="15" s="1"/>
  <c r="O61" i="15"/>
  <c r="O53" i="15"/>
  <c r="O45" i="15"/>
  <c r="N69" i="15"/>
  <c r="N61" i="15"/>
  <c r="B22" i="25" s="1"/>
  <c r="N53" i="15"/>
  <c r="B14" i="25" s="1"/>
  <c r="N45" i="15"/>
  <c r="P68" i="15"/>
  <c r="D29" i="25" s="1"/>
  <c r="P60" i="15"/>
  <c r="D21" i="25" s="1"/>
  <c r="P52" i="15"/>
  <c r="D13" i="25" s="1"/>
  <c r="O68" i="15"/>
  <c r="C29" i="25" s="1"/>
  <c r="O60" i="15"/>
  <c r="O52" i="15"/>
  <c r="N68" i="15"/>
  <c r="B29" i="25" s="1"/>
  <c r="N60" i="15"/>
  <c r="B21" i="25" s="1"/>
  <c r="N52" i="15"/>
  <c r="B13" i="25" s="1"/>
  <c r="G7" i="25"/>
  <c r="G15" i="25"/>
  <c r="G23" i="25"/>
  <c r="H7" i="25"/>
  <c r="H15" i="25"/>
  <c r="H23" i="25"/>
  <c r="G8" i="25"/>
  <c r="G16" i="25"/>
  <c r="G24" i="25"/>
  <c r="H8" i="25"/>
  <c r="H16" i="25"/>
  <c r="H24" i="25"/>
  <c r="G9" i="25"/>
  <c r="G17" i="25"/>
  <c r="G25" i="25"/>
  <c r="H9" i="25"/>
  <c r="H17" i="25"/>
  <c r="H25" i="25"/>
  <c r="G10" i="25"/>
  <c r="G18" i="25"/>
  <c r="G26" i="25"/>
  <c r="H10" i="25"/>
  <c r="H18" i="25"/>
  <c r="H26" i="25"/>
  <c r="G11" i="25"/>
  <c r="G19" i="25"/>
  <c r="G27" i="25"/>
  <c r="S74" i="15"/>
  <c r="H11" i="25"/>
  <c r="H19" i="25"/>
  <c r="H27" i="25"/>
  <c r="R75" i="15"/>
  <c r="G12" i="25"/>
  <c r="G20" i="25"/>
  <c r="G28" i="25"/>
  <c r="S75" i="15"/>
  <c r="H12" i="25"/>
  <c r="H20" i="25"/>
  <c r="H28" i="25"/>
  <c r="T75" i="15"/>
  <c r="G5" i="25"/>
  <c r="G13" i="25"/>
  <c r="G21" i="25"/>
  <c r="G29" i="25"/>
  <c r="H5" i="25"/>
  <c r="H13" i="25"/>
  <c r="H21" i="25"/>
  <c r="H29" i="25"/>
  <c r="G14" i="25"/>
  <c r="G22" i="25"/>
  <c r="H14" i="25"/>
  <c r="H22" i="25"/>
  <c r="P46" i="14"/>
  <c r="H35" i="25" s="1"/>
  <c r="P77" i="14"/>
  <c r="L62" i="14"/>
  <c r="O62" i="14"/>
  <c r="G51" i="25" s="1"/>
  <c r="P70" i="14"/>
  <c r="H59" i="25" s="1"/>
  <c r="L47" i="14"/>
  <c r="L55" i="14"/>
  <c r="L63" i="14"/>
  <c r="L71" i="14"/>
  <c r="N47" i="14"/>
  <c r="F36" i="25" s="1"/>
  <c r="N55" i="14"/>
  <c r="F44" i="25" s="1"/>
  <c r="N63" i="14"/>
  <c r="F52" i="25" s="1"/>
  <c r="N71" i="14"/>
  <c r="O47" i="14"/>
  <c r="G36" i="25" s="1"/>
  <c r="O55" i="14"/>
  <c r="G44" i="25" s="1"/>
  <c r="O63" i="14"/>
  <c r="G52" i="25" s="1"/>
  <c r="O71" i="14"/>
  <c r="P47" i="14"/>
  <c r="H36" i="25" s="1"/>
  <c r="P55" i="14"/>
  <c r="H44" i="25" s="1"/>
  <c r="P63" i="14"/>
  <c r="H52" i="25" s="1"/>
  <c r="P71" i="14"/>
  <c r="L54" i="14"/>
  <c r="N62" i="14"/>
  <c r="F51" i="25" s="1"/>
  <c r="P62" i="14"/>
  <c r="H51" i="25" s="1"/>
  <c r="L48" i="14"/>
  <c r="L56" i="14"/>
  <c r="L64" i="14"/>
  <c r="L72" i="14"/>
  <c r="N48" i="14"/>
  <c r="F37" i="25" s="1"/>
  <c r="N56" i="14"/>
  <c r="F45" i="25" s="1"/>
  <c r="N64" i="14"/>
  <c r="F53" i="25" s="1"/>
  <c r="N72" i="14"/>
  <c r="O48" i="14"/>
  <c r="G37" i="25" s="1"/>
  <c r="O56" i="14"/>
  <c r="G45" i="25" s="1"/>
  <c r="O64" i="14"/>
  <c r="G53" i="25" s="1"/>
  <c r="O72" i="14"/>
  <c r="P48" i="14"/>
  <c r="H37" i="25" s="1"/>
  <c r="P56" i="14"/>
  <c r="H45" i="25" s="1"/>
  <c r="P64" i="14"/>
  <c r="H53" i="25" s="1"/>
  <c r="P72" i="14"/>
  <c r="L49" i="14"/>
  <c r="L57" i="14"/>
  <c r="L65" i="14"/>
  <c r="L73" i="14"/>
  <c r="N49" i="14"/>
  <c r="F38" i="25" s="1"/>
  <c r="N57" i="14"/>
  <c r="F46" i="25" s="1"/>
  <c r="N65" i="14"/>
  <c r="F54" i="25" s="1"/>
  <c r="N73" i="14"/>
  <c r="O49" i="14"/>
  <c r="G38" i="25" s="1"/>
  <c r="O57" i="14"/>
  <c r="G46" i="25" s="1"/>
  <c r="O65" i="14"/>
  <c r="G54" i="25" s="1"/>
  <c r="O73" i="14"/>
  <c r="P49" i="14"/>
  <c r="H38" i="25" s="1"/>
  <c r="P57" i="14"/>
  <c r="H46" i="25" s="1"/>
  <c r="P65" i="14"/>
  <c r="H54" i="25" s="1"/>
  <c r="P73" i="14"/>
  <c r="N54" i="14"/>
  <c r="F43" i="25" s="1"/>
  <c r="L50" i="14"/>
  <c r="L58" i="14"/>
  <c r="L66" i="14"/>
  <c r="L74" i="14"/>
  <c r="N50" i="14"/>
  <c r="F39" i="25" s="1"/>
  <c r="N58" i="14"/>
  <c r="F47" i="25" s="1"/>
  <c r="N66" i="14"/>
  <c r="F55" i="25" s="1"/>
  <c r="N74" i="14"/>
  <c r="O50" i="14"/>
  <c r="G39" i="25" s="1"/>
  <c r="O58" i="14"/>
  <c r="G47" i="25" s="1"/>
  <c r="O66" i="14"/>
  <c r="G55" i="25" s="1"/>
  <c r="O74" i="14"/>
  <c r="P50" i="14"/>
  <c r="H39" i="25" s="1"/>
  <c r="P58" i="14"/>
  <c r="H47" i="25" s="1"/>
  <c r="P66" i="14"/>
  <c r="H55" i="25" s="1"/>
  <c r="P74" i="14"/>
  <c r="L70" i="14"/>
  <c r="O54" i="14"/>
  <c r="G43" i="25" s="1"/>
  <c r="O70" i="14"/>
  <c r="G59" i="25" s="1"/>
  <c r="L51" i="14"/>
  <c r="L59" i="14"/>
  <c r="L67" i="14"/>
  <c r="L75" i="14"/>
  <c r="N51" i="14"/>
  <c r="F40" i="25" s="1"/>
  <c r="N59" i="14"/>
  <c r="F48" i="25" s="1"/>
  <c r="N67" i="14"/>
  <c r="F56" i="25" s="1"/>
  <c r="N75" i="14"/>
  <c r="O51" i="14"/>
  <c r="G40" i="25" s="1"/>
  <c r="O59" i="14"/>
  <c r="G48" i="25" s="1"/>
  <c r="O67" i="14"/>
  <c r="G56" i="25" s="1"/>
  <c r="O75" i="14"/>
  <c r="P51" i="14"/>
  <c r="H40" i="25" s="1"/>
  <c r="P59" i="14"/>
  <c r="H48" i="25" s="1"/>
  <c r="P67" i="14"/>
  <c r="H56" i="25" s="1"/>
  <c r="P75" i="14"/>
  <c r="L46" i="14"/>
  <c r="N70" i="14"/>
  <c r="F59" i="25" s="1"/>
  <c r="P54" i="14"/>
  <c r="H43" i="25" s="1"/>
  <c r="L52" i="14"/>
  <c r="L60" i="14"/>
  <c r="L68" i="14"/>
  <c r="L76" i="14"/>
  <c r="N52" i="14"/>
  <c r="F41" i="25" s="1"/>
  <c r="N60" i="14"/>
  <c r="F49" i="25" s="1"/>
  <c r="N68" i="14"/>
  <c r="F57" i="25" s="1"/>
  <c r="N76" i="14"/>
  <c r="O52" i="14"/>
  <c r="G41" i="25" s="1"/>
  <c r="O60" i="14"/>
  <c r="G49" i="25" s="1"/>
  <c r="O68" i="14"/>
  <c r="G57" i="25" s="1"/>
  <c r="O76" i="14"/>
  <c r="P52" i="14"/>
  <c r="H41" i="25" s="1"/>
  <c r="P60" i="14"/>
  <c r="H49" i="25" s="1"/>
  <c r="P68" i="14"/>
  <c r="H57" i="25" s="1"/>
  <c r="P76" i="14"/>
  <c r="O46" i="14"/>
  <c r="G35" i="25" s="1"/>
  <c r="L53" i="14"/>
  <c r="L61" i="14"/>
  <c r="L69" i="14"/>
  <c r="L77" i="14"/>
  <c r="N53" i="14"/>
  <c r="F42" i="25" s="1"/>
  <c r="N61" i="14"/>
  <c r="F50" i="25" s="1"/>
  <c r="N69" i="14"/>
  <c r="F58" i="25" s="1"/>
  <c r="N77" i="14"/>
  <c r="O53" i="14"/>
  <c r="G42" i="25" s="1"/>
  <c r="O61" i="14"/>
  <c r="G50" i="25" s="1"/>
  <c r="O69" i="14"/>
  <c r="G58" i="25" s="1"/>
  <c r="O77" i="14"/>
  <c r="P53" i="14"/>
  <c r="H42" i="25" s="1"/>
  <c r="P61" i="14"/>
  <c r="H50" i="25" s="1"/>
  <c r="P69" i="14"/>
  <c r="H58" i="25" s="1"/>
  <c r="G34" i="24" l="1"/>
  <c r="G26" i="24"/>
  <c r="G201" i="25"/>
  <c r="O201" i="25" s="1"/>
  <c r="G232" i="25" s="1"/>
  <c r="F26" i="24"/>
  <c r="G193" i="25"/>
  <c r="O193" i="25" s="1"/>
  <c r="G224" i="25" s="1"/>
  <c r="F18" i="24"/>
  <c r="G204" i="25"/>
  <c r="O204" i="25" s="1"/>
  <c r="G235" i="25" s="1"/>
  <c r="F29" i="24"/>
  <c r="N76" i="15"/>
  <c r="H23" i="20" s="1"/>
  <c r="G209" i="25"/>
  <c r="O209" i="25" s="1"/>
  <c r="G240" i="25" s="1"/>
  <c r="F34" i="24"/>
  <c r="H201" i="25"/>
  <c r="P201" i="25" s="1"/>
  <c r="H232" i="25" s="1"/>
  <c r="H209" i="25"/>
  <c r="P209" i="25" s="1"/>
  <c r="H240" i="25" s="1"/>
  <c r="G203" i="25"/>
  <c r="O203" i="25" s="1"/>
  <c r="O76" i="15"/>
  <c r="H6" i="25"/>
  <c r="T76" i="15"/>
  <c r="K23" i="20" s="1"/>
  <c r="R76" i="15"/>
  <c r="G6" i="25"/>
  <c r="S76" i="15"/>
  <c r="B6" i="25"/>
  <c r="D6" i="25"/>
  <c r="P76" i="15"/>
  <c r="H210" i="25"/>
  <c r="P210" i="25" s="1"/>
  <c r="H241" i="25" s="1"/>
  <c r="G196" i="25"/>
  <c r="O196" i="25" s="1"/>
  <c r="G195" i="25"/>
  <c r="O195" i="25" s="1"/>
  <c r="G28" i="24"/>
  <c r="G37" i="24"/>
  <c r="G214" i="25"/>
  <c r="O214" i="25" s="1"/>
  <c r="G207" i="25"/>
  <c r="O207" i="25" s="1"/>
  <c r="G24" i="24"/>
  <c r="G18" i="24"/>
  <c r="G192" i="25"/>
  <c r="O192" i="25" s="1"/>
  <c r="G31" i="24"/>
  <c r="G27" i="24"/>
  <c r="H208" i="25"/>
  <c r="P208" i="25" s="1"/>
  <c r="G199" i="25"/>
  <c r="O199" i="25" s="1"/>
  <c r="G190" i="25"/>
  <c r="G38" i="24"/>
  <c r="G17" i="24"/>
  <c r="G29" i="24"/>
  <c r="H196" i="25"/>
  <c r="P196" i="25" s="1"/>
  <c r="G202" i="25"/>
  <c r="O202" i="25" s="1"/>
  <c r="G197" i="25"/>
  <c r="O197" i="25" s="1"/>
  <c r="G212" i="25"/>
  <c r="O212" i="25" s="1"/>
  <c r="G208" i="25"/>
  <c r="O208" i="25" s="1"/>
  <c r="G23" i="24"/>
  <c r="G211" i="25"/>
  <c r="O211" i="25" s="1"/>
  <c r="G205" i="25"/>
  <c r="O205" i="25" s="1"/>
  <c r="G194" i="25"/>
  <c r="O194" i="25" s="1"/>
  <c r="G32" i="24"/>
  <c r="G30" i="24"/>
  <c r="H197" i="25"/>
  <c r="P197" i="25" s="1"/>
  <c r="G19" i="24"/>
  <c r="H200" i="25"/>
  <c r="P200" i="25" s="1"/>
  <c r="G39" i="24"/>
  <c r="G210" i="25"/>
  <c r="O210" i="25" s="1"/>
  <c r="G206" i="25"/>
  <c r="O206" i="25" s="1"/>
  <c r="G198" i="25"/>
  <c r="O198" i="25" s="1"/>
  <c r="G20" i="24"/>
  <c r="G15" i="24"/>
  <c r="U57" i="14"/>
  <c r="U63" i="14"/>
  <c r="U67" i="14"/>
  <c r="U66" i="14"/>
  <c r="U65" i="14"/>
  <c r="U51" i="14"/>
  <c r="U61" i="14"/>
  <c r="U48" i="14"/>
  <c r="U60" i="14"/>
  <c r="U59" i="14"/>
  <c r="U70" i="14"/>
  <c r="U55" i="14"/>
  <c r="U54" i="14"/>
  <c r="U47" i="14"/>
  <c r="U53" i="14"/>
  <c r="U64" i="14"/>
  <c r="U56" i="14"/>
  <c r="U58" i="14"/>
  <c r="U50" i="14"/>
  <c r="U52" i="14"/>
  <c r="U62" i="14"/>
  <c r="U69" i="14"/>
  <c r="U46" i="14"/>
  <c r="U49" i="14"/>
  <c r="U68" i="14"/>
  <c r="Q77" i="14"/>
  <c r="U69" i="15"/>
  <c r="C8" i="25"/>
  <c r="Y47" i="15"/>
  <c r="M8" i="25" s="1"/>
  <c r="C11" i="25"/>
  <c r="Y50" i="15"/>
  <c r="M11" i="25" s="1"/>
  <c r="C5" i="25"/>
  <c r="Y44" i="15"/>
  <c r="M5" i="25" s="1"/>
  <c r="C15" i="25"/>
  <c r="Y54" i="15"/>
  <c r="M15" i="25" s="1"/>
  <c r="C7" i="25"/>
  <c r="Y46" i="15"/>
  <c r="M7" i="25" s="1"/>
  <c r="C16" i="25"/>
  <c r="Y55" i="15"/>
  <c r="M16" i="25" s="1"/>
  <c r="Y58" i="15"/>
  <c r="M19" i="25" s="1"/>
  <c r="C19" i="25"/>
  <c r="C13" i="25"/>
  <c r="Y52" i="15"/>
  <c r="M13" i="25" s="1"/>
  <c r="C23" i="25"/>
  <c r="Y62" i="15"/>
  <c r="M23" i="25" s="1"/>
  <c r="C24" i="25"/>
  <c r="Y63" i="15"/>
  <c r="M24" i="25" s="1"/>
  <c r="Y48" i="15"/>
  <c r="M9" i="25" s="1"/>
  <c r="C9" i="25"/>
  <c r="C27" i="25"/>
  <c r="Y66" i="15"/>
  <c r="M27" i="25" s="1"/>
  <c r="Y60" i="15"/>
  <c r="M21" i="25" s="1"/>
  <c r="C21" i="25"/>
  <c r="Y56" i="15"/>
  <c r="M17" i="25" s="1"/>
  <c r="C17" i="25"/>
  <c r="Y68" i="15"/>
  <c r="M29" i="25" s="1"/>
  <c r="C6" i="25"/>
  <c r="Y45" i="15"/>
  <c r="M6" i="25" s="1"/>
  <c r="Y64" i="15"/>
  <c r="M25" i="25" s="1"/>
  <c r="C25" i="25"/>
  <c r="C12" i="25"/>
  <c r="Y51" i="15"/>
  <c r="M12" i="25" s="1"/>
  <c r="C14" i="25"/>
  <c r="Y53" i="15"/>
  <c r="M14" i="25" s="1"/>
  <c r="C10" i="25"/>
  <c r="Y49" i="15"/>
  <c r="M10" i="25" s="1"/>
  <c r="C20" i="25"/>
  <c r="Y59" i="15"/>
  <c r="M20" i="25" s="1"/>
  <c r="U71" i="15"/>
  <c r="C22" i="25"/>
  <c r="Y61" i="15"/>
  <c r="M22" i="25" s="1"/>
  <c r="C18" i="25"/>
  <c r="Y57" i="15"/>
  <c r="M18" i="25" s="1"/>
  <c r="C28" i="25"/>
  <c r="Y67" i="15"/>
  <c r="M28" i="25" s="1"/>
  <c r="C26" i="25"/>
  <c r="Y65" i="15"/>
  <c r="M26" i="25" s="1"/>
  <c r="F10" i="25"/>
  <c r="U49" i="15"/>
  <c r="I10" i="25" s="1"/>
  <c r="F6" i="25"/>
  <c r="U45" i="15"/>
  <c r="F12" i="25"/>
  <c r="U51" i="15"/>
  <c r="I12" i="25" s="1"/>
  <c r="U70" i="15"/>
  <c r="F16" i="25"/>
  <c r="U55" i="15"/>
  <c r="I16" i="25" s="1"/>
  <c r="F8" i="25"/>
  <c r="U47" i="15"/>
  <c r="I8" i="25" s="1"/>
  <c r="U74" i="15"/>
  <c r="U72" i="15"/>
  <c r="F21" i="25"/>
  <c r="U60" i="15"/>
  <c r="I21" i="25" s="1"/>
  <c r="U66" i="15"/>
  <c r="I27" i="25" s="1"/>
  <c r="F27" i="25"/>
  <c r="F25" i="25"/>
  <c r="U64" i="15"/>
  <c r="I25" i="25" s="1"/>
  <c r="F23" i="25"/>
  <c r="U62" i="15"/>
  <c r="I23" i="25" s="1"/>
  <c r="U59" i="15"/>
  <c r="I20" i="25" s="1"/>
  <c r="F20" i="25"/>
  <c r="U52" i="15"/>
  <c r="I13" i="25" s="1"/>
  <c r="F13" i="25"/>
  <c r="U58" i="15"/>
  <c r="I19" i="25" s="1"/>
  <c r="F19" i="25"/>
  <c r="F17" i="25"/>
  <c r="U56" i="15"/>
  <c r="I17" i="25" s="1"/>
  <c r="F15" i="25"/>
  <c r="U54" i="15"/>
  <c r="I15" i="25" s="1"/>
  <c r="U53" i="15"/>
  <c r="I14" i="25" s="1"/>
  <c r="F14" i="25"/>
  <c r="U57" i="15"/>
  <c r="I18" i="25" s="1"/>
  <c r="F18" i="25"/>
  <c r="F29" i="25"/>
  <c r="U68" i="15"/>
  <c r="I29" i="25" s="1"/>
  <c r="F5" i="25"/>
  <c r="F11" i="25"/>
  <c r="U50" i="15"/>
  <c r="I11" i="25" s="1"/>
  <c r="U48" i="15"/>
  <c r="I9" i="25" s="1"/>
  <c r="F9" i="25"/>
  <c r="F7" i="25"/>
  <c r="U46" i="15"/>
  <c r="I7" i="25" s="1"/>
  <c r="U75" i="15"/>
  <c r="U73" i="15"/>
  <c r="U61" i="15"/>
  <c r="I22" i="25" s="1"/>
  <c r="F22" i="25"/>
  <c r="U67" i="15"/>
  <c r="I28" i="25" s="1"/>
  <c r="F28" i="25"/>
  <c r="F26" i="25"/>
  <c r="U65" i="15"/>
  <c r="I26" i="25" s="1"/>
  <c r="F24" i="25"/>
  <c r="U63" i="15"/>
  <c r="I24" i="25" s="1"/>
  <c r="Q51" i="14"/>
  <c r="Q46" i="14"/>
  <c r="Q61" i="14"/>
  <c r="Q76" i="14"/>
  <c r="Q58" i="14"/>
  <c r="Q65" i="14"/>
  <c r="Q64" i="14"/>
  <c r="Q62" i="14"/>
  <c r="Q72" i="14"/>
  <c r="Q53" i="14"/>
  <c r="Q68" i="14"/>
  <c r="Q70" i="14"/>
  <c r="Q50" i="14"/>
  <c r="Q57" i="14"/>
  <c r="Q56" i="14"/>
  <c r="Q49" i="14"/>
  <c r="Q48" i="14"/>
  <c r="Q71" i="14"/>
  <c r="Q66" i="14"/>
  <c r="Q52" i="14"/>
  <c r="Q63" i="14"/>
  <c r="T78" i="14"/>
  <c r="Q69" i="14"/>
  <c r="Q73" i="14"/>
  <c r="Q67" i="14"/>
  <c r="Q55" i="14"/>
  <c r="Q60" i="14"/>
  <c r="Q75" i="14"/>
  <c r="Q59" i="14"/>
  <c r="Q47" i="14"/>
  <c r="Q74" i="14"/>
  <c r="Q54" i="14"/>
  <c r="K78" i="14"/>
  <c r="J78" i="14"/>
  <c r="AE613" i="18"/>
  <c r="H25" i="20" s="1"/>
  <c r="AF602" i="18"/>
  <c r="AF613" i="18" s="1"/>
  <c r="L78" i="14"/>
  <c r="P78" i="14"/>
  <c r="N78" i="14"/>
  <c r="O78" i="14"/>
  <c r="F190" i="25" l="1"/>
  <c r="N190" i="25" s="1"/>
  <c r="F214" i="25"/>
  <c r="N214" i="25" s="1"/>
  <c r="F245" i="25" s="1"/>
  <c r="O190" i="25"/>
  <c r="H190" i="25"/>
  <c r="P190" i="25" s="1"/>
  <c r="H30" i="20"/>
  <c r="K30" i="20"/>
  <c r="F15" i="24"/>
  <c r="H198" i="25"/>
  <c r="P198" i="25" s="1"/>
  <c r="H229" i="25" s="1"/>
  <c r="F20" i="24"/>
  <c r="J20" i="24" s="1"/>
  <c r="H192" i="25"/>
  <c r="P192" i="25" s="1"/>
  <c r="H223" i="25" s="1"/>
  <c r="F27" i="24"/>
  <c r="H199" i="25"/>
  <c r="P199" i="25" s="1"/>
  <c r="H230" i="25" s="1"/>
  <c r="F30" i="24"/>
  <c r="J30" i="24" s="1"/>
  <c r="G35" i="24"/>
  <c r="H194" i="25"/>
  <c r="P194" i="25" s="1"/>
  <c r="H225" i="25" s="1"/>
  <c r="H202" i="25"/>
  <c r="P202" i="25" s="1"/>
  <c r="H233" i="25" s="1"/>
  <c r="F35" i="24"/>
  <c r="H212" i="25"/>
  <c r="P212" i="25" s="1"/>
  <c r="H243" i="25" s="1"/>
  <c r="F24" i="24"/>
  <c r="G33" i="24"/>
  <c r="G25" i="24"/>
  <c r="H214" i="25"/>
  <c r="P214" i="25" s="1"/>
  <c r="H245" i="25" s="1"/>
  <c r="H193" i="25"/>
  <c r="P193" i="25" s="1"/>
  <c r="H224" i="25" s="1"/>
  <c r="H195" i="25"/>
  <c r="P195" i="25" s="1"/>
  <c r="H226" i="25" s="1"/>
  <c r="F23" i="24"/>
  <c r="F37" i="24"/>
  <c r="J37" i="24" s="1"/>
  <c r="F31" i="24"/>
  <c r="F19" i="24"/>
  <c r="G21" i="24"/>
  <c r="G223" i="25"/>
  <c r="G16" i="24"/>
  <c r="H204" i="25"/>
  <c r="P204" i="25" s="1"/>
  <c r="H235" i="25" s="1"/>
  <c r="H213" i="25"/>
  <c r="P213" i="25" s="1"/>
  <c r="H244" i="25" s="1"/>
  <c r="F21" i="24"/>
  <c r="J21" i="24" s="1"/>
  <c r="G22" i="24"/>
  <c r="H206" i="25"/>
  <c r="P206" i="25" s="1"/>
  <c r="H237" i="25" s="1"/>
  <c r="F25" i="24"/>
  <c r="F32" i="24"/>
  <c r="J32" i="24" s="1"/>
  <c r="F38" i="24"/>
  <c r="F28" i="24"/>
  <c r="J28" i="24" s="1"/>
  <c r="F36" i="24"/>
  <c r="H205" i="25"/>
  <c r="P205" i="25" s="1"/>
  <c r="H236" i="25" s="1"/>
  <c r="F22" i="24"/>
  <c r="G200" i="25"/>
  <c r="O200" i="25" s="1"/>
  <c r="G213" i="25"/>
  <c r="O213" i="25" s="1"/>
  <c r="G244" i="25" s="1"/>
  <c r="G234" i="25"/>
  <c r="H207" i="25"/>
  <c r="P207" i="25" s="1"/>
  <c r="H238" i="25" s="1"/>
  <c r="H203" i="25"/>
  <c r="P203" i="25" s="1"/>
  <c r="H234" i="25" s="1"/>
  <c r="F33" i="24"/>
  <c r="F39" i="24"/>
  <c r="J39" i="24" s="1"/>
  <c r="F17" i="24"/>
  <c r="J17" i="24" s="1"/>
  <c r="G238" i="25"/>
  <c r="G227" i="25"/>
  <c r="G243" i="25"/>
  <c r="E15" i="24"/>
  <c r="G226" i="25"/>
  <c r="E39" i="24"/>
  <c r="F213" i="25"/>
  <c r="N213" i="25" s="1"/>
  <c r="F244" i="25" s="1"/>
  <c r="E38" i="24"/>
  <c r="F203" i="25"/>
  <c r="N203" i="25" s="1"/>
  <c r="F234" i="25" s="1"/>
  <c r="E28" i="24"/>
  <c r="F202" i="25"/>
  <c r="N202" i="25" s="1"/>
  <c r="F233" i="25" s="1"/>
  <c r="E27" i="24"/>
  <c r="F208" i="25"/>
  <c r="N208" i="25" s="1"/>
  <c r="F239" i="25" s="1"/>
  <c r="E33" i="24"/>
  <c r="F206" i="25"/>
  <c r="N206" i="25" s="1"/>
  <c r="F237" i="25" s="1"/>
  <c r="E31" i="24"/>
  <c r="F209" i="25"/>
  <c r="N209" i="25" s="1"/>
  <c r="F240" i="25" s="1"/>
  <c r="J240" i="25" s="1"/>
  <c r="E34" i="24"/>
  <c r="H34" i="24" s="1"/>
  <c r="F192" i="25"/>
  <c r="N192" i="25" s="1"/>
  <c r="F223" i="25" s="1"/>
  <c r="E17" i="24"/>
  <c r="F207" i="25"/>
  <c r="N207" i="25" s="1"/>
  <c r="F238" i="25" s="1"/>
  <c r="E32" i="24"/>
  <c r="F199" i="25"/>
  <c r="N199" i="25" s="1"/>
  <c r="F230" i="25" s="1"/>
  <c r="E24" i="24"/>
  <c r="F194" i="25"/>
  <c r="N194" i="25" s="1"/>
  <c r="F225" i="25" s="1"/>
  <c r="E19" i="24"/>
  <c r="F204" i="25"/>
  <c r="N204" i="25" s="1"/>
  <c r="F235" i="25" s="1"/>
  <c r="E29" i="24"/>
  <c r="F197" i="25"/>
  <c r="N197" i="25" s="1"/>
  <c r="F228" i="25" s="1"/>
  <c r="E22" i="24"/>
  <c r="G236" i="25"/>
  <c r="N77" i="15"/>
  <c r="F198" i="25"/>
  <c r="N198" i="25" s="1"/>
  <c r="F229" i="25" s="1"/>
  <c r="E23" i="24"/>
  <c r="F210" i="25"/>
  <c r="N210" i="25" s="1"/>
  <c r="F241" i="25" s="1"/>
  <c r="E35" i="24"/>
  <c r="F193" i="25"/>
  <c r="N193" i="25" s="1"/>
  <c r="F224" i="25" s="1"/>
  <c r="E18" i="24"/>
  <c r="H18" i="24" s="1"/>
  <c r="F191" i="25"/>
  <c r="N191" i="25" s="1"/>
  <c r="F222" i="25" s="1"/>
  <c r="E16" i="24"/>
  <c r="F196" i="25"/>
  <c r="N196" i="25" s="1"/>
  <c r="F227" i="25" s="1"/>
  <c r="E21" i="24"/>
  <c r="F212" i="25"/>
  <c r="N212" i="25" s="1"/>
  <c r="F243" i="25" s="1"/>
  <c r="E37" i="24"/>
  <c r="G191" i="25"/>
  <c r="O191" i="25" s="1"/>
  <c r="G222" i="25" s="1"/>
  <c r="F16" i="24"/>
  <c r="F200" i="25"/>
  <c r="N200" i="25" s="1"/>
  <c r="F231" i="25" s="1"/>
  <c r="E25" i="24"/>
  <c r="F205" i="25"/>
  <c r="N205" i="25" s="1"/>
  <c r="F236" i="25" s="1"/>
  <c r="E30" i="24"/>
  <c r="F201" i="25"/>
  <c r="N201" i="25" s="1"/>
  <c r="F232" i="25" s="1"/>
  <c r="J232" i="25" s="1"/>
  <c r="E26" i="24"/>
  <c r="H26" i="24" s="1"/>
  <c r="F195" i="25"/>
  <c r="N195" i="25" s="1"/>
  <c r="F226" i="25" s="1"/>
  <c r="E20" i="24"/>
  <c r="M25" i="20"/>
  <c r="H191" i="25"/>
  <c r="M23" i="20"/>
  <c r="H231" i="25"/>
  <c r="H227" i="25"/>
  <c r="G245" i="25"/>
  <c r="AA606" i="18"/>
  <c r="AE614" i="18"/>
  <c r="M60" i="25"/>
  <c r="U78" i="14"/>
  <c r="Y76" i="15"/>
  <c r="I6" i="25"/>
  <c r="U76" i="15"/>
  <c r="G233" i="25"/>
  <c r="G242" i="25"/>
  <c r="H228" i="25"/>
  <c r="G230" i="25"/>
  <c r="H239" i="25"/>
  <c r="G228" i="25"/>
  <c r="D60" i="25"/>
  <c r="G229" i="25"/>
  <c r="G237" i="25"/>
  <c r="G239" i="25"/>
  <c r="G225" i="25"/>
  <c r="G241" i="25"/>
  <c r="H60" i="25"/>
  <c r="H61" i="25" s="1"/>
  <c r="G60" i="25"/>
  <c r="G61" i="25" s="1"/>
  <c r="F60" i="25"/>
  <c r="F61" i="25" s="1"/>
  <c r="B60" i="25"/>
  <c r="C60" i="25"/>
  <c r="J18" i="24"/>
  <c r="J34" i="24"/>
  <c r="J29" i="24"/>
  <c r="J26" i="24"/>
  <c r="I5" i="25"/>
  <c r="I25" i="20"/>
  <c r="B91" i="25"/>
  <c r="Q78" i="14"/>
  <c r="S78" i="14"/>
  <c r="AL613" i="18"/>
  <c r="G91" i="25" s="1"/>
  <c r="AK602" i="18"/>
  <c r="AF614" i="18"/>
  <c r="AG602" i="18"/>
  <c r="M30" i="20" l="1"/>
  <c r="K31" i="20"/>
  <c r="H27" i="24"/>
  <c r="J38" i="24"/>
  <c r="H24" i="24"/>
  <c r="H31" i="24"/>
  <c r="H22" i="24"/>
  <c r="H33" i="24"/>
  <c r="J25" i="24"/>
  <c r="H35" i="24"/>
  <c r="G231" i="25"/>
  <c r="J231" i="25" s="1"/>
  <c r="H15" i="24"/>
  <c r="P191" i="25"/>
  <c r="H222" i="25" s="1"/>
  <c r="J222" i="25" s="1"/>
  <c r="J236" i="25"/>
  <c r="J235" i="25"/>
  <c r="J243" i="25"/>
  <c r="J227" i="25"/>
  <c r="H28" i="24"/>
  <c r="G221" i="25"/>
  <c r="J245" i="25"/>
  <c r="J24" i="24"/>
  <c r="H16" i="24"/>
  <c r="J223" i="25"/>
  <c r="J244" i="25"/>
  <c r="H32" i="24"/>
  <c r="J238" i="25"/>
  <c r="H20" i="24"/>
  <c r="J237" i="25"/>
  <c r="H19" i="24"/>
  <c r="J27" i="24"/>
  <c r="J234" i="25"/>
  <c r="J233" i="25"/>
  <c r="J224" i="25"/>
  <c r="J36" i="24"/>
  <c r="H21" i="24"/>
  <c r="H37" i="24"/>
  <c r="H38" i="24"/>
  <c r="H29" i="24"/>
  <c r="J16" i="24"/>
  <c r="J225" i="25"/>
  <c r="J230" i="25"/>
  <c r="H39" i="24"/>
  <c r="H17" i="24"/>
  <c r="J239" i="25"/>
  <c r="J226" i="25"/>
  <c r="J31" i="24"/>
  <c r="J229" i="25"/>
  <c r="J228" i="25"/>
  <c r="J23" i="24"/>
  <c r="J22" i="24"/>
  <c r="J35" i="24"/>
  <c r="J33" i="24"/>
  <c r="J241" i="25"/>
  <c r="J19" i="24"/>
  <c r="H86" i="25"/>
  <c r="AG613" i="18"/>
  <c r="AN602" i="18"/>
  <c r="D86" i="25"/>
  <c r="A100" i="25" s="1"/>
  <c r="AK613" i="18"/>
  <c r="F86" i="25"/>
  <c r="H23" i="24"/>
  <c r="H30" i="24"/>
  <c r="F41" i="24"/>
  <c r="H25" i="24"/>
  <c r="I60" i="25"/>
  <c r="H221" i="25"/>
  <c r="AC2" i="18"/>
  <c r="M31" i="20" l="1"/>
  <c r="E36" i="24"/>
  <c r="F211" i="25"/>
  <c r="G36" i="24"/>
  <c r="G41" i="24" s="1"/>
  <c r="H211" i="25"/>
  <c r="J15" i="24"/>
  <c r="AG614" i="18"/>
  <c r="AB606" i="18"/>
  <c r="F90" i="25"/>
  <c r="D90" i="25"/>
  <c r="D91" i="25" s="1"/>
  <c r="H90" i="25"/>
  <c r="AQ614" i="18"/>
  <c r="F221" i="25"/>
  <c r="AN613" i="18"/>
  <c r="I86" i="25"/>
  <c r="I90" i="25" s="1"/>
  <c r="P211" i="25" l="1"/>
  <c r="H242" i="25" s="1"/>
  <c r="H215" i="25"/>
  <c r="N211" i="25"/>
  <c r="F242" i="25" s="1"/>
  <c r="F215" i="25"/>
  <c r="F91" i="25"/>
  <c r="N90" i="25"/>
  <c r="I91" i="25"/>
  <c r="H91" i="25"/>
  <c r="H36" i="24"/>
  <c r="H41" i="24" s="1"/>
  <c r="E41" i="24"/>
  <c r="J221" i="25"/>
  <c r="J31" i="10"/>
  <c r="D31" i="10"/>
  <c r="C31" i="10"/>
  <c r="J242" i="25" l="1"/>
  <c r="D32" i="10"/>
  <c r="B5" i="25" l="1"/>
  <c r="B30" i="25" s="1"/>
  <c r="B31" i="25" s="1"/>
  <c r="I23" i="20" l="1"/>
  <c r="D30" i="25" l="1"/>
  <c r="D31" i="25" s="1"/>
  <c r="L30" i="25"/>
  <c r="L215" i="25"/>
  <c r="J215" i="25"/>
  <c r="J30" i="25"/>
  <c r="K30" i="25"/>
  <c r="C30" i="25"/>
  <c r="C31" i="25" s="1"/>
  <c r="M30" i="25"/>
  <c r="M31" i="25" s="1"/>
  <c r="G30" i="25"/>
  <c r="G184" i="25" s="1"/>
  <c r="F30" i="25"/>
  <c r="H30" i="25"/>
  <c r="F184" i="25" l="1"/>
  <c r="F216" i="25" s="1"/>
  <c r="N30" i="25"/>
  <c r="K31" i="25"/>
  <c r="K184" i="25"/>
  <c r="K216" i="25" s="1"/>
  <c r="J31" i="25"/>
  <c r="J184" i="25"/>
  <c r="J216" i="25" s="1"/>
  <c r="L31" i="25"/>
  <c r="L184" i="25"/>
  <c r="L216" i="25" s="1"/>
  <c r="I30" i="25"/>
  <c r="I31" i="25" s="1"/>
  <c r="H31" i="25"/>
  <c r="H184" i="25"/>
  <c r="G31" i="25"/>
  <c r="F31" i="25"/>
  <c r="G215" i="25"/>
  <c r="G216" i="25" l="1"/>
  <c r="H247" i="25"/>
  <c r="P215" i="25"/>
  <c r="G247" i="25"/>
  <c r="O215" i="25"/>
  <c r="N215" i="25"/>
  <c r="H216" i="25"/>
  <c r="Q215" i="25" l="1"/>
  <c r="J41" i="24" s="1"/>
  <c r="J247" i="25"/>
  <c r="F247" i="25"/>
  <c r="F248" i="25" s="1"/>
  <c r="G248" i="25"/>
  <c r="H248" i="25"/>
  <c r="J248" i="2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Ryan</author>
  </authors>
  <commentList>
    <comment ref="H14" authorId="0" shapeId="0" xr:uid="{7E396F30-1D36-4ECB-A418-398D1CBFEE2B}">
      <text>
        <r>
          <rPr>
            <b/>
            <sz val="9"/>
            <color indexed="81"/>
            <rFont val="Tahoma"/>
            <family val="2"/>
          </rPr>
          <t>"Intent to Film"</t>
        </r>
        <r>
          <rPr>
            <sz val="9"/>
            <color indexed="81"/>
            <rFont val="Tahoma"/>
            <family val="2"/>
          </rPr>
          <t xml:space="preserve">
</t>
        </r>
      </text>
    </comment>
    <comment ref="G22" authorId="0" shapeId="0" xr:uid="{F6D48B9B-C964-4D7C-9453-634F22874705}">
      <text>
        <r>
          <rPr>
            <b/>
            <i/>
            <sz val="9"/>
            <color indexed="81"/>
            <rFont val="Tahoma"/>
            <family val="2"/>
          </rPr>
          <t>CPA/ State</t>
        </r>
        <r>
          <rPr>
            <i/>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 Jolina M. Boloso</author>
    <author>A3</author>
  </authors>
  <commentList>
    <comment ref="B3" authorId="0" shapeId="0" xr:uid="{7449A201-DEAD-44A3-91AC-6E1A67AA402E}">
      <text>
        <r>
          <rPr>
            <b/>
            <sz val="9"/>
            <color indexed="81"/>
            <rFont val="Tahoma"/>
            <family val="2"/>
          </rPr>
          <t>Ma. Jolina M. Boloso:</t>
        </r>
        <r>
          <rPr>
            <sz val="9"/>
            <color indexed="81"/>
            <rFont val="Tahoma"/>
            <family val="2"/>
          </rPr>
          <t xml:space="preserve">
If paid thru check, need W-9</t>
        </r>
      </text>
    </comment>
    <comment ref="K3" authorId="1" shapeId="0" xr:uid="{2CC8241F-73EC-4A1B-8DA8-801B50B262C0}">
      <text>
        <r>
          <rPr>
            <b/>
            <sz val="9"/>
            <color indexed="81"/>
            <rFont val="Tahoma"/>
            <family val="2"/>
          </rPr>
          <t>A3:</t>
        </r>
        <r>
          <rPr>
            <sz val="9"/>
            <color indexed="81"/>
            <rFont val="Tahoma"/>
            <family val="2"/>
          </rPr>
          <t xml:space="preserve">
1. For rentals, make sure to include date in the description
2. For hotel accommodation, car rentals, car services, airfare, make sure to include dates, origin and destination, position of the crew.</t>
        </r>
      </text>
    </comment>
    <comment ref="L3" authorId="1" shapeId="0" xr:uid="{D1E481C4-B8F8-4464-9432-4544F03B0F27}">
      <text>
        <r>
          <rPr>
            <b/>
            <sz val="9"/>
            <color indexed="81"/>
            <rFont val="Tahoma"/>
            <family val="2"/>
          </rPr>
          <t xml:space="preserve">Ces:
</t>
        </r>
        <r>
          <rPr>
            <sz val="9"/>
            <color indexed="81"/>
            <rFont val="Tahoma"/>
            <family val="2"/>
          </rPr>
          <t>Enter the name here for Car Service, car rental, airfare and hotel accommodation</t>
        </r>
      </text>
    </comment>
    <comment ref="AE3" authorId="1" shapeId="0" xr:uid="{F041AC58-D76E-4600-88AE-1E3BF95A2885}">
      <text>
        <r>
          <rPr>
            <b/>
            <sz val="9"/>
            <color indexed="81"/>
            <rFont val="Tahoma"/>
            <family val="2"/>
          </rPr>
          <t>A3:</t>
        </r>
        <r>
          <rPr>
            <sz val="9"/>
            <color indexed="81"/>
            <rFont val="Tahoma"/>
            <family val="2"/>
          </rPr>
          <t xml:space="preserve">
Required for all vendor invoices (refer to the GA guidelines)</t>
        </r>
      </text>
    </comment>
    <comment ref="AF3" authorId="1" shapeId="0" xr:uid="{A60E8D4E-003B-41AB-90C1-61D37D89F05F}">
      <text>
        <r>
          <rPr>
            <b/>
            <sz val="9"/>
            <color indexed="81"/>
            <rFont val="Tahoma"/>
            <family val="2"/>
          </rPr>
          <t>A3:</t>
        </r>
        <r>
          <rPr>
            <sz val="9"/>
            <color indexed="81"/>
            <rFont val="Tahoma"/>
            <family val="2"/>
          </rPr>
          <t xml:space="preserve">
Refer to the GA Guidelines</t>
        </r>
      </text>
    </comment>
    <comment ref="AG3" authorId="1" shapeId="0" xr:uid="{BF380678-940E-4A0E-AC7B-D01418E92574}">
      <text>
        <r>
          <rPr>
            <b/>
            <sz val="9"/>
            <color indexed="81"/>
            <rFont val="Tahoma"/>
            <family val="2"/>
          </rPr>
          <t>A3:</t>
        </r>
        <r>
          <rPr>
            <sz val="9"/>
            <color indexed="81"/>
            <rFont val="Tahoma"/>
            <family val="2"/>
          </rPr>
          <t xml:space="preserve">
Refer to the GA guidelines</t>
        </r>
      </text>
    </comment>
    <comment ref="AH3" authorId="1" shapeId="0" xr:uid="{F2AD25DF-9A55-43CF-931E-8A1C6D2007E9}">
      <text>
        <r>
          <rPr>
            <b/>
            <sz val="9"/>
            <color indexed="81"/>
            <rFont val="Tahoma"/>
            <family val="2"/>
          </rPr>
          <t>A3:</t>
        </r>
        <r>
          <rPr>
            <sz val="9"/>
            <color indexed="81"/>
            <rFont val="Tahoma"/>
            <family val="2"/>
          </rPr>
          <t xml:space="preserve">
Refer to the GA guidelines</t>
        </r>
      </text>
    </comment>
    <comment ref="AI3" authorId="1" shapeId="0" xr:uid="{64ABBAC8-BC71-4901-B71E-87777E068ED2}">
      <text>
        <r>
          <rPr>
            <b/>
            <sz val="9"/>
            <color indexed="81"/>
            <rFont val="Tahoma"/>
            <family val="2"/>
          </rPr>
          <t>A3:</t>
        </r>
        <r>
          <rPr>
            <sz val="9"/>
            <color indexed="81"/>
            <rFont val="Tahoma"/>
            <family val="2"/>
          </rPr>
          <t xml:space="preserve">
Refer to the GA guidelines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 Jolina M. Boloso</author>
  </authors>
  <commentList>
    <comment ref="B3" authorId="0" shapeId="0" xr:uid="{972B28BC-0C4C-43C5-B137-0FCBC1122EE0}">
      <text>
        <r>
          <rPr>
            <b/>
            <sz val="9"/>
            <color indexed="81"/>
            <rFont val="Tahoma"/>
            <family val="2"/>
          </rPr>
          <t>Ma. Jolina M. Boloso:</t>
        </r>
        <r>
          <rPr>
            <sz val="9"/>
            <color indexed="81"/>
            <rFont val="Tahoma"/>
            <family val="2"/>
          </rPr>
          <t xml:space="preserve">
If paid thru check, need W-9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<sst xmlns="http://schemas.openxmlformats.org/spreadsheetml/2006/main" count="2429" uniqueCount="501">
  <si>
    <t>FF1</t>
  </si>
  <si>
    <t>FF2</t>
  </si>
  <si>
    <t>GS</t>
  </si>
  <si>
    <t>AP</t>
  </si>
  <si>
    <t>AF</t>
  </si>
  <si>
    <t>NQ</t>
  </si>
  <si>
    <t>HT</t>
  </si>
  <si>
    <t>CR</t>
  </si>
  <si>
    <t>PC</t>
  </si>
  <si>
    <t>GL</t>
  </si>
  <si>
    <t>PR</t>
  </si>
  <si>
    <t>LO</t>
  </si>
  <si>
    <t>GA</t>
  </si>
  <si>
    <t>CA</t>
  </si>
  <si>
    <t>BX</t>
  </si>
  <si>
    <t>Car Rental</t>
  </si>
  <si>
    <t>GX</t>
  </si>
  <si>
    <t>Georgia Extra Hires</t>
  </si>
  <si>
    <t>Non-Qualified</t>
  </si>
  <si>
    <t>CC</t>
  </si>
  <si>
    <t>*Not Restricted To These Codes</t>
  </si>
  <si>
    <t>PD1</t>
  </si>
  <si>
    <t>PD2</t>
  </si>
  <si>
    <t>Per Diem Payments Above the Line</t>
  </si>
  <si>
    <t>Per Diem Payments Below the Line</t>
  </si>
  <si>
    <t>Check Number</t>
  </si>
  <si>
    <t>Invoice Number</t>
  </si>
  <si>
    <t>Invoice Date</t>
  </si>
  <si>
    <t>P/O Number</t>
  </si>
  <si>
    <t>Vendor/Employee</t>
  </si>
  <si>
    <t>Source Code</t>
  </si>
  <si>
    <t>JE Number</t>
  </si>
  <si>
    <t>Distribution Description</t>
  </si>
  <si>
    <t>Org Cur</t>
  </si>
  <si>
    <t>Amount</t>
  </si>
  <si>
    <t>US</t>
  </si>
  <si>
    <t>JE</t>
  </si>
  <si>
    <t>Description</t>
  </si>
  <si>
    <t>GL Source Code</t>
  </si>
  <si>
    <t>Journal Entry</t>
  </si>
  <si>
    <t>Petty Cash</t>
  </si>
  <si>
    <t>Production Credit Card</t>
  </si>
  <si>
    <t>FF1 Code</t>
  </si>
  <si>
    <t>FF2 Code</t>
  </si>
  <si>
    <t>DL</t>
  </si>
  <si>
    <t>Georgia Spend Non-Payroll</t>
  </si>
  <si>
    <t>Distant Labor (Non-Georgia Residents)</t>
  </si>
  <si>
    <t xml:space="preserve"> Accounts Payable</t>
  </si>
  <si>
    <t>Georgia Labor (Georgia Residents)</t>
  </si>
  <si>
    <t>Box Rental paid through AP</t>
  </si>
  <si>
    <t>Payments to Loan Outs through Accounts Payable (not reimbursement)</t>
  </si>
  <si>
    <t>Lodging</t>
  </si>
  <si>
    <t>Leave FF1 blank if the GL line item does not fall under any of the above categories.</t>
  </si>
  <si>
    <t>Payroll</t>
  </si>
  <si>
    <t xml:space="preserve">ADDRESS 1                     </t>
  </si>
  <si>
    <t xml:space="preserve">ADDRESS 2                     </t>
  </si>
  <si>
    <t xml:space="preserve">CITY                </t>
  </si>
  <si>
    <t xml:space="preserve">ZIP CODE  </t>
  </si>
  <si>
    <t xml:space="preserve">CORP NAME                               </t>
  </si>
  <si>
    <t xml:space="preserve">JOB DESCRIPTION                         </t>
  </si>
  <si>
    <t>UNION ID</t>
  </si>
  <si>
    <t xml:space="preserve">BASE RATE          </t>
  </si>
  <si>
    <t xml:space="preserve">TTL HOURS          </t>
  </si>
  <si>
    <t xml:space="preserve">EMPLOYER FICA      </t>
  </si>
  <si>
    <t xml:space="preserve">EMPLOYER FUI       </t>
  </si>
  <si>
    <t xml:space="preserve">EMPLOYER SUI       </t>
  </si>
  <si>
    <t xml:space="preserve">OTHER TAXES        </t>
  </si>
  <si>
    <t xml:space="preserve">HANDLING FEE       </t>
  </si>
  <si>
    <t xml:space="preserve">ADVANCES           </t>
  </si>
  <si>
    <t xml:space="preserve">FIRST W/E          </t>
  </si>
  <si>
    <t xml:space="preserve">LAST W/E           </t>
  </si>
  <si>
    <t>LAST NAME</t>
  </si>
  <si>
    <t>FIRST NAME</t>
  </si>
  <si>
    <t>Last Name</t>
  </si>
  <si>
    <t>Home State</t>
  </si>
  <si>
    <t>Episode #</t>
  </si>
  <si>
    <t>First Name</t>
  </si>
  <si>
    <t># of nights</t>
  </si>
  <si>
    <t>GSA Rate</t>
  </si>
  <si>
    <t>Fixed Assets on Depreciation Schedule</t>
  </si>
  <si>
    <t>Fixed Assets not on Depreciation Schedule</t>
  </si>
  <si>
    <t>FA1</t>
  </si>
  <si>
    <t>FA2</t>
  </si>
  <si>
    <t>CORP NAME</t>
  </si>
  <si>
    <t>JOB TITLE</t>
  </si>
  <si>
    <t>STATE OF RESIDENCE</t>
  </si>
  <si>
    <t>START DATE</t>
  </si>
  <si>
    <t>COMMENT</t>
  </si>
  <si>
    <t>NY</t>
  </si>
  <si>
    <t>Y</t>
  </si>
  <si>
    <t>Loan-out Contract Days Detail</t>
  </si>
  <si>
    <t xml:space="preserve">Loan-out Name:   </t>
  </si>
  <si>
    <t>Sky Pictures Inc</t>
  </si>
  <si>
    <t xml:space="preserve">Loan-out Individual:  </t>
  </si>
  <si>
    <t>Ned McGraymond</t>
  </si>
  <si>
    <t>Loan-out Job Title:</t>
  </si>
  <si>
    <t>Director</t>
  </si>
  <si>
    <t xml:space="preserve">Start Date Per Contract:  </t>
  </si>
  <si>
    <t>Date Production Office Opened:</t>
  </si>
  <si>
    <t>Date Production Office Closed:</t>
  </si>
  <si>
    <t>Compensation per Contract Terms:</t>
  </si>
  <si>
    <t>Service Dates</t>
  </si>
  <si>
    <t>Services per Contract</t>
  </si>
  <si>
    <t>GA Qualifying Days (Numerator)</t>
  </si>
  <si>
    <t>Total Days of Service (Denominator)</t>
  </si>
  <si>
    <t>Location</t>
  </si>
  <si>
    <t>At GA Filming Location?</t>
  </si>
  <si>
    <t>Source</t>
  </si>
  <si>
    <t>Actual Payments Disallowed per Contract</t>
  </si>
  <si>
    <t>Notes</t>
  </si>
  <si>
    <t>5/1 - 5/2/2021</t>
  </si>
  <si>
    <t>Planning / Development</t>
  </si>
  <si>
    <t>N</t>
  </si>
  <si>
    <t xml:space="preserve">Writing services </t>
  </si>
  <si>
    <t>Enter source document name</t>
  </si>
  <si>
    <t>The days related to actual disallowed amounts are excluded from the Allowable GA%.  Assume this amount was included in total compensation as California services (not on the GA Payroll Report).</t>
  </si>
  <si>
    <t xml:space="preserve">Pre-Production </t>
  </si>
  <si>
    <t xml:space="preserve">Wardrobe </t>
  </si>
  <si>
    <t>First Day Travel</t>
  </si>
  <si>
    <t>CA&gt;GA</t>
  </si>
  <si>
    <t>First flight CA to GA</t>
  </si>
  <si>
    <t>GL (AP)</t>
  </si>
  <si>
    <t>Voice work</t>
  </si>
  <si>
    <t>Services performed not at the filming location in GA.  Loan-out is not a GA vendor.  Day does not qualify.</t>
  </si>
  <si>
    <t>Camera test</t>
  </si>
  <si>
    <t>7/1 - 8/8/21</t>
  </si>
  <si>
    <t>Principal Photography</t>
  </si>
  <si>
    <t>Total work/hold days</t>
  </si>
  <si>
    <t>Production report</t>
  </si>
  <si>
    <t>7/15 - 7/17/21</t>
  </si>
  <si>
    <t>Perk</t>
  </si>
  <si>
    <t>Travel home for weekend</t>
  </si>
  <si>
    <t>8/2 - 8/4/21</t>
  </si>
  <si>
    <t>Mexico</t>
  </si>
  <si>
    <t xml:space="preserve">Mexico shoot </t>
  </si>
  <si>
    <t>8/1/21 and 8/5/21</t>
  </si>
  <si>
    <t>Travel / Mexico</t>
  </si>
  <si>
    <t>Travel to/from Mexico</t>
  </si>
  <si>
    <t>"Free" Day 1</t>
  </si>
  <si>
    <t>Additional shoot</t>
  </si>
  <si>
    <t xml:space="preserve">Last Day Travel </t>
  </si>
  <si>
    <t>GA&gt;CA</t>
  </si>
  <si>
    <t>Last Flight GA to CA</t>
  </si>
  <si>
    <t>8/11 - 8/14/21</t>
  </si>
  <si>
    <t>"Free" Day 2 - 5</t>
  </si>
  <si>
    <t>Post-Production</t>
  </si>
  <si>
    <t>9/4 -9/9/21</t>
  </si>
  <si>
    <t>Reshoot</t>
  </si>
  <si>
    <t>reshoot filming</t>
  </si>
  <si>
    <t>9/4/21 and 9/10/21</t>
  </si>
  <si>
    <t xml:space="preserve">Travel </t>
  </si>
  <si>
    <t>CA &lt;&gt; GA</t>
  </si>
  <si>
    <t>Travel for reshoot</t>
  </si>
  <si>
    <t>Promotional</t>
  </si>
  <si>
    <t>Global Junket</t>
  </si>
  <si>
    <t>GMA</t>
  </si>
  <si>
    <t>Gotham Awards</t>
  </si>
  <si>
    <t>Delivery of final cut</t>
  </si>
  <si>
    <t>Delivered to CA studio</t>
  </si>
  <si>
    <t>Residuals</t>
  </si>
  <si>
    <t>Residuals listed in the contract</t>
  </si>
  <si>
    <t>The days related to actual disallowed amounts are excluded from the Allowable GA%. Assume this amount was included in total compensation as Georgia services (on the GA Payroll Report).</t>
  </si>
  <si>
    <t>Total Days - Pam White</t>
  </si>
  <si>
    <t>Allowed GA%</t>
  </si>
  <si>
    <t>WORK STATE</t>
  </si>
  <si>
    <t>On the Payroll Report?</t>
  </si>
  <si>
    <t xml:space="preserve">NQ </t>
  </si>
  <si>
    <t>Non Qualified</t>
  </si>
  <si>
    <t xml:space="preserve">EMPLOYEE NAME                 </t>
  </si>
  <si>
    <t>Enter in Column L of the GL Template.</t>
  </si>
  <si>
    <t>Enter in Column K of the GL Template.</t>
  </si>
  <si>
    <t>VENDOR NAME OF EMPLOYEES OF VENDORS</t>
  </si>
  <si>
    <t>HF</t>
  </si>
  <si>
    <t>Payroll Handling Fees</t>
  </si>
  <si>
    <t>Enter in Column J of the GL Template.</t>
  </si>
  <si>
    <t>Withholding</t>
  </si>
  <si>
    <t>W9</t>
  </si>
  <si>
    <t>NO</t>
  </si>
  <si>
    <t>YES</t>
  </si>
  <si>
    <t>Address</t>
  </si>
  <si>
    <t>City</t>
  </si>
  <si>
    <t>State</t>
  </si>
  <si>
    <t>Zip</t>
  </si>
  <si>
    <t>Qualified</t>
  </si>
  <si>
    <t>Received Invoice</t>
  </si>
  <si>
    <t>Website Address</t>
  </si>
  <si>
    <t>N/A</t>
  </si>
  <si>
    <t>NO-GA</t>
  </si>
  <si>
    <t>NO-OOS</t>
  </si>
  <si>
    <t>PO 76594</t>
  </si>
  <si>
    <t>Invoice/ Receipt Number</t>
  </si>
  <si>
    <t>Crew Name</t>
  </si>
  <si>
    <t>PETTY CASH</t>
  </si>
  <si>
    <t>Parking</t>
  </si>
  <si>
    <t>Timecard</t>
  </si>
  <si>
    <t>Total</t>
  </si>
  <si>
    <t>Qualify?</t>
  </si>
  <si>
    <t>Lodging - includes hotels private residents condos parking and other related lodging costs.</t>
  </si>
  <si>
    <t>Airfare - includes airfare baggage fees airport greeters and other related flight costs</t>
  </si>
  <si>
    <t>Paid $50000 for development $50000 for residuals $1600000 for principal photography (including pre-production post-production and promotional) and $50000 for delivery of final cut.</t>
  </si>
  <si>
    <t xml:space="preserve">Comment:
Account for all activities of each loan-out for each day from start to end on the Production.  Please place each loan-out on a separate tab.  Tab 8a Tab 8b Tab 8c etc.  For Episodic TV include all allowable travel days between episodes as half days. Include a source document name or description for each line item.
</t>
  </si>
  <si>
    <t>Ces Review</t>
  </si>
  <si>
    <t>Action</t>
  </si>
  <si>
    <t>WAGE PAYMENT</t>
  </si>
  <si>
    <t>709 - COVID TESTING STIPEND - TAXABLE</t>
  </si>
  <si>
    <t>LOAN-OUT</t>
  </si>
  <si>
    <t>Total Amount</t>
  </si>
  <si>
    <t>Ineligible</t>
  </si>
  <si>
    <t>Total Qualified</t>
  </si>
  <si>
    <t>Georgia Corp Tax</t>
  </si>
  <si>
    <t>Georgia SIT</t>
  </si>
  <si>
    <t xml:space="preserve">TPC Georgia </t>
  </si>
  <si>
    <t>Commercial Project Summary</t>
  </si>
  <si>
    <t>Project Description</t>
  </si>
  <si>
    <t>Project Title:</t>
  </si>
  <si>
    <t>State:</t>
  </si>
  <si>
    <t>Georgia</t>
  </si>
  <si>
    <t>Wrap Date:</t>
  </si>
  <si>
    <t>Client:</t>
  </si>
  <si>
    <t>Client Brand:</t>
  </si>
  <si>
    <t>Estimated Production Budget</t>
  </si>
  <si>
    <t>Agency:</t>
  </si>
  <si>
    <t xml:space="preserve"> In-State:</t>
  </si>
  <si>
    <t>Out of State</t>
  </si>
  <si>
    <t>Production Company:</t>
  </si>
  <si>
    <t>AICP Original Budget total</t>
  </si>
  <si>
    <t>Prod Company on Application:</t>
  </si>
  <si>
    <t>Est Qualified Spend</t>
  </si>
  <si>
    <t>Crew Payroll Company:</t>
  </si>
  <si>
    <t>Total:</t>
  </si>
  <si>
    <t>Talent Payroll Company:</t>
  </si>
  <si>
    <t>Agency Estimate</t>
  </si>
  <si>
    <t>AICP Bid</t>
  </si>
  <si>
    <t>Submitted:</t>
  </si>
  <si>
    <t>Qualified:</t>
  </si>
  <si>
    <t>DNQ</t>
  </si>
  <si>
    <t>AICP Bid Covid</t>
  </si>
  <si>
    <t>Production</t>
  </si>
  <si>
    <t>Call Sheet</t>
  </si>
  <si>
    <t>Pre-Production Book</t>
  </si>
  <si>
    <t>Crew Payroll</t>
  </si>
  <si>
    <t>Tax Credit Application</t>
  </si>
  <si>
    <t>Talent Payroll</t>
  </si>
  <si>
    <t>Film Tax Credit Letter</t>
  </si>
  <si>
    <t>Agency</t>
  </si>
  <si>
    <t xml:space="preserve">GDEcD Certification Letter </t>
  </si>
  <si>
    <t>Agency Petty Cash</t>
  </si>
  <si>
    <t>Rebate Estimated Qualified Spend (Prodco)</t>
  </si>
  <si>
    <t>Other</t>
  </si>
  <si>
    <t>Rebate Estimated Qualified Spend (Prodco+ talent)</t>
  </si>
  <si>
    <t>Total Submitted costs:</t>
  </si>
  <si>
    <t>Anheuser-Busch</t>
  </si>
  <si>
    <t>''Nutrl Vodka Seltzer''</t>
  </si>
  <si>
    <t>Subtotal</t>
  </si>
  <si>
    <t>Total Spend:</t>
  </si>
  <si>
    <t>Prod. Petty Cash &amp; CC</t>
  </si>
  <si>
    <t>AICP Code</t>
  </si>
  <si>
    <t>AICP Category Description</t>
  </si>
  <si>
    <t>AICP Description</t>
  </si>
  <si>
    <t>Lodging (Hotels, Condos, etc.)</t>
  </si>
  <si>
    <t>Car Rental (Non Resident)</t>
  </si>
  <si>
    <t>Transportation/Truck Rentals/Gasoline/Car Svcs</t>
  </si>
  <si>
    <t>Airfare Purchase</t>
  </si>
  <si>
    <t>Catering/Crafty</t>
  </si>
  <si>
    <t>Construction Hardware/Lumber/Supplies</t>
  </si>
  <si>
    <t>Office/Production Equipment Rentals and Purchases</t>
  </si>
  <si>
    <t>Camera: Package/Rentals/Expendables</t>
  </si>
  <si>
    <t>Grip/Electric: Package/Rentals/Expendables</t>
  </si>
  <si>
    <t>Sound: Package/Rentals/Walkies/Expendables</t>
  </si>
  <si>
    <t>Set Dressing/Props: Rentals/Purchases/Expendables</t>
  </si>
  <si>
    <t>Wardrobe: Rentals/Purchases/Dry Cleaning/Laundry</t>
  </si>
  <si>
    <t>Makeup/Hair/Special Effects Purchases</t>
  </si>
  <si>
    <t>Location Fees/Permits</t>
  </si>
  <si>
    <t>Faciltity Rental: Office</t>
  </si>
  <si>
    <t>Faciltity Rental: Stage/Warehouse</t>
  </si>
  <si>
    <t>Post Editing in Georgia</t>
  </si>
  <si>
    <t>Original Music Scored</t>
  </si>
  <si>
    <t>Other: (not included in a category listed)</t>
  </si>
  <si>
    <t>Off-Duty Government Personnel: (Police/Fire)</t>
  </si>
  <si>
    <t>Security Personnel</t>
  </si>
  <si>
    <t>Georgia Crew Hires: (to include fringes)</t>
  </si>
  <si>
    <t>Georgia Cast Hires: (to include fringes)</t>
  </si>
  <si>
    <t>Georgia Extras Hires</t>
  </si>
  <si>
    <t>Per Diem Payments Cast &amp; Crew</t>
  </si>
  <si>
    <t>ELIGIBLE TOTAL</t>
  </si>
  <si>
    <t>Invoice $</t>
  </si>
  <si>
    <t>Qualified Total $</t>
  </si>
  <si>
    <t>Loan Out</t>
  </si>
  <si>
    <t>Total Qualified - GA</t>
  </si>
  <si>
    <t>EXAMPLE FROM PCNA 1 JOB - USE AS TEMPLATE</t>
  </si>
  <si>
    <t>(Flat Rate)</t>
  </si>
  <si>
    <t>Allowable Lodging Per Diem Rate in Atlanta for Oct 2021 - Sept 2022 = $163.00</t>
  </si>
  <si>
    <t>State Tax 8%</t>
  </si>
  <si>
    <t xml:space="preserve">City Tax </t>
  </si>
  <si>
    <t>Occupancy Tax 8.9%</t>
  </si>
  <si>
    <t>GSA Allow</t>
  </si>
  <si>
    <t>Disallowed</t>
  </si>
  <si>
    <t>Meals Total</t>
  </si>
  <si>
    <t>Room Charges</t>
  </si>
  <si>
    <t>City Tax</t>
  </si>
  <si>
    <t>Occupancy Tax 9%</t>
  </si>
  <si>
    <t>Laundry</t>
  </si>
  <si>
    <t># of Nights</t>
  </si>
  <si>
    <t>Internet</t>
  </si>
  <si>
    <t>Meals</t>
  </si>
  <si>
    <t>Piedmont, Matt</t>
  </si>
  <si>
    <t>Labor Code</t>
  </si>
  <si>
    <t>G7 Form</t>
  </si>
  <si>
    <t>Kit rental</t>
  </si>
  <si>
    <t>Mileage</t>
  </si>
  <si>
    <t>INELIGIBLE TOTAL</t>
  </si>
  <si>
    <t>Eligible</t>
  </si>
  <si>
    <t>Total Payroll Cost</t>
  </si>
  <si>
    <t>Non-Eligible Total $</t>
  </si>
  <si>
    <t>Eligible Total $</t>
  </si>
  <si>
    <t xml:space="preserve">Total per Payroll Fringe Recap Report - GA </t>
  </si>
  <si>
    <t>Payroll on Fringe Recap Report - GA that is not part of job</t>
  </si>
  <si>
    <t>Adjustments for payroll entries that should have been allocated to GA</t>
  </si>
  <si>
    <t>Payroll Adjustments</t>
  </si>
  <si>
    <t>Total Eligible Payroll</t>
  </si>
  <si>
    <t>TOTAL</t>
  </si>
  <si>
    <t>Summary of The Hotel Clermont Charges</t>
  </si>
  <si>
    <t>1/11-1/12/2023</t>
  </si>
  <si>
    <t xml:space="preserve"> Subtotal </t>
  </si>
  <si>
    <t xml:space="preserve"> Ineligible </t>
  </si>
  <si>
    <t xml:space="preserve"> Qualified </t>
  </si>
  <si>
    <t>Additional info based on ABNB 030 and 029</t>
  </si>
  <si>
    <t xml:space="preserve"> TOTALS </t>
  </si>
  <si>
    <r>
      <rPr>
        <b/>
        <sz val="11"/>
        <color rgb="FFFFFFFF"/>
        <rFont val="Arial"/>
        <family val="2"/>
      </rPr>
      <t>GEORGIA EXPENDITURES FORM</t>
    </r>
    <r>
      <rPr>
        <b/>
        <sz val="11"/>
        <rFont val="Arial"/>
        <family val="2"/>
      </rPr>
      <t xml:space="preserve">      </t>
    </r>
  </si>
  <si>
    <r>
      <rPr>
        <sz val="11"/>
        <color rgb="FFFFFFFF"/>
        <rFont val="Calibri"/>
        <family val="2"/>
      </rPr>
      <t>PRODUCTIO</t>
    </r>
    <r>
      <rPr>
        <sz val="11"/>
        <color theme="0"/>
        <rFont val="Calibri"/>
        <family val="2"/>
      </rPr>
      <t>N</t>
    </r>
  </si>
  <si>
    <t>In-State Community Spend Report for the Georgia Film Tax Credit Incentive Program</t>
  </si>
  <si>
    <t>A completed Georgia Expenditures form is due within 90-days of the last qualified Georgia expenditure</t>
  </si>
  <si>
    <t xml:space="preserve">Project Title:                                             </t>
  </si>
  <si>
    <t>Certification Number on Certification Letter</t>
  </si>
  <si>
    <t xml:space="preserve">             Production Company:                                      </t>
  </si>
  <si>
    <t>TPC Productions Georgia, Inc.</t>
  </si>
  <si>
    <r>
      <rPr>
        <vertAlign val="subscript"/>
        <sz val="11"/>
        <color rgb="FFFFFFFF"/>
        <rFont val="Calibri"/>
        <family val="2"/>
      </rPr>
      <t xml:space="preserve">                                                                                             </t>
    </r>
    <r>
      <rPr>
        <sz val="11"/>
        <color rgb="FFFFFFFF"/>
        <rFont val="Calibri"/>
        <family val="2"/>
      </rPr>
      <t>SPACE                                                                      VENDORS</t>
    </r>
    <r>
      <rPr>
        <sz val="11"/>
        <color theme="1"/>
        <rFont val="Calibri"/>
        <family val="2"/>
        <scheme val="minor"/>
      </rPr>
      <t xml:space="preserve">          </t>
    </r>
  </si>
  <si>
    <t>Non-Audited</t>
  </si>
  <si>
    <t>Non-Georgia</t>
  </si>
  <si>
    <t>Total Costs:</t>
  </si>
  <si>
    <t xml:space="preserve">           CAST &amp; CREW</t>
  </si>
  <si>
    <t>Non-Eligible $</t>
  </si>
  <si>
    <t>CREW PAYROLL TAB</t>
  </si>
  <si>
    <t>TALENT TAB</t>
  </si>
  <si>
    <t>Total Talent Cost</t>
  </si>
  <si>
    <t>AGENCY TAB</t>
  </si>
  <si>
    <t>AGENCY EXPENSE REPORTS TAB</t>
  </si>
  <si>
    <t>Binder question</t>
  </si>
  <si>
    <t>MEDI</t>
  </si>
  <si>
    <t>Sales Tax 
Account</t>
  </si>
  <si>
    <t>Business 
License</t>
  </si>
  <si>
    <t>OOS/Local Agency</t>
  </si>
  <si>
    <t>OOS/Local ProdCo</t>
  </si>
  <si>
    <t>W-9</t>
  </si>
  <si>
    <t>Payroll Taxes</t>
  </si>
  <si>
    <t>Talent Name</t>
  </si>
  <si>
    <t>Work State</t>
  </si>
  <si>
    <t>Wages</t>
  </si>
  <si>
    <t>P&amp;H</t>
  </si>
  <si>
    <t>State Tax Withheld</t>
  </si>
  <si>
    <t>Local Tax Withheld</t>
  </si>
  <si>
    <t>State Disability Withheld</t>
  </si>
  <si>
    <t>Employer Taxes</t>
  </si>
  <si>
    <t>Workers Compensation</t>
  </si>
  <si>
    <t>Handling Fee</t>
  </si>
  <si>
    <t>Pay Type</t>
  </si>
  <si>
    <t xml:space="preserve">
Vendor Name</t>
  </si>
  <si>
    <t>Checking: $10k total purchases per Vendor</t>
  </si>
  <si>
    <t>Sales Tax 
on invoice?</t>
  </si>
  <si>
    <t>Loan Out 
Individual name</t>
  </si>
  <si>
    <t>Envelope
 Number</t>
  </si>
  <si>
    <t xml:space="preserve">NOT NEEDED IN GL TAB </t>
  </si>
  <si>
    <t>Sequence 
Number</t>
  </si>
  <si>
    <t>Active Sales
 Tax Account</t>
  </si>
  <si>
    <t>Payment 
Method</t>
  </si>
  <si>
    <t xml:space="preserve">PENSION HEALTH 
&amp; WELFARE     </t>
  </si>
  <si>
    <t xml:space="preserve">WORKERS 
COMP INS   </t>
  </si>
  <si>
    <t xml:space="preserve">ACCRUED 
VACATION   </t>
  </si>
  <si>
    <t>ACCRUED 
HOLIDAY</t>
  </si>
  <si>
    <t>Loan-Out Contract /
Deal Memo RECEIVED</t>
  </si>
  <si>
    <t>Proof of 
Payment</t>
  </si>
  <si>
    <t>Received 
Invoice</t>
  </si>
  <si>
    <t>Invoice</t>
  </si>
  <si>
    <t>Invoice Total</t>
  </si>
  <si>
    <t>Qualified - YES</t>
  </si>
  <si>
    <t>Session</t>
  </si>
  <si>
    <t>Office Equipment Rentals and Purchases</t>
  </si>
  <si>
    <t>Vendor2</t>
  </si>
  <si>
    <t>NON Qualified - YES</t>
  </si>
  <si>
    <t>NAME</t>
  </si>
  <si>
    <t>DATE STAYED</t>
  </si>
  <si>
    <t>Cast Category/ 
Job Description</t>
  </si>
  <si>
    <t>Proof of 
Payment (Vendor)</t>
  </si>
  <si>
    <t>Proof of PC 
Remittance (Crew)</t>
  </si>
  <si>
    <t>HOME STATE</t>
  </si>
  <si>
    <t>Allowable Lodging Per Diem Rate in Atlanta for Oct 2023 - Dec 2023 = $173.00</t>
  </si>
  <si>
    <t>Allowable Lodging Per Diem Rate in Atlanta for Jan 2024 - March 2024 = $199.00</t>
  </si>
  <si>
    <t>$</t>
  </si>
  <si>
    <t>Date</t>
  </si>
  <si>
    <t xml:space="preserve">Summary of  </t>
  </si>
  <si>
    <t>Shoot Date(s)</t>
  </si>
  <si>
    <t>State Tax</t>
  </si>
  <si>
    <t>Occupancy Tax</t>
  </si>
  <si>
    <t>Active Sales 
Tax Account ($10K up)</t>
  </si>
  <si>
    <t>Business 
License ($10K up)</t>
  </si>
  <si>
    <t>Agency Name</t>
  </si>
  <si>
    <t>Production Company Name</t>
  </si>
  <si>
    <t>TPC Productions, Inc.</t>
  </si>
  <si>
    <t>Payment Entity/
Billed under?</t>
  </si>
  <si>
    <t>Sequence Number</t>
  </si>
  <si>
    <t>Account Number</t>
  </si>
  <si>
    <t>Reference Number</t>
  </si>
  <si>
    <t>Effective Date</t>
  </si>
  <si>
    <t>Qualify</t>
  </si>
  <si>
    <t>Do we have all business licenses for Vendors over $10,000?</t>
  </si>
  <si>
    <t>Do we have all Sales Tax Amounts listed on Vendors for invoices over $10,000?</t>
  </si>
  <si>
    <t>Are there any Loan outs?</t>
  </si>
  <si>
    <t>Is the Callsheet Signed?</t>
  </si>
  <si>
    <t>Is the Production Report Signed?</t>
  </si>
  <si>
    <t>HUNTER JONES</t>
  </si>
  <si>
    <t>PRODUCTION ASSISTANT</t>
  </si>
  <si>
    <t>AISLE 35 STUDIOS LLC</t>
  </si>
  <si>
    <t>SWING G&amp;E</t>
  </si>
  <si>
    <t>JASON KNOBLOCH</t>
  </si>
  <si>
    <t>CAMERA OPERATOR</t>
  </si>
  <si>
    <t>ELAINE SUZANNE MILLER</t>
  </si>
  <si>
    <t>DIGITAL TECH</t>
  </si>
  <si>
    <t>DON REED JR.</t>
  </si>
  <si>
    <t>DIT/VTR</t>
  </si>
  <si>
    <t>MAD SWORDSMAN PRODUCTIONS LLC</t>
  </si>
  <si>
    <t>PRODUCTION DESIGNER</t>
  </si>
  <si>
    <t>JOB CODE</t>
  </si>
  <si>
    <t>LOAN OUT NAME</t>
  </si>
  <si>
    <t>CREW POSITION</t>
  </si>
  <si>
    <t>PAYROLL COMPANY</t>
  </si>
  <si>
    <t>FEIN</t>
  </si>
  <si>
    <t>WRAPBOOK</t>
  </si>
  <si>
    <t>INVOICE - 1099</t>
  </si>
  <si>
    <t>67-0902390</t>
  </si>
  <si>
    <t>67-0902391</t>
  </si>
  <si>
    <t>67-0902392</t>
  </si>
  <si>
    <t>67-0902393</t>
  </si>
  <si>
    <t>67-0902394</t>
  </si>
  <si>
    <t>67-0902395</t>
  </si>
  <si>
    <t>INVOICE DATE</t>
  </si>
  <si>
    <t>PAYMENT DATE</t>
  </si>
  <si>
    <t>WTH REMITTED?</t>
  </si>
  <si>
    <t>GENERAL MILLS REESES PUFFS</t>
  </si>
  <si>
    <t>GM 006</t>
  </si>
  <si>
    <t>PETTY CASH TAB</t>
  </si>
  <si>
    <t>AP + REIMBURSEMENT TAB</t>
  </si>
  <si>
    <t>GL BILLING</t>
  </si>
  <si>
    <t>GL PRODCO</t>
  </si>
  <si>
    <t>PAYROLL REPORT</t>
  </si>
  <si>
    <t>TOTALS</t>
  </si>
  <si>
    <t>PAYROLL ROSTER</t>
  </si>
  <si>
    <t>TALENT</t>
  </si>
  <si>
    <t>AP / CREW REIMBURSEMENT (Purchase Orders)</t>
  </si>
  <si>
    <t>Shoot Date</t>
  </si>
  <si>
    <t>ADDRESS</t>
  </si>
  <si>
    <t>IL</t>
  </si>
  <si>
    <t>SSN</t>
  </si>
  <si>
    <t>123 Main Street, El Segundo, CA</t>
  </si>
  <si>
    <t>124 Main Street, El Segundo, CA</t>
  </si>
  <si>
    <t>125 Main Street, El Segundo, CA</t>
  </si>
  <si>
    <t>126 Main Street, El Segundo, CA</t>
  </si>
  <si>
    <t>127 Main Street, El Segundo, CA</t>
  </si>
  <si>
    <t>128 Main Street, El Segundo, CA</t>
  </si>
  <si>
    <t>Federal Tax Classification</t>
  </si>
  <si>
    <t>Individual</t>
  </si>
  <si>
    <t>LLC</t>
  </si>
  <si>
    <t>S-Corp</t>
  </si>
  <si>
    <t>C-Corp</t>
  </si>
  <si>
    <t>AMOUNT WITHELD</t>
  </si>
  <si>
    <t>LOAN OUT WITHHOLDING</t>
  </si>
  <si>
    <t>Job Code</t>
  </si>
  <si>
    <t>Jones, Hunter</t>
  </si>
  <si>
    <t>Doe, John</t>
  </si>
  <si>
    <t>Knobloch, Jason</t>
  </si>
  <si>
    <t>Miller, Elaine</t>
  </si>
  <si>
    <t>Reed, Don</t>
  </si>
  <si>
    <t>Smith, Joe</t>
  </si>
  <si>
    <t>Crew / Employee Name (Last, First)</t>
  </si>
  <si>
    <t>Invoice #</t>
  </si>
  <si>
    <t>101-34</t>
  </si>
  <si>
    <t>1qw123</t>
  </si>
  <si>
    <t>2025-34</t>
  </si>
  <si>
    <t>2025-00001</t>
  </si>
  <si>
    <t>INVOICE/ GROSS AMOUNT</t>
  </si>
  <si>
    <t>Prop Master</t>
  </si>
  <si>
    <t>Director of Photography</t>
  </si>
  <si>
    <t>BB Electric</t>
  </si>
  <si>
    <t>Swing</t>
  </si>
  <si>
    <t>Digitech</t>
  </si>
  <si>
    <t>POSITION / TITLE</t>
  </si>
  <si>
    <t>NOTES</t>
  </si>
  <si>
    <t>Award Date:</t>
  </si>
  <si>
    <t>1/14, 1/15/2026</t>
  </si>
  <si>
    <t>Shoot Date(s):</t>
  </si>
  <si>
    <t>Pre-Pro Date:</t>
  </si>
  <si>
    <t>Post Production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</si>
</sst>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 #,##0.0_);_(* \(#,##0.0\);_(* &quot;-&quot;??_);_(@_)"/>
    <numFmt numFmtId="165" formatCode="mm\/dd\/yyyy"/>
    <numFmt numFmtId="166" formatCode="mm/dd/yyyy"/>
    <numFmt numFmtId="167" formatCode="mm/dd/yy;@"/>
  </numFmts>
  <fonts count="52" x14ac:knownFonts="1">
    <font>
      <sz val="11"/>
      <color theme="1"/>
      <name val="Calibri"/>
      <family val="2"/>
      <scheme val="minor"/>
    </font>
    <font>
      <sz val="11"/>
      <color rgb="FFFF0000"/>
      <name val="Calibri"/>
      <family val="2"/>
      <scheme val="minor"/>
    </font>
    <font>
      <b/>
      <sz val="11"/>
      <color theme="1"/>
      <name val="Calibri"/>
      <family val="2"/>
      <scheme val="minor"/>
    </font>
    <font>
      <sz val="10"/>
      <color rgb="FF000000"/>
      <name val="Arial"/>
      <family val="2"/>
    </font>
    <font>
      <sz val="11"/>
      <color theme="1"/>
      <name val="Calibri"/>
      <family val="2"/>
      <scheme val="minor"/>
    </font>
    <font>
      <b/>
      <sz val="11"/>
      <name val="Calibri"/>
      <family val="2"/>
      <scheme val="minor"/>
    </font>
    <font>
      <sz val="11"/>
      <name val="Calibri"/>
      <family val="2"/>
      <scheme val="minor"/>
    </font>
    <font>
      <b/>
      <sz val="12"/>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u/>
      <sz val="11"/>
      <color theme="10"/>
      <name val="Calibri"/>
      <family val="2"/>
      <scheme val="minor"/>
    </font>
    <font>
      <b/>
      <sz val="14"/>
      <color theme="1"/>
      <name val="Calibri"/>
      <family val="2"/>
      <scheme val="minor"/>
    </font>
    <font>
      <sz val="14"/>
      <color theme="1"/>
      <name val="Calibri"/>
      <family val="2"/>
      <scheme val="minor"/>
    </font>
    <font>
      <sz val="11"/>
      <color theme="10"/>
      <name val="Calibri"/>
      <family val="2"/>
      <scheme val="minor"/>
    </font>
    <font>
      <b/>
      <sz val="11"/>
      <color rgb="FFFF0000"/>
      <name val="Calibri"/>
      <family val="2"/>
      <scheme val="minor"/>
    </font>
    <font>
      <b/>
      <sz val="9"/>
      <color indexed="81"/>
      <name val="Tahoma"/>
      <family val="2"/>
    </font>
    <font>
      <sz val="9"/>
      <color indexed="81"/>
      <name val="Tahoma"/>
      <family val="2"/>
    </font>
    <font>
      <b/>
      <i/>
      <sz val="9"/>
      <color indexed="81"/>
      <name val="Tahoma"/>
      <family val="2"/>
    </font>
    <font>
      <i/>
      <sz val="9"/>
      <color indexed="81"/>
      <name val="Tahoma"/>
      <family val="2"/>
    </font>
    <font>
      <b/>
      <sz val="16"/>
      <color theme="1"/>
      <name val="Calibri"/>
      <family val="2"/>
      <scheme val="minor"/>
    </font>
    <font>
      <b/>
      <sz val="16"/>
      <color theme="10"/>
      <name val="Calibri"/>
      <family val="2"/>
      <scheme val="minor"/>
    </font>
    <font>
      <sz val="11"/>
      <color rgb="FF00B0F0"/>
      <name val="Calibri"/>
      <family val="2"/>
      <scheme val="minor"/>
    </font>
    <font>
      <b/>
      <sz val="11"/>
      <name val="Arial"/>
      <family val="2"/>
    </font>
    <font>
      <b/>
      <sz val="11"/>
      <color rgb="FFFFFFFF"/>
      <name val="Arial"/>
      <family val="2"/>
    </font>
    <font>
      <sz val="11"/>
      <name val="Calibri"/>
      <family val="2"/>
    </font>
    <font>
      <sz val="11"/>
      <color rgb="FFFFFFFF"/>
      <name val="Calibri"/>
      <family val="2"/>
    </font>
    <font>
      <sz val="11"/>
      <color theme="0"/>
      <name val="Calibri"/>
      <family val="2"/>
    </font>
    <font>
      <vertAlign val="subscript"/>
      <sz val="11"/>
      <color rgb="FFFFFFFF"/>
      <name val="Calibri"/>
      <family val="2"/>
    </font>
    <font>
      <b/>
      <sz val="10"/>
      <name val="Arial"/>
      <family val="2"/>
    </font>
    <font>
      <b/>
      <sz val="11"/>
      <color rgb="FF0000FF"/>
      <name val="Calibri"/>
      <family val="2"/>
      <scheme val="minor"/>
    </font>
    <font>
      <sz val="11"/>
      <color theme="8" tint="-0.249977111117893"/>
      <name val="Calibri"/>
      <family val="2"/>
      <scheme val="minor"/>
    </font>
    <font>
      <b/>
      <sz val="11"/>
      <color theme="8" tint="-0.249977111117893"/>
      <name val="Calibri"/>
      <family val="2"/>
      <scheme val="minor"/>
    </font>
    <font>
      <b/>
      <i/>
      <sz val="11"/>
      <color rgb="FFFF0000"/>
      <name val="Calibri"/>
      <family val="2"/>
      <scheme val="minor"/>
    </font>
    <font>
      <sz val="9"/>
      <color theme="1"/>
      <name val="Calibri"/>
      <family val="2"/>
      <scheme val="minor"/>
    </font>
    <font>
      <sz val="9"/>
      <color rgb="FFFF0000"/>
      <name val="Calibri"/>
      <family val="2"/>
      <scheme val="minor"/>
    </font>
    <font>
      <sz val="8"/>
      <name val="Calibri"/>
      <family val="2"/>
      <scheme val="minor"/>
    </font>
    <font>
      <sz val="10"/>
      <color rgb="FF000000"/>
      <name val="Calibri"/>
      <family val="2"/>
      <scheme val="minor"/>
    </font>
    <font>
      <b/>
      <sz val="10"/>
      <color rgb="FF000000"/>
      <name val="Calibri"/>
      <family val="2"/>
      <scheme val="minor"/>
    </font>
    <font>
      <sz val="10"/>
      <color rgb="FFFF0000"/>
      <name val="Calibri"/>
      <family val="2"/>
      <scheme val="minor"/>
    </font>
    <font>
      <i/>
      <sz val="11"/>
      <color theme="1"/>
      <name val="Calibri"/>
      <family val="2"/>
      <scheme val="minor"/>
    </font>
    <font>
      <i/>
      <sz val="8"/>
      <color rgb="FFFF0000"/>
      <name val="Calibri"/>
      <family val="2"/>
      <scheme val="minor"/>
    </font>
    <font>
      <i/>
      <sz val="9"/>
      <color rgb="FFFF0000"/>
      <name val="Calibri"/>
      <family val="2"/>
      <scheme val="minor"/>
    </font>
    <font>
      <b/>
      <u/>
      <sz val="14"/>
      <color theme="10"/>
      <name val="Calibri"/>
      <family val="2"/>
      <scheme val="minor"/>
    </font>
    <font>
      <sz val="10"/>
      <name val="Arial"/>
      <family val="2"/>
    </font>
    <font>
      <b/>
      <sz val="18"/>
      <color theme="1"/>
      <name val="Calibri"/>
      <family val="2"/>
      <scheme val="minor"/>
    </font>
    <font>
      <sz val="26"/>
      <color theme="1"/>
      <name val="Calibri"/>
      <family val="2"/>
      <scheme val="minor"/>
    </font>
    <font>
      <b/>
      <sz val="26"/>
      <color theme="1"/>
      <name val="Calibri"/>
      <family val="2"/>
      <scheme val="minor"/>
    </font>
    <font>
      <b/>
      <sz val="28"/>
      <color theme="1"/>
      <name val="Calibri"/>
      <family val="2"/>
      <scheme val="minor"/>
    </font>
    <font>
      <sz val="36"/>
      <color theme="1"/>
      <name val="Calibri"/>
      <family val="2"/>
      <scheme val="minor"/>
    </font>
    <font>
      <b/>
      <sz val="36"/>
      <color theme="1"/>
      <name val="Calibri"/>
      <family val="2"/>
      <scheme val="minor"/>
    </font>
    <font>
      <b/>
      <sz val="48"/>
      <color theme="1"/>
      <name val="Calibri"/>
      <family val="2"/>
      <scheme val="minor"/>
    </font>
  </fonts>
  <fills count="25">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rgb="FF00B050"/>
        <bgColor indexed="64"/>
      </patternFill>
    </fill>
    <fill>
      <patternFill patternType="solid">
        <fgColor rgb="FFFFC000"/>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rgb="FF92D050"/>
        <bgColor indexed="64"/>
      </patternFill>
    </fill>
    <fill>
      <patternFill patternType="solid">
        <fgColor rgb="FF6F2F9F"/>
        <bgColor indexed="64"/>
      </patternFill>
    </fill>
    <fill>
      <patternFill patternType="solid">
        <fgColor rgb="FF6F2F9F"/>
      </patternFill>
    </fill>
    <fill>
      <patternFill patternType="solid">
        <fgColor rgb="FFCCCCFF"/>
        <bgColor indexed="64"/>
      </patternFill>
    </fill>
    <fill>
      <patternFill patternType="solid">
        <fgColor theme="7" tint="0.39997558519241921"/>
        <bgColor indexed="64"/>
      </patternFill>
    </fill>
    <fill>
      <patternFill patternType="solid">
        <fgColor theme="9"/>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FFFFCC"/>
        <bgColor indexed="64"/>
      </patternFill>
    </fill>
    <fill>
      <patternFill patternType="solid">
        <fgColor theme="2" tint="-9.9978637043366805E-2"/>
        <bgColor indexed="64"/>
      </patternFill>
    </fill>
    <fill>
      <patternFill patternType="solid">
        <fgColor theme="0"/>
        <bgColor indexed="64"/>
      </patternFill>
    </fill>
    <fill>
      <patternFill patternType="solid">
        <fgColor rgb="FFCCFFCC"/>
        <bgColor indexed="64"/>
      </patternFill>
    </fill>
  </fills>
  <borders count="49">
    <border>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bottom/>
      <diagonal/>
    </border>
    <border>
      <left/>
      <right/>
      <top style="thin">
        <color indexed="64"/>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double">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7">
    <xf numFmtId="0" fontId="0" fillId="0" borderId="0"/>
    <xf numFmtId="0" fontId="3" fillId="0" borderId="0"/>
    <xf numFmtId="43" fontId="3" fillId="0" borderId="0" applyFont="0" applyFill="0" applyBorder="0" applyAlignment="0" applyProtection="0"/>
    <xf numFmtId="43" fontId="4" fillId="0" borderId="0" applyFont="0" applyFill="0" applyBorder="0" applyAlignment="0" applyProtection="0"/>
    <xf numFmtId="44" fontId="4" fillId="0" borderId="0" applyFont="0" applyFill="0" applyBorder="0" applyAlignment="0" applyProtection="0"/>
    <xf numFmtId="9" fontId="4" fillId="0" borderId="0" applyFont="0" applyFill="0" applyBorder="0" applyAlignment="0" applyProtection="0"/>
    <xf numFmtId="0" fontId="11" fillId="0" borderId="0" applyNumberFormat="0" applyFill="0" applyBorder="0" applyAlignment="0" applyProtection="0"/>
  </cellStyleXfs>
  <cellXfs count="453">
    <xf numFmtId="0" fontId="0" fillId="0" borderId="0" xfId="0"/>
    <xf numFmtId="0" fontId="0" fillId="0" borderId="1" xfId="0" applyBorder="1"/>
    <xf numFmtId="0" fontId="0" fillId="0" borderId="4" xfId="0" applyBorder="1"/>
    <xf numFmtId="0" fontId="0" fillId="0" borderId="0" xfId="0" applyAlignment="1">
      <alignment horizontal="center"/>
    </xf>
    <xf numFmtId="0" fontId="0" fillId="0" borderId="0" xfId="0" applyAlignment="1">
      <alignment horizontal="left"/>
    </xf>
    <xf numFmtId="43" fontId="0" fillId="0" borderId="0" xfId="3" applyFont="1" applyFill="1"/>
    <xf numFmtId="0" fontId="0" fillId="0" borderId="8" xfId="0" applyBorder="1" applyAlignment="1">
      <alignment horizontal="center"/>
    </xf>
    <xf numFmtId="0" fontId="0" fillId="0" borderId="6" xfId="0" applyBorder="1" applyAlignment="1">
      <alignment horizontal="center"/>
    </xf>
    <xf numFmtId="0" fontId="2" fillId="0" borderId="5" xfId="0" applyFont="1" applyBorder="1" applyAlignment="1">
      <alignment horizontal="center" wrapText="1"/>
    </xf>
    <xf numFmtId="0" fontId="0" fillId="0" borderId="5" xfId="0" applyBorder="1" applyAlignment="1">
      <alignment wrapText="1"/>
    </xf>
    <xf numFmtId="0" fontId="0" fillId="4" borderId="0" xfId="0" applyFill="1"/>
    <xf numFmtId="0" fontId="0" fillId="4" borderId="0" xfId="0" applyFill="1" applyAlignment="1">
      <alignment horizontal="center"/>
    </xf>
    <xf numFmtId="43" fontId="0" fillId="0" borderId="0" xfId="3" applyFont="1"/>
    <xf numFmtId="0" fontId="0" fillId="0" borderId="9" xfId="0" applyBorder="1" applyAlignment="1">
      <alignment horizontal="center"/>
    </xf>
    <xf numFmtId="0" fontId="0" fillId="0" borderId="10" xfId="0" applyBorder="1" applyAlignment="1">
      <alignment horizontal="center"/>
    </xf>
    <xf numFmtId="0" fontId="0" fillId="0" borderId="5" xfId="0" applyBorder="1"/>
    <xf numFmtId="0" fontId="0" fillId="0" borderId="5" xfId="0" applyBorder="1" applyAlignment="1">
      <alignment horizontal="center" wrapText="1"/>
    </xf>
    <xf numFmtId="0" fontId="0" fillId="0" borderId="5" xfId="0" applyBorder="1" applyAlignment="1">
      <alignment horizontal="center"/>
    </xf>
    <xf numFmtId="14" fontId="0" fillId="0" borderId="5" xfId="0" applyNumberFormat="1" applyBorder="1"/>
    <xf numFmtId="14" fontId="0" fillId="0" borderId="0" xfId="0" applyNumberFormat="1" applyAlignment="1">
      <alignment horizontal="left"/>
    </xf>
    <xf numFmtId="0" fontId="2" fillId="0" borderId="5" xfId="0" applyFont="1" applyBorder="1" applyAlignment="1">
      <alignment horizontal="center"/>
    </xf>
    <xf numFmtId="0" fontId="8" fillId="0" borderId="5" xfId="0" applyFont="1" applyBorder="1" applyAlignment="1">
      <alignment horizontal="center" wrapText="1"/>
    </xf>
    <xf numFmtId="14" fontId="0" fillId="0" borderId="5" xfId="0" applyNumberFormat="1" applyBorder="1" applyAlignment="1">
      <alignment horizontal="center"/>
    </xf>
    <xf numFmtId="164" fontId="0" fillId="0" borderId="5" xfId="3" applyNumberFormat="1" applyFont="1" applyBorder="1" applyAlignment="1">
      <alignment horizontal="center"/>
    </xf>
    <xf numFmtId="0" fontId="9" fillId="0" borderId="5" xfId="0" applyFont="1" applyBorder="1" applyAlignment="1">
      <alignment wrapText="1"/>
    </xf>
    <xf numFmtId="0" fontId="10" fillId="0" borderId="5" xfId="0" applyFont="1" applyBorder="1" applyAlignment="1">
      <alignment horizontal="center"/>
    </xf>
    <xf numFmtId="164" fontId="10" fillId="0" borderId="5" xfId="3" applyNumberFormat="1" applyFont="1" applyBorder="1" applyAlignment="1">
      <alignment horizontal="center"/>
    </xf>
    <xf numFmtId="164" fontId="0" fillId="0" borderId="5" xfId="3" applyNumberFormat="1" applyFont="1" applyFill="1" applyBorder="1" applyAlignment="1">
      <alignment horizontal="center"/>
    </xf>
    <xf numFmtId="0" fontId="2" fillId="0" borderId="0" xfId="0" applyFont="1" applyAlignment="1">
      <alignment horizontal="right"/>
    </xf>
    <xf numFmtId="10" fontId="6" fillId="0" borderId="14" xfId="5" quotePrefix="1" applyNumberFormat="1" applyFont="1" applyFill="1" applyBorder="1" applyAlignment="1">
      <alignment horizontal="right"/>
    </xf>
    <xf numFmtId="164" fontId="0" fillId="0" borderId="0" xfId="3" applyNumberFormat="1" applyFont="1" applyFill="1" applyAlignment="1">
      <alignment horizontal="center"/>
    </xf>
    <xf numFmtId="0" fontId="11" fillId="0" borderId="0" xfId="6" quotePrefix="1" applyFill="1" applyBorder="1" applyAlignment="1">
      <alignment horizontal="center"/>
    </xf>
    <xf numFmtId="0" fontId="11" fillId="0" borderId="0" xfId="6" quotePrefix="1" applyBorder="1" applyAlignment="1">
      <alignment horizontal="center"/>
    </xf>
    <xf numFmtId="164" fontId="0" fillId="0" borderId="0" xfId="3" applyNumberFormat="1" applyFont="1" applyAlignment="1">
      <alignment horizontal="center"/>
    </xf>
    <xf numFmtId="0" fontId="2" fillId="0" borderId="13" xfId="0" applyFont="1" applyBorder="1" applyAlignment="1">
      <alignment horizontal="center" wrapText="1"/>
    </xf>
    <xf numFmtId="0" fontId="7" fillId="0" borderId="0" xfId="0" applyFont="1"/>
    <xf numFmtId="0" fontId="2" fillId="0" borderId="0" xfId="0" applyFont="1"/>
    <xf numFmtId="14" fontId="0" fillId="0" borderId="0" xfId="0" applyNumberFormat="1"/>
    <xf numFmtId="164" fontId="0" fillId="0" borderId="5" xfId="3" applyNumberFormat="1" applyFont="1" applyBorder="1" applyAlignment="1"/>
    <xf numFmtId="0" fontId="1" fillId="0" borderId="5" xfId="0" applyFont="1" applyBorder="1"/>
    <xf numFmtId="43" fontId="0" fillId="0" borderId="5" xfId="3" applyFont="1" applyBorder="1" applyAlignment="1"/>
    <xf numFmtId="0" fontId="10" fillId="0" borderId="5" xfId="0" applyFont="1" applyBorder="1"/>
    <xf numFmtId="164" fontId="10" fillId="0" borderId="5" xfId="3" applyNumberFormat="1" applyFont="1" applyBorder="1" applyAlignment="1"/>
    <xf numFmtId="0" fontId="10" fillId="0" borderId="0" xfId="0" applyFont="1"/>
    <xf numFmtId="164" fontId="2" fillId="0" borderId="5" xfId="0" applyNumberFormat="1" applyFont="1" applyBorder="1"/>
    <xf numFmtId="43" fontId="2" fillId="0" borderId="5" xfId="0" applyNumberFormat="1" applyFont="1" applyBorder="1"/>
    <xf numFmtId="0" fontId="11" fillId="0" borderId="0" xfId="6" quotePrefix="1" applyFill="1" applyAlignment="1"/>
    <xf numFmtId="0" fontId="11" fillId="0" borderId="0" xfId="6" quotePrefix="1" applyAlignment="1"/>
    <xf numFmtId="44" fontId="0" fillId="0" borderId="0" xfId="4" applyFont="1" applyBorder="1"/>
    <xf numFmtId="0" fontId="0" fillId="0" borderId="12" xfId="0" applyBorder="1"/>
    <xf numFmtId="44" fontId="0" fillId="0" borderId="22" xfId="4" applyFont="1" applyBorder="1"/>
    <xf numFmtId="0" fontId="2" fillId="0" borderId="0" xfId="0" applyFont="1" applyAlignment="1">
      <alignment vertical="top" wrapText="1"/>
    </xf>
    <xf numFmtId="0" fontId="0" fillId="0" borderId="0" xfId="0" applyAlignment="1">
      <alignment vertical="top" wrapText="1"/>
    </xf>
    <xf numFmtId="43" fontId="0" fillId="0" borderId="0" xfId="0" applyNumberFormat="1"/>
    <xf numFmtId="0" fontId="0" fillId="2" borderId="5" xfId="0" applyFill="1" applyBorder="1" applyAlignment="1">
      <alignment horizontal="center" wrapText="1"/>
    </xf>
    <xf numFmtId="0" fontId="0" fillId="5" borderId="0" xfId="0" applyFill="1"/>
    <xf numFmtId="0" fontId="0" fillId="0" borderId="0" xfId="0" applyAlignment="1">
      <alignment horizontal="center" vertical="center"/>
    </xf>
    <xf numFmtId="0" fontId="2" fillId="0" borderId="0" xfId="0" applyFont="1" applyAlignment="1">
      <alignment horizontal="center"/>
    </xf>
    <xf numFmtId="0" fontId="0" fillId="2" borderId="0" xfId="0" applyFill="1"/>
    <xf numFmtId="43" fontId="2" fillId="0" borderId="0" xfId="3" applyFont="1"/>
    <xf numFmtId="0" fontId="13" fillId="0" borderId="0" xfId="0" applyFont="1"/>
    <xf numFmtId="0" fontId="0" fillId="0" borderId="0" xfId="0" applyAlignment="1">
      <alignment horizontal="right"/>
    </xf>
    <xf numFmtId="0" fontId="7" fillId="0" borderId="0" xfId="0" applyFont="1" applyAlignment="1" applyProtection="1">
      <alignment horizontal="left"/>
      <protection locked="0"/>
    </xf>
    <xf numFmtId="0" fontId="7" fillId="2" borderId="0" xfId="0" quotePrefix="1" applyFont="1" applyFill="1" applyAlignment="1" applyProtection="1">
      <alignment horizontal="left"/>
      <protection locked="0"/>
    </xf>
    <xf numFmtId="0" fontId="12" fillId="0" borderId="0" xfId="0" applyFont="1" applyAlignment="1" applyProtection="1">
      <alignment horizontal="left"/>
      <protection locked="0"/>
    </xf>
    <xf numFmtId="0" fontId="0" fillId="2" borderId="0" xfId="0" applyFill="1" applyProtection="1">
      <protection locked="0"/>
    </xf>
    <xf numFmtId="14" fontId="0" fillId="2" borderId="0" xfId="0" applyNumberFormat="1" applyFill="1" applyAlignment="1">
      <alignment horizontal="left"/>
    </xf>
    <xf numFmtId="43" fontId="0" fillId="2" borderId="0" xfId="3" applyFont="1" applyFill="1" applyProtection="1">
      <protection locked="0"/>
    </xf>
    <xf numFmtId="43" fontId="0" fillId="2" borderId="0" xfId="3" applyFont="1" applyFill="1"/>
    <xf numFmtId="0" fontId="0" fillId="0" borderId="0" xfId="0" applyProtection="1">
      <protection locked="0"/>
    </xf>
    <xf numFmtId="43" fontId="2" fillId="0" borderId="14" xfId="3" applyFont="1" applyBorder="1"/>
    <xf numFmtId="43" fontId="0" fillId="0" borderId="14" xfId="3" applyFont="1" applyBorder="1"/>
    <xf numFmtId="0" fontId="0" fillId="0" borderId="0" xfId="0" applyAlignment="1" applyProtection="1">
      <alignment horizontal="right"/>
      <protection locked="0"/>
    </xf>
    <xf numFmtId="44" fontId="0" fillId="0" borderId="0" xfId="4" applyFont="1"/>
    <xf numFmtId="0" fontId="0" fillId="0" borderId="22" xfId="0" applyBorder="1" applyAlignment="1">
      <alignment horizontal="center"/>
    </xf>
    <xf numFmtId="0" fontId="1" fillId="0" borderId="0" xfId="0" applyFont="1" applyAlignment="1">
      <alignment horizontal="center"/>
    </xf>
    <xf numFmtId="44" fontId="0" fillId="0" borderId="0" xfId="0" applyNumberFormat="1"/>
    <xf numFmtId="44" fontId="14" fillId="0" borderId="0" xfId="3" applyNumberFormat="1" applyFont="1" applyProtection="1">
      <protection locked="0"/>
    </xf>
    <xf numFmtId="43" fontId="14" fillId="0" borderId="0" xfId="3" applyFont="1" applyProtection="1">
      <protection locked="0"/>
    </xf>
    <xf numFmtId="44" fontId="1" fillId="0" borderId="0" xfId="4" applyFont="1" applyFill="1" applyBorder="1"/>
    <xf numFmtId="44" fontId="2" fillId="0" borderId="14" xfId="4" applyFont="1" applyBorder="1"/>
    <xf numFmtId="43" fontId="0" fillId="0" borderId="0" xfId="3" applyFont="1" applyProtection="1">
      <protection locked="0"/>
    </xf>
    <xf numFmtId="44" fontId="15" fillId="0" borderId="0" xfId="4" applyFont="1" applyFill="1" applyBorder="1"/>
    <xf numFmtId="0" fontId="6" fillId="0" borderId="0" xfId="6" applyFont="1" applyBorder="1"/>
    <xf numFmtId="0" fontId="11" fillId="0" borderId="0" xfId="6" applyProtection="1">
      <protection locked="0"/>
    </xf>
    <xf numFmtId="0" fontId="2" fillId="3" borderId="5" xfId="0" applyFont="1" applyFill="1" applyBorder="1"/>
    <xf numFmtId="0" fontId="2" fillId="6" borderId="5" xfId="0" applyFont="1" applyFill="1" applyBorder="1" applyAlignment="1">
      <alignment horizontal="center"/>
    </xf>
    <xf numFmtId="0" fontId="2" fillId="3" borderId="5" xfId="0" applyFont="1" applyFill="1" applyBorder="1" applyAlignment="1">
      <alignment horizontal="left"/>
    </xf>
    <xf numFmtId="0" fontId="11" fillId="0" borderId="5" xfId="6" applyBorder="1"/>
    <xf numFmtId="43" fontId="0" fillId="0" borderId="5" xfId="3" applyFont="1" applyBorder="1"/>
    <xf numFmtId="0" fontId="0" fillId="0" borderId="5" xfId="0" quotePrefix="1" applyBorder="1" applyAlignment="1">
      <alignment horizontal="center"/>
    </xf>
    <xf numFmtId="0" fontId="0" fillId="0" borderId="5" xfId="0" applyBorder="1" applyAlignment="1">
      <alignment horizontal="left"/>
    </xf>
    <xf numFmtId="0" fontId="2" fillId="0" borderId="14" xfId="0" applyFont="1" applyBorder="1"/>
    <xf numFmtId="0" fontId="11" fillId="0" borderId="5" xfId="6" applyBorder="1" applyAlignment="1">
      <alignment horizontal="center"/>
    </xf>
    <xf numFmtId="43" fontId="0" fillId="0" borderId="5" xfId="3" applyFont="1" applyFill="1" applyBorder="1"/>
    <xf numFmtId="0" fontId="2" fillId="0" borderId="22" xfId="0" applyFont="1" applyBorder="1"/>
    <xf numFmtId="43" fontId="2" fillId="0" borderId="0" xfId="3" applyFont="1" applyBorder="1"/>
    <xf numFmtId="44" fontId="0" fillId="0" borderId="0" xfId="3" applyNumberFormat="1" applyFont="1"/>
    <xf numFmtId="44" fontId="0" fillId="7" borderId="24" xfId="3" applyNumberFormat="1" applyFont="1" applyFill="1" applyBorder="1" applyAlignment="1">
      <alignment horizontal="center"/>
    </xf>
    <xf numFmtId="44" fontId="0" fillId="7" borderId="25" xfId="3" applyNumberFormat="1" applyFont="1" applyFill="1" applyBorder="1" applyAlignment="1">
      <alignment horizontal="center"/>
    </xf>
    <xf numFmtId="0" fontId="0" fillId="7" borderId="26" xfId="0" applyFill="1" applyBorder="1" applyAlignment="1">
      <alignment horizontal="left"/>
    </xf>
    <xf numFmtId="1" fontId="0" fillId="0" borderId="5" xfId="3" applyNumberFormat="1" applyFont="1" applyBorder="1" applyAlignment="1">
      <alignment horizontal="center"/>
    </xf>
    <xf numFmtId="0" fontId="0" fillId="5" borderId="18" xfId="0" applyFill="1" applyBorder="1" applyAlignment="1">
      <alignment horizontal="center"/>
    </xf>
    <xf numFmtId="0" fontId="0" fillId="8" borderId="17" xfId="0" applyFill="1" applyBorder="1" applyAlignment="1">
      <alignment horizontal="center"/>
    </xf>
    <xf numFmtId="44" fontId="0" fillId="0" borderId="19" xfId="4" applyFont="1" applyFill="1" applyBorder="1" applyAlignment="1">
      <alignment horizontal="center"/>
    </xf>
    <xf numFmtId="44" fontId="0" fillId="0" borderId="13" xfId="3" applyNumberFormat="1" applyFont="1" applyFill="1" applyBorder="1"/>
    <xf numFmtId="0" fontId="0" fillId="0" borderId="20" xfId="0" applyBorder="1" applyAlignment="1">
      <alignment horizontal="left"/>
    </xf>
    <xf numFmtId="44" fontId="0" fillId="0" borderId="28" xfId="4" applyFont="1" applyFill="1" applyBorder="1" applyAlignment="1">
      <alignment horizontal="center"/>
    </xf>
    <xf numFmtId="44" fontId="2" fillId="0" borderId="21" xfId="3" applyNumberFormat="1" applyFont="1" applyBorder="1"/>
    <xf numFmtId="44" fontId="2" fillId="0" borderId="22" xfId="3" applyNumberFormat="1" applyFont="1" applyBorder="1"/>
    <xf numFmtId="0" fontId="2" fillId="0" borderId="23" xfId="0" applyFont="1" applyBorder="1"/>
    <xf numFmtId="44" fontId="2" fillId="0" borderId="12" xfId="0" applyNumberFormat="1" applyFont="1" applyBorder="1" applyAlignment="1">
      <alignment horizontal="center"/>
    </xf>
    <xf numFmtId="44" fontId="2" fillId="0" borderId="23" xfId="0" applyNumberFormat="1" applyFont="1" applyBorder="1" applyAlignment="1">
      <alignment horizontal="center"/>
    </xf>
    <xf numFmtId="44" fontId="0" fillId="0" borderId="29" xfId="3" applyNumberFormat="1" applyFont="1" applyFill="1" applyBorder="1"/>
    <xf numFmtId="44" fontId="0" fillId="0" borderId="0" xfId="3" applyNumberFormat="1" applyFont="1" applyAlignment="1">
      <alignment horizontal="center"/>
    </xf>
    <xf numFmtId="44" fontId="2" fillId="0" borderId="22" xfId="3" applyNumberFormat="1" applyFont="1" applyBorder="1" applyAlignment="1">
      <alignment horizontal="center"/>
    </xf>
    <xf numFmtId="43" fontId="2" fillId="3" borderId="5" xfId="3" applyFont="1" applyFill="1" applyBorder="1"/>
    <xf numFmtId="165" fontId="0" fillId="0" borderId="5" xfId="0" applyNumberFormat="1" applyBorder="1"/>
    <xf numFmtId="44" fontId="0" fillId="0" borderId="13" xfId="3" applyNumberFormat="1" applyFont="1" applyFill="1" applyBorder="1" applyAlignment="1">
      <alignment horizontal="center"/>
    </xf>
    <xf numFmtId="44" fontId="0" fillId="0" borderId="29" xfId="3" applyNumberFormat="1" applyFont="1" applyFill="1" applyBorder="1" applyAlignment="1">
      <alignment horizontal="center"/>
    </xf>
    <xf numFmtId="0" fontId="2" fillId="9" borderId="5" xfId="0" applyFont="1" applyFill="1" applyBorder="1" applyAlignment="1">
      <alignment horizontal="center"/>
    </xf>
    <xf numFmtId="0" fontId="20" fillId="2" borderId="0" xfId="0" applyFont="1" applyFill="1"/>
    <xf numFmtId="44" fontId="0" fillId="2" borderId="0" xfId="4" applyFont="1" applyFill="1"/>
    <xf numFmtId="44" fontId="20" fillId="2" borderId="0" xfId="4" applyFont="1" applyFill="1"/>
    <xf numFmtId="0" fontId="20" fillId="0" borderId="0" xfId="0" applyFont="1"/>
    <xf numFmtId="44" fontId="20" fillId="0" borderId="0" xfId="4" applyFont="1"/>
    <xf numFmtId="0" fontId="2" fillId="10" borderId="30" xfId="0" applyFont="1" applyFill="1" applyBorder="1"/>
    <xf numFmtId="0" fontId="2" fillId="10" borderId="31" xfId="0" applyFont="1" applyFill="1" applyBorder="1"/>
    <xf numFmtId="44" fontId="2" fillId="10" borderId="31" xfId="4" applyFont="1" applyFill="1" applyBorder="1"/>
    <xf numFmtId="0" fontId="2" fillId="10" borderId="32" xfId="0" applyFont="1" applyFill="1" applyBorder="1"/>
    <xf numFmtId="43" fontId="2" fillId="10" borderId="3" xfId="3" applyFont="1" applyFill="1" applyBorder="1"/>
    <xf numFmtId="44" fontId="2" fillId="10" borderId="3" xfId="4" applyFont="1" applyFill="1" applyBorder="1"/>
    <xf numFmtId="43" fontId="2" fillId="10" borderId="4" xfId="3" applyFont="1" applyFill="1" applyBorder="1"/>
    <xf numFmtId="0" fontId="2" fillId="0" borderId="3" xfId="0" applyFont="1" applyBorder="1"/>
    <xf numFmtId="0" fontId="2" fillId="0" borderId="3" xfId="0" applyFont="1" applyBorder="1" applyAlignment="1">
      <alignment horizontal="center"/>
    </xf>
    <xf numFmtId="44" fontId="0" fillId="0" borderId="3" xfId="4" applyFont="1" applyBorder="1"/>
    <xf numFmtId="44" fontId="2" fillId="0" borderId="3" xfId="4" applyFont="1" applyBorder="1" applyAlignment="1">
      <alignment horizontal="center"/>
    </xf>
    <xf numFmtId="44" fontId="2" fillId="0" borderId="0" xfId="4" applyFont="1"/>
    <xf numFmtId="44" fontId="0" fillId="0" borderId="0" xfId="4" quotePrefix="1" applyFont="1"/>
    <xf numFmtId="44" fontId="1" fillId="0" borderId="0" xfId="4" applyFont="1"/>
    <xf numFmtId="37" fontId="0" fillId="0" borderId="0" xfId="4" applyNumberFormat="1" applyFont="1" applyAlignment="1">
      <alignment horizontal="center"/>
    </xf>
    <xf numFmtId="44" fontId="1" fillId="0" borderId="22" xfId="4" applyFont="1" applyBorder="1"/>
    <xf numFmtId="44" fontId="15" fillId="0" borderId="0" xfId="4" applyFont="1"/>
    <xf numFmtId="44" fontId="2" fillId="2" borderId="16" xfId="4" applyFont="1" applyFill="1" applyBorder="1"/>
    <xf numFmtId="43" fontId="1" fillId="0" borderId="0" xfId="4" applyNumberFormat="1" applyFont="1"/>
    <xf numFmtId="44" fontId="0" fillId="0" borderId="22" xfId="0" applyNumberFormat="1" applyBorder="1"/>
    <xf numFmtId="0" fontId="11" fillId="0" borderId="3" xfId="6" applyBorder="1"/>
    <xf numFmtId="44" fontId="0" fillId="0" borderId="0" xfId="4" applyFont="1" applyFill="1"/>
    <xf numFmtId="14" fontId="4" fillId="0" borderId="0" xfId="0" applyNumberFormat="1" applyFont="1" applyAlignment="1">
      <alignment horizontal="center"/>
    </xf>
    <xf numFmtId="44" fontId="4" fillId="0" borderId="0" xfId="0" applyNumberFormat="1" applyFont="1"/>
    <xf numFmtId="44" fontId="4" fillId="0" borderId="0" xfId="3" applyNumberFormat="1" applyFont="1"/>
    <xf numFmtId="0" fontId="4" fillId="0" borderId="0" xfId="0" applyFont="1"/>
    <xf numFmtId="0" fontId="4" fillId="0" borderId="0" xfId="0" applyFont="1" applyAlignment="1">
      <alignment horizontal="center"/>
    </xf>
    <xf numFmtId="1" fontId="4" fillId="0" borderId="5" xfId="3" applyNumberFormat="1" applyFont="1" applyBorder="1" applyAlignment="1">
      <alignment horizontal="center"/>
    </xf>
    <xf numFmtId="0" fontId="4" fillId="5" borderId="18" xfId="0" applyFont="1" applyFill="1" applyBorder="1" applyAlignment="1">
      <alignment horizontal="center"/>
    </xf>
    <xf numFmtId="0" fontId="4" fillId="8" borderId="17" xfId="0" applyFont="1" applyFill="1" applyBorder="1" applyAlignment="1">
      <alignment horizontal="center"/>
    </xf>
    <xf numFmtId="44" fontId="4" fillId="0" borderId="0" xfId="4" applyFont="1" applyAlignment="1">
      <alignment horizontal="center"/>
    </xf>
    <xf numFmtId="44" fontId="4" fillId="0" borderId="13" xfId="3" applyNumberFormat="1" applyFont="1" applyBorder="1"/>
    <xf numFmtId="44" fontId="4" fillId="0" borderId="19" xfId="4" applyFont="1" applyBorder="1" applyAlignment="1">
      <alignment horizontal="center"/>
    </xf>
    <xf numFmtId="43" fontId="1" fillId="0" borderId="0" xfId="4" applyNumberFormat="1" applyFont="1" applyAlignment="1">
      <alignment horizontal="center"/>
    </xf>
    <xf numFmtId="44" fontId="4" fillId="0" borderId="20" xfId="4" applyFont="1" applyFill="1" applyBorder="1" applyAlignment="1">
      <alignment horizontal="center"/>
    </xf>
    <xf numFmtId="43" fontId="1" fillId="0" borderId="0" xfId="4" applyNumberFormat="1" applyFont="1" applyFill="1" applyAlignment="1">
      <alignment horizontal="center"/>
    </xf>
    <xf numFmtId="43" fontId="1" fillId="0" borderId="0" xfId="0" applyNumberFormat="1" applyFont="1"/>
    <xf numFmtId="44" fontId="4" fillId="0" borderId="28" xfId="4" applyFont="1" applyBorder="1" applyAlignment="1">
      <alignment horizontal="center"/>
    </xf>
    <xf numFmtId="44" fontId="0" fillId="0" borderId="0" xfId="0" applyNumberFormat="1" applyAlignment="1">
      <alignment horizontal="right"/>
    </xf>
    <xf numFmtId="44" fontId="4" fillId="0" borderId="21" xfId="0" applyNumberFormat="1" applyFont="1" applyBorder="1" applyAlignment="1">
      <alignment horizontal="left"/>
    </xf>
    <xf numFmtId="43" fontId="1" fillId="0" borderId="0" xfId="3" applyFont="1"/>
    <xf numFmtId="0" fontId="4" fillId="0" borderId="0" xfId="0" applyFont="1" applyAlignment="1">
      <alignment horizontal="left"/>
    </xf>
    <xf numFmtId="44" fontId="1" fillId="0" borderId="0" xfId="0" applyNumberFormat="1" applyFont="1" applyAlignment="1">
      <alignment horizontal="left"/>
    </xf>
    <xf numFmtId="14" fontId="0" fillId="0" borderId="0" xfId="0" applyNumberFormat="1" applyAlignment="1">
      <alignment horizontal="right"/>
    </xf>
    <xf numFmtId="44" fontId="1" fillId="0" borderId="0" xfId="0" applyNumberFormat="1" applyFont="1"/>
    <xf numFmtId="44" fontId="4" fillId="0" borderId="29" xfId="3" applyNumberFormat="1" applyFont="1" applyBorder="1"/>
    <xf numFmtId="44" fontId="4" fillId="0" borderId="28" xfId="3" applyNumberFormat="1" applyFont="1" applyBorder="1"/>
    <xf numFmtId="44" fontId="2" fillId="0" borderId="12" xfId="4" applyFont="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14" fontId="2" fillId="0" borderId="3" xfId="0" applyNumberFormat="1" applyFont="1" applyBorder="1" applyAlignment="1">
      <alignment horizontal="center"/>
    </xf>
    <xf numFmtId="44" fontId="2" fillId="2" borderId="0" xfId="4" applyFont="1" applyFill="1"/>
    <xf numFmtId="0" fontId="6" fillId="0" borderId="0" xfId="0" applyFont="1"/>
    <xf numFmtId="0" fontId="22" fillId="0" borderId="0" xfId="0" applyFont="1" applyAlignment="1">
      <alignment horizontal="center"/>
    </xf>
    <xf numFmtId="0" fontId="22" fillId="0" borderId="0" xfId="0" applyFont="1"/>
    <xf numFmtId="43" fontId="2" fillId="5" borderId="22" xfId="3" applyFont="1" applyFill="1" applyBorder="1" applyAlignment="1"/>
    <xf numFmtId="0" fontId="11" fillId="0" borderId="5" xfId="6" applyFill="1" applyBorder="1" applyAlignment="1">
      <alignment horizontal="center"/>
    </xf>
    <xf numFmtId="0" fontId="0" fillId="5" borderId="0" xfId="0" applyFill="1" applyAlignment="1">
      <alignment horizontal="center"/>
    </xf>
    <xf numFmtId="0" fontId="2" fillId="6" borderId="5" xfId="0" applyFont="1" applyFill="1" applyBorder="1"/>
    <xf numFmtId="0" fontId="2" fillId="0" borderId="22" xfId="0" applyFont="1" applyBorder="1" applyAlignment="1">
      <alignment horizontal="center"/>
    </xf>
    <xf numFmtId="44" fontId="0" fillId="0" borderId="0" xfId="4" applyFont="1" applyAlignment="1">
      <alignment horizontal="center"/>
    </xf>
    <xf numFmtId="0" fontId="0" fillId="5" borderId="5" xfId="0" applyFill="1" applyBorder="1" applyAlignment="1">
      <alignment horizontal="center"/>
    </xf>
    <xf numFmtId="0" fontId="0" fillId="8" borderId="26" xfId="0" applyFill="1" applyBorder="1" applyAlignment="1">
      <alignment horizontal="center"/>
    </xf>
    <xf numFmtId="44" fontId="0" fillId="0" borderId="13" xfId="4" applyFont="1" applyBorder="1" applyAlignment="1">
      <alignment horizontal="center"/>
    </xf>
    <xf numFmtId="44" fontId="0" fillId="0" borderId="20" xfId="4" applyFont="1" applyBorder="1" applyAlignment="1">
      <alignment horizontal="center"/>
    </xf>
    <xf numFmtId="43" fontId="1" fillId="0" borderId="33" xfId="4" applyNumberFormat="1" applyFont="1" applyBorder="1" applyAlignment="1">
      <alignment horizontal="center"/>
    </xf>
    <xf numFmtId="44" fontId="0" fillId="0" borderId="29" xfId="4" applyFont="1" applyBorder="1" applyAlignment="1">
      <alignment horizontal="center"/>
    </xf>
    <xf numFmtId="44" fontId="0" fillId="0" borderId="33" xfId="4" applyFont="1" applyBorder="1" applyAlignment="1">
      <alignment horizontal="center"/>
    </xf>
    <xf numFmtId="44" fontId="15" fillId="0" borderId="12" xfId="0" applyNumberFormat="1" applyFont="1" applyBorder="1" applyAlignment="1">
      <alignment horizontal="center"/>
    </xf>
    <xf numFmtId="44" fontId="0" fillId="0" borderId="13" xfId="4" applyFont="1" applyFill="1" applyBorder="1" applyAlignment="1">
      <alignment horizontal="center"/>
    </xf>
    <xf numFmtId="0" fontId="0" fillId="13" borderId="0" xfId="0" applyFill="1" applyAlignment="1">
      <alignment horizontal="left" vertical="top"/>
    </xf>
    <xf numFmtId="0" fontId="0" fillId="0" borderId="0" xfId="0" applyAlignment="1">
      <alignment horizontal="left" vertical="top"/>
    </xf>
    <xf numFmtId="0" fontId="0" fillId="5" borderId="3" xfId="0" applyFill="1" applyBorder="1"/>
    <xf numFmtId="0" fontId="0" fillId="0" borderId="3" xfId="0" applyBorder="1"/>
    <xf numFmtId="0" fontId="0" fillId="14" borderId="0" xfId="0" applyFill="1" applyAlignment="1">
      <alignment horizontal="center" textRotation="90" wrapText="1"/>
    </xf>
    <xf numFmtId="0" fontId="25" fillId="14" borderId="0" xfId="0" applyFont="1" applyFill="1" applyAlignment="1">
      <alignment horizontal="left" textRotation="90" wrapText="1"/>
    </xf>
    <xf numFmtId="0" fontId="29" fillId="0" borderId="22" xfId="0" applyFont="1" applyBorder="1" applyAlignment="1" applyProtection="1">
      <alignment horizontal="center"/>
      <protection locked="0"/>
    </xf>
    <xf numFmtId="44" fontId="0" fillId="3" borderId="0" xfId="0" applyNumberFormat="1" applyFill="1"/>
    <xf numFmtId="44" fontId="0" fillId="3" borderId="0" xfId="3" applyNumberFormat="1" applyFont="1" applyFill="1" applyAlignment="1">
      <alignment horizontal="center"/>
    </xf>
    <xf numFmtId="44" fontId="2" fillId="0" borderId="14" xfId="0" applyNumberFormat="1" applyFont="1" applyBorder="1"/>
    <xf numFmtId="44" fontId="0" fillId="0" borderId="24" xfId="3" applyNumberFormat="1" applyFont="1" applyBorder="1" applyAlignment="1">
      <alignment horizontal="center"/>
    </xf>
    <xf numFmtId="44" fontId="0" fillId="0" borderId="25" xfId="3" applyNumberFormat="1" applyFont="1" applyBorder="1" applyAlignment="1">
      <alignment horizontal="center"/>
    </xf>
    <xf numFmtId="0" fontId="0" fillId="0" borderId="26" xfId="0" applyBorder="1" applyAlignment="1">
      <alignment horizontal="left"/>
    </xf>
    <xf numFmtId="44" fontId="0" fillId="0" borderId="13" xfId="3" applyNumberFormat="1" applyFont="1" applyBorder="1"/>
    <xf numFmtId="44" fontId="0" fillId="0" borderId="19" xfId="4" applyFont="1" applyBorder="1" applyAlignment="1">
      <alignment horizontal="center"/>
    </xf>
    <xf numFmtId="44" fontId="0" fillId="0" borderId="0" xfId="3" applyNumberFormat="1" applyFont="1" applyFill="1"/>
    <xf numFmtId="44" fontId="0" fillId="0" borderId="20" xfId="4" applyFont="1" applyFill="1" applyBorder="1" applyAlignment="1">
      <alignment horizontal="center"/>
    </xf>
    <xf numFmtId="44" fontId="0" fillId="0" borderId="0" xfId="4" applyFont="1" applyFill="1" applyAlignment="1">
      <alignment horizontal="center"/>
    </xf>
    <xf numFmtId="0" fontId="0" fillId="0" borderId="17" xfId="0" applyBorder="1" applyAlignment="1">
      <alignment horizontal="left"/>
    </xf>
    <xf numFmtId="44" fontId="30" fillId="0" borderId="14" xfId="4" applyFont="1" applyBorder="1"/>
    <xf numFmtId="44" fontId="5" fillId="0" borderId="14" xfId="4" applyFont="1" applyBorder="1"/>
    <xf numFmtId="44" fontId="4" fillId="0" borderId="18" xfId="4" applyFont="1" applyBorder="1" applyAlignment="1">
      <alignment horizontal="center"/>
    </xf>
    <xf numFmtId="0" fontId="31" fillId="0" borderId="0" xfId="0" applyFont="1"/>
    <xf numFmtId="0" fontId="31" fillId="0" borderId="0" xfId="0" applyFont="1" applyAlignment="1">
      <alignment horizontal="left"/>
    </xf>
    <xf numFmtId="0" fontId="32" fillId="0" borderId="0" xfId="0" applyFont="1"/>
    <xf numFmtId="43" fontId="32" fillId="0" borderId="0" xfId="3" applyFont="1"/>
    <xf numFmtId="0" fontId="31" fillId="0" borderId="0" xfId="0" applyFont="1" applyAlignment="1">
      <alignment horizontal="center"/>
    </xf>
    <xf numFmtId="44" fontId="2" fillId="0" borderId="3" xfId="4" applyFont="1" applyBorder="1"/>
    <xf numFmtId="0" fontId="2" fillId="15" borderId="5" xfId="0" applyFont="1" applyFill="1" applyBorder="1" applyAlignment="1">
      <alignment horizontal="center"/>
    </xf>
    <xf numFmtId="0" fontId="2" fillId="15" borderId="5" xfId="0" applyFont="1" applyFill="1" applyBorder="1" applyAlignment="1">
      <alignment horizontal="center" wrapText="1"/>
    </xf>
    <xf numFmtId="44" fontId="0" fillId="2" borderId="0" xfId="4" applyFont="1" applyFill="1" applyProtection="1">
      <protection locked="0"/>
    </xf>
    <xf numFmtId="44" fontId="4" fillId="0" borderId="0" xfId="4" applyFont="1" applyBorder="1" applyAlignment="1">
      <alignment horizontal="center"/>
    </xf>
    <xf numFmtId="44" fontId="4" fillId="0" borderId="3" xfId="0" applyNumberFormat="1" applyFont="1" applyBorder="1"/>
    <xf numFmtId="44" fontId="0" fillId="0" borderId="35" xfId="3" applyNumberFormat="1" applyFont="1" applyBorder="1"/>
    <xf numFmtId="44" fontId="0" fillId="0" borderId="3" xfId="3" applyNumberFormat="1" applyFont="1" applyBorder="1"/>
    <xf numFmtId="0" fontId="0" fillId="0" borderId="36" xfId="0" applyBorder="1" applyAlignment="1">
      <alignment horizontal="left"/>
    </xf>
    <xf numFmtId="44" fontId="0" fillId="0" borderId="34" xfId="4" applyFont="1" applyBorder="1" applyAlignment="1">
      <alignment horizontal="center"/>
    </xf>
    <xf numFmtId="0" fontId="0" fillId="0" borderId="3" xfId="0" applyBorder="1" applyAlignment="1">
      <alignment horizontal="left"/>
    </xf>
    <xf numFmtId="43" fontId="1" fillId="0" borderId="3" xfId="4" applyNumberFormat="1" applyFont="1" applyBorder="1" applyAlignment="1">
      <alignment horizontal="center"/>
    </xf>
    <xf numFmtId="44" fontId="0" fillId="0" borderId="35" xfId="3" applyNumberFormat="1" applyFont="1" applyFill="1" applyBorder="1"/>
    <xf numFmtId="44" fontId="0" fillId="0" borderId="3" xfId="3" applyNumberFormat="1" applyFont="1" applyFill="1" applyBorder="1"/>
    <xf numFmtId="44" fontId="0" fillId="0" borderId="34" xfId="4" applyFont="1" applyFill="1" applyBorder="1" applyAlignment="1">
      <alignment horizontal="center"/>
    </xf>
    <xf numFmtId="44" fontId="0" fillId="0" borderId="36" xfId="4" applyFont="1" applyFill="1" applyBorder="1" applyAlignment="1">
      <alignment horizontal="center"/>
    </xf>
    <xf numFmtId="43" fontId="1" fillId="0" borderId="3" xfId="4" applyNumberFormat="1" applyFont="1" applyFill="1" applyBorder="1" applyAlignment="1">
      <alignment horizontal="center"/>
    </xf>
    <xf numFmtId="44" fontId="0" fillId="0" borderId="35" xfId="4" applyFont="1" applyFill="1" applyBorder="1" applyAlignment="1">
      <alignment horizontal="center"/>
    </xf>
    <xf numFmtId="44" fontId="0" fillId="0" borderId="3" xfId="4" applyFont="1" applyFill="1" applyBorder="1" applyAlignment="1">
      <alignment horizontal="center"/>
    </xf>
    <xf numFmtId="44" fontId="0" fillId="0" borderId="38" xfId="3" applyNumberFormat="1" applyFont="1" applyBorder="1"/>
    <xf numFmtId="44" fontId="0" fillId="0" borderId="39" xfId="3" applyNumberFormat="1" applyFont="1" applyBorder="1"/>
    <xf numFmtId="0" fontId="0" fillId="0" borderId="40" xfId="0" applyBorder="1"/>
    <xf numFmtId="44" fontId="0" fillId="0" borderId="37" xfId="0" applyNumberFormat="1" applyBorder="1" applyAlignment="1">
      <alignment horizontal="center"/>
    </xf>
    <xf numFmtId="44" fontId="0" fillId="0" borderId="40" xfId="0" applyNumberFormat="1" applyBorder="1" applyAlignment="1">
      <alignment horizontal="center"/>
    </xf>
    <xf numFmtId="43" fontId="1" fillId="0" borderId="37" xfId="4" applyNumberFormat="1" applyFont="1" applyBorder="1" applyAlignment="1">
      <alignment horizontal="center"/>
    </xf>
    <xf numFmtId="44" fontId="0" fillId="0" borderId="38" xfId="0" applyNumberFormat="1" applyBorder="1" applyAlignment="1">
      <alignment horizontal="left"/>
    </xf>
    <xf numFmtId="44" fontId="0" fillId="0" borderId="39" xfId="0" applyNumberFormat="1" applyBorder="1" applyAlignment="1">
      <alignment horizontal="left"/>
    </xf>
    <xf numFmtId="44" fontId="0" fillId="0" borderId="40" xfId="0" applyNumberFormat="1" applyBorder="1" applyAlignment="1">
      <alignment horizontal="left"/>
    </xf>
    <xf numFmtId="43" fontId="1" fillId="0" borderId="37" xfId="0" applyNumberFormat="1" applyFont="1" applyBorder="1" applyAlignment="1">
      <alignment horizontal="left"/>
    </xf>
    <xf numFmtId="0" fontId="0" fillId="0" borderId="40" xfId="0" applyBorder="1" applyAlignment="1">
      <alignment horizontal="center"/>
    </xf>
    <xf numFmtId="44" fontId="0" fillId="0" borderId="37" xfId="0" applyNumberFormat="1" applyBorder="1" applyAlignment="1">
      <alignment horizontal="left"/>
    </xf>
    <xf numFmtId="44" fontId="0" fillId="0" borderId="39" xfId="4" applyFont="1" applyBorder="1"/>
    <xf numFmtId="0" fontId="0" fillId="0" borderId="37" xfId="0" applyBorder="1" applyAlignment="1">
      <alignment horizontal="center"/>
    </xf>
    <xf numFmtId="0" fontId="0" fillId="0" borderId="39" xfId="0" applyBorder="1" applyAlignment="1">
      <alignment horizontal="center"/>
    </xf>
    <xf numFmtId="44" fontId="0" fillId="0" borderId="37" xfId="3" applyNumberFormat="1" applyFont="1" applyBorder="1"/>
    <xf numFmtId="0" fontId="0" fillId="0" borderId="37" xfId="0" applyBorder="1"/>
    <xf numFmtId="49" fontId="6" fillId="0" borderId="13" xfId="0" applyNumberFormat="1" applyFont="1" applyBorder="1" applyAlignment="1">
      <alignment horizontal="center"/>
    </xf>
    <xf numFmtId="0" fontId="33" fillId="0" borderId="0" xfId="0" applyFont="1" applyAlignment="1">
      <alignment horizontal="left"/>
    </xf>
    <xf numFmtId="49" fontId="0" fillId="0" borderId="5" xfId="0" applyNumberFormat="1" applyBorder="1" applyAlignment="1">
      <alignment horizontal="center"/>
    </xf>
    <xf numFmtId="44" fontId="0" fillId="0" borderId="28" xfId="4" applyFont="1" applyBorder="1" applyAlignment="1">
      <alignment horizontal="center"/>
    </xf>
    <xf numFmtId="0" fontId="0" fillId="0" borderId="27" xfId="0" applyBorder="1" applyAlignment="1">
      <alignment horizontal="left"/>
    </xf>
    <xf numFmtId="43" fontId="1" fillId="0" borderId="19" xfId="4" applyNumberFormat="1" applyFont="1" applyBorder="1" applyAlignment="1">
      <alignment horizontal="center"/>
    </xf>
    <xf numFmtId="43" fontId="1" fillId="0" borderId="34" xfId="4" applyNumberFormat="1" applyFont="1" applyBorder="1" applyAlignment="1">
      <alignment horizontal="center"/>
    </xf>
    <xf numFmtId="43" fontId="1" fillId="0" borderId="19" xfId="4" applyNumberFormat="1" applyFont="1" applyFill="1" applyBorder="1" applyAlignment="1">
      <alignment horizontal="center"/>
    </xf>
    <xf numFmtId="43" fontId="1" fillId="0" borderId="34" xfId="4" applyNumberFormat="1" applyFont="1" applyFill="1" applyBorder="1" applyAlignment="1">
      <alignment horizontal="center"/>
    </xf>
    <xf numFmtId="43" fontId="2" fillId="3" borderId="5" xfId="3" applyFont="1" applyFill="1" applyBorder="1" applyAlignment="1">
      <alignment wrapText="1"/>
    </xf>
    <xf numFmtId="44" fontId="2" fillId="0" borderId="21" xfId="0" applyNumberFormat="1" applyFont="1" applyBorder="1" applyAlignment="1">
      <alignment horizontal="center"/>
    </xf>
    <xf numFmtId="43" fontId="1" fillId="0" borderId="0" xfId="4" applyNumberFormat="1" applyFont="1" applyBorder="1" applyAlignment="1">
      <alignment horizontal="center"/>
    </xf>
    <xf numFmtId="0" fontId="2" fillId="15" borderId="5" xfId="0" applyFont="1" applyFill="1" applyBorder="1" applyAlignment="1">
      <alignment horizontal="left" wrapText="1"/>
    </xf>
    <xf numFmtId="0" fontId="0" fillId="2" borderId="0" xfId="0" applyFill="1" applyAlignment="1">
      <alignment horizontal="left"/>
    </xf>
    <xf numFmtId="44" fontId="2" fillId="0" borderId="0" xfId="4" applyFont="1" applyFill="1" applyBorder="1"/>
    <xf numFmtId="44" fontId="4" fillId="16" borderId="5" xfId="3" applyNumberFormat="1" applyFont="1" applyFill="1" applyBorder="1" applyAlignment="1">
      <alignment horizontal="center"/>
    </xf>
    <xf numFmtId="44" fontId="1" fillId="16" borderId="5" xfId="3" applyNumberFormat="1" applyFont="1" applyFill="1" applyBorder="1" applyAlignment="1">
      <alignment horizontal="center"/>
    </xf>
    <xf numFmtId="14" fontId="2" fillId="16" borderId="5" xfId="0" applyNumberFormat="1" applyFont="1" applyFill="1" applyBorder="1" applyAlignment="1">
      <alignment horizontal="center"/>
    </xf>
    <xf numFmtId="44" fontId="2" fillId="16" borderId="5" xfId="0" applyNumberFormat="1" applyFont="1" applyFill="1" applyBorder="1" applyAlignment="1">
      <alignment horizontal="center"/>
    </xf>
    <xf numFmtId="44" fontId="4" fillId="0" borderId="19" xfId="3" applyNumberFormat="1" applyFont="1" applyBorder="1"/>
    <xf numFmtId="43" fontId="1" fillId="0" borderId="41" xfId="4" applyNumberFormat="1" applyFont="1" applyBorder="1" applyAlignment="1">
      <alignment horizontal="center"/>
    </xf>
    <xf numFmtId="0" fontId="4" fillId="8" borderId="5" xfId="0" applyFont="1" applyFill="1" applyBorder="1" applyAlignment="1">
      <alignment horizontal="center"/>
    </xf>
    <xf numFmtId="44" fontId="4" fillId="0" borderId="13" xfId="4" applyFont="1" applyBorder="1" applyAlignment="1">
      <alignment horizontal="center"/>
    </xf>
    <xf numFmtId="44" fontId="4" fillId="0" borderId="29" xfId="4" applyFont="1" applyBorder="1" applyAlignment="1">
      <alignment horizontal="center"/>
    </xf>
    <xf numFmtId="1" fontId="4" fillId="0" borderId="24" xfId="3" applyNumberFormat="1" applyFont="1" applyBorder="1" applyAlignment="1">
      <alignment horizontal="center"/>
    </xf>
    <xf numFmtId="0" fontId="4" fillId="5" borderId="24" xfId="0" applyFont="1" applyFill="1" applyBorder="1" applyAlignment="1">
      <alignment horizontal="center"/>
    </xf>
    <xf numFmtId="44" fontId="4" fillId="0" borderId="12" xfId="0" applyNumberFormat="1" applyFont="1" applyBorder="1" applyAlignment="1">
      <alignment horizontal="left"/>
    </xf>
    <xf numFmtId="0" fontId="2" fillId="17" borderId="5" xfId="0" applyFont="1" applyFill="1" applyBorder="1" applyAlignment="1">
      <alignment horizontal="center"/>
    </xf>
    <xf numFmtId="0" fontId="5" fillId="5" borderId="5" xfId="0" applyFont="1" applyFill="1" applyBorder="1" applyAlignment="1">
      <alignment horizontal="center"/>
    </xf>
    <xf numFmtId="43" fontId="0" fillId="0" borderId="25" xfId="3" applyFont="1" applyBorder="1"/>
    <xf numFmtId="44" fontId="34" fillId="0" borderId="0" xfId="0" applyNumberFormat="1" applyFont="1"/>
    <xf numFmtId="44" fontId="35" fillId="0" borderId="0" xfId="0" applyNumberFormat="1" applyFont="1"/>
    <xf numFmtId="166" fontId="0" fillId="0" borderId="5" xfId="0" applyNumberFormat="1" applyBorder="1" applyAlignment="1">
      <alignment horizontal="center"/>
    </xf>
    <xf numFmtId="0" fontId="0" fillId="0" borderId="13" xfId="0" applyBorder="1"/>
    <xf numFmtId="49" fontId="6" fillId="0" borderId="21" xfId="0" applyNumberFormat="1" applyFont="1" applyBorder="1" applyAlignment="1">
      <alignment horizontal="center"/>
    </xf>
    <xf numFmtId="44" fontId="4" fillId="0" borderId="23" xfId="4" applyFont="1" applyFill="1" applyBorder="1" applyAlignment="1">
      <alignment horizontal="center"/>
    </xf>
    <xf numFmtId="0" fontId="0" fillId="0" borderId="42" xfId="0" applyBorder="1" applyAlignment="1">
      <alignment horizontal="center"/>
    </xf>
    <xf numFmtId="44" fontId="4" fillId="0" borderId="43" xfId="0" applyNumberFormat="1" applyFont="1" applyBorder="1" applyAlignment="1">
      <alignment horizontal="center"/>
    </xf>
    <xf numFmtId="43" fontId="34" fillId="0" borderId="0" xfId="0" applyNumberFormat="1" applyFont="1"/>
    <xf numFmtId="0" fontId="0" fillId="18" borderId="0" xfId="0" applyFill="1"/>
    <xf numFmtId="43" fontId="1" fillId="18" borderId="0" xfId="3" applyFont="1" applyFill="1"/>
    <xf numFmtId="0" fontId="0" fillId="0" borderId="25" xfId="0" applyBorder="1"/>
    <xf numFmtId="0" fontId="37" fillId="0" borderId="5" xfId="0" applyFont="1" applyBorder="1" applyAlignment="1">
      <alignment horizontal="center" vertical="top" wrapText="1" readingOrder="1"/>
    </xf>
    <xf numFmtId="0" fontId="38" fillId="0" borderId="5" xfId="0" applyFont="1" applyBorder="1" applyAlignment="1">
      <alignment horizontal="center" vertical="top" wrapText="1" readingOrder="1"/>
    </xf>
    <xf numFmtId="0" fontId="0" fillId="0" borderId="20" xfId="0" applyBorder="1"/>
    <xf numFmtId="44" fontId="0" fillId="0" borderId="42" xfId="0" applyNumberFormat="1" applyBorder="1"/>
    <xf numFmtId="44" fontId="0" fillId="0" borderId="14" xfId="0" applyNumberFormat="1" applyBorder="1"/>
    <xf numFmtId="44" fontId="0" fillId="0" borderId="43" xfId="0" applyNumberFormat="1" applyBorder="1"/>
    <xf numFmtId="43" fontId="0" fillId="0" borderId="13" xfId="3" applyFont="1" applyBorder="1"/>
    <xf numFmtId="43" fontId="0" fillId="0" borderId="0" xfId="3" applyFont="1" applyBorder="1"/>
    <xf numFmtId="43" fontId="0" fillId="0" borderId="20" xfId="3" applyFont="1" applyBorder="1"/>
    <xf numFmtId="43" fontId="39" fillId="0" borderId="0" xfId="0" applyNumberFormat="1" applyFont="1"/>
    <xf numFmtId="43" fontId="39" fillId="0" borderId="14" xfId="0" applyNumberFormat="1" applyFont="1" applyBorder="1"/>
    <xf numFmtId="0" fontId="2" fillId="0" borderId="18" xfId="0" applyFont="1" applyBorder="1" applyAlignment="1">
      <alignment horizontal="centerContinuous"/>
    </xf>
    <xf numFmtId="0" fontId="0" fillId="0" borderId="12" xfId="0" applyBorder="1" applyAlignment="1">
      <alignment horizontal="center"/>
    </xf>
    <xf numFmtId="43" fontId="0" fillId="0" borderId="12" xfId="3" applyFont="1" applyBorder="1"/>
    <xf numFmtId="0" fontId="40" fillId="19" borderId="0" xfId="0" applyFont="1" applyFill="1"/>
    <xf numFmtId="44" fontId="40" fillId="19" borderId="0" xfId="4" applyFont="1" applyFill="1"/>
    <xf numFmtId="44" fontId="41" fillId="0" borderId="0" xfId="0" applyNumberFormat="1" applyFont="1"/>
    <xf numFmtId="44" fontId="42" fillId="0" borderId="0" xfId="0" applyNumberFormat="1" applyFont="1"/>
    <xf numFmtId="0" fontId="2" fillId="0" borderId="33" xfId="0" applyFont="1" applyBorder="1"/>
    <xf numFmtId="43" fontId="2" fillId="0" borderId="33" xfId="3" applyFont="1" applyBorder="1"/>
    <xf numFmtId="44" fontId="2" fillId="7" borderId="24" xfId="3" applyNumberFormat="1" applyFont="1" applyFill="1" applyBorder="1" applyAlignment="1">
      <alignment horizontal="center"/>
    </xf>
    <xf numFmtId="44" fontId="2" fillId="7" borderId="25" xfId="3" applyNumberFormat="1" applyFont="1" applyFill="1" applyBorder="1" applyAlignment="1">
      <alignment horizontal="center"/>
    </xf>
    <xf numFmtId="0" fontId="2" fillId="7" borderId="26" xfId="0" applyFont="1" applyFill="1" applyBorder="1" applyAlignment="1">
      <alignment horizontal="left"/>
    </xf>
    <xf numFmtId="0" fontId="2" fillId="20" borderId="5" xfId="0" applyFont="1" applyFill="1" applyBorder="1" applyAlignment="1">
      <alignment horizontal="center"/>
    </xf>
    <xf numFmtId="0" fontId="2" fillId="6" borderId="5" xfId="0" applyFont="1" applyFill="1" applyBorder="1" applyAlignment="1">
      <alignment horizontal="center" vertical="center" wrapText="1"/>
    </xf>
    <xf numFmtId="43" fontId="2" fillId="3" borderId="5" xfId="3" applyFont="1" applyFill="1" applyBorder="1" applyAlignment="1">
      <alignment horizontal="center" vertical="center" wrapText="1"/>
    </xf>
    <xf numFmtId="0" fontId="2" fillId="0" borderId="0" xfId="0" applyFont="1" applyAlignment="1">
      <alignment horizontal="center" vertical="center" wrapText="1"/>
    </xf>
    <xf numFmtId="0" fontId="2" fillId="3" borderId="5" xfId="0" applyFont="1" applyFill="1" applyBorder="1" applyAlignment="1">
      <alignment horizontal="center" vertical="center"/>
    </xf>
    <xf numFmtId="43" fontId="2" fillId="3" borderId="5" xfId="3" applyFont="1" applyFill="1" applyBorder="1" applyAlignment="1">
      <alignment horizontal="center" vertical="center"/>
    </xf>
    <xf numFmtId="0" fontId="2" fillId="0" borderId="0" xfId="0" applyFont="1" applyAlignment="1">
      <alignment horizontal="center" vertical="center"/>
    </xf>
    <xf numFmtId="43" fontId="2" fillId="21" borderId="7" xfId="3" applyFont="1" applyFill="1" applyBorder="1" applyAlignment="1">
      <alignment horizontal="center" vertical="center" readingOrder="1"/>
    </xf>
    <xf numFmtId="43" fontId="2" fillId="21" borderId="11" xfId="3" applyFont="1" applyFill="1" applyBorder="1" applyAlignment="1">
      <alignment horizontal="center" vertical="center" readingOrder="1"/>
    </xf>
    <xf numFmtId="0" fontId="2" fillId="21" borderId="11" xfId="0" applyFont="1" applyFill="1" applyBorder="1" applyAlignment="1">
      <alignment horizontal="center" vertical="center" readingOrder="1"/>
    </xf>
    <xf numFmtId="44" fontId="2" fillId="15" borderId="14" xfId="4" applyFont="1" applyFill="1" applyBorder="1"/>
    <xf numFmtId="44" fontId="2" fillId="15" borderId="14" xfId="0" applyNumberFormat="1" applyFont="1" applyFill="1" applyBorder="1"/>
    <xf numFmtId="44" fontId="5" fillId="15" borderId="14" xfId="4" applyFont="1" applyFill="1" applyBorder="1"/>
    <xf numFmtId="44" fontId="2" fillId="3" borderId="14" xfId="0" applyNumberFormat="1" applyFont="1" applyFill="1" applyBorder="1"/>
    <xf numFmtId="0" fontId="11" fillId="0" borderId="0" xfId="6" applyFill="1" applyAlignment="1">
      <alignment horizontal="left"/>
    </xf>
    <xf numFmtId="43" fontId="2" fillId="0" borderId="0" xfId="3" applyFont="1" applyFill="1" applyBorder="1"/>
    <xf numFmtId="43" fontId="2" fillId="2" borderId="2" xfId="3" applyFont="1" applyFill="1" applyBorder="1"/>
    <xf numFmtId="0" fontId="21" fillId="0" borderId="0" xfId="6" applyFont="1" applyFill="1" applyAlignment="1">
      <alignment horizontal="left"/>
    </xf>
    <xf numFmtId="0" fontId="21" fillId="0" borderId="0" xfId="6" applyFont="1" applyFill="1" applyAlignment="1">
      <alignment horizontal="center"/>
    </xf>
    <xf numFmtId="0" fontId="13" fillId="2" borderId="0" xfId="0" applyFont="1" applyFill="1"/>
    <xf numFmtId="0" fontId="4" fillId="0" borderId="0" xfId="6" applyFont="1" applyFill="1" applyAlignment="1">
      <alignment horizontal="left"/>
    </xf>
    <xf numFmtId="0" fontId="43" fillId="2" borderId="0" xfId="6" applyFont="1" applyFill="1" applyAlignment="1">
      <alignment horizontal="left"/>
    </xf>
    <xf numFmtId="14" fontId="0" fillId="0" borderId="0" xfId="4" applyNumberFormat="1" applyFont="1" applyFill="1"/>
    <xf numFmtId="44" fontId="2" fillId="0" borderId="0" xfId="4" applyFont="1" applyFill="1"/>
    <xf numFmtId="0" fontId="2" fillId="22" borderId="5" xfId="0" applyFont="1" applyFill="1" applyBorder="1" applyAlignment="1">
      <alignment horizontal="center" vertical="center" wrapText="1"/>
    </xf>
    <xf numFmtId="0" fontId="2" fillId="22" borderId="5" xfId="0" applyFont="1" applyFill="1" applyBorder="1" applyAlignment="1">
      <alignment horizontal="center" vertical="center"/>
    </xf>
    <xf numFmtId="0" fontId="5" fillId="22" borderId="5" xfId="0" applyFont="1" applyFill="1" applyBorder="1" applyAlignment="1">
      <alignment horizontal="center" vertical="center"/>
    </xf>
    <xf numFmtId="0" fontId="5" fillId="22" borderId="5" xfId="0" applyFont="1" applyFill="1" applyBorder="1" applyAlignment="1">
      <alignment horizontal="center" vertical="center" wrapText="1"/>
    </xf>
    <xf numFmtId="43" fontId="2" fillId="22" borderId="5" xfId="3" applyFont="1" applyFill="1" applyBorder="1" applyAlignment="1">
      <alignment horizontal="center" vertical="center" wrapText="1"/>
    </xf>
    <xf numFmtId="43" fontId="2" fillId="6" borderId="5" xfId="3" applyFont="1" applyFill="1" applyBorder="1" applyAlignment="1">
      <alignment horizontal="center" vertical="center" wrapText="1"/>
    </xf>
    <xf numFmtId="0" fontId="5" fillId="6" borderId="5" xfId="0" applyFont="1" applyFill="1" applyBorder="1" applyAlignment="1">
      <alignment horizontal="center" vertical="center" wrapText="1"/>
    </xf>
    <xf numFmtId="43" fontId="2" fillId="6" borderId="5" xfId="3" applyFont="1" applyFill="1" applyBorder="1"/>
    <xf numFmtId="0" fontId="2" fillId="6" borderId="5" xfId="0" applyFont="1" applyFill="1" applyBorder="1" applyAlignment="1">
      <alignment wrapText="1"/>
    </xf>
    <xf numFmtId="43" fontId="2" fillId="6" borderId="5" xfId="3" applyFont="1" applyFill="1" applyBorder="1" applyAlignment="1">
      <alignment horizontal="center" vertical="center"/>
    </xf>
    <xf numFmtId="0" fontId="5" fillId="6" borderId="5" xfId="0" applyFont="1" applyFill="1" applyBorder="1" applyAlignment="1">
      <alignment horizontal="center" vertical="center"/>
    </xf>
    <xf numFmtId="0" fontId="5" fillId="6" borderId="11" xfId="0" applyFont="1" applyFill="1" applyBorder="1" applyAlignment="1">
      <alignment horizontal="center" vertical="center"/>
    </xf>
    <xf numFmtId="0" fontId="2" fillId="6" borderId="11" xfId="0" applyFont="1" applyFill="1" applyBorder="1" applyAlignment="1">
      <alignment horizontal="center" vertical="center" readingOrder="1"/>
    </xf>
    <xf numFmtId="0" fontId="2" fillId="19" borderId="7" xfId="0" applyFont="1" applyFill="1" applyBorder="1" applyAlignment="1">
      <alignment horizontal="center" vertical="center" readingOrder="1"/>
    </xf>
    <xf numFmtId="0" fontId="2" fillId="19" borderId="45" xfId="0" applyFont="1" applyFill="1" applyBorder="1" applyAlignment="1">
      <alignment horizontal="center" vertical="center" readingOrder="1"/>
    </xf>
    <xf numFmtId="0" fontId="2" fillId="19" borderId="11" xfId="0" applyFont="1" applyFill="1" applyBorder="1" applyAlignment="1">
      <alignment horizontal="center" vertical="center" wrapText="1" readingOrder="1"/>
    </xf>
    <xf numFmtId="0" fontId="2" fillId="19" borderId="11" xfId="0" applyFont="1" applyFill="1" applyBorder="1" applyAlignment="1">
      <alignment horizontal="center" vertical="center" readingOrder="1"/>
    </xf>
    <xf numFmtId="0" fontId="2" fillId="19" borderId="44" xfId="0" applyFont="1" applyFill="1" applyBorder="1" applyAlignment="1">
      <alignment horizontal="center" vertical="center" readingOrder="1"/>
    </xf>
    <xf numFmtId="167" fontId="0" fillId="0" borderId="0" xfId="0" applyNumberFormat="1"/>
    <xf numFmtId="43" fontId="0" fillId="0" borderId="0" xfId="3" applyFont="1" applyFill="1" applyAlignment="1"/>
    <xf numFmtId="0" fontId="2" fillId="22" borderId="5" xfId="0" applyFont="1" applyFill="1" applyBorder="1"/>
    <xf numFmtId="167" fontId="2" fillId="22" borderId="5" xfId="0" applyNumberFormat="1" applyFont="1" applyFill="1" applyBorder="1"/>
    <xf numFmtId="0" fontId="5" fillId="22" borderId="5" xfId="0" applyFont="1" applyFill="1" applyBorder="1" applyAlignment="1">
      <alignment horizontal="center"/>
    </xf>
    <xf numFmtId="0" fontId="2" fillId="22" borderId="5" xfId="0" applyFont="1" applyFill="1" applyBorder="1" applyAlignment="1">
      <alignment horizontal="left"/>
    </xf>
    <xf numFmtId="43" fontId="2" fillId="22" borderId="5" xfId="3" applyFont="1" applyFill="1" applyBorder="1" applyAlignment="1"/>
    <xf numFmtId="167" fontId="0" fillId="0" borderId="5" xfId="0" applyNumberFormat="1" applyBorder="1"/>
    <xf numFmtId="43" fontId="0" fillId="0" borderId="5" xfId="3" applyFont="1" applyFill="1" applyBorder="1" applyAlignment="1"/>
    <xf numFmtId="0" fontId="0" fillId="0" borderId="0" xfId="0">
      <extLst>
        <ext xmlns:xfpb="http://schemas.microsoft.com/office/spreadsheetml/2022/featurepropertybag" uri="{C7286773-470A-42A8-94C5-96B5CB345126}">
          <xfpb:xfComplement i="0"/>
        </ext>
      </extLst>
    </xf>
    <xf numFmtId="0" fontId="44" fillId="0" borderId="0" xfId="0" applyFont="1" applyAlignment="1">
      <alignment horizontal="left" vertical="center"/>
    </xf>
    <xf numFmtId="44" fontId="44" fillId="0" borderId="0" xfId="4" applyFont="1" applyAlignment="1">
      <alignment horizontal="left" vertical="center"/>
    </xf>
    <xf numFmtId="0" fontId="0" fillId="0" borderId="0" xfId="0" applyAlignment="1">
      <alignment horizontal="left" vertical="center"/>
    </xf>
    <xf numFmtId="14" fontId="29" fillId="16" borderId="0" xfId="0" applyNumberFormat="1" applyFont="1" applyFill="1" applyAlignment="1">
      <alignment horizontal="left" vertical="center"/>
    </xf>
    <xf numFmtId="0" fontId="29" fillId="16" borderId="0" xfId="0" applyFont="1" applyFill="1" applyAlignment="1">
      <alignment horizontal="left" vertical="center"/>
    </xf>
    <xf numFmtId="0" fontId="29" fillId="16" borderId="0" xfId="0" applyFont="1" applyFill="1" applyAlignment="1">
      <alignment horizontal="right" vertical="center" wrapText="1"/>
    </xf>
    <xf numFmtId="0" fontId="8" fillId="16" borderId="0" xfId="0" applyFont="1" applyFill="1" applyAlignment="1">
      <alignment horizontal="left" vertical="center"/>
    </xf>
    <xf numFmtId="0" fontId="8" fillId="16" borderId="0" xfId="0" applyFont="1" applyFill="1"/>
    <xf numFmtId="0" fontId="20" fillId="0" borderId="0" xfId="0" applyFont="1" applyAlignment="1">
      <alignment horizontal="left"/>
    </xf>
    <xf numFmtId="14" fontId="20" fillId="0" borderId="0" xfId="0" applyNumberFormat="1" applyFont="1" applyAlignment="1">
      <alignment horizontal="left"/>
    </xf>
    <xf numFmtId="0" fontId="8" fillId="16" borderId="0" xfId="0" applyFont="1" applyFill="1" applyAlignment="1">
      <alignment horizontal="center"/>
    </xf>
    <xf numFmtId="14" fontId="0" fillId="0" borderId="0" xfId="0" applyNumberFormat="1" applyAlignment="1">
      <alignment horizontal="center"/>
    </xf>
    <xf numFmtId="43" fontId="2" fillId="5" borderId="22" xfId="3" applyFont="1" applyFill="1" applyBorder="1" applyAlignment="1">
      <alignment horizontal="center"/>
    </xf>
    <xf numFmtId="0" fontId="2" fillId="23" borderId="22" xfId="0" applyFont="1" applyFill="1" applyBorder="1" applyAlignment="1">
      <alignment horizontal="centerContinuous"/>
    </xf>
    <xf numFmtId="0" fontId="48" fillId="0" borderId="0" xfId="0" applyFont="1"/>
    <xf numFmtId="0" fontId="49" fillId="0" borderId="0" xfId="0" applyFont="1"/>
    <xf numFmtId="167" fontId="49" fillId="0" borderId="0" xfId="0" applyNumberFormat="1" applyFont="1"/>
    <xf numFmtId="0" fontId="50" fillId="0" borderId="0" xfId="0" applyFont="1"/>
    <xf numFmtId="0" fontId="49" fillId="0" borderId="0" xfId="0" applyFont="1" applyAlignment="1">
      <alignment horizontal="left"/>
    </xf>
    <xf numFmtId="43" fontId="49" fillId="0" borderId="0" xfId="3" applyFont="1" applyFill="1" applyAlignment="1"/>
    <xf numFmtId="0" fontId="0" fillId="23" borderId="0" xfId="0" applyFill="1"/>
    <xf numFmtId="43" fontId="0" fillId="23" borderId="0" xfId="3" applyFont="1" applyFill="1"/>
    <xf numFmtId="0" fontId="0" fillId="23" borderId="0" xfId="0" applyFill="1" applyAlignment="1">
      <alignment horizontal="center"/>
    </xf>
    <xf numFmtId="43" fontId="2" fillId="6" borderId="12" xfId="3" applyFont="1" applyFill="1" applyBorder="1"/>
    <xf numFmtId="43" fontId="2" fillId="0" borderId="2" xfId="3" applyFont="1" applyBorder="1"/>
    <xf numFmtId="43" fontId="2" fillId="0" borderId="3" xfId="3" applyFont="1" applyBorder="1"/>
    <xf numFmtId="43" fontId="2" fillId="23" borderId="4" xfId="3" applyFont="1" applyFill="1" applyBorder="1"/>
    <xf numFmtId="0" fontId="2" fillId="23" borderId="0" xfId="0" applyFont="1" applyFill="1"/>
    <xf numFmtId="43" fontId="2" fillId="23" borderId="22" xfId="3" applyFont="1" applyFill="1" applyBorder="1" applyAlignment="1">
      <alignment horizontal="center"/>
    </xf>
    <xf numFmtId="0" fontId="51" fillId="0" borderId="0" xfId="0" applyFont="1"/>
    <xf numFmtId="0" fontId="46" fillId="0" borderId="0" xfId="0" applyFont="1"/>
    <xf numFmtId="0" fontId="47" fillId="0" borderId="0" xfId="0" applyFont="1"/>
    <xf numFmtId="0" fontId="2" fillId="22" borderId="12" xfId="0" applyFont="1" applyFill="1" applyBorder="1" applyAlignment="1">
      <alignment horizontal="center" vertical="center"/>
    </xf>
    <xf numFmtId="0" fontId="0" fillId="0" borderId="30" xfId="0" applyBorder="1" applyAlignment="1">
      <alignment horizontal="center"/>
    </xf>
    <xf numFmtId="14" fontId="0" fillId="0" borderId="32" xfId="0" applyNumberFormat="1" applyBorder="1"/>
    <xf numFmtId="0" fontId="0" fillId="0" borderId="5" xfId="0" applyBorder="1" applyAlignment="1">
      <alignment horizontal="center" vertical="center"/>
    </xf>
    <xf numFmtId="0" fontId="2" fillId="22" borderId="12" xfId="0" applyFont="1" applyFill="1" applyBorder="1" applyAlignment="1">
      <alignment horizontal="center" vertical="center" wrapText="1"/>
    </xf>
    <xf numFmtId="1" fontId="0" fillId="0" borderId="0" xfId="0" applyNumberFormat="1" applyAlignment="1">
      <alignment horizontal="center"/>
    </xf>
    <xf numFmtId="0" fontId="29" fillId="24" borderId="0" xfId="0" applyFont="1" applyFill="1" applyAlignment="1">
      <alignment horizontal="right" vertical="center" wrapText="1"/>
    </xf>
    <xf numFmtId="44" fontId="44" fillId="24" borderId="0" xfId="4" applyFont="1" applyFill="1" applyAlignment="1">
      <alignment horizontal="left" vertical="center"/>
    </xf>
    <xf numFmtId="0" fontId="8" fillId="24" borderId="0" xfId="0" applyFont="1" applyFill="1" applyAlignment="1">
      <alignment horizontal="center"/>
    </xf>
    <xf numFmtId="14" fontId="0" fillId="24" borderId="0" xfId="0" applyNumberFormat="1" applyFill="1" applyAlignment="1">
      <alignment horizontal="center"/>
    </xf>
    <xf numFmtId="0" fontId="7" fillId="0" borderId="0" xfId="0" applyFont="1" applyAlignment="1">
      <alignment horizontal="left"/>
    </xf>
    <xf numFmtId="0" fontId="12" fillId="0" borderId="0" xfId="0" applyFont="1" applyAlignment="1">
      <alignment horizontal="center"/>
    </xf>
    <xf numFmtId="0" fontId="2" fillId="0" borderId="0" xfId="0" applyFont="1" applyAlignment="1">
      <alignment horizontal="center"/>
    </xf>
    <xf numFmtId="0" fontId="23" fillId="13" borderId="0" xfId="0" applyFont="1" applyFill="1" applyAlignment="1">
      <alignment horizontal="center" vertical="top" wrapText="1"/>
    </xf>
    <xf numFmtId="0" fontId="0" fillId="14" borderId="0" xfId="0" applyFill="1" applyAlignment="1">
      <alignment vertical="top" wrapText="1"/>
    </xf>
    <xf numFmtId="0" fontId="25" fillId="14" borderId="0" xfId="0" applyFont="1" applyFill="1" applyAlignment="1">
      <alignment horizontal="center" textRotation="90" wrapText="1"/>
    </xf>
    <xf numFmtId="0" fontId="2" fillId="0" borderId="0" xfId="0" applyFont="1"/>
    <xf numFmtId="0" fontId="0" fillId="14" borderId="0" xfId="0" applyFill="1" applyAlignment="1">
      <alignment horizontal="center" textRotation="90" wrapText="1"/>
    </xf>
    <xf numFmtId="0" fontId="29" fillId="0" borderId="0" xfId="0" applyFont="1" applyAlignment="1" applyProtection="1">
      <alignment horizontal="center"/>
      <protection locked="0"/>
    </xf>
    <xf numFmtId="0" fontId="28" fillId="14" borderId="0" xfId="0" applyFont="1" applyFill="1" applyAlignment="1">
      <alignment horizontal="center" textRotation="90" wrapText="1"/>
    </xf>
    <xf numFmtId="0" fontId="0" fillId="0" borderId="24"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2" fillId="12" borderId="0" xfId="0" applyFont="1" applyFill="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4" fillId="0" borderId="33" xfId="0" applyFont="1" applyBorder="1" applyAlignment="1">
      <alignment horizontal="left"/>
    </xf>
    <xf numFmtId="0" fontId="2" fillId="0" borderId="22" xfId="0" applyFont="1" applyBorder="1" applyAlignment="1">
      <alignment horizontal="center"/>
    </xf>
    <xf numFmtId="0" fontId="2" fillId="0" borderId="23" xfId="0" applyFont="1" applyBorder="1" applyAlignment="1">
      <alignment horizontal="center"/>
    </xf>
    <xf numFmtId="0" fontId="4" fillId="0" borderId="0" xfId="0" applyFont="1" applyAlignment="1">
      <alignment horizontal="left"/>
    </xf>
    <xf numFmtId="0" fontId="50" fillId="23" borderId="0" xfId="0" applyFont="1" applyFill="1" applyAlignment="1">
      <alignment horizontal="left" vertical="top" wrapText="1"/>
    </xf>
    <xf numFmtId="0" fontId="4" fillId="0" borderId="24" xfId="0" applyFont="1" applyBorder="1" applyAlignment="1">
      <alignment horizontal="center"/>
    </xf>
    <xf numFmtId="0" fontId="4" fillId="0" borderId="25" xfId="0" applyFont="1" applyBorder="1" applyAlignment="1">
      <alignment horizontal="center"/>
    </xf>
    <xf numFmtId="0" fontId="4" fillId="0" borderId="26" xfId="0" applyFont="1" applyBorder="1" applyAlignment="1">
      <alignment horizontal="center"/>
    </xf>
    <xf numFmtId="0" fontId="4" fillId="16" borderId="26" xfId="0" applyFont="1" applyFill="1" applyBorder="1" applyAlignment="1">
      <alignment horizontal="center"/>
    </xf>
    <xf numFmtId="0" fontId="4" fillId="16" borderId="5" xfId="0" applyFont="1" applyFill="1" applyBorder="1" applyAlignment="1">
      <alignment horizontal="center"/>
    </xf>
    <xf numFmtId="43" fontId="45" fillId="23" borderId="46" xfId="3" applyFont="1" applyFill="1" applyBorder="1" applyAlignment="1">
      <alignment horizontal="center" vertical="center"/>
    </xf>
    <xf numFmtId="43" fontId="45" fillId="23" borderId="47" xfId="3" applyFont="1" applyFill="1" applyBorder="1" applyAlignment="1">
      <alignment horizontal="center" vertical="center"/>
    </xf>
    <xf numFmtId="43" fontId="45" fillId="23" borderId="48" xfId="3" applyFont="1" applyFill="1" applyBorder="1" applyAlignment="1">
      <alignment horizontal="center" vertical="center"/>
    </xf>
    <xf numFmtId="0" fontId="2" fillId="11" borderId="0" xfId="0" applyFont="1" applyFill="1" applyAlignment="1">
      <alignment horizontal="center" wrapText="1"/>
    </xf>
    <xf numFmtId="43" fontId="2" fillId="5" borderId="22" xfId="3" applyFont="1" applyFill="1" applyBorder="1" applyAlignment="1">
      <alignment horizontal="center"/>
    </xf>
    <xf numFmtId="0" fontId="50" fillId="0" borderId="0" xfId="0" applyFont="1" applyAlignment="1">
      <alignment horizontal="left"/>
    </xf>
    <xf numFmtId="0" fontId="2" fillId="4" borderId="0" xfId="0" applyFont="1" applyFill="1" applyAlignment="1">
      <alignment horizontal="left" vertical="top" wrapText="1"/>
    </xf>
  </cellXfs>
  <cellStyles count="7">
    <cellStyle name="Comma" xfId="3" builtinId="3"/>
    <cellStyle name="Comma 3" xfId="2" xr:uid="{747F65C7-1169-4EE9-8E97-F2D3F15A9FD1}"/>
    <cellStyle name="Currency" xfId="4" builtinId="4"/>
    <cellStyle name="Hyperlink" xfId="6" builtinId="8"/>
    <cellStyle name="Normal" xfId="0" builtinId="0"/>
    <cellStyle name="Normal 3" xfId="1" xr:uid="{CADB1B0C-653D-42D0-8F14-B782D38BCCBF}"/>
    <cellStyle name="Percent" xfId="5" builtinId="5"/>
  </cellStyles>
  <dxfs count="182">
    <dxf>
      <fill>
        <patternFill>
          <bgColor theme="9" tint="0.39994506668294322"/>
        </patternFill>
      </fill>
    </dxf>
    <dxf>
      <fill>
        <patternFill>
          <bgColor theme="9" tint="0.39994506668294322"/>
        </patternFill>
      </fill>
    </dxf>
    <dxf>
      <fill>
        <patternFill>
          <bgColor rgb="FFFFC7CE"/>
        </patternFill>
      </fill>
    </dxf>
    <dxf>
      <fill>
        <patternFill>
          <bgColor theme="8" tint="0.39994506668294322"/>
        </patternFill>
      </fill>
    </dxf>
    <dxf>
      <fill>
        <patternFill>
          <bgColor rgb="FFFFC7CE"/>
        </patternFill>
      </fill>
    </dxf>
    <dxf>
      <fill>
        <patternFill>
          <bgColor theme="9" tint="0.39994506668294322"/>
        </patternFill>
      </fill>
    </dxf>
    <dxf>
      <fill>
        <patternFill>
          <bgColor theme="7" tint="0.59996337778862885"/>
        </patternFill>
      </fill>
    </dxf>
    <dxf>
      <fill>
        <patternFill>
          <bgColor theme="9" tint="0.39994506668294322"/>
        </patternFill>
      </fill>
    </dxf>
    <dxf>
      <fill>
        <patternFill>
          <bgColor rgb="FFFFC7CE"/>
        </patternFill>
      </fill>
    </dxf>
    <dxf>
      <fill>
        <patternFill>
          <bgColor rgb="FFFFC7CE"/>
        </patternFill>
      </fill>
    </dxf>
    <dxf>
      <fill>
        <patternFill>
          <bgColor rgb="FFFFC7CE"/>
        </patternFill>
      </fill>
    </dxf>
    <dxf>
      <fill>
        <patternFill>
          <bgColor theme="9" tint="0.39994506668294322"/>
        </patternFill>
      </fill>
    </dxf>
    <dxf>
      <fill>
        <patternFill>
          <bgColor theme="7" tint="0.59996337778862885"/>
        </patternFill>
      </fill>
    </dxf>
    <dxf>
      <fill>
        <patternFill>
          <bgColor rgb="FFFFC7CE"/>
        </patternFill>
      </fill>
    </dxf>
    <dxf>
      <fill>
        <patternFill>
          <bgColor theme="9" tint="0.39994506668294322"/>
        </patternFill>
      </fill>
    </dxf>
    <dxf>
      <fill>
        <patternFill>
          <bgColor theme="7" tint="0.59996337778862885"/>
        </patternFill>
      </fill>
    </dxf>
    <dxf>
      <fill>
        <patternFill>
          <bgColor rgb="FFFFC7CE"/>
        </patternFill>
      </fill>
    </dxf>
    <dxf>
      <fill>
        <patternFill>
          <bgColor theme="7" tint="0.59996337778862885"/>
        </patternFill>
      </fill>
    </dxf>
    <dxf>
      <fill>
        <patternFill>
          <bgColor rgb="FFFFC7CE"/>
        </patternFill>
      </fill>
    </dxf>
    <dxf>
      <fill>
        <patternFill>
          <bgColor theme="9" tint="0.39994506668294322"/>
        </patternFill>
      </fill>
    </dxf>
    <dxf>
      <fill>
        <patternFill>
          <bgColor theme="7" tint="0.59996337778862885"/>
        </patternFill>
      </fill>
    </dxf>
    <dxf>
      <fill>
        <patternFill>
          <bgColor rgb="FFFFC7CE"/>
        </patternFill>
      </fill>
    </dxf>
    <dxf>
      <fill>
        <patternFill>
          <bgColor theme="9"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92D050"/>
        </patternFill>
      </fill>
    </dxf>
    <dxf>
      <fill>
        <patternFill>
          <bgColor rgb="FFC00000"/>
        </patternFill>
      </fill>
    </dxf>
    <dxf>
      <fill>
        <patternFill>
          <bgColor rgb="FFB4D2F2"/>
        </patternFill>
      </fill>
    </dxf>
    <dxf>
      <fill>
        <patternFill>
          <bgColor theme="9" tint="0.39994506668294322"/>
        </patternFill>
      </fill>
    </dxf>
    <dxf>
      <fill>
        <patternFill>
          <bgColor theme="9" tint="0.39994506668294322"/>
        </patternFill>
      </fill>
    </dxf>
    <dxf>
      <fill>
        <patternFill>
          <bgColor rgb="FFFFC7CE"/>
        </patternFill>
      </fill>
    </dxf>
    <dxf>
      <fill>
        <patternFill>
          <bgColor theme="8" tint="0.39994506668294322"/>
        </patternFill>
      </fill>
    </dxf>
    <dxf>
      <fill>
        <patternFill>
          <bgColor theme="7" tint="0.59996337778862885"/>
        </patternFill>
      </fill>
    </dxf>
    <dxf>
      <fill>
        <patternFill>
          <bgColor theme="7" tint="0.59996337778862885"/>
        </patternFill>
      </fill>
    </dxf>
    <dxf>
      <fill>
        <patternFill>
          <bgColor theme="9"/>
        </patternFill>
      </fill>
    </dxf>
    <dxf>
      <fill>
        <patternFill>
          <bgColor rgb="FFFF0000"/>
        </patternFill>
      </fill>
    </dxf>
    <dxf>
      <fill>
        <patternFill>
          <bgColor rgb="FFFFC7CE"/>
        </patternFill>
      </fill>
    </dxf>
    <dxf>
      <fill>
        <patternFill>
          <bgColor rgb="FFFFC7CE"/>
        </patternFill>
      </fill>
    </dxf>
    <dxf>
      <fill>
        <patternFill>
          <bgColor theme="9" tint="0.39994506668294322"/>
        </patternFill>
      </fill>
    </dxf>
    <dxf>
      <fill>
        <patternFill>
          <bgColor theme="7" tint="0.59996337778862885"/>
        </patternFill>
      </fill>
    </dxf>
    <dxf>
      <fill>
        <patternFill>
          <bgColor theme="9" tint="0.39994506668294322"/>
        </patternFill>
      </fill>
    </dxf>
    <dxf>
      <fill>
        <patternFill>
          <bgColor rgb="FFFFC7CE"/>
        </patternFill>
      </fill>
    </dxf>
    <dxf>
      <fill>
        <patternFill>
          <bgColor rgb="FFFFC7CE"/>
        </patternFill>
      </fill>
    </dxf>
    <dxf>
      <fill>
        <patternFill>
          <bgColor theme="9" tint="0.39994506668294322"/>
        </patternFill>
      </fill>
    </dxf>
    <dxf>
      <fill>
        <patternFill>
          <bgColor theme="7" tint="0.59996337778862885"/>
        </patternFill>
      </fill>
    </dxf>
    <dxf>
      <fill>
        <patternFill>
          <bgColor rgb="FFFFC7CE"/>
        </patternFill>
      </fill>
    </dxf>
    <dxf>
      <fill>
        <patternFill>
          <bgColor theme="9" tint="0.39994506668294322"/>
        </patternFill>
      </fill>
    </dxf>
    <dxf>
      <fill>
        <patternFill>
          <bgColor theme="7" tint="0.59996337778862885"/>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FFC7CE"/>
        </patternFill>
      </fill>
    </dxf>
    <dxf>
      <fill>
        <patternFill>
          <bgColor theme="9" tint="0.39994506668294322"/>
        </patternFill>
      </fill>
    </dxf>
    <dxf>
      <fill>
        <patternFill>
          <bgColor rgb="FFFFC7CE"/>
        </patternFill>
      </fill>
    </dxf>
    <dxf>
      <fill>
        <patternFill>
          <bgColor theme="9"/>
        </patternFill>
      </fill>
    </dxf>
    <dxf>
      <fill>
        <patternFill>
          <bgColor rgb="FFFFC7CE"/>
        </patternFill>
      </fill>
    </dxf>
    <dxf>
      <fill>
        <patternFill>
          <bgColor theme="9" tint="0.39994506668294322"/>
        </patternFill>
      </fill>
    </dxf>
    <dxf>
      <fill>
        <patternFill>
          <bgColor rgb="FFFFC7CE"/>
        </patternFill>
      </fill>
    </dxf>
    <dxf>
      <fill>
        <patternFill>
          <bgColor theme="9"/>
        </patternFill>
      </fill>
    </dxf>
    <dxf>
      <fill>
        <patternFill>
          <bgColor rgb="FFFF0000"/>
        </patternFill>
      </fill>
    </dxf>
    <dxf>
      <fill>
        <patternFill>
          <bgColor rgb="FF66CCFF"/>
        </patternFill>
      </fill>
    </dxf>
    <dxf>
      <fill>
        <patternFill>
          <bgColor rgb="FFFFC7CE"/>
        </patternFill>
      </fill>
    </dxf>
    <dxf>
      <fill>
        <patternFill>
          <bgColor theme="9" tint="0.39994506668294322"/>
        </patternFill>
      </fill>
    </dxf>
    <dxf>
      <fill>
        <patternFill>
          <bgColor theme="7" tint="0.59996337778862885"/>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rgb="FF66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8" tint="0.39994506668294322"/>
        </patternFill>
      </fill>
    </dxf>
    <dxf>
      <fill>
        <patternFill>
          <bgColor rgb="FFFFC7CE"/>
        </patternFill>
      </fill>
    </dxf>
    <dxf>
      <fill>
        <patternFill>
          <bgColor rgb="FFFFC7CE"/>
        </patternFill>
      </fill>
    </dxf>
    <dxf>
      <fill>
        <patternFill>
          <bgColor theme="9" tint="0.39994506668294322"/>
        </patternFill>
      </fill>
    </dxf>
    <dxf>
      <fill>
        <patternFill>
          <bgColor theme="9"/>
        </patternFill>
      </fill>
    </dxf>
    <dxf>
      <fill>
        <patternFill>
          <bgColor rgb="FFFF0000"/>
        </patternFill>
      </fill>
    </dxf>
    <dxf>
      <fill>
        <patternFill>
          <bgColor rgb="FFFFC7CE"/>
        </patternFill>
      </fill>
    </dxf>
    <dxf>
      <fill>
        <patternFill>
          <bgColor theme="9" tint="0.39994506668294322"/>
        </patternFill>
      </fill>
    </dxf>
    <dxf>
      <fill>
        <patternFill>
          <bgColor rgb="FFFFC7CE"/>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C7CE"/>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C7CE"/>
        </patternFill>
      </fill>
    </dxf>
    <dxf>
      <fill>
        <patternFill>
          <bgColor theme="9" tint="0.39994506668294322"/>
        </patternFill>
      </fill>
    </dxf>
    <dxf>
      <fill>
        <patternFill>
          <bgColor theme="9" tint="0.39994506668294322"/>
        </patternFill>
      </fill>
    </dxf>
    <dxf>
      <fill>
        <patternFill>
          <bgColor rgb="FFFFC7CE"/>
        </patternFill>
      </fill>
    </dxf>
    <dxf>
      <fill>
        <patternFill>
          <bgColor theme="8" tint="0.39994506668294322"/>
        </patternFill>
      </fill>
    </dxf>
    <dxf>
      <fill>
        <patternFill>
          <bgColor rgb="FFFFC7CE"/>
        </patternFill>
      </fill>
    </dxf>
    <dxf>
      <fill>
        <patternFill>
          <bgColor theme="9" tint="0.39994506668294322"/>
        </patternFill>
      </fill>
    </dxf>
    <dxf>
      <fill>
        <patternFill>
          <bgColor theme="7" tint="0.59996337778862885"/>
        </patternFill>
      </fill>
    </dxf>
    <dxf>
      <fill>
        <patternFill>
          <bgColor rgb="FFFFC7CE"/>
        </patternFill>
      </fill>
    </dxf>
    <dxf>
      <fill>
        <patternFill>
          <bgColor theme="9" tint="0.39994506668294322"/>
        </patternFill>
      </fill>
    </dxf>
    <dxf>
      <fill>
        <patternFill>
          <bgColor theme="7" tint="0.59996337778862885"/>
        </patternFill>
      </fill>
    </dxf>
    <dxf>
      <fill>
        <patternFill>
          <bgColor theme="9" tint="0.39994506668294322"/>
        </patternFill>
      </fill>
    </dxf>
    <dxf>
      <fill>
        <patternFill>
          <bgColor rgb="FFFFC7CE"/>
        </patternFill>
      </fill>
    </dxf>
    <dxf>
      <fill>
        <patternFill>
          <bgColor theme="8" tint="0.39994506668294322"/>
        </patternFill>
      </fill>
    </dxf>
    <dxf>
      <fill>
        <patternFill>
          <bgColor rgb="FFFFC7CE"/>
        </patternFill>
      </fill>
    </dxf>
    <dxf>
      <fill>
        <patternFill>
          <bgColor theme="9" tint="0.39994506668294322"/>
        </patternFill>
      </fill>
    </dxf>
    <dxf>
      <fill>
        <patternFill>
          <bgColor theme="7" tint="0.59996337778862885"/>
        </patternFill>
      </fill>
    </dxf>
    <dxf>
      <fill>
        <patternFill>
          <bgColor rgb="FFFFC7CE"/>
        </patternFill>
      </fill>
    </dxf>
    <dxf>
      <fill>
        <patternFill>
          <bgColor theme="9" tint="0.39994506668294322"/>
        </patternFill>
      </fill>
    </dxf>
    <dxf>
      <fill>
        <patternFill>
          <bgColor theme="7" tint="0.59996337778862885"/>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00B05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rgb="FF00B050"/>
        </patternFill>
      </fill>
    </dxf>
    <dxf>
      <fill>
        <patternFill>
          <bgColor rgb="FFFF0000"/>
        </patternFill>
      </fill>
    </dxf>
    <dxf>
      <fill>
        <patternFill>
          <bgColor theme="3" tint="0.39994506668294322"/>
        </patternFill>
      </fill>
    </dxf>
    <dxf>
      <fill>
        <patternFill>
          <bgColor rgb="FFFF0000"/>
        </patternFill>
      </fill>
    </dxf>
    <dxf>
      <fill>
        <patternFill>
          <bgColor rgb="FFFF0000"/>
        </patternFill>
      </fill>
    </dxf>
    <dxf>
      <fill>
        <patternFill>
          <bgColor rgb="FFFF0000"/>
        </patternFill>
      </fill>
    </dxf>
    <dxf>
      <fill>
        <patternFill>
          <bgColor theme="3" tint="0.39994506668294322"/>
        </patternFill>
      </fill>
    </dxf>
    <dxf>
      <fill>
        <patternFill>
          <bgColor rgb="FF00B050"/>
        </patternFill>
      </fill>
    </dxf>
    <dxf>
      <fill>
        <patternFill>
          <bgColor rgb="FFFF0000"/>
        </patternFill>
      </fill>
    </dxf>
    <dxf>
      <fill>
        <patternFill>
          <bgColor rgb="FF00B050"/>
        </patternFill>
      </fill>
    </dxf>
    <dxf>
      <fill>
        <patternFill>
          <bgColor theme="3" tint="0.39994506668294322"/>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theme="3" tint="0.39994506668294322"/>
        </patternFill>
      </fill>
    </dxf>
    <dxf>
      <fill>
        <patternFill>
          <bgColor theme="3" tint="0.39994506668294322"/>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theme="3" tint="0.39994506668294322"/>
        </patternFill>
      </fill>
    </dxf>
    <dxf>
      <fill>
        <patternFill>
          <bgColor rgb="FFFF0000"/>
        </patternFill>
      </fill>
    </dxf>
    <dxf>
      <fill>
        <patternFill>
          <bgColor rgb="FF00B050"/>
        </patternFill>
      </fill>
    </dxf>
  </dxfs>
  <tableStyles count="0" defaultTableStyle="TableStyleMedium2" defaultPivotStyle="PivotStyleLight16"/>
  <colors>
    <mruColors>
      <color rgb="FFCCFFCC"/>
      <color rgb="FFFFCCFF"/>
      <color rgb="FF66CCFF"/>
      <color rgb="FFCCCCFF"/>
      <color rgb="FFCCFFFF"/>
      <color rgb="FFCC99FF"/>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3</xdr:col>
      <xdr:colOff>17281</xdr:colOff>
      <xdr:row>4</xdr:row>
      <xdr:rowOff>129540</xdr:rowOff>
    </xdr:to>
    <xdr:pic>
      <xdr:nvPicPr>
        <xdr:cNvPr id="2" name="image1.jpeg">
          <a:extLst>
            <a:ext uri="{FF2B5EF4-FFF2-40B4-BE49-F238E27FC236}">
              <a16:creationId xmlns:a16="http://schemas.microsoft.com/office/drawing/2014/main" id="{30C4FC50-5823-4279-872E-3C38BBFE257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4325" y="0"/>
          <a:ext cx="988831" cy="85344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8" Type="http://schemas.openxmlformats.org/officeDocument/2006/relationships/hyperlink" Target="https://www.gsa.gov/travel/plan-book/per-diem-rates/per-diem-rates-results?action=perdiems_report&amp;city=&amp;fiscal_year=2023&amp;state=GA&amp;zip=" TargetMode="External"/><Relationship Id="rId13" Type="http://schemas.openxmlformats.org/officeDocument/2006/relationships/hyperlink" Target="../../../../../Elite-Admin/User%20Folders/Ela/GA%20Update%20of%20Templates/ProdCo/Vendor%20Invoices/Lodging/PO%2076594%20-%20The%20Hotel%20Clermont.pdf" TargetMode="External"/><Relationship Id="rId3" Type="http://schemas.openxmlformats.org/officeDocument/2006/relationships/hyperlink" Target="../../../../../Elite-Admin/User%20Folders/Ela/GA%20Update%20of%20Templates/ProdCo/Vendor%20Invoices/Lodging/PO%2076594%20-%20The%20Hotel%20Clermont.pdf" TargetMode="External"/><Relationship Id="rId7" Type="http://schemas.openxmlformats.org/officeDocument/2006/relationships/hyperlink" Target="../../../../../Elite-Admin/User%20Folders/Ela/GA%20Update%20of%20Templates/ProdCo/Vendor%20Invoices/Lodging/PO%2076594%20-%20The%20Hotel%20Clermont.pdf" TargetMode="External"/><Relationship Id="rId12" Type="http://schemas.openxmlformats.org/officeDocument/2006/relationships/hyperlink" Target="../../../../../Elite-Admin/User%20Folders/Ela/GA%20Update%20of%20Templates/ProdCo/Vendor%20Invoices/Lodging/PO%2076594%20-%20The%20Hotel%20Clermont.pdf" TargetMode="External"/><Relationship Id="rId17" Type="http://schemas.openxmlformats.org/officeDocument/2006/relationships/printerSettings" Target="../printerSettings/printerSettings10.bin"/><Relationship Id="rId2" Type="http://schemas.openxmlformats.org/officeDocument/2006/relationships/hyperlink" Target="../../../../../Elite-Admin/User%20Folders/Ela/GA%20Update%20of%20Templates/ProdCo/Vendor%20Invoices/Lodging/PO%2076594%20-%20The%20Hotel%20Clermont.pdf" TargetMode="External"/><Relationship Id="rId16" Type="http://schemas.openxmlformats.org/officeDocument/2006/relationships/hyperlink" Target="../../../../../Elite-Admin/User%20Folders/Ela/GA%20Update%20of%20Templates/ProdCo/Vendor%20Invoices/Lodging/PO%2076594%20-%20The%20Hotel%20Clermont.pdf" TargetMode="External"/><Relationship Id="rId1" Type="http://schemas.openxmlformats.org/officeDocument/2006/relationships/hyperlink" Target="../../../../../../../../../Elite-States/Georgia%20(GA)/Forms,%20Rules,%20Legislation/Auditor%20Materials/Federal%20Per%20Diem%20Rates/2022%20Atlanta,%20Georgia%20Federal%20Per%20Diem%20Rates%20(Oct%202021%20-%20Sept%202022).pdf" TargetMode="External"/><Relationship Id="rId6" Type="http://schemas.openxmlformats.org/officeDocument/2006/relationships/hyperlink" Target="../../../../../Elite-Admin/User%20Folders/Ela/GA%20Update%20of%20Templates/ProdCo/Vendor%20Invoices/Lodging/PO%2076594%20-%20The%20Hotel%20Clermont.pdf" TargetMode="External"/><Relationship Id="rId11" Type="http://schemas.openxmlformats.org/officeDocument/2006/relationships/hyperlink" Target="../../../../../Elite-Admin/User%20Folders/Ela/GA%20Update%20of%20Templates/ProdCo/Vendor%20Invoices/Lodging/PO%2076594%20-%20The%20Hotel%20Clermont.pdf" TargetMode="External"/><Relationship Id="rId5" Type="http://schemas.openxmlformats.org/officeDocument/2006/relationships/hyperlink" Target="../../../../../Elite-Admin/User%20Folders/Ela/GA%20Update%20of%20Templates/ProdCo/Vendor%20Invoices/Lodging/PO%2076594%20-%20The%20Hotel%20Clermont.pdf" TargetMode="External"/><Relationship Id="rId15" Type="http://schemas.openxmlformats.org/officeDocument/2006/relationships/hyperlink" Target="../../../../../Elite-Admin/User%20Folders/Ela/GA%20Update%20of%20Templates/ProdCo/Vendor%20Invoices/Lodging/PO%2076594%20-%20The%20Hotel%20Clermont.pdf" TargetMode="External"/><Relationship Id="rId10" Type="http://schemas.openxmlformats.org/officeDocument/2006/relationships/hyperlink" Target="../..\..\..\..\..\Elite-States\Georgia%20(GA)\Forms,%20Rules,%20Legislation\Auditor%20Materials\Federal%20Per%20Diem%20Rates\2022%20Atlanta,%20Georgia%20Federal%20Per%20Diem%20Rates%20(Oct%202021%20-%20Sept%202022).pdf" TargetMode="External"/><Relationship Id="rId4" Type="http://schemas.openxmlformats.org/officeDocument/2006/relationships/hyperlink" Target="../../../../../Elite-Admin/User%20Folders/Ela/GA%20Update%20of%20Templates/ProdCo/Vendor%20Invoices/Lodging/PO%2076594%20-%20The%20Hotel%20Clermont.pdf" TargetMode="External"/><Relationship Id="rId9" Type="http://schemas.openxmlformats.org/officeDocument/2006/relationships/hyperlink" Target="../..\..\..\..\..\Elite-States\Georgia%20(GA)\Forms,%20Rules,%20Legislation\Auditor%20Materials\Federal%20Per%20Diem%20Rates\2022%20Atlanta,%20Georgia%20Federal%20Per%20Diem%20Rates%20(Oct%202021%20-%20Sept%202022).pdf" TargetMode="External"/><Relationship Id="rId14" Type="http://schemas.openxmlformats.org/officeDocument/2006/relationships/hyperlink" Target="../../../../../Elite-Admin/User%20Folders/Ela/GA%20Update%20of%20Templates/ProdCo/Vendor%20Invoices/Lodging/PO%2076594%20-%20The%20Hotel%20Clermont.pdf" TargetMode="Externa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Elite-Admin\User%20Folders\Ela\GA%20Update%20of%20Templates\ProdCo\Petty%20Cash\Armour,%20Naundi%20-%20Petty%20Cash%20(1%20of%202).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E2293-1C44-4D5A-8212-5F8EA8BEAEEE}">
  <sheetPr codeName="Sheet5">
    <tabColor rgb="FFFF0000"/>
    <pageSetUpPr fitToPage="1"/>
  </sheetPr>
  <dimension ref="A1:Q89"/>
  <sheetViews>
    <sheetView zoomScaleNormal="100" workbookViewId="0">
      <selection activeCell="B23" sqref="B23"/>
    </sheetView>
  </sheetViews>
  <sheetFormatPr defaultRowHeight="15" x14ac:dyDescent="0.25"/>
  <cols>
    <col min="1" max="1" width="2.7109375" customWidth="1"/>
    <col min="2" max="2" width="25.5703125" bestFit="1" customWidth="1"/>
    <col min="3" max="3" width="51" customWidth="1"/>
    <col min="4" max="4" width="20.5703125" bestFit="1" customWidth="1"/>
    <col min="5" max="5" width="14.42578125" bestFit="1" customWidth="1"/>
    <col min="7" max="7" width="14.42578125" bestFit="1" customWidth="1"/>
    <col min="8" max="8" width="19.42578125" customWidth="1"/>
    <col min="9" max="9" width="14.42578125" bestFit="1" customWidth="1"/>
    <col min="10" max="10" width="20.7109375" bestFit="1" customWidth="1"/>
    <col min="11" max="11" width="14.42578125" customWidth="1"/>
    <col min="12" max="12" width="1.42578125" customWidth="1"/>
    <col min="13" max="13" width="19.42578125" customWidth="1"/>
    <col min="14" max="14" width="18" bestFit="1" customWidth="1"/>
    <col min="15" max="15" width="14.5703125" customWidth="1"/>
    <col min="16" max="16" width="14.7109375" customWidth="1"/>
    <col min="18" max="18" width="11.5703125" customWidth="1"/>
    <col min="19" max="19" width="14" customWidth="1"/>
  </cols>
  <sheetData>
    <row r="1" spans="1:16" s="60" customFormat="1" ht="18.75" x14ac:dyDescent="0.3">
      <c r="A1" s="420" t="s">
        <v>211</v>
      </c>
      <c r="B1" s="420"/>
      <c r="C1" s="420"/>
      <c r="D1" s="420"/>
      <c r="E1" s="420"/>
      <c r="F1" s="420"/>
      <c r="G1" s="420"/>
      <c r="H1" s="420"/>
      <c r="I1" s="420"/>
      <c r="J1" s="420"/>
      <c r="K1" s="420"/>
      <c r="L1" s="420"/>
      <c r="M1" s="420"/>
      <c r="N1" s="420"/>
      <c r="O1" s="420"/>
      <c r="P1" s="420"/>
    </row>
    <row r="2" spans="1:16" s="60" customFormat="1" ht="18.75" x14ac:dyDescent="0.3">
      <c r="A2" s="420" t="s">
        <v>212</v>
      </c>
      <c r="B2" s="420"/>
      <c r="C2" s="420"/>
      <c r="D2" s="420"/>
      <c r="E2" s="420"/>
      <c r="F2" s="420"/>
      <c r="G2" s="420"/>
      <c r="H2" s="420"/>
      <c r="I2" s="420"/>
      <c r="J2" s="420"/>
      <c r="K2" s="420"/>
      <c r="L2" s="420"/>
      <c r="M2" s="420"/>
      <c r="N2" s="420"/>
      <c r="O2" s="420"/>
      <c r="P2" s="420"/>
    </row>
    <row r="4" spans="1:16" ht="15.75" x14ac:dyDescent="0.25">
      <c r="B4" s="61" t="s">
        <v>213</v>
      </c>
      <c r="C4" s="62" t="str">
        <f>CONCATENATE(C13," ",C14," ",C5)</f>
        <v>Anheuser-Busch  ''Nutrl Vodka Seltzer''</v>
      </c>
    </row>
    <row r="5" spans="1:16" ht="15.75" x14ac:dyDescent="0.25">
      <c r="B5" s="61" t="s">
        <v>214</v>
      </c>
      <c r="C5" s="63" t="s">
        <v>252</v>
      </c>
    </row>
    <row r="6" spans="1:16" ht="18.75" x14ac:dyDescent="0.3">
      <c r="B6" s="61"/>
      <c r="C6" s="64"/>
      <c r="J6" s="37"/>
    </row>
    <row r="7" spans="1:16" x14ac:dyDescent="0.25">
      <c r="B7" s="61" t="s">
        <v>496</v>
      </c>
      <c r="C7" s="66">
        <v>46371</v>
      </c>
      <c r="J7" s="37"/>
    </row>
    <row r="8" spans="1:16" x14ac:dyDescent="0.25">
      <c r="B8" s="61" t="s">
        <v>499</v>
      </c>
      <c r="C8" s="66">
        <v>46030</v>
      </c>
      <c r="F8" s="61" t="s">
        <v>215</v>
      </c>
      <c r="G8" s="58" t="s">
        <v>216</v>
      </c>
      <c r="J8" s="37"/>
    </row>
    <row r="9" spans="1:16" x14ac:dyDescent="0.25">
      <c r="B9" s="61" t="s">
        <v>498</v>
      </c>
      <c r="C9" s="66" t="s">
        <v>497</v>
      </c>
    </row>
    <row r="10" spans="1:16" x14ac:dyDescent="0.25">
      <c r="B10" s="61" t="s">
        <v>217</v>
      </c>
      <c r="C10" s="66">
        <v>46096</v>
      </c>
    </row>
    <row r="11" spans="1:16" x14ac:dyDescent="0.25">
      <c r="B11" s="61" t="s">
        <v>500</v>
      </c>
      <c r="C11" s="66">
        <v>46246</v>
      </c>
    </row>
    <row r="12" spans="1:16" x14ac:dyDescent="0.25">
      <c r="B12" s="61"/>
    </row>
    <row r="13" spans="1:16" x14ac:dyDescent="0.25">
      <c r="B13" s="61" t="s">
        <v>218</v>
      </c>
      <c r="C13" s="65" t="s">
        <v>251</v>
      </c>
      <c r="G13" s="421" t="s">
        <v>220</v>
      </c>
      <c r="H13" s="421"/>
      <c r="I13" s="421"/>
      <c r="J13" s="421"/>
      <c r="K13" s="421"/>
    </row>
    <row r="14" spans="1:16" x14ac:dyDescent="0.25">
      <c r="B14" s="61" t="s">
        <v>219</v>
      </c>
      <c r="C14" s="65"/>
      <c r="D14" t="s">
        <v>351</v>
      </c>
      <c r="H14" s="57" t="s">
        <v>222</v>
      </c>
      <c r="I14" s="57" t="s">
        <v>223</v>
      </c>
      <c r="J14" s="57" t="s">
        <v>195</v>
      </c>
    </row>
    <row r="15" spans="1:16" x14ac:dyDescent="0.25">
      <c r="B15" s="61" t="s">
        <v>221</v>
      </c>
      <c r="C15" s="65" t="s">
        <v>405</v>
      </c>
      <c r="D15" t="s">
        <v>352</v>
      </c>
      <c r="G15" s="61"/>
      <c r="H15" s="67"/>
      <c r="I15" s="68"/>
      <c r="J15" s="227"/>
      <c r="K15" t="s">
        <v>225</v>
      </c>
    </row>
    <row r="16" spans="1:16" x14ac:dyDescent="0.25">
      <c r="B16" s="61" t="s">
        <v>224</v>
      </c>
      <c r="C16" s="65" t="s">
        <v>406</v>
      </c>
      <c r="G16" s="69"/>
      <c r="H16" s="67"/>
      <c r="I16" s="68"/>
      <c r="J16" s="122"/>
      <c r="K16" t="s">
        <v>227</v>
      </c>
    </row>
    <row r="17" spans="2:17" ht="15.75" thickBot="1" x14ac:dyDescent="0.3">
      <c r="B17" s="61" t="s">
        <v>226</v>
      </c>
      <c r="C17" s="65" t="s">
        <v>407</v>
      </c>
      <c r="G17" s="61" t="s">
        <v>229</v>
      </c>
      <c r="H17" s="70">
        <f>SUM(H15:H16)</f>
        <v>0</v>
      </c>
      <c r="I17" s="71">
        <f>SUM(I15:I16)</f>
        <v>0</v>
      </c>
    </row>
    <row r="18" spans="2:17" ht="15.75" thickTop="1" x14ac:dyDescent="0.25">
      <c r="B18" s="61" t="s">
        <v>228</v>
      </c>
      <c r="C18" s="65"/>
    </row>
    <row r="19" spans="2:17" x14ac:dyDescent="0.25">
      <c r="B19" s="61" t="s">
        <v>230</v>
      </c>
      <c r="C19" s="65"/>
    </row>
    <row r="20" spans="2:17" x14ac:dyDescent="0.25">
      <c r="B20" s="72"/>
      <c r="C20" s="69"/>
    </row>
    <row r="21" spans="2:17" x14ac:dyDescent="0.25">
      <c r="B21" s="72"/>
      <c r="C21" s="69"/>
      <c r="D21" s="73" t="s">
        <v>397</v>
      </c>
      <c r="O21" s="57"/>
    </row>
    <row r="22" spans="2:17" x14ac:dyDescent="0.25">
      <c r="C22" t="s">
        <v>231</v>
      </c>
      <c r="D22" s="73" t="s">
        <v>397</v>
      </c>
      <c r="G22" s="28" t="s">
        <v>233</v>
      </c>
      <c r="H22" s="73"/>
      <c r="J22" s="28" t="s">
        <v>234</v>
      </c>
      <c r="M22" s="74" t="s">
        <v>235</v>
      </c>
      <c r="O22" s="75"/>
    </row>
    <row r="23" spans="2:17" x14ac:dyDescent="0.25">
      <c r="C23" t="s">
        <v>232</v>
      </c>
      <c r="D23" s="73" t="s">
        <v>397</v>
      </c>
      <c r="G23" s="61" t="s">
        <v>237</v>
      </c>
      <c r="H23" s="73">
        <f>AP!N76</f>
        <v>0</v>
      </c>
      <c r="I23" s="76">
        <f>H23-'Check Figure'!B30</f>
        <v>0</v>
      </c>
      <c r="J23" s="61" t="s">
        <v>237</v>
      </c>
      <c r="K23" s="77">
        <f>AP!T76</f>
        <v>0</v>
      </c>
      <c r="L23" s="78"/>
      <c r="M23" s="53">
        <f>H23-K23</f>
        <v>0</v>
      </c>
      <c r="O23" s="79"/>
      <c r="Q23" s="73"/>
    </row>
    <row r="24" spans="2:17" x14ac:dyDescent="0.25">
      <c r="C24" t="s">
        <v>236</v>
      </c>
      <c r="D24" s="73" t="s">
        <v>398</v>
      </c>
      <c r="G24" s="61" t="s">
        <v>255</v>
      </c>
      <c r="H24" s="73"/>
      <c r="I24" s="76"/>
      <c r="J24" s="61" t="s">
        <v>255</v>
      </c>
      <c r="K24" s="77"/>
      <c r="L24" s="78"/>
      <c r="M24" s="53"/>
      <c r="O24" s="79"/>
      <c r="Q24" s="73"/>
    </row>
    <row r="25" spans="2:17" x14ac:dyDescent="0.25">
      <c r="C25" t="s">
        <v>238</v>
      </c>
      <c r="D25" s="73" t="s">
        <v>398</v>
      </c>
      <c r="G25" s="61" t="s">
        <v>240</v>
      </c>
      <c r="H25" s="73">
        <f>'Payroll Report'!AE613</f>
        <v>0</v>
      </c>
      <c r="I25" s="76">
        <f>H25-'Check Figure'!B90</f>
        <v>0</v>
      </c>
      <c r="J25" s="61" t="s">
        <v>240</v>
      </c>
      <c r="K25" s="77">
        <f>'Payroll Report'!AM613</f>
        <v>0</v>
      </c>
      <c r="L25" s="78"/>
      <c r="M25" s="53">
        <f>H25-K25</f>
        <v>0</v>
      </c>
      <c r="O25" s="79"/>
      <c r="Q25" s="73"/>
    </row>
    <row r="26" spans="2:17" x14ac:dyDescent="0.25">
      <c r="C26" t="s">
        <v>239</v>
      </c>
      <c r="D26" s="73" t="s">
        <v>398</v>
      </c>
      <c r="G26" s="61" t="s">
        <v>242</v>
      </c>
      <c r="H26" s="73">
        <f>Talent!N72</f>
        <v>0</v>
      </c>
      <c r="I26" s="76">
        <f>H26-'Check Figure'!B120</f>
        <v>0</v>
      </c>
      <c r="J26" s="61" t="s">
        <v>242</v>
      </c>
      <c r="K26" s="77">
        <f>Talent!T72</f>
        <v>0</v>
      </c>
      <c r="L26" s="78"/>
      <c r="M26" s="53">
        <f>H26-K26</f>
        <v>0</v>
      </c>
      <c r="O26" s="79"/>
      <c r="Q26" s="73"/>
    </row>
    <row r="27" spans="2:17" x14ac:dyDescent="0.25">
      <c r="C27" t="s">
        <v>241</v>
      </c>
      <c r="G27" s="61" t="s">
        <v>244</v>
      </c>
      <c r="H27" s="73"/>
      <c r="I27" s="76"/>
      <c r="J27" s="61" t="s">
        <v>244</v>
      </c>
      <c r="K27" s="77"/>
      <c r="L27" s="78"/>
      <c r="M27" s="53"/>
      <c r="O27" s="79"/>
      <c r="Q27" s="73"/>
    </row>
    <row r="28" spans="2:17" x14ac:dyDescent="0.25">
      <c r="C28" t="s">
        <v>243</v>
      </c>
      <c r="D28" s="73" t="s">
        <v>398</v>
      </c>
      <c r="G28" s="61" t="s">
        <v>246</v>
      </c>
      <c r="H28" s="73"/>
      <c r="I28" s="76"/>
      <c r="J28" s="61" t="s">
        <v>246</v>
      </c>
      <c r="K28" s="77"/>
      <c r="L28" s="78"/>
      <c r="M28" s="53"/>
      <c r="O28" s="79"/>
      <c r="Q28" s="73"/>
    </row>
    <row r="29" spans="2:17" x14ac:dyDescent="0.25">
      <c r="C29" t="s">
        <v>245</v>
      </c>
      <c r="D29" s="73" t="s">
        <v>397</v>
      </c>
      <c r="G29" s="61" t="s">
        <v>248</v>
      </c>
      <c r="H29" s="73"/>
      <c r="I29" s="76"/>
      <c r="J29" s="61" t="s">
        <v>248</v>
      </c>
      <c r="K29" s="77"/>
      <c r="L29" s="78"/>
      <c r="M29" s="53"/>
      <c r="O29" s="79"/>
      <c r="Q29" s="73"/>
    </row>
    <row r="30" spans="2:17" ht="15.75" thickBot="1" x14ac:dyDescent="0.3">
      <c r="C30" t="s">
        <v>247</v>
      </c>
      <c r="D30" s="73" t="s">
        <v>397</v>
      </c>
      <c r="G30" s="61" t="s">
        <v>250</v>
      </c>
      <c r="H30" s="80">
        <f>SUM(H23:H29)</f>
        <v>0</v>
      </c>
      <c r="J30" s="61" t="s">
        <v>250</v>
      </c>
      <c r="K30" s="335">
        <f>SUM(K23:K29)</f>
        <v>0</v>
      </c>
      <c r="L30" s="81"/>
      <c r="M30" s="80">
        <f>H30-K30</f>
        <v>0</v>
      </c>
      <c r="O30" s="82"/>
      <c r="Q30" s="73"/>
    </row>
    <row r="31" spans="2:17" ht="15.75" thickTop="1" x14ac:dyDescent="0.25">
      <c r="C31" t="s">
        <v>249</v>
      </c>
      <c r="H31" s="319"/>
      <c r="K31" s="76">
        <f>SUM(K30-H30)</f>
        <v>0</v>
      </c>
      <c r="M31" s="318">
        <f>SUM(M23:M29)-M30</f>
        <v>0</v>
      </c>
    </row>
    <row r="32" spans="2:17" x14ac:dyDescent="0.25">
      <c r="B32" s="28"/>
      <c r="C32" s="83"/>
      <c r="K32" s="73"/>
      <c r="M32" s="76"/>
    </row>
    <row r="33" spans="2:11" x14ac:dyDescent="0.25">
      <c r="B33" s="28"/>
      <c r="C33" s="84"/>
      <c r="K33" s="76"/>
    </row>
    <row r="34" spans="2:11" x14ac:dyDescent="0.25">
      <c r="B34" s="28"/>
      <c r="C34" s="84"/>
    </row>
    <row r="35" spans="2:11" x14ac:dyDescent="0.25">
      <c r="B35" s="28"/>
      <c r="C35" s="84"/>
    </row>
    <row r="36" spans="2:11" x14ac:dyDescent="0.25">
      <c r="B36" s="28"/>
      <c r="C36" s="84"/>
    </row>
    <row r="37" spans="2:11" x14ac:dyDescent="0.25">
      <c r="B37" s="28"/>
      <c r="C37" s="84"/>
    </row>
    <row r="38" spans="2:11" x14ac:dyDescent="0.25">
      <c r="B38" s="28"/>
      <c r="C38" s="84"/>
    </row>
    <row r="39" spans="2:11" x14ac:dyDescent="0.25">
      <c r="B39" s="28"/>
      <c r="C39" s="84"/>
    </row>
    <row r="40" spans="2:11" x14ac:dyDescent="0.25">
      <c r="B40" s="28"/>
      <c r="C40" s="84"/>
    </row>
    <row r="41" spans="2:11" x14ac:dyDescent="0.25">
      <c r="B41" s="28"/>
      <c r="C41" s="84"/>
    </row>
    <row r="42" spans="2:11" x14ac:dyDescent="0.25">
      <c r="B42" s="28"/>
      <c r="C42" s="84"/>
    </row>
    <row r="43" spans="2:11" x14ac:dyDescent="0.25">
      <c r="B43" s="28"/>
      <c r="C43" s="84"/>
    </row>
    <row r="44" spans="2:11" x14ac:dyDescent="0.25">
      <c r="B44" s="28"/>
      <c r="C44" s="84"/>
    </row>
    <row r="45" spans="2:11" x14ac:dyDescent="0.25">
      <c r="B45" s="28"/>
      <c r="C45" s="84"/>
    </row>
    <row r="46" spans="2:11" x14ac:dyDescent="0.25">
      <c r="B46" s="28"/>
      <c r="C46" s="84"/>
    </row>
    <row r="47" spans="2:11" x14ac:dyDescent="0.25">
      <c r="B47" s="28"/>
      <c r="C47" s="84"/>
    </row>
    <row r="48" spans="2:11" x14ac:dyDescent="0.25">
      <c r="B48" s="28"/>
      <c r="C48" s="84"/>
    </row>
    <row r="49" spans="2:3" x14ac:dyDescent="0.25">
      <c r="B49" s="28"/>
      <c r="C49" s="84"/>
    </row>
    <row r="50" spans="2:3" x14ac:dyDescent="0.25">
      <c r="B50" s="28"/>
      <c r="C50" s="84"/>
    </row>
    <row r="51" spans="2:3" x14ac:dyDescent="0.25">
      <c r="B51" s="28"/>
      <c r="C51" s="84"/>
    </row>
    <row r="52" spans="2:3" x14ac:dyDescent="0.25">
      <c r="B52" s="28"/>
      <c r="C52" s="84"/>
    </row>
    <row r="53" spans="2:3" x14ac:dyDescent="0.25">
      <c r="B53" s="28"/>
      <c r="C53" s="84"/>
    </row>
    <row r="54" spans="2:3" x14ac:dyDescent="0.25">
      <c r="B54" s="28"/>
      <c r="C54" s="84"/>
    </row>
    <row r="55" spans="2:3" x14ac:dyDescent="0.25">
      <c r="B55" s="28"/>
      <c r="C55" s="84"/>
    </row>
    <row r="56" spans="2:3" x14ac:dyDescent="0.25">
      <c r="B56" s="28"/>
      <c r="C56" s="84"/>
    </row>
    <row r="57" spans="2:3" x14ac:dyDescent="0.25">
      <c r="B57" s="28"/>
      <c r="C57" s="84"/>
    </row>
    <row r="58" spans="2:3" x14ac:dyDescent="0.25">
      <c r="B58" s="28"/>
      <c r="C58" s="84"/>
    </row>
    <row r="59" spans="2:3" x14ac:dyDescent="0.25">
      <c r="B59" s="28"/>
      <c r="C59" s="84"/>
    </row>
    <row r="60" spans="2:3" x14ac:dyDescent="0.25">
      <c r="B60" s="28"/>
      <c r="C60" s="84"/>
    </row>
    <row r="61" spans="2:3" x14ac:dyDescent="0.25">
      <c r="B61" s="28"/>
      <c r="C61" s="84"/>
    </row>
    <row r="62" spans="2:3" x14ac:dyDescent="0.25">
      <c r="B62" s="28"/>
      <c r="C62" s="84"/>
    </row>
    <row r="63" spans="2:3" x14ac:dyDescent="0.25">
      <c r="B63" s="28"/>
      <c r="C63" s="84"/>
    </row>
    <row r="64" spans="2:3" x14ac:dyDescent="0.25">
      <c r="B64" s="28"/>
      <c r="C64" s="84"/>
    </row>
    <row r="65" spans="2:3" x14ac:dyDescent="0.25">
      <c r="B65" s="28"/>
      <c r="C65" s="84"/>
    </row>
    <row r="66" spans="2:3" x14ac:dyDescent="0.25">
      <c r="B66" s="28"/>
      <c r="C66" s="84"/>
    </row>
    <row r="67" spans="2:3" x14ac:dyDescent="0.25">
      <c r="B67" s="28"/>
      <c r="C67" s="84"/>
    </row>
    <row r="68" spans="2:3" x14ac:dyDescent="0.25">
      <c r="B68" s="28"/>
      <c r="C68" s="84"/>
    </row>
    <row r="69" spans="2:3" x14ac:dyDescent="0.25">
      <c r="B69" s="28"/>
      <c r="C69" s="84"/>
    </row>
    <row r="70" spans="2:3" x14ac:dyDescent="0.25">
      <c r="B70" s="28"/>
      <c r="C70" s="84"/>
    </row>
    <row r="71" spans="2:3" x14ac:dyDescent="0.25">
      <c r="B71" s="28"/>
      <c r="C71" s="84"/>
    </row>
    <row r="72" spans="2:3" x14ac:dyDescent="0.25">
      <c r="B72" s="28"/>
      <c r="C72" s="84"/>
    </row>
    <row r="73" spans="2:3" x14ac:dyDescent="0.25">
      <c r="B73" s="28"/>
      <c r="C73" s="84"/>
    </row>
    <row r="74" spans="2:3" x14ac:dyDescent="0.25">
      <c r="B74" s="28"/>
      <c r="C74" s="84"/>
    </row>
    <row r="75" spans="2:3" x14ac:dyDescent="0.25">
      <c r="B75" s="28"/>
      <c r="C75" s="84"/>
    </row>
    <row r="76" spans="2:3" x14ac:dyDescent="0.25">
      <c r="B76" s="28"/>
      <c r="C76" s="84"/>
    </row>
    <row r="77" spans="2:3" x14ac:dyDescent="0.25">
      <c r="B77" s="28"/>
      <c r="C77" s="84"/>
    </row>
    <row r="78" spans="2:3" x14ac:dyDescent="0.25">
      <c r="B78" s="28"/>
      <c r="C78" s="84"/>
    </row>
    <row r="79" spans="2:3" x14ac:dyDescent="0.25">
      <c r="B79" s="28"/>
      <c r="C79" s="84"/>
    </row>
    <row r="80" spans="2:3" x14ac:dyDescent="0.25">
      <c r="B80" s="28"/>
      <c r="C80" s="84"/>
    </row>
    <row r="81" spans="2:3" x14ac:dyDescent="0.25">
      <c r="B81" s="28"/>
      <c r="C81" s="84"/>
    </row>
    <row r="82" spans="2:3" x14ac:dyDescent="0.25">
      <c r="B82" s="28"/>
      <c r="C82" s="84"/>
    </row>
    <row r="83" spans="2:3" x14ac:dyDescent="0.25">
      <c r="B83" s="28"/>
      <c r="C83" s="84"/>
    </row>
    <row r="84" spans="2:3" x14ac:dyDescent="0.25">
      <c r="B84" s="28"/>
      <c r="C84" s="84"/>
    </row>
    <row r="85" spans="2:3" x14ac:dyDescent="0.25">
      <c r="B85" s="28"/>
      <c r="C85" s="84"/>
    </row>
    <row r="86" spans="2:3" x14ac:dyDescent="0.25">
      <c r="B86" s="28"/>
      <c r="C86" s="84"/>
    </row>
    <row r="87" spans="2:3" x14ac:dyDescent="0.25">
      <c r="B87" s="28"/>
      <c r="C87" s="84"/>
    </row>
    <row r="88" spans="2:3" x14ac:dyDescent="0.25">
      <c r="B88" s="28"/>
      <c r="C88" s="84"/>
    </row>
    <row r="89" spans="2:3" x14ac:dyDescent="0.25">
      <c r="B89" s="28"/>
      <c r="C89" s="84"/>
    </row>
  </sheetData>
  <mergeCells count="3">
    <mergeCell ref="A1:P1"/>
    <mergeCell ref="A2:P2"/>
    <mergeCell ref="G13:K13"/>
  </mergeCells>
  <pageMargins left="0.7" right="0.7" top="0.75" bottom="0.75" header="0.3" footer="0.3"/>
  <pageSetup scale="47" orientation="landscape" r:id="rId1"/>
  <headerFooter>
    <oddFooter>&amp;R&amp;A
&amp;Z&amp;F</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67C48-4309-461D-9444-FE94CBE860E4}">
  <sheetPr>
    <tabColor rgb="FFCCCCFF"/>
    <pageSetUpPr fitToPage="1"/>
  </sheetPr>
  <dimension ref="A1:O52"/>
  <sheetViews>
    <sheetView topLeftCell="A18" zoomScale="90" zoomScaleNormal="90" workbookViewId="0">
      <selection activeCell="L19" sqref="L19"/>
    </sheetView>
  </sheetViews>
  <sheetFormatPr defaultRowHeight="15" x14ac:dyDescent="0.25"/>
  <cols>
    <col min="1" max="1" width="4.5703125" customWidth="1"/>
    <col min="2" max="2" width="7.140625" bestFit="1" customWidth="1"/>
    <col min="3" max="3" width="7.140625" customWidth="1"/>
    <col min="4" max="4" width="47.5703125" customWidth="1"/>
    <col min="5" max="5" width="15.85546875" customWidth="1"/>
    <col min="6" max="6" width="12.7109375" bestFit="1" customWidth="1"/>
    <col min="7" max="7" width="14.28515625" customWidth="1"/>
    <col min="8" max="8" width="14.28515625" bestFit="1" customWidth="1"/>
    <col min="9" max="9" width="3.5703125" customWidth="1"/>
    <col min="10" max="10" width="11.85546875" bestFit="1" customWidth="1"/>
    <col min="12" max="12" width="14.140625" bestFit="1" customWidth="1"/>
    <col min="14" max="14" width="10.42578125" bestFit="1" customWidth="1"/>
  </cols>
  <sheetData>
    <row r="1" spans="1:11" x14ac:dyDescent="0.25">
      <c r="B1" s="421"/>
      <c r="C1" s="421"/>
      <c r="D1" s="421"/>
      <c r="E1" s="421"/>
      <c r="F1" s="421"/>
      <c r="G1" s="421"/>
      <c r="H1" s="421"/>
      <c r="I1" s="421"/>
    </row>
    <row r="2" spans="1:11" x14ac:dyDescent="0.25">
      <c r="B2" s="421"/>
      <c r="C2" s="421"/>
      <c r="D2" s="421"/>
      <c r="E2" s="421"/>
      <c r="F2" s="421"/>
      <c r="G2" s="421"/>
      <c r="H2" s="421"/>
      <c r="I2" s="421"/>
    </row>
    <row r="3" spans="1:11" x14ac:dyDescent="0.25">
      <c r="B3" s="421"/>
      <c r="C3" s="421"/>
      <c r="D3" s="421"/>
      <c r="E3" s="421"/>
      <c r="F3" s="421"/>
      <c r="G3" s="421"/>
      <c r="H3" s="421"/>
      <c r="I3" s="421"/>
    </row>
    <row r="4" spans="1:11" x14ac:dyDescent="0.25">
      <c r="B4" s="421"/>
      <c r="C4" s="421"/>
      <c r="D4" s="421"/>
      <c r="E4" s="421"/>
      <c r="F4" s="421"/>
      <c r="G4" s="421"/>
      <c r="H4" s="421"/>
      <c r="I4" s="421"/>
    </row>
    <row r="5" spans="1:11" x14ac:dyDescent="0.25">
      <c r="B5" s="421"/>
      <c r="C5" s="421"/>
      <c r="D5" s="421"/>
      <c r="E5" s="421"/>
      <c r="F5" s="421"/>
      <c r="G5" s="421"/>
      <c r="H5" s="421"/>
      <c r="I5" s="421"/>
    </row>
    <row r="6" spans="1:11" s="198" customFormat="1" ht="14.1" customHeight="1" x14ac:dyDescent="0.25">
      <c r="A6" s="197"/>
      <c r="B6" s="422" t="s">
        <v>328</v>
      </c>
      <c r="C6" s="422"/>
      <c r="D6" s="422"/>
      <c r="E6" s="422"/>
      <c r="F6" s="422"/>
      <c r="G6" s="422"/>
      <c r="H6" s="422"/>
      <c r="I6" s="423"/>
    </row>
    <row r="7" spans="1:11" ht="20.25" customHeight="1" x14ac:dyDescent="0.25">
      <c r="A7" s="424" t="s">
        <v>329</v>
      </c>
      <c r="B7" t="s">
        <v>330</v>
      </c>
      <c r="I7" s="423"/>
    </row>
    <row r="8" spans="1:11" x14ac:dyDescent="0.25">
      <c r="A8" s="424"/>
      <c r="B8" t="s">
        <v>331</v>
      </c>
      <c r="I8" s="423"/>
    </row>
    <row r="9" spans="1:11" ht="15.75" thickBot="1" x14ac:dyDescent="0.3">
      <c r="A9" s="424"/>
      <c r="B9" s="36" t="s">
        <v>332</v>
      </c>
      <c r="C9" s="36"/>
      <c r="D9" s="199" t="s">
        <v>333</v>
      </c>
      <c r="E9" s="425" t="s">
        <v>334</v>
      </c>
      <c r="F9" s="425"/>
      <c r="G9" s="200" t="s">
        <v>335</v>
      </c>
      <c r="H9" s="200"/>
      <c r="I9" s="423"/>
    </row>
    <row r="10" spans="1:11" ht="18" customHeight="1" x14ac:dyDescent="0.25">
      <c r="A10" s="424"/>
      <c r="E10" s="57"/>
      <c r="F10" s="57"/>
      <c r="G10" s="57"/>
      <c r="I10" s="423"/>
    </row>
    <row r="11" spans="1:11" ht="18" customHeight="1" x14ac:dyDescent="0.25">
      <c r="A11" s="426" t="s">
        <v>336</v>
      </c>
      <c r="B11" s="202"/>
      <c r="C11" s="202"/>
      <c r="D11" s="202"/>
      <c r="E11" s="202"/>
      <c r="F11" s="202"/>
      <c r="G11" s="202"/>
      <c r="H11" s="202"/>
      <c r="I11" s="423"/>
    </row>
    <row r="12" spans="1:11" x14ac:dyDescent="0.25">
      <c r="A12" s="426"/>
      <c r="E12" s="57" t="s">
        <v>337</v>
      </c>
      <c r="F12" s="57" t="s">
        <v>18</v>
      </c>
      <c r="G12" s="57" t="s">
        <v>183</v>
      </c>
      <c r="I12" s="423"/>
    </row>
    <row r="13" spans="1:11" ht="15" customHeight="1" x14ac:dyDescent="0.25">
      <c r="A13" s="426"/>
      <c r="B13" s="427"/>
      <c r="C13" s="427"/>
      <c r="D13" s="427"/>
      <c r="E13" s="203" t="s">
        <v>338</v>
      </c>
      <c r="F13" s="203" t="s">
        <v>216</v>
      </c>
      <c r="G13" s="203" t="s">
        <v>216</v>
      </c>
      <c r="H13" s="186" t="s">
        <v>320</v>
      </c>
      <c r="I13" s="423"/>
    </row>
    <row r="14" spans="1:11" x14ac:dyDescent="0.25">
      <c r="A14" s="426"/>
      <c r="E14" s="57"/>
      <c r="F14" s="57"/>
      <c r="G14" s="57"/>
      <c r="I14" s="423"/>
    </row>
    <row r="15" spans="1:11" x14ac:dyDescent="0.25">
      <c r="A15" s="426"/>
      <c r="B15" s="3">
        <v>1</v>
      </c>
      <c r="C15" s="3"/>
      <c r="D15" t="s">
        <v>259</v>
      </c>
      <c r="E15" s="73">
        <f>SUM('Check Figure'!F5,'Check Figure'!J5,'Check Figure'!F35,'Check Figure'!J35,'Check Figure'!F65,'Check Figure'!J65,'Check Figure'!F95,'Check Figure'!J95)</f>
        <v>0</v>
      </c>
      <c r="F15" s="76">
        <f>SUM('Check Figure'!G5,'Check Figure'!K5,'Check Figure'!L5,'Check Figure'!G35,'Check Figure'!K35,'Check Figure'!L35,'Check Figure'!G65,'Check Figure'!K65,'Check Figure'!L65,'Check Figure'!G95,'Check Figure'!K95,'Check Figure'!L95)</f>
        <v>0</v>
      </c>
      <c r="G15" s="204">
        <f>SUM('Check Figure'!H5,'Check Figure'!H35,'Check Figure'!H65,'Check Figure'!H95)</f>
        <v>0</v>
      </c>
      <c r="H15" s="76">
        <f>SUM(E15:G15)</f>
        <v>0</v>
      </c>
      <c r="I15" s="423"/>
      <c r="J15" s="76">
        <f>F15-'Check Figure'!O190</f>
        <v>0</v>
      </c>
      <c r="K15" s="76"/>
    </row>
    <row r="16" spans="1:11" x14ac:dyDescent="0.25">
      <c r="A16" s="426"/>
      <c r="B16" s="3">
        <v>2</v>
      </c>
      <c r="C16" s="3"/>
      <c r="D16" t="s">
        <v>260</v>
      </c>
      <c r="E16" s="73">
        <f>SUM('Check Figure'!F6,'Check Figure'!J6,'Check Figure'!F36,'Check Figure'!J36,'Check Figure'!F66,'Check Figure'!J66,'Check Figure'!F96,'Check Figure'!J96)</f>
        <v>0</v>
      </c>
      <c r="F16" s="76">
        <f>SUM('Check Figure'!G6,'Check Figure'!K6,'Check Figure'!L6,'Check Figure'!G36,'Check Figure'!K36,'Check Figure'!L36,'Check Figure'!G66,'Check Figure'!K66,'Check Figure'!L66,'Check Figure'!G96,'Check Figure'!K96,'Check Figure'!L96)</f>
        <v>0</v>
      </c>
      <c r="G16" s="204">
        <f>SUM('Check Figure'!H6,'Check Figure'!H36,'Check Figure'!H66,'Check Figure'!H96)</f>
        <v>0</v>
      </c>
      <c r="H16" s="76">
        <f t="shared" ref="H16:H39" si="0">SUM(E16:G16)</f>
        <v>0</v>
      </c>
      <c r="I16" s="423"/>
      <c r="J16" s="76">
        <f>F16-'Check Figure'!O191</f>
        <v>0</v>
      </c>
    </row>
    <row r="17" spans="1:10" x14ac:dyDescent="0.25">
      <c r="A17" s="426"/>
      <c r="B17" s="3">
        <v>3</v>
      </c>
      <c r="C17" s="3"/>
      <c r="D17" t="s">
        <v>261</v>
      </c>
      <c r="E17" s="73">
        <f>SUM('Check Figure'!F7,'Check Figure'!J7,'Check Figure'!F37,'Check Figure'!J37,'Check Figure'!F67,'Check Figure'!J67,'Check Figure'!F97,'Check Figure'!J97)</f>
        <v>0</v>
      </c>
      <c r="F17" s="76">
        <f>SUM('Check Figure'!G7,'Check Figure'!K7,'Check Figure'!L7,'Check Figure'!G37,'Check Figure'!K37,'Check Figure'!L37,'Check Figure'!G67,'Check Figure'!K67,'Check Figure'!L67,'Check Figure'!G97,'Check Figure'!K97,'Check Figure'!L97)</f>
        <v>0</v>
      </c>
      <c r="G17" s="204">
        <f>SUM('Check Figure'!H7,'Check Figure'!H37,'Check Figure'!H67,'Check Figure'!H97)</f>
        <v>0</v>
      </c>
      <c r="H17" s="76">
        <f t="shared" si="0"/>
        <v>0</v>
      </c>
      <c r="I17" s="423"/>
      <c r="J17" s="76">
        <f>F17-'Check Figure'!O192</f>
        <v>0</v>
      </c>
    </row>
    <row r="18" spans="1:10" x14ac:dyDescent="0.25">
      <c r="A18" s="426"/>
      <c r="B18" s="3">
        <v>4</v>
      </c>
      <c r="C18" s="3"/>
      <c r="D18" t="s">
        <v>262</v>
      </c>
      <c r="E18" s="73">
        <f>SUM('Check Figure'!F8,'Check Figure'!J8,'Check Figure'!F38,'Check Figure'!J38,'Check Figure'!F68,'Check Figure'!J68,'Check Figure'!F98,'Check Figure'!J98)</f>
        <v>0</v>
      </c>
      <c r="F18" s="76">
        <f>SUM('Check Figure'!G8,'Check Figure'!K8,'Check Figure'!L8,'Check Figure'!G38,'Check Figure'!K38,'Check Figure'!L38,'Check Figure'!G68,'Check Figure'!K68,'Check Figure'!L68,'Check Figure'!G98,'Check Figure'!K98,'Check Figure'!L98)</f>
        <v>0</v>
      </c>
      <c r="G18" s="204">
        <f>SUM('Check Figure'!H8,'Check Figure'!H38,'Check Figure'!H68,'Check Figure'!H98)</f>
        <v>0</v>
      </c>
      <c r="H18" s="76">
        <f t="shared" si="0"/>
        <v>0</v>
      </c>
      <c r="I18" s="423"/>
      <c r="J18" s="76">
        <f>F18-'Check Figure'!O193</f>
        <v>0</v>
      </c>
    </row>
    <row r="19" spans="1:10" x14ac:dyDescent="0.25">
      <c r="A19" s="426"/>
      <c r="B19" s="3">
        <v>5</v>
      </c>
      <c r="C19" s="3"/>
      <c r="D19" t="s">
        <v>263</v>
      </c>
      <c r="E19" s="73">
        <f>SUM('Check Figure'!F9,'Check Figure'!J9,'Check Figure'!F39,'Check Figure'!J39,'Check Figure'!F69,'Check Figure'!J69,'Check Figure'!F99,'Check Figure'!J99)</f>
        <v>0</v>
      </c>
      <c r="F19" s="76">
        <f>SUM('Check Figure'!G9,'Check Figure'!K9,'Check Figure'!L9,'Check Figure'!G39,'Check Figure'!K39,'Check Figure'!L39,'Check Figure'!G69,'Check Figure'!K69,'Check Figure'!L69,'Check Figure'!G99,'Check Figure'!K99,'Check Figure'!L99)</f>
        <v>0</v>
      </c>
      <c r="G19" s="204">
        <f>SUM('Check Figure'!H9,'Check Figure'!H39,'Check Figure'!H69,'Check Figure'!H99)</f>
        <v>0</v>
      </c>
      <c r="H19" s="76">
        <f t="shared" si="0"/>
        <v>0</v>
      </c>
      <c r="I19" s="423"/>
      <c r="J19" s="76">
        <f>F19-'Check Figure'!O194</f>
        <v>0</v>
      </c>
    </row>
    <row r="20" spans="1:10" x14ac:dyDescent="0.25">
      <c r="A20" s="426"/>
      <c r="B20" s="3">
        <v>6</v>
      </c>
      <c r="C20" s="3"/>
      <c r="D20" t="s">
        <v>264</v>
      </c>
      <c r="E20" s="73">
        <f>SUM('Check Figure'!F10,'Check Figure'!J10,'Check Figure'!F40,'Check Figure'!J40,'Check Figure'!F70,'Check Figure'!J70,'Check Figure'!F100,'Check Figure'!J100)</f>
        <v>0</v>
      </c>
      <c r="F20" s="76">
        <f>SUM('Check Figure'!G10,'Check Figure'!K10,'Check Figure'!L10,'Check Figure'!G40,'Check Figure'!K40,'Check Figure'!L40,'Check Figure'!G70,'Check Figure'!K70,'Check Figure'!L70,'Check Figure'!G100,'Check Figure'!K100,'Check Figure'!L100)</f>
        <v>0</v>
      </c>
      <c r="G20" s="204">
        <f>SUM('Check Figure'!H10,'Check Figure'!H40,'Check Figure'!H70,'Check Figure'!H100)</f>
        <v>0</v>
      </c>
      <c r="H20" s="76">
        <f t="shared" si="0"/>
        <v>0</v>
      </c>
      <c r="I20" s="423"/>
      <c r="J20" s="76">
        <f>F20-'Check Figure'!O195</f>
        <v>0</v>
      </c>
    </row>
    <row r="21" spans="1:10" x14ac:dyDescent="0.25">
      <c r="A21" s="426"/>
      <c r="B21" s="3">
        <v>7</v>
      </c>
      <c r="C21" s="3"/>
      <c r="D21" t="s">
        <v>265</v>
      </c>
      <c r="E21" s="73">
        <f>SUM('Check Figure'!F11,'Check Figure'!J11,'Check Figure'!F41,'Check Figure'!J41,'Check Figure'!F71,'Check Figure'!J71,'Check Figure'!F101,'Check Figure'!J101)</f>
        <v>0</v>
      </c>
      <c r="F21" s="76">
        <f>SUM('Check Figure'!G11,'Check Figure'!K11,'Check Figure'!L11,'Check Figure'!G41,'Check Figure'!K41,'Check Figure'!L41,'Check Figure'!G71,'Check Figure'!K71,'Check Figure'!L71,'Check Figure'!G101,'Check Figure'!K101,'Check Figure'!L101)</f>
        <v>0</v>
      </c>
      <c r="G21" s="204">
        <f>SUM('Check Figure'!H11,'Check Figure'!H41,'Check Figure'!H71,'Check Figure'!H101)</f>
        <v>0</v>
      </c>
      <c r="H21" s="76">
        <f t="shared" si="0"/>
        <v>0</v>
      </c>
      <c r="I21" s="423"/>
      <c r="J21" s="76">
        <f>F21-'Check Figure'!O196</f>
        <v>0</v>
      </c>
    </row>
    <row r="22" spans="1:10" x14ac:dyDescent="0.25">
      <c r="A22" s="426"/>
      <c r="B22" s="3">
        <v>8</v>
      </c>
      <c r="C22" s="3"/>
      <c r="D22" t="s">
        <v>266</v>
      </c>
      <c r="E22" s="73">
        <f>SUM('Check Figure'!F12,'Check Figure'!J12,'Check Figure'!F42,'Check Figure'!J42,'Check Figure'!F72,'Check Figure'!J72,'Check Figure'!F102,'Check Figure'!J102)</f>
        <v>0</v>
      </c>
      <c r="F22" s="76">
        <f>SUM('Check Figure'!G12,'Check Figure'!K12,'Check Figure'!L12,'Check Figure'!G42,'Check Figure'!K42,'Check Figure'!L42,'Check Figure'!G72,'Check Figure'!K72,'Check Figure'!L72,'Check Figure'!G102,'Check Figure'!K102,'Check Figure'!L102)</f>
        <v>0</v>
      </c>
      <c r="G22" s="204">
        <f>SUM('Check Figure'!H12,'Check Figure'!H42,'Check Figure'!H72,'Check Figure'!H102)</f>
        <v>0</v>
      </c>
      <c r="H22" s="76">
        <f t="shared" si="0"/>
        <v>0</v>
      </c>
      <c r="I22" s="423"/>
      <c r="J22" s="76">
        <f>F22-'Check Figure'!O197</f>
        <v>0</v>
      </c>
    </row>
    <row r="23" spans="1:10" x14ac:dyDescent="0.25">
      <c r="A23" s="426"/>
      <c r="B23" s="3">
        <v>9</v>
      </c>
      <c r="C23" s="3"/>
      <c r="D23" s="4" t="s">
        <v>267</v>
      </c>
      <c r="E23" s="73">
        <f>SUM('Check Figure'!F13,'Check Figure'!J13,'Check Figure'!F43,'Check Figure'!J43,'Check Figure'!F73,'Check Figure'!J73,'Check Figure'!F103,'Check Figure'!J103)</f>
        <v>0</v>
      </c>
      <c r="F23" s="76">
        <f>SUM('Check Figure'!G13,'Check Figure'!K13,'Check Figure'!L13,'Check Figure'!G43,'Check Figure'!K43,'Check Figure'!L43,'Check Figure'!G73,'Check Figure'!K73,'Check Figure'!L73,'Check Figure'!G103,'Check Figure'!K103,'Check Figure'!L103)</f>
        <v>0</v>
      </c>
      <c r="G23" s="204">
        <f>SUM('Check Figure'!H13,'Check Figure'!H43,'Check Figure'!H73,'Check Figure'!H103)</f>
        <v>0</v>
      </c>
      <c r="H23" s="76">
        <f t="shared" si="0"/>
        <v>0</v>
      </c>
      <c r="I23" s="423"/>
      <c r="J23" s="76">
        <f>F23-'Check Figure'!O198</f>
        <v>0</v>
      </c>
    </row>
    <row r="24" spans="1:10" x14ac:dyDescent="0.25">
      <c r="A24" s="426"/>
      <c r="B24" s="3">
        <v>10</v>
      </c>
      <c r="C24" s="3"/>
      <c r="D24" t="s">
        <v>268</v>
      </c>
      <c r="E24" s="73">
        <f>SUM('Check Figure'!F14,'Check Figure'!J14,'Check Figure'!F44,'Check Figure'!J44,'Check Figure'!F74,'Check Figure'!J74,'Check Figure'!F104,'Check Figure'!J104)</f>
        <v>0</v>
      </c>
      <c r="F24" s="76">
        <f>SUM('Check Figure'!G14,'Check Figure'!K14,'Check Figure'!L14,'Check Figure'!G44,'Check Figure'!K44,'Check Figure'!L44,'Check Figure'!G74,'Check Figure'!K74,'Check Figure'!L74,'Check Figure'!G104,'Check Figure'!K104,'Check Figure'!L104)</f>
        <v>0</v>
      </c>
      <c r="G24" s="204">
        <f>SUM('Check Figure'!H14,'Check Figure'!H44,'Check Figure'!H74,'Check Figure'!H104)</f>
        <v>0</v>
      </c>
      <c r="H24" s="76">
        <f t="shared" si="0"/>
        <v>0</v>
      </c>
      <c r="I24" s="423"/>
      <c r="J24" s="76">
        <f>F24-'Check Figure'!O199</f>
        <v>0</v>
      </c>
    </row>
    <row r="25" spans="1:10" x14ac:dyDescent="0.25">
      <c r="A25" s="426"/>
      <c r="B25" s="3">
        <v>11</v>
      </c>
      <c r="C25" s="3"/>
      <c r="D25" s="4" t="s">
        <v>269</v>
      </c>
      <c r="E25" s="73">
        <f>SUM('Check Figure'!F15,'Check Figure'!J15,'Check Figure'!F45,'Check Figure'!J45,'Check Figure'!F75,'Check Figure'!J75,'Check Figure'!F105,'Check Figure'!J105)</f>
        <v>0</v>
      </c>
      <c r="F25" s="76">
        <f>SUM('Check Figure'!G15,'Check Figure'!K15,'Check Figure'!L15,'Check Figure'!G45,'Check Figure'!K45,'Check Figure'!L45,'Check Figure'!G75,'Check Figure'!K75,'Check Figure'!L75,'Check Figure'!G105,'Check Figure'!K105,'Check Figure'!L105)</f>
        <v>0</v>
      </c>
      <c r="G25" s="204">
        <f>SUM('Check Figure'!H15,'Check Figure'!H45,'Check Figure'!H75,'Check Figure'!H105)</f>
        <v>0</v>
      </c>
      <c r="H25" s="76">
        <f t="shared" si="0"/>
        <v>0</v>
      </c>
      <c r="I25" s="423"/>
      <c r="J25" s="76">
        <f>F25-'Check Figure'!O200</f>
        <v>0</v>
      </c>
    </row>
    <row r="26" spans="1:10" x14ac:dyDescent="0.25">
      <c r="A26" s="426"/>
      <c r="B26" s="3">
        <v>12</v>
      </c>
      <c r="C26" s="3"/>
      <c r="D26" s="4" t="s">
        <v>270</v>
      </c>
      <c r="E26" s="73">
        <f>SUM('Check Figure'!F16,'Check Figure'!J16,'Check Figure'!F46,'Check Figure'!J46,'Check Figure'!F76,'Check Figure'!J76,'Check Figure'!F106,'Check Figure'!J106)</f>
        <v>0</v>
      </c>
      <c r="F26" s="76">
        <f>SUM('Check Figure'!G16,'Check Figure'!K16,'Check Figure'!L16,'Check Figure'!G46,'Check Figure'!K46,'Check Figure'!L46,'Check Figure'!G76,'Check Figure'!K76,'Check Figure'!L76,'Check Figure'!G106,'Check Figure'!K106,'Check Figure'!L106)</f>
        <v>0</v>
      </c>
      <c r="G26" s="204">
        <f>SUM('Check Figure'!H16,'Check Figure'!H46,'Check Figure'!H76,'Check Figure'!H106)</f>
        <v>0</v>
      </c>
      <c r="H26" s="76">
        <f t="shared" si="0"/>
        <v>0</v>
      </c>
      <c r="I26" s="423"/>
      <c r="J26" s="76">
        <f>F26-'Check Figure'!O201</f>
        <v>0</v>
      </c>
    </row>
    <row r="27" spans="1:10" x14ac:dyDescent="0.25">
      <c r="A27" s="426"/>
      <c r="B27" s="3">
        <v>13</v>
      </c>
      <c r="C27" s="3"/>
      <c r="D27" s="4" t="s">
        <v>271</v>
      </c>
      <c r="E27" s="73">
        <f>SUM('Check Figure'!F17,'Check Figure'!J17,'Check Figure'!F47,'Check Figure'!J47,'Check Figure'!F77,'Check Figure'!J77,'Check Figure'!F107,'Check Figure'!J107)</f>
        <v>0</v>
      </c>
      <c r="F27" s="76">
        <f>SUM('Check Figure'!G17,'Check Figure'!K17,'Check Figure'!L17,'Check Figure'!G47,'Check Figure'!K47,'Check Figure'!L47,'Check Figure'!G77,'Check Figure'!K77,'Check Figure'!L77,'Check Figure'!G107,'Check Figure'!K107,'Check Figure'!L107)</f>
        <v>0</v>
      </c>
      <c r="G27" s="204">
        <f>SUM('Check Figure'!H17,'Check Figure'!H47,'Check Figure'!H77,'Check Figure'!H107)</f>
        <v>0</v>
      </c>
      <c r="H27" s="76">
        <f t="shared" si="0"/>
        <v>0</v>
      </c>
      <c r="I27" s="423"/>
      <c r="J27" s="76">
        <f>F27-'Check Figure'!O202</f>
        <v>0</v>
      </c>
    </row>
    <row r="28" spans="1:10" x14ac:dyDescent="0.25">
      <c r="A28" s="426"/>
      <c r="B28" s="3">
        <v>14</v>
      </c>
      <c r="C28" s="3"/>
      <c r="D28" s="4" t="s">
        <v>272</v>
      </c>
      <c r="E28" s="73">
        <f>SUM('Check Figure'!F18,'Check Figure'!J18,'Check Figure'!F48,'Check Figure'!J48,'Check Figure'!F78,'Check Figure'!J78,'Check Figure'!F108,'Check Figure'!J108)</f>
        <v>0</v>
      </c>
      <c r="F28" s="76">
        <f>SUM('Check Figure'!G18,'Check Figure'!K18,'Check Figure'!L18,'Check Figure'!G48,'Check Figure'!K48,'Check Figure'!L48,'Check Figure'!G78,'Check Figure'!K78,'Check Figure'!L78,'Check Figure'!G108,'Check Figure'!K108,'Check Figure'!L108)</f>
        <v>0</v>
      </c>
      <c r="G28" s="204">
        <f>SUM('Check Figure'!H18,'Check Figure'!H48,'Check Figure'!H78,'Check Figure'!H108)</f>
        <v>0</v>
      </c>
      <c r="H28" s="76">
        <f t="shared" si="0"/>
        <v>0</v>
      </c>
      <c r="I28" s="423"/>
      <c r="J28" s="76">
        <f>F28-'Check Figure'!O203</f>
        <v>0</v>
      </c>
    </row>
    <row r="29" spans="1:10" x14ac:dyDescent="0.25">
      <c r="A29" s="426"/>
      <c r="B29" s="3">
        <v>15</v>
      </c>
      <c r="C29" s="3"/>
      <c r="D29" s="4" t="s">
        <v>273</v>
      </c>
      <c r="E29" s="73">
        <f>SUM('Check Figure'!F19,'Check Figure'!J19,'Check Figure'!F49,'Check Figure'!J49,'Check Figure'!F79,'Check Figure'!J79,'Check Figure'!F109,'Check Figure'!J109)</f>
        <v>0</v>
      </c>
      <c r="F29" s="76">
        <f>SUM('Check Figure'!G19,'Check Figure'!K19,'Check Figure'!L19,'Check Figure'!G49,'Check Figure'!K49,'Check Figure'!L49,'Check Figure'!G79,'Check Figure'!K79,'Check Figure'!L79,'Check Figure'!G109,'Check Figure'!K109,'Check Figure'!L109)</f>
        <v>0</v>
      </c>
      <c r="G29" s="204">
        <f>SUM('Check Figure'!H19,'Check Figure'!H49,'Check Figure'!H79,'Check Figure'!H109)</f>
        <v>0</v>
      </c>
      <c r="H29" s="76">
        <f t="shared" si="0"/>
        <v>0</v>
      </c>
      <c r="I29" s="423"/>
      <c r="J29" s="76">
        <f>F29-'Check Figure'!O204</f>
        <v>0</v>
      </c>
    </row>
    <row r="30" spans="1:10" x14ac:dyDescent="0.25">
      <c r="A30" s="426"/>
      <c r="B30" s="3">
        <v>16</v>
      </c>
      <c r="C30" s="3"/>
      <c r="D30" s="4" t="s">
        <v>274</v>
      </c>
      <c r="E30" s="73">
        <f>SUM('Check Figure'!F20,'Check Figure'!J20,'Check Figure'!F50,'Check Figure'!J50,'Check Figure'!F80,'Check Figure'!J80,'Check Figure'!F110,'Check Figure'!J110)</f>
        <v>0</v>
      </c>
      <c r="F30" s="76">
        <f>SUM('Check Figure'!G20,'Check Figure'!K20,'Check Figure'!L20,'Check Figure'!G50,'Check Figure'!K50,'Check Figure'!L50,'Check Figure'!G80,'Check Figure'!K80,'Check Figure'!L80,'Check Figure'!G110,'Check Figure'!K110,'Check Figure'!L110)</f>
        <v>0</v>
      </c>
      <c r="G30" s="204">
        <f>SUM('Check Figure'!H20,'Check Figure'!H50,'Check Figure'!H80,'Check Figure'!H110)</f>
        <v>0</v>
      </c>
      <c r="H30" s="76">
        <f t="shared" si="0"/>
        <v>0</v>
      </c>
      <c r="I30" s="423"/>
      <c r="J30" s="76">
        <f>F30-'Check Figure'!O205</f>
        <v>0</v>
      </c>
    </row>
    <row r="31" spans="1:10" x14ac:dyDescent="0.25">
      <c r="A31" s="426"/>
      <c r="B31" s="3">
        <v>17</v>
      </c>
      <c r="C31" s="3"/>
      <c r="D31" s="4" t="s">
        <v>275</v>
      </c>
      <c r="E31" s="73">
        <f>SUM('Check Figure'!F21,'Check Figure'!J21,'Check Figure'!F51,'Check Figure'!J51,'Check Figure'!F81,'Check Figure'!J81,'Check Figure'!F111,'Check Figure'!J111)</f>
        <v>0</v>
      </c>
      <c r="F31" s="76">
        <f>SUM('Check Figure'!G21,'Check Figure'!K21,'Check Figure'!L21,'Check Figure'!G51,'Check Figure'!K51,'Check Figure'!L51,'Check Figure'!G81,'Check Figure'!K81,'Check Figure'!L81,'Check Figure'!G111,'Check Figure'!K111,'Check Figure'!L111)</f>
        <v>0</v>
      </c>
      <c r="G31" s="204">
        <f>SUM('Check Figure'!H21,'Check Figure'!H51,'Check Figure'!H81,'Check Figure'!H111)</f>
        <v>0</v>
      </c>
      <c r="H31" s="76">
        <f t="shared" si="0"/>
        <v>0</v>
      </c>
      <c r="I31" s="423"/>
      <c r="J31" s="76">
        <f>F31-'Check Figure'!O206</f>
        <v>0</v>
      </c>
    </row>
    <row r="32" spans="1:10" x14ac:dyDescent="0.25">
      <c r="A32" s="426"/>
      <c r="B32" s="3">
        <v>18</v>
      </c>
      <c r="C32" s="3"/>
      <c r="D32" s="4" t="s">
        <v>276</v>
      </c>
      <c r="E32" s="73">
        <f>SUM('Check Figure'!F22,'Check Figure'!J22,'Check Figure'!F52,'Check Figure'!J52,'Check Figure'!F82,'Check Figure'!J82,'Check Figure'!F112,'Check Figure'!J112)</f>
        <v>0</v>
      </c>
      <c r="F32" s="76">
        <f>SUM('Check Figure'!G22,'Check Figure'!K22,'Check Figure'!L22,'Check Figure'!G52,'Check Figure'!K52,'Check Figure'!L52,'Check Figure'!G82,'Check Figure'!K82,'Check Figure'!L82,'Check Figure'!G112,'Check Figure'!K112,'Check Figure'!L112)</f>
        <v>0</v>
      </c>
      <c r="G32" s="204">
        <f>SUM('Check Figure'!H22,'Check Figure'!H52,'Check Figure'!H82,'Check Figure'!H112)</f>
        <v>0</v>
      </c>
      <c r="H32" s="76">
        <f t="shared" si="0"/>
        <v>0</v>
      </c>
      <c r="I32" s="423"/>
      <c r="J32" s="76">
        <f>F32-'Check Figure'!O207</f>
        <v>0</v>
      </c>
    </row>
    <row r="33" spans="1:15" x14ac:dyDescent="0.25">
      <c r="A33" s="426"/>
      <c r="B33" s="3">
        <v>19</v>
      </c>
      <c r="C33" s="3"/>
      <c r="D33" s="4" t="s">
        <v>277</v>
      </c>
      <c r="E33" s="73">
        <f>SUM('Check Figure'!F23,'Check Figure'!J23,'Check Figure'!F53,'Check Figure'!J53,'Check Figure'!F83,'Check Figure'!J83,'Check Figure'!F113,'Check Figure'!J113)</f>
        <v>0</v>
      </c>
      <c r="F33" s="76">
        <f>SUM('Check Figure'!G23,'Check Figure'!K23,'Check Figure'!L23,'Check Figure'!G53,'Check Figure'!K53,'Check Figure'!L53,'Check Figure'!G83,'Check Figure'!K83,'Check Figure'!L83,'Check Figure'!G113,'Check Figure'!K113,'Check Figure'!L113)</f>
        <v>0</v>
      </c>
      <c r="G33" s="204">
        <f>SUM('Check Figure'!H23,'Check Figure'!H53,'Check Figure'!H83,'Check Figure'!H113)</f>
        <v>0</v>
      </c>
      <c r="H33" s="76">
        <f t="shared" si="0"/>
        <v>0</v>
      </c>
      <c r="I33" s="423"/>
      <c r="J33" s="76">
        <f>F33-'Check Figure'!O208</f>
        <v>0</v>
      </c>
    </row>
    <row r="34" spans="1:15" x14ac:dyDescent="0.25">
      <c r="A34" s="426"/>
      <c r="B34" s="3">
        <v>20</v>
      </c>
      <c r="C34" s="3"/>
      <c r="D34" s="4" t="s">
        <v>278</v>
      </c>
      <c r="E34" s="73">
        <f>SUM('Check Figure'!F24,'Check Figure'!J24,'Check Figure'!F54,'Check Figure'!J54,'Check Figure'!F84,'Check Figure'!J84,'Check Figure'!F114,'Check Figure'!J114)</f>
        <v>0</v>
      </c>
      <c r="F34" s="76">
        <f>SUM('Check Figure'!G24,'Check Figure'!K24,'Check Figure'!L24,'Check Figure'!G54,'Check Figure'!K54,'Check Figure'!L54,'Check Figure'!G84,'Check Figure'!K84,'Check Figure'!L84,'Check Figure'!G114,'Check Figure'!K114,'Check Figure'!L114)</f>
        <v>0</v>
      </c>
      <c r="G34" s="204">
        <f>SUM('Check Figure'!H24,'Check Figure'!H54,'Check Figure'!H84,'Check Figure'!H114)</f>
        <v>0</v>
      </c>
      <c r="H34" s="76">
        <f t="shared" si="0"/>
        <v>0</v>
      </c>
      <c r="I34" s="423"/>
      <c r="J34" s="76">
        <f>F34-'Check Figure'!O209</f>
        <v>0</v>
      </c>
    </row>
    <row r="35" spans="1:15" x14ac:dyDescent="0.25">
      <c r="A35" s="426"/>
      <c r="B35" s="3">
        <v>21</v>
      </c>
      <c r="C35" s="3"/>
      <c r="D35" s="4" t="s">
        <v>279</v>
      </c>
      <c r="E35" s="73">
        <f>SUM('Check Figure'!F25,'Check Figure'!J25,'Check Figure'!F55,'Check Figure'!J55,'Check Figure'!F85,'Check Figure'!J85,'Check Figure'!F115,'Check Figure'!J115)</f>
        <v>0</v>
      </c>
      <c r="F35" s="76">
        <f>SUM('Check Figure'!G25,'Check Figure'!K25,'Check Figure'!L25,'Check Figure'!G55,'Check Figure'!K55,'Check Figure'!L55,'Check Figure'!G85,'Check Figure'!K85,'Check Figure'!L85,'Check Figure'!G115,'Check Figure'!K115,'Check Figure'!L115)</f>
        <v>0</v>
      </c>
      <c r="G35" s="204">
        <f>SUM('Check Figure'!H25,'Check Figure'!H55,'Check Figure'!H85,'Check Figure'!H115)</f>
        <v>0</v>
      </c>
      <c r="H35" s="76">
        <f t="shared" si="0"/>
        <v>0</v>
      </c>
      <c r="I35" s="423"/>
      <c r="J35" s="76">
        <f>F35-'Check Figure'!O210</f>
        <v>0</v>
      </c>
    </row>
    <row r="36" spans="1:15" x14ac:dyDescent="0.25">
      <c r="A36" s="426"/>
      <c r="B36" s="3">
        <v>22</v>
      </c>
      <c r="C36" s="3"/>
      <c r="D36" s="4" t="s">
        <v>280</v>
      </c>
      <c r="E36" s="73">
        <f>SUM('Check Figure'!F26,'Check Figure'!J26,'Check Figure'!F56,'Check Figure'!J56,'Check Figure'!F86,'Check Figure'!J86,'Check Figure'!F116,'Check Figure'!J116)</f>
        <v>0</v>
      </c>
      <c r="F36" s="76">
        <f>SUM('Check Figure'!G26,'Check Figure'!K26,'Check Figure'!L26,'Check Figure'!G56,'Check Figure'!K56,'Check Figure'!L56,'Check Figure'!G86,'Check Figure'!K86,'Check Figure'!L86,'Check Figure'!G116,'Check Figure'!K116,'Check Figure'!L116)</f>
        <v>0</v>
      </c>
      <c r="G36" s="204">
        <f>SUM('Check Figure'!H26,'Check Figure'!H56,'Check Figure'!H86,'Check Figure'!H116)</f>
        <v>0</v>
      </c>
      <c r="H36" s="76">
        <f t="shared" si="0"/>
        <v>0</v>
      </c>
      <c r="I36" s="423"/>
      <c r="J36" s="76">
        <f>F36-'Check Figure'!O211</f>
        <v>0</v>
      </c>
    </row>
    <row r="37" spans="1:15" x14ac:dyDescent="0.25">
      <c r="A37" s="426"/>
      <c r="B37" s="3">
        <v>23</v>
      </c>
      <c r="C37" s="3"/>
      <c r="D37" s="4" t="s">
        <v>281</v>
      </c>
      <c r="E37" s="73">
        <f>SUM('Check Figure'!F27,'Check Figure'!J27,'Check Figure'!F57,'Check Figure'!J57,'Check Figure'!F87,'Check Figure'!J87,'Check Figure'!F117,'Check Figure'!J117)</f>
        <v>0</v>
      </c>
      <c r="F37" s="76">
        <f>SUM('Check Figure'!G27,'Check Figure'!K27,'Check Figure'!L27,'Check Figure'!G57,'Check Figure'!K57,'Check Figure'!L57,'Check Figure'!G87,'Check Figure'!K87,'Check Figure'!L87,'Check Figure'!G117,'Check Figure'!K117,'Check Figure'!L117)</f>
        <v>0</v>
      </c>
      <c r="G37" s="204">
        <f>SUM('Check Figure'!H27,'Check Figure'!H57,'Check Figure'!H87,'Check Figure'!H117)</f>
        <v>0</v>
      </c>
      <c r="H37" s="76">
        <f t="shared" si="0"/>
        <v>0</v>
      </c>
      <c r="I37" s="423"/>
      <c r="J37" s="76">
        <f>F37-'Check Figure'!O212</f>
        <v>0</v>
      </c>
    </row>
    <row r="38" spans="1:15" x14ac:dyDescent="0.25">
      <c r="A38" s="426"/>
      <c r="B38" s="3">
        <v>24</v>
      </c>
      <c r="C38" s="3"/>
      <c r="D38" s="4" t="s">
        <v>282</v>
      </c>
      <c r="E38" s="73">
        <f>SUM('Check Figure'!F28,'Check Figure'!J28,'Check Figure'!F58,'Check Figure'!J58,'Check Figure'!F88,'Check Figure'!J88,'Check Figure'!F118,'Check Figure'!J118)</f>
        <v>0</v>
      </c>
      <c r="F38" s="76">
        <f>SUM('Check Figure'!G28,'Check Figure'!K28,'Check Figure'!L28,'Check Figure'!G58,'Check Figure'!K58,'Check Figure'!L58,'Check Figure'!G88,'Check Figure'!K88,'Check Figure'!L88,'Check Figure'!G118,'Check Figure'!K118,'Check Figure'!L118)</f>
        <v>0</v>
      </c>
      <c r="G38" s="204">
        <f>SUM('Check Figure'!H28,'Check Figure'!H58,'Check Figure'!H88,'Check Figure'!H118)</f>
        <v>0</v>
      </c>
      <c r="H38" s="76">
        <f t="shared" si="0"/>
        <v>0</v>
      </c>
      <c r="I38" s="423"/>
      <c r="J38" s="76">
        <f>F38-'Check Figure'!O213</f>
        <v>0</v>
      </c>
    </row>
    <row r="39" spans="1:15" x14ac:dyDescent="0.25">
      <c r="A39" s="426"/>
      <c r="B39" s="3">
        <v>25</v>
      </c>
      <c r="C39" s="3"/>
      <c r="D39" s="4" t="s">
        <v>283</v>
      </c>
      <c r="E39" s="73">
        <f>SUM('Check Figure'!F29,'Check Figure'!J29,'Check Figure'!F59,'Check Figure'!J59,'Check Figure'!F89,'Check Figure'!J89,'Check Figure'!F119,'Check Figure'!J119)</f>
        <v>0</v>
      </c>
      <c r="F39" s="76">
        <f>SUM('Check Figure'!G29,'Check Figure'!K29,'Check Figure'!L29,'Check Figure'!G59,'Check Figure'!K59,'Check Figure'!L59,'Check Figure'!G89,'Check Figure'!K89,'Check Figure'!L89,'Check Figure'!G119,'Check Figure'!K119,'Check Figure'!L119)</f>
        <v>0</v>
      </c>
      <c r="G39" s="204">
        <f>SUM('Check Figure'!H29,'Check Figure'!H59,'Check Figure'!H89,'Check Figure'!H119)</f>
        <v>0</v>
      </c>
      <c r="H39" s="76">
        <f t="shared" si="0"/>
        <v>0</v>
      </c>
      <c r="I39" s="423"/>
      <c r="J39" s="76">
        <f>F39-'Check Figure'!O214</f>
        <v>0</v>
      </c>
    </row>
    <row r="40" spans="1:15" x14ac:dyDescent="0.25">
      <c r="A40" s="426"/>
      <c r="B40" s="3"/>
      <c r="C40" s="3"/>
      <c r="E40" s="114"/>
      <c r="F40" s="114"/>
      <c r="G40" s="205"/>
      <c r="H40" s="76"/>
      <c r="I40" s="423"/>
      <c r="J40" s="76"/>
    </row>
    <row r="41" spans="1:15" s="36" customFormat="1" ht="15.75" thickBot="1" x14ac:dyDescent="0.3">
      <c r="A41" s="426"/>
      <c r="B41" s="57"/>
      <c r="C41" s="57"/>
      <c r="D41" s="28" t="s">
        <v>339</v>
      </c>
      <c r="E41" s="206">
        <f>SUBTOTAL(9,E15:E40)</f>
        <v>0</v>
      </c>
      <c r="F41" s="206">
        <f>SUBTOTAL(9,F15:F40)</f>
        <v>0</v>
      </c>
      <c r="G41" s="338">
        <f>SUBTOTAL(9,G15:G40)</f>
        <v>0</v>
      </c>
      <c r="H41" s="206">
        <f>SUBTOTAL(9,H15:H40)</f>
        <v>0</v>
      </c>
      <c r="I41" s="423"/>
      <c r="J41" s="76">
        <f>H41-'Check Figure'!Q215</f>
        <v>0</v>
      </c>
      <c r="L41"/>
      <c r="M41"/>
      <c r="N41"/>
      <c r="O41"/>
    </row>
    <row r="42" spans="1:15" ht="15.75" thickTop="1" x14ac:dyDescent="0.25">
      <c r="A42" s="426"/>
      <c r="E42" s="76"/>
      <c r="F42" s="76"/>
      <c r="G42" s="76"/>
      <c r="I42" s="423"/>
    </row>
    <row r="43" spans="1:15" x14ac:dyDescent="0.25">
      <c r="A43" s="426"/>
      <c r="E43" s="73"/>
      <c r="F43" s="76"/>
      <c r="G43" s="53"/>
      <c r="H43" s="53"/>
      <c r="I43" s="423"/>
    </row>
    <row r="44" spans="1:15" x14ac:dyDescent="0.25">
      <c r="A44" s="201"/>
      <c r="B44" s="201"/>
      <c r="C44" s="201"/>
      <c r="D44" s="201"/>
      <c r="E44" s="201"/>
      <c r="F44" s="201"/>
      <c r="G44" s="201"/>
      <c r="H44" s="201"/>
      <c r="I44" s="201"/>
    </row>
    <row r="45" spans="1:15" ht="15" customHeight="1" x14ac:dyDescent="0.25">
      <c r="A45" s="428" t="s">
        <v>340</v>
      </c>
      <c r="E45" s="73"/>
      <c r="H45" s="53"/>
      <c r="I45" s="201"/>
    </row>
    <row r="46" spans="1:15" x14ac:dyDescent="0.25">
      <c r="A46" s="428"/>
      <c r="E46" s="73"/>
      <c r="H46" s="53"/>
      <c r="I46" s="201"/>
    </row>
    <row r="47" spans="1:15" x14ac:dyDescent="0.25">
      <c r="A47" s="428"/>
      <c r="E47" s="73"/>
      <c r="H47" s="53"/>
      <c r="I47" s="201"/>
    </row>
    <row r="48" spans="1:15" x14ac:dyDescent="0.25">
      <c r="A48" s="428"/>
      <c r="E48" s="73"/>
      <c r="H48" s="53"/>
      <c r="I48" s="201"/>
    </row>
    <row r="49" spans="1:9" x14ac:dyDescent="0.25">
      <c r="A49" s="428"/>
      <c r="E49" s="73"/>
      <c r="H49" s="53"/>
      <c r="I49" s="201"/>
    </row>
    <row r="50" spans="1:9" x14ac:dyDescent="0.25">
      <c r="A50" s="428"/>
      <c r="E50" s="73"/>
      <c r="H50" s="53"/>
      <c r="I50" s="201"/>
    </row>
    <row r="51" spans="1:9" x14ac:dyDescent="0.25">
      <c r="A51" s="428"/>
      <c r="E51" s="73"/>
      <c r="H51" s="53"/>
      <c r="I51" s="201"/>
    </row>
    <row r="52" spans="1:9" x14ac:dyDescent="0.25">
      <c r="A52" s="201"/>
      <c r="B52" s="201"/>
      <c r="C52" s="201"/>
      <c r="D52" s="201"/>
      <c r="E52" s="201"/>
      <c r="F52" s="201"/>
      <c r="G52" s="201"/>
      <c r="H52" s="201"/>
      <c r="I52" s="201"/>
    </row>
  </sheetData>
  <mergeCells count="12">
    <mergeCell ref="A7:A10"/>
    <mergeCell ref="E9:F9"/>
    <mergeCell ref="A11:A43"/>
    <mergeCell ref="B13:D13"/>
    <mergeCell ref="A45:A51"/>
    <mergeCell ref="B6:H6"/>
    <mergeCell ref="I6:I43"/>
    <mergeCell ref="B1:I1"/>
    <mergeCell ref="B2:I2"/>
    <mergeCell ref="B3:I3"/>
    <mergeCell ref="B4:I4"/>
    <mergeCell ref="B5:I5"/>
  </mergeCells>
  <pageMargins left="0.7" right="0.7" top="0.75" bottom="0.75" header="0.3" footer="0.3"/>
  <pageSetup scale="7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684BD-2DAF-4C86-B87A-4C07A896C9A3}">
  <sheetPr>
    <tabColor theme="1"/>
    <pageSetUpPr fitToPage="1"/>
  </sheetPr>
  <dimension ref="A2:Q286"/>
  <sheetViews>
    <sheetView topLeftCell="A258" zoomScale="80" zoomScaleNormal="80" workbookViewId="0">
      <selection activeCell="N51" sqref="N51"/>
    </sheetView>
  </sheetViews>
  <sheetFormatPr defaultRowHeight="15" x14ac:dyDescent="0.25"/>
  <cols>
    <col min="1" max="1" width="11.28515625" bestFit="1" customWidth="1"/>
    <col min="2" max="2" width="19.28515625" bestFit="1" customWidth="1"/>
    <col min="3" max="3" width="16.140625" bestFit="1" customWidth="1"/>
    <col min="4" max="4" width="16.85546875" bestFit="1" customWidth="1"/>
    <col min="5" max="5" width="52.28515625" bestFit="1" customWidth="1"/>
    <col min="6" max="6" width="14.42578125" customWidth="1"/>
    <col min="7" max="7" width="13.85546875" customWidth="1"/>
    <col min="8" max="8" width="15.7109375" bestFit="1" customWidth="1"/>
    <col min="9" max="9" width="11.140625" bestFit="1" customWidth="1"/>
    <col min="10" max="10" width="16.42578125" bestFit="1" customWidth="1"/>
    <col min="11" max="11" width="16" customWidth="1"/>
    <col min="12" max="12" width="16.85546875" customWidth="1"/>
    <col min="13" max="13" width="9.7109375" bestFit="1" customWidth="1"/>
    <col min="14" max="14" width="14.28515625" bestFit="1" customWidth="1"/>
    <col min="15" max="15" width="13.7109375" customWidth="1"/>
    <col min="16" max="16" width="14" customWidth="1"/>
    <col min="17" max="17" width="14.5703125" customWidth="1"/>
    <col min="18" max="18" width="11.140625" bestFit="1" customWidth="1"/>
    <col min="19" max="19" width="10.140625" bestFit="1" customWidth="1"/>
    <col min="20" max="20" width="12.140625" bestFit="1" customWidth="1"/>
  </cols>
  <sheetData>
    <row r="2" spans="2:13" x14ac:dyDescent="0.25">
      <c r="B2" s="432" t="s">
        <v>450</v>
      </c>
      <c r="C2" s="432"/>
      <c r="D2" s="432"/>
      <c r="E2" s="432"/>
      <c r="F2" s="432"/>
      <c r="G2" s="432"/>
      <c r="H2" s="432"/>
      <c r="I2" s="432"/>
      <c r="J2" s="432"/>
      <c r="K2" s="432"/>
      <c r="L2" s="432"/>
    </row>
    <row r="3" spans="2:13" x14ac:dyDescent="0.25">
      <c r="B3" s="97"/>
      <c r="C3" s="97"/>
      <c r="D3" s="97"/>
      <c r="F3" s="429" t="s">
        <v>284</v>
      </c>
      <c r="G3" s="430"/>
      <c r="H3" s="431"/>
      <c r="I3" s="3"/>
      <c r="J3" s="433" t="s">
        <v>310</v>
      </c>
      <c r="K3" s="434"/>
      <c r="L3" s="435"/>
      <c r="M3" s="4"/>
    </row>
    <row r="4" spans="2:13" x14ac:dyDescent="0.25">
      <c r="B4" s="207" t="s">
        <v>285</v>
      </c>
      <c r="C4" s="208" t="s">
        <v>341</v>
      </c>
      <c r="D4" s="208" t="s">
        <v>314</v>
      </c>
      <c r="E4" s="209" t="s">
        <v>257</v>
      </c>
      <c r="F4" s="101" t="s">
        <v>188</v>
      </c>
      <c r="G4" s="102" t="s">
        <v>187</v>
      </c>
      <c r="H4" s="103" t="s">
        <v>178</v>
      </c>
      <c r="I4" s="187"/>
      <c r="J4" s="101" t="s">
        <v>188</v>
      </c>
      <c r="K4" s="188" t="s">
        <v>187</v>
      </c>
      <c r="L4" s="189" t="s">
        <v>178</v>
      </c>
      <c r="M4" s="91"/>
    </row>
    <row r="5" spans="2:13" x14ac:dyDescent="0.25">
      <c r="B5" s="210">
        <f>AP!N44</f>
        <v>0</v>
      </c>
      <c r="C5" s="97">
        <f>AP!O44</f>
        <v>0</v>
      </c>
      <c r="D5" s="97">
        <f>AP!P44</f>
        <v>0</v>
      </c>
      <c r="E5" s="106" t="s">
        <v>259</v>
      </c>
      <c r="F5" s="211">
        <f>AP!R44</f>
        <v>0</v>
      </c>
      <c r="G5" s="211">
        <f>AP!S44</f>
        <v>0</v>
      </c>
      <c r="H5" s="211">
        <f>AP!T44</f>
        <v>0</v>
      </c>
      <c r="I5" s="211">
        <f>AP!U44</f>
        <v>0</v>
      </c>
      <c r="J5" s="211">
        <f>AP!V44</f>
        <v>0</v>
      </c>
      <c r="K5" s="211">
        <f>AP!W44</f>
        <v>0</v>
      </c>
      <c r="L5" s="211">
        <f>AP!X44</f>
        <v>0</v>
      </c>
      <c r="M5" s="211">
        <f>AP!Y44</f>
        <v>0</v>
      </c>
    </row>
    <row r="6" spans="2:13" x14ac:dyDescent="0.25">
      <c r="B6" s="210">
        <f>AP!N45</f>
        <v>0</v>
      </c>
      <c r="C6" s="97">
        <f>AP!O45</f>
        <v>0</v>
      </c>
      <c r="D6" s="97">
        <f>AP!P45</f>
        <v>0</v>
      </c>
      <c r="E6" s="106" t="s">
        <v>260</v>
      </c>
      <c r="F6" s="211">
        <f>AP!R45</f>
        <v>0</v>
      </c>
      <c r="G6" s="211">
        <f>AP!S45</f>
        <v>0</v>
      </c>
      <c r="H6" s="211">
        <f>AP!T45</f>
        <v>0</v>
      </c>
      <c r="I6" s="211">
        <f>AP!U45</f>
        <v>0</v>
      </c>
      <c r="J6" s="211">
        <f>AP!V45</f>
        <v>0</v>
      </c>
      <c r="K6" s="211">
        <f>AP!W45</f>
        <v>0</v>
      </c>
      <c r="L6" s="211">
        <f>AP!X45</f>
        <v>0</v>
      </c>
      <c r="M6" s="211">
        <f>AP!Y45</f>
        <v>0</v>
      </c>
    </row>
    <row r="7" spans="2:13" x14ac:dyDescent="0.25">
      <c r="B7" s="210">
        <f>AP!N46</f>
        <v>0</v>
      </c>
      <c r="C7" s="97">
        <f>AP!O46</f>
        <v>0</v>
      </c>
      <c r="D7" s="97">
        <f>AP!P46</f>
        <v>0</v>
      </c>
      <c r="E7" s="106" t="s">
        <v>261</v>
      </c>
      <c r="F7" s="211">
        <f>AP!R46</f>
        <v>0</v>
      </c>
      <c r="G7" s="211">
        <f>AP!S46</f>
        <v>0</v>
      </c>
      <c r="H7" s="211">
        <f>AP!T46</f>
        <v>0</v>
      </c>
      <c r="I7" s="211">
        <f>AP!U46</f>
        <v>0</v>
      </c>
      <c r="J7" s="211">
        <f>AP!V46</f>
        <v>0</v>
      </c>
      <c r="K7" s="211">
        <f>AP!W46</f>
        <v>0</v>
      </c>
      <c r="L7" s="211">
        <f>AP!X46</f>
        <v>0</v>
      </c>
      <c r="M7" s="211">
        <f>AP!Y46</f>
        <v>0</v>
      </c>
    </row>
    <row r="8" spans="2:13" x14ac:dyDescent="0.25">
      <c r="B8" s="210">
        <f>AP!N47</f>
        <v>0</v>
      </c>
      <c r="C8" s="97">
        <f>AP!O47</f>
        <v>0</v>
      </c>
      <c r="D8" s="97">
        <f>AP!P47</f>
        <v>0</v>
      </c>
      <c r="E8" s="106" t="s">
        <v>262</v>
      </c>
      <c r="F8" s="211">
        <f>AP!R47</f>
        <v>0</v>
      </c>
      <c r="G8" s="211">
        <f>AP!S47</f>
        <v>0</v>
      </c>
      <c r="H8" s="211">
        <f>AP!T47</f>
        <v>0</v>
      </c>
      <c r="I8" s="211">
        <f>AP!U47</f>
        <v>0</v>
      </c>
      <c r="J8" s="211">
        <f>AP!V47</f>
        <v>0</v>
      </c>
      <c r="K8" s="211">
        <f>AP!W47</f>
        <v>0</v>
      </c>
      <c r="L8" s="211">
        <f>AP!X47</f>
        <v>0</v>
      </c>
      <c r="M8" s="211">
        <f>AP!Y47</f>
        <v>0</v>
      </c>
    </row>
    <row r="9" spans="2:13" x14ac:dyDescent="0.25">
      <c r="B9" s="210">
        <f>AP!N48</f>
        <v>0</v>
      </c>
      <c r="C9" s="97">
        <f>AP!O48</f>
        <v>0</v>
      </c>
      <c r="D9" s="97">
        <f>AP!P48</f>
        <v>0</v>
      </c>
      <c r="E9" s="106" t="s">
        <v>263</v>
      </c>
      <c r="F9" s="211">
        <f>AP!R48</f>
        <v>0</v>
      </c>
      <c r="G9" s="211">
        <f>AP!S48</f>
        <v>0</v>
      </c>
      <c r="H9" s="211">
        <f>AP!T48</f>
        <v>0</v>
      </c>
      <c r="I9" s="211">
        <f>AP!U48</f>
        <v>0</v>
      </c>
      <c r="J9" s="211">
        <f>AP!V48</f>
        <v>0</v>
      </c>
      <c r="K9" s="211">
        <f>AP!W48</f>
        <v>0</v>
      </c>
      <c r="L9" s="211">
        <f>AP!X48</f>
        <v>0</v>
      </c>
      <c r="M9" s="211">
        <f>AP!Y48</f>
        <v>0</v>
      </c>
    </row>
    <row r="10" spans="2:13" x14ac:dyDescent="0.25">
      <c r="B10" s="210">
        <f>AP!N49</f>
        <v>0</v>
      </c>
      <c r="C10" s="97">
        <f>AP!O49</f>
        <v>0</v>
      </c>
      <c r="D10" s="97">
        <f>AP!P49</f>
        <v>0</v>
      </c>
      <c r="E10" s="106" t="s">
        <v>264</v>
      </c>
      <c r="F10" s="211">
        <f>AP!R49</f>
        <v>0</v>
      </c>
      <c r="G10" s="211">
        <f>AP!S49</f>
        <v>0</v>
      </c>
      <c r="H10" s="211">
        <f>AP!T49</f>
        <v>0</v>
      </c>
      <c r="I10" s="211">
        <f>AP!U49</f>
        <v>0</v>
      </c>
      <c r="J10" s="211">
        <f>AP!V49</f>
        <v>0</v>
      </c>
      <c r="K10" s="211">
        <f>AP!W49</f>
        <v>0</v>
      </c>
      <c r="L10" s="211">
        <f>AP!X49</f>
        <v>0</v>
      </c>
      <c r="M10" s="211">
        <f>AP!Y49</f>
        <v>0</v>
      </c>
    </row>
    <row r="11" spans="2:13" x14ac:dyDescent="0.25">
      <c r="B11" s="210">
        <f>AP!N50</f>
        <v>0</v>
      </c>
      <c r="C11" s="97">
        <f>AP!O50</f>
        <v>0</v>
      </c>
      <c r="D11" s="97">
        <f>AP!P50</f>
        <v>0</v>
      </c>
      <c r="E11" s="106" t="s">
        <v>265</v>
      </c>
      <c r="F11" s="211">
        <f>AP!R50</f>
        <v>0</v>
      </c>
      <c r="G11" s="211">
        <f>AP!S50</f>
        <v>0</v>
      </c>
      <c r="H11" s="211">
        <f>AP!T50</f>
        <v>0</v>
      </c>
      <c r="I11" s="211">
        <f>AP!U50</f>
        <v>0</v>
      </c>
      <c r="J11" s="211">
        <f>AP!V50</f>
        <v>0</v>
      </c>
      <c r="K11" s="211">
        <f>AP!W50</f>
        <v>0</v>
      </c>
      <c r="L11" s="211">
        <f>AP!X50</f>
        <v>0</v>
      </c>
      <c r="M11" s="211">
        <f>AP!Y50</f>
        <v>0</v>
      </c>
    </row>
    <row r="12" spans="2:13" x14ac:dyDescent="0.25">
      <c r="B12" s="210">
        <f>AP!N51</f>
        <v>0</v>
      </c>
      <c r="C12" s="97">
        <f>AP!O51</f>
        <v>0</v>
      </c>
      <c r="D12" s="97">
        <f>AP!P51</f>
        <v>0</v>
      </c>
      <c r="E12" s="106" t="s">
        <v>266</v>
      </c>
      <c r="F12" s="211">
        <f>AP!R51</f>
        <v>0</v>
      </c>
      <c r="G12" s="211">
        <f>AP!S51</f>
        <v>0</v>
      </c>
      <c r="H12" s="211">
        <f>AP!T51</f>
        <v>0</v>
      </c>
      <c r="I12" s="211">
        <f>AP!U51</f>
        <v>0</v>
      </c>
      <c r="J12" s="211">
        <f>AP!V51</f>
        <v>0</v>
      </c>
      <c r="K12" s="211">
        <f>AP!W51</f>
        <v>0</v>
      </c>
      <c r="L12" s="211">
        <f>AP!X51</f>
        <v>0</v>
      </c>
      <c r="M12" s="211">
        <f>AP!Y51</f>
        <v>0</v>
      </c>
    </row>
    <row r="13" spans="2:13" x14ac:dyDescent="0.25">
      <c r="B13" s="210">
        <f>AP!N52</f>
        <v>0</v>
      </c>
      <c r="C13" s="97">
        <f>AP!O52</f>
        <v>0</v>
      </c>
      <c r="D13" s="97">
        <f>AP!P52</f>
        <v>0</v>
      </c>
      <c r="E13" s="106" t="s">
        <v>267</v>
      </c>
      <c r="F13" s="211">
        <f>AP!R52</f>
        <v>0</v>
      </c>
      <c r="G13" s="211">
        <f>AP!S52</f>
        <v>0</v>
      </c>
      <c r="H13" s="211">
        <f>AP!T52</f>
        <v>0</v>
      </c>
      <c r="I13" s="211">
        <f>AP!U52</f>
        <v>0</v>
      </c>
      <c r="J13" s="211">
        <f>AP!V52</f>
        <v>0</v>
      </c>
      <c r="K13" s="211">
        <f>AP!W52</f>
        <v>0</v>
      </c>
      <c r="L13" s="211">
        <f>AP!X52</f>
        <v>0</v>
      </c>
      <c r="M13" s="211">
        <f>AP!Y52</f>
        <v>0</v>
      </c>
    </row>
    <row r="14" spans="2:13" x14ac:dyDescent="0.25">
      <c r="B14" s="210">
        <f>AP!N53</f>
        <v>0</v>
      </c>
      <c r="C14" s="97">
        <f>AP!O53</f>
        <v>0</v>
      </c>
      <c r="D14" s="97">
        <f>AP!P53</f>
        <v>0</v>
      </c>
      <c r="E14" s="106" t="s">
        <v>268</v>
      </c>
      <c r="F14" s="211">
        <f>AP!R53</f>
        <v>0</v>
      </c>
      <c r="G14" s="211">
        <f>AP!S53</f>
        <v>0</v>
      </c>
      <c r="H14" s="211">
        <f>AP!T53</f>
        <v>0</v>
      </c>
      <c r="I14" s="211">
        <f>AP!U53</f>
        <v>0</v>
      </c>
      <c r="J14" s="211">
        <f>AP!V53</f>
        <v>0</v>
      </c>
      <c r="K14" s="211">
        <f>AP!W53</f>
        <v>0</v>
      </c>
      <c r="L14" s="211">
        <f>AP!X53</f>
        <v>0</v>
      </c>
      <c r="M14" s="211">
        <f>AP!Y53</f>
        <v>0</v>
      </c>
    </row>
    <row r="15" spans="2:13" x14ac:dyDescent="0.25">
      <c r="B15" s="210">
        <f>AP!N54</f>
        <v>0</v>
      </c>
      <c r="C15" s="97">
        <f>AP!O54</f>
        <v>0</v>
      </c>
      <c r="D15" s="97">
        <f>AP!P54</f>
        <v>0</v>
      </c>
      <c r="E15" s="106" t="s">
        <v>269</v>
      </c>
      <c r="F15" s="211">
        <f>AP!R54</f>
        <v>0</v>
      </c>
      <c r="G15" s="211">
        <f>AP!S54</f>
        <v>0</v>
      </c>
      <c r="H15" s="211">
        <f>AP!T54</f>
        <v>0</v>
      </c>
      <c r="I15" s="211">
        <f>AP!U54</f>
        <v>0</v>
      </c>
      <c r="J15" s="211">
        <f>AP!V54</f>
        <v>0</v>
      </c>
      <c r="K15" s="211">
        <f>AP!W54</f>
        <v>0</v>
      </c>
      <c r="L15" s="211">
        <f>AP!X54</f>
        <v>0</v>
      </c>
      <c r="M15" s="211">
        <f>AP!Y54</f>
        <v>0</v>
      </c>
    </row>
    <row r="16" spans="2:13" x14ac:dyDescent="0.25">
      <c r="B16" s="210">
        <f>AP!N55</f>
        <v>0</v>
      </c>
      <c r="C16" s="97">
        <f>AP!O55</f>
        <v>0</v>
      </c>
      <c r="D16" s="97">
        <f>AP!P55</f>
        <v>0</v>
      </c>
      <c r="E16" s="106" t="s">
        <v>270</v>
      </c>
      <c r="F16" s="211">
        <f>AP!R55</f>
        <v>0</v>
      </c>
      <c r="G16" s="211">
        <f>AP!S55</f>
        <v>0</v>
      </c>
      <c r="H16" s="211">
        <f>AP!T55</f>
        <v>0</v>
      </c>
      <c r="I16" s="211">
        <f>AP!U55</f>
        <v>0</v>
      </c>
      <c r="J16" s="211">
        <f>AP!V55</f>
        <v>0</v>
      </c>
      <c r="K16" s="211">
        <f>AP!W55</f>
        <v>0</v>
      </c>
      <c r="L16" s="211">
        <f>AP!X55</f>
        <v>0</v>
      </c>
      <c r="M16" s="211">
        <f>AP!Y55</f>
        <v>0</v>
      </c>
    </row>
    <row r="17" spans="2:14" x14ac:dyDescent="0.25">
      <c r="B17" s="210">
        <f>AP!N56</f>
        <v>0</v>
      </c>
      <c r="C17" s="97">
        <f>AP!O56</f>
        <v>0</v>
      </c>
      <c r="D17" s="97">
        <f>AP!P56</f>
        <v>0</v>
      </c>
      <c r="E17" s="106" t="s">
        <v>271</v>
      </c>
      <c r="F17" s="211">
        <f>AP!R56</f>
        <v>0</v>
      </c>
      <c r="G17" s="211">
        <f>AP!S56</f>
        <v>0</v>
      </c>
      <c r="H17" s="211">
        <f>AP!T56</f>
        <v>0</v>
      </c>
      <c r="I17" s="211">
        <f>AP!U56</f>
        <v>0</v>
      </c>
      <c r="J17" s="211">
        <f>AP!V56</f>
        <v>0</v>
      </c>
      <c r="K17" s="211">
        <f>AP!W56</f>
        <v>0</v>
      </c>
      <c r="L17" s="211">
        <f>AP!X56</f>
        <v>0</v>
      </c>
      <c r="M17" s="211">
        <f>AP!Y56</f>
        <v>0</v>
      </c>
    </row>
    <row r="18" spans="2:14" x14ac:dyDescent="0.25">
      <c r="B18" s="210">
        <f>AP!N57</f>
        <v>0</v>
      </c>
      <c r="C18" s="97">
        <f>AP!O57</f>
        <v>0</v>
      </c>
      <c r="D18" s="97">
        <f>AP!P57</f>
        <v>0</v>
      </c>
      <c r="E18" s="106" t="s">
        <v>272</v>
      </c>
      <c r="F18" s="211">
        <f>AP!R57</f>
        <v>0</v>
      </c>
      <c r="G18" s="211">
        <f>AP!S57</f>
        <v>0</v>
      </c>
      <c r="H18" s="211">
        <f>AP!T57</f>
        <v>0</v>
      </c>
      <c r="I18" s="211">
        <f>AP!U57</f>
        <v>0</v>
      </c>
      <c r="J18" s="211">
        <f>AP!V57</f>
        <v>0</v>
      </c>
      <c r="K18" s="211">
        <f>AP!W57</f>
        <v>0</v>
      </c>
      <c r="L18" s="211">
        <f>AP!X57</f>
        <v>0</v>
      </c>
      <c r="M18" s="211">
        <f>AP!Y57</f>
        <v>0</v>
      </c>
    </row>
    <row r="19" spans="2:14" x14ac:dyDescent="0.25">
      <c r="B19" s="210">
        <f>AP!N58</f>
        <v>0</v>
      </c>
      <c r="C19" s="97">
        <f>AP!O58</f>
        <v>0</v>
      </c>
      <c r="D19" s="97">
        <f>AP!P58</f>
        <v>0</v>
      </c>
      <c r="E19" s="106" t="s">
        <v>273</v>
      </c>
      <c r="F19" s="211">
        <f>AP!R58</f>
        <v>0</v>
      </c>
      <c r="G19" s="211">
        <f>AP!S58</f>
        <v>0</v>
      </c>
      <c r="H19" s="211">
        <f>AP!T58</f>
        <v>0</v>
      </c>
      <c r="I19" s="211">
        <f>AP!U58</f>
        <v>0</v>
      </c>
      <c r="J19" s="211">
        <f>AP!V58</f>
        <v>0</v>
      </c>
      <c r="K19" s="211">
        <f>AP!W58</f>
        <v>0</v>
      </c>
      <c r="L19" s="211">
        <f>AP!X58</f>
        <v>0</v>
      </c>
      <c r="M19" s="211">
        <f>AP!Y58</f>
        <v>0</v>
      </c>
    </row>
    <row r="20" spans="2:14" x14ac:dyDescent="0.25">
      <c r="B20" s="210">
        <f>AP!N59</f>
        <v>0</v>
      </c>
      <c r="C20" s="97">
        <f>AP!O59</f>
        <v>0</v>
      </c>
      <c r="D20" s="97">
        <f>AP!P59</f>
        <v>0</v>
      </c>
      <c r="E20" s="106" t="s">
        <v>274</v>
      </c>
      <c r="F20" s="211">
        <f>AP!R59</f>
        <v>0</v>
      </c>
      <c r="G20" s="211">
        <f>AP!S59</f>
        <v>0</v>
      </c>
      <c r="H20" s="211">
        <f>AP!T59</f>
        <v>0</v>
      </c>
      <c r="I20" s="211">
        <f>AP!U59</f>
        <v>0</v>
      </c>
      <c r="J20" s="211">
        <f>AP!V59</f>
        <v>0</v>
      </c>
      <c r="K20" s="211">
        <f>AP!W59</f>
        <v>0</v>
      </c>
      <c r="L20" s="211">
        <f>AP!X59</f>
        <v>0</v>
      </c>
      <c r="M20" s="211">
        <f>AP!Y59</f>
        <v>0</v>
      </c>
    </row>
    <row r="21" spans="2:14" x14ac:dyDescent="0.25">
      <c r="B21" s="210">
        <f>AP!N60</f>
        <v>0</v>
      </c>
      <c r="C21" s="97">
        <f>AP!O60</f>
        <v>0</v>
      </c>
      <c r="D21" s="97">
        <f>AP!P60</f>
        <v>0</v>
      </c>
      <c r="E21" s="106" t="s">
        <v>275</v>
      </c>
      <c r="F21" s="211">
        <f>AP!R60</f>
        <v>0</v>
      </c>
      <c r="G21" s="211">
        <f>AP!S60</f>
        <v>0</v>
      </c>
      <c r="H21" s="211">
        <f>AP!T60</f>
        <v>0</v>
      </c>
      <c r="I21" s="211">
        <f>AP!U60</f>
        <v>0</v>
      </c>
      <c r="J21" s="211">
        <f>AP!V60</f>
        <v>0</v>
      </c>
      <c r="K21" s="211">
        <f>AP!W60</f>
        <v>0</v>
      </c>
      <c r="L21" s="211">
        <f>AP!X60</f>
        <v>0</v>
      </c>
      <c r="M21" s="211">
        <f>AP!Y60</f>
        <v>0</v>
      </c>
    </row>
    <row r="22" spans="2:14" x14ac:dyDescent="0.25">
      <c r="B22" s="210">
        <f>AP!N61</f>
        <v>0</v>
      </c>
      <c r="C22" s="97">
        <f>AP!O61</f>
        <v>0</v>
      </c>
      <c r="D22" s="97">
        <f>AP!P61</f>
        <v>0</v>
      </c>
      <c r="E22" s="106" t="s">
        <v>276</v>
      </c>
      <c r="F22" s="211">
        <f>AP!R61</f>
        <v>0</v>
      </c>
      <c r="G22" s="211">
        <f>AP!S61</f>
        <v>0</v>
      </c>
      <c r="H22" s="211">
        <f>AP!T61</f>
        <v>0</v>
      </c>
      <c r="I22" s="211">
        <f>AP!U61</f>
        <v>0</v>
      </c>
      <c r="J22" s="211">
        <f>AP!V61</f>
        <v>0</v>
      </c>
      <c r="K22" s="211">
        <f>AP!W61</f>
        <v>0</v>
      </c>
      <c r="L22" s="211">
        <f>AP!X61</f>
        <v>0</v>
      </c>
      <c r="M22" s="211">
        <f>AP!Y61</f>
        <v>0</v>
      </c>
    </row>
    <row r="23" spans="2:14" x14ac:dyDescent="0.25">
      <c r="B23" s="210">
        <f>AP!N62</f>
        <v>0</v>
      </c>
      <c r="C23" s="97">
        <f>AP!O62</f>
        <v>0</v>
      </c>
      <c r="D23" s="97">
        <f>AP!P62</f>
        <v>0</v>
      </c>
      <c r="E23" s="106" t="s">
        <v>277</v>
      </c>
      <c r="F23" s="211">
        <f>AP!R62</f>
        <v>0</v>
      </c>
      <c r="G23" s="211">
        <f>AP!S62</f>
        <v>0</v>
      </c>
      <c r="H23" s="211">
        <f>AP!T62</f>
        <v>0</v>
      </c>
      <c r="I23" s="211">
        <f>AP!U62</f>
        <v>0</v>
      </c>
      <c r="J23" s="211">
        <f>AP!V62</f>
        <v>0</v>
      </c>
      <c r="K23" s="211">
        <f>AP!W62</f>
        <v>0</v>
      </c>
      <c r="L23" s="211">
        <f>AP!X62</f>
        <v>0</v>
      </c>
      <c r="M23" s="211">
        <f>AP!Y62</f>
        <v>0</v>
      </c>
    </row>
    <row r="24" spans="2:14" x14ac:dyDescent="0.25">
      <c r="B24" s="210">
        <f>AP!N63</f>
        <v>0</v>
      </c>
      <c r="C24" s="97">
        <f>AP!O63</f>
        <v>0</v>
      </c>
      <c r="D24" s="97">
        <f>AP!P63</f>
        <v>0</v>
      </c>
      <c r="E24" s="106" t="s">
        <v>278</v>
      </c>
      <c r="F24" s="211">
        <f>AP!R63</f>
        <v>0</v>
      </c>
      <c r="G24" s="211">
        <f>AP!S63</f>
        <v>0</v>
      </c>
      <c r="H24" s="211">
        <f>AP!T63</f>
        <v>0</v>
      </c>
      <c r="I24" s="211">
        <f>AP!U63</f>
        <v>0</v>
      </c>
      <c r="J24" s="211">
        <f>AP!V63</f>
        <v>0</v>
      </c>
      <c r="K24" s="211">
        <f>AP!W63</f>
        <v>0</v>
      </c>
      <c r="L24" s="211">
        <f>AP!X63</f>
        <v>0</v>
      </c>
      <c r="M24" s="211">
        <f>AP!Y63</f>
        <v>0</v>
      </c>
    </row>
    <row r="25" spans="2:14" x14ac:dyDescent="0.25">
      <c r="B25" s="210">
        <f>AP!N64</f>
        <v>0</v>
      </c>
      <c r="C25" s="97">
        <f>AP!O64</f>
        <v>0</v>
      </c>
      <c r="D25" s="97">
        <f>AP!P64</f>
        <v>0</v>
      </c>
      <c r="E25" s="106" t="s">
        <v>279</v>
      </c>
      <c r="F25" s="211">
        <f>AP!R64</f>
        <v>0</v>
      </c>
      <c r="G25" s="211">
        <f>AP!S64</f>
        <v>0</v>
      </c>
      <c r="H25" s="211">
        <f>AP!T64</f>
        <v>0</v>
      </c>
      <c r="I25" s="211">
        <f>AP!U64</f>
        <v>0</v>
      </c>
      <c r="J25" s="211">
        <f>AP!V64</f>
        <v>0</v>
      </c>
      <c r="K25" s="211">
        <f>AP!W64</f>
        <v>0</v>
      </c>
      <c r="L25" s="211">
        <f>AP!X64</f>
        <v>0</v>
      </c>
      <c r="M25" s="211">
        <f>AP!Y64</f>
        <v>0</v>
      </c>
    </row>
    <row r="26" spans="2:14" x14ac:dyDescent="0.25">
      <c r="B26" s="210">
        <f>AP!N65</f>
        <v>0</v>
      </c>
      <c r="C26" s="97">
        <f>AP!O65</f>
        <v>0</v>
      </c>
      <c r="D26" s="97">
        <f>AP!P65</f>
        <v>0</v>
      </c>
      <c r="E26" s="106" t="s">
        <v>280</v>
      </c>
      <c r="F26" s="211">
        <f>AP!R65</f>
        <v>0</v>
      </c>
      <c r="G26" s="211">
        <f>AP!S65</f>
        <v>0</v>
      </c>
      <c r="H26" s="211">
        <f>AP!T65</f>
        <v>0</v>
      </c>
      <c r="I26" s="211">
        <f>AP!U65</f>
        <v>0</v>
      </c>
      <c r="J26" s="211">
        <f>AP!V65</f>
        <v>0</v>
      </c>
      <c r="K26" s="211">
        <f>AP!W65</f>
        <v>0</v>
      </c>
      <c r="L26" s="211">
        <f>AP!X65</f>
        <v>0</v>
      </c>
      <c r="M26" s="211">
        <f>AP!Y65</f>
        <v>0</v>
      </c>
    </row>
    <row r="27" spans="2:14" x14ac:dyDescent="0.25">
      <c r="B27" s="210">
        <f>AP!N66</f>
        <v>0</v>
      </c>
      <c r="C27" s="97">
        <f>AP!O66</f>
        <v>0</v>
      </c>
      <c r="D27" s="97">
        <f>AP!P66</f>
        <v>0</v>
      </c>
      <c r="E27" s="106" t="s">
        <v>281</v>
      </c>
      <c r="F27" s="211">
        <f>AP!R66</f>
        <v>0</v>
      </c>
      <c r="G27" s="211">
        <f>AP!S66</f>
        <v>0</v>
      </c>
      <c r="H27" s="211">
        <f>AP!T66</f>
        <v>0</v>
      </c>
      <c r="I27" s="211">
        <f>AP!U66</f>
        <v>0</v>
      </c>
      <c r="J27" s="211">
        <f>AP!V66</f>
        <v>0</v>
      </c>
      <c r="K27" s="211">
        <f>AP!W66</f>
        <v>0</v>
      </c>
      <c r="L27" s="211">
        <f>AP!X66</f>
        <v>0</v>
      </c>
      <c r="M27" s="211">
        <f>AP!Y66</f>
        <v>0</v>
      </c>
    </row>
    <row r="28" spans="2:14" x14ac:dyDescent="0.25">
      <c r="B28" s="210">
        <f>AP!N67</f>
        <v>0</v>
      </c>
      <c r="C28" s="97">
        <f>AP!O67</f>
        <v>0</v>
      </c>
      <c r="D28" s="97">
        <f>AP!P67</f>
        <v>0</v>
      </c>
      <c r="E28" s="106" t="s">
        <v>282</v>
      </c>
      <c r="F28" s="211">
        <f>AP!R67</f>
        <v>0</v>
      </c>
      <c r="G28" s="211">
        <f>AP!S67</f>
        <v>0</v>
      </c>
      <c r="H28" s="211">
        <f>AP!T67</f>
        <v>0</v>
      </c>
      <c r="I28" s="211">
        <f>AP!U67</f>
        <v>0</v>
      </c>
      <c r="J28" s="211">
        <f>AP!V67</f>
        <v>0</v>
      </c>
      <c r="K28" s="211">
        <f>AP!W67</f>
        <v>0</v>
      </c>
      <c r="L28" s="211">
        <f>AP!X67</f>
        <v>0</v>
      </c>
      <c r="M28" s="211">
        <f>AP!Y67</f>
        <v>0</v>
      </c>
    </row>
    <row r="29" spans="2:14" ht="15.75" thickBot="1" x14ac:dyDescent="0.3">
      <c r="B29" s="230">
        <f>AP!N68</f>
        <v>0</v>
      </c>
      <c r="C29" s="231">
        <f>AP!O68</f>
        <v>0</v>
      </c>
      <c r="D29" s="231">
        <f>AP!P68</f>
        <v>0</v>
      </c>
      <c r="E29" s="232" t="s">
        <v>283</v>
      </c>
      <c r="F29" s="233">
        <f>AP!R68</f>
        <v>0</v>
      </c>
      <c r="G29" s="233">
        <f>AP!S68</f>
        <v>0</v>
      </c>
      <c r="H29" s="233">
        <f>AP!T68</f>
        <v>0</v>
      </c>
      <c r="I29" s="233">
        <f>AP!U68</f>
        <v>0</v>
      </c>
      <c r="J29" s="233">
        <f>AP!V68</f>
        <v>0</v>
      </c>
      <c r="K29" s="233">
        <f>AP!W68</f>
        <v>0</v>
      </c>
      <c r="L29" s="233">
        <f>AP!X68</f>
        <v>0</v>
      </c>
      <c r="M29" s="233">
        <f>AP!Y68</f>
        <v>0</v>
      </c>
    </row>
    <row r="30" spans="2:14" ht="15.75" thickBot="1" x14ac:dyDescent="0.3">
      <c r="B30" s="243">
        <f>SUM(B5:B29)</f>
        <v>0</v>
      </c>
      <c r="C30" s="244">
        <f>SUM(C5:C29)</f>
        <v>0</v>
      </c>
      <c r="D30" s="244">
        <f>SUM(D5:D29)</f>
        <v>0</v>
      </c>
      <c r="E30" s="245"/>
      <c r="F30" s="246">
        <f>SUM(F5:F29)</f>
        <v>0</v>
      </c>
      <c r="G30" s="246">
        <f>SUM(G5:G29)</f>
        <v>0</v>
      </c>
      <c r="H30" s="247">
        <f>SUM(H5:H29)</f>
        <v>0</v>
      </c>
      <c r="I30" s="248">
        <f>SUBTOTAL(9,I5:I29)</f>
        <v>0</v>
      </c>
      <c r="J30" s="249">
        <f>SUM(J5:J29)</f>
        <v>0</v>
      </c>
      <c r="K30" s="250">
        <f>SUM(K5:K29)</f>
        <v>0</v>
      </c>
      <c r="L30" s="251">
        <f>SUM(L5:L29)</f>
        <v>0</v>
      </c>
      <c r="M30" s="252">
        <f>SUM(M5:M29)</f>
        <v>0</v>
      </c>
      <c r="N30" s="76">
        <f>B30-L30-H30-G30-F30-K30-J30</f>
        <v>0</v>
      </c>
    </row>
    <row r="31" spans="2:14" ht="15.75" thickTop="1" x14ac:dyDescent="0.25">
      <c r="B31" s="162">
        <f>B30-AP!N76</f>
        <v>0</v>
      </c>
      <c r="C31" s="162">
        <f>C30-AP!O76</f>
        <v>0</v>
      </c>
      <c r="D31" s="162">
        <f>D30-AP!P76</f>
        <v>0</v>
      </c>
      <c r="E31" s="162"/>
      <c r="F31" s="162">
        <f>F30-AP!R76</f>
        <v>0</v>
      </c>
      <c r="G31" s="162">
        <f>G30-AP!S76</f>
        <v>0</v>
      </c>
      <c r="H31" s="162">
        <f>H30-AP!T76</f>
        <v>0</v>
      </c>
      <c r="I31" s="162">
        <f>I30-AP!U76</f>
        <v>0</v>
      </c>
      <c r="J31" s="162">
        <f>J30-AP!V76</f>
        <v>0</v>
      </c>
      <c r="K31" s="162">
        <f>K30-AP!W76</f>
        <v>0</v>
      </c>
      <c r="L31" s="162">
        <f>L30-AP!X76</f>
        <v>0</v>
      </c>
      <c r="M31" s="162">
        <f>M30-AP!Y76</f>
        <v>0</v>
      </c>
    </row>
    <row r="32" spans="2:14" x14ac:dyDescent="0.25">
      <c r="B32" s="432" t="s">
        <v>449</v>
      </c>
      <c r="C32" s="432"/>
      <c r="D32" s="432"/>
      <c r="E32" s="432"/>
      <c r="F32" s="432"/>
      <c r="G32" s="432"/>
      <c r="H32" s="432"/>
      <c r="I32" s="432"/>
      <c r="J32" s="432"/>
      <c r="K32" s="432"/>
      <c r="L32" s="432"/>
    </row>
    <row r="33" spans="2:13" x14ac:dyDescent="0.25">
      <c r="B33" s="97"/>
      <c r="C33" s="97"/>
      <c r="D33" s="97"/>
      <c r="F33" s="429" t="s">
        <v>284</v>
      </c>
      <c r="G33" s="430"/>
      <c r="H33" s="431"/>
      <c r="I33" s="3"/>
      <c r="J33" s="433" t="s">
        <v>310</v>
      </c>
      <c r="K33" s="434"/>
      <c r="L33" s="435"/>
      <c r="M33" s="4"/>
    </row>
    <row r="34" spans="2:13" x14ac:dyDescent="0.25">
      <c r="B34" s="207" t="s">
        <v>285</v>
      </c>
      <c r="C34" s="208" t="s">
        <v>341</v>
      </c>
      <c r="D34" s="208" t="s">
        <v>314</v>
      </c>
      <c r="E34" s="209" t="s">
        <v>257</v>
      </c>
      <c r="F34" s="101" t="s">
        <v>188</v>
      </c>
      <c r="G34" s="102" t="s">
        <v>187</v>
      </c>
      <c r="H34" s="103" t="s">
        <v>178</v>
      </c>
      <c r="I34" s="187"/>
      <c r="J34" s="101" t="s">
        <v>188</v>
      </c>
      <c r="K34" s="188" t="s">
        <v>187</v>
      </c>
      <c r="L34" s="189" t="s">
        <v>178</v>
      </c>
      <c r="M34" s="91"/>
    </row>
    <row r="35" spans="2:13" x14ac:dyDescent="0.25">
      <c r="B35" s="210">
        <f>'Petty Cash'!J46</f>
        <v>0</v>
      </c>
      <c r="C35" s="97">
        <f>'Petty Cash'!K46</f>
        <v>0</v>
      </c>
      <c r="D35" s="97">
        <f>'Petty Cash'!L46</f>
        <v>0</v>
      </c>
      <c r="E35" s="106" t="s">
        <v>259</v>
      </c>
      <c r="F35" s="211">
        <f>'Petty Cash'!N46</f>
        <v>0</v>
      </c>
      <c r="G35" s="211">
        <f>'Petty Cash'!O46</f>
        <v>0</v>
      </c>
      <c r="H35" s="211">
        <f>'Petty Cash'!P46</f>
        <v>0</v>
      </c>
      <c r="I35" s="211">
        <f>'Petty Cash'!Q46</f>
        <v>0</v>
      </c>
      <c r="J35" s="211">
        <f>'Petty Cash'!R46</f>
        <v>0</v>
      </c>
      <c r="K35" s="211">
        <f>'Petty Cash'!S46</f>
        <v>0</v>
      </c>
      <c r="L35" s="211">
        <f>'Petty Cash'!T46</f>
        <v>0</v>
      </c>
      <c r="M35" s="211">
        <f>'Petty Cash'!U46</f>
        <v>0</v>
      </c>
    </row>
    <row r="36" spans="2:13" x14ac:dyDescent="0.25">
      <c r="B36" s="210">
        <f>'Petty Cash'!J47</f>
        <v>0</v>
      </c>
      <c r="C36" s="97">
        <f>'Petty Cash'!K47</f>
        <v>0</v>
      </c>
      <c r="D36" s="97">
        <f>'Petty Cash'!L47</f>
        <v>0</v>
      </c>
      <c r="E36" s="106" t="s">
        <v>260</v>
      </c>
      <c r="F36" s="211">
        <f>'Petty Cash'!N47</f>
        <v>0</v>
      </c>
      <c r="G36" s="211">
        <f>'Petty Cash'!O47</f>
        <v>0</v>
      </c>
      <c r="H36" s="211">
        <f>'Petty Cash'!P47</f>
        <v>0</v>
      </c>
      <c r="I36" s="211">
        <f>'Petty Cash'!Q47</f>
        <v>0</v>
      </c>
      <c r="J36" s="211">
        <f>'Petty Cash'!R47</f>
        <v>0</v>
      </c>
      <c r="K36" s="211">
        <f>'Petty Cash'!S47</f>
        <v>0</v>
      </c>
      <c r="L36" s="211">
        <f>'Petty Cash'!T47</f>
        <v>0</v>
      </c>
      <c r="M36" s="211">
        <f>'Petty Cash'!U47</f>
        <v>0</v>
      </c>
    </row>
    <row r="37" spans="2:13" x14ac:dyDescent="0.25">
      <c r="B37" s="210">
        <f>'Petty Cash'!J48</f>
        <v>0</v>
      </c>
      <c r="C37" s="97">
        <f>'Petty Cash'!K48</f>
        <v>0</v>
      </c>
      <c r="D37" s="97">
        <f>'Petty Cash'!L48</f>
        <v>0</v>
      </c>
      <c r="E37" s="106" t="s">
        <v>261</v>
      </c>
      <c r="F37" s="211">
        <f>'Petty Cash'!N48</f>
        <v>0</v>
      </c>
      <c r="G37" s="211">
        <f>'Petty Cash'!O48</f>
        <v>0</v>
      </c>
      <c r="H37" s="211">
        <f>'Petty Cash'!P48</f>
        <v>0</v>
      </c>
      <c r="I37" s="211">
        <f>'Petty Cash'!Q48</f>
        <v>0</v>
      </c>
      <c r="J37" s="211">
        <f>'Petty Cash'!R48</f>
        <v>0</v>
      </c>
      <c r="K37" s="211">
        <f>'Petty Cash'!S48</f>
        <v>0</v>
      </c>
      <c r="L37" s="211">
        <f>'Petty Cash'!T48</f>
        <v>0</v>
      </c>
      <c r="M37" s="211">
        <f>'Petty Cash'!U48</f>
        <v>0</v>
      </c>
    </row>
    <row r="38" spans="2:13" x14ac:dyDescent="0.25">
      <c r="B38" s="210">
        <f>'Petty Cash'!J49</f>
        <v>0</v>
      </c>
      <c r="C38" s="97">
        <f>'Petty Cash'!K49</f>
        <v>0</v>
      </c>
      <c r="D38" s="97">
        <f>'Petty Cash'!L49</f>
        <v>0</v>
      </c>
      <c r="E38" s="106" t="s">
        <v>262</v>
      </c>
      <c r="F38" s="211">
        <f>'Petty Cash'!N49</f>
        <v>0</v>
      </c>
      <c r="G38" s="211">
        <f>'Petty Cash'!O49</f>
        <v>0</v>
      </c>
      <c r="H38" s="211">
        <f>'Petty Cash'!P49</f>
        <v>0</v>
      </c>
      <c r="I38" s="211">
        <f>'Petty Cash'!Q49</f>
        <v>0</v>
      </c>
      <c r="J38" s="211">
        <f>'Petty Cash'!R49</f>
        <v>0</v>
      </c>
      <c r="K38" s="211">
        <f>'Petty Cash'!S49</f>
        <v>0</v>
      </c>
      <c r="L38" s="211">
        <f>'Petty Cash'!T49</f>
        <v>0</v>
      </c>
      <c r="M38" s="211">
        <f>'Petty Cash'!U49</f>
        <v>0</v>
      </c>
    </row>
    <row r="39" spans="2:13" x14ac:dyDescent="0.25">
      <c r="B39" s="210">
        <f>'Petty Cash'!J50</f>
        <v>0</v>
      </c>
      <c r="C39" s="97">
        <f>'Petty Cash'!K50</f>
        <v>0</v>
      </c>
      <c r="D39" s="97">
        <f>'Petty Cash'!L50</f>
        <v>0</v>
      </c>
      <c r="E39" s="106" t="s">
        <v>263</v>
      </c>
      <c r="F39" s="211">
        <f>'Petty Cash'!N50</f>
        <v>0</v>
      </c>
      <c r="G39" s="211">
        <f>'Petty Cash'!O50</f>
        <v>0</v>
      </c>
      <c r="H39" s="211">
        <f>'Petty Cash'!P50</f>
        <v>0</v>
      </c>
      <c r="I39" s="211">
        <f>'Petty Cash'!Q50</f>
        <v>0</v>
      </c>
      <c r="J39" s="211">
        <f>'Petty Cash'!R50</f>
        <v>0</v>
      </c>
      <c r="K39" s="211">
        <f>'Petty Cash'!S50</f>
        <v>0</v>
      </c>
      <c r="L39" s="211">
        <f>'Petty Cash'!T50</f>
        <v>0</v>
      </c>
      <c r="M39" s="211">
        <f>'Petty Cash'!U50</f>
        <v>0</v>
      </c>
    </row>
    <row r="40" spans="2:13" x14ac:dyDescent="0.25">
      <c r="B40" s="210">
        <f>'Petty Cash'!J51</f>
        <v>0</v>
      </c>
      <c r="C40" s="97">
        <f>'Petty Cash'!K51</f>
        <v>0</v>
      </c>
      <c r="D40" s="97">
        <f>'Petty Cash'!L51</f>
        <v>0</v>
      </c>
      <c r="E40" s="106" t="s">
        <v>264</v>
      </c>
      <c r="F40" s="211">
        <f>'Petty Cash'!N51</f>
        <v>0</v>
      </c>
      <c r="G40" s="211">
        <f>'Petty Cash'!O51</f>
        <v>0</v>
      </c>
      <c r="H40" s="211">
        <f>'Petty Cash'!P51</f>
        <v>0</v>
      </c>
      <c r="I40" s="211">
        <f>'Petty Cash'!Q51</f>
        <v>0</v>
      </c>
      <c r="J40" s="211">
        <f>'Petty Cash'!R51</f>
        <v>0</v>
      </c>
      <c r="K40" s="211">
        <f>'Petty Cash'!S51</f>
        <v>0</v>
      </c>
      <c r="L40" s="211">
        <f>'Petty Cash'!T51</f>
        <v>0</v>
      </c>
      <c r="M40" s="211">
        <f>'Petty Cash'!U51</f>
        <v>0</v>
      </c>
    </row>
    <row r="41" spans="2:13" x14ac:dyDescent="0.25">
      <c r="B41" s="210">
        <f>'Petty Cash'!J52</f>
        <v>0</v>
      </c>
      <c r="C41" s="97">
        <f>'Petty Cash'!K52</f>
        <v>0</v>
      </c>
      <c r="D41" s="97">
        <f>'Petty Cash'!L52</f>
        <v>0</v>
      </c>
      <c r="E41" s="106" t="s">
        <v>265</v>
      </c>
      <c r="F41" s="211">
        <f>'Petty Cash'!N52</f>
        <v>0</v>
      </c>
      <c r="G41" s="211">
        <f>'Petty Cash'!O52</f>
        <v>0</v>
      </c>
      <c r="H41" s="211">
        <f>'Petty Cash'!P52</f>
        <v>0</v>
      </c>
      <c r="I41" s="211">
        <f>'Petty Cash'!Q52</f>
        <v>0</v>
      </c>
      <c r="J41" s="211">
        <f>'Petty Cash'!R52</f>
        <v>0</v>
      </c>
      <c r="K41" s="211">
        <f>'Petty Cash'!S52</f>
        <v>0</v>
      </c>
      <c r="L41" s="211">
        <f>'Petty Cash'!T52</f>
        <v>0</v>
      </c>
      <c r="M41" s="211">
        <f>'Petty Cash'!U52</f>
        <v>0</v>
      </c>
    </row>
    <row r="42" spans="2:13" x14ac:dyDescent="0.25">
      <c r="B42" s="210">
        <f>'Petty Cash'!J53</f>
        <v>0</v>
      </c>
      <c r="C42" s="97">
        <f>'Petty Cash'!K53</f>
        <v>0</v>
      </c>
      <c r="D42" s="97">
        <f>'Petty Cash'!L53</f>
        <v>0</v>
      </c>
      <c r="E42" s="106" t="s">
        <v>266</v>
      </c>
      <c r="F42" s="211">
        <f>'Petty Cash'!N53</f>
        <v>0</v>
      </c>
      <c r="G42" s="211">
        <f>'Petty Cash'!O53</f>
        <v>0</v>
      </c>
      <c r="H42" s="211">
        <f>'Petty Cash'!P53</f>
        <v>0</v>
      </c>
      <c r="I42" s="211">
        <f>'Petty Cash'!Q53</f>
        <v>0</v>
      </c>
      <c r="J42" s="211">
        <f>'Petty Cash'!R53</f>
        <v>0</v>
      </c>
      <c r="K42" s="211">
        <f>'Petty Cash'!S53</f>
        <v>0</v>
      </c>
      <c r="L42" s="211">
        <f>'Petty Cash'!T53</f>
        <v>0</v>
      </c>
      <c r="M42" s="211">
        <f>'Petty Cash'!U53</f>
        <v>0</v>
      </c>
    </row>
    <row r="43" spans="2:13" x14ac:dyDescent="0.25">
      <c r="B43" s="210">
        <f>'Petty Cash'!J54</f>
        <v>0</v>
      </c>
      <c r="C43" s="97">
        <f>'Petty Cash'!K54</f>
        <v>0</v>
      </c>
      <c r="D43" s="97">
        <f>'Petty Cash'!L54</f>
        <v>0</v>
      </c>
      <c r="E43" s="106" t="s">
        <v>267</v>
      </c>
      <c r="F43" s="211">
        <f>'Petty Cash'!N54</f>
        <v>0</v>
      </c>
      <c r="G43" s="211">
        <f>'Petty Cash'!O54</f>
        <v>0</v>
      </c>
      <c r="H43" s="211">
        <f>'Petty Cash'!P54</f>
        <v>0</v>
      </c>
      <c r="I43" s="211">
        <f>'Petty Cash'!Q54</f>
        <v>0</v>
      </c>
      <c r="J43" s="211">
        <f>'Petty Cash'!R54</f>
        <v>0</v>
      </c>
      <c r="K43" s="211">
        <f>'Petty Cash'!S54</f>
        <v>0</v>
      </c>
      <c r="L43" s="211">
        <f>'Petty Cash'!T54</f>
        <v>0</v>
      </c>
      <c r="M43" s="211">
        <f>'Petty Cash'!U54</f>
        <v>0</v>
      </c>
    </row>
    <row r="44" spans="2:13" x14ac:dyDescent="0.25">
      <c r="B44" s="210">
        <f>'Petty Cash'!J55</f>
        <v>0</v>
      </c>
      <c r="C44" s="97">
        <f>'Petty Cash'!K55</f>
        <v>0</v>
      </c>
      <c r="D44" s="97">
        <f>'Petty Cash'!L55</f>
        <v>0</v>
      </c>
      <c r="E44" s="106" t="s">
        <v>268</v>
      </c>
      <c r="F44" s="211">
        <f>'Petty Cash'!N55</f>
        <v>0</v>
      </c>
      <c r="G44" s="211">
        <f>'Petty Cash'!O55</f>
        <v>0</v>
      </c>
      <c r="H44" s="211">
        <f>'Petty Cash'!P55</f>
        <v>0</v>
      </c>
      <c r="I44" s="211">
        <f>'Petty Cash'!Q55</f>
        <v>0</v>
      </c>
      <c r="J44" s="211">
        <f>'Petty Cash'!R55</f>
        <v>0</v>
      </c>
      <c r="K44" s="211">
        <f>'Petty Cash'!S55</f>
        <v>0</v>
      </c>
      <c r="L44" s="211">
        <f>'Petty Cash'!T55</f>
        <v>0</v>
      </c>
      <c r="M44" s="211">
        <f>'Petty Cash'!U55</f>
        <v>0</v>
      </c>
    </row>
    <row r="45" spans="2:13" x14ac:dyDescent="0.25">
      <c r="B45" s="210">
        <f>'Petty Cash'!J56</f>
        <v>0</v>
      </c>
      <c r="C45" s="97">
        <f>'Petty Cash'!K56</f>
        <v>0</v>
      </c>
      <c r="D45" s="97">
        <f>'Petty Cash'!L56</f>
        <v>0</v>
      </c>
      <c r="E45" s="106" t="s">
        <v>269</v>
      </c>
      <c r="F45" s="211">
        <f>'Petty Cash'!N56</f>
        <v>0</v>
      </c>
      <c r="G45" s="211">
        <f>'Petty Cash'!O56</f>
        <v>0</v>
      </c>
      <c r="H45" s="211">
        <f>'Petty Cash'!P56</f>
        <v>0</v>
      </c>
      <c r="I45" s="211">
        <f>'Petty Cash'!Q56</f>
        <v>0</v>
      </c>
      <c r="J45" s="211">
        <f>'Petty Cash'!R56</f>
        <v>0</v>
      </c>
      <c r="K45" s="211">
        <f>'Petty Cash'!S56</f>
        <v>0</v>
      </c>
      <c r="L45" s="211">
        <f>'Petty Cash'!T56</f>
        <v>0</v>
      </c>
      <c r="M45" s="211">
        <f>'Petty Cash'!U56</f>
        <v>0</v>
      </c>
    </row>
    <row r="46" spans="2:13" x14ac:dyDescent="0.25">
      <c r="B46" s="210">
        <f>'Petty Cash'!J57</f>
        <v>0</v>
      </c>
      <c r="C46" s="97">
        <f>'Petty Cash'!K57</f>
        <v>0</v>
      </c>
      <c r="D46" s="97">
        <f>'Petty Cash'!L57</f>
        <v>0</v>
      </c>
      <c r="E46" s="106" t="s">
        <v>270</v>
      </c>
      <c r="F46" s="211">
        <f>'Petty Cash'!N57</f>
        <v>0</v>
      </c>
      <c r="G46" s="211">
        <f>'Petty Cash'!O57</f>
        <v>0</v>
      </c>
      <c r="H46" s="211">
        <f>'Petty Cash'!P57</f>
        <v>0</v>
      </c>
      <c r="I46" s="211">
        <f>'Petty Cash'!Q57</f>
        <v>0</v>
      </c>
      <c r="J46" s="211">
        <f>'Petty Cash'!R57</f>
        <v>0</v>
      </c>
      <c r="K46" s="211">
        <f>'Petty Cash'!S57</f>
        <v>0</v>
      </c>
      <c r="L46" s="211">
        <f>'Petty Cash'!T57</f>
        <v>0</v>
      </c>
      <c r="M46" s="211">
        <f>'Petty Cash'!U57</f>
        <v>0</v>
      </c>
    </row>
    <row r="47" spans="2:13" x14ac:dyDescent="0.25">
      <c r="B47" s="210">
        <f>'Petty Cash'!J58</f>
        <v>0</v>
      </c>
      <c r="C47" s="97">
        <f>'Petty Cash'!K58</f>
        <v>0</v>
      </c>
      <c r="D47" s="97">
        <f>'Petty Cash'!L58</f>
        <v>0</v>
      </c>
      <c r="E47" s="106" t="s">
        <v>271</v>
      </c>
      <c r="F47" s="211">
        <f>'Petty Cash'!N58</f>
        <v>0</v>
      </c>
      <c r="G47" s="211">
        <f>'Petty Cash'!O58</f>
        <v>0</v>
      </c>
      <c r="H47" s="211">
        <f>'Petty Cash'!P58</f>
        <v>0</v>
      </c>
      <c r="I47" s="211">
        <f>'Petty Cash'!Q58</f>
        <v>0</v>
      </c>
      <c r="J47" s="211">
        <f>'Petty Cash'!R58</f>
        <v>0</v>
      </c>
      <c r="K47" s="211">
        <f>'Petty Cash'!S58</f>
        <v>0</v>
      </c>
      <c r="L47" s="211">
        <f>'Petty Cash'!T58</f>
        <v>0</v>
      </c>
      <c r="M47" s="211">
        <f>'Petty Cash'!U58</f>
        <v>0</v>
      </c>
    </row>
    <row r="48" spans="2:13" x14ac:dyDescent="0.25">
      <c r="B48" s="210">
        <f>'Petty Cash'!J59</f>
        <v>0</v>
      </c>
      <c r="C48" s="97">
        <f>'Petty Cash'!K59</f>
        <v>0</v>
      </c>
      <c r="D48" s="97">
        <f>'Petty Cash'!L59</f>
        <v>0</v>
      </c>
      <c r="E48" s="106" t="s">
        <v>272</v>
      </c>
      <c r="F48" s="211">
        <f>'Petty Cash'!N59</f>
        <v>0</v>
      </c>
      <c r="G48" s="211">
        <f>'Petty Cash'!O59</f>
        <v>0</v>
      </c>
      <c r="H48" s="211">
        <f>'Petty Cash'!P59</f>
        <v>0</v>
      </c>
      <c r="I48" s="211">
        <f>'Petty Cash'!Q59</f>
        <v>0</v>
      </c>
      <c r="J48" s="211">
        <f>'Petty Cash'!R59</f>
        <v>0</v>
      </c>
      <c r="K48" s="211">
        <f>'Petty Cash'!S59</f>
        <v>0</v>
      </c>
      <c r="L48" s="211">
        <f>'Petty Cash'!T59</f>
        <v>0</v>
      </c>
      <c r="M48" s="211">
        <f>'Petty Cash'!U59</f>
        <v>0</v>
      </c>
    </row>
    <row r="49" spans="2:14" x14ac:dyDescent="0.25">
      <c r="B49" s="210">
        <f>'Petty Cash'!J60</f>
        <v>0</v>
      </c>
      <c r="C49" s="97">
        <f>'Petty Cash'!K60</f>
        <v>0</v>
      </c>
      <c r="D49" s="97">
        <f>'Petty Cash'!L60</f>
        <v>0</v>
      </c>
      <c r="E49" s="106" t="s">
        <v>273</v>
      </c>
      <c r="F49" s="211">
        <f>'Petty Cash'!N60</f>
        <v>0</v>
      </c>
      <c r="G49" s="211">
        <f>'Petty Cash'!O60</f>
        <v>0</v>
      </c>
      <c r="H49" s="211">
        <f>'Petty Cash'!P60</f>
        <v>0</v>
      </c>
      <c r="I49" s="211">
        <f>'Petty Cash'!Q60</f>
        <v>0</v>
      </c>
      <c r="J49" s="211">
        <f>'Petty Cash'!R60</f>
        <v>0</v>
      </c>
      <c r="K49" s="211">
        <f>'Petty Cash'!S60</f>
        <v>0</v>
      </c>
      <c r="L49" s="211">
        <f>'Petty Cash'!T60</f>
        <v>0</v>
      </c>
      <c r="M49" s="211">
        <f>'Petty Cash'!U60</f>
        <v>0</v>
      </c>
    </row>
    <row r="50" spans="2:14" x14ac:dyDescent="0.25">
      <c r="B50" s="210">
        <f>'Petty Cash'!J61</f>
        <v>0</v>
      </c>
      <c r="C50" s="97">
        <f>'Petty Cash'!K61</f>
        <v>0</v>
      </c>
      <c r="D50" s="97">
        <f>'Petty Cash'!L61</f>
        <v>0</v>
      </c>
      <c r="E50" s="106" t="s">
        <v>274</v>
      </c>
      <c r="F50" s="211">
        <f>'Petty Cash'!N61</f>
        <v>0</v>
      </c>
      <c r="G50" s="211">
        <f>'Petty Cash'!O61</f>
        <v>0</v>
      </c>
      <c r="H50" s="211">
        <f>'Petty Cash'!P61</f>
        <v>0</v>
      </c>
      <c r="I50" s="211">
        <f>'Petty Cash'!Q61</f>
        <v>0</v>
      </c>
      <c r="J50" s="211">
        <f>'Petty Cash'!R61</f>
        <v>0</v>
      </c>
      <c r="K50" s="211">
        <f>'Petty Cash'!S61</f>
        <v>0</v>
      </c>
      <c r="L50" s="211">
        <f>'Petty Cash'!T61</f>
        <v>0</v>
      </c>
      <c r="M50" s="211">
        <f>'Petty Cash'!U61</f>
        <v>0</v>
      </c>
    </row>
    <row r="51" spans="2:14" x14ac:dyDescent="0.25">
      <c r="B51" s="210">
        <f>'Petty Cash'!J62</f>
        <v>0</v>
      </c>
      <c r="C51" s="97">
        <f>'Petty Cash'!K62</f>
        <v>0</v>
      </c>
      <c r="D51" s="97">
        <f>'Petty Cash'!L62</f>
        <v>0</v>
      </c>
      <c r="E51" s="106" t="s">
        <v>275</v>
      </c>
      <c r="F51" s="211">
        <f>'Petty Cash'!N62</f>
        <v>0</v>
      </c>
      <c r="G51" s="211">
        <f>'Petty Cash'!O62</f>
        <v>0</v>
      </c>
      <c r="H51" s="211">
        <f>'Petty Cash'!P62</f>
        <v>0</v>
      </c>
      <c r="I51" s="211">
        <f>'Petty Cash'!Q62</f>
        <v>0</v>
      </c>
      <c r="J51" s="211">
        <f>'Petty Cash'!R62</f>
        <v>0</v>
      </c>
      <c r="K51" s="211">
        <f>'Petty Cash'!S62</f>
        <v>0</v>
      </c>
      <c r="L51" s="211">
        <f>'Petty Cash'!T62</f>
        <v>0</v>
      </c>
      <c r="M51" s="211">
        <f>'Petty Cash'!U62</f>
        <v>0</v>
      </c>
    </row>
    <row r="52" spans="2:14" x14ac:dyDescent="0.25">
      <c r="B52" s="210">
        <f>'Petty Cash'!J63</f>
        <v>0</v>
      </c>
      <c r="C52" s="97">
        <f>'Petty Cash'!K63</f>
        <v>0</v>
      </c>
      <c r="D52" s="97">
        <f>'Petty Cash'!L63</f>
        <v>0</v>
      </c>
      <c r="E52" s="106" t="s">
        <v>276</v>
      </c>
      <c r="F52" s="211">
        <f>'Petty Cash'!N63</f>
        <v>0</v>
      </c>
      <c r="G52" s="211">
        <f>'Petty Cash'!O63</f>
        <v>0</v>
      </c>
      <c r="H52" s="211">
        <f>'Petty Cash'!P63</f>
        <v>0</v>
      </c>
      <c r="I52" s="211">
        <f>'Petty Cash'!Q63</f>
        <v>0</v>
      </c>
      <c r="J52" s="211">
        <f>'Petty Cash'!R63</f>
        <v>0</v>
      </c>
      <c r="K52" s="211">
        <f>'Petty Cash'!S63</f>
        <v>0</v>
      </c>
      <c r="L52" s="211">
        <f>'Petty Cash'!T63</f>
        <v>0</v>
      </c>
      <c r="M52" s="211">
        <f>'Petty Cash'!U63</f>
        <v>0</v>
      </c>
    </row>
    <row r="53" spans="2:14" x14ac:dyDescent="0.25">
      <c r="B53" s="210">
        <f>'Petty Cash'!J64</f>
        <v>0</v>
      </c>
      <c r="C53" s="97">
        <f>'Petty Cash'!K64</f>
        <v>0</v>
      </c>
      <c r="D53" s="97">
        <f>'Petty Cash'!L64</f>
        <v>0</v>
      </c>
      <c r="E53" s="106" t="s">
        <v>277</v>
      </c>
      <c r="F53" s="211">
        <f>'Petty Cash'!N64</f>
        <v>0</v>
      </c>
      <c r="G53" s="211">
        <f>'Petty Cash'!O64</f>
        <v>0</v>
      </c>
      <c r="H53" s="211">
        <f>'Petty Cash'!P64</f>
        <v>0</v>
      </c>
      <c r="I53" s="211">
        <f>'Petty Cash'!Q64</f>
        <v>0</v>
      </c>
      <c r="J53" s="211">
        <f>'Petty Cash'!R64</f>
        <v>0</v>
      </c>
      <c r="K53" s="211">
        <f>'Petty Cash'!S64</f>
        <v>0</v>
      </c>
      <c r="L53" s="211">
        <f>'Petty Cash'!T64</f>
        <v>0</v>
      </c>
      <c r="M53" s="211">
        <f>'Petty Cash'!U64</f>
        <v>0</v>
      </c>
    </row>
    <row r="54" spans="2:14" x14ac:dyDescent="0.25">
      <c r="B54" s="210">
        <f>'Petty Cash'!J65</f>
        <v>0</v>
      </c>
      <c r="C54" s="97">
        <f>'Petty Cash'!K65</f>
        <v>0</v>
      </c>
      <c r="D54" s="97">
        <f>'Petty Cash'!L65</f>
        <v>0</v>
      </c>
      <c r="E54" s="106" t="s">
        <v>278</v>
      </c>
      <c r="F54" s="211">
        <f>'Petty Cash'!N65</f>
        <v>0</v>
      </c>
      <c r="G54" s="211">
        <f>'Petty Cash'!O65</f>
        <v>0</v>
      </c>
      <c r="H54" s="211">
        <f>'Petty Cash'!P65</f>
        <v>0</v>
      </c>
      <c r="I54" s="211">
        <f>'Petty Cash'!Q65</f>
        <v>0</v>
      </c>
      <c r="J54" s="211">
        <f>'Petty Cash'!R65</f>
        <v>0</v>
      </c>
      <c r="K54" s="211">
        <f>'Petty Cash'!S65</f>
        <v>0</v>
      </c>
      <c r="L54" s="211">
        <f>'Petty Cash'!T65</f>
        <v>0</v>
      </c>
      <c r="M54" s="211">
        <f>'Petty Cash'!U65</f>
        <v>0</v>
      </c>
    </row>
    <row r="55" spans="2:14" x14ac:dyDescent="0.25">
      <c r="B55" s="210">
        <f>'Petty Cash'!J66</f>
        <v>0</v>
      </c>
      <c r="C55" s="97">
        <f>'Petty Cash'!K66</f>
        <v>0</v>
      </c>
      <c r="D55" s="97">
        <f>'Petty Cash'!L66</f>
        <v>0</v>
      </c>
      <c r="E55" s="106" t="s">
        <v>279</v>
      </c>
      <c r="F55" s="211">
        <f>'Petty Cash'!N66</f>
        <v>0</v>
      </c>
      <c r="G55" s="211">
        <f>'Petty Cash'!O66</f>
        <v>0</v>
      </c>
      <c r="H55" s="211">
        <f>'Petty Cash'!P66</f>
        <v>0</v>
      </c>
      <c r="I55" s="211">
        <f>'Petty Cash'!Q66</f>
        <v>0</v>
      </c>
      <c r="J55" s="211">
        <f>'Petty Cash'!R66</f>
        <v>0</v>
      </c>
      <c r="K55" s="211">
        <f>'Petty Cash'!S66</f>
        <v>0</v>
      </c>
      <c r="L55" s="211">
        <f>'Petty Cash'!T66</f>
        <v>0</v>
      </c>
      <c r="M55" s="211">
        <f>'Petty Cash'!U66</f>
        <v>0</v>
      </c>
    </row>
    <row r="56" spans="2:14" x14ac:dyDescent="0.25">
      <c r="B56" s="210">
        <f>'Petty Cash'!J67</f>
        <v>0</v>
      </c>
      <c r="C56" s="97">
        <f>'Petty Cash'!K67</f>
        <v>0</v>
      </c>
      <c r="D56" s="97">
        <f>'Petty Cash'!L67</f>
        <v>0</v>
      </c>
      <c r="E56" s="106" t="s">
        <v>280</v>
      </c>
      <c r="F56" s="211">
        <f>'Petty Cash'!N67</f>
        <v>0</v>
      </c>
      <c r="G56" s="211">
        <f>'Petty Cash'!O67</f>
        <v>0</v>
      </c>
      <c r="H56" s="211">
        <f>'Petty Cash'!P67</f>
        <v>0</v>
      </c>
      <c r="I56" s="211">
        <f>'Petty Cash'!Q67</f>
        <v>0</v>
      </c>
      <c r="J56" s="211">
        <f>'Petty Cash'!R67</f>
        <v>0</v>
      </c>
      <c r="K56" s="211">
        <f>'Petty Cash'!S67</f>
        <v>0</v>
      </c>
      <c r="L56" s="211">
        <f>'Petty Cash'!T67</f>
        <v>0</v>
      </c>
      <c r="M56" s="211">
        <f>'Petty Cash'!U67</f>
        <v>0</v>
      </c>
    </row>
    <row r="57" spans="2:14" x14ac:dyDescent="0.25">
      <c r="B57" s="210">
        <f>'Petty Cash'!J68</f>
        <v>0</v>
      </c>
      <c r="C57" s="97">
        <f>'Petty Cash'!K68</f>
        <v>0</v>
      </c>
      <c r="D57" s="97">
        <f>'Petty Cash'!L68</f>
        <v>0</v>
      </c>
      <c r="E57" s="106" t="s">
        <v>281</v>
      </c>
      <c r="F57" s="211">
        <f>'Petty Cash'!N68</f>
        <v>0</v>
      </c>
      <c r="G57" s="211">
        <f>'Petty Cash'!O68</f>
        <v>0</v>
      </c>
      <c r="H57" s="211">
        <f>'Petty Cash'!P68</f>
        <v>0</v>
      </c>
      <c r="I57" s="211">
        <f>'Petty Cash'!Q68</f>
        <v>0</v>
      </c>
      <c r="J57" s="211">
        <f>'Petty Cash'!R68</f>
        <v>0</v>
      </c>
      <c r="K57" s="211">
        <f>'Petty Cash'!S68</f>
        <v>0</v>
      </c>
      <c r="L57" s="211">
        <f>'Petty Cash'!T68</f>
        <v>0</v>
      </c>
      <c r="M57" s="211">
        <f>'Petty Cash'!U68</f>
        <v>0</v>
      </c>
    </row>
    <row r="58" spans="2:14" x14ac:dyDescent="0.25">
      <c r="B58" s="210">
        <f>'Petty Cash'!J69</f>
        <v>0</v>
      </c>
      <c r="C58" s="97">
        <f>'Petty Cash'!K69</f>
        <v>0</v>
      </c>
      <c r="D58" s="97">
        <f>'Petty Cash'!L69</f>
        <v>0</v>
      </c>
      <c r="E58" s="106" t="s">
        <v>282</v>
      </c>
      <c r="F58" s="211">
        <f>'Petty Cash'!N69</f>
        <v>0</v>
      </c>
      <c r="G58" s="211">
        <f>'Petty Cash'!O69</f>
        <v>0</v>
      </c>
      <c r="H58" s="211">
        <f>'Petty Cash'!P69</f>
        <v>0</v>
      </c>
      <c r="I58" s="211">
        <f>'Petty Cash'!Q69</f>
        <v>0</v>
      </c>
      <c r="J58" s="211">
        <f>'Petty Cash'!R69</f>
        <v>0</v>
      </c>
      <c r="K58" s="211">
        <f>'Petty Cash'!S69</f>
        <v>0</v>
      </c>
      <c r="L58" s="211">
        <f>'Petty Cash'!T69</f>
        <v>0</v>
      </c>
      <c r="M58" s="211">
        <f>'Petty Cash'!U69</f>
        <v>0</v>
      </c>
    </row>
    <row r="59" spans="2:14" ht="15.75" thickBot="1" x14ac:dyDescent="0.3">
      <c r="B59" s="210">
        <f>'Petty Cash'!J70</f>
        <v>0</v>
      </c>
      <c r="C59" s="97">
        <f>'Petty Cash'!K70</f>
        <v>0</v>
      </c>
      <c r="D59" s="97">
        <f>'Petty Cash'!L70</f>
        <v>0</v>
      </c>
      <c r="E59" s="232" t="s">
        <v>283</v>
      </c>
      <c r="F59" s="211">
        <f>'Petty Cash'!N70</f>
        <v>0</v>
      </c>
      <c r="G59" s="211">
        <f>'Petty Cash'!O70</f>
        <v>0</v>
      </c>
      <c r="H59" s="211">
        <f>'Petty Cash'!P70</f>
        <v>0</v>
      </c>
      <c r="I59" s="211">
        <f>'Petty Cash'!Q70</f>
        <v>0</v>
      </c>
      <c r="J59" s="211">
        <f>'Petty Cash'!R70</f>
        <v>0</v>
      </c>
      <c r="K59" s="211">
        <f>'Petty Cash'!S70</f>
        <v>0</v>
      </c>
      <c r="L59" s="211">
        <f>'Petty Cash'!T70</f>
        <v>0</v>
      </c>
      <c r="M59" s="211">
        <f>'Petty Cash'!U70</f>
        <v>0</v>
      </c>
    </row>
    <row r="60" spans="2:14" ht="15.75" thickBot="1" x14ac:dyDescent="0.3">
      <c r="B60" s="243">
        <f>SUM(B35:B59)</f>
        <v>0</v>
      </c>
      <c r="C60" s="244">
        <f>SUM(C35:C59)</f>
        <v>0</v>
      </c>
      <c r="D60" s="244">
        <f>SUM(D35:D59)</f>
        <v>0</v>
      </c>
      <c r="E60" s="253" t="s">
        <v>195</v>
      </c>
      <c r="F60" s="246">
        <f>SUM(F35:F59)</f>
        <v>0</v>
      </c>
      <c r="G60" s="246">
        <f>SUM(G35:G59)</f>
        <v>0</v>
      </c>
      <c r="H60" s="247">
        <f>SUM(H35:H59)</f>
        <v>0</v>
      </c>
      <c r="I60" s="248">
        <f>SUBTOTAL(9,I35:I59)</f>
        <v>0</v>
      </c>
      <c r="J60" s="254">
        <f>SUM(J35:J59)</f>
        <v>0</v>
      </c>
      <c r="K60" s="254">
        <f>SUM(K35:K59)</f>
        <v>0</v>
      </c>
      <c r="L60" s="254">
        <f>SUM(L35:L59)</f>
        <v>0</v>
      </c>
      <c r="M60" s="252">
        <f>SUM(M35:M59)</f>
        <v>0</v>
      </c>
      <c r="N60" s="76">
        <f>B60-L60-H60-G60-F60-K60-J60</f>
        <v>0</v>
      </c>
    </row>
    <row r="61" spans="2:14" ht="15.75" thickTop="1" x14ac:dyDescent="0.25">
      <c r="B61" s="162">
        <f>B60-'Petty Cash'!J78</f>
        <v>0</v>
      </c>
      <c r="C61" s="97">
        <f>C60-'Petty Cash'!K78</f>
        <v>0</v>
      </c>
      <c r="D61" s="162">
        <f>D60-'Petty Cash'!L78</f>
        <v>0</v>
      </c>
      <c r="E61" s="162"/>
      <c r="F61" s="162">
        <f>F60-'Petty Cash'!N78</f>
        <v>0</v>
      </c>
      <c r="G61" s="162">
        <f>G60-'Petty Cash'!O78</f>
        <v>0</v>
      </c>
      <c r="H61" s="162">
        <f>H60-'Petty Cash'!P78</f>
        <v>0</v>
      </c>
      <c r="I61" s="162">
        <f>I60-'Petty Cash'!Q78</f>
        <v>0</v>
      </c>
      <c r="J61" s="162">
        <f>J60-'Petty Cash'!R78</f>
        <v>0</v>
      </c>
      <c r="K61" s="162">
        <f>K60-'Petty Cash'!S78</f>
        <v>0</v>
      </c>
      <c r="L61" s="162">
        <f>L60-'Petty Cash'!T78</f>
        <v>0</v>
      </c>
      <c r="M61" s="162">
        <f>M60-'Petty Cash'!U78</f>
        <v>0</v>
      </c>
    </row>
    <row r="62" spans="2:14" x14ac:dyDescent="0.25">
      <c r="B62" s="432" t="s">
        <v>342</v>
      </c>
      <c r="C62" s="432"/>
      <c r="D62" s="432"/>
      <c r="E62" s="432"/>
      <c r="F62" s="432"/>
      <c r="G62" s="432"/>
      <c r="H62" s="432"/>
      <c r="I62" s="432"/>
      <c r="J62" s="432"/>
      <c r="K62" s="432"/>
      <c r="L62" s="432"/>
    </row>
    <row r="63" spans="2:14" x14ac:dyDescent="0.25">
      <c r="B63" s="97"/>
      <c r="C63" s="97"/>
      <c r="D63" s="76"/>
      <c r="E63" s="76"/>
      <c r="F63" s="174" t="s">
        <v>284</v>
      </c>
      <c r="G63" s="175"/>
      <c r="H63" s="176"/>
      <c r="I63" s="3"/>
      <c r="J63" s="174" t="s">
        <v>310</v>
      </c>
      <c r="K63" s="175"/>
      <c r="L63" s="176"/>
      <c r="M63" s="3"/>
    </row>
    <row r="64" spans="2:14" x14ac:dyDescent="0.25">
      <c r="B64" s="207" t="s">
        <v>312</v>
      </c>
      <c r="C64" s="208" t="s">
        <v>341</v>
      </c>
      <c r="D64" s="208" t="s">
        <v>314</v>
      </c>
      <c r="E64" s="176" t="s">
        <v>257</v>
      </c>
      <c r="F64" s="101" t="s">
        <v>188</v>
      </c>
      <c r="G64" s="102" t="s">
        <v>187</v>
      </c>
      <c r="H64" s="103" t="s">
        <v>178</v>
      </c>
      <c r="I64" s="187"/>
      <c r="J64" s="101" t="s">
        <v>188</v>
      </c>
      <c r="K64" s="188" t="s">
        <v>187</v>
      </c>
      <c r="L64" s="189" t="s">
        <v>178</v>
      </c>
      <c r="M64" s="15"/>
    </row>
    <row r="65" spans="2:13" x14ac:dyDescent="0.25">
      <c r="B65" s="210">
        <f>'Payroll Report'!AE581</f>
        <v>0</v>
      </c>
      <c r="C65" s="73">
        <v>0</v>
      </c>
      <c r="D65" s="97">
        <f>'Payroll Report'!AG581</f>
        <v>0</v>
      </c>
      <c r="E65" s="215" t="s">
        <v>259</v>
      </c>
      <c r="F65" s="211">
        <f>'Payroll Report'!AK581</f>
        <v>0</v>
      </c>
      <c r="G65" s="211">
        <f>'Payroll Report'!AL581</f>
        <v>0</v>
      </c>
      <c r="H65" s="211">
        <f>'Payroll Report'!AM581</f>
        <v>0</v>
      </c>
      <c r="I65" s="211">
        <f>'Payroll Report'!AN581</f>
        <v>0</v>
      </c>
      <c r="J65" s="211">
        <f>'Payroll Report'!AO581</f>
        <v>0</v>
      </c>
      <c r="K65" s="211">
        <f>'Payroll Report'!AP581</f>
        <v>0</v>
      </c>
      <c r="L65" s="211">
        <f>'Payroll Report'!AQ581</f>
        <v>0</v>
      </c>
      <c r="M65" s="211">
        <f>'Payroll Report'!AT581</f>
        <v>0</v>
      </c>
    </row>
    <row r="66" spans="2:13" x14ac:dyDescent="0.25">
      <c r="B66" s="210">
        <f>'Payroll Report'!AE582</f>
        <v>0</v>
      </c>
      <c r="C66" s="73">
        <v>0</v>
      </c>
      <c r="D66" s="97">
        <f>'Payroll Report'!AG582</f>
        <v>0</v>
      </c>
      <c r="E66" s="106" t="s">
        <v>260</v>
      </c>
      <c r="F66" s="211">
        <f>'Payroll Report'!AK582</f>
        <v>0</v>
      </c>
      <c r="G66" s="211">
        <f>'Payroll Report'!AL582</f>
        <v>0</v>
      </c>
      <c r="H66" s="211">
        <f>'Payroll Report'!AM582</f>
        <v>0</v>
      </c>
      <c r="I66" s="211">
        <f>'Payroll Report'!AN582</f>
        <v>0</v>
      </c>
      <c r="J66" s="211">
        <f>'Payroll Report'!AO582</f>
        <v>0</v>
      </c>
      <c r="K66" s="211">
        <f>'Payroll Report'!AP582</f>
        <v>0</v>
      </c>
      <c r="L66" s="211">
        <f>'Payroll Report'!AQ582</f>
        <v>0</v>
      </c>
      <c r="M66" s="211">
        <f>'Payroll Report'!AT582</f>
        <v>0</v>
      </c>
    </row>
    <row r="67" spans="2:13" x14ac:dyDescent="0.25">
      <c r="B67" s="210">
        <f>'Payroll Report'!AE583</f>
        <v>0</v>
      </c>
      <c r="C67" s="73">
        <v>0</v>
      </c>
      <c r="D67" s="97">
        <f>'Payroll Report'!AG583</f>
        <v>0</v>
      </c>
      <c r="E67" s="106" t="s">
        <v>261</v>
      </c>
      <c r="F67" s="211">
        <f>'Payroll Report'!AK583</f>
        <v>0</v>
      </c>
      <c r="G67" s="211">
        <f>'Payroll Report'!AL583</f>
        <v>0</v>
      </c>
      <c r="H67" s="211">
        <f>'Payroll Report'!AM583</f>
        <v>0</v>
      </c>
      <c r="I67" s="211">
        <f>'Payroll Report'!AN583</f>
        <v>0</v>
      </c>
      <c r="J67" s="211">
        <f>'Payroll Report'!AO583</f>
        <v>0</v>
      </c>
      <c r="K67" s="211">
        <f>'Payroll Report'!AP583</f>
        <v>0</v>
      </c>
      <c r="L67" s="211">
        <f>'Payroll Report'!AQ583</f>
        <v>0</v>
      </c>
      <c r="M67" s="211">
        <f>'Payroll Report'!AT583</f>
        <v>0</v>
      </c>
    </row>
    <row r="68" spans="2:13" x14ac:dyDescent="0.25">
      <c r="B68" s="210">
        <f>'Payroll Report'!AE584</f>
        <v>0</v>
      </c>
      <c r="C68" s="73">
        <v>0</v>
      </c>
      <c r="D68" s="97">
        <f>'Payroll Report'!AG584</f>
        <v>0</v>
      </c>
      <c r="E68" s="106" t="s">
        <v>262</v>
      </c>
      <c r="F68" s="211">
        <f>'Payroll Report'!AK584</f>
        <v>0</v>
      </c>
      <c r="G68" s="211">
        <f>'Payroll Report'!AL584</f>
        <v>0</v>
      </c>
      <c r="H68" s="211">
        <f>'Payroll Report'!AM584</f>
        <v>0</v>
      </c>
      <c r="I68" s="211">
        <f>'Payroll Report'!AN584</f>
        <v>0</v>
      </c>
      <c r="J68" s="211">
        <f>'Payroll Report'!AO584</f>
        <v>0</v>
      </c>
      <c r="K68" s="211">
        <f>'Payroll Report'!AP584</f>
        <v>0</v>
      </c>
      <c r="L68" s="211">
        <f>'Payroll Report'!AQ584</f>
        <v>0</v>
      </c>
      <c r="M68" s="211">
        <f>'Payroll Report'!AT584</f>
        <v>0</v>
      </c>
    </row>
    <row r="69" spans="2:13" x14ac:dyDescent="0.25">
      <c r="B69" s="210">
        <f>'Payroll Report'!AE585</f>
        <v>0</v>
      </c>
      <c r="C69" s="73">
        <v>0</v>
      </c>
      <c r="D69" s="97">
        <f>'Payroll Report'!AG585</f>
        <v>0</v>
      </c>
      <c r="E69" s="106" t="s">
        <v>263</v>
      </c>
      <c r="F69" s="211">
        <f>'Payroll Report'!AK585</f>
        <v>0</v>
      </c>
      <c r="G69" s="211">
        <f>'Payroll Report'!AL585</f>
        <v>0</v>
      </c>
      <c r="H69" s="211">
        <f>'Payroll Report'!AM585</f>
        <v>0</v>
      </c>
      <c r="I69" s="211">
        <f>'Payroll Report'!AN585</f>
        <v>0</v>
      </c>
      <c r="J69" s="211">
        <f>'Payroll Report'!AO585</f>
        <v>0</v>
      </c>
      <c r="K69" s="211">
        <f>'Payroll Report'!AP585</f>
        <v>0</v>
      </c>
      <c r="L69" s="211">
        <f>'Payroll Report'!AQ585</f>
        <v>0</v>
      </c>
      <c r="M69" s="211">
        <f>'Payroll Report'!AT585</f>
        <v>0</v>
      </c>
    </row>
    <row r="70" spans="2:13" x14ac:dyDescent="0.25">
      <c r="B70" s="210">
        <f>'Payroll Report'!AE586</f>
        <v>0</v>
      </c>
      <c r="C70" s="73">
        <v>0</v>
      </c>
      <c r="D70" s="97">
        <f>'Payroll Report'!AG586</f>
        <v>0</v>
      </c>
      <c r="E70" s="106" t="s">
        <v>264</v>
      </c>
      <c r="F70" s="211">
        <f>'Payroll Report'!AK586</f>
        <v>0</v>
      </c>
      <c r="G70" s="211">
        <f>'Payroll Report'!AL586</f>
        <v>0</v>
      </c>
      <c r="H70" s="211">
        <f>'Payroll Report'!AM586</f>
        <v>0</v>
      </c>
      <c r="I70" s="211">
        <f>'Payroll Report'!AN586</f>
        <v>0</v>
      </c>
      <c r="J70" s="211">
        <f>'Payroll Report'!AO586</f>
        <v>0</v>
      </c>
      <c r="K70" s="211">
        <f>'Payroll Report'!AP586</f>
        <v>0</v>
      </c>
      <c r="L70" s="211">
        <f>'Payroll Report'!AQ586</f>
        <v>0</v>
      </c>
      <c r="M70" s="211">
        <f>'Payroll Report'!AT586</f>
        <v>0</v>
      </c>
    </row>
    <row r="71" spans="2:13" x14ac:dyDescent="0.25">
      <c r="B71" s="210">
        <f>'Payroll Report'!AE587</f>
        <v>0</v>
      </c>
      <c r="C71" s="73">
        <v>0</v>
      </c>
      <c r="D71" s="97">
        <f>'Payroll Report'!AG587</f>
        <v>0</v>
      </c>
      <c r="E71" s="106" t="s">
        <v>265</v>
      </c>
      <c r="F71" s="211">
        <f>'Payroll Report'!AK587</f>
        <v>0</v>
      </c>
      <c r="G71" s="211">
        <f>'Payroll Report'!AL587</f>
        <v>0</v>
      </c>
      <c r="H71" s="211">
        <f>'Payroll Report'!AM587</f>
        <v>0</v>
      </c>
      <c r="I71" s="211">
        <f>'Payroll Report'!AN587</f>
        <v>0</v>
      </c>
      <c r="J71" s="211">
        <f>'Payroll Report'!AO587</f>
        <v>0</v>
      </c>
      <c r="K71" s="211">
        <f>'Payroll Report'!AP587</f>
        <v>0</v>
      </c>
      <c r="L71" s="211">
        <f>'Payroll Report'!AQ587</f>
        <v>0</v>
      </c>
      <c r="M71" s="211">
        <f>'Payroll Report'!AT587</f>
        <v>0</v>
      </c>
    </row>
    <row r="72" spans="2:13" x14ac:dyDescent="0.25">
      <c r="B72" s="210">
        <f>'Payroll Report'!AE588</f>
        <v>0</v>
      </c>
      <c r="C72" s="73">
        <v>0</v>
      </c>
      <c r="D72" s="97">
        <f>'Payroll Report'!AG588</f>
        <v>0</v>
      </c>
      <c r="E72" s="106" t="s">
        <v>266</v>
      </c>
      <c r="F72" s="211">
        <f>'Payroll Report'!AK588</f>
        <v>0</v>
      </c>
      <c r="G72" s="211">
        <f>'Payroll Report'!AL588</f>
        <v>0</v>
      </c>
      <c r="H72" s="211">
        <f>'Payroll Report'!AM588</f>
        <v>0</v>
      </c>
      <c r="I72" s="211">
        <f>'Payroll Report'!AN588</f>
        <v>0</v>
      </c>
      <c r="J72" s="211">
        <f>'Payroll Report'!AO588</f>
        <v>0</v>
      </c>
      <c r="K72" s="211">
        <f>'Payroll Report'!AP588</f>
        <v>0</v>
      </c>
      <c r="L72" s="211">
        <f>'Payroll Report'!AQ588</f>
        <v>0</v>
      </c>
      <c r="M72" s="211">
        <f>'Payroll Report'!AT588</f>
        <v>0</v>
      </c>
    </row>
    <row r="73" spans="2:13" x14ac:dyDescent="0.25">
      <c r="B73" s="210">
        <f>'Payroll Report'!AE589</f>
        <v>0</v>
      </c>
      <c r="C73" s="73">
        <v>0</v>
      </c>
      <c r="D73" s="97">
        <f>'Payroll Report'!AG589</f>
        <v>0</v>
      </c>
      <c r="E73" s="106" t="s">
        <v>267</v>
      </c>
      <c r="F73" s="211">
        <f>'Payroll Report'!AK589</f>
        <v>0</v>
      </c>
      <c r="G73" s="211">
        <f>'Payroll Report'!AL589</f>
        <v>0</v>
      </c>
      <c r="H73" s="211">
        <f>'Payroll Report'!AM589</f>
        <v>0</v>
      </c>
      <c r="I73" s="211">
        <f>'Payroll Report'!AN589</f>
        <v>0</v>
      </c>
      <c r="J73" s="211">
        <f>'Payroll Report'!AO589</f>
        <v>0</v>
      </c>
      <c r="K73" s="211">
        <f>'Payroll Report'!AP589</f>
        <v>0</v>
      </c>
      <c r="L73" s="211">
        <f>'Payroll Report'!AQ589</f>
        <v>0</v>
      </c>
      <c r="M73" s="211">
        <f>'Payroll Report'!AT589</f>
        <v>0</v>
      </c>
    </row>
    <row r="74" spans="2:13" x14ac:dyDescent="0.25">
      <c r="B74" s="210">
        <f>'Payroll Report'!AE590</f>
        <v>0</v>
      </c>
      <c r="C74" s="73">
        <v>0</v>
      </c>
      <c r="D74" s="97">
        <f>'Payroll Report'!AG590</f>
        <v>0</v>
      </c>
      <c r="E74" s="106" t="s">
        <v>268</v>
      </c>
      <c r="F74" s="211">
        <f>'Payroll Report'!AK590</f>
        <v>0</v>
      </c>
      <c r="G74" s="211">
        <f>'Payroll Report'!AL590</f>
        <v>0</v>
      </c>
      <c r="H74" s="211">
        <f>'Payroll Report'!AM590</f>
        <v>0</v>
      </c>
      <c r="I74" s="211">
        <f>'Payroll Report'!AN590</f>
        <v>0</v>
      </c>
      <c r="J74" s="211">
        <f>'Payroll Report'!AO590</f>
        <v>0</v>
      </c>
      <c r="K74" s="211">
        <f>'Payroll Report'!AP590</f>
        <v>0</v>
      </c>
      <c r="L74" s="211">
        <f>'Payroll Report'!AQ590</f>
        <v>0</v>
      </c>
      <c r="M74" s="211">
        <f>'Payroll Report'!AT590</f>
        <v>0</v>
      </c>
    </row>
    <row r="75" spans="2:13" x14ac:dyDescent="0.25">
      <c r="B75" s="210">
        <f>'Payroll Report'!AE591</f>
        <v>0</v>
      </c>
      <c r="C75" s="73">
        <v>0</v>
      </c>
      <c r="D75" s="97">
        <f>'Payroll Report'!AG591</f>
        <v>0</v>
      </c>
      <c r="E75" s="106" t="s">
        <v>269</v>
      </c>
      <c r="F75" s="211">
        <f>'Payroll Report'!AK591</f>
        <v>0</v>
      </c>
      <c r="G75" s="211">
        <f>'Payroll Report'!AL591</f>
        <v>0</v>
      </c>
      <c r="H75" s="211">
        <f>'Payroll Report'!AM591</f>
        <v>0</v>
      </c>
      <c r="I75" s="211">
        <f>'Payroll Report'!AN591</f>
        <v>0</v>
      </c>
      <c r="J75" s="211">
        <f>'Payroll Report'!AO591</f>
        <v>0</v>
      </c>
      <c r="K75" s="211">
        <f>'Payroll Report'!AP591</f>
        <v>0</v>
      </c>
      <c r="L75" s="211">
        <f>'Payroll Report'!AQ591</f>
        <v>0</v>
      </c>
      <c r="M75" s="211">
        <f>'Payroll Report'!AT591</f>
        <v>0</v>
      </c>
    </row>
    <row r="76" spans="2:13" x14ac:dyDescent="0.25">
      <c r="B76" s="210">
        <f>'Payroll Report'!AE592</f>
        <v>0</v>
      </c>
      <c r="C76" s="73">
        <v>0</v>
      </c>
      <c r="D76" s="97">
        <f>'Payroll Report'!AG592</f>
        <v>0</v>
      </c>
      <c r="E76" s="106" t="s">
        <v>270</v>
      </c>
      <c r="F76" s="211">
        <f>'Payroll Report'!AK592</f>
        <v>0</v>
      </c>
      <c r="G76" s="211">
        <f>'Payroll Report'!AL592</f>
        <v>0</v>
      </c>
      <c r="H76" s="211">
        <f>'Payroll Report'!AM592</f>
        <v>0</v>
      </c>
      <c r="I76" s="211">
        <f>'Payroll Report'!AN592</f>
        <v>0</v>
      </c>
      <c r="J76" s="211">
        <f>'Payroll Report'!AO592</f>
        <v>0</v>
      </c>
      <c r="K76" s="211">
        <f>'Payroll Report'!AP592</f>
        <v>0</v>
      </c>
      <c r="L76" s="211">
        <f>'Payroll Report'!AQ592</f>
        <v>0</v>
      </c>
      <c r="M76" s="211">
        <f>'Payroll Report'!AT592</f>
        <v>0</v>
      </c>
    </row>
    <row r="77" spans="2:13" x14ac:dyDescent="0.25">
      <c r="B77" s="210">
        <f>'Payroll Report'!AE593</f>
        <v>0</v>
      </c>
      <c r="C77" s="73">
        <v>0</v>
      </c>
      <c r="D77" s="97">
        <f>'Payroll Report'!AG593</f>
        <v>0</v>
      </c>
      <c r="E77" s="106" t="s">
        <v>271</v>
      </c>
      <c r="F77" s="211">
        <f>'Payroll Report'!AK593</f>
        <v>0</v>
      </c>
      <c r="G77" s="211">
        <f>'Payroll Report'!AL593</f>
        <v>0</v>
      </c>
      <c r="H77" s="211">
        <f>'Payroll Report'!AM593</f>
        <v>0</v>
      </c>
      <c r="I77" s="211">
        <f>'Payroll Report'!AN593</f>
        <v>0</v>
      </c>
      <c r="J77" s="211">
        <f>'Payroll Report'!AO593</f>
        <v>0</v>
      </c>
      <c r="K77" s="211">
        <f>'Payroll Report'!AP593</f>
        <v>0</v>
      </c>
      <c r="L77" s="211">
        <f>'Payroll Report'!AQ593</f>
        <v>0</v>
      </c>
      <c r="M77" s="211">
        <f>'Payroll Report'!AT593</f>
        <v>0</v>
      </c>
    </row>
    <row r="78" spans="2:13" x14ac:dyDescent="0.25">
      <c r="B78" s="210">
        <f>'Payroll Report'!AE594</f>
        <v>0</v>
      </c>
      <c r="C78" s="73">
        <v>0</v>
      </c>
      <c r="D78" s="97">
        <f>'Payroll Report'!AG594</f>
        <v>0</v>
      </c>
      <c r="E78" s="106" t="s">
        <v>272</v>
      </c>
      <c r="F78" s="211">
        <f>'Payroll Report'!AK594</f>
        <v>0</v>
      </c>
      <c r="G78" s="211">
        <f>'Payroll Report'!AL594</f>
        <v>0</v>
      </c>
      <c r="H78" s="211">
        <f>'Payroll Report'!AM594</f>
        <v>0</v>
      </c>
      <c r="I78" s="211">
        <f>'Payroll Report'!AN594</f>
        <v>0</v>
      </c>
      <c r="J78" s="211">
        <f>'Payroll Report'!AO594</f>
        <v>0</v>
      </c>
      <c r="K78" s="211">
        <f>'Payroll Report'!AP594</f>
        <v>0</v>
      </c>
      <c r="L78" s="211">
        <f>'Payroll Report'!AQ594</f>
        <v>0</v>
      </c>
      <c r="M78" s="211">
        <f>'Payroll Report'!AT594</f>
        <v>0</v>
      </c>
    </row>
    <row r="79" spans="2:13" x14ac:dyDescent="0.25">
      <c r="B79" s="210">
        <f>'Payroll Report'!AE595</f>
        <v>0</v>
      </c>
      <c r="C79" s="73">
        <v>0</v>
      </c>
      <c r="D79" s="97">
        <f>'Payroll Report'!AG595</f>
        <v>0</v>
      </c>
      <c r="E79" s="106" t="s">
        <v>273</v>
      </c>
      <c r="F79" s="211">
        <f>'Payroll Report'!AK595</f>
        <v>0</v>
      </c>
      <c r="G79" s="211">
        <f>'Payroll Report'!AL595</f>
        <v>0</v>
      </c>
      <c r="H79" s="211">
        <f>'Payroll Report'!AM595</f>
        <v>0</v>
      </c>
      <c r="I79" s="211">
        <f>'Payroll Report'!AN595</f>
        <v>0</v>
      </c>
      <c r="J79" s="211">
        <f>'Payroll Report'!AO595</f>
        <v>0</v>
      </c>
      <c r="K79" s="211">
        <f>'Payroll Report'!AP595</f>
        <v>0</v>
      </c>
      <c r="L79" s="211">
        <f>'Payroll Report'!AQ595</f>
        <v>0</v>
      </c>
      <c r="M79" s="211">
        <f>'Payroll Report'!AT595</f>
        <v>0</v>
      </c>
    </row>
    <row r="80" spans="2:13" x14ac:dyDescent="0.25">
      <c r="B80" s="210">
        <f>'Payroll Report'!AE596</f>
        <v>0</v>
      </c>
      <c r="C80" s="73">
        <v>0</v>
      </c>
      <c r="D80" s="97">
        <f>'Payroll Report'!AG596</f>
        <v>0</v>
      </c>
      <c r="E80" s="106" t="s">
        <v>274</v>
      </c>
      <c r="F80" s="211">
        <f>'Payroll Report'!AK596</f>
        <v>0</v>
      </c>
      <c r="G80" s="211">
        <f>'Payroll Report'!AL596</f>
        <v>0</v>
      </c>
      <c r="H80" s="211">
        <f>'Payroll Report'!AM596</f>
        <v>0</v>
      </c>
      <c r="I80" s="211">
        <f>'Payroll Report'!AN596</f>
        <v>0</v>
      </c>
      <c r="J80" s="211">
        <f>'Payroll Report'!AO596</f>
        <v>0</v>
      </c>
      <c r="K80" s="211">
        <f>'Payroll Report'!AP596</f>
        <v>0</v>
      </c>
      <c r="L80" s="211">
        <f>'Payroll Report'!AQ596</f>
        <v>0</v>
      </c>
      <c r="M80" s="211">
        <f>'Payroll Report'!AT596</f>
        <v>0</v>
      </c>
    </row>
    <row r="81" spans="2:14" x14ac:dyDescent="0.25">
      <c r="B81" s="210">
        <f>'Payroll Report'!AE597</f>
        <v>0</v>
      </c>
      <c r="C81" s="73">
        <v>0</v>
      </c>
      <c r="D81" s="97">
        <f>'Payroll Report'!AG597</f>
        <v>0</v>
      </c>
      <c r="E81" s="106" t="s">
        <v>275</v>
      </c>
      <c r="F81" s="211">
        <f>'Payroll Report'!AK597</f>
        <v>0</v>
      </c>
      <c r="G81" s="211">
        <f>'Payroll Report'!AL597</f>
        <v>0</v>
      </c>
      <c r="H81" s="211">
        <f>'Payroll Report'!AM597</f>
        <v>0</v>
      </c>
      <c r="I81" s="211">
        <f>'Payroll Report'!AN597</f>
        <v>0</v>
      </c>
      <c r="J81" s="211">
        <f>'Payroll Report'!AO597</f>
        <v>0</v>
      </c>
      <c r="K81" s="211">
        <f>'Payroll Report'!AP597</f>
        <v>0</v>
      </c>
      <c r="L81" s="211">
        <f>'Payroll Report'!AQ597</f>
        <v>0</v>
      </c>
      <c r="M81" s="211">
        <f>'Payroll Report'!AT597</f>
        <v>0</v>
      </c>
    </row>
    <row r="82" spans="2:14" x14ac:dyDescent="0.25">
      <c r="B82" s="210">
        <f>'Payroll Report'!AE598</f>
        <v>0</v>
      </c>
      <c r="C82" s="73">
        <v>0</v>
      </c>
      <c r="D82" s="97">
        <f>'Payroll Report'!AG598</f>
        <v>0</v>
      </c>
      <c r="E82" s="106" t="s">
        <v>276</v>
      </c>
      <c r="F82" s="211">
        <f>'Payroll Report'!AK598</f>
        <v>0</v>
      </c>
      <c r="G82" s="211">
        <f>'Payroll Report'!AL598</f>
        <v>0</v>
      </c>
      <c r="H82" s="211">
        <f>'Payroll Report'!AM598</f>
        <v>0</v>
      </c>
      <c r="I82" s="211">
        <f>'Payroll Report'!AN598</f>
        <v>0</v>
      </c>
      <c r="J82" s="211">
        <f>'Payroll Report'!AO598</f>
        <v>0</v>
      </c>
      <c r="K82" s="211">
        <f>'Payroll Report'!AP598</f>
        <v>0</v>
      </c>
      <c r="L82" s="211">
        <f>'Payroll Report'!AQ598</f>
        <v>0</v>
      </c>
      <c r="M82" s="211">
        <f>'Payroll Report'!AT598</f>
        <v>0</v>
      </c>
    </row>
    <row r="83" spans="2:14" x14ac:dyDescent="0.25">
      <c r="B83" s="210">
        <f>'Payroll Report'!AE599</f>
        <v>0</v>
      </c>
      <c r="C83" s="73">
        <v>0</v>
      </c>
      <c r="D83" s="97">
        <f>'Payroll Report'!AG599</f>
        <v>0</v>
      </c>
      <c r="E83" s="106" t="s">
        <v>277</v>
      </c>
      <c r="F83" s="211">
        <f>'Payroll Report'!AK599</f>
        <v>0</v>
      </c>
      <c r="G83" s="211">
        <f>'Payroll Report'!AL599</f>
        <v>0</v>
      </c>
      <c r="H83" s="211">
        <f>'Payroll Report'!AM599</f>
        <v>0</v>
      </c>
      <c r="I83" s="211">
        <f>'Payroll Report'!AN599</f>
        <v>0</v>
      </c>
      <c r="J83" s="211">
        <f>'Payroll Report'!AO599</f>
        <v>0</v>
      </c>
      <c r="K83" s="211">
        <f>'Payroll Report'!AP599</f>
        <v>0</v>
      </c>
      <c r="L83" s="211">
        <f>'Payroll Report'!AQ599</f>
        <v>0</v>
      </c>
      <c r="M83" s="211">
        <f>'Payroll Report'!AT599</f>
        <v>0</v>
      </c>
    </row>
    <row r="84" spans="2:14" x14ac:dyDescent="0.25">
      <c r="B84" s="210">
        <f>'Payroll Report'!AE600</f>
        <v>0</v>
      </c>
      <c r="C84" s="73">
        <v>0</v>
      </c>
      <c r="D84" s="97">
        <f>'Payroll Report'!AG600</f>
        <v>0</v>
      </c>
      <c r="E84" s="106" t="s">
        <v>278</v>
      </c>
      <c r="F84" s="211">
        <f>'Payroll Report'!AK600</f>
        <v>0</v>
      </c>
      <c r="G84" s="211">
        <f>'Payroll Report'!AL600</f>
        <v>0</v>
      </c>
      <c r="H84" s="211">
        <f>'Payroll Report'!AM600</f>
        <v>0</v>
      </c>
      <c r="I84" s="211">
        <f>'Payroll Report'!AN600</f>
        <v>0</v>
      </c>
      <c r="J84" s="211">
        <f>'Payroll Report'!AO600</f>
        <v>0</v>
      </c>
      <c r="K84" s="211">
        <f>'Payroll Report'!AP600</f>
        <v>0</v>
      </c>
      <c r="L84" s="211">
        <f>'Payroll Report'!AQ600</f>
        <v>0</v>
      </c>
      <c r="M84" s="211">
        <f>'Payroll Report'!AT600</f>
        <v>0</v>
      </c>
    </row>
    <row r="85" spans="2:14" x14ac:dyDescent="0.25">
      <c r="B85" s="210">
        <f>'Payroll Report'!AE601</f>
        <v>0</v>
      </c>
      <c r="C85" s="73">
        <v>0</v>
      </c>
      <c r="D85" s="97">
        <f>'Payroll Report'!AG601</f>
        <v>0</v>
      </c>
      <c r="E85" s="106" t="s">
        <v>279</v>
      </c>
      <c r="F85" s="211">
        <f>'Payroll Report'!AK601</f>
        <v>0</v>
      </c>
      <c r="G85" s="211">
        <f>'Payroll Report'!AL601</f>
        <v>0</v>
      </c>
      <c r="H85" s="211">
        <f>'Payroll Report'!AM601</f>
        <v>0</v>
      </c>
      <c r="I85" s="211">
        <f>'Payroll Report'!AN601</f>
        <v>0</v>
      </c>
      <c r="J85" s="211">
        <f>'Payroll Report'!AO601</f>
        <v>0</v>
      </c>
      <c r="K85" s="211">
        <f>'Payroll Report'!AP601</f>
        <v>0</v>
      </c>
      <c r="L85" s="211">
        <f>'Payroll Report'!AQ601</f>
        <v>0</v>
      </c>
      <c r="M85" s="211">
        <f>'Payroll Report'!AT601</f>
        <v>0</v>
      </c>
    </row>
    <row r="86" spans="2:14" x14ac:dyDescent="0.25">
      <c r="B86" s="210">
        <f>'Payroll Report'!AE602</f>
        <v>0</v>
      </c>
      <c r="C86" s="73">
        <v>0</v>
      </c>
      <c r="D86" s="97">
        <f>'Payroll Report'!AG602</f>
        <v>0</v>
      </c>
      <c r="E86" s="106" t="s">
        <v>280</v>
      </c>
      <c r="F86" s="211">
        <f>'Payroll Report'!AK602</f>
        <v>0</v>
      </c>
      <c r="G86" s="211">
        <f>'Payroll Report'!AL602</f>
        <v>0</v>
      </c>
      <c r="H86" s="211">
        <f>'Payroll Report'!AM602</f>
        <v>0</v>
      </c>
      <c r="I86" s="211">
        <f>'Payroll Report'!AN602</f>
        <v>0</v>
      </c>
      <c r="J86" s="211">
        <f>'Payroll Report'!AO602</f>
        <v>0</v>
      </c>
      <c r="K86" s="211">
        <f>'Payroll Report'!AP602</f>
        <v>0</v>
      </c>
      <c r="L86" s="211">
        <f>'Payroll Report'!AQ602</f>
        <v>0</v>
      </c>
      <c r="M86" s="211">
        <f>'Payroll Report'!AT602</f>
        <v>0</v>
      </c>
    </row>
    <row r="87" spans="2:14" x14ac:dyDescent="0.25">
      <c r="B87" s="210">
        <f>'Payroll Report'!AE603</f>
        <v>0</v>
      </c>
      <c r="C87" s="73">
        <v>0</v>
      </c>
      <c r="D87" s="97">
        <f>'Payroll Report'!AG603</f>
        <v>0</v>
      </c>
      <c r="E87" s="106" t="s">
        <v>281</v>
      </c>
      <c r="F87" s="211">
        <f>'Payroll Report'!AK603</f>
        <v>0</v>
      </c>
      <c r="G87" s="211">
        <f>'Payroll Report'!AL603</f>
        <v>0</v>
      </c>
      <c r="H87" s="211">
        <f>'Payroll Report'!AM603</f>
        <v>0</v>
      </c>
      <c r="I87" s="211">
        <f>'Payroll Report'!AN603</f>
        <v>0</v>
      </c>
      <c r="J87" s="211">
        <f>'Payroll Report'!AO603</f>
        <v>0</v>
      </c>
      <c r="K87" s="211">
        <f>'Payroll Report'!AP603</f>
        <v>0</v>
      </c>
      <c r="L87" s="211">
        <f>'Payroll Report'!AQ603</f>
        <v>0</v>
      </c>
      <c r="M87" s="211">
        <f>'Payroll Report'!AT603</f>
        <v>0</v>
      </c>
    </row>
    <row r="88" spans="2:14" x14ac:dyDescent="0.25">
      <c r="B88" s="210">
        <f>'Payroll Report'!AE604</f>
        <v>0</v>
      </c>
      <c r="C88" s="73">
        <v>0</v>
      </c>
      <c r="D88" s="97">
        <f>'Payroll Report'!AG604</f>
        <v>0</v>
      </c>
      <c r="E88" s="106" t="s">
        <v>282</v>
      </c>
      <c r="F88" s="211">
        <f>'Payroll Report'!AK604</f>
        <v>0</v>
      </c>
      <c r="G88" s="211">
        <f>'Payroll Report'!AL604</f>
        <v>0</v>
      </c>
      <c r="H88" s="211">
        <f>'Payroll Report'!AM604</f>
        <v>0</v>
      </c>
      <c r="I88" s="211">
        <f>'Payroll Report'!AN604</f>
        <v>0</v>
      </c>
      <c r="J88" s="211">
        <f>'Payroll Report'!AO604</f>
        <v>0</v>
      </c>
      <c r="K88" s="211">
        <f>'Payroll Report'!AP604</f>
        <v>0</v>
      </c>
      <c r="L88" s="211">
        <f>'Payroll Report'!AQ604</f>
        <v>0</v>
      </c>
      <c r="M88" s="211">
        <f>'Payroll Report'!AT604</f>
        <v>0</v>
      </c>
    </row>
    <row r="89" spans="2:14" ht="15.75" thickBot="1" x14ac:dyDescent="0.3">
      <c r="B89" s="230">
        <f>'Payroll Report'!AE605</f>
        <v>0</v>
      </c>
      <c r="C89" s="135">
        <v>0</v>
      </c>
      <c r="D89" s="231">
        <f>'Payroll Report'!AG605</f>
        <v>0</v>
      </c>
      <c r="E89" s="232" t="s">
        <v>283</v>
      </c>
      <c r="F89" s="233">
        <f>'Payroll Report'!AK605</f>
        <v>0</v>
      </c>
      <c r="G89" s="233">
        <f>'Payroll Report'!AL605</f>
        <v>0</v>
      </c>
      <c r="H89" s="233">
        <f>'Payroll Report'!AM605</f>
        <v>0</v>
      </c>
      <c r="I89" s="233">
        <f>'Payroll Report'!AN605</f>
        <v>0</v>
      </c>
      <c r="J89" s="233">
        <f>'Payroll Report'!AO605</f>
        <v>0</v>
      </c>
      <c r="K89" s="233">
        <f>'Payroll Report'!AP605</f>
        <v>0</v>
      </c>
      <c r="L89" s="233">
        <f>'Payroll Report'!AQ605</f>
        <v>0</v>
      </c>
      <c r="M89" s="233">
        <f>'Payroll Report'!AT605</f>
        <v>0</v>
      </c>
    </row>
    <row r="90" spans="2:14" ht="15.75" thickBot="1" x14ac:dyDescent="0.3">
      <c r="B90" s="243">
        <f>SUM(B65:B89)</f>
        <v>0</v>
      </c>
      <c r="C90" s="255"/>
      <c r="D90" s="244">
        <f>SUM(D65:D89)</f>
        <v>0</v>
      </c>
      <c r="E90" s="253" t="s">
        <v>195</v>
      </c>
      <c r="F90" s="246">
        <f>SUM(F65:F89)</f>
        <v>0</v>
      </c>
      <c r="G90" s="246">
        <f>SUM(G65:G89)</f>
        <v>0</v>
      </c>
      <c r="H90" s="246">
        <f>SUM(H65:H89)</f>
        <v>0</v>
      </c>
      <c r="I90" s="248">
        <f>SUBTOTAL(9,I65:I89)</f>
        <v>0</v>
      </c>
      <c r="J90" s="254">
        <f>SUM(J65:J89)</f>
        <v>0</v>
      </c>
      <c r="K90" s="254">
        <f>SUM(K65:K89)</f>
        <v>0</v>
      </c>
      <c r="L90" s="254">
        <f>SUM(L65:L89)</f>
        <v>0</v>
      </c>
      <c r="M90" s="256"/>
      <c r="N90" s="76">
        <f>B90-L90-H90-G90-F90-K90-J90</f>
        <v>0</v>
      </c>
    </row>
    <row r="91" spans="2:14" ht="15.75" thickTop="1" x14ac:dyDescent="0.25">
      <c r="B91" s="162">
        <f>B90-'Payroll Report'!AE613</f>
        <v>0</v>
      </c>
      <c r="C91" s="73"/>
      <c r="D91" s="162">
        <f>D90-'Payroll Report'!AG613</f>
        <v>0</v>
      </c>
      <c r="E91" s="162"/>
      <c r="F91" s="162">
        <f>F90-'Payroll Report'!AK613</f>
        <v>0</v>
      </c>
      <c r="G91" s="162">
        <f>G90-'Payroll Report'!AL613</f>
        <v>0</v>
      </c>
      <c r="H91" s="162">
        <f>H90-'Payroll Report'!AM613</f>
        <v>0</v>
      </c>
      <c r="I91" s="162">
        <f>I90-'Payroll Report'!AN613</f>
        <v>0</v>
      </c>
      <c r="J91" s="162">
        <f>J90-'Payroll Report'!AO613</f>
        <v>0</v>
      </c>
      <c r="K91" s="162">
        <f>K90-'Payroll Report'!AP613</f>
        <v>0</v>
      </c>
      <c r="L91" s="162">
        <f>L90-'Payroll Report'!AQ613</f>
        <v>0</v>
      </c>
      <c r="M91" s="162">
        <f>M90-'Payroll Report'!AT613</f>
        <v>0</v>
      </c>
    </row>
    <row r="92" spans="2:14" x14ac:dyDescent="0.25">
      <c r="B92" s="432" t="s">
        <v>343</v>
      </c>
      <c r="C92" s="432"/>
      <c r="D92" s="432"/>
      <c r="E92" s="432"/>
      <c r="F92" s="432"/>
      <c r="G92" s="432"/>
      <c r="H92" s="432"/>
      <c r="I92" s="432"/>
      <c r="J92" s="432"/>
      <c r="K92" s="432"/>
      <c r="L92" s="432"/>
    </row>
    <row r="93" spans="2:14" x14ac:dyDescent="0.25">
      <c r="B93" s="97"/>
      <c r="C93" s="97"/>
      <c r="D93" s="76"/>
      <c r="E93" s="76"/>
      <c r="F93" s="429" t="s">
        <v>284</v>
      </c>
      <c r="G93" s="430"/>
      <c r="H93" s="431"/>
      <c r="I93" s="3"/>
      <c r="J93" s="429" t="s">
        <v>310</v>
      </c>
      <c r="K93" s="430"/>
      <c r="L93" s="430"/>
      <c r="M93" s="3"/>
    </row>
    <row r="94" spans="2:14" x14ac:dyDescent="0.25">
      <c r="B94" s="207" t="s">
        <v>344</v>
      </c>
      <c r="C94" s="208" t="s">
        <v>341</v>
      </c>
      <c r="D94" s="208" t="s">
        <v>314</v>
      </c>
      <c r="E94" s="17" t="s">
        <v>257</v>
      </c>
      <c r="F94" s="101" t="s">
        <v>188</v>
      </c>
      <c r="G94" s="102" t="s">
        <v>187</v>
      </c>
      <c r="H94" s="103" t="s">
        <v>178</v>
      </c>
      <c r="I94" s="187"/>
      <c r="J94" s="101" t="s">
        <v>188</v>
      </c>
      <c r="K94" s="188" t="s">
        <v>187</v>
      </c>
      <c r="L94" s="189" t="s">
        <v>178</v>
      </c>
      <c r="M94" s="15"/>
    </row>
    <row r="95" spans="2:14" x14ac:dyDescent="0.25">
      <c r="B95" s="210">
        <f>Talent!N44</f>
        <v>0</v>
      </c>
      <c r="C95" s="73">
        <f>Talent!O44</f>
        <v>0</v>
      </c>
      <c r="D95" s="97">
        <f>Talent!P44</f>
        <v>0</v>
      </c>
      <c r="E95" s="4" t="s">
        <v>259</v>
      </c>
      <c r="F95" s="191">
        <f>Talent!R44</f>
        <v>0</v>
      </c>
      <c r="G95" s="211">
        <f>Talent!S44</f>
        <v>0</v>
      </c>
      <c r="H95" s="191">
        <f>Talent!T44</f>
        <v>0</v>
      </c>
      <c r="I95" s="159">
        <v>0</v>
      </c>
      <c r="J95" s="190">
        <f>Talent!V44</f>
        <v>0</v>
      </c>
      <c r="K95" s="187">
        <f>Talent!W44</f>
        <v>0</v>
      </c>
      <c r="L95" s="191">
        <f>Talent!X44</f>
        <v>0</v>
      </c>
      <c r="M95" s="265">
        <v>0</v>
      </c>
    </row>
    <row r="96" spans="2:14" x14ac:dyDescent="0.25">
      <c r="B96" s="210">
        <f>Talent!N45</f>
        <v>0</v>
      </c>
      <c r="C96" s="73">
        <f>Talent!O45</f>
        <v>0</v>
      </c>
      <c r="D96" s="97">
        <f>Talent!P45</f>
        <v>0</v>
      </c>
      <c r="E96" s="4" t="s">
        <v>260</v>
      </c>
      <c r="F96" s="191">
        <f>Talent!R45</f>
        <v>0</v>
      </c>
      <c r="G96" s="211">
        <f>Talent!S45</f>
        <v>0</v>
      </c>
      <c r="H96" s="191">
        <f>Talent!T45</f>
        <v>0</v>
      </c>
      <c r="I96" s="159">
        <v>0</v>
      </c>
      <c r="J96" s="190">
        <f>Talent!V45</f>
        <v>0</v>
      </c>
      <c r="K96" s="187">
        <f>Talent!W45</f>
        <v>0</v>
      </c>
      <c r="L96" s="191">
        <f>Talent!X45</f>
        <v>0</v>
      </c>
      <c r="M96" s="265">
        <v>0</v>
      </c>
    </row>
    <row r="97" spans="1:14" x14ac:dyDescent="0.25">
      <c r="B97" s="210">
        <f>Talent!N46</f>
        <v>0</v>
      </c>
      <c r="C97" s="73">
        <f>Talent!O46</f>
        <v>0</v>
      </c>
      <c r="D97" s="97">
        <f>Talent!P46</f>
        <v>0</v>
      </c>
      <c r="E97" s="4" t="s">
        <v>261</v>
      </c>
      <c r="F97" s="191">
        <f>Talent!R46</f>
        <v>0</v>
      </c>
      <c r="G97" s="211">
        <f>Talent!S46</f>
        <v>0</v>
      </c>
      <c r="H97" s="191">
        <f>Talent!T46</f>
        <v>0</v>
      </c>
      <c r="I97" s="159">
        <v>0</v>
      </c>
      <c r="J97" s="190">
        <f>Talent!V46</f>
        <v>0</v>
      </c>
      <c r="K97" s="187">
        <f>Talent!W46</f>
        <v>0</v>
      </c>
      <c r="L97" s="191">
        <f>Talent!X46</f>
        <v>0</v>
      </c>
      <c r="M97" s="265">
        <v>0</v>
      </c>
      <c r="N97" s="76"/>
    </row>
    <row r="98" spans="1:14" x14ac:dyDescent="0.25">
      <c r="B98" s="210">
        <f>Talent!N47</f>
        <v>0</v>
      </c>
      <c r="C98" s="73">
        <f>Talent!O47</f>
        <v>0</v>
      </c>
      <c r="D98" s="97">
        <f>Talent!P47</f>
        <v>0</v>
      </c>
      <c r="E98" s="4" t="s">
        <v>262</v>
      </c>
      <c r="F98" s="191">
        <f>Talent!R47</f>
        <v>0</v>
      </c>
      <c r="G98" s="211">
        <f>Talent!S47</f>
        <v>0</v>
      </c>
      <c r="H98" s="191">
        <f>Talent!T47</f>
        <v>0</v>
      </c>
      <c r="I98" s="159">
        <v>0</v>
      </c>
      <c r="J98" s="190">
        <f>Talent!V47</f>
        <v>0</v>
      </c>
      <c r="K98" s="187">
        <f>Talent!W47</f>
        <v>0</v>
      </c>
      <c r="L98" s="191">
        <f>Talent!X47</f>
        <v>0</v>
      </c>
      <c r="M98" s="265">
        <v>0</v>
      </c>
    </row>
    <row r="99" spans="1:14" x14ac:dyDescent="0.25">
      <c r="B99" s="210">
        <f>Talent!N48</f>
        <v>0</v>
      </c>
      <c r="C99" s="73">
        <f>Talent!O48</f>
        <v>0</v>
      </c>
      <c r="D99" s="97">
        <f>Talent!P48</f>
        <v>0</v>
      </c>
      <c r="E99" s="4" t="s">
        <v>263</v>
      </c>
      <c r="F99" s="191">
        <f>Talent!R48</f>
        <v>0</v>
      </c>
      <c r="G99" s="211">
        <f>Talent!S48</f>
        <v>0</v>
      </c>
      <c r="H99" s="191">
        <f>Talent!T48</f>
        <v>0</v>
      </c>
      <c r="I99" s="159">
        <v>0</v>
      </c>
      <c r="J99" s="190">
        <f>Talent!V48</f>
        <v>0</v>
      </c>
      <c r="K99" s="187">
        <f>Talent!W48</f>
        <v>0</v>
      </c>
      <c r="L99" s="191">
        <f>Talent!X48</f>
        <v>0</v>
      </c>
      <c r="M99" s="265">
        <v>0</v>
      </c>
    </row>
    <row r="100" spans="1:14" x14ac:dyDescent="0.25">
      <c r="A100" s="76">
        <f>B86-D86</f>
        <v>0</v>
      </c>
      <c r="B100" s="210">
        <f>Talent!N49</f>
        <v>0</v>
      </c>
      <c r="C100" s="73">
        <f>Talent!O49</f>
        <v>0</v>
      </c>
      <c r="D100" s="97">
        <f>Talent!P49</f>
        <v>0</v>
      </c>
      <c r="E100" s="4" t="s">
        <v>264</v>
      </c>
      <c r="F100" s="191">
        <f>Talent!R49</f>
        <v>0</v>
      </c>
      <c r="G100" s="211">
        <f>Talent!S49</f>
        <v>0</v>
      </c>
      <c r="H100" s="191">
        <f>Talent!T49</f>
        <v>0</v>
      </c>
      <c r="I100" s="159">
        <v>0</v>
      </c>
      <c r="J100" s="190">
        <f>Talent!V49</f>
        <v>0</v>
      </c>
      <c r="K100" s="187">
        <f>Talent!W49</f>
        <v>0</v>
      </c>
      <c r="L100" s="191">
        <f>Talent!X49</f>
        <v>0</v>
      </c>
      <c r="M100" s="265">
        <v>0</v>
      </c>
    </row>
    <row r="101" spans="1:14" x14ac:dyDescent="0.25">
      <c r="B101" s="210">
        <f>Talent!N50</f>
        <v>0</v>
      </c>
      <c r="C101" s="73">
        <f>Talent!O50</f>
        <v>0</v>
      </c>
      <c r="D101" s="97">
        <f>Talent!P50</f>
        <v>0</v>
      </c>
      <c r="E101" s="4" t="s">
        <v>386</v>
      </c>
      <c r="F101" s="191">
        <f>Talent!R50</f>
        <v>0</v>
      </c>
      <c r="G101" s="211">
        <f>Talent!S50</f>
        <v>0</v>
      </c>
      <c r="H101" s="191">
        <f>Talent!T50</f>
        <v>0</v>
      </c>
      <c r="I101" s="159">
        <v>0</v>
      </c>
      <c r="J101" s="190">
        <f>Talent!V50</f>
        <v>0</v>
      </c>
      <c r="K101" s="187">
        <f>Talent!W50</f>
        <v>0</v>
      </c>
      <c r="L101" s="191">
        <f>Talent!X50</f>
        <v>0</v>
      </c>
      <c r="M101" s="265">
        <v>0</v>
      </c>
    </row>
    <row r="102" spans="1:14" x14ac:dyDescent="0.25">
      <c r="B102" s="210">
        <f>Talent!N51</f>
        <v>0</v>
      </c>
      <c r="C102" s="73">
        <f>Talent!O51</f>
        <v>0</v>
      </c>
      <c r="D102" s="97">
        <f>Talent!P51</f>
        <v>0</v>
      </c>
      <c r="E102" s="4" t="s">
        <v>266</v>
      </c>
      <c r="F102" s="191">
        <f>Talent!R51</f>
        <v>0</v>
      </c>
      <c r="G102" s="211">
        <f>Talent!S51</f>
        <v>0</v>
      </c>
      <c r="H102" s="191">
        <f>Talent!T51</f>
        <v>0</v>
      </c>
      <c r="I102" s="159">
        <v>0</v>
      </c>
      <c r="J102" s="190">
        <f>Talent!V51</f>
        <v>0</v>
      </c>
      <c r="K102" s="187">
        <f>Talent!W51</f>
        <v>0</v>
      </c>
      <c r="L102" s="191">
        <f>Talent!X51</f>
        <v>0</v>
      </c>
      <c r="M102" s="265">
        <v>0</v>
      </c>
    </row>
    <row r="103" spans="1:14" x14ac:dyDescent="0.25">
      <c r="B103" s="210">
        <f>Talent!N52</f>
        <v>0</v>
      </c>
      <c r="C103" s="73">
        <f>Talent!O52</f>
        <v>0</v>
      </c>
      <c r="D103" s="97">
        <f>Talent!P52</f>
        <v>0</v>
      </c>
      <c r="E103" s="4" t="s">
        <v>267</v>
      </c>
      <c r="F103" s="191">
        <f>Talent!R52</f>
        <v>0</v>
      </c>
      <c r="G103" s="211">
        <f>Talent!S52</f>
        <v>0</v>
      </c>
      <c r="H103" s="191">
        <f>Talent!T52</f>
        <v>0</v>
      </c>
      <c r="I103" s="159">
        <v>0</v>
      </c>
      <c r="J103" s="190">
        <f>Talent!V52</f>
        <v>0</v>
      </c>
      <c r="K103" s="187">
        <f>Talent!W52</f>
        <v>0</v>
      </c>
      <c r="L103" s="191">
        <f>Talent!X52</f>
        <v>0</v>
      </c>
      <c r="M103" s="265">
        <v>0</v>
      </c>
    </row>
    <row r="104" spans="1:14" x14ac:dyDescent="0.25">
      <c r="B104" s="210">
        <f>Talent!N53</f>
        <v>0</v>
      </c>
      <c r="C104" s="73">
        <f>Talent!O53</f>
        <v>0</v>
      </c>
      <c r="D104" s="97">
        <f>Talent!P53</f>
        <v>0</v>
      </c>
      <c r="E104" s="4" t="s">
        <v>268</v>
      </c>
      <c r="F104" s="191">
        <f>Talent!R53</f>
        <v>0</v>
      </c>
      <c r="G104" s="211">
        <f>Talent!S53</f>
        <v>0</v>
      </c>
      <c r="H104" s="191">
        <f>Talent!T53</f>
        <v>0</v>
      </c>
      <c r="I104" s="159">
        <v>0</v>
      </c>
      <c r="J104" s="190">
        <f>Talent!V53</f>
        <v>0</v>
      </c>
      <c r="K104" s="187">
        <f>Talent!W53</f>
        <v>0</v>
      </c>
      <c r="L104" s="191">
        <f>Talent!X53</f>
        <v>0</v>
      </c>
      <c r="M104" s="265">
        <v>0</v>
      </c>
    </row>
    <row r="105" spans="1:14" x14ac:dyDescent="0.25">
      <c r="B105" s="210">
        <f>Talent!N54</f>
        <v>0</v>
      </c>
      <c r="C105" s="73">
        <f>Talent!O54</f>
        <v>0</v>
      </c>
      <c r="D105" s="97">
        <f>Talent!P54</f>
        <v>0</v>
      </c>
      <c r="E105" s="4" t="s">
        <v>269</v>
      </c>
      <c r="F105" s="191">
        <f>Talent!R54</f>
        <v>0</v>
      </c>
      <c r="G105" s="211">
        <f>Talent!S54</f>
        <v>0</v>
      </c>
      <c r="H105" s="191">
        <f>Talent!T54</f>
        <v>0</v>
      </c>
      <c r="I105" s="159">
        <v>0</v>
      </c>
      <c r="J105" s="190">
        <f>Talent!V54</f>
        <v>0</v>
      </c>
      <c r="K105" s="187">
        <f>Talent!W54</f>
        <v>0</v>
      </c>
      <c r="L105" s="191">
        <f>Talent!X54</f>
        <v>0</v>
      </c>
      <c r="M105" s="265">
        <v>0</v>
      </c>
    </row>
    <row r="106" spans="1:14" x14ac:dyDescent="0.25">
      <c r="B106" s="210">
        <f>Talent!N55</f>
        <v>0</v>
      </c>
      <c r="C106" s="73">
        <f>Talent!O55</f>
        <v>0</v>
      </c>
      <c r="D106" s="97">
        <f>Talent!P55</f>
        <v>0</v>
      </c>
      <c r="E106" s="4" t="s">
        <v>270</v>
      </c>
      <c r="F106" s="191">
        <f>Talent!R55</f>
        <v>0</v>
      </c>
      <c r="G106" s="211">
        <f>Talent!S55</f>
        <v>0</v>
      </c>
      <c r="H106" s="191">
        <f>Talent!T55</f>
        <v>0</v>
      </c>
      <c r="I106" s="159">
        <v>0</v>
      </c>
      <c r="J106" s="190">
        <f>Talent!V55</f>
        <v>0</v>
      </c>
      <c r="K106" s="187">
        <f>Talent!W55</f>
        <v>0</v>
      </c>
      <c r="L106" s="191">
        <f>Talent!X55</f>
        <v>0</v>
      </c>
      <c r="M106" s="265">
        <v>0</v>
      </c>
    </row>
    <row r="107" spans="1:14" x14ac:dyDescent="0.25">
      <c r="B107" s="210">
        <f>Talent!N56</f>
        <v>0</v>
      </c>
      <c r="C107" s="73">
        <f>Talent!O56</f>
        <v>0</v>
      </c>
      <c r="D107" s="97">
        <f>Talent!P56</f>
        <v>0</v>
      </c>
      <c r="E107" s="4" t="s">
        <v>271</v>
      </c>
      <c r="F107" s="191">
        <f>Talent!R56</f>
        <v>0</v>
      </c>
      <c r="G107" s="211">
        <f>Talent!S56</f>
        <v>0</v>
      </c>
      <c r="H107" s="191">
        <f>Talent!T56</f>
        <v>0</v>
      </c>
      <c r="I107" s="159">
        <v>0</v>
      </c>
      <c r="J107" s="190">
        <f>Talent!V56</f>
        <v>0</v>
      </c>
      <c r="K107" s="187">
        <f>Talent!W56</f>
        <v>0</v>
      </c>
      <c r="L107" s="191">
        <f>Talent!X56</f>
        <v>0</v>
      </c>
      <c r="M107" s="265">
        <v>0</v>
      </c>
    </row>
    <row r="108" spans="1:14" x14ac:dyDescent="0.25">
      <c r="B108" s="210">
        <f>Talent!N57</f>
        <v>0</v>
      </c>
      <c r="C108" s="73">
        <f>Talent!O57</f>
        <v>0</v>
      </c>
      <c r="D108" s="97">
        <f>Talent!P57</f>
        <v>0</v>
      </c>
      <c r="E108" s="4" t="s">
        <v>272</v>
      </c>
      <c r="F108" s="191">
        <f>Talent!R57</f>
        <v>0</v>
      </c>
      <c r="G108" s="211">
        <f>Talent!S57</f>
        <v>0</v>
      </c>
      <c r="H108" s="191">
        <f>Talent!T57</f>
        <v>0</v>
      </c>
      <c r="I108" s="159">
        <v>0</v>
      </c>
      <c r="J108" s="190">
        <f>Talent!V57</f>
        <v>0</v>
      </c>
      <c r="K108" s="187">
        <f>Talent!W57</f>
        <v>0</v>
      </c>
      <c r="L108" s="191">
        <f>Talent!X57</f>
        <v>0</v>
      </c>
      <c r="M108" s="265">
        <v>0</v>
      </c>
    </row>
    <row r="109" spans="1:14" x14ac:dyDescent="0.25">
      <c r="B109" s="210">
        <f>Talent!N58</f>
        <v>0</v>
      </c>
      <c r="C109" s="73">
        <f>Talent!O58</f>
        <v>0</v>
      </c>
      <c r="D109" s="97">
        <f>Talent!P58</f>
        <v>0</v>
      </c>
      <c r="E109" s="4" t="s">
        <v>273</v>
      </c>
      <c r="F109" s="191">
        <f>Talent!R58</f>
        <v>0</v>
      </c>
      <c r="G109" s="211">
        <f>Talent!S58</f>
        <v>0</v>
      </c>
      <c r="H109" s="191">
        <f>Talent!T58</f>
        <v>0</v>
      </c>
      <c r="I109" s="159">
        <v>0</v>
      </c>
      <c r="J109" s="190">
        <f>Talent!V58</f>
        <v>0</v>
      </c>
      <c r="K109" s="187">
        <f>Talent!W58</f>
        <v>0</v>
      </c>
      <c r="L109" s="191">
        <f>Talent!X58</f>
        <v>0</v>
      </c>
      <c r="M109" s="265">
        <v>0</v>
      </c>
    </row>
    <row r="110" spans="1:14" x14ac:dyDescent="0.25">
      <c r="B110" s="210">
        <f>Talent!N59</f>
        <v>0</v>
      </c>
      <c r="C110" s="73">
        <f>Talent!O59</f>
        <v>0</v>
      </c>
      <c r="D110" s="97">
        <f>Talent!P59</f>
        <v>0</v>
      </c>
      <c r="E110" s="4" t="s">
        <v>274</v>
      </c>
      <c r="F110" s="191">
        <f>Talent!R59</f>
        <v>0</v>
      </c>
      <c r="G110" s="211">
        <f>Talent!S59</f>
        <v>0</v>
      </c>
      <c r="H110" s="191">
        <f>Talent!T59</f>
        <v>0</v>
      </c>
      <c r="I110" s="159">
        <v>0</v>
      </c>
      <c r="J110" s="190">
        <f>Talent!V59</f>
        <v>0</v>
      </c>
      <c r="K110" s="187">
        <f>Talent!W59</f>
        <v>0</v>
      </c>
      <c r="L110" s="191">
        <f>Talent!X59</f>
        <v>0</v>
      </c>
      <c r="M110" s="265">
        <v>0</v>
      </c>
    </row>
    <row r="111" spans="1:14" x14ac:dyDescent="0.25">
      <c r="B111" s="210">
        <f>Talent!N60</f>
        <v>0</v>
      </c>
      <c r="C111" s="73">
        <f>Talent!O60</f>
        <v>0</v>
      </c>
      <c r="D111" s="97">
        <f>Talent!P60</f>
        <v>0</v>
      </c>
      <c r="E111" s="4" t="s">
        <v>275</v>
      </c>
      <c r="F111" s="191">
        <f>Talent!R60</f>
        <v>0</v>
      </c>
      <c r="G111" s="211">
        <f>Talent!S60</f>
        <v>0</v>
      </c>
      <c r="H111" s="191">
        <f>Talent!T60</f>
        <v>0</v>
      </c>
      <c r="I111" s="159">
        <v>0</v>
      </c>
      <c r="J111" s="190">
        <f>Talent!V60</f>
        <v>0</v>
      </c>
      <c r="K111" s="187">
        <f>Talent!W60</f>
        <v>0</v>
      </c>
      <c r="L111" s="191">
        <f>Talent!X60</f>
        <v>0</v>
      </c>
      <c r="M111" s="265">
        <v>0</v>
      </c>
    </row>
    <row r="112" spans="1:14" x14ac:dyDescent="0.25">
      <c r="B112" s="210">
        <f>Talent!N61</f>
        <v>0</v>
      </c>
      <c r="C112" s="73">
        <f>Talent!O61</f>
        <v>0</v>
      </c>
      <c r="D112" s="97">
        <f>Talent!P61</f>
        <v>0</v>
      </c>
      <c r="E112" s="4" t="s">
        <v>276</v>
      </c>
      <c r="F112" s="191">
        <f>Talent!R61</f>
        <v>0</v>
      </c>
      <c r="G112" s="211">
        <f>Talent!S61</f>
        <v>0</v>
      </c>
      <c r="H112" s="191">
        <f>Talent!T61</f>
        <v>0</v>
      </c>
      <c r="I112" s="159">
        <v>0</v>
      </c>
      <c r="J112" s="190">
        <f>Talent!V61</f>
        <v>0</v>
      </c>
      <c r="K112" s="187">
        <f>Talent!W61</f>
        <v>0</v>
      </c>
      <c r="L112" s="191">
        <f>Talent!X61</f>
        <v>0</v>
      </c>
      <c r="M112" s="265">
        <v>0</v>
      </c>
    </row>
    <row r="113" spans="2:14" x14ac:dyDescent="0.25">
      <c r="B113" s="210">
        <f>Talent!N62</f>
        <v>0</v>
      </c>
      <c r="C113" s="73">
        <f>Talent!O62</f>
        <v>0</v>
      </c>
      <c r="D113" s="97">
        <f>Talent!P62</f>
        <v>0</v>
      </c>
      <c r="E113" s="4" t="s">
        <v>277</v>
      </c>
      <c r="F113" s="191">
        <f>Talent!R62</f>
        <v>0</v>
      </c>
      <c r="G113" s="211">
        <f>Talent!S62</f>
        <v>0</v>
      </c>
      <c r="H113" s="191">
        <f>Talent!T62</f>
        <v>0</v>
      </c>
      <c r="I113" s="159">
        <v>0</v>
      </c>
      <c r="J113" s="190">
        <f>Talent!V62</f>
        <v>0</v>
      </c>
      <c r="K113" s="187">
        <f>Talent!W62</f>
        <v>0</v>
      </c>
      <c r="L113" s="191">
        <f>Talent!X62</f>
        <v>0</v>
      </c>
      <c r="M113" s="265">
        <v>0</v>
      </c>
    </row>
    <row r="114" spans="2:14" x14ac:dyDescent="0.25">
      <c r="B114" s="210">
        <f>Talent!N63</f>
        <v>0</v>
      </c>
      <c r="C114" s="73">
        <f>Talent!O63</f>
        <v>0</v>
      </c>
      <c r="D114" s="97">
        <f>Talent!P63</f>
        <v>0</v>
      </c>
      <c r="E114" s="4" t="s">
        <v>278</v>
      </c>
      <c r="F114" s="191">
        <f>Talent!R63</f>
        <v>0</v>
      </c>
      <c r="G114" s="211">
        <f>Talent!S63</f>
        <v>0</v>
      </c>
      <c r="H114" s="191">
        <f>Talent!T63</f>
        <v>0</v>
      </c>
      <c r="I114" s="159">
        <v>0</v>
      </c>
      <c r="J114" s="190">
        <f>Talent!V63</f>
        <v>0</v>
      </c>
      <c r="K114" s="187">
        <f>Talent!W63</f>
        <v>0</v>
      </c>
      <c r="L114" s="191">
        <f>Talent!X63</f>
        <v>0</v>
      </c>
      <c r="M114" s="265">
        <v>0</v>
      </c>
    </row>
    <row r="115" spans="2:14" x14ac:dyDescent="0.25">
      <c r="B115" s="210">
        <f>Talent!N64</f>
        <v>0</v>
      </c>
      <c r="C115" s="73">
        <f>Talent!O64</f>
        <v>0</v>
      </c>
      <c r="D115" s="97">
        <f>Talent!P64</f>
        <v>0</v>
      </c>
      <c r="E115" s="4" t="s">
        <v>279</v>
      </c>
      <c r="F115" s="191">
        <f>Talent!R64</f>
        <v>0</v>
      </c>
      <c r="G115" s="211">
        <f>Talent!S64</f>
        <v>0</v>
      </c>
      <c r="H115" s="191">
        <f>Talent!T64</f>
        <v>0</v>
      </c>
      <c r="I115" s="159">
        <v>0</v>
      </c>
      <c r="J115" s="190">
        <f>Talent!V64</f>
        <v>0</v>
      </c>
      <c r="K115" s="187">
        <f>Talent!W64</f>
        <v>0</v>
      </c>
      <c r="L115" s="191">
        <f>Talent!X64</f>
        <v>0</v>
      </c>
      <c r="M115" s="265">
        <v>0</v>
      </c>
    </row>
    <row r="116" spans="2:14" x14ac:dyDescent="0.25">
      <c r="B116" s="210">
        <f>Talent!N65</f>
        <v>0</v>
      </c>
      <c r="C116" s="73">
        <f>Talent!O65</f>
        <v>0</v>
      </c>
      <c r="D116" s="97">
        <f>Talent!P65</f>
        <v>0</v>
      </c>
      <c r="E116" s="4" t="s">
        <v>280</v>
      </c>
      <c r="F116" s="191">
        <f>Talent!R65</f>
        <v>0</v>
      </c>
      <c r="G116" s="211">
        <f>Talent!S65</f>
        <v>0</v>
      </c>
      <c r="H116" s="191">
        <f>Talent!T65</f>
        <v>0</v>
      </c>
      <c r="I116" s="159">
        <v>0</v>
      </c>
      <c r="J116" s="190">
        <f>Talent!V65</f>
        <v>0</v>
      </c>
      <c r="K116" s="187">
        <f>Talent!W65</f>
        <v>0</v>
      </c>
      <c r="L116" s="191">
        <f>Talent!X65</f>
        <v>0</v>
      </c>
      <c r="M116" s="265">
        <v>0</v>
      </c>
    </row>
    <row r="117" spans="2:14" x14ac:dyDescent="0.25">
      <c r="B117" s="210">
        <f>Talent!N66</f>
        <v>0</v>
      </c>
      <c r="C117" s="73">
        <f>Talent!O66</f>
        <v>0</v>
      </c>
      <c r="D117" s="97">
        <f>Talent!P66</f>
        <v>0</v>
      </c>
      <c r="E117" s="4" t="s">
        <v>281</v>
      </c>
      <c r="F117" s="191">
        <f>Talent!R66</f>
        <v>0</v>
      </c>
      <c r="G117" s="211">
        <f>Talent!S66</f>
        <v>0</v>
      </c>
      <c r="H117" s="191">
        <f>Talent!T66</f>
        <v>0</v>
      </c>
      <c r="I117" s="159">
        <v>0</v>
      </c>
      <c r="J117" s="190">
        <f>Talent!V66</f>
        <v>0</v>
      </c>
      <c r="K117" s="187">
        <f>Talent!W66</f>
        <v>0</v>
      </c>
      <c r="L117" s="191">
        <f>Talent!X66</f>
        <v>0</v>
      </c>
      <c r="M117" s="265">
        <v>0</v>
      </c>
    </row>
    <row r="118" spans="2:14" x14ac:dyDescent="0.25">
      <c r="B118" s="210">
        <f>Talent!N67</f>
        <v>0</v>
      </c>
      <c r="C118" s="73">
        <f>Talent!O67</f>
        <v>0</v>
      </c>
      <c r="D118" s="97">
        <f>Talent!P67</f>
        <v>0</v>
      </c>
      <c r="E118" s="4" t="s">
        <v>282</v>
      </c>
      <c r="F118" s="191">
        <f>Talent!R67</f>
        <v>0</v>
      </c>
      <c r="G118" s="211">
        <f>Talent!S67</f>
        <v>0</v>
      </c>
      <c r="H118" s="191">
        <f>Talent!T67</f>
        <v>0</v>
      </c>
      <c r="I118" s="159">
        <v>0</v>
      </c>
      <c r="J118" s="190">
        <f>Talent!V67</f>
        <v>0</v>
      </c>
      <c r="K118" s="187">
        <f>Talent!W67</f>
        <v>0</v>
      </c>
      <c r="L118" s="191">
        <f>Talent!X67</f>
        <v>0</v>
      </c>
      <c r="M118" s="265">
        <v>0</v>
      </c>
    </row>
    <row r="119" spans="2:14" ht="15.75" thickBot="1" x14ac:dyDescent="0.3">
      <c r="B119" s="210">
        <f>Talent!N68</f>
        <v>0</v>
      </c>
      <c r="C119" s="73">
        <f>Talent!O68</f>
        <v>0</v>
      </c>
      <c r="D119" s="97">
        <f>Talent!P68</f>
        <v>0</v>
      </c>
      <c r="E119" s="234" t="s">
        <v>283</v>
      </c>
      <c r="F119" s="191">
        <f>Talent!R68</f>
        <v>0</v>
      </c>
      <c r="G119" s="211">
        <f>Talent!S68</f>
        <v>0</v>
      </c>
      <c r="H119" s="191">
        <f>Talent!T68</f>
        <v>0</v>
      </c>
      <c r="I119" s="235">
        <v>0</v>
      </c>
      <c r="J119" s="190">
        <f>Talent!V68</f>
        <v>0</v>
      </c>
      <c r="K119" s="187">
        <f>Talent!W68</f>
        <v>0</v>
      </c>
      <c r="L119" s="191">
        <f>Talent!X68</f>
        <v>0</v>
      </c>
      <c r="M119" s="266">
        <v>0</v>
      </c>
    </row>
    <row r="120" spans="2:14" ht="15.75" thickBot="1" x14ac:dyDescent="0.3">
      <c r="B120" s="243">
        <f>SUM(B95:B119)</f>
        <v>0</v>
      </c>
      <c r="C120" s="243">
        <f>SUM(C95:C119)</f>
        <v>0</v>
      </c>
      <c r="D120" s="243">
        <f>SUM(D95:D119)</f>
        <v>0</v>
      </c>
      <c r="E120" s="257" t="s">
        <v>195</v>
      </c>
      <c r="F120" s="246">
        <f>SUM(F95:F119)</f>
        <v>0</v>
      </c>
      <c r="G120" s="246">
        <f t="shared" ref="G120:H120" si="0">SUM(G95:G119)</f>
        <v>0</v>
      </c>
      <c r="H120" s="246">
        <f t="shared" si="0"/>
        <v>0</v>
      </c>
      <c r="I120" s="246">
        <f t="shared" ref="I120" si="1">SUM(I95:I119)</f>
        <v>0</v>
      </c>
      <c r="J120" s="246">
        <f t="shared" ref="J120" si="2">SUM(J95:J119)</f>
        <v>0</v>
      </c>
      <c r="K120" s="246">
        <f t="shared" ref="K120" si="3">SUM(K95:K119)</f>
        <v>0</v>
      </c>
      <c r="L120" s="246">
        <f t="shared" ref="L120" si="4">SUM(L95:L119)</f>
        <v>0</v>
      </c>
      <c r="M120" s="256"/>
      <c r="N120" s="76">
        <f>B120-L120-H120-G120-F120-K120-J120</f>
        <v>0</v>
      </c>
    </row>
    <row r="121" spans="2:14" ht="15.75" thickTop="1" x14ac:dyDescent="0.25">
      <c r="B121" s="166">
        <v>0</v>
      </c>
      <c r="C121" s="166"/>
      <c r="D121" s="166">
        <v>0</v>
      </c>
      <c r="E121" s="166"/>
      <c r="F121" s="166">
        <v>0</v>
      </c>
      <c r="G121" s="166">
        <v>0</v>
      </c>
      <c r="H121" s="166">
        <v>0</v>
      </c>
      <c r="I121" s="166">
        <v>0</v>
      </c>
      <c r="J121" s="166">
        <v>0</v>
      </c>
      <c r="K121" s="166">
        <v>0</v>
      </c>
      <c r="L121" s="166">
        <v>0</v>
      </c>
      <c r="M121" s="166">
        <v>0</v>
      </c>
    </row>
    <row r="122" spans="2:14" s="299" customFormat="1" x14ac:dyDescent="0.25">
      <c r="B122" s="300"/>
      <c r="C122" s="300"/>
      <c r="D122" s="300"/>
      <c r="E122" s="300"/>
      <c r="F122" s="300"/>
      <c r="G122" s="300"/>
      <c r="H122" s="300"/>
      <c r="I122" s="300"/>
      <c r="J122" s="300"/>
      <c r="K122" s="300"/>
      <c r="L122" s="300"/>
      <c r="M122" s="300"/>
    </row>
    <row r="123" spans="2:14" hidden="1" x14ac:dyDescent="0.25">
      <c r="B123" s="432" t="s">
        <v>345</v>
      </c>
      <c r="C123" s="432"/>
      <c r="D123" s="432"/>
      <c r="E123" s="432"/>
      <c r="F123" s="432"/>
      <c r="G123" s="432"/>
      <c r="H123" s="432"/>
      <c r="I123" s="432"/>
      <c r="J123" s="432"/>
      <c r="K123" s="432"/>
      <c r="L123" s="432"/>
    </row>
    <row r="124" spans="2:14" hidden="1" x14ac:dyDescent="0.25">
      <c r="B124" s="97"/>
      <c r="C124" s="97"/>
      <c r="D124" s="97"/>
      <c r="F124" s="429" t="s">
        <v>284</v>
      </c>
      <c r="G124" s="430"/>
      <c r="H124" s="431"/>
      <c r="I124" s="3"/>
      <c r="J124" s="429" t="s">
        <v>310</v>
      </c>
      <c r="K124" s="430"/>
      <c r="L124" s="431"/>
      <c r="M124" s="4"/>
    </row>
    <row r="125" spans="2:14" hidden="1" x14ac:dyDescent="0.25">
      <c r="B125" s="207" t="s">
        <v>285</v>
      </c>
      <c r="C125" s="208" t="s">
        <v>341</v>
      </c>
      <c r="D125" s="208" t="s">
        <v>314</v>
      </c>
      <c r="E125" s="209" t="s">
        <v>257</v>
      </c>
      <c r="F125" s="101" t="s">
        <v>188</v>
      </c>
      <c r="G125" s="102" t="s">
        <v>187</v>
      </c>
      <c r="H125" s="103" t="s">
        <v>178</v>
      </c>
      <c r="I125" s="187"/>
      <c r="J125" s="101" t="s">
        <v>188</v>
      </c>
      <c r="K125" s="188" t="s">
        <v>187</v>
      </c>
      <c r="L125" s="189" t="s">
        <v>178</v>
      </c>
      <c r="M125" s="91"/>
    </row>
    <row r="126" spans="2:14" hidden="1" x14ac:dyDescent="0.25">
      <c r="B126" s="210">
        <v>0</v>
      </c>
      <c r="C126" s="97">
        <v>0</v>
      </c>
      <c r="D126" s="97">
        <v>0</v>
      </c>
      <c r="E126" s="106" t="s">
        <v>259</v>
      </c>
      <c r="F126" s="211">
        <v>0</v>
      </c>
      <c r="G126" s="211">
        <v>0</v>
      </c>
      <c r="H126" s="191">
        <v>0</v>
      </c>
      <c r="I126" s="159">
        <v>0</v>
      </c>
      <c r="J126" s="190">
        <v>0</v>
      </c>
      <c r="K126" s="187">
        <v>0</v>
      </c>
      <c r="L126" s="191">
        <v>0</v>
      </c>
      <c r="M126" s="265">
        <v>0</v>
      </c>
    </row>
    <row r="127" spans="2:14" hidden="1" x14ac:dyDescent="0.25">
      <c r="B127" s="210">
        <v>0</v>
      </c>
      <c r="C127" s="97">
        <v>0</v>
      </c>
      <c r="D127" s="97">
        <v>0</v>
      </c>
      <c r="E127" s="106" t="s">
        <v>260</v>
      </c>
      <c r="F127" s="211">
        <v>0</v>
      </c>
      <c r="G127" s="211">
        <v>0</v>
      </c>
      <c r="H127" s="191">
        <v>0</v>
      </c>
      <c r="I127" s="159">
        <v>0</v>
      </c>
      <c r="J127" s="190">
        <v>0</v>
      </c>
      <c r="K127" s="187">
        <v>0</v>
      </c>
      <c r="L127" s="191">
        <v>0</v>
      </c>
      <c r="M127" s="265">
        <v>0</v>
      </c>
    </row>
    <row r="128" spans="2:14" hidden="1" x14ac:dyDescent="0.25">
      <c r="B128" s="210">
        <v>0</v>
      </c>
      <c r="C128" s="97">
        <v>0</v>
      </c>
      <c r="D128" s="97">
        <v>0</v>
      </c>
      <c r="E128" s="106" t="s">
        <v>261</v>
      </c>
      <c r="F128" s="211">
        <v>0</v>
      </c>
      <c r="G128" s="211">
        <v>0</v>
      </c>
      <c r="H128" s="191">
        <v>0</v>
      </c>
      <c r="I128" s="159">
        <v>0</v>
      </c>
      <c r="J128" s="190">
        <v>0</v>
      </c>
      <c r="K128" s="187">
        <v>0</v>
      </c>
      <c r="L128" s="191">
        <v>0</v>
      </c>
      <c r="M128" s="265">
        <v>0</v>
      </c>
    </row>
    <row r="129" spans="2:13" hidden="1" x14ac:dyDescent="0.25">
      <c r="B129" s="210">
        <v>0</v>
      </c>
      <c r="C129" s="97">
        <v>0</v>
      </c>
      <c r="D129" s="97">
        <v>0</v>
      </c>
      <c r="E129" s="106" t="s">
        <v>262</v>
      </c>
      <c r="F129" s="211">
        <v>0</v>
      </c>
      <c r="G129" s="211">
        <v>0</v>
      </c>
      <c r="H129" s="191">
        <v>0</v>
      </c>
      <c r="I129" s="159">
        <v>0</v>
      </c>
      <c r="J129" s="190">
        <v>0</v>
      </c>
      <c r="K129" s="187">
        <v>0</v>
      </c>
      <c r="L129" s="191">
        <v>0</v>
      </c>
      <c r="M129" s="265">
        <v>0</v>
      </c>
    </row>
    <row r="130" spans="2:13" hidden="1" x14ac:dyDescent="0.25">
      <c r="B130" s="210">
        <v>0</v>
      </c>
      <c r="C130" s="97">
        <v>0</v>
      </c>
      <c r="D130" s="97">
        <v>0</v>
      </c>
      <c r="E130" s="106" t="s">
        <v>263</v>
      </c>
      <c r="F130" s="211">
        <v>0</v>
      </c>
      <c r="G130" s="211">
        <v>0</v>
      </c>
      <c r="H130" s="191">
        <v>0</v>
      </c>
      <c r="I130" s="159">
        <v>0</v>
      </c>
      <c r="J130" s="190">
        <v>0</v>
      </c>
      <c r="K130" s="187">
        <v>0</v>
      </c>
      <c r="L130" s="191">
        <v>0</v>
      </c>
      <c r="M130" s="265">
        <v>0</v>
      </c>
    </row>
    <row r="131" spans="2:13" hidden="1" x14ac:dyDescent="0.25">
      <c r="B131" s="210">
        <v>0</v>
      </c>
      <c r="C131" s="97">
        <v>0</v>
      </c>
      <c r="D131" s="97">
        <v>0</v>
      </c>
      <c r="E131" s="106" t="s">
        <v>264</v>
      </c>
      <c r="F131" s="211">
        <v>0</v>
      </c>
      <c r="G131" s="211">
        <v>0</v>
      </c>
      <c r="H131" s="191">
        <v>0</v>
      </c>
      <c r="I131" s="159">
        <v>0</v>
      </c>
      <c r="J131" s="190">
        <v>0</v>
      </c>
      <c r="K131" s="187">
        <v>0</v>
      </c>
      <c r="L131" s="191">
        <v>0</v>
      </c>
      <c r="M131" s="265">
        <v>0</v>
      </c>
    </row>
    <row r="132" spans="2:13" hidden="1" x14ac:dyDescent="0.25">
      <c r="B132" s="210">
        <v>0</v>
      </c>
      <c r="C132" s="97">
        <v>0</v>
      </c>
      <c r="D132" s="97">
        <v>0</v>
      </c>
      <c r="E132" s="106" t="s">
        <v>265</v>
      </c>
      <c r="F132" s="211">
        <v>0</v>
      </c>
      <c r="G132" s="211">
        <v>0</v>
      </c>
      <c r="H132" s="191">
        <v>0</v>
      </c>
      <c r="I132" s="159">
        <v>0</v>
      </c>
      <c r="J132" s="190">
        <v>0</v>
      </c>
      <c r="K132" s="187">
        <v>0</v>
      </c>
      <c r="L132" s="191">
        <v>0</v>
      </c>
      <c r="M132" s="265">
        <v>0</v>
      </c>
    </row>
    <row r="133" spans="2:13" hidden="1" x14ac:dyDescent="0.25">
      <c r="B133" s="210">
        <v>0</v>
      </c>
      <c r="C133" s="97">
        <v>0</v>
      </c>
      <c r="D133" s="97">
        <v>0</v>
      </c>
      <c r="E133" s="106" t="s">
        <v>266</v>
      </c>
      <c r="F133" s="211">
        <v>0</v>
      </c>
      <c r="G133" s="211">
        <v>0</v>
      </c>
      <c r="H133" s="191">
        <v>0</v>
      </c>
      <c r="I133" s="159">
        <v>0</v>
      </c>
      <c r="J133" s="190">
        <v>0</v>
      </c>
      <c r="K133" s="187">
        <v>0</v>
      </c>
      <c r="L133" s="191">
        <v>0</v>
      </c>
      <c r="M133" s="265">
        <v>0</v>
      </c>
    </row>
    <row r="134" spans="2:13" hidden="1" x14ac:dyDescent="0.25">
      <c r="B134" s="210">
        <v>0</v>
      </c>
      <c r="C134" s="97">
        <v>0</v>
      </c>
      <c r="D134" s="97">
        <v>0</v>
      </c>
      <c r="E134" s="106" t="s">
        <v>267</v>
      </c>
      <c r="F134" s="211">
        <v>0</v>
      </c>
      <c r="G134" s="211">
        <v>0</v>
      </c>
      <c r="H134" s="191">
        <v>0</v>
      </c>
      <c r="I134" s="159">
        <v>0</v>
      </c>
      <c r="J134" s="190">
        <v>0</v>
      </c>
      <c r="K134" s="187">
        <v>0</v>
      </c>
      <c r="L134" s="191">
        <v>0</v>
      </c>
      <c r="M134" s="265">
        <v>0</v>
      </c>
    </row>
    <row r="135" spans="2:13" hidden="1" x14ac:dyDescent="0.25">
      <c r="B135" s="210">
        <v>0</v>
      </c>
      <c r="C135" s="97">
        <v>0</v>
      </c>
      <c r="D135" s="97">
        <v>0</v>
      </c>
      <c r="E135" s="106" t="s">
        <v>268</v>
      </c>
      <c r="F135" s="211">
        <v>0</v>
      </c>
      <c r="G135" s="211">
        <v>0</v>
      </c>
      <c r="H135" s="191">
        <v>0</v>
      </c>
      <c r="I135" s="159">
        <v>0</v>
      </c>
      <c r="J135" s="190">
        <v>0</v>
      </c>
      <c r="K135" s="187">
        <v>0</v>
      </c>
      <c r="L135" s="191">
        <v>0</v>
      </c>
      <c r="M135" s="265">
        <v>0</v>
      </c>
    </row>
    <row r="136" spans="2:13" hidden="1" x14ac:dyDescent="0.25">
      <c r="B136" s="210">
        <v>0</v>
      </c>
      <c r="C136" s="97">
        <v>0</v>
      </c>
      <c r="D136" s="97">
        <v>0</v>
      </c>
      <c r="E136" s="106" t="s">
        <v>269</v>
      </c>
      <c r="F136" s="211">
        <v>0</v>
      </c>
      <c r="G136" s="211">
        <v>0</v>
      </c>
      <c r="H136" s="191">
        <v>0</v>
      </c>
      <c r="I136" s="159">
        <v>0</v>
      </c>
      <c r="J136" s="190">
        <v>0</v>
      </c>
      <c r="K136" s="187">
        <v>0</v>
      </c>
      <c r="L136" s="191">
        <v>0</v>
      </c>
      <c r="M136" s="265">
        <v>0</v>
      </c>
    </row>
    <row r="137" spans="2:13" hidden="1" x14ac:dyDescent="0.25">
      <c r="B137" s="210">
        <v>0</v>
      </c>
      <c r="C137" s="97">
        <v>0</v>
      </c>
      <c r="D137" s="97">
        <v>0</v>
      </c>
      <c r="E137" s="106" t="s">
        <v>270</v>
      </c>
      <c r="F137" s="211">
        <v>0</v>
      </c>
      <c r="G137" s="211">
        <v>0</v>
      </c>
      <c r="H137" s="191">
        <v>0</v>
      </c>
      <c r="I137" s="159">
        <v>0</v>
      </c>
      <c r="J137" s="190">
        <v>0</v>
      </c>
      <c r="K137" s="187">
        <v>0</v>
      </c>
      <c r="L137" s="191">
        <v>0</v>
      </c>
      <c r="M137" s="265">
        <v>0</v>
      </c>
    </row>
    <row r="138" spans="2:13" hidden="1" x14ac:dyDescent="0.25">
      <c r="B138" s="210">
        <v>0</v>
      </c>
      <c r="C138" s="97">
        <v>0</v>
      </c>
      <c r="D138" s="97">
        <v>0</v>
      </c>
      <c r="E138" s="106" t="s">
        <v>271</v>
      </c>
      <c r="F138" s="211">
        <v>0</v>
      </c>
      <c r="G138" s="211">
        <v>0</v>
      </c>
      <c r="H138" s="191">
        <v>0</v>
      </c>
      <c r="I138" s="159">
        <v>0</v>
      </c>
      <c r="J138" s="190">
        <v>0</v>
      </c>
      <c r="K138" s="187">
        <v>0</v>
      </c>
      <c r="L138" s="191">
        <v>0</v>
      </c>
      <c r="M138" s="265">
        <v>0</v>
      </c>
    </row>
    <row r="139" spans="2:13" hidden="1" x14ac:dyDescent="0.25">
      <c r="B139" s="210">
        <v>0</v>
      </c>
      <c r="C139" s="97">
        <v>0</v>
      </c>
      <c r="D139" s="97">
        <v>0</v>
      </c>
      <c r="E139" s="106" t="s">
        <v>272</v>
      </c>
      <c r="F139" s="211">
        <v>0</v>
      </c>
      <c r="G139" s="211">
        <v>0</v>
      </c>
      <c r="H139" s="191">
        <v>0</v>
      </c>
      <c r="I139" s="159">
        <v>0</v>
      </c>
      <c r="J139" s="190">
        <v>0</v>
      </c>
      <c r="K139" s="187">
        <v>0</v>
      </c>
      <c r="L139" s="191">
        <v>0</v>
      </c>
      <c r="M139" s="265">
        <v>0</v>
      </c>
    </row>
    <row r="140" spans="2:13" hidden="1" x14ac:dyDescent="0.25">
      <c r="B140" s="210">
        <v>0</v>
      </c>
      <c r="C140" s="97">
        <v>0</v>
      </c>
      <c r="D140" s="97">
        <v>0</v>
      </c>
      <c r="E140" s="106" t="s">
        <v>273</v>
      </c>
      <c r="F140" s="211">
        <v>0</v>
      </c>
      <c r="G140" s="211">
        <v>0</v>
      </c>
      <c r="H140" s="191">
        <v>0</v>
      </c>
      <c r="I140" s="159">
        <v>0</v>
      </c>
      <c r="J140" s="190">
        <v>0</v>
      </c>
      <c r="K140" s="187">
        <v>0</v>
      </c>
      <c r="L140" s="191">
        <v>0</v>
      </c>
      <c r="M140" s="265">
        <v>0</v>
      </c>
    </row>
    <row r="141" spans="2:13" hidden="1" x14ac:dyDescent="0.25">
      <c r="B141" s="210">
        <v>0</v>
      </c>
      <c r="C141" s="97">
        <v>0</v>
      </c>
      <c r="D141" s="97">
        <v>0</v>
      </c>
      <c r="E141" s="106" t="s">
        <v>274</v>
      </c>
      <c r="F141" s="211">
        <v>0</v>
      </c>
      <c r="G141" s="211">
        <v>0</v>
      </c>
      <c r="H141" s="191">
        <v>0</v>
      </c>
      <c r="I141" s="159">
        <v>0</v>
      </c>
      <c r="J141" s="190">
        <v>0</v>
      </c>
      <c r="K141" s="187">
        <v>0</v>
      </c>
      <c r="L141" s="191">
        <v>0</v>
      </c>
      <c r="M141" s="265">
        <v>0</v>
      </c>
    </row>
    <row r="142" spans="2:13" hidden="1" x14ac:dyDescent="0.25">
      <c r="B142" s="210">
        <v>0</v>
      </c>
      <c r="C142" s="97">
        <v>0</v>
      </c>
      <c r="D142" s="97">
        <v>0</v>
      </c>
      <c r="E142" s="106" t="s">
        <v>275</v>
      </c>
      <c r="F142" s="211">
        <v>0</v>
      </c>
      <c r="G142" s="211">
        <v>0</v>
      </c>
      <c r="H142" s="191">
        <v>0</v>
      </c>
      <c r="I142" s="159">
        <v>0</v>
      </c>
      <c r="J142" s="190">
        <v>0</v>
      </c>
      <c r="K142" s="187">
        <v>0</v>
      </c>
      <c r="L142" s="191">
        <v>0</v>
      </c>
      <c r="M142" s="265">
        <v>0</v>
      </c>
    </row>
    <row r="143" spans="2:13" hidden="1" x14ac:dyDescent="0.25">
      <c r="B143" s="210">
        <v>0</v>
      </c>
      <c r="C143" s="97">
        <v>0</v>
      </c>
      <c r="D143" s="97">
        <v>0</v>
      </c>
      <c r="E143" s="106" t="s">
        <v>276</v>
      </c>
      <c r="F143" s="211">
        <v>0</v>
      </c>
      <c r="G143" s="211">
        <v>0</v>
      </c>
      <c r="H143" s="191">
        <v>0</v>
      </c>
      <c r="I143" s="159">
        <v>0</v>
      </c>
      <c r="J143" s="190">
        <v>0</v>
      </c>
      <c r="K143" s="187">
        <v>0</v>
      </c>
      <c r="L143" s="191">
        <v>0</v>
      </c>
      <c r="M143" s="265">
        <v>0</v>
      </c>
    </row>
    <row r="144" spans="2:13" hidden="1" x14ac:dyDescent="0.25">
      <c r="B144" s="210">
        <v>0</v>
      </c>
      <c r="C144" s="97">
        <v>0</v>
      </c>
      <c r="D144" s="97">
        <v>0</v>
      </c>
      <c r="E144" s="106" t="s">
        <v>277</v>
      </c>
      <c r="F144" s="211">
        <v>0</v>
      </c>
      <c r="G144" s="211">
        <v>0</v>
      </c>
      <c r="H144" s="191">
        <v>0</v>
      </c>
      <c r="I144" s="159">
        <v>0</v>
      </c>
      <c r="J144" s="190">
        <v>0</v>
      </c>
      <c r="K144" s="187">
        <v>0</v>
      </c>
      <c r="L144" s="191">
        <v>0</v>
      </c>
      <c r="M144" s="265">
        <v>0</v>
      </c>
    </row>
    <row r="145" spans="2:14" hidden="1" x14ac:dyDescent="0.25">
      <c r="B145" s="105">
        <v>0</v>
      </c>
      <c r="C145" s="212">
        <v>0</v>
      </c>
      <c r="D145" s="212">
        <v>0</v>
      </c>
      <c r="E145" s="106" t="s">
        <v>278</v>
      </c>
      <c r="F145" s="104">
        <v>0</v>
      </c>
      <c r="G145" s="104">
        <v>0</v>
      </c>
      <c r="H145" s="213">
        <v>0</v>
      </c>
      <c r="I145" s="161">
        <v>0</v>
      </c>
      <c r="J145" s="196">
        <v>0</v>
      </c>
      <c r="K145" s="214">
        <v>0</v>
      </c>
      <c r="L145" s="213">
        <v>0</v>
      </c>
      <c r="M145" s="267">
        <v>0</v>
      </c>
    </row>
    <row r="146" spans="2:14" hidden="1" x14ac:dyDescent="0.25">
      <c r="B146" s="105">
        <v>0</v>
      </c>
      <c r="C146" s="212">
        <v>0</v>
      </c>
      <c r="D146" s="212">
        <v>0</v>
      </c>
      <c r="E146" s="106" t="s">
        <v>279</v>
      </c>
      <c r="F146" s="104">
        <v>0</v>
      </c>
      <c r="G146" s="104">
        <v>0</v>
      </c>
      <c r="H146" s="213">
        <v>0</v>
      </c>
      <c r="I146" s="161">
        <v>0</v>
      </c>
      <c r="J146" s="196">
        <v>0</v>
      </c>
      <c r="K146" s="214">
        <v>0</v>
      </c>
      <c r="L146" s="213">
        <v>0</v>
      </c>
      <c r="M146" s="267">
        <v>0</v>
      </c>
    </row>
    <row r="147" spans="2:14" hidden="1" x14ac:dyDescent="0.25">
      <c r="B147" s="105">
        <v>0</v>
      </c>
      <c r="C147" s="212">
        <v>0</v>
      </c>
      <c r="D147" s="212">
        <v>0</v>
      </c>
      <c r="E147" s="106" t="s">
        <v>280</v>
      </c>
      <c r="F147" s="104">
        <v>0</v>
      </c>
      <c r="G147" s="104">
        <v>0</v>
      </c>
      <c r="H147" s="213">
        <v>0</v>
      </c>
      <c r="I147" s="161">
        <v>0</v>
      </c>
      <c r="J147" s="196">
        <v>0</v>
      </c>
      <c r="K147" s="214">
        <v>0</v>
      </c>
      <c r="L147" s="213">
        <v>0</v>
      </c>
      <c r="M147" s="267">
        <v>0</v>
      </c>
    </row>
    <row r="148" spans="2:14" hidden="1" x14ac:dyDescent="0.25">
      <c r="B148" s="105">
        <v>0</v>
      </c>
      <c r="C148" s="212">
        <v>0</v>
      </c>
      <c r="D148" s="212">
        <v>0</v>
      </c>
      <c r="E148" s="106" t="s">
        <v>281</v>
      </c>
      <c r="F148" s="104">
        <v>0</v>
      </c>
      <c r="G148" s="104">
        <v>0</v>
      </c>
      <c r="H148" s="213">
        <v>0</v>
      </c>
      <c r="I148" s="161">
        <v>0</v>
      </c>
      <c r="J148" s="196">
        <v>0</v>
      </c>
      <c r="K148" s="214">
        <v>0</v>
      </c>
      <c r="L148" s="213">
        <v>0</v>
      </c>
      <c r="M148" s="267">
        <v>0</v>
      </c>
    </row>
    <row r="149" spans="2:14" hidden="1" x14ac:dyDescent="0.25">
      <c r="B149" s="105">
        <v>0</v>
      </c>
      <c r="C149" s="212">
        <v>0</v>
      </c>
      <c r="D149" s="212">
        <v>0</v>
      </c>
      <c r="E149" s="106" t="s">
        <v>282</v>
      </c>
      <c r="F149" s="104">
        <v>0</v>
      </c>
      <c r="G149" s="104">
        <v>0</v>
      </c>
      <c r="H149" s="213">
        <v>0</v>
      </c>
      <c r="I149" s="161">
        <v>0</v>
      </c>
      <c r="J149" s="196">
        <v>0</v>
      </c>
      <c r="K149" s="214">
        <v>0</v>
      </c>
      <c r="L149" s="213">
        <v>0</v>
      </c>
      <c r="M149" s="267">
        <v>0</v>
      </c>
    </row>
    <row r="150" spans="2:14" ht="15.75" hidden="1" thickBot="1" x14ac:dyDescent="0.3">
      <c r="B150" s="236">
        <v>0</v>
      </c>
      <c r="C150" s="237">
        <v>0</v>
      </c>
      <c r="D150" s="237">
        <v>0</v>
      </c>
      <c r="E150" s="232" t="s">
        <v>283</v>
      </c>
      <c r="F150" s="238">
        <v>0</v>
      </c>
      <c r="G150" s="238">
        <v>0</v>
      </c>
      <c r="H150" s="239">
        <v>0</v>
      </c>
      <c r="I150" s="240">
        <v>0</v>
      </c>
      <c r="J150" s="241">
        <v>0</v>
      </c>
      <c r="K150" s="242">
        <v>0</v>
      </c>
      <c r="L150" s="239">
        <v>0</v>
      </c>
      <c r="M150" s="268">
        <v>0</v>
      </c>
    </row>
    <row r="151" spans="2:14" ht="15.75" hidden="1" thickBot="1" x14ac:dyDescent="0.3">
      <c r="B151" s="258">
        <f>SUM(B126:B150)</f>
        <v>0</v>
      </c>
      <c r="C151" s="258">
        <f>SUM(C126:C150)</f>
        <v>0</v>
      </c>
      <c r="D151" s="258">
        <f>SUM(D126:D150)</f>
        <v>0</v>
      </c>
      <c r="E151" s="259"/>
      <c r="F151" s="246">
        <f>SUM(F126:F150)</f>
        <v>0</v>
      </c>
      <c r="G151" s="246">
        <f>SUM(G126:G150)</f>
        <v>0</v>
      </c>
      <c r="H151" s="246">
        <f>SUM(H126:H150)</f>
        <v>0</v>
      </c>
      <c r="I151" s="248">
        <f>SUBTOTAL(9,I126:I150)</f>
        <v>0</v>
      </c>
      <c r="J151" s="254">
        <f>SUM(J126:J150)</f>
        <v>0</v>
      </c>
      <c r="K151" s="254">
        <f>SUM(K126:K150)</f>
        <v>0</v>
      </c>
      <c r="L151" s="254">
        <f>SUM(L126:L150)</f>
        <v>0</v>
      </c>
      <c r="M151" s="252">
        <f>SUM(M126:M150)</f>
        <v>0</v>
      </c>
      <c r="N151" s="76">
        <f>B151-L151-H151-G151-F151-K151-J151</f>
        <v>0</v>
      </c>
    </row>
    <row r="152" spans="2:14" ht="15.75" hidden="1" thickTop="1" x14ac:dyDescent="0.25">
      <c r="B152" s="166">
        <v>0</v>
      </c>
      <c r="C152" s="166">
        <v>0</v>
      </c>
      <c r="D152" s="166">
        <v>0</v>
      </c>
      <c r="E152" s="166">
        <v>0</v>
      </c>
      <c r="F152" s="166">
        <v>0</v>
      </c>
      <c r="G152" s="166">
        <v>0</v>
      </c>
      <c r="H152" s="166">
        <v>0</v>
      </c>
      <c r="I152" s="166">
        <v>0</v>
      </c>
      <c r="J152" s="166">
        <v>0</v>
      </c>
      <c r="K152" s="166">
        <v>0</v>
      </c>
      <c r="L152" s="166">
        <v>0</v>
      </c>
      <c r="M152" s="166">
        <v>0</v>
      </c>
    </row>
    <row r="153" spans="2:14" hidden="1" x14ac:dyDescent="0.25">
      <c r="B153" s="432" t="s">
        <v>346</v>
      </c>
      <c r="C153" s="432"/>
      <c r="D153" s="432"/>
      <c r="E153" s="432"/>
      <c r="F153" s="432"/>
      <c r="G153" s="432"/>
      <c r="H153" s="432"/>
      <c r="I153" s="432"/>
      <c r="J153" s="432"/>
      <c r="K153" s="432"/>
      <c r="L153" s="432"/>
    </row>
    <row r="154" spans="2:14" hidden="1" x14ac:dyDescent="0.25">
      <c r="B154" s="97"/>
      <c r="C154" s="97"/>
      <c r="D154" s="97"/>
      <c r="F154" s="429" t="s">
        <v>284</v>
      </c>
      <c r="G154" s="430"/>
      <c r="H154" s="431"/>
      <c r="I154" s="3"/>
      <c r="J154" s="429" t="s">
        <v>310</v>
      </c>
      <c r="K154" s="430"/>
      <c r="L154" s="431"/>
      <c r="M154" s="4"/>
    </row>
    <row r="155" spans="2:14" hidden="1" x14ac:dyDescent="0.25">
      <c r="B155" s="207" t="s">
        <v>285</v>
      </c>
      <c r="C155" s="208" t="s">
        <v>341</v>
      </c>
      <c r="D155" s="208" t="s">
        <v>314</v>
      </c>
      <c r="E155" s="209" t="s">
        <v>257</v>
      </c>
      <c r="F155" s="101" t="s">
        <v>188</v>
      </c>
      <c r="G155" s="102" t="s">
        <v>187</v>
      </c>
      <c r="H155" s="103" t="s">
        <v>178</v>
      </c>
      <c r="I155" s="187"/>
      <c r="J155" s="101" t="s">
        <v>188</v>
      </c>
      <c r="K155" s="188" t="s">
        <v>187</v>
      </c>
      <c r="L155" s="189" t="s">
        <v>178</v>
      </c>
      <c r="M155" s="91"/>
    </row>
    <row r="156" spans="2:14" hidden="1" x14ac:dyDescent="0.25">
      <c r="B156" s="210">
        <v>0</v>
      </c>
      <c r="C156" s="97">
        <v>0</v>
      </c>
      <c r="D156" s="97">
        <v>0</v>
      </c>
      <c r="E156" s="106" t="s">
        <v>259</v>
      </c>
      <c r="F156" s="211">
        <v>0</v>
      </c>
      <c r="G156" s="211">
        <v>0</v>
      </c>
      <c r="H156" s="191">
        <v>0</v>
      </c>
      <c r="I156" s="159">
        <v>0</v>
      </c>
      <c r="J156" s="190">
        <v>0</v>
      </c>
      <c r="K156" s="187">
        <v>0</v>
      </c>
      <c r="L156" s="191">
        <v>0</v>
      </c>
      <c r="M156" s="265">
        <v>0</v>
      </c>
    </row>
    <row r="157" spans="2:14" hidden="1" x14ac:dyDescent="0.25">
      <c r="B157" s="210">
        <v>0</v>
      </c>
      <c r="C157" s="97">
        <v>0</v>
      </c>
      <c r="D157" s="97">
        <v>0</v>
      </c>
      <c r="E157" s="106" t="s">
        <v>260</v>
      </c>
      <c r="F157" s="211">
        <v>0</v>
      </c>
      <c r="G157" s="211">
        <v>0</v>
      </c>
      <c r="H157" s="191">
        <v>0</v>
      </c>
      <c r="I157" s="159">
        <v>0</v>
      </c>
      <c r="J157" s="190">
        <v>0</v>
      </c>
      <c r="K157" s="187">
        <v>0</v>
      </c>
      <c r="L157" s="191">
        <v>0</v>
      </c>
      <c r="M157" s="265">
        <v>0</v>
      </c>
    </row>
    <row r="158" spans="2:14" hidden="1" x14ac:dyDescent="0.25">
      <c r="B158" s="210">
        <v>0</v>
      </c>
      <c r="C158" s="97">
        <v>0</v>
      </c>
      <c r="D158" s="97">
        <v>0</v>
      </c>
      <c r="E158" s="106" t="s">
        <v>261</v>
      </c>
      <c r="F158" s="211">
        <v>0</v>
      </c>
      <c r="G158" s="211">
        <v>0</v>
      </c>
      <c r="H158" s="191">
        <v>0</v>
      </c>
      <c r="I158" s="159">
        <v>0</v>
      </c>
      <c r="J158" s="190">
        <v>0</v>
      </c>
      <c r="K158" s="187">
        <v>0</v>
      </c>
      <c r="L158" s="191">
        <v>0</v>
      </c>
      <c r="M158" s="265">
        <v>0</v>
      </c>
    </row>
    <row r="159" spans="2:14" hidden="1" x14ac:dyDescent="0.25">
      <c r="B159" s="210">
        <v>0</v>
      </c>
      <c r="C159" s="97">
        <v>0</v>
      </c>
      <c r="D159" s="97">
        <v>0</v>
      </c>
      <c r="E159" s="106" t="s">
        <v>262</v>
      </c>
      <c r="F159" s="211">
        <v>0</v>
      </c>
      <c r="G159" s="211">
        <v>0</v>
      </c>
      <c r="H159" s="191">
        <v>0</v>
      </c>
      <c r="I159" s="159">
        <v>0</v>
      </c>
      <c r="J159" s="190">
        <v>0</v>
      </c>
      <c r="K159" s="187">
        <v>0</v>
      </c>
      <c r="L159" s="191">
        <v>0</v>
      </c>
      <c r="M159" s="265">
        <v>0</v>
      </c>
    </row>
    <row r="160" spans="2:14" hidden="1" x14ac:dyDescent="0.25">
      <c r="B160" s="210">
        <v>0</v>
      </c>
      <c r="C160" s="97">
        <v>0</v>
      </c>
      <c r="D160" s="97">
        <v>0</v>
      </c>
      <c r="E160" s="106" t="s">
        <v>263</v>
      </c>
      <c r="F160" s="211">
        <v>0</v>
      </c>
      <c r="G160" s="211">
        <v>0</v>
      </c>
      <c r="H160" s="191">
        <v>0</v>
      </c>
      <c r="I160" s="159">
        <v>0</v>
      </c>
      <c r="J160" s="190">
        <v>0</v>
      </c>
      <c r="K160" s="187">
        <v>0</v>
      </c>
      <c r="L160" s="191">
        <v>0</v>
      </c>
      <c r="M160" s="265">
        <v>0</v>
      </c>
    </row>
    <row r="161" spans="2:13" hidden="1" x14ac:dyDescent="0.25">
      <c r="B161" s="210">
        <v>0</v>
      </c>
      <c r="C161" s="97">
        <v>0</v>
      </c>
      <c r="D161" s="97">
        <v>0</v>
      </c>
      <c r="E161" s="106" t="s">
        <v>264</v>
      </c>
      <c r="F161" s="211">
        <v>0</v>
      </c>
      <c r="G161" s="211">
        <v>0</v>
      </c>
      <c r="H161" s="191">
        <v>0</v>
      </c>
      <c r="I161" s="159">
        <v>0</v>
      </c>
      <c r="J161" s="190">
        <v>0</v>
      </c>
      <c r="K161" s="187">
        <v>0</v>
      </c>
      <c r="L161" s="191">
        <v>0</v>
      </c>
      <c r="M161" s="265">
        <v>0</v>
      </c>
    </row>
    <row r="162" spans="2:13" hidden="1" x14ac:dyDescent="0.25">
      <c r="B162" s="210">
        <v>0</v>
      </c>
      <c r="C162" s="97">
        <v>0</v>
      </c>
      <c r="D162" s="97">
        <v>0</v>
      </c>
      <c r="E162" s="106" t="s">
        <v>265</v>
      </c>
      <c r="F162" s="211">
        <v>0</v>
      </c>
      <c r="G162" s="211">
        <v>0</v>
      </c>
      <c r="H162" s="191">
        <v>0</v>
      </c>
      <c r="I162" s="159">
        <v>0</v>
      </c>
      <c r="J162" s="190">
        <v>0</v>
      </c>
      <c r="K162" s="187">
        <v>0</v>
      </c>
      <c r="L162" s="191">
        <v>0</v>
      </c>
      <c r="M162" s="265">
        <v>0</v>
      </c>
    </row>
    <row r="163" spans="2:13" hidden="1" x14ac:dyDescent="0.25">
      <c r="B163" s="210">
        <v>0</v>
      </c>
      <c r="C163" s="97">
        <v>0</v>
      </c>
      <c r="D163" s="97">
        <v>0</v>
      </c>
      <c r="E163" s="106" t="s">
        <v>266</v>
      </c>
      <c r="F163" s="211">
        <v>0</v>
      </c>
      <c r="G163" s="211">
        <v>0</v>
      </c>
      <c r="H163" s="191">
        <v>0</v>
      </c>
      <c r="I163" s="159">
        <v>0</v>
      </c>
      <c r="J163" s="190">
        <v>0</v>
      </c>
      <c r="K163" s="187">
        <v>0</v>
      </c>
      <c r="L163" s="191">
        <v>0</v>
      </c>
      <c r="M163" s="265">
        <v>0</v>
      </c>
    </row>
    <row r="164" spans="2:13" hidden="1" x14ac:dyDescent="0.25">
      <c r="B164" s="210">
        <v>0</v>
      </c>
      <c r="C164" s="97">
        <v>0</v>
      </c>
      <c r="D164" s="97">
        <v>0</v>
      </c>
      <c r="E164" s="106" t="s">
        <v>267</v>
      </c>
      <c r="F164" s="211">
        <v>0</v>
      </c>
      <c r="G164" s="211">
        <v>0</v>
      </c>
      <c r="H164" s="191">
        <v>0</v>
      </c>
      <c r="I164" s="159">
        <v>0</v>
      </c>
      <c r="J164" s="190">
        <v>0</v>
      </c>
      <c r="K164" s="187">
        <v>0</v>
      </c>
      <c r="L164" s="191">
        <v>0</v>
      </c>
      <c r="M164" s="265">
        <v>0</v>
      </c>
    </row>
    <row r="165" spans="2:13" hidden="1" x14ac:dyDescent="0.25">
      <c r="B165" s="210">
        <v>0</v>
      </c>
      <c r="C165" s="97">
        <v>0</v>
      </c>
      <c r="D165" s="97">
        <v>0</v>
      </c>
      <c r="E165" s="106" t="s">
        <v>268</v>
      </c>
      <c r="F165" s="211">
        <v>0</v>
      </c>
      <c r="G165" s="211">
        <v>0</v>
      </c>
      <c r="H165" s="191">
        <v>0</v>
      </c>
      <c r="I165" s="159">
        <v>0</v>
      </c>
      <c r="J165" s="190">
        <v>0</v>
      </c>
      <c r="K165" s="187">
        <v>0</v>
      </c>
      <c r="L165" s="191">
        <v>0</v>
      </c>
      <c r="M165" s="265">
        <v>0</v>
      </c>
    </row>
    <row r="166" spans="2:13" hidden="1" x14ac:dyDescent="0.25">
      <c r="B166" s="210">
        <v>0</v>
      </c>
      <c r="C166" s="97">
        <v>0</v>
      </c>
      <c r="D166" s="97">
        <v>0</v>
      </c>
      <c r="E166" s="106" t="s">
        <v>269</v>
      </c>
      <c r="F166" s="211">
        <v>0</v>
      </c>
      <c r="G166" s="211">
        <v>0</v>
      </c>
      <c r="H166" s="191">
        <v>0</v>
      </c>
      <c r="I166" s="159">
        <v>0</v>
      </c>
      <c r="J166" s="190">
        <v>0</v>
      </c>
      <c r="K166" s="187">
        <v>0</v>
      </c>
      <c r="L166" s="191">
        <v>0</v>
      </c>
      <c r="M166" s="265">
        <v>0</v>
      </c>
    </row>
    <row r="167" spans="2:13" hidden="1" x14ac:dyDescent="0.25">
      <c r="B167" s="210">
        <v>0</v>
      </c>
      <c r="C167" s="97">
        <v>0</v>
      </c>
      <c r="D167" s="97">
        <v>0</v>
      </c>
      <c r="E167" s="106" t="s">
        <v>270</v>
      </c>
      <c r="F167" s="211">
        <v>0</v>
      </c>
      <c r="G167" s="211">
        <v>0</v>
      </c>
      <c r="H167" s="191">
        <v>0</v>
      </c>
      <c r="I167" s="159">
        <v>0</v>
      </c>
      <c r="J167" s="190">
        <v>0</v>
      </c>
      <c r="K167" s="187">
        <v>0</v>
      </c>
      <c r="L167" s="191">
        <v>0</v>
      </c>
      <c r="M167" s="265">
        <v>0</v>
      </c>
    </row>
    <row r="168" spans="2:13" hidden="1" x14ac:dyDescent="0.25">
      <c r="B168" s="210">
        <v>0</v>
      </c>
      <c r="C168" s="97">
        <v>0</v>
      </c>
      <c r="D168" s="97">
        <v>0</v>
      </c>
      <c r="E168" s="106" t="s">
        <v>271</v>
      </c>
      <c r="F168" s="211">
        <v>0</v>
      </c>
      <c r="G168" s="211">
        <v>0</v>
      </c>
      <c r="H168" s="191">
        <v>0</v>
      </c>
      <c r="I168" s="159">
        <v>0</v>
      </c>
      <c r="J168" s="190">
        <v>0</v>
      </c>
      <c r="K168" s="187">
        <v>0</v>
      </c>
      <c r="L168" s="191">
        <v>0</v>
      </c>
      <c r="M168" s="265">
        <v>0</v>
      </c>
    </row>
    <row r="169" spans="2:13" hidden="1" x14ac:dyDescent="0.25">
      <c r="B169" s="210">
        <v>0</v>
      </c>
      <c r="C169" s="97">
        <v>0</v>
      </c>
      <c r="D169" s="97">
        <v>0</v>
      </c>
      <c r="E169" s="106" t="s">
        <v>272</v>
      </c>
      <c r="F169" s="211">
        <v>0</v>
      </c>
      <c r="G169" s="211">
        <v>0</v>
      </c>
      <c r="H169" s="191">
        <v>0</v>
      </c>
      <c r="I169" s="159">
        <v>0</v>
      </c>
      <c r="J169" s="190">
        <v>0</v>
      </c>
      <c r="K169" s="187">
        <v>0</v>
      </c>
      <c r="L169" s="191">
        <v>0</v>
      </c>
      <c r="M169" s="265">
        <v>0</v>
      </c>
    </row>
    <row r="170" spans="2:13" hidden="1" x14ac:dyDescent="0.25">
      <c r="B170" s="210">
        <v>0</v>
      </c>
      <c r="C170" s="97">
        <v>0</v>
      </c>
      <c r="D170" s="97">
        <v>0</v>
      </c>
      <c r="E170" s="106" t="s">
        <v>273</v>
      </c>
      <c r="F170" s="211">
        <v>0</v>
      </c>
      <c r="G170" s="211">
        <v>0</v>
      </c>
      <c r="H170" s="191">
        <v>0</v>
      </c>
      <c r="I170" s="159">
        <v>0</v>
      </c>
      <c r="J170" s="190">
        <v>0</v>
      </c>
      <c r="K170" s="187">
        <v>0</v>
      </c>
      <c r="L170" s="191">
        <v>0</v>
      </c>
      <c r="M170" s="265">
        <v>0</v>
      </c>
    </row>
    <row r="171" spans="2:13" hidden="1" x14ac:dyDescent="0.25">
      <c r="B171" s="210">
        <v>0</v>
      </c>
      <c r="C171" s="97">
        <v>0</v>
      </c>
      <c r="D171" s="97">
        <v>0</v>
      </c>
      <c r="E171" s="106" t="s">
        <v>274</v>
      </c>
      <c r="F171" s="211">
        <v>0</v>
      </c>
      <c r="G171" s="211">
        <v>0</v>
      </c>
      <c r="H171" s="191">
        <v>0</v>
      </c>
      <c r="I171" s="159">
        <v>0</v>
      </c>
      <c r="J171" s="190">
        <v>0</v>
      </c>
      <c r="K171" s="187">
        <v>0</v>
      </c>
      <c r="L171" s="191">
        <v>0</v>
      </c>
      <c r="M171" s="265">
        <v>0</v>
      </c>
    </row>
    <row r="172" spans="2:13" hidden="1" x14ac:dyDescent="0.25">
      <c r="B172" s="210">
        <v>0</v>
      </c>
      <c r="C172" s="97">
        <v>0</v>
      </c>
      <c r="D172" s="97">
        <v>0</v>
      </c>
      <c r="E172" s="106" t="s">
        <v>275</v>
      </c>
      <c r="F172" s="211">
        <v>0</v>
      </c>
      <c r="G172" s="211">
        <v>0</v>
      </c>
      <c r="H172" s="191">
        <v>0</v>
      </c>
      <c r="I172" s="159">
        <v>0</v>
      </c>
      <c r="J172" s="190">
        <v>0</v>
      </c>
      <c r="K172" s="187">
        <v>0</v>
      </c>
      <c r="L172" s="191">
        <v>0</v>
      </c>
      <c r="M172" s="265">
        <v>0</v>
      </c>
    </row>
    <row r="173" spans="2:13" hidden="1" x14ac:dyDescent="0.25">
      <c r="B173" s="210">
        <v>0</v>
      </c>
      <c r="C173" s="97">
        <v>0</v>
      </c>
      <c r="D173" s="97">
        <v>0</v>
      </c>
      <c r="E173" s="106" t="s">
        <v>276</v>
      </c>
      <c r="F173" s="211">
        <v>0</v>
      </c>
      <c r="G173" s="211">
        <v>0</v>
      </c>
      <c r="H173" s="191">
        <v>0</v>
      </c>
      <c r="I173" s="159">
        <v>0</v>
      </c>
      <c r="J173" s="190">
        <v>0</v>
      </c>
      <c r="K173" s="187">
        <v>0</v>
      </c>
      <c r="L173" s="191">
        <v>0</v>
      </c>
      <c r="M173" s="265">
        <v>0</v>
      </c>
    </row>
    <row r="174" spans="2:13" hidden="1" x14ac:dyDescent="0.25">
      <c r="B174" s="210">
        <v>0</v>
      </c>
      <c r="C174" s="97">
        <v>0</v>
      </c>
      <c r="D174" s="97">
        <v>0</v>
      </c>
      <c r="E174" s="106" t="s">
        <v>277</v>
      </c>
      <c r="F174" s="211">
        <v>0</v>
      </c>
      <c r="G174" s="211">
        <v>0</v>
      </c>
      <c r="H174" s="191">
        <v>0</v>
      </c>
      <c r="I174" s="159">
        <v>0</v>
      </c>
      <c r="J174" s="190">
        <v>0</v>
      </c>
      <c r="K174" s="187">
        <v>0</v>
      </c>
      <c r="L174" s="191">
        <v>0</v>
      </c>
      <c r="M174" s="265">
        <v>0</v>
      </c>
    </row>
    <row r="175" spans="2:13" hidden="1" x14ac:dyDescent="0.25">
      <c r="B175" s="105">
        <v>0</v>
      </c>
      <c r="C175" s="212">
        <v>0</v>
      </c>
      <c r="D175" s="212">
        <v>0</v>
      </c>
      <c r="E175" s="106" t="s">
        <v>278</v>
      </c>
      <c r="F175" s="104">
        <v>0</v>
      </c>
      <c r="G175" s="104">
        <v>0</v>
      </c>
      <c r="H175" s="213">
        <v>0</v>
      </c>
      <c r="I175" s="161">
        <v>0</v>
      </c>
      <c r="J175" s="196">
        <v>0</v>
      </c>
      <c r="K175" s="214">
        <v>0</v>
      </c>
      <c r="L175" s="213">
        <v>0</v>
      </c>
      <c r="M175" s="267">
        <v>0</v>
      </c>
    </row>
    <row r="176" spans="2:13" hidden="1" x14ac:dyDescent="0.25">
      <c r="B176" s="105">
        <v>0</v>
      </c>
      <c r="C176" s="212">
        <v>0</v>
      </c>
      <c r="D176" s="212">
        <v>0</v>
      </c>
      <c r="E176" s="106" t="s">
        <v>279</v>
      </c>
      <c r="F176" s="104">
        <v>0</v>
      </c>
      <c r="G176" s="104">
        <v>0</v>
      </c>
      <c r="H176" s="213">
        <v>0</v>
      </c>
      <c r="I176" s="161">
        <v>0</v>
      </c>
      <c r="J176" s="196">
        <v>0</v>
      </c>
      <c r="K176" s="214">
        <v>0</v>
      </c>
      <c r="L176" s="213">
        <v>0</v>
      </c>
      <c r="M176" s="267">
        <v>0</v>
      </c>
    </row>
    <row r="177" spans="2:16" hidden="1" x14ac:dyDescent="0.25">
      <c r="B177" s="105">
        <v>0</v>
      </c>
      <c r="C177" s="212">
        <v>0</v>
      </c>
      <c r="D177" s="212">
        <v>0</v>
      </c>
      <c r="E177" s="106" t="s">
        <v>280</v>
      </c>
      <c r="F177" s="104">
        <v>0</v>
      </c>
      <c r="G177" s="104">
        <v>0</v>
      </c>
      <c r="H177" s="213">
        <v>0</v>
      </c>
      <c r="I177" s="161">
        <v>0</v>
      </c>
      <c r="J177" s="196">
        <v>0</v>
      </c>
      <c r="K177" s="214">
        <v>0</v>
      </c>
      <c r="L177" s="213">
        <v>0</v>
      </c>
      <c r="M177" s="267">
        <v>0</v>
      </c>
    </row>
    <row r="178" spans="2:16" hidden="1" x14ac:dyDescent="0.25">
      <c r="B178" s="105">
        <v>0</v>
      </c>
      <c r="C178" s="212">
        <v>0</v>
      </c>
      <c r="D178" s="212">
        <v>0</v>
      </c>
      <c r="E178" s="106" t="s">
        <v>281</v>
      </c>
      <c r="F178" s="104">
        <v>0</v>
      </c>
      <c r="G178" s="104">
        <v>0</v>
      </c>
      <c r="H178" s="213">
        <v>0</v>
      </c>
      <c r="I178" s="161">
        <v>0</v>
      </c>
      <c r="J178" s="196">
        <v>0</v>
      </c>
      <c r="K178" s="214">
        <v>0</v>
      </c>
      <c r="L178" s="213">
        <v>0</v>
      </c>
      <c r="M178" s="267">
        <v>0</v>
      </c>
    </row>
    <row r="179" spans="2:16" hidden="1" x14ac:dyDescent="0.25">
      <c r="B179" s="105">
        <v>0</v>
      </c>
      <c r="C179" s="212">
        <v>0</v>
      </c>
      <c r="D179" s="212">
        <v>0</v>
      </c>
      <c r="E179" s="106" t="s">
        <v>282</v>
      </c>
      <c r="F179" s="104">
        <v>0</v>
      </c>
      <c r="G179" s="104">
        <v>0</v>
      </c>
      <c r="H179" s="213">
        <v>0</v>
      </c>
      <c r="I179" s="161">
        <v>0</v>
      </c>
      <c r="J179" s="196">
        <v>0</v>
      </c>
      <c r="K179" s="214">
        <v>0</v>
      </c>
      <c r="L179" s="213">
        <v>0</v>
      </c>
      <c r="M179" s="267">
        <v>0</v>
      </c>
    </row>
    <row r="180" spans="2:16" ht="15.75" hidden="1" thickBot="1" x14ac:dyDescent="0.3">
      <c r="B180" s="236">
        <v>0</v>
      </c>
      <c r="C180" s="237">
        <v>0</v>
      </c>
      <c r="D180" s="237">
        <v>0</v>
      </c>
      <c r="E180" s="232" t="s">
        <v>283</v>
      </c>
      <c r="F180" s="238">
        <v>0</v>
      </c>
      <c r="G180" s="238">
        <v>0</v>
      </c>
      <c r="H180" s="239">
        <v>0</v>
      </c>
      <c r="I180" s="240">
        <v>0</v>
      </c>
      <c r="J180" s="241">
        <v>0</v>
      </c>
      <c r="K180" s="242">
        <v>0</v>
      </c>
      <c r="L180" s="239">
        <v>0</v>
      </c>
      <c r="M180" s="268">
        <v>0</v>
      </c>
    </row>
    <row r="181" spans="2:16" ht="15.75" hidden="1" thickBot="1" x14ac:dyDescent="0.3">
      <c r="B181" s="258">
        <f>SUM(B156:B180)</f>
        <v>0</v>
      </c>
      <c r="C181" s="258">
        <f>SUM(C156:C180)</f>
        <v>0</v>
      </c>
      <c r="D181" s="258">
        <f>SUM(D156:D180)</f>
        <v>0</v>
      </c>
      <c r="E181" s="259"/>
      <c r="F181" s="246">
        <f>SUM(F156:F180)</f>
        <v>0</v>
      </c>
      <c r="G181" s="246">
        <f>SUM(G156:G180)</f>
        <v>0</v>
      </c>
      <c r="H181" s="246">
        <f>SUM(H156:H180)</f>
        <v>0</v>
      </c>
      <c r="I181" s="248">
        <f>SUBTOTAL(9,I156:I180)</f>
        <v>0</v>
      </c>
      <c r="J181" s="254">
        <f>SUM(J156:J180)</f>
        <v>0</v>
      </c>
      <c r="K181" s="254">
        <f>SUM(K156:K180)</f>
        <v>0</v>
      </c>
      <c r="L181" s="254">
        <f>SUM(L156:L180)</f>
        <v>0</v>
      </c>
      <c r="M181" s="252">
        <f>SUM(M156:M180)</f>
        <v>0</v>
      </c>
      <c r="N181" s="76">
        <f>B181-L181-H181-G181-F181-K181-J181</f>
        <v>0</v>
      </c>
    </row>
    <row r="182" spans="2:16" ht="15.75" hidden="1" thickTop="1" x14ac:dyDescent="0.25">
      <c r="B182" s="166">
        <v>0</v>
      </c>
      <c r="C182" s="166">
        <v>0</v>
      </c>
      <c r="D182" s="166">
        <v>0</v>
      </c>
      <c r="E182" s="166">
        <v>0</v>
      </c>
      <c r="F182" s="166">
        <v>0</v>
      </c>
      <c r="G182" s="166">
        <v>0</v>
      </c>
      <c r="H182" s="166">
        <v>0</v>
      </c>
      <c r="I182" s="166">
        <v>0</v>
      </c>
      <c r="J182" s="166">
        <v>0</v>
      </c>
      <c r="K182" s="166">
        <v>0</v>
      </c>
      <c r="L182" s="166">
        <v>0</v>
      </c>
      <c r="M182" s="166">
        <v>0</v>
      </c>
    </row>
    <row r="183" spans="2:16" x14ac:dyDescent="0.25">
      <c r="B183" s="166"/>
      <c r="C183" s="166"/>
      <c r="D183" s="166"/>
      <c r="E183" s="166"/>
      <c r="F183" s="166"/>
      <c r="G183" s="166"/>
      <c r="H183" s="166"/>
      <c r="I183" s="166"/>
      <c r="J183" s="166"/>
      <c r="K183" s="166"/>
      <c r="L183" s="166"/>
      <c r="M183" s="166"/>
    </row>
    <row r="184" spans="2:16" ht="15.75" thickBot="1" x14ac:dyDescent="0.3">
      <c r="B184" s="166"/>
      <c r="C184" s="166"/>
      <c r="D184" s="166"/>
      <c r="E184" s="166"/>
      <c r="F184" s="216">
        <f>F30+F60+F90+F120+F151+F181</f>
        <v>0</v>
      </c>
      <c r="G184" s="216">
        <f>G30+G60+G90+G120+G151+G181</f>
        <v>0</v>
      </c>
      <c r="H184" s="216">
        <f>H30+H60+H90+H120+H151+H181</f>
        <v>0</v>
      </c>
      <c r="I184" s="216"/>
      <c r="J184" s="216">
        <f>J30+J60+J90+J120+J151+J181</f>
        <v>0</v>
      </c>
      <c r="K184" s="216">
        <f>K30+K60+K90+K120+K151+K181</f>
        <v>0</v>
      </c>
      <c r="L184" s="216">
        <f>L30+L60+L90+L120+L151+L181</f>
        <v>0</v>
      </c>
      <c r="M184" s="166"/>
    </row>
    <row r="185" spans="2:16" ht="15.75" thickTop="1" x14ac:dyDescent="0.25">
      <c r="B185" s="166"/>
      <c r="C185" s="166"/>
      <c r="D185" s="166"/>
      <c r="E185" s="166"/>
      <c r="F185" s="166"/>
      <c r="G185" s="166"/>
      <c r="H185" s="166"/>
      <c r="I185" s="166"/>
      <c r="J185" s="166"/>
      <c r="K185" s="166"/>
      <c r="L185" s="166"/>
      <c r="M185" s="166"/>
    </row>
    <row r="186" spans="2:16" x14ac:dyDescent="0.25">
      <c r="B186" s="166"/>
      <c r="C186" s="166"/>
      <c r="D186" s="166"/>
      <c r="E186" s="166"/>
      <c r="F186" s="166"/>
      <c r="G186" s="166"/>
      <c r="H186" s="166"/>
      <c r="I186" s="166"/>
      <c r="J186" s="166"/>
      <c r="K186" s="166"/>
      <c r="L186" s="166"/>
      <c r="M186" s="166"/>
    </row>
    <row r="187" spans="2:16" x14ac:dyDescent="0.25">
      <c r="B187" s="166"/>
      <c r="C187" s="166"/>
      <c r="D187" s="166"/>
      <c r="E187" s="166"/>
      <c r="F187" s="166"/>
      <c r="G187" s="166"/>
      <c r="H187" s="166"/>
      <c r="I187" s="166"/>
      <c r="J187" s="166"/>
      <c r="K187" s="166"/>
      <c r="L187" s="166"/>
      <c r="M187" s="166"/>
    </row>
    <row r="188" spans="2:16" x14ac:dyDescent="0.25">
      <c r="C188" s="76"/>
      <c r="F188" s="429" t="s">
        <v>284</v>
      </c>
      <c r="G188" s="430"/>
      <c r="H188" s="431"/>
      <c r="I188" s="3"/>
      <c r="J188" s="429" t="s">
        <v>310</v>
      </c>
      <c r="K188" s="430"/>
      <c r="L188" s="431"/>
      <c r="M188" s="3"/>
      <c r="N188" s="57" t="s">
        <v>337</v>
      </c>
      <c r="O188" s="57" t="s">
        <v>18</v>
      </c>
      <c r="P188" s="57" t="s">
        <v>183</v>
      </c>
    </row>
    <row r="189" spans="2:16" x14ac:dyDescent="0.25">
      <c r="C189" s="76"/>
      <c r="D189" s="3"/>
      <c r="F189" s="101" t="s">
        <v>188</v>
      </c>
      <c r="G189" s="102" t="s">
        <v>187</v>
      </c>
      <c r="H189" s="103" t="s">
        <v>178</v>
      </c>
      <c r="I189" s="187"/>
      <c r="J189" s="101" t="s">
        <v>188</v>
      </c>
      <c r="K189" s="188" t="s">
        <v>187</v>
      </c>
      <c r="L189" s="189" t="s">
        <v>178</v>
      </c>
      <c r="M189" s="3"/>
      <c r="N189" s="203" t="s">
        <v>338</v>
      </c>
      <c r="O189" s="203" t="s">
        <v>216</v>
      </c>
      <c r="P189" s="203" t="s">
        <v>216</v>
      </c>
    </row>
    <row r="190" spans="2:16" x14ac:dyDescent="0.25">
      <c r="D190" s="3"/>
      <c r="E190" t="s">
        <v>259</v>
      </c>
      <c r="F190" s="73">
        <f>SUMIF($E$4:$E$119,$E190,$F$4:$F$119)</f>
        <v>0</v>
      </c>
      <c r="G190" s="73">
        <f>SUMIF($E$4:$E$119,$E190,$G$4:$G$119)</f>
        <v>0</v>
      </c>
      <c r="H190" s="73">
        <f>SUMIF($E$4:$E$119,$E190,$H$4:$H$119)</f>
        <v>0</v>
      </c>
      <c r="I190" s="73"/>
      <c r="J190" s="73">
        <f>SUMIF($E$4:$E$119,$E190,$J$4:$J$119)</f>
        <v>0</v>
      </c>
      <c r="K190" s="73">
        <f>SUMIF($E$4:$E$119,$E190,$K$4:$K$119)</f>
        <v>0</v>
      </c>
      <c r="L190" s="73">
        <f>SUMIF($E$4:$E$119,$E190,$L$4:$L$119)</f>
        <v>0</v>
      </c>
      <c r="M190" s="73"/>
      <c r="N190" s="76">
        <f>F190+J190</f>
        <v>0</v>
      </c>
      <c r="O190" s="76">
        <f>G190+K190+L190</f>
        <v>0</v>
      </c>
      <c r="P190" s="76">
        <f>H190</f>
        <v>0</v>
      </c>
    </row>
    <row r="191" spans="2:16" x14ac:dyDescent="0.25">
      <c r="D191" s="3"/>
      <c r="E191" t="s">
        <v>260</v>
      </c>
      <c r="F191" s="73">
        <f t="shared" ref="F191:F213" si="5">SUMIF($E$4:$E$119,$E191,$F$4:$F$119)</f>
        <v>0</v>
      </c>
      <c r="G191" s="73">
        <f t="shared" ref="G191:G214" si="6">SUMIF($E$4:$E$119,$E191,$G$4:$G$119)</f>
        <v>0</v>
      </c>
      <c r="H191" s="73">
        <f t="shared" ref="H191:H214" si="7">SUMIF($E$4:$E$119,$E191,$H$4:$H$119)</f>
        <v>0</v>
      </c>
      <c r="I191" s="73"/>
      <c r="J191" s="73">
        <f t="shared" ref="J191:J213" si="8">SUMIF($E$4:$E$119,$E191,$J$4:$J$119)</f>
        <v>0</v>
      </c>
      <c r="K191" s="73">
        <f t="shared" ref="K191:K213" si="9">SUMIF($E$4:$E$119,$E191,$K$4:$K$119)</f>
        <v>0</v>
      </c>
      <c r="L191" s="73">
        <f t="shared" ref="L191:L213" si="10">SUMIF($E$4:$E$119,$E191,$L$4:$L$119)</f>
        <v>0</v>
      </c>
      <c r="M191" s="73"/>
      <c r="N191" s="76">
        <f t="shared" ref="N191:N214" si="11">F191+J191</f>
        <v>0</v>
      </c>
      <c r="O191" s="76">
        <f t="shared" ref="O191:O214" si="12">G191+K191+L191</f>
        <v>0</v>
      </c>
      <c r="P191" s="76">
        <f t="shared" ref="P191:P214" si="13">H191</f>
        <v>0</v>
      </c>
    </row>
    <row r="192" spans="2:16" x14ac:dyDescent="0.25">
      <c r="D192" s="3"/>
      <c r="E192" t="s">
        <v>261</v>
      </c>
      <c r="F192" s="73">
        <f t="shared" si="5"/>
        <v>0</v>
      </c>
      <c r="G192" s="73">
        <f t="shared" si="6"/>
        <v>0</v>
      </c>
      <c r="H192" s="73">
        <f t="shared" si="7"/>
        <v>0</v>
      </c>
      <c r="I192" s="73"/>
      <c r="J192" s="73">
        <f t="shared" si="8"/>
        <v>0</v>
      </c>
      <c r="K192" s="73">
        <f t="shared" si="9"/>
        <v>0</v>
      </c>
      <c r="L192" s="73">
        <f t="shared" si="10"/>
        <v>0</v>
      </c>
      <c r="M192" s="73"/>
      <c r="N192" s="76">
        <f t="shared" si="11"/>
        <v>0</v>
      </c>
      <c r="O192" s="76">
        <f t="shared" si="12"/>
        <v>0</v>
      </c>
      <c r="P192" s="76">
        <f t="shared" si="13"/>
        <v>0</v>
      </c>
    </row>
    <row r="193" spans="4:16" x14ac:dyDescent="0.25">
      <c r="D193" s="3"/>
      <c r="E193" t="s">
        <v>262</v>
      </c>
      <c r="F193" s="73">
        <f t="shared" si="5"/>
        <v>0</v>
      </c>
      <c r="G193" s="73">
        <f t="shared" si="6"/>
        <v>0</v>
      </c>
      <c r="H193" s="73">
        <f t="shared" si="7"/>
        <v>0</v>
      </c>
      <c r="I193" s="73"/>
      <c r="J193" s="73">
        <f t="shared" si="8"/>
        <v>0</v>
      </c>
      <c r="K193" s="73">
        <f t="shared" si="9"/>
        <v>0</v>
      </c>
      <c r="L193" s="73">
        <f t="shared" si="10"/>
        <v>0</v>
      </c>
      <c r="M193" s="73"/>
      <c r="N193" s="76">
        <f t="shared" si="11"/>
        <v>0</v>
      </c>
      <c r="O193" s="76">
        <f t="shared" si="12"/>
        <v>0</v>
      </c>
      <c r="P193" s="76">
        <f t="shared" si="13"/>
        <v>0</v>
      </c>
    </row>
    <row r="194" spans="4:16" x14ac:dyDescent="0.25">
      <c r="D194" s="3"/>
      <c r="E194" t="s">
        <v>263</v>
      </c>
      <c r="F194" s="73">
        <f t="shared" si="5"/>
        <v>0</v>
      </c>
      <c r="G194" s="73">
        <f t="shared" si="6"/>
        <v>0</v>
      </c>
      <c r="H194" s="73">
        <f t="shared" si="7"/>
        <v>0</v>
      </c>
      <c r="I194" s="73"/>
      <c r="J194" s="73">
        <f t="shared" si="8"/>
        <v>0</v>
      </c>
      <c r="K194" s="73">
        <f t="shared" si="9"/>
        <v>0</v>
      </c>
      <c r="L194" s="73">
        <f t="shared" si="10"/>
        <v>0</v>
      </c>
      <c r="M194" s="73"/>
      <c r="N194" s="76">
        <f t="shared" si="11"/>
        <v>0</v>
      </c>
      <c r="O194" s="76">
        <f t="shared" si="12"/>
        <v>0</v>
      </c>
      <c r="P194" s="76">
        <f t="shared" si="13"/>
        <v>0</v>
      </c>
    </row>
    <row r="195" spans="4:16" x14ac:dyDescent="0.25">
      <c r="D195" s="3"/>
      <c r="E195" t="s">
        <v>264</v>
      </c>
      <c r="F195" s="73">
        <f t="shared" si="5"/>
        <v>0</v>
      </c>
      <c r="G195" s="73">
        <f t="shared" si="6"/>
        <v>0</v>
      </c>
      <c r="H195" s="73">
        <f t="shared" si="7"/>
        <v>0</v>
      </c>
      <c r="I195" s="73"/>
      <c r="J195" s="73">
        <f t="shared" si="8"/>
        <v>0</v>
      </c>
      <c r="K195" s="73">
        <f t="shared" si="9"/>
        <v>0</v>
      </c>
      <c r="L195" s="73">
        <f t="shared" si="10"/>
        <v>0</v>
      </c>
      <c r="M195" s="73"/>
      <c r="N195" s="76">
        <f t="shared" si="11"/>
        <v>0</v>
      </c>
      <c r="O195" s="76">
        <f t="shared" si="12"/>
        <v>0</v>
      </c>
      <c r="P195" s="76">
        <f t="shared" si="13"/>
        <v>0</v>
      </c>
    </row>
    <row r="196" spans="4:16" x14ac:dyDescent="0.25">
      <c r="D196" s="3"/>
      <c r="E196" t="s">
        <v>265</v>
      </c>
      <c r="F196" s="73">
        <f t="shared" si="5"/>
        <v>0</v>
      </c>
      <c r="G196" s="73">
        <f t="shared" si="6"/>
        <v>0</v>
      </c>
      <c r="H196" s="73">
        <f t="shared" si="7"/>
        <v>0</v>
      </c>
      <c r="I196" s="73"/>
      <c r="J196" s="73">
        <f t="shared" si="8"/>
        <v>0</v>
      </c>
      <c r="K196" s="73">
        <f t="shared" si="9"/>
        <v>0</v>
      </c>
      <c r="L196" s="73">
        <f t="shared" si="10"/>
        <v>0</v>
      </c>
      <c r="M196" s="73"/>
      <c r="N196" s="76">
        <f t="shared" si="11"/>
        <v>0</v>
      </c>
      <c r="O196" s="76">
        <f t="shared" si="12"/>
        <v>0</v>
      </c>
      <c r="P196" s="76">
        <f t="shared" si="13"/>
        <v>0</v>
      </c>
    </row>
    <row r="197" spans="4:16" x14ac:dyDescent="0.25">
      <c r="D197" s="3"/>
      <c r="E197" t="s">
        <v>266</v>
      </c>
      <c r="F197" s="73">
        <f t="shared" si="5"/>
        <v>0</v>
      </c>
      <c r="G197" s="73">
        <f t="shared" si="6"/>
        <v>0</v>
      </c>
      <c r="H197" s="73">
        <f t="shared" si="7"/>
        <v>0</v>
      </c>
      <c r="I197" s="73"/>
      <c r="J197" s="73">
        <f t="shared" si="8"/>
        <v>0</v>
      </c>
      <c r="K197" s="73">
        <f t="shared" si="9"/>
        <v>0</v>
      </c>
      <c r="L197" s="73">
        <f t="shared" si="10"/>
        <v>0</v>
      </c>
      <c r="M197" s="73"/>
      <c r="N197" s="76">
        <f t="shared" si="11"/>
        <v>0</v>
      </c>
      <c r="O197" s="76">
        <f t="shared" si="12"/>
        <v>0</v>
      </c>
      <c r="P197" s="76">
        <f t="shared" si="13"/>
        <v>0</v>
      </c>
    </row>
    <row r="198" spans="4:16" x14ac:dyDescent="0.25">
      <c r="D198" s="3"/>
      <c r="E198" t="s">
        <v>267</v>
      </c>
      <c r="F198" s="73">
        <f t="shared" si="5"/>
        <v>0</v>
      </c>
      <c r="G198" s="73">
        <f t="shared" si="6"/>
        <v>0</v>
      </c>
      <c r="H198" s="73">
        <f t="shared" si="7"/>
        <v>0</v>
      </c>
      <c r="I198" s="73"/>
      <c r="J198" s="73">
        <f t="shared" si="8"/>
        <v>0</v>
      </c>
      <c r="K198" s="73">
        <f t="shared" si="9"/>
        <v>0</v>
      </c>
      <c r="L198" s="73">
        <f t="shared" si="10"/>
        <v>0</v>
      </c>
      <c r="M198" s="73"/>
      <c r="N198" s="76">
        <f t="shared" si="11"/>
        <v>0</v>
      </c>
      <c r="O198" s="76">
        <f t="shared" si="12"/>
        <v>0</v>
      </c>
      <c r="P198" s="76">
        <f t="shared" si="13"/>
        <v>0</v>
      </c>
    </row>
    <row r="199" spans="4:16" x14ac:dyDescent="0.25">
      <c r="D199" s="3"/>
      <c r="E199" t="s">
        <v>268</v>
      </c>
      <c r="F199" s="73">
        <f t="shared" si="5"/>
        <v>0</v>
      </c>
      <c r="G199" s="73">
        <f t="shared" si="6"/>
        <v>0</v>
      </c>
      <c r="H199" s="73">
        <f t="shared" si="7"/>
        <v>0</v>
      </c>
      <c r="I199" s="73"/>
      <c r="J199" s="73">
        <f t="shared" si="8"/>
        <v>0</v>
      </c>
      <c r="K199" s="73">
        <f t="shared" si="9"/>
        <v>0</v>
      </c>
      <c r="L199" s="73">
        <f t="shared" si="10"/>
        <v>0</v>
      </c>
      <c r="M199" s="73"/>
      <c r="N199" s="76">
        <f t="shared" si="11"/>
        <v>0</v>
      </c>
      <c r="O199" s="76">
        <f t="shared" si="12"/>
        <v>0</v>
      </c>
      <c r="P199" s="76">
        <f t="shared" si="13"/>
        <v>0</v>
      </c>
    </row>
    <row r="200" spans="4:16" x14ac:dyDescent="0.25">
      <c r="D200" s="3"/>
      <c r="E200" t="s">
        <v>269</v>
      </c>
      <c r="F200" s="73">
        <f t="shared" si="5"/>
        <v>0</v>
      </c>
      <c r="G200" s="73">
        <f t="shared" si="6"/>
        <v>0</v>
      </c>
      <c r="H200" s="73">
        <f t="shared" si="7"/>
        <v>0</v>
      </c>
      <c r="I200" s="73"/>
      <c r="J200" s="73">
        <f t="shared" si="8"/>
        <v>0</v>
      </c>
      <c r="K200" s="73">
        <f t="shared" si="9"/>
        <v>0</v>
      </c>
      <c r="L200" s="73">
        <f t="shared" si="10"/>
        <v>0</v>
      </c>
      <c r="M200" s="73"/>
      <c r="N200" s="76">
        <f t="shared" si="11"/>
        <v>0</v>
      </c>
      <c r="O200" s="76">
        <f t="shared" si="12"/>
        <v>0</v>
      </c>
      <c r="P200" s="76">
        <f t="shared" si="13"/>
        <v>0</v>
      </c>
    </row>
    <row r="201" spans="4:16" x14ac:dyDescent="0.25">
      <c r="D201" s="3"/>
      <c r="E201" t="s">
        <v>270</v>
      </c>
      <c r="F201" s="73">
        <f t="shared" si="5"/>
        <v>0</v>
      </c>
      <c r="G201" s="73">
        <f t="shared" si="6"/>
        <v>0</v>
      </c>
      <c r="H201" s="73">
        <f t="shared" si="7"/>
        <v>0</v>
      </c>
      <c r="I201" s="73"/>
      <c r="J201" s="73">
        <f t="shared" si="8"/>
        <v>0</v>
      </c>
      <c r="K201" s="73">
        <f t="shared" si="9"/>
        <v>0</v>
      </c>
      <c r="L201" s="73">
        <f t="shared" si="10"/>
        <v>0</v>
      </c>
      <c r="M201" s="73"/>
      <c r="N201" s="76">
        <f t="shared" si="11"/>
        <v>0</v>
      </c>
      <c r="O201" s="76">
        <f t="shared" si="12"/>
        <v>0</v>
      </c>
      <c r="P201" s="76">
        <f t="shared" si="13"/>
        <v>0</v>
      </c>
    </row>
    <row r="202" spans="4:16" x14ac:dyDescent="0.25">
      <c r="D202" s="3"/>
      <c r="E202" t="s">
        <v>271</v>
      </c>
      <c r="F202" s="73">
        <f t="shared" si="5"/>
        <v>0</v>
      </c>
      <c r="G202" s="73">
        <f t="shared" si="6"/>
        <v>0</v>
      </c>
      <c r="H202" s="73">
        <f t="shared" si="7"/>
        <v>0</v>
      </c>
      <c r="I202" s="73"/>
      <c r="J202" s="73">
        <f t="shared" si="8"/>
        <v>0</v>
      </c>
      <c r="K202" s="73">
        <f t="shared" si="9"/>
        <v>0</v>
      </c>
      <c r="L202" s="73">
        <f t="shared" si="10"/>
        <v>0</v>
      </c>
      <c r="M202" s="73"/>
      <c r="N202" s="76">
        <f t="shared" si="11"/>
        <v>0</v>
      </c>
      <c r="O202" s="76">
        <f t="shared" si="12"/>
        <v>0</v>
      </c>
      <c r="P202" s="76">
        <f t="shared" si="13"/>
        <v>0</v>
      </c>
    </row>
    <row r="203" spans="4:16" x14ac:dyDescent="0.25">
      <c r="D203" s="3"/>
      <c r="E203" t="s">
        <v>272</v>
      </c>
      <c r="F203" s="73">
        <f t="shared" si="5"/>
        <v>0</v>
      </c>
      <c r="G203" s="73">
        <f t="shared" si="6"/>
        <v>0</v>
      </c>
      <c r="H203" s="73">
        <f t="shared" si="7"/>
        <v>0</v>
      </c>
      <c r="I203" s="73"/>
      <c r="J203" s="73">
        <f t="shared" si="8"/>
        <v>0</v>
      </c>
      <c r="K203" s="73">
        <f t="shared" si="9"/>
        <v>0</v>
      </c>
      <c r="L203" s="73">
        <f t="shared" si="10"/>
        <v>0</v>
      </c>
      <c r="M203" s="73"/>
      <c r="N203" s="76">
        <f t="shared" si="11"/>
        <v>0</v>
      </c>
      <c r="O203" s="76">
        <f t="shared" si="12"/>
        <v>0</v>
      </c>
      <c r="P203" s="76">
        <f t="shared" si="13"/>
        <v>0</v>
      </c>
    </row>
    <row r="204" spans="4:16" x14ac:dyDescent="0.25">
      <c r="D204" s="3"/>
      <c r="E204" t="s">
        <v>273</v>
      </c>
      <c r="F204" s="73">
        <f t="shared" si="5"/>
        <v>0</v>
      </c>
      <c r="G204" s="73">
        <f t="shared" si="6"/>
        <v>0</v>
      </c>
      <c r="H204" s="73">
        <f t="shared" si="7"/>
        <v>0</v>
      </c>
      <c r="I204" s="73"/>
      <c r="J204" s="73">
        <f t="shared" si="8"/>
        <v>0</v>
      </c>
      <c r="K204" s="73">
        <f t="shared" si="9"/>
        <v>0</v>
      </c>
      <c r="L204" s="73">
        <f t="shared" si="10"/>
        <v>0</v>
      </c>
      <c r="M204" s="73"/>
      <c r="N204" s="76">
        <f t="shared" si="11"/>
        <v>0</v>
      </c>
      <c r="O204" s="76">
        <f t="shared" si="12"/>
        <v>0</v>
      </c>
      <c r="P204" s="76">
        <f t="shared" si="13"/>
        <v>0</v>
      </c>
    </row>
    <row r="205" spans="4:16" x14ac:dyDescent="0.25">
      <c r="D205" s="3"/>
      <c r="E205" t="s">
        <v>274</v>
      </c>
      <c r="F205" s="73">
        <f t="shared" si="5"/>
        <v>0</v>
      </c>
      <c r="G205" s="73">
        <f t="shared" si="6"/>
        <v>0</v>
      </c>
      <c r="H205" s="73">
        <f t="shared" si="7"/>
        <v>0</v>
      </c>
      <c r="I205" s="73"/>
      <c r="J205" s="73">
        <f t="shared" si="8"/>
        <v>0</v>
      </c>
      <c r="K205" s="73">
        <f t="shared" si="9"/>
        <v>0</v>
      </c>
      <c r="L205" s="73">
        <f t="shared" si="10"/>
        <v>0</v>
      </c>
      <c r="M205" s="73"/>
      <c r="N205" s="76">
        <f t="shared" si="11"/>
        <v>0</v>
      </c>
      <c r="O205" s="76">
        <f t="shared" si="12"/>
        <v>0</v>
      </c>
      <c r="P205" s="76">
        <f t="shared" si="13"/>
        <v>0</v>
      </c>
    </row>
    <row r="206" spans="4:16" x14ac:dyDescent="0.25">
      <c r="D206" s="3"/>
      <c r="E206" t="s">
        <v>275</v>
      </c>
      <c r="F206" s="73">
        <f t="shared" si="5"/>
        <v>0</v>
      </c>
      <c r="G206" s="73">
        <f t="shared" si="6"/>
        <v>0</v>
      </c>
      <c r="H206" s="73">
        <f t="shared" si="7"/>
        <v>0</v>
      </c>
      <c r="I206" s="73"/>
      <c r="J206" s="73">
        <f t="shared" si="8"/>
        <v>0</v>
      </c>
      <c r="K206" s="73">
        <f t="shared" si="9"/>
        <v>0</v>
      </c>
      <c r="L206" s="73">
        <f t="shared" si="10"/>
        <v>0</v>
      </c>
      <c r="M206" s="73"/>
      <c r="N206" s="76">
        <f t="shared" si="11"/>
        <v>0</v>
      </c>
      <c r="O206" s="76">
        <f t="shared" si="12"/>
        <v>0</v>
      </c>
      <c r="P206" s="76">
        <f t="shared" si="13"/>
        <v>0</v>
      </c>
    </row>
    <row r="207" spans="4:16" x14ac:dyDescent="0.25">
      <c r="D207" s="3"/>
      <c r="E207" t="s">
        <v>276</v>
      </c>
      <c r="F207" s="73">
        <f t="shared" si="5"/>
        <v>0</v>
      </c>
      <c r="G207" s="73">
        <f t="shared" si="6"/>
        <v>0</v>
      </c>
      <c r="H207" s="73">
        <f t="shared" si="7"/>
        <v>0</v>
      </c>
      <c r="I207" s="73"/>
      <c r="J207" s="73">
        <f t="shared" si="8"/>
        <v>0</v>
      </c>
      <c r="K207" s="73">
        <f t="shared" si="9"/>
        <v>0</v>
      </c>
      <c r="L207" s="73">
        <f t="shared" si="10"/>
        <v>0</v>
      </c>
      <c r="M207" s="147"/>
      <c r="N207" s="76">
        <f t="shared" si="11"/>
        <v>0</v>
      </c>
      <c r="O207" s="76">
        <f t="shared" si="12"/>
        <v>0</v>
      </c>
      <c r="P207" s="76">
        <f t="shared" si="13"/>
        <v>0</v>
      </c>
    </row>
    <row r="208" spans="4:16" x14ac:dyDescent="0.25">
      <c r="D208" s="3"/>
      <c r="E208" t="s">
        <v>277</v>
      </c>
      <c r="F208" s="73">
        <f t="shared" si="5"/>
        <v>0</v>
      </c>
      <c r="G208" s="73">
        <f t="shared" si="6"/>
        <v>0</v>
      </c>
      <c r="H208" s="73">
        <f t="shared" si="7"/>
        <v>0</v>
      </c>
      <c r="I208" s="73"/>
      <c r="J208" s="73">
        <f t="shared" si="8"/>
        <v>0</v>
      </c>
      <c r="K208" s="73">
        <f t="shared" si="9"/>
        <v>0</v>
      </c>
      <c r="L208" s="73">
        <f t="shared" si="10"/>
        <v>0</v>
      </c>
      <c r="M208" s="147"/>
      <c r="N208" s="76">
        <f t="shared" si="11"/>
        <v>0</v>
      </c>
      <c r="O208" s="76">
        <f t="shared" si="12"/>
        <v>0</v>
      </c>
      <c r="P208" s="76">
        <f t="shared" si="13"/>
        <v>0</v>
      </c>
    </row>
    <row r="209" spans="4:17" x14ac:dyDescent="0.25">
      <c r="D209" s="3"/>
      <c r="E209" t="s">
        <v>278</v>
      </c>
      <c r="F209" s="73">
        <f t="shared" si="5"/>
        <v>0</v>
      </c>
      <c r="G209" s="73">
        <f t="shared" si="6"/>
        <v>0</v>
      </c>
      <c r="H209" s="73">
        <f t="shared" si="7"/>
        <v>0</v>
      </c>
      <c r="I209" s="73"/>
      <c r="J209" s="73">
        <f t="shared" si="8"/>
        <v>0</v>
      </c>
      <c r="K209" s="73">
        <f t="shared" si="9"/>
        <v>0</v>
      </c>
      <c r="L209" s="73">
        <f t="shared" si="10"/>
        <v>0</v>
      </c>
      <c r="M209" s="147"/>
      <c r="N209" s="76">
        <f t="shared" si="11"/>
        <v>0</v>
      </c>
      <c r="O209" s="76">
        <f t="shared" si="12"/>
        <v>0</v>
      </c>
      <c r="P209" s="76">
        <f t="shared" si="13"/>
        <v>0</v>
      </c>
    </row>
    <row r="210" spans="4:17" x14ac:dyDescent="0.25">
      <c r="D210" s="3"/>
      <c r="E210" t="s">
        <v>279</v>
      </c>
      <c r="F210" s="73">
        <f t="shared" si="5"/>
        <v>0</v>
      </c>
      <c r="G210" s="73">
        <f t="shared" si="6"/>
        <v>0</v>
      </c>
      <c r="H210" s="73">
        <f t="shared" si="7"/>
        <v>0</v>
      </c>
      <c r="I210" s="73"/>
      <c r="J210" s="73">
        <f t="shared" si="8"/>
        <v>0</v>
      </c>
      <c r="K210" s="73">
        <f t="shared" si="9"/>
        <v>0</v>
      </c>
      <c r="L210" s="73">
        <f t="shared" si="10"/>
        <v>0</v>
      </c>
      <c r="M210" s="147"/>
      <c r="N210" s="76">
        <f t="shared" si="11"/>
        <v>0</v>
      </c>
      <c r="O210" s="76">
        <f t="shared" si="12"/>
        <v>0</v>
      </c>
      <c r="P210" s="76">
        <f t="shared" si="13"/>
        <v>0</v>
      </c>
    </row>
    <row r="211" spans="4:17" x14ac:dyDescent="0.25">
      <c r="D211" s="3"/>
      <c r="E211" t="s">
        <v>280</v>
      </c>
      <c r="F211" s="73">
        <f t="shared" si="5"/>
        <v>0</v>
      </c>
      <c r="G211" s="73">
        <f t="shared" si="6"/>
        <v>0</v>
      </c>
      <c r="H211" s="73">
        <f t="shared" si="7"/>
        <v>0</v>
      </c>
      <c r="I211" s="73"/>
      <c r="J211" s="73">
        <f t="shared" si="8"/>
        <v>0</v>
      </c>
      <c r="K211" s="73">
        <f t="shared" si="9"/>
        <v>0</v>
      </c>
      <c r="L211" s="73">
        <f t="shared" si="10"/>
        <v>0</v>
      </c>
      <c r="M211" s="147"/>
      <c r="N211" s="76">
        <f t="shared" si="11"/>
        <v>0</v>
      </c>
      <c r="O211" s="76">
        <f t="shared" si="12"/>
        <v>0</v>
      </c>
      <c r="P211" s="76">
        <f t="shared" si="13"/>
        <v>0</v>
      </c>
    </row>
    <row r="212" spans="4:17" x14ac:dyDescent="0.25">
      <c r="D212" s="3"/>
      <c r="E212" t="s">
        <v>281</v>
      </c>
      <c r="F212" s="73">
        <f t="shared" si="5"/>
        <v>0</v>
      </c>
      <c r="G212" s="73">
        <f t="shared" si="6"/>
        <v>0</v>
      </c>
      <c r="H212" s="73">
        <f t="shared" si="7"/>
        <v>0</v>
      </c>
      <c r="I212" s="73"/>
      <c r="J212" s="73">
        <f t="shared" si="8"/>
        <v>0</v>
      </c>
      <c r="K212" s="73">
        <f t="shared" si="9"/>
        <v>0</v>
      </c>
      <c r="L212" s="73">
        <f t="shared" si="10"/>
        <v>0</v>
      </c>
      <c r="M212" s="147"/>
      <c r="N212" s="76">
        <f t="shared" si="11"/>
        <v>0</v>
      </c>
      <c r="O212" s="76">
        <f t="shared" si="12"/>
        <v>0</v>
      </c>
      <c r="P212" s="76">
        <f t="shared" si="13"/>
        <v>0</v>
      </c>
    </row>
    <row r="213" spans="4:17" x14ac:dyDescent="0.25">
      <c r="D213" s="3"/>
      <c r="E213" t="s">
        <v>282</v>
      </c>
      <c r="F213" s="73">
        <f t="shared" si="5"/>
        <v>0</v>
      </c>
      <c r="G213" s="73">
        <f t="shared" si="6"/>
        <v>0</v>
      </c>
      <c r="H213" s="73">
        <f t="shared" si="7"/>
        <v>0</v>
      </c>
      <c r="I213" s="73"/>
      <c r="J213" s="73">
        <f t="shared" si="8"/>
        <v>0</v>
      </c>
      <c r="K213" s="73">
        <f t="shared" si="9"/>
        <v>0</v>
      </c>
      <c r="L213" s="73">
        <f t="shared" si="10"/>
        <v>0</v>
      </c>
      <c r="M213" s="147"/>
      <c r="N213" s="76">
        <f t="shared" si="11"/>
        <v>0</v>
      </c>
      <c r="O213" s="76">
        <f t="shared" si="12"/>
        <v>0</v>
      </c>
      <c r="P213" s="76">
        <f t="shared" si="13"/>
        <v>0</v>
      </c>
    </row>
    <row r="214" spans="4:17" x14ac:dyDescent="0.25">
      <c r="D214" s="3"/>
      <c r="E214" t="s">
        <v>283</v>
      </c>
      <c r="F214" s="73">
        <f>SUMIF($E$4:$E$119,$E214,$F$4:$F$119)</f>
        <v>0</v>
      </c>
      <c r="G214" s="73">
        <f t="shared" si="6"/>
        <v>0</v>
      </c>
      <c r="H214" s="73">
        <f t="shared" si="7"/>
        <v>0</v>
      </c>
      <c r="I214" s="73"/>
      <c r="J214" s="73">
        <f>SUMIF($E$4:$E$119,$E214,$J$4:$J$119)</f>
        <v>0</v>
      </c>
      <c r="K214" s="73">
        <f>SUMIF($E$4:$E$119,$E214,$K$4:$K$119)</f>
        <v>0</v>
      </c>
      <c r="L214" s="73">
        <f>SUMIF($E$4:$E$119,$E214,$L$4:$L$119)</f>
        <v>0</v>
      </c>
      <c r="M214" s="147"/>
      <c r="N214" s="76">
        <f t="shared" si="11"/>
        <v>0</v>
      </c>
      <c r="O214" s="76">
        <f t="shared" si="12"/>
        <v>0</v>
      </c>
      <c r="P214" s="76">
        <f t="shared" si="13"/>
        <v>0</v>
      </c>
    </row>
    <row r="215" spans="4:17" ht="15.75" thickBot="1" x14ac:dyDescent="0.3">
      <c r="D215" s="3"/>
      <c r="F215" s="217">
        <f>SUM(F190:F214)</f>
        <v>0</v>
      </c>
      <c r="G215" s="217">
        <f>SUM(G190:G214)</f>
        <v>0</v>
      </c>
      <c r="H215" s="337">
        <f>SUM(H190:H214)</f>
        <v>0</v>
      </c>
      <c r="I215" s="217"/>
      <c r="J215" s="217">
        <f>SUM(J190:J214)</f>
        <v>0</v>
      </c>
      <c r="K215" s="217">
        <f>SUM(K190:K214)</f>
        <v>0</v>
      </c>
      <c r="L215" s="217">
        <f>SUM(L190:L214)</f>
        <v>0</v>
      </c>
      <c r="N215" s="217">
        <f>SUM(N190:N214)</f>
        <v>0</v>
      </c>
      <c r="O215" s="217">
        <f>SUM(O190:O214)</f>
        <v>0</v>
      </c>
      <c r="P215" s="337">
        <f>SUM(P190:P214)</f>
        <v>0</v>
      </c>
      <c r="Q215" s="76">
        <f>SUM(N215:P215)</f>
        <v>0</v>
      </c>
    </row>
    <row r="216" spans="4:17" ht="15.75" thickTop="1" x14ac:dyDescent="0.25">
      <c r="D216" s="3"/>
      <c r="F216" s="162">
        <f>F184-F215</f>
        <v>0</v>
      </c>
      <c r="G216" s="162">
        <f>G184-G215</f>
        <v>0</v>
      </c>
      <c r="H216" s="162">
        <f>H184-H215</f>
        <v>0</v>
      </c>
      <c r="I216" s="162"/>
      <c r="J216" s="162">
        <f>J184-J215</f>
        <v>0</v>
      </c>
      <c r="K216" s="162">
        <f>K184-K215</f>
        <v>0</v>
      </c>
      <c r="L216" s="162">
        <f>L184-L215</f>
        <v>0</v>
      </c>
    </row>
    <row r="217" spans="4:17" x14ac:dyDescent="0.25">
      <c r="D217" s="3"/>
    </row>
    <row r="218" spans="4:17" x14ac:dyDescent="0.25">
      <c r="F218" s="57" t="s">
        <v>337</v>
      </c>
      <c r="G218" s="57" t="s">
        <v>18</v>
      </c>
      <c r="H218" s="57" t="s">
        <v>183</v>
      </c>
    </row>
    <row r="219" spans="4:17" x14ac:dyDescent="0.25">
      <c r="F219" s="203" t="s">
        <v>338</v>
      </c>
      <c r="G219" s="203" t="s">
        <v>216</v>
      </c>
      <c r="H219" s="203" t="s">
        <v>216</v>
      </c>
    </row>
    <row r="220" spans="4:17" x14ac:dyDescent="0.25">
      <c r="J220" s="76"/>
    </row>
    <row r="221" spans="4:17" x14ac:dyDescent="0.25">
      <c r="E221" t="s">
        <v>259</v>
      </c>
      <c r="F221" s="76">
        <f t="shared" ref="F221:F245" si="14">N190</f>
        <v>0</v>
      </c>
      <c r="G221" s="76">
        <f t="shared" ref="G221:G245" si="15">O190</f>
        <v>0</v>
      </c>
      <c r="H221" s="76">
        <f t="shared" ref="H221:H245" si="16">P190</f>
        <v>0</v>
      </c>
      <c r="J221" s="76">
        <f t="shared" ref="J221:J246" si="17">SUM(F221:H221)</f>
        <v>0</v>
      </c>
    </row>
    <row r="222" spans="4:17" x14ac:dyDescent="0.25">
      <c r="D222" s="3">
        <v>1</v>
      </c>
      <c r="E222" t="s">
        <v>260</v>
      </c>
      <c r="F222" s="76">
        <f t="shared" si="14"/>
        <v>0</v>
      </c>
      <c r="G222" s="76">
        <f t="shared" si="15"/>
        <v>0</v>
      </c>
      <c r="H222" s="76">
        <f t="shared" si="16"/>
        <v>0</v>
      </c>
      <c r="J222" s="76">
        <f t="shared" si="17"/>
        <v>0</v>
      </c>
    </row>
    <row r="223" spans="4:17" x14ac:dyDescent="0.25">
      <c r="D223" s="3">
        <v>2</v>
      </c>
      <c r="E223" t="s">
        <v>261</v>
      </c>
      <c r="F223" s="76">
        <f t="shared" si="14"/>
        <v>0</v>
      </c>
      <c r="G223" s="76">
        <f t="shared" si="15"/>
        <v>0</v>
      </c>
      <c r="H223" s="76">
        <f t="shared" si="16"/>
        <v>0</v>
      </c>
      <c r="J223" s="76">
        <f t="shared" si="17"/>
        <v>0</v>
      </c>
    </row>
    <row r="224" spans="4:17" x14ac:dyDescent="0.25">
      <c r="D224" s="3">
        <v>3</v>
      </c>
      <c r="E224" t="s">
        <v>262</v>
      </c>
      <c r="F224" s="76">
        <f t="shared" si="14"/>
        <v>0</v>
      </c>
      <c r="G224" s="76">
        <f t="shared" si="15"/>
        <v>0</v>
      </c>
      <c r="H224" s="76">
        <f t="shared" si="16"/>
        <v>0</v>
      </c>
      <c r="J224" s="76">
        <f t="shared" si="17"/>
        <v>0</v>
      </c>
    </row>
    <row r="225" spans="4:10" x14ac:dyDescent="0.25">
      <c r="D225" s="3">
        <v>4</v>
      </c>
      <c r="E225" t="s">
        <v>263</v>
      </c>
      <c r="F225" s="76">
        <f t="shared" si="14"/>
        <v>0</v>
      </c>
      <c r="G225" s="76">
        <f t="shared" si="15"/>
        <v>0</v>
      </c>
      <c r="H225" s="76">
        <f t="shared" si="16"/>
        <v>0</v>
      </c>
      <c r="J225" s="76">
        <f t="shared" si="17"/>
        <v>0</v>
      </c>
    </row>
    <row r="226" spans="4:10" x14ac:dyDescent="0.25">
      <c r="D226" s="3">
        <v>5</v>
      </c>
      <c r="E226" t="s">
        <v>264</v>
      </c>
      <c r="F226" s="76">
        <f t="shared" si="14"/>
        <v>0</v>
      </c>
      <c r="G226" s="76">
        <f t="shared" si="15"/>
        <v>0</v>
      </c>
      <c r="H226" s="76">
        <f t="shared" si="16"/>
        <v>0</v>
      </c>
      <c r="J226" s="76">
        <f t="shared" si="17"/>
        <v>0</v>
      </c>
    </row>
    <row r="227" spans="4:10" x14ac:dyDescent="0.25">
      <c r="D227" s="3">
        <v>6</v>
      </c>
      <c r="E227" t="s">
        <v>265</v>
      </c>
      <c r="F227" s="76">
        <f t="shared" si="14"/>
        <v>0</v>
      </c>
      <c r="G227" s="76">
        <f t="shared" si="15"/>
        <v>0</v>
      </c>
      <c r="H227" s="76">
        <f t="shared" si="16"/>
        <v>0</v>
      </c>
      <c r="J227" s="76">
        <f t="shared" si="17"/>
        <v>0</v>
      </c>
    </row>
    <row r="228" spans="4:10" x14ac:dyDescent="0.25">
      <c r="D228" s="3">
        <v>7</v>
      </c>
      <c r="E228" t="s">
        <v>266</v>
      </c>
      <c r="F228" s="76">
        <f t="shared" si="14"/>
        <v>0</v>
      </c>
      <c r="G228" s="76">
        <f t="shared" si="15"/>
        <v>0</v>
      </c>
      <c r="H228" s="76">
        <f t="shared" si="16"/>
        <v>0</v>
      </c>
      <c r="J228" s="76">
        <f t="shared" si="17"/>
        <v>0</v>
      </c>
    </row>
    <row r="229" spans="4:10" x14ac:dyDescent="0.25">
      <c r="D229" s="3">
        <v>8</v>
      </c>
      <c r="E229" t="s">
        <v>267</v>
      </c>
      <c r="F229" s="76">
        <f t="shared" si="14"/>
        <v>0</v>
      </c>
      <c r="G229" s="76">
        <f t="shared" si="15"/>
        <v>0</v>
      </c>
      <c r="H229" s="76">
        <f t="shared" si="16"/>
        <v>0</v>
      </c>
      <c r="J229" s="76">
        <f t="shared" si="17"/>
        <v>0</v>
      </c>
    </row>
    <row r="230" spans="4:10" x14ac:dyDescent="0.25">
      <c r="D230" s="3">
        <v>9</v>
      </c>
      <c r="E230" t="s">
        <v>268</v>
      </c>
      <c r="F230" s="76">
        <f t="shared" si="14"/>
        <v>0</v>
      </c>
      <c r="G230" s="76">
        <f t="shared" si="15"/>
        <v>0</v>
      </c>
      <c r="H230" s="76">
        <f t="shared" si="16"/>
        <v>0</v>
      </c>
      <c r="J230" s="76">
        <f t="shared" si="17"/>
        <v>0</v>
      </c>
    </row>
    <row r="231" spans="4:10" x14ac:dyDescent="0.25">
      <c r="D231" s="3">
        <v>10</v>
      </c>
      <c r="E231" t="s">
        <v>269</v>
      </c>
      <c r="F231" s="76">
        <f t="shared" si="14"/>
        <v>0</v>
      </c>
      <c r="G231" s="76">
        <f t="shared" si="15"/>
        <v>0</v>
      </c>
      <c r="H231" s="76">
        <f t="shared" si="16"/>
        <v>0</v>
      </c>
      <c r="J231" s="76">
        <f t="shared" si="17"/>
        <v>0</v>
      </c>
    </row>
    <row r="232" spans="4:10" x14ac:dyDescent="0.25">
      <c r="D232" s="3">
        <v>11</v>
      </c>
      <c r="E232" t="s">
        <v>270</v>
      </c>
      <c r="F232" s="76">
        <f t="shared" si="14"/>
        <v>0</v>
      </c>
      <c r="G232" s="76">
        <f t="shared" si="15"/>
        <v>0</v>
      </c>
      <c r="H232" s="76">
        <f t="shared" si="16"/>
        <v>0</v>
      </c>
      <c r="J232" s="76">
        <f t="shared" si="17"/>
        <v>0</v>
      </c>
    </row>
    <row r="233" spans="4:10" x14ac:dyDescent="0.25">
      <c r="D233" s="3">
        <v>12</v>
      </c>
      <c r="E233" t="s">
        <v>271</v>
      </c>
      <c r="F233" s="76">
        <f t="shared" si="14"/>
        <v>0</v>
      </c>
      <c r="G233" s="76">
        <f t="shared" si="15"/>
        <v>0</v>
      </c>
      <c r="H233" s="76">
        <f t="shared" si="16"/>
        <v>0</v>
      </c>
      <c r="J233" s="76">
        <f t="shared" si="17"/>
        <v>0</v>
      </c>
    </row>
    <row r="234" spans="4:10" x14ac:dyDescent="0.25">
      <c r="D234" s="3">
        <v>13</v>
      </c>
      <c r="E234" t="s">
        <v>272</v>
      </c>
      <c r="F234" s="76">
        <f t="shared" si="14"/>
        <v>0</v>
      </c>
      <c r="G234" s="76">
        <f t="shared" si="15"/>
        <v>0</v>
      </c>
      <c r="H234" s="76">
        <f t="shared" si="16"/>
        <v>0</v>
      </c>
      <c r="J234" s="76">
        <f t="shared" si="17"/>
        <v>0</v>
      </c>
    </row>
    <row r="235" spans="4:10" x14ac:dyDescent="0.25">
      <c r="D235" s="3">
        <v>14</v>
      </c>
      <c r="E235" t="s">
        <v>273</v>
      </c>
      <c r="F235" s="76">
        <f t="shared" si="14"/>
        <v>0</v>
      </c>
      <c r="G235" s="76">
        <f t="shared" si="15"/>
        <v>0</v>
      </c>
      <c r="H235" s="76">
        <f t="shared" si="16"/>
        <v>0</v>
      </c>
      <c r="J235" s="76">
        <f t="shared" si="17"/>
        <v>0</v>
      </c>
    </row>
    <row r="236" spans="4:10" x14ac:dyDescent="0.25">
      <c r="D236" s="3">
        <v>15</v>
      </c>
      <c r="E236" t="s">
        <v>274</v>
      </c>
      <c r="F236" s="76">
        <f t="shared" si="14"/>
        <v>0</v>
      </c>
      <c r="G236" s="76">
        <f t="shared" si="15"/>
        <v>0</v>
      </c>
      <c r="H236" s="76">
        <f t="shared" si="16"/>
        <v>0</v>
      </c>
      <c r="J236" s="76">
        <f t="shared" si="17"/>
        <v>0</v>
      </c>
    </row>
    <row r="237" spans="4:10" x14ac:dyDescent="0.25">
      <c r="D237" s="3">
        <v>16</v>
      </c>
      <c r="E237" t="s">
        <v>275</v>
      </c>
      <c r="F237" s="76">
        <f t="shared" si="14"/>
        <v>0</v>
      </c>
      <c r="G237" s="76">
        <f t="shared" si="15"/>
        <v>0</v>
      </c>
      <c r="H237" s="76">
        <f t="shared" si="16"/>
        <v>0</v>
      </c>
      <c r="J237" s="76">
        <f t="shared" si="17"/>
        <v>0</v>
      </c>
    </row>
    <row r="238" spans="4:10" x14ac:dyDescent="0.25">
      <c r="D238" s="3">
        <v>17</v>
      </c>
      <c r="E238" t="s">
        <v>276</v>
      </c>
      <c r="F238" s="76">
        <f t="shared" si="14"/>
        <v>0</v>
      </c>
      <c r="G238" s="76">
        <f t="shared" si="15"/>
        <v>0</v>
      </c>
      <c r="H238" s="76">
        <f t="shared" si="16"/>
        <v>0</v>
      </c>
      <c r="J238" s="76">
        <f t="shared" si="17"/>
        <v>0</v>
      </c>
    </row>
    <row r="239" spans="4:10" x14ac:dyDescent="0.25">
      <c r="D239" s="3">
        <v>18</v>
      </c>
      <c r="E239" t="s">
        <v>277</v>
      </c>
      <c r="F239" s="76">
        <f t="shared" si="14"/>
        <v>0</v>
      </c>
      <c r="G239" s="76">
        <f t="shared" si="15"/>
        <v>0</v>
      </c>
      <c r="H239" s="76">
        <f t="shared" si="16"/>
        <v>0</v>
      </c>
      <c r="J239" s="76">
        <f t="shared" si="17"/>
        <v>0</v>
      </c>
    </row>
    <row r="240" spans="4:10" x14ac:dyDescent="0.25">
      <c r="D240" s="3">
        <v>19</v>
      </c>
      <c r="E240" t="s">
        <v>278</v>
      </c>
      <c r="F240" s="76">
        <f t="shared" si="14"/>
        <v>0</v>
      </c>
      <c r="G240" s="76">
        <f t="shared" si="15"/>
        <v>0</v>
      </c>
      <c r="H240" s="76">
        <f t="shared" si="16"/>
        <v>0</v>
      </c>
      <c r="J240" s="76">
        <f t="shared" si="17"/>
        <v>0</v>
      </c>
    </row>
    <row r="241" spans="4:15" x14ac:dyDescent="0.25">
      <c r="D241" s="3">
        <v>20</v>
      </c>
      <c r="E241" t="s">
        <v>279</v>
      </c>
      <c r="F241" s="76">
        <f t="shared" si="14"/>
        <v>0</v>
      </c>
      <c r="G241" s="76">
        <f t="shared" si="15"/>
        <v>0</v>
      </c>
      <c r="H241" s="76">
        <f t="shared" si="16"/>
        <v>0</v>
      </c>
      <c r="J241" s="76">
        <f t="shared" si="17"/>
        <v>0</v>
      </c>
    </row>
    <row r="242" spans="4:15" x14ac:dyDescent="0.25">
      <c r="D242" s="3">
        <v>21</v>
      </c>
      <c r="E242" t="s">
        <v>280</v>
      </c>
      <c r="F242" s="76">
        <f t="shared" si="14"/>
        <v>0</v>
      </c>
      <c r="G242" s="76">
        <f t="shared" si="15"/>
        <v>0</v>
      </c>
      <c r="H242" s="76">
        <f t="shared" si="16"/>
        <v>0</v>
      </c>
      <c r="J242" s="76">
        <f t="shared" si="17"/>
        <v>0</v>
      </c>
      <c r="O242" s="76"/>
    </row>
    <row r="243" spans="4:15" x14ac:dyDescent="0.25">
      <c r="D243" s="3">
        <v>22</v>
      </c>
      <c r="E243" t="s">
        <v>281</v>
      </c>
      <c r="F243" s="76">
        <f t="shared" si="14"/>
        <v>0</v>
      </c>
      <c r="G243" s="76">
        <f t="shared" si="15"/>
        <v>0</v>
      </c>
      <c r="H243" s="76">
        <f t="shared" si="16"/>
        <v>0</v>
      </c>
      <c r="J243" s="76">
        <f t="shared" si="17"/>
        <v>0</v>
      </c>
    </row>
    <row r="244" spans="4:15" x14ac:dyDescent="0.25">
      <c r="D244" s="3">
        <v>23</v>
      </c>
      <c r="E244" t="s">
        <v>282</v>
      </c>
      <c r="F244" s="76">
        <f t="shared" si="14"/>
        <v>0</v>
      </c>
      <c r="G244" s="76">
        <f t="shared" si="15"/>
        <v>0</v>
      </c>
      <c r="H244" s="76">
        <f t="shared" si="16"/>
        <v>0</v>
      </c>
      <c r="J244" s="76">
        <f t="shared" si="17"/>
        <v>0</v>
      </c>
    </row>
    <row r="245" spans="4:15" x14ac:dyDescent="0.25">
      <c r="D245" s="3">
        <v>24</v>
      </c>
      <c r="E245" t="s">
        <v>283</v>
      </c>
      <c r="F245" s="76">
        <f t="shared" si="14"/>
        <v>0</v>
      </c>
      <c r="G245" s="76">
        <f t="shared" si="15"/>
        <v>0</v>
      </c>
      <c r="H245" s="76">
        <f t="shared" si="16"/>
        <v>0</v>
      </c>
      <c r="J245" s="76">
        <f t="shared" si="17"/>
        <v>0</v>
      </c>
    </row>
    <row r="246" spans="4:15" x14ac:dyDescent="0.25">
      <c r="D246" s="3">
        <v>25</v>
      </c>
      <c r="J246" s="76">
        <f t="shared" si="17"/>
        <v>0</v>
      </c>
    </row>
    <row r="247" spans="4:15" ht="15.75" thickBot="1" x14ac:dyDescent="0.3">
      <c r="F247" s="206">
        <f>SUM(F220:F246)</f>
        <v>0</v>
      </c>
      <c r="G247" s="206">
        <f>SUM(G220:G246)</f>
        <v>0</v>
      </c>
      <c r="H247" s="336">
        <f>SUM(H220:H246)</f>
        <v>0</v>
      </c>
      <c r="J247" s="206">
        <f>SUM(J220:J246)</f>
        <v>0</v>
      </c>
    </row>
    <row r="248" spans="4:15" ht="15.75" thickTop="1" x14ac:dyDescent="0.25">
      <c r="F248" s="162">
        <f>F247-N215</f>
        <v>0</v>
      </c>
      <c r="G248" s="162">
        <f>G247-O215</f>
        <v>0</v>
      </c>
      <c r="H248" s="162">
        <f>H247-P215</f>
        <v>0</v>
      </c>
      <c r="J248" s="162">
        <f>J247-Q215</f>
        <v>0</v>
      </c>
    </row>
    <row r="250" spans="4:15" x14ac:dyDescent="0.25">
      <c r="J250" s="73"/>
    </row>
    <row r="252" spans="4:15" x14ac:dyDescent="0.25">
      <c r="J252" s="76"/>
    </row>
    <row r="285" hidden="1" x14ac:dyDescent="0.25"/>
    <row r="286" hidden="1" x14ac:dyDescent="0.25"/>
  </sheetData>
  <mergeCells count="18">
    <mergeCell ref="B153:L153"/>
    <mergeCell ref="F154:H154"/>
    <mergeCell ref="J154:L154"/>
    <mergeCell ref="F188:H188"/>
    <mergeCell ref="J188:L188"/>
    <mergeCell ref="F124:H124"/>
    <mergeCell ref="J124:L124"/>
    <mergeCell ref="B2:L2"/>
    <mergeCell ref="F3:H3"/>
    <mergeCell ref="J3:L3"/>
    <mergeCell ref="B32:L32"/>
    <mergeCell ref="F33:H33"/>
    <mergeCell ref="J33:L33"/>
    <mergeCell ref="B62:L62"/>
    <mergeCell ref="B92:L92"/>
    <mergeCell ref="F93:H93"/>
    <mergeCell ref="J93:L93"/>
    <mergeCell ref="B123:L123"/>
  </mergeCells>
  <conditionalFormatting sqref="F4">
    <cfRule type="cellIs" dxfId="181" priority="68" operator="equal">
      <formula>"YES"</formula>
    </cfRule>
    <cfRule type="cellIs" dxfId="180" priority="67" operator="equal">
      <formula>"NO-CO"</formula>
    </cfRule>
    <cfRule type="cellIs" dxfId="179" priority="66" operator="equal">
      <formula>"NO-OOS"</formula>
    </cfRule>
    <cfRule type="cellIs" dxfId="178" priority="69" operator="equal">
      <formula>"NO"</formula>
    </cfRule>
  </conditionalFormatting>
  <conditionalFormatting sqref="F34">
    <cfRule type="cellIs" dxfId="177" priority="59" operator="equal">
      <formula>"NO"</formula>
    </cfRule>
    <cfRule type="cellIs" dxfId="176" priority="58" operator="equal">
      <formula>"YES"</formula>
    </cfRule>
    <cfRule type="cellIs" dxfId="175" priority="57" operator="equal">
      <formula>"NO-CO"</formula>
    </cfRule>
    <cfRule type="cellIs" dxfId="174" priority="56" operator="equal">
      <formula>"NO-OOS"</formula>
    </cfRule>
  </conditionalFormatting>
  <conditionalFormatting sqref="F64">
    <cfRule type="cellIs" dxfId="173" priority="46" operator="equal">
      <formula>"NO-OOS"</formula>
    </cfRule>
    <cfRule type="cellIs" dxfId="172" priority="49" operator="equal">
      <formula>"NO"</formula>
    </cfRule>
    <cfRule type="cellIs" dxfId="171" priority="48" operator="equal">
      <formula>"YES"</formula>
    </cfRule>
    <cfRule type="cellIs" dxfId="170" priority="47" operator="equal">
      <formula>"NO-CO"</formula>
    </cfRule>
  </conditionalFormatting>
  <conditionalFormatting sqref="F94">
    <cfRule type="cellIs" dxfId="169" priority="39" operator="equal">
      <formula>"NO"</formula>
    </cfRule>
    <cfRule type="cellIs" dxfId="168" priority="38" operator="equal">
      <formula>"YES"</formula>
    </cfRule>
    <cfRule type="cellIs" dxfId="167" priority="37" operator="equal">
      <formula>"NO-CO"</formula>
    </cfRule>
    <cfRule type="cellIs" dxfId="166" priority="36" operator="equal">
      <formula>"NO-OOS"</formula>
    </cfRule>
  </conditionalFormatting>
  <conditionalFormatting sqref="F125">
    <cfRule type="cellIs" dxfId="165" priority="27" operator="equal">
      <formula>"NO-CO"</formula>
    </cfRule>
    <cfRule type="cellIs" dxfId="164" priority="26" operator="equal">
      <formula>"NO-OOS"</formula>
    </cfRule>
    <cfRule type="cellIs" dxfId="163" priority="28" operator="equal">
      <formula>"YES"</formula>
    </cfRule>
    <cfRule type="cellIs" dxfId="162" priority="29" operator="equal">
      <formula>"NO"</formula>
    </cfRule>
  </conditionalFormatting>
  <conditionalFormatting sqref="F155">
    <cfRule type="cellIs" dxfId="161" priority="18" operator="equal">
      <formula>"YES"</formula>
    </cfRule>
    <cfRule type="cellIs" dxfId="160" priority="16" operator="equal">
      <formula>"NO-OOS"</formula>
    </cfRule>
    <cfRule type="cellIs" dxfId="159" priority="17" operator="equal">
      <formula>"NO-CO"</formula>
    </cfRule>
    <cfRule type="cellIs" dxfId="158" priority="19" operator="equal">
      <formula>"NO"</formula>
    </cfRule>
  </conditionalFormatting>
  <conditionalFormatting sqref="F189">
    <cfRule type="cellIs" dxfId="157" priority="9" operator="equal">
      <formula>"NO"</formula>
    </cfRule>
    <cfRule type="cellIs" dxfId="156" priority="6" operator="equal">
      <formula>"NO-OOS"</formula>
    </cfRule>
    <cfRule type="cellIs" dxfId="155" priority="7" operator="equal">
      <formula>"NO-CO"</formula>
    </cfRule>
    <cfRule type="cellIs" dxfId="154" priority="8" operator="equal">
      <formula>"YES"</formula>
    </cfRule>
  </conditionalFormatting>
  <conditionalFormatting sqref="J4">
    <cfRule type="cellIs" dxfId="153" priority="61" operator="equal">
      <formula>"NO-OOS"</formula>
    </cfRule>
    <cfRule type="cellIs" dxfId="152" priority="62" operator="equal">
      <formula>"NO-CO"</formula>
    </cfRule>
    <cfRule type="cellIs" dxfId="151" priority="63" operator="equal">
      <formula>"YES"</formula>
    </cfRule>
    <cfRule type="cellIs" dxfId="150" priority="64" operator="equal">
      <formula>"NO"</formula>
    </cfRule>
  </conditionalFormatting>
  <conditionalFormatting sqref="J34">
    <cfRule type="cellIs" dxfId="149" priority="51" operator="equal">
      <formula>"NO-OOS"</formula>
    </cfRule>
    <cfRule type="cellIs" dxfId="148" priority="53" operator="equal">
      <formula>"YES"</formula>
    </cfRule>
    <cfRule type="cellIs" dxfId="147" priority="54" operator="equal">
      <formula>"NO"</formula>
    </cfRule>
    <cfRule type="cellIs" dxfId="146" priority="52" operator="equal">
      <formula>"NO-CO"</formula>
    </cfRule>
  </conditionalFormatting>
  <conditionalFormatting sqref="J64">
    <cfRule type="cellIs" dxfId="145" priority="41" operator="equal">
      <formula>"NO-OOS"</formula>
    </cfRule>
    <cfRule type="cellIs" dxfId="144" priority="42" operator="equal">
      <formula>"NO-CO"</formula>
    </cfRule>
    <cfRule type="cellIs" dxfId="143" priority="43" operator="equal">
      <formula>"YES"</formula>
    </cfRule>
    <cfRule type="cellIs" dxfId="142" priority="44" operator="equal">
      <formula>"NO"</formula>
    </cfRule>
  </conditionalFormatting>
  <conditionalFormatting sqref="J94">
    <cfRule type="cellIs" dxfId="141" priority="34" operator="equal">
      <formula>"NO"</formula>
    </cfRule>
    <cfRule type="cellIs" dxfId="140" priority="33" operator="equal">
      <formula>"YES"</formula>
    </cfRule>
    <cfRule type="cellIs" dxfId="139" priority="32" operator="equal">
      <formula>"NO-CO"</formula>
    </cfRule>
    <cfRule type="cellIs" dxfId="138" priority="31" operator="equal">
      <formula>"NO-OOS"</formula>
    </cfRule>
  </conditionalFormatting>
  <conditionalFormatting sqref="J125">
    <cfRule type="cellIs" dxfId="137" priority="24" operator="equal">
      <formula>"NO"</formula>
    </cfRule>
    <cfRule type="cellIs" dxfId="136" priority="23" operator="equal">
      <formula>"YES"</formula>
    </cfRule>
    <cfRule type="cellIs" dxfId="135" priority="22" operator="equal">
      <formula>"NO-CO"</formula>
    </cfRule>
    <cfRule type="cellIs" dxfId="134" priority="21" operator="equal">
      <formula>"NO-OOS"</formula>
    </cfRule>
  </conditionalFormatting>
  <conditionalFormatting sqref="J155">
    <cfRule type="cellIs" dxfId="133" priority="14" operator="equal">
      <formula>"NO"</formula>
    </cfRule>
    <cfRule type="cellIs" dxfId="132" priority="13" operator="equal">
      <formula>"YES"</formula>
    </cfRule>
    <cfRule type="cellIs" dxfId="131" priority="12" operator="equal">
      <formula>"NO-CO"</formula>
    </cfRule>
    <cfRule type="cellIs" dxfId="130" priority="11" operator="equal">
      <formula>"NO-OOS"</formula>
    </cfRule>
  </conditionalFormatting>
  <conditionalFormatting sqref="J189">
    <cfRule type="cellIs" dxfId="129" priority="2" operator="equal">
      <formula>"NO-CO"</formula>
    </cfRule>
    <cfRule type="cellIs" dxfId="128" priority="1" operator="equal">
      <formula>"NO-OOS"</formula>
    </cfRule>
    <cfRule type="cellIs" dxfId="127" priority="4" operator="equal">
      <formula>"NO"</formula>
    </cfRule>
    <cfRule type="cellIs" dxfId="126" priority="3" operator="equal">
      <formula>"YES"</formula>
    </cfRule>
  </conditionalFormatting>
  <pageMargins left="0.7" right="0.7" top="0.75" bottom="0.75" header="0.3" footer="0.3"/>
  <pageSetup scale="13"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82662-D70C-47B5-B2AA-682AC27F6E46}">
  <sheetPr>
    <tabColor theme="1"/>
  </sheetPr>
  <dimension ref="B2:C6"/>
  <sheetViews>
    <sheetView workbookViewId="0">
      <selection activeCell="C14" sqref="C14"/>
    </sheetView>
  </sheetViews>
  <sheetFormatPr defaultRowHeight="15" x14ac:dyDescent="0.25"/>
  <cols>
    <col min="2" max="2" width="66.28515625" customWidth="1"/>
  </cols>
  <sheetData>
    <row r="2" spans="2:3" x14ac:dyDescent="0.25">
      <c r="B2" t="s">
        <v>414</v>
      </c>
      <c r="C2" s="376" t="b">
        <v>0</v>
      </c>
    </row>
    <row r="3" spans="2:3" x14ac:dyDescent="0.25">
      <c r="B3" t="s">
        <v>415</v>
      </c>
      <c r="C3" s="376" t="b">
        <v>0</v>
      </c>
    </row>
    <row r="4" spans="2:3" x14ac:dyDescent="0.25">
      <c r="B4" t="s">
        <v>416</v>
      </c>
      <c r="C4" s="376" t="b">
        <v>0</v>
      </c>
    </row>
    <row r="5" spans="2:3" x14ac:dyDescent="0.25">
      <c r="B5" t="s">
        <v>417</v>
      </c>
      <c r="C5" s="376" t="b">
        <v>0</v>
      </c>
    </row>
    <row r="6" spans="2:3" x14ac:dyDescent="0.25">
      <c r="B6" t="s">
        <v>418</v>
      </c>
      <c r="C6" s="376" t="b">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FC773-4188-4329-AC20-AF91A15C3B8F}">
  <sheetPr>
    <tabColor rgb="FF66CCFF"/>
  </sheetPr>
  <dimension ref="A1:X98"/>
  <sheetViews>
    <sheetView zoomScale="90" zoomScaleNormal="90" workbookViewId="0">
      <pane ySplit="3" topLeftCell="A4" activePane="bottomLeft" state="frozen"/>
      <selection activeCell="J35" sqref="J35:L99"/>
      <selection pane="bottomLeft"/>
    </sheetView>
  </sheetViews>
  <sheetFormatPr defaultRowHeight="15" x14ac:dyDescent="0.25"/>
  <cols>
    <col min="1" max="1" width="20" bestFit="1" customWidth="1"/>
    <col min="2" max="2" width="18.28515625" customWidth="1"/>
    <col min="3" max="3" width="20.42578125" customWidth="1"/>
    <col min="4" max="4" width="15.7109375" style="367" customWidth="1"/>
    <col min="5" max="5" width="21.28515625" customWidth="1"/>
    <col min="6" max="6" width="17.5703125" customWidth="1"/>
    <col min="7" max="7" width="12.5703125" customWidth="1"/>
    <col min="8" max="8" width="14.7109375" bestFit="1" customWidth="1"/>
    <col min="9" max="9" width="36" customWidth="1"/>
    <col min="10" max="13" width="10.5703125" customWidth="1"/>
    <col min="14" max="14" width="28.85546875" customWidth="1"/>
    <col min="15" max="15" width="19.28515625" customWidth="1"/>
    <col min="16" max="16" width="15.28515625" customWidth="1"/>
    <col min="17" max="19" width="15.5703125" customWidth="1"/>
    <col min="20" max="20" width="15.5703125" style="4" customWidth="1"/>
    <col min="21" max="21" width="14.28515625" style="368" bestFit="1" customWidth="1"/>
    <col min="22" max="23" width="14.28515625" style="368" customWidth="1"/>
    <col min="24" max="24" width="45" bestFit="1" customWidth="1"/>
  </cols>
  <sheetData>
    <row r="1" spans="1:24" s="392" customFormat="1" ht="46.5" x14ac:dyDescent="0.7">
      <c r="A1" s="394" t="s">
        <v>451</v>
      </c>
      <c r="D1" s="393"/>
      <c r="R1" s="394"/>
      <c r="T1" s="395"/>
      <c r="U1" s="396"/>
      <c r="V1" s="396"/>
      <c r="W1" s="396"/>
    </row>
    <row r="3" spans="1:24" s="36" customFormat="1" ht="15.75" customHeight="1" x14ac:dyDescent="0.25">
      <c r="A3" s="369" t="s">
        <v>409</v>
      </c>
      <c r="B3" s="369" t="s">
        <v>410</v>
      </c>
      <c r="C3" s="369" t="s">
        <v>411</v>
      </c>
      <c r="D3" s="370" t="s">
        <v>412</v>
      </c>
      <c r="E3" s="369" t="s">
        <v>25</v>
      </c>
      <c r="F3" s="369" t="s">
        <v>26</v>
      </c>
      <c r="G3" s="369" t="s">
        <v>27</v>
      </c>
      <c r="H3" s="369" t="s">
        <v>28</v>
      </c>
      <c r="I3" s="369" t="s">
        <v>29</v>
      </c>
      <c r="J3" s="369" t="s">
        <v>0</v>
      </c>
      <c r="K3" s="369" t="s">
        <v>1</v>
      </c>
      <c r="L3" s="369" t="s">
        <v>30</v>
      </c>
      <c r="M3" s="369" t="s">
        <v>31</v>
      </c>
      <c r="N3" s="369" t="s">
        <v>32</v>
      </c>
      <c r="O3" s="371" t="s">
        <v>73</v>
      </c>
      <c r="P3" s="371" t="s">
        <v>76</v>
      </c>
      <c r="Q3" s="371" t="s">
        <v>74</v>
      </c>
      <c r="R3" s="371" t="s">
        <v>75</v>
      </c>
      <c r="S3" s="371" t="s">
        <v>77</v>
      </c>
      <c r="T3" s="372" t="s">
        <v>33</v>
      </c>
      <c r="U3" s="373" t="s">
        <v>34</v>
      </c>
      <c r="V3" s="373" t="s">
        <v>413</v>
      </c>
      <c r="W3" s="373"/>
      <c r="X3" s="373" t="s">
        <v>109</v>
      </c>
    </row>
    <row r="4" spans="1:24" x14ac:dyDescent="0.25">
      <c r="A4" s="15"/>
      <c r="B4" s="15"/>
      <c r="C4" s="15"/>
      <c r="D4" s="374"/>
      <c r="E4" s="15"/>
      <c r="F4" s="17"/>
      <c r="G4" s="18"/>
      <c r="H4" s="183"/>
      <c r="I4" s="15"/>
      <c r="J4" s="17" t="s">
        <v>6</v>
      </c>
      <c r="K4" s="17" t="s">
        <v>2</v>
      </c>
      <c r="L4" s="17" t="s">
        <v>3</v>
      </c>
      <c r="M4" s="15"/>
      <c r="N4" s="15"/>
      <c r="O4" s="15"/>
      <c r="P4" s="15"/>
      <c r="Q4" s="17"/>
      <c r="R4" s="15"/>
      <c r="S4" s="15"/>
      <c r="T4" s="15"/>
      <c r="U4" s="94"/>
      <c r="V4" s="17"/>
      <c r="W4" s="375"/>
      <c r="X4" s="15"/>
    </row>
    <row r="5" spans="1:24" x14ac:dyDescent="0.25">
      <c r="A5" s="15"/>
      <c r="B5" s="15"/>
      <c r="C5" s="15"/>
      <c r="D5" s="374"/>
      <c r="E5" s="15"/>
      <c r="F5" s="17"/>
      <c r="G5" s="18"/>
      <c r="H5" s="183"/>
      <c r="I5" s="15"/>
      <c r="J5" s="17" t="s">
        <v>14</v>
      </c>
      <c r="K5" s="17" t="s">
        <v>9</v>
      </c>
      <c r="L5" s="17" t="s">
        <v>3</v>
      </c>
      <c r="M5" s="15"/>
      <c r="N5" s="15"/>
      <c r="O5" s="15"/>
      <c r="P5" s="15"/>
      <c r="Q5" s="15"/>
      <c r="R5" s="15"/>
      <c r="S5" s="15"/>
      <c r="T5" s="15"/>
      <c r="U5" s="94"/>
      <c r="V5" s="17"/>
      <c r="W5" s="375"/>
      <c r="X5" s="15"/>
    </row>
    <row r="6" spans="1:24" x14ac:dyDescent="0.25">
      <c r="A6" s="15"/>
      <c r="B6" s="15"/>
      <c r="C6" s="15"/>
      <c r="D6" s="374"/>
      <c r="E6" s="15"/>
      <c r="F6" s="17"/>
      <c r="G6" s="18"/>
      <c r="H6" s="183"/>
      <c r="I6" s="15"/>
      <c r="J6" s="17" t="s">
        <v>7</v>
      </c>
      <c r="K6" s="17" t="s">
        <v>5</v>
      </c>
      <c r="L6" s="17" t="s">
        <v>3</v>
      </c>
      <c r="M6" s="15"/>
      <c r="N6" s="15"/>
      <c r="O6" s="15"/>
      <c r="P6" s="15"/>
      <c r="Q6" s="15"/>
      <c r="R6" s="15"/>
      <c r="S6" s="15"/>
      <c r="T6" s="15"/>
      <c r="U6" s="94"/>
      <c r="V6" s="17"/>
      <c r="W6" s="375"/>
      <c r="X6" s="15"/>
    </row>
    <row r="7" spans="1:24" x14ac:dyDescent="0.25">
      <c r="A7" s="15"/>
      <c r="B7" s="15"/>
      <c r="C7" s="15"/>
      <c r="D7" s="374"/>
      <c r="E7" s="15"/>
      <c r="F7" s="17"/>
      <c r="G7" s="18"/>
      <c r="H7" s="183"/>
      <c r="I7" s="15"/>
      <c r="J7" s="17" t="s">
        <v>4</v>
      </c>
      <c r="K7" s="17" t="s">
        <v>44</v>
      </c>
      <c r="L7" s="17" t="s">
        <v>3</v>
      </c>
      <c r="M7" s="15"/>
      <c r="N7" s="15"/>
      <c r="O7" s="15"/>
      <c r="P7" s="15"/>
      <c r="Q7" s="15"/>
      <c r="R7" s="15"/>
      <c r="S7" s="15"/>
      <c r="T7" s="15"/>
      <c r="U7" s="94"/>
      <c r="V7" s="17"/>
      <c r="W7" s="375"/>
      <c r="X7" s="15"/>
    </row>
    <row r="8" spans="1:24" x14ac:dyDescent="0.25">
      <c r="A8" s="15"/>
      <c r="B8" s="15"/>
      <c r="C8" s="15"/>
      <c r="D8" s="374"/>
      <c r="E8" s="15"/>
      <c r="F8" s="17"/>
      <c r="G8" s="18"/>
      <c r="H8" s="183"/>
      <c r="I8" s="15"/>
      <c r="J8" s="17" t="s">
        <v>16</v>
      </c>
      <c r="K8" s="17"/>
      <c r="L8" s="17" t="s">
        <v>3</v>
      </c>
      <c r="M8" s="15"/>
      <c r="N8" s="15"/>
      <c r="O8" s="15"/>
      <c r="P8" s="15"/>
      <c r="Q8" s="15"/>
      <c r="R8" s="15"/>
      <c r="S8" s="15"/>
      <c r="T8" s="15"/>
      <c r="U8" s="94"/>
      <c r="V8" s="17"/>
      <c r="W8" s="375"/>
      <c r="X8" s="15"/>
    </row>
    <row r="9" spans="1:24" x14ac:dyDescent="0.25">
      <c r="A9" s="15"/>
      <c r="B9" s="15"/>
      <c r="C9" s="15"/>
      <c r="D9" s="374"/>
      <c r="E9" s="15"/>
      <c r="F9" s="17"/>
      <c r="G9" s="15"/>
      <c r="H9" s="183"/>
      <c r="I9" s="15"/>
      <c r="J9" s="17" t="s">
        <v>172</v>
      </c>
      <c r="K9" s="17"/>
      <c r="L9" s="17" t="s">
        <v>3</v>
      </c>
      <c r="M9" s="15"/>
      <c r="N9" s="15"/>
      <c r="O9" s="15"/>
      <c r="P9" s="15"/>
      <c r="Q9" s="15"/>
      <c r="R9" s="15"/>
      <c r="S9" s="15"/>
      <c r="T9" s="15"/>
      <c r="U9" s="94"/>
      <c r="V9" s="17"/>
      <c r="W9" s="375"/>
      <c r="X9" s="15"/>
    </row>
    <row r="10" spans="1:24" x14ac:dyDescent="0.25">
      <c r="A10" s="15"/>
      <c r="B10" s="15"/>
      <c r="C10" s="15"/>
      <c r="D10" s="374"/>
      <c r="E10" s="15"/>
      <c r="F10" s="17"/>
      <c r="G10" s="18"/>
      <c r="H10" s="183"/>
      <c r="I10" s="15"/>
      <c r="J10" s="17" t="s">
        <v>81</v>
      </c>
      <c r="K10" s="17"/>
      <c r="L10" s="17" t="s">
        <v>3</v>
      </c>
      <c r="M10" s="15"/>
      <c r="N10" s="15"/>
      <c r="O10" s="15"/>
      <c r="P10" s="15"/>
      <c r="Q10" s="15"/>
      <c r="R10" s="15"/>
      <c r="S10" s="15"/>
      <c r="T10" s="15"/>
      <c r="U10" s="94"/>
      <c r="V10" s="17"/>
      <c r="W10" s="375"/>
      <c r="X10" s="15"/>
    </row>
    <row r="11" spans="1:24" x14ac:dyDescent="0.25">
      <c r="A11" s="15"/>
      <c r="B11" s="15"/>
      <c r="C11" s="15"/>
      <c r="D11" s="374"/>
      <c r="E11" s="15"/>
      <c r="F11" s="17"/>
      <c r="G11" s="18"/>
      <c r="H11" s="183"/>
      <c r="I11" s="15"/>
      <c r="J11" s="17" t="s">
        <v>82</v>
      </c>
      <c r="K11" s="17"/>
      <c r="L11" s="17" t="s">
        <v>3</v>
      </c>
      <c r="M11" s="15"/>
      <c r="N11" s="15"/>
      <c r="O11" s="15"/>
      <c r="P11" s="15"/>
      <c r="Q11" s="15"/>
      <c r="R11" s="15"/>
      <c r="S11" s="15"/>
      <c r="T11" s="15"/>
      <c r="U11" s="94"/>
      <c r="V11" s="17"/>
      <c r="W11" s="375"/>
      <c r="X11" s="15"/>
    </row>
    <row r="12" spans="1:24" x14ac:dyDescent="0.25">
      <c r="A12" s="15"/>
      <c r="B12" s="15"/>
      <c r="C12" s="15"/>
      <c r="D12" s="374"/>
      <c r="E12" s="15"/>
      <c r="F12" s="17"/>
      <c r="G12" s="18"/>
      <c r="H12" s="183"/>
      <c r="I12" s="15"/>
      <c r="J12" s="17" t="s">
        <v>21</v>
      </c>
      <c r="K12" s="17"/>
      <c r="L12" s="17" t="s">
        <v>3</v>
      </c>
      <c r="M12" s="15"/>
      <c r="N12" s="15"/>
      <c r="O12" s="15"/>
      <c r="P12" s="15"/>
      <c r="Q12" s="15"/>
      <c r="R12" s="15"/>
      <c r="S12" s="15"/>
      <c r="T12" s="15"/>
      <c r="U12" s="94"/>
      <c r="V12" s="17"/>
      <c r="W12" s="375"/>
      <c r="X12" s="15"/>
    </row>
    <row r="13" spans="1:24" x14ac:dyDescent="0.25">
      <c r="A13" s="15"/>
      <c r="B13" s="15"/>
      <c r="C13" s="15"/>
      <c r="D13" s="374"/>
      <c r="E13" s="15"/>
      <c r="F13" s="17"/>
      <c r="G13" s="18"/>
      <c r="H13" s="183"/>
      <c r="I13" s="15"/>
      <c r="J13" s="17" t="s">
        <v>22</v>
      </c>
      <c r="K13" s="17"/>
      <c r="L13" s="17" t="s">
        <v>3</v>
      </c>
      <c r="M13" s="15"/>
      <c r="N13" s="15"/>
      <c r="O13" s="15"/>
      <c r="P13" s="15"/>
      <c r="Q13" s="15"/>
      <c r="R13" s="15"/>
      <c r="S13" s="15"/>
      <c r="T13" s="15"/>
      <c r="U13" s="94"/>
      <c r="V13" s="17"/>
      <c r="W13" s="375"/>
      <c r="X13" s="15"/>
    </row>
    <row r="14" spans="1:24" x14ac:dyDescent="0.25">
      <c r="A14" s="15"/>
      <c r="B14" s="15"/>
      <c r="C14" s="15"/>
      <c r="D14" s="374"/>
      <c r="E14" s="15"/>
      <c r="F14" s="17"/>
      <c r="G14" s="18"/>
      <c r="H14" s="183"/>
      <c r="I14" s="15"/>
      <c r="J14" s="17" t="s">
        <v>11</v>
      </c>
      <c r="K14" s="17"/>
      <c r="L14" s="17" t="s">
        <v>3</v>
      </c>
      <c r="M14" s="15"/>
      <c r="N14" s="15"/>
      <c r="O14" s="15"/>
      <c r="P14" s="15"/>
      <c r="Q14" s="15"/>
      <c r="R14" s="15"/>
      <c r="S14" s="15"/>
      <c r="T14" s="15"/>
      <c r="U14" s="94"/>
      <c r="V14" s="17"/>
      <c r="W14" s="375"/>
      <c r="X14" s="15"/>
    </row>
    <row r="15" spans="1:24" x14ac:dyDescent="0.25">
      <c r="A15" s="15"/>
      <c r="B15" s="15"/>
      <c r="C15" s="15"/>
      <c r="D15" s="374"/>
      <c r="E15" s="15"/>
      <c r="F15" s="17"/>
      <c r="G15" s="18"/>
      <c r="H15" s="183"/>
      <c r="I15" s="15"/>
      <c r="J15" s="17" t="s">
        <v>5</v>
      </c>
      <c r="K15" s="17"/>
      <c r="L15" s="17" t="s">
        <v>3</v>
      </c>
      <c r="M15" s="15"/>
      <c r="N15" s="15"/>
      <c r="O15" s="15"/>
      <c r="P15" s="15"/>
      <c r="Q15" s="15"/>
      <c r="R15" s="15"/>
      <c r="S15" s="15"/>
      <c r="T15" s="15"/>
      <c r="U15" s="94"/>
      <c r="V15" s="17"/>
      <c r="W15" s="375"/>
      <c r="X15" s="15"/>
    </row>
    <row r="16" spans="1:24" x14ac:dyDescent="0.25">
      <c r="A16" s="15"/>
      <c r="B16" s="15"/>
      <c r="C16" s="15"/>
      <c r="D16" s="374"/>
      <c r="E16" s="15"/>
      <c r="F16" s="17"/>
      <c r="G16" s="18"/>
      <c r="H16" s="183"/>
      <c r="I16" s="15"/>
      <c r="J16" s="17"/>
      <c r="K16" s="17"/>
      <c r="L16" s="17" t="s">
        <v>3</v>
      </c>
      <c r="M16" s="15"/>
      <c r="N16" s="15"/>
      <c r="O16" s="15"/>
      <c r="P16" s="15"/>
      <c r="Q16" s="15"/>
      <c r="R16" s="15"/>
      <c r="S16" s="15"/>
      <c r="T16" s="15"/>
      <c r="U16" s="94"/>
      <c r="V16" s="17"/>
      <c r="W16" s="375"/>
      <c r="X16" s="15"/>
    </row>
    <row r="17" spans="1:24" x14ac:dyDescent="0.25">
      <c r="A17" s="15"/>
      <c r="B17" s="15"/>
      <c r="C17" s="15"/>
      <c r="D17" s="374"/>
      <c r="E17" s="15"/>
      <c r="F17" s="17"/>
      <c r="G17" s="18"/>
      <c r="H17" s="183"/>
      <c r="I17" s="15"/>
      <c r="J17" s="17"/>
      <c r="K17" s="17"/>
      <c r="L17" s="17" t="s">
        <v>3</v>
      </c>
      <c r="M17" s="15"/>
      <c r="N17" s="15"/>
      <c r="O17" s="15"/>
      <c r="P17" s="15"/>
      <c r="Q17" s="15"/>
      <c r="R17" s="15"/>
      <c r="S17" s="15"/>
      <c r="T17" s="15"/>
      <c r="U17" s="94"/>
      <c r="V17" s="17"/>
      <c r="W17" s="375"/>
      <c r="X17" s="15"/>
    </row>
    <row r="18" spans="1:24" x14ac:dyDescent="0.25">
      <c r="A18" s="15"/>
      <c r="B18" s="15"/>
      <c r="C18" s="15"/>
      <c r="D18" s="374"/>
      <c r="E18" s="15"/>
      <c r="F18" s="17"/>
      <c r="G18" s="18"/>
      <c r="H18" s="183"/>
      <c r="I18" s="15"/>
      <c r="J18" s="17"/>
      <c r="K18" s="17"/>
      <c r="L18" s="17" t="s">
        <v>3</v>
      </c>
      <c r="M18" s="15"/>
      <c r="N18" s="15"/>
      <c r="O18" s="15"/>
      <c r="P18" s="15"/>
      <c r="Q18" s="17"/>
      <c r="R18" s="15"/>
      <c r="S18" s="15"/>
      <c r="T18" s="15"/>
      <c r="U18" s="94"/>
      <c r="V18" s="17"/>
      <c r="W18" s="375"/>
      <c r="X18" s="15"/>
    </row>
    <row r="19" spans="1:24" x14ac:dyDescent="0.25">
      <c r="A19" s="15"/>
      <c r="B19" s="15"/>
      <c r="C19" s="15"/>
      <c r="D19" s="374"/>
      <c r="E19" s="15"/>
      <c r="F19" s="17"/>
      <c r="G19" s="18"/>
      <c r="H19" s="183"/>
      <c r="I19" s="15"/>
      <c r="J19" s="17"/>
      <c r="K19" s="17"/>
      <c r="L19" s="17" t="s">
        <v>3</v>
      </c>
      <c r="M19" s="15"/>
      <c r="N19" s="15"/>
      <c r="O19" s="15"/>
      <c r="P19" s="15"/>
      <c r="Q19" s="17"/>
      <c r="R19" s="15"/>
      <c r="S19" s="15"/>
      <c r="T19" s="15"/>
      <c r="U19" s="94"/>
      <c r="V19" s="17"/>
      <c r="W19" s="375"/>
      <c r="X19" s="15"/>
    </row>
    <row r="20" spans="1:24" x14ac:dyDescent="0.25">
      <c r="A20" s="15"/>
      <c r="B20" s="15"/>
      <c r="C20" s="15"/>
      <c r="D20" s="374"/>
      <c r="E20" s="15"/>
      <c r="F20" s="17"/>
      <c r="G20" s="18"/>
      <c r="H20" s="183"/>
      <c r="I20" s="15"/>
      <c r="J20" s="17"/>
      <c r="K20" s="17"/>
      <c r="L20" s="17" t="s">
        <v>3</v>
      </c>
      <c r="M20" s="15"/>
      <c r="N20" s="15"/>
      <c r="O20" s="15"/>
      <c r="P20" s="15"/>
      <c r="Q20" s="17"/>
      <c r="R20" s="15"/>
      <c r="S20" s="15"/>
      <c r="T20" s="15"/>
      <c r="U20" s="94"/>
      <c r="V20" s="17"/>
      <c r="W20" s="375"/>
      <c r="X20" s="15"/>
    </row>
    <row r="21" spans="1:24" x14ac:dyDescent="0.25">
      <c r="A21" s="15"/>
      <c r="B21" s="15"/>
      <c r="C21" s="15"/>
      <c r="D21" s="374"/>
      <c r="E21" s="15"/>
      <c r="F21" s="17"/>
      <c r="G21" s="18"/>
      <c r="H21" s="183"/>
      <c r="I21" s="15"/>
      <c r="J21" s="17"/>
      <c r="K21" s="17"/>
      <c r="L21" s="17" t="s">
        <v>3</v>
      </c>
      <c r="M21" s="15"/>
      <c r="N21" s="15"/>
      <c r="O21" s="15"/>
      <c r="P21" s="15"/>
      <c r="Q21" s="17"/>
      <c r="R21" s="15"/>
      <c r="S21" s="15"/>
      <c r="T21" s="15"/>
      <c r="U21" s="94"/>
      <c r="V21" s="17"/>
      <c r="W21" s="375"/>
      <c r="X21" s="15"/>
    </row>
    <row r="22" spans="1:24" x14ac:dyDescent="0.25">
      <c r="A22" s="15"/>
      <c r="B22" s="15"/>
      <c r="C22" s="15"/>
      <c r="D22" s="374"/>
      <c r="E22" s="15"/>
      <c r="F22" s="17"/>
      <c r="G22" s="18"/>
      <c r="H22" s="183"/>
      <c r="I22" s="15"/>
      <c r="J22" s="17"/>
      <c r="K22" s="17"/>
      <c r="L22" s="17" t="s">
        <v>3</v>
      </c>
      <c r="M22" s="15"/>
      <c r="N22" s="15"/>
      <c r="O22" s="15"/>
      <c r="P22" s="15"/>
      <c r="Q22" s="17"/>
      <c r="R22" s="15"/>
      <c r="S22" s="15"/>
      <c r="T22" s="15"/>
      <c r="U22" s="94"/>
      <c r="V22" s="17"/>
      <c r="W22" s="375"/>
      <c r="X22" s="15"/>
    </row>
    <row r="23" spans="1:24" x14ac:dyDescent="0.25">
      <c r="A23" s="15"/>
      <c r="B23" s="15"/>
      <c r="C23" s="15"/>
      <c r="D23" s="374"/>
      <c r="E23" s="15"/>
      <c r="F23" s="17"/>
      <c r="G23" s="18"/>
      <c r="H23" s="183"/>
      <c r="I23" s="15"/>
      <c r="J23" s="17"/>
      <c r="K23" s="17"/>
      <c r="L23" s="17" t="s">
        <v>3</v>
      </c>
      <c r="M23" s="15"/>
      <c r="N23" s="15"/>
      <c r="O23" s="15"/>
      <c r="P23" s="15"/>
      <c r="Q23" s="17"/>
      <c r="R23" s="15"/>
      <c r="S23" s="15"/>
      <c r="T23" s="15"/>
      <c r="U23" s="94"/>
      <c r="V23" s="17"/>
      <c r="W23" s="375"/>
      <c r="X23" s="15"/>
    </row>
    <row r="24" spans="1:24" x14ac:dyDescent="0.25">
      <c r="A24" s="15"/>
      <c r="B24" s="15"/>
      <c r="C24" s="15"/>
      <c r="D24" s="374"/>
      <c r="E24" s="15"/>
      <c r="F24" s="17"/>
      <c r="G24" s="18"/>
      <c r="H24" s="183"/>
      <c r="I24" s="15"/>
      <c r="J24" s="17"/>
      <c r="K24" s="17"/>
      <c r="L24" s="17" t="s">
        <v>3</v>
      </c>
      <c r="M24" s="15"/>
      <c r="N24" s="15"/>
      <c r="O24" s="15"/>
      <c r="P24" s="15"/>
      <c r="Q24" s="17"/>
      <c r="R24" s="15"/>
      <c r="S24" s="15"/>
      <c r="T24" s="15"/>
      <c r="U24" s="94"/>
      <c r="V24" s="17"/>
      <c r="W24" s="375"/>
      <c r="X24" s="15"/>
    </row>
    <row r="25" spans="1:24" x14ac:dyDescent="0.25">
      <c r="A25" s="15"/>
      <c r="B25" s="15"/>
      <c r="C25" s="15"/>
      <c r="D25" s="374"/>
      <c r="E25" s="15"/>
      <c r="F25" s="17"/>
      <c r="G25" s="18"/>
      <c r="H25" s="183"/>
      <c r="I25" s="15"/>
      <c r="J25" s="17"/>
      <c r="K25" s="17"/>
      <c r="L25" s="17" t="s">
        <v>3</v>
      </c>
      <c r="M25" s="15"/>
      <c r="N25" s="15"/>
      <c r="O25" s="15"/>
      <c r="P25" s="15"/>
      <c r="Q25" s="17"/>
      <c r="R25" s="15"/>
      <c r="S25" s="15"/>
      <c r="T25" s="15"/>
      <c r="U25" s="94"/>
      <c r="V25" s="17"/>
      <c r="W25" s="375"/>
      <c r="X25" s="15"/>
    </row>
    <row r="26" spans="1:24" x14ac:dyDescent="0.25">
      <c r="A26" s="15"/>
      <c r="B26" s="15"/>
      <c r="C26" s="15"/>
      <c r="D26" s="374"/>
      <c r="E26" s="15"/>
      <c r="F26" s="17"/>
      <c r="G26" s="18"/>
      <c r="H26" s="183"/>
      <c r="I26" s="15"/>
      <c r="J26" s="17"/>
      <c r="K26" s="17"/>
      <c r="L26" s="17" t="s">
        <v>3</v>
      </c>
      <c r="M26" s="15"/>
      <c r="N26" s="15"/>
      <c r="O26" s="15"/>
      <c r="P26" s="15"/>
      <c r="Q26" s="17"/>
      <c r="R26" s="15"/>
      <c r="S26" s="15"/>
      <c r="T26" s="15"/>
      <c r="U26" s="94"/>
      <c r="V26" s="17"/>
      <c r="W26" s="375"/>
      <c r="X26" s="15"/>
    </row>
    <row r="27" spans="1:24" x14ac:dyDescent="0.25">
      <c r="A27" s="15"/>
      <c r="B27" s="15"/>
      <c r="C27" s="15"/>
      <c r="D27" s="374"/>
      <c r="E27" s="15"/>
      <c r="F27" s="17"/>
      <c r="G27" s="18"/>
      <c r="H27" s="183"/>
      <c r="I27" s="15"/>
      <c r="J27" s="17"/>
      <c r="K27" s="17"/>
      <c r="L27" s="17" t="s">
        <v>3</v>
      </c>
      <c r="M27" s="15"/>
      <c r="N27" s="15"/>
      <c r="O27" s="15"/>
      <c r="P27" s="15"/>
      <c r="Q27" s="17"/>
      <c r="R27" s="15"/>
      <c r="S27" s="15"/>
      <c r="T27" s="15"/>
      <c r="U27" s="94"/>
      <c r="V27" s="17"/>
      <c r="W27" s="375"/>
      <c r="X27" s="15"/>
    </row>
    <row r="28" spans="1:24" x14ac:dyDescent="0.25">
      <c r="A28" s="15"/>
      <c r="B28" s="15"/>
      <c r="C28" s="15"/>
      <c r="D28" s="374"/>
      <c r="E28" s="15"/>
      <c r="F28" s="17"/>
      <c r="G28" s="18"/>
      <c r="H28" s="183"/>
      <c r="I28" s="15"/>
      <c r="J28" s="17"/>
      <c r="K28" s="17"/>
      <c r="L28" s="17" t="s">
        <v>3</v>
      </c>
      <c r="M28" s="15"/>
      <c r="N28" s="15"/>
      <c r="O28" s="15"/>
      <c r="P28" s="15"/>
      <c r="Q28" s="17"/>
      <c r="R28" s="15"/>
      <c r="S28" s="15"/>
      <c r="T28" s="15"/>
      <c r="U28" s="94"/>
      <c r="V28" s="17"/>
      <c r="W28" s="375"/>
      <c r="X28" s="15"/>
    </row>
    <row r="29" spans="1:24" x14ac:dyDescent="0.25">
      <c r="A29" s="15"/>
      <c r="B29" s="15"/>
      <c r="C29" s="15"/>
      <c r="D29" s="374"/>
      <c r="E29" s="15"/>
      <c r="F29" s="17"/>
      <c r="G29" s="18"/>
      <c r="H29" s="183"/>
      <c r="I29" s="15"/>
      <c r="J29" s="17"/>
      <c r="K29" s="17"/>
      <c r="L29" s="17" t="s">
        <v>3</v>
      </c>
      <c r="M29" s="15"/>
      <c r="N29" s="15"/>
      <c r="O29" s="15"/>
      <c r="P29" s="15"/>
      <c r="Q29" s="17"/>
      <c r="R29" s="15"/>
      <c r="S29" s="15"/>
      <c r="T29" s="15"/>
      <c r="U29" s="94"/>
      <c r="V29" s="17"/>
      <c r="W29" s="375"/>
      <c r="X29" s="15"/>
    </row>
    <row r="30" spans="1:24" x14ac:dyDescent="0.25">
      <c r="A30" s="15"/>
      <c r="B30" s="15"/>
      <c r="C30" s="15"/>
      <c r="D30" s="374"/>
      <c r="E30" s="15"/>
      <c r="F30" s="17"/>
      <c r="G30" s="18"/>
      <c r="H30" s="183"/>
      <c r="I30" s="15"/>
      <c r="J30" s="17"/>
      <c r="K30" s="17"/>
      <c r="L30" s="17" t="s">
        <v>3</v>
      </c>
      <c r="M30" s="15"/>
      <c r="N30" s="15"/>
      <c r="O30" s="15"/>
      <c r="P30" s="15"/>
      <c r="Q30" s="17"/>
      <c r="R30" s="15"/>
      <c r="S30" s="15"/>
      <c r="T30" s="15"/>
      <c r="U30" s="94"/>
      <c r="V30" s="17"/>
      <c r="W30" s="375"/>
      <c r="X30" s="15"/>
    </row>
    <row r="31" spans="1:24" x14ac:dyDescent="0.25">
      <c r="A31" s="15"/>
      <c r="B31" s="15"/>
      <c r="C31" s="15"/>
      <c r="D31" s="374"/>
      <c r="E31" s="15"/>
      <c r="F31" s="17"/>
      <c r="G31" s="18"/>
      <c r="H31" s="183"/>
      <c r="I31" s="15"/>
      <c r="J31" s="17"/>
      <c r="K31" s="17"/>
      <c r="L31" s="17" t="s">
        <v>3</v>
      </c>
      <c r="M31" s="15"/>
      <c r="N31" s="15"/>
      <c r="O31" s="15"/>
      <c r="P31" s="15"/>
      <c r="Q31" s="17"/>
      <c r="R31" s="15"/>
      <c r="S31" s="15"/>
      <c r="T31" s="15"/>
      <c r="U31" s="94"/>
      <c r="V31" s="17"/>
      <c r="W31" s="375"/>
      <c r="X31" s="15"/>
    </row>
    <row r="32" spans="1:24" x14ac:dyDescent="0.25">
      <c r="A32" s="15"/>
      <c r="B32" s="15"/>
      <c r="C32" s="15"/>
      <c r="D32" s="374"/>
      <c r="E32" s="15"/>
      <c r="F32" s="17"/>
      <c r="G32" s="18"/>
      <c r="H32" s="183"/>
      <c r="I32" s="15"/>
      <c r="J32" s="17"/>
      <c r="K32" s="17"/>
      <c r="L32" s="17" t="s">
        <v>3</v>
      </c>
      <c r="M32" s="15"/>
      <c r="N32" s="15"/>
      <c r="O32" s="15"/>
      <c r="P32" s="15"/>
      <c r="Q32" s="17"/>
      <c r="R32" s="15"/>
      <c r="S32" s="15"/>
      <c r="T32" s="15"/>
      <c r="U32" s="94"/>
      <c r="V32" s="17"/>
      <c r="W32" s="375"/>
      <c r="X32" s="15"/>
    </row>
    <row r="33" spans="1:24" x14ac:dyDescent="0.25">
      <c r="A33" s="15"/>
      <c r="B33" s="15"/>
      <c r="C33" s="15"/>
      <c r="D33" s="374"/>
      <c r="E33" s="15"/>
      <c r="F33" s="17"/>
      <c r="G33" s="18"/>
      <c r="H33" s="183"/>
      <c r="I33" s="15"/>
      <c r="J33" s="17"/>
      <c r="K33" s="17"/>
      <c r="L33" s="17" t="s">
        <v>3</v>
      </c>
      <c r="M33" s="15"/>
      <c r="N33" s="15"/>
      <c r="O33" s="15"/>
      <c r="P33" s="15"/>
      <c r="Q33" s="17"/>
      <c r="R33" s="15"/>
      <c r="S33" s="15"/>
      <c r="T33" s="15"/>
      <c r="U33" s="94"/>
      <c r="V33" s="17"/>
      <c r="W33" s="375"/>
      <c r="X33" s="15"/>
    </row>
    <row r="34" spans="1:24" x14ac:dyDescent="0.25">
      <c r="A34" s="15"/>
      <c r="B34" s="15"/>
      <c r="C34" s="15"/>
      <c r="D34" s="374"/>
      <c r="E34" s="15"/>
      <c r="F34" s="17"/>
      <c r="G34" s="18"/>
      <c r="H34" s="183"/>
      <c r="I34" s="15"/>
      <c r="J34" s="17"/>
      <c r="K34" s="17"/>
      <c r="L34" s="17"/>
      <c r="M34" s="15"/>
      <c r="N34" s="15"/>
      <c r="O34" s="15"/>
      <c r="P34" s="15"/>
      <c r="Q34" s="17"/>
      <c r="R34" s="15"/>
      <c r="S34" s="15"/>
      <c r="T34" s="15"/>
      <c r="U34" s="94"/>
      <c r="V34" s="17"/>
      <c r="W34" s="375"/>
      <c r="X34" s="15"/>
    </row>
    <row r="35" spans="1:24" x14ac:dyDescent="0.25">
      <c r="A35" s="15"/>
      <c r="B35" s="15"/>
      <c r="C35" s="15"/>
      <c r="D35" s="374"/>
      <c r="E35" s="15"/>
      <c r="F35" s="17"/>
      <c r="G35" s="18"/>
      <c r="H35" s="183"/>
      <c r="I35" s="15"/>
      <c r="J35" s="17"/>
      <c r="K35" s="17"/>
      <c r="L35" s="17"/>
      <c r="M35" s="15"/>
      <c r="N35" s="15"/>
      <c r="O35" s="15"/>
      <c r="P35" s="15"/>
      <c r="Q35" s="17"/>
      <c r="R35" s="15"/>
      <c r="S35" s="15"/>
      <c r="T35" s="15"/>
      <c r="U35" s="94"/>
      <c r="V35" s="17"/>
      <c r="W35" s="375"/>
      <c r="X35" s="15"/>
    </row>
    <row r="36" spans="1:24" x14ac:dyDescent="0.25">
      <c r="A36" s="15"/>
      <c r="B36" s="15"/>
      <c r="C36" s="15"/>
      <c r="D36" s="374"/>
      <c r="E36" s="15"/>
      <c r="F36" s="17"/>
      <c r="G36" s="18"/>
      <c r="H36" s="183"/>
      <c r="I36" s="15"/>
      <c r="J36" s="17"/>
      <c r="K36" s="17"/>
      <c r="L36" s="17"/>
      <c r="M36" s="15"/>
      <c r="N36" s="15"/>
      <c r="O36" s="15"/>
      <c r="P36" s="15"/>
      <c r="Q36" s="17"/>
      <c r="R36" s="15"/>
      <c r="S36" s="15"/>
      <c r="T36" s="15"/>
      <c r="U36" s="94"/>
      <c r="V36" s="17"/>
      <c r="W36" s="375"/>
      <c r="X36" s="15"/>
    </row>
    <row r="37" spans="1:24" x14ac:dyDescent="0.25">
      <c r="A37" s="15"/>
      <c r="B37" s="15"/>
      <c r="C37" s="15"/>
      <c r="D37" s="374"/>
      <c r="E37" s="15"/>
      <c r="F37" s="17"/>
      <c r="G37" s="18"/>
      <c r="H37" s="183"/>
      <c r="I37" s="15"/>
      <c r="J37" s="17"/>
      <c r="K37" s="17"/>
      <c r="L37" s="17"/>
      <c r="M37" s="15"/>
      <c r="N37" s="15"/>
      <c r="O37" s="15"/>
      <c r="P37" s="15"/>
      <c r="Q37" s="17"/>
      <c r="R37" s="15"/>
      <c r="S37" s="15"/>
      <c r="T37" s="15"/>
      <c r="U37" s="94"/>
      <c r="V37" s="17"/>
      <c r="W37" s="375"/>
      <c r="X37" s="15"/>
    </row>
    <row r="38" spans="1:24" x14ac:dyDescent="0.25">
      <c r="A38" s="15"/>
      <c r="B38" s="15"/>
      <c r="C38" s="15"/>
      <c r="D38" s="374"/>
      <c r="E38" s="15"/>
      <c r="F38" s="17"/>
      <c r="G38" s="18"/>
      <c r="H38" s="183"/>
      <c r="I38" s="15"/>
      <c r="J38" s="17"/>
      <c r="K38" s="17"/>
      <c r="L38" s="17"/>
      <c r="M38" s="15"/>
      <c r="N38" s="15"/>
      <c r="O38" s="15"/>
      <c r="P38" s="15"/>
      <c r="Q38" s="17"/>
      <c r="R38" s="15"/>
      <c r="S38" s="15"/>
      <c r="T38" s="15"/>
      <c r="U38" s="94"/>
      <c r="V38" s="17"/>
      <c r="W38" s="375"/>
      <c r="X38" s="15"/>
    </row>
    <row r="39" spans="1:24" x14ac:dyDescent="0.25">
      <c r="A39" s="15"/>
      <c r="B39" s="15"/>
      <c r="C39" s="15"/>
      <c r="D39" s="374"/>
      <c r="E39" s="15"/>
      <c r="F39" s="17"/>
      <c r="G39" s="18"/>
      <c r="H39" s="183"/>
      <c r="I39" s="15"/>
      <c r="J39" s="17"/>
      <c r="K39" s="17"/>
      <c r="L39" s="17"/>
      <c r="M39" s="15"/>
      <c r="N39" s="15"/>
      <c r="O39" s="15"/>
      <c r="P39" s="15"/>
      <c r="Q39" s="17"/>
      <c r="R39" s="15"/>
      <c r="S39" s="15"/>
      <c r="T39" s="15"/>
      <c r="U39" s="94"/>
      <c r="V39" s="17"/>
      <c r="W39" s="375"/>
      <c r="X39" s="15"/>
    </row>
    <row r="40" spans="1:24" x14ac:dyDescent="0.25">
      <c r="A40" s="15"/>
      <c r="B40" s="15"/>
      <c r="C40" s="15"/>
      <c r="D40" s="374"/>
      <c r="E40" s="15"/>
      <c r="F40" s="17"/>
      <c r="G40" s="18"/>
      <c r="H40" s="183"/>
      <c r="I40" s="15"/>
      <c r="J40" s="17"/>
      <c r="K40" s="17"/>
      <c r="L40" s="17"/>
      <c r="M40" s="15"/>
      <c r="N40" s="15"/>
      <c r="O40" s="15"/>
      <c r="P40" s="15"/>
      <c r="Q40" s="17"/>
      <c r="R40" s="15"/>
      <c r="S40" s="15"/>
      <c r="T40" s="15"/>
      <c r="U40" s="94"/>
      <c r="V40" s="17"/>
      <c r="W40" s="375"/>
      <c r="X40" s="15"/>
    </row>
    <row r="41" spans="1:24" x14ac:dyDescent="0.25">
      <c r="A41" s="15"/>
      <c r="B41" s="15"/>
      <c r="C41" s="15"/>
      <c r="D41" s="374"/>
      <c r="E41" s="15"/>
      <c r="F41" s="17"/>
      <c r="G41" s="18"/>
      <c r="H41" s="183"/>
      <c r="I41" s="15"/>
      <c r="J41" s="17"/>
      <c r="K41" s="17"/>
      <c r="L41" s="17"/>
      <c r="M41" s="15"/>
      <c r="N41" s="15"/>
      <c r="O41" s="15"/>
      <c r="P41" s="15"/>
      <c r="Q41" s="17"/>
      <c r="R41" s="15"/>
      <c r="S41" s="15"/>
      <c r="T41" s="15"/>
      <c r="U41" s="94"/>
      <c r="V41" s="17"/>
      <c r="W41" s="375"/>
      <c r="X41" s="15"/>
    </row>
    <row r="42" spans="1:24" x14ac:dyDescent="0.25">
      <c r="A42" s="15"/>
      <c r="B42" s="15"/>
      <c r="C42" s="15"/>
      <c r="D42" s="374"/>
      <c r="E42" s="15"/>
      <c r="F42" s="17"/>
      <c r="G42" s="18"/>
      <c r="H42" s="183"/>
      <c r="I42" s="15"/>
      <c r="J42" s="17"/>
      <c r="K42" s="17"/>
      <c r="L42" s="17"/>
      <c r="M42" s="15"/>
      <c r="N42" s="15"/>
      <c r="O42" s="15"/>
      <c r="P42" s="15"/>
      <c r="Q42" s="17"/>
      <c r="R42" s="15"/>
      <c r="S42" s="15"/>
      <c r="T42" s="15"/>
      <c r="U42" s="94"/>
      <c r="V42" s="17"/>
      <c r="W42" s="375"/>
      <c r="X42" s="15"/>
    </row>
    <row r="43" spans="1:24" x14ac:dyDescent="0.25">
      <c r="A43" s="15"/>
      <c r="B43" s="15"/>
      <c r="C43" s="15"/>
      <c r="D43" s="374"/>
      <c r="E43" s="15"/>
      <c r="F43" s="17"/>
      <c r="G43" s="18"/>
      <c r="H43" s="183"/>
      <c r="I43" s="15"/>
      <c r="J43" s="17"/>
      <c r="K43" s="17"/>
      <c r="L43" s="17"/>
      <c r="M43" s="15"/>
      <c r="N43" s="15"/>
      <c r="O43" s="15"/>
      <c r="P43" s="15"/>
      <c r="Q43" s="17"/>
      <c r="R43" s="15"/>
      <c r="S43" s="15"/>
      <c r="T43" s="15"/>
      <c r="U43" s="94"/>
      <c r="V43" s="17"/>
      <c r="W43" s="375"/>
      <c r="X43" s="15"/>
    </row>
    <row r="44" spans="1:24" x14ac:dyDescent="0.25">
      <c r="A44" s="15"/>
      <c r="B44" s="15"/>
      <c r="C44" s="15"/>
      <c r="D44" s="374"/>
      <c r="E44" s="15"/>
      <c r="F44" s="17"/>
      <c r="G44" s="18"/>
      <c r="H44" s="183"/>
      <c r="I44" s="15"/>
      <c r="J44" s="17"/>
      <c r="K44" s="17"/>
      <c r="L44" s="17"/>
      <c r="M44" s="15"/>
      <c r="N44" s="15"/>
      <c r="O44" s="15"/>
      <c r="P44" s="15"/>
      <c r="Q44" s="17"/>
      <c r="R44" s="15"/>
      <c r="S44" s="15"/>
      <c r="T44" s="15"/>
      <c r="U44" s="94"/>
      <c r="V44" s="17"/>
      <c r="W44" s="375"/>
      <c r="X44" s="15"/>
    </row>
    <row r="45" spans="1:24" x14ac:dyDescent="0.25">
      <c r="A45" s="15"/>
      <c r="B45" s="15"/>
      <c r="C45" s="15"/>
      <c r="D45" s="374"/>
      <c r="E45" s="15"/>
      <c r="F45" s="17"/>
      <c r="G45" s="18"/>
      <c r="H45" s="183"/>
      <c r="I45" s="15"/>
      <c r="J45" s="17"/>
      <c r="K45" s="17"/>
      <c r="L45" s="17"/>
      <c r="M45" s="15"/>
      <c r="N45" s="15"/>
      <c r="O45" s="15"/>
      <c r="P45" s="15"/>
      <c r="Q45" s="17"/>
      <c r="R45" s="15"/>
      <c r="S45" s="15"/>
      <c r="T45" s="15"/>
      <c r="U45" s="94"/>
      <c r="V45" s="17"/>
      <c r="W45" s="375"/>
      <c r="X45" s="15"/>
    </row>
    <row r="46" spans="1:24" x14ac:dyDescent="0.25">
      <c r="A46" s="15"/>
      <c r="B46" s="15"/>
      <c r="C46" s="15"/>
      <c r="D46" s="374"/>
      <c r="E46" s="15"/>
      <c r="F46" s="17"/>
      <c r="G46" s="18"/>
      <c r="H46" s="183"/>
      <c r="I46" s="15"/>
      <c r="J46" s="17"/>
      <c r="K46" s="17"/>
      <c r="L46" s="17"/>
      <c r="M46" s="15"/>
      <c r="N46" s="15"/>
      <c r="O46" s="15"/>
      <c r="P46" s="15"/>
      <c r="Q46" s="17"/>
      <c r="R46" s="15"/>
      <c r="S46" s="15"/>
      <c r="T46" s="15"/>
      <c r="U46" s="94"/>
      <c r="V46" s="17"/>
      <c r="W46" s="375"/>
      <c r="X46" s="15"/>
    </row>
    <row r="47" spans="1:24" x14ac:dyDescent="0.25">
      <c r="A47" s="15"/>
      <c r="B47" s="15"/>
      <c r="C47" s="15"/>
      <c r="D47" s="374"/>
      <c r="E47" s="15"/>
      <c r="F47" s="17"/>
      <c r="G47" s="18"/>
      <c r="H47" s="183"/>
      <c r="I47" s="15"/>
      <c r="J47" s="17"/>
      <c r="K47" s="17"/>
      <c r="L47" s="17"/>
      <c r="M47" s="15"/>
      <c r="N47" s="15"/>
      <c r="O47" s="15"/>
      <c r="P47" s="15"/>
      <c r="Q47" s="17"/>
      <c r="R47" s="15"/>
      <c r="S47" s="15"/>
      <c r="T47" s="15"/>
      <c r="U47" s="94"/>
      <c r="V47" s="17"/>
      <c r="W47" s="375"/>
      <c r="X47" s="15"/>
    </row>
    <row r="48" spans="1:24" x14ac:dyDescent="0.25">
      <c r="A48" s="15"/>
      <c r="B48" s="15"/>
      <c r="C48" s="15"/>
      <c r="D48" s="374"/>
      <c r="E48" s="15"/>
      <c r="F48" s="17"/>
      <c r="G48" s="18"/>
      <c r="H48" s="183"/>
      <c r="I48" s="15"/>
      <c r="J48" s="17"/>
      <c r="K48" s="17"/>
      <c r="L48" s="17"/>
      <c r="M48" s="15"/>
      <c r="N48" s="15"/>
      <c r="O48" s="15"/>
      <c r="P48" s="15"/>
      <c r="Q48" s="17"/>
      <c r="R48" s="15"/>
      <c r="S48" s="15"/>
      <c r="T48" s="15"/>
      <c r="U48" s="94"/>
      <c r="V48" s="17"/>
      <c r="W48" s="375"/>
      <c r="X48" s="15"/>
    </row>
    <row r="49" spans="1:24" x14ac:dyDescent="0.25">
      <c r="A49" s="15"/>
      <c r="B49" s="15"/>
      <c r="C49" s="15"/>
      <c r="D49" s="374"/>
      <c r="E49" s="15"/>
      <c r="F49" s="17"/>
      <c r="G49" s="18"/>
      <c r="H49" s="183"/>
      <c r="I49" s="15"/>
      <c r="J49" s="17"/>
      <c r="K49" s="17"/>
      <c r="L49" s="17"/>
      <c r="M49" s="15"/>
      <c r="N49" s="15"/>
      <c r="O49" s="15"/>
      <c r="P49" s="15"/>
      <c r="Q49" s="17"/>
      <c r="R49" s="15"/>
      <c r="S49" s="15"/>
      <c r="T49" s="15"/>
      <c r="U49" s="94"/>
      <c r="V49" s="17"/>
      <c r="W49" s="375"/>
      <c r="X49" s="15"/>
    </row>
    <row r="50" spans="1:24" x14ac:dyDescent="0.25">
      <c r="A50" s="15"/>
      <c r="B50" s="15"/>
      <c r="C50" s="15"/>
      <c r="D50" s="374"/>
      <c r="E50" s="15"/>
      <c r="F50" s="17"/>
      <c r="G50" s="18"/>
      <c r="H50" s="183"/>
      <c r="I50" s="15"/>
      <c r="J50" s="17"/>
      <c r="K50" s="17"/>
      <c r="L50" s="17"/>
      <c r="M50" s="15"/>
      <c r="N50" s="15"/>
      <c r="O50" s="15"/>
      <c r="P50" s="15"/>
      <c r="Q50" s="17"/>
      <c r="R50" s="15"/>
      <c r="S50" s="15"/>
      <c r="T50" s="15"/>
      <c r="U50" s="94"/>
      <c r="V50" s="17"/>
      <c r="W50" s="375"/>
      <c r="X50" s="15"/>
    </row>
    <row r="51" spans="1:24" x14ac:dyDescent="0.25">
      <c r="A51" s="15"/>
      <c r="B51" s="15"/>
      <c r="C51" s="15"/>
      <c r="D51" s="374"/>
      <c r="E51" s="15"/>
      <c r="F51" s="90"/>
      <c r="G51" s="18"/>
      <c r="H51" s="183"/>
      <c r="I51" s="15"/>
      <c r="J51" s="17"/>
      <c r="K51" s="17"/>
      <c r="L51" s="17"/>
      <c r="M51" s="15"/>
      <c r="N51" s="15"/>
      <c r="O51" s="15"/>
      <c r="P51" s="15"/>
      <c r="Q51" s="17"/>
      <c r="R51" s="15"/>
      <c r="S51" s="15"/>
      <c r="T51" s="15"/>
      <c r="U51" s="94"/>
      <c r="V51" s="17"/>
      <c r="W51" s="375"/>
      <c r="X51" s="15"/>
    </row>
    <row r="52" spans="1:24" x14ac:dyDescent="0.25">
      <c r="A52" s="15"/>
      <c r="B52" s="15"/>
      <c r="C52" s="15"/>
      <c r="D52" s="374"/>
      <c r="E52" s="15"/>
      <c r="F52" s="17"/>
      <c r="G52" s="18"/>
      <c r="H52" s="183"/>
      <c r="I52" s="15"/>
      <c r="J52" s="17"/>
      <c r="K52" s="17"/>
      <c r="L52" s="17"/>
      <c r="M52" s="15"/>
      <c r="N52" s="15"/>
      <c r="O52" s="15"/>
      <c r="P52" s="15"/>
      <c r="Q52" s="17"/>
      <c r="R52" s="15"/>
      <c r="S52" s="15"/>
      <c r="T52" s="15"/>
      <c r="U52" s="94"/>
      <c r="V52" s="17"/>
      <c r="W52" s="375"/>
      <c r="X52" s="15"/>
    </row>
    <row r="53" spans="1:24" x14ac:dyDescent="0.25">
      <c r="A53" s="15"/>
      <c r="B53" s="15"/>
      <c r="C53" s="15"/>
      <c r="D53" s="374"/>
      <c r="E53" s="15"/>
      <c r="F53" s="17"/>
      <c r="G53" s="18"/>
      <c r="H53" s="183"/>
      <c r="I53" s="15"/>
      <c r="J53" s="17"/>
      <c r="K53" s="17"/>
      <c r="L53" s="17"/>
      <c r="M53" s="15"/>
      <c r="N53" s="15"/>
      <c r="O53" s="15"/>
      <c r="P53" s="15"/>
      <c r="Q53" s="17"/>
      <c r="R53" s="15"/>
      <c r="S53" s="15"/>
      <c r="T53" s="15"/>
      <c r="U53" s="94"/>
      <c r="V53" s="17"/>
      <c r="W53" s="375"/>
      <c r="X53" s="15"/>
    </row>
    <row r="54" spans="1:24" x14ac:dyDescent="0.25">
      <c r="A54" s="15"/>
      <c r="B54" s="15"/>
      <c r="C54" s="15"/>
      <c r="D54" s="374"/>
      <c r="E54" s="15"/>
      <c r="F54" s="17"/>
      <c r="G54" s="18"/>
      <c r="H54" s="183"/>
      <c r="I54" s="15"/>
      <c r="J54" s="17"/>
      <c r="K54" s="17"/>
      <c r="L54" s="17"/>
      <c r="M54" s="15"/>
      <c r="N54" s="15"/>
      <c r="O54" s="15"/>
      <c r="P54" s="15"/>
      <c r="Q54" s="17"/>
      <c r="R54" s="15"/>
      <c r="S54" s="15"/>
      <c r="T54" s="15"/>
      <c r="U54" s="94"/>
      <c r="V54" s="17"/>
      <c r="W54" s="375"/>
      <c r="X54" s="15"/>
    </row>
    <row r="55" spans="1:24" x14ac:dyDescent="0.25">
      <c r="A55" s="15"/>
      <c r="B55" s="15"/>
      <c r="C55" s="15"/>
      <c r="D55" s="374"/>
      <c r="E55" s="15"/>
      <c r="F55" s="17"/>
      <c r="G55" s="18"/>
      <c r="H55" s="183"/>
      <c r="I55" s="15"/>
      <c r="J55" s="17"/>
      <c r="K55" s="17"/>
      <c r="L55" s="17"/>
      <c r="M55" s="15"/>
      <c r="N55" s="15"/>
      <c r="O55" s="15"/>
      <c r="P55" s="15"/>
      <c r="Q55" s="17"/>
      <c r="R55" s="15"/>
      <c r="S55" s="15"/>
      <c r="T55" s="15"/>
      <c r="U55" s="94"/>
      <c r="V55" s="17"/>
      <c r="W55" s="375"/>
      <c r="X55" s="15"/>
    </row>
    <row r="56" spans="1:24" x14ac:dyDescent="0.25">
      <c r="A56" s="15"/>
      <c r="B56" s="15"/>
      <c r="C56" s="15"/>
      <c r="D56" s="374"/>
      <c r="E56" s="15"/>
      <c r="F56" s="17"/>
      <c r="G56" s="18"/>
      <c r="H56" s="183"/>
      <c r="I56" s="15"/>
      <c r="J56" s="17"/>
      <c r="K56" s="17"/>
      <c r="L56" s="17"/>
      <c r="M56" s="15"/>
      <c r="N56" s="15"/>
      <c r="O56" s="15"/>
      <c r="P56" s="15"/>
      <c r="Q56" s="17"/>
      <c r="R56" s="15"/>
      <c r="S56" s="15"/>
      <c r="T56" s="15"/>
      <c r="U56" s="94"/>
      <c r="V56" s="17"/>
      <c r="W56" s="375"/>
      <c r="X56" s="15"/>
    </row>
    <row r="57" spans="1:24" x14ac:dyDescent="0.25">
      <c r="A57" s="15"/>
      <c r="B57" s="15"/>
      <c r="C57" s="15"/>
      <c r="D57" s="374"/>
      <c r="E57" s="15"/>
      <c r="F57" s="90"/>
      <c r="G57" s="18"/>
      <c r="H57" s="183"/>
      <c r="I57" s="15"/>
      <c r="J57" s="17"/>
      <c r="K57" s="17"/>
      <c r="L57" s="17"/>
      <c r="M57" s="15"/>
      <c r="N57" s="15"/>
      <c r="O57" s="15"/>
      <c r="P57" s="15"/>
      <c r="Q57" s="17"/>
      <c r="R57" s="15"/>
      <c r="S57" s="15"/>
      <c r="T57" s="15"/>
      <c r="U57" s="94"/>
      <c r="V57" s="17"/>
      <c r="W57" s="375"/>
      <c r="X57" s="15"/>
    </row>
    <row r="58" spans="1:24" x14ac:dyDescent="0.25">
      <c r="A58" s="15"/>
      <c r="B58" s="15"/>
      <c r="C58" s="15"/>
      <c r="D58" s="374"/>
      <c r="E58" s="15"/>
      <c r="F58" s="90"/>
      <c r="G58" s="18"/>
      <c r="H58" s="183"/>
      <c r="I58" s="15"/>
      <c r="J58" s="17"/>
      <c r="K58" s="17"/>
      <c r="L58" s="17"/>
      <c r="M58" s="15"/>
      <c r="N58" s="15"/>
      <c r="O58" s="15"/>
      <c r="P58" s="15"/>
      <c r="Q58" s="17"/>
      <c r="R58" s="15"/>
      <c r="S58" s="15"/>
      <c r="T58" s="15"/>
      <c r="U58" s="94"/>
      <c r="V58" s="17"/>
      <c r="W58" s="375"/>
      <c r="X58" s="15"/>
    </row>
    <row r="59" spans="1:24" x14ac:dyDescent="0.25">
      <c r="A59" s="15"/>
      <c r="B59" s="15"/>
      <c r="C59" s="15"/>
      <c r="D59" s="374"/>
      <c r="E59" s="15"/>
      <c r="F59" s="17"/>
      <c r="G59" s="18"/>
      <c r="H59" s="183"/>
      <c r="I59" s="15"/>
      <c r="J59" s="17"/>
      <c r="K59" s="17"/>
      <c r="L59" s="17"/>
      <c r="M59" s="15"/>
      <c r="N59" s="15"/>
      <c r="O59" s="15"/>
      <c r="P59" s="15"/>
      <c r="Q59" s="17"/>
      <c r="R59" s="15"/>
      <c r="S59" s="15"/>
      <c r="T59" s="15"/>
      <c r="U59" s="94"/>
      <c r="V59" s="17"/>
      <c r="W59" s="375"/>
      <c r="X59" s="15"/>
    </row>
    <row r="60" spans="1:24" x14ac:dyDescent="0.25">
      <c r="A60" s="15"/>
      <c r="B60" s="15"/>
      <c r="C60" s="15"/>
      <c r="D60" s="374"/>
      <c r="E60" s="15"/>
      <c r="F60" s="17"/>
      <c r="G60" s="18"/>
      <c r="H60" s="183"/>
      <c r="I60" s="15"/>
      <c r="J60" s="17"/>
      <c r="K60" s="17"/>
      <c r="L60" s="17"/>
      <c r="M60" s="15"/>
      <c r="N60" s="15"/>
      <c r="O60" s="15"/>
      <c r="P60" s="15"/>
      <c r="Q60" s="17"/>
      <c r="R60" s="15"/>
      <c r="S60" s="15"/>
      <c r="T60" s="15"/>
      <c r="U60" s="94"/>
      <c r="V60" s="17"/>
      <c r="W60" s="375"/>
      <c r="X60" s="15"/>
    </row>
    <row r="61" spans="1:24" x14ac:dyDescent="0.25">
      <c r="A61" s="15"/>
      <c r="B61" s="15"/>
      <c r="C61" s="15"/>
      <c r="D61" s="374"/>
      <c r="E61" s="15"/>
      <c r="F61" s="17"/>
      <c r="G61" s="18"/>
      <c r="H61" s="183"/>
      <c r="I61" s="15"/>
      <c r="J61" s="17"/>
      <c r="K61" s="17"/>
      <c r="L61" s="17"/>
      <c r="M61" s="15"/>
      <c r="N61" s="15"/>
      <c r="O61" s="15"/>
      <c r="P61" s="15"/>
      <c r="Q61" s="17"/>
      <c r="R61" s="15"/>
      <c r="S61" s="15"/>
      <c r="T61" s="15"/>
      <c r="U61" s="94"/>
      <c r="V61" s="17"/>
      <c r="W61" s="375"/>
      <c r="X61" s="15"/>
    </row>
    <row r="62" spans="1:24" x14ac:dyDescent="0.25">
      <c r="A62" s="15"/>
      <c r="B62" s="15"/>
      <c r="C62" s="15"/>
      <c r="D62" s="374"/>
      <c r="E62" s="15"/>
      <c r="F62" s="17"/>
      <c r="G62" s="18"/>
      <c r="H62" s="183"/>
      <c r="I62" s="15"/>
      <c r="J62" s="17"/>
      <c r="K62" s="17"/>
      <c r="L62" s="17"/>
      <c r="M62" s="15"/>
      <c r="N62" s="15"/>
      <c r="O62" s="15"/>
      <c r="P62" s="15"/>
      <c r="Q62" s="17"/>
      <c r="R62" s="15"/>
      <c r="S62" s="15"/>
      <c r="T62" s="15"/>
      <c r="U62" s="94"/>
      <c r="V62" s="17"/>
      <c r="W62" s="375"/>
      <c r="X62" s="15"/>
    </row>
    <row r="63" spans="1:24" x14ac:dyDescent="0.25">
      <c r="A63" s="15"/>
      <c r="B63" s="15"/>
      <c r="C63" s="15"/>
      <c r="D63" s="374"/>
      <c r="E63" s="15"/>
      <c r="F63" s="17"/>
      <c r="G63" s="18"/>
      <c r="H63" s="183"/>
      <c r="I63" s="15"/>
      <c r="J63" s="17"/>
      <c r="K63" s="17"/>
      <c r="L63" s="17"/>
      <c r="M63" s="15"/>
      <c r="N63" s="15"/>
      <c r="O63" s="15"/>
      <c r="P63" s="15"/>
      <c r="Q63" s="17"/>
      <c r="R63" s="15"/>
      <c r="S63" s="15"/>
      <c r="T63" s="15"/>
      <c r="U63" s="94"/>
      <c r="V63" s="17"/>
      <c r="W63" s="375"/>
      <c r="X63" s="15"/>
    </row>
    <row r="64" spans="1:24" x14ac:dyDescent="0.25">
      <c r="A64" s="15"/>
      <c r="B64" s="15"/>
      <c r="C64" s="15"/>
      <c r="D64" s="374"/>
      <c r="E64" s="15"/>
      <c r="F64" s="17"/>
      <c r="G64" s="18"/>
      <c r="H64" s="183"/>
      <c r="I64" s="15"/>
      <c r="J64" s="17"/>
      <c r="K64" s="17"/>
      <c r="L64" s="17"/>
      <c r="M64" s="15"/>
      <c r="N64" s="15"/>
      <c r="O64" s="15"/>
      <c r="P64" s="15"/>
      <c r="Q64" s="17"/>
      <c r="R64" s="15"/>
      <c r="S64" s="15"/>
      <c r="T64" s="15"/>
      <c r="U64" s="94"/>
      <c r="V64" s="17"/>
      <c r="W64" s="375"/>
      <c r="X64" s="15"/>
    </row>
    <row r="65" spans="1:24" x14ac:dyDescent="0.25">
      <c r="A65" s="15"/>
      <c r="B65" s="15"/>
      <c r="C65" s="15"/>
      <c r="D65" s="374"/>
      <c r="E65" s="15"/>
      <c r="F65" s="17"/>
      <c r="G65" s="18"/>
      <c r="H65" s="183"/>
      <c r="I65" s="15"/>
      <c r="J65" s="17"/>
      <c r="K65" s="17"/>
      <c r="L65" s="17"/>
      <c r="M65" s="15"/>
      <c r="N65" s="15"/>
      <c r="O65" s="15"/>
      <c r="P65" s="15"/>
      <c r="Q65" s="17"/>
      <c r="R65" s="15"/>
      <c r="S65" s="15"/>
      <c r="T65" s="15"/>
      <c r="U65" s="94"/>
      <c r="V65" s="17"/>
      <c r="W65" s="375"/>
      <c r="X65" s="15"/>
    </row>
    <row r="66" spans="1:24" x14ac:dyDescent="0.25">
      <c r="A66" s="15"/>
      <c r="B66" s="15"/>
      <c r="C66" s="15"/>
      <c r="D66" s="374"/>
      <c r="E66" s="15"/>
      <c r="F66" s="17"/>
      <c r="G66" s="18"/>
      <c r="H66" s="183"/>
      <c r="I66" s="15"/>
      <c r="J66" s="17"/>
      <c r="K66" s="17"/>
      <c r="L66" s="17"/>
      <c r="M66" s="15"/>
      <c r="N66" s="15"/>
      <c r="O66" s="15"/>
      <c r="P66" s="15"/>
      <c r="Q66" s="17"/>
      <c r="R66" s="15"/>
      <c r="S66" s="15"/>
      <c r="T66" s="15"/>
      <c r="U66" s="94"/>
      <c r="V66" s="17"/>
      <c r="W66" s="375"/>
      <c r="X66" s="15"/>
    </row>
    <row r="67" spans="1:24" x14ac:dyDescent="0.25">
      <c r="A67" s="15"/>
      <c r="B67" s="15"/>
      <c r="C67" s="15"/>
      <c r="D67" s="374"/>
      <c r="E67" s="15"/>
      <c r="F67" s="17"/>
      <c r="G67" s="18"/>
      <c r="H67" s="183"/>
      <c r="I67" s="15"/>
      <c r="J67" s="17"/>
      <c r="K67" s="17"/>
      <c r="L67" s="17"/>
      <c r="M67" s="15"/>
      <c r="N67" s="15"/>
      <c r="O67" s="15"/>
      <c r="P67" s="15"/>
      <c r="Q67" s="17"/>
      <c r="R67" s="15"/>
      <c r="S67" s="15"/>
      <c r="T67" s="15"/>
      <c r="U67" s="94"/>
      <c r="V67" s="17"/>
      <c r="W67" s="375"/>
      <c r="X67" s="15"/>
    </row>
    <row r="68" spans="1:24" x14ac:dyDescent="0.25">
      <c r="A68" s="15"/>
      <c r="B68" s="15"/>
      <c r="C68" s="15"/>
      <c r="D68" s="374"/>
      <c r="E68" s="15"/>
      <c r="F68" s="17"/>
      <c r="G68" s="18"/>
      <c r="H68" s="183"/>
      <c r="I68" s="15"/>
      <c r="J68" s="17"/>
      <c r="K68" s="17"/>
      <c r="L68" s="17"/>
      <c r="M68" s="15"/>
      <c r="N68" s="15"/>
      <c r="O68" s="15"/>
      <c r="P68" s="15"/>
      <c r="Q68" s="17"/>
      <c r="R68" s="15"/>
      <c r="S68" s="15"/>
      <c r="T68" s="15"/>
      <c r="U68" s="94"/>
      <c r="V68" s="17"/>
      <c r="W68" s="375"/>
      <c r="X68" s="15"/>
    </row>
    <row r="69" spans="1:24" x14ac:dyDescent="0.25">
      <c r="A69" s="15"/>
      <c r="B69" s="15"/>
      <c r="C69" s="15"/>
      <c r="D69" s="374"/>
      <c r="E69" s="15"/>
      <c r="F69" s="17"/>
      <c r="G69" s="18"/>
      <c r="H69" s="183"/>
      <c r="I69" s="15"/>
      <c r="J69" s="17"/>
      <c r="K69" s="17"/>
      <c r="L69" s="17"/>
      <c r="M69" s="15"/>
      <c r="N69" s="15"/>
      <c r="O69" s="15"/>
      <c r="P69" s="15"/>
      <c r="Q69" s="17"/>
      <c r="R69" s="15"/>
      <c r="S69" s="15"/>
      <c r="T69" s="15"/>
      <c r="U69" s="94"/>
      <c r="V69" s="17"/>
      <c r="W69" s="375"/>
      <c r="X69" s="15"/>
    </row>
    <row r="70" spans="1:24" x14ac:dyDescent="0.25">
      <c r="A70" s="15"/>
      <c r="B70" s="15"/>
      <c r="C70" s="15"/>
      <c r="D70" s="374"/>
      <c r="E70" s="15"/>
      <c r="F70" s="17"/>
      <c r="G70" s="18"/>
      <c r="H70" s="183"/>
      <c r="I70" s="15"/>
      <c r="J70" s="17"/>
      <c r="K70" s="17"/>
      <c r="L70" s="17"/>
      <c r="M70" s="15"/>
      <c r="N70" s="15"/>
      <c r="O70" s="15"/>
      <c r="P70" s="15"/>
      <c r="Q70" s="17"/>
      <c r="R70" s="15"/>
      <c r="S70" s="15"/>
      <c r="T70" s="15"/>
      <c r="U70" s="94"/>
      <c r="V70" s="17"/>
      <c r="W70" s="375"/>
      <c r="X70" s="15"/>
    </row>
    <row r="71" spans="1:24" x14ac:dyDescent="0.25">
      <c r="A71" s="15"/>
      <c r="B71" s="15"/>
      <c r="C71" s="15"/>
      <c r="D71" s="374"/>
      <c r="E71" s="15"/>
      <c r="F71" s="17"/>
      <c r="G71" s="18"/>
      <c r="H71" s="183"/>
      <c r="I71" s="15"/>
      <c r="J71" s="17"/>
      <c r="K71" s="17"/>
      <c r="L71" s="17"/>
      <c r="M71" s="15"/>
      <c r="N71" s="15"/>
      <c r="O71" s="15"/>
      <c r="P71" s="15"/>
      <c r="Q71" s="17"/>
      <c r="R71" s="15"/>
      <c r="S71" s="15"/>
      <c r="T71" s="15"/>
      <c r="U71" s="94"/>
      <c r="V71" s="17"/>
      <c r="W71" s="375"/>
      <c r="X71" s="15"/>
    </row>
    <row r="72" spans="1:24" x14ac:dyDescent="0.25">
      <c r="A72" s="15"/>
      <c r="B72" s="15"/>
      <c r="C72" s="15"/>
      <c r="D72" s="374"/>
      <c r="E72" s="15"/>
      <c r="F72" s="17"/>
      <c r="G72" s="18"/>
      <c r="H72" s="183"/>
      <c r="I72" s="15"/>
      <c r="J72" s="17"/>
      <c r="K72" s="17"/>
      <c r="L72" s="17"/>
      <c r="M72" s="15"/>
      <c r="N72" s="15"/>
      <c r="O72" s="15"/>
      <c r="P72" s="15"/>
      <c r="Q72" s="17"/>
      <c r="R72" s="15"/>
      <c r="S72" s="15"/>
      <c r="T72" s="15"/>
      <c r="U72" s="94"/>
      <c r="V72" s="17"/>
      <c r="W72" s="375"/>
      <c r="X72" s="15"/>
    </row>
    <row r="73" spans="1:24" x14ac:dyDescent="0.25">
      <c r="A73" s="15"/>
      <c r="B73" s="15"/>
      <c r="C73" s="15"/>
      <c r="D73" s="374"/>
      <c r="E73" s="15"/>
      <c r="F73" s="17"/>
      <c r="G73" s="18"/>
      <c r="H73" s="183"/>
      <c r="I73" s="15"/>
      <c r="J73" s="17"/>
      <c r="K73" s="17"/>
      <c r="L73" s="17"/>
      <c r="M73" s="15"/>
      <c r="N73" s="15"/>
      <c r="O73" s="15"/>
      <c r="P73" s="15"/>
      <c r="Q73" s="17"/>
      <c r="R73" s="15"/>
      <c r="S73" s="15"/>
      <c r="T73" s="15"/>
      <c r="U73" s="94"/>
      <c r="V73" s="17"/>
      <c r="W73" s="375"/>
      <c r="X73" s="15"/>
    </row>
    <row r="74" spans="1:24" x14ac:dyDescent="0.25">
      <c r="A74" s="15"/>
      <c r="B74" s="15"/>
      <c r="C74" s="15"/>
      <c r="D74" s="374"/>
      <c r="E74" s="15"/>
      <c r="F74" s="17"/>
      <c r="G74" s="18"/>
      <c r="H74" s="183"/>
      <c r="I74" s="15"/>
      <c r="J74" s="17"/>
      <c r="K74" s="17"/>
      <c r="L74" s="17"/>
      <c r="M74" s="15"/>
      <c r="N74" s="15"/>
      <c r="O74" s="15"/>
      <c r="P74" s="15"/>
      <c r="Q74" s="17"/>
      <c r="R74" s="15"/>
      <c r="S74" s="15"/>
      <c r="T74" s="15"/>
      <c r="U74" s="94"/>
      <c r="V74" s="17"/>
      <c r="W74" s="375"/>
      <c r="X74" s="15"/>
    </row>
    <row r="75" spans="1:24" x14ac:dyDescent="0.25">
      <c r="A75" s="15"/>
      <c r="B75" s="15"/>
      <c r="C75" s="15"/>
      <c r="D75" s="374"/>
      <c r="E75" s="15"/>
      <c r="F75" s="17"/>
      <c r="G75" s="18"/>
      <c r="H75" s="183"/>
      <c r="I75" s="15"/>
      <c r="J75" s="17"/>
      <c r="K75" s="17"/>
      <c r="L75" s="17"/>
      <c r="M75" s="15"/>
      <c r="N75" s="15"/>
      <c r="O75" s="15"/>
      <c r="P75" s="15"/>
      <c r="Q75" s="17"/>
      <c r="R75" s="15"/>
      <c r="S75" s="15"/>
      <c r="T75" s="15"/>
      <c r="U75" s="94"/>
      <c r="V75" s="17"/>
      <c r="W75" s="375"/>
      <c r="X75" s="15"/>
    </row>
    <row r="76" spans="1:24" x14ac:dyDescent="0.25">
      <c r="A76" s="15"/>
      <c r="B76" s="15"/>
      <c r="C76" s="15"/>
      <c r="D76" s="374"/>
      <c r="E76" s="15"/>
      <c r="F76" s="17"/>
      <c r="G76" s="18"/>
      <c r="H76" s="183"/>
      <c r="I76" s="15"/>
      <c r="J76" s="17"/>
      <c r="K76" s="17"/>
      <c r="L76" s="17"/>
      <c r="M76" s="15"/>
      <c r="N76" s="15"/>
      <c r="O76" s="15"/>
      <c r="P76" s="15"/>
      <c r="Q76" s="17"/>
      <c r="R76" s="15"/>
      <c r="S76" s="15"/>
      <c r="T76" s="15"/>
      <c r="U76" s="94"/>
      <c r="V76" s="17"/>
      <c r="W76" s="375"/>
      <c r="X76" s="15"/>
    </row>
    <row r="77" spans="1:24" x14ac:dyDescent="0.25">
      <c r="A77" s="15"/>
      <c r="B77" s="15"/>
      <c r="C77" s="15"/>
      <c r="D77" s="374"/>
      <c r="E77" s="15"/>
      <c r="F77" s="17"/>
      <c r="G77" s="18"/>
      <c r="H77" s="183"/>
      <c r="I77" s="15"/>
      <c r="J77" s="17"/>
      <c r="K77" s="17"/>
      <c r="L77" s="17"/>
      <c r="M77" s="15"/>
      <c r="N77" s="15"/>
      <c r="O77" s="15"/>
      <c r="P77" s="15"/>
      <c r="Q77" s="17"/>
      <c r="R77" s="15"/>
      <c r="S77" s="15"/>
      <c r="T77" s="15"/>
      <c r="U77" s="94"/>
      <c r="V77" s="17"/>
      <c r="W77" s="375"/>
      <c r="X77" s="15"/>
    </row>
    <row r="78" spans="1:24" x14ac:dyDescent="0.25">
      <c r="A78" s="15"/>
      <c r="B78" s="15"/>
      <c r="C78" s="15"/>
      <c r="D78" s="374"/>
      <c r="E78" s="15"/>
      <c r="F78" s="17"/>
      <c r="G78" s="18"/>
      <c r="H78" s="183"/>
      <c r="I78" s="15"/>
      <c r="J78" s="17"/>
      <c r="K78" s="17"/>
      <c r="L78" s="17"/>
      <c r="M78" s="15"/>
      <c r="N78" s="15"/>
      <c r="O78" s="15"/>
      <c r="P78" s="15"/>
      <c r="Q78" s="17"/>
      <c r="R78" s="15"/>
      <c r="S78" s="15"/>
      <c r="T78" s="15"/>
      <c r="U78" s="94"/>
      <c r="V78" s="17"/>
      <c r="W78" s="375"/>
      <c r="X78" s="15"/>
    </row>
    <row r="79" spans="1:24" x14ac:dyDescent="0.25">
      <c r="A79" s="15"/>
      <c r="B79" s="15"/>
      <c r="C79" s="15"/>
      <c r="D79" s="374"/>
      <c r="E79" s="15"/>
      <c r="F79" s="17"/>
      <c r="G79" s="18"/>
      <c r="H79" s="183"/>
      <c r="I79" s="15"/>
      <c r="J79" s="17"/>
      <c r="K79" s="17"/>
      <c r="L79" s="17"/>
      <c r="M79" s="15"/>
      <c r="N79" s="15"/>
      <c r="O79" s="15"/>
      <c r="P79" s="15"/>
      <c r="Q79" s="17"/>
      <c r="R79" s="15"/>
      <c r="S79" s="15"/>
      <c r="T79" s="15"/>
      <c r="U79" s="94"/>
      <c r="V79" s="17"/>
      <c r="W79" s="375"/>
      <c r="X79" s="15"/>
    </row>
    <row r="80" spans="1:24" x14ac:dyDescent="0.25">
      <c r="A80" s="15"/>
      <c r="B80" s="15"/>
      <c r="C80" s="15"/>
      <c r="D80" s="374"/>
      <c r="E80" s="15"/>
      <c r="F80" s="17"/>
      <c r="G80" s="18"/>
      <c r="H80" s="183"/>
      <c r="I80" s="15"/>
      <c r="J80" s="17"/>
      <c r="K80" s="17"/>
      <c r="L80" s="17"/>
      <c r="M80" s="15"/>
      <c r="N80" s="15"/>
      <c r="O80" s="15"/>
      <c r="P80" s="15"/>
      <c r="Q80" s="17"/>
      <c r="R80" s="15"/>
      <c r="S80" s="15"/>
      <c r="T80" s="15"/>
      <c r="U80" s="94"/>
      <c r="V80" s="17"/>
      <c r="W80" s="375"/>
      <c r="X80" s="15"/>
    </row>
    <row r="81" spans="1:24" x14ac:dyDescent="0.25">
      <c r="A81" s="15"/>
      <c r="B81" s="15"/>
      <c r="C81" s="15"/>
      <c r="D81" s="374"/>
      <c r="E81" s="15"/>
      <c r="F81" s="17"/>
      <c r="G81" s="18"/>
      <c r="H81" s="183"/>
      <c r="I81" s="15"/>
      <c r="J81" s="17"/>
      <c r="K81" s="17"/>
      <c r="L81" s="17"/>
      <c r="M81" s="15"/>
      <c r="N81" s="15"/>
      <c r="O81" s="15"/>
      <c r="P81" s="15"/>
      <c r="Q81" s="17"/>
      <c r="R81" s="15"/>
      <c r="S81" s="15"/>
      <c r="T81" s="15"/>
      <c r="U81" s="94"/>
      <c r="V81" s="17"/>
      <c r="W81" s="375"/>
      <c r="X81" s="15"/>
    </row>
    <row r="82" spans="1:24" x14ac:dyDescent="0.25">
      <c r="A82" s="15"/>
      <c r="B82" s="15"/>
      <c r="C82" s="15"/>
      <c r="D82" s="374"/>
      <c r="E82" s="15"/>
      <c r="F82" s="17"/>
      <c r="G82" s="18"/>
      <c r="H82" s="183"/>
      <c r="I82" s="15"/>
      <c r="J82" s="17"/>
      <c r="K82" s="17"/>
      <c r="L82" s="17"/>
      <c r="M82" s="15"/>
      <c r="N82" s="15"/>
      <c r="O82" s="15"/>
      <c r="P82" s="15"/>
      <c r="Q82" s="17"/>
      <c r="R82" s="15"/>
      <c r="S82" s="15"/>
      <c r="T82" s="15"/>
      <c r="U82" s="94"/>
      <c r="V82" s="17"/>
      <c r="W82" s="375"/>
      <c r="X82" s="15"/>
    </row>
    <row r="83" spans="1:24" x14ac:dyDescent="0.25">
      <c r="A83" s="15"/>
      <c r="B83" s="15"/>
      <c r="C83" s="15"/>
      <c r="D83" s="374"/>
      <c r="E83" s="15"/>
      <c r="F83" s="17"/>
      <c r="G83" s="18"/>
      <c r="H83" s="183"/>
      <c r="I83" s="15"/>
      <c r="J83" s="17"/>
      <c r="K83" s="17"/>
      <c r="L83" s="17"/>
      <c r="M83" s="15"/>
      <c r="N83" s="15"/>
      <c r="O83" s="15"/>
      <c r="P83" s="15"/>
      <c r="Q83" s="17"/>
      <c r="R83" s="15"/>
      <c r="S83" s="15"/>
      <c r="T83" s="15"/>
      <c r="U83" s="94"/>
      <c r="V83" s="17"/>
      <c r="W83" s="375"/>
      <c r="X83" s="15"/>
    </row>
    <row r="84" spans="1:24" x14ac:dyDescent="0.25">
      <c r="A84" s="15"/>
      <c r="B84" s="15"/>
      <c r="C84" s="15"/>
      <c r="D84" s="374"/>
      <c r="E84" s="15"/>
      <c r="F84" s="17"/>
      <c r="G84" s="18"/>
      <c r="H84" s="183"/>
      <c r="I84" s="15"/>
      <c r="J84" s="17"/>
      <c r="K84" s="17"/>
      <c r="L84" s="17"/>
      <c r="M84" s="15"/>
      <c r="N84" s="15"/>
      <c r="O84" s="15"/>
      <c r="P84" s="15"/>
      <c r="Q84" s="17"/>
      <c r="R84" s="15"/>
      <c r="S84" s="15"/>
      <c r="T84" s="15"/>
      <c r="U84" s="94"/>
      <c r="V84" s="17"/>
      <c r="W84" s="375"/>
      <c r="X84" s="15"/>
    </row>
    <row r="85" spans="1:24" x14ac:dyDescent="0.25">
      <c r="A85" s="15"/>
      <c r="B85" s="15"/>
      <c r="C85" s="15"/>
      <c r="D85" s="374"/>
      <c r="E85" s="15"/>
      <c r="F85" s="90"/>
      <c r="G85" s="18"/>
      <c r="H85" s="183"/>
      <c r="I85" s="15"/>
      <c r="J85" s="17"/>
      <c r="K85" s="17"/>
      <c r="L85" s="17"/>
      <c r="M85" s="15"/>
      <c r="N85" s="15"/>
      <c r="O85" s="15"/>
      <c r="P85" s="15"/>
      <c r="Q85" s="17"/>
      <c r="R85" s="15"/>
      <c r="S85" s="15"/>
      <c r="T85" s="15"/>
      <c r="U85" s="94"/>
      <c r="V85" s="17"/>
      <c r="W85" s="375"/>
      <c r="X85" s="15"/>
    </row>
    <row r="86" spans="1:24" x14ac:dyDescent="0.25">
      <c r="A86" s="15"/>
      <c r="B86" s="15"/>
      <c r="C86" s="15"/>
      <c r="D86" s="374"/>
      <c r="E86" s="15"/>
      <c r="F86" s="90"/>
      <c r="G86" s="18"/>
      <c r="H86" s="183"/>
      <c r="I86" s="15"/>
      <c r="J86" s="17"/>
      <c r="K86" s="17"/>
      <c r="L86" s="17"/>
      <c r="M86" s="15"/>
      <c r="N86" s="15"/>
      <c r="O86" s="15"/>
      <c r="P86" s="15"/>
      <c r="Q86" s="17"/>
      <c r="R86" s="15"/>
      <c r="S86" s="15"/>
      <c r="T86" s="15"/>
      <c r="U86" s="94"/>
      <c r="V86" s="17"/>
      <c r="W86" s="375"/>
      <c r="X86" s="15"/>
    </row>
    <row r="87" spans="1:24" x14ac:dyDescent="0.25">
      <c r="A87" s="15"/>
      <c r="B87" s="15"/>
      <c r="C87" s="15"/>
      <c r="D87" s="374"/>
      <c r="E87" s="15"/>
      <c r="F87" s="17"/>
      <c r="G87" s="18"/>
      <c r="H87" s="183"/>
      <c r="I87" s="15"/>
      <c r="J87" s="17"/>
      <c r="K87" s="17"/>
      <c r="L87" s="17"/>
      <c r="M87" s="15"/>
      <c r="N87" s="15"/>
      <c r="O87" s="15"/>
      <c r="P87" s="15"/>
      <c r="Q87" s="17"/>
      <c r="R87" s="15"/>
      <c r="S87" s="15"/>
      <c r="T87" s="15"/>
      <c r="U87" s="94"/>
      <c r="V87" s="17"/>
      <c r="W87" s="375"/>
      <c r="X87" s="15"/>
    </row>
    <row r="88" spans="1:24" x14ac:dyDescent="0.25">
      <c r="A88" s="15"/>
      <c r="B88" s="15"/>
      <c r="C88" s="15"/>
      <c r="D88" s="374"/>
      <c r="E88" s="15"/>
      <c r="F88" s="17"/>
      <c r="G88" s="18"/>
      <c r="H88" s="183"/>
      <c r="I88" s="15"/>
      <c r="J88" s="17"/>
      <c r="K88" s="17"/>
      <c r="L88" s="17"/>
      <c r="M88" s="15"/>
      <c r="N88" s="15"/>
      <c r="O88" s="15"/>
      <c r="P88" s="15"/>
      <c r="Q88" s="17"/>
      <c r="R88" s="15"/>
      <c r="S88" s="15"/>
      <c r="T88" s="15"/>
      <c r="U88" s="94"/>
      <c r="V88" s="17"/>
      <c r="W88" s="375"/>
      <c r="X88" s="15"/>
    </row>
    <row r="89" spans="1:24" x14ac:dyDescent="0.25">
      <c r="A89" s="15"/>
      <c r="B89" s="15"/>
      <c r="C89" s="15"/>
      <c r="D89" s="374"/>
      <c r="E89" s="15"/>
      <c r="F89" s="17"/>
      <c r="G89" s="18"/>
      <c r="H89" s="183"/>
      <c r="I89" s="15"/>
      <c r="J89" s="17"/>
      <c r="K89" s="17"/>
      <c r="L89" s="17"/>
      <c r="M89" s="15"/>
      <c r="N89" s="15"/>
      <c r="O89" s="15"/>
      <c r="P89" s="15"/>
      <c r="Q89" s="17"/>
      <c r="R89" s="15"/>
      <c r="S89" s="15"/>
      <c r="T89" s="15"/>
      <c r="U89" s="94"/>
      <c r="V89" s="17"/>
      <c r="W89" s="375"/>
      <c r="X89" s="15"/>
    </row>
    <row r="90" spans="1:24" x14ac:dyDescent="0.25">
      <c r="A90" s="15"/>
      <c r="B90" s="15"/>
      <c r="C90" s="15"/>
      <c r="D90" s="374"/>
      <c r="E90" s="15"/>
      <c r="F90" s="17"/>
      <c r="G90" s="18"/>
      <c r="H90" s="183"/>
      <c r="I90" s="15"/>
      <c r="J90" s="17"/>
      <c r="K90" s="17"/>
      <c r="L90" s="17"/>
      <c r="M90" s="15"/>
      <c r="N90" s="15"/>
      <c r="O90" s="15"/>
      <c r="P90" s="15"/>
      <c r="Q90" s="17"/>
      <c r="R90" s="15"/>
      <c r="S90" s="15"/>
      <c r="T90" s="15"/>
      <c r="U90" s="94"/>
      <c r="V90" s="17"/>
      <c r="W90" s="375"/>
      <c r="X90" s="15"/>
    </row>
    <row r="91" spans="1:24" x14ac:dyDescent="0.25">
      <c r="A91" s="15"/>
      <c r="B91" s="15"/>
      <c r="C91" s="15"/>
      <c r="D91" s="374"/>
      <c r="E91" s="15"/>
      <c r="F91" s="17"/>
      <c r="G91" s="18"/>
      <c r="H91" s="183"/>
      <c r="I91" s="15"/>
      <c r="J91" s="17"/>
      <c r="K91" s="17"/>
      <c r="L91" s="17"/>
      <c r="M91" s="15"/>
      <c r="N91" s="15"/>
      <c r="O91" s="15"/>
      <c r="P91" s="15"/>
      <c r="Q91" s="17"/>
      <c r="R91" s="15"/>
      <c r="S91" s="15"/>
      <c r="T91" s="15"/>
      <c r="U91" s="94"/>
      <c r="V91" s="17"/>
      <c r="W91" s="375"/>
      <c r="X91" s="15"/>
    </row>
    <row r="92" spans="1:24" x14ac:dyDescent="0.25">
      <c r="A92" s="15"/>
      <c r="B92" s="15"/>
      <c r="C92" s="15"/>
      <c r="D92" s="374"/>
      <c r="E92" s="15"/>
      <c r="F92" s="17"/>
      <c r="G92" s="18"/>
      <c r="H92" s="183"/>
      <c r="I92" s="15"/>
      <c r="J92" s="17"/>
      <c r="K92" s="17"/>
      <c r="L92" s="17"/>
      <c r="M92" s="15"/>
      <c r="N92" s="15"/>
      <c r="O92" s="15"/>
      <c r="P92" s="15"/>
      <c r="Q92" s="17"/>
      <c r="R92" s="15"/>
      <c r="S92" s="15"/>
      <c r="T92" s="15"/>
      <c r="U92" s="94"/>
      <c r="V92" s="17"/>
      <c r="W92" s="375"/>
      <c r="X92" s="15"/>
    </row>
    <row r="93" spans="1:24" x14ac:dyDescent="0.25">
      <c r="A93" s="15"/>
      <c r="B93" s="15"/>
      <c r="C93" s="15"/>
      <c r="D93" s="374"/>
      <c r="E93" s="15"/>
      <c r="F93" s="17"/>
      <c r="G93" s="18"/>
      <c r="H93" s="183"/>
      <c r="I93" s="15"/>
      <c r="J93" s="17"/>
      <c r="K93" s="17"/>
      <c r="L93" s="17"/>
      <c r="M93" s="15"/>
      <c r="N93" s="15"/>
      <c r="O93" s="15"/>
      <c r="P93" s="15"/>
      <c r="Q93" s="17"/>
      <c r="R93" s="15"/>
      <c r="S93" s="15"/>
      <c r="T93" s="15"/>
      <c r="U93" s="94"/>
      <c r="V93" s="17"/>
      <c r="W93" s="375"/>
      <c r="X93" s="15"/>
    </row>
    <row r="94" spans="1:24" x14ac:dyDescent="0.25">
      <c r="A94" s="15"/>
      <c r="B94" s="15"/>
      <c r="C94" s="15"/>
      <c r="D94" s="374"/>
      <c r="E94" s="15"/>
      <c r="F94" s="17"/>
      <c r="G94" s="18"/>
      <c r="H94" s="183"/>
      <c r="I94" s="15"/>
      <c r="J94" s="17"/>
      <c r="K94" s="17"/>
      <c r="L94" s="17"/>
      <c r="M94" s="15"/>
      <c r="N94" s="15"/>
      <c r="O94" s="15"/>
      <c r="P94" s="15"/>
      <c r="Q94" s="17"/>
      <c r="R94" s="15"/>
      <c r="S94" s="15"/>
      <c r="T94" s="15"/>
      <c r="U94" s="94"/>
      <c r="V94" s="17"/>
      <c r="W94" s="375"/>
      <c r="X94" s="15"/>
    </row>
    <row r="95" spans="1:24" x14ac:dyDescent="0.25">
      <c r="A95" s="15"/>
      <c r="B95" s="15"/>
      <c r="C95" s="15"/>
      <c r="D95" s="374"/>
      <c r="E95" s="15"/>
      <c r="F95" s="17"/>
      <c r="G95" s="18"/>
      <c r="H95" s="183"/>
      <c r="I95" s="15"/>
      <c r="J95" s="17"/>
      <c r="K95" s="17"/>
      <c r="L95" s="17"/>
      <c r="M95" s="15"/>
      <c r="N95" s="15"/>
      <c r="O95" s="15"/>
      <c r="P95" s="15"/>
      <c r="Q95" s="17"/>
      <c r="R95" s="15"/>
      <c r="S95" s="15"/>
      <c r="T95" s="15"/>
      <c r="U95" s="94"/>
      <c r="V95" s="17"/>
      <c r="W95" s="375"/>
      <c r="X95" s="15"/>
    </row>
    <row r="96" spans="1:24" x14ac:dyDescent="0.25">
      <c r="A96" s="15"/>
      <c r="B96" s="15"/>
      <c r="C96" s="15"/>
      <c r="D96" s="374"/>
      <c r="E96" s="15"/>
      <c r="F96" s="17"/>
      <c r="G96" s="18"/>
      <c r="H96" s="183"/>
      <c r="I96" s="15"/>
      <c r="J96" s="17"/>
      <c r="K96" s="17"/>
      <c r="L96" s="17"/>
      <c r="M96" s="15"/>
      <c r="N96" s="15"/>
      <c r="O96" s="15"/>
      <c r="P96" s="15"/>
      <c r="Q96" s="17"/>
      <c r="R96" s="15"/>
      <c r="S96" s="15"/>
      <c r="T96" s="15"/>
      <c r="U96" s="94"/>
      <c r="V96" s="17"/>
      <c r="W96" s="375"/>
      <c r="X96" s="15"/>
    </row>
    <row r="97" spans="1:24" x14ac:dyDescent="0.25">
      <c r="A97" s="15"/>
      <c r="B97" s="15"/>
      <c r="C97" s="15"/>
      <c r="D97" s="374"/>
      <c r="E97" s="15"/>
      <c r="F97" s="17"/>
      <c r="G97" s="18"/>
      <c r="H97" s="183"/>
      <c r="I97" s="91"/>
      <c r="J97" s="17"/>
      <c r="K97" s="17"/>
      <c r="L97" s="17"/>
      <c r="M97" s="15"/>
      <c r="N97" s="15"/>
      <c r="O97" s="15"/>
      <c r="P97" s="15"/>
      <c r="Q97" s="17"/>
      <c r="R97" s="15"/>
      <c r="S97" s="15"/>
      <c r="T97" s="15"/>
      <c r="U97" s="94"/>
      <c r="V97" s="17"/>
      <c r="W97" s="375"/>
      <c r="X97" s="15"/>
    </row>
    <row r="98" spans="1:24" x14ac:dyDescent="0.25">
      <c r="A98" s="15"/>
      <c r="B98" s="15"/>
      <c r="C98" s="15"/>
      <c r="D98" s="374"/>
      <c r="E98" s="15"/>
      <c r="F98" s="17"/>
      <c r="G98" s="18"/>
      <c r="H98" s="183"/>
      <c r="I98" s="91"/>
      <c r="J98" s="17"/>
      <c r="K98" s="17"/>
      <c r="L98" s="17"/>
      <c r="M98" s="15"/>
      <c r="N98" s="15"/>
      <c r="O98" s="15"/>
      <c r="P98" s="15"/>
      <c r="Q98" s="17"/>
      <c r="R98" s="15"/>
      <c r="S98" s="15"/>
      <c r="T98" s="15"/>
      <c r="U98" s="94"/>
      <c r="V98" s="17"/>
      <c r="W98" s="375"/>
      <c r="X98" s="15"/>
    </row>
  </sheetData>
  <sheetProtection insertColumns="0" insertRows="0" sort="0" autoFilter="0" pivotTables="0"/>
  <autoFilter ref="A3:Z3" xr:uid="{FFA23997-CC8B-4DAF-B978-CE9C5DCC7E75}"/>
  <conditionalFormatting sqref="F27:F33 F46:F47 F58 F67:F68 F77 F92:F93 F97:F98">
    <cfRule type="cellIs" dxfId="125" priority="7" operator="equal">
      <formula>"YES-INVALID"</formula>
    </cfRule>
    <cfRule type="cellIs" dxfId="124" priority="8" operator="equal">
      <formula>"YES"</formula>
    </cfRule>
    <cfRule type="cellIs" dxfId="123" priority="9" operator="equal">
      <formula>"MISSING"</formula>
    </cfRule>
  </conditionalFormatting>
  <conditionalFormatting sqref="H97:I98">
    <cfRule type="cellIs" dxfId="122" priority="4" operator="equal">
      <formula>"YES-INVALID"</formula>
    </cfRule>
    <cfRule type="cellIs" dxfId="121" priority="5" operator="equal">
      <formula>"YES"</formula>
    </cfRule>
    <cfRule type="cellIs" dxfId="120" priority="6" operator="equal">
      <formula>"MISSING"</formula>
    </cfRule>
  </conditionalFormatting>
  <conditionalFormatting sqref="V4:V98">
    <cfRule type="cellIs" dxfId="119" priority="1" operator="equal">
      <formula>"NO-OOS"</formula>
    </cfRule>
    <cfRule type="cellIs" dxfId="118" priority="2" operator="equal">
      <formula>"NO-GA"</formula>
    </cfRule>
    <cfRule type="cellIs" dxfId="117" priority="3" operator="equal">
      <formula>"YES"</formula>
    </cfRule>
  </conditionalFormatting>
  <dataValidations count="1">
    <dataValidation type="list" allowBlank="1" showInputMessage="1" showErrorMessage="1" sqref="V4:V98" xr:uid="{9D8477C6-D973-4F79-B99E-3662A17C9376}">
      <formula1>"YES, NO-GA, NO-OOS"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showInputMessage="1" showErrorMessage="1" promptTitle="FF2" prompt="GS - Georgia Spend NON PAYROLL_x000a_GL - Geogia Labor (GA Residents)_x000a_NQ - Non Qualified_x000a_DL - Distant Labor (NON-GA Residents)" xr:uid="{CDC3668A-BCC7-440D-B1CD-D796714076F7}">
          <x14:formula1>
            <xm:f>Legend!$K$3:$K$6</xm:f>
          </x14:formula1>
          <xm:sqref>K4:K98</xm:sqref>
        </x14:dataValidation>
        <x14:dataValidation type="list" allowBlank="1" showInputMessage="1" showErrorMessage="1" xr:uid="{7DCBF433-E3BB-4CEB-AFDB-B6C462CB2211}">
          <x14:formula1>
            <xm:f>Legend!$N$3:$N$8</xm:f>
          </x14:formula1>
          <xm:sqref>L4:L98</xm:sqref>
        </x14:dataValidation>
        <x14:dataValidation type="list" allowBlank="1" showInputMessage="1" showErrorMessage="1" xr:uid="{E1869F3C-FC58-4DD7-8F8C-7BDBDBD3F9A0}">
          <x14:formula1>
            <xm:f>Legend!$H$3:$H$15</xm:f>
          </x14:formula1>
          <xm:sqref>J4:J98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81F14-EB12-470D-835B-A201F3CEA6C1}">
  <sheetPr>
    <tabColor rgb="FF66CCFF"/>
  </sheetPr>
  <dimension ref="A1:X98"/>
  <sheetViews>
    <sheetView zoomScale="90" zoomScaleNormal="90" workbookViewId="0">
      <pane ySplit="3" topLeftCell="A4" activePane="bottomLeft" state="frozen"/>
      <selection activeCell="J35" sqref="J35:L99"/>
      <selection pane="bottomLeft" activeCell="C14" sqref="C14"/>
    </sheetView>
  </sheetViews>
  <sheetFormatPr defaultRowHeight="15" x14ac:dyDescent="0.25"/>
  <cols>
    <col min="1" max="1" width="20" bestFit="1" customWidth="1"/>
    <col min="2" max="2" width="18.28515625" customWidth="1"/>
    <col min="3" max="3" width="20.42578125" customWidth="1"/>
    <col min="4" max="4" width="15.7109375" style="367" customWidth="1"/>
    <col min="5" max="5" width="21.28515625" customWidth="1"/>
    <col min="6" max="6" width="17.5703125" customWidth="1"/>
    <col min="7" max="7" width="12.5703125" customWidth="1"/>
    <col min="8" max="8" width="14.7109375" bestFit="1" customWidth="1"/>
    <col min="9" max="9" width="36" customWidth="1"/>
    <col min="10" max="13" width="10.5703125" customWidth="1"/>
    <col min="14" max="14" width="25.42578125" customWidth="1"/>
    <col min="15" max="15" width="19.28515625" customWidth="1"/>
    <col min="16" max="16" width="15.28515625" customWidth="1"/>
    <col min="17" max="19" width="15.5703125" customWidth="1"/>
    <col min="20" max="20" width="15.5703125" style="4" customWidth="1"/>
    <col min="21" max="21" width="14.28515625" style="368" bestFit="1" customWidth="1"/>
    <col min="22" max="23" width="14.28515625" style="368" customWidth="1"/>
    <col min="24" max="24" width="45" bestFit="1" customWidth="1"/>
  </cols>
  <sheetData>
    <row r="1" spans="1:24" ht="46.5" x14ac:dyDescent="0.7">
      <c r="A1" s="394" t="s">
        <v>452</v>
      </c>
      <c r="R1" s="36"/>
    </row>
    <row r="3" spans="1:24" s="36" customFormat="1" ht="15.75" customHeight="1" x14ac:dyDescent="0.25">
      <c r="A3" s="369" t="s">
        <v>409</v>
      </c>
      <c r="B3" s="369" t="s">
        <v>410</v>
      </c>
      <c r="C3" s="369" t="s">
        <v>411</v>
      </c>
      <c r="D3" s="370" t="s">
        <v>412</v>
      </c>
      <c r="E3" s="369" t="s">
        <v>25</v>
      </c>
      <c r="F3" s="369" t="s">
        <v>26</v>
      </c>
      <c r="G3" s="369" t="s">
        <v>27</v>
      </c>
      <c r="H3" s="369" t="s">
        <v>28</v>
      </c>
      <c r="I3" s="369" t="s">
        <v>29</v>
      </c>
      <c r="J3" s="369" t="s">
        <v>0</v>
      </c>
      <c r="K3" s="369" t="s">
        <v>1</v>
      </c>
      <c r="L3" s="369" t="s">
        <v>30</v>
      </c>
      <c r="M3" s="369" t="s">
        <v>31</v>
      </c>
      <c r="N3" s="369" t="s">
        <v>32</v>
      </c>
      <c r="O3" s="371" t="s">
        <v>73</v>
      </c>
      <c r="P3" s="371" t="s">
        <v>76</v>
      </c>
      <c r="Q3" s="371" t="s">
        <v>74</v>
      </c>
      <c r="R3" s="371" t="s">
        <v>75</v>
      </c>
      <c r="S3" s="371" t="s">
        <v>77</v>
      </c>
      <c r="T3" s="372" t="s">
        <v>33</v>
      </c>
      <c r="U3" s="373" t="s">
        <v>34</v>
      </c>
      <c r="V3" s="373" t="s">
        <v>413</v>
      </c>
      <c r="W3" s="373"/>
      <c r="X3" s="373" t="s">
        <v>109</v>
      </c>
    </row>
    <row r="4" spans="1:24" x14ac:dyDescent="0.25">
      <c r="A4" s="15"/>
      <c r="B4" s="15"/>
      <c r="C4" s="15"/>
      <c r="D4" s="374"/>
      <c r="E4" s="15"/>
      <c r="F4" s="17"/>
      <c r="G4" s="18"/>
      <c r="H4" s="183"/>
      <c r="I4" s="15"/>
      <c r="J4" s="17" t="s">
        <v>6</v>
      </c>
      <c r="K4" s="17" t="s">
        <v>2</v>
      </c>
      <c r="L4" s="17" t="s">
        <v>3</v>
      </c>
      <c r="M4" s="15"/>
      <c r="N4" s="15"/>
      <c r="O4" s="15"/>
      <c r="P4" s="15"/>
      <c r="Q4" s="17"/>
      <c r="R4" s="15"/>
      <c r="S4" s="15"/>
      <c r="T4" s="15"/>
      <c r="U4" s="94"/>
      <c r="V4" s="17"/>
      <c r="W4" s="375"/>
      <c r="X4" s="15"/>
    </row>
    <row r="5" spans="1:24" x14ac:dyDescent="0.25">
      <c r="A5" s="15"/>
      <c r="B5" s="15"/>
      <c r="C5" s="15"/>
      <c r="D5" s="374"/>
      <c r="E5" s="15"/>
      <c r="F5" s="17"/>
      <c r="G5" s="18"/>
      <c r="H5" s="183"/>
      <c r="I5" s="15"/>
      <c r="J5" s="17" t="s">
        <v>14</v>
      </c>
      <c r="K5" s="17" t="s">
        <v>9</v>
      </c>
      <c r="L5" s="17" t="s">
        <v>3</v>
      </c>
      <c r="M5" s="15"/>
      <c r="N5" s="15"/>
      <c r="O5" s="15"/>
      <c r="P5" s="15"/>
      <c r="Q5" s="15"/>
      <c r="R5" s="15"/>
      <c r="S5" s="15"/>
      <c r="T5" s="15"/>
      <c r="U5" s="94"/>
      <c r="V5" s="17"/>
      <c r="W5" s="375"/>
      <c r="X5" s="15"/>
    </row>
    <row r="6" spans="1:24" x14ac:dyDescent="0.25">
      <c r="A6" s="15"/>
      <c r="B6" s="15"/>
      <c r="C6" s="15"/>
      <c r="D6" s="374"/>
      <c r="E6" s="15"/>
      <c r="F6" s="17"/>
      <c r="G6" s="18"/>
      <c r="H6" s="183"/>
      <c r="I6" s="15"/>
      <c r="J6" s="17" t="s">
        <v>7</v>
      </c>
      <c r="K6" s="17" t="s">
        <v>5</v>
      </c>
      <c r="L6" s="17" t="s">
        <v>3</v>
      </c>
      <c r="M6" s="15"/>
      <c r="N6" s="15"/>
      <c r="O6" s="15"/>
      <c r="P6" s="15"/>
      <c r="Q6" s="15"/>
      <c r="R6" s="15"/>
      <c r="S6" s="15"/>
      <c r="T6" s="15"/>
      <c r="U6" s="94"/>
      <c r="V6" s="17"/>
      <c r="W6" s="375"/>
      <c r="X6" s="15"/>
    </row>
    <row r="7" spans="1:24" x14ac:dyDescent="0.25">
      <c r="A7" s="15"/>
      <c r="B7" s="15"/>
      <c r="C7" s="15"/>
      <c r="D7" s="374"/>
      <c r="E7" s="15"/>
      <c r="F7" s="17"/>
      <c r="G7" s="18"/>
      <c r="H7" s="183"/>
      <c r="I7" s="15"/>
      <c r="J7" s="17" t="s">
        <v>4</v>
      </c>
      <c r="K7" s="17" t="s">
        <v>44</v>
      </c>
      <c r="L7" s="17" t="s">
        <v>3</v>
      </c>
      <c r="M7" s="15"/>
      <c r="N7" s="15"/>
      <c r="O7" s="15"/>
      <c r="P7" s="15"/>
      <c r="Q7" s="15"/>
      <c r="R7" s="15"/>
      <c r="S7" s="15"/>
      <c r="T7" s="15"/>
      <c r="U7" s="94"/>
      <c r="V7" s="17"/>
      <c r="W7" s="375"/>
      <c r="X7" s="15"/>
    </row>
    <row r="8" spans="1:24" x14ac:dyDescent="0.25">
      <c r="A8" s="15"/>
      <c r="B8" s="15"/>
      <c r="C8" s="15"/>
      <c r="D8" s="374"/>
      <c r="E8" s="15"/>
      <c r="F8" s="17"/>
      <c r="G8" s="18"/>
      <c r="H8" s="183"/>
      <c r="I8" s="15"/>
      <c r="J8" s="17" t="s">
        <v>16</v>
      </c>
      <c r="K8" s="17"/>
      <c r="L8" s="17" t="s">
        <v>3</v>
      </c>
      <c r="M8" s="15"/>
      <c r="N8" s="15"/>
      <c r="O8" s="15"/>
      <c r="P8" s="15"/>
      <c r="Q8" s="15"/>
      <c r="R8" s="15"/>
      <c r="S8" s="15"/>
      <c r="T8" s="15"/>
      <c r="U8" s="94"/>
      <c r="V8" s="17"/>
      <c r="W8" s="375"/>
      <c r="X8" s="15"/>
    </row>
    <row r="9" spans="1:24" x14ac:dyDescent="0.25">
      <c r="A9" s="15"/>
      <c r="B9" s="15"/>
      <c r="C9" s="15"/>
      <c r="D9" s="374"/>
      <c r="E9" s="15"/>
      <c r="F9" s="17"/>
      <c r="G9" s="15"/>
      <c r="H9" s="183"/>
      <c r="I9" s="15"/>
      <c r="J9" s="17" t="s">
        <v>172</v>
      </c>
      <c r="K9" s="17"/>
      <c r="L9" s="17" t="s">
        <v>3</v>
      </c>
      <c r="M9" s="15"/>
      <c r="N9" s="15"/>
      <c r="O9" s="15"/>
      <c r="P9" s="15"/>
      <c r="Q9" s="15"/>
      <c r="R9" s="15"/>
      <c r="S9" s="15"/>
      <c r="T9" s="15"/>
      <c r="U9" s="94"/>
      <c r="V9" s="17"/>
      <c r="W9" s="375"/>
      <c r="X9" s="15"/>
    </row>
    <row r="10" spans="1:24" x14ac:dyDescent="0.25">
      <c r="A10" s="15"/>
      <c r="B10" s="15"/>
      <c r="C10" s="15"/>
      <c r="D10" s="374"/>
      <c r="E10" s="15"/>
      <c r="F10" s="17"/>
      <c r="G10" s="18"/>
      <c r="H10" s="183"/>
      <c r="I10" s="15"/>
      <c r="J10" s="17" t="s">
        <v>81</v>
      </c>
      <c r="K10" s="17"/>
      <c r="L10" s="17" t="s">
        <v>3</v>
      </c>
      <c r="M10" s="15"/>
      <c r="N10" s="15"/>
      <c r="O10" s="15"/>
      <c r="P10" s="15"/>
      <c r="Q10" s="15"/>
      <c r="R10" s="15"/>
      <c r="S10" s="15"/>
      <c r="T10" s="15"/>
      <c r="U10" s="94"/>
      <c r="V10" s="17"/>
      <c r="W10" s="375"/>
      <c r="X10" s="15"/>
    </row>
    <row r="11" spans="1:24" x14ac:dyDescent="0.25">
      <c r="A11" s="15"/>
      <c r="B11" s="15"/>
      <c r="C11" s="15"/>
      <c r="D11" s="374"/>
      <c r="E11" s="15"/>
      <c r="F11" s="17"/>
      <c r="G11" s="18"/>
      <c r="H11" s="183"/>
      <c r="I11" s="15"/>
      <c r="J11" s="17" t="s">
        <v>82</v>
      </c>
      <c r="K11" s="17"/>
      <c r="L11" s="17" t="s">
        <v>3</v>
      </c>
      <c r="M11" s="15"/>
      <c r="N11" s="15"/>
      <c r="O11" s="15"/>
      <c r="P11" s="15"/>
      <c r="Q11" s="15"/>
      <c r="R11" s="15"/>
      <c r="S11" s="15"/>
      <c r="T11" s="15"/>
      <c r="U11" s="94"/>
      <c r="V11" s="17"/>
      <c r="W11" s="375"/>
      <c r="X11" s="15"/>
    </row>
    <row r="12" spans="1:24" x14ac:dyDescent="0.25">
      <c r="A12" s="15"/>
      <c r="B12" s="15"/>
      <c r="C12" s="15"/>
      <c r="D12" s="374"/>
      <c r="E12" s="15"/>
      <c r="F12" s="17"/>
      <c r="G12" s="18"/>
      <c r="H12" s="183"/>
      <c r="I12" s="15"/>
      <c r="J12" s="17" t="s">
        <v>21</v>
      </c>
      <c r="K12" s="17"/>
      <c r="L12" s="17" t="s">
        <v>3</v>
      </c>
      <c r="M12" s="15"/>
      <c r="N12" s="15"/>
      <c r="O12" s="15"/>
      <c r="P12" s="15"/>
      <c r="Q12" s="15"/>
      <c r="R12" s="15"/>
      <c r="S12" s="15"/>
      <c r="T12" s="15"/>
      <c r="U12" s="94"/>
      <c r="V12" s="17"/>
      <c r="W12" s="375"/>
      <c r="X12" s="15"/>
    </row>
    <row r="13" spans="1:24" x14ac:dyDescent="0.25">
      <c r="A13" s="15"/>
      <c r="B13" s="15"/>
      <c r="C13" s="15"/>
      <c r="D13" s="374"/>
      <c r="E13" s="15"/>
      <c r="F13" s="17"/>
      <c r="G13" s="18"/>
      <c r="H13" s="183"/>
      <c r="I13" s="15"/>
      <c r="J13" s="17" t="s">
        <v>22</v>
      </c>
      <c r="K13" s="17"/>
      <c r="L13" s="17" t="s">
        <v>3</v>
      </c>
      <c r="M13" s="15"/>
      <c r="N13" s="15"/>
      <c r="O13" s="15"/>
      <c r="P13" s="15"/>
      <c r="Q13" s="15"/>
      <c r="R13" s="15"/>
      <c r="S13" s="15"/>
      <c r="T13" s="15"/>
      <c r="U13" s="94"/>
      <c r="V13" s="17"/>
      <c r="W13" s="375"/>
      <c r="X13" s="15"/>
    </row>
    <row r="14" spans="1:24" x14ac:dyDescent="0.25">
      <c r="A14" s="15"/>
      <c r="B14" s="15"/>
      <c r="C14" s="15"/>
      <c r="D14" s="374"/>
      <c r="E14" s="15"/>
      <c r="F14" s="17"/>
      <c r="G14" s="18"/>
      <c r="H14" s="183"/>
      <c r="I14" s="15"/>
      <c r="J14" s="17" t="s">
        <v>11</v>
      </c>
      <c r="K14" s="17"/>
      <c r="L14" s="17" t="s">
        <v>3</v>
      </c>
      <c r="M14" s="15"/>
      <c r="N14" s="15"/>
      <c r="O14" s="15"/>
      <c r="P14" s="15"/>
      <c r="Q14" s="15"/>
      <c r="R14" s="15"/>
      <c r="S14" s="15"/>
      <c r="T14" s="15"/>
      <c r="U14" s="94"/>
      <c r="V14" s="17"/>
      <c r="W14" s="375"/>
      <c r="X14" s="15"/>
    </row>
    <row r="15" spans="1:24" x14ac:dyDescent="0.25">
      <c r="A15" s="15"/>
      <c r="B15" s="15"/>
      <c r="C15" s="15"/>
      <c r="D15" s="374"/>
      <c r="E15" s="15"/>
      <c r="F15" s="17"/>
      <c r="G15" s="18"/>
      <c r="H15" s="183"/>
      <c r="I15" s="15"/>
      <c r="J15" s="17" t="s">
        <v>5</v>
      </c>
      <c r="K15" s="17"/>
      <c r="L15" s="17" t="s">
        <v>3</v>
      </c>
      <c r="M15" s="15"/>
      <c r="N15" s="15"/>
      <c r="O15" s="15"/>
      <c r="P15" s="15"/>
      <c r="Q15" s="15"/>
      <c r="R15" s="15"/>
      <c r="S15" s="15"/>
      <c r="T15" s="15"/>
      <c r="U15" s="94"/>
      <c r="V15" s="17"/>
      <c r="W15" s="375"/>
      <c r="X15" s="15"/>
    </row>
    <row r="16" spans="1:24" x14ac:dyDescent="0.25">
      <c r="A16" s="15"/>
      <c r="B16" s="15"/>
      <c r="C16" s="15"/>
      <c r="D16" s="374"/>
      <c r="E16" s="15"/>
      <c r="F16" s="17"/>
      <c r="G16" s="18"/>
      <c r="H16" s="183"/>
      <c r="I16" s="15"/>
      <c r="J16" s="17"/>
      <c r="K16" s="17"/>
      <c r="L16" s="17" t="s">
        <v>3</v>
      </c>
      <c r="M16" s="15"/>
      <c r="N16" s="15"/>
      <c r="O16" s="15"/>
      <c r="P16" s="15"/>
      <c r="Q16" s="15"/>
      <c r="R16" s="15"/>
      <c r="S16" s="15"/>
      <c r="T16" s="15"/>
      <c r="U16" s="94"/>
      <c r="V16" s="17"/>
      <c r="W16" s="375"/>
      <c r="X16" s="15"/>
    </row>
    <row r="17" spans="1:24" x14ac:dyDescent="0.25">
      <c r="A17" s="15"/>
      <c r="B17" s="15"/>
      <c r="C17" s="15"/>
      <c r="D17" s="374"/>
      <c r="E17" s="15"/>
      <c r="F17" s="17"/>
      <c r="G17" s="18"/>
      <c r="H17" s="183"/>
      <c r="I17" s="15"/>
      <c r="J17" s="17"/>
      <c r="K17" s="17"/>
      <c r="L17" s="17" t="s">
        <v>3</v>
      </c>
      <c r="M17" s="15"/>
      <c r="N17" s="15"/>
      <c r="O17" s="15"/>
      <c r="P17" s="15"/>
      <c r="Q17" s="15"/>
      <c r="R17" s="15"/>
      <c r="S17" s="15"/>
      <c r="T17" s="15"/>
      <c r="U17" s="94"/>
      <c r="V17" s="17"/>
      <c r="W17" s="375"/>
      <c r="X17" s="15"/>
    </row>
    <row r="18" spans="1:24" x14ac:dyDescent="0.25">
      <c r="A18" s="15"/>
      <c r="B18" s="15"/>
      <c r="C18" s="15"/>
      <c r="D18" s="374"/>
      <c r="E18" s="15"/>
      <c r="F18" s="17"/>
      <c r="G18" s="18"/>
      <c r="H18" s="183"/>
      <c r="I18" s="15"/>
      <c r="J18" s="17"/>
      <c r="K18" s="17"/>
      <c r="L18" s="17" t="s">
        <v>3</v>
      </c>
      <c r="M18" s="15"/>
      <c r="N18" s="15"/>
      <c r="O18" s="15"/>
      <c r="P18" s="15"/>
      <c r="Q18" s="17"/>
      <c r="R18" s="15"/>
      <c r="S18" s="15"/>
      <c r="T18" s="15"/>
      <c r="U18" s="94"/>
      <c r="V18" s="17"/>
      <c r="W18" s="375"/>
      <c r="X18" s="15"/>
    </row>
    <row r="19" spans="1:24" x14ac:dyDescent="0.25">
      <c r="A19" s="15"/>
      <c r="B19" s="15"/>
      <c r="C19" s="15"/>
      <c r="D19" s="374"/>
      <c r="E19" s="15"/>
      <c r="F19" s="17"/>
      <c r="G19" s="18"/>
      <c r="H19" s="183"/>
      <c r="I19" s="15"/>
      <c r="J19" s="17"/>
      <c r="K19" s="17"/>
      <c r="L19" s="17" t="s">
        <v>3</v>
      </c>
      <c r="M19" s="15"/>
      <c r="N19" s="15"/>
      <c r="O19" s="15"/>
      <c r="P19" s="15"/>
      <c r="Q19" s="17"/>
      <c r="R19" s="15"/>
      <c r="S19" s="15"/>
      <c r="T19" s="15"/>
      <c r="U19" s="94"/>
      <c r="V19" s="17"/>
      <c r="W19" s="375"/>
      <c r="X19" s="15"/>
    </row>
    <row r="20" spans="1:24" x14ac:dyDescent="0.25">
      <c r="A20" s="15"/>
      <c r="B20" s="15"/>
      <c r="C20" s="15"/>
      <c r="D20" s="374"/>
      <c r="E20" s="15"/>
      <c r="F20" s="17"/>
      <c r="G20" s="18"/>
      <c r="H20" s="183"/>
      <c r="I20" s="15"/>
      <c r="J20" s="17"/>
      <c r="K20" s="17"/>
      <c r="L20" s="17" t="s">
        <v>3</v>
      </c>
      <c r="M20" s="15"/>
      <c r="N20" s="15"/>
      <c r="O20" s="15"/>
      <c r="P20" s="15"/>
      <c r="Q20" s="17"/>
      <c r="R20" s="15"/>
      <c r="S20" s="15"/>
      <c r="T20" s="15"/>
      <c r="U20" s="94"/>
      <c r="V20" s="17"/>
      <c r="W20" s="375"/>
      <c r="X20" s="15"/>
    </row>
    <row r="21" spans="1:24" x14ac:dyDescent="0.25">
      <c r="A21" s="15"/>
      <c r="B21" s="15"/>
      <c r="C21" s="15"/>
      <c r="D21" s="374"/>
      <c r="E21" s="15"/>
      <c r="F21" s="17"/>
      <c r="G21" s="18"/>
      <c r="H21" s="183"/>
      <c r="I21" s="15"/>
      <c r="J21" s="17"/>
      <c r="K21" s="17"/>
      <c r="L21" s="17" t="s">
        <v>3</v>
      </c>
      <c r="M21" s="15"/>
      <c r="N21" s="15"/>
      <c r="O21" s="15"/>
      <c r="P21" s="15"/>
      <c r="Q21" s="17"/>
      <c r="R21" s="15"/>
      <c r="S21" s="15"/>
      <c r="T21" s="15"/>
      <c r="U21" s="94"/>
      <c r="V21" s="17"/>
      <c r="W21" s="375"/>
      <c r="X21" s="15"/>
    </row>
    <row r="22" spans="1:24" x14ac:dyDescent="0.25">
      <c r="A22" s="15"/>
      <c r="B22" s="15"/>
      <c r="C22" s="15"/>
      <c r="D22" s="374"/>
      <c r="E22" s="15"/>
      <c r="F22" s="17"/>
      <c r="G22" s="18"/>
      <c r="H22" s="183"/>
      <c r="I22" s="15"/>
      <c r="J22" s="17"/>
      <c r="K22" s="17"/>
      <c r="L22" s="17" t="s">
        <v>3</v>
      </c>
      <c r="M22" s="15"/>
      <c r="N22" s="15"/>
      <c r="O22" s="15"/>
      <c r="P22" s="15"/>
      <c r="Q22" s="17"/>
      <c r="R22" s="15"/>
      <c r="S22" s="15"/>
      <c r="T22" s="15"/>
      <c r="U22" s="94"/>
      <c r="V22" s="17"/>
      <c r="W22" s="375"/>
      <c r="X22" s="15"/>
    </row>
    <row r="23" spans="1:24" x14ac:dyDescent="0.25">
      <c r="A23" s="15"/>
      <c r="B23" s="15"/>
      <c r="C23" s="15"/>
      <c r="D23" s="374"/>
      <c r="E23" s="15"/>
      <c r="F23" s="17"/>
      <c r="G23" s="18"/>
      <c r="H23" s="183"/>
      <c r="I23" s="15"/>
      <c r="J23" s="17"/>
      <c r="K23" s="17"/>
      <c r="L23" s="17" t="s">
        <v>3</v>
      </c>
      <c r="M23" s="15"/>
      <c r="N23" s="15"/>
      <c r="O23" s="15"/>
      <c r="P23" s="15"/>
      <c r="Q23" s="17"/>
      <c r="R23" s="15"/>
      <c r="S23" s="15"/>
      <c r="T23" s="15"/>
      <c r="U23" s="94"/>
      <c r="V23" s="17"/>
      <c r="W23" s="375"/>
      <c r="X23" s="15"/>
    </row>
    <row r="24" spans="1:24" x14ac:dyDescent="0.25">
      <c r="A24" s="15"/>
      <c r="B24" s="15"/>
      <c r="C24" s="15"/>
      <c r="D24" s="374"/>
      <c r="E24" s="15"/>
      <c r="F24" s="17"/>
      <c r="G24" s="18"/>
      <c r="H24" s="183"/>
      <c r="I24" s="15"/>
      <c r="J24" s="17"/>
      <c r="K24" s="17"/>
      <c r="L24" s="17" t="s">
        <v>3</v>
      </c>
      <c r="M24" s="15"/>
      <c r="N24" s="15"/>
      <c r="O24" s="15"/>
      <c r="P24" s="15"/>
      <c r="Q24" s="17"/>
      <c r="R24" s="15"/>
      <c r="S24" s="15"/>
      <c r="T24" s="15"/>
      <c r="U24" s="94"/>
      <c r="V24" s="17"/>
      <c r="W24" s="375"/>
      <c r="X24" s="15"/>
    </row>
    <row r="25" spans="1:24" x14ac:dyDescent="0.25">
      <c r="A25" s="15"/>
      <c r="B25" s="15"/>
      <c r="C25" s="15"/>
      <c r="D25" s="374"/>
      <c r="E25" s="15"/>
      <c r="F25" s="17"/>
      <c r="G25" s="18"/>
      <c r="H25" s="183"/>
      <c r="I25" s="15"/>
      <c r="J25" s="17"/>
      <c r="K25" s="17"/>
      <c r="L25" s="17" t="s">
        <v>3</v>
      </c>
      <c r="M25" s="15"/>
      <c r="N25" s="15"/>
      <c r="O25" s="15"/>
      <c r="P25" s="15"/>
      <c r="Q25" s="17"/>
      <c r="R25" s="15"/>
      <c r="S25" s="15"/>
      <c r="T25" s="15"/>
      <c r="U25" s="94"/>
      <c r="V25" s="17"/>
      <c r="W25" s="375"/>
      <c r="X25" s="15"/>
    </row>
    <row r="26" spans="1:24" x14ac:dyDescent="0.25">
      <c r="A26" s="15"/>
      <c r="B26" s="15"/>
      <c r="C26" s="15"/>
      <c r="D26" s="374"/>
      <c r="E26" s="15"/>
      <c r="F26" s="17"/>
      <c r="G26" s="18"/>
      <c r="H26" s="183"/>
      <c r="I26" s="15"/>
      <c r="J26" s="17"/>
      <c r="K26" s="17"/>
      <c r="L26" s="17" t="s">
        <v>3</v>
      </c>
      <c r="M26" s="15"/>
      <c r="N26" s="15"/>
      <c r="O26" s="15"/>
      <c r="P26" s="15"/>
      <c r="Q26" s="17"/>
      <c r="R26" s="15"/>
      <c r="S26" s="15"/>
      <c r="T26" s="15"/>
      <c r="U26" s="94"/>
      <c r="V26" s="17"/>
      <c r="W26" s="375"/>
      <c r="X26" s="15"/>
    </row>
    <row r="27" spans="1:24" x14ac:dyDescent="0.25">
      <c r="A27" s="15"/>
      <c r="B27" s="15"/>
      <c r="C27" s="15"/>
      <c r="D27" s="374"/>
      <c r="E27" s="15"/>
      <c r="F27" s="17"/>
      <c r="G27" s="18"/>
      <c r="H27" s="183"/>
      <c r="I27" s="15"/>
      <c r="J27" s="17"/>
      <c r="K27" s="17"/>
      <c r="L27" s="17" t="s">
        <v>3</v>
      </c>
      <c r="M27" s="15"/>
      <c r="N27" s="15"/>
      <c r="O27" s="15"/>
      <c r="P27" s="15"/>
      <c r="Q27" s="17"/>
      <c r="R27" s="15"/>
      <c r="S27" s="15"/>
      <c r="T27" s="15"/>
      <c r="U27" s="94"/>
      <c r="V27" s="17"/>
      <c r="W27" s="375"/>
      <c r="X27" s="15"/>
    </row>
    <row r="28" spans="1:24" x14ac:dyDescent="0.25">
      <c r="A28" s="15"/>
      <c r="B28" s="15"/>
      <c r="C28" s="15"/>
      <c r="D28" s="374"/>
      <c r="E28" s="15"/>
      <c r="F28" s="17"/>
      <c r="G28" s="18"/>
      <c r="H28" s="183"/>
      <c r="I28" s="15"/>
      <c r="J28" s="17"/>
      <c r="K28" s="17"/>
      <c r="L28" s="17" t="s">
        <v>3</v>
      </c>
      <c r="M28" s="15"/>
      <c r="N28" s="15"/>
      <c r="O28" s="15"/>
      <c r="P28" s="15"/>
      <c r="Q28" s="17"/>
      <c r="R28" s="15"/>
      <c r="S28" s="15"/>
      <c r="T28" s="15"/>
      <c r="U28" s="94"/>
      <c r="V28" s="17"/>
      <c r="W28" s="375"/>
      <c r="X28" s="15"/>
    </row>
    <row r="29" spans="1:24" x14ac:dyDescent="0.25">
      <c r="A29" s="15"/>
      <c r="B29" s="15"/>
      <c r="C29" s="15"/>
      <c r="D29" s="374"/>
      <c r="E29" s="15"/>
      <c r="F29" s="17"/>
      <c r="G29" s="18"/>
      <c r="H29" s="183"/>
      <c r="I29" s="15"/>
      <c r="J29" s="17"/>
      <c r="K29" s="17"/>
      <c r="L29" s="17" t="s">
        <v>3</v>
      </c>
      <c r="M29" s="15"/>
      <c r="N29" s="15"/>
      <c r="O29" s="15"/>
      <c r="P29" s="15"/>
      <c r="Q29" s="17"/>
      <c r="R29" s="15"/>
      <c r="S29" s="15"/>
      <c r="T29" s="15"/>
      <c r="U29" s="94"/>
      <c r="V29" s="17"/>
      <c r="W29" s="375"/>
      <c r="X29" s="15"/>
    </row>
    <row r="30" spans="1:24" x14ac:dyDescent="0.25">
      <c r="A30" s="15"/>
      <c r="B30" s="15"/>
      <c r="C30" s="15"/>
      <c r="D30" s="374"/>
      <c r="E30" s="15"/>
      <c r="F30" s="17"/>
      <c r="G30" s="18"/>
      <c r="H30" s="183"/>
      <c r="I30" s="15"/>
      <c r="J30" s="17"/>
      <c r="K30" s="17"/>
      <c r="L30" s="17"/>
      <c r="M30" s="15"/>
      <c r="N30" s="15"/>
      <c r="O30" s="15"/>
      <c r="P30" s="15"/>
      <c r="Q30" s="17"/>
      <c r="R30" s="15"/>
      <c r="S30" s="15"/>
      <c r="T30" s="15"/>
      <c r="U30" s="94"/>
      <c r="V30" s="17"/>
      <c r="W30" s="375"/>
      <c r="X30" s="15"/>
    </row>
    <row r="31" spans="1:24" x14ac:dyDescent="0.25">
      <c r="A31" s="15"/>
      <c r="B31" s="15"/>
      <c r="C31" s="15"/>
      <c r="D31" s="374"/>
      <c r="E31" s="15"/>
      <c r="F31" s="17"/>
      <c r="G31" s="18"/>
      <c r="H31" s="183"/>
      <c r="I31" s="15"/>
      <c r="J31" s="17"/>
      <c r="K31" s="17"/>
      <c r="L31" s="17"/>
      <c r="M31" s="15"/>
      <c r="N31" s="15"/>
      <c r="O31" s="15"/>
      <c r="P31" s="15"/>
      <c r="Q31" s="17"/>
      <c r="R31" s="15"/>
      <c r="S31" s="15"/>
      <c r="T31" s="15"/>
      <c r="U31" s="94"/>
      <c r="V31" s="17"/>
      <c r="W31" s="375"/>
      <c r="X31" s="15"/>
    </row>
    <row r="32" spans="1:24" x14ac:dyDescent="0.25">
      <c r="A32" s="15"/>
      <c r="B32" s="15"/>
      <c r="C32" s="15"/>
      <c r="D32" s="374"/>
      <c r="E32" s="15"/>
      <c r="F32" s="17"/>
      <c r="G32" s="18"/>
      <c r="H32" s="183"/>
      <c r="I32" s="15"/>
      <c r="J32" s="17"/>
      <c r="K32" s="17"/>
      <c r="L32" s="17"/>
      <c r="M32" s="15"/>
      <c r="N32" s="15"/>
      <c r="O32" s="15"/>
      <c r="P32" s="15"/>
      <c r="Q32" s="17"/>
      <c r="R32" s="15"/>
      <c r="S32" s="15"/>
      <c r="T32" s="15"/>
      <c r="U32" s="94"/>
      <c r="V32" s="17"/>
      <c r="W32" s="375"/>
      <c r="X32" s="15"/>
    </row>
    <row r="33" spans="1:24" x14ac:dyDescent="0.25">
      <c r="A33" s="15"/>
      <c r="B33" s="15"/>
      <c r="C33" s="15"/>
      <c r="D33" s="374"/>
      <c r="E33" s="15"/>
      <c r="F33" s="17"/>
      <c r="G33" s="18"/>
      <c r="H33" s="183"/>
      <c r="I33" s="15"/>
      <c r="J33" s="17"/>
      <c r="K33" s="17"/>
      <c r="L33" s="17"/>
      <c r="M33" s="15"/>
      <c r="N33" s="15"/>
      <c r="O33" s="15"/>
      <c r="P33" s="15"/>
      <c r="Q33" s="17"/>
      <c r="R33" s="15"/>
      <c r="S33" s="15"/>
      <c r="T33" s="15"/>
      <c r="U33" s="94"/>
      <c r="V33" s="17"/>
      <c r="W33" s="375"/>
      <c r="X33" s="15"/>
    </row>
    <row r="34" spans="1:24" x14ac:dyDescent="0.25">
      <c r="A34" s="15"/>
      <c r="B34" s="15"/>
      <c r="C34" s="15"/>
      <c r="D34" s="374"/>
      <c r="E34" s="15"/>
      <c r="F34" s="17"/>
      <c r="G34" s="18"/>
      <c r="H34" s="183"/>
      <c r="I34" s="15"/>
      <c r="J34" s="17"/>
      <c r="K34" s="17"/>
      <c r="L34" s="17"/>
      <c r="M34" s="15"/>
      <c r="N34" s="15"/>
      <c r="O34" s="15"/>
      <c r="P34" s="15"/>
      <c r="Q34" s="17"/>
      <c r="R34" s="15"/>
      <c r="S34" s="15"/>
      <c r="T34" s="15"/>
      <c r="U34" s="94"/>
      <c r="V34" s="17"/>
      <c r="W34" s="375"/>
      <c r="X34" s="15"/>
    </row>
    <row r="35" spans="1:24" x14ac:dyDescent="0.25">
      <c r="A35" s="15"/>
      <c r="B35" s="15"/>
      <c r="C35" s="15"/>
      <c r="D35" s="374"/>
      <c r="E35" s="15"/>
      <c r="F35" s="17"/>
      <c r="G35" s="18"/>
      <c r="H35" s="183"/>
      <c r="I35" s="15"/>
      <c r="J35" s="17"/>
      <c r="K35" s="17"/>
      <c r="L35" s="17"/>
      <c r="M35" s="15"/>
      <c r="N35" s="15"/>
      <c r="O35" s="15"/>
      <c r="P35" s="15"/>
      <c r="Q35" s="17"/>
      <c r="R35" s="15"/>
      <c r="S35" s="15"/>
      <c r="T35" s="15"/>
      <c r="U35" s="94"/>
      <c r="V35" s="17"/>
      <c r="W35" s="375"/>
      <c r="X35" s="15"/>
    </row>
    <row r="36" spans="1:24" x14ac:dyDescent="0.25">
      <c r="A36" s="15"/>
      <c r="B36" s="15"/>
      <c r="C36" s="15"/>
      <c r="D36" s="374"/>
      <c r="E36" s="15"/>
      <c r="F36" s="17"/>
      <c r="G36" s="18"/>
      <c r="H36" s="183"/>
      <c r="I36" s="15"/>
      <c r="J36" s="17"/>
      <c r="K36" s="17"/>
      <c r="L36" s="17"/>
      <c r="M36" s="15"/>
      <c r="N36" s="15"/>
      <c r="O36" s="15"/>
      <c r="P36" s="15"/>
      <c r="Q36" s="17"/>
      <c r="R36" s="15"/>
      <c r="S36" s="15"/>
      <c r="T36" s="15"/>
      <c r="U36" s="94"/>
      <c r="V36" s="17"/>
      <c r="W36" s="375"/>
      <c r="X36" s="15"/>
    </row>
    <row r="37" spans="1:24" x14ac:dyDescent="0.25">
      <c r="A37" s="15"/>
      <c r="B37" s="15"/>
      <c r="C37" s="15"/>
      <c r="D37" s="374"/>
      <c r="E37" s="15"/>
      <c r="F37" s="17"/>
      <c r="G37" s="18"/>
      <c r="H37" s="183"/>
      <c r="I37" s="15"/>
      <c r="J37" s="17"/>
      <c r="K37" s="17"/>
      <c r="L37" s="17"/>
      <c r="M37" s="15"/>
      <c r="N37" s="15"/>
      <c r="O37" s="15"/>
      <c r="P37" s="15"/>
      <c r="Q37" s="17"/>
      <c r="R37" s="15"/>
      <c r="S37" s="15"/>
      <c r="T37" s="15"/>
      <c r="U37" s="94"/>
      <c r="V37" s="17"/>
      <c r="W37" s="375"/>
      <c r="X37" s="15"/>
    </row>
    <row r="38" spans="1:24" x14ac:dyDescent="0.25">
      <c r="A38" s="15"/>
      <c r="B38" s="15"/>
      <c r="C38" s="15"/>
      <c r="D38" s="374"/>
      <c r="E38" s="15"/>
      <c r="F38" s="17"/>
      <c r="G38" s="18"/>
      <c r="H38" s="183"/>
      <c r="I38" s="15"/>
      <c r="J38" s="17"/>
      <c r="K38" s="17"/>
      <c r="L38" s="17"/>
      <c r="M38" s="15"/>
      <c r="N38" s="15"/>
      <c r="O38" s="15"/>
      <c r="P38" s="15"/>
      <c r="Q38" s="17"/>
      <c r="R38" s="15"/>
      <c r="S38" s="15"/>
      <c r="T38" s="15"/>
      <c r="U38" s="94"/>
      <c r="V38" s="17"/>
      <c r="W38" s="375"/>
      <c r="X38" s="15"/>
    </row>
    <row r="39" spans="1:24" x14ac:dyDescent="0.25">
      <c r="A39" s="15"/>
      <c r="B39" s="15"/>
      <c r="C39" s="15"/>
      <c r="D39" s="374"/>
      <c r="E39" s="15"/>
      <c r="F39" s="17"/>
      <c r="G39" s="18"/>
      <c r="H39" s="183"/>
      <c r="I39" s="15"/>
      <c r="J39" s="17"/>
      <c r="K39" s="17"/>
      <c r="L39" s="17"/>
      <c r="M39" s="15"/>
      <c r="N39" s="15"/>
      <c r="O39" s="15"/>
      <c r="P39" s="15"/>
      <c r="Q39" s="17"/>
      <c r="R39" s="15"/>
      <c r="S39" s="15"/>
      <c r="T39" s="15"/>
      <c r="U39" s="94"/>
      <c r="V39" s="17"/>
      <c r="W39" s="375"/>
      <c r="X39" s="15"/>
    </row>
    <row r="40" spans="1:24" x14ac:dyDescent="0.25">
      <c r="A40" s="15"/>
      <c r="B40" s="15"/>
      <c r="C40" s="15"/>
      <c r="D40" s="374"/>
      <c r="E40" s="15"/>
      <c r="F40" s="17"/>
      <c r="G40" s="18"/>
      <c r="H40" s="183"/>
      <c r="I40" s="15"/>
      <c r="J40" s="17"/>
      <c r="K40" s="17"/>
      <c r="L40" s="17"/>
      <c r="M40" s="15"/>
      <c r="N40" s="15"/>
      <c r="O40" s="15"/>
      <c r="P40" s="15"/>
      <c r="Q40" s="17"/>
      <c r="R40" s="15"/>
      <c r="S40" s="15"/>
      <c r="T40" s="15"/>
      <c r="U40" s="94"/>
      <c r="V40" s="17"/>
      <c r="W40" s="375"/>
      <c r="X40" s="15"/>
    </row>
    <row r="41" spans="1:24" x14ac:dyDescent="0.25">
      <c r="A41" s="15"/>
      <c r="B41" s="15"/>
      <c r="C41" s="15"/>
      <c r="D41" s="374"/>
      <c r="E41" s="15"/>
      <c r="F41" s="17"/>
      <c r="G41" s="18"/>
      <c r="H41" s="183"/>
      <c r="I41" s="15"/>
      <c r="J41" s="17"/>
      <c r="K41" s="17"/>
      <c r="L41" s="17"/>
      <c r="M41" s="15"/>
      <c r="N41" s="15"/>
      <c r="O41" s="15"/>
      <c r="P41" s="15"/>
      <c r="Q41" s="17"/>
      <c r="R41" s="15"/>
      <c r="S41" s="15"/>
      <c r="T41" s="15"/>
      <c r="U41" s="94"/>
      <c r="V41" s="17"/>
      <c r="W41" s="375"/>
      <c r="X41" s="15"/>
    </row>
    <row r="42" spans="1:24" x14ac:dyDescent="0.25">
      <c r="A42" s="15"/>
      <c r="B42" s="15"/>
      <c r="C42" s="15"/>
      <c r="D42" s="374"/>
      <c r="E42" s="15"/>
      <c r="F42" s="17"/>
      <c r="G42" s="18"/>
      <c r="H42" s="183"/>
      <c r="I42" s="15"/>
      <c r="J42" s="17"/>
      <c r="K42" s="17"/>
      <c r="L42" s="17"/>
      <c r="M42" s="15"/>
      <c r="N42" s="15"/>
      <c r="O42" s="15"/>
      <c r="P42" s="15"/>
      <c r="Q42" s="17"/>
      <c r="R42" s="15"/>
      <c r="S42" s="15"/>
      <c r="T42" s="15"/>
      <c r="U42" s="94"/>
      <c r="V42" s="17"/>
      <c r="W42" s="375"/>
      <c r="X42" s="15"/>
    </row>
    <row r="43" spans="1:24" x14ac:dyDescent="0.25">
      <c r="A43" s="15"/>
      <c r="B43" s="15"/>
      <c r="C43" s="15"/>
      <c r="D43" s="374"/>
      <c r="E43" s="15"/>
      <c r="F43" s="17"/>
      <c r="G43" s="18"/>
      <c r="H43" s="183"/>
      <c r="I43" s="15"/>
      <c r="J43" s="17"/>
      <c r="K43" s="17"/>
      <c r="L43" s="17"/>
      <c r="M43" s="15"/>
      <c r="N43" s="15"/>
      <c r="O43" s="15"/>
      <c r="P43" s="15"/>
      <c r="Q43" s="17"/>
      <c r="R43" s="15"/>
      <c r="S43" s="15"/>
      <c r="T43" s="15"/>
      <c r="U43" s="94"/>
      <c r="V43" s="17"/>
      <c r="W43" s="375"/>
      <c r="X43" s="15"/>
    </row>
    <row r="44" spans="1:24" x14ac:dyDescent="0.25">
      <c r="A44" s="15"/>
      <c r="B44" s="15"/>
      <c r="C44" s="15"/>
      <c r="D44" s="374"/>
      <c r="E44" s="15"/>
      <c r="F44" s="17"/>
      <c r="G44" s="18"/>
      <c r="H44" s="183"/>
      <c r="I44" s="15"/>
      <c r="J44" s="17"/>
      <c r="K44" s="17"/>
      <c r="L44" s="17"/>
      <c r="M44" s="15"/>
      <c r="N44" s="15"/>
      <c r="O44" s="15"/>
      <c r="P44" s="15"/>
      <c r="Q44" s="17"/>
      <c r="R44" s="15"/>
      <c r="S44" s="15"/>
      <c r="T44" s="15"/>
      <c r="U44" s="94"/>
      <c r="V44" s="17"/>
      <c r="W44" s="375"/>
      <c r="X44" s="15"/>
    </row>
    <row r="45" spans="1:24" x14ac:dyDescent="0.25">
      <c r="A45" s="15"/>
      <c r="B45" s="15"/>
      <c r="C45" s="15"/>
      <c r="D45" s="374"/>
      <c r="E45" s="15"/>
      <c r="F45" s="17"/>
      <c r="G45" s="18"/>
      <c r="H45" s="183"/>
      <c r="I45" s="15"/>
      <c r="J45" s="17"/>
      <c r="K45" s="17"/>
      <c r="L45" s="17"/>
      <c r="M45" s="15"/>
      <c r="N45" s="15"/>
      <c r="O45" s="15"/>
      <c r="P45" s="15"/>
      <c r="Q45" s="17"/>
      <c r="R45" s="15"/>
      <c r="S45" s="15"/>
      <c r="T45" s="15"/>
      <c r="U45" s="94"/>
      <c r="V45" s="17"/>
      <c r="W45" s="375"/>
      <c r="X45" s="15"/>
    </row>
    <row r="46" spans="1:24" x14ac:dyDescent="0.25">
      <c r="A46" s="15"/>
      <c r="B46" s="15"/>
      <c r="C46" s="15"/>
      <c r="D46" s="374"/>
      <c r="E46" s="15"/>
      <c r="F46" s="17"/>
      <c r="G46" s="18"/>
      <c r="H46" s="183"/>
      <c r="I46" s="15"/>
      <c r="J46" s="17"/>
      <c r="K46" s="17"/>
      <c r="L46" s="17"/>
      <c r="M46" s="15"/>
      <c r="N46" s="15"/>
      <c r="O46" s="15"/>
      <c r="P46" s="15"/>
      <c r="Q46" s="17"/>
      <c r="R46" s="15"/>
      <c r="S46" s="15"/>
      <c r="T46" s="15"/>
      <c r="U46" s="94"/>
      <c r="V46" s="17"/>
      <c r="W46" s="375"/>
      <c r="X46" s="15"/>
    </row>
    <row r="47" spans="1:24" x14ac:dyDescent="0.25">
      <c r="A47" s="15"/>
      <c r="B47" s="15"/>
      <c r="C47" s="15"/>
      <c r="D47" s="374"/>
      <c r="E47" s="15"/>
      <c r="F47" s="17"/>
      <c r="G47" s="18"/>
      <c r="H47" s="183"/>
      <c r="I47" s="15"/>
      <c r="J47" s="17"/>
      <c r="K47" s="17"/>
      <c r="L47" s="17"/>
      <c r="M47" s="15"/>
      <c r="N47" s="15"/>
      <c r="O47" s="15"/>
      <c r="P47" s="15"/>
      <c r="Q47" s="17"/>
      <c r="R47" s="15"/>
      <c r="S47" s="15"/>
      <c r="T47" s="15"/>
      <c r="U47" s="94"/>
      <c r="V47" s="17"/>
      <c r="W47" s="375"/>
      <c r="X47" s="15"/>
    </row>
    <row r="48" spans="1:24" x14ac:dyDescent="0.25">
      <c r="A48" s="15"/>
      <c r="B48" s="15"/>
      <c r="C48" s="15"/>
      <c r="D48" s="374"/>
      <c r="E48" s="15"/>
      <c r="F48" s="17"/>
      <c r="G48" s="18"/>
      <c r="H48" s="183"/>
      <c r="I48" s="15"/>
      <c r="J48" s="17"/>
      <c r="K48" s="17"/>
      <c r="L48" s="17"/>
      <c r="M48" s="15"/>
      <c r="N48" s="15"/>
      <c r="O48" s="15"/>
      <c r="P48" s="15"/>
      <c r="Q48" s="17"/>
      <c r="R48" s="15"/>
      <c r="S48" s="15"/>
      <c r="T48" s="15"/>
      <c r="U48" s="94"/>
      <c r="V48" s="17"/>
      <c r="W48" s="375"/>
      <c r="X48" s="15"/>
    </row>
    <row r="49" spans="1:24" x14ac:dyDescent="0.25">
      <c r="A49" s="15"/>
      <c r="B49" s="15"/>
      <c r="C49" s="15"/>
      <c r="D49" s="374"/>
      <c r="E49" s="15"/>
      <c r="F49" s="17"/>
      <c r="G49" s="18"/>
      <c r="H49" s="183"/>
      <c r="I49" s="15"/>
      <c r="J49" s="17"/>
      <c r="K49" s="17"/>
      <c r="L49" s="17"/>
      <c r="M49" s="15"/>
      <c r="N49" s="15"/>
      <c r="O49" s="15"/>
      <c r="P49" s="15"/>
      <c r="Q49" s="17"/>
      <c r="R49" s="15"/>
      <c r="S49" s="15"/>
      <c r="T49" s="15"/>
      <c r="U49" s="94"/>
      <c r="V49" s="17"/>
      <c r="W49" s="375"/>
      <c r="X49" s="15"/>
    </row>
    <row r="50" spans="1:24" x14ac:dyDescent="0.25">
      <c r="A50" s="15"/>
      <c r="B50" s="15"/>
      <c r="C50" s="15"/>
      <c r="D50" s="374"/>
      <c r="E50" s="15"/>
      <c r="F50" s="17"/>
      <c r="G50" s="18"/>
      <c r="H50" s="183"/>
      <c r="I50" s="15"/>
      <c r="J50" s="17"/>
      <c r="K50" s="17"/>
      <c r="L50" s="17"/>
      <c r="M50" s="15"/>
      <c r="N50" s="15"/>
      <c r="O50" s="15"/>
      <c r="P50" s="15"/>
      <c r="Q50" s="17"/>
      <c r="R50" s="15"/>
      <c r="S50" s="15"/>
      <c r="T50" s="15"/>
      <c r="U50" s="94"/>
      <c r="V50" s="17"/>
      <c r="W50" s="375"/>
      <c r="X50" s="15"/>
    </row>
    <row r="51" spans="1:24" x14ac:dyDescent="0.25">
      <c r="A51" s="15"/>
      <c r="B51" s="15"/>
      <c r="C51" s="15"/>
      <c r="D51" s="374"/>
      <c r="E51" s="15"/>
      <c r="F51" s="90"/>
      <c r="G51" s="18"/>
      <c r="H51" s="183"/>
      <c r="I51" s="15"/>
      <c r="J51" s="17"/>
      <c r="K51" s="17"/>
      <c r="L51" s="17"/>
      <c r="M51" s="15"/>
      <c r="N51" s="15"/>
      <c r="O51" s="15"/>
      <c r="P51" s="15"/>
      <c r="Q51" s="17"/>
      <c r="R51" s="15"/>
      <c r="S51" s="15"/>
      <c r="T51" s="15"/>
      <c r="U51" s="94"/>
      <c r="V51" s="17"/>
      <c r="W51" s="375"/>
      <c r="X51" s="15"/>
    </row>
    <row r="52" spans="1:24" x14ac:dyDescent="0.25">
      <c r="A52" s="15"/>
      <c r="B52" s="15"/>
      <c r="C52" s="15"/>
      <c r="D52" s="374"/>
      <c r="E52" s="15"/>
      <c r="F52" s="17"/>
      <c r="G52" s="18"/>
      <c r="H52" s="183"/>
      <c r="I52" s="15"/>
      <c r="J52" s="17"/>
      <c r="K52" s="17"/>
      <c r="L52" s="17"/>
      <c r="M52" s="15"/>
      <c r="N52" s="15"/>
      <c r="O52" s="15"/>
      <c r="P52" s="15"/>
      <c r="Q52" s="17"/>
      <c r="R52" s="15"/>
      <c r="S52" s="15"/>
      <c r="T52" s="15"/>
      <c r="U52" s="94"/>
      <c r="V52" s="17"/>
      <c r="W52" s="375"/>
      <c r="X52" s="15"/>
    </row>
    <row r="53" spans="1:24" x14ac:dyDescent="0.25">
      <c r="A53" s="15"/>
      <c r="B53" s="15"/>
      <c r="C53" s="15"/>
      <c r="D53" s="374"/>
      <c r="E53" s="15"/>
      <c r="F53" s="17"/>
      <c r="G53" s="18"/>
      <c r="H53" s="183"/>
      <c r="I53" s="15"/>
      <c r="J53" s="17"/>
      <c r="K53" s="17"/>
      <c r="L53" s="17"/>
      <c r="M53" s="15"/>
      <c r="N53" s="15"/>
      <c r="O53" s="15"/>
      <c r="P53" s="15"/>
      <c r="Q53" s="17"/>
      <c r="R53" s="15"/>
      <c r="S53" s="15"/>
      <c r="T53" s="15"/>
      <c r="U53" s="94"/>
      <c r="V53" s="17"/>
      <c r="W53" s="375"/>
      <c r="X53" s="15"/>
    </row>
    <row r="54" spans="1:24" x14ac:dyDescent="0.25">
      <c r="A54" s="15"/>
      <c r="B54" s="15"/>
      <c r="C54" s="15"/>
      <c r="D54" s="374"/>
      <c r="E54" s="15"/>
      <c r="F54" s="17"/>
      <c r="G54" s="18"/>
      <c r="H54" s="183"/>
      <c r="I54" s="15"/>
      <c r="J54" s="17"/>
      <c r="K54" s="17"/>
      <c r="L54" s="17"/>
      <c r="M54" s="15"/>
      <c r="N54" s="15"/>
      <c r="O54" s="15"/>
      <c r="P54" s="15"/>
      <c r="Q54" s="17"/>
      <c r="R54" s="15"/>
      <c r="S54" s="15"/>
      <c r="T54" s="15"/>
      <c r="U54" s="94"/>
      <c r="V54" s="17"/>
      <c r="W54" s="375"/>
      <c r="X54" s="15"/>
    </row>
    <row r="55" spans="1:24" x14ac:dyDescent="0.25">
      <c r="A55" s="15"/>
      <c r="B55" s="15"/>
      <c r="C55" s="15"/>
      <c r="D55" s="374"/>
      <c r="E55" s="15"/>
      <c r="F55" s="17"/>
      <c r="G55" s="18"/>
      <c r="H55" s="183"/>
      <c r="I55" s="15"/>
      <c r="J55" s="17"/>
      <c r="K55" s="17"/>
      <c r="L55" s="17"/>
      <c r="M55" s="15"/>
      <c r="N55" s="15"/>
      <c r="O55" s="15"/>
      <c r="P55" s="15"/>
      <c r="Q55" s="17"/>
      <c r="R55" s="15"/>
      <c r="S55" s="15"/>
      <c r="T55" s="15"/>
      <c r="U55" s="94"/>
      <c r="V55" s="17"/>
      <c r="W55" s="375"/>
      <c r="X55" s="15"/>
    </row>
    <row r="56" spans="1:24" x14ac:dyDescent="0.25">
      <c r="A56" s="15"/>
      <c r="B56" s="15"/>
      <c r="C56" s="15"/>
      <c r="D56" s="374"/>
      <c r="E56" s="15"/>
      <c r="F56" s="17"/>
      <c r="G56" s="18"/>
      <c r="H56" s="183"/>
      <c r="I56" s="15"/>
      <c r="J56" s="17"/>
      <c r="K56" s="17"/>
      <c r="L56" s="17"/>
      <c r="M56" s="15"/>
      <c r="N56" s="15"/>
      <c r="O56" s="15"/>
      <c r="P56" s="15"/>
      <c r="Q56" s="17"/>
      <c r="R56" s="15"/>
      <c r="S56" s="15"/>
      <c r="T56" s="15"/>
      <c r="U56" s="94"/>
      <c r="V56" s="17"/>
      <c r="W56" s="375"/>
      <c r="X56" s="15"/>
    </row>
    <row r="57" spans="1:24" x14ac:dyDescent="0.25">
      <c r="A57" s="15"/>
      <c r="B57" s="15"/>
      <c r="C57" s="15"/>
      <c r="D57" s="374"/>
      <c r="E57" s="15"/>
      <c r="F57" s="90"/>
      <c r="G57" s="18"/>
      <c r="H57" s="183"/>
      <c r="I57" s="15"/>
      <c r="J57" s="17"/>
      <c r="K57" s="17"/>
      <c r="L57" s="17"/>
      <c r="M57" s="15"/>
      <c r="N57" s="15"/>
      <c r="O57" s="15"/>
      <c r="P57" s="15"/>
      <c r="Q57" s="17"/>
      <c r="R57" s="15"/>
      <c r="S57" s="15"/>
      <c r="T57" s="15"/>
      <c r="U57" s="94"/>
      <c r="V57" s="17"/>
      <c r="W57" s="375"/>
      <c r="X57" s="15"/>
    </row>
    <row r="58" spans="1:24" x14ac:dyDescent="0.25">
      <c r="A58" s="15"/>
      <c r="B58" s="15"/>
      <c r="C58" s="15"/>
      <c r="D58" s="374"/>
      <c r="E58" s="15"/>
      <c r="F58" s="90"/>
      <c r="G58" s="18"/>
      <c r="H58" s="183"/>
      <c r="I58" s="15"/>
      <c r="J58" s="17"/>
      <c r="K58" s="17"/>
      <c r="L58" s="17"/>
      <c r="M58" s="15"/>
      <c r="N58" s="15"/>
      <c r="O58" s="15"/>
      <c r="P58" s="15"/>
      <c r="Q58" s="17"/>
      <c r="R58" s="15"/>
      <c r="S58" s="15"/>
      <c r="T58" s="15"/>
      <c r="U58" s="94"/>
      <c r="V58" s="17"/>
      <c r="W58" s="375"/>
      <c r="X58" s="15"/>
    </row>
    <row r="59" spans="1:24" x14ac:dyDescent="0.25">
      <c r="A59" s="15"/>
      <c r="B59" s="15"/>
      <c r="C59" s="15"/>
      <c r="D59" s="374"/>
      <c r="E59" s="15"/>
      <c r="F59" s="17"/>
      <c r="G59" s="18"/>
      <c r="H59" s="183"/>
      <c r="I59" s="15"/>
      <c r="J59" s="17"/>
      <c r="K59" s="17"/>
      <c r="L59" s="17"/>
      <c r="M59" s="15"/>
      <c r="N59" s="15"/>
      <c r="O59" s="15"/>
      <c r="P59" s="15"/>
      <c r="Q59" s="17"/>
      <c r="R59" s="15"/>
      <c r="S59" s="15"/>
      <c r="T59" s="15"/>
      <c r="U59" s="94"/>
      <c r="V59" s="17"/>
      <c r="W59" s="375"/>
      <c r="X59" s="15"/>
    </row>
    <row r="60" spans="1:24" x14ac:dyDescent="0.25">
      <c r="A60" s="15"/>
      <c r="B60" s="15"/>
      <c r="C60" s="15"/>
      <c r="D60" s="374"/>
      <c r="E60" s="15"/>
      <c r="F60" s="17"/>
      <c r="G60" s="18"/>
      <c r="H60" s="183"/>
      <c r="I60" s="15"/>
      <c r="J60" s="17"/>
      <c r="K60" s="17"/>
      <c r="L60" s="17"/>
      <c r="M60" s="15"/>
      <c r="N60" s="15"/>
      <c r="O60" s="15"/>
      <c r="P60" s="15"/>
      <c r="Q60" s="17"/>
      <c r="R60" s="15"/>
      <c r="S60" s="15"/>
      <c r="T60" s="15"/>
      <c r="U60" s="94"/>
      <c r="V60" s="17"/>
      <c r="W60" s="375"/>
      <c r="X60" s="15"/>
    </row>
    <row r="61" spans="1:24" x14ac:dyDescent="0.25">
      <c r="A61" s="15"/>
      <c r="B61" s="15"/>
      <c r="C61" s="15"/>
      <c r="D61" s="374"/>
      <c r="E61" s="15"/>
      <c r="F61" s="17"/>
      <c r="G61" s="18"/>
      <c r="H61" s="183"/>
      <c r="I61" s="15"/>
      <c r="J61" s="17"/>
      <c r="K61" s="17"/>
      <c r="L61" s="17"/>
      <c r="M61" s="15"/>
      <c r="N61" s="15"/>
      <c r="O61" s="15"/>
      <c r="P61" s="15"/>
      <c r="Q61" s="17"/>
      <c r="R61" s="15"/>
      <c r="S61" s="15"/>
      <c r="T61" s="15"/>
      <c r="U61" s="94"/>
      <c r="V61" s="17"/>
      <c r="W61" s="375"/>
      <c r="X61" s="15"/>
    </row>
    <row r="62" spans="1:24" x14ac:dyDescent="0.25">
      <c r="A62" s="15"/>
      <c r="B62" s="15"/>
      <c r="C62" s="15"/>
      <c r="D62" s="374"/>
      <c r="E62" s="15"/>
      <c r="F62" s="17"/>
      <c r="G62" s="18"/>
      <c r="H62" s="183"/>
      <c r="I62" s="15"/>
      <c r="J62" s="17"/>
      <c r="K62" s="17"/>
      <c r="L62" s="17"/>
      <c r="M62" s="15"/>
      <c r="N62" s="15"/>
      <c r="O62" s="15"/>
      <c r="P62" s="15"/>
      <c r="Q62" s="17"/>
      <c r="R62" s="15"/>
      <c r="S62" s="15"/>
      <c r="T62" s="15"/>
      <c r="U62" s="94"/>
      <c r="V62" s="17"/>
      <c r="W62" s="375"/>
      <c r="X62" s="15"/>
    </row>
    <row r="63" spans="1:24" x14ac:dyDescent="0.25">
      <c r="A63" s="15"/>
      <c r="B63" s="15"/>
      <c r="C63" s="15"/>
      <c r="D63" s="374"/>
      <c r="E63" s="15"/>
      <c r="F63" s="17"/>
      <c r="G63" s="18"/>
      <c r="H63" s="183"/>
      <c r="I63" s="15"/>
      <c r="J63" s="17"/>
      <c r="K63" s="17"/>
      <c r="L63" s="17"/>
      <c r="M63" s="15"/>
      <c r="N63" s="15"/>
      <c r="O63" s="15"/>
      <c r="P63" s="15"/>
      <c r="Q63" s="17"/>
      <c r="R63" s="15"/>
      <c r="S63" s="15"/>
      <c r="T63" s="15"/>
      <c r="U63" s="94"/>
      <c r="V63" s="17"/>
      <c r="W63" s="375"/>
      <c r="X63" s="15"/>
    </row>
    <row r="64" spans="1:24" x14ac:dyDescent="0.25">
      <c r="A64" s="15"/>
      <c r="B64" s="15"/>
      <c r="C64" s="15"/>
      <c r="D64" s="374"/>
      <c r="E64" s="15"/>
      <c r="F64" s="17"/>
      <c r="G64" s="18"/>
      <c r="H64" s="183"/>
      <c r="I64" s="15"/>
      <c r="J64" s="17"/>
      <c r="K64" s="17"/>
      <c r="L64" s="17"/>
      <c r="M64" s="15"/>
      <c r="N64" s="15"/>
      <c r="O64" s="15"/>
      <c r="P64" s="15"/>
      <c r="Q64" s="17"/>
      <c r="R64" s="15"/>
      <c r="S64" s="15"/>
      <c r="T64" s="15"/>
      <c r="U64" s="94"/>
      <c r="V64" s="17"/>
      <c r="W64" s="375"/>
      <c r="X64" s="15"/>
    </row>
    <row r="65" spans="1:24" x14ac:dyDescent="0.25">
      <c r="A65" s="15"/>
      <c r="B65" s="15"/>
      <c r="C65" s="15"/>
      <c r="D65" s="374"/>
      <c r="E65" s="15"/>
      <c r="F65" s="17"/>
      <c r="G65" s="18"/>
      <c r="H65" s="183"/>
      <c r="I65" s="15"/>
      <c r="J65" s="17"/>
      <c r="K65" s="17"/>
      <c r="L65" s="17"/>
      <c r="M65" s="15"/>
      <c r="N65" s="15"/>
      <c r="O65" s="15"/>
      <c r="P65" s="15"/>
      <c r="Q65" s="17"/>
      <c r="R65" s="15"/>
      <c r="S65" s="15"/>
      <c r="T65" s="15"/>
      <c r="U65" s="94"/>
      <c r="V65" s="17"/>
      <c r="W65" s="375"/>
      <c r="X65" s="15"/>
    </row>
    <row r="66" spans="1:24" x14ac:dyDescent="0.25">
      <c r="A66" s="15"/>
      <c r="B66" s="15"/>
      <c r="C66" s="15"/>
      <c r="D66" s="374"/>
      <c r="E66" s="15"/>
      <c r="F66" s="17"/>
      <c r="G66" s="18"/>
      <c r="H66" s="183"/>
      <c r="I66" s="15"/>
      <c r="J66" s="17"/>
      <c r="K66" s="17"/>
      <c r="L66" s="17"/>
      <c r="M66" s="15"/>
      <c r="N66" s="15"/>
      <c r="O66" s="15"/>
      <c r="P66" s="15"/>
      <c r="Q66" s="17"/>
      <c r="R66" s="15"/>
      <c r="S66" s="15"/>
      <c r="T66" s="15"/>
      <c r="U66" s="94"/>
      <c r="V66" s="17"/>
      <c r="W66" s="375"/>
      <c r="X66" s="15"/>
    </row>
    <row r="67" spans="1:24" x14ac:dyDescent="0.25">
      <c r="A67" s="15"/>
      <c r="B67" s="15"/>
      <c r="C67" s="15"/>
      <c r="D67" s="374"/>
      <c r="E67" s="15"/>
      <c r="F67" s="17"/>
      <c r="G67" s="18"/>
      <c r="H67" s="183"/>
      <c r="I67" s="15"/>
      <c r="J67" s="17"/>
      <c r="K67" s="17"/>
      <c r="L67" s="17"/>
      <c r="M67" s="15"/>
      <c r="N67" s="15"/>
      <c r="O67" s="15"/>
      <c r="P67" s="15"/>
      <c r="Q67" s="17"/>
      <c r="R67" s="15"/>
      <c r="S67" s="15"/>
      <c r="T67" s="15"/>
      <c r="U67" s="94"/>
      <c r="V67" s="17"/>
      <c r="W67" s="375"/>
      <c r="X67" s="15"/>
    </row>
    <row r="68" spans="1:24" x14ac:dyDescent="0.25">
      <c r="A68" s="15"/>
      <c r="B68" s="15"/>
      <c r="C68" s="15"/>
      <c r="D68" s="374"/>
      <c r="E68" s="15"/>
      <c r="F68" s="17"/>
      <c r="G68" s="18"/>
      <c r="H68" s="183"/>
      <c r="I68" s="15"/>
      <c r="J68" s="17"/>
      <c r="K68" s="17"/>
      <c r="L68" s="17"/>
      <c r="M68" s="15"/>
      <c r="N68" s="15"/>
      <c r="O68" s="15"/>
      <c r="P68" s="15"/>
      <c r="Q68" s="17"/>
      <c r="R68" s="15"/>
      <c r="S68" s="15"/>
      <c r="T68" s="15"/>
      <c r="U68" s="94"/>
      <c r="V68" s="17"/>
      <c r="W68" s="375"/>
      <c r="X68" s="15"/>
    </row>
    <row r="69" spans="1:24" x14ac:dyDescent="0.25">
      <c r="A69" s="15"/>
      <c r="B69" s="15"/>
      <c r="C69" s="15"/>
      <c r="D69" s="374"/>
      <c r="E69" s="15"/>
      <c r="F69" s="17"/>
      <c r="G69" s="18"/>
      <c r="H69" s="183"/>
      <c r="I69" s="15"/>
      <c r="J69" s="17"/>
      <c r="K69" s="17"/>
      <c r="L69" s="17"/>
      <c r="M69" s="15"/>
      <c r="N69" s="15"/>
      <c r="O69" s="15"/>
      <c r="P69" s="15"/>
      <c r="Q69" s="17"/>
      <c r="R69" s="15"/>
      <c r="S69" s="15"/>
      <c r="T69" s="15"/>
      <c r="U69" s="94"/>
      <c r="V69" s="17"/>
      <c r="W69" s="375"/>
      <c r="X69" s="15"/>
    </row>
    <row r="70" spans="1:24" x14ac:dyDescent="0.25">
      <c r="A70" s="15"/>
      <c r="B70" s="15"/>
      <c r="C70" s="15"/>
      <c r="D70" s="374"/>
      <c r="E70" s="15"/>
      <c r="F70" s="17"/>
      <c r="G70" s="18"/>
      <c r="H70" s="183"/>
      <c r="I70" s="15"/>
      <c r="J70" s="17"/>
      <c r="K70" s="17"/>
      <c r="L70" s="17"/>
      <c r="M70" s="15"/>
      <c r="N70" s="15"/>
      <c r="O70" s="15"/>
      <c r="P70" s="15"/>
      <c r="Q70" s="17"/>
      <c r="R70" s="15"/>
      <c r="S70" s="15"/>
      <c r="T70" s="15"/>
      <c r="U70" s="94"/>
      <c r="V70" s="17"/>
      <c r="W70" s="375"/>
      <c r="X70" s="15"/>
    </row>
    <row r="71" spans="1:24" x14ac:dyDescent="0.25">
      <c r="A71" s="15"/>
      <c r="B71" s="15"/>
      <c r="C71" s="15"/>
      <c r="D71" s="374"/>
      <c r="E71" s="15"/>
      <c r="F71" s="17"/>
      <c r="G71" s="18"/>
      <c r="H71" s="183"/>
      <c r="I71" s="15"/>
      <c r="J71" s="17"/>
      <c r="K71" s="17"/>
      <c r="L71" s="17"/>
      <c r="M71" s="15"/>
      <c r="N71" s="15"/>
      <c r="O71" s="15"/>
      <c r="P71" s="15"/>
      <c r="Q71" s="17"/>
      <c r="R71" s="15"/>
      <c r="S71" s="15"/>
      <c r="T71" s="15"/>
      <c r="U71" s="94"/>
      <c r="V71" s="17"/>
      <c r="W71" s="375"/>
      <c r="X71" s="15"/>
    </row>
    <row r="72" spans="1:24" x14ac:dyDescent="0.25">
      <c r="A72" s="15"/>
      <c r="B72" s="15"/>
      <c r="C72" s="15"/>
      <c r="D72" s="374"/>
      <c r="E72" s="15"/>
      <c r="F72" s="17"/>
      <c r="G72" s="18"/>
      <c r="H72" s="183"/>
      <c r="I72" s="15"/>
      <c r="J72" s="17"/>
      <c r="K72" s="17"/>
      <c r="L72" s="17"/>
      <c r="M72" s="15"/>
      <c r="N72" s="15"/>
      <c r="O72" s="15"/>
      <c r="P72" s="15"/>
      <c r="Q72" s="17"/>
      <c r="R72" s="15"/>
      <c r="S72" s="15"/>
      <c r="T72" s="15"/>
      <c r="U72" s="94"/>
      <c r="V72" s="17"/>
      <c r="W72" s="375"/>
      <c r="X72" s="15"/>
    </row>
    <row r="73" spans="1:24" x14ac:dyDescent="0.25">
      <c r="A73" s="15"/>
      <c r="B73" s="15"/>
      <c r="C73" s="15"/>
      <c r="D73" s="374"/>
      <c r="E73" s="15"/>
      <c r="F73" s="17"/>
      <c r="G73" s="18"/>
      <c r="H73" s="183"/>
      <c r="I73" s="15"/>
      <c r="J73" s="17"/>
      <c r="K73" s="17"/>
      <c r="L73" s="17"/>
      <c r="M73" s="15"/>
      <c r="N73" s="15"/>
      <c r="O73" s="15"/>
      <c r="P73" s="15"/>
      <c r="Q73" s="17"/>
      <c r="R73" s="15"/>
      <c r="S73" s="15"/>
      <c r="T73" s="15"/>
      <c r="U73" s="94"/>
      <c r="V73" s="17"/>
      <c r="W73" s="375"/>
      <c r="X73" s="15"/>
    </row>
    <row r="74" spans="1:24" x14ac:dyDescent="0.25">
      <c r="A74" s="15"/>
      <c r="B74" s="15"/>
      <c r="C74" s="15"/>
      <c r="D74" s="374"/>
      <c r="E74" s="15"/>
      <c r="F74" s="17"/>
      <c r="G74" s="18"/>
      <c r="H74" s="183"/>
      <c r="I74" s="15"/>
      <c r="J74" s="17"/>
      <c r="K74" s="17"/>
      <c r="L74" s="17"/>
      <c r="M74" s="15"/>
      <c r="N74" s="15"/>
      <c r="O74" s="15"/>
      <c r="P74" s="15"/>
      <c r="Q74" s="17"/>
      <c r="R74" s="15"/>
      <c r="S74" s="15"/>
      <c r="T74" s="15"/>
      <c r="U74" s="94"/>
      <c r="V74" s="17"/>
      <c r="W74" s="375"/>
      <c r="X74" s="15"/>
    </row>
    <row r="75" spans="1:24" x14ac:dyDescent="0.25">
      <c r="A75" s="15"/>
      <c r="B75" s="15"/>
      <c r="C75" s="15"/>
      <c r="D75" s="374"/>
      <c r="E75" s="15"/>
      <c r="F75" s="17"/>
      <c r="G75" s="18"/>
      <c r="H75" s="183"/>
      <c r="I75" s="15"/>
      <c r="J75" s="17"/>
      <c r="K75" s="17"/>
      <c r="L75" s="17"/>
      <c r="M75" s="15"/>
      <c r="N75" s="15"/>
      <c r="O75" s="15"/>
      <c r="P75" s="15"/>
      <c r="Q75" s="17"/>
      <c r="R75" s="15"/>
      <c r="S75" s="15"/>
      <c r="T75" s="15"/>
      <c r="U75" s="94"/>
      <c r="V75" s="17"/>
      <c r="W75" s="375"/>
      <c r="X75" s="15"/>
    </row>
    <row r="76" spans="1:24" x14ac:dyDescent="0.25">
      <c r="A76" s="15"/>
      <c r="B76" s="15"/>
      <c r="C76" s="15"/>
      <c r="D76" s="374"/>
      <c r="E76" s="15"/>
      <c r="F76" s="17"/>
      <c r="G76" s="18"/>
      <c r="H76" s="183"/>
      <c r="I76" s="15"/>
      <c r="J76" s="17"/>
      <c r="K76" s="17"/>
      <c r="L76" s="17"/>
      <c r="M76" s="15"/>
      <c r="N76" s="15"/>
      <c r="O76" s="15"/>
      <c r="P76" s="15"/>
      <c r="Q76" s="17"/>
      <c r="R76" s="15"/>
      <c r="S76" s="15"/>
      <c r="T76" s="15"/>
      <c r="U76" s="94"/>
      <c r="V76" s="17"/>
      <c r="W76" s="375"/>
      <c r="X76" s="15"/>
    </row>
    <row r="77" spans="1:24" x14ac:dyDescent="0.25">
      <c r="A77" s="15"/>
      <c r="B77" s="15"/>
      <c r="C77" s="15"/>
      <c r="D77" s="374"/>
      <c r="E77" s="15"/>
      <c r="F77" s="17"/>
      <c r="G77" s="18"/>
      <c r="H77" s="183"/>
      <c r="I77" s="15"/>
      <c r="J77" s="17"/>
      <c r="K77" s="17"/>
      <c r="L77" s="17"/>
      <c r="M77" s="15"/>
      <c r="N77" s="15"/>
      <c r="O77" s="15"/>
      <c r="P77" s="15"/>
      <c r="Q77" s="17"/>
      <c r="R77" s="15"/>
      <c r="S77" s="15"/>
      <c r="T77" s="15"/>
      <c r="U77" s="94"/>
      <c r="V77" s="17"/>
      <c r="W77" s="375"/>
      <c r="X77" s="15"/>
    </row>
    <row r="78" spans="1:24" x14ac:dyDescent="0.25">
      <c r="A78" s="15"/>
      <c r="B78" s="15"/>
      <c r="C78" s="15"/>
      <c r="D78" s="374"/>
      <c r="E78" s="15"/>
      <c r="F78" s="17"/>
      <c r="G78" s="18"/>
      <c r="H78" s="183"/>
      <c r="I78" s="15"/>
      <c r="J78" s="17"/>
      <c r="K78" s="17"/>
      <c r="L78" s="17"/>
      <c r="M78" s="15"/>
      <c r="N78" s="15"/>
      <c r="O78" s="15"/>
      <c r="P78" s="15"/>
      <c r="Q78" s="17"/>
      <c r="R78" s="15"/>
      <c r="S78" s="15"/>
      <c r="T78" s="15"/>
      <c r="U78" s="94"/>
      <c r="V78" s="17"/>
      <c r="W78" s="375"/>
      <c r="X78" s="15"/>
    </row>
    <row r="79" spans="1:24" x14ac:dyDescent="0.25">
      <c r="A79" s="15"/>
      <c r="B79" s="15"/>
      <c r="C79" s="15"/>
      <c r="D79" s="374"/>
      <c r="E79" s="15"/>
      <c r="F79" s="17"/>
      <c r="G79" s="18"/>
      <c r="H79" s="183"/>
      <c r="I79" s="15"/>
      <c r="J79" s="17"/>
      <c r="K79" s="17"/>
      <c r="L79" s="17"/>
      <c r="M79" s="15"/>
      <c r="N79" s="15"/>
      <c r="O79" s="15"/>
      <c r="P79" s="15"/>
      <c r="Q79" s="17"/>
      <c r="R79" s="15"/>
      <c r="S79" s="15"/>
      <c r="T79" s="15"/>
      <c r="U79" s="94"/>
      <c r="V79" s="17"/>
      <c r="W79" s="375"/>
      <c r="X79" s="15"/>
    </row>
    <row r="80" spans="1:24" x14ac:dyDescent="0.25">
      <c r="A80" s="15"/>
      <c r="B80" s="15"/>
      <c r="C80" s="15"/>
      <c r="D80" s="374"/>
      <c r="E80" s="15"/>
      <c r="F80" s="17"/>
      <c r="G80" s="18"/>
      <c r="H80" s="183"/>
      <c r="I80" s="15"/>
      <c r="J80" s="17"/>
      <c r="K80" s="17"/>
      <c r="L80" s="17"/>
      <c r="M80" s="15"/>
      <c r="N80" s="15"/>
      <c r="O80" s="15"/>
      <c r="P80" s="15"/>
      <c r="Q80" s="17"/>
      <c r="R80" s="15"/>
      <c r="S80" s="15"/>
      <c r="T80" s="15"/>
      <c r="U80" s="94"/>
      <c r="V80" s="17"/>
      <c r="W80" s="375"/>
      <c r="X80" s="15"/>
    </row>
    <row r="81" spans="1:24" x14ac:dyDescent="0.25">
      <c r="A81" s="15"/>
      <c r="B81" s="15"/>
      <c r="C81" s="15"/>
      <c r="D81" s="374"/>
      <c r="E81" s="15"/>
      <c r="F81" s="17"/>
      <c r="G81" s="18"/>
      <c r="H81" s="183"/>
      <c r="I81" s="15"/>
      <c r="J81" s="17"/>
      <c r="K81" s="17"/>
      <c r="L81" s="17"/>
      <c r="M81" s="15"/>
      <c r="N81" s="15"/>
      <c r="O81" s="15"/>
      <c r="P81" s="15"/>
      <c r="Q81" s="17"/>
      <c r="R81" s="15"/>
      <c r="S81" s="15"/>
      <c r="T81" s="15"/>
      <c r="U81" s="94"/>
      <c r="V81" s="17"/>
      <c r="W81" s="375"/>
      <c r="X81" s="15"/>
    </row>
    <row r="82" spans="1:24" x14ac:dyDescent="0.25">
      <c r="A82" s="15"/>
      <c r="B82" s="15"/>
      <c r="C82" s="15"/>
      <c r="D82" s="374"/>
      <c r="E82" s="15"/>
      <c r="F82" s="17"/>
      <c r="G82" s="18"/>
      <c r="H82" s="183"/>
      <c r="I82" s="15"/>
      <c r="J82" s="17"/>
      <c r="K82" s="17"/>
      <c r="L82" s="17"/>
      <c r="M82" s="15"/>
      <c r="N82" s="15"/>
      <c r="O82" s="15"/>
      <c r="P82" s="15"/>
      <c r="Q82" s="17"/>
      <c r="R82" s="15"/>
      <c r="S82" s="15"/>
      <c r="T82" s="15"/>
      <c r="U82" s="94"/>
      <c r="V82" s="17"/>
      <c r="W82" s="375"/>
      <c r="X82" s="15"/>
    </row>
    <row r="83" spans="1:24" x14ac:dyDescent="0.25">
      <c r="A83" s="15"/>
      <c r="B83" s="15"/>
      <c r="C83" s="15"/>
      <c r="D83" s="374"/>
      <c r="E83" s="15"/>
      <c r="F83" s="17"/>
      <c r="G83" s="18"/>
      <c r="H83" s="183"/>
      <c r="I83" s="15"/>
      <c r="J83" s="17"/>
      <c r="K83" s="17"/>
      <c r="L83" s="17"/>
      <c r="M83" s="15"/>
      <c r="N83" s="15"/>
      <c r="O83" s="15"/>
      <c r="P83" s="15"/>
      <c r="Q83" s="17"/>
      <c r="R83" s="15"/>
      <c r="S83" s="15"/>
      <c r="T83" s="15"/>
      <c r="U83" s="94"/>
      <c r="V83" s="17"/>
      <c r="W83" s="375"/>
      <c r="X83" s="15"/>
    </row>
    <row r="84" spans="1:24" x14ac:dyDescent="0.25">
      <c r="A84" s="15"/>
      <c r="B84" s="15"/>
      <c r="C84" s="15"/>
      <c r="D84" s="374"/>
      <c r="E84" s="15"/>
      <c r="F84" s="17"/>
      <c r="G84" s="18"/>
      <c r="H84" s="183"/>
      <c r="I84" s="15"/>
      <c r="J84" s="17"/>
      <c r="K84" s="17"/>
      <c r="L84" s="17"/>
      <c r="M84" s="15"/>
      <c r="N84" s="15"/>
      <c r="O84" s="15"/>
      <c r="P84" s="15"/>
      <c r="Q84" s="17"/>
      <c r="R84" s="15"/>
      <c r="S84" s="15"/>
      <c r="T84" s="15"/>
      <c r="U84" s="94"/>
      <c r="V84" s="17"/>
      <c r="W84" s="375"/>
      <c r="X84" s="15"/>
    </row>
    <row r="85" spans="1:24" x14ac:dyDescent="0.25">
      <c r="A85" s="15"/>
      <c r="B85" s="15"/>
      <c r="C85" s="15"/>
      <c r="D85" s="374"/>
      <c r="E85" s="15"/>
      <c r="F85" s="90"/>
      <c r="G85" s="18"/>
      <c r="H85" s="183"/>
      <c r="I85" s="15"/>
      <c r="J85" s="17"/>
      <c r="K85" s="17"/>
      <c r="L85" s="17"/>
      <c r="M85" s="15"/>
      <c r="N85" s="15"/>
      <c r="O85" s="15"/>
      <c r="P85" s="15"/>
      <c r="Q85" s="17"/>
      <c r="R85" s="15"/>
      <c r="S85" s="15"/>
      <c r="T85" s="15"/>
      <c r="U85" s="94"/>
      <c r="V85" s="17"/>
      <c r="W85" s="375"/>
      <c r="X85" s="15"/>
    </row>
    <row r="86" spans="1:24" x14ac:dyDescent="0.25">
      <c r="A86" s="15"/>
      <c r="B86" s="15"/>
      <c r="C86" s="15"/>
      <c r="D86" s="374"/>
      <c r="E86" s="15"/>
      <c r="F86" s="90"/>
      <c r="G86" s="18"/>
      <c r="H86" s="183"/>
      <c r="I86" s="15"/>
      <c r="J86" s="17"/>
      <c r="K86" s="17"/>
      <c r="L86" s="17"/>
      <c r="M86" s="15"/>
      <c r="N86" s="15"/>
      <c r="O86" s="15"/>
      <c r="P86" s="15"/>
      <c r="Q86" s="17"/>
      <c r="R86" s="15"/>
      <c r="S86" s="15"/>
      <c r="T86" s="15"/>
      <c r="U86" s="94"/>
      <c r="V86" s="17"/>
      <c r="W86" s="375"/>
      <c r="X86" s="15"/>
    </row>
    <row r="87" spans="1:24" x14ac:dyDescent="0.25">
      <c r="A87" s="15"/>
      <c r="B87" s="15"/>
      <c r="C87" s="15"/>
      <c r="D87" s="374"/>
      <c r="E87" s="15"/>
      <c r="F87" s="17"/>
      <c r="G87" s="18"/>
      <c r="H87" s="183"/>
      <c r="I87" s="15"/>
      <c r="J87" s="17"/>
      <c r="K87" s="17"/>
      <c r="L87" s="17"/>
      <c r="M87" s="15"/>
      <c r="N87" s="15"/>
      <c r="O87" s="15"/>
      <c r="P87" s="15"/>
      <c r="Q87" s="17"/>
      <c r="R87" s="15"/>
      <c r="S87" s="15"/>
      <c r="T87" s="15"/>
      <c r="U87" s="94"/>
      <c r="V87" s="17"/>
      <c r="W87" s="375"/>
      <c r="X87" s="15"/>
    </row>
    <row r="88" spans="1:24" x14ac:dyDescent="0.25">
      <c r="A88" s="15"/>
      <c r="B88" s="15"/>
      <c r="C88" s="15"/>
      <c r="D88" s="374"/>
      <c r="E88" s="15"/>
      <c r="F88" s="17"/>
      <c r="G88" s="18"/>
      <c r="H88" s="183"/>
      <c r="I88" s="15"/>
      <c r="J88" s="17"/>
      <c r="K88" s="17"/>
      <c r="L88" s="17"/>
      <c r="M88" s="15"/>
      <c r="N88" s="15"/>
      <c r="O88" s="15"/>
      <c r="P88" s="15"/>
      <c r="Q88" s="17"/>
      <c r="R88" s="15"/>
      <c r="S88" s="15"/>
      <c r="T88" s="15"/>
      <c r="U88" s="94"/>
      <c r="V88" s="17"/>
      <c r="W88" s="375"/>
      <c r="X88" s="15"/>
    </row>
    <row r="89" spans="1:24" x14ac:dyDescent="0.25">
      <c r="A89" s="15"/>
      <c r="B89" s="15"/>
      <c r="C89" s="15"/>
      <c r="D89" s="374"/>
      <c r="E89" s="15"/>
      <c r="F89" s="17"/>
      <c r="G89" s="18"/>
      <c r="H89" s="183"/>
      <c r="I89" s="15"/>
      <c r="J89" s="17"/>
      <c r="K89" s="17"/>
      <c r="L89" s="17"/>
      <c r="M89" s="15"/>
      <c r="N89" s="15"/>
      <c r="O89" s="15"/>
      <c r="P89" s="15"/>
      <c r="Q89" s="17"/>
      <c r="R89" s="15"/>
      <c r="S89" s="15"/>
      <c r="T89" s="15"/>
      <c r="U89" s="94"/>
      <c r="V89" s="17"/>
      <c r="W89" s="375"/>
      <c r="X89" s="15"/>
    </row>
    <row r="90" spans="1:24" x14ac:dyDescent="0.25">
      <c r="A90" s="15"/>
      <c r="B90" s="15"/>
      <c r="C90" s="15"/>
      <c r="D90" s="374"/>
      <c r="E90" s="15"/>
      <c r="F90" s="17"/>
      <c r="G90" s="18"/>
      <c r="H90" s="183"/>
      <c r="I90" s="15"/>
      <c r="J90" s="17"/>
      <c r="K90" s="17"/>
      <c r="L90" s="17"/>
      <c r="M90" s="15"/>
      <c r="N90" s="15"/>
      <c r="O90" s="15"/>
      <c r="P90" s="15"/>
      <c r="Q90" s="17"/>
      <c r="R90" s="15"/>
      <c r="S90" s="15"/>
      <c r="T90" s="15"/>
      <c r="U90" s="94"/>
      <c r="V90" s="17"/>
      <c r="W90" s="375"/>
      <c r="X90" s="15"/>
    </row>
    <row r="91" spans="1:24" x14ac:dyDescent="0.25">
      <c r="A91" s="15"/>
      <c r="B91" s="15"/>
      <c r="C91" s="15"/>
      <c r="D91" s="374"/>
      <c r="E91" s="15"/>
      <c r="F91" s="17"/>
      <c r="G91" s="18"/>
      <c r="H91" s="183"/>
      <c r="I91" s="15"/>
      <c r="J91" s="17"/>
      <c r="K91" s="17"/>
      <c r="L91" s="17"/>
      <c r="M91" s="15"/>
      <c r="N91" s="15"/>
      <c r="O91" s="15"/>
      <c r="P91" s="15"/>
      <c r="Q91" s="17"/>
      <c r="R91" s="15"/>
      <c r="S91" s="15"/>
      <c r="T91" s="15"/>
      <c r="U91" s="94"/>
      <c r="V91" s="17"/>
      <c r="W91" s="375"/>
      <c r="X91" s="15"/>
    </row>
    <row r="92" spans="1:24" x14ac:dyDescent="0.25">
      <c r="A92" s="15"/>
      <c r="B92" s="15"/>
      <c r="C92" s="15"/>
      <c r="D92" s="374"/>
      <c r="E92" s="15"/>
      <c r="F92" s="17"/>
      <c r="G92" s="18"/>
      <c r="H92" s="183"/>
      <c r="I92" s="15"/>
      <c r="J92" s="17"/>
      <c r="K92" s="17"/>
      <c r="L92" s="17"/>
      <c r="M92" s="15"/>
      <c r="N92" s="15"/>
      <c r="O92" s="15"/>
      <c r="P92" s="15"/>
      <c r="Q92" s="17"/>
      <c r="R92" s="15"/>
      <c r="S92" s="15"/>
      <c r="T92" s="15"/>
      <c r="U92" s="94"/>
      <c r="V92" s="17"/>
      <c r="W92" s="375"/>
      <c r="X92" s="15"/>
    </row>
    <row r="93" spans="1:24" x14ac:dyDescent="0.25">
      <c r="A93" s="15"/>
      <c r="B93" s="15"/>
      <c r="C93" s="15"/>
      <c r="D93" s="374"/>
      <c r="E93" s="15"/>
      <c r="F93" s="17"/>
      <c r="G93" s="18"/>
      <c r="H93" s="183"/>
      <c r="I93" s="15"/>
      <c r="J93" s="17"/>
      <c r="K93" s="17"/>
      <c r="L93" s="17"/>
      <c r="M93" s="15"/>
      <c r="N93" s="15"/>
      <c r="O93" s="15"/>
      <c r="P93" s="15"/>
      <c r="Q93" s="17"/>
      <c r="R93" s="15"/>
      <c r="S93" s="15"/>
      <c r="T93" s="15"/>
      <c r="U93" s="94"/>
      <c r="V93" s="17"/>
      <c r="W93" s="375"/>
      <c r="X93" s="15"/>
    </row>
    <row r="94" spans="1:24" x14ac:dyDescent="0.25">
      <c r="A94" s="15"/>
      <c r="B94" s="15"/>
      <c r="C94" s="15"/>
      <c r="D94" s="374"/>
      <c r="E94" s="15"/>
      <c r="F94" s="17"/>
      <c r="G94" s="18"/>
      <c r="H94" s="183"/>
      <c r="I94" s="15"/>
      <c r="J94" s="17"/>
      <c r="K94" s="17"/>
      <c r="L94" s="17"/>
      <c r="M94" s="15"/>
      <c r="N94" s="15"/>
      <c r="O94" s="15"/>
      <c r="P94" s="15"/>
      <c r="Q94" s="17"/>
      <c r="R94" s="15"/>
      <c r="S94" s="15"/>
      <c r="T94" s="15"/>
      <c r="U94" s="94"/>
      <c r="V94" s="17"/>
      <c r="W94" s="375"/>
      <c r="X94" s="15"/>
    </row>
    <row r="95" spans="1:24" x14ac:dyDescent="0.25">
      <c r="A95" s="15"/>
      <c r="B95" s="15"/>
      <c r="C95" s="15"/>
      <c r="D95" s="374"/>
      <c r="E95" s="15"/>
      <c r="F95" s="17"/>
      <c r="G95" s="18"/>
      <c r="H95" s="183"/>
      <c r="I95" s="15"/>
      <c r="J95" s="17"/>
      <c r="K95" s="17"/>
      <c r="L95" s="17"/>
      <c r="M95" s="15"/>
      <c r="N95" s="15"/>
      <c r="O95" s="15"/>
      <c r="P95" s="15"/>
      <c r="Q95" s="17"/>
      <c r="R95" s="15"/>
      <c r="S95" s="15"/>
      <c r="T95" s="15"/>
      <c r="U95" s="94"/>
      <c r="V95" s="17"/>
      <c r="W95" s="375"/>
      <c r="X95" s="15"/>
    </row>
    <row r="96" spans="1:24" x14ac:dyDescent="0.25">
      <c r="A96" s="15"/>
      <c r="B96" s="15"/>
      <c r="C96" s="15"/>
      <c r="D96" s="374"/>
      <c r="E96" s="15"/>
      <c r="F96" s="17"/>
      <c r="G96" s="18"/>
      <c r="H96" s="183"/>
      <c r="I96" s="15"/>
      <c r="J96" s="17"/>
      <c r="K96" s="17"/>
      <c r="L96" s="17"/>
      <c r="M96" s="15"/>
      <c r="N96" s="15"/>
      <c r="O96" s="15"/>
      <c r="P96" s="15"/>
      <c r="Q96" s="17"/>
      <c r="R96" s="15"/>
      <c r="S96" s="15"/>
      <c r="T96" s="15"/>
      <c r="U96" s="94"/>
      <c r="V96" s="17"/>
      <c r="W96" s="375"/>
      <c r="X96" s="15"/>
    </row>
    <row r="97" spans="1:24" x14ac:dyDescent="0.25">
      <c r="A97" s="15"/>
      <c r="B97" s="15"/>
      <c r="C97" s="15"/>
      <c r="D97" s="374"/>
      <c r="E97" s="15"/>
      <c r="F97" s="17"/>
      <c r="G97" s="18"/>
      <c r="H97" s="183"/>
      <c r="I97" s="91"/>
      <c r="J97" s="17"/>
      <c r="K97" s="17"/>
      <c r="L97" s="17"/>
      <c r="M97" s="15"/>
      <c r="N97" s="15"/>
      <c r="O97" s="15"/>
      <c r="P97" s="15"/>
      <c r="Q97" s="17"/>
      <c r="R97" s="15"/>
      <c r="S97" s="15"/>
      <c r="T97" s="15"/>
      <c r="U97" s="94"/>
      <c r="V97" s="17"/>
      <c r="W97" s="375"/>
      <c r="X97" s="15"/>
    </row>
    <row r="98" spans="1:24" x14ac:dyDescent="0.25">
      <c r="A98" s="15"/>
      <c r="B98" s="15"/>
      <c r="C98" s="15"/>
      <c r="D98" s="374"/>
      <c r="E98" s="15"/>
      <c r="F98" s="17"/>
      <c r="G98" s="18"/>
      <c r="H98" s="183"/>
      <c r="I98" s="91"/>
      <c r="J98" s="17"/>
      <c r="K98" s="17"/>
      <c r="L98" s="17"/>
      <c r="M98" s="15"/>
      <c r="N98" s="15"/>
      <c r="O98" s="15"/>
      <c r="P98" s="15"/>
      <c r="Q98" s="17"/>
      <c r="R98" s="15"/>
      <c r="S98" s="15"/>
      <c r="T98" s="15"/>
      <c r="U98" s="94"/>
      <c r="V98" s="17"/>
      <c r="W98" s="375"/>
      <c r="X98" s="15"/>
    </row>
  </sheetData>
  <sheetProtection insertColumns="0" insertRows="0" sort="0" autoFilter="0" pivotTables="0"/>
  <autoFilter ref="A3:Z3" xr:uid="{FFA23997-CC8B-4DAF-B978-CE9C5DCC7E75}"/>
  <conditionalFormatting sqref="F27:F33 F46:F47 F58 F67:F68 F77 F92:F93 F97:F98">
    <cfRule type="cellIs" dxfId="116" priority="7" operator="equal">
      <formula>"YES-INVALID"</formula>
    </cfRule>
    <cfRule type="cellIs" dxfId="115" priority="8" operator="equal">
      <formula>"YES"</formula>
    </cfRule>
    <cfRule type="cellIs" dxfId="114" priority="9" operator="equal">
      <formula>"MISSING"</formula>
    </cfRule>
  </conditionalFormatting>
  <conditionalFormatting sqref="H97:I98">
    <cfRule type="cellIs" dxfId="113" priority="4" operator="equal">
      <formula>"YES-INVALID"</formula>
    </cfRule>
    <cfRule type="cellIs" dxfId="112" priority="5" operator="equal">
      <formula>"YES"</formula>
    </cfRule>
    <cfRule type="cellIs" dxfId="111" priority="6" operator="equal">
      <formula>"MISSING"</formula>
    </cfRule>
  </conditionalFormatting>
  <conditionalFormatting sqref="V4:V98">
    <cfRule type="cellIs" dxfId="110" priority="1" operator="equal">
      <formula>"NO-OOS"</formula>
    </cfRule>
    <cfRule type="cellIs" dxfId="109" priority="2" operator="equal">
      <formula>"NO-GA"</formula>
    </cfRule>
    <cfRule type="cellIs" dxfId="108" priority="3" operator="equal">
      <formula>"YES"</formula>
    </cfRule>
  </conditionalFormatting>
  <dataValidations count="1">
    <dataValidation type="list" allowBlank="1" showInputMessage="1" showErrorMessage="1" sqref="V4:V98" xr:uid="{780E07DF-49C1-455F-999D-C0CA2F93A1C9}">
      <formula1>"YES, NO-GA, NO-OOS"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showInputMessage="1" showErrorMessage="1" promptTitle="FF2" prompt="GS - Georgia Spend NON PAYROLL_x000a_GL - Geogia Labor (GA Residents)_x000a_NQ - Non Qualified_x000a_DL - Distant Labor (NON-GA Residents)" xr:uid="{C10B2728-179F-4DE8-BFFC-9074BBD1B0E1}">
          <x14:formula1>
            <xm:f>Legend!$K$3:$K$6</xm:f>
          </x14:formula1>
          <xm:sqref>K4:K98</xm:sqref>
        </x14:dataValidation>
        <x14:dataValidation type="list" allowBlank="1" showInputMessage="1" showErrorMessage="1" xr:uid="{24222E7B-7BA1-4ACE-BC81-26F7886E890C}">
          <x14:formula1>
            <xm:f>Legend!$N$3:$N$8</xm:f>
          </x14:formula1>
          <xm:sqref>L4:L98</xm:sqref>
        </x14:dataValidation>
        <x14:dataValidation type="list" allowBlank="1" showInputMessage="1" showErrorMessage="1" xr:uid="{AF62B009-8713-4A4A-9EF1-1EFC3571E83C}">
          <x14:formula1>
            <xm:f>Legend!$H$3:$H$15</xm:f>
          </x14:formula1>
          <xm:sqref>J4:J98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8721F-BCF2-4904-B9EA-99ABDFA7A3BD}">
  <sheetPr codeName="Sheet10">
    <tabColor rgb="FF00B050"/>
  </sheetPr>
  <dimension ref="A1:AY616"/>
  <sheetViews>
    <sheetView tabSelected="1" zoomScale="90" zoomScaleNormal="90" workbookViewId="0">
      <pane xSplit="1" ySplit="3" topLeftCell="T4" activePane="bottomRight" state="frozen"/>
      <selection activeCell="D21" sqref="D21"/>
      <selection pane="topRight" activeCell="D21" sqref="D21"/>
      <selection pane="bottomLeft" activeCell="D21" sqref="D21"/>
      <selection pane="bottomRight" activeCell="AX30" sqref="V22:AX30"/>
    </sheetView>
  </sheetViews>
  <sheetFormatPr defaultRowHeight="15" x14ac:dyDescent="0.25"/>
  <cols>
    <col min="1" max="2" width="25.28515625" bestFit="1" customWidth="1"/>
    <col min="3" max="3" width="17.85546875" customWidth="1"/>
    <col min="4" max="4" width="17.7109375" bestFit="1" customWidth="1"/>
    <col min="5" max="5" width="17.7109375" style="4" customWidth="1"/>
    <col min="6" max="6" width="16.7109375" bestFit="1" customWidth="1"/>
    <col min="7" max="7" width="15.5703125" bestFit="1" customWidth="1"/>
    <col min="8" max="8" width="28.7109375" bestFit="1" customWidth="1"/>
    <col min="9" max="9" width="33.28515625" bestFit="1" customWidth="1"/>
    <col min="10" max="10" width="12.42578125" bestFit="1" customWidth="1"/>
    <col min="11" max="11" width="20.28515625" style="12" bestFit="1" customWidth="1"/>
    <col min="12" max="12" width="20.7109375" style="12" bestFit="1" customWidth="1"/>
    <col min="13" max="13" width="18.85546875" style="5" customWidth="1"/>
    <col min="14" max="14" width="17.7109375" style="5" bestFit="1" customWidth="1"/>
    <col min="15" max="15" width="21.7109375" style="12" customWidth="1"/>
    <col min="16" max="16" width="14.7109375" style="12" customWidth="1"/>
    <col min="17" max="17" width="17.28515625" style="12" customWidth="1"/>
    <col min="18" max="19" width="16.7109375" style="12" customWidth="1"/>
    <col min="20" max="20" width="18.5703125" style="12" bestFit="1" customWidth="1"/>
    <col min="21" max="21" width="12.28515625" style="12" bestFit="1" customWidth="1"/>
    <col min="22" max="22" width="15.7109375" style="12" bestFit="1" customWidth="1"/>
    <col min="23" max="23" width="11.7109375" style="12" bestFit="1" customWidth="1"/>
    <col min="24" max="24" width="19.28515625" style="12" bestFit="1" customWidth="1"/>
    <col min="25" max="25" width="20.5703125" style="12" bestFit="1" customWidth="1"/>
    <col min="26" max="29" width="21.28515625" style="12" customWidth="1"/>
    <col min="30" max="30" width="19.140625" style="12" bestFit="1" customWidth="1"/>
    <col min="31" max="31" width="17.7109375" style="12" bestFit="1" customWidth="1"/>
    <col min="32" max="32" width="19.28515625" bestFit="1" customWidth="1"/>
    <col min="33" max="33" width="18.85546875" style="3" customWidth="1"/>
    <col min="34" max="34" width="19.5703125" style="3" bestFit="1" customWidth="1"/>
    <col min="35" max="35" width="15.140625" style="3" bestFit="1" customWidth="1"/>
    <col min="36" max="36" width="22.140625" bestFit="1" customWidth="1"/>
    <col min="37" max="37" width="13.28515625" bestFit="1" customWidth="1"/>
    <col min="38" max="38" width="18.5703125" customWidth="1"/>
    <col min="39" max="39" width="15" customWidth="1"/>
    <col min="40" max="40" width="15.5703125" bestFit="1" customWidth="1"/>
    <col min="41" max="41" width="14.5703125" style="3" bestFit="1" customWidth="1"/>
    <col min="42" max="42" width="39.42578125" bestFit="1" customWidth="1"/>
    <col min="43" max="43" width="14.140625" bestFit="1" customWidth="1"/>
    <col min="44" max="44" width="9.7109375" bestFit="1" customWidth="1"/>
    <col min="45" max="45" width="11.28515625" style="3" bestFit="1" customWidth="1"/>
    <col min="46" max="46" width="30.7109375" customWidth="1"/>
    <col min="47" max="47" width="9.7109375" bestFit="1" customWidth="1"/>
    <col min="48" max="48" width="14" bestFit="1" customWidth="1"/>
    <col min="49" max="49" width="16.42578125" bestFit="1" customWidth="1"/>
    <col min="50" max="50" width="14.28515625" customWidth="1"/>
    <col min="51" max="51" width="24.5703125" bestFit="1" customWidth="1"/>
    <col min="52" max="52" width="6.5703125" bestFit="1" customWidth="1"/>
    <col min="53" max="53" width="6" bestFit="1" customWidth="1"/>
  </cols>
  <sheetData>
    <row r="1" spans="1:51" s="397" customFormat="1" ht="46.5" customHeight="1" x14ac:dyDescent="0.25">
      <c r="A1" s="440" t="s">
        <v>453</v>
      </c>
      <c r="B1" s="440"/>
      <c r="C1" s="440"/>
      <c r="D1" s="440"/>
      <c r="E1" s="440"/>
      <c r="F1" s="440"/>
      <c r="G1" s="440"/>
      <c r="H1" s="440"/>
      <c r="K1" s="398"/>
      <c r="L1" s="398"/>
      <c r="M1" s="398"/>
      <c r="N1" s="398"/>
      <c r="O1" s="398"/>
      <c r="P1" s="398"/>
      <c r="Q1" s="398"/>
      <c r="R1" s="398"/>
      <c r="S1" s="398"/>
      <c r="T1" s="398"/>
      <c r="U1" s="398"/>
      <c r="V1" s="398"/>
      <c r="W1" s="398"/>
      <c r="X1" s="398"/>
      <c r="Y1" s="398"/>
      <c r="Z1" s="446" t="s">
        <v>454</v>
      </c>
      <c r="AA1" s="447"/>
      <c r="AB1" s="447"/>
      <c r="AC1" s="448"/>
      <c r="AD1" s="398"/>
      <c r="AE1" s="398"/>
      <c r="AG1" s="399"/>
      <c r="AH1" s="399"/>
      <c r="AI1" s="399"/>
      <c r="AJ1" s="399"/>
      <c r="AK1" s="399"/>
      <c r="AO1" s="399"/>
      <c r="AS1" s="399"/>
    </row>
    <row r="2" spans="1:51" ht="15.75" thickBot="1" x14ac:dyDescent="0.3">
      <c r="Z2" s="401">
        <f>SUM(Z4:Z574)</f>
        <v>0</v>
      </c>
      <c r="AA2" s="402">
        <f t="shared" ref="AA2:AB2" si="0">SUM(AA4:AA574)</f>
        <v>0</v>
      </c>
      <c r="AB2" s="402">
        <f t="shared" si="0"/>
        <v>0</v>
      </c>
      <c r="AC2" s="403">
        <f>SUM(AC4:AC574)</f>
        <v>0</v>
      </c>
      <c r="AW2" s="404"/>
      <c r="AX2" s="404"/>
      <c r="AY2" s="404"/>
    </row>
    <row r="3" spans="1:51" ht="30" x14ac:dyDescent="0.25">
      <c r="A3" s="85" t="s">
        <v>168</v>
      </c>
      <c r="B3" s="85" t="s">
        <v>54</v>
      </c>
      <c r="C3" s="85" t="s">
        <v>55</v>
      </c>
      <c r="D3" s="85" t="s">
        <v>56</v>
      </c>
      <c r="E3" s="87" t="s">
        <v>57</v>
      </c>
      <c r="F3" s="85" t="s">
        <v>394</v>
      </c>
      <c r="G3" s="85" t="s">
        <v>164</v>
      </c>
      <c r="H3" s="85" t="s">
        <v>58</v>
      </c>
      <c r="I3" s="85" t="s">
        <v>59</v>
      </c>
      <c r="J3" s="85" t="s">
        <v>60</v>
      </c>
      <c r="K3" s="116" t="s">
        <v>61</v>
      </c>
      <c r="L3" s="116" t="s">
        <v>62</v>
      </c>
      <c r="M3" s="116" t="s">
        <v>204</v>
      </c>
      <c r="N3" s="116" t="s">
        <v>203</v>
      </c>
      <c r="O3" s="116" t="s">
        <v>63</v>
      </c>
      <c r="P3" s="116" t="s">
        <v>348</v>
      </c>
      <c r="Q3" s="116" t="s">
        <v>64</v>
      </c>
      <c r="R3" s="116" t="s">
        <v>65</v>
      </c>
      <c r="S3" s="116" t="s">
        <v>66</v>
      </c>
      <c r="T3" s="269" t="s">
        <v>375</v>
      </c>
      <c r="U3" s="269" t="s">
        <v>376</v>
      </c>
      <c r="V3" s="269" t="s">
        <v>377</v>
      </c>
      <c r="W3" s="269" t="s">
        <v>378</v>
      </c>
      <c r="X3" s="116" t="s">
        <v>68</v>
      </c>
      <c r="Y3" s="116" t="s">
        <v>67</v>
      </c>
      <c r="Z3" s="400" t="s">
        <v>206</v>
      </c>
      <c r="AA3" s="400" t="s">
        <v>207</v>
      </c>
      <c r="AB3" s="400" t="s">
        <v>208</v>
      </c>
      <c r="AC3" s="400" t="s">
        <v>288</v>
      </c>
      <c r="AD3" s="356" t="s">
        <v>209</v>
      </c>
      <c r="AE3" s="356" t="s">
        <v>210</v>
      </c>
      <c r="AF3" s="185" t="s">
        <v>69</v>
      </c>
      <c r="AG3" s="86" t="s">
        <v>70</v>
      </c>
      <c r="AH3" s="86" t="s">
        <v>26</v>
      </c>
      <c r="AI3" s="86" t="s">
        <v>205</v>
      </c>
      <c r="AJ3" s="357" t="s">
        <v>379</v>
      </c>
      <c r="AK3" s="86" t="s">
        <v>194</v>
      </c>
      <c r="AL3" s="86" t="s">
        <v>308</v>
      </c>
      <c r="AM3" s="86" t="s">
        <v>309</v>
      </c>
      <c r="AN3" s="86" t="s">
        <v>306</v>
      </c>
      <c r="AO3" s="86" t="s">
        <v>256</v>
      </c>
      <c r="AP3" s="86" t="s">
        <v>257</v>
      </c>
      <c r="AQ3" s="86" t="s">
        <v>307</v>
      </c>
      <c r="AR3" s="86" t="s">
        <v>176</v>
      </c>
      <c r="AS3" s="86" t="s">
        <v>196</v>
      </c>
      <c r="AT3" s="185" t="s">
        <v>109</v>
      </c>
      <c r="AU3" s="86" t="s">
        <v>0</v>
      </c>
      <c r="AV3" s="86" t="s">
        <v>1</v>
      </c>
      <c r="AW3" s="86" t="s">
        <v>30</v>
      </c>
      <c r="AX3" s="86" t="s">
        <v>27</v>
      </c>
      <c r="AY3" s="326" t="s">
        <v>408</v>
      </c>
    </row>
    <row r="4" spans="1:51" x14ac:dyDescent="0.25">
      <c r="A4" s="15"/>
      <c r="B4" s="15"/>
      <c r="C4" s="15"/>
      <c r="D4" s="15"/>
      <c r="E4" s="15"/>
      <c r="F4" s="15"/>
      <c r="G4" s="15"/>
      <c r="H4" s="15"/>
      <c r="I4" s="15"/>
      <c r="J4" s="91"/>
      <c r="K4" s="89"/>
      <c r="L4" s="15"/>
      <c r="M4" s="89">
        <v>0</v>
      </c>
      <c r="N4" s="89">
        <v>0</v>
      </c>
      <c r="O4" s="89">
        <v>0</v>
      </c>
      <c r="P4" s="94">
        <v>0</v>
      </c>
      <c r="Q4" s="94">
        <v>0</v>
      </c>
      <c r="R4" s="94">
        <v>0</v>
      </c>
      <c r="S4" s="94">
        <v>0</v>
      </c>
      <c r="T4" s="89">
        <v>0</v>
      </c>
      <c r="U4" s="89">
        <v>0</v>
      </c>
      <c r="V4" s="94">
        <v>0</v>
      </c>
      <c r="W4" s="94">
        <v>0</v>
      </c>
      <c r="X4" s="94">
        <v>0</v>
      </c>
      <c r="Y4" s="89">
        <v>0</v>
      </c>
      <c r="Z4" s="94">
        <f t="shared" ref="Z4:Z13" si="1">SUM(M4:Y4)</f>
        <v>0</v>
      </c>
      <c r="AA4" s="94">
        <f t="shared" ref="AA4:AA13" si="2">Y4+M4</f>
        <v>0</v>
      </c>
      <c r="AB4" s="89">
        <f t="shared" ref="AB4:AB13" si="3">Z4-AA4</f>
        <v>0</v>
      </c>
      <c r="AC4" s="89">
        <f t="shared" ref="AC4:AC13" si="4">AB4</f>
        <v>0</v>
      </c>
      <c r="AD4" s="89">
        <v>0</v>
      </c>
      <c r="AE4" s="89">
        <v>0</v>
      </c>
      <c r="AF4" s="292"/>
      <c r="AG4" s="292"/>
      <c r="AH4" s="17"/>
      <c r="AI4" s="17"/>
      <c r="AJ4" s="17"/>
      <c r="AK4" s="17"/>
      <c r="AL4" s="17"/>
      <c r="AM4" s="17"/>
      <c r="AN4" s="17"/>
      <c r="AO4" s="17">
        <v>22</v>
      </c>
      <c r="AP4" s="15" t="str">
        <f>IFERROR(VLOOKUP(AO4,Legend!$D$2:$E$26,2,0),"")</f>
        <v>Georgia Crew Hires: (to include fringes)</v>
      </c>
      <c r="AQ4" s="17"/>
      <c r="AR4" s="17"/>
      <c r="AS4" s="17" t="s">
        <v>178</v>
      </c>
      <c r="AT4" s="15"/>
      <c r="AU4" s="17" t="s">
        <v>6</v>
      </c>
      <c r="AV4" s="17" t="s">
        <v>2</v>
      </c>
      <c r="AW4" s="17" t="s">
        <v>10</v>
      </c>
      <c r="AX4" s="15"/>
      <c r="AY4" s="15" t="s">
        <v>405</v>
      </c>
    </row>
    <row r="5" spans="1:51" x14ac:dyDescent="0.25">
      <c r="A5" s="15"/>
      <c r="B5" s="15"/>
      <c r="C5" s="15"/>
      <c r="D5" s="15"/>
      <c r="E5" s="15"/>
      <c r="F5" s="15"/>
      <c r="G5" s="15"/>
      <c r="H5" s="15"/>
      <c r="I5" s="15"/>
      <c r="J5" s="91"/>
      <c r="K5" s="89"/>
      <c r="L5" s="15"/>
      <c r="M5" s="89">
        <v>0</v>
      </c>
      <c r="N5" s="89">
        <v>0</v>
      </c>
      <c r="O5" s="89">
        <v>0</v>
      </c>
      <c r="P5" s="94">
        <v>0</v>
      </c>
      <c r="Q5" s="94">
        <v>0</v>
      </c>
      <c r="R5" s="94">
        <v>0</v>
      </c>
      <c r="S5" s="94">
        <v>0</v>
      </c>
      <c r="T5" s="89">
        <v>0</v>
      </c>
      <c r="U5" s="89">
        <v>0</v>
      </c>
      <c r="V5" s="94">
        <v>0</v>
      </c>
      <c r="W5" s="94">
        <v>0</v>
      </c>
      <c r="X5" s="94">
        <v>0</v>
      </c>
      <c r="Y5" s="89">
        <v>0</v>
      </c>
      <c r="Z5" s="94">
        <f t="shared" si="1"/>
        <v>0</v>
      </c>
      <c r="AA5" s="94">
        <f t="shared" si="2"/>
        <v>0</v>
      </c>
      <c r="AB5" s="89">
        <f t="shared" si="3"/>
        <v>0</v>
      </c>
      <c r="AC5" s="89">
        <f t="shared" si="4"/>
        <v>0</v>
      </c>
      <c r="AD5" s="89">
        <v>0</v>
      </c>
      <c r="AE5" s="89">
        <v>0</v>
      </c>
      <c r="AF5" s="292"/>
      <c r="AG5" s="292"/>
      <c r="AH5" s="17"/>
      <c r="AI5" s="17"/>
      <c r="AJ5" s="17"/>
      <c r="AK5" s="17"/>
      <c r="AL5" s="17"/>
      <c r="AM5" s="17"/>
      <c r="AN5" s="17"/>
      <c r="AO5" s="17">
        <v>22</v>
      </c>
      <c r="AP5" s="15" t="str">
        <f>IFERROR(VLOOKUP(AO5,Legend!$D$2:$E$26,2,0),"")</f>
        <v>Georgia Crew Hires: (to include fringes)</v>
      </c>
      <c r="AQ5" s="17"/>
      <c r="AR5" s="17"/>
      <c r="AS5" s="17" t="s">
        <v>187</v>
      </c>
      <c r="AT5" s="15"/>
      <c r="AU5" s="17" t="s">
        <v>14</v>
      </c>
      <c r="AV5" s="17" t="s">
        <v>9</v>
      </c>
      <c r="AW5" s="17" t="s">
        <v>10</v>
      </c>
      <c r="AX5" s="15"/>
      <c r="AY5" s="15" t="s">
        <v>406</v>
      </c>
    </row>
    <row r="6" spans="1:51" x14ac:dyDescent="0.25">
      <c r="A6" s="15"/>
      <c r="B6" s="15"/>
      <c r="C6" s="15"/>
      <c r="D6" s="15"/>
      <c r="E6" s="15"/>
      <c r="F6" s="15"/>
      <c r="G6" s="15"/>
      <c r="H6" s="15"/>
      <c r="I6" s="15"/>
      <c r="J6" s="91"/>
      <c r="K6" s="89"/>
      <c r="L6" s="15"/>
      <c r="M6" s="89">
        <v>0</v>
      </c>
      <c r="N6" s="89">
        <v>0</v>
      </c>
      <c r="O6" s="89">
        <v>0</v>
      </c>
      <c r="P6" s="94">
        <v>0</v>
      </c>
      <c r="Q6" s="94">
        <v>0</v>
      </c>
      <c r="R6" s="94">
        <v>0</v>
      </c>
      <c r="S6" s="94">
        <v>0</v>
      </c>
      <c r="T6" s="89">
        <v>0</v>
      </c>
      <c r="U6" s="89">
        <v>0</v>
      </c>
      <c r="V6" s="94">
        <v>0</v>
      </c>
      <c r="W6" s="94">
        <v>0</v>
      </c>
      <c r="X6" s="94">
        <v>0</v>
      </c>
      <c r="Y6" s="89">
        <v>0</v>
      </c>
      <c r="Z6" s="94">
        <f t="shared" si="1"/>
        <v>0</v>
      </c>
      <c r="AA6" s="94">
        <f t="shared" si="2"/>
        <v>0</v>
      </c>
      <c r="AB6" s="89">
        <f t="shared" si="3"/>
        <v>0</v>
      </c>
      <c r="AC6" s="89">
        <f t="shared" si="4"/>
        <v>0</v>
      </c>
      <c r="AD6" s="89">
        <v>0</v>
      </c>
      <c r="AE6" s="89">
        <v>0</v>
      </c>
      <c r="AF6" s="292"/>
      <c r="AG6" s="292"/>
      <c r="AH6" s="17"/>
      <c r="AI6" s="17"/>
      <c r="AJ6" s="17"/>
      <c r="AK6" s="17"/>
      <c r="AL6" s="17"/>
      <c r="AM6" s="17"/>
      <c r="AN6" s="17"/>
      <c r="AO6" s="17">
        <v>22</v>
      </c>
      <c r="AP6" s="15" t="str">
        <f>IFERROR(VLOOKUP(AO6,Legend!$D$2:$E$26,2,0),"")</f>
        <v>Georgia Crew Hires: (to include fringes)</v>
      </c>
      <c r="AQ6" s="17"/>
      <c r="AR6" s="17"/>
      <c r="AS6" s="17" t="s">
        <v>188</v>
      </c>
      <c r="AT6" s="15"/>
      <c r="AU6" s="17" t="s">
        <v>7</v>
      </c>
      <c r="AV6" s="17" t="s">
        <v>5</v>
      </c>
      <c r="AW6" s="17" t="s">
        <v>10</v>
      </c>
      <c r="AX6" s="15"/>
      <c r="AY6" s="15" t="s">
        <v>407</v>
      </c>
    </row>
    <row r="7" spans="1:51" x14ac:dyDescent="0.25">
      <c r="A7" s="15"/>
      <c r="B7" s="15"/>
      <c r="C7" s="15"/>
      <c r="D7" s="15"/>
      <c r="E7" s="15"/>
      <c r="F7" s="15"/>
      <c r="G7" s="15"/>
      <c r="H7" s="15"/>
      <c r="I7" s="15"/>
      <c r="J7" s="91"/>
      <c r="K7" s="89"/>
      <c r="L7" s="15"/>
      <c r="M7" s="89">
        <v>0</v>
      </c>
      <c r="N7" s="89">
        <v>0</v>
      </c>
      <c r="O7" s="89">
        <v>0</v>
      </c>
      <c r="P7" s="94">
        <v>0</v>
      </c>
      <c r="Q7" s="94">
        <v>0</v>
      </c>
      <c r="R7" s="94">
        <v>0</v>
      </c>
      <c r="S7" s="94">
        <v>0</v>
      </c>
      <c r="T7" s="89">
        <v>0</v>
      </c>
      <c r="U7" s="89">
        <v>0</v>
      </c>
      <c r="V7" s="94">
        <v>0</v>
      </c>
      <c r="W7" s="94">
        <v>0</v>
      </c>
      <c r="X7" s="94">
        <v>0</v>
      </c>
      <c r="Y7" s="89">
        <v>0</v>
      </c>
      <c r="Z7" s="94">
        <f t="shared" si="1"/>
        <v>0</v>
      </c>
      <c r="AA7" s="94">
        <f t="shared" si="2"/>
        <v>0</v>
      </c>
      <c r="AB7" s="89">
        <f t="shared" si="3"/>
        <v>0</v>
      </c>
      <c r="AC7" s="89">
        <f t="shared" si="4"/>
        <v>0</v>
      </c>
      <c r="AD7" s="89">
        <v>0</v>
      </c>
      <c r="AE7" s="89">
        <v>0</v>
      </c>
      <c r="AF7" s="292"/>
      <c r="AG7" s="292"/>
      <c r="AH7" s="17"/>
      <c r="AI7" s="17"/>
      <c r="AJ7" s="17"/>
      <c r="AK7" s="17"/>
      <c r="AL7" s="17"/>
      <c r="AM7" s="17"/>
      <c r="AN7" s="17"/>
      <c r="AO7" s="17">
        <v>22</v>
      </c>
      <c r="AP7" s="15" t="str">
        <f>IFERROR(VLOOKUP(AO7,Legend!$D$2:$E$26,2,0),"")</f>
        <v>Georgia Crew Hires: (to include fringes)</v>
      </c>
      <c r="AQ7" s="17"/>
      <c r="AR7" s="17"/>
      <c r="AS7" s="17"/>
      <c r="AT7" s="15"/>
      <c r="AU7" s="17" t="s">
        <v>4</v>
      </c>
      <c r="AV7" s="17" t="s">
        <v>44</v>
      </c>
      <c r="AW7" s="17" t="s">
        <v>10</v>
      </c>
      <c r="AX7" s="15"/>
      <c r="AY7" s="15"/>
    </row>
    <row r="8" spans="1:51" x14ac:dyDescent="0.25">
      <c r="A8" s="15"/>
      <c r="B8" s="15"/>
      <c r="C8" s="15"/>
      <c r="D8" s="15"/>
      <c r="E8" s="15"/>
      <c r="F8" s="15"/>
      <c r="G8" s="15"/>
      <c r="H8" s="15"/>
      <c r="I8" s="15"/>
      <c r="J8" s="91"/>
      <c r="K8" s="89"/>
      <c r="L8" s="15"/>
      <c r="M8" s="89">
        <v>0</v>
      </c>
      <c r="N8" s="89">
        <v>0</v>
      </c>
      <c r="O8" s="89">
        <v>0</v>
      </c>
      <c r="P8" s="94">
        <v>0</v>
      </c>
      <c r="Q8" s="94">
        <v>0</v>
      </c>
      <c r="R8" s="94">
        <v>0</v>
      </c>
      <c r="S8" s="94">
        <v>0</v>
      </c>
      <c r="T8" s="89">
        <v>0</v>
      </c>
      <c r="U8" s="89">
        <v>0</v>
      </c>
      <c r="V8" s="94">
        <v>0</v>
      </c>
      <c r="W8" s="94">
        <v>0</v>
      </c>
      <c r="X8" s="94">
        <v>0</v>
      </c>
      <c r="Y8" s="89">
        <v>0</v>
      </c>
      <c r="Z8" s="94">
        <f t="shared" si="1"/>
        <v>0</v>
      </c>
      <c r="AA8" s="94">
        <f t="shared" si="2"/>
        <v>0</v>
      </c>
      <c r="AB8" s="89">
        <f t="shared" si="3"/>
        <v>0</v>
      </c>
      <c r="AC8" s="89">
        <f t="shared" si="4"/>
        <v>0</v>
      </c>
      <c r="AD8" s="89">
        <v>0</v>
      </c>
      <c r="AE8" s="89">
        <v>0</v>
      </c>
      <c r="AF8" s="292"/>
      <c r="AG8" s="292"/>
      <c r="AH8" s="17"/>
      <c r="AI8" s="17"/>
      <c r="AJ8" s="17"/>
      <c r="AK8" s="17"/>
      <c r="AL8" s="17"/>
      <c r="AM8" s="17"/>
      <c r="AN8" s="17"/>
      <c r="AO8" s="17">
        <v>22</v>
      </c>
      <c r="AP8" s="15" t="str">
        <f>IFERROR(VLOOKUP(AO8,Legend!$D$2:$E$26,2,0),"")</f>
        <v>Georgia Crew Hires: (to include fringes)</v>
      </c>
      <c r="AQ8" s="17"/>
      <c r="AR8" s="17"/>
      <c r="AS8" s="17"/>
      <c r="AT8" s="15"/>
      <c r="AU8" s="17" t="s">
        <v>16</v>
      </c>
      <c r="AV8" s="17"/>
      <c r="AW8" s="17" t="s">
        <v>10</v>
      </c>
      <c r="AX8" s="15"/>
      <c r="AY8" s="15"/>
    </row>
    <row r="9" spans="1:51" x14ac:dyDescent="0.25">
      <c r="A9" s="15"/>
      <c r="B9" s="15"/>
      <c r="C9" s="15"/>
      <c r="D9" s="15"/>
      <c r="E9" s="15"/>
      <c r="F9" s="15"/>
      <c r="G9" s="15"/>
      <c r="H9" s="15"/>
      <c r="I9" s="15"/>
      <c r="J9" s="91"/>
      <c r="K9" s="89"/>
      <c r="L9" s="15"/>
      <c r="M9" s="89">
        <v>0</v>
      </c>
      <c r="N9" s="89">
        <v>0</v>
      </c>
      <c r="O9" s="89">
        <v>0</v>
      </c>
      <c r="P9" s="94">
        <v>0</v>
      </c>
      <c r="Q9" s="94">
        <v>0</v>
      </c>
      <c r="R9" s="94">
        <v>0</v>
      </c>
      <c r="S9" s="94">
        <v>0</v>
      </c>
      <c r="T9" s="89">
        <v>0</v>
      </c>
      <c r="U9" s="89">
        <v>0</v>
      </c>
      <c r="V9" s="94">
        <v>0</v>
      </c>
      <c r="W9" s="94">
        <v>0</v>
      </c>
      <c r="X9" s="94">
        <v>0</v>
      </c>
      <c r="Y9" s="89">
        <v>0</v>
      </c>
      <c r="Z9" s="94">
        <f t="shared" si="1"/>
        <v>0</v>
      </c>
      <c r="AA9" s="94">
        <f t="shared" si="2"/>
        <v>0</v>
      </c>
      <c r="AB9" s="89">
        <f t="shared" si="3"/>
        <v>0</v>
      </c>
      <c r="AC9" s="89">
        <f t="shared" si="4"/>
        <v>0</v>
      </c>
      <c r="AD9" s="89">
        <v>0</v>
      </c>
      <c r="AE9" s="89">
        <v>0</v>
      </c>
      <c r="AF9" s="292"/>
      <c r="AG9" s="292"/>
      <c r="AH9" s="17"/>
      <c r="AI9" s="17"/>
      <c r="AJ9" s="17"/>
      <c r="AK9" s="17"/>
      <c r="AL9" s="17"/>
      <c r="AM9" s="17"/>
      <c r="AN9" s="17"/>
      <c r="AO9" s="17">
        <v>22</v>
      </c>
      <c r="AP9" s="15" t="str">
        <f>IFERROR(VLOOKUP(AO9,Legend!$D$2:$E$26,2,0),"")</f>
        <v>Georgia Crew Hires: (to include fringes)</v>
      </c>
      <c r="AQ9" s="17"/>
      <c r="AR9" s="17"/>
      <c r="AS9" s="17"/>
      <c r="AT9" s="15"/>
      <c r="AU9" s="17" t="s">
        <v>172</v>
      </c>
      <c r="AV9" s="17"/>
      <c r="AW9" s="17" t="s">
        <v>10</v>
      </c>
      <c r="AX9" s="15"/>
      <c r="AY9" s="15"/>
    </row>
    <row r="10" spans="1:51" x14ac:dyDescent="0.25">
      <c r="A10" s="15"/>
      <c r="B10" s="15"/>
      <c r="C10" s="15"/>
      <c r="D10" s="15"/>
      <c r="E10" s="15"/>
      <c r="F10" s="15"/>
      <c r="G10" s="15"/>
      <c r="H10" s="15"/>
      <c r="I10" s="15"/>
      <c r="J10" s="91"/>
      <c r="K10" s="89"/>
      <c r="L10" s="15"/>
      <c r="M10" s="89">
        <v>0</v>
      </c>
      <c r="N10" s="89">
        <v>0</v>
      </c>
      <c r="O10" s="89">
        <v>0</v>
      </c>
      <c r="P10" s="94">
        <v>0</v>
      </c>
      <c r="Q10" s="94">
        <v>0</v>
      </c>
      <c r="R10" s="94">
        <v>0</v>
      </c>
      <c r="S10" s="94">
        <v>0</v>
      </c>
      <c r="T10" s="89">
        <v>0</v>
      </c>
      <c r="U10" s="89">
        <v>0</v>
      </c>
      <c r="V10" s="94">
        <v>0</v>
      </c>
      <c r="W10" s="94">
        <v>0</v>
      </c>
      <c r="X10" s="94">
        <v>0</v>
      </c>
      <c r="Y10" s="89">
        <v>0</v>
      </c>
      <c r="Z10" s="94">
        <f t="shared" si="1"/>
        <v>0</v>
      </c>
      <c r="AA10" s="94">
        <f t="shared" si="2"/>
        <v>0</v>
      </c>
      <c r="AB10" s="89">
        <f t="shared" si="3"/>
        <v>0</v>
      </c>
      <c r="AC10" s="89">
        <f t="shared" si="4"/>
        <v>0</v>
      </c>
      <c r="AD10" s="89">
        <v>0</v>
      </c>
      <c r="AE10" s="89">
        <v>0</v>
      </c>
      <c r="AF10" s="292"/>
      <c r="AG10" s="292"/>
      <c r="AH10" s="17"/>
      <c r="AI10" s="17"/>
      <c r="AJ10" s="17"/>
      <c r="AK10" s="17"/>
      <c r="AL10" s="17"/>
      <c r="AM10" s="17"/>
      <c r="AN10" s="17"/>
      <c r="AO10" s="17">
        <v>22</v>
      </c>
      <c r="AP10" s="15" t="str">
        <f>IFERROR(VLOOKUP(AO10,Legend!$D$2:$E$26,2,0),"")</f>
        <v>Georgia Crew Hires: (to include fringes)</v>
      </c>
      <c r="AQ10" s="17"/>
      <c r="AR10" s="17"/>
      <c r="AS10" s="17"/>
      <c r="AT10" s="15"/>
      <c r="AU10" s="17" t="s">
        <v>81</v>
      </c>
      <c r="AV10" s="17"/>
      <c r="AW10" s="17" t="s">
        <v>10</v>
      </c>
      <c r="AX10" s="15"/>
      <c r="AY10" s="15"/>
    </row>
    <row r="11" spans="1:51" x14ac:dyDescent="0.25">
      <c r="A11" s="15"/>
      <c r="B11" s="15"/>
      <c r="C11" s="15"/>
      <c r="D11" s="15"/>
      <c r="E11" s="15"/>
      <c r="F11" s="15"/>
      <c r="G11" s="15"/>
      <c r="H11" s="15"/>
      <c r="I11" s="15"/>
      <c r="J11" s="91"/>
      <c r="K11" s="89"/>
      <c r="L11" s="15"/>
      <c r="M11" s="89">
        <v>0</v>
      </c>
      <c r="N11" s="89">
        <v>0</v>
      </c>
      <c r="O11" s="89">
        <v>0</v>
      </c>
      <c r="P11" s="94">
        <v>0</v>
      </c>
      <c r="Q11" s="94">
        <v>0</v>
      </c>
      <c r="R11" s="94">
        <v>0</v>
      </c>
      <c r="S11" s="94">
        <v>0</v>
      </c>
      <c r="T11" s="89">
        <v>0</v>
      </c>
      <c r="U11" s="89">
        <v>0</v>
      </c>
      <c r="V11" s="94">
        <v>0</v>
      </c>
      <c r="W11" s="94">
        <v>0</v>
      </c>
      <c r="X11" s="94">
        <v>0</v>
      </c>
      <c r="Y11" s="89">
        <v>0</v>
      </c>
      <c r="Z11" s="94">
        <f t="shared" si="1"/>
        <v>0</v>
      </c>
      <c r="AA11" s="94">
        <f t="shared" si="2"/>
        <v>0</v>
      </c>
      <c r="AB11" s="89">
        <f t="shared" si="3"/>
        <v>0</v>
      </c>
      <c r="AC11" s="89">
        <f t="shared" si="4"/>
        <v>0</v>
      </c>
      <c r="AD11" s="89">
        <v>0</v>
      </c>
      <c r="AE11" s="89">
        <v>0</v>
      </c>
      <c r="AF11" s="292"/>
      <c r="AG11" s="292"/>
      <c r="AH11" s="17"/>
      <c r="AI11" s="17"/>
      <c r="AJ11" s="17"/>
      <c r="AK11" s="17"/>
      <c r="AL11" s="17"/>
      <c r="AM11" s="17"/>
      <c r="AN11" s="17"/>
      <c r="AO11" s="17">
        <v>22</v>
      </c>
      <c r="AP11" s="15" t="str">
        <f>IFERROR(VLOOKUP(AO11,Legend!$D$2:$E$26,2,0),"")</f>
        <v>Georgia Crew Hires: (to include fringes)</v>
      </c>
      <c r="AQ11" s="17"/>
      <c r="AR11" s="17"/>
      <c r="AS11" s="17"/>
      <c r="AT11" s="15"/>
      <c r="AU11" s="17" t="s">
        <v>82</v>
      </c>
      <c r="AV11" s="17"/>
      <c r="AW11" s="17" t="s">
        <v>10</v>
      </c>
      <c r="AX11" s="15"/>
      <c r="AY11" s="15"/>
    </row>
    <row r="12" spans="1:51" x14ac:dyDescent="0.25">
      <c r="A12" s="15"/>
      <c r="B12" s="15"/>
      <c r="C12" s="15"/>
      <c r="D12" s="15"/>
      <c r="E12" s="15"/>
      <c r="F12" s="15"/>
      <c r="G12" s="15"/>
      <c r="H12" s="15"/>
      <c r="I12" s="15"/>
      <c r="J12" s="91"/>
      <c r="K12" s="89"/>
      <c r="L12" s="15"/>
      <c r="M12" s="89">
        <v>0</v>
      </c>
      <c r="N12" s="89">
        <v>0</v>
      </c>
      <c r="O12" s="89">
        <v>0</v>
      </c>
      <c r="P12" s="94">
        <v>0</v>
      </c>
      <c r="Q12" s="94">
        <v>0</v>
      </c>
      <c r="R12" s="94">
        <v>0</v>
      </c>
      <c r="S12" s="94">
        <v>0</v>
      </c>
      <c r="T12" s="89">
        <v>0</v>
      </c>
      <c r="U12" s="89">
        <v>0</v>
      </c>
      <c r="V12" s="94">
        <v>0</v>
      </c>
      <c r="W12" s="94">
        <v>0</v>
      </c>
      <c r="X12" s="94">
        <v>0</v>
      </c>
      <c r="Y12" s="89">
        <v>0</v>
      </c>
      <c r="Z12" s="94">
        <f t="shared" si="1"/>
        <v>0</v>
      </c>
      <c r="AA12" s="94">
        <f t="shared" si="2"/>
        <v>0</v>
      </c>
      <c r="AB12" s="89">
        <f t="shared" si="3"/>
        <v>0</v>
      </c>
      <c r="AC12" s="89">
        <f t="shared" si="4"/>
        <v>0</v>
      </c>
      <c r="AD12" s="89">
        <v>0</v>
      </c>
      <c r="AE12" s="89">
        <v>0</v>
      </c>
      <c r="AF12" s="292"/>
      <c r="AG12" s="292"/>
      <c r="AH12" s="17"/>
      <c r="AI12" s="17"/>
      <c r="AJ12" s="17"/>
      <c r="AK12" s="17"/>
      <c r="AL12" s="17"/>
      <c r="AM12" s="17"/>
      <c r="AN12" s="17"/>
      <c r="AO12" s="17">
        <v>22</v>
      </c>
      <c r="AP12" s="15" t="str">
        <f>IFERROR(VLOOKUP(AO12,Legend!$D$2:$E$26,2,0),"")</f>
        <v>Georgia Crew Hires: (to include fringes)</v>
      </c>
      <c r="AQ12" s="17"/>
      <c r="AR12" s="17"/>
      <c r="AS12" s="17"/>
      <c r="AT12" s="15"/>
      <c r="AU12" s="17" t="s">
        <v>21</v>
      </c>
      <c r="AV12" s="17"/>
      <c r="AW12" s="17" t="s">
        <v>10</v>
      </c>
      <c r="AX12" s="15"/>
      <c r="AY12" s="15"/>
    </row>
    <row r="13" spans="1:51" x14ac:dyDescent="0.25">
      <c r="A13" s="15"/>
      <c r="B13" s="15"/>
      <c r="C13" s="15"/>
      <c r="D13" s="15"/>
      <c r="E13" s="15"/>
      <c r="F13" s="15"/>
      <c r="G13" s="15"/>
      <c r="H13" s="15"/>
      <c r="I13" s="15"/>
      <c r="J13" s="91"/>
      <c r="K13" s="89"/>
      <c r="L13" s="15"/>
      <c r="M13" s="89">
        <v>0</v>
      </c>
      <c r="N13" s="89">
        <v>0</v>
      </c>
      <c r="O13" s="89">
        <v>0</v>
      </c>
      <c r="P13" s="94">
        <v>0</v>
      </c>
      <c r="Q13" s="94">
        <v>0</v>
      </c>
      <c r="R13" s="94">
        <v>0</v>
      </c>
      <c r="S13" s="94">
        <v>0</v>
      </c>
      <c r="T13" s="89">
        <v>0</v>
      </c>
      <c r="U13" s="89">
        <v>0</v>
      </c>
      <c r="V13" s="94">
        <v>0</v>
      </c>
      <c r="W13" s="94">
        <v>0</v>
      </c>
      <c r="X13" s="94">
        <v>0</v>
      </c>
      <c r="Y13" s="89">
        <v>0</v>
      </c>
      <c r="Z13" s="94">
        <f t="shared" si="1"/>
        <v>0</v>
      </c>
      <c r="AA13" s="94">
        <f t="shared" si="2"/>
        <v>0</v>
      </c>
      <c r="AB13" s="89">
        <f t="shared" si="3"/>
        <v>0</v>
      </c>
      <c r="AC13" s="89">
        <f t="shared" si="4"/>
        <v>0</v>
      </c>
      <c r="AD13" s="89">
        <v>0</v>
      </c>
      <c r="AE13" s="89">
        <v>0</v>
      </c>
      <c r="AF13" s="292"/>
      <c r="AG13" s="292"/>
      <c r="AH13" s="17"/>
      <c r="AI13" s="17"/>
      <c r="AJ13" s="17"/>
      <c r="AK13" s="17"/>
      <c r="AL13" s="17"/>
      <c r="AM13" s="17"/>
      <c r="AN13" s="17"/>
      <c r="AO13" s="17">
        <v>22</v>
      </c>
      <c r="AP13" s="15" t="str">
        <f>IFERROR(VLOOKUP(AO13,Legend!$D$2:$E$26,2,0),"")</f>
        <v>Georgia Crew Hires: (to include fringes)</v>
      </c>
      <c r="AQ13" s="17"/>
      <c r="AR13" s="17"/>
      <c r="AS13" s="17"/>
      <c r="AT13" s="15"/>
      <c r="AU13" s="17" t="s">
        <v>22</v>
      </c>
      <c r="AV13" s="17"/>
      <c r="AW13" s="17" t="s">
        <v>10</v>
      </c>
      <c r="AX13" s="15"/>
      <c r="AY13" s="15"/>
    </row>
    <row r="14" spans="1:51" x14ac:dyDescent="0.25">
      <c r="A14" s="15"/>
      <c r="B14" s="15"/>
      <c r="C14" s="15"/>
      <c r="D14" s="15"/>
      <c r="E14" s="91"/>
      <c r="F14" s="15"/>
      <c r="G14" s="15"/>
      <c r="H14" s="15"/>
      <c r="I14" s="15"/>
      <c r="J14" s="15"/>
      <c r="K14" s="89"/>
      <c r="L14" s="15"/>
      <c r="M14" s="89">
        <v>0</v>
      </c>
      <c r="N14" s="89">
        <v>0</v>
      </c>
      <c r="O14" s="89">
        <v>0</v>
      </c>
      <c r="P14" s="94">
        <v>0</v>
      </c>
      <c r="Q14" s="94">
        <v>0</v>
      </c>
      <c r="R14" s="94">
        <v>0</v>
      </c>
      <c r="S14" s="94">
        <v>0</v>
      </c>
      <c r="T14" s="89">
        <v>0</v>
      </c>
      <c r="U14" s="89">
        <v>0</v>
      </c>
      <c r="V14" s="94">
        <v>0</v>
      </c>
      <c r="W14" s="94">
        <v>0</v>
      </c>
      <c r="X14" s="94">
        <v>0</v>
      </c>
      <c r="Y14" s="89">
        <v>0</v>
      </c>
      <c r="Z14" s="94">
        <f t="shared" ref="Z14:Z68" si="5">SUM(M14:Y14)</f>
        <v>0</v>
      </c>
      <c r="AA14" s="94">
        <f t="shared" ref="AA14:AA69" si="6">Y14+M14</f>
        <v>0</v>
      </c>
      <c r="AB14" s="89">
        <f t="shared" ref="AB14:AB69" si="7">Z14-AA14</f>
        <v>0</v>
      </c>
      <c r="AC14" s="89">
        <f t="shared" ref="AC14:AC69" si="8">AB14</f>
        <v>0</v>
      </c>
      <c r="AD14" s="89">
        <v>0</v>
      </c>
      <c r="AE14" s="89">
        <v>0</v>
      </c>
      <c r="AF14" s="117"/>
      <c r="AG14" s="117"/>
      <c r="AH14" s="262"/>
      <c r="AI14" s="17"/>
      <c r="AJ14" s="17"/>
      <c r="AK14" s="17"/>
      <c r="AL14" s="17"/>
      <c r="AM14" s="17"/>
      <c r="AN14" s="17"/>
      <c r="AO14" s="17">
        <v>22</v>
      </c>
      <c r="AP14" s="15" t="str">
        <f>IFERROR(VLOOKUP(AO14,Legend!$D$2:$E$26,2,0),"")</f>
        <v>Georgia Crew Hires: (to include fringes)</v>
      </c>
      <c r="AQ14" s="15"/>
      <c r="AR14" s="17"/>
      <c r="AS14" s="17"/>
      <c r="AT14" s="15"/>
      <c r="AU14" s="17" t="s">
        <v>11</v>
      </c>
      <c r="AV14" s="17"/>
      <c r="AW14" s="17" t="s">
        <v>10</v>
      </c>
      <c r="AX14" s="15"/>
      <c r="AY14" s="15"/>
    </row>
    <row r="15" spans="1:51" x14ac:dyDescent="0.25">
      <c r="A15" s="15"/>
      <c r="B15" s="15"/>
      <c r="C15" s="15"/>
      <c r="D15" s="15"/>
      <c r="E15" s="91"/>
      <c r="F15" s="15"/>
      <c r="G15" s="15"/>
      <c r="H15" s="15"/>
      <c r="I15" s="15"/>
      <c r="J15" s="15"/>
      <c r="K15" s="89"/>
      <c r="L15" s="15"/>
      <c r="M15" s="89">
        <v>0</v>
      </c>
      <c r="N15" s="89">
        <v>0</v>
      </c>
      <c r="O15" s="89">
        <v>0</v>
      </c>
      <c r="P15" s="94">
        <v>0</v>
      </c>
      <c r="Q15" s="94">
        <v>0</v>
      </c>
      <c r="R15" s="94">
        <v>0</v>
      </c>
      <c r="S15" s="94">
        <v>0</v>
      </c>
      <c r="T15" s="89">
        <v>0</v>
      </c>
      <c r="U15" s="89">
        <v>0</v>
      </c>
      <c r="V15" s="94">
        <v>0</v>
      </c>
      <c r="W15" s="94">
        <v>0</v>
      </c>
      <c r="X15" s="94">
        <v>0</v>
      </c>
      <c r="Y15" s="89">
        <v>0</v>
      </c>
      <c r="Z15" s="94">
        <f t="shared" si="5"/>
        <v>0</v>
      </c>
      <c r="AA15" s="94">
        <f t="shared" si="6"/>
        <v>0</v>
      </c>
      <c r="AB15" s="89">
        <f t="shared" si="7"/>
        <v>0</v>
      </c>
      <c r="AC15" s="89">
        <f t="shared" si="8"/>
        <v>0</v>
      </c>
      <c r="AD15" s="89">
        <v>0</v>
      </c>
      <c r="AE15" s="89">
        <v>0</v>
      </c>
      <c r="AF15" s="117"/>
      <c r="AG15" s="117"/>
      <c r="AH15" s="262"/>
      <c r="AI15" s="17"/>
      <c r="AJ15" s="17"/>
      <c r="AK15" s="17"/>
      <c r="AL15" s="17"/>
      <c r="AM15" s="17"/>
      <c r="AN15" s="17"/>
      <c r="AO15" s="17">
        <v>22</v>
      </c>
      <c r="AP15" s="15" t="str">
        <f>IFERROR(VLOOKUP(AO15,Legend!$D$2:$E$26,2,0),"")</f>
        <v>Georgia Crew Hires: (to include fringes)</v>
      </c>
      <c r="AQ15" s="15"/>
      <c r="AR15" s="17"/>
      <c r="AS15" s="17"/>
      <c r="AT15" s="15"/>
      <c r="AU15" s="17" t="s">
        <v>5</v>
      </c>
      <c r="AV15" s="17"/>
      <c r="AW15" s="17" t="s">
        <v>10</v>
      </c>
      <c r="AX15" s="15"/>
      <c r="AY15" s="15"/>
    </row>
    <row r="16" spans="1:51" x14ac:dyDescent="0.25">
      <c r="A16" s="15"/>
      <c r="B16" s="15"/>
      <c r="C16" s="15"/>
      <c r="D16" s="15"/>
      <c r="E16" s="91"/>
      <c r="F16" s="15"/>
      <c r="G16" s="15"/>
      <c r="H16" s="15"/>
      <c r="I16" s="15"/>
      <c r="J16" s="15"/>
      <c r="K16" s="89"/>
      <c r="L16" s="15"/>
      <c r="M16" s="89">
        <v>0</v>
      </c>
      <c r="N16" s="89">
        <v>0</v>
      </c>
      <c r="O16" s="89">
        <v>0</v>
      </c>
      <c r="P16" s="94">
        <v>0</v>
      </c>
      <c r="Q16" s="94">
        <v>0</v>
      </c>
      <c r="R16" s="94">
        <v>0</v>
      </c>
      <c r="S16" s="94">
        <v>0</v>
      </c>
      <c r="T16" s="89">
        <v>0</v>
      </c>
      <c r="U16" s="89">
        <v>0</v>
      </c>
      <c r="V16" s="94">
        <v>0</v>
      </c>
      <c r="W16" s="94">
        <v>0</v>
      </c>
      <c r="X16" s="94">
        <v>0</v>
      </c>
      <c r="Y16" s="89">
        <v>0</v>
      </c>
      <c r="Z16" s="94">
        <f t="shared" si="5"/>
        <v>0</v>
      </c>
      <c r="AA16" s="94">
        <f t="shared" si="6"/>
        <v>0</v>
      </c>
      <c r="AB16" s="89">
        <f t="shared" si="7"/>
        <v>0</v>
      </c>
      <c r="AC16" s="89">
        <f t="shared" si="8"/>
        <v>0</v>
      </c>
      <c r="AD16" s="89">
        <v>0</v>
      </c>
      <c r="AE16" s="89">
        <v>0</v>
      </c>
      <c r="AF16" s="117"/>
      <c r="AG16" s="117"/>
      <c r="AH16" s="262"/>
      <c r="AI16" s="17"/>
      <c r="AJ16" s="17"/>
      <c r="AK16" s="17"/>
      <c r="AL16" s="17"/>
      <c r="AM16" s="17"/>
      <c r="AN16" s="17"/>
      <c r="AO16" s="17">
        <v>22</v>
      </c>
      <c r="AP16" s="15" t="str">
        <f>IFERROR(VLOOKUP(AO16,Legend!$D$2:$E$26,2,0),"")</f>
        <v>Georgia Crew Hires: (to include fringes)</v>
      </c>
      <c r="AQ16" s="15"/>
      <c r="AR16" s="17"/>
      <c r="AS16" s="17"/>
      <c r="AT16" s="15"/>
      <c r="AU16" s="17"/>
      <c r="AV16" s="17"/>
      <c r="AW16" s="17" t="s">
        <v>10</v>
      </c>
      <c r="AX16" s="15"/>
      <c r="AY16" s="15"/>
    </row>
    <row r="17" spans="1:51" x14ac:dyDescent="0.25">
      <c r="A17" s="15"/>
      <c r="B17" s="15"/>
      <c r="C17" s="15"/>
      <c r="D17" s="15"/>
      <c r="E17" s="91"/>
      <c r="F17" s="15"/>
      <c r="G17" s="15"/>
      <c r="H17" s="15"/>
      <c r="I17" s="15"/>
      <c r="J17" s="15"/>
      <c r="K17" s="89"/>
      <c r="L17" s="15"/>
      <c r="M17" s="89">
        <v>0</v>
      </c>
      <c r="N17" s="89">
        <v>0</v>
      </c>
      <c r="O17" s="89">
        <v>0</v>
      </c>
      <c r="P17" s="94">
        <v>0</v>
      </c>
      <c r="Q17" s="94">
        <v>0</v>
      </c>
      <c r="R17" s="94">
        <v>0</v>
      </c>
      <c r="S17" s="94">
        <v>0</v>
      </c>
      <c r="T17" s="89">
        <v>0</v>
      </c>
      <c r="U17" s="89">
        <v>0</v>
      </c>
      <c r="V17" s="94">
        <v>0</v>
      </c>
      <c r="W17" s="94">
        <v>0</v>
      </c>
      <c r="X17" s="94">
        <v>0</v>
      </c>
      <c r="Y17" s="89">
        <v>0</v>
      </c>
      <c r="Z17" s="94">
        <f t="shared" si="5"/>
        <v>0</v>
      </c>
      <c r="AA17" s="94">
        <f t="shared" si="6"/>
        <v>0</v>
      </c>
      <c r="AB17" s="89">
        <f t="shared" si="7"/>
        <v>0</v>
      </c>
      <c r="AC17" s="89">
        <f t="shared" si="8"/>
        <v>0</v>
      </c>
      <c r="AD17" s="89">
        <v>0</v>
      </c>
      <c r="AE17" s="89">
        <v>0</v>
      </c>
      <c r="AF17" s="117"/>
      <c r="AG17" s="117"/>
      <c r="AH17" s="262"/>
      <c r="AI17" s="17"/>
      <c r="AJ17" s="17"/>
      <c r="AK17" s="17"/>
      <c r="AL17" s="17"/>
      <c r="AM17" s="17"/>
      <c r="AN17" s="17"/>
      <c r="AO17" s="17">
        <v>22</v>
      </c>
      <c r="AP17" s="15" t="str">
        <f>IFERROR(VLOOKUP(AO17,Legend!$D$2:$E$26,2,0),"")</f>
        <v>Georgia Crew Hires: (to include fringes)</v>
      </c>
      <c r="AQ17" s="15"/>
      <c r="AR17" s="17"/>
      <c r="AS17" s="17"/>
      <c r="AT17" s="15"/>
      <c r="AU17" s="17"/>
      <c r="AV17" s="17"/>
      <c r="AW17" s="17" t="s">
        <v>10</v>
      </c>
      <c r="AX17" s="15"/>
      <c r="AY17" s="15"/>
    </row>
    <row r="18" spans="1:51" x14ac:dyDescent="0.25">
      <c r="A18" s="15"/>
      <c r="B18" s="15"/>
      <c r="C18" s="15"/>
      <c r="D18" s="15"/>
      <c r="E18" s="91"/>
      <c r="F18" s="15"/>
      <c r="G18" s="15"/>
      <c r="H18" s="15"/>
      <c r="I18" s="15"/>
      <c r="J18" s="15"/>
      <c r="K18" s="89"/>
      <c r="L18" s="15"/>
      <c r="M18" s="89">
        <v>0</v>
      </c>
      <c r="N18" s="89">
        <v>0</v>
      </c>
      <c r="O18" s="89">
        <v>0</v>
      </c>
      <c r="P18" s="94">
        <v>0</v>
      </c>
      <c r="Q18" s="94">
        <v>0</v>
      </c>
      <c r="R18" s="94">
        <v>0</v>
      </c>
      <c r="S18" s="94">
        <v>0</v>
      </c>
      <c r="T18" s="89">
        <v>0</v>
      </c>
      <c r="U18" s="89">
        <v>0</v>
      </c>
      <c r="V18" s="94">
        <v>0</v>
      </c>
      <c r="W18" s="94">
        <v>0</v>
      </c>
      <c r="X18" s="94">
        <v>0</v>
      </c>
      <c r="Y18" s="89">
        <v>0</v>
      </c>
      <c r="Z18" s="94">
        <f t="shared" si="5"/>
        <v>0</v>
      </c>
      <c r="AA18" s="94">
        <f t="shared" si="6"/>
        <v>0</v>
      </c>
      <c r="AB18" s="89">
        <f t="shared" si="7"/>
        <v>0</v>
      </c>
      <c r="AC18" s="89">
        <f t="shared" si="8"/>
        <v>0</v>
      </c>
      <c r="AD18" s="89">
        <v>0</v>
      </c>
      <c r="AE18" s="89">
        <v>0</v>
      </c>
      <c r="AF18" s="117"/>
      <c r="AG18" s="117"/>
      <c r="AH18" s="262"/>
      <c r="AI18" s="17"/>
      <c r="AJ18" s="17"/>
      <c r="AK18" s="17"/>
      <c r="AL18" s="17"/>
      <c r="AM18" s="17"/>
      <c r="AN18" s="17"/>
      <c r="AO18" s="17">
        <v>22</v>
      </c>
      <c r="AP18" s="15" t="str">
        <f>IFERROR(VLOOKUP(AO18,Legend!$D$2:$E$26,2,0),"")</f>
        <v>Georgia Crew Hires: (to include fringes)</v>
      </c>
      <c r="AQ18" s="15"/>
      <c r="AR18" s="17"/>
      <c r="AS18" s="17"/>
      <c r="AT18" s="15"/>
      <c r="AU18" s="17"/>
      <c r="AV18" s="17"/>
      <c r="AW18" s="17" t="s">
        <v>10</v>
      </c>
      <c r="AX18" s="15"/>
      <c r="AY18" s="15"/>
    </row>
    <row r="19" spans="1:51" x14ac:dyDescent="0.25">
      <c r="A19" s="15"/>
      <c r="B19" s="15"/>
      <c r="C19" s="15"/>
      <c r="D19" s="15"/>
      <c r="E19" s="91"/>
      <c r="F19" s="15"/>
      <c r="G19" s="15"/>
      <c r="H19" s="15"/>
      <c r="I19" s="15"/>
      <c r="J19" s="15"/>
      <c r="K19" s="89"/>
      <c r="L19" s="15"/>
      <c r="M19" s="89">
        <v>0</v>
      </c>
      <c r="N19" s="89">
        <v>0</v>
      </c>
      <c r="O19" s="89">
        <v>0</v>
      </c>
      <c r="P19" s="94">
        <v>0</v>
      </c>
      <c r="Q19" s="94">
        <v>0</v>
      </c>
      <c r="R19" s="94">
        <v>0</v>
      </c>
      <c r="S19" s="94">
        <v>0</v>
      </c>
      <c r="T19" s="89">
        <v>0</v>
      </c>
      <c r="U19" s="89">
        <v>0</v>
      </c>
      <c r="V19" s="94">
        <v>0</v>
      </c>
      <c r="W19" s="94">
        <v>0</v>
      </c>
      <c r="X19" s="94">
        <v>0</v>
      </c>
      <c r="Y19" s="89">
        <v>0</v>
      </c>
      <c r="Z19" s="94">
        <f t="shared" si="5"/>
        <v>0</v>
      </c>
      <c r="AA19" s="94">
        <f t="shared" si="6"/>
        <v>0</v>
      </c>
      <c r="AB19" s="89">
        <f t="shared" si="7"/>
        <v>0</v>
      </c>
      <c r="AC19" s="89">
        <f t="shared" si="8"/>
        <v>0</v>
      </c>
      <c r="AD19" s="89">
        <v>0</v>
      </c>
      <c r="AE19" s="89">
        <v>0</v>
      </c>
      <c r="AF19" s="117"/>
      <c r="AG19" s="117"/>
      <c r="AH19" s="262"/>
      <c r="AI19" s="17"/>
      <c r="AJ19" s="17"/>
      <c r="AK19" s="17"/>
      <c r="AL19" s="17"/>
      <c r="AM19" s="17"/>
      <c r="AN19" s="17"/>
      <c r="AO19" s="17">
        <v>22</v>
      </c>
      <c r="AP19" s="15" t="str">
        <f>IFERROR(VLOOKUP(AO19,Legend!$D$2:$E$26,2,0),"")</f>
        <v>Georgia Crew Hires: (to include fringes)</v>
      </c>
      <c r="AQ19" s="15"/>
      <c r="AR19" s="17"/>
      <c r="AS19" s="17"/>
      <c r="AT19" s="15"/>
      <c r="AU19" s="17"/>
      <c r="AV19" s="17"/>
      <c r="AW19" s="17" t="s">
        <v>10</v>
      </c>
      <c r="AX19" s="15"/>
      <c r="AY19" s="15"/>
    </row>
    <row r="20" spans="1:51" x14ac:dyDescent="0.25">
      <c r="A20" s="15"/>
      <c r="B20" s="15"/>
      <c r="C20" s="15"/>
      <c r="D20" s="15"/>
      <c r="E20" s="91"/>
      <c r="F20" s="15"/>
      <c r="G20" s="15"/>
      <c r="H20" s="15"/>
      <c r="I20" s="15"/>
      <c r="J20" s="15"/>
      <c r="K20" s="89"/>
      <c r="L20" s="15"/>
      <c r="M20" s="89">
        <v>0</v>
      </c>
      <c r="N20" s="89">
        <v>0</v>
      </c>
      <c r="O20" s="89">
        <v>0</v>
      </c>
      <c r="P20" s="94">
        <v>0</v>
      </c>
      <c r="Q20" s="94">
        <v>0</v>
      </c>
      <c r="R20" s="94">
        <v>0</v>
      </c>
      <c r="S20" s="94">
        <v>0</v>
      </c>
      <c r="T20" s="89">
        <v>0</v>
      </c>
      <c r="U20" s="89">
        <v>0</v>
      </c>
      <c r="V20" s="94">
        <v>0</v>
      </c>
      <c r="W20" s="94">
        <v>0</v>
      </c>
      <c r="X20" s="94">
        <v>0</v>
      </c>
      <c r="Y20" s="89">
        <v>0</v>
      </c>
      <c r="Z20" s="94">
        <f t="shared" si="5"/>
        <v>0</v>
      </c>
      <c r="AA20" s="94">
        <f t="shared" si="6"/>
        <v>0</v>
      </c>
      <c r="AB20" s="89">
        <f t="shared" si="7"/>
        <v>0</v>
      </c>
      <c r="AC20" s="89">
        <f t="shared" si="8"/>
        <v>0</v>
      </c>
      <c r="AD20" s="89">
        <v>0</v>
      </c>
      <c r="AE20" s="89">
        <v>0</v>
      </c>
      <c r="AF20" s="117"/>
      <c r="AG20" s="117"/>
      <c r="AH20" s="262"/>
      <c r="AI20" s="17"/>
      <c r="AJ20" s="17"/>
      <c r="AK20" s="17"/>
      <c r="AL20" s="17"/>
      <c r="AM20" s="17"/>
      <c r="AN20" s="17"/>
      <c r="AO20" s="17">
        <v>22</v>
      </c>
      <c r="AP20" s="15" t="str">
        <f>IFERROR(VLOOKUP(AO20,Legend!$D$2:$E$26,2,0),"")</f>
        <v>Georgia Crew Hires: (to include fringes)</v>
      </c>
      <c r="AQ20" s="15"/>
      <c r="AR20" s="17"/>
      <c r="AS20" s="17"/>
      <c r="AT20" s="15"/>
      <c r="AU20" s="17"/>
      <c r="AV20" s="17"/>
      <c r="AW20" s="17" t="s">
        <v>10</v>
      </c>
      <c r="AX20" s="15"/>
      <c r="AY20" s="15"/>
    </row>
    <row r="21" spans="1:51" x14ac:dyDescent="0.25">
      <c r="A21" s="15"/>
      <c r="B21" s="15"/>
      <c r="C21" s="15"/>
      <c r="D21" s="15"/>
      <c r="E21" s="91"/>
      <c r="F21" s="15"/>
      <c r="G21" s="15"/>
      <c r="H21" s="15"/>
      <c r="I21" s="15"/>
      <c r="J21" s="15"/>
      <c r="K21" s="89"/>
      <c r="L21" s="15"/>
      <c r="M21" s="89">
        <v>0</v>
      </c>
      <c r="N21" s="89">
        <v>0</v>
      </c>
      <c r="O21" s="89">
        <v>0</v>
      </c>
      <c r="P21" s="94">
        <v>0</v>
      </c>
      <c r="Q21" s="94">
        <v>0</v>
      </c>
      <c r="R21" s="94">
        <v>0</v>
      </c>
      <c r="S21" s="94">
        <v>0</v>
      </c>
      <c r="T21" s="89">
        <v>0</v>
      </c>
      <c r="U21" s="89">
        <v>0</v>
      </c>
      <c r="V21" s="94">
        <v>0</v>
      </c>
      <c r="W21" s="94">
        <v>0</v>
      </c>
      <c r="X21" s="94">
        <v>0</v>
      </c>
      <c r="Y21" s="89">
        <v>0</v>
      </c>
      <c r="Z21" s="94">
        <f t="shared" si="5"/>
        <v>0</v>
      </c>
      <c r="AA21" s="94">
        <f t="shared" si="6"/>
        <v>0</v>
      </c>
      <c r="AB21" s="89">
        <f t="shared" si="7"/>
        <v>0</v>
      </c>
      <c r="AC21" s="89">
        <f t="shared" si="8"/>
        <v>0</v>
      </c>
      <c r="AD21" s="89">
        <v>0</v>
      </c>
      <c r="AE21" s="89">
        <v>0</v>
      </c>
      <c r="AF21" s="117"/>
      <c r="AG21" s="117"/>
      <c r="AH21" s="262"/>
      <c r="AI21" s="17"/>
      <c r="AJ21" s="17"/>
      <c r="AK21" s="17"/>
      <c r="AL21" s="17"/>
      <c r="AM21" s="17"/>
      <c r="AN21" s="17"/>
      <c r="AO21" s="17">
        <v>22</v>
      </c>
      <c r="AP21" s="15" t="str">
        <f>IFERROR(VLOOKUP(AO21,Legend!$D$2:$E$26,2,0),"")</f>
        <v>Georgia Crew Hires: (to include fringes)</v>
      </c>
      <c r="AQ21" s="15"/>
      <c r="AR21" s="17"/>
      <c r="AS21" s="17"/>
      <c r="AT21" s="15"/>
      <c r="AU21" s="17"/>
      <c r="AV21" s="17"/>
      <c r="AW21" s="17" t="s">
        <v>10</v>
      </c>
      <c r="AX21" s="15"/>
      <c r="AY21" s="15"/>
    </row>
    <row r="22" spans="1:51" x14ac:dyDescent="0.25">
      <c r="A22" s="15"/>
      <c r="B22" s="15"/>
      <c r="C22" s="15"/>
      <c r="D22" s="15"/>
      <c r="E22" s="91"/>
      <c r="F22" s="15"/>
      <c r="G22" s="15"/>
      <c r="H22" s="15"/>
      <c r="I22" s="15"/>
      <c r="J22" s="15"/>
      <c r="K22" s="89"/>
      <c r="L22" s="15"/>
      <c r="M22" s="89">
        <v>0</v>
      </c>
      <c r="N22" s="89">
        <v>0</v>
      </c>
      <c r="O22" s="89">
        <v>0</v>
      </c>
      <c r="P22" s="94">
        <v>0</v>
      </c>
      <c r="Q22" s="94">
        <v>0</v>
      </c>
      <c r="R22" s="94">
        <v>0</v>
      </c>
      <c r="S22" s="94">
        <v>0</v>
      </c>
      <c r="T22" s="89">
        <v>0</v>
      </c>
      <c r="U22" s="89">
        <v>0</v>
      </c>
      <c r="V22" s="94">
        <v>0</v>
      </c>
      <c r="W22" s="94">
        <v>0</v>
      </c>
      <c r="X22" s="94">
        <v>0</v>
      </c>
      <c r="Y22" s="89">
        <v>0</v>
      </c>
      <c r="Z22" s="94">
        <f t="shared" si="5"/>
        <v>0</v>
      </c>
      <c r="AA22" s="94">
        <f t="shared" si="6"/>
        <v>0</v>
      </c>
      <c r="AB22" s="89">
        <f t="shared" si="7"/>
        <v>0</v>
      </c>
      <c r="AC22" s="89">
        <f t="shared" si="8"/>
        <v>0</v>
      </c>
      <c r="AD22" s="89">
        <v>0</v>
      </c>
      <c r="AE22" s="89">
        <v>0</v>
      </c>
      <c r="AF22" s="117"/>
      <c r="AG22" s="117"/>
      <c r="AH22" s="262"/>
      <c r="AI22" s="17"/>
      <c r="AJ22" s="17"/>
      <c r="AK22" s="17"/>
      <c r="AL22" s="17"/>
      <c r="AM22" s="17"/>
      <c r="AN22" s="17"/>
      <c r="AO22" s="17">
        <v>22</v>
      </c>
      <c r="AP22" s="15" t="str">
        <f>IFERROR(VLOOKUP(AO22,Legend!$D$2:$E$26,2,0),"")</f>
        <v>Georgia Crew Hires: (to include fringes)</v>
      </c>
      <c r="AQ22" s="15"/>
      <c r="AR22" s="17"/>
      <c r="AS22" s="17"/>
      <c r="AT22" s="15"/>
      <c r="AU22" s="17"/>
      <c r="AV22" s="17"/>
      <c r="AW22" s="17" t="s">
        <v>10</v>
      </c>
      <c r="AX22" s="15"/>
      <c r="AY22" s="15"/>
    </row>
    <row r="23" spans="1:51" x14ac:dyDescent="0.25">
      <c r="A23" s="15"/>
      <c r="B23" s="15"/>
      <c r="C23" s="15"/>
      <c r="D23" s="15"/>
      <c r="E23" s="91"/>
      <c r="F23" s="15"/>
      <c r="G23" s="15"/>
      <c r="H23" s="15"/>
      <c r="I23" s="15"/>
      <c r="J23" s="15"/>
      <c r="K23" s="89"/>
      <c r="L23" s="15"/>
      <c r="M23" s="89">
        <v>0</v>
      </c>
      <c r="N23" s="89">
        <v>0</v>
      </c>
      <c r="O23" s="89">
        <v>0</v>
      </c>
      <c r="P23" s="94">
        <v>0</v>
      </c>
      <c r="Q23" s="94">
        <v>0</v>
      </c>
      <c r="R23" s="94">
        <v>0</v>
      </c>
      <c r="S23" s="94">
        <v>0</v>
      </c>
      <c r="T23" s="89">
        <v>0</v>
      </c>
      <c r="U23" s="89">
        <v>0</v>
      </c>
      <c r="V23" s="94">
        <v>0</v>
      </c>
      <c r="W23" s="94">
        <v>0</v>
      </c>
      <c r="X23" s="94">
        <v>0</v>
      </c>
      <c r="Y23" s="89">
        <v>0</v>
      </c>
      <c r="Z23" s="94">
        <f t="shared" si="5"/>
        <v>0</v>
      </c>
      <c r="AA23" s="94">
        <f t="shared" si="6"/>
        <v>0</v>
      </c>
      <c r="AB23" s="89">
        <f t="shared" si="7"/>
        <v>0</v>
      </c>
      <c r="AC23" s="89">
        <f t="shared" si="8"/>
        <v>0</v>
      </c>
      <c r="AD23" s="89">
        <v>0</v>
      </c>
      <c r="AE23" s="89">
        <v>0</v>
      </c>
      <c r="AF23" s="117"/>
      <c r="AG23" s="117"/>
      <c r="AH23" s="262"/>
      <c r="AI23" s="17"/>
      <c r="AJ23" s="17"/>
      <c r="AK23" s="17"/>
      <c r="AL23" s="17"/>
      <c r="AM23" s="17"/>
      <c r="AN23" s="17"/>
      <c r="AO23" s="17"/>
      <c r="AP23" s="15" t="str">
        <f>IFERROR(VLOOKUP(AO23,Legend!$D$2:$E$26,2,0),"")</f>
        <v/>
      </c>
      <c r="AQ23" s="15"/>
      <c r="AR23" s="17"/>
      <c r="AS23" s="17"/>
      <c r="AT23" s="15"/>
      <c r="AU23" s="17"/>
      <c r="AV23" s="17"/>
      <c r="AW23" s="17" t="s">
        <v>10</v>
      </c>
      <c r="AX23" s="15"/>
      <c r="AY23" s="15"/>
    </row>
    <row r="24" spans="1:51" x14ac:dyDescent="0.25">
      <c r="A24" s="15"/>
      <c r="B24" s="15"/>
      <c r="C24" s="15"/>
      <c r="D24" s="15"/>
      <c r="E24" s="91"/>
      <c r="F24" s="15"/>
      <c r="G24" s="15"/>
      <c r="H24" s="15"/>
      <c r="I24" s="15"/>
      <c r="J24" s="15"/>
      <c r="K24" s="89"/>
      <c r="L24" s="15"/>
      <c r="M24" s="89">
        <v>0</v>
      </c>
      <c r="N24" s="89">
        <v>0</v>
      </c>
      <c r="O24" s="89">
        <v>0</v>
      </c>
      <c r="P24" s="94">
        <v>0</v>
      </c>
      <c r="Q24" s="94">
        <v>0</v>
      </c>
      <c r="R24" s="94">
        <v>0</v>
      </c>
      <c r="S24" s="94">
        <v>0</v>
      </c>
      <c r="T24" s="89">
        <v>0</v>
      </c>
      <c r="U24" s="89">
        <v>0</v>
      </c>
      <c r="V24" s="94">
        <v>0</v>
      </c>
      <c r="W24" s="94">
        <v>0</v>
      </c>
      <c r="X24" s="94">
        <v>0</v>
      </c>
      <c r="Y24" s="89">
        <v>0</v>
      </c>
      <c r="Z24" s="94">
        <f t="shared" si="5"/>
        <v>0</v>
      </c>
      <c r="AA24" s="94">
        <f t="shared" si="6"/>
        <v>0</v>
      </c>
      <c r="AB24" s="89">
        <f t="shared" si="7"/>
        <v>0</v>
      </c>
      <c r="AC24" s="89">
        <f t="shared" si="8"/>
        <v>0</v>
      </c>
      <c r="AD24" s="89">
        <v>0</v>
      </c>
      <c r="AE24" s="89">
        <v>0</v>
      </c>
      <c r="AF24" s="117"/>
      <c r="AG24" s="117"/>
      <c r="AH24" s="262"/>
      <c r="AI24" s="17"/>
      <c r="AJ24" s="17"/>
      <c r="AK24" s="17"/>
      <c r="AL24" s="17"/>
      <c r="AM24" s="17"/>
      <c r="AN24" s="17"/>
      <c r="AO24" s="17"/>
      <c r="AP24" s="15" t="str">
        <f>IFERROR(VLOOKUP(AO24,Legend!$D$2:$E$26,2,0),"")</f>
        <v/>
      </c>
      <c r="AQ24" s="15"/>
      <c r="AR24" s="17"/>
      <c r="AS24" s="17"/>
      <c r="AT24" s="15"/>
      <c r="AU24" s="17"/>
      <c r="AV24" s="17"/>
      <c r="AW24" s="17" t="s">
        <v>10</v>
      </c>
      <c r="AX24" s="15"/>
      <c r="AY24" s="15"/>
    </row>
    <row r="25" spans="1:51" x14ac:dyDescent="0.25">
      <c r="A25" s="15"/>
      <c r="B25" s="15"/>
      <c r="C25" s="15"/>
      <c r="D25" s="15"/>
      <c r="E25" s="91"/>
      <c r="F25" s="15"/>
      <c r="G25" s="15"/>
      <c r="H25" s="15"/>
      <c r="I25" s="15"/>
      <c r="J25" s="15"/>
      <c r="K25" s="89"/>
      <c r="L25" s="15"/>
      <c r="M25" s="89">
        <v>0</v>
      </c>
      <c r="N25" s="89">
        <v>0</v>
      </c>
      <c r="O25" s="89">
        <v>0</v>
      </c>
      <c r="P25" s="94">
        <v>0</v>
      </c>
      <c r="Q25" s="94">
        <v>0</v>
      </c>
      <c r="R25" s="94">
        <v>0</v>
      </c>
      <c r="S25" s="94">
        <v>0</v>
      </c>
      <c r="T25" s="89">
        <v>0</v>
      </c>
      <c r="U25" s="89">
        <v>0</v>
      </c>
      <c r="V25" s="94">
        <v>0</v>
      </c>
      <c r="W25" s="94">
        <v>0</v>
      </c>
      <c r="X25" s="94">
        <v>0</v>
      </c>
      <c r="Y25" s="89">
        <v>0</v>
      </c>
      <c r="Z25" s="94">
        <f t="shared" si="5"/>
        <v>0</v>
      </c>
      <c r="AA25" s="94">
        <f t="shared" si="6"/>
        <v>0</v>
      </c>
      <c r="AB25" s="89">
        <f t="shared" si="7"/>
        <v>0</v>
      </c>
      <c r="AC25" s="89">
        <f t="shared" si="8"/>
        <v>0</v>
      </c>
      <c r="AD25" s="89">
        <v>0</v>
      </c>
      <c r="AE25" s="89">
        <v>0</v>
      </c>
      <c r="AF25" s="117"/>
      <c r="AG25" s="117"/>
      <c r="AH25" s="262"/>
      <c r="AI25" s="17"/>
      <c r="AJ25" s="17"/>
      <c r="AK25" s="17"/>
      <c r="AL25" s="17"/>
      <c r="AM25" s="17"/>
      <c r="AN25" s="17"/>
      <c r="AO25" s="17"/>
      <c r="AP25" s="15" t="str">
        <f>IFERROR(VLOOKUP(AO25,Legend!$D$2:$E$26,2,0),"")</f>
        <v/>
      </c>
      <c r="AQ25" s="15"/>
      <c r="AR25" s="17"/>
      <c r="AS25" s="17"/>
      <c r="AT25" s="15"/>
      <c r="AU25" s="17"/>
      <c r="AV25" s="17"/>
      <c r="AW25" s="17" t="s">
        <v>10</v>
      </c>
      <c r="AX25" s="15"/>
      <c r="AY25" s="15"/>
    </row>
    <row r="26" spans="1:51" x14ac:dyDescent="0.25">
      <c r="A26" s="15"/>
      <c r="B26" s="15"/>
      <c r="C26" s="15"/>
      <c r="D26" s="15"/>
      <c r="E26" s="91"/>
      <c r="F26" s="15"/>
      <c r="G26" s="15"/>
      <c r="H26" s="15"/>
      <c r="I26" s="15"/>
      <c r="J26" s="15"/>
      <c r="K26" s="89"/>
      <c r="L26" s="15"/>
      <c r="M26" s="89">
        <v>0</v>
      </c>
      <c r="N26" s="89">
        <v>0</v>
      </c>
      <c r="O26" s="89">
        <v>0</v>
      </c>
      <c r="P26" s="94">
        <v>0</v>
      </c>
      <c r="Q26" s="94">
        <v>0</v>
      </c>
      <c r="R26" s="94">
        <v>0</v>
      </c>
      <c r="S26" s="94">
        <v>0</v>
      </c>
      <c r="T26" s="89">
        <v>0</v>
      </c>
      <c r="U26" s="89">
        <v>0</v>
      </c>
      <c r="V26" s="94">
        <v>0</v>
      </c>
      <c r="W26" s="94">
        <v>0</v>
      </c>
      <c r="X26" s="94">
        <v>0</v>
      </c>
      <c r="Y26" s="89">
        <v>0</v>
      </c>
      <c r="Z26" s="94">
        <f t="shared" si="5"/>
        <v>0</v>
      </c>
      <c r="AA26" s="94">
        <f t="shared" si="6"/>
        <v>0</v>
      </c>
      <c r="AB26" s="89">
        <f t="shared" si="7"/>
        <v>0</v>
      </c>
      <c r="AC26" s="89">
        <f t="shared" si="8"/>
        <v>0</v>
      </c>
      <c r="AD26" s="89">
        <v>0</v>
      </c>
      <c r="AE26" s="89">
        <v>0</v>
      </c>
      <c r="AF26" s="117"/>
      <c r="AG26" s="117"/>
      <c r="AH26" s="262"/>
      <c r="AI26" s="17"/>
      <c r="AJ26" s="17"/>
      <c r="AK26" s="17"/>
      <c r="AL26" s="17"/>
      <c r="AM26" s="17"/>
      <c r="AN26" s="17"/>
      <c r="AO26" s="17"/>
      <c r="AP26" s="15" t="str">
        <f>IFERROR(VLOOKUP(AO26,Legend!$D$2:$E$26,2,0),"")</f>
        <v/>
      </c>
      <c r="AQ26" s="15"/>
      <c r="AR26" s="17"/>
      <c r="AS26" s="17"/>
      <c r="AT26" s="15"/>
      <c r="AU26" s="17"/>
      <c r="AV26" s="17"/>
      <c r="AW26" s="17" t="s">
        <v>10</v>
      </c>
      <c r="AX26" s="15"/>
      <c r="AY26" s="15"/>
    </row>
    <row r="27" spans="1:51" x14ac:dyDescent="0.25">
      <c r="A27" s="15"/>
      <c r="B27" s="15"/>
      <c r="C27" s="15"/>
      <c r="D27" s="15"/>
      <c r="E27" s="91"/>
      <c r="F27" s="15"/>
      <c r="G27" s="15"/>
      <c r="H27" s="15"/>
      <c r="I27" s="15"/>
      <c r="J27" s="15"/>
      <c r="K27" s="89"/>
      <c r="L27" s="15"/>
      <c r="M27" s="89">
        <v>0</v>
      </c>
      <c r="N27" s="89">
        <v>0</v>
      </c>
      <c r="O27" s="89">
        <v>0</v>
      </c>
      <c r="P27" s="94">
        <v>0</v>
      </c>
      <c r="Q27" s="94">
        <v>0</v>
      </c>
      <c r="R27" s="94">
        <v>0</v>
      </c>
      <c r="S27" s="94">
        <v>0</v>
      </c>
      <c r="T27" s="89">
        <v>0</v>
      </c>
      <c r="U27" s="89">
        <v>0</v>
      </c>
      <c r="V27" s="94">
        <v>0</v>
      </c>
      <c r="W27" s="94">
        <v>0</v>
      </c>
      <c r="X27" s="94">
        <v>0</v>
      </c>
      <c r="Y27" s="89">
        <v>0</v>
      </c>
      <c r="Z27" s="94">
        <f t="shared" si="5"/>
        <v>0</v>
      </c>
      <c r="AA27" s="94">
        <f t="shared" si="6"/>
        <v>0</v>
      </c>
      <c r="AB27" s="89">
        <f t="shared" si="7"/>
        <v>0</v>
      </c>
      <c r="AC27" s="89">
        <f t="shared" si="8"/>
        <v>0</v>
      </c>
      <c r="AD27" s="89">
        <v>0</v>
      </c>
      <c r="AE27" s="89">
        <v>0</v>
      </c>
      <c r="AF27" s="117"/>
      <c r="AG27" s="117"/>
      <c r="AH27" s="262"/>
      <c r="AI27" s="17"/>
      <c r="AJ27" s="17"/>
      <c r="AK27" s="17"/>
      <c r="AL27" s="17"/>
      <c r="AM27" s="17"/>
      <c r="AN27" s="17"/>
      <c r="AO27" s="17"/>
      <c r="AP27" s="15" t="str">
        <f>IFERROR(VLOOKUP(AO27,Legend!$D$2:$E$26,2,0),"")</f>
        <v/>
      </c>
      <c r="AQ27" s="15"/>
      <c r="AR27" s="17"/>
      <c r="AS27" s="17"/>
      <c r="AT27" s="15"/>
      <c r="AU27" s="17"/>
      <c r="AV27" s="17"/>
      <c r="AW27" s="17" t="s">
        <v>10</v>
      </c>
      <c r="AX27" s="15"/>
      <c r="AY27" s="15"/>
    </row>
    <row r="28" spans="1:51" x14ac:dyDescent="0.25">
      <c r="A28" s="15"/>
      <c r="B28" s="15"/>
      <c r="C28" s="15"/>
      <c r="D28" s="15"/>
      <c r="E28" s="91"/>
      <c r="F28" s="15"/>
      <c r="G28" s="15"/>
      <c r="H28" s="15"/>
      <c r="I28" s="15"/>
      <c r="J28" s="15"/>
      <c r="K28" s="89"/>
      <c r="L28" s="15"/>
      <c r="M28" s="89">
        <v>0</v>
      </c>
      <c r="N28" s="89">
        <v>0</v>
      </c>
      <c r="O28" s="89">
        <v>0</v>
      </c>
      <c r="P28" s="94">
        <v>0</v>
      </c>
      <c r="Q28" s="94">
        <v>0</v>
      </c>
      <c r="R28" s="94">
        <v>0</v>
      </c>
      <c r="S28" s="94">
        <v>0</v>
      </c>
      <c r="T28" s="89">
        <v>0</v>
      </c>
      <c r="U28" s="89">
        <v>0</v>
      </c>
      <c r="V28" s="94">
        <v>0</v>
      </c>
      <c r="W28" s="94">
        <v>0</v>
      </c>
      <c r="X28" s="94">
        <v>0</v>
      </c>
      <c r="Y28" s="89">
        <v>0</v>
      </c>
      <c r="Z28" s="94">
        <f t="shared" si="5"/>
        <v>0</v>
      </c>
      <c r="AA28" s="94">
        <f t="shared" si="6"/>
        <v>0</v>
      </c>
      <c r="AB28" s="89">
        <f t="shared" si="7"/>
        <v>0</v>
      </c>
      <c r="AC28" s="89">
        <f t="shared" si="8"/>
        <v>0</v>
      </c>
      <c r="AD28" s="89">
        <v>0</v>
      </c>
      <c r="AE28" s="89">
        <v>0</v>
      </c>
      <c r="AF28" s="117"/>
      <c r="AG28" s="117"/>
      <c r="AH28" s="262"/>
      <c r="AI28" s="17"/>
      <c r="AJ28" s="17"/>
      <c r="AK28" s="17"/>
      <c r="AL28" s="17"/>
      <c r="AM28" s="17"/>
      <c r="AN28" s="17"/>
      <c r="AO28" s="17"/>
      <c r="AP28" s="15" t="str">
        <f>IFERROR(VLOOKUP(AO28,Legend!$D$2:$E$26,2,0),"")</f>
        <v/>
      </c>
      <c r="AQ28" s="15"/>
      <c r="AR28" s="17"/>
      <c r="AS28" s="17"/>
      <c r="AT28" s="15"/>
      <c r="AU28" s="17"/>
      <c r="AV28" s="17"/>
      <c r="AW28" s="17" t="s">
        <v>10</v>
      </c>
      <c r="AX28" s="15"/>
      <c r="AY28" s="15"/>
    </row>
    <row r="29" spans="1:51" x14ac:dyDescent="0.25">
      <c r="A29" s="15"/>
      <c r="B29" s="15"/>
      <c r="C29" s="15"/>
      <c r="D29" s="15"/>
      <c r="E29" s="91"/>
      <c r="F29" s="15"/>
      <c r="G29" s="15"/>
      <c r="H29" s="15"/>
      <c r="I29" s="15"/>
      <c r="J29" s="15"/>
      <c r="K29" s="89"/>
      <c r="L29" s="15"/>
      <c r="M29" s="89">
        <v>0</v>
      </c>
      <c r="N29" s="89">
        <v>0</v>
      </c>
      <c r="O29" s="89">
        <v>0</v>
      </c>
      <c r="P29" s="94">
        <v>0</v>
      </c>
      <c r="Q29" s="94">
        <v>0</v>
      </c>
      <c r="R29" s="94">
        <v>0</v>
      </c>
      <c r="S29" s="94">
        <v>0</v>
      </c>
      <c r="T29" s="89">
        <v>0</v>
      </c>
      <c r="U29" s="89">
        <v>0</v>
      </c>
      <c r="V29" s="94">
        <v>0</v>
      </c>
      <c r="W29" s="94">
        <v>0</v>
      </c>
      <c r="X29" s="94">
        <v>0</v>
      </c>
      <c r="Y29" s="89">
        <v>0</v>
      </c>
      <c r="Z29" s="94">
        <f t="shared" si="5"/>
        <v>0</v>
      </c>
      <c r="AA29" s="94">
        <f t="shared" si="6"/>
        <v>0</v>
      </c>
      <c r="AB29" s="89">
        <f t="shared" si="7"/>
        <v>0</v>
      </c>
      <c r="AC29" s="89">
        <f t="shared" si="8"/>
        <v>0</v>
      </c>
      <c r="AD29" s="89">
        <v>0</v>
      </c>
      <c r="AE29" s="89">
        <v>0</v>
      </c>
      <c r="AF29" s="117"/>
      <c r="AG29" s="117"/>
      <c r="AH29" s="262"/>
      <c r="AI29" s="17"/>
      <c r="AJ29" s="17"/>
      <c r="AK29" s="17"/>
      <c r="AL29" s="17"/>
      <c r="AM29" s="17"/>
      <c r="AN29" s="17"/>
      <c r="AO29" s="17"/>
      <c r="AP29" s="15" t="str">
        <f>IFERROR(VLOOKUP(AO29,Legend!$D$2:$E$26,2,0),"")</f>
        <v/>
      </c>
      <c r="AQ29" s="15"/>
      <c r="AR29" s="17"/>
      <c r="AS29" s="17"/>
      <c r="AT29" s="15"/>
      <c r="AU29" s="17"/>
      <c r="AV29" s="17"/>
      <c r="AW29" s="17" t="s">
        <v>10</v>
      </c>
      <c r="AX29" s="15"/>
      <c r="AY29" s="15"/>
    </row>
    <row r="30" spans="1:51" x14ac:dyDescent="0.25">
      <c r="A30" s="15"/>
      <c r="B30" s="15"/>
      <c r="C30" s="15"/>
      <c r="D30" s="15"/>
      <c r="E30" s="91"/>
      <c r="F30" s="15"/>
      <c r="G30" s="15"/>
      <c r="H30" s="15"/>
      <c r="I30" s="15"/>
      <c r="J30" s="15"/>
      <c r="K30" s="89"/>
      <c r="L30" s="15"/>
      <c r="M30" s="89">
        <v>0</v>
      </c>
      <c r="N30" s="89">
        <v>0</v>
      </c>
      <c r="O30" s="89">
        <v>0</v>
      </c>
      <c r="P30" s="94">
        <v>0</v>
      </c>
      <c r="Q30" s="94">
        <v>0</v>
      </c>
      <c r="R30" s="94">
        <v>0</v>
      </c>
      <c r="S30" s="94">
        <v>0</v>
      </c>
      <c r="T30" s="89">
        <v>0</v>
      </c>
      <c r="U30" s="89">
        <v>0</v>
      </c>
      <c r="V30" s="94">
        <v>0</v>
      </c>
      <c r="W30" s="94">
        <v>0</v>
      </c>
      <c r="X30" s="94">
        <v>0</v>
      </c>
      <c r="Y30" s="89">
        <v>0</v>
      </c>
      <c r="Z30" s="94">
        <f t="shared" si="5"/>
        <v>0</v>
      </c>
      <c r="AA30" s="94">
        <f t="shared" si="6"/>
        <v>0</v>
      </c>
      <c r="AB30" s="89">
        <f t="shared" si="7"/>
        <v>0</v>
      </c>
      <c r="AC30" s="89">
        <f t="shared" si="8"/>
        <v>0</v>
      </c>
      <c r="AD30" s="89">
        <v>0</v>
      </c>
      <c r="AE30" s="89">
        <v>0</v>
      </c>
      <c r="AF30" s="117"/>
      <c r="AG30" s="117"/>
      <c r="AH30" s="262"/>
      <c r="AI30" s="17"/>
      <c r="AJ30" s="17"/>
      <c r="AK30" s="17"/>
      <c r="AL30" s="17"/>
      <c r="AM30" s="17"/>
      <c r="AN30" s="17"/>
      <c r="AO30" s="17"/>
      <c r="AP30" s="15" t="str">
        <f>IFERROR(VLOOKUP(AO30,Legend!$D$2:$E$26,2,0),"")</f>
        <v/>
      </c>
      <c r="AQ30" s="15"/>
      <c r="AR30" s="17"/>
      <c r="AS30" s="17"/>
      <c r="AT30" s="15"/>
      <c r="AU30" s="17"/>
      <c r="AV30" s="17"/>
      <c r="AW30" s="17" t="s">
        <v>10</v>
      </c>
      <c r="AX30" s="15"/>
      <c r="AY30" s="15"/>
    </row>
    <row r="31" spans="1:51" x14ac:dyDescent="0.25">
      <c r="A31" s="15"/>
      <c r="B31" s="15"/>
      <c r="C31" s="15"/>
      <c r="D31" s="15"/>
      <c r="E31" s="91"/>
      <c r="F31" s="15"/>
      <c r="G31" s="15"/>
      <c r="H31" s="15"/>
      <c r="I31" s="15"/>
      <c r="J31" s="15"/>
      <c r="K31" s="89"/>
      <c r="L31" s="15"/>
      <c r="M31" s="89">
        <v>0</v>
      </c>
      <c r="N31" s="89">
        <v>0</v>
      </c>
      <c r="O31" s="89">
        <v>0</v>
      </c>
      <c r="P31" s="94">
        <v>0</v>
      </c>
      <c r="Q31" s="94">
        <v>0</v>
      </c>
      <c r="R31" s="94">
        <v>0</v>
      </c>
      <c r="S31" s="94">
        <v>0</v>
      </c>
      <c r="T31" s="89">
        <v>0</v>
      </c>
      <c r="U31" s="89">
        <v>0</v>
      </c>
      <c r="V31" s="94">
        <v>0</v>
      </c>
      <c r="W31" s="94">
        <v>0</v>
      </c>
      <c r="X31" s="94">
        <v>0</v>
      </c>
      <c r="Y31" s="89">
        <v>0</v>
      </c>
      <c r="Z31" s="94">
        <f t="shared" si="5"/>
        <v>0</v>
      </c>
      <c r="AA31" s="94">
        <f t="shared" si="6"/>
        <v>0</v>
      </c>
      <c r="AB31" s="89">
        <f t="shared" si="7"/>
        <v>0</v>
      </c>
      <c r="AC31" s="89">
        <f t="shared" si="8"/>
        <v>0</v>
      </c>
      <c r="AD31" s="89">
        <v>0</v>
      </c>
      <c r="AE31" s="89">
        <v>0</v>
      </c>
      <c r="AF31" s="117"/>
      <c r="AG31" s="117"/>
      <c r="AH31" s="262"/>
      <c r="AI31" s="17"/>
      <c r="AJ31" s="17"/>
      <c r="AK31" s="17"/>
      <c r="AL31" s="17"/>
      <c r="AM31" s="17"/>
      <c r="AN31" s="17"/>
      <c r="AO31" s="17"/>
      <c r="AP31" s="15" t="str">
        <f>IFERROR(VLOOKUP(AO31,Legend!$D$2:$E$26,2,0),"")</f>
        <v/>
      </c>
      <c r="AQ31" s="15"/>
      <c r="AR31" s="17"/>
      <c r="AS31" s="17"/>
      <c r="AT31" s="15"/>
      <c r="AU31" s="17"/>
      <c r="AV31" s="17"/>
      <c r="AW31" s="17" t="s">
        <v>10</v>
      </c>
      <c r="AX31" s="15"/>
      <c r="AY31" s="15"/>
    </row>
    <row r="32" spans="1:51" x14ac:dyDescent="0.25">
      <c r="A32" s="15"/>
      <c r="B32" s="15"/>
      <c r="C32" s="15"/>
      <c r="D32" s="15"/>
      <c r="E32" s="91"/>
      <c r="F32" s="15"/>
      <c r="G32" s="15"/>
      <c r="H32" s="15"/>
      <c r="I32" s="15"/>
      <c r="J32" s="15"/>
      <c r="K32" s="89"/>
      <c r="L32" s="15"/>
      <c r="M32" s="89">
        <v>0</v>
      </c>
      <c r="N32" s="89">
        <v>0</v>
      </c>
      <c r="O32" s="89">
        <v>0</v>
      </c>
      <c r="P32" s="94">
        <v>0</v>
      </c>
      <c r="Q32" s="94">
        <v>0</v>
      </c>
      <c r="R32" s="94">
        <v>0</v>
      </c>
      <c r="S32" s="94">
        <v>0</v>
      </c>
      <c r="T32" s="89">
        <v>0</v>
      </c>
      <c r="U32" s="89">
        <v>0</v>
      </c>
      <c r="V32" s="94">
        <v>0</v>
      </c>
      <c r="W32" s="94">
        <v>0</v>
      </c>
      <c r="X32" s="94">
        <v>0</v>
      </c>
      <c r="Y32" s="89">
        <v>0</v>
      </c>
      <c r="Z32" s="94">
        <f t="shared" si="5"/>
        <v>0</v>
      </c>
      <c r="AA32" s="94">
        <f t="shared" si="6"/>
        <v>0</v>
      </c>
      <c r="AB32" s="89">
        <f t="shared" si="7"/>
        <v>0</v>
      </c>
      <c r="AC32" s="89">
        <f t="shared" si="8"/>
        <v>0</v>
      </c>
      <c r="AD32" s="89">
        <v>0</v>
      </c>
      <c r="AE32" s="89">
        <v>0</v>
      </c>
      <c r="AF32" s="117"/>
      <c r="AG32" s="117"/>
      <c r="AH32" s="262"/>
      <c r="AI32" s="17"/>
      <c r="AJ32" s="17"/>
      <c r="AK32" s="17"/>
      <c r="AL32" s="17"/>
      <c r="AM32" s="17"/>
      <c r="AN32" s="17"/>
      <c r="AO32" s="17"/>
      <c r="AP32" s="15" t="str">
        <f>IFERROR(VLOOKUP(AO32,Legend!$D$2:$E$26,2,0),"")</f>
        <v/>
      </c>
      <c r="AQ32" s="15"/>
      <c r="AR32" s="17"/>
      <c r="AS32" s="17"/>
      <c r="AT32" s="15"/>
      <c r="AU32" s="17"/>
      <c r="AV32" s="17"/>
      <c r="AW32" s="17" t="s">
        <v>10</v>
      </c>
      <c r="AX32" s="15"/>
      <c r="AY32" s="15"/>
    </row>
    <row r="33" spans="1:51" x14ac:dyDescent="0.25">
      <c r="A33" s="15"/>
      <c r="B33" s="15"/>
      <c r="C33" s="15"/>
      <c r="D33" s="15"/>
      <c r="E33" s="91"/>
      <c r="F33" s="15"/>
      <c r="G33" s="15"/>
      <c r="H33" s="15"/>
      <c r="I33" s="15"/>
      <c r="J33" s="15"/>
      <c r="K33" s="89"/>
      <c r="L33" s="15"/>
      <c r="M33" s="89">
        <v>0</v>
      </c>
      <c r="N33" s="89">
        <v>0</v>
      </c>
      <c r="O33" s="89">
        <v>0</v>
      </c>
      <c r="P33" s="94">
        <v>0</v>
      </c>
      <c r="Q33" s="94">
        <v>0</v>
      </c>
      <c r="R33" s="94">
        <v>0</v>
      </c>
      <c r="S33" s="94">
        <v>0</v>
      </c>
      <c r="T33" s="89">
        <v>0</v>
      </c>
      <c r="U33" s="89">
        <v>0</v>
      </c>
      <c r="V33" s="94">
        <v>0</v>
      </c>
      <c r="W33" s="94">
        <v>0</v>
      </c>
      <c r="X33" s="94">
        <v>0</v>
      </c>
      <c r="Y33" s="89">
        <v>0</v>
      </c>
      <c r="Z33" s="94">
        <f t="shared" si="5"/>
        <v>0</v>
      </c>
      <c r="AA33" s="94">
        <f t="shared" si="6"/>
        <v>0</v>
      </c>
      <c r="AB33" s="89">
        <f t="shared" si="7"/>
        <v>0</v>
      </c>
      <c r="AC33" s="89">
        <f t="shared" si="8"/>
        <v>0</v>
      </c>
      <c r="AD33" s="89">
        <v>0</v>
      </c>
      <c r="AE33" s="89">
        <v>0</v>
      </c>
      <c r="AF33" s="117"/>
      <c r="AG33" s="117"/>
      <c r="AH33" s="262"/>
      <c r="AI33" s="17"/>
      <c r="AJ33" s="17"/>
      <c r="AK33" s="17"/>
      <c r="AL33" s="17"/>
      <c r="AM33" s="17"/>
      <c r="AN33" s="17"/>
      <c r="AO33" s="17"/>
      <c r="AP33" s="15" t="str">
        <f>IFERROR(VLOOKUP(AO33,Legend!$D$2:$E$26,2,0),"")</f>
        <v/>
      </c>
      <c r="AQ33" s="15"/>
      <c r="AR33" s="17"/>
      <c r="AS33" s="17"/>
      <c r="AT33" s="15"/>
      <c r="AU33" s="17"/>
      <c r="AV33" s="17"/>
      <c r="AW33" s="17" t="s">
        <v>10</v>
      </c>
      <c r="AX33" s="15"/>
      <c r="AY33" s="15"/>
    </row>
    <row r="34" spans="1:51" x14ac:dyDescent="0.25">
      <c r="A34" s="15"/>
      <c r="B34" s="15"/>
      <c r="C34" s="15"/>
      <c r="D34" s="15"/>
      <c r="E34" s="91"/>
      <c r="F34" s="15"/>
      <c r="G34" s="15"/>
      <c r="H34" s="15"/>
      <c r="I34" s="15"/>
      <c r="J34" s="15"/>
      <c r="K34" s="89"/>
      <c r="L34" s="15"/>
      <c r="M34" s="89">
        <v>0</v>
      </c>
      <c r="N34" s="89">
        <v>0</v>
      </c>
      <c r="O34" s="89">
        <v>0</v>
      </c>
      <c r="P34" s="94">
        <v>0</v>
      </c>
      <c r="Q34" s="94">
        <v>0</v>
      </c>
      <c r="R34" s="94">
        <v>0</v>
      </c>
      <c r="S34" s="94">
        <v>0</v>
      </c>
      <c r="T34" s="89">
        <v>0</v>
      </c>
      <c r="U34" s="89">
        <v>0</v>
      </c>
      <c r="V34" s="94">
        <v>0</v>
      </c>
      <c r="W34" s="94">
        <v>0</v>
      </c>
      <c r="X34" s="94">
        <v>0</v>
      </c>
      <c r="Y34" s="89">
        <v>0</v>
      </c>
      <c r="Z34" s="94">
        <f t="shared" si="5"/>
        <v>0</v>
      </c>
      <c r="AA34" s="94">
        <f t="shared" si="6"/>
        <v>0</v>
      </c>
      <c r="AB34" s="89">
        <f t="shared" si="7"/>
        <v>0</v>
      </c>
      <c r="AC34" s="89">
        <f t="shared" si="8"/>
        <v>0</v>
      </c>
      <c r="AD34" s="89">
        <v>0</v>
      </c>
      <c r="AE34" s="89">
        <v>0</v>
      </c>
      <c r="AF34" s="117"/>
      <c r="AG34" s="117"/>
      <c r="AH34" s="262"/>
      <c r="AI34" s="17"/>
      <c r="AJ34" s="17"/>
      <c r="AK34" s="17"/>
      <c r="AL34" s="17"/>
      <c r="AM34" s="17"/>
      <c r="AN34" s="17"/>
      <c r="AO34" s="17"/>
      <c r="AP34" s="15" t="str">
        <f>IFERROR(VLOOKUP(AO34,Legend!$D$2:$E$26,2,0),"")</f>
        <v/>
      </c>
      <c r="AQ34" s="15"/>
      <c r="AR34" s="17"/>
      <c r="AS34" s="17"/>
      <c r="AT34" s="15"/>
      <c r="AU34" s="17"/>
      <c r="AV34" s="17"/>
      <c r="AW34" s="17" t="s">
        <v>10</v>
      </c>
      <c r="AX34" s="15"/>
      <c r="AY34" s="15"/>
    </row>
    <row r="35" spans="1:51" x14ac:dyDescent="0.25">
      <c r="A35" s="15"/>
      <c r="B35" s="15"/>
      <c r="C35" s="15"/>
      <c r="D35" s="15"/>
      <c r="E35" s="91"/>
      <c r="F35" s="15"/>
      <c r="G35" s="15"/>
      <c r="H35" s="15"/>
      <c r="I35" s="15"/>
      <c r="J35" s="15"/>
      <c r="K35" s="89"/>
      <c r="L35" s="15"/>
      <c r="M35" s="89">
        <v>0</v>
      </c>
      <c r="N35" s="89">
        <v>0</v>
      </c>
      <c r="O35" s="89">
        <v>0</v>
      </c>
      <c r="P35" s="94">
        <v>0</v>
      </c>
      <c r="Q35" s="94">
        <v>0</v>
      </c>
      <c r="R35" s="94">
        <v>0</v>
      </c>
      <c r="S35" s="94">
        <v>0</v>
      </c>
      <c r="T35" s="89">
        <v>0</v>
      </c>
      <c r="U35" s="89">
        <v>0</v>
      </c>
      <c r="V35" s="94">
        <v>0</v>
      </c>
      <c r="W35" s="94">
        <v>0</v>
      </c>
      <c r="X35" s="94">
        <v>0</v>
      </c>
      <c r="Y35" s="89">
        <v>0</v>
      </c>
      <c r="Z35" s="94">
        <f t="shared" si="5"/>
        <v>0</v>
      </c>
      <c r="AA35" s="94">
        <f t="shared" si="6"/>
        <v>0</v>
      </c>
      <c r="AB35" s="89">
        <f t="shared" si="7"/>
        <v>0</v>
      </c>
      <c r="AC35" s="89">
        <f t="shared" si="8"/>
        <v>0</v>
      </c>
      <c r="AD35" s="89">
        <v>0</v>
      </c>
      <c r="AE35" s="89">
        <v>0</v>
      </c>
      <c r="AF35" s="117"/>
      <c r="AG35" s="117"/>
      <c r="AH35" s="262"/>
      <c r="AI35" s="17"/>
      <c r="AJ35" s="17"/>
      <c r="AK35" s="17"/>
      <c r="AL35" s="17"/>
      <c r="AM35" s="17"/>
      <c r="AN35" s="17"/>
      <c r="AO35" s="17"/>
      <c r="AP35" s="15" t="str">
        <f>IFERROR(VLOOKUP(AO35,Legend!$D$2:$E$26,2,0),"")</f>
        <v/>
      </c>
      <c r="AQ35" s="15"/>
      <c r="AR35" s="17"/>
      <c r="AS35" s="17"/>
      <c r="AT35" s="15"/>
      <c r="AU35" s="17"/>
      <c r="AV35" s="17"/>
      <c r="AW35" s="17" t="s">
        <v>10</v>
      </c>
      <c r="AX35" s="15"/>
      <c r="AY35" s="15"/>
    </row>
    <row r="36" spans="1:51" x14ac:dyDescent="0.25">
      <c r="A36" s="15"/>
      <c r="B36" s="15"/>
      <c r="C36" s="15"/>
      <c r="D36" s="15"/>
      <c r="E36" s="91"/>
      <c r="F36" s="15"/>
      <c r="G36" s="15"/>
      <c r="H36" s="15"/>
      <c r="I36" s="15"/>
      <c r="J36" s="15"/>
      <c r="K36" s="89"/>
      <c r="L36" s="15"/>
      <c r="M36" s="89">
        <v>0</v>
      </c>
      <c r="N36" s="89">
        <v>0</v>
      </c>
      <c r="O36" s="89">
        <v>0</v>
      </c>
      <c r="P36" s="94">
        <v>0</v>
      </c>
      <c r="Q36" s="94">
        <v>0</v>
      </c>
      <c r="R36" s="94">
        <v>0</v>
      </c>
      <c r="S36" s="94">
        <v>0</v>
      </c>
      <c r="T36" s="89">
        <v>0</v>
      </c>
      <c r="U36" s="89">
        <v>0</v>
      </c>
      <c r="V36" s="94">
        <v>0</v>
      </c>
      <c r="W36" s="94">
        <v>0</v>
      </c>
      <c r="X36" s="94">
        <v>0</v>
      </c>
      <c r="Y36" s="89">
        <v>0</v>
      </c>
      <c r="Z36" s="94">
        <f t="shared" si="5"/>
        <v>0</v>
      </c>
      <c r="AA36" s="94">
        <f t="shared" si="6"/>
        <v>0</v>
      </c>
      <c r="AB36" s="89">
        <f t="shared" si="7"/>
        <v>0</v>
      </c>
      <c r="AC36" s="89">
        <f t="shared" si="8"/>
        <v>0</v>
      </c>
      <c r="AD36" s="89">
        <v>0</v>
      </c>
      <c r="AE36" s="89">
        <v>0</v>
      </c>
      <c r="AF36" s="117"/>
      <c r="AG36" s="117"/>
      <c r="AH36" s="262"/>
      <c r="AI36" s="17"/>
      <c r="AJ36" s="17"/>
      <c r="AK36" s="17"/>
      <c r="AL36" s="17"/>
      <c r="AM36" s="17"/>
      <c r="AN36" s="17"/>
      <c r="AO36" s="17"/>
      <c r="AP36" s="15" t="str">
        <f>IFERROR(VLOOKUP(AO36,Legend!$D$2:$E$26,2,0),"")</f>
        <v/>
      </c>
      <c r="AQ36" s="15"/>
      <c r="AR36" s="17"/>
      <c r="AS36" s="17"/>
      <c r="AT36" s="15"/>
      <c r="AU36" s="17"/>
      <c r="AV36" s="17"/>
      <c r="AW36" s="17" t="s">
        <v>10</v>
      </c>
      <c r="AX36" s="15"/>
      <c r="AY36" s="15"/>
    </row>
    <row r="37" spans="1:51" x14ac:dyDescent="0.25">
      <c r="A37" s="15"/>
      <c r="B37" s="15"/>
      <c r="C37" s="15"/>
      <c r="D37" s="15"/>
      <c r="E37" s="91"/>
      <c r="F37" s="15"/>
      <c r="G37" s="15"/>
      <c r="H37" s="15"/>
      <c r="I37" s="15"/>
      <c r="J37" s="15"/>
      <c r="K37" s="89"/>
      <c r="L37" s="15"/>
      <c r="M37" s="89">
        <v>0</v>
      </c>
      <c r="N37" s="89">
        <v>0</v>
      </c>
      <c r="O37" s="89">
        <v>0</v>
      </c>
      <c r="P37" s="94">
        <v>0</v>
      </c>
      <c r="Q37" s="94">
        <v>0</v>
      </c>
      <c r="R37" s="94">
        <v>0</v>
      </c>
      <c r="S37" s="94">
        <v>0</v>
      </c>
      <c r="T37" s="89">
        <v>0</v>
      </c>
      <c r="U37" s="89">
        <v>0</v>
      </c>
      <c r="V37" s="94">
        <v>0</v>
      </c>
      <c r="W37" s="94">
        <v>0</v>
      </c>
      <c r="X37" s="94">
        <v>0</v>
      </c>
      <c r="Y37" s="89">
        <v>0</v>
      </c>
      <c r="Z37" s="94">
        <f t="shared" si="5"/>
        <v>0</v>
      </c>
      <c r="AA37" s="94">
        <f t="shared" si="6"/>
        <v>0</v>
      </c>
      <c r="AB37" s="89">
        <f t="shared" si="7"/>
        <v>0</v>
      </c>
      <c r="AC37" s="89">
        <f t="shared" si="8"/>
        <v>0</v>
      </c>
      <c r="AD37" s="89">
        <v>0</v>
      </c>
      <c r="AE37" s="89">
        <v>0</v>
      </c>
      <c r="AF37" s="117"/>
      <c r="AG37" s="117"/>
      <c r="AH37" s="262"/>
      <c r="AI37" s="17"/>
      <c r="AJ37" s="17"/>
      <c r="AK37" s="17"/>
      <c r="AL37" s="17"/>
      <c r="AM37" s="17"/>
      <c r="AN37" s="17"/>
      <c r="AO37" s="17"/>
      <c r="AP37" s="15" t="str">
        <f>IFERROR(VLOOKUP(AO37,Legend!$D$2:$E$26,2,0),"")</f>
        <v/>
      </c>
      <c r="AQ37" s="15"/>
      <c r="AR37" s="17"/>
      <c r="AS37" s="17"/>
      <c r="AT37" s="15"/>
      <c r="AU37" s="17"/>
      <c r="AV37" s="17"/>
      <c r="AW37" s="17" t="s">
        <v>10</v>
      </c>
      <c r="AX37" s="15"/>
      <c r="AY37" s="15"/>
    </row>
    <row r="38" spans="1:51" x14ac:dyDescent="0.25">
      <c r="A38" s="15"/>
      <c r="B38" s="15"/>
      <c r="C38" s="15"/>
      <c r="D38" s="15"/>
      <c r="E38" s="91"/>
      <c r="F38" s="15"/>
      <c r="G38" s="15"/>
      <c r="H38" s="15"/>
      <c r="I38" s="15"/>
      <c r="J38" s="15"/>
      <c r="K38" s="89"/>
      <c r="L38" s="15"/>
      <c r="M38" s="89">
        <v>0</v>
      </c>
      <c r="N38" s="89">
        <v>0</v>
      </c>
      <c r="O38" s="89">
        <v>0</v>
      </c>
      <c r="P38" s="94">
        <v>0</v>
      </c>
      <c r="Q38" s="94">
        <v>0</v>
      </c>
      <c r="R38" s="94">
        <v>0</v>
      </c>
      <c r="S38" s="94">
        <v>0</v>
      </c>
      <c r="T38" s="89">
        <v>0</v>
      </c>
      <c r="U38" s="89">
        <v>0</v>
      </c>
      <c r="V38" s="94">
        <v>0</v>
      </c>
      <c r="W38" s="94">
        <v>0</v>
      </c>
      <c r="X38" s="94">
        <v>0</v>
      </c>
      <c r="Y38" s="89">
        <v>0</v>
      </c>
      <c r="Z38" s="94">
        <f t="shared" si="5"/>
        <v>0</v>
      </c>
      <c r="AA38" s="94">
        <f t="shared" si="6"/>
        <v>0</v>
      </c>
      <c r="AB38" s="89">
        <f t="shared" si="7"/>
        <v>0</v>
      </c>
      <c r="AC38" s="89">
        <f t="shared" si="8"/>
        <v>0</v>
      </c>
      <c r="AD38" s="89">
        <v>0</v>
      </c>
      <c r="AE38" s="89">
        <v>0</v>
      </c>
      <c r="AF38" s="117"/>
      <c r="AG38" s="117"/>
      <c r="AH38" s="262"/>
      <c r="AI38" s="17"/>
      <c r="AJ38" s="17"/>
      <c r="AK38" s="17"/>
      <c r="AL38" s="17"/>
      <c r="AM38" s="17"/>
      <c r="AN38" s="17"/>
      <c r="AO38" s="17"/>
      <c r="AP38" s="15" t="str">
        <f>IFERROR(VLOOKUP(AO38,Legend!$D$2:$E$26,2,0),"")</f>
        <v/>
      </c>
      <c r="AQ38" s="15"/>
      <c r="AR38" s="17"/>
      <c r="AS38" s="17"/>
      <c r="AT38" s="15"/>
      <c r="AU38" s="17"/>
      <c r="AV38" s="17"/>
      <c r="AW38" s="17" t="s">
        <v>10</v>
      </c>
      <c r="AX38" s="15"/>
      <c r="AY38" s="15"/>
    </row>
    <row r="39" spans="1:51" x14ac:dyDescent="0.25">
      <c r="A39" s="15"/>
      <c r="B39" s="15"/>
      <c r="C39" s="15"/>
      <c r="D39" s="15"/>
      <c r="E39" s="91"/>
      <c r="F39" s="15"/>
      <c r="G39" s="15"/>
      <c r="H39" s="15"/>
      <c r="I39" s="15"/>
      <c r="J39" s="15"/>
      <c r="K39" s="89"/>
      <c r="L39" s="15"/>
      <c r="M39" s="89">
        <v>0</v>
      </c>
      <c r="N39" s="89">
        <v>0</v>
      </c>
      <c r="O39" s="89">
        <v>0</v>
      </c>
      <c r="P39" s="94">
        <v>0</v>
      </c>
      <c r="Q39" s="94">
        <v>0</v>
      </c>
      <c r="R39" s="94">
        <v>0</v>
      </c>
      <c r="S39" s="94">
        <v>0</v>
      </c>
      <c r="T39" s="89">
        <v>0</v>
      </c>
      <c r="U39" s="89">
        <v>0</v>
      </c>
      <c r="V39" s="94">
        <v>0</v>
      </c>
      <c r="W39" s="94">
        <v>0</v>
      </c>
      <c r="X39" s="94">
        <v>0</v>
      </c>
      <c r="Y39" s="89">
        <v>0</v>
      </c>
      <c r="Z39" s="94">
        <f t="shared" si="5"/>
        <v>0</v>
      </c>
      <c r="AA39" s="94">
        <f t="shared" si="6"/>
        <v>0</v>
      </c>
      <c r="AB39" s="89">
        <f t="shared" si="7"/>
        <v>0</v>
      </c>
      <c r="AC39" s="89">
        <f t="shared" si="8"/>
        <v>0</v>
      </c>
      <c r="AD39" s="89">
        <v>0</v>
      </c>
      <c r="AE39" s="89">
        <v>0</v>
      </c>
      <c r="AF39" s="117"/>
      <c r="AG39" s="117"/>
      <c r="AH39" s="262"/>
      <c r="AI39" s="17"/>
      <c r="AJ39" s="17"/>
      <c r="AK39" s="17"/>
      <c r="AL39" s="17"/>
      <c r="AM39" s="17"/>
      <c r="AN39" s="17"/>
      <c r="AO39" s="17"/>
      <c r="AP39" s="15" t="str">
        <f>IFERROR(VLOOKUP(AO39,Legend!$D$2:$E$26,2,0),"")</f>
        <v/>
      </c>
      <c r="AQ39" s="15"/>
      <c r="AR39" s="17"/>
      <c r="AS39" s="17"/>
      <c r="AT39" s="15"/>
      <c r="AU39" s="17"/>
      <c r="AV39" s="17"/>
      <c r="AW39" s="17" t="s">
        <v>10</v>
      </c>
      <c r="AX39" s="15"/>
      <c r="AY39" s="15"/>
    </row>
    <row r="40" spans="1:51" x14ac:dyDescent="0.25">
      <c r="A40" s="15"/>
      <c r="B40" s="15"/>
      <c r="C40" s="15"/>
      <c r="D40" s="15"/>
      <c r="E40" s="91"/>
      <c r="F40" s="15"/>
      <c r="G40" s="15"/>
      <c r="H40" s="15"/>
      <c r="I40" s="15"/>
      <c r="J40" s="15"/>
      <c r="K40" s="89"/>
      <c r="L40" s="15"/>
      <c r="M40" s="89">
        <v>0</v>
      </c>
      <c r="N40" s="89">
        <v>0</v>
      </c>
      <c r="O40" s="89">
        <v>0</v>
      </c>
      <c r="P40" s="94">
        <v>0</v>
      </c>
      <c r="Q40" s="94">
        <v>0</v>
      </c>
      <c r="R40" s="94">
        <v>0</v>
      </c>
      <c r="S40" s="94">
        <v>0</v>
      </c>
      <c r="T40" s="89">
        <v>0</v>
      </c>
      <c r="U40" s="89">
        <v>0</v>
      </c>
      <c r="V40" s="94">
        <v>0</v>
      </c>
      <c r="W40" s="94">
        <v>0</v>
      </c>
      <c r="X40" s="94">
        <v>0</v>
      </c>
      <c r="Y40" s="89">
        <v>0</v>
      </c>
      <c r="Z40" s="94">
        <f t="shared" si="5"/>
        <v>0</v>
      </c>
      <c r="AA40" s="94">
        <f t="shared" si="6"/>
        <v>0</v>
      </c>
      <c r="AB40" s="89">
        <f t="shared" si="7"/>
        <v>0</v>
      </c>
      <c r="AC40" s="89">
        <f t="shared" si="8"/>
        <v>0</v>
      </c>
      <c r="AD40" s="89">
        <v>0</v>
      </c>
      <c r="AE40" s="89">
        <v>0</v>
      </c>
      <c r="AF40" s="117"/>
      <c r="AG40" s="117"/>
      <c r="AH40" s="262"/>
      <c r="AI40" s="17"/>
      <c r="AJ40" s="17"/>
      <c r="AK40" s="17"/>
      <c r="AL40" s="17"/>
      <c r="AM40" s="17"/>
      <c r="AN40" s="17"/>
      <c r="AO40" s="17"/>
      <c r="AP40" s="15" t="str">
        <f>IFERROR(VLOOKUP(AO40,Legend!$D$2:$E$26,2,0),"")</f>
        <v/>
      </c>
      <c r="AQ40" s="15"/>
      <c r="AR40" s="17"/>
      <c r="AS40" s="17"/>
      <c r="AT40" s="15"/>
      <c r="AU40" s="17"/>
      <c r="AV40" s="17"/>
      <c r="AW40" s="17" t="s">
        <v>10</v>
      </c>
      <c r="AX40" s="15"/>
      <c r="AY40" s="15"/>
    </row>
    <row r="41" spans="1:51" x14ac:dyDescent="0.25">
      <c r="A41" s="15"/>
      <c r="B41" s="15"/>
      <c r="C41" s="15"/>
      <c r="D41" s="15"/>
      <c r="E41" s="91"/>
      <c r="F41" s="15"/>
      <c r="G41" s="15"/>
      <c r="H41" s="15"/>
      <c r="I41" s="15"/>
      <c r="J41" s="15"/>
      <c r="K41" s="89"/>
      <c r="L41" s="15"/>
      <c r="M41" s="89">
        <v>0</v>
      </c>
      <c r="N41" s="89">
        <v>0</v>
      </c>
      <c r="O41" s="89">
        <v>0</v>
      </c>
      <c r="P41" s="94">
        <v>0</v>
      </c>
      <c r="Q41" s="94">
        <v>0</v>
      </c>
      <c r="R41" s="94">
        <v>0</v>
      </c>
      <c r="S41" s="94">
        <v>0</v>
      </c>
      <c r="T41" s="89">
        <v>0</v>
      </c>
      <c r="U41" s="89">
        <v>0</v>
      </c>
      <c r="V41" s="94">
        <v>0</v>
      </c>
      <c r="W41" s="94">
        <v>0</v>
      </c>
      <c r="X41" s="94">
        <v>0</v>
      </c>
      <c r="Y41" s="89">
        <v>0</v>
      </c>
      <c r="Z41" s="94">
        <f t="shared" si="5"/>
        <v>0</v>
      </c>
      <c r="AA41" s="94">
        <f t="shared" si="6"/>
        <v>0</v>
      </c>
      <c r="AB41" s="89">
        <f t="shared" si="7"/>
        <v>0</v>
      </c>
      <c r="AC41" s="89">
        <f t="shared" si="8"/>
        <v>0</v>
      </c>
      <c r="AD41" s="89">
        <v>0</v>
      </c>
      <c r="AE41" s="89">
        <v>0</v>
      </c>
      <c r="AF41" s="117"/>
      <c r="AG41" s="117"/>
      <c r="AH41" s="262"/>
      <c r="AI41" s="17"/>
      <c r="AJ41" s="17"/>
      <c r="AK41" s="17"/>
      <c r="AL41" s="17"/>
      <c r="AM41" s="17"/>
      <c r="AN41" s="17"/>
      <c r="AO41" s="17"/>
      <c r="AP41" s="15" t="str">
        <f>IFERROR(VLOOKUP(AO41,Legend!$D$2:$E$26,2,0),"")</f>
        <v/>
      </c>
      <c r="AQ41" s="15"/>
      <c r="AR41" s="17"/>
      <c r="AS41" s="17"/>
      <c r="AT41" s="15"/>
      <c r="AU41" s="17"/>
      <c r="AV41" s="17"/>
      <c r="AW41" s="17" t="s">
        <v>10</v>
      </c>
      <c r="AX41" s="15"/>
      <c r="AY41" s="15"/>
    </row>
    <row r="42" spans="1:51" x14ac:dyDescent="0.25">
      <c r="A42" s="15"/>
      <c r="B42" s="15"/>
      <c r="C42" s="15"/>
      <c r="D42" s="15"/>
      <c r="E42" s="91"/>
      <c r="F42" s="15"/>
      <c r="G42" s="15"/>
      <c r="H42" s="15"/>
      <c r="I42" s="15"/>
      <c r="J42" s="15"/>
      <c r="K42" s="89"/>
      <c r="L42" s="15"/>
      <c r="M42" s="89">
        <v>0</v>
      </c>
      <c r="N42" s="89">
        <v>0</v>
      </c>
      <c r="O42" s="89">
        <v>0</v>
      </c>
      <c r="P42" s="94">
        <v>0</v>
      </c>
      <c r="Q42" s="94">
        <v>0</v>
      </c>
      <c r="R42" s="94">
        <v>0</v>
      </c>
      <c r="S42" s="94">
        <v>0</v>
      </c>
      <c r="T42" s="89">
        <v>0</v>
      </c>
      <c r="U42" s="89">
        <v>0</v>
      </c>
      <c r="V42" s="94">
        <v>0</v>
      </c>
      <c r="W42" s="94">
        <v>0</v>
      </c>
      <c r="X42" s="94">
        <v>0</v>
      </c>
      <c r="Y42" s="89">
        <v>0</v>
      </c>
      <c r="Z42" s="94">
        <f t="shared" si="5"/>
        <v>0</v>
      </c>
      <c r="AA42" s="94">
        <f t="shared" si="6"/>
        <v>0</v>
      </c>
      <c r="AB42" s="89">
        <f t="shared" si="7"/>
        <v>0</v>
      </c>
      <c r="AC42" s="89">
        <f t="shared" si="8"/>
        <v>0</v>
      </c>
      <c r="AD42" s="89">
        <v>0</v>
      </c>
      <c r="AE42" s="89">
        <v>0</v>
      </c>
      <c r="AF42" s="117"/>
      <c r="AG42" s="117"/>
      <c r="AH42" s="262"/>
      <c r="AI42" s="17"/>
      <c r="AJ42" s="17"/>
      <c r="AK42" s="17"/>
      <c r="AL42" s="17"/>
      <c r="AM42" s="17"/>
      <c r="AN42" s="17"/>
      <c r="AO42" s="17"/>
      <c r="AP42" s="15" t="str">
        <f>IFERROR(VLOOKUP(AO42,Legend!$D$2:$E$26,2,0),"")</f>
        <v/>
      </c>
      <c r="AQ42" s="15"/>
      <c r="AR42" s="17"/>
      <c r="AS42" s="17"/>
      <c r="AT42" s="15"/>
      <c r="AU42" s="17"/>
      <c r="AV42" s="17"/>
      <c r="AW42" s="17" t="s">
        <v>10</v>
      </c>
      <c r="AX42" s="15"/>
      <c r="AY42" s="15"/>
    </row>
    <row r="43" spans="1:51" x14ac:dyDescent="0.25">
      <c r="A43" s="15"/>
      <c r="B43" s="15"/>
      <c r="C43" s="15"/>
      <c r="D43" s="15"/>
      <c r="E43" s="91"/>
      <c r="F43" s="15"/>
      <c r="G43" s="15"/>
      <c r="H43" s="15"/>
      <c r="I43" s="15"/>
      <c r="J43" s="15"/>
      <c r="K43" s="89"/>
      <c r="L43" s="15"/>
      <c r="M43" s="89">
        <v>0</v>
      </c>
      <c r="N43" s="89">
        <v>0</v>
      </c>
      <c r="O43" s="89">
        <v>0</v>
      </c>
      <c r="P43" s="94">
        <v>0</v>
      </c>
      <c r="Q43" s="94">
        <v>0</v>
      </c>
      <c r="R43" s="94">
        <v>0</v>
      </c>
      <c r="S43" s="94">
        <v>0</v>
      </c>
      <c r="T43" s="89">
        <v>0</v>
      </c>
      <c r="U43" s="89">
        <v>0</v>
      </c>
      <c r="V43" s="94">
        <v>0</v>
      </c>
      <c r="W43" s="94">
        <v>0</v>
      </c>
      <c r="X43" s="94">
        <v>0</v>
      </c>
      <c r="Y43" s="89">
        <v>0</v>
      </c>
      <c r="Z43" s="94">
        <f t="shared" si="5"/>
        <v>0</v>
      </c>
      <c r="AA43" s="94">
        <f t="shared" si="6"/>
        <v>0</v>
      </c>
      <c r="AB43" s="89">
        <f t="shared" si="7"/>
        <v>0</v>
      </c>
      <c r="AC43" s="89">
        <f t="shared" si="8"/>
        <v>0</v>
      </c>
      <c r="AD43" s="89">
        <v>0</v>
      </c>
      <c r="AE43" s="89">
        <v>0</v>
      </c>
      <c r="AF43" s="117"/>
      <c r="AG43" s="117"/>
      <c r="AH43" s="262"/>
      <c r="AI43" s="17"/>
      <c r="AJ43" s="17"/>
      <c r="AK43" s="17"/>
      <c r="AL43" s="17"/>
      <c r="AM43" s="17"/>
      <c r="AN43" s="17"/>
      <c r="AO43" s="17"/>
      <c r="AP43" s="15" t="str">
        <f>IFERROR(VLOOKUP(AO43,Legend!$D$2:$E$26,2,0),"")</f>
        <v/>
      </c>
      <c r="AQ43" s="15"/>
      <c r="AR43" s="17"/>
      <c r="AS43" s="17"/>
      <c r="AT43" s="15"/>
      <c r="AU43" s="17"/>
      <c r="AV43" s="17"/>
      <c r="AW43" s="17" t="s">
        <v>10</v>
      </c>
      <c r="AX43" s="15"/>
      <c r="AY43" s="15"/>
    </row>
    <row r="44" spans="1:51" x14ac:dyDescent="0.25">
      <c r="A44" s="15"/>
      <c r="B44" s="15"/>
      <c r="C44" s="15"/>
      <c r="D44" s="15"/>
      <c r="E44" s="91"/>
      <c r="F44" s="15"/>
      <c r="G44" s="15"/>
      <c r="H44" s="15"/>
      <c r="I44" s="15"/>
      <c r="J44" s="15"/>
      <c r="K44" s="89"/>
      <c r="L44" s="15"/>
      <c r="M44" s="89">
        <v>0</v>
      </c>
      <c r="N44" s="89">
        <v>0</v>
      </c>
      <c r="O44" s="89">
        <v>0</v>
      </c>
      <c r="P44" s="94">
        <v>0</v>
      </c>
      <c r="Q44" s="94">
        <v>0</v>
      </c>
      <c r="R44" s="94">
        <v>0</v>
      </c>
      <c r="S44" s="94">
        <v>0</v>
      </c>
      <c r="T44" s="89">
        <v>0</v>
      </c>
      <c r="U44" s="89">
        <v>0</v>
      </c>
      <c r="V44" s="94">
        <v>0</v>
      </c>
      <c r="W44" s="94">
        <v>0</v>
      </c>
      <c r="X44" s="94">
        <v>0</v>
      </c>
      <c r="Y44" s="89">
        <v>0</v>
      </c>
      <c r="Z44" s="94">
        <f t="shared" si="5"/>
        <v>0</v>
      </c>
      <c r="AA44" s="94">
        <f t="shared" si="6"/>
        <v>0</v>
      </c>
      <c r="AB44" s="89">
        <f t="shared" si="7"/>
        <v>0</v>
      </c>
      <c r="AC44" s="89">
        <f t="shared" si="8"/>
        <v>0</v>
      </c>
      <c r="AD44" s="89">
        <v>0</v>
      </c>
      <c r="AE44" s="89">
        <v>0</v>
      </c>
      <c r="AF44" s="117"/>
      <c r="AG44" s="117"/>
      <c r="AH44" s="262"/>
      <c r="AI44" s="17"/>
      <c r="AJ44" s="17"/>
      <c r="AK44" s="17"/>
      <c r="AL44" s="17"/>
      <c r="AM44" s="17"/>
      <c r="AN44" s="17"/>
      <c r="AO44" s="17"/>
      <c r="AP44" s="15" t="str">
        <f>IFERROR(VLOOKUP(AO44,Legend!$D$2:$E$26,2,0),"")</f>
        <v/>
      </c>
      <c r="AQ44" s="15"/>
      <c r="AR44" s="17"/>
      <c r="AS44" s="17"/>
      <c r="AT44" s="15"/>
      <c r="AU44" s="17"/>
      <c r="AV44" s="17"/>
      <c r="AW44" s="17" t="s">
        <v>10</v>
      </c>
      <c r="AX44" s="15"/>
      <c r="AY44" s="15"/>
    </row>
    <row r="45" spans="1:51" x14ac:dyDescent="0.25">
      <c r="A45" s="15"/>
      <c r="B45" s="15"/>
      <c r="C45" s="15"/>
      <c r="D45" s="15"/>
      <c r="E45" s="91"/>
      <c r="F45" s="15"/>
      <c r="G45" s="15"/>
      <c r="H45" s="15"/>
      <c r="I45" s="15"/>
      <c r="J45" s="15"/>
      <c r="K45" s="89"/>
      <c r="L45" s="15"/>
      <c r="M45" s="89">
        <v>0</v>
      </c>
      <c r="N45" s="89">
        <v>0</v>
      </c>
      <c r="O45" s="89">
        <v>0</v>
      </c>
      <c r="P45" s="94">
        <v>0</v>
      </c>
      <c r="Q45" s="94">
        <v>0</v>
      </c>
      <c r="R45" s="94">
        <v>0</v>
      </c>
      <c r="S45" s="94">
        <v>0</v>
      </c>
      <c r="T45" s="89">
        <v>0</v>
      </c>
      <c r="U45" s="89">
        <v>0</v>
      </c>
      <c r="V45" s="94">
        <v>0</v>
      </c>
      <c r="W45" s="94">
        <v>0</v>
      </c>
      <c r="X45" s="94">
        <v>0</v>
      </c>
      <c r="Y45" s="89">
        <v>0</v>
      </c>
      <c r="Z45" s="94">
        <f t="shared" si="5"/>
        <v>0</v>
      </c>
      <c r="AA45" s="94">
        <f t="shared" si="6"/>
        <v>0</v>
      </c>
      <c r="AB45" s="89">
        <f t="shared" si="7"/>
        <v>0</v>
      </c>
      <c r="AC45" s="89">
        <f t="shared" si="8"/>
        <v>0</v>
      </c>
      <c r="AD45" s="89">
        <v>0</v>
      </c>
      <c r="AE45" s="89">
        <v>0</v>
      </c>
      <c r="AF45" s="117"/>
      <c r="AG45" s="117"/>
      <c r="AH45" s="262"/>
      <c r="AI45" s="17"/>
      <c r="AJ45" s="17"/>
      <c r="AK45" s="17"/>
      <c r="AL45" s="17"/>
      <c r="AM45" s="17"/>
      <c r="AN45" s="17"/>
      <c r="AO45" s="17"/>
      <c r="AP45" s="15" t="str">
        <f>IFERROR(VLOOKUP(AO45,Legend!$D$2:$E$26,2,0),"")</f>
        <v/>
      </c>
      <c r="AQ45" s="15"/>
      <c r="AR45" s="17"/>
      <c r="AS45" s="17"/>
      <c r="AT45" s="15"/>
      <c r="AU45" s="17"/>
      <c r="AV45" s="17"/>
      <c r="AW45" s="17" t="s">
        <v>10</v>
      </c>
      <c r="AX45" s="15"/>
      <c r="AY45" s="15"/>
    </row>
    <row r="46" spans="1:51" x14ac:dyDescent="0.25">
      <c r="A46" s="15"/>
      <c r="B46" s="15"/>
      <c r="C46" s="15"/>
      <c r="D46" s="15"/>
      <c r="E46" s="91"/>
      <c r="F46" s="15"/>
      <c r="G46" s="15"/>
      <c r="H46" s="15"/>
      <c r="I46" s="15"/>
      <c r="J46" s="15"/>
      <c r="K46" s="89"/>
      <c r="L46" s="15"/>
      <c r="M46" s="89">
        <v>0</v>
      </c>
      <c r="N46" s="89">
        <v>0</v>
      </c>
      <c r="O46" s="89">
        <v>0</v>
      </c>
      <c r="P46" s="94">
        <v>0</v>
      </c>
      <c r="Q46" s="94">
        <v>0</v>
      </c>
      <c r="R46" s="94">
        <v>0</v>
      </c>
      <c r="S46" s="94">
        <v>0</v>
      </c>
      <c r="T46" s="89">
        <v>0</v>
      </c>
      <c r="U46" s="89">
        <v>0</v>
      </c>
      <c r="V46" s="94">
        <v>0</v>
      </c>
      <c r="W46" s="94">
        <v>0</v>
      </c>
      <c r="X46" s="94">
        <v>0</v>
      </c>
      <c r="Y46" s="89">
        <v>0</v>
      </c>
      <c r="Z46" s="94">
        <f t="shared" si="5"/>
        <v>0</v>
      </c>
      <c r="AA46" s="94">
        <f t="shared" si="6"/>
        <v>0</v>
      </c>
      <c r="AB46" s="89">
        <f t="shared" si="7"/>
        <v>0</v>
      </c>
      <c r="AC46" s="89">
        <f t="shared" si="8"/>
        <v>0</v>
      </c>
      <c r="AD46" s="89">
        <v>0</v>
      </c>
      <c r="AE46" s="89">
        <v>0</v>
      </c>
      <c r="AF46" s="117"/>
      <c r="AG46" s="117"/>
      <c r="AH46" s="262"/>
      <c r="AI46" s="17"/>
      <c r="AJ46" s="17"/>
      <c r="AK46" s="17"/>
      <c r="AL46" s="17"/>
      <c r="AM46" s="17"/>
      <c r="AN46" s="17"/>
      <c r="AO46" s="17"/>
      <c r="AP46" s="15" t="str">
        <f>IFERROR(VLOOKUP(AO46,Legend!$D$2:$E$26,2,0),"")</f>
        <v/>
      </c>
      <c r="AQ46" s="15"/>
      <c r="AR46" s="17"/>
      <c r="AS46" s="17"/>
      <c r="AT46" s="15"/>
      <c r="AU46" s="17"/>
      <c r="AV46" s="17"/>
      <c r="AW46" s="17" t="s">
        <v>10</v>
      </c>
      <c r="AX46" s="15"/>
      <c r="AY46" s="15"/>
    </row>
    <row r="47" spans="1:51" x14ac:dyDescent="0.25">
      <c r="A47" s="15"/>
      <c r="B47" s="15"/>
      <c r="C47" s="15"/>
      <c r="D47" s="15"/>
      <c r="E47" s="91"/>
      <c r="F47" s="15"/>
      <c r="G47" s="15"/>
      <c r="H47" s="15"/>
      <c r="I47" s="15"/>
      <c r="J47" s="15"/>
      <c r="K47" s="89"/>
      <c r="L47" s="15"/>
      <c r="M47" s="89">
        <v>0</v>
      </c>
      <c r="N47" s="89">
        <v>0</v>
      </c>
      <c r="O47" s="89">
        <v>0</v>
      </c>
      <c r="P47" s="94">
        <v>0</v>
      </c>
      <c r="Q47" s="94">
        <v>0</v>
      </c>
      <c r="R47" s="94">
        <v>0</v>
      </c>
      <c r="S47" s="94">
        <v>0</v>
      </c>
      <c r="T47" s="89">
        <v>0</v>
      </c>
      <c r="U47" s="89">
        <v>0</v>
      </c>
      <c r="V47" s="94">
        <v>0</v>
      </c>
      <c r="W47" s="94">
        <v>0</v>
      </c>
      <c r="X47" s="94">
        <v>0</v>
      </c>
      <c r="Y47" s="89">
        <v>0</v>
      </c>
      <c r="Z47" s="94">
        <f t="shared" si="5"/>
        <v>0</v>
      </c>
      <c r="AA47" s="94">
        <f t="shared" si="6"/>
        <v>0</v>
      </c>
      <c r="AB47" s="89">
        <f t="shared" si="7"/>
        <v>0</v>
      </c>
      <c r="AC47" s="89">
        <f t="shared" si="8"/>
        <v>0</v>
      </c>
      <c r="AD47" s="89">
        <v>0</v>
      </c>
      <c r="AE47" s="89">
        <v>0</v>
      </c>
      <c r="AF47" s="117"/>
      <c r="AG47" s="117"/>
      <c r="AH47" s="262"/>
      <c r="AI47" s="17"/>
      <c r="AJ47" s="17"/>
      <c r="AK47" s="17"/>
      <c r="AL47" s="17"/>
      <c r="AM47" s="17"/>
      <c r="AN47" s="17"/>
      <c r="AO47" s="17"/>
      <c r="AP47" s="15" t="str">
        <f>IFERROR(VLOOKUP(AO47,Legend!$D$2:$E$26,2,0),"")</f>
        <v/>
      </c>
      <c r="AQ47" s="15"/>
      <c r="AR47" s="17"/>
      <c r="AS47" s="17"/>
      <c r="AT47" s="15"/>
      <c r="AU47" s="17"/>
      <c r="AV47" s="17"/>
      <c r="AW47" s="17" t="s">
        <v>10</v>
      </c>
      <c r="AX47" s="15"/>
      <c r="AY47" s="15"/>
    </row>
    <row r="48" spans="1:51" x14ac:dyDescent="0.25">
      <c r="A48" s="15"/>
      <c r="B48" s="15"/>
      <c r="C48" s="15"/>
      <c r="D48" s="15"/>
      <c r="E48" s="91"/>
      <c r="F48" s="15"/>
      <c r="G48" s="15"/>
      <c r="H48" s="15"/>
      <c r="I48" s="15"/>
      <c r="J48" s="15"/>
      <c r="K48" s="89"/>
      <c r="L48" s="15"/>
      <c r="M48" s="89">
        <v>0</v>
      </c>
      <c r="N48" s="89">
        <v>0</v>
      </c>
      <c r="O48" s="89">
        <v>0</v>
      </c>
      <c r="P48" s="94">
        <v>0</v>
      </c>
      <c r="Q48" s="94">
        <v>0</v>
      </c>
      <c r="R48" s="94">
        <v>0</v>
      </c>
      <c r="S48" s="94">
        <v>0</v>
      </c>
      <c r="T48" s="89">
        <v>0</v>
      </c>
      <c r="U48" s="89">
        <v>0</v>
      </c>
      <c r="V48" s="94">
        <v>0</v>
      </c>
      <c r="W48" s="94">
        <v>0</v>
      </c>
      <c r="X48" s="94">
        <v>0</v>
      </c>
      <c r="Y48" s="89">
        <v>0</v>
      </c>
      <c r="Z48" s="94">
        <f t="shared" si="5"/>
        <v>0</v>
      </c>
      <c r="AA48" s="94">
        <f t="shared" si="6"/>
        <v>0</v>
      </c>
      <c r="AB48" s="89">
        <f t="shared" si="7"/>
        <v>0</v>
      </c>
      <c r="AC48" s="89">
        <f t="shared" si="8"/>
        <v>0</v>
      </c>
      <c r="AD48" s="89">
        <v>0</v>
      </c>
      <c r="AE48" s="89">
        <v>0</v>
      </c>
      <c r="AF48" s="117"/>
      <c r="AG48" s="117"/>
      <c r="AH48" s="262"/>
      <c r="AI48" s="17"/>
      <c r="AJ48" s="17"/>
      <c r="AK48" s="17"/>
      <c r="AL48" s="17"/>
      <c r="AM48" s="17"/>
      <c r="AN48" s="17"/>
      <c r="AO48" s="17"/>
      <c r="AP48" s="15" t="str">
        <f>IFERROR(VLOOKUP(AO48,Legend!$D$2:$E$26,2,0),"")</f>
        <v/>
      </c>
      <c r="AQ48" s="15"/>
      <c r="AR48" s="17"/>
      <c r="AS48" s="17"/>
      <c r="AT48" s="15"/>
      <c r="AU48" s="17"/>
      <c r="AV48" s="17"/>
      <c r="AW48" s="17" t="s">
        <v>10</v>
      </c>
      <c r="AX48" s="15"/>
      <c r="AY48" s="15"/>
    </row>
    <row r="49" spans="1:51" x14ac:dyDescent="0.25">
      <c r="A49" s="15"/>
      <c r="B49" s="15"/>
      <c r="C49" s="15"/>
      <c r="D49" s="15"/>
      <c r="E49" s="91"/>
      <c r="F49" s="15"/>
      <c r="G49" s="15"/>
      <c r="H49" s="15"/>
      <c r="I49" s="15"/>
      <c r="J49" s="15"/>
      <c r="K49" s="89"/>
      <c r="L49" s="15"/>
      <c r="M49" s="89">
        <v>0</v>
      </c>
      <c r="N49" s="89">
        <v>0</v>
      </c>
      <c r="O49" s="89">
        <v>0</v>
      </c>
      <c r="P49" s="94">
        <v>0</v>
      </c>
      <c r="Q49" s="94">
        <v>0</v>
      </c>
      <c r="R49" s="94">
        <v>0</v>
      </c>
      <c r="S49" s="94">
        <v>0</v>
      </c>
      <c r="T49" s="89">
        <v>0</v>
      </c>
      <c r="U49" s="89">
        <v>0</v>
      </c>
      <c r="V49" s="94">
        <v>0</v>
      </c>
      <c r="W49" s="94">
        <v>0</v>
      </c>
      <c r="X49" s="94">
        <v>0</v>
      </c>
      <c r="Y49" s="89">
        <v>0</v>
      </c>
      <c r="Z49" s="94">
        <f t="shared" si="5"/>
        <v>0</v>
      </c>
      <c r="AA49" s="94">
        <f t="shared" si="6"/>
        <v>0</v>
      </c>
      <c r="AB49" s="89">
        <f t="shared" si="7"/>
        <v>0</v>
      </c>
      <c r="AC49" s="89">
        <f t="shared" si="8"/>
        <v>0</v>
      </c>
      <c r="AD49" s="89">
        <v>0</v>
      </c>
      <c r="AE49" s="89">
        <v>0</v>
      </c>
      <c r="AF49" s="117"/>
      <c r="AG49" s="117"/>
      <c r="AH49" s="262"/>
      <c r="AI49" s="17"/>
      <c r="AJ49" s="17"/>
      <c r="AK49" s="17"/>
      <c r="AL49" s="17"/>
      <c r="AM49" s="17"/>
      <c r="AN49" s="17"/>
      <c r="AO49" s="17"/>
      <c r="AP49" s="15" t="str">
        <f>IFERROR(VLOOKUP(AO49,Legend!$D$2:$E$26,2,0),"")</f>
        <v/>
      </c>
      <c r="AQ49" s="15"/>
      <c r="AR49" s="17"/>
      <c r="AS49" s="17"/>
      <c r="AT49" s="15"/>
      <c r="AU49" s="17"/>
      <c r="AV49" s="17"/>
      <c r="AW49" s="17" t="s">
        <v>10</v>
      </c>
      <c r="AX49" s="15"/>
      <c r="AY49" s="15"/>
    </row>
    <row r="50" spans="1:51" x14ac:dyDescent="0.25">
      <c r="A50" s="15"/>
      <c r="B50" s="15"/>
      <c r="C50" s="15"/>
      <c r="D50" s="15"/>
      <c r="E50" s="91"/>
      <c r="F50" s="15"/>
      <c r="G50" s="15"/>
      <c r="H50" s="15"/>
      <c r="I50" s="15"/>
      <c r="J50" s="15"/>
      <c r="K50" s="89"/>
      <c r="L50" s="15"/>
      <c r="M50" s="89">
        <v>0</v>
      </c>
      <c r="N50" s="89">
        <v>0</v>
      </c>
      <c r="O50" s="89">
        <v>0</v>
      </c>
      <c r="P50" s="94">
        <v>0</v>
      </c>
      <c r="Q50" s="94">
        <v>0</v>
      </c>
      <c r="R50" s="94">
        <v>0</v>
      </c>
      <c r="S50" s="94">
        <v>0</v>
      </c>
      <c r="T50" s="89">
        <v>0</v>
      </c>
      <c r="U50" s="89">
        <v>0</v>
      </c>
      <c r="V50" s="94">
        <v>0</v>
      </c>
      <c r="W50" s="94">
        <v>0</v>
      </c>
      <c r="X50" s="94">
        <v>0</v>
      </c>
      <c r="Y50" s="89">
        <v>0</v>
      </c>
      <c r="Z50" s="94">
        <f t="shared" si="5"/>
        <v>0</v>
      </c>
      <c r="AA50" s="94">
        <f t="shared" si="6"/>
        <v>0</v>
      </c>
      <c r="AB50" s="89">
        <f t="shared" si="7"/>
        <v>0</v>
      </c>
      <c r="AC50" s="89">
        <f t="shared" si="8"/>
        <v>0</v>
      </c>
      <c r="AD50" s="89">
        <v>0</v>
      </c>
      <c r="AE50" s="89">
        <v>0</v>
      </c>
      <c r="AF50" s="117"/>
      <c r="AG50" s="117"/>
      <c r="AH50" s="262"/>
      <c r="AI50" s="17"/>
      <c r="AJ50" s="17"/>
      <c r="AK50" s="17"/>
      <c r="AL50" s="17"/>
      <c r="AM50" s="17"/>
      <c r="AN50" s="17"/>
      <c r="AO50" s="17"/>
      <c r="AP50" s="15" t="str">
        <f>IFERROR(VLOOKUP(AO50,Legend!$D$2:$E$26,2,0),"")</f>
        <v/>
      </c>
      <c r="AQ50" s="15"/>
      <c r="AR50" s="17"/>
      <c r="AS50" s="17"/>
      <c r="AT50" s="15"/>
      <c r="AU50" s="17"/>
      <c r="AV50" s="17"/>
      <c r="AW50" s="17" t="s">
        <v>10</v>
      </c>
      <c r="AX50" s="15"/>
      <c r="AY50" s="15"/>
    </row>
    <row r="51" spans="1:51" x14ac:dyDescent="0.25">
      <c r="A51" s="15"/>
      <c r="B51" s="15"/>
      <c r="C51" s="15"/>
      <c r="D51" s="15"/>
      <c r="E51" s="91"/>
      <c r="F51" s="15"/>
      <c r="G51" s="15"/>
      <c r="H51" s="15"/>
      <c r="I51" s="15"/>
      <c r="J51" s="15"/>
      <c r="K51" s="89"/>
      <c r="L51" s="15"/>
      <c r="M51" s="89">
        <v>0</v>
      </c>
      <c r="N51" s="89">
        <v>0</v>
      </c>
      <c r="O51" s="89">
        <v>0</v>
      </c>
      <c r="P51" s="94">
        <v>0</v>
      </c>
      <c r="Q51" s="94">
        <v>0</v>
      </c>
      <c r="R51" s="94">
        <v>0</v>
      </c>
      <c r="S51" s="94">
        <v>0</v>
      </c>
      <c r="T51" s="89">
        <v>0</v>
      </c>
      <c r="U51" s="89">
        <v>0</v>
      </c>
      <c r="V51" s="94">
        <v>0</v>
      </c>
      <c r="W51" s="94">
        <v>0</v>
      </c>
      <c r="X51" s="94">
        <v>0</v>
      </c>
      <c r="Y51" s="89">
        <v>0</v>
      </c>
      <c r="Z51" s="94">
        <f t="shared" si="5"/>
        <v>0</v>
      </c>
      <c r="AA51" s="94">
        <f t="shared" si="6"/>
        <v>0</v>
      </c>
      <c r="AB51" s="89">
        <f t="shared" si="7"/>
        <v>0</v>
      </c>
      <c r="AC51" s="89">
        <f t="shared" si="8"/>
        <v>0</v>
      </c>
      <c r="AD51" s="89">
        <v>0</v>
      </c>
      <c r="AE51" s="89">
        <v>0</v>
      </c>
      <c r="AF51" s="117"/>
      <c r="AG51" s="117"/>
      <c r="AH51" s="262"/>
      <c r="AI51" s="17"/>
      <c r="AJ51" s="17"/>
      <c r="AK51" s="17"/>
      <c r="AL51" s="17"/>
      <c r="AM51" s="17"/>
      <c r="AN51" s="17"/>
      <c r="AO51" s="17"/>
      <c r="AP51" s="15" t="str">
        <f>IFERROR(VLOOKUP(AO51,Legend!$D$2:$E$26,2,0),"")</f>
        <v/>
      </c>
      <c r="AQ51" s="15"/>
      <c r="AR51" s="17"/>
      <c r="AS51" s="17"/>
      <c r="AT51" s="15"/>
      <c r="AU51" s="17"/>
      <c r="AV51" s="17"/>
      <c r="AW51" s="17" t="s">
        <v>10</v>
      </c>
      <c r="AX51" s="15"/>
      <c r="AY51" s="15"/>
    </row>
    <row r="52" spans="1:51" x14ac:dyDescent="0.25">
      <c r="A52" s="15"/>
      <c r="B52" s="15"/>
      <c r="C52" s="15"/>
      <c r="D52" s="15"/>
      <c r="E52" s="91"/>
      <c r="F52" s="15"/>
      <c r="G52" s="15"/>
      <c r="H52" s="15"/>
      <c r="I52" s="15"/>
      <c r="J52" s="15"/>
      <c r="K52" s="89"/>
      <c r="L52" s="15"/>
      <c r="M52" s="89">
        <v>0</v>
      </c>
      <c r="N52" s="89">
        <v>0</v>
      </c>
      <c r="O52" s="89">
        <v>0</v>
      </c>
      <c r="P52" s="94">
        <v>0</v>
      </c>
      <c r="Q52" s="94">
        <v>0</v>
      </c>
      <c r="R52" s="94">
        <v>0</v>
      </c>
      <c r="S52" s="94">
        <v>0</v>
      </c>
      <c r="T52" s="89">
        <v>0</v>
      </c>
      <c r="U52" s="89">
        <v>0</v>
      </c>
      <c r="V52" s="94">
        <v>0</v>
      </c>
      <c r="W52" s="94">
        <v>0</v>
      </c>
      <c r="X52" s="94">
        <v>0</v>
      </c>
      <c r="Y52" s="89">
        <v>0</v>
      </c>
      <c r="Z52" s="94">
        <f t="shared" si="5"/>
        <v>0</v>
      </c>
      <c r="AA52" s="94">
        <f t="shared" si="6"/>
        <v>0</v>
      </c>
      <c r="AB52" s="89">
        <f t="shared" si="7"/>
        <v>0</v>
      </c>
      <c r="AC52" s="89">
        <f t="shared" si="8"/>
        <v>0</v>
      </c>
      <c r="AD52" s="89">
        <v>0</v>
      </c>
      <c r="AE52" s="89">
        <v>0</v>
      </c>
      <c r="AF52" s="117"/>
      <c r="AG52" s="117"/>
      <c r="AH52" s="262"/>
      <c r="AI52" s="17"/>
      <c r="AJ52" s="17"/>
      <c r="AK52" s="17"/>
      <c r="AL52" s="17"/>
      <c r="AM52" s="17"/>
      <c r="AN52" s="17"/>
      <c r="AO52" s="17"/>
      <c r="AP52" s="15" t="str">
        <f>IFERROR(VLOOKUP(AO52,Legend!$D$2:$E$26,2,0),"")</f>
        <v/>
      </c>
      <c r="AQ52" s="15"/>
      <c r="AR52" s="17"/>
      <c r="AS52" s="17"/>
      <c r="AT52" s="15"/>
      <c r="AU52" s="17"/>
      <c r="AV52" s="17"/>
      <c r="AW52" s="17" t="s">
        <v>10</v>
      </c>
      <c r="AX52" s="15"/>
      <c r="AY52" s="15"/>
    </row>
    <row r="53" spans="1:51" x14ac:dyDescent="0.25">
      <c r="A53" s="15"/>
      <c r="B53" s="15"/>
      <c r="C53" s="15"/>
      <c r="D53" s="15"/>
      <c r="E53" s="91"/>
      <c r="F53" s="15"/>
      <c r="G53" s="15"/>
      <c r="H53" s="15"/>
      <c r="I53" s="15"/>
      <c r="J53" s="15"/>
      <c r="K53" s="89"/>
      <c r="L53" s="15"/>
      <c r="M53" s="89">
        <v>0</v>
      </c>
      <c r="N53" s="89">
        <v>0</v>
      </c>
      <c r="O53" s="89">
        <v>0</v>
      </c>
      <c r="P53" s="94">
        <v>0</v>
      </c>
      <c r="Q53" s="94">
        <v>0</v>
      </c>
      <c r="R53" s="94">
        <v>0</v>
      </c>
      <c r="S53" s="94">
        <v>0</v>
      </c>
      <c r="T53" s="89">
        <v>0</v>
      </c>
      <c r="U53" s="89">
        <v>0</v>
      </c>
      <c r="V53" s="94">
        <v>0</v>
      </c>
      <c r="W53" s="94">
        <v>0</v>
      </c>
      <c r="X53" s="94">
        <v>0</v>
      </c>
      <c r="Y53" s="89">
        <v>0</v>
      </c>
      <c r="Z53" s="94">
        <f t="shared" si="5"/>
        <v>0</v>
      </c>
      <c r="AA53" s="94">
        <f t="shared" si="6"/>
        <v>0</v>
      </c>
      <c r="AB53" s="89">
        <f t="shared" si="7"/>
        <v>0</v>
      </c>
      <c r="AC53" s="89">
        <f t="shared" si="8"/>
        <v>0</v>
      </c>
      <c r="AD53" s="89">
        <v>0</v>
      </c>
      <c r="AE53" s="89">
        <v>0</v>
      </c>
      <c r="AF53" s="117"/>
      <c r="AG53" s="117"/>
      <c r="AH53" s="262"/>
      <c r="AI53" s="17"/>
      <c r="AJ53" s="17"/>
      <c r="AK53" s="17"/>
      <c r="AL53" s="17"/>
      <c r="AM53" s="17"/>
      <c r="AN53" s="17"/>
      <c r="AO53" s="17"/>
      <c r="AP53" s="15" t="str">
        <f>IFERROR(VLOOKUP(AO53,Legend!$D$2:$E$26,2,0),"")</f>
        <v/>
      </c>
      <c r="AQ53" s="15"/>
      <c r="AR53" s="17"/>
      <c r="AS53" s="17"/>
      <c r="AT53" s="15"/>
      <c r="AU53" s="17"/>
      <c r="AV53" s="17"/>
      <c r="AW53" s="17" t="s">
        <v>10</v>
      </c>
      <c r="AX53" s="15"/>
      <c r="AY53" s="15"/>
    </row>
    <row r="54" spans="1:51" x14ac:dyDescent="0.25">
      <c r="A54" s="15"/>
      <c r="B54" s="15"/>
      <c r="C54" s="15"/>
      <c r="D54" s="15"/>
      <c r="E54" s="91"/>
      <c r="F54" s="15"/>
      <c r="G54" s="15"/>
      <c r="H54" s="15"/>
      <c r="I54" s="15"/>
      <c r="J54" s="15"/>
      <c r="K54" s="89"/>
      <c r="L54" s="15"/>
      <c r="M54" s="89">
        <v>0</v>
      </c>
      <c r="N54" s="89">
        <v>0</v>
      </c>
      <c r="O54" s="89">
        <v>0</v>
      </c>
      <c r="P54" s="94">
        <v>0</v>
      </c>
      <c r="Q54" s="94">
        <v>0</v>
      </c>
      <c r="R54" s="94">
        <v>0</v>
      </c>
      <c r="S54" s="94">
        <v>0</v>
      </c>
      <c r="T54" s="89">
        <v>0</v>
      </c>
      <c r="U54" s="89">
        <v>0</v>
      </c>
      <c r="V54" s="94">
        <v>0</v>
      </c>
      <c r="W54" s="94">
        <v>0</v>
      </c>
      <c r="X54" s="94">
        <v>0</v>
      </c>
      <c r="Y54" s="89">
        <v>0</v>
      </c>
      <c r="Z54" s="94">
        <f t="shared" si="5"/>
        <v>0</v>
      </c>
      <c r="AA54" s="94">
        <f t="shared" si="6"/>
        <v>0</v>
      </c>
      <c r="AB54" s="89">
        <f t="shared" si="7"/>
        <v>0</v>
      </c>
      <c r="AC54" s="89">
        <f t="shared" si="8"/>
        <v>0</v>
      </c>
      <c r="AD54" s="89">
        <v>0</v>
      </c>
      <c r="AE54" s="89">
        <v>0</v>
      </c>
      <c r="AF54" s="117"/>
      <c r="AG54" s="117"/>
      <c r="AH54" s="262"/>
      <c r="AI54" s="17"/>
      <c r="AJ54" s="17"/>
      <c r="AK54" s="17"/>
      <c r="AL54" s="17"/>
      <c r="AM54" s="17"/>
      <c r="AN54" s="17"/>
      <c r="AO54" s="17"/>
      <c r="AP54" s="15" t="str">
        <f>IFERROR(VLOOKUP(AO54,Legend!$D$2:$E$26,2,0),"")</f>
        <v/>
      </c>
      <c r="AQ54" s="15"/>
      <c r="AR54" s="17"/>
      <c r="AS54" s="17"/>
      <c r="AT54" s="15"/>
      <c r="AU54" s="17"/>
      <c r="AV54" s="17"/>
      <c r="AW54" s="17" t="s">
        <v>10</v>
      </c>
      <c r="AX54" s="15"/>
      <c r="AY54" s="15"/>
    </row>
    <row r="55" spans="1:51" x14ac:dyDescent="0.25">
      <c r="A55" s="15"/>
      <c r="B55" s="15"/>
      <c r="C55" s="15"/>
      <c r="D55" s="15"/>
      <c r="E55" s="91"/>
      <c r="F55" s="15"/>
      <c r="G55" s="15"/>
      <c r="H55" s="15"/>
      <c r="I55" s="15"/>
      <c r="J55" s="15"/>
      <c r="K55" s="89"/>
      <c r="L55" s="15"/>
      <c r="M55" s="89">
        <v>0</v>
      </c>
      <c r="N55" s="89">
        <v>0</v>
      </c>
      <c r="O55" s="89">
        <v>0</v>
      </c>
      <c r="P55" s="94">
        <v>0</v>
      </c>
      <c r="Q55" s="94">
        <v>0</v>
      </c>
      <c r="R55" s="94">
        <v>0</v>
      </c>
      <c r="S55" s="94">
        <v>0</v>
      </c>
      <c r="T55" s="89">
        <v>0</v>
      </c>
      <c r="U55" s="89">
        <v>0</v>
      </c>
      <c r="V55" s="94">
        <v>0</v>
      </c>
      <c r="W55" s="94">
        <v>0</v>
      </c>
      <c r="X55" s="94">
        <v>0</v>
      </c>
      <c r="Y55" s="89">
        <v>0</v>
      </c>
      <c r="Z55" s="94">
        <f t="shared" si="5"/>
        <v>0</v>
      </c>
      <c r="AA55" s="94">
        <f t="shared" si="6"/>
        <v>0</v>
      </c>
      <c r="AB55" s="89">
        <f t="shared" si="7"/>
        <v>0</v>
      </c>
      <c r="AC55" s="89">
        <f t="shared" si="8"/>
        <v>0</v>
      </c>
      <c r="AD55" s="89">
        <v>0</v>
      </c>
      <c r="AE55" s="89">
        <v>0</v>
      </c>
      <c r="AF55" s="117"/>
      <c r="AG55" s="117"/>
      <c r="AH55" s="262"/>
      <c r="AI55" s="17"/>
      <c r="AJ55" s="17"/>
      <c r="AK55" s="17"/>
      <c r="AL55" s="17"/>
      <c r="AM55" s="17"/>
      <c r="AN55" s="17"/>
      <c r="AO55" s="17"/>
      <c r="AP55" s="15" t="str">
        <f>IFERROR(VLOOKUP(AO55,Legend!$D$2:$E$26,2,0),"")</f>
        <v/>
      </c>
      <c r="AQ55" s="15"/>
      <c r="AR55" s="17"/>
      <c r="AS55" s="17"/>
      <c r="AT55" s="15"/>
      <c r="AU55" s="17"/>
      <c r="AV55" s="17"/>
      <c r="AW55" s="17" t="s">
        <v>10</v>
      </c>
      <c r="AX55" s="15"/>
      <c r="AY55" s="15"/>
    </row>
    <row r="56" spans="1:51" x14ac:dyDescent="0.25">
      <c r="A56" s="15"/>
      <c r="B56" s="15"/>
      <c r="C56" s="15"/>
      <c r="D56" s="15"/>
      <c r="E56" s="91"/>
      <c r="F56" s="15"/>
      <c r="G56" s="15"/>
      <c r="H56" s="15"/>
      <c r="I56" s="15"/>
      <c r="J56" s="15"/>
      <c r="K56" s="89"/>
      <c r="L56" s="15"/>
      <c r="M56" s="89">
        <v>0</v>
      </c>
      <c r="N56" s="89">
        <v>0</v>
      </c>
      <c r="O56" s="89">
        <v>0</v>
      </c>
      <c r="P56" s="94">
        <v>0</v>
      </c>
      <c r="Q56" s="94">
        <v>0</v>
      </c>
      <c r="R56" s="94">
        <v>0</v>
      </c>
      <c r="S56" s="94">
        <v>0</v>
      </c>
      <c r="T56" s="89">
        <v>0</v>
      </c>
      <c r="U56" s="89">
        <v>0</v>
      </c>
      <c r="V56" s="94">
        <v>0</v>
      </c>
      <c r="W56" s="94">
        <v>0</v>
      </c>
      <c r="X56" s="94">
        <v>0</v>
      </c>
      <c r="Y56" s="89">
        <v>0</v>
      </c>
      <c r="Z56" s="94">
        <f t="shared" si="5"/>
        <v>0</v>
      </c>
      <c r="AA56" s="94">
        <f t="shared" si="6"/>
        <v>0</v>
      </c>
      <c r="AB56" s="89">
        <f t="shared" si="7"/>
        <v>0</v>
      </c>
      <c r="AC56" s="89">
        <f t="shared" si="8"/>
        <v>0</v>
      </c>
      <c r="AD56" s="89">
        <v>0</v>
      </c>
      <c r="AE56" s="89">
        <v>0</v>
      </c>
      <c r="AF56" s="117"/>
      <c r="AG56" s="117"/>
      <c r="AH56" s="262"/>
      <c r="AI56" s="17"/>
      <c r="AJ56" s="17"/>
      <c r="AK56" s="17"/>
      <c r="AL56" s="17"/>
      <c r="AM56" s="17"/>
      <c r="AN56" s="17"/>
      <c r="AO56" s="17"/>
      <c r="AP56" s="15" t="str">
        <f>IFERROR(VLOOKUP(AO56,Legend!$D$2:$E$26,2,0),"")</f>
        <v/>
      </c>
      <c r="AQ56" s="15"/>
      <c r="AR56" s="17"/>
      <c r="AS56" s="17"/>
      <c r="AT56" s="15"/>
      <c r="AU56" s="17"/>
      <c r="AV56" s="17"/>
      <c r="AW56" s="17" t="s">
        <v>10</v>
      </c>
      <c r="AX56" s="15"/>
      <c r="AY56" s="15"/>
    </row>
    <row r="57" spans="1:51" x14ac:dyDescent="0.25">
      <c r="A57" s="15"/>
      <c r="B57" s="15"/>
      <c r="C57" s="15"/>
      <c r="D57" s="15"/>
      <c r="E57" s="91"/>
      <c r="F57" s="15"/>
      <c r="G57" s="15"/>
      <c r="H57" s="15"/>
      <c r="I57" s="15"/>
      <c r="J57" s="15"/>
      <c r="K57" s="89"/>
      <c r="L57" s="15"/>
      <c r="M57" s="89">
        <v>0</v>
      </c>
      <c r="N57" s="89">
        <v>0</v>
      </c>
      <c r="O57" s="89">
        <v>0</v>
      </c>
      <c r="P57" s="94">
        <v>0</v>
      </c>
      <c r="Q57" s="94">
        <v>0</v>
      </c>
      <c r="R57" s="94">
        <v>0</v>
      </c>
      <c r="S57" s="94">
        <v>0</v>
      </c>
      <c r="T57" s="89">
        <v>0</v>
      </c>
      <c r="U57" s="89">
        <v>0</v>
      </c>
      <c r="V57" s="94">
        <v>0</v>
      </c>
      <c r="W57" s="94">
        <v>0</v>
      </c>
      <c r="X57" s="94">
        <v>0</v>
      </c>
      <c r="Y57" s="89">
        <v>0</v>
      </c>
      <c r="Z57" s="94">
        <f t="shared" si="5"/>
        <v>0</v>
      </c>
      <c r="AA57" s="94">
        <f t="shared" si="6"/>
        <v>0</v>
      </c>
      <c r="AB57" s="89">
        <f t="shared" si="7"/>
        <v>0</v>
      </c>
      <c r="AC57" s="89">
        <f t="shared" si="8"/>
        <v>0</v>
      </c>
      <c r="AD57" s="89">
        <v>0</v>
      </c>
      <c r="AE57" s="89">
        <v>0</v>
      </c>
      <c r="AF57" s="117"/>
      <c r="AG57" s="117"/>
      <c r="AH57" s="262"/>
      <c r="AI57" s="17"/>
      <c r="AJ57" s="17"/>
      <c r="AK57" s="17"/>
      <c r="AL57" s="17"/>
      <c r="AM57" s="17"/>
      <c r="AN57" s="17"/>
      <c r="AO57" s="17"/>
      <c r="AP57" s="15" t="str">
        <f>IFERROR(VLOOKUP(AO57,Legend!$D$2:$E$26,2,0),"")</f>
        <v/>
      </c>
      <c r="AQ57" s="15"/>
      <c r="AR57" s="17"/>
      <c r="AS57" s="17"/>
      <c r="AT57" s="15"/>
      <c r="AU57" s="17"/>
      <c r="AV57" s="17"/>
      <c r="AW57" s="17" t="s">
        <v>10</v>
      </c>
      <c r="AX57" s="15"/>
      <c r="AY57" s="15"/>
    </row>
    <row r="58" spans="1:51" x14ac:dyDescent="0.25">
      <c r="A58" s="15"/>
      <c r="B58" s="15"/>
      <c r="C58" s="15"/>
      <c r="D58" s="15"/>
      <c r="E58" s="91"/>
      <c r="F58" s="15"/>
      <c r="G58" s="15"/>
      <c r="H58" s="15"/>
      <c r="I58" s="15"/>
      <c r="J58" s="15"/>
      <c r="K58" s="89"/>
      <c r="L58" s="15"/>
      <c r="M58" s="89">
        <v>0</v>
      </c>
      <c r="N58" s="89">
        <v>0</v>
      </c>
      <c r="O58" s="89">
        <v>0</v>
      </c>
      <c r="P58" s="94">
        <v>0</v>
      </c>
      <c r="Q58" s="94">
        <v>0</v>
      </c>
      <c r="R58" s="94">
        <v>0</v>
      </c>
      <c r="S58" s="94">
        <v>0</v>
      </c>
      <c r="T58" s="89">
        <v>0</v>
      </c>
      <c r="U58" s="89">
        <v>0</v>
      </c>
      <c r="V58" s="94">
        <v>0</v>
      </c>
      <c r="W58" s="94">
        <v>0</v>
      </c>
      <c r="X58" s="94">
        <v>0</v>
      </c>
      <c r="Y58" s="89">
        <v>0</v>
      </c>
      <c r="Z58" s="94">
        <f t="shared" si="5"/>
        <v>0</v>
      </c>
      <c r="AA58" s="94">
        <f t="shared" si="6"/>
        <v>0</v>
      </c>
      <c r="AB58" s="89">
        <f t="shared" si="7"/>
        <v>0</v>
      </c>
      <c r="AC58" s="89">
        <f t="shared" si="8"/>
        <v>0</v>
      </c>
      <c r="AD58" s="89">
        <v>0</v>
      </c>
      <c r="AE58" s="89">
        <v>0</v>
      </c>
      <c r="AF58" s="117"/>
      <c r="AG58" s="117"/>
      <c r="AH58" s="262"/>
      <c r="AI58" s="17"/>
      <c r="AJ58" s="17"/>
      <c r="AK58" s="17"/>
      <c r="AL58" s="17"/>
      <c r="AM58" s="17"/>
      <c r="AN58" s="17"/>
      <c r="AO58" s="17"/>
      <c r="AP58" s="15" t="str">
        <f>IFERROR(VLOOKUP(AO58,Legend!$D$2:$E$26,2,0),"")</f>
        <v/>
      </c>
      <c r="AQ58" s="15"/>
      <c r="AR58" s="17"/>
      <c r="AS58" s="17"/>
      <c r="AT58" s="15"/>
      <c r="AU58" s="17"/>
      <c r="AV58" s="17"/>
      <c r="AW58" s="17" t="s">
        <v>10</v>
      </c>
      <c r="AX58" s="15"/>
      <c r="AY58" s="15"/>
    </row>
    <row r="59" spans="1:51" x14ac:dyDescent="0.25">
      <c r="A59" s="15"/>
      <c r="B59" s="15"/>
      <c r="C59" s="15"/>
      <c r="D59" s="15"/>
      <c r="E59" s="91"/>
      <c r="F59" s="15"/>
      <c r="G59" s="15"/>
      <c r="H59" s="15"/>
      <c r="I59" s="15"/>
      <c r="J59" s="15"/>
      <c r="K59" s="89"/>
      <c r="L59" s="15"/>
      <c r="M59" s="89">
        <v>0</v>
      </c>
      <c r="N59" s="89">
        <v>0</v>
      </c>
      <c r="O59" s="89">
        <v>0</v>
      </c>
      <c r="P59" s="94">
        <v>0</v>
      </c>
      <c r="Q59" s="94">
        <v>0</v>
      </c>
      <c r="R59" s="94">
        <v>0</v>
      </c>
      <c r="S59" s="94">
        <v>0</v>
      </c>
      <c r="T59" s="89">
        <v>0</v>
      </c>
      <c r="U59" s="89">
        <v>0</v>
      </c>
      <c r="V59" s="94">
        <v>0</v>
      </c>
      <c r="W59" s="94">
        <v>0</v>
      </c>
      <c r="X59" s="94">
        <v>0</v>
      </c>
      <c r="Y59" s="89">
        <v>0</v>
      </c>
      <c r="Z59" s="94">
        <f t="shared" si="5"/>
        <v>0</v>
      </c>
      <c r="AA59" s="94">
        <f t="shared" si="6"/>
        <v>0</v>
      </c>
      <c r="AB59" s="89">
        <f t="shared" si="7"/>
        <v>0</v>
      </c>
      <c r="AC59" s="89">
        <f t="shared" si="8"/>
        <v>0</v>
      </c>
      <c r="AD59" s="89">
        <v>0</v>
      </c>
      <c r="AE59" s="89">
        <v>0</v>
      </c>
      <c r="AF59" s="117"/>
      <c r="AG59" s="117"/>
      <c r="AH59" s="262"/>
      <c r="AI59" s="17"/>
      <c r="AJ59" s="17"/>
      <c r="AK59" s="17"/>
      <c r="AL59" s="17"/>
      <c r="AM59" s="17"/>
      <c r="AN59" s="17"/>
      <c r="AO59" s="17"/>
      <c r="AP59" s="15" t="str">
        <f>IFERROR(VLOOKUP(AO59,Legend!$D$2:$E$26,2,0),"")</f>
        <v/>
      </c>
      <c r="AQ59" s="15"/>
      <c r="AR59" s="17"/>
      <c r="AS59" s="17"/>
      <c r="AT59" s="15"/>
      <c r="AU59" s="17"/>
      <c r="AV59" s="17"/>
      <c r="AW59" s="17" t="s">
        <v>10</v>
      </c>
      <c r="AX59" s="15"/>
      <c r="AY59" s="15"/>
    </row>
    <row r="60" spans="1:51" x14ac:dyDescent="0.25">
      <c r="A60" s="15"/>
      <c r="B60" s="15"/>
      <c r="C60" s="15"/>
      <c r="D60" s="15"/>
      <c r="E60" s="91"/>
      <c r="F60" s="15"/>
      <c r="G60" s="15"/>
      <c r="H60" s="15"/>
      <c r="I60" s="15"/>
      <c r="J60" s="15"/>
      <c r="K60" s="89"/>
      <c r="L60" s="15"/>
      <c r="M60" s="89">
        <v>0</v>
      </c>
      <c r="N60" s="89">
        <v>0</v>
      </c>
      <c r="O60" s="89">
        <v>0</v>
      </c>
      <c r="P60" s="94">
        <v>0</v>
      </c>
      <c r="Q60" s="94">
        <v>0</v>
      </c>
      <c r="R60" s="94">
        <v>0</v>
      </c>
      <c r="S60" s="94">
        <v>0</v>
      </c>
      <c r="T60" s="89">
        <v>0</v>
      </c>
      <c r="U60" s="89">
        <v>0</v>
      </c>
      <c r="V60" s="94">
        <v>0</v>
      </c>
      <c r="W60" s="94">
        <v>0</v>
      </c>
      <c r="X60" s="94">
        <v>0</v>
      </c>
      <c r="Y60" s="89">
        <v>0</v>
      </c>
      <c r="Z60" s="94">
        <f t="shared" si="5"/>
        <v>0</v>
      </c>
      <c r="AA60" s="94">
        <f t="shared" si="6"/>
        <v>0</v>
      </c>
      <c r="AB60" s="89">
        <f t="shared" si="7"/>
        <v>0</v>
      </c>
      <c r="AC60" s="89">
        <f t="shared" si="8"/>
        <v>0</v>
      </c>
      <c r="AD60" s="89">
        <v>0</v>
      </c>
      <c r="AE60" s="89">
        <v>0</v>
      </c>
      <c r="AF60" s="117"/>
      <c r="AG60" s="117"/>
      <c r="AH60" s="262"/>
      <c r="AI60" s="17"/>
      <c r="AJ60" s="17"/>
      <c r="AK60" s="17"/>
      <c r="AL60" s="17"/>
      <c r="AM60" s="17"/>
      <c r="AN60" s="17"/>
      <c r="AO60" s="17"/>
      <c r="AP60" s="15" t="str">
        <f>IFERROR(VLOOKUP(AO60,Legend!$D$2:$E$26,2,0),"")</f>
        <v/>
      </c>
      <c r="AQ60" s="15"/>
      <c r="AR60" s="17"/>
      <c r="AS60" s="17"/>
      <c r="AT60" s="15"/>
      <c r="AU60" s="17"/>
      <c r="AV60" s="17"/>
      <c r="AW60" s="17" t="s">
        <v>10</v>
      </c>
      <c r="AX60" s="15"/>
      <c r="AY60" s="15"/>
    </row>
    <row r="61" spans="1:51" x14ac:dyDescent="0.25">
      <c r="A61" s="15"/>
      <c r="B61" s="15"/>
      <c r="C61" s="15"/>
      <c r="D61" s="15"/>
      <c r="E61" s="91"/>
      <c r="F61" s="15"/>
      <c r="G61" s="15"/>
      <c r="H61" s="15"/>
      <c r="I61" s="15"/>
      <c r="J61" s="15"/>
      <c r="K61" s="89"/>
      <c r="L61" s="15"/>
      <c r="M61" s="89">
        <v>0</v>
      </c>
      <c r="N61" s="89">
        <v>0</v>
      </c>
      <c r="O61" s="89">
        <v>0</v>
      </c>
      <c r="P61" s="94">
        <v>0</v>
      </c>
      <c r="Q61" s="94">
        <v>0</v>
      </c>
      <c r="R61" s="94">
        <v>0</v>
      </c>
      <c r="S61" s="94">
        <v>0</v>
      </c>
      <c r="T61" s="89">
        <v>0</v>
      </c>
      <c r="U61" s="89">
        <v>0</v>
      </c>
      <c r="V61" s="94">
        <v>0</v>
      </c>
      <c r="W61" s="94">
        <v>0</v>
      </c>
      <c r="X61" s="94">
        <v>0</v>
      </c>
      <c r="Y61" s="89">
        <v>0</v>
      </c>
      <c r="Z61" s="94">
        <f t="shared" si="5"/>
        <v>0</v>
      </c>
      <c r="AA61" s="94">
        <f t="shared" si="6"/>
        <v>0</v>
      </c>
      <c r="AB61" s="89">
        <f t="shared" si="7"/>
        <v>0</v>
      </c>
      <c r="AC61" s="89">
        <f t="shared" si="8"/>
        <v>0</v>
      </c>
      <c r="AD61" s="89">
        <v>0</v>
      </c>
      <c r="AE61" s="89">
        <v>0</v>
      </c>
      <c r="AF61" s="117"/>
      <c r="AG61" s="117"/>
      <c r="AH61" s="262"/>
      <c r="AI61" s="17"/>
      <c r="AJ61" s="17"/>
      <c r="AK61" s="17"/>
      <c r="AL61" s="17"/>
      <c r="AM61" s="17"/>
      <c r="AN61" s="17"/>
      <c r="AO61" s="17"/>
      <c r="AP61" s="15" t="str">
        <f>IFERROR(VLOOKUP(AO61,Legend!$D$2:$E$26,2,0),"")</f>
        <v/>
      </c>
      <c r="AQ61" s="15"/>
      <c r="AR61" s="17"/>
      <c r="AS61" s="17"/>
      <c r="AT61" s="15"/>
      <c r="AU61" s="17"/>
      <c r="AV61" s="17"/>
      <c r="AW61" s="17" t="s">
        <v>10</v>
      </c>
      <c r="AX61" s="15"/>
      <c r="AY61" s="15"/>
    </row>
    <row r="62" spans="1:51" x14ac:dyDescent="0.25">
      <c r="A62" s="15"/>
      <c r="B62" s="15"/>
      <c r="C62" s="15"/>
      <c r="D62" s="15"/>
      <c r="E62" s="91"/>
      <c r="F62" s="15"/>
      <c r="G62" s="15"/>
      <c r="H62" s="15"/>
      <c r="I62" s="15"/>
      <c r="J62" s="15"/>
      <c r="K62" s="89"/>
      <c r="L62" s="15"/>
      <c r="M62" s="89">
        <v>0</v>
      </c>
      <c r="N62" s="89">
        <v>0</v>
      </c>
      <c r="O62" s="89">
        <v>0</v>
      </c>
      <c r="P62" s="94">
        <v>0</v>
      </c>
      <c r="Q62" s="94">
        <v>0</v>
      </c>
      <c r="R62" s="94">
        <v>0</v>
      </c>
      <c r="S62" s="94">
        <v>0</v>
      </c>
      <c r="T62" s="89">
        <v>0</v>
      </c>
      <c r="U62" s="89">
        <v>0</v>
      </c>
      <c r="V62" s="94">
        <v>0</v>
      </c>
      <c r="W62" s="94">
        <v>0</v>
      </c>
      <c r="X62" s="94">
        <v>0</v>
      </c>
      <c r="Y62" s="89">
        <v>0</v>
      </c>
      <c r="Z62" s="94">
        <f t="shared" si="5"/>
        <v>0</v>
      </c>
      <c r="AA62" s="94">
        <f t="shared" si="6"/>
        <v>0</v>
      </c>
      <c r="AB62" s="89">
        <f t="shared" si="7"/>
        <v>0</v>
      </c>
      <c r="AC62" s="89">
        <f t="shared" si="8"/>
        <v>0</v>
      </c>
      <c r="AD62" s="89">
        <v>0</v>
      </c>
      <c r="AE62" s="89">
        <v>0</v>
      </c>
      <c r="AF62" s="117"/>
      <c r="AG62" s="117"/>
      <c r="AH62" s="262"/>
      <c r="AI62" s="17"/>
      <c r="AJ62" s="17"/>
      <c r="AK62" s="17"/>
      <c r="AL62" s="17"/>
      <c r="AM62" s="17"/>
      <c r="AN62" s="17"/>
      <c r="AO62" s="17"/>
      <c r="AP62" s="15" t="str">
        <f>IFERROR(VLOOKUP(AO62,Legend!$D$2:$E$26,2,0),"")</f>
        <v/>
      </c>
      <c r="AQ62" s="15"/>
      <c r="AR62" s="17"/>
      <c r="AS62" s="17"/>
      <c r="AT62" s="15"/>
      <c r="AU62" s="17"/>
      <c r="AV62" s="17"/>
      <c r="AW62" s="17" t="s">
        <v>10</v>
      </c>
      <c r="AX62" s="15"/>
      <c r="AY62" s="15"/>
    </row>
    <row r="63" spans="1:51" x14ac:dyDescent="0.25">
      <c r="A63" s="15"/>
      <c r="B63" s="15"/>
      <c r="C63" s="15"/>
      <c r="D63" s="15"/>
      <c r="E63" s="91"/>
      <c r="F63" s="15"/>
      <c r="G63" s="15"/>
      <c r="H63" s="15"/>
      <c r="I63" s="15"/>
      <c r="J63" s="15"/>
      <c r="K63" s="89"/>
      <c r="L63" s="15"/>
      <c r="M63" s="89">
        <v>0</v>
      </c>
      <c r="N63" s="89">
        <v>0</v>
      </c>
      <c r="O63" s="89">
        <v>0</v>
      </c>
      <c r="P63" s="94">
        <v>0</v>
      </c>
      <c r="Q63" s="94">
        <v>0</v>
      </c>
      <c r="R63" s="94">
        <v>0</v>
      </c>
      <c r="S63" s="94">
        <v>0</v>
      </c>
      <c r="T63" s="89">
        <v>0</v>
      </c>
      <c r="U63" s="89">
        <v>0</v>
      </c>
      <c r="V63" s="94">
        <v>0</v>
      </c>
      <c r="W63" s="94">
        <v>0</v>
      </c>
      <c r="X63" s="94">
        <v>0</v>
      </c>
      <c r="Y63" s="89">
        <v>0</v>
      </c>
      <c r="Z63" s="94">
        <f t="shared" si="5"/>
        <v>0</v>
      </c>
      <c r="AA63" s="94">
        <f t="shared" si="6"/>
        <v>0</v>
      </c>
      <c r="AB63" s="89">
        <f t="shared" si="7"/>
        <v>0</v>
      </c>
      <c r="AC63" s="89">
        <f t="shared" si="8"/>
        <v>0</v>
      </c>
      <c r="AD63" s="89">
        <v>0</v>
      </c>
      <c r="AE63" s="89">
        <v>0</v>
      </c>
      <c r="AF63" s="117"/>
      <c r="AG63" s="117"/>
      <c r="AH63" s="262"/>
      <c r="AI63" s="17"/>
      <c r="AJ63" s="17"/>
      <c r="AK63" s="17"/>
      <c r="AL63" s="17"/>
      <c r="AM63" s="17"/>
      <c r="AN63" s="17"/>
      <c r="AO63" s="17"/>
      <c r="AP63" s="15" t="str">
        <f>IFERROR(VLOOKUP(AO63,Legend!$D$2:$E$26,2,0),"")</f>
        <v/>
      </c>
      <c r="AQ63" s="15"/>
      <c r="AR63" s="17"/>
      <c r="AS63" s="17"/>
      <c r="AT63" s="15"/>
      <c r="AU63" s="17"/>
      <c r="AV63" s="17"/>
      <c r="AW63" s="17" t="s">
        <v>10</v>
      </c>
      <c r="AX63" s="15"/>
      <c r="AY63" s="15"/>
    </row>
    <row r="64" spans="1:51" x14ac:dyDescent="0.25">
      <c r="A64" s="15"/>
      <c r="B64" s="15"/>
      <c r="C64" s="15"/>
      <c r="D64" s="15"/>
      <c r="E64" s="91"/>
      <c r="F64" s="15"/>
      <c r="G64" s="15"/>
      <c r="H64" s="15"/>
      <c r="I64" s="15"/>
      <c r="J64" s="15"/>
      <c r="K64" s="89"/>
      <c r="L64" s="15"/>
      <c r="M64" s="89">
        <v>0</v>
      </c>
      <c r="N64" s="89">
        <v>0</v>
      </c>
      <c r="O64" s="89">
        <v>0</v>
      </c>
      <c r="P64" s="94">
        <v>0</v>
      </c>
      <c r="Q64" s="94">
        <v>0</v>
      </c>
      <c r="R64" s="94">
        <v>0</v>
      </c>
      <c r="S64" s="94">
        <v>0</v>
      </c>
      <c r="T64" s="89">
        <v>0</v>
      </c>
      <c r="U64" s="89">
        <v>0</v>
      </c>
      <c r="V64" s="94">
        <v>0</v>
      </c>
      <c r="W64" s="94">
        <v>0</v>
      </c>
      <c r="X64" s="94">
        <v>0</v>
      </c>
      <c r="Y64" s="89">
        <v>0</v>
      </c>
      <c r="Z64" s="94">
        <f t="shared" si="5"/>
        <v>0</v>
      </c>
      <c r="AA64" s="94">
        <f t="shared" si="6"/>
        <v>0</v>
      </c>
      <c r="AB64" s="89">
        <f t="shared" si="7"/>
        <v>0</v>
      </c>
      <c r="AC64" s="89">
        <f t="shared" si="8"/>
        <v>0</v>
      </c>
      <c r="AD64" s="89">
        <v>0</v>
      </c>
      <c r="AE64" s="89">
        <v>0</v>
      </c>
      <c r="AF64" s="117"/>
      <c r="AG64" s="117"/>
      <c r="AH64" s="262"/>
      <c r="AI64" s="17"/>
      <c r="AJ64" s="17"/>
      <c r="AK64" s="17"/>
      <c r="AL64" s="17"/>
      <c r="AM64" s="17"/>
      <c r="AN64" s="17"/>
      <c r="AO64" s="17"/>
      <c r="AP64" s="15" t="str">
        <f>IFERROR(VLOOKUP(AO64,Legend!$D$2:$E$26,2,0),"")</f>
        <v/>
      </c>
      <c r="AQ64" s="15"/>
      <c r="AR64" s="17"/>
      <c r="AS64" s="17"/>
      <c r="AT64" s="15"/>
      <c r="AU64" s="17"/>
      <c r="AV64" s="17"/>
      <c r="AW64" s="17" t="s">
        <v>10</v>
      </c>
      <c r="AX64" s="15"/>
      <c r="AY64" s="15"/>
    </row>
    <row r="65" spans="1:51" x14ac:dyDescent="0.25">
      <c r="A65" s="15"/>
      <c r="B65" s="15"/>
      <c r="C65" s="15"/>
      <c r="D65" s="15"/>
      <c r="E65" s="91"/>
      <c r="F65" s="15"/>
      <c r="G65" s="15"/>
      <c r="H65" s="15"/>
      <c r="I65" s="15"/>
      <c r="J65" s="15"/>
      <c r="K65" s="89"/>
      <c r="L65" s="15"/>
      <c r="M65" s="89">
        <v>0</v>
      </c>
      <c r="N65" s="89">
        <v>0</v>
      </c>
      <c r="O65" s="89">
        <v>0</v>
      </c>
      <c r="P65" s="94">
        <v>0</v>
      </c>
      <c r="Q65" s="94">
        <v>0</v>
      </c>
      <c r="R65" s="94">
        <v>0</v>
      </c>
      <c r="S65" s="94">
        <v>0</v>
      </c>
      <c r="T65" s="89">
        <v>0</v>
      </c>
      <c r="U65" s="89">
        <v>0</v>
      </c>
      <c r="V65" s="94">
        <v>0</v>
      </c>
      <c r="W65" s="94">
        <v>0</v>
      </c>
      <c r="X65" s="94">
        <v>0</v>
      </c>
      <c r="Y65" s="89">
        <v>0</v>
      </c>
      <c r="Z65" s="94">
        <f t="shared" si="5"/>
        <v>0</v>
      </c>
      <c r="AA65" s="94">
        <f t="shared" si="6"/>
        <v>0</v>
      </c>
      <c r="AB65" s="89">
        <f t="shared" si="7"/>
        <v>0</v>
      </c>
      <c r="AC65" s="89">
        <f t="shared" si="8"/>
        <v>0</v>
      </c>
      <c r="AD65" s="89">
        <v>0</v>
      </c>
      <c r="AE65" s="89">
        <v>0</v>
      </c>
      <c r="AF65" s="117"/>
      <c r="AG65" s="117"/>
      <c r="AH65" s="262"/>
      <c r="AI65" s="17"/>
      <c r="AJ65" s="17"/>
      <c r="AK65" s="17"/>
      <c r="AL65" s="17"/>
      <c r="AM65" s="17"/>
      <c r="AN65" s="17"/>
      <c r="AO65" s="17"/>
      <c r="AP65" s="15" t="str">
        <f>IFERROR(VLOOKUP(AO65,Legend!$D$2:$E$26,2,0),"")</f>
        <v/>
      </c>
      <c r="AQ65" s="15"/>
      <c r="AR65" s="17"/>
      <c r="AS65" s="17"/>
      <c r="AT65" s="15"/>
      <c r="AU65" s="17"/>
      <c r="AV65" s="17"/>
      <c r="AW65" s="17" t="s">
        <v>10</v>
      </c>
      <c r="AX65" s="15"/>
      <c r="AY65" s="15"/>
    </row>
    <row r="66" spans="1:51" x14ac:dyDescent="0.25">
      <c r="A66" s="15"/>
      <c r="B66" s="15"/>
      <c r="C66" s="15"/>
      <c r="D66" s="15"/>
      <c r="E66" s="91"/>
      <c r="F66" s="15"/>
      <c r="G66" s="15"/>
      <c r="H66" s="15"/>
      <c r="I66" s="15"/>
      <c r="J66" s="15"/>
      <c r="K66" s="89"/>
      <c r="L66" s="15"/>
      <c r="M66" s="89">
        <v>0</v>
      </c>
      <c r="N66" s="89">
        <v>0</v>
      </c>
      <c r="O66" s="89">
        <v>0</v>
      </c>
      <c r="P66" s="94">
        <v>0</v>
      </c>
      <c r="Q66" s="94">
        <v>0</v>
      </c>
      <c r="R66" s="94">
        <v>0</v>
      </c>
      <c r="S66" s="94">
        <v>0</v>
      </c>
      <c r="T66" s="89">
        <v>0</v>
      </c>
      <c r="U66" s="89">
        <v>0</v>
      </c>
      <c r="V66" s="94">
        <v>0</v>
      </c>
      <c r="W66" s="94">
        <v>0</v>
      </c>
      <c r="X66" s="94">
        <v>0</v>
      </c>
      <c r="Y66" s="89">
        <v>0</v>
      </c>
      <c r="Z66" s="94">
        <f t="shared" si="5"/>
        <v>0</v>
      </c>
      <c r="AA66" s="94">
        <f t="shared" si="6"/>
        <v>0</v>
      </c>
      <c r="AB66" s="89">
        <f t="shared" si="7"/>
        <v>0</v>
      </c>
      <c r="AC66" s="89">
        <f t="shared" si="8"/>
        <v>0</v>
      </c>
      <c r="AD66" s="89">
        <v>0</v>
      </c>
      <c r="AE66" s="89">
        <v>0</v>
      </c>
      <c r="AF66" s="117"/>
      <c r="AG66" s="117"/>
      <c r="AH66" s="262"/>
      <c r="AI66" s="17"/>
      <c r="AJ66" s="17"/>
      <c r="AK66" s="17"/>
      <c r="AL66" s="17"/>
      <c r="AM66" s="17"/>
      <c r="AN66" s="17"/>
      <c r="AO66" s="17"/>
      <c r="AP66" s="15" t="str">
        <f>IFERROR(VLOOKUP(AO66,Legend!$D$2:$E$26,2,0),"")</f>
        <v/>
      </c>
      <c r="AQ66" s="15"/>
      <c r="AR66" s="17"/>
      <c r="AS66" s="17"/>
      <c r="AT66" s="15"/>
      <c r="AU66" s="17"/>
      <c r="AV66" s="17"/>
      <c r="AW66" s="17" t="s">
        <v>10</v>
      </c>
      <c r="AX66" s="15"/>
      <c r="AY66" s="15"/>
    </row>
    <row r="67" spans="1:51" x14ac:dyDescent="0.25">
      <c r="A67" s="15"/>
      <c r="B67" s="15"/>
      <c r="C67" s="15"/>
      <c r="D67" s="15"/>
      <c r="E67" s="91"/>
      <c r="F67" s="15"/>
      <c r="G67" s="15"/>
      <c r="H67" s="15"/>
      <c r="I67" s="15"/>
      <c r="J67" s="15"/>
      <c r="K67" s="89"/>
      <c r="L67" s="15"/>
      <c r="M67" s="89">
        <v>0</v>
      </c>
      <c r="N67" s="89">
        <v>0</v>
      </c>
      <c r="O67" s="89">
        <v>0</v>
      </c>
      <c r="P67" s="94">
        <v>0</v>
      </c>
      <c r="Q67" s="94">
        <v>0</v>
      </c>
      <c r="R67" s="94">
        <v>0</v>
      </c>
      <c r="S67" s="94">
        <v>0</v>
      </c>
      <c r="T67" s="89">
        <v>0</v>
      </c>
      <c r="U67" s="89">
        <v>0</v>
      </c>
      <c r="V67" s="94">
        <v>0</v>
      </c>
      <c r="W67" s="94">
        <v>0</v>
      </c>
      <c r="X67" s="94">
        <v>0</v>
      </c>
      <c r="Y67" s="89">
        <v>0</v>
      </c>
      <c r="Z67" s="94">
        <f t="shared" si="5"/>
        <v>0</v>
      </c>
      <c r="AA67" s="94">
        <f t="shared" si="6"/>
        <v>0</v>
      </c>
      <c r="AB67" s="89">
        <f t="shared" si="7"/>
        <v>0</v>
      </c>
      <c r="AC67" s="89">
        <f t="shared" si="8"/>
        <v>0</v>
      </c>
      <c r="AD67" s="89">
        <v>0</v>
      </c>
      <c r="AE67" s="89">
        <v>0</v>
      </c>
      <c r="AF67" s="117"/>
      <c r="AG67" s="117"/>
      <c r="AH67" s="262"/>
      <c r="AI67" s="17"/>
      <c r="AJ67" s="17"/>
      <c r="AK67" s="17"/>
      <c r="AL67" s="17"/>
      <c r="AM67" s="17"/>
      <c r="AN67" s="17"/>
      <c r="AO67" s="17"/>
      <c r="AP67" s="15" t="str">
        <f>IFERROR(VLOOKUP(AO67,Legend!$D$2:$E$26,2,0),"")</f>
        <v/>
      </c>
      <c r="AQ67" s="15"/>
      <c r="AR67" s="17"/>
      <c r="AS67" s="17"/>
      <c r="AT67" s="15"/>
      <c r="AU67" s="17"/>
      <c r="AV67" s="17"/>
      <c r="AW67" s="17" t="s">
        <v>10</v>
      </c>
      <c r="AX67" s="15"/>
      <c r="AY67" s="15"/>
    </row>
    <row r="68" spans="1:51" x14ac:dyDescent="0.25">
      <c r="A68" s="15"/>
      <c r="B68" s="15"/>
      <c r="C68" s="15"/>
      <c r="D68" s="15"/>
      <c r="E68" s="91"/>
      <c r="F68" s="15"/>
      <c r="G68" s="15"/>
      <c r="H68" s="15"/>
      <c r="I68" s="15"/>
      <c r="J68" s="15"/>
      <c r="K68" s="89"/>
      <c r="L68" s="15"/>
      <c r="M68" s="89">
        <v>0</v>
      </c>
      <c r="N68" s="89">
        <v>0</v>
      </c>
      <c r="O68" s="89">
        <v>0</v>
      </c>
      <c r="P68" s="94">
        <v>0</v>
      </c>
      <c r="Q68" s="94">
        <v>0</v>
      </c>
      <c r="R68" s="94">
        <v>0</v>
      </c>
      <c r="S68" s="94">
        <v>0</v>
      </c>
      <c r="T68" s="89">
        <v>0</v>
      </c>
      <c r="U68" s="89">
        <v>0</v>
      </c>
      <c r="V68" s="94">
        <v>0</v>
      </c>
      <c r="W68" s="94">
        <v>0</v>
      </c>
      <c r="X68" s="94">
        <v>0</v>
      </c>
      <c r="Y68" s="89">
        <v>0</v>
      </c>
      <c r="Z68" s="94">
        <f t="shared" si="5"/>
        <v>0</v>
      </c>
      <c r="AA68" s="94">
        <f t="shared" si="6"/>
        <v>0</v>
      </c>
      <c r="AB68" s="89">
        <f t="shared" si="7"/>
        <v>0</v>
      </c>
      <c r="AC68" s="89">
        <f t="shared" si="8"/>
        <v>0</v>
      </c>
      <c r="AD68" s="89">
        <v>0</v>
      </c>
      <c r="AE68" s="89">
        <v>0</v>
      </c>
      <c r="AF68" s="117"/>
      <c r="AG68" s="117"/>
      <c r="AH68" s="262"/>
      <c r="AI68" s="17"/>
      <c r="AJ68" s="17"/>
      <c r="AK68" s="17"/>
      <c r="AL68" s="17"/>
      <c r="AM68" s="17"/>
      <c r="AN68" s="17"/>
      <c r="AO68" s="17"/>
      <c r="AP68" s="15" t="str">
        <f>IFERROR(VLOOKUP(AO68,Legend!$D$2:$E$26,2,0),"")</f>
        <v/>
      </c>
      <c r="AQ68" s="15"/>
      <c r="AR68" s="17"/>
      <c r="AS68" s="17"/>
      <c r="AT68" s="15"/>
      <c r="AU68" s="17"/>
      <c r="AV68" s="17"/>
      <c r="AW68" s="17" t="s">
        <v>10</v>
      </c>
      <c r="AX68" s="15"/>
      <c r="AY68" s="15"/>
    </row>
    <row r="69" spans="1:51" x14ac:dyDescent="0.25">
      <c r="A69" s="15"/>
      <c r="B69" s="15"/>
      <c r="C69" s="15"/>
      <c r="D69" s="15"/>
      <c r="E69" s="91"/>
      <c r="F69" s="15"/>
      <c r="G69" s="15"/>
      <c r="H69" s="15"/>
      <c r="I69" s="15"/>
      <c r="J69" s="15"/>
      <c r="K69" s="89"/>
      <c r="L69" s="15"/>
      <c r="M69" s="89">
        <v>0</v>
      </c>
      <c r="N69" s="89">
        <v>0</v>
      </c>
      <c r="O69" s="89">
        <v>0</v>
      </c>
      <c r="P69" s="94">
        <v>0</v>
      </c>
      <c r="Q69" s="94">
        <v>0</v>
      </c>
      <c r="R69" s="94">
        <v>0</v>
      </c>
      <c r="S69" s="94">
        <v>0</v>
      </c>
      <c r="T69" s="89">
        <v>0</v>
      </c>
      <c r="U69" s="89">
        <v>0</v>
      </c>
      <c r="V69" s="94">
        <v>0</v>
      </c>
      <c r="W69" s="94">
        <v>0</v>
      </c>
      <c r="X69" s="94">
        <v>0</v>
      </c>
      <c r="Y69" s="89">
        <v>0</v>
      </c>
      <c r="Z69" s="94">
        <f t="shared" ref="Z69:Z132" si="9">SUM(M69:Y69)</f>
        <v>0</v>
      </c>
      <c r="AA69" s="94">
        <f t="shared" si="6"/>
        <v>0</v>
      </c>
      <c r="AB69" s="89">
        <f t="shared" si="7"/>
        <v>0</v>
      </c>
      <c r="AC69" s="89">
        <f t="shared" si="8"/>
        <v>0</v>
      </c>
      <c r="AD69" s="89">
        <v>0</v>
      </c>
      <c r="AE69" s="89">
        <v>0</v>
      </c>
      <c r="AF69" s="117"/>
      <c r="AG69" s="117"/>
      <c r="AH69" s="262"/>
      <c r="AI69" s="17"/>
      <c r="AJ69" s="17"/>
      <c r="AK69" s="17"/>
      <c r="AL69" s="17"/>
      <c r="AM69" s="17"/>
      <c r="AN69" s="17"/>
      <c r="AO69" s="17"/>
      <c r="AP69" s="15" t="str">
        <f>IFERROR(VLOOKUP(AO69,Legend!$D$2:$E$26,2,0),"")</f>
        <v/>
      </c>
      <c r="AQ69" s="15"/>
      <c r="AR69" s="17"/>
      <c r="AS69" s="17"/>
      <c r="AT69" s="15"/>
      <c r="AU69" s="17"/>
      <c r="AV69" s="17"/>
      <c r="AW69" s="17" t="s">
        <v>10</v>
      </c>
      <c r="AX69" s="15"/>
      <c r="AY69" s="15"/>
    </row>
    <row r="70" spans="1:51" x14ac:dyDescent="0.25">
      <c r="A70" s="15"/>
      <c r="B70" s="15"/>
      <c r="C70" s="15"/>
      <c r="D70" s="15"/>
      <c r="E70" s="91"/>
      <c r="F70" s="15"/>
      <c r="G70" s="15"/>
      <c r="H70" s="15"/>
      <c r="I70" s="15"/>
      <c r="J70" s="15"/>
      <c r="K70" s="89"/>
      <c r="L70" s="15"/>
      <c r="M70" s="89">
        <v>0</v>
      </c>
      <c r="N70" s="89">
        <v>0</v>
      </c>
      <c r="O70" s="89">
        <v>0</v>
      </c>
      <c r="P70" s="94">
        <v>0</v>
      </c>
      <c r="Q70" s="94">
        <v>0</v>
      </c>
      <c r="R70" s="94">
        <v>0</v>
      </c>
      <c r="S70" s="94">
        <v>0</v>
      </c>
      <c r="T70" s="89">
        <v>0</v>
      </c>
      <c r="U70" s="89">
        <v>0</v>
      </c>
      <c r="V70" s="94">
        <v>0</v>
      </c>
      <c r="W70" s="94">
        <v>0</v>
      </c>
      <c r="X70" s="94">
        <v>0</v>
      </c>
      <c r="Y70" s="89">
        <v>0</v>
      </c>
      <c r="Z70" s="94">
        <f t="shared" si="9"/>
        <v>0</v>
      </c>
      <c r="AA70" s="94">
        <f t="shared" ref="AA70:AA133" si="10">Y70+M70</f>
        <v>0</v>
      </c>
      <c r="AB70" s="89">
        <f t="shared" ref="AB70:AB133" si="11">Z70-AA70</f>
        <v>0</v>
      </c>
      <c r="AC70" s="89">
        <f t="shared" ref="AC70:AC133" si="12">AB70</f>
        <v>0</v>
      </c>
      <c r="AD70" s="89">
        <v>0</v>
      </c>
      <c r="AE70" s="89">
        <v>0</v>
      </c>
      <c r="AF70" s="117"/>
      <c r="AG70" s="117"/>
      <c r="AH70" s="262"/>
      <c r="AI70" s="17"/>
      <c r="AJ70" s="17"/>
      <c r="AK70" s="17"/>
      <c r="AL70" s="17"/>
      <c r="AM70" s="17"/>
      <c r="AN70" s="17"/>
      <c r="AO70" s="17"/>
      <c r="AP70" s="15" t="str">
        <f>IFERROR(VLOOKUP(AO70,Legend!$D$2:$E$26,2,0),"")</f>
        <v/>
      </c>
      <c r="AQ70" s="15"/>
      <c r="AR70" s="17"/>
      <c r="AS70" s="17"/>
      <c r="AT70" s="15"/>
      <c r="AU70" s="17"/>
      <c r="AV70" s="17"/>
      <c r="AW70" s="17" t="s">
        <v>10</v>
      </c>
      <c r="AX70" s="15"/>
      <c r="AY70" s="15"/>
    </row>
    <row r="71" spans="1:51" x14ac:dyDescent="0.25">
      <c r="A71" s="15"/>
      <c r="B71" s="15"/>
      <c r="C71" s="15"/>
      <c r="D71" s="15"/>
      <c r="E71" s="91"/>
      <c r="F71" s="15"/>
      <c r="G71" s="15"/>
      <c r="H71" s="15"/>
      <c r="I71" s="15"/>
      <c r="J71" s="15"/>
      <c r="K71" s="89"/>
      <c r="L71" s="15"/>
      <c r="M71" s="89">
        <v>0</v>
      </c>
      <c r="N71" s="89">
        <v>0</v>
      </c>
      <c r="O71" s="89">
        <v>0</v>
      </c>
      <c r="P71" s="94">
        <v>0</v>
      </c>
      <c r="Q71" s="94">
        <v>0</v>
      </c>
      <c r="R71" s="94">
        <v>0</v>
      </c>
      <c r="S71" s="94">
        <v>0</v>
      </c>
      <c r="T71" s="89">
        <v>0</v>
      </c>
      <c r="U71" s="89">
        <v>0</v>
      </c>
      <c r="V71" s="94">
        <v>0</v>
      </c>
      <c r="W71" s="94">
        <v>0</v>
      </c>
      <c r="X71" s="94">
        <v>0</v>
      </c>
      <c r="Y71" s="89">
        <v>0</v>
      </c>
      <c r="Z71" s="94">
        <f t="shared" si="9"/>
        <v>0</v>
      </c>
      <c r="AA71" s="94">
        <f t="shared" si="10"/>
        <v>0</v>
      </c>
      <c r="AB71" s="89">
        <f t="shared" si="11"/>
        <v>0</v>
      </c>
      <c r="AC71" s="89">
        <f t="shared" si="12"/>
        <v>0</v>
      </c>
      <c r="AD71" s="89">
        <v>0</v>
      </c>
      <c r="AE71" s="89">
        <v>0</v>
      </c>
      <c r="AF71" s="117"/>
      <c r="AG71" s="117"/>
      <c r="AH71" s="262"/>
      <c r="AI71" s="17"/>
      <c r="AJ71" s="17"/>
      <c r="AK71" s="17"/>
      <c r="AL71" s="17"/>
      <c r="AM71" s="17"/>
      <c r="AN71" s="17"/>
      <c r="AO71" s="17"/>
      <c r="AP71" s="15" t="str">
        <f>IFERROR(VLOOKUP(AO71,Legend!$D$2:$E$26,2,0),"")</f>
        <v/>
      </c>
      <c r="AQ71" s="15"/>
      <c r="AR71" s="17"/>
      <c r="AS71" s="17"/>
      <c r="AT71" s="15"/>
      <c r="AU71" s="17"/>
      <c r="AV71" s="17"/>
      <c r="AW71" s="17" t="s">
        <v>10</v>
      </c>
      <c r="AX71" s="15"/>
      <c r="AY71" s="15"/>
    </row>
    <row r="72" spans="1:51" x14ac:dyDescent="0.25">
      <c r="A72" s="15"/>
      <c r="B72" s="15"/>
      <c r="C72" s="15"/>
      <c r="D72" s="15"/>
      <c r="E72" s="91"/>
      <c r="F72" s="15"/>
      <c r="G72" s="15"/>
      <c r="H72" s="15"/>
      <c r="I72" s="15"/>
      <c r="J72" s="15"/>
      <c r="K72" s="89"/>
      <c r="L72" s="15"/>
      <c r="M72" s="89">
        <v>0</v>
      </c>
      <c r="N72" s="89">
        <v>0</v>
      </c>
      <c r="O72" s="89">
        <v>0</v>
      </c>
      <c r="P72" s="94">
        <v>0</v>
      </c>
      <c r="Q72" s="94">
        <v>0</v>
      </c>
      <c r="R72" s="94">
        <v>0</v>
      </c>
      <c r="S72" s="94">
        <v>0</v>
      </c>
      <c r="T72" s="89">
        <v>0</v>
      </c>
      <c r="U72" s="89">
        <v>0</v>
      </c>
      <c r="V72" s="94">
        <v>0</v>
      </c>
      <c r="W72" s="94">
        <v>0</v>
      </c>
      <c r="X72" s="94">
        <v>0</v>
      </c>
      <c r="Y72" s="89">
        <v>0</v>
      </c>
      <c r="Z72" s="94">
        <f t="shared" si="9"/>
        <v>0</v>
      </c>
      <c r="AA72" s="94">
        <f t="shared" si="10"/>
        <v>0</v>
      </c>
      <c r="AB72" s="89">
        <f t="shared" si="11"/>
        <v>0</v>
      </c>
      <c r="AC72" s="89">
        <f t="shared" si="12"/>
        <v>0</v>
      </c>
      <c r="AD72" s="89">
        <v>0</v>
      </c>
      <c r="AE72" s="89">
        <v>0</v>
      </c>
      <c r="AF72" s="117"/>
      <c r="AG72" s="117"/>
      <c r="AH72" s="262"/>
      <c r="AI72" s="17"/>
      <c r="AJ72" s="17"/>
      <c r="AK72" s="17"/>
      <c r="AL72" s="17"/>
      <c r="AM72" s="17"/>
      <c r="AN72" s="17"/>
      <c r="AO72" s="17"/>
      <c r="AP72" s="15" t="str">
        <f>IFERROR(VLOOKUP(AO72,Legend!$D$2:$E$26,2,0),"")</f>
        <v/>
      </c>
      <c r="AQ72" s="15"/>
      <c r="AR72" s="17"/>
      <c r="AS72" s="17"/>
      <c r="AT72" s="15"/>
      <c r="AU72" s="17"/>
      <c r="AV72" s="17"/>
      <c r="AW72" s="17" t="s">
        <v>10</v>
      </c>
      <c r="AX72" s="15"/>
      <c r="AY72" s="15"/>
    </row>
    <row r="73" spans="1:51" x14ac:dyDescent="0.25">
      <c r="A73" s="15"/>
      <c r="B73" s="15"/>
      <c r="C73" s="15"/>
      <c r="D73" s="15"/>
      <c r="E73" s="91"/>
      <c r="F73" s="15"/>
      <c r="G73" s="15"/>
      <c r="H73" s="15"/>
      <c r="I73" s="15"/>
      <c r="J73" s="15"/>
      <c r="K73" s="89"/>
      <c r="L73" s="15"/>
      <c r="M73" s="89">
        <v>0</v>
      </c>
      <c r="N73" s="89">
        <v>0</v>
      </c>
      <c r="O73" s="89">
        <v>0</v>
      </c>
      <c r="P73" s="94">
        <v>0</v>
      </c>
      <c r="Q73" s="94">
        <v>0</v>
      </c>
      <c r="R73" s="94">
        <v>0</v>
      </c>
      <c r="S73" s="94">
        <v>0</v>
      </c>
      <c r="T73" s="89">
        <v>0</v>
      </c>
      <c r="U73" s="89">
        <v>0</v>
      </c>
      <c r="V73" s="94">
        <v>0</v>
      </c>
      <c r="W73" s="94">
        <v>0</v>
      </c>
      <c r="X73" s="94">
        <v>0</v>
      </c>
      <c r="Y73" s="89">
        <v>0</v>
      </c>
      <c r="Z73" s="94">
        <f t="shared" si="9"/>
        <v>0</v>
      </c>
      <c r="AA73" s="94">
        <f t="shared" si="10"/>
        <v>0</v>
      </c>
      <c r="AB73" s="89">
        <f t="shared" si="11"/>
        <v>0</v>
      </c>
      <c r="AC73" s="89">
        <f t="shared" si="12"/>
        <v>0</v>
      </c>
      <c r="AD73" s="89">
        <v>0</v>
      </c>
      <c r="AE73" s="89">
        <v>0</v>
      </c>
      <c r="AF73" s="117"/>
      <c r="AG73" s="117"/>
      <c r="AH73" s="262"/>
      <c r="AI73" s="17"/>
      <c r="AJ73" s="17"/>
      <c r="AK73" s="17"/>
      <c r="AL73" s="17"/>
      <c r="AM73" s="17"/>
      <c r="AN73" s="17"/>
      <c r="AO73" s="17"/>
      <c r="AP73" s="15" t="str">
        <f>IFERROR(VLOOKUP(AO73,Legend!$D$2:$E$26,2,0),"")</f>
        <v/>
      </c>
      <c r="AQ73" s="15"/>
      <c r="AR73" s="17"/>
      <c r="AS73" s="17"/>
      <c r="AT73" s="15"/>
      <c r="AU73" s="17"/>
      <c r="AV73" s="17"/>
      <c r="AW73" s="17" t="s">
        <v>10</v>
      </c>
      <c r="AX73" s="15"/>
      <c r="AY73" s="15"/>
    </row>
    <row r="74" spans="1:51" x14ac:dyDescent="0.25">
      <c r="A74" s="15"/>
      <c r="B74" s="15"/>
      <c r="C74" s="15"/>
      <c r="D74" s="15"/>
      <c r="E74" s="91"/>
      <c r="F74" s="15"/>
      <c r="G74" s="15"/>
      <c r="H74" s="15"/>
      <c r="I74" s="15"/>
      <c r="J74" s="15"/>
      <c r="K74" s="89"/>
      <c r="L74" s="15"/>
      <c r="M74" s="89">
        <v>0</v>
      </c>
      <c r="N74" s="89">
        <v>0</v>
      </c>
      <c r="O74" s="89">
        <v>0</v>
      </c>
      <c r="P74" s="94">
        <v>0</v>
      </c>
      <c r="Q74" s="94">
        <v>0</v>
      </c>
      <c r="R74" s="94">
        <v>0</v>
      </c>
      <c r="S74" s="94">
        <v>0</v>
      </c>
      <c r="T74" s="89">
        <v>0</v>
      </c>
      <c r="U74" s="89">
        <v>0</v>
      </c>
      <c r="V74" s="94">
        <v>0</v>
      </c>
      <c r="W74" s="94">
        <v>0</v>
      </c>
      <c r="X74" s="94">
        <v>0</v>
      </c>
      <c r="Y74" s="89">
        <v>0</v>
      </c>
      <c r="Z74" s="94">
        <f t="shared" si="9"/>
        <v>0</v>
      </c>
      <c r="AA74" s="94">
        <f t="shared" si="10"/>
        <v>0</v>
      </c>
      <c r="AB74" s="89">
        <f t="shared" si="11"/>
        <v>0</v>
      </c>
      <c r="AC74" s="89">
        <f t="shared" si="12"/>
        <v>0</v>
      </c>
      <c r="AD74" s="89">
        <v>0</v>
      </c>
      <c r="AE74" s="89">
        <v>0</v>
      </c>
      <c r="AF74" s="117"/>
      <c r="AG74" s="117"/>
      <c r="AH74" s="262"/>
      <c r="AI74" s="17"/>
      <c r="AJ74" s="17"/>
      <c r="AK74" s="17"/>
      <c r="AL74" s="17"/>
      <c r="AM74" s="17"/>
      <c r="AN74" s="17"/>
      <c r="AO74" s="17"/>
      <c r="AP74" s="15" t="str">
        <f>IFERROR(VLOOKUP(AO74,Legend!$D$2:$E$26,2,0),"")</f>
        <v/>
      </c>
      <c r="AQ74" s="15"/>
      <c r="AR74" s="17"/>
      <c r="AS74" s="17"/>
      <c r="AT74" s="15"/>
      <c r="AU74" s="17"/>
      <c r="AV74" s="17"/>
      <c r="AW74" s="17" t="s">
        <v>10</v>
      </c>
      <c r="AX74" s="15"/>
      <c r="AY74" s="15"/>
    </row>
    <row r="75" spans="1:51" x14ac:dyDescent="0.25">
      <c r="A75" s="15"/>
      <c r="B75" s="15"/>
      <c r="C75" s="15"/>
      <c r="D75" s="15"/>
      <c r="E75" s="91"/>
      <c r="F75" s="15"/>
      <c r="G75" s="15"/>
      <c r="H75" s="15"/>
      <c r="I75" s="15"/>
      <c r="J75" s="15"/>
      <c r="K75" s="89"/>
      <c r="L75" s="15"/>
      <c r="M75" s="89">
        <v>0</v>
      </c>
      <c r="N75" s="89">
        <v>0</v>
      </c>
      <c r="O75" s="89">
        <v>0</v>
      </c>
      <c r="P75" s="94">
        <v>0</v>
      </c>
      <c r="Q75" s="94">
        <v>0</v>
      </c>
      <c r="R75" s="94">
        <v>0</v>
      </c>
      <c r="S75" s="94">
        <v>0</v>
      </c>
      <c r="T75" s="89">
        <v>0</v>
      </c>
      <c r="U75" s="89">
        <v>0</v>
      </c>
      <c r="V75" s="94">
        <v>0</v>
      </c>
      <c r="W75" s="94">
        <v>0</v>
      </c>
      <c r="X75" s="94">
        <v>0</v>
      </c>
      <c r="Y75" s="89">
        <v>0</v>
      </c>
      <c r="Z75" s="94">
        <f t="shared" si="9"/>
        <v>0</v>
      </c>
      <c r="AA75" s="94">
        <f t="shared" si="10"/>
        <v>0</v>
      </c>
      <c r="AB75" s="89">
        <f t="shared" si="11"/>
        <v>0</v>
      </c>
      <c r="AC75" s="89">
        <f t="shared" si="12"/>
        <v>0</v>
      </c>
      <c r="AD75" s="89">
        <v>0</v>
      </c>
      <c r="AE75" s="89">
        <v>0</v>
      </c>
      <c r="AF75" s="117"/>
      <c r="AG75" s="117"/>
      <c r="AH75" s="262"/>
      <c r="AI75" s="17"/>
      <c r="AJ75" s="17"/>
      <c r="AK75" s="17"/>
      <c r="AL75" s="17"/>
      <c r="AM75" s="17"/>
      <c r="AN75" s="17"/>
      <c r="AO75" s="17"/>
      <c r="AP75" s="15" t="str">
        <f>IFERROR(VLOOKUP(AO75,Legend!$D$2:$E$26,2,0),"")</f>
        <v/>
      </c>
      <c r="AQ75" s="15"/>
      <c r="AR75" s="17"/>
      <c r="AS75" s="17"/>
      <c r="AT75" s="15"/>
      <c r="AU75" s="17"/>
      <c r="AV75" s="17"/>
      <c r="AW75" s="17" t="s">
        <v>10</v>
      </c>
      <c r="AX75" s="15"/>
      <c r="AY75" s="15"/>
    </row>
    <row r="76" spans="1:51" x14ac:dyDescent="0.25">
      <c r="A76" s="15"/>
      <c r="B76" s="15"/>
      <c r="C76" s="15"/>
      <c r="D76" s="15"/>
      <c r="E76" s="91"/>
      <c r="F76" s="15"/>
      <c r="G76" s="15"/>
      <c r="H76" s="15"/>
      <c r="I76" s="15"/>
      <c r="J76" s="15"/>
      <c r="K76" s="89"/>
      <c r="L76" s="15"/>
      <c r="M76" s="89">
        <v>0</v>
      </c>
      <c r="N76" s="89">
        <v>0</v>
      </c>
      <c r="O76" s="89">
        <v>0</v>
      </c>
      <c r="P76" s="94">
        <v>0</v>
      </c>
      <c r="Q76" s="94">
        <v>0</v>
      </c>
      <c r="R76" s="94">
        <v>0</v>
      </c>
      <c r="S76" s="94">
        <v>0</v>
      </c>
      <c r="T76" s="89">
        <v>0</v>
      </c>
      <c r="U76" s="89">
        <v>0</v>
      </c>
      <c r="V76" s="94">
        <v>0</v>
      </c>
      <c r="W76" s="94">
        <v>0</v>
      </c>
      <c r="X76" s="94">
        <v>0</v>
      </c>
      <c r="Y76" s="89">
        <v>0</v>
      </c>
      <c r="Z76" s="94">
        <f t="shared" si="9"/>
        <v>0</v>
      </c>
      <c r="AA76" s="94">
        <f t="shared" si="10"/>
        <v>0</v>
      </c>
      <c r="AB76" s="89">
        <f t="shared" si="11"/>
        <v>0</v>
      </c>
      <c r="AC76" s="89">
        <f t="shared" si="12"/>
        <v>0</v>
      </c>
      <c r="AD76" s="89">
        <v>0</v>
      </c>
      <c r="AE76" s="89">
        <v>0</v>
      </c>
      <c r="AF76" s="117"/>
      <c r="AG76" s="117"/>
      <c r="AH76" s="262"/>
      <c r="AI76" s="17"/>
      <c r="AJ76" s="17"/>
      <c r="AK76" s="17"/>
      <c r="AL76" s="17"/>
      <c r="AM76" s="17"/>
      <c r="AN76" s="17"/>
      <c r="AO76" s="17"/>
      <c r="AP76" s="15" t="str">
        <f>IFERROR(VLOOKUP(AO76,Legend!$D$2:$E$26,2,0),"")</f>
        <v/>
      </c>
      <c r="AQ76" s="15"/>
      <c r="AR76" s="17"/>
      <c r="AS76" s="17"/>
      <c r="AT76" s="15"/>
      <c r="AU76" s="17"/>
      <c r="AV76" s="17"/>
      <c r="AW76" s="17" t="s">
        <v>10</v>
      </c>
      <c r="AX76" s="15"/>
      <c r="AY76" s="15"/>
    </row>
    <row r="77" spans="1:51" x14ac:dyDescent="0.25">
      <c r="A77" s="15"/>
      <c r="B77" s="15"/>
      <c r="C77" s="15"/>
      <c r="D77" s="15"/>
      <c r="E77" s="91"/>
      <c r="F77" s="15"/>
      <c r="G77" s="15"/>
      <c r="H77" s="15"/>
      <c r="I77" s="15"/>
      <c r="J77" s="15"/>
      <c r="K77" s="89"/>
      <c r="L77" s="15"/>
      <c r="M77" s="89">
        <v>0</v>
      </c>
      <c r="N77" s="89">
        <v>0</v>
      </c>
      <c r="O77" s="89">
        <v>0</v>
      </c>
      <c r="P77" s="94">
        <v>0</v>
      </c>
      <c r="Q77" s="94">
        <v>0</v>
      </c>
      <c r="R77" s="94">
        <v>0</v>
      </c>
      <c r="S77" s="94">
        <v>0</v>
      </c>
      <c r="T77" s="89">
        <v>0</v>
      </c>
      <c r="U77" s="89">
        <v>0</v>
      </c>
      <c r="V77" s="94">
        <v>0</v>
      </c>
      <c r="W77" s="94">
        <v>0</v>
      </c>
      <c r="X77" s="94">
        <v>0</v>
      </c>
      <c r="Y77" s="89">
        <v>0</v>
      </c>
      <c r="Z77" s="94">
        <f t="shared" si="9"/>
        <v>0</v>
      </c>
      <c r="AA77" s="94">
        <f t="shared" si="10"/>
        <v>0</v>
      </c>
      <c r="AB77" s="89">
        <f t="shared" si="11"/>
        <v>0</v>
      </c>
      <c r="AC77" s="89">
        <f t="shared" si="12"/>
        <v>0</v>
      </c>
      <c r="AD77" s="89">
        <v>0</v>
      </c>
      <c r="AE77" s="89">
        <v>0</v>
      </c>
      <c r="AF77" s="117"/>
      <c r="AG77" s="117"/>
      <c r="AH77" s="262"/>
      <c r="AI77" s="17"/>
      <c r="AJ77" s="17"/>
      <c r="AK77" s="17"/>
      <c r="AL77" s="17"/>
      <c r="AM77" s="17"/>
      <c r="AN77" s="17"/>
      <c r="AO77" s="17"/>
      <c r="AP77" s="15" t="str">
        <f>IFERROR(VLOOKUP(AO77,Legend!$D$2:$E$26,2,0),"")</f>
        <v/>
      </c>
      <c r="AQ77" s="15"/>
      <c r="AR77" s="17"/>
      <c r="AS77" s="17"/>
      <c r="AT77" s="15"/>
      <c r="AU77" s="17"/>
      <c r="AV77" s="17"/>
      <c r="AW77" s="17" t="s">
        <v>10</v>
      </c>
      <c r="AX77" s="15"/>
      <c r="AY77" s="15"/>
    </row>
    <row r="78" spans="1:51" x14ac:dyDescent="0.25">
      <c r="A78" s="15"/>
      <c r="B78" s="15"/>
      <c r="C78" s="15"/>
      <c r="D78" s="15"/>
      <c r="E78" s="91"/>
      <c r="F78" s="15"/>
      <c r="G78" s="15"/>
      <c r="H78" s="15"/>
      <c r="I78" s="15"/>
      <c r="J78" s="15"/>
      <c r="K78" s="89"/>
      <c r="L78" s="15"/>
      <c r="M78" s="89">
        <v>0</v>
      </c>
      <c r="N78" s="89">
        <v>0</v>
      </c>
      <c r="O78" s="89">
        <v>0</v>
      </c>
      <c r="P78" s="94">
        <v>0</v>
      </c>
      <c r="Q78" s="94">
        <v>0</v>
      </c>
      <c r="R78" s="94">
        <v>0</v>
      </c>
      <c r="S78" s="94">
        <v>0</v>
      </c>
      <c r="T78" s="89">
        <v>0</v>
      </c>
      <c r="U78" s="89">
        <v>0</v>
      </c>
      <c r="V78" s="94">
        <v>0</v>
      </c>
      <c r="W78" s="94">
        <v>0</v>
      </c>
      <c r="X78" s="94">
        <v>0</v>
      </c>
      <c r="Y78" s="89">
        <v>0</v>
      </c>
      <c r="Z78" s="94">
        <f t="shared" si="9"/>
        <v>0</v>
      </c>
      <c r="AA78" s="94">
        <f t="shared" si="10"/>
        <v>0</v>
      </c>
      <c r="AB78" s="89">
        <f t="shared" si="11"/>
        <v>0</v>
      </c>
      <c r="AC78" s="89">
        <f t="shared" si="12"/>
        <v>0</v>
      </c>
      <c r="AD78" s="89">
        <v>0</v>
      </c>
      <c r="AE78" s="89">
        <v>0</v>
      </c>
      <c r="AF78" s="117"/>
      <c r="AG78" s="117"/>
      <c r="AH78" s="262"/>
      <c r="AI78" s="17"/>
      <c r="AJ78" s="17"/>
      <c r="AK78" s="17"/>
      <c r="AL78" s="17"/>
      <c r="AM78" s="17"/>
      <c r="AN78" s="17"/>
      <c r="AO78" s="17"/>
      <c r="AP78" s="15" t="str">
        <f>IFERROR(VLOOKUP(AO78,Legend!$D$2:$E$26,2,0),"")</f>
        <v/>
      </c>
      <c r="AQ78" s="15"/>
      <c r="AR78" s="17"/>
      <c r="AS78" s="17"/>
      <c r="AT78" s="15"/>
      <c r="AU78" s="17"/>
      <c r="AV78" s="17"/>
      <c r="AW78" s="17" t="s">
        <v>10</v>
      </c>
      <c r="AX78" s="15"/>
      <c r="AY78" s="15"/>
    </row>
    <row r="79" spans="1:51" x14ac:dyDescent="0.25">
      <c r="A79" s="15"/>
      <c r="B79" s="15"/>
      <c r="C79" s="15"/>
      <c r="D79" s="15"/>
      <c r="E79" s="91"/>
      <c r="F79" s="15"/>
      <c r="G79" s="15"/>
      <c r="H79" s="15"/>
      <c r="I79" s="15"/>
      <c r="J79" s="15"/>
      <c r="K79" s="89"/>
      <c r="L79" s="15"/>
      <c r="M79" s="89">
        <v>0</v>
      </c>
      <c r="N79" s="89">
        <v>0</v>
      </c>
      <c r="O79" s="89">
        <v>0</v>
      </c>
      <c r="P79" s="94">
        <v>0</v>
      </c>
      <c r="Q79" s="94">
        <v>0</v>
      </c>
      <c r="R79" s="94">
        <v>0</v>
      </c>
      <c r="S79" s="94">
        <v>0</v>
      </c>
      <c r="T79" s="89">
        <v>0</v>
      </c>
      <c r="U79" s="89">
        <v>0</v>
      </c>
      <c r="V79" s="94">
        <v>0</v>
      </c>
      <c r="W79" s="94">
        <v>0</v>
      </c>
      <c r="X79" s="94">
        <v>0</v>
      </c>
      <c r="Y79" s="89">
        <v>0</v>
      </c>
      <c r="Z79" s="94">
        <f t="shared" si="9"/>
        <v>0</v>
      </c>
      <c r="AA79" s="94">
        <f t="shared" si="10"/>
        <v>0</v>
      </c>
      <c r="AB79" s="89">
        <f t="shared" si="11"/>
        <v>0</v>
      </c>
      <c r="AC79" s="89">
        <f t="shared" si="12"/>
        <v>0</v>
      </c>
      <c r="AD79" s="89">
        <v>0</v>
      </c>
      <c r="AE79" s="89">
        <v>0</v>
      </c>
      <c r="AF79" s="117"/>
      <c r="AG79" s="117"/>
      <c r="AH79" s="262"/>
      <c r="AI79" s="17"/>
      <c r="AJ79" s="17"/>
      <c r="AK79" s="17"/>
      <c r="AL79" s="17"/>
      <c r="AM79" s="17"/>
      <c r="AN79" s="17"/>
      <c r="AO79" s="17"/>
      <c r="AP79" s="15" t="str">
        <f>IFERROR(VLOOKUP(AO79,Legend!$D$2:$E$26,2,0),"")</f>
        <v/>
      </c>
      <c r="AQ79" s="15"/>
      <c r="AR79" s="17"/>
      <c r="AS79" s="17"/>
      <c r="AT79" s="15"/>
      <c r="AU79" s="17"/>
      <c r="AV79" s="17"/>
      <c r="AW79" s="17" t="s">
        <v>10</v>
      </c>
      <c r="AX79" s="15"/>
      <c r="AY79" s="15"/>
    </row>
    <row r="80" spans="1:51" x14ac:dyDescent="0.25">
      <c r="A80" s="15"/>
      <c r="B80" s="15"/>
      <c r="C80" s="15"/>
      <c r="D80" s="15"/>
      <c r="E80" s="91"/>
      <c r="F80" s="15"/>
      <c r="G80" s="15"/>
      <c r="H80" s="15"/>
      <c r="I80" s="15"/>
      <c r="J80" s="15"/>
      <c r="K80" s="89"/>
      <c r="L80" s="15"/>
      <c r="M80" s="89">
        <v>0</v>
      </c>
      <c r="N80" s="89">
        <v>0</v>
      </c>
      <c r="O80" s="89">
        <v>0</v>
      </c>
      <c r="P80" s="94">
        <v>0</v>
      </c>
      <c r="Q80" s="94">
        <v>0</v>
      </c>
      <c r="R80" s="94">
        <v>0</v>
      </c>
      <c r="S80" s="94">
        <v>0</v>
      </c>
      <c r="T80" s="89">
        <v>0</v>
      </c>
      <c r="U80" s="89">
        <v>0</v>
      </c>
      <c r="V80" s="94">
        <v>0</v>
      </c>
      <c r="W80" s="94">
        <v>0</v>
      </c>
      <c r="X80" s="94">
        <v>0</v>
      </c>
      <c r="Y80" s="89">
        <v>0</v>
      </c>
      <c r="Z80" s="94">
        <f t="shared" si="9"/>
        <v>0</v>
      </c>
      <c r="AA80" s="94">
        <f t="shared" si="10"/>
        <v>0</v>
      </c>
      <c r="AB80" s="89">
        <f t="shared" si="11"/>
        <v>0</v>
      </c>
      <c r="AC80" s="89">
        <f t="shared" si="12"/>
        <v>0</v>
      </c>
      <c r="AD80" s="89">
        <v>0</v>
      </c>
      <c r="AE80" s="89">
        <v>0</v>
      </c>
      <c r="AF80" s="117"/>
      <c r="AG80" s="117"/>
      <c r="AH80" s="262"/>
      <c r="AI80" s="17"/>
      <c r="AJ80" s="17"/>
      <c r="AK80" s="17"/>
      <c r="AL80" s="17"/>
      <c r="AM80" s="17"/>
      <c r="AN80" s="17"/>
      <c r="AO80" s="17"/>
      <c r="AP80" s="15" t="str">
        <f>IFERROR(VLOOKUP(AO80,Legend!$D$2:$E$26,2,0),"")</f>
        <v/>
      </c>
      <c r="AQ80" s="15"/>
      <c r="AR80" s="17"/>
      <c r="AS80" s="17"/>
      <c r="AT80" s="15"/>
      <c r="AU80" s="17"/>
      <c r="AV80" s="17"/>
      <c r="AW80" s="17" t="s">
        <v>10</v>
      </c>
      <c r="AX80" s="15"/>
      <c r="AY80" s="15"/>
    </row>
    <row r="81" spans="1:51" x14ac:dyDescent="0.25">
      <c r="A81" s="15"/>
      <c r="B81" s="15"/>
      <c r="C81" s="15"/>
      <c r="D81" s="15"/>
      <c r="E81" s="91"/>
      <c r="F81" s="15"/>
      <c r="G81" s="15"/>
      <c r="H81" s="15"/>
      <c r="I81" s="15"/>
      <c r="J81" s="15"/>
      <c r="K81" s="94"/>
      <c r="L81" s="15"/>
      <c r="M81" s="89">
        <v>0</v>
      </c>
      <c r="N81" s="89">
        <v>0</v>
      </c>
      <c r="O81" s="89">
        <v>0</v>
      </c>
      <c r="P81" s="94">
        <v>0</v>
      </c>
      <c r="Q81" s="94">
        <v>0</v>
      </c>
      <c r="R81" s="94">
        <v>0</v>
      </c>
      <c r="S81" s="94">
        <v>0</v>
      </c>
      <c r="T81" s="89">
        <v>0</v>
      </c>
      <c r="U81" s="89">
        <v>0</v>
      </c>
      <c r="V81" s="94">
        <v>0</v>
      </c>
      <c r="W81" s="94">
        <v>0</v>
      </c>
      <c r="X81" s="94">
        <v>0</v>
      </c>
      <c r="Y81" s="89">
        <v>0</v>
      </c>
      <c r="Z81" s="94">
        <f t="shared" si="9"/>
        <v>0</v>
      </c>
      <c r="AA81" s="94">
        <f t="shared" si="10"/>
        <v>0</v>
      </c>
      <c r="AB81" s="89">
        <f t="shared" si="11"/>
        <v>0</v>
      </c>
      <c r="AC81" s="89">
        <f t="shared" si="12"/>
        <v>0</v>
      </c>
      <c r="AD81" s="89">
        <v>0</v>
      </c>
      <c r="AE81" s="89">
        <v>0</v>
      </c>
      <c r="AF81" s="117"/>
      <c r="AG81" s="117"/>
      <c r="AH81" s="262"/>
      <c r="AI81" s="17"/>
      <c r="AJ81" s="17"/>
      <c r="AK81" s="17"/>
      <c r="AL81" s="17"/>
      <c r="AM81" s="17"/>
      <c r="AN81" s="17"/>
      <c r="AO81" s="17"/>
      <c r="AP81" s="15" t="str">
        <f>IFERROR(VLOOKUP(AO81,Legend!$D$2:$E$26,2,0),"")</f>
        <v/>
      </c>
      <c r="AQ81" s="15"/>
      <c r="AR81" s="17"/>
      <c r="AS81" s="17"/>
      <c r="AT81" s="15"/>
      <c r="AU81" s="17"/>
      <c r="AV81" s="17"/>
      <c r="AW81" s="17" t="s">
        <v>10</v>
      </c>
      <c r="AX81" s="15"/>
      <c r="AY81" s="15"/>
    </row>
    <row r="82" spans="1:51" x14ac:dyDescent="0.25">
      <c r="A82" s="15"/>
      <c r="B82" s="15"/>
      <c r="C82" s="15"/>
      <c r="D82" s="15"/>
      <c r="E82" s="91"/>
      <c r="F82" s="15"/>
      <c r="G82" s="15"/>
      <c r="H82" s="15"/>
      <c r="I82" s="15"/>
      <c r="J82" s="15"/>
      <c r="K82" s="89"/>
      <c r="L82" s="15"/>
      <c r="M82" s="89">
        <v>0</v>
      </c>
      <c r="N82" s="89">
        <v>0</v>
      </c>
      <c r="O82" s="89">
        <v>0</v>
      </c>
      <c r="P82" s="94">
        <v>0</v>
      </c>
      <c r="Q82" s="94">
        <v>0</v>
      </c>
      <c r="R82" s="94">
        <v>0</v>
      </c>
      <c r="S82" s="94">
        <v>0</v>
      </c>
      <c r="T82" s="89">
        <v>0</v>
      </c>
      <c r="U82" s="89">
        <v>0</v>
      </c>
      <c r="V82" s="94">
        <v>0</v>
      </c>
      <c r="W82" s="94">
        <v>0</v>
      </c>
      <c r="X82" s="94">
        <v>0</v>
      </c>
      <c r="Y82" s="89">
        <v>0</v>
      </c>
      <c r="Z82" s="94">
        <f t="shared" si="9"/>
        <v>0</v>
      </c>
      <c r="AA82" s="94">
        <f t="shared" si="10"/>
        <v>0</v>
      </c>
      <c r="AB82" s="89">
        <f t="shared" si="11"/>
        <v>0</v>
      </c>
      <c r="AC82" s="89">
        <f t="shared" si="12"/>
        <v>0</v>
      </c>
      <c r="AD82" s="89">
        <v>0</v>
      </c>
      <c r="AE82" s="89">
        <v>0</v>
      </c>
      <c r="AF82" s="117"/>
      <c r="AG82" s="117"/>
      <c r="AH82" s="262"/>
      <c r="AI82" s="17"/>
      <c r="AJ82" s="17"/>
      <c r="AK82" s="17"/>
      <c r="AL82" s="17"/>
      <c r="AM82" s="17"/>
      <c r="AN82" s="17"/>
      <c r="AO82" s="17"/>
      <c r="AP82" s="15" t="str">
        <f>IFERROR(VLOOKUP(AO82,Legend!$D$2:$E$26,2,0),"")</f>
        <v/>
      </c>
      <c r="AQ82" s="15"/>
      <c r="AR82" s="17"/>
      <c r="AS82" s="17"/>
      <c r="AT82" s="15"/>
      <c r="AU82" s="17"/>
      <c r="AV82" s="17"/>
      <c r="AW82" s="17" t="s">
        <v>10</v>
      </c>
      <c r="AX82" s="15"/>
      <c r="AY82" s="15"/>
    </row>
    <row r="83" spans="1:51" x14ac:dyDescent="0.25">
      <c r="A83" s="15"/>
      <c r="B83" s="15"/>
      <c r="C83" s="15"/>
      <c r="D83" s="15"/>
      <c r="E83" s="91"/>
      <c r="F83" s="15"/>
      <c r="G83" s="15"/>
      <c r="H83" s="15"/>
      <c r="I83" s="15"/>
      <c r="J83" s="15"/>
      <c r="K83" s="89"/>
      <c r="L83" s="15"/>
      <c r="M83" s="89">
        <v>0</v>
      </c>
      <c r="N83" s="89">
        <v>0</v>
      </c>
      <c r="O83" s="89">
        <v>0</v>
      </c>
      <c r="P83" s="94">
        <v>0</v>
      </c>
      <c r="Q83" s="94">
        <v>0</v>
      </c>
      <c r="R83" s="94">
        <v>0</v>
      </c>
      <c r="S83" s="94">
        <v>0</v>
      </c>
      <c r="T83" s="89">
        <v>0</v>
      </c>
      <c r="U83" s="89">
        <v>0</v>
      </c>
      <c r="V83" s="94">
        <v>0</v>
      </c>
      <c r="W83" s="94">
        <v>0</v>
      </c>
      <c r="X83" s="94">
        <v>0</v>
      </c>
      <c r="Y83" s="89">
        <v>0</v>
      </c>
      <c r="Z83" s="94">
        <f t="shared" si="9"/>
        <v>0</v>
      </c>
      <c r="AA83" s="94">
        <f t="shared" si="10"/>
        <v>0</v>
      </c>
      <c r="AB83" s="89">
        <f t="shared" si="11"/>
        <v>0</v>
      </c>
      <c r="AC83" s="89">
        <f t="shared" si="12"/>
        <v>0</v>
      </c>
      <c r="AD83" s="89">
        <v>0</v>
      </c>
      <c r="AE83" s="89">
        <v>0</v>
      </c>
      <c r="AF83" s="117"/>
      <c r="AG83" s="117"/>
      <c r="AH83" s="262"/>
      <c r="AI83" s="17"/>
      <c r="AJ83" s="17"/>
      <c r="AK83" s="17"/>
      <c r="AL83" s="17"/>
      <c r="AM83" s="17"/>
      <c r="AN83" s="17"/>
      <c r="AO83" s="17"/>
      <c r="AP83" s="15" t="str">
        <f>IFERROR(VLOOKUP(AO83,Legend!$D$2:$E$26,2,0),"")</f>
        <v/>
      </c>
      <c r="AQ83" s="15"/>
      <c r="AR83" s="17"/>
      <c r="AS83" s="17"/>
      <c r="AT83" s="15"/>
      <c r="AU83" s="17"/>
      <c r="AV83" s="17"/>
      <c r="AW83" s="17" t="s">
        <v>10</v>
      </c>
      <c r="AX83" s="15"/>
      <c r="AY83" s="15"/>
    </row>
    <row r="84" spans="1:51" x14ac:dyDescent="0.25">
      <c r="A84" s="15"/>
      <c r="B84" s="15"/>
      <c r="C84" s="15"/>
      <c r="D84" s="15"/>
      <c r="E84" s="91"/>
      <c r="F84" s="15"/>
      <c r="G84" s="15"/>
      <c r="H84" s="15"/>
      <c r="I84" s="15"/>
      <c r="J84" s="15"/>
      <c r="K84" s="89"/>
      <c r="L84" s="15"/>
      <c r="M84" s="89">
        <v>0</v>
      </c>
      <c r="N84" s="89">
        <v>0</v>
      </c>
      <c r="O84" s="89">
        <v>0</v>
      </c>
      <c r="P84" s="94">
        <v>0</v>
      </c>
      <c r="Q84" s="94">
        <v>0</v>
      </c>
      <c r="R84" s="94">
        <v>0</v>
      </c>
      <c r="S84" s="94">
        <v>0</v>
      </c>
      <c r="T84" s="89">
        <v>0</v>
      </c>
      <c r="U84" s="89">
        <v>0</v>
      </c>
      <c r="V84" s="94">
        <v>0</v>
      </c>
      <c r="W84" s="94">
        <v>0</v>
      </c>
      <c r="X84" s="94">
        <v>0</v>
      </c>
      <c r="Y84" s="89">
        <v>0</v>
      </c>
      <c r="Z84" s="94">
        <f t="shared" si="9"/>
        <v>0</v>
      </c>
      <c r="AA84" s="94">
        <f t="shared" si="10"/>
        <v>0</v>
      </c>
      <c r="AB84" s="89">
        <f t="shared" si="11"/>
        <v>0</v>
      </c>
      <c r="AC84" s="89">
        <f t="shared" si="12"/>
        <v>0</v>
      </c>
      <c r="AD84" s="89">
        <v>0</v>
      </c>
      <c r="AE84" s="89">
        <v>0</v>
      </c>
      <c r="AF84" s="117"/>
      <c r="AG84" s="117"/>
      <c r="AH84" s="262"/>
      <c r="AI84" s="17"/>
      <c r="AJ84" s="17"/>
      <c r="AK84" s="17"/>
      <c r="AL84" s="17"/>
      <c r="AM84" s="17"/>
      <c r="AN84" s="17"/>
      <c r="AO84" s="17"/>
      <c r="AP84" s="15" t="str">
        <f>IFERROR(VLOOKUP(AO84,Legend!$D$2:$E$26,2,0),"")</f>
        <v/>
      </c>
      <c r="AQ84" s="15"/>
      <c r="AR84" s="17"/>
      <c r="AS84" s="17"/>
      <c r="AT84" s="15"/>
      <c r="AU84" s="17"/>
      <c r="AV84" s="17"/>
      <c r="AW84" s="17" t="s">
        <v>10</v>
      </c>
      <c r="AX84" s="15"/>
      <c r="AY84" s="15"/>
    </row>
    <row r="85" spans="1:51" x14ac:dyDescent="0.25">
      <c r="A85" s="15"/>
      <c r="B85" s="15"/>
      <c r="C85" s="15"/>
      <c r="D85" s="15"/>
      <c r="E85" s="91"/>
      <c r="F85" s="15"/>
      <c r="G85" s="15"/>
      <c r="H85" s="15"/>
      <c r="I85" s="15"/>
      <c r="J85" s="15"/>
      <c r="K85" s="89"/>
      <c r="L85" s="15"/>
      <c r="M85" s="89">
        <v>0</v>
      </c>
      <c r="N85" s="89">
        <v>0</v>
      </c>
      <c r="O85" s="89">
        <v>0</v>
      </c>
      <c r="P85" s="94">
        <v>0</v>
      </c>
      <c r="Q85" s="94">
        <v>0</v>
      </c>
      <c r="R85" s="94">
        <v>0</v>
      </c>
      <c r="S85" s="94">
        <v>0</v>
      </c>
      <c r="T85" s="89">
        <v>0</v>
      </c>
      <c r="U85" s="89">
        <v>0</v>
      </c>
      <c r="V85" s="94">
        <v>0</v>
      </c>
      <c r="W85" s="94">
        <v>0</v>
      </c>
      <c r="X85" s="94">
        <v>0</v>
      </c>
      <c r="Y85" s="89">
        <v>0</v>
      </c>
      <c r="Z85" s="94">
        <f t="shared" si="9"/>
        <v>0</v>
      </c>
      <c r="AA85" s="94">
        <f t="shared" si="10"/>
        <v>0</v>
      </c>
      <c r="AB85" s="89">
        <f t="shared" si="11"/>
        <v>0</v>
      </c>
      <c r="AC85" s="89">
        <f t="shared" si="12"/>
        <v>0</v>
      </c>
      <c r="AD85" s="89">
        <v>0</v>
      </c>
      <c r="AE85" s="89">
        <v>0</v>
      </c>
      <c r="AF85" s="117"/>
      <c r="AG85" s="117"/>
      <c r="AH85" s="262"/>
      <c r="AI85" s="17"/>
      <c r="AJ85" s="17"/>
      <c r="AK85" s="17"/>
      <c r="AL85" s="17"/>
      <c r="AM85" s="17"/>
      <c r="AN85" s="17"/>
      <c r="AO85" s="17"/>
      <c r="AP85" s="15" t="str">
        <f>IFERROR(VLOOKUP(AO85,Legend!$D$2:$E$26,2,0),"")</f>
        <v/>
      </c>
      <c r="AQ85" s="15"/>
      <c r="AR85" s="17"/>
      <c r="AS85" s="17"/>
      <c r="AT85" s="15"/>
      <c r="AU85" s="17"/>
      <c r="AV85" s="17"/>
      <c r="AW85" s="17" t="s">
        <v>10</v>
      </c>
      <c r="AX85" s="15"/>
      <c r="AY85" s="15"/>
    </row>
    <row r="86" spans="1:51" x14ac:dyDescent="0.25">
      <c r="A86" s="15"/>
      <c r="B86" s="15"/>
      <c r="C86" s="15"/>
      <c r="D86" s="15"/>
      <c r="E86" s="91"/>
      <c r="F86" s="15"/>
      <c r="G86" s="15"/>
      <c r="H86" s="15"/>
      <c r="I86" s="15"/>
      <c r="J86" s="15"/>
      <c r="K86" s="89"/>
      <c r="L86" s="15"/>
      <c r="M86" s="89">
        <v>0</v>
      </c>
      <c r="N86" s="89">
        <v>0</v>
      </c>
      <c r="O86" s="89">
        <v>0</v>
      </c>
      <c r="P86" s="94">
        <v>0</v>
      </c>
      <c r="Q86" s="94">
        <v>0</v>
      </c>
      <c r="R86" s="94">
        <v>0</v>
      </c>
      <c r="S86" s="94">
        <v>0</v>
      </c>
      <c r="T86" s="89">
        <v>0</v>
      </c>
      <c r="U86" s="89">
        <v>0</v>
      </c>
      <c r="V86" s="94">
        <v>0</v>
      </c>
      <c r="W86" s="94">
        <v>0</v>
      </c>
      <c r="X86" s="94">
        <v>0</v>
      </c>
      <c r="Y86" s="89">
        <v>0</v>
      </c>
      <c r="Z86" s="94">
        <f t="shared" si="9"/>
        <v>0</v>
      </c>
      <c r="AA86" s="94">
        <f t="shared" si="10"/>
        <v>0</v>
      </c>
      <c r="AB86" s="89">
        <f t="shared" si="11"/>
        <v>0</v>
      </c>
      <c r="AC86" s="89">
        <f t="shared" si="12"/>
        <v>0</v>
      </c>
      <c r="AD86" s="89">
        <v>0</v>
      </c>
      <c r="AE86" s="89">
        <v>0</v>
      </c>
      <c r="AF86" s="117"/>
      <c r="AG86" s="117"/>
      <c r="AH86" s="262"/>
      <c r="AI86" s="17"/>
      <c r="AJ86" s="17"/>
      <c r="AK86" s="17"/>
      <c r="AL86" s="17"/>
      <c r="AM86" s="17"/>
      <c r="AN86" s="17"/>
      <c r="AO86" s="17"/>
      <c r="AP86" s="15" t="str">
        <f>IFERROR(VLOOKUP(AO86,Legend!$D$2:$E$26,2,0),"")</f>
        <v/>
      </c>
      <c r="AQ86" s="15"/>
      <c r="AR86" s="17"/>
      <c r="AS86" s="17"/>
      <c r="AT86" s="15"/>
      <c r="AU86" s="17"/>
      <c r="AV86" s="17"/>
      <c r="AW86" s="17" t="s">
        <v>10</v>
      </c>
      <c r="AX86" s="15"/>
      <c r="AY86" s="15"/>
    </row>
    <row r="87" spans="1:51" x14ac:dyDescent="0.25">
      <c r="A87" s="15"/>
      <c r="B87" s="15"/>
      <c r="C87" s="15"/>
      <c r="D87" s="15"/>
      <c r="E87" s="91"/>
      <c r="F87" s="15"/>
      <c r="G87" s="15"/>
      <c r="H87" s="15"/>
      <c r="I87" s="15"/>
      <c r="J87" s="15"/>
      <c r="K87" s="89"/>
      <c r="L87" s="15"/>
      <c r="M87" s="89">
        <v>0</v>
      </c>
      <c r="N87" s="89">
        <v>0</v>
      </c>
      <c r="O87" s="89">
        <v>0</v>
      </c>
      <c r="P87" s="94">
        <v>0</v>
      </c>
      <c r="Q87" s="94">
        <v>0</v>
      </c>
      <c r="R87" s="94">
        <v>0</v>
      </c>
      <c r="S87" s="94">
        <v>0</v>
      </c>
      <c r="T87" s="89">
        <v>0</v>
      </c>
      <c r="U87" s="89">
        <v>0</v>
      </c>
      <c r="V87" s="94">
        <v>0</v>
      </c>
      <c r="W87" s="94">
        <v>0</v>
      </c>
      <c r="X87" s="94">
        <v>0</v>
      </c>
      <c r="Y87" s="89">
        <v>0</v>
      </c>
      <c r="Z87" s="94">
        <f t="shared" si="9"/>
        <v>0</v>
      </c>
      <c r="AA87" s="94">
        <f t="shared" si="10"/>
        <v>0</v>
      </c>
      <c r="AB87" s="89">
        <f t="shared" si="11"/>
        <v>0</v>
      </c>
      <c r="AC87" s="89">
        <f t="shared" si="12"/>
        <v>0</v>
      </c>
      <c r="AD87" s="89">
        <v>0</v>
      </c>
      <c r="AE87" s="89">
        <v>0</v>
      </c>
      <c r="AF87" s="117"/>
      <c r="AG87" s="117"/>
      <c r="AH87" s="262"/>
      <c r="AI87" s="17"/>
      <c r="AJ87" s="17"/>
      <c r="AK87" s="17"/>
      <c r="AL87" s="17"/>
      <c r="AM87" s="17"/>
      <c r="AN87" s="17"/>
      <c r="AO87" s="17"/>
      <c r="AP87" s="15" t="str">
        <f>IFERROR(VLOOKUP(AO87,Legend!$D$2:$E$26,2,0),"")</f>
        <v/>
      </c>
      <c r="AQ87" s="15"/>
      <c r="AR87" s="17"/>
      <c r="AS87" s="17"/>
      <c r="AT87" s="15"/>
      <c r="AU87" s="17"/>
      <c r="AV87" s="17"/>
      <c r="AW87" s="17" t="s">
        <v>10</v>
      </c>
      <c r="AX87" s="15"/>
      <c r="AY87" s="15"/>
    </row>
    <row r="88" spans="1:51" x14ac:dyDescent="0.25">
      <c r="A88" s="15"/>
      <c r="B88" s="15"/>
      <c r="C88" s="15"/>
      <c r="D88" s="15"/>
      <c r="E88" s="91"/>
      <c r="F88" s="15"/>
      <c r="G88" s="15"/>
      <c r="H88" s="15"/>
      <c r="I88" s="15"/>
      <c r="J88" s="15"/>
      <c r="K88" s="89"/>
      <c r="L88" s="15"/>
      <c r="M88" s="89">
        <v>0</v>
      </c>
      <c r="N88" s="89">
        <v>0</v>
      </c>
      <c r="O88" s="89">
        <v>0</v>
      </c>
      <c r="P88" s="94">
        <v>0</v>
      </c>
      <c r="Q88" s="94">
        <v>0</v>
      </c>
      <c r="R88" s="94">
        <v>0</v>
      </c>
      <c r="S88" s="94">
        <v>0</v>
      </c>
      <c r="T88" s="89">
        <v>0</v>
      </c>
      <c r="U88" s="89">
        <v>0</v>
      </c>
      <c r="V88" s="94">
        <v>0</v>
      </c>
      <c r="W88" s="94">
        <v>0</v>
      </c>
      <c r="X88" s="94">
        <v>0</v>
      </c>
      <c r="Y88" s="89">
        <v>0</v>
      </c>
      <c r="Z88" s="94">
        <f t="shared" si="9"/>
        <v>0</v>
      </c>
      <c r="AA88" s="94">
        <f t="shared" si="10"/>
        <v>0</v>
      </c>
      <c r="AB88" s="89">
        <f t="shared" si="11"/>
        <v>0</v>
      </c>
      <c r="AC88" s="89">
        <f t="shared" si="12"/>
        <v>0</v>
      </c>
      <c r="AD88" s="89">
        <v>0</v>
      </c>
      <c r="AE88" s="89">
        <v>0</v>
      </c>
      <c r="AF88" s="117"/>
      <c r="AG88" s="117"/>
      <c r="AH88" s="262"/>
      <c r="AI88" s="17"/>
      <c r="AJ88" s="17"/>
      <c r="AK88" s="17"/>
      <c r="AL88" s="17"/>
      <c r="AM88" s="17"/>
      <c r="AN88" s="17"/>
      <c r="AO88" s="17"/>
      <c r="AP88" s="15" t="str">
        <f>IFERROR(VLOOKUP(AO88,Legend!$D$2:$E$26,2,0),"")</f>
        <v/>
      </c>
      <c r="AQ88" s="15"/>
      <c r="AR88" s="17"/>
      <c r="AS88" s="17"/>
      <c r="AT88" s="15"/>
      <c r="AU88" s="17"/>
      <c r="AV88" s="17"/>
      <c r="AW88" s="17" t="s">
        <v>10</v>
      </c>
      <c r="AX88" s="15"/>
      <c r="AY88" s="15"/>
    </row>
    <row r="89" spans="1:51" x14ac:dyDescent="0.25">
      <c r="A89" s="15"/>
      <c r="B89" s="15"/>
      <c r="C89" s="15"/>
      <c r="D89" s="15"/>
      <c r="E89" s="91"/>
      <c r="F89" s="15"/>
      <c r="G89" s="15"/>
      <c r="H89" s="15"/>
      <c r="I89" s="15"/>
      <c r="J89" s="15"/>
      <c r="K89" s="89"/>
      <c r="L89" s="15"/>
      <c r="M89" s="89">
        <v>0</v>
      </c>
      <c r="N89" s="89">
        <v>0</v>
      </c>
      <c r="O89" s="89">
        <v>0</v>
      </c>
      <c r="P89" s="94">
        <v>0</v>
      </c>
      <c r="Q89" s="94">
        <v>0</v>
      </c>
      <c r="R89" s="94">
        <v>0</v>
      </c>
      <c r="S89" s="94">
        <v>0</v>
      </c>
      <c r="T89" s="89">
        <v>0</v>
      </c>
      <c r="U89" s="89">
        <v>0</v>
      </c>
      <c r="V89" s="94">
        <v>0</v>
      </c>
      <c r="W89" s="94">
        <v>0</v>
      </c>
      <c r="X89" s="94">
        <v>0</v>
      </c>
      <c r="Y89" s="89">
        <v>0</v>
      </c>
      <c r="Z89" s="94">
        <f t="shared" si="9"/>
        <v>0</v>
      </c>
      <c r="AA89" s="94">
        <f t="shared" si="10"/>
        <v>0</v>
      </c>
      <c r="AB89" s="89">
        <f t="shared" si="11"/>
        <v>0</v>
      </c>
      <c r="AC89" s="89">
        <f t="shared" si="12"/>
        <v>0</v>
      </c>
      <c r="AD89" s="89">
        <v>0</v>
      </c>
      <c r="AE89" s="89">
        <v>0</v>
      </c>
      <c r="AF89" s="117"/>
      <c r="AG89" s="117"/>
      <c r="AH89" s="262"/>
      <c r="AI89" s="17"/>
      <c r="AJ89" s="17"/>
      <c r="AK89" s="17"/>
      <c r="AL89" s="17"/>
      <c r="AM89" s="17"/>
      <c r="AN89" s="17"/>
      <c r="AO89" s="17"/>
      <c r="AP89" s="15" t="str">
        <f>IFERROR(VLOOKUP(AO89,Legend!$D$2:$E$26,2,0),"")</f>
        <v/>
      </c>
      <c r="AQ89" s="15"/>
      <c r="AR89" s="17"/>
      <c r="AS89" s="17"/>
      <c r="AT89" s="15"/>
      <c r="AU89" s="17"/>
      <c r="AV89" s="17"/>
      <c r="AW89" s="17" t="s">
        <v>10</v>
      </c>
      <c r="AX89" s="15"/>
      <c r="AY89" s="15"/>
    </row>
    <row r="90" spans="1:51" x14ac:dyDescent="0.25">
      <c r="A90" s="15"/>
      <c r="B90" s="15"/>
      <c r="C90" s="15"/>
      <c r="D90" s="15"/>
      <c r="E90" s="91"/>
      <c r="F90" s="15"/>
      <c r="G90" s="15"/>
      <c r="H90" s="15"/>
      <c r="I90" s="15"/>
      <c r="J90" s="15"/>
      <c r="K90" s="89"/>
      <c r="L90" s="15"/>
      <c r="M90" s="89">
        <v>0</v>
      </c>
      <c r="N90" s="89">
        <v>0</v>
      </c>
      <c r="O90" s="89">
        <v>0</v>
      </c>
      <c r="P90" s="94">
        <v>0</v>
      </c>
      <c r="Q90" s="94">
        <v>0</v>
      </c>
      <c r="R90" s="94">
        <v>0</v>
      </c>
      <c r="S90" s="94">
        <v>0</v>
      </c>
      <c r="T90" s="89">
        <v>0</v>
      </c>
      <c r="U90" s="89">
        <v>0</v>
      </c>
      <c r="V90" s="94">
        <v>0</v>
      </c>
      <c r="W90" s="94">
        <v>0</v>
      </c>
      <c r="X90" s="94">
        <v>0</v>
      </c>
      <c r="Y90" s="89">
        <v>0</v>
      </c>
      <c r="Z90" s="94">
        <f t="shared" si="9"/>
        <v>0</v>
      </c>
      <c r="AA90" s="94">
        <f t="shared" si="10"/>
        <v>0</v>
      </c>
      <c r="AB90" s="89">
        <f t="shared" si="11"/>
        <v>0</v>
      </c>
      <c r="AC90" s="89">
        <f t="shared" si="12"/>
        <v>0</v>
      </c>
      <c r="AD90" s="89">
        <v>0</v>
      </c>
      <c r="AE90" s="89">
        <v>0</v>
      </c>
      <c r="AF90" s="117"/>
      <c r="AG90" s="117"/>
      <c r="AH90" s="262"/>
      <c r="AI90" s="17"/>
      <c r="AJ90" s="17"/>
      <c r="AK90" s="17"/>
      <c r="AL90" s="17"/>
      <c r="AM90" s="17"/>
      <c r="AN90" s="17"/>
      <c r="AO90" s="17"/>
      <c r="AP90" s="15" t="str">
        <f>IFERROR(VLOOKUP(AO90,Legend!$D$2:$E$26,2,0),"")</f>
        <v/>
      </c>
      <c r="AQ90" s="15"/>
      <c r="AR90" s="17"/>
      <c r="AS90" s="17"/>
      <c r="AT90" s="15"/>
      <c r="AU90" s="17"/>
      <c r="AV90" s="17"/>
      <c r="AW90" s="17" t="s">
        <v>10</v>
      </c>
      <c r="AX90" s="15"/>
      <c r="AY90" s="15"/>
    </row>
    <row r="91" spans="1:51" x14ac:dyDescent="0.25">
      <c r="A91" s="15"/>
      <c r="B91" s="15"/>
      <c r="C91" s="15"/>
      <c r="D91" s="15"/>
      <c r="E91" s="91"/>
      <c r="F91" s="15"/>
      <c r="G91" s="15"/>
      <c r="H91" s="15"/>
      <c r="I91" s="15"/>
      <c r="J91" s="15"/>
      <c r="K91" s="89"/>
      <c r="L91" s="15"/>
      <c r="M91" s="89">
        <v>0</v>
      </c>
      <c r="N91" s="89">
        <v>0</v>
      </c>
      <c r="O91" s="89">
        <v>0</v>
      </c>
      <c r="P91" s="94">
        <v>0</v>
      </c>
      <c r="Q91" s="94">
        <v>0</v>
      </c>
      <c r="R91" s="94">
        <v>0</v>
      </c>
      <c r="S91" s="94">
        <v>0</v>
      </c>
      <c r="T91" s="89">
        <v>0</v>
      </c>
      <c r="U91" s="89">
        <v>0</v>
      </c>
      <c r="V91" s="94">
        <v>0</v>
      </c>
      <c r="W91" s="94">
        <v>0</v>
      </c>
      <c r="X91" s="94">
        <v>0</v>
      </c>
      <c r="Y91" s="89">
        <v>0</v>
      </c>
      <c r="Z91" s="94">
        <f t="shared" si="9"/>
        <v>0</v>
      </c>
      <c r="AA91" s="94">
        <f t="shared" si="10"/>
        <v>0</v>
      </c>
      <c r="AB91" s="89">
        <f t="shared" si="11"/>
        <v>0</v>
      </c>
      <c r="AC91" s="89">
        <f t="shared" si="12"/>
        <v>0</v>
      </c>
      <c r="AD91" s="89">
        <v>0</v>
      </c>
      <c r="AE91" s="89">
        <v>0</v>
      </c>
      <c r="AF91" s="117"/>
      <c r="AG91" s="117"/>
      <c r="AH91" s="262"/>
      <c r="AI91" s="17"/>
      <c r="AJ91" s="17"/>
      <c r="AK91" s="17"/>
      <c r="AL91" s="17"/>
      <c r="AM91" s="17"/>
      <c r="AN91" s="17"/>
      <c r="AO91" s="17"/>
      <c r="AP91" s="15" t="str">
        <f>IFERROR(VLOOKUP(AO91,Legend!$D$2:$E$26,2,0),"")</f>
        <v/>
      </c>
      <c r="AQ91" s="15"/>
      <c r="AR91" s="17"/>
      <c r="AS91" s="17"/>
      <c r="AT91" s="15"/>
      <c r="AU91" s="17"/>
      <c r="AV91" s="17"/>
      <c r="AW91" s="17" t="s">
        <v>10</v>
      </c>
      <c r="AX91" s="15"/>
      <c r="AY91" s="15"/>
    </row>
    <row r="92" spans="1:51" x14ac:dyDescent="0.25">
      <c r="A92" s="15"/>
      <c r="B92" s="15"/>
      <c r="C92" s="15"/>
      <c r="D92" s="15"/>
      <c r="E92" s="91"/>
      <c r="F92" s="15"/>
      <c r="G92" s="15"/>
      <c r="H92" s="15"/>
      <c r="I92" s="15"/>
      <c r="J92" s="15"/>
      <c r="K92" s="89"/>
      <c r="L92" s="15"/>
      <c r="M92" s="89">
        <v>0</v>
      </c>
      <c r="N92" s="89">
        <v>0</v>
      </c>
      <c r="O92" s="89">
        <v>0</v>
      </c>
      <c r="P92" s="94">
        <v>0</v>
      </c>
      <c r="Q92" s="94">
        <v>0</v>
      </c>
      <c r="R92" s="94">
        <v>0</v>
      </c>
      <c r="S92" s="94">
        <v>0</v>
      </c>
      <c r="T92" s="89">
        <v>0</v>
      </c>
      <c r="U92" s="89">
        <v>0</v>
      </c>
      <c r="V92" s="94">
        <v>0</v>
      </c>
      <c r="W92" s="94">
        <v>0</v>
      </c>
      <c r="X92" s="94">
        <v>0</v>
      </c>
      <c r="Y92" s="89">
        <v>0</v>
      </c>
      <c r="Z92" s="94">
        <f t="shared" si="9"/>
        <v>0</v>
      </c>
      <c r="AA92" s="94">
        <f t="shared" si="10"/>
        <v>0</v>
      </c>
      <c r="AB92" s="89">
        <f t="shared" si="11"/>
        <v>0</v>
      </c>
      <c r="AC92" s="89">
        <f t="shared" si="12"/>
        <v>0</v>
      </c>
      <c r="AD92" s="89">
        <v>0</v>
      </c>
      <c r="AE92" s="89">
        <v>0</v>
      </c>
      <c r="AF92" s="117"/>
      <c r="AG92" s="117"/>
      <c r="AH92" s="262"/>
      <c r="AI92" s="17"/>
      <c r="AJ92" s="17"/>
      <c r="AK92" s="17"/>
      <c r="AL92" s="17"/>
      <c r="AM92" s="17"/>
      <c r="AN92" s="17"/>
      <c r="AO92" s="17"/>
      <c r="AP92" s="15" t="str">
        <f>IFERROR(VLOOKUP(AO92,Legend!$D$2:$E$26,2,0),"")</f>
        <v/>
      </c>
      <c r="AQ92" s="15"/>
      <c r="AR92" s="17"/>
      <c r="AS92" s="17"/>
      <c r="AT92" s="15"/>
      <c r="AU92" s="17"/>
      <c r="AV92" s="17"/>
      <c r="AW92" s="17" t="s">
        <v>10</v>
      </c>
      <c r="AX92" s="15"/>
      <c r="AY92" s="15"/>
    </row>
    <row r="93" spans="1:51" x14ac:dyDescent="0.25">
      <c r="A93" s="15"/>
      <c r="B93" s="15"/>
      <c r="C93" s="15"/>
      <c r="D93" s="15"/>
      <c r="E93" s="91"/>
      <c r="F93" s="15"/>
      <c r="G93" s="15"/>
      <c r="H93" s="15"/>
      <c r="I93" s="15"/>
      <c r="J93" s="15"/>
      <c r="K93" s="89"/>
      <c r="L93" s="15"/>
      <c r="M93" s="89">
        <v>0</v>
      </c>
      <c r="N93" s="89">
        <v>0</v>
      </c>
      <c r="O93" s="89">
        <v>0</v>
      </c>
      <c r="P93" s="94">
        <v>0</v>
      </c>
      <c r="Q93" s="94">
        <v>0</v>
      </c>
      <c r="R93" s="94">
        <v>0</v>
      </c>
      <c r="S93" s="94">
        <v>0</v>
      </c>
      <c r="T93" s="89">
        <v>0</v>
      </c>
      <c r="U93" s="89">
        <v>0</v>
      </c>
      <c r="V93" s="94">
        <v>0</v>
      </c>
      <c r="W93" s="94">
        <v>0</v>
      </c>
      <c r="X93" s="94">
        <v>0</v>
      </c>
      <c r="Y93" s="89">
        <v>0</v>
      </c>
      <c r="Z93" s="94">
        <f t="shared" si="9"/>
        <v>0</v>
      </c>
      <c r="AA93" s="94">
        <f t="shared" si="10"/>
        <v>0</v>
      </c>
      <c r="AB93" s="89">
        <f t="shared" si="11"/>
        <v>0</v>
      </c>
      <c r="AC93" s="89">
        <f t="shared" si="12"/>
        <v>0</v>
      </c>
      <c r="AD93" s="89">
        <v>0</v>
      </c>
      <c r="AE93" s="89">
        <v>0</v>
      </c>
      <c r="AF93" s="117"/>
      <c r="AG93" s="117"/>
      <c r="AH93" s="262"/>
      <c r="AI93" s="17"/>
      <c r="AJ93" s="17"/>
      <c r="AK93" s="17"/>
      <c r="AL93" s="17"/>
      <c r="AM93" s="17"/>
      <c r="AN93" s="17"/>
      <c r="AO93" s="17"/>
      <c r="AP93" s="15" t="str">
        <f>IFERROR(VLOOKUP(AO93,Legend!$D$2:$E$26,2,0),"")</f>
        <v/>
      </c>
      <c r="AQ93" s="15"/>
      <c r="AR93" s="17"/>
      <c r="AS93" s="17"/>
      <c r="AT93" s="15"/>
      <c r="AU93" s="17"/>
      <c r="AV93" s="17"/>
      <c r="AW93" s="17" t="s">
        <v>10</v>
      </c>
      <c r="AX93" s="15"/>
      <c r="AY93" s="15"/>
    </row>
    <row r="94" spans="1:51" x14ac:dyDescent="0.25">
      <c r="A94" s="15"/>
      <c r="B94" s="15"/>
      <c r="C94" s="15"/>
      <c r="D94" s="15"/>
      <c r="E94" s="91"/>
      <c r="F94" s="15"/>
      <c r="G94" s="15"/>
      <c r="H94" s="15"/>
      <c r="I94" s="15"/>
      <c r="J94" s="15"/>
      <c r="K94" s="89"/>
      <c r="L94" s="15"/>
      <c r="M94" s="89">
        <v>0</v>
      </c>
      <c r="N94" s="89">
        <v>0</v>
      </c>
      <c r="O94" s="89">
        <v>0</v>
      </c>
      <c r="P94" s="94">
        <v>0</v>
      </c>
      <c r="Q94" s="94">
        <v>0</v>
      </c>
      <c r="R94" s="94">
        <v>0</v>
      </c>
      <c r="S94" s="94">
        <v>0</v>
      </c>
      <c r="T94" s="89">
        <v>0</v>
      </c>
      <c r="U94" s="89">
        <v>0</v>
      </c>
      <c r="V94" s="94">
        <v>0</v>
      </c>
      <c r="W94" s="94">
        <v>0</v>
      </c>
      <c r="X94" s="94">
        <v>0</v>
      </c>
      <c r="Y94" s="89">
        <v>0</v>
      </c>
      <c r="Z94" s="94">
        <f t="shared" si="9"/>
        <v>0</v>
      </c>
      <c r="AA94" s="94">
        <f t="shared" si="10"/>
        <v>0</v>
      </c>
      <c r="AB94" s="89">
        <f t="shared" si="11"/>
        <v>0</v>
      </c>
      <c r="AC94" s="89">
        <f t="shared" si="12"/>
        <v>0</v>
      </c>
      <c r="AD94" s="89">
        <v>0</v>
      </c>
      <c r="AE94" s="89">
        <v>0</v>
      </c>
      <c r="AF94" s="117"/>
      <c r="AG94" s="117"/>
      <c r="AH94" s="262"/>
      <c r="AI94" s="17"/>
      <c r="AJ94" s="17"/>
      <c r="AK94" s="17"/>
      <c r="AL94" s="17"/>
      <c r="AM94" s="17"/>
      <c r="AN94" s="17"/>
      <c r="AO94" s="17"/>
      <c r="AP94" s="15" t="str">
        <f>IFERROR(VLOOKUP(AO94,Legend!$D$2:$E$26,2,0),"")</f>
        <v/>
      </c>
      <c r="AQ94" s="15"/>
      <c r="AR94" s="17"/>
      <c r="AS94" s="17"/>
      <c r="AT94" s="15"/>
      <c r="AU94" s="17"/>
      <c r="AV94" s="17"/>
      <c r="AW94" s="17" t="s">
        <v>10</v>
      </c>
      <c r="AX94" s="15"/>
      <c r="AY94" s="15"/>
    </row>
    <row r="95" spans="1:51" x14ac:dyDescent="0.25">
      <c r="A95" s="15"/>
      <c r="B95" s="15"/>
      <c r="C95" s="15"/>
      <c r="D95" s="15"/>
      <c r="E95" s="91"/>
      <c r="F95" s="15"/>
      <c r="G95" s="15"/>
      <c r="H95" s="15"/>
      <c r="I95" s="15"/>
      <c r="J95" s="15"/>
      <c r="K95" s="89"/>
      <c r="L95" s="15"/>
      <c r="M95" s="89">
        <v>0</v>
      </c>
      <c r="N95" s="89">
        <v>0</v>
      </c>
      <c r="O95" s="89">
        <v>0</v>
      </c>
      <c r="P95" s="94">
        <v>0</v>
      </c>
      <c r="Q95" s="94">
        <v>0</v>
      </c>
      <c r="R95" s="94">
        <v>0</v>
      </c>
      <c r="S95" s="94">
        <v>0</v>
      </c>
      <c r="T95" s="89">
        <v>0</v>
      </c>
      <c r="U95" s="89">
        <v>0</v>
      </c>
      <c r="V95" s="94">
        <v>0</v>
      </c>
      <c r="W95" s="94">
        <v>0</v>
      </c>
      <c r="X95" s="94">
        <v>0</v>
      </c>
      <c r="Y95" s="89">
        <v>0</v>
      </c>
      <c r="Z95" s="94">
        <f t="shared" si="9"/>
        <v>0</v>
      </c>
      <c r="AA95" s="94">
        <f t="shared" si="10"/>
        <v>0</v>
      </c>
      <c r="AB95" s="89">
        <f t="shared" si="11"/>
        <v>0</v>
      </c>
      <c r="AC95" s="89">
        <f t="shared" si="12"/>
        <v>0</v>
      </c>
      <c r="AD95" s="89">
        <v>0</v>
      </c>
      <c r="AE95" s="89">
        <v>0</v>
      </c>
      <c r="AF95" s="117"/>
      <c r="AG95" s="117"/>
      <c r="AH95" s="262"/>
      <c r="AI95" s="17"/>
      <c r="AJ95" s="17"/>
      <c r="AK95" s="17"/>
      <c r="AL95" s="17"/>
      <c r="AM95" s="17"/>
      <c r="AN95" s="17"/>
      <c r="AO95" s="17"/>
      <c r="AP95" s="15" t="str">
        <f>IFERROR(VLOOKUP(AO95,Legend!$D$2:$E$26,2,0),"")</f>
        <v/>
      </c>
      <c r="AQ95" s="15"/>
      <c r="AR95" s="17"/>
      <c r="AS95" s="17"/>
      <c r="AT95" s="15"/>
      <c r="AU95" s="17"/>
      <c r="AV95" s="17"/>
      <c r="AW95" s="17" t="s">
        <v>10</v>
      </c>
      <c r="AX95" s="15"/>
      <c r="AY95" s="15"/>
    </row>
    <row r="96" spans="1:51" x14ac:dyDescent="0.25">
      <c r="A96" s="15"/>
      <c r="B96" s="15"/>
      <c r="C96" s="15"/>
      <c r="D96" s="15"/>
      <c r="E96" s="91"/>
      <c r="F96" s="15"/>
      <c r="G96" s="15"/>
      <c r="H96" s="15"/>
      <c r="I96" s="15"/>
      <c r="J96" s="15"/>
      <c r="K96" s="89"/>
      <c r="L96" s="15"/>
      <c r="M96" s="89">
        <v>0</v>
      </c>
      <c r="N96" s="89">
        <v>0</v>
      </c>
      <c r="O96" s="89">
        <v>0</v>
      </c>
      <c r="P96" s="94">
        <v>0</v>
      </c>
      <c r="Q96" s="94">
        <v>0</v>
      </c>
      <c r="R96" s="94">
        <v>0</v>
      </c>
      <c r="S96" s="94">
        <v>0</v>
      </c>
      <c r="T96" s="89">
        <v>0</v>
      </c>
      <c r="U96" s="89">
        <v>0</v>
      </c>
      <c r="V96" s="94">
        <v>0</v>
      </c>
      <c r="W96" s="94">
        <v>0</v>
      </c>
      <c r="X96" s="94">
        <v>0</v>
      </c>
      <c r="Y96" s="89">
        <v>0</v>
      </c>
      <c r="Z96" s="94">
        <f t="shared" si="9"/>
        <v>0</v>
      </c>
      <c r="AA96" s="94">
        <f t="shared" si="10"/>
        <v>0</v>
      </c>
      <c r="AB96" s="89">
        <f t="shared" si="11"/>
        <v>0</v>
      </c>
      <c r="AC96" s="89">
        <f t="shared" si="12"/>
        <v>0</v>
      </c>
      <c r="AD96" s="89">
        <v>0</v>
      </c>
      <c r="AE96" s="89">
        <v>0</v>
      </c>
      <c r="AF96" s="117"/>
      <c r="AG96" s="117"/>
      <c r="AH96" s="262"/>
      <c r="AI96" s="17"/>
      <c r="AJ96" s="17"/>
      <c r="AK96" s="17"/>
      <c r="AL96" s="17"/>
      <c r="AM96" s="17"/>
      <c r="AN96" s="17"/>
      <c r="AO96" s="17"/>
      <c r="AP96" s="15" t="str">
        <f>IFERROR(VLOOKUP(AO96,Legend!$D$2:$E$26,2,0),"")</f>
        <v/>
      </c>
      <c r="AQ96" s="15"/>
      <c r="AR96" s="17"/>
      <c r="AS96" s="17"/>
      <c r="AT96" s="15"/>
      <c r="AU96" s="17"/>
      <c r="AV96" s="17"/>
      <c r="AW96" s="17" t="s">
        <v>10</v>
      </c>
      <c r="AX96" s="15"/>
      <c r="AY96" s="15"/>
    </row>
    <row r="97" spans="1:51" x14ac:dyDescent="0.25">
      <c r="A97" s="15"/>
      <c r="B97" s="15"/>
      <c r="C97" s="15"/>
      <c r="D97" s="15"/>
      <c r="E97" s="91"/>
      <c r="F97" s="15"/>
      <c r="G97" s="15"/>
      <c r="H97" s="15"/>
      <c r="I97" s="15"/>
      <c r="J97" s="15"/>
      <c r="K97" s="89"/>
      <c r="L97" s="15"/>
      <c r="M97" s="89">
        <v>0</v>
      </c>
      <c r="N97" s="89">
        <v>0</v>
      </c>
      <c r="O97" s="89">
        <v>0</v>
      </c>
      <c r="P97" s="94">
        <v>0</v>
      </c>
      <c r="Q97" s="94">
        <v>0</v>
      </c>
      <c r="R97" s="94">
        <v>0</v>
      </c>
      <c r="S97" s="94">
        <v>0</v>
      </c>
      <c r="T97" s="89">
        <v>0</v>
      </c>
      <c r="U97" s="89">
        <v>0</v>
      </c>
      <c r="V97" s="94">
        <v>0</v>
      </c>
      <c r="W97" s="94">
        <v>0</v>
      </c>
      <c r="X97" s="94">
        <v>0</v>
      </c>
      <c r="Y97" s="89">
        <v>0</v>
      </c>
      <c r="Z97" s="94">
        <f t="shared" si="9"/>
        <v>0</v>
      </c>
      <c r="AA97" s="94">
        <f t="shared" si="10"/>
        <v>0</v>
      </c>
      <c r="AB97" s="89">
        <f t="shared" si="11"/>
        <v>0</v>
      </c>
      <c r="AC97" s="89">
        <f t="shared" si="12"/>
        <v>0</v>
      </c>
      <c r="AD97" s="89">
        <v>0</v>
      </c>
      <c r="AE97" s="89">
        <v>0</v>
      </c>
      <c r="AF97" s="117"/>
      <c r="AG97" s="117"/>
      <c r="AH97" s="262"/>
      <c r="AI97" s="17"/>
      <c r="AJ97" s="17"/>
      <c r="AK97" s="17"/>
      <c r="AL97" s="17"/>
      <c r="AM97" s="17"/>
      <c r="AN97" s="17"/>
      <c r="AO97" s="17"/>
      <c r="AP97" s="15" t="str">
        <f>IFERROR(VLOOKUP(AO97,Legend!$D$2:$E$26,2,0),"")</f>
        <v/>
      </c>
      <c r="AQ97" s="15"/>
      <c r="AR97" s="17"/>
      <c r="AS97" s="17"/>
      <c r="AT97" s="15"/>
      <c r="AU97" s="17"/>
      <c r="AV97" s="17"/>
      <c r="AW97" s="17" t="s">
        <v>10</v>
      </c>
      <c r="AX97" s="15"/>
      <c r="AY97" s="15"/>
    </row>
    <row r="98" spans="1:51" x14ac:dyDescent="0.25">
      <c r="A98" s="15"/>
      <c r="B98" s="15"/>
      <c r="C98" s="15"/>
      <c r="D98" s="15"/>
      <c r="E98" s="91"/>
      <c r="F98" s="15"/>
      <c r="G98" s="15"/>
      <c r="H98" s="15"/>
      <c r="I98" s="15"/>
      <c r="J98" s="15"/>
      <c r="K98" s="89"/>
      <c r="L98" s="15"/>
      <c r="M98" s="89">
        <v>0</v>
      </c>
      <c r="N98" s="89">
        <v>0</v>
      </c>
      <c r="O98" s="89">
        <v>0</v>
      </c>
      <c r="P98" s="94">
        <v>0</v>
      </c>
      <c r="Q98" s="94">
        <v>0</v>
      </c>
      <c r="R98" s="94">
        <v>0</v>
      </c>
      <c r="S98" s="94">
        <v>0</v>
      </c>
      <c r="T98" s="89">
        <v>0</v>
      </c>
      <c r="U98" s="89">
        <v>0</v>
      </c>
      <c r="V98" s="94">
        <v>0</v>
      </c>
      <c r="W98" s="94">
        <v>0</v>
      </c>
      <c r="X98" s="94">
        <v>0</v>
      </c>
      <c r="Y98" s="89">
        <v>0</v>
      </c>
      <c r="Z98" s="94">
        <f t="shared" si="9"/>
        <v>0</v>
      </c>
      <c r="AA98" s="94">
        <f t="shared" si="10"/>
        <v>0</v>
      </c>
      <c r="AB98" s="89">
        <f t="shared" si="11"/>
        <v>0</v>
      </c>
      <c r="AC98" s="89">
        <f t="shared" si="12"/>
        <v>0</v>
      </c>
      <c r="AD98" s="89">
        <v>0</v>
      </c>
      <c r="AE98" s="89">
        <v>0</v>
      </c>
      <c r="AF98" s="117"/>
      <c r="AG98" s="117"/>
      <c r="AH98" s="262"/>
      <c r="AI98" s="17"/>
      <c r="AJ98" s="17"/>
      <c r="AK98" s="17"/>
      <c r="AL98" s="17"/>
      <c r="AM98" s="17"/>
      <c r="AN98" s="17"/>
      <c r="AO98" s="17"/>
      <c r="AP98" s="15" t="str">
        <f>IFERROR(VLOOKUP(AO98,Legend!$D$2:$E$26,2,0),"")</f>
        <v/>
      </c>
      <c r="AQ98" s="15"/>
      <c r="AR98" s="17"/>
      <c r="AS98" s="17"/>
      <c r="AT98" s="15"/>
      <c r="AU98" s="17"/>
      <c r="AV98" s="17"/>
      <c r="AW98" s="17" t="s">
        <v>10</v>
      </c>
      <c r="AX98" s="15"/>
      <c r="AY98" s="15"/>
    </row>
    <row r="99" spans="1:51" x14ac:dyDescent="0.25">
      <c r="A99" s="15"/>
      <c r="B99" s="15"/>
      <c r="C99" s="15"/>
      <c r="D99" s="15"/>
      <c r="E99" s="91"/>
      <c r="F99" s="15"/>
      <c r="G99" s="15"/>
      <c r="H99" s="15"/>
      <c r="I99" s="15"/>
      <c r="J99" s="15"/>
      <c r="K99" s="89"/>
      <c r="L99" s="15"/>
      <c r="M99" s="89">
        <v>0</v>
      </c>
      <c r="N99" s="89">
        <v>0</v>
      </c>
      <c r="O99" s="89">
        <v>0</v>
      </c>
      <c r="P99" s="94">
        <v>0</v>
      </c>
      <c r="Q99" s="94">
        <v>0</v>
      </c>
      <c r="R99" s="94">
        <v>0</v>
      </c>
      <c r="S99" s="94">
        <v>0</v>
      </c>
      <c r="T99" s="89">
        <v>0</v>
      </c>
      <c r="U99" s="89">
        <v>0</v>
      </c>
      <c r="V99" s="94">
        <v>0</v>
      </c>
      <c r="W99" s="94">
        <v>0</v>
      </c>
      <c r="X99" s="94">
        <v>0</v>
      </c>
      <c r="Y99" s="89">
        <v>0</v>
      </c>
      <c r="Z99" s="94">
        <f t="shared" si="9"/>
        <v>0</v>
      </c>
      <c r="AA99" s="94">
        <f t="shared" si="10"/>
        <v>0</v>
      </c>
      <c r="AB99" s="89">
        <f t="shared" si="11"/>
        <v>0</v>
      </c>
      <c r="AC99" s="89">
        <f t="shared" si="12"/>
        <v>0</v>
      </c>
      <c r="AD99" s="89">
        <v>0</v>
      </c>
      <c r="AE99" s="89">
        <v>0</v>
      </c>
      <c r="AF99" s="117"/>
      <c r="AG99" s="117"/>
      <c r="AH99" s="262"/>
      <c r="AI99" s="17"/>
      <c r="AJ99" s="17"/>
      <c r="AK99" s="17"/>
      <c r="AL99" s="17"/>
      <c r="AM99" s="17"/>
      <c r="AN99" s="17"/>
      <c r="AO99" s="17"/>
      <c r="AP99" s="15" t="str">
        <f>IFERROR(VLOOKUP(AO99,Legend!$D$2:$E$26,2,0),"")</f>
        <v/>
      </c>
      <c r="AQ99" s="15"/>
      <c r="AR99" s="17"/>
      <c r="AS99" s="17"/>
      <c r="AT99" s="15"/>
      <c r="AU99" s="17"/>
      <c r="AV99" s="17"/>
      <c r="AW99" s="17" t="s">
        <v>10</v>
      </c>
      <c r="AX99" s="15"/>
      <c r="AY99" s="15"/>
    </row>
    <row r="100" spans="1:51" x14ac:dyDescent="0.25">
      <c r="A100" s="15"/>
      <c r="B100" s="15"/>
      <c r="C100" s="15"/>
      <c r="D100" s="15"/>
      <c r="E100" s="91"/>
      <c r="F100" s="15"/>
      <c r="G100" s="15"/>
      <c r="H100" s="15"/>
      <c r="I100" s="15"/>
      <c r="J100" s="15"/>
      <c r="K100" s="89"/>
      <c r="L100" s="15"/>
      <c r="M100" s="89">
        <v>0</v>
      </c>
      <c r="N100" s="89">
        <v>0</v>
      </c>
      <c r="O100" s="89">
        <v>0</v>
      </c>
      <c r="P100" s="94">
        <v>0</v>
      </c>
      <c r="Q100" s="94">
        <v>0</v>
      </c>
      <c r="R100" s="94">
        <v>0</v>
      </c>
      <c r="S100" s="94">
        <v>0</v>
      </c>
      <c r="T100" s="89">
        <v>0</v>
      </c>
      <c r="U100" s="89">
        <v>0</v>
      </c>
      <c r="V100" s="94">
        <v>0</v>
      </c>
      <c r="W100" s="94">
        <v>0</v>
      </c>
      <c r="X100" s="94">
        <v>0</v>
      </c>
      <c r="Y100" s="89">
        <v>0</v>
      </c>
      <c r="Z100" s="94">
        <f t="shared" si="9"/>
        <v>0</v>
      </c>
      <c r="AA100" s="94">
        <f t="shared" si="10"/>
        <v>0</v>
      </c>
      <c r="AB100" s="89">
        <f t="shared" si="11"/>
        <v>0</v>
      </c>
      <c r="AC100" s="89">
        <f t="shared" si="12"/>
        <v>0</v>
      </c>
      <c r="AD100" s="89">
        <v>0</v>
      </c>
      <c r="AE100" s="89">
        <v>0</v>
      </c>
      <c r="AF100" s="117"/>
      <c r="AG100" s="117"/>
      <c r="AH100" s="262"/>
      <c r="AI100" s="17"/>
      <c r="AJ100" s="17"/>
      <c r="AK100" s="17"/>
      <c r="AL100" s="17"/>
      <c r="AM100" s="17"/>
      <c r="AN100" s="17"/>
      <c r="AO100" s="17"/>
      <c r="AP100" s="15" t="str">
        <f>IFERROR(VLOOKUP(AO100,Legend!$D$2:$E$26,2,0),"")</f>
        <v/>
      </c>
      <c r="AQ100" s="15"/>
      <c r="AR100" s="17"/>
      <c r="AS100" s="17"/>
      <c r="AT100" s="15"/>
      <c r="AU100" s="17"/>
      <c r="AV100" s="17"/>
      <c r="AW100" s="17" t="s">
        <v>10</v>
      </c>
      <c r="AX100" s="15"/>
      <c r="AY100" s="15"/>
    </row>
    <row r="101" spans="1:51" x14ac:dyDescent="0.25">
      <c r="A101" s="15"/>
      <c r="B101" s="15"/>
      <c r="C101" s="15"/>
      <c r="D101" s="15"/>
      <c r="E101" s="91"/>
      <c r="F101" s="15"/>
      <c r="G101" s="15"/>
      <c r="H101" s="15"/>
      <c r="I101" s="15"/>
      <c r="J101" s="15"/>
      <c r="K101" s="89"/>
      <c r="L101" s="15"/>
      <c r="M101" s="89">
        <v>0</v>
      </c>
      <c r="N101" s="89">
        <v>0</v>
      </c>
      <c r="O101" s="89">
        <v>0</v>
      </c>
      <c r="P101" s="94">
        <v>0</v>
      </c>
      <c r="Q101" s="94">
        <v>0</v>
      </c>
      <c r="R101" s="94">
        <v>0</v>
      </c>
      <c r="S101" s="94">
        <v>0</v>
      </c>
      <c r="T101" s="89">
        <v>0</v>
      </c>
      <c r="U101" s="89">
        <v>0</v>
      </c>
      <c r="V101" s="94">
        <v>0</v>
      </c>
      <c r="W101" s="94">
        <v>0</v>
      </c>
      <c r="X101" s="94">
        <v>0</v>
      </c>
      <c r="Y101" s="89">
        <v>0</v>
      </c>
      <c r="Z101" s="94">
        <f t="shared" si="9"/>
        <v>0</v>
      </c>
      <c r="AA101" s="94">
        <f t="shared" si="10"/>
        <v>0</v>
      </c>
      <c r="AB101" s="89">
        <f t="shared" si="11"/>
        <v>0</v>
      </c>
      <c r="AC101" s="89">
        <f t="shared" si="12"/>
        <v>0</v>
      </c>
      <c r="AD101" s="89">
        <v>0</v>
      </c>
      <c r="AE101" s="89">
        <v>0</v>
      </c>
      <c r="AF101" s="117"/>
      <c r="AG101" s="117"/>
      <c r="AH101" s="262"/>
      <c r="AI101" s="17"/>
      <c r="AJ101" s="17"/>
      <c r="AK101" s="17"/>
      <c r="AL101" s="17"/>
      <c r="AM101" s="17"/>
      <c r="AN101" s="17"/>
      <c r="AO101" s="17"/>
      <c r="AP101" s="15" t="str">
        <f>IFERROR(VLOOKUP(AO101,Legend!$D$2:$E$26,2,0),"")</f>
        <v/>
      </c>
      <c r="AQ101" s="15"/>
      <c r="AR101" s="17"/>
      <c r="AS101" s="17"/>
      <c r="AT101" s="15"/>
      <c r="AU101" s="17"/>
      <c r="AV101" s="17"/>
      <c r="AW101" s="17" t="s">
        <v>10</v>
      </c>
      <c r="AX101" s="15"/>
      <c r="AY101" s="15"/>
    </row>
    <row r="102" spans="1:51" x14ac:dyDescent="0.25">
      <c r="A102" s="15"/>
      <c r="B102" s="15"/>
      <c r="C102" s="15"/>
      <c r="D102" s="15"/>
      <c r="E102" s="91"/>
      <c r="F102" s="15"/>
      <c r="G102" s="15"/>
      <c r="H102" s="15"/>
      <c r="I102" s="15"/>
      <c r="J102" s="15"/>
      <c r="K102" s="89"/>
      <c r="L102" s="15"/>
      <c r="M102" s="89">
        <v>0</v>
      </c>
      <c r="N102" s="89">
        <v>0</v>
      </c>
      <c r="O102" s="89">
        <v>0</v>
      </c>
      <c r="P102" s="94">
        <v>0</v>
      </c>
      <c r="Q102" s="94">
        <v>0</v>
      </c>
      <c r="R102" s="94">
        <v>0</v>
      </c>
      <c r="S102" s="94">
        <v>0</v>
      </c>
      <c r="T102" s="89">
        <v>0</v>
      </c>
      <c r="U102" s="89">
        <v>0</v>
      </c>
      <c r="V102" s="94">
        <v>0</v>
      </c>
      <c r="W102" s="94">
        <v>0</v>
      </c>
      <c r="X102" s="94">
        <v>0</v>
      </c>
      <c r="Y102" s="89">
        <v>0</v>
      </c>
      <c r="Z102" s="94">
        <f t="shared" si="9"/>
        <v>0</v>
      </c>
      <c r="AA102" s="94">
        <f t="shared" si="10"/>
        <v>0</v>
      </c>
      <c r="AB102" s="89">
        <f t="shared" si="11"/>
        <v>0</v>
      </c>
      <c r="AC102" s="89">
        <f t="shared" si="12"/>
        <v>0</v>
      </c>
      <c r="AD102" s="89">
        <v>0</v>
      </c>
      <c r="AE102" s="89">
        <v>0</v>
      </c>
      <c r="AF102" s="117"/>
      <c r="AG102" s="117"/>
      <c r="AH102" s="262"/>
      <c r="AI102" s="17"/>
      <c r="AJ102" s="17"/>
      <c r="AK102" s="17"/>
      <c r="AL102" s="17"/>
      <c r="AM102" s="17"/>
      <c r="AN102" s="17"/>
      <c r="AO102" s="17"/>
      <c r="AP102" s="15" t="str">
        <f>IFERROR(VLOOKUP(AO102,Legend!$D$2:$E$26,2,0),"")</f>
        <v/>
      </c>
      <c r="AQ102" s="15"/>
      <c r="AR102" s="17"/>
      <c r="AS102" s="17"/>
      <c r="AT102" s="15"/>
      <c r="AU102" s="17"/>
      <c r="AV102" s="17"/>
      <c r="AW102" s="17" t="s">
        <v>10</v>
      </c>
      <c r="AX102" s="15"/>
      <c r="AY102" s="15"/>
    </row>
    <row r="103" spans="1:51" x14ac:dyDescent="0.25">
      <c r="A103" s="15"/>
      <c r="B103" s="15"/>
      <c r="C103" s="15"/>
      <c r="D103" s="15"/>
      <c r="E103" s="91"/>
      <c r="F103" s="15"/>
      <c r="G103" s="15"/>
      <c r="H103" s="15"/>
      <c r="I103" s="15"/>
      <c r="J103" s="15"/>
      <c r="K103" s="89"/>
      <c r="L103" s="15"/>
      <c r="M103" s="89">
        <v>0</v>
      </c>
      <c r="N103" s="89">
        <v>0</v>
      </c>
      <c r="O103" s="89">
        <v>0</v>
      </c>
      <c r="P103" s="94">
        <v>0</v>
      </c>
      <c r="Q103" s="94">
        <v>0</v>
      </c>
      <c r="R103" s="94">
        <v>0</v>
      </c>
      <c r="S103" s="94">
        <v>0</v>
      </c>
      <c r="T103" s="89">
        <v>0</v>
      </c>
      <c r="U103" s="89">
        <v>0</v>
      </c>
      <c r="V103" s="94">
        <v>0</v>
      </c>
      <c r="W103" s="94">
        <v>0</v>
      </c>
      <c r="X103" s="94">
        <v>0</v>
      </c>
      <c r="Y103" s="89">
        <v>0</v>
      </c>
      <c r="Z103" s="94">
        <f t="shared" si="9"/>
        <v>0</v>
      </c>
      <c r="AA103" s="94">
        <f t="shared" si="10"/>
        <v>0</v>
      </c>
      <c r="AB103" s="89">
        <f t="shared" si="11"/>
        <v>0</v>
      </c>
      <c r="AC103" s="89">
        <f t="shared" si="12"/>
        <v>0</v>
      </c>
      <c r="AD103" s="89">
        <v>0</v>
      </c>
      <c r="AE103" s="89">
        <v>0</v>
      </c>
      <c r="AF103" s="117"/>
      <c r="AG103" s="117"/>
      <c r="AH103" s="262"/>
      <c r="AI103" s="17"/>
      <c r="AJ103" s="17"/>
      <c r="AK103" s="17"/>
      <c r="AL103" s="17"/>
      <c r="AM103" s="17"/>
      <c r="AN103" s="17"/>
      <c r="AO103" s="17"/>
      <c r="AP103" s="15" t="str">
        <f>IFERROR(VLOOKUP(AO103,Legend!$D$2:$E$26,2,0),"")</f>
        <v/>
      </c>
      <c r="AQ103" s="15"/>
      <c r="AR103" s="17"/>
      <c r="AS103" s="17"/>
      <c r="AT103" s="15"/>
      <c r="AU103" s="17"/>
      <c r="AV103" s="17"/>
      <c r="AW103" s="17" t="s">
        <v>10</v>
      </c>
      <c r="AX103" s="15"/>
      <c r="AY103" s="15"/>
    </row>
    <row r="104" spans="1:51" x14ac:dyDescent="0.25">
      <c r="A104" s="15"/>
      <c r="B104" s="15"/>
      <c r="C104" s="15"/>
      <c r="D104" s="15"/>
      <c r="E104" s="91"/>
      <c r="F104" s="15"/>
      <c r="G104" s="15"/>
      <c r="H104" s="15"/>
      <c r="I104" s="15"/>
      <c r="J104" s="15"/>
      <c r="K104" s="89"/>
      <c r="L104" s="15"/>
      <c r="M104" s="89">
        <v>0</v>
      </c>
      <c r="N104" s="89">
        <v>0</v>
      </c>
      <c r="O104" s="89">
        <v>0</v>
      </c>
      <c r="P104" s="94">
        <v>0</v>
      </c>
      <c r="Q104" s="94">
        <v>0</v>
      </c>
      <c r="R104" s="94">
        <v>0</v>
      </c>
      <c r="S104" s="94">
        <v>0</v>
      </c>
      <c r="T104" s="89">
        <v>0</v>
      </c>
      <c r="U104" s="89">
        <v>0</v>
      </c>
      <c r="V104" s="94">
        <v>0</v>
      </c>
      <c r="W104" s="94">
        <v>0</v>
      </c>
      <c r="X104" s="94">
        <v>0</v>
      </c>
      <c r="Y104" s="89">
        <v>0</v>
      </c>
      <c r="Z104" s="94">
        <f t="shared" si="9"/>
        <v>0</v>
      </c>
      <c r="AA104" s="94">
        <f t="shared" si="10"/>
        <v>0</v>
      </c>
      <c r="AB104" s="89">
        <f t="shared" si="11"/>
        <v>0</v>
      </c>
      <c r="AC104" s="89">
        <f t="shared" si="12"/>
        <v>0</v>
      </c>
      <c r="AD104" s="89">
        <v>0</v>
      </c>
      <c r="AE104" s="89">
        <v>0</v>
      </c>
      <c r="AF104" s="117"/>
      <c r="AG104" s="117"/>
      <c r="AH104" s="262"/>
      <c r="AI104" s="17"/>
      <c r="AJ104" s="17"/>
      <c r="AK104" s="17"/>
      <c r="AL104" s="17"/>
      <c r="AM104" s="17"/>
      <c r="AN104" s="17"/>
      <c r="AO104" s="17"/>
      <c r="AP104" s="15" t="str">
        <f>IFERROR(VLOOKUP(AO104,Legend!$D$2:$E$26,2,0),"")</f>
        <v/>
      </c>
      <c r="AQ104" s="15"/>
      <c r="AR104" s="17"/>
      <c r="AS104" s="17"/>
      <c r="AT104" s="15"/>
      <c r="AU104" s="17"/>
      <c r="AV104" s="17"/>
      <c r="AW104" s="17" t="s">
        <v>10</v>
      </c>
      <c r="AX104" s="15"/>
      <c r="AY104" s="15"/>
    </row>
    <row r="105" spans="1:51" x14ac:dyDescent="0.25">
      <c r="A105" s="15"/>
      <c r="B105" s="15"/>
      <c r="C105" s="15"/>
      <c r="D105" s="15"/>
      <c r="E105" s="91"/>
      <c r="F105" s="15"/>
      <c r="G105" s="15"/>
      <c r="H105" s="15"/>
      <c r="I105" s="15"/>
      <c r="J105" s="15"/>
      <c r="K105" s="89"/>
      <c r="L105" s="15"/>
      <c r="M105" s="89">
        <v>0</v>
      </c>
      <c r="N105" s="89">
        <v>0</v>
      </c>
      <c r="O105" s="89">
        <v>0</v>
      </c>
      <c r="P105" s="94">
        <v>0</v>
      </c>
      <c r="Q105" s="94">
        <v>0</v>
      </c>
      <c r="R105" s="94">
        <v>0</v>
      </c>
      <c r="S105" s="94">
        <v>0</v>
      </c>
      <c r="T105" s="89">
        <v>0</v>
      </c>
      <c r="U105" s="89">
        <v>0</v>
      </c>
      <c r="V105" s="94">
        <v>0</v>
      </c>
      <c r="W105" s="94">
        <v>0</v>
      </c>
      <c r="X105" s="94">
        <v>0</v>
      </c>
      <c r="Y105" s="89">
        <v>0</v>
      </c>
      <c r="Z105" s="94">
        <f t="shared" si="9"/>
        <v>0</v>
      </c>
      <c r="AA105" s="94">
        <f t="shared" si="10"/>
        <v>0</v>
      </c>
      <c r="AB105" s="89">
        <f t="shared" si="11"/>
        <v>0</v>
      </c>
      <c r="AC105" s="89">
        <f t="shared" si="12"/>
        <v>0</v>
      </c>
      <c r="AD105" s="89">
        <v>0</v>
      </c>
      <c r="AE105" s="89">
        <v>0</v>
      </c>
      <c r="AF105" s="117"/>
      <c r="AG105" s="117"/>
      <c r="AH105" s="262"/>
      <c r="AI105" s="17"/>
      <c r="AJ105" s="17"/>
      <c r="AK105" s="17"/>
      <c r="AL105" s="17"/>
      <c r="AM105" s="17"/>
      <c r="AN105" s="17"/>
      <c r="AO105" s="17"/>
      <c r="AP105" s="15" t="str">
        <f>IFERROR(VLOOKUP(AO105,Legend!$D$2:$E$26,2,0),"")</f>
        <v/>
      </c>
      <c r="AQ105" s="15"/>
      <c r="AR105" s="17"/>
      <c r="AS105" s="17"/>
      <c r="AT105" s="15"/>
      <c r="AU105" s="17"/>
      <c r="AV105" s="17"/>
      <c r="AW105" s="17" t="s">
        <v>10</v>
      </c>
      <c r="AX105" s="15"/>
      <c r="AY105" s="15"/>
    </row>
    <row r="106" spans="1:51" x14ac:dyDescent="0.25">
      <c r="A106" s="15"/>
      <c r="B106" s="15"/>
      <c r="C106" s="15"/>
      <c r="D106" s="15"/>
      <c r="E106" s="91"/>
      <c r="F106" s="15"/>
      <c r="G106" s="15"/>
      <c r="H106" s="15"/>
      <c r="I106" s="15"/>
      <c r="J106" s="15"/>
      <c r="K106" s="89"/>
      <c r="L106" s="15"/>
      <c r="M106" s="89">
        <v>0</v>
      </c>
      <c r="N106" s="89">
        <v>0</v>
      </c>
      <c r="O106" s="89">
        <v>0</v>
      </c>
      <c r="P106" s="94">
        <v>0</v>
      </c>
      <c r="Q106" s="94">
        <v>0</v>
      </c>
      <c r="R106" s="94">
        <v>0</v>
      </c>
      <c r="S106" s="94">
        <v>0</v>
      </c>
      <c r="T106" s="89">
        <v>0</v>
      </c>
      <c r="U106" s="89">
        <v>0</v>
      </c>
      <c r="V106" s="94">
        <v>0</v>
      </c>
      <c r="W106" s="94">
        <v>0</v>
      </c>
      <c r="X106" s="94">
        <v>0</v>
      </c>
      <c r="Y106" s="89">
        <v>0</v>
      </c>
      <c r="Z106" s="94">
        <f t="shared" si="9"/>
        <v>0</v>
      </c>
      <c r="AA106" s="94">
        <f t="shared" si="10"/>
        <v>0</v>
      </c>
      <c r="AB106" s="89">
        <f t="shared" si="11"/>
        <v>0</v>
      </c>
      <c r="AC106" s="89">
        <f t="shared" si="12"/>
        <v>0</v>
      </c>
      <c r="AD106" s="89">
        <v>0</v>
      </c>
      <c r="AE106" s="89">
        <v>0</v>
      </c>
      <c r="AF106" s="117"/>
      <c r="AG106" s="117"/>
      <c r="AH106" s="262"/>
      <c r="AI106" s="17"/>
      <c r="AJ106" s="17"/>
      <c r="AK106" s="17"/>
      <c r="AL106" s="17"/>
      <c r="AM106" s="17"/>
      <c r="AN106" s="17"/>
      <c r="AO106" s="17"/>
      <c r="AP106" s="15" t="str">
        <f>IFERROR(VLOOKUP(AO106,Legend!$D$2:$E$26,2,0),"")</f>
        <v/>
      </c>
      <c r="AQ106" s="15"/>
      <c r="AR106" s="17"/>
      <c r="AS106" s="17"/>
      <c r="AT106" s="15"/>
      <c r="AU106" s="17"/>
      <c r="AV106" s="17"/>
      <c r="AW106" s="17" t="s">
        <v>10</v>
      </c>
      <c r="AX106" s="15"/>
      <c r="AY106" s="15"/>
    </row>
    <row r="107" spans="1:51" x14ac:dyDescent="0.25">
      <c r="A107" s="15"/>
      <c r="B107" s="15"/>
      <c r="C107" s="15"/>
      <c r="D107" s="15"/>
      <c r="E107" s="91"/>
      <c r="F107" s="15"/>
      <c r="G107" s="15"/>
      <c r="H107" s="15"/>
      <c r="I107" s="15"/>
      <c r="J107" s="15"/>
      <c r="K107" s="89"/>
      <c r="L107" s="15"/>
      <c r="M107" s="89">
        <v>0</v>
      </c>
      <c r="N107" s="89">
        <v>0</v>
      </c>
      <c r="O107" s="89">
        <v>0</v>
      </c>
      <c r="P107" s="94">
        <v>0</v>
      </c>
      <c r="Q107" s="94">
        <v>0</v>
      </c>
      <c r="R107" s="94">
        <v>0</v>
      </c>
      <c r="S107" s="94">
        <v>0</v>
      </c>
      <c r="T107" s="89">
        <v>0</v>
      </c>
      <c r="U107" s="89">
        <v>0</v>
      </c>
      <c r="V107" s="94">
        <v>0</v>
      </c>
      <c r="W107" s="94">
        <v>0</v>
      </c>
      <c r="X107" s="94">
        <v>0</v>
      </c>
      <c r="Y107" s="89">
        <v>0</v>
      </c>
      <c r="Z107" s="94">
        <f t="shared" si="9"/>
        <v>0</v>
      </c>
      <c r="AA107" s="94">
        <f t="shared" si="10"/>
        <v>0</v>
      </c>
      <c r="AB107" s="89">
        <f t="shared" si="11"/>
        <v>0</v>
      </c>
      <c r="AC107" s="89">
        <f t="shared" si="12"/>
        <v>0</v>
      </c>
      <c r="AD107" s="89">
        <v>0</v>
      </c>
      <c r="AE107" s="89">
        <v>0</v>
      </c>
      <c r="AF107" s="117"/>
      <c r="AG107" s="117"/>
      <c r="AH107" s="262"/>
      <c r="AI107" s="17"/>
      <c r="AJ107" s="17"/>
      <c r="AK107" s="17"/>
      <c r="AL107" s="17"/>
      <c r="AM107" s="17"/>
      <c r="AN107" s="17"/>
      <c r="AO107" s="17"/>
      <c r="AP107" s="15" t="str">
        <f>IFERROR(VLOOKUP(AO107,Legend!$D$2:$E$26,2,0),"")</f>
        <v/>
      </c>
      <c r="AQ107" s="15"/>
      <c r="AR107" s="17"/>
      <c r="AS107" s="17"/>
      <c r="AT107" s="15"/>
      <c r="AU107" s="17"/>
      <c r="AV107" s="17"/>
      <c r="AW107" s="17" t="s">
        <v>10</v>
      </c>
      <c r="AX107" s="15"/>
      <c r="AY107" s="15"/>
    </row>
    <row r="108" spans="1:51" x14ac:dyDescent="0.25">
      <c r="A108" s="15"/>
      <c r="B108" s="15"/>
      <c r="C108" s="15"/>
      <c r="D108" s="15"/>
      <c r="E108" s="91"/>
      <c r="F108" s="15"/>
      <c r="G108" s="15"/>
      <c r="H108" s="15"/>
      <c r="I108" s="15"/>
      <c r="J108" s="15"/>
      <c r="K108" s="89"/>
      <c r="L108" s="15"/>
      <c r="M108" s="89">
        <v>0</v>
      </c>
      <c r="N108" s="89">
        <v>0</v>
      </c>
      <c r="O108" s="89">
        <v>0</v>
      </c>
      <c r="P108" s="94">
        <v>0</v>
      </c>
      <c r="Q108" s="94">
        <v>0</v>
      </c>
      <c r="R108" s="94">
        <v>0</v>
      </c>
      <c r="S108" s="94">
        <v>0</v>
      </c>
      <c r="T108" s="89">
        <v>0</v>
      </c>
      <c r="U108" s="89">
        <v>0</v>
      </c>
      <c r="V108" s="94">
        <v>0</v>
      </c>
      <c r="W108" s="94">
        <v>0</v>
      </c>
      <c r="X108" s="94">
        <v>0</v>
      </c>
      <c r="Y108" s="89">
        <v>0</v>
      </c>
      <c r="Z108" s="94">
        <f t="shared" si="9"/>
        <v>0</v>
      </c>
      <c r="AA108" s="94">
        <f t="shared" si="10"/>
        <v>0</v>
      </c>
      <c r="AB108" s="89">
        <f t="shared" si="11"/>
        <v>0</v>
      </c>
      <c r="AC108" s="89">
        <f t="shared" si="12"/>
        <v>0</v>
      </c>
      <c r="AD108" s="89">
        <v>0</v>
      </c>
      <c r="AE108" s="89">
        <v>0</v>
      </c>
      <c r="AF108" s="117"/>
      <c r="AG108" s="117"/>
      <c r="AH108" s="262"/>
      <c r="AI108" s="17"/>
      <c r="AJ108" s="17"/>
      <c r="AK108" s="17"/>
      <c r="AL108" s="17"/>
      <c r="AM108" s="17"/>
      <c r="AN108" s="17"/>
      <c r="AO108" s="17"/>
      <c r="AP108" s="15" t="str">
        <f>IFERROR(VLOOKUP(AO108,Legend!$D$2:$E$26,2,0),"")</f>
        <v/>
      </c>
      <c r="AQ108" s="15"/>
      <c r="AR108" s="17"/>
      <c r="AS108" s="17"/>
      <c r="AT108" s="15"/>
      <c r="AU108" s="17"/>
      <c r="AV108" s="17"/>
      <c r="AW108" s="17" t="s">
        <v>10</v>
      </c>
      <c r="AX108" s="15"/>
      <c r="AY108" s="15"/>
    </row>
    <row r="109" spans="1:51" x14ac:dyDescent="0.25">
      <c r="A109" s="15"/>
      <c r="B109" s="15"/>
      <c r="C109" s="15"/>
      <c r="D109" s="15"/>
      <c r="E109" s="91"/>
      <c r="F109" s="15"/>
      <c r="G109" s="15"/>
      <c r="H109" s="15"/>
      <c r="I109" s="15"/>
      <c r="J109" s="15"/>
      <c r="K109" s="89"/>
      <c r="L109" s="15"/>
      <c r="M109" s="89">
        <v>0</v>
      </c>
      <c r="N109" s="89">
        <v>0</v>
      </c>
      <c r="O109" s="89">
        <v>0</v>
      </c>
      <c r="P109" s="94">
        <v>0</v>
      </c>
      <c r="Q109" s="94">
        <v>0</v>
      </c>
      <c r="R109" s="94">
        <v>0</v>
      </c>
      <c r="S109" s="94">
        <v>0</v>
      </c>
      <c r="T109" s="89">
        <v>0</v>
      </c>
      <c r="U109" s="89">
        <v>0</v>
      </c>
      <c r="V109" s="94">
        <v>0</v>
      </c>
      <c r="W109" s="94">
        <v>0</v>
      </c>
      <c r="X109" s="94">
        <v>0</v>
      </c>
      <c r="Y109" s="89">
        <v>0</v>
      </c>
      <c r="Z109" s="94">
        <f t="shared" si="9"/>
        <v>0</v>
      </c>
      <c r="AA109" s="94">
        <f t="shared" si="10"/>
        <v>0</v>
      </c>
      <c r="AB109" s="89">
        <f t="shared" si="11"/>
        <v>0</v>
      </c>
      <c r="AC109" s="89">
        <f t="shared" si="12"/>
        <v>0</v>
      </c>
      <c r="AD109" s="89">
        <v>0</v>
      </c>
      <c r="AE109" s="89">
        <v>0</v>
      </c>
      <c r="AF109" s="117"/>
      <c r="AG109" s="117"/>
      <c r="AH109" s="262"/>
      <c r="AI109" s="17"/>
      <c r="AJ109" s="17"/>
      <c r="AK109" s="17"/>
      <c r="AL109" s="17"/>
      <c r="AM109" s="17"/>
      <c r="AN109" s="17"/>
      <c r="AO109" s="17"/>
      <c r="AP109" s="15" t="str">
        <f>IFERROR(VLOOKUP(AO109,Legend!$D$2:$E$26,2,0),"")</f>
        <v/>
      </c>
      <c r="AQ109" s="15"/>
      <c r="AR109" s="17"/>
      <c r="AS109" s="17"/>
      <c r="AT109" s="15"/>
      <c r="AU109" s="17"/>
      <c r="AV109" s="17"/>
      <c r="AW109" s="17" t="s">
        <v>10</v>
      </c>
      <c r="AX109" s="15"/>
      <c r="AY109" s="15"/>
    </row>
    <row r="110" spans="1:51" x14ac:dyDescent="0.25">
      <c r="A110" s="15"/>
      <c r="B110" s="15"/>
      <c r="C110" s="15"/>
      <c r="D110" s="15"/>
      <c r="E110" s="91"/>
      <c r="F110" s="15"/>
      <c r="G110" s="15"/>
      <c r="H110" s="15"/>
      <c r="I110" s="15"/>
      <c r="J110" s="15"/>
      <c r="K110" s="89"/>
      <c r="L110" s="15"/>
      <c r="M110" s="89">
        <v>0</v>
      </c>
      <c r="N110" s="89">
        <v>0</v>
      </c>
      <c r="O110" s="89">
        <v>0</v>
      </c>
      <c r="P110" s="94">
        <v>0</v>
      </c>
      <c r="Q110" s="94">
        <v>0</v>
      </c>
      <c r="R110" s="94">
        <v>0</v>
      </c>
      <c r="S110" s="94">
        <v>0</v>
      </c>
      <c r="T110" s="89">
        <v>0</v>
      </c>
      <c r="U110" s="89">
        <v>0</v>
      </c>
      <c r="V110" s="94">
        <v>0</v>
      </c>
      <c r="W110" s="94">
        <v>0</v>
      </c>
      <c r="X110" s="94">
        <v>0</v>
      </c>
      <c r="Y110" s="89">
        <v>0</v>
      </c>
      <c r="Z110" s="94">
        <f t="shared" si="9"/>
        <v>0</v>
      </c>
      <c r="AA110" s="94">
        <f t="shared" si="10"/>
        <v>0</v>
      </c>
      <c r="AB110" s="89">
        <f t="shared" si="11"/>
        <v>0</v>
      </c>
      <c r="AC110" s="89">
        <f t="shared" si="12"/>
        <v>0</v>
      </c>
      <c r="AD110" s="89">
        <v>0</v>
      </c>
      <c r="AE110" s="89">
        <v>0</v>
      </c>
      <c r="AF110" s="117"/>
      <c r="AG110" s="117"/>
      <c r="AH110" s="262"/>
      <c r="AI110" s="17"/>
      <c r="AJ110" s="17"/>
      <c r="AK110" s="17"/>
      <c r="AL110" s="17"/>
      <c r="AM110" s="17"/>
      <c r="AN110" s="17"/>
      <c r="AO110" s="17"/>
      <c r="AP110" s="15" t="str">
        <f>IFERROR(VLOOKUP(AO110,Legend!$D$2:$E$26,2,0),"")</f>
        <v/>
      </c>
      <c r="AQ110" s="15"/>
      <c r="AR110" s="17"/>
      <c r="AS110" s="17"/>
      <c r="AT110" s="15"/>
      <c r="AU110" s="17"/>
      <c r="AV110" s="17"/>
      <c r="AW110" s="17" t="s">
        <v>10</v>
      </c>
      <c r="AX110" s="15"/>
      <c r="AY110" s="15"/>
    </row>
    <row r="111" spans="1:51" x14ac:dyDescent="0.25">
      <c r="A111" s="15"/>
      <c r="B111" s="15"/>
      <c r="C111" s="15"/>
      <c r="D111" s="15"/>
      <c r="E111" s="91"/>
      <c r="F111" s="15"/>
      <c r="G111" s="15"/>
      <c r="H111" s="15"/>
      <c r="I111" s="15"/>
      <c r="J111" s="15"/>
      <c r="K111" s="89"/>
      <c r="L111" s="15"/>
      <c r="M111" s="89">
        <v>0</v>
      </c>
      <c r="N111" s="89">
        <v>0</v>
      </c>
      <c r="O111" s="89">
        <v>0</v>
      </c>
      <c r="P111" s="94">
        <v>0</v>
      </c>
      <c r="Q111" s="94">
        <v>0</v>
      </c>
      <c r="R111" s="94">
        <v>0</v>
      </c>
      <c r="S111" s="94">
        <v>0</v>
      </c>
      <c r="T111" s="89">
        <v>0</v>
      </c>
      <c r="U111" s="89">
        <v>0</v>
      </c>
      <c r="V111" s="94">
        <v>0</v>
      </c>
      <c r="W111" s="94">
        <v>0</v>
      </c>
      <c r="X111" s="94">
        <v>0</v>
      </c>
      <c r="Y111" s="89">
        <v>0</v>
      </c>
      <c r="Z111" s="94">
        <f t="shared" si="9"/>
        <v>0</v>
      </c>
      <c r="AA111" s="94">
        <f t="shared" si="10"/>
        <v>0</v>
      </c>
      <c r="AB111" s="89">
        <f t="shared" si="11"/>
        <v>0</v>
      </c>
      <c r="AC111" s="89">
        <f t="shared" si="12"/>
        <v>0</v>
      </c>
      <c r="AD111" s="89">
        <v>0</v>
      </c>
      <c r="AE111" s="89">
        <v>0</v>
      </c>
      <c r="AF111" s="117"/>
      <c r="AG111" s="117"/>
      <c r="AH111" s="262"/>
      <c r="AI111" s="17"/>
      <c r="AJ111" s="17"/>
      <c r="AK111" s="17"/>
      <c r="AL111" s="17"/>
      <c r="AM111" s="17"/>
      <c r="AN111" s="17"/>
      <c r="AO111" s="17"/>
      <c r="AP111" s="15" t="str">
        <f>IFERROR(VLOOKUP(AO111,Legend!$D$2:$E$26,2,0),"")</f>
        <v/>
      </c>
      <c r="AQ111" s="15"/>
      <c r="AR111" s="17"/>
      <c r="AS111" s="17"/>
      <c r="AT111" s="15"/>
      <c r="AU111" s="17"/>
      <c r="AV111" s="17"/>
      <c r="AW111" s="17" t="s">
        <v>10</v>
      </c>
      <c r="AX111" s="15"/>
      <c r="AY111" s="15"/>
    </row>
    <row r="112" spans="1:51" x14ac:dyDescent="0.25">
      <c r="A112" s="15"/>
      <c r="B112" s="15"/>
      <c r="C112" s="15"/>
      <c r="D112" s="15"/>
      <c r="E112" s="91"/>
      <c r="F112" s="15"/>
      <c r="G112" s="15"/>
      <c r="H112" s="15"/>
      <c r="I112" s="15"/>
      <c r="J112" s="15"/>
      <c r="K112" s="89"/>
      <c r="L112" s="15"/>
      <c r="M112" s="89">
        <v>0</v>
      </c>
      <c r="N112" s="89">
        <v>0</v>
      </c>
      <c r="O112" s="89">
        <v>0</v>
      </c>
      <c r="P112" s="94">
        <v>0</v>
      </c>
      <c r="Q112" s="94">
        <v>0</v>
      </c>
      <c r="R112" s="94">
        <v>0</v>
      </c>
      <c r="S112" s="94">
        <v>0</v>
      </c>
      <c r="T112" s="89">
        <v>0</v>
      </c>
      <c r="U112" s="89">
        <v>0</v>
      </c>
      <c r="V112" s="94">
        <v>0</v>
      </c>
      <c r="W112" s="94">
        <v>0</v>
      </c>
      <c r="X112" s="94">
        <v>0</v>
      </c>
      <c r="Y112" s="89">
        <v>0</v>
      </c>
      <c r="Z112" s="94">
        <f t="shared" si="9"/>
        <v>0</v>
      </c>
      <c r="AA112" s="94">
        <f t="shared" si="10"/>
        <v>0</v>
      </c>
      <c r="AB112" s="89">
        <f t="shared" si="11"/>
        <v>0</v>
      </c>
      <c r="AC112" s="89">
        <f t="shared" si="12"/>
        <v>0</v>
      </c>
      <c r="AD112" s="89">
        <v>0</v>
      </c>
      <c r="AE112" s="89">
        <v>0</v>
      </c>
      <c r="AF112" s="117"/>
      <c r="AG112" s="117"/>
      <c r="AH112" s="262"/>
      <c r="AI112" s="17"/>
      <c r="AJ112" s="17"/>
      <c r="AK112" s="17"/>
      <c r="AL112" s="17"/>
      <c r="AM112" s="17"/>
      <c r="AN112" s="17"/>
      <c r="AO112" s="17"/>
      <c r="AP112" s="15" t="str">
        <f>IFERROR(VLOOKUP(AO112,Legend!$D$2:$E$26,2,0),"")</f>
        <v/>
      </c>
      <c r="AQ112" s="15"/>
      <c r="AR112" s="17"/>
      <c r="AS112" s="17"/>
      <c r="AT112" s="15"/>
      <c r="AU112" s="17"/>
      <c r="AV112" s="17"/>
      <c r="AW112" s="17" t="s">
        <v>10</v>
      </c>
      <c r="AX112" s="15"/>
      <c r="AY112" s="15"/>
    </row>
    <row r="113" spans="1:51" x14ac:dyDescent="0.25">
      <c r="A113" s="15"/>
      <c r="B113" s="15"/>
      <c r="C113" s="15"/>
      <c r="D113" s="15"/>
      <c r="E113" s="91"/>
      <c r="F113" s="15"/>
      <c r="G113" s="15"/>
      <c r="H113" s="15"/>
      <c r="I113" s="15"/>
      <c r="J113" s="15"/>
      <c r="K113" s="89"/>
      <c r="L113" s="15"/>
      <c r="M113" s="89">
        <v>0</v>
      </c>
      <c r="N113" s="89">
        <v>0</v>
      </c>
      <c r="O113" s="89">
        <v>0</v>
      </c>
      <c r="P113" s="94">
        <v>0</v>
      </c>
      <c r="Q113" s="94">
        <v>0</v>
      </c>
      <c r="R113" s="94">
        <v>0</v>
      </c>
      <c r="S113" s="94">
        <v>0</v>
      </c>
      <c r="T113" s="89">
        <v>0</v>
      </c>
      <c r="U113" s="89">
        <v>0</v>
      </c>
      <c r="V113" s="94">
        <v>0</v>
      </c>
      <c r="W113" s="94">
        <v>0</v>
      </c>
      <c r="X113" s="94">
        <v>0</v>
      </c>
      <c r="Y113" s="89">
        <v>0</v>
      </c>
      <c r="Z113" s="94">
        <f t="shared" si="9"/>
        <v>0</v>
      </c>
      <c r="AA113" s="94">
        <f t="shared" si="10"/>
        <v>0</v>
      </c>
      <c r="AB113" s="89">
        <f t="shared" si="11"/>
        <v>0</v>
      </c>
      <c r="AC113" s="89">
        <f t="shared" si="12"/>
        <v>0</v>
      </c>
      <c r="AD113" s="89">
        <v>0</v>
      </c>
      <c r="AE113" s="89">
        <v>0</v>
      </c>
      <c r="AF113" s="117"/>
      <c r="AG113" s="117"/>
      <c r="AH113" s="262"/>
      <c r="AI113" s="17"/>
      <c r="AJ113" s="17"/>
      <c r="AK113" s="17"/>
      <c r="AL113" s="17"/>
      <c r="AM113" s="17"/>
      <c r="AN113" s="17"/>
      <c r="AO113" s="17"/>
      <c r="AP113" s="15" t="str">
        <f>IFERROR(VLOOKUP(AO113,Legend!$D$2:$E$26,2,0),"")</f>
        <v/>
      </c>
      <c r="AQ113" s="15"/>
      <c r="AR113" s="17"/>
      <c r="AS113" s="17"/>
      <c r="AT113" s="15"/>
      <c r="AU113" s="17"/>
      <c r="AV113" s="17"/>
      <c r="AW113" s="17" t="s">
        <v>10</v>
      </c>
      <c r="AX113" s="15"/>
      <c r="AY113" s="15"/>
    </row>
    <row r="114" spans="1:51" x14ac:dyDescent="0.25">
      <c r="A114" s="15"/>
      <c r="B114" s="15"/>
      <c r="C114" s="15"/>
      <c r="D114" s="15"/>
      <c r="E114" s="91"/>
      <c r="F114" s="15"/>
      <c r="G114" s="15"/>
      <c r="H114" s="15"/>
      <c r="I114" s="15"/>
      <c r="J114" s="15"/>
      <c r="K114" s="89"/>
      <c r="L114" s="15"/>
      <c r="M114" s="89">
        <v>0</v>
      </c>
      <c r="N114" s="89">
        <v>0</v>
      </c>
      <c r="O114" s="89">
        <v>0</v>
      </c>
      <c r="P114" s="94">
        <v>0</v>
      </c>
      <c r="Q114" s="94">
        <v>0</v>
      </c>
      <c r="R114" s="94">
        <v>0</v>
      </c>
      <c r="S114" s="94">
        <v>0</v>
      </c>
      <c r="T114" s="89">
        <v>0</v>
      </c>
      <c r="U114" s="89">
        <v>0</v>
      </c>
      <c r="V114" s="94">
        <v>0</v>
      </c>
      <c r="W114" s="94">
        <v>0</v>
      </c>
      <c r="X114" s="94">
        <v>0</v>
      </c>
      <c r="Y114" s="89">
        <v>0</v>
      </c>
      <c r="Z114" s="94">
        <f t="shared" si="9"/>
        <v>0</v>
      </c>
      <c r="AA114" s="94">
        <f t="shared" si="10"/>
        <v>0</v>
      </c>
      <c r="AB114" s="89">
        <f t="shared" si="11"/>
        <v>0</v>
      </c>
      <c r="AC114" s="89">
        <f t="shared" si="12"/>
        <v>0</v>
      </c>
      <c r="AD114" s="89">
        <v>0</v>
      </c>
      <c r="AE114" s="89">
        <v>0</v>
      </c>
      <c r="AF114" s="117"/>
      <c r="AG114" s="117"/>
      <c r="AH114" s="262"/>
      <c r="AI114" s="17"/>
      <c r="AJ114" s="17"/>
      <c r="AK114" s="17"/>
      <c r="AL114" s="17"/>
      <c r="AM114" s="17"/>
      <c r="AN114" s="17"/>
      <c r="AO114" s="17"/>
      <c r="AP114" s="15" t="str">
        <f>IFERROR(VLOOKUP(AO114,Legend!$D$2:$E$26,2,0),"")</f>
        <v/>
      </c>
      <c r="AQ114" s="15"/>
      <c r="AR114" s="17"/>
      <c r="AS114" s="17"/>
      <c r="AT114" s="15"/>
      <c r="AU114" s="17"/>
      <c r="AV114" s="17"/>
      <c r="AW114" s="17" t="s">
        <v>10</v>
      </c>
      <c r="AX114" s="15"/>
      <c r="AY114" s="15"/>
    </row>
    <row r="115" spans="1:51" x14ac:dyDescent="0.25">
      <c r="A115" s="15"/>
      <c r="B115" s="15"/>
      <c r="C115" s="15"/>
      <c r="D115" s="15"/>
      <c r="E115" s="91"/>
      <c r="F115" s="15"/>
      <c r="G115" s="15"/>
      <c r="H115" s="15"/>
      <c r="I115" s="15"/>
      <c r="J115" s="15"/>
      <c r="K115" s="89"/>
      <c r="L115" s="15"/>
      <c r="M115" s="89">
        <v>0</v>
      </c>
      <c r="N115" s="89">
        <v>0</v>
      </c>
      <c r="O115" s="89">
        <v>0</v>
      </c>
      <c r="P115" s="94">
        <v>0</v>
      </c>
      <c r="Q115" s="94">
        <v>0</v>
      </c>
      <c r="R115" s="94">
        <v>0</v>
      </c>
      <c r="S115" s="94">
        <v>0</v>
      </c>
      <c r="T115" s="89">
        <v>0</v>
      </c>
      <c r="U115" s="89">
        <v>0</v>
      </c>
      <c r="V115" s="94">
        <v>0</v>
      </c>
      <c r="W115" s="94">
        <v>0</v>
      </c>
      <c r="X115" s="94">
        <v>0</v>
      </c>
      <c r="Y115" s="89">
        <v>0</v>
      </c>
      <c r="Z115" s="94">
        <f t="shared" si="9"/>
        <v>0</v>
      </c>
      <c r="AA115" s="94">
        <f t="shared" si="10"/>
        <v>0</v>
      </c>
      <c r="AB115" s="89">
        <f t="shared" si="11"/>
        <v>0</v>
      </c>
      <c r="AC115" s="89">
        <f t="shared" si="12"/>
        <v>0</v>
      </c>
      <c r="AD115" s="89">
        <v>0</v>
      </c>
      <c r="AE115" s="89">
        <v>0</v>
      </c>
      <c r="AF115" s="117"/>
      <c r="AG115" s="117"/>
      <c r="AH115" s="262"/>
      <c r="AI115" s="17"/>
      <c r="AJ115" s="17"/>
      <c r="AK115" s="17"/>
      <c r="AL115" s="17"/>
      <c r="AM115" s="17"/>
      <c r="AN115" s="17"/>
      <c r="AO115" s="17"/>
      <c r="AP115" s="15" t="str">
        <f>IFERROR(VLOOKUP(AO115,Legend!$D$2:$E$26,2,0),"")</f>
        <v/>
      </c>
      <c r="AQ115" s="15"/>
      <c r="AR115" s="17"/>
      <c r="AS115" s="17"/>
      <c r="AT115" s="15"/>
      <c r="AU115" s="17"/>
      <c r="AV115" s="17"/>
      <c r="AW115" s="17" t="s">
        <v>10</v>
      </c>
      <c r="AX115" s="15"/>
      <c r="AY115" s="15"/>
    </row>
    <row r="116" spans="1:51" x14ac:dyDescent="0.25">
      <c r="A116" s="15"/>
      <c r="B116" s="15"/>
      <c r="C116" s="15"/>
      <c r="D116" s="15"/>
      <c r="E116" s="91"/>
      <c r="F116" s="15"/>
      <c r="G116" s="15"/>
      <c r="H116" s="15"/>
      <c r="I116" s="15"/>
      <c r="J116" s="15"/>
      <c r="K116" s="89"/>
      <c r="L116" s="15"/>
      <c r="M116" s="89">
        <v>0</v>
      </c>
      <c r="N116" s="89">
        <v>0</v>
      </c>
      <c r="O116" s="89">
        <v>0</v>
      </c>
      <c r="P116" s="94">
        <v>0</v>
      </c>
      <c r="Q116" s="94">
        <v>0</v>
      </c>
      <c r="R116" s="94">
        <v>0</v>
      </c>
      <c r="S116" s="94">
        <v>0</v>
      </c>
      <c r="T116" s="89">
        <v>0</v>
      </c>
      <c r="U116" s="89">
        <v>0</v>
      </c>
      <c r="V116" s="94">
        <v>0</v>
      </c>
      <c r="W116" s="94">
        <v>0</v>
      </c>
      <c r="X116" s="94">
        <v>0</v>
      </c>
      <c r="Y116" s="89">
        <v>0</v>
      </c>
      <c r="Z116" s="94">
        <f t="shared" si="9"/>
        <v>0</v>
      </c>
      <c r="AA116" s="94">
        <f t="shared" si="10"/>
        <v>0</v>
      </c>
      <c r="AB116" s="89">
        <f t="shared" si="11"/>
        <v>0</v>
      </c>
      <c r="AC116" s="89">
        <f t="shared" si="12"/>
        <v>0</v>
      </c>
      <c r="AD116" s="89">
        <v>0</v>
      </c>
      <c r="AE116" s="89">
        <v>0</v>
      </c>
      <c r="AF116" s="117"/>
      <c r="AG116" s="117"/>
      <c r="AH116" s="262"/>
      <c r="AI116" s="17"/>
      <c r="AJ116" s="17"/>
      <c r="AK116" s="17"/>
      <c r="AL116" s="17"/>
      <c r="AM116" s="17"/>
      <c r="AN116" s="17"/>
      <c r="AO116" s="17"/>
      <c r="AP116" s="15" t="str">
        <f>IFERROR(VLOOKUP(AO116,Legend!$D$2:$E$26,2,0),"")</f>
        <v/>
      </c>
      <c r="AQ116" s="15"/>
      <c r="AR116" s="17"/>
      <c r="AS116" s="17"/>
      <c r="AT116" s="15"/>
      <c r="AU116" s="17"/>
      <c r="AV116" s="17"/>
      <c r="AW116" s="17" t="s">
        <v>10</v>
      </c>
      <c r="AX116" s="15"/>
      <c r="AY116" s="15"/>
    </row>
    <row r="117" spans="1:51" x14ac:dyDescent="0.25">
      <c r="A117" s="15"/>
      <c r="B117" s="15"/>
      <c r="C117" s="15"/>
      <c r="D117" s="15"/>
      <c r="E117" s="91"/>
      <c r="F117" s="15"/>
      <c r="G117" s="15"/>
      <c r="H117" s="15"/>
      <c r="I117" s="15"/>
      <c r="J117" s="15"/>
      <c r="K117" s="89"/>
      <c r="L117" s="15"/>
      <c r="M117" s="89">
        <v>0</v>
      </c>
      <c r="N117" s="89">
        <v>0</v>
      </c>
      <c r="O117" s="89">
        <v>0</v>
      </c>
      <c r="P117" s="94">
        <v>0</v>
      </c>
      <c r="Q117" s="94">
        <v>0</v>
      </c>
      <c r="R117" s="94">
        <v>0</v>
      </c>
      <c r="S117" s="94">
        <v>0</v>
      </c>
      <c r="T117" s="89">
        <v>0</v>
      </c>
      <c r="U117" s="89">
        <v>0</v>
      </c>
      <c r="V117" s="94">
        <v>0</v>
      </c>
      <c r="W117" s="94">
        <v>0</v>
      </c>
      <c r="X117" s="94">
        <v>0</v>
      </c>
      <c r="Y117" s="89">
        <v>0</v>
      </c>
      <c r="Z117" s="94">
        <f t="shared" si="9"/>
        <v>0</v>
      </c>
      <c r="AA117" s="94">
        <f t="shared" si="10"/>
        <v>0</v>
      </c>
      <c r="AB117" s="89">
        <f t="shared" si="11"/>
        <v>0</v>
      </c>
      <c r="AC117" s="89">
        <f t="shared" si="12"/>
        <v>0</v>
      </c>
      <c r="AD117" s="89">
        <v>0</v>
      </c>
      <c r="AE117" s="89">
        <v>0</v>
      </c>
      <c r="AF117" s="117"/>
      <c r="AG117" s="117"/>
      <c r="AH117" s="262"/>
      <c r="AI117" s="17"/>
      <c r="AJ117" s="17"/>
      <c r="AK117" s="17"/>
      <c r="AL117" s="17"/>
      <c r="AM117" s="17"/>
      <c r="AN117" s="17"/>
      <c r="AO117" s="17"/>
      <c r="AP117" s="15" t="str">
        <f>IFERROR(VLOOKUP(AO117,Legend!$D$2:$E$26,2,0),"")</f>
        <v/>
      </c>
      <c r="AQ117" s="15"/>
      <c r="AR117" s="17"/>
      <c r="AS117" s="17"/>
      <c r="AT117" s="15"/>
      <c r="AU117" s="17"/>
      <c r="AV117" s="17"/>
      <c r="AW117" s="17" t="s">
        <v>10</v>
      </c>
      <c r="AX117" s="15"/>
      <c r="AY117" s="15"/>
    </row>
    <row r="118" spans="1:51" x14ac:dyDescent="0.25">
      <c r="A118" s="15"/>
      <c r="B118" s="15"/>
      <c r="C118" s="15"/>
      <c r="D118" s="15"/>
      <c r="E118" s="91"/>
      <c r="F118" s="15"/>
      <c r="G118" s="15"/>
      <c r="H118" s="15"/>
      <c r="I118" s="15"/>
      <c r="J118" s="15"/>
      <c r="K118" s="89"/>
      <c r="L118" s="15"/>
      <c r="M118" s="89">
        <v>0</v>
      </c>
      <c r="N118" s="89">
        <v>0</v>
      </c>
      <c r="O118" s="89">
        <v>0</v>
      </c>
      <c r="P118" s="94">
        <v>0</v>
      </c>
      <c r="Q118" s="94">
        <v>0</v>
      </c>
      <c r="R118" s="94">
        <v>0</v>
      </c>
      <c r="S118" s="94">
        <v>0</v>
      </c>
      <c r="T118" s="89">
        <v>0</v>
      </c>
      <c r="U118" s="89">
        <v>0</v>
      </c>
      <c r="V118" s="94">
        <v>0</v>
      </c>
      <c r="W118" s="94">
        <v>0</v>
      </c>
      <c r="X118" s="94">
        <v>0</v>
      </c>
      <c r="Y118" s="89">
        <v>0</v>
      </c>
      <c r="Z118" s="94">
        <f t="shared" si="9"/>
        <v>0</v>
      </c>
      <c r="AA118" s="94">
        <f t="shared" si="10"/>
        <v>0</v>
      </c>
      <c r="AB118" s="89">
        <f t="shared" si="11"/>
        <v>0</v>
      </c>
      <c r="AC118" s="89">
        <f t="shared" si="12"/>
        <v>0</v>
      </c>
      <c r="AD118" s="89">
        <v>0</v>
      </c>
      <c r="AE118" s="89">
        <v>0</v>
      </c>
      <c r="AF118" s="117"/>
      <c r="AG118" s="117"/>
      <c r="AH118" s="262"/>
      <c r="AI118" s="17"/>
      <c r="AJ118" s="17"/>
      <c r="AK118" s="17"/>
      <c r="AL118" s="17"/>
      <c r="AM118" s="17"/>
      <c r="AN118" s="17"/>
      <c r="AO118" s="17"/>
      <c r="AP118" s="15" t="str">
        <f>IFERROR(VLOOKUP(AO118,Legend!$D$2:$E$26,2,0),"")</f>
        <v/>
      </c>
      <c r="AQ118" s="15"/>
      <c r="AR118" s="17"/>
      <c r="AS118" s="17"/>
      <c r="AT118" s="15"/>
      <c r="AU118" s="17"/>
      <c r="AV118" s="17"/>
      <c r="AW118" s="17" t="s">
        <v>10</v>
      </c>
      <c r="AX118" s="15"/>
      <c r="AY118" s="15"/>
    </row>
    <row r="119" spans="1:51" x14ac:dyDescent="0.25">
      <c r="A119" s="15"/>
      <c r="B119" s="15"/>
      <c r="C119" s="15"/>
      <c r="D119" s="15"/>
      <c r="E119" s="91"/>
      <c r="F119" s="15"/>
      <c r="G119" s="15"/>
      <c r="H119" s="15"/>
      <c r="I119" s="15"/>
      <c r="J119" s="15"/>
      <c r="K119" s="89"/>
      <c r="L119" s="15"/>
      <c r="M119" s="89">
        <v>0</v>
      </c>
      <c r="N119" s="89">
        <v>0</v>
      </c>
      <c r="O119" s="89">
        <v>0</v>
      </c>
      <c r="P119" s="94">
        <v>0</v>
      </c>
      <c r="Q119" s="94">
        <v>0</v>
      </c>
      <c r="R119" s="94">
        <v>0</v>
      </c>
      <c r="S119" s="94">
        <v>0</v>
      </c>
      <c r="T119" s="89">
        <v>0</v>
      </c>
      <c r="U119" s="89">
        <v>0</v>
      </c>
      <c r="V119" s="94">
        <v>0</v>
      </c>
      <c r="W119" s="94">
        <v>0</v>
      </c>
      <c r="X119" s="94">
        <v>0</v>
      </c>
      <c r="Y119" s="89">
        <v>0</v>
      </c>
      <c r="Z119" s="94">
        <f t="shared" si="9"/>
        <v>0</v>
      </c>
      <c r="AA119" s="94">
        <f t="shared" si="10"/>
        <v>0</v>
      </c>
      <c r="AB119" s="89">
        <f t="shared" si="11"/>
        <v>0</v>
      </c>
      <c r="AC119" s="89">
        <f t="shared" si="12"/>
        <v>0</v>
      </c>
      <c r="AD119" s="89">
        <v>0</v>
      </c>
      <c r="AE119" s="89">
        <v>0</v>
      </c>
      <c r="AF119" s="117"/>
      <c r="AG119" s="117"/>
      <c r="AH119" s="262"/>
      <c r="AI119" s="17"/>
      <c r="AJ119" s="17"/>
      <c r="AK119" s="17"/>
      <c r="AL119" s="17"/>
      <c r="AM119" s="17"/>
      <c r="AN119" s="17"/>
      <c r="AO119" s="17"/>
      <c r="AP119" s="15" t="str">
        <f>IFERROR(VLOOKUP(AO119,Legend!$D$2:$E$26,2,0),"")</f>
        <v/>
      </c>
      <c r="AQ119" s="15"/>
      <c r="AR119" s="17"/>
      <c r="AS119" s="17"/>
      <c r="AT119" s="15"/>
      <c r="AU119" s="17"/>
      <c r="AV119" s="17"/>
      <c r="AW119" s="17" t="s">
        <v>10</v>
      </c>
      <c r="AX119" s="15"/>
      <c r="AY119" s="15"/>
    </row>
    <row r="120" spans="1:51" x14ac:dyDescent="0.25">
      <c r="A120" s="15"/>
      <c r="B120" s="15"/>
      <c r="C120" s="15"/>
      <c r="D120" s="15"/>
      <c r="E120" s="91"/>
      <c r="F120" s="15"/>
      <c r="G120" s="15"/>
      <c r="H120" s="15"/>
      <c r="I120" s="15"/>
      <c r="J120" s="15"/>
      <c r="K120" s="89"/>
      <c r="L120" s="15"/>
      <c r="M120" s="89">
        <v>0</v>
      </c>
      <c r="N120" s="89">
        <v>0</v>
      </c>
      <c r="O120" s="89">
        <v>0</v>
      </c>
      <c r="P120" s="94">
        <v>0</v>
      </c>
      <c r="Q120" s="94">
        <v>0</v>
      </c>
      <c r="R120" s="94">
        <v>0</v>
      </c>
      <c r="S120" s="94">
        <v>0</v>
      </c>
      <c r="T120" s="89">
        <v>0</v>
      </c>
      <c r="U120" s="89">
        <v>0</v>
      </c>
      <c r="V120" s="94">
        <v>0</v>
      </c>
      <c r="W120" s="94">
        <v>0</v>
      </c>
      <c r="X120" s="94">
        <v>0</v>
      </c>
      <c r="Y120" s="89">
        <v>0</v>
      </c>
      <c r="Z120" s="94">
        <f t="shared" si="9"/>
        <v>0</v>
      </c>
      <c r="AA120" s="94">
        <f t="shared" si="10"/>
        <v>0</v>
      </c>
      <c r="AB120" s="89">
        <f t="shared" si="11"/>
        <v>0</v>
      </c>
      <c r="AC120" s="89">
        <f t="shared" si="12"/>
        <v>0</v>
      </c>
      <c r="AD120" s="89">
        <v>0</v>
      </c>
      <c r="AE120" s="89">
        <v>0</v>
      </c>
      <c r="AF120" s="117"/>
      <c r="AG120" s="117"/>
      <c r="AH120" s="262"/>
      <c r="AI120" s="17"/>
      <c r="AJ120" s="17"/>
      <c r="AK120" s="17"/>
      <c r="AL120" s="17"/>
      <c r="AM120" s="17"/>
      <c r="AN120" s="17"/>
      <c r="AO120" s="17"/>
      <c r="AP120" s="15" t="str">
        <f>IFERROR(VLOOKUP(AO120,Legend!$D$2:$E$26,2,0),"")</f>
        <v/>
      </c>
      <c r="AQ120" s="15"/>
      <c r="AR120" s="17"/>
      <c r="AS120" s="17"/>
      <c r="AT120" s="15"/>
      <c r="AU120" s="17"/>
      <c r="AV120" s="17"/>
      <c r="AW120" s="17" t="s">
        <v>10</v>
      </c>
      <c r="AX120" s="15"/>
      <c r="AY120" s="15"/>
    </row>
    <row r="121" spans="1:51" x14ac:dyDescent="0.25">
      <c r="A121" s="15"/>
      <c r="B121" s="15"/>
      <c r="C121" s="15"/>
      <c r="D121" s="15"/>
      <c r="E121" s="91"/>
      <c r="F121" s="15"/>
      <c r="G121" s="15"/>
      <c r="H121" s="15"/>
      <c r="I121" s="15"/>
      <c r="J121" s="15"/>
      <c r="K121" s="89"/>
      <c r="L121" s="15"/>
      <c r="M121" s="89">
        <v>0</v>
      </c>
      <c r="N121" s="89">
        <v>0</v>
      </c>
      <c r="O121" s="89">
        <v>0</v>
      </c>
      <c r="P121" s="94">
        <v>0</v>
      </c>
      <c r="Q121" s="94">
        <v>0</v>
      </c>
      <c r="R121" s="94">
        <v>0</v>
      </c>
      <c r="S121" s="94">
        <v>0</v>
      </c>
      <c r="T121" s="89">
        <v>0</v>
      </c>
      <c r="U121" s="89">
        <v>0</v>
      </c>
      <c r="V121" s="94">
        <v>0</v>
      </c>
      <c r="W121" s="94">
        <v>0</v>
      </c>
      <c r="X121" s="94">
        <v>0</v>
      </c>
      <c r="Y121" s="89">
        <v>0</v>
      </c>
      <c r="Z121" s="94">
        <f t="shared" si="9"/>
        <v>0</v>
      </c>
      <c r="AA121" s="94">
        <f t="shared" si="10"/>
        <v>0</v>
      </c>
      <c r="AB121" s="89">
        <f t="shared" si="11"/>
        <v>0</v>
      </c>
      <c r="AC121" s="89">
        <f t="shared" si="12"/>
        <v>0</v>
      </c>
      <c r="AD121" s="89">
        <v>0</v>
      </c>
      <c r="AE121" s="89">
        <v>0</v>
      </c>
      <c r="AF121" s="117"/>
      <c r="AG121" s="117"/>
      <c r="AH121" s="262"/>
      <c r="AI121" s="17"/>
      <c r="AJ121" s="17"/>
      <c r="AK121" s="17"/>
      <c r="AL121" s="17"/>
      <c r="AM121" s="17"/>
      <c r="AN121" s="17"/>
      <c r="AO121" s="17"/>
      <c r="AP121" s="15" t="str">
        <f>IFERROR(VLOOKUP(AO121,Legend!$D$2:$E$26,2,0),"")</f>
        <v/>
      </c>
      <c r="AQ121" s="15"/>
      <c r="AR121" s="17"/>
      <c r="AS121" s="17"/>
      <c r="AT121" s="15"/>
      <c r="AU121" s="17"/>
      <c r="AV121" s="17"/>
      <c r="AW121" s="17" t="s">
        <v>10</v>
      </c>
      <c r="AX121" s="15"/>
      <c r="AY121" s="15"/>
    </row>
    <row r="122" spans="1:51" x14ac:dyDescent="0.25">
      <c r="A122" s="15"/>
      <c r="B122" s="15"/>
      <c r="C122" s="15"/>
      <c r="D122" s="15"/>
      <c r="E122" s="91"/>
      <c r="F122" s="15"/>
      <c r="G122" s="15"/>
      <c r="H122" s="15"/>
      <c r="I122" s="15"/>
      <c r="J122" s="15"/>
      <c r="K122" s="89"/>
      <c r="L122" s="15"/>
      <c r="M122" s="89">
        <v>0</v>
      </c>
      <c r="N122" s="89">
        <v>0</v>
      </c>
      <c r="O122" s="89">
        <v>0</v>
      </c>
      <c r="P122" s="94">
        <v>0</v>
      </c>
      <c r="Q122" s="94">
        <v>0</v>
      </c>
      <c r="R122" s="94">
        <v>0</v>
      </c>
      <c r="S122" s="94">
        <v>0</v>
      </c>
      <c r="T122" s="89">
        <v>0</v>
      </c>
      <c r="U122" s="89">
        <v>0</v>
      </c>
      <c r="V122" s="94">
        <v>0</v>
      </c>
      <c r="W122" s="94">
        <v>0</v>
      </c>
      <c r="X122" s="94">
        <v>0</v>
      </c>
      <c r="Y122" s="89">
        <v>0</v>
      </c>
      <c r="Z122" s="94">
        <f t="shared" si="9"/>
        <v>0</v>
      </c>
      <c r="AA122" s="94">
        <f t="shared" si="10"/>
        <v>0</v>
      </c>
      <c r="AB122" s="89">
        <f t="shared" si="11"/>
        <v>0</v>
      </c>
      <c r="AC122" s="89">
        <f t="shared" si="12"/>
        <v>0</v>
      </c>
      <c r="AD122" s="89">
        <v>0</v>
      </c>
      <c r="AE122" s="89">
        <v>0</v>
      </c>
      <c r="AF122" s="117"/>
      <c r="AG122" s="117"/>
      <c r="AH122" s="262"/>
      <c r="AI122" s="17"/>
      <c r="AJ122" s="17"/>
      <c r="AK122" s="17"/>
      <c r="AL122" s="17"/>
      <c r="AM122" s="17"/>
      <c r="AN122" s="17"/>
      <c r="AO122" s="17"/>
      <c r="AP122" s="15" t="str">
        <f>IFERROR(VLOOKUP(AO122,Legend!$D$2:$E$26,2,0),"")</f>
        <v/>
      </c>
      <c r="AQ122" s="15"/>
      <c r="AR122" s="17"/>
      <c r="AS122" s="17"/>
      <c r="AT122" s="15"/>
      <c r="AU122" s="17"/>
      <c r="AV122" s="17"/>
      <c r="AW122" s="17" t="s">
        <v>10</v>
      </c>
      <c r="AX122" s="15"/>
      <c r="AY122" s="15"/>
    </row>
    <row r="123" spans="1:51" x14ac:dyDescent="0.25">
      <c r="A123" s="15"/>
      <c r="B123" s="15"/>
      <c r="C123" s="15"/>
      <c r="D123" s="15"/>
      <c r="E123" s="91"/>
      <c r="F123" s="15"/>
      <c r="G123" s="15"/>
      <c r="H123" s="15"/>
      <c r="I123" s="15"/>
      <c r="J123" s="15"/>
      <c r="K123" s="89"/>
      <c r="L123" s="15"/>
      <c r="M123" s="89">
        <v>0</v>
      </c>
      <c r="N123" s="89">
        <v>0</v>
      </c>
      <c r="O123" s="89">
        <v>0</v>
      </c>
      <c r="P123" s="94">
        <v>0</v>
      </c>
      <c r="Q123" s="94">
        <v>0</v>
      </c>
      <c r="R123" s="94">
        <v>0</v>
      </c>
      <c r="S123" s="94">
        <v>0</v>
      </c>
      <c r="T123" s="89">
        <v>0</v>
      </c>
      <c r="U123" s="89">
        <v>0</v>
      </c>
      <c r="V123" s="94">
        <v>0</v>
      </c>
      <c r="W123" s="94">
        <v>0</v>
      </c>
      <c r="X123" s="94">
        <v>0</v>
      </c>
      <c r="Y123" s="89">
        <v>0</v>
      </c>
      <c r="Z123" s="94">
        <f t="shared" si="9"/>
        <v>0</v>
      </c>
      <c r="AA123" s="94">
        <f t="shared" si="10"/>
        <v>0</v>
      </c>
      <c r="AB123" s="89">
        <f t="shared" si="11"/>
        <v>0</v>
      </c>
      <c r="AC123" s="89">
        <f t="shared" si="12"/>
        <v>0</v>
      </c>
      <c r="AD123" s="89">
        <v>0</v>
      </c>
      <c r="AE123" s="89">
        <v>0</v>
      </c>
      <c r="AF123" s="117"/>
      <c r="AG123" s="117"/>
      <c r="AH123" s="262"/>
      <c r="AI123" s="17"/>
      <c r="AJ123" s="17"/>
      <c r="AK123" s="17"/>
      <c r="AL123" s="17"/>
      <c r="AM123" s="17"/>
      <c r="AN123" s="17"/>
      <c r="AO123" s="17"/>
      <c r="AP123" s="15" t="str">
        <f>IFERROR(VLOOKUP(AO123,Legend!$D$2:$E$26,2,0),"")</f>
        <v/>
      </c>
      <c r="AQ123" s="15"/>
      <c r="AR123" s="17"/>
      <c r="AS123" s="17"/>
      <c r="AT123" s="15"/>
      <c r="AU123" s="17"/>
      <c r="AV123" s="17"/>
      <c r="AW123" s="17" t="s">
        <v>10</v>
      </c>
      <c r="AX123" s="15"/>
      <c r="AY123" s="15"/>
    </row>
    <row r="124" spans="1:51" x14ac:dyDescent="0.25">
      <c r="A124" s="15"/>
      <c r="B124" s="15"/>
      <c r="C124" s="15"/>
      <c r="D124" s="15"/>
      <c r="E124" s="91"/>
      <c r="F124" s="15"/>
      <c r="G124" s="15"/>
      <c r="H124" s="15"/>
      <c r="I124" s="15"/>
      <c r="J124" s="15"/>
      <c r="K124" s="89"/>
      <c r="L124" s="15"/>
      <c r="M124" s="89">
        <v>0</v>
      </c>
      <c r="N124" s="89">
        <v>0</v>
      </c>
      <c r="O124" s="89">
        <v>0</v>
      </c>
      <c r="P124" s="94">
        <v>0</v>
      </c>
      <c r="Q124" s="94">
        <v>0</v>
      </c>
      <c r="R124" s="94">
        <v>0</v>
      </c>
      <c r="S124" s="94">
        <v>0</v>
      </c>
      <c r="T124" s="89">
        <v>0</v>
      </c>
      <c r="U124" s="89">
        <v>0</v>
      </c>
      <c r="V124" s="94">
        <v>0</v>
      </c>
      <c r="W124" s="94">
        <v>0</v>
      </c>
      <c r="X124" s="94">
        <v>0</v>
      </c>
      <c r="Y124" s="89">
        <v>0</v>
      </c>
      <c r="Z124" s="94">
        <f t="shared" si="9"/>
        <v>0</v>
      </c>
      <c r="AA124" s="94">
        <f t="shared" si="10"/>
        <v>0</v>
      </c>
      <c r="AB124" s="89">
        <f t="shared" si="11"/>
        <v>0</v>
      </c>
      <c r="AC124" s="89">
        <f t="shared" si="12"/>
        <v>0</v>
      </c>
      <c r="AD124" s="89">
        <v>0</v>
      </c>
      <c r="AE124" s="89">
        <v>0</v>
      </c>
      <c r="AF124" s="117"/>
      <c r="AG124" s="117"/>
      <c r="AH124" s="262"/>
      <c r="AI124" s="17"/>
      <c r="AJ124" s="17"/>
      <c r="AK124" s="17"/>
      <c r="AL124" s="17"/>
      <c r="AM124" s="17"/>
      <c r="AN124" s="17"/>
      <c r="AO124" s="17"/>
      <c r="AP124" s="15" t="str">
        <f>IFERROR(VLOOKUP(AO124,Legend!$D$2:$E$26,2,0),"")</f>
        <v/>
      </c>
      <c r="AQ124" s="15"/>
      <c r="AR124" s="17"/>
      <c r="AS124" s="17"/>
      <c r="AT124" s="15"/>
      <c r="AU124" s="17"/>
      <c r="AV124" s="17"/>
      <c r="AW124" s="17" t="s">
        <v>10</v>
      </c>
      <c r="AX124" s="15"/>
      <c r="AY124" s="15"/>
    </row>
    <row r="125" spans="1:51" x14ac:dyDescent="0.25">
      <c r="A125" s="15"/>
      <c r="B125" s="15"/>
      <c r="C125" s="15"/>
      <c r="D125" s="15"/>
      <c r="E125" s="91"/>
      <c r="F125" s="15"/>
      <c r="G125" s="15"/>
      <c r="H125" s="15"/>
      <c r="I125" s="15"/>
      <c r="J125" s="15"/>
      <c r="K125" s="89"/>
      <c r="L125" s="15"/>
      <c r="M125" s="89">
        <v>0</v>
      </c>
      <c r="N125" s="89">
        <v>0</v>
      </c>
      <c r="O125" s="89">
        <v>0</v>
      </c>
      <c r="P125" s="94">
        <v>0</v>
      </c>
      <c r="Q125" s="94">
        <v>0</v>
      </c>
      <c r="R125" s="94">
        <v>0</v>
      </c>
      <c r="S125" s="94">
        <v>0</v>
      </c>
      <c r="T125" s="89">
        <v>0</v>
      </c>
      <c r="U125" s="89">
        <v>0</v>
      </c>
      <c r="V125" s="94">
        <v>0</v>
      </c>
      <c r="W125" s="94">
        <v>0</v>
      </c>
      <c r="X125" s="94">
        <v>0</v>
      </c>
      <c r="Y125" s="89">
        <v>0</v>
      </c>
      <c r="Z125" s="94">
        <f t="shared" si="9"/>
        <v>0</v>
      </c>
      <c r="AA125" s="94">
        <f t="shared" si="10"/>
        <v>0</v>
      </c>
      <c r="AB125" s="89">
        <f t="shared" si="11"/>
        <v>0</v>
      </c>
      <c r="AC125" s="89">
        <f t="shared" si="12"/>
        <v>0</v>
      </c>
      <c r="AD125" s="89">
        <v>0</v>
      </c>
      <c r="AE125" s="89">
        <v>0</v>
      </c>
      <c r="AF125" s="117"/>
      <c r="AG125" s="117"/>
      <c r="AH125" s="262"/>
      <c r="AI125" s="17"/>
      <c r="AJ125" s="17"/>
      <c r="AK125" s="17"/>
      <c r="AL125" s="17"/>
      <c r="AM125" s="17"/>
      <c r="AN125" s="17"/>
      <c r="AO125" s="17"/>
      <c r="AP125" s="15" t="str">
        <f>IFERROR(VLOOKUP(AO125,Legend!$D$2:$E$26,2,0),"")</f>
        <v/>
      </c>
      <c r="AQ125" s="15"/>
      <c r="AR125" s="17"/>
      <c r="AS125" s="17"/>
      <c r="AT125" s="15"/>
      <c r="AU125" s="17"/>
      <c r="AV125" s="17"/>
      <c r="AW125" s="17" t="s">
        <v>10</v>
      </c>
      <c r="AX125" s="15"/>
      <c r="AY125" s="15"/>
    </row>
    <row r="126" spans="1:51" x14ac:dyDescent="0.25">
      <c r="A126" s="15"/>
      <c r="B126" s="15"/>
      <c r="C126" s="15"/>
      <c r="D126" s="15"/>
      <c r="E126" s="91"/>
      <c r="F126" s="15"/>
      <c r="G126" s="15"/>
      <c r="H126" s="15"/>
      <c r="I126" s="15"/>
      <c r="J126" s="15"/>
      <c r="K126" s="89"/>
      <c r="L126" s="15"/>
      <c r="M126" s="89">
        <v>0</v>
      </c>
      <c r="N126" s="89">
        <v>0</v>
      </c>
      <c r="O126" s="89">
        <v>0</v>
      </c>
      <c r="P126" s="94">
        <v>0</v>
      </c>
      <c r="Q126" s="94">
        <v>0</v>
      </c>
      <c r="R126" s="94">
        <v>0</v>
      </c>
      <c r="S126" s="94">
        <v>0</v>
      </c>
      <c r="T126" s="89">
        <v>0</v>
      </c>
      <c r="U126" s="89">
        <v>0</v>
      </c>
      <c r="V126" s="94">
        <v>0</v>
      </c>
      <c r="W126" s="94">
        <v>0</v>
      </c>
      <c r="X126" s="94">
        <v>0</v>
      </c>
      <c r="Y126" s="89">
        <v>0</v>
      </c>
      <c r="Z126" s="94">
        <f t="shared" si="9"/>
        <v>0</v>
      </c>
      <c r="AA126" s="94">
        <f t="shared" si="10"/>
        <v>0</v>
      </c>
      <c r="AB126" s="89">
        <f t="shared" si="11"/>
        <v>0</v>
      </c>
      <c r="AC126" s="89">
        <f t="shared" si="12"/>
        <v>0</v>
      </c>
      <c r="AD126" s="89">
        <v>0</v>
      </c>
      <c r="AE126" s="89">
        <v>0</v>
      </c>
      <c r="AF126" s="117"/>
      <c r="AG126" s="117"/>
      <c r="AH126" s="262"/>
      <c r="AI126" s="17"/>
      <c r="AJ126" s="17"/>
      <c r="AK126" s="17"/>
      <c r="AL126" s="17"/>
      <c r="AM126" s="17"/>
      <c r="AN126" s="17"/>
      <c r="AO126" s="17"/>
      <c r="AP126" s="15" t="str">
        <f>IFERROR(VLOOKUP(AO126,Legend!$D$2:$E$26,2,0),"")</f>
        <v/>
      </c>
      <c r="AQ126" s="15"/>
      <c r="AR126" s="17"/>
      <c r="AS126" s="17"/>
      <c r="AT126" s="15"/>
      <c r="AU126" s="17"/>
      <c r="AV126" s="17"/>
      <c r="AW126" s="17" t="s">
        <v>10</v>
      </c>
      <c r="AX126" s="15"/>
      <c r="AY126" s="15"/>
    </row>
    <row r="127" spans="1:51" x14ac:dyDescent="0.25">
      <c r="A127" s="15"/>
      <c r="B127" s="15"/>
      <c r="C127" s="15"/>
      <c r="D127" s="15"/>
      <c r="E127" s="91"/>
      <c r="F127" s="15"/>
      <c r="G127" s="15"/>
      <c r="H127" s="15"/>
      <c r="I127" s="15"/>
      <c r="J127" s="15"/>
      <c r="K127" s="89"/>
      <c r="L127" s="15"/>
      <c r="M127" s="89">
        <v>0</v>
      </c>
      <c r="N127" s="89">
        <v>0</v>
      </c>
      <c r="O127" s="89">
        <v>0</v>
      </c>
      <c r="P127" s="94">
        <v>0</v>
      </c>
      <c r="Q127" s="94">
        <v>0</v>
      </c>
      <c r="R127" s="94">
        <v>0</v>
      </c>
      <c r="S127" s="94">
        <v>0</v>
      </c>
      <c r="T127" s="89">
        <v>0</v>
      </c>
      <c r="U127" s="89">
        <v>0</v>
      </c>
      <c r="V127" s="94">
        <v>0</v>
      </c>
      <c r="W127" s="94">
        <v>0</v>
      </c>
      <c r="X127" s="94">
        <v>0</v>
      </c>
      <c r="Y127" s="89">
        <v>0</v>
      </c>
      <c r="Z127" s="94">
        <f t="shared" si="9"/>
        <v>0</v>
      </c>
      <c r="AA127" s="94">
        <f t="shared" si="10"/>
        <v>0</v>
      </c>
      <c r="AB127" s="89">
        <f t="shared" si="11"/>
        <v>0</v>
      </c>
      <c r="AC127" s="89">
        <f t="shared" si="12"/>
        <v>0</v>
      </c>
      <c r="AD127" s="89">
        <v>0</v>
      </c>
      <c r="AE127" s="89">
        <v>0</v>
      </c>
      <c r="AF127" s="117"/>
      <c r="AG127" s="117"/>
      <c r="AH127" s="262"/>
      <c r="AI127" s="17"/>
      <c r="AJ127" s="17"/>
      <c r="AK127" s="17"/>
      <c r="AL127" s="17"/>
      <c r="AM127" s="17"/>
      <c r="AN127" s="17"/>
      <c r="AO127" s="17"/>
      <c r="AP127" s="15" t="str">
        <f>IFERROR(VLOOKUP(AO127,Legend!$D$2:$E$26,2,0),"")</f>
        <v/>
      </c>
      <c r="AQ127" s="15"/>
      <c r="AR127" s="17"/>
      <c r="AS127" s="17"/>
      <c r="AT127" s="15"/>
      <c r="AU127" s="17"/>
      <c r="AV127" s="17"/>
      <c r="AW127" s="17" t="s">
        <v>10</v>
      </c>
      <c r="AX127" s="15"/>
      <c r="AY127" s="15"/>
    </row>
    <row r="128" spans="1:51" x14ac:dyDescent="0.25">
      <c r="A128" s="15"/>
      <c r="B128" s="15"/>
      <c r="C128" s="15"/>
      <c r="D128" s="15"/>
      <c r="E128" s="91"/>
      <c r="F128" s="15"/>
      <c r="G128" s="15"/>
      <c r="H128" s="15"/>
      <c r="I128" s="15"/>
      <c r="J128" s="15"/>
      <c r="K128" s="89"/>
      <c r="L128" s="15"/>
      <c r="M128" s="89">
        <v>0</v>
      </c>
      <c r="N128" s="89">
        <v>0</v>
      </c>
      <c r="O128" s="89">
        <v>0</v>
      </c>
      <c r="P128" s="94">
        <v>0</v>
      </c>
      <c r="Q128" s="94">
        <v>0</v>
      </c>
      <c r="R128" s="94">
        <v>0</v>
      </c>
      <c r="S128" s="94">
        <v>0</v>
      </c>
      <c r="T128" s="89">
        <v>0</v>
      </c>
      <c r="U128" s="89">
        <v>0</v>
      </c>
      <c r="V128" s="94">
        <v>0</v>
      </c>
      <c r="W128" s="94">
        <v>0</v>
      </c>
      <c r="X128" s="94">
        <v>0</v>
      </c>
      <c r="Y128" s="89">
        <v>0</v>
      </c>
      <c r="Z128" s="94">
        <f t="shared" si="9"/>
        <v>0</v>
      </c>
      <c r="AA128" s="94">
        <f t="shared" si="10"/>
        <v>0</v>
      </c>
      <c r="AB128" s="89">
        <f t="shared" si="11"/>
        <v>0</v>
      </c>
      <c r="AC128" s="89">
        <f t="shared" si="12"/>
        <v>0</v>
      </c>
      <c r="AD128" s="89">
        <v>0</v>
      </c>
      <c r="AE128" s="89">
        <v>0</v>
      </c>
      <c r="AF128" s="117"/>
      <c r="AG128" s="117"/>
      <c r="AH128" s="262"/>
      <c r="AI128" s="17"/>
      <c r="AJ128" s="17"/>
      <c r="AK128" s="17"/>
      <c r="AL128" s="17"/>
      <c r="AM128" s="17"/>
      <c r="AN128" s="17"/>
      <c r="AO128" s="17"/>
      <c r="AP128" s="15" t="str">
        <f>IFERROR(VLOOKUP(AO128,Legend!$D$2:$E$26,2,0),"")</f>
        <v/>
      </c>
      <c r="AQ128" s="15"/>
      <c r="AR128" s="17"/>
      <c r="AS128" s="17"/>
      <c r="AT128" s="15"/>
      <c r="AU128" s="17"/>
      <c r="AV128" s="17"/>
      <c r="AW128" s="17" t="s">
        <v>10</v>
      </c>
      <c r="AX128" s="15"/>
      <c r="AY128" s="15"/>
    </row>
    <row r="129" spans="1:51" x14ac:dyDescent="0.25">
      <c r="A129" s="15"/>
      <c r="B129" s="15"/>
      <c r="C129" s="15"/>
      <c r="D129" s="15"/>
      <c r="E129" s="91"/>
      <c r="F129" s="15"/>
      <c r="G129" s="15"/>
      <c r="H129" s="15"/>
      <c r="I129" s="15"/>
      <c r="J129" s="15"/>
      <c r="K129" s="89"/>
      <c r="L129" s="15"/>
      <c r="M129" s="89">
        <v>0</v>
      </c>
      <c r="N129" s="89">
        <v>0</v>
      </c>
      <c r="O129" s="89">
        <v>0</v>
      </c>
      <c r="P129" s="94">
        <v>0</v>
      </c>
      <c r="Q129" s="94">
        <v>0</v>
      </c>
      <c r="R129" s="94">
        <v>0</v>
      </c>
      <c r="S129" s="94">
        <v>0</v>
      </c>
      <c r="T129" s="89">
        <v>0</v>
      </c>
      <c r="U129" s="89">
        <v>0</v>
      </c>
      <c r="V129" s="94">
        <v>0</v>
      </c>
      <c r="W129" s="94">
        <v>0</v>
      </c>
      <c r="X129" s="94">
        <v>0</v>
      </c>
      <c r="Y129" s="89">
        <v>0</v>
      </c>
      <c r="Z129" s="94">
        <f t="shared" si="9"/>
        <v>0</v>
      </c>
      <c r="AA129" s="94">
        <f t="shared" si="10"/>
        <v>0</v>
      </c>
      <c r="AB129" s="89">
        <f t="shared" si="11"/>
        <v>0</v>
      </c>
      <c r="AC129" s="89">
        <f t="shared" si="12"/>
        <v>0</v>
      </c>
      <c r="AD129" s="89">
        <v>0</v>
      </c>
      <c r="AE129" s="89">
        <v>0</v>
      </c>
      <c r="AF129" s="117"/>
      <c r="AG129" s="117"/>
      <c r="AH129" s="262"/>
      <c r="AI129" s="17"/>
      <c r="AJ129" s="17"/>
      <c r="AK129" s="17"/>
      <c r="AL129" s="17"/>
      <c r="AM129" s="17"/>
      <c r="AN129" s="17"/>
      <c r="AO129" s="17"/>
      <c r="AP129" s="15" t="str">
        <f>IFERROR(VLOOKUP(AO129,Legend!$D$2:$E$26,2,0),"")</f>
        <v/>
      </c>
      <c r="AQ129" s="15"/>
      <c r="AR129" s="17"/>
      <c r="AS129" s="17"/>
      <c r="AT129" s="15"/>
      <c r="AU129" s="17"/>
      <c r="AV129" s="17"/>
      <c r="AW129" s="17" t="s">
        <v>10</v>
      </c>
      <c r="AX129" s="15"/>
      <c r="AY129" s="15"/>
    </row>
    <row r="130" spans="1:51" x14ac:dyDescent="0.25">
      <c r="A130" s="15"/>
      <c r="B130" s="15"/>
      <c r="C130" s="15"/>
      <c r="D130" s="15"/>
      <c r="E130" s="91"/>
      <c r="F130" s="15"/>
      <c r="G130" s="15"/>
      <c r="H130" s="15"/>
      <c r="I130" s="15"/>
      <c r="J130" s="15"/>
      <c r="K130" s="89"/>
      <c r="L130" s="15"/>
      <c r="M130" s="89">
        <v>0</v>
      </c>
      <c r="N130" s="89">
        <v>0</v>
      </c>
      <c r="O130" s="89">
        <v>0</v>
      </c>
      <c r="P130" s="94">
        <v>0</v>
      </c>
      <c r="Q130" s="94">
        <v>0</v>
      </c>
      <c r="R130" s="94">
        <v>0</v>
      </c>
      <c r="S130" s="94">
        <v>0</v>
      </c>
      <c r="T130" s="89">
        <v>0</v>
      </c>
      <c r="U130" s="89">
        <v>0</v>
      </c>
      <c r="V130" s="94">
        <v>0</v>
      </c>
      <c r="W130" s="94">
        <v>0</v>
      </c>
      <c r="X130" s="94">
        <v>0</v>
      </c>
      <c r="Y130" s="89">
        <v>0</v>
      </c>
      <c r="Z130" s="94">
        <f t="shared" si="9"/>
        <v>0</v>
      </c>
      <c r="AA130" s="94">
        <f t="shared" si="10"/>
        <v>0</v>
      </c>
      <c r="AB130" s="89">
        <f t="shared" si="11"/>
        <v>0</v>
      </c>
      <c r="AC130" s="89">
        <f t="shared" si="12"/>
        <v>0</v>
      </c>
      <c r="AD130" s="89">
        <v>0</v>
      </c>
      <c r="AE130" s="89">
        <v>0</v>
      </c>
      <c r="AF130" s="117"/>
      <c r="AG130" s="117"/>
      <c r="AH130" s="262"/>
      <c r="AI130" s="17"/>
      <c r="AJ130" s="17"/>
      <c r="AK130" s="17"/>
      <c r="AL130" s="17"/>
      <c r="AM130" s="17"/>
      <c r="AN130" s="17"/>
      <c r="AO130" s="17"/>
      <c r="AP130" s="15" t="str">
        <f>IFERROR(VLOOKUP(AO130,Legend!$D$2:$E$26,2,0),"")</f>
        <v/>
      </c>
      <c r="AQ130" s="15"/>
      <c r="AR130" s="17"/>
      <c r="AS130" s="17"/>
      <c r="AT130" s="15"/>
      <c r="AU130" s="17"/>
      <c r="AV130" s="17"/>
      <c r="AW130" s="17" t="s">
        <v>10</v>
      </c>
      <c r="AX130" s="15"/>
      <c r="AY130" s="15"/>
    </row>
    <row r="131" spans="1:51" x14ac:dyDescent="0.25">
      <c r="A131" s="15"/>
      <c r="B131" s="15"/>
      <c r="C131" s="15"/>
      <c r="D131" s="15"/>
      <c r="E131" s="91"/>
      <c r="F131" s="15"/>
      <c r="G131" s="15"/>
      <c r="H131" s="15"/>
      <c r="I131" s="15"/>
      <c r="J131" s="15"/>
      <c r="K131" s="89"/>
      <c r="L131" s="15"/>
      <c r="M131" s="89">
        <v>0</v>
      </c>
      <c r="N131" s="89">
        <v>0</v>
      </c>
      <c r="O131" s="89">
        <v>0</v>
      </c>
      <c r="P131" s="94">
        <v>0</v>
      </c>
      <c r="Q131" s="94">
        <v>0</v>
      </c>
      <c r="R131" s="94">
        <v>0</v>
      </c>
      <c r="S131" s="94">
        <v>0</v>
      </c>
      <c r="T131" s="89">
        <v>0</v>
      </c>
      <c r="U131" s="89">
        <v>0</v>
      </c>
      <c r="V131" s="94">
        <v>0</v>
      </c>
      <c r="W131" s="94">
        <v>0</v>
      </c>
      <c r="X131" s="94">
        <v>0</v>
      </c>
      <c r="Y131" s="89">
        <v>0</v>
      </c>
      <c r="Z131" s="94">
        <f t="shared" si="9"/>
        <v>0</v>
      </c>
      <c r="AA131" s="94">
        <f t="shared" si="10"/>
        <v>0</v>
      </c>
      <c r="AB131" s="89">
        <f t="shared" si="11"/>
        <v>0</v>
      </c>
      <c r="AC131" s="89">
        <f t="shared" si="12"/>
        <v>0</v>
      </c>
      <c r="AD131" s="89">
        <v>0</v>
      </c>
      <c r="AE131" s="89">
        <v>0</v>
      </c>
      <c r="AF131" s="117"/>
      <c r="AG131" s="117"/>
      <c r="AH131" s="262"/>
      <c r="AI131" s="17"/>
      <c r="AJ131" s="17"/>
      <c r="AK131" s="17"/>
      <c r="AL131" s="17"/>
      <c r="AM131" s="17"/>
      <c r="AN131" s="17"/>
      <c r="AO131" s="17"/>
      <c r="AP131" s="15" t="str">
        <f>IFERROR(VLOOKUP(AO131,Legend!$D$2:$E$26,2,0),"")</f>
        <v/>
      </c>
      <c r="AQ131" s="15"/>
      <c r="AR131" s="17"/>
      <c r="AS131" s="17"/>
      <c r="AT131" s="15"/>
      <c r="AU131" s="17"/>
      <c r="AV131" s="17"/>
      <c r="AW131" s="17" t="s">
        <v>10</v>
      </c>
      <c r="AX131" s="15"/>
      <c r="AY131" s="15"/>
    </row>
    <row r="132" spans="1:51" x14ac:dyDescent="0.25">
      <c r="A132" s="15"/>
      <c r="B132" s="15"/>
      <c r="C132" s="15"/>
      <c r="D132" s="15"/>
      <c r="E132" s="91"/>
      <c r="F132" s="15"/>
      <c r="G132" s="15"/>
      <c r="H132" s="15"/>
      <c r="I132" s="15"/>
      <c r="J132" s="15"/>
      <c r="K132" s="89"/>
      <c r="L132" s="15"/>
      <c r="M132" s="89">
        <v>0</v>
      </c>
      <c r="N132" s="89">
        <v>0</v>
      </c>
      <c r="O132" s="89">
        <v>0</v>
      </c>
      <c r="P132" s="94">
        <v>0</v>
      </c>
      <c r="Q132" s="94">
        <v>0</v>
      </c>
      <c r="R132" s="94">
        <v>0</v>
      </c>
      <c r="S132" s="94">
        <v>0</v>
      </c>
      <c r="T132" s="89">
        <v>0</v>
      </c>
      <c r="U132" s="89">
        <v>0</v>
      </c>
      <c r="V132" s="94">
        <v>0</v>
      </c>
      <c r="W132" s="94">
        <v>0</v>
      </c>
      <c r="X132" s="94">
        <v>0</v>
      </c>
      <c r="Y132" s="89">
        <v>0</v>
      </c>
      <c r="Z132" s="94">
        <f t="shared" si="9"/>
        <v>0</v>
      </c>
      <c r="AA132" s="94">
        <f t="shared" si="10"/>
        <v>0</v>
      </c>
      <c r="AB132" s="89">
        <f t="shared" si="11"/>
        <v>0</v>
      </c>
      <c r="AC132" s="89">
        <f t="shared" si="12"/>
        <v>0</v>
      </c>
      <c r="AD132" s="89">
        <v>0</v>
      </c>
      <c r="AE132" s="89">
        <v>0</v>
      </c>
      <c r="AF132" s="117"/>
      <c r="AG132" s="117"/>
      <c r="AH132" s="262"/>
      <c r="AI132" s="17"/>
      <c r="AJ132" s="17"/>
      <c r="AK132" s="17"/>
      <c r="AL132" s="17"/>
      <c r="AM132" s="17"/>
      <c r="AN132" s="17"/>
      <c r="AO132" s="17"/>
      <c r="AP132" s="15" t="str">
        <f>IFERROR(VLOOKUP(AO132,Legend!$D$2:$E$26,2,0),"")</f>
        <v/>
      </c>
      <c r="AQ132" s="15"/>
      <c r="AR132" s="17"/>
      <c r="AS132" s="17"/>
      <c r="AT132" s="15"/>
      <c r="AU132" s="17"/>
      <c r="AV132" s="17"/>
      <c r="AW132" s="17" t="s">
        <v>10</v>
      </c>
      <c r="AX132" s="15"/>
      <c r="AY132" s="15"/>
    </row>
    <row r="133" spans="1:51" x14ac:dyDescent="0.25">
      <c r="A133" s="15"/>
      <c r="B133" s="15"/>
      <c r="C133" s="15"/>
      <c r="D133" s="15"/>
      <c r="E133" s="91"/>
      <c r="F133" s="15"/>
      <c r="G133" s="15"/>
      <c r="H133" s="15"/>
      <c r="I133" s="15"/>
      <c r="J133" s="15"/>
      <c r="K133" s="89"/>
      <c r="L133" s="15"/>
      <c r="M133" s="89">
        <v>0</v>
      </c>
      <c r="N133" s="89">
        <v>0</v>
      </c>
      <c r="O133" s="89">
        <v>0</v>
      </c>
      <c r="P133" s="94">
        <v>0</v>
      </c>
      <c r="Q133" s="94">
        <v>0</v>
      </c>
      <c r="R133" s="94">
        <v>0</v>
      </c>
      <c r="S133" s="94">
        <v>0</v>
      </c>
      <c r="T133" s="89">
        <v>0</v>
      </c>
      <c r="U133" s="89">
        <v>0</v>
      </c>
      <c r="V133" s="94">
        <v>0</v>
      </c>
      <c r="W133" s="94">
        <v>0</v>
      </c>
      <c r="X133" s="94">
        <v>0</v>
      </c>
      <c r="Y133" s="89">
        <v>0</v>
      </c>
      <c r="Z133" s="94">
        <f t="shared" ref="Z133:Z196" si="13">SUM(M133:Y133)</f>
        <v>0</v>
      </c>
      <c r="AA133" s="94">
        <f t="shared" si="10"/>
        <v>0</v>
      </c>
      <c r="AB133" s="89">
        <f t="shared" si="11"/>
        <v>0</v>
      </c>
      <c r="AC133" s="89">
        <f t="shared" si="12"/>
        <v>0</v>
      </c>
      <c r="AD133" s="89">
        <v>0</v>
      </c>
      <c r="AE133" s="89">
        <v>0</v>
      </c>
      <c r="AF133" s="117"/>
      <c r="AG133" s="117"/>
      <c r="AH133" s="262"/>
      <c r="AI133" s="17"/>
      <c r="AJ133" s="17"/>
      <c r="AK133" s="17"/>
      <c r="AL133" s="17"/>
      <c r="AM133" s="17"/>
      <c r="AN133" s="17"/>
      <c r="AO133" s="17"/>
      <c r="AP133" s="15" t="str">
        <f>IFERROR(VLOOKUP(AO133,Legend!$D$2:$E$26,2,0),"")</f>
        <v/>
      </c>
      <c r="AQ133" s="15"/>
      <c r="AR133" s="17"/>
      <c r="AS133" s="17"/>
      <c r="AT133" s="15"/>
      <c r="AU133" s="17"/>
      <c r="AV133" s="17"/>
      <c r="AW133" s="17" t="s">
        <v>10</v>
      </c>
      <c r="AX133" s="15"/>
      <c r="AY133" s="15"/>
    </row>
    <row r="134" spans="1:51" x14ac:dyDescent="0.25">
      <c r="A134" s="15"/>
      <c r="B134" s="15"/>
      <c r="C134" s="15"/>
      <c r="D134" s="15"/>
      <c r="E134" s="91"/>
      <c r="F134" s="15"/>
      <c r="G134" s="15"/>
      <c r="H134" s="15"/>
      <c r="I134" s="15"/>
      <c r="J134" s="15"/>
      <c r="K134" s="89"/>
      <c r="L134" s="15"/>
      <c r="M134" s="89">
        <v>0</v>
      </c>
      <c r="N134" s="89">
        <v>0</v>
      </c>
      <c r="O134" s="89">
        <v>0</v>
      </c>
      <c r="P134" s="94">
        <v>0</v>
      </c>
      <c r="Q134" s="94">
        <v>0</v>
      </c>
      <c r="R134" s="94">
        <v>0</v>
      </c>
      <c r="S134" s="94">
        <v>0</v>
      </c>
      <c r="T134" s="89">
        <v>0</v>
      </c>
      <c r="U134" s="89">
        <v>0</v>
      </c>
      <c r="V134" s="94">
        <v>0</v>
      </c>
      <c r="W134" s="94">
        <v>0</v>
      </c>
      <c r="X134" s="94">
        <v>0</v>
      </c>
      <c r="Y134" s="89">
        <v>0</v>
      </c>
      <c r="Z134" s="94">
        <f t="shared" si="13"/>
        <v>0</v>
      </c>
      <c r="AA134" s="94">
        <f t="shared" ref="AA134:AA197" si="14">Y134+M134</f>
        <v>0</v>
      </c>
      <c r="AB134" s="89">
        <f t="shared" ref="AB134:AB197" si="15">Z134-AA134</f>
        <v>0</v>
      </c>
      <c r="AC134" s="89">
        <f t="shared" ref="AC134:AC197" si="16">AB134</f>
        <v>0</v>
      </c>
      <c r="AD134" s="89">
        <v>0</v>
      </c>
      <c r="AE134" s="89">
        <v>0</v>
      </c>
      <c r="AF134" s="117"/>
      <c r="AG134" s="117"/>
      <c r="AH134" s="262"/>
      <c r="AI134" s="17"/>
      <c r="AJ134" s="17"/>
      <c r="AK134" s="17"/>
      <c r="AL134" s="17"/>
      <c r="AM134" s="17"/>
      <c r="AN134" s="17"/>
      <c r="AO134" s="17"/>
      <c r="AP134" s="15" t="str">
        <f>IFERROR(VLOOKUP(AO134,Legend!$D$2:$E$26,2,0),"")</f>
        <v/>
      </c>
      <c r="AQ134" s="15"/>
      <c r="AR134" s="17"/>
      <c r="AS134" s="17"/>
      <c r="AT134" s="15"/>
      <c r="AU134" s="17"/>
      <c r="AV134" s="17"/>
      <c r="AW134" s="17" t="s">
        <v>10</v>
      </c>
      <c r="AX134" s="15"/>
      <c r="AY134" s="15"/>
    </row>
    <row r="135" spans="1:51" x14ac:dyDescent="0.25">
      <c r="A135" s="15"/>
      <c r="B135" s="15"/>
      <c r="C135" s="15"/>
      <c r="D135" s="15"/>
      <c r="E135" s="91"/>
      <c r="F135" s="15"/>
      <c r="G135" s="15"/>
      <c r="H135" s="15"/>
      <c r="I135" s="15"/>
      <c r="J135" s="15"/>
      <c r="K135" s="89"/>
      <c r="L135" s="15"/>
      <c r="M135" s="89">
        <v>0</v>
      </c>
      <c r="N135" s="89">
        <v>0</v>
      </c>
      <c r="O135" s="89">
        <v>0</v>
      </c>
      <c r="P135" s="94">
        <v>0</v>
      </c>
      <c r="Q135" s="94">
        <v>0</v>
      </c>
      <c r="R135" s="94">
        <v>0</v>
      </c>
      <c r="S135" s="94">
        <v>0</v>
      </c>
      <c r="T135" s="89">
        <v>0</v>
      </c>
      <c r="U135" s="89">
        <v>0</v>
      </c>
      <c r="V135" s="94">
        <v>0</v>
      </c>
      <c r="W135" s="94">
        <v>0</v>
      </c>
      <c r="X135" s="94">
        <v>0</v>
      </c>
      <c r="Y135" s="89">
        <v>0</v>
      </c>
      <c r="Z135" s="94">
        <f t="shared" si="13"/>
        <v>0</v>
      </c>
      <c r="AA135" s="94">
        <f t="shared" si="14"/>
        <v>0</v>
      </c>
      <c r="AB135" s="89">
        <f t="shared" si="15"/>
        <v>0</v>
      </c>
      <c r="AC135" s="89">
        <f t="shared" si="16"/>
        <v>0</v>
      </c>
      <c r="AD135" s="89">
        <v>0</v>
      </c>
      <c r="AE135" s="89">
        <v>0</v>
      </c>
      <c r="AF135" s="117"/>
      <c r="AG135" s="117"/>
      <c r="AH135" s="262"/>
      <c r="AI135" s="17"/>
      <c r="AJ135" s="17"/>
      <c r="AK135" s="17"/>
      <c r="AL135" s="17"/>
      <c r="AM135" s="17"/>
      <c r="AN135" s="17"/>
      <c r="AO135" s="17"/>
      <c r="AP135" s="15" t="str">
        <f>IFERROR(VLOOKUP(AO135,Legend!$D$2:$E$26,2,0),"")</f>
        <v/>
      </c>
      <c r="AQ135" s="15"/>
      <c r="AR135" s="17"/>
      <c r="AS135" s="17"/>
      <c r="AT135" s="15"/>
      <c r="AU135" s="17"/>
      <c r="AV135" s="17"/>
      <c r="AW135" s="17" t="s">
        <v>10</v>
      </c>
      <c r="AX135" s="15"/>
      <c r="AY135" s="15"/>
    </row>
    <row r="136" spans="1:51" x14ac:dyDescent="0.25">
      <c r="A136" s="15"/>
      <c r="B136" s="15"/>
      <c r="C136" s="15"/>
      <c r="D136" s="15"/>
      <c r="E136" s="91"/>
      <c r="F136" s="15"/>
      <c r="G136" s="15"/>
      <c r="H136" s="15"/>
      <c r="I136" s="15"/>
      <c r="J136" s="15"/>
      <c r="K136" s="89"/>
      <c r="L136" s="15"/>
      <c r="M136" s="89">
        <v>0</v>
      </c>
      <c r="N136" s="89">
        <v>0</v>
      </c>
      <c r="O136" s="89">
        <v>0</v>
      </c>
      <c r="P136" s="94">
        <v>0</v>
      </c>
      <c r="Q136" s="94">
        <v>0</v>
      </c>
      <c r="R136" s="94">
        <v>0</v>
      </c>
      <c r="S136" s="94">
        <v>0</v>
      </c>
      <c r="T136" s="89">
        <v>0</v>
      </c>
      <c r="U136" s="89">
        <v>0</v>
      </c>
      <c r="V136" s="94">
        <v>0</v>
      </c>
      <c r="W136" s="94">
        <v>0</v>
      </c>
      <c r="X136" s="94">
        <v>0</v>
      </c>
      <c r="Y136" s="89">
        <v>0</v>
      </c>
      <c r="Z136" s="94">
        <f t="shared" si="13"/>
        <v>0</v>
      </c>
      <c r="AA136" s="94">
        <f t="shared" si="14"/>
        <v>0</v>
      </c>
      <c r="AB136" s="89">
        <f t="shared" si="15"/>
        <v>0</v>
      </c>
      <c r="AC136" s="89">
        <f t="shared" si="16"/>
        <v>0</v>
      </c>
      <c r="AD136" s="89">
        <v>0</v>
      </c>
      <c r="AE136" s="89">
        <v>0</v>
      </c>
      <c r="AF136" s="117"/>
      <c r="AG136" s="117"/>
      <c r="AH136" s="262"/>
      <c r="AI136" s="17"/>
      <c r="AJ136" s="17"/>
      <c r="AK136" s="17"/>
      <c r="AL136" s="17"/>
      <c r="AM136" s="17"/>
      <c r="AN136" s="17"/>
      <c r="AO136" s="17"/>
      <c r="AP136" s="15" t="str">
        <f>IFERROR(VLOOKUP(AO136,Legend!$D$2:$E$26,2,0),"")</f>
        <v/>
      </c>
      <c r="AQ136" s="15"/>
      <c r="AR136" s="17"/>
      <c r="AS136" s="17"/>
      <c r="AT136" s="15"/>
      <c r="AU136" s="17"/>
      <c r="AV136" s="17"/>
      <c r="AW136" s="17" t="s">
        <v>10</v>
      </c>
      <c r="AX136" s="15"/>
      <c r="AY136" s="15"/>
    </row>
    <row r="137" spans="1:51" x14ac:dyDescent="0.25">
      <c r="A137" s="15"/>
      <c r="B137" s="15"/>
      <c r="C137" s="15"/>
      <c r="D137" s="15"/>
      <c r="E137" s="91"/>
      <c r="F137" s="15"/>
      <c r="G137" s="15"/>
      <c r="H137" s="15"/>
      <c r="I137" s="15"/>
      <c r="J137" s="15"/>
      <c r="K137" s="89"/>
      <c r="L137" s="15"/>
      <c r="M137" s="89">
        <v>0</v>
      </c>
      <c r="N137" s="89">
        <v>0</v>
      </c>
      <c r="O137" s="89">
        <v>0</v>
      </c>
      <c r="P137" s="94">
        <v>0</v>
      </c>
      <c r="Q137" s="94">
        <v>0</v>
      </c>
      <c r="R137" s="94">
        <v>0</v>
      </c>
      <c r="S137" s="94">
        <v>0</v>
      </c>
      <c r="T137" s="89">
        <v>0</v>
      </c>
      <c r="U137" s="89">
        <v>0</v>
      </c>
      <c r="V137" s="94">
        <v>0</v>
      </c>
      <c r="W137" s="94">
        <v>0</v>
      </c>
      <c r="X137" s="94">
        <v>0</v>
      </c>
      <c r="Y137" s="89">
        <v>0</v>
      </c>
      <c r="Z137" s="94">
        <f t="shared" si="13"/>
        <v>0</v>
      </c>
      <c r="AA137" s="94">
        <f t="shared" si="14"/>
        <v>0</v>
      </c>
      <c r="AB137" s="89">
        <f t="shared" si="15"/>
        <v>0</v>
      </c>
      <c r="AC137" s="89">
        <f t="shared" si="16"/>
        <v>0</v>
      </c>
      <c r="AD137" s="89">
        <v>0</v>
      </c>
      <c r="AE137" s="89">
        <v>0</v>
      </c>
      <c r="AF137" s="117"/>
      <c r="AG137" s="117"/>
      <c r="AH137" s="262"/>
      <c r="AI137" s="17"/>
      <c r="AJ137" s="17"/>
      <c r="AK137" s="17"/>
      <c r="AL137" s="17"/>
      <c r="AM137" s="17"/>
      <c r="AN137" s="17"/>
      <c r="AO137" s="17"/>
      <c r="AP137" s="15" t="str">
        <f>IFERROR(VLOOKUP(AO137,Legend!$D$2:$E$26,2,0),"")</f>
        <v/>
      </c>
      <c r="AQ137" s="15"/>
      <c r="AR137" s="17"/>
      <c r="AS137" s="17"/>
      <c r="AT137" s="15"/>
      <c r="AU137" s="17"/>
      <c r="AV137" s="17"/>
      <c r="AW137" s="17" t="s">
        <v>10</v>
      </c>
      <c r="AX137" s="15"/>
      <c r="AY137" s="15"/>
    </row>
    <row r="138" spans="1:51" x14ac:dyDescent="0.25">
      <c r="A138" s="15"/>
      <c r="B138" s="15"/>
      <c r="C138" s="15"/>
      <c r="D138" s="15"/>
      <c r="E138" s="91"/>
      <c r="F138" s="15"/>
      <c r="G138" s="15"/>
      <c r="H138" s="15"/>
      <c r="I138" s="15"/>
      <c r="J138" s="15"/>
      <c r="K138" s="89"/>
      <c r="L138" s="15"/>
      <c r="M138" s="89">
        <v>0</v>
      </c>
      <c r="N138" s="89">
        <v>0</v>
      </c>
      <c r="O138" s="89">
        <v>0</v>
      </c>
      <c r="P138" s="94">
        <v>0</v>
      </c>
      <c r="Q138" s="94">
        <v>0</v>
      </c>
      <c r="R138" s="94">
        <v>0</v>
      </c>
      <c r="S138" s="94">
        <v>0</v>
      </c>
      <c r="T138" s="89">
        <v>0</v>
      </c>
      <c r="U138" s="89">
        <v>0</v>
      </c>
      <c r="V138" s="94">
        <v>0</v>
      </c>
      <c r="W138" s="94">
        <v>0</v>
      </c>
      <c r="X138" s="94">
        <v>0</v>
      </c>
      <c r="Y138" s="89">
        <v>0</v>
      </c>
      <c r="Z138" s="94">
        <f t="shared" si="13"/>
        <v>0</v>
      </c>
      <c r="AA138" s="94">
        <f t="shared" si="14"/>
        <v>0</v>
      </c>
      <c r="AB138" s="89">
        <f t="shared" si="15"/>
        <v>0</v>
      </c>
      <c r="AC138" s="89">
        <f t="shared" si="16"/>
        <v>0</v>
      </c>
      <c r="AD138" s="89">
        <v>0</v>
      </c>
      <c r="AE138" s="89">
        <v>0</v>
      </c>
      <c r="AF138" s="117"/>
      <c r="AG138" s="117"/>
      <c r="AH138" s="262"/>
      <c r="AI138" s="17"/>
      <c r="AJ138" s="17"/>
      <c r="AK138" s="17"/>
      <c r="AL138" s="17"/>
      <c r="AM138" s="17"/>
      <c r="AN138" s="17"/>
      <c r="AO138" s="17"/>
      <c r="AP138" s="15" t="str">
        <f>IFERROR(VLOOKUP(AO138,Legend!$D$2:$E$26,2,0),"")</f>
        <v/>
      </c>
      <c r="AQ138" s="15"/>
      <c r="AR138" s="17"/>
      <c r="AS138" s="17"/>
      <c r="AT138" s="15"/>
      <c r="AU138" s="17"/>
      <c r="AV138" s="17"/>
      <c r="AW138" s="17" t="s">
        <v>10</v>
      </c>
      <c r="AX138" s="15"/>
      <c r="AY138" s="15"/>
    </row>
    <row r="139" spans="1:51" x14ac:dyDescent="0.25">
      <c r="A139" s="15"/>
      <c r="B139" s="15"/>
      <c r="C139" s="15"/>
      <c r="D139" s="15"/>
      <c r="E139" s="91"/>
      <c r="F139" s="15"/>
      <c r="G139" s="15"/>
      <c r="H139" s="15"/>
      <c r="I139" s="15"/>
      <c r="J139" s="15"/>
      <c r="K139" s="89"/>
      <c r="L139" s="15"/>
      <c r="M139" s="89">
        <v>0</v>
      </c>
      <c r="N139" s="89">
        <v>0</v>
      </c>
      <c r="O139" s="89">
        <v>0</v>
      </c>
      <c r="P139" s="94">
        <v>0</v>
      </c>
      <c r="Q139" s="94">
        <v>0</v>
      </c>
      <c r="R139" s="94">
        <v>0</v>
      </c>
      <c r="S139" s="94">
        <v>0</v>
      </c>
      <c r="T139" s="89">
        <v>0</v>
      </c>
      <c r="U139" s="89">
        <v>0</v>
      </c>
      <c r="V139" s="94">
        <v>0</v>
      </c>
      <c r="W139" s="94">
        <v>0</v>
      </c>
      <c r="X139" s="94">
        <v>0</v>
      </c>
      <c r="Y139" s="89">
        <v>0</v>
      </c>
      <c r="Z139" s="94">
        <f t="shared" si="13"/>
        <v>0</v>
      </c>
      <c r="AA139" s="94">
        <f t="shared" si="14"/>
        <v>0</v>
      </c>
      <c r="AB139" s="89">
        <f t="shared" si="15"/>
        <v>0</v>
      </c>
      <c r="AC139" s="89">
        <f t="shared" si="16"/>
        <v>0</v>
      </c>
      <c r="AD139" s="89">
        <v>0</v>
      </c>
      <c r="AE139" s="89">
        <v>0</v>
      </c>
      <c r="AF139" s="117"/>
      <c r="AG139" s="117"/>
      <c r="AH139" s="262"/>
      <c r="AI139" s="17"/>
      <c r="AJ139" s="17"/>
      <c r="AK139" s="17"/>
      <c r="AL139" s="17"/>
      <c r="AM139" s="17"/>
      <c r="AN139" s="17"/>
      <c r="AO139" s="17"/>
      <c r="AP139" s="15" t="str">
        <f>IFERROR(VLOOKUP(AO139,Legend!$D$2:$E$26,2,0),"")</f>
        <v/>
      </c>
      <c r="AQ139" s="15"/>
      <c r="AR139" s="17"/>
      <c r="AS139" s="17"/>
      <c r="AT139" s="15"/>
      <c r="AU139" s="17"/>
      <c r="AV139" s="17"/>
      <c r="AW139" s="17" t="s">
        <v>10</v>
      </c>
      <c r="AX139" s="15"/>
      <c r="AY139" s="15"/>
    </row>
    <row r="140" spans="1:51" x14ac:dyDescent="0.25">
      <c r="A140" s="15"/>
      <c r="B140" s="15"/>
      <c r="C140" s="15"/>
      <c r="D140" s="15"/>
      <c r="E140" s="91"/>
      <c r="F140" s="15"/>
      <c r="G140" s="15"/>
      <c r="H140" s="15"/>
      <c r="I140" s="15"/>
      <c r="J140" s="15"/>
      <c r="K140" s="89"/>
      <c r="L140" s="15"/>
      <c r="M140" s="89">
        <v>0</v>
      </c>
      <c r="N140" s="89">
        <v>0</v>
      </c>
      <c r="O140" s="89">
        <v>0</v>
      </c>
      <c r="P140" s="94">
        <v>0</v>
      </c>
      <c r="Q140" s="94">
        <v>0</v>
      </c>
      <c r="R140" s="94">
        <v>0</v>
      </c>
      <c r="S140" s="94">
        <v>0</v>
      </c>
      <c r="T140" s="89">
        <v>0</v>
      </c>
      <c r="U140" s="89">
        <v>0</v>
      </c>
      <c r="V140" s="94">
        <v>0</v>
      </c>
      <c r="W140" s="94">
        <v>0</v>
      </c>
      <c r="X140" s="94">
        <v>0</v>
      </c>
      <c r="Y140" s="89">
        <v>0</v>
      </c>
      <c r="Z140" s="94">
        <f t="shared" si="13"/>
        <v>0</v>
      </c>
      <c r="AA140" s="94">
        <f t="shared" si="14"/>
        <v>0</v>
      </c>
      <c r="AB140" s="89">
        <f t="shared" si="15"/>
        <v>0</v>
      </c>
      <c r="AC140" s="89">
        <f t="shared" si="16"/>
        <v>0</v>
      </c>
      <c r="AD140" s="89">
        <v>0</v>
      </c>
      <c r="AE140" s="89">
        <v>0</v>
      </c>
      <c r="AF140" s="117"/>
      <c r="AG140" s="117"/>
      <c r="AH140" s="262"/>
      <c r="AI140" s="17"/>
      <c r="AJ140" s="17"/>
      <c r="AK140" s="17"/>
      <c r="AL140" s="17"/>
      <c r="AM140" s="17"/>
      <c r="AN140" s="17"/>
      <c r="AO140" s="17"/>
      <c r="AP140" s="15" t="str">
        <f>IFERROR(VLOOKUP(AO140,Legend!$D$2:$E$26,2,0),"")</f>
        <v/>
      </c>
      <c r="AQ140" s="15"/>
      <c r="AR140" s="17"/>
      <c r="AS140" s="17"/>
      <c r="AT140" s="15"/>
      <c r="AU140" s="17"/>
      <c r="AV140" s="17"/>
      <c r="AW140" s="17" t="s">
        <v>10</v>
      </c>
      <c r="AX140" s="15"/>
      <c r="AY140" s="15"/>
    </row>
    <row r="141" spans="1:51" x14ac:dyDescent="0.25">
      <c r="A141" s="15"/>
      <c r="B141" s="15"/>
      <c r="C141" s="15"/>
      <c r="D141" s="15"/>
      <c r="E141" s="91"/>
      <c r="F141" s="15"/>
      <c r="G141" s="15"/>
      <c r="H141" s="15"/>
      <c r="I141" s="15"/>
      <c r="J141" s="15"/>
      <c r="K141" s="89"/>
      <c r="L141" s="15"/>
      <c r="M141" s="89">
        <v>0</v>
      </c>
      <c r="N141" s="89">
        <v>0</v>
      </c>
      <c r="O141" s="89">
        <v>0</v>
      </c>
      <c r="P141" s="94">
        <v>0</v>
      </c>
      <c r="Q141" s="94">
        <v>0</v>
      </c>
      <c r="R141" s="94">
        <v>0</v>
      </c>
      <c r="S141" s="94">
        <v>0</v>
      </c>
      <c r="T141" s="89">
        <v>0</v>
      </c>
      <c r="U141" s="89">
        <v>0</v>
      </c>
      <c r="V141" s="94">
        <v>0</v>
      </c>
      <c r="W141" s="94">
        <v>0</v>
      </c>
      <c r="X141" s="94">
        <v>0</v>
      </c>
      <c r="Y141" s="89">
        <v>0</v>
      </c>
      <c r="Z141" s="94">
        <f t="shared" si="13"/>
        <v>0</v>
      </c>
      <c r="AA141" s="94">
        <f t="shared" si="14"/>
        <v>0</v>
      </c>
      <c r="AB141" s="89">
        <f t="shared" si="15"/>
        <v>0</v>
      </c>
      <c r="AC141" s="89">
        <f t="shared" si="16"/>
        <v>0</v>
      </c>
      <c r="AD141" s="89">
        <v>0</v>
      </c>
      <c r="AE141" s="89">
        <v>0</v>
      </c>
      <c r="AF141" s="117"/>
      <c r="AG141" s="117"/>
      <c r="AH141" s="262"/>
      <c r="AI141" s="17"/>
      <c r="AJ141" s="17"/>
      <c r="AK141" s="17"/>
      <c r="AL141" s="17"/>
      <c r="AM141" s="17"/>
      <c r="AN141" s="17"/>
      <c r="AO141" s="17"/>
      <c r="AP141" s="15" t="str">
        <f>IFERROR(VLOOKUP(AO141,Legend!$D$2:$E$26,2,0),"")</f>
        <v/>
      </c>
      <c r="AQ141" s="15"/>
      <c r="AR141" s="17"/>
      <c r="AS141" s="17"/>
      <c r="AT141" s="15"/>
      <c r="AU141" s="17"/>
      <c r="AV141" s="17"/>
      <c r="AW141" s="17" t="s">
        <v>10</v>
      </c>
      <c r="AX141" s="15"/>
      <c r="AY141" s="15"/>
    </row>
    <row r="142" spans="1:51" x14ac:dyDescent="0.25">
      <c r="A142" s="15"/>
      <c r="B142" s="15"/>
      <c r="C142" s="15"/>
      <c r="D142" s="15"/>
      <c r="E142" s="91"/>
      <c r="F142" s="15"/>
      <c r="G142" s="15"/>
      <c r="H142" s="15"/>
      <c r="I142" s="15"/>
      <c r="J142" s="15"/>
      <c r="K142" s="89"/>
      <c r="L142" s="15"/>
      <c r="M142" s="89">
        <v>0</v>
      </c>
      <c r="N142" s="89">
        <v>0</v>
      </c>
      <c r="O142" s="89">
        <v>0</v>
      </c>
      <c r="P142" s="94">
        <v>0</v>
      </c>
      <c r="Q142" s="94">
        <v>0</v>
      </c>
      <c r="R142" s="94">
        <v>0</v>
      </c>
      <c r="S142" s="94">
        <v>0</v>
      </c>
      <c r="T142" s="89">
        <v>0</v>
      </c>
      <c r="U142" s="89">
        <v>0</v>
      </c>
      <c r="V142" s="94">
        <v>0</v>
      </c>
      <c r="W142" s="94">
        <v>0</v>
      </c>
      <c r="X142" s="94">
        <v>0</v>
      </c>
      <c r="Y142" s="89">
        <v>0</v>
      </c>
      <c r="Z142" s="94">
        <f t="shared" si="13"/>
        <v>0</v>
      </c>
      <c r="AA142" s="94">
        <f t="shared" si="14"/>
        <v>0</v>
      </c>
      <c r="AB142" s="89">
        <f t="shared" si="15"/>
        <v>0</v>
      </c>
      <c r="AC142" s="89">
        <f t="shared" si="16"/>
        <v>0</v>
      </c>
      <c r="AD142" s="89">
        <v>0</v>
      </c>
      <c r="AE142" s="89">
        <v>0</v>
      </c>
      <c r="AF142" s="117"/>
      <c r="AG142" s="117"/>
      <c r="AH142" s="262"/>
      <c r="AI142" s="17"/>
      <c r="AJ142" s="17"/>
      <c r="AK142" s="17"/>
      <c r="AL142" s="17"/>
      <c r="AM142" s="17"/>
      <c r="AN142" s="17"/>
      <c r="AO142" s="17"/>
      <c r="AP142" s="15" t="str">
        <f>IFERROR(VLOOKUP(AO142,Legend!$D$2:$E$26,2,0),"")</f>
        <v/>
      </c>
      <c r="AQ142" s="15"/>
      <c r="AR142" s="17"/>
      <c r="AS142" s="17"/>
      <c r="AT142" s="15"/>
      <c r="AU142" s="17"/>
      <c r="AV142" s="17"/>
      <c r="AW142" s="17" t="s">
        <v>10</v>
      </c>
      <c r="AX142" s="15"/>
      <c r="AY142" s="15"/>
    </row>
    <row r="143" spans="1:51" x14ac:dyDescent="0.25">
      <c r="A143" s="15"/>
      <c r="B143" s="15"/>
      <c r="C143" s="15"/>
      <c r="D143" s="15"/>
      <c r="E143" s="91"/>
      <c r="F143" s="15"/>
      <c r="G143" s="15"/>
      <c r="H143" s="15"/>
      <c r="I143" s="15"/>
      <c r="J143" s="15"/>
      <c r="K143" s="89"/>
      <c r="L143" s="15"/>
      <c r="M143" s="89">
        <v>0</v>
      </c>
      <c r="N143" s="89">
        <v>0</v>
      </c>
      <c r="O143" s="89">
        <v>0</v>
      </c>
      <c r="P143" s="94">
        <v>0</v>
      </c>
      <c r="Q143" s="94">
        <v>0</v>
      </c>
      <c r="R143" s="94">
        <v>0</v>
      </c>
      <c r="S143" s="94">
        <v>0</v>
      </c>
      <c r="T143" s="89">
        <v>0</v>
      </c>
      <c r="U143" s="89">
        <v>0</v>
      </c>
      <c r="V143" s="94">
        <v>0</v>
      </c>
      <c r="W143" s="94">
        <v>0</v>
      </c>
      <c r="X143" s="94">
        <v>0</v>
      </c>
      <c r="Y143" s="89">
        <v>0</v>
      </c>
      <c r="Z143" s="94">
        <f t="shared" si="13"/>
        <v>0</v>
      </c>
      <c r="AA143" s="94">
        <f t="shared" si="14"/>
        <v>0</v>
      </c>
      <c r="AB143" s="89">
        <f t="shared" si="15"/>
        <v>0</v>
      </c>
      <c r="AC143" s="89">
        <f t="shared" si="16"/>
        <v>0</v>
      </c>
      <c r="AD143" s="89">
        <v>0</v>
      </c>
      <c r="AE143" s="89">
        <v>0</v>
      </c>
      <c r="AF143" s="117"/>
      <c r="AG143" s="117"/>
      <c r="AH143" s="262"/>
      <c r="AI143" s="17"/>
      <c r="AJ143" s="17"/>
      <c r="AK143" s="17"/>
      <c r="AL143" s="17"/>
      <c r="AM143" s="17"/>
      <c r="AN143" s="17"/>
      <c r="AO143" s="17"/>
      <c r="AP143" s="15" t="str">
        <f>IFERROR(VLOOKUP(AO143,Legend!$D$2:$E$26,2,0),"")</f>
        <v/>
      </c>
      <c r="AQ143" s="15"/>
      <c r="AR143" s="17"/>
      <c r="AS143" s="17"/>
      <c r="AT143" s="15"/>
      <c r="AU143" s="17"/>
      <c r="AV143" s="17"/>
      <c r="AW143" s="17" t="s">
        <v>10</v>
      </c>
      <c r="AX143" s="15"/>
      <c r="AY143" s="15"/>
    </row>
    <row r="144" spans="1:51" x14ac:dyDescent="0.25">
      <c r="A144" s="15"/>
      <c r="B144" s="15"/>
      <c r="C144" s="15"/>
      <c r="D144" s="15"/>
      <c r="E144" s="91"/>
      <c r="F144" s="15"/>
      <c r="G144" s="15"/>
      <c r="H144" s="15"/>
      <c r="I144" s="15"/>
      <c r="J144" s="15"/>
      <c r="K144" s="89"/>
      <c r="L144" s="15"/>
      <c r="M144" s="89">
        <v>0</v>
      </c>
      <c r="N144" s="89">
        <v>0</v>
      </c>
      <c r="O144" s="89">
        <v>0</v>
      </c>
      <c r="P144" s="94">
        <v>0</v>
      </c>
      <c r="Q144" s="94">
        <v>0</v>
      </c>
      <c r="R144" s="94">
        <v>0</v>
      </c>
      <c r="S144" s="94">
        <v>0</v>
      </c>
      <c r="T144" s="89">
        <v>0</v>
      </c>
      <c r="U144" s="89">
        <v>0</v>
      </c>
      <c r="V144" s="94">
        <v>0</v>
      </c>
      <c r="W144" s="94">
        <v>0</v>
      </c>
      <c r="X144" s="94">
        <v>0</v>
      </c>
      <c r="Y144" s="89">
        <v>0</v>
      </c>
      <c r="Z144" s="94">
        <f t="shared" si="13"/>
        <v>0</v>
      </c>
      <c r="AA144" s="94">
        <f t="shared" si="14"/>
        <v>0</v>
      </c>
      <c r="AB144" s="89">
        <f t="shared" si="15"/>
        <v>0</v>
      </c>
      <c r="AC144" s="89">
        <f t="shared" si="16"/>
        <v>0</v>
      </c>
      <c r="AD144" s="89">
        <v>0</v>
      </c>
      <c r="AE144" s="89">
        <v>0</v>
      </c>
      <c r="AF144" s="117"/>
      <c r="AG144" s="117"/>
      <c r="AH144" s="262"/>
      <c r="AI144" s="17"/>
      <c r="AJ144" s="17"/>
      <c r="AK144" s="17"/>
      <c r="AL144" s="17"/>
      <c r="AM144" s="17"/>
      <c r="AN144" s="17"/>
      <c r="AO144" s="17"/>
      <c r="AP144" s="15" t="str">
        <f>IFERROR(VLOOKUP(AO144,Legend!$D$2:$E$26,2,0),"")</f>
        <v/>
      </c>
      <c r="AQ144" s="15"/>
      <c r="AR144" s="17"/>
      <c r="AS144" s="17"/>
      <c r="AT144" s="15"/>
      <c r="AU144" s="17"/>
      <c r="AV144" s="17"/>
      <c r="AW144" s="17" t="s">
        <v>10</v>
      </c>
      <c r="AX144" s="15"/>
      <c r="AY144" s="15"/>
    </row>
    <row r="145" spans="1:51" x14ac:dyDescent="0.25">
      <c r="A145" s="15"/>
      <c r="B145" s="15"/>
      <c r="C145" s="15"/>
      <c r="D145" s="15"/>
      <c r="E145" s="91"/>
      <c r="F145" s="15"/>
      <c r="G145" s="15"/>
      <c r="H145" s="15"/>
      <c r="I145" s="15"/>
      <c r="J145" s="15"/>
      <c r="K145" s="89"/>
      <c r="L145" s="15"/>
      <c r="M145" s="89">
        <v>0</v>
      </c>
      <c r="N145" s="89">
        <v>0</v>
      </c>
      <c r="O145" s="89">
        <v>0</v>
      </c>
      <c r="P145" s="94">
        <v>0</v>
      </c>
      <c r="Q145" s="94">
        <v>0</v>
      </c>
      <c r="R145" s="94">
        <v>0</v>
      </c>
      <c r="S145" s="94">
        <v>0</v>
      </c>
      <c r="T145" s="89">
        <v>0</v>
      </c>
      <c r="U145" s="89">
        <v>0</v>
      </c>
      <c r="V145" s="94">
        <v>0</v>
      </c>
      <c r="W145" s="94">
        <v>0</v>
      </c>
      <c r="X145" s="94">
        <v>0</v>
      </c>
      <c r="Y145" s="89">
        <v>0</v>
      </c>
      <c r="Z145" s="94">
        <f t="shared" si="13"/>
        <v>0</v>
      </c>
      <c r="AA145" s="94">
        <f t="shared" si="14"/>
        <v>0</v>
      </c>
      <c r="AB145" s="89">
        <f t="shared" si="15"/>
        <v>0</v>
      </c>
      <c r="AC145" s="89">
        <f t="shared" si="16"/>
        <v>0</v>
      </c>
      <c r="AD145" s="89">
        <v>0</v>
      </c>
      <c r="AE145" s="89">
        <v>0</v>
      </c>
      <c r="AF145" s="117"/>
      <c r="AG145" s="117"/>
      <c r="AH145" s="262"/>
      <c r="AI145" s="17"/>
      <c r="AJ145" s="17"/>
      <c r="AK145" s="17"/>
      <c r="AL145" s="17"/>
      <c r="AM145" s="17"/>
      <c r="AN145" s="17"/>
      <c r="AO145" s="17"/>
      <c r="AP145" s="15" t="str">
        <f>IFERROR(VLOOKUP(AO145,Legend!$D$2:$E$26,2,0),"")</f>
        <v/>
      </c>
      <c r="AQ145" s="15"/>
      <c r="AR145" s="17"/>
      <c r="AS145" s="17"/>
      <c r="AT145" s="15"/>
      <c r="AU145" s="17"/>
      <c r="AV145" s="17"/>
      <c r="AW145" s="17" t="s">
        <v>10</v>
      </c>
      <c r="AX145" s="15"/>
      <c r="AY145" s="15"/>
    </row>
    <row r="146" spans="1:51" x14ac:dyDescent="0.25">
      <c r="A146" s="15"/>
      <c r="B146" s="15"/>
      <c r="C146" s="15"/>
      <c r="D146" s="15"/>
      <c r="E146" s="91"/>
      <c r="F146" s="15"/>
      <c r="G146" s="15"/>
      <c r="H146" s="15"/>
      <c r="I146" s="15"/>
      <c r="J146" s="15"/>
      <c r="K146" s="89"/>
      <c r="L146" s="15"/>
      <c r="M146" s="89">
        <v>0</v>
      </c>
      <c r="N146" s="89">
        <v>0</v>
      </c>
      <c r="O146" s="89">
        <v>0</v>
      </c>
      <c r="P146" s="94">
        <v>0</v>
      </c>
      <c r="Q146" s="94">
        <v>0</v>
      </c>
      <c r="R146" s="94">
        <v>0</v>
      </c>
      <c r="S146" s="94">
        <v>0</v>
      </c>
      <c r="T146" s="89">
        <v>0</v>
      </c>
      <c r="U146" s="89">
        <v>0</v>
      </c>
      <c r="V146" s="94">
        <v>0</v>
      </c>
      <c r="W146" s="94">
        <v>0</v>
      </c>
      <c r="X146" s="94">
        <v>0</v>
      </c>
      <c r="Y146" s="89">
        <v>0</v>
      </c>
      <c r="Z146" s="94">
        <f t="shared" si="13"/>
        <v>0</v>
      </c>
      <c r="AA146" s="94">
        <f t="shared" si="14"/>
        <v>0</v>
      </c>
      <c r="AB146" s="89">
        <f t="shared" si="15"/>
        <v>0</v>
      </c>
      <c r="AC146" s="89">
        <f t="shared" si="16"/>
        <v>0</v>
      </c>
      <c r="AD146" s="89">
        <v>0</v>
      </c>
      <c r="AE146" s="89">
        <v>0</v>
      </c>
      <c r="AF146" s="117"/>
      <c r="AG146" s="117"/>
      <c r="AH146" s="262"/>
      <c r="AI146" s="17"/>
      <c r="AJ146" s="17"/>
      <c r="AK146" s="17"/>
      <c r="AL146" s="17"/>
      <c r="AM146" s="17"/>
      <c r="AN146" s="17"/>
      <c r="AO146" s="17"/>
      <c r="AP146" s="15" t="str">
        <f>IFERROR(VLOOKUP(AO146,Legend!$D$2:$E$26,2,0),"")</f>
        <v/>
      </c>
      <c r="AQ146" s="15"/>
      <c r="AR146" s="17"/>
      <c r="AS146" s="17"/>
      <c r="AT146" s="15"/>
      <c r="AU146" s="17"/>
      <c r="AV146" s="17"/>
      <c r="AW146" s="17" t="s">
        <v>10</v>
      </c>
      <c r="AX146" s="15"/>
      <c r="AY146" s="15"/>
    </row>
    <row r="147" spans="1:51" x14ac:dyDescent="0.25">
      <c r="A147" s="15"/>
      <c r="B147" s="15"/>
      <c r="C147" s="15"/>
      <c r="D147" s="15"/>
      <c r="E147" s="91"/>
      <c r="F147" s="15"/>
      <c r="G147" s="15"/>
      <c r="H147" s="15"/>
      <c r="I147" s="15"/>
      <c r="J147" s="15"/>
      <c r="K147" s="89"/>
      <c r="L147" s="15"/>
      <c r="M147" s="89">
        <v>0</v>
      </c>
      <c r="N147" s="89">
        <v>0</v>
      </c>
      <c r="O147" s="89">
        <v>0</v>
      </c>
      <c r="P147" s="94">
        <v>0</v>
      </c>
      <c r="Q147" s="94">
        <v>0</v>
      </c>
      <c r="R147" s="94">
        <v>0</v>
      </c>
      <c r="S147" s="94">
        <v>0</v>
      </c>
      <c r="T147" s="89">
        <v>0</v>
      </c>
      <c r="U147" s="89">
        <v>0</v>
      </c>
      <c r="V147" s="94">
        <v>0</v>
      </c>
      <c r="W147" s="94">
        <v>0</v>
      </c>
      <c r="X147" s="94">
        <v>0</v>
      </c>
      <c r="Y147" s="89">
        <v>0</v>
      </c>
      <c r="Z147" s="94">
        <f t="shared" si="13"/>
        <v>0</v>
      </c>
      <c r="AA147" s="94">
        <f t="shared" si="14"/>
        <v>0</v>
      </c>
      <c r="AB147" s="89">
        <f t="shared" si="15"/>
        <v>0</v>
      </c>
      <c r="AC147" s="89">
        <f t="shared" si="16"/>
        <v>0</v>
      </c>
      <c r="AD147" s="89">
        <v>0</v>
      </c>
      <c r="AE147" s="89">
        <v>0</v>
      </c>
      <c r="AF147" s="117"/>
      <c r="AG147" s="117"/>
      <c r="AH147" s="262"/>
      <c r="AI147" s="17"/>
      <c r="AJ147" s="17"/>
      <c r="AK147" s="17"/>
      <c r="AL147" s="17"/>
      <c r="AM147" s="17"/>
      <c r="AN147" s="17"/>
      <c r="AO147" s="17"/>
      <c r="AP147" s="15" t="str">
        <f>IFERROR(VLOOKUP(AO147,Legend!$D$2:$E$26,2,0),"")</f>
        <v/>
      </c>
      <c r="AQ147" s="15"/>
      <c r="AR147" s="17"/>
      <c r="AS147" s="17"/>
      <c r="AT147" s="15"/>
      <c r="AU147" s="17"/>
      <c r="AV147" s="17"/>
      <c r="AW147" s="17" t="s">
        <v>10</v>
      </c>
      <c r="AX147" s="15"/>
      <c r="AY147" s="15"/>
    </row>
    <row r="148" spans="1:51" x14ac:dyDescent="0.25">
      <c r="A148" s="15"/>
      <c r="B148" s="15"/>
      <c r="C148" s="15"/>
      <c r="D148" s="15"/>
      <c r="E148" s="91"/>
      <c r="F148" s="15"/>
      <c r="G148" s="15"/>
      <c r="H148" s="15"/>
      <c r="I148" s="15"/>
      <c r="J148" s="15"/>
      <c r="K148" s="89"/>
      <c r="L148" s="15"/>
      <c r="M148" s="89">
        <v>0</v>
      </c>
      <c r="N148" s="89">
        <v>0</v>
      </c>
      <c r="O148" s="89">
        <v>0</v>
      </c>
      <c r="P148" s="94">
        <v>0</v>
      </c>
      <c r="Q148" s="94">
        <v>0</v>
      </c>
      <c r="R148" s="94">
        <v>0</v>
      </c>
      <c r="S148" s="94">
        <v>0</v>
      </c>
      <c r="T148" s="89">
        <v>0</v>
      </c>
      <c r="U148" s="89">
        <v>0</v>
      </c>
      <c r="V148" s="94">
        <v>0</v>
      </c>
      <c r="W148" s="94">
        <v>0</v>
      </c>
      <c r="X148" s="94">
        <v>0</v>
      </c>
      <c r="Y148" s="89">
        <v>0</v>
      </c>
      <c r="Z148" s="94">
        <f t="shared" si="13"/>
        <v>0</v>
      </c>
      <c r="AA148" s="94">
        <f t="shared" si="14"/>
        <v>0</v>
      </c>
      <c r="AB148" s="89">
        <f t="shared" si="15"/>
        <v>0</v>
      </c>
      <c r="AC148" s="89">
        <f t="shared" si="16"/>
        <v>0</v>
      </c>
      <c r="AD148" s="89">
        <v>0</v>
      </c>
      <c r="AE148" s="89">
        <v>0</v>
      </c>
      <c r="AF148" s="117"/>
      <c r="AG148" s="117"/>
      <c r="AH148" s="262"/>
      <c r="AI148" s="17"/>
      <c r="AJ148" s="17"/>
      <c r="AK148" s="17"/>
      <c r="AL148" s="17"/>
      <c r="AM148" s="17"/>
      <c r="AN148" s="17"/>
      <c r="AO148" s="17"/>
      <c r="AP148" s="15" t="str">
        <f>IFERROR(VLOOKUP(AO148,Legend!$D$2:$E$26,2,0),"")</f>
        <v/>
      </c>
      <c r="AQ148" s="15"/>
      <c r="AR148" s="17"/>
      <c r="AS148" s="17"/>
      <c r="AT148" s="15"/>
      <c r="AU148" s="17"/>
      <c r="AV148" s="17"/>
      <c r="AW148" s="17" t="s">
        <v>10</v>
      </c>
      <c r="AX148" s="15"/>
      <c r="AY148" s="15"/>
    </row>
    <row r="149" spans="1:51" x14ac:dyDescent="0.25">
      <c r="A149" s="15"/>
      <c r="B149" s="15"/>
      <c r="C149" s="15"/>
      <c r="D149" s="15"/>
      <c r="E149" s="91"/>
      <c r="F149" s="15"/>
      <c r="G149" s="15"/>
      <c r="H149" s="15"/>
      <c r="I149" s="15"/>
      <c r="J149" s="15"/>
      <c r="K149" s="89"/>
      <c r="L149" s="15"/>
      <c r="M149" s="89">
        <v>0</v>
      </c>
      <c r="N149" s="89">
        <v>0</v>
      </c>
      <c r="O149" s="89">
        <v>0</v>
      </c>
      <c r="P149" s="94">
        <v>0</v>
      </c>
      <c r="Q149" s="94">
        <v>0</v>
      </c>
      <c r="R149" s="94">
        <v>0</v>
      </c>
      <c r="S149" s="94">
        <v>0</v>
      </c>
      <c r="T149" s="89">
        <v>0</v>
      </c>
      <c r="U149" s="89">
        <v>0</v>
      </c>
      <c r="V149" s="94">
        <v>0</v>
      </c>
      <c r="W149" s="94">
        <v>0</v>
      </c>
      <c r="X149" s="94">
        <v>0</v>
      </c>
      <c r="Y149" s="89">
        <v>0</v>
      </c>
      <c r="Z149" s="94">
        <f t="shared" si="13"/>
        <v>0</v>
      </c>
      <c r="AA149" s="94">
        <f t="shared" si="14"/>
        <v>0</v>
      </c>
      <c r="AB149" s="89">
        <f t="shared" si="15"/>
        <v>0</v>
      </c>
      <c r="AC149" s="89">
        <f t="shared" si="16"/>
        <v>0</v>
      </c>
      <c r="AD149" s="89">
        <v>0</v>
      </c>
      <c r="AE149" s="89">
        <v>0</v>
      </c>
      <c r="AF149" s="117"/>
      <c r="AG149" s="117"/>
      <c r="AH149" s="262"/>
      <c r="AI149" s="17"/>
      <c r="AJ149" s="17"/>
      <c r="AK149" s="17"/>
      <c r="AL149" s="17"/>
      <c r="AM149" s="17"/>
      <c r="AN149" s="17"/>
      <c r="AO149" s="17"/>
      <c r="AP149" s="15" t="str">
        <f>IFERROR(VLOOKUP(AO149,Legend!$D$2:$E$26,2,0),"")</f>
        <v/>
      </c>
      <c r="AQ149" s="15"/>
      <c r="AR149" s="17"/>
      <c r="AS149" s="17"/>
      <c r="AT149" s="15"/>
      <c r="AU149" s="17"/>
      <c r="AV149" s="17"/>
      <c r="AW149" s="17" t="s">
        <v>10</v>
      </c>
      <c r="AX149" s="15"/>
      <c r="AY149" s="15"/>
    </row>
    <row r="150" spans="1:51" x14ac:dyDescent="0.25">
      <c r="A150" s="15"/>
      <c r="B150" s="15"/>
      <c r="C150" s="15"/>
      <c r="D150" s="15"/>
      <c r="E150" s="91"/>
      <c r="F150" s="15"/>
      <c r="G150" s="15"/>
      <c r="H150" s="15"/>
      <c r="I150" s="15"/>
      <c r="J150" s="15"/>
      <c r="K150" s="89"/>
      <c r="L150" s="15"/>
      <c r="M150" s="89">
        <v>0</v>
      </c>
      <c r="N150" s="89">
        <v>0</v>
      </c>
      <c r="O150" s="89">
        <v>0</v>
      </c>
      <c r="P150" s="94">
        <v>0</v>
      </c>
      <c r="Q150" s="94">
        <v>0</v>
      </c>
      <c r="R150" s="94">
        <v>0</v>
      </c>
      <c r="S150" s="94">
        <v>0</v>
      </c>
      <c r="T150" s="89">
        <v>0</v>
      </c>
      <c r="U150" s="89">
        <v>0</v>
      </c>
      <c r="V150" s="94">
        <v>0</v>
      </c>
      <c r="W150" s="94">
        <v>0</v>
      </c>
      <c r="X150" s="94">
        <v>0</v>
      </c>
      <c r="Y150" s="89">
        <v>0</v>
      </c>
      <c r="Z150" s="94">
        <f t="shared" si="13"/>
        <v>0</v>
      </c>
      <c r="AA150" s="94">
        <f t="shared" si="14"/>
        <v>0</v>
      </c>
      <c r="AB150" s="89">
        <f t="shared" si="15"/>
        <v>0</v>
      </c>
      <c r="AC150" s="89">
        <f t="shared" si="16"/>
        <v>0</v>
      </c>
      <c r="AD150" s="89">
        <v>0</v>
      </c>
      <c r="AE150" s="89">
        <v>0</v>
      </c>
      <c r="AF150" s="117"/>
      <c r="AG150" s="117"/>
      <c r="AH150" s="262"/>
      <c r="AI150" s="17"/>
      <c r="AJ150" s="17"/>
      <c r="AK150" s="17"/>
      <c r="AL150" s="17"/>
      <c r="AM150" s="17"/>
      <c r="AN150" s="17"/>
      <c r="AO150" s="17"/>
      <c r="AP150" s="15" t="str">
        <f>IFERROR(VLOOKUP(AO150,Legend!$D$2:$E$26,2,0),"")</f>
        <v/>
      </c>
      <c r="AQ150" s="15"/>
      <c r="AR150" s="17"/>
      <c r="AS150" s="17"/>
      <c r="AT150" s="15"/>
      <c r="AU150" s="17"/>
      <c r="AV150" s="17"/>
      <c r="AW150" s="17" t="s">
        <v>10</v>
      </c>
      <c r="AX150" s="15"/>
      <c r="AY150" s="15"/>
    </row>
    <row r="151" spans="1:51" x14ac:dyDescent="0.25">
      <c r="A151" s="15"/>
      <c r="B151" s="15"/>
      <c r="C151" s="15"/>
      <c r="D151" s="15"/>
      <c r="E151" s="91"/>
      <c r="F151" s="15"/>
      <c r="G151" s="15"/>
      <c r="H151" s="15"/>
      <c r="I151" s="15"/>
      <c r="J151" s="15"/>
      <c r="K151" s="89"/>
      <c r="L151" s="15"/>
      <c r="M151" s="89">
        <v>0</v>
      </c>
      <c r="N151" s="89">
        <v>0</v>
      </c>
      <c r="O151" s="89">
        <v>0</v>
      </c>
      <c r="P151" s="94">
        <v>0</v>
      </c>
      <c r="Q151" s="94">
        <v>0</v>
      </c>
      <c r="R151" s="94">
        <v>0</v>
      </c>
      <c r="S151" s="94">
        <v>0</v>
      </c>
      <c r="T151" s="89">
        <v>0</v>
      </c>
      <c r="U151" s="89">
        <v>0</v>
      </c>
      <c r="V151" s="94">
        <v>0</v>
      </c>
      <c r="W151" s="94">
        <v>0</v>
      </c>
      <c r="X151" s="94">
        <v>0</v>
      </c>
      <c r="Y151" s="89">
        <v>0</v>
      </c>
      <c r="Z151" s="94">
        <f t="shared" si="13"/>
        <v>0</v>
      </c>
      <c r="AA151" s="94">
        <f t="shared" si="14"/>
        <v>0</v>
      </c>
      <c r="AB151" s="89">
        <f t="shared" si="15"/>
        <v>0</v>
      </c>
      <c r="AC151" s="89">
        <f t="shared" si="16"/>
        <v>0</v>
      </c>
      <c r="AD151" s="89">
        <v>0</v>
      </c>
      <c r="AE151" s="89">
        <v>0</v>
      </c>
      <c r="AF151" s="117"/>
      <c r="AG151" s="117"/>
      <c r="AH151" s="262"/>
      <c r="AI151" s="17"/>
      <c r="AJ151" s="17"/>
      <c r="AK151" s="17"/>
      <c r="AL151" s="17"/>
      <c r="AM151" s="17"/>
      <c r="AN151" s="17"/>
      <c r="AO151" s="17"/>
      <c r="AP151" s="15" t="str">
        <f>IFERROR(VLOOKUP(AO151,Legend!$D$2:$E$26,2,0),"")</f>
        <v/>
      </c>
      <c r="AQ151" s="15"/>
      <c r="AR151" s="17"/>
      <c r="AS151" s="17"/>
      <c r="AT151" s="15"/>
      <c r="AU151" s="17"/>
      <c r="AV151" s="17"/>
      <c r="AW151" s="17" t="s">
        <v>10</v>
      </c>
      <c r="AX151" s="15"/>
      <c r="AY151" s="15"/>
    </row>
    <row r="152" spans="1:51" x14ac:dyDescent="0.25">
      <c r="A152" s="15"/>
      <c r="B152" s="15"/>
      <c r="C152" s="15"/>
      <c r="D152" s="15"/>
      <c r="E152" s="91"/>
      <c r="F152" s="15"/>
      <c r="G152" s="15"/>
      <c r="H152" s="15"/>
      <c r="I152" s="15"/>
      <c r="J152" s="15"/>
      <c r="K152" s="89"/>
      <c r="L152" s="15"/>
      <c r="M152" s="89">
        <v>0</v>
      </c>
      <c r="N152" s="89">
        <v>0</v>
      </c>
      <c r="O152" s="89">
        <v>0</v>
      </c>
      <c r="P152" s="94">
        <v>0</v>
      </c>
      <c r="Q152" s="94">
        <v>0</v>
      </c>
      <c r="R152" s="94">
        <v>0</v>
      </c>
      <c r="S152" s="94">
        <v>0</v>
      </c>
      <c r="T152" s="89">
        <v>0</v>
      </c>
      <c r="U152" s="89">
        <v>0</v>
      </c>
      <c r="V152" s="94">
        <v>0</v>
      </c>
      <c r="W152" s="94">
        <v>0</v>
      </c>
      <c r="X152" s="94">
        <v>0</v>
      </c>
      <c r="Y152" s="89">
        <v>0</v>
      </c>
      <c r="Z152" s="94">
        <f t="shared" si="13"/>
        <v>0</v>
      </c>
      <c r="AA152" s="94">
        <f t="shared" si="14"/>
        <v>0</v>
      </c>
      <c r="AB152" s="89">
        <f t="shared" si="15"/>
        <v>0</v>
      </c>
      <c r="AC152" s="89">
        <f t="shared" si="16"/>
        <v>0</v>
      </c>
      <c r="AD152" s="89">
        <v>0</v>
      </c>
      <c r="AE152" s="89">
        <v>0</v>
      </c>
      <c r="AF152" s="117"/>
      <c r="AG152" s="117"/>
      <c r="AH152" s="262"/>
      <c r="AI152" s="17"/>
      <c r="AJ152" s="17"/>
      <c r="AK152" s="17"/>
      <c r="AL152" s="17"/>
      <c r="AM152" s="17"/>
      <c r="AN152" s="17"/>
      <c r="AO152" s="17"/>
      <c r="AP152" s="15" t="str">
        <f>IFERROR(VLOOKUP(AO152,Legend!$D$2:$E$26,2,0),"")</f>
        <v/>
      </c>
      <c r="AQ152" s="15"/>
      <c r="AR152" s="17"/>
      <c r="AS152" s="17"/>
      <c r="AT152" s="15"/>
      <c r="AU152" s="17"/>
      <c r="AV152" s="17"/>
      <c r="AW152" s="17" t="s">
        <v>10</v>
      </c>
      <c r="AX152" s="15"/>
      <c r="AY152" s="15"/>
    </row>
    <row r="153" spans="1:51" x14ac:dyDescent="0.25">
      <c r="A153" s="15"/>
      <c r="B153" s="15"/>
      <c r="C153" s="15"/>
      <c r="D153" s="15"/>
      <c r="E153" s="91"/>
      <c r="F153" s="15"/>
      <c r="G153" s="15"/>
      <c r="H153" s="15"/>
      <c r="I153" s="15"/>
      <c r="J153" s="15"/>
      <c r="K153" s="89"/>
      <c r="L153" s="15"/>
      <c r="M153" s="89">
        <v>0</v>
      </c>
      <c r="N153" s="89">
        <v>0</v>
      </c>
      <c r="O153" s="89">
        <v>0</v>
      </c>
      <c r="P153" s="94">
        <v>0</v>
      </c>
      <c r="Q153" s="94">
        <v>0</v>
      </c>
      <c r="R153" s="94">
        <v>0</v>
      </c>
      <c r="S153" s="94">
        <v>0</v>
      </c>
      <c r="T153" s="89">
        <v>0</v>
      </c>
      <c r="U153" s="89">
        <v>0</v>
      </c>
      <c r="V153" s="94">
        <v>0</v>
      </c>
      <c r="W153" s="94">
        <v>0</v>
      </c>
      <c r="X153" s="94">
        <v>0</v>
      </c>
      <c r="Y153" s="89">
        <v>0</v>
      </c>
      <c r="Z153" s="94">
        <f t="shared" si="13"/>
        <v>0</v>
      </c>
      <c r="AA153" s="94">
        <f t="shared" si="14"/>
        <v>0</v>
      </c>
      <c r="AB153" s="89">
        <f t="shared" si="15"/>
        <v>0</v>
      </c>
      <c r="AC153" s="89">
        <f t="shared" si="16"/>
        <v>0</v>
      </c>
      <c r="AD153" s="89">
        <v>0</v>
      </c>
      <c r="AE153" s="89">
        <v>0</v>
      </c>
      <c r="AF153" s="117"/>
      <c r="AG153" s="117"/>
      <c r="AH153" s="262"/>
      <c r="AI153" s="17"/>
      <c r="AJ153" s="17"/>
      <c r="AK153" s="17"/>
      <c r="AL153" s="17"/>
      <c r="AM153" s="17"/>
      <c r="AN153" s="17"/>
      <c r="AO153" s="17"/>
      <c r="AP153" s="15" t="str">
        <f>IFERROR(VLOOKUP(AO153,Legend!$D$2:$E$26,2,0),"")</f>
        <v/>
      </c>
      <c r="AQ153" s="15"/>
      <c r="AR153" s="17"/>
      <c r="AS153" s="17"/>
      <c r="AT153" s="15"/>
      <c r="AU153" s="17"/>
      <c r="AV153" s="17"/>
      <c r="AW153" s="17" t="s">
        <v>10</v>
      </c>
      <c r="AX153" s="15"/>
      <c r="AY153" s="15"/>
    </row>
    <row r="154" spans="1:51" x14ac:dyDescent="0.25">
      <c r="A154" s="15"/>
      <c r="B154" s="15"/>
      <c r="C154" s="15"/>
      <c r="D154" s="15"/>
      <c r="E154" s="91"/>
      <c r="F154" s="15"/>
      <c r="G154" s="15"/>
      <c r="H154" s="15"/>
      <c r="I154" s="15"/>
      <c r="J154" s="15"/>
      <c r="K154" s="89"/>
      <c r="L154" s="15"/>
      <c r="M154" s="89">
        <v>0</v>
      </c>
      <c r="N154" s="89">
        <v>0</v>
      </c>
      <c r="O154" s="89">
        <v>0</v>
      </c>
      <c r="P154" s="94">
        <v>0</v>
      </c>
      <c r="Q154" s="94">
        <v>0</v>
      </c>
      <c r="R154" s="94">
        <v>0</v>
      </c>
      <c r="S154" s="94">
        <v>0</v>
      </c>
      <c r="T154" s="89">
        <v>0</v>
      </c>
      <c r="U154" s="89">
        <v>0</v>
      </c>
      <c r="V154" s="94">
        <v>0</v>
      </c>
      <c r="W154" s="94">
        <v>0</v>
      </c>
      <c r="X154" s="94">
        <v>0</v>
      </c>
      <c r="Y154" s="89">
        <v>0</v>
      </c>
      <c r="Z154" s="94">
        <f t="shared" si="13"/>
        <v>0</v>
      </c>
      <c r="AA154" s="94">
        <f t="shared" si="14"/>
        <v>0</v>
      </c>
      <c r="AB154" s="89">
        <f t="shared" si="15"/>
        <v>0</v>
      </c>
      <c r="AC154" s="89">
        <f t="shared" si="16"/>
        <v>0</v>
      </c>
      <c r="AD154" s="89">
        <v>0</v>
      </c>
      <c r="AE154" s="89">
        <v>0</v>
      </c>
      <c r="AF154" s="117"/>
      <c r="AG154" s="117"/>
      <c r="AH154" s="262"/>
      <c r="AI154" s="17"/>
      <c r="AJ154" s="17"/>
      <c r="AK154" s="17"/>
      <c r="AL154" s="17"/>
      <c r="AM154" s="17"/>
      <c r="AN154" s="17"/>
      <c r="AO154" s="17"/>
      <c r="AP154" s="15" t="str">
        <f>IFERROR(VLOOKUP(AO154,Legend!$D$2:$E$26,2,0),"")</f>
        <v/>
      </c>
      <c r="AQ154" s="15"/>
      <c r="AR154" s="17"/>
      <c r="AS154" s="17"/>
      <c r="AT154" s="15"/>
      <c r="AU154" s="17"/>
      <c r="AV154" s="17"/>
      <c r="AW154" s="17" t="s">
        <v>10</v>
      </c>
      <c r="AX154" s="15"/>
      <c r="AY154" s="15"/>
    </row>
    <row r="155" spans="1:51" x14ac:dyDescent="0.25">
      <c r="A155" s="15"/>
      <c r="B155" s="15"/>
      <c r="C155" s="15"/>
      <c r="D155" s="15"/>
      <c r="E155" s="91"/>
      <c r="F155" s="15"/>
      <c r="G155" s="15"/>
      <c r="H155" s="15"/>
      <c r="I155" s="15"/>
      <c r="J155" s="15"/>
      <c r="K155" s="89"/>
      <c r="L155" s="15"/>
      <c r="M155" s="89">
        <v>0</v>
      </c>
      <c r="N155" s="89">
        <v>0</v>
      </c>
      <c r="O155" s="89">
        <v>0</v>
      </c>
      <c r="P155" s="94">
        <v>0</v>
      </c>
      <c r="Q155" s="94">
        <v>0</v>
      </c>
      <c r="R155" s="94">
        <v>0</v>
      </c>
      <c r="S155" s="94">
        <v>0</v>
      </c>
      <c r="T155" s="89">
        <v>0</v>
      </c>
      <c r="U155" s="89">
        <v>0</v>
      </c>
      <c r="V155" s="94">
        <v>0</v>
      </c>
      <c r="W155" s="94">
        <v>0</v>
      </c>
      <c r="X155" s="94">
        <v>0</v>
      </c>
      <c r="Y155" s="89">
        <v>0</v>
      </c>
      <c r="Z155" s="94">
        <f t="shared" si="13"/>
        <v>0</v>
      </c>
      <c r="AA155" s="94">
        <f t="shared" si="14"/>
        <v>0</v>
      </c>
      <c r="AB155" s="89">
        <f t="shared" si="15"/>
        <v>0</v>
      </c>
      <c r="AC155" s="89">
        <f t="shared" si="16"/>
        <v>0</v>
      </c>
      <c r="AD155" s="89">
        <v>0</v>
      </c>
      <c r="AE155" s="89">
        <v>0</v>
      </c>
      <c r="AF155" s="117"/>
      <c r="AG155" s="117"/>
      <c r="AH155" s="262"/>
      <c r="AI155" s="17"/>
      <c r="AJ155" s="17"/>
      <c r="AK155" s="17"/>
      <c r="AL155" s="17"/>
      <c r="AM155" s="17"/>
      <c r="AN155" s="17"/>
      <c r="AO155" s="17"/>
      <c r="AP155" s="15" t="str">
        <f>IFERROR(VLOOKUP(AO155,Legend!$D$2:$E$26,2,0),"")</f>
        <v/>
      </c>
      <c r="AQ155" s="15"/>
      <c r="AR155" s="17"/>
      <c r="AS155" s="17"/>
      <c r="AT155" s="15"/>
      <c r="AU155" s="17"/>
      <c r="AV155" s="17"/>
      <c r="AW155" s="17" t="s">
        <v>10</v>
      </c>
      <c r="AX155" s="15"/>
      <c r="AY155" s="15"/>
    </row>
    <row r="156" spans="1:51" x14ac:dyDescent="0.25">
      <c r="A156" s="15"/>
      <c r="B156" s="15"/>
      <c r="C156" s="15"/>
      <c r="D156" s="15"/>
      <c r="E156" s="91"/>
      <c r="F156" s="15"/>
      <c r="G156" s="15"/>
      <c r="H156" s="15"/>
      <c r="I156" s="15"/>
      <c r="J156" s="15"/>
      <c r="K156" s="89"/>
      <c r="L156" s="15"/>
      <c r="M156" s="89">
        <v>0</v>
      </c>
      <c r="N156" s="89">
        <v>0</v>
      </c>
      <c r="O156" s="89">
        <v>0</v>
      </c>
      <c r="P156" s="94">
        <v>0</v>
      </c>
      <c r="Q156" s="94">
        <v>0</v>
      </c>
      <c r="R156" s="94">
        <v>0</v>
      </c>
      <c r="S156" s="94">
        <v>0</v>
      </c>
      <c r="T156" s="89">
        <v>0</v>
      </c>
      <c r="U156" s="89">
        <v>0</v>
      </c>
      <c r="V156" s="94">
        <v>0</v>
      </c>
      <c r="W156" s="94">
        <v>0</v>
      </c>
      <c r="X156" s="94">
        <v>0</v>
      </c>
      <c r="Y156" s="89">
        <v>0</v>
      </c>
      <c r="Z156" s="94">
        <f t="shared" si="13"/>
        <v>0</v>
      </c>
      <c r="AA156" s="94">
        <f t="shared" si="14"/>
        <v>0</v>
      </c>
      <c r="AB156" s="89">
        <f t="shared" si="15"/>
        <v>0</v>
      </c>
      <c r="AC156" s="89">
        <f t="shared" si="16"/>
        <v>0</v>
      </c>
      <c r="AD156" s="89">
        <v>0</v>
      </c>
      <c r="AE156" s="89">
        <v>0</v>
      </c>
      <c r="AF156" s="117"/>
      <c r="AG156" s="117"/>
      <c r="AH156" s="262"/>
      <c r="AI156" s="17"/>
      <c r="AJ156" s="17"/>
      <c r="AK156" s="17"/>
      <c r="AL156" s="17"/>
      <c r="AM156" s="17"/>
      <c r="AN156" s="17"/>
      <c r="AO156" s="17"/>
      <c r="AP156" s="15" t="str">
        <f>IFERROR(VLOOKUP(AO156,Legend!$D$2:$E$26,2,0),"")</f>
        <v/>
      </c>
      <c r="AQ156" s="15"/>
      <c r="AR156" s="17"/>
      <c r="AS156" s="17"/>
      <c r="AT156" s="15"/>
      <c r="AU156" s="17"/>
      <c r="AV156" s="17"/>
      <c r="AW156" s="17" t="s">
        <v>10</v>
      </c>
      <c r="AX156" s="15"/>
      <c r="AY156" s="15"/>
    </row>
    <row r="157" spans="1:51" x14ac:dyDescent="0.25">
      <c r="A157" s="15"/>
      <c r="B157" s="15"/>
      <c r="C157" s="15"/>
      <c r="D157" s="15"/>
      <c r="E157" s="91"/>
      <c r="F157" s="15"/>
      <c r="G157" s="15"/>
      <c r="H157" s="15"/>
      <c r="I157" s="15"/>
      <c r="J157" s="15"/>
      <c r="K157" s="89"/>
      <c r="L157" s="15"/>
      <c r="M157" s="89">
        <v>0</v>
      </c>
      <c r="N157" s="89">
        <v>0</v>
      </c>
      <c r="O157" s="89">
        <v>0</v>
      </c>
      <c r="P157" s="94">
        <v>0</v>
      </c>
      <c r="Q157" s="94">
        <v>0</v>
      </c>
      <c r="R157" s="94">
        <v>0</v>
      </c>
      <c r="S157" s="94">
        <v>0</v>
      </c>
      <c r="T157" s="89">
        <v>0</v>
      </c>
      <c r="U157" s="89">
        <v>0</v>
      </c>
      <c r="V157" s="94">
        <v>0</v>
      </c>
      <c r="W157" s="94">
        <v>0</v>
      </c>
      <c r="X157" s="94">
        <v>0</v>
      </c>
      <c r="Y157" s="89">
        <v>0</v>
      </c>
      <c r="Z157" s="94">
        <f t="shared" si="13"/>
        <v>0</v>
      </c>
      <c r="AA157" s="94">
        <f t="shared" si="14"/>
        <v>0</v>
      </c>
      <c r="AB157" s="89">
        <f t="shared" si="15"/>
        <v>0</v>
      </c>
      <c r="AC157" s="89">
        <f t="shared" si="16"/>
        <v>0</v>
      </c>
      <c r="AD157" s="89">
        <v>0</v>
      </c>
      <c r="AE157" s="89">
        <v>0</v>
      </c>
      <c r="AF157" s="117"/>
      <c r="AG157" s="117"/>
      <c r="AH157" s="262"/>
      <c r="AI157" s="17"/>
      <c r="AJ157" s="17"/>
      <c r="AK157" s="17"/>
      <c r="AL157" s="17"/>
      <c r="AM157" s="17"/>
      <c r="AN157" s="17"/>
      <c r="AO157" s="17"/>
      <c r="AP157" s="15" t="str">
        <f>IFERROR(VLOOKUP(AO157,Legend!$D$2:$E$26,2,0),"")</f>
        <v/>
      </c>
      <c r="AQ157" s="15"/>
      <c r="AR157" s="17"/>
      <c r="AS157" s="17"/>
      <c r="AT157" s="15"/>
      <c r="AU157" s="17"/>
      <c r="AV157" s="17"/>
      <c r="AW157" s="17" t="s">
        <v>10</v>
      </c>
      <c r="AX157" s="15"/>
      <c r="AY157" s="15"/>
    </row>
    <row r="158" spans="1:51" x14ac:dyDescent="0.25">
      <c r="A158" s="15"/>
      <c r="B158" s="15"/>
      <c r="C158" s="15"/>
      <c r="D158" s="15"/>
      <c r="E158" s="91"/>
      <c r="F158" s="15"/>
      <c r="G158" s="15"/>
      <c r="H158" s="15"/>
      <c r="I158" s="15"/>
      <c r="J158" s="15"/>
      <c r="K158" s="89"/>
      <c r="L158" s="15"/>
      <c r="M158" s="89">
        <v>0</v>
      </c>
      <c r="N158" s="89">
        <v>0</v>
      </c>
      <c r="O158" s="89">
        <v>0</v>
      </c>
      <c r="P158" s="94">
        <v>0</v>
      </c>
      <c r="Q158" s="94">
        <v>0</v>
      </c>
      <c r="R158" s="94">
        <v>0</v>
      </c>
      <c r="S158" s="94">
        <v>0</v>
      </c>
      <c r="T158" s="89">
        <v>0</v>
      </c>
      <c r="U158" s="89">
        <v>0</v>
      </c>
      <c r="V158" s="94">
        <v>0</v>
      </c>
      <c r="W158" s="94">
        <v>0</v>
      </c>
      <c r="X158" s="94">
        <v>0</v>
      </c>
      <c r="Y158" s="89">
        <v>0</v>
      </c>
      <c r="Z158" s="94">
        <f t="shared" si="13"/>
        <v>0</v>
      </c>
      <c r="AA158" s="94">
        <f t="shared" si="14"/>
        <v>0</v>
      </c>
      <c r="AB158" s="89">
        <f t="shared" si="15"/>
        <v>0</v>
      </c>
      <c r="AC158" s="89">
        <f t="shared" si="16"/>
        <v>0</v>
      </c>
      <c r="AD158" s="89">
        <v>0</v>
      </c>
      <c r="AE158" s="89">
        <v>0</v>
      </c>
      <c r="AF158" s="117"/>
      <c r="AG158" s="117"/>
      <c r="AH158" s="262"/>
      <c r="AI158" s="17"/>
      <c r="AJ158" s="17"/>
      <c r="AK158" s="17"/>
      <c r="AL158" s="17"/>
      <c r="AM158" s="17"/>
      <c r="AN158" s="17"/>
      <c r="AO158" s="17"/>
      <c r="AP158" s="15" t="str">
        <f>IFERROR(VLOOKUP(AO158,Legend!$D$2:$E$26,2,0),"")</f>
        <v/>
      </c>
      <c r="AQ158" s="15"/>
      <c r="AR158" s="17"/>
      <c r="AS158" s="17"/>
      <c r="AT158" s="15"/>
      <c r="AU158" s="17"/>
      <c r="AV158" s="17"/>
      <c r="AW158" s="17" t="s">
        <v>10</v>
      </c>
      <c r="AX158" s="15"/>
      <c r="AY158" s="15"/>
    </row>
    <row r="159" spans="1:51" x14ac:dyDescent="0.25">
      <c r="A159" s="15"/>
      <c r="B159" s="15"/>
      <c r="C159" s="15"/>
      <c r="D159" s="15"/>
      <c r="E159" s="91"/>
      <c r="F159" s="15"/>
      <c r="G159" s="15"/>
      <c r="H159" s="15"/>
      <c r="I159" s="15"/>
      <c r="J159" s="15"/>
      <c r="K159" s="89"/>
      <c r="L159" s="15"/>
      <c r="M159" s="89">
        <v>0</v>
      </c>
      <c r="N159" s="89">
        <v>0</v>
      </c>
      <c r="O159" s="89">
        <v>0</v>
      </c>
      <c r="P159" s="94">
        <v>0</v>
      </c>
      <c r="Q159" s="94">
        <v>0</v>
      </c>
      <c r="R159" s="94">
        <v>0</v>
      </c>
      <c r="S159" s="94">
        <v>0</v>
      </c>
      <c r="T159" s="89">
        <v>0</v>
      </c>
      <c r="U159" s="89">
        <v>0</v>
      </c>
      <c r="V159" s="94">
        <v>0</v>
      </c>
      <c r="W159" s="94">
        <v>0</v>
      </c>
      <c r="X159" s="94">
        <v>0</v>
      </c>
      <c r="Y159" s="89">
        <v>0</v>
      </c>
      <c r="Z159" s="94">
        <f t="shared" si="13"/>
        <v>0</v>
      </c>
      <c r="AA159" s="94">
        <f t="shared" si="14"/>
        <v>0</v>
      </c>
      <c r="AB159" s="89">
        <f t="shared" si="15"/>
        <v>0</v>
      </c>
      <c r="AC159" s="89">
        <f t="shared" si="16"/>
        <v>0</v>
      </c>
      <c r="AD159" s="89">
        <v>0</v>
      </c>
      <c r="AE159" s="89">
        <v>0</v>
      </c>
      <c r="AF159" s="117"/>
      <c r="AG159" s="117"/>
      <c r="AH159" s="262"/>
      <c r="AI159" s="17"/>
      <c r="AJ159" s="17"/>
      <c r="AK159" s="17"/>
      <c r="AL159" s="17"/>
      <c r="AM159" s="17"/>
      <c r="AN159" s="17"/>
      <c r="AO159" s="17"/>
      <c r="AP159" s="15" t="str">
        <f>IFERROR(VLOOKUP(AO159,Legend!$D$2:$E$26,2,0),"")</f>
        <v/>
      </c>
      <c r="AQ159" s="15"/>
      <c r="AR159" s="17"/>
      <c r="AS159" s="17"/>
      <c r="AT159" s="15"/>
      <c r="AU159" s="17"/>
      <c r="AV159" s="17"/>
      <c r="AW159" s="17" t="s">
        <v>10</v>
      </c>
      <c r="AX159" s="15"/>
      <c r="AY159" s="15"/>
    </row>
    <row r="160" spans="1:51" x14ac:dyDescent="0.25">
      <c r="A160" s="15"/>
      <c r="B160" s="15"/>
      <c r="C160" s="15"/>
      <c r="D160" s="15"/>
      <c r="E160" s="91"/>
      <c r="F160" s="15"/>
      <c r="G160" s="15"/>
      <c r="H160" s="15"/>
      <c r="I160" s="15"/>
      <c r="J160" s="15"/>
      <c r="K160" s="89"/>
      <c r="L160" s="15"/>
      <c r="M160" s="89">
        <v>0</v>
      </c>
      <c r="N160" s="89">
        <v>0</v>
      </c>
      <c r="O160" s="89">
        <v>0</v>
      </c>
      <c r="P160" s="94">
        <v>0</v>
      </c>
      <c r="Q160" s="94">
        <v>0</v>
      </c>
      <c r="R160" s="94">
        <v>0</v>
      </c>
      <c r="S160" s="94">
        <v>0</v>
      </c>
      <c r="T160" s="89">
        <v>0</v>
      </c>
      <c r="U160" s="89">
        <v>0</v>
      </c>
      <c r="V160" s="94">
        <v>0</v>
      </c>
      <c r="W160" s="94">
        <v>0</v>
      </c>
      <c r="X160" s="94">
        <v>0</v>
      </c>
      <c r="Y160" s="89">
        <v>0</v>
      </c>
      <c r="Z160" s="94">
        <f t="shared" si="13"/>
        <v>0</v>
      </c>
      <c r="AA160" s="94">
        <f t="shared" si="14"/>
        <v>0</v>
      </c>
      <c r="AB160" s="89">
        <f t="shared" si="15"/>
        <v>0</v>
      </c>
      <c r="AC160" s="89">
        <f t="shared" si="16"/>
        <v>0</v>
      </c>
      <c r="AD160" s="89">
        <v>0</v>
      </c>
      <c r="AE160" s="89">
        <v>0</v>
      </c>
      <c r="AF160" s="117"/>
      <c r="AG160" s="117"/>
      <c r="AH160" s="262"/>
      <c r="AI160" s="17"/>
      <c r="AJ160" s="17"/>
      <c r="AK160" s="17"/>
      <c r="AL160" s="17"/>
      <c r="AM160" s="17"/>
      <c r="AN160" s="17"/>
      <c r="AO160" s="17"/>
      <c r="AP160" s="15" t="str">
        <f>IFERROR(VLOOKUP(AO160,Legend!$D$2:$E$26,2,0),"")</f>
        <v/>
      </c>
      <c r="AQ160" s="15"/>
      <c r="AR160" s="17"/>
      <c r="AS160" s="17"/>
      <c r="AT160" s="15"/>
      <c r="AU160" s="17"/>
      <c r="AV160" s="17"/>
      <c r="AW160" s="17" t="s">
        <v>10</v>
      </c>
      <c r="AX160" s="15"/>
      <c r="AY160" s="15"/>
    </row>
    <row r="161" spans="1:51" x14ac:dyDescent="0.25">
      <c r="A161" s="15"/>
      <c r="B161" s="15"/>
      <c r="C161" s="15"/>
      <c r="D161" s="15"/>
      <c r="E161" s="91"/>
      <c r="F161" s="15"/>
      <c r="G161" s="15"/>
      <c r="H161" s="15"/>
      <c r="I161" s="15"/>
      <c r="J161" s="15"/>
      <c r="K161" s="89"/>
      <c r="L161" s="15"/>
      <c r="M161" s="89">
        <v>0</v>
      </c>
      <c r="N161" s="89">
        <v>0</v>
      </c>
      <c r="O161" s="89">
        <v>0</v>
      </c>
      <c r="P161" s="94">
        <v>0</v>
      </c>
      <c r="Q161" s="94">
        <v>0</v>
      </c>
      <c r="R161" s="94">
        <v>0</v>
      </c>
      <c r="S161" s="94">
        <v>0</v>
      </c>
      <c r="T161" s="89">
        <v>0</v>
      </c>
      <c r="U161" s="89">
        <v>0</v>
      </c>
      <c r="V161" s="94">
        <v>0</v>
      </c>
      <c r="W161" s="94">
        <v>0</v>
      </c>
      <c r="X161" s="94">
        <v>0</v>
      </c>
      <c r="Y161" s="89">
        <v>0</v>
      </c>
      <c r="Z161" s="94">
        <f t="shared" si="13"/>
        <v>0</v>
      </c>
      <c r="AA161" s="94">
        <f t="shared" si="14"/>
        <v>0</v>
      </c>
      <c r="AB161" s="89">
        <f t="shared" si="15"/>
        <v>0</v>
      </c>
      <c r="AC161" s="89">
        <f t="shared" si="16"/>
        <v>0</v>
      </c>
      <c r="AD161" s="89">
        <v>0</v>
      </c>
      <c r="AE161" s="89">
        <v>0</v>
      </c>
      <c r="AF161" s="117"/>
      <c r="AG161" s="117"/>
      <c r="AH161" s="262"/>
      <c r="AI161" s="17"/>
      <c r="AJ161" s="17"/>
      <c r="AK161" s="17"/>
      <c r="AL161" s="17"/>
      <c r="AM161" s="17"/>
      <c r="AN161" s="17"/>
      <c r="AO161" s="17"/>
      <c r="AP161" s="15" t="str">
        <f>IFERROR(VLOOKUP(AO161,Legend!$D$2:$E$26,2,0),"")</f>
        <v/>
      </c>
      <c r="AQ161" s="15"/>
      <c r="AR161" s="17"/>
      <c r="AS161" s="17"/>
      <c r="AT161" s="15"/>
      <c r="AU161" s="17"/>
      <c r="AV161" s="17"/>
      <c r="AW161" s="17" t="s">
        <v>10</v>
      </c>
      <c r="AX161" s="15"/>
      <c r="AY161" s="15"/>
    </row>
    <row r="162" spans="1:51" x14ac:dyDescent="0.25">
      <c r="A162" s="15"/>
      <c r="B162" s="15"/>
      <c r="C162" s="15"/>
      <c r="D162" s="15"/>
      <c r="E162" s="91"/>
      <c r="F162" s="15"/>
      <c r="G162" s="15"/>
      <c r="H162" s="15"/>
      <c r="I162" s="15"/>
      <c r="J162" s="15"/>
      <c r="K162" s="89"/>
      <c r="L162" s="15"/>
      <c r="M162" s="89">
        <v>0</v>
      </c>
      <c r="N162" s="89">
        <v>0</v>
      </c>
      <c r="O162" s="89">
        <v>0</v>
      </c>
      <c r="P162" s="94">
        <v>0</v>
      </c>
      <c r="Q162" s="94">
        <v>0</v>
      </c>
      <c r="R162" s="94">
        <v>0</v>
      </c>
      <c r="S162" s="94">
        <v>0</v>
      </c>
      <c r="T162" s="89">
        <v>0</v>
      </c>
      <c r="U162" s="89">
        <v>0</v>
      </c>
      <c r="V162" s="94">
        <v>0</v>
      </c>
      <c r="W162" s="94">
        <v>0</v>
      </c>
      <c r="X162" s="94">
        <v>0</v>
      </c>
      <c r="Y162" s="89">
        <v>0</v>
      </c>
      <c r="Z162" s="94">
        <f t="shared" si="13"/>
        <v>0</v>
      </c>
      <c r="AA162" s="94">
        <f t="shared" si="14"/>
        <v>0</v>
      </c>
      <c r="AB162" s="89">
        <f t="shared" si="15"/>
        <v>0</v>
      </c>
      <c r="AC162" s="89">
        <f t="shared" si="16"/>
        <v>0</v>
      </c>
      <c r="AD162" s="89">
        <v>0</v>
      </c>
      <c r="AE162" s="89">
        <v>0</v>
      </c>
      <c r="AF162" s="117"/>
      <c r="AG162" s="117"/>
      <c r="AH162" s="262"/>
      <c r="AI162" s="17"/>
      <c r="AJ162" s="17"/>
      <c r="AK162" s="17"/>
      <c r="AL162" s="17"/>
      <c r="AM162" s="17"/>
      <c r="AN162" s="17"/>
      <c r="AO162" s="17"/>
      <c r="AP162" s="15" t="str">
        <f>IFERROR(VLOOKUP(AO162,Legend!$D$2:$E$26,2,0),"")</f>
        <v/>
      </c>
      <c r="AQ162" s="15"/>
      <c r="AR162" s="17"/>
      <c r="AS162" s="17"/>
      <c r="AT162" s="15"/>
      <c r="AU162" s="17"/>
      <c r="AV162" s="17"/>
      <c r="AW162" s="17" t="s">
        <v>10</v>
      </c>
      <c r="AX162" s="15"/>
      <c r="AY162" s="15"/>
    </row>
    <row r="163" spans="1:51" x14ac:dyDescent="0.25">
      <c r="A163" s="15"/>
      <c r="B163" s="15"/>
      <c r="C163" s="15"/>
      <c r="D163" s="15"/>
      <c r="E163" s="91"/>
      <c r="F163" s="15"/>
      <c r="G163" s="15"/>
      <c r="H163" s="15"/>
      <c r="I163" s="15"/>
      <c r="J163" s="15"/>
      <c r="K163" s="89"/>
      <c r="L163" s="15"/>
      <c r="M163" s="89">
        <v>0</v>
      </c>
      <c r="N163" s="89">
        <v>0</v>
      </c>
      <c r="O163" s="89">
        <v>0</v>
      </c>
      <c r="P163" s="94">
        <v>0</v>
      </c>
      <c r="Q163" s="94">
        <v>0</v>
      </c>
      <c r="R163" s="94">
        <v>0</v>
      </c>
      <c r="S163" s="94">
        <v>0</v>
      </c>
      <c r="T163" s="89">
        <v>0</v>
      </c>
      <c r="U163" s="89">
        <v>0</v>
      </c>
      <c r="V163" s="94">
        <v>0</v>
      </c>
      <c r="W163" s="94">
        <v>0</v>
      </c>
      <c r="X163" s="94">
        <v>0</v>
      </c>
      <c r="Y163" s="89">
        <v>0</v>
      </c>
      <c r="Z163" s="94">
        <f t="shared" si="13"/>
        <v>0</v>
      </c>
      <c r="AA163" s="94">
        <f t="shared" si="14"/>
        <v>0</v>
      </c>
      <c r="AB163" s="89">
        <f t="shared" si="15"/>
        <v>0</v>
      </c>
      <c r="AC163" s="89">
        <f t="shared" si="16"/>
        <v>0</v>
      </c>
      <c r="AD163" s="89">
        <v>0</v>
      </c>
      <c r="AE163" s="89">
        <v>0</v>
      </c>
      <c r="AF163" s="117"/>
      <c r="AG163" s="117"/>
      <c r="AH163" s="262"/>
      <c r="AI163" s="17"/>
      <c r="AJ163" s="17"/>
      <c r="AK163" s="17"/>
      <c r="AL163" s="17"/>
      <c r="AM163" s="17"/>
      <c r="AN163" s="17"/>
      <c r="AO163" s="17"/>
      <c r="AP163" s="15" t="str">
        <f>IFERROR(VLOOKUP(AO163,Legend!$D$2:$E$26,2,0),"")</f>
        <v/>
      </c>
      <c r="AQ163" s="15"/>
      <c r="AR163" s="17"/>
      <c r="AS163" s="17"/>
      <c r="AT163" s="15"/>
      <c r="AU163" s="17"/>
      <c r="AV163" s="17"/>
      <c r="AW163" s="17" t="s">
        <v>10</v>
      </c>
      <c r="AX163" s="15"/>
      <c r="AY163" s="15"/>
    </row>
    <row r="164" spans="1:51" x14ac:dyDescent="0.25">
      <c r="A164" s="15"/>
      <c r="B164" s="15"/>
      <c r="C164" s="15"/>
      <c r="D164" s="15"/>
      <c r="E164" s="91"/>
      <c r="F164" s="15"/>
      <c r="G164" s="15"/>
      <c r="H164" s="15"/>
      <c r="I164" s="15"/>
      <c r="J164" s="15"/>
      <c r="K164" s="89"/>
      <c r="L164" s="15"/>
      <c r="M164" s="89">
        <v>0</v>
      </c>
      <c r="N164" s="89">
        <v>0</v>
      </c>
      <c r="O164" s="89">
        <v>0</v>
      </c>
      <c r="P164" s="94">
        <v>0</v>
      </c>
      <c r="Q164" s="94">
        <v>0</v>
      </c>
      <c r="R164" s="94">
        <v>0</v>
      </c>
      <c r="S164" s="94">
        <v>0</v>
      </c>
      <c r="T164" s="89">
        <v>0</v>
      </c>
      <c r="U164" s="89">
        <v>0</v>
      </c>
      <c r="V164" s="94">
        <v>0</v>
      </c>
      <c r="W164" s="94">
        <v>0</v>
      </c>
      <c r="X164" s="94">
        <v>0</v>
      </c>
      <c r="Y164" s="89">
        <v>0</v>
      </c>
      <c r="Z164" s="94">
        <f t="shared" si="13"/>
        <v>0</v>
      </c>
      <c r="AA164" s="94">
        <f t="shared" si="14"/>
        <v>0</v>
      </c>
      <c r="AB164" s="89">
        <f t="shared" si="15"/>
        <v>0</v>
      </c>
      <c r="AC164" s="89">
        <f t="shared" si="16"/>
        <v>0</v>
      </c>
      <c r="AD164" s="89">
        <v>0</v>
      </c>
      <c r="AE164" s="89">
        <v>0</v>
      </c>
      <c r="AF164" s="117"/>
      <c r="AG164" s="117"/>
      <c r="AH164" s="262"/>
      <c r="AI164" s="17"/>
      <c r="AJ164" s="17"/>
      <c r="AK164" s="17"/>
      <c r="AL164" s="17"/>
      <c r="AM164" s="17"/>
      <c r="AN164" s="17"/>
      <c r="AO164" s="17"/>
      <c r="AP164" s="15" t="str">
        <f>IFERROR(VLOOKUP(AO164,Legend!$D$2:$E$26,2,0),"")</f>
        <v/>
      </c>
      <c r="AQ164" s="15"/>
      <c r="AR164" s="17"/>
      <c r="AS164" s="17"/>
      <c r="AT164" s="15"/>
      <c r="AU164" s="17"/>
      <c r="AV164" s="17"/>
      <c r="AW164" s="17" t="s">
        <v>10</v>
      </c>
      <c r="AX164" s="15"/>
      <c r="AY164" s="15"/>
    </row>
    <row r="165" spans="1:51" x14ac:dyDescent="0.25">
      <c r="A165" s="15"/>
      <c r="B165" s="15"/>
      <c r="C165" s="15"/>
      <c r="D165" s="15"/>
      <c r="E165" s="91"/>
      <c r="F165" s="15"/>
      <c r="G165" s="15"/>
      <c r="H165" s="15"/>
      <c r="I165" s="15"/>
      <c r="J165" s="15"/>
      <c r="K165" s="89"/>
      <c r="L165" s="15"/>
      <c r="M165" s="89">
        <v>0</v>
      </c>
      <c r="N165" s="89">
        <v>0</v>
      </c>
      <c r="O165" s="89">
        <v>0</v>
      </c>
      <c r="P165" s="94">
        <v>0</v>
      </c>
      <c r="Q165" s="94">
        <v>0</v>
      </c>
      <c r="R165" s="94">
        <v>0</v>
      </c>
      <c r="S165" s="94">
        <v>0</v>
      </c>
      <c r="T165" s="89">
        <v>0</v>
      </c>
      <c r="U165" s="89">
        <v>0</v>
      </c>
      <c r="V165" s="94">
        <v>0</v>
      </c>
      <c r="W165" s="94">
        <v>0</v>
      </c>
      <c r="X165" s="94">
        <v>0</v>
      </c>
      <c r="Y165" s="89">
        <v>0</v>
      </c>
      <c r="Z165" s="94">
        <f t="shared" si="13"/>
        <v>0</v>
      </c>
      <c r="AA165" s="94">
        <f t="shared" si="14"/>
        <v>0</v>
      </c>
      <c r="AB165" s="89">
        <f t="shared" si="15"/>
        <v>0</v>
      </c>
      <c r="AC165" s="89">
        <f t="shared" si="16"/>
        <v>0</v>
      </c>
      <c r="AD165" s="89">
        <v>0</v>
      </c>
      <c r="AE165" s="89">
        <v>0</v>
      </c>
      <c r="AF165" s="117"/>
      <c r="AG165" s="117"/>
      <c r="AH165" s="262"/>
      <c r="AI165" s="17"/>
      <c r="AJ165" s="17"/>
      <c r="AK165" s="17"/>
      <c r="AL165" s="17"/>
      <c r="AM165" s="17"/>
      <c r="AN165" s="17"/>
      <c r="AO165" s="17"/>
      <c r="AP165" s="15" t="str">
        <f>IFERROR(VLOOKUP(AO165,Legend!$D$2:$E$26,2,0),"")</f>
        <v/>
      </c>
      <c r="AQ165" s="15"/>
      <c r="AR165" s="17"/>
      <c r="AS165" s="17"/>
      <c r="AT165" s="15"/>
      <c r="AU165" s="17"/>
      <c r="AV165" s="17"/>
      <c r="AW165" s="17" t="s">
        <v>10</v>
      </c>
      <c r="AX165" s="15"/>
      <c r="AY165" s="15"/>
    </row>
    <row r="166" spans="1:51" x14ac:dyDescent="0.25">
      <c r="A166" s="15"/>
      <c r="B166" s="15"/>
      <c r="C166" s="15"/>
      <c r="D166" s="15"/>
      <c r="E166" s="91"/>
      <c r="F166" s="15"/>
      <c r="G166" s="15"/>
      <c r="H166" s="15"/>
      <c r="I166" s="15"/>
      <c r="J166" s="15"/>
      <c r="K166" s="89"/>
      <c r="L166" s="15"/>
      <c r="M166" s="89">
        <v>0</v>
      </c>
      <c r="N166" s="89">
        <v>0</v>
      </c>
      <c r="O166" s="89">
        <v>0</v>
      </c>
      <c r="P166" s="94">
        <v>0</v>
      </c>
      <c r="Q166" s="94">
        <v>0</v>
      </c>
      <c r="R166" s="94">
        <v>0</v>
      </c>
      <c r="S166" s="94">
        <v>0</v>
      </c>
      <c r="T166" s="89">
        <v>0</v>
      </c>
      <c r="U166" s="89">
        <v>0</v>
      </c>
      <c r="V166" s="94">
        <v>0</v>
      </c>
      <c r="W166" s="94">
        <v>0</v>
      </c>
      <c r="X166" s="94">
        <v>0</v>
      </c>
      <c r="Y166" s="89">
        <v>0</v>
      </c>
      <c r="Z166" s="94">
        <f t="shared" si="13"/>
        <v>0</v>
      </c>
      <c r="AA166" s="94">
        <f t="shared" si="14"/>
        <v>0</v>
      </c>
      <c r="AB166" s="89">
        <f t="shared" si="15"/>
        <v>0</v>
      </c>
      <c r="AC166" s="89">
        <f t="shared" si="16"/>
        <v>0</v>
      </c>
      <c r="AD166" s="89">
        <v>0</v>
      </c>
      <c r="AE166" s="89">
        <v>0</v>
      </c>
      <c r="AF166" s="117"/>
      <c r="AG166" s="117"/>
      <c r="AH166" s="262"/>
      <c r="AI166" s="17"/>
      <c r="AJ166" s="17"/>
      <c r="AK166" s="17"/>
      <c r="AL166" s="17"/>
      <c r="AM166" s="17"/>
      <c r="AN166" s="17"/>
      <c r="AO166" s="17"/>
      <c r="AP166" s="15" t="str">
        <f>IFERROR(VLOOKUP(AO166,Legend!$D$2:$E$26,2,0),"")</f>
        <v/>
      </c>
      <c r="AQ166" s="15"/>
      <c r="AR166" s="17"/>
      <c r="AS166" s="17"/>
      <c r="AT166" s="15"/>
      <c r="AU166" s="17"/>
      <c r="AV166" s="17"/>
      <c r="AW166" s="17" t="s">
        <v>10</v>
      </c>
      <c r="AX166" s="15"/>
      <c r="AY166" s="15"/>
    </row>
    <row r="167" spans="1:51" x14ac:dyDescent="0.25">
      <c r="A167" s="15"/>
      <c r="B167" s="15"/>
      <c r="C167" s="15"/>
      <c r="D167" s="15"/>
      <c r="E167" s="91"/>
      <c r="F167" s="15"/>
      <c r="G167" s="15"/>
      <c r="H167" s="15"/>
      <c r="I167" s="15"/>
      <c r="J167" s="15"/>
      <c r="K167" s="89"/>
      <c r="L167" s="15"/>
      <c r="M167" s="89">
        <v>0</v>
      </c>
      <c r="N167" s="89">
        <v>0</v>
      </c>
      <c r="O167" s="89">
        <v>0</v>
      </c>
      <c r="P167" s="94">
        <v>0</v>
      </c>
      <c r="Q167" s="94">
        <v>0</v>
      </c>
      <c r="R167" s="94">
        <v>0</v>
      </c>
      <c r="S167" s="94">
        <v>0</v>
      </c>
      <c r="T167" s="89">
        <v>0</v>
      </c>
      <c r="U167" s="89">
        <v>0</v>
      </c>
      <c r="V167" s="94">
        <v>0</v>
      </c>
      <c r="W167" s="94">
        <v>0</v>
      </c>
      <c r="X167" s="94">
        <v>0</v>
      </c>
      <c r="Y167" s="89">
        <v>0</v>
      </c>
      <c r="Z167" s="94">
        <f t="shared" si="13"/>
        <v>0</v>
      </c>
      <c r="AA167" s="94">
        <f t="shared" si="14"/>
        <v>0</v>
      </c>
      <c r="AB167" s="89">
        <f t="shared" si="15"/>
        <v>0</v>
      </c>
      <c r="AC167" s="89">
        <f t="shared" si="16"/>
        <v>0</v>
      </c>
      <c r="AD167" s="89">
        <v>0</v>
      </c>
      <c r="AE167" s="89">
        <v>0</v>
      </c>
      <c r="AF167" s="117"/>
      <c r="AG167" s="117"/>
      <c r="AH167" s="262"/>
      <c r="AI167" s="17"/>
      <c r="AJ167" s="17"/>
      <c r="AK167" s="17"/>
      <c r="AL167" s="17"/>
      <c r="AM167" s="17"/>
      <c r="AN167" s="17"/>
      <c r="AO167" s="17"/>
      <c r="AP167" s="15" t="str">
        <f>IFERROR(VLOOKUP(AO167,Legend!$D$2:$E$26,2,0),"")</f>
        <v/>
      </c>
      <c r="AQ167" s="15"/>
      <c r="AR167" s="17"/>
      <c r="AS167" s="17"/>
      <c r="AT167" s="15"/>
      <c r="AU167" s="17"/>
      <c r="AV167" s="17"/>
      <c r="AW167" s="17" t="s">
        <v>10</v>
      </c>
      <c r="AX167" s="15"/>
      <c r="AY167" s="15"/>
    </row>
    <row r="168" spans="1:51" x14ac:dyDescent="0.25">
      <c r="A168" s="15"/>
      <c r="B168" s="15"/>
      <c r="C168" s="15"/>
      <c r="D168" s="15"/>
      <c r="E168" s="91"/>
      <c r="F168" s="15"/>
      <c r="G168" s="15"/>
      <c r="H168" s="15"/>
      <c r="I168" s="15"/>
      <c r="J168" s="15"/>
      <c r="K168" s="89"/>
      <c r="L168" s="15"/>
      <c r="M168" s="89">
        <v>0</v>
      </c>
      <c r="N168" s="89">
        <v>0</v>
      </c>
      <c r="O168" s="89">
        <v>0</v>
      </c>
      <c r="P168" s="94">
        <v>0</v>
      </c>
      <c r="Q168" s="94">
        <v>0</v>
      </c>
      <c r="R168" s="94">
        <v>0</v>
      </c>
      <c r="S168" s="94">
        <v>0</v>
      </c>
      <c r="T168" s="89">
        <v>0</v>
      </c>
      <c r="U168" s="89">
        <v>0</v>
      </c>
      <c r="V168" s="94">
        <v>0</v>
      </c>
      <c r="W168" s="94">
        <v>0</v>
      </c>
      <c r="X168" s="94">
        <v>0</v>
      </c>
      <c r="Y168" s="89">
        <v>0</v>
      </c>
      <c r="Z168" s="94">
        <f t="shared" si="13"/>
        <v>0</v>
      </c>
      <c r="AA168" s="94">
        <f t="shared" si="14"/>
        <v>0</v>
      </c>
      <c r="AB168" s="89">
        <f t="shared" si="15"/>
        <v>0</v>
      </c>
      <c r="AC168" s="89">
        <f t="shared" si="16"/>
        <v>0</v>
      </c>
      <c r="AD168" s="89">
        <v>0</v>
      </c>
      <c r="AE168" s="89">
        <v>0</v>
      </c>
      <c r="AF168" s="117"/>
      <c r="AG168" s="117"/>
      <c r="AH168" s="262"/>
      <c r="AI168" s="17"/>
      <c r="AJ168" s="17"/>
      <c r="AK168" s="17"/>
      <c r="AL168" s="17"/>
      <c r="AM168" s="17"/>
      <c r="AN168" s="17"/>
      <c r="AO168" s="17"/>
      <c r="AP168" s="15" t="str">
        <f>IFERROR(VLOOKUP(AO168,Legend!$D$2:$E$26,2,0),"")</f>
        <v/>
      </c>
      <c r="AQ168" s="15"/>
      <c r="AR168" s="17"/>
      <c r="AS168" s="17"/>
      <c r="AT168" s="15"/>
      <c r="AU168" s="17"/>
      <c r="AV168" s="17"/>
      <c r="AW168" s="17" t="s">
        <v>10</v>
      </c>
      <c r="AX168" s="15"/>
      <c r="AY168" s="15"/>
    </row>
    <row r="169" spans="1:51" x14ac:dyDescent="0.25">
      <c r="A169" s="15"/>
      <c r="B169" s="15"/>
      <c r="C169" s="15"/>
      <c r="D169" s="15"/>
      <c r="E169" s="91"/>
      <c r="F169" s="15"/>
      <c r="G169" s="15"/>
      <c r="H169" s="15"/>
      <c r="I169" s="15"/>
      <c r="J169" s="15"/>
      <c r="K169" s="89"/>
      <c r="L169" s="15"/>
      <c r="M169" s="89">
        <v>0</v>
      </c>
      <c r="N169" s="89">
        <v>0</v>
      </c>
      <c r="O169" s="89">
        <v>0</v>
      </c>
      <c r="P169" s="94">
        <v>0</v>
      </c>
      <c r="Q169" s="94">
        <v>0</v>
      </c>
      <c r="R169" s="94">
        <v>0</v>
      </c>
      <c r="S169" s="94">
        <v>0</v>
      </c>
      <c r="T169" s="89">
        <v>0</v>
      </c>
      <c r="U169" s="89">
        <v>0</v>
      </c>
      <c r="V169" s="94">
        <v>0</v>
      </c>
      <c r="W169" s="94">
        <v>0</v>
      </c>
      <c r="X169" s="94">
        <v>0</v>
      </c>
      <c r="Y169" s="89">
        <v>0</v>
      </c>
      <c r="Z169" s="94">
        <f t="shared" si="13"/>
        <v>0</v>
      </c>
      <c r="AA169" s="94">
        <f t="shared" si="14"/>
        <v>0</v>
      </c>
      <c r="AB169" s="89">
        <f t="shared" si="15"/>
        <v>0</v>
      </c>
      <c r="AC169" s="89">
        <f t="shared" si="16"/>
        <v>0</v>
      </c>
      <c r="AD169" s="89">
        <v>0</v>
      </c>
      <c r="AE169" s="89">
        <v>0</v>
      </c>
      <c r="AF169" s="117"/>
      <c r="AG169" s="117"/>
      <c r="AH169" s="262"/>
      <c r="AI169" s="17"/>
      <c r="AJ169" s="17"/>
      <c r="AK169" s="17"/>
      <c r="AL169" s="17"/>
      <c r="AM169" s="17"/>
      <c r="AN169" s="17"/>
      <c r="AO169" s="17"/>
      <c r="AP169" s="15" t="str">
        <f>IFERROR(VLOOKUP(AO169,Legend!$D$2:$E$26,2,0),"")</f>
        <v/>
      </c>
      <c r="AQ169" s="15"/>
      <c r="AR169" s="17"/>
      <c r="AS169" s="17"/>
      <c r="AT169" s="15"/>
      <c r="AU169" s="17"/>
      <c r="AV169" s="17"/>
      <c r="AW169" s="17" t="s">
        <v>10</v>
      </c>
      <c r="AX169" s="15"/>
      <c r="AY169" s="15"/>
    </row>
    <row r="170" spans="1:51" x14ac:dyDescent="0.25">
      <c r="A170" s="15"/>
      <c r="B170" s="15"/>
      <c r="C170" s="15"/>
      <c r="D170" s="15"/>
      <c r="E170" s="91"/>
      <c r="F170" s="15"/>
      <c r="G170" s="15"/>
      <c r="H170" s="15"/>
      <c r="I170" s="15"/>
      <c r="J170" s="15"/>
      <c r="K170" s="89"/>
      <c r="L170" s="15"/>
      <c r="M170" s="89">
        <v>0</v>
      </c>
      <c r="N170" s="89">
        <v>0</v>
      </c>
      <c r="O170" s="89">
        <v>0</v>
      </c>
      <c r="P170" s="94">
        <v>0</v>
      </c>
      <c r="Q170" s="94">
        <v>0</v>
      </c>
      <c r="R170" s="94">
        <v>0</v>
      </c>
      <c r="S170" s="94">
        <v>0</v>
      </c>
      <c r="T170" s="89">
        <v>0</v>
      </c>
      <c r="U170" s="89">
        <v>0</v>
      </c>
      <c r="V170" s="94">
        <v>0</v>
      </c>
      <c r="W170" s="94">
        <v>0</v>
      </c>
      <c r="X170" s="94">
        <v>0</v>
      </c>
      <c r="Y170" s="89">
        <v>0</v>
      </c>
      <c r="Z170" s="94">
        <f t="shared" si="13"/>
        <v>0</v>
      </c>
      <c r="AA170" s="94">
        <f t="shared" si="14"/>
        <v>0</v>
      </c>
      <c r="AB170" s="89">
        <f t="shared" si="15"/>
        <v>0</v>
      </c>
      <c r="AC170" s="89">
        <f t="shared" si="16"/>
        <v>0</v>
      </c>
      <c r="AD170" s="89">
        <v>0</v>
      </c>
      <c r="AE170" s="89">
        <v>0</v>
      </c>
      <c r="AF170" s="117"/>
      <c r="AG170" s="117"/>
      <c r="AH170" s="262"/>
      <c r="AI170" s="17"/>
      <c r="AJ170" s="17"/>
      <c r="AK170" s="17"/>
      <c r="AL170" s="17"/>
      <c r="AM170" s="17"/>
      <c r="AN170" s="17"/>
      <c r="AO170" s="17"/>
      <c r="AP170" s="15" t="str">
        <f>IFERROR(VLOOKUP(AO170,Legend!$D$2:$E$26,2,0),"")</f>
        <v/>
      </c>
      <c r="AQ170" s="15"/>
      <c r="AR170" s="17"/>
      <c r="AS170" s="17"/>
      <c r="AT170" s="15"/>
      <c r="AU170" s="17"/>
      <c r="AV170" s="17"/>
      <c r="AW170" s="17" t="s">
        <v>10</v>
      </c>
      <c r="AX170" s="15"/>
      <c r="AY170" s="15"/>
    </row>
    <row r="171" spans="1:51" x14ac:dyDescent="0.25">
      <c r="A171" s="15"/>
      <c r="B171" s="15"/>
      <c r="C171" s="15"/>
      <c r="D171" s="15"/>
      <c r="E171" s="91"/>
      <c r="F171" s="15"/>
      <c r="G171" s="15"/>
      <c r="H171" s="15"/>
      <c r="I171" s="15"/>
      <c r="J171" s="15"/>
      <c r="K171" s="89"/>
      <c r="L171" s="15"/>
      <c r="M171" s="89">
        <v>0</v>
      </c>
      <c r="N171" s="89">
        <v>0</v>
      </c>
      <c r="O171" s="89">
        <v>0</v>
      </c>
      <c r="P171" s="94">
        <v>0</v>
      </c>
      <c r="Q171" s="94">
        <v>0</v>
      </c>
      <c r="R171" s="94">
        <v>0</v>
      </c>
      <c r="S171" s="94">
        <v>0</v>
      </c>
      <c r="T171" s="89">
        <v>0</v>
      </c>
      <c r="U171" s="89">
        <v>0</v>
      </c>
      <c r="V171" s="94">
        <v>0</v>
      </c>
      <c r="W171" s="94">
        <v>0</v>
      </c>
      <c r="X171" s="94">
        <v>0</v>
      </c>
      <c r="Y171" s="89">
        <v>0</v>
      </c>
      <c r="Z171" s="94">
        <f t="shared" si="13"/>
        <v>0</v>
      </c>
      <c r="AA171" s="94">
        <f t="shared" si="14"/>
        <v>0</v>
      </c>
      <c r="AB171" s="89">
        <f t="shared" si="15"/>
        <v>0</v>
      </c>
      <c r="AC171" s="89">
        <f t="shared" si="16"/>
        <v>0</v>
      </c>
      <c r="AD171" s="89">
        <v>0</v>
      </c>
      <c r="AE171" s="89">
        <v>0</v>
      </c>
      <c r="AF171" s="117"/>
      <c r="AG171" s="117"/>
      <c r="AH171" s="262"/>
      <c r="AI171" s="17"/>
      <c r="AJ171" s="17"/>
      <c r="AK171" s="17"/>
      <c r="AL171" s="17"/>
      <c r="AM171" s="17"/>
      <c r="AN171" s="17"/>
      <c r="AO171" s="17"/>
      <c r="AP171" s="15" t="str">
        <f>IFERROR(VLOOKUP(AO171,Legend!$D$2:$E$26,2,0),"")</f>
        <v/>
      </c>
      <c r="AQ171" s="15"/>
      <c r="AR171" s="17"/>
      <c r="AS171" s="17"/>
      <c r="AT171" s="15"/>
      <c r="AU171" s="17"/>
      <c r="AV171" s="17"/>
      <c r="AW171" s="17" t="s">
        <v>10</v>
      </c>
      <c r="AX171" s="15"/>
      <c r="AY171" s="15"/>
    </row>
    <row r="172" spans="1:51" x14ac:dyDescent="0.25">
      <c r="A172" s="15"/>
      <c r="B172" s="15"/>
      <c r="C172" s="15"/>
      <c r="D172" s="15"/>
      <c r="E172" s="91"/>
      <c r="F172" s="15"/>
      <c r="G172" s="15"/>
      <c r="H172" s="15"/>
      <c r="I172" s="15"/>
      <c r="J172" s="15"/>
      <c r="K172" s="89"/>
      <c r="L172" s="15"/>
      <c r="M172" s="89">
        <v>0</v>
      </c>
      <c r="N172" s="89">
        <v>0</v>
      </c>
      <c r="O172" s="89">
        <v>0</v>
      </c>
      <c r="P172" s="94">
        <v>0</v>
      </c>
      <c r="Q172" s="94">
        <v>0</v>
      </c>
      <c r="R172" s="94">
        <v>0</v>
      </c>
      <c r="S172" s="94">
        <v>0</v>
      </c>
      <c r="T172" s="89">
        <v>0</v>
      </c>
      <c r="U172" s="89">
        <v>0</v>
      </c>
      <c r="V172" s="94">
        <v>0</v>
      </c>
      <c r="W172" s="94">
        <v>0</v>
      </c>
      <c r="X172" s="94">
        <v>0</v>
      </c>
      <c r="Y172" s="89">
        <v>0</v>
      </c>
      <c r="Z172" s="94">
        <f t="shared" si="13"/>
        <v>0</v>
      </c>
      <c r="AA172" s="94">
        <f t="shared" si="14"/>
        <v>0</v>
      </c>
      <c r="AB172" s="89">
        <f t="shared" si="15"/>
        <v>0</v>
      </c>
      <c r="AC172" s="89">
        <f t="shared" si="16"/>
        <v>0</v>
      </c>
      <c r="AD172" s="89">
        <v>0</v>
      </c>
      <c r="AE172" s="89">
        <v>0</v>
      </c>
      <c r="AF172" s="117"/>
      <c r="AG172" s="117"/>
      <c r="AH172" s="262"/>
      <c r="AI172" s="17"/>
      <c r="AJ172" s="17"/>
      <c r="AK172" s="17"/>
      <c r="AL172" s="17"/>
      <c r="AM172" s="17"/>
      <c r="AN172" s="17"/>
      <c r="AO172" s="17"/>
      <c r="AP172" s="15" t="str">
        <f>IFERROR(VLOOKUP(AO172,Legend!$D$2:$E$26,2,0),"")</f>
        <v/>
      </c>
      <c r="AQ172" s="15"/>
      <c r="AR172" s="17"/>
      <c r="AS172" s="17"/>
      <c r="AT172" s="15"/>
      <c r="AU172" s="17"/>
      <c r="AV172" s="17"/>
      <c r="AW172" s="17" t="s">
        <v>10</v>
      </c>
      <c r="AX172" s="15"/>
      <c r="AY172" s="15"/>
    </row>
    <row r="173" spans="1:51" x14ac:dyDescent="0.25">
      <c r="A173" s="15"/>
      <c r="B173" s="15"/>
      <c r="C173" s="15"/>
      <c r="D173" s="15"/>
      <c r="E173" s="91"/>
      <c r="F173" s="15"/>
      <c r="G173" s="15"/>
      <c r="H173" s="15"/>
      <c r="I173" s="15"/>
      <c r="J173" s="15"/>
      <c r="K173" s="89"/>
      <c r="L173" s="15"/>
      <c r="M173" s="89">
        <v>0</v>
      </c>
      <c r="N173" s="89">
        <v>0</v>
      </c>
      <c r="O173" s="89">
        <v>0</v>
      </c>
      <c r="P173" s="94">
        <v>0</v>
      </c>
      <c r="Q173" s="94">
        <v>0</v>
      </c>
      <c r="R173" s="94">
        <v>0</v>
      </c>
      <c r="S173" s="94">
        <v>0</v>
      </c>
      <c r="T173" s="89">
        <v>0</v>
      </c>
      <c r="U173" s="89">
        <v>0</v>
      </c>
      <c r="V173" s="94">
        <v>0</v>
      </c>
      <c r="W173" s="94">
        <v>0</v>
      </c>
      <c r="X173" s="94">
        <v>0</v>
      </c>
      <c r="Y173" s="89">
        <v>0</v>
      </c>
      <c r="Z173" s="94">
        <f t="shared" si="13"/>
        <v>0</v>
      </c>
      <c r="AA173" s="94">
        <f t="shared" si="14"/>
        <v>0</v>
      </c>
      <c r="AB173" s="89">
        <f t="shared" si="15"/>
        <v>0</v>
      </c>
      <c r="AC173" s="89">
        <f t="shared" si="16"/>
        <v>0</v>
      </c>
      <c r="AD173" s="89">
        <v>0</v>
      </c>
      <c r="AE173" s="89">
        <v>0</v>
      </c>
      <c r="AF173" s="117"/>
      <c r="AG173" s="117"/>
      <c r="AH173" s="262"/>
      <c r="AI173" s="17"/>
      <c r="AJ173" s="17"/>
      <c r="AK173" s="17"/>
      <c r="AL173" s="17"/>
      <c r="AM173" s="17"/>
      <c r="AN173" s="17"/>
      <c r="AO173" s="17"/>
      <c r="AP173" s="15" t="str">
        <f>IFERROR(VLOOKUP(AO173,Legend!$D$2:$E$26,2,0),"")</f>
        <v/>
      </c>
      <c r="AQ173" s="15"/>
      <c r="AR173" s="17"/>
      <c r="AS173" s="17"/>
      <c r="AT173" s="15"/>
      <c r="AU173" s="17"/>
      <c r="AV173" s="17"/>
      <c r="AW173" s="17" t="s">
        <v>10</v>
      </c>
      <c r="AX173" s="15"/>
      <c r="AY173" s="15"/>
    </row>
    <row r="174" spans="1:51" x14ac:dyDescent="0.25">
      <c r="A174" s="15"/>
      <c r="B174" s="15"/>
      <c r="C174" s="15"/>
      <c r="D174" s="15"/>
      <c r="E174" s="91"/>
      <c r="F174" s="15"/>
      <c r="G174" s="15"/>
      <c r="H174" s="15"/>
      <c r="I174" s="15"/>
      <c r="J174" s="15"/>
      <c r="K174" s="89"/>
      <c r="L174" s="15"/>
      <c r="M174" s="89">
        <v>0</v>
      </c>
      <c r="N174" s="89">
        <v>0</v>
      </c>
      <c r="O174" s="89">
        <v>0</v>
      </c>
      <c r="P174" s="94">
        <v>0</v>
      </c>
      <c r="Q174" s="94">
        <v>0</v>
      </c>
      <c r="R174" s="94">
        <v>0</v>
      </c>
      <c r="S174" s="94">
        <v>0</v>
      </c>
      <c r="T174" s="89">
        <v>0</v>
      </c>
      <c r="U174" s="89">
        <v>0</v>
      </c>
      <c r="V174" s="94">
        <v>0</v>
      </c>
      <c r="W174" s="94">
        <v>0</v>
      </c>
      <c r="X174" s="94">
        <v>0</v>
      </c>
      <c r="Y174" s="89">
        <v>0</v>
      </c>
      <c r="Z174" s="94">
        <f t="shared" si="13"/>
        <v>0</v>
      </c>
      <c r="AA174" s="94">
        <f t="shared" si="14"/>
        <v>0</v>
      </c>
      <c r="AB174" s="89">
        <f t="shared" si="15"/>
        <v>0</v>
      </c>
      <c r="AC174" s="89">
        <f t="shared" si="16"/>
        <v>0</v>
      </c>
      <c r="AD174" s="89">
        <v>0</v>
      </c>
      <c r="AE174" s="89">
        <v>0</v>
      </c>
      <c r="AF174" s="117"/>
      <c r="AG174" s="117"/>
      <c r="AH174" s="262"/>
      <c r="AI174" s="17"/>
      <c r="AJ174" s="17"/>
      <c r="AK174" s="17"/>
      <c r="AL174" s="17"/>
      <c r="AM174" s="17"/>
      <c r="AN174" s="17"/>
      <c r="AO174" s="17"/>
      <c r="AP174" s="15" t="str">
        <f>IFERROR(VLOOKUP(AO174,Legend!$D$2:$E$26,2,0),"")</f>
        <v/>
      </c>
      <c r="AQ174" s="15"/>
      <c r="AR174" s="17"/>
      <c r="AS174" s="17"/>
      <c r="AT174" s="15"/>
      <c r="AU174" s="17"/>
      <c r="AV174" s="17"/>
      <c r="AW174" s="17" t="s">
        <v>10</v>
      </c>
      <c r="AX174" s="15"/>
      <c r="AY174" s="15"/>
    </row>
    <row r="175" spans="1:51" x14ac:dyDescent="0.25">
      <c r="A175" s="15"/>
      <c r="B175" s="15"/>
      <c r="C175" s="15"/>
      <c r="D175" s="15"/>
      <c r="E175" s="91"/>
      <c r="F175" s="15"/>
      <c r="G175" s="15"/>
      <c r="H175" s="15"/>
      <c r="I175" s="15"/>
      <c r="J175" s="15"/>
      <c r="K175" s="89"/>
      <c r="L175" s="15"/>
      <c r="M175" s="89">
        <v>0</v>
      </c>
      <c r="N175" s="89">
        <v>0</v>
      </c>
      <c r="O175" s="89">
        <v>0</v>
      </c>
      <c r="P175" s="94">
        <v>0</v>
      </c>
      <c r="Q175" s="94">
        <v>0</v>
      </c>
      <c r="R175" s="94">
        <v>0</v>
      </c>
      <c r="S175" s="94">
        <v>0</v>
      </c>
      <c r="T175" s="89">
        <v>0</v>
      </c>
      <c r="U175" s="89">
        <v>0</v>
      </c>
      <c r="V175" s="94">
        <v>0</v>
      </c>
      <c r="W175" s="94">
        <v>0</v>
      </c>
      <c r="X175" s="94">
        <v>0</v>
      </c>
      <c r="Y175" s="89">
        <v>0</v>
      </c>
      <c r="Z175" s="94">
        <f t="shared" si="13"/>
        <v>0</v>
      </c>
      <c r="AA175" s="94">
        <f t="shared" si="14"/>
        <v>0</v>
      </c>
      <c r="AB175" s="89">
        <f t="shared" si="15"/>
        <v>0</v>
      </c>
      <c r="AC175" s="89">
        <f t="shared" si="16"/>
        <v>0</v>
      </c>
      <c r="AD175" s="89">
        <v>0</v>
      </c>
      <c r="AE175" s="89">
        <v>0</v>
      </c>
      <c r="AF175" s="117"/>
      <c r="AG175" s="117"/>
      <c r="AH175" s="262"/>
      <c r="AI175" s="17"/>
      <c r="AJ175" s="17"/>
      <c r="AK175" s="17"/>
      <c r="AL175" s="17"/>
      <c r="AM175" s="17"/>
      <c r="AN175" s="17"/>
      <c r="AO175" s="17"/>
      <c r="AP175" s="15" t="str">
        <f>IFERROR(VLOOKUP(AO175,Legend!$D$2:$E$26,2,0),"")</f>
        <v/>
      </c>
      <c r="AQ175" s="15"/>
      <c r="AR175" s="17"/>
      <c r="AS175" s="17"/>
      <c r="AT175" s="15"/>
      <c r="AU175" s="17"/>
      <c r="AV175" s="17"/>
      <c r="AW175" s="17" t="s">
        <v>10</v>
      </c>
      <c r="AX175" s="15"/>
      <c r="AY175" s="15"/>
    </row>
    <row r="176" spans="1:51" x14ac:dyDescent="0.25">
      <c r="A176" s="15"/>
      <c r="B176" s="15"/>
      <c r="C176" s="15"/>
      <c r="D176" s="15"/>
      <c r="E176" s="91"/>
      <c r="F176" s="15"/>
      <c r="G176" s="15"/>
      <c r="H176" s="15"/>
      <c r="I176" s="15"/>
      <c r="J176" s="15"/>
      <c r="K176" s="89"/>
      <c r="L176" s="15"/>
      <c r="M176" s="89">
        <v>0</v>
      </c>
      <c r="N176" s="89">
        <v>0</v>
      </c>
      <c r="O176" s="89">
        <v>0</v>
      </c>
      <c r="P176" s="94">
        <v>0</v>
      </c>
      <c r="Q176" s="94">
        <v>0</v>
      </c>
      <c r="R176" s="94">
        <v>0</v>
      </c>
      <c r="S176" s="94">
        <v>0</v>
      </c>
      <c r="T176" s="89">
        <v>0</v>
      </c>
      <c r="U176" s="89">
        <v>0</v>
      </c>
      <c r="V176" s="94">
        <v>0</v>
      </c>
      <c r="W176" s="94">
        <v>0</v>
      </c>
      <c r="X176" s="94">
        <v>0</v>
      </c>
      <c r="Y176" s="89">
        <v>0</v>
      </c>
      <c r="Z176" s="94">
        <f t="shared" si="13"/>
        <v>0</v>
      </c>
      <c r="AA176" s="94">
        <f t="shared" si="14"/>
        <v>0</v>
      </c>
      <c r="AB176" s="89">
        <f t="shared" si="15"/>
        <v>0</v>
      </c>
      <c r="AC176" s="89">
        <f t="shared" si="16"/>
        <v>0</v>
      </c>
      <c r="AD176" s="89">
        <v>0</v>
      </c>
      <c r="AE176" s="89">
        <v>0</v>
      </c>
      <c r="AF176" s="117"/>
      <c r="AG176" s="117"/>
      <c r="AH176" s="262"/>
      <c r="AI176" s="17"/>
      <c r="AJ176" s="17"/>
      <c r="AK176" s="17"/>
      <c r="AL176" s="17"/>
      <c r="AM176" s="17"/>
      <c r="AN176" s="17"/>
      <c r="AO176" s="17"/>
      <c r="AP176" s="15" t="str">
        <f>IFERROR(VLOOKUP(AO176,Legend!$D$2:$E$26,2,0),"")</f>
        <v/>
      </c>
      <c r="AQ176" s="15"/>
      <c r="AR176" s="17"/>
      <c r="AS176" s="17"/>
      <c r="AT176" s="15"/>
      <c r="AU176" s="17"/>
      <c r="AV176" s="17"/>
      <c r="AW176" s="17" t="s">
        <v>10</v>
      </c>
      <c r="AX176" s="15"/>
      <c r="AY176" s="15"/>
    </row>
    <row r="177" spans="1:51" x14ac:dyDescent="0.25">
      <c r="A177" s="15"/>
      <c r="B177" s="15"/>
      <c r="C177" s="15"/>
      <c r="D177" s="15"/>
      <c r="E177" s="91"/>
      <c r="F177" s="15"/>
      <c r="G177" s="15"/>
      <c r="H177" s="15"/>
      <c r="I177" s="15"/>
      <c r="J177" s="15"/>
      <c r="K177" s="89"/>
      <c r="L177" s="15"/>
      <c r="M177" s="89">
        <v>0</v>
      </c>
      <c r="N177" s="89">
        <v>0</v>
      </c>
      <c r="O177" s="89">
        <v>0</v>
      </c>
      <c r="P177" s="94">
        <v>0</v>
      </c>
      <c r="Q177" s="94">
        <v>0</v>
      </c>
      <c r="R177" s="94">
        <v>0</v>
      </c>
      <c r="S177" s="94">
        <v>0</v>
      </c>
      <c r="T177" s="89">
        <v>0</v>
      </c>
      <c r="U177" s="89">
        <v>0</v>
      </c>
      <c r="V177" s="94">
        <v>0</v>
      </c>
      <c r="W177" s="94">
        <v>0</v>
      </c>
      <c r="X177" s="94">
        <v>0</v>
      </c>
      <c r="Y177" s="89">
        <v>0</v>
      </c>
      <c r="Z177" s="94">
        <f t="shared" si="13"/>
        <v>0</v>
      </c>
      <c r="AA177" s="94">
        <f t="shared" si="14"/>
        <v>0</v>
      </c>
      <c r="AB177" s="89">
        <f t="shared" si="15"/>
        <v>0</v>
      </c>
      <c r="AC177" s="89">
        <f t="shared" si="16"/>
        <v>0</v>
      </c>
      <c r="AD177" s="89">
        <v>0</v>
      </c>
      <c r="AE177" s="89">
        <v>0</v>
      </c>
      <c r="AF177" s="117"/>
      <c r="AG177" s="117"/>
      <c r="AH177" s="262"/>
      <c r="AI177" s="17"/>
      <c r="AJ177" s="17"/>
      <c r="AK177" s="17"/>
      <c r="AL177" s="17"/>
      <c r="AM177" s="17"/>
      <c r="AN177" s="17"/>
      <c r="AO177" s="17"/>
      <c r="AP177" s="15" t="str">
        <f>IFERROR(VLOOKUP(AO177,Legend!$D$2:$E$26,2,0),"")</f>
        <v/>
      </c>
      <c r="AQ177" s="15"/>
      <c r="AR177" s="17"/>
      <c r="AS177" s="17"/>
      <c r="AT177" s="15"/>
      <c r="AU177" s="17"/>
      <c r="AV177" s="17"/>
      <c r="AW177" s="17" t="s">
        <v>10</v>
      </c>
      <c r="AX177" s="15"/>
      <c r="AY177" s="15"/>
    </row>
    <row r="178" spans="1:51" x14ac:dyDescent="0.25">
      <c r="A178" s="15"/>
      <c r="B178" s="15"/>
      <c r="C178" s="15"/>
      <c r="D178" s="15"/>
      <c r="E178" s="91"/>
      <c r="F178" s="15"/>
      <c r="G178" s="15"/>
      <c r="H178" s="15"/>
      <c r="I178" s="15"/>
      <c r="J178" s="15"/>
      <c r="K178" s="89"/>
      <c r="L178" s="15"/>
      <c r="M178" s="89">
        <v>0</v>
      </c>
      <c r="N178" s="89">
        <v>0</v>
      </c>
      <c r="O178" s="89">
        <v>0</v>
      </c>
      <c r="P178" s="94">
        <v>0</v>
      </c>
      <c r="Q178" s="94">
        <v>0</v>
      </c>
      <c r="R178" s="94">
        <v>0</v>
      </c>
      <c r="S178" s="94">
        <v>0</v>
      </c>
      <c r="T178" s="89">
        <v>0</v>
      </c>
      <c r="U178" s="89">
        <v>0</v>
      </c>
      <c r="V178" s="94">
        <v>0</v>
      </c>
      <c r="W178" s="94">
        <v>0</v>
      </c>
      <c r="X178" s="94">
        <v>0</v>
      </c>
      <c r="Y178" s="89">
        <v>0</v>
      </c>
      <c r="Z178" s="94">
        <f t="shared" si="13"/>
        <v>0</v>
      </c>
      <c r="AA178" s="94">
        <f t="shared" si="14"/>
        <v>0</v>
      </c>
      <c r="AB178" s="89">
        <f t="shared" si="15"/>
        <v>0</v>
      </c>
      <c r="AC178" s="89">
        <f t="shared" si="16"/>
        <v>0</v>
      </c>
      <c r="AD178" s="89">
        <v>0</v>
      </c>
      <c r="AE178" s="89">
        <v>0</v>
      </c>
      <c r="AF178" s="117"/>
      <c r="AG178" s="117"/>
      <c r="AH178" s="262"/>
      <c r="AI178" s="17"/>
      <c r="AJ178" s="17"/>
      <c r="AK178" s="17"/>
      <c r="AL178" s="17"/>
      <c r="AM178" s="17"/>
      <c r="AN178" s="17"/>
      <c r="AO178" s="17"/>
      <c r="AP178" s="15" t="str">
        <f>IFERROR(VLOOKUP(AO178,Legend!$D$2:$E$26,2,0),"")</f>
        <v/>
      </c>
      <c r="AQ178" s="15"/>
      <c r="AR178" s="17"/>
      <c r="AS178" s="17"/>
      <c r="AT178" s="15"/>
      <c r="AU178" s="17"/>
      <c r="AV178" s="17"/>
      <c r="AW178" s="17" t="s">
        <v>10</v>
      </c>
      <c r="AX178" s="15"/>
      <c r="AY178" s="15"/>
    </row>
    <row r="179" spans="1:51" x14ac:dyDescent="0.25">
      <c r="A179" s="15"/>
      <c r="B179" s="15"/>
      <c r="C179" s="15"/>
      <c r="D179" s="15"/>
      <c r="E179" s="91"/>
      <c r="F179" s="15"/>
      <c r="G179" s="15"/>
      <c r="H179" s="15"/>
      <c r="I179" s="15"/>
      <c r="J179" s="15"/>
      <c r="K179" s="89"/>
      <c r="L179" s="15"/>
      <c r="M179" s="89">
        <v>0</v>
      </c>
      <c r="N179" s="89">
        <v>0</v>
      </c>
      <c r="O179" s="89">
        <v>0</v>
      </c>
      <c r="P179" s="94">
        <v>0</v>
      </c>
      <c r="Q179" s="94">
        <v>0</v>
      </c>
      <c r="R179" s="94">
        <v>0</v>
      </c>
      <c r="S179" s="94">
        <v>0</v>
      </c>
      <c r="T179" s="89">
        <v>0</v>
      </c>
      <c r="U179" s="89">
        <v>0</v>
      </c>
      <c r="V179" s="94">
        <v>0</v>
      </c>
      <c r="W179" s="94">
        <v>0</v>
      </c>
      <c r="X179" s="94">
        <v>0</v>
      </c>
      <c r="Y179" s="89">
        <v>0</v>
      </c>
      <c r="Z179" s="94">
        <f t="shared" si="13"/>
        <v>0</v>
      </c>
      <c r="AA179" s="94">
        <f t="shared" si="14"/>
        <v>0</v>
      </c>
      <c r="AB179" s="89">
        <f t="shared" si="15"/>
        <v>0</v>
      </c>
      <c r="AC179" s="89">
        <f t="shared" si="16"/>
        <v>0</v>
      </c>
      <c r="AD179" s="89">
        <v>0</v>
      </c>
      <c r="AE179" s="89">
        <v>0</v>
      </c>
      <c r="AF179" s="117"/>
      <c r="AG179" s="117"/>
      <c r="AH179" s="262"/>
      <c r="AI179" s="17"/>
      <c r="AJ179" s="17"/>
      <c r="AK179" s="17"/>
      <c r="AL179" s="17"/>
      <c r="AM179" s="17"/>
      <c r="AN179" s="17"/>
      <c r="AO179" s="17"/>
      <c r="AP179" s="15" t="str">
        <f>IFERROR(VLOOKUP(AO179,Legend!$D$2:$E$26,2,0),"")</f>
        <v/>
      </c>
      <c r="AQ179" s="15"/>
      <c r="AR179" s="17"/>
      <c r="AS179" s="17"/>
      <c r="AT179" s="15"/>
      <c r="AU179" s="17"/>
      <c r="AV179" s="17"/>
      <c r="AW179" s="17" t="s">
        <v>10</v>
      </c>
      <c r="AX179" s="15"/>
      <c r="AY179" s="15"/>
    </row>
    <row r="180" spans="1:51" x14ac:dyDescent="0.25">
      <c r="A180" s="15"/>
      <c r="B180" s="15"/>
      <c r="C180" s="15"/>
      <c r="D180" s="15"/>
      <c r="E180" s="91"/>
      <c r="F180" s="15"/>
      <c r="G180" s="15"/>
      <c r="H180" s="15"/>
      <c r="I180" s="15"/>
      <c r="J180" s="15"/>
      <c r="K180" s="89"/>
      <c r="L180" s="15"/>
      <c r="M180" s="89">
        <v>0</v>
      </c>
      <c r="N180" s="89">
        <v>0</v>
      </c>
      <c r="O180" s="89">
        <v>0</v>
      </c>
      <c r="P180" s="94">
        <v>0</v>
      </c>
      <c r="Q180" s="94">
        <v>0</v>
      </c>
      <c r="R180" s="94">
        <v>0</v>
      </c>
      <c r="S180" s="94">
        <v>0</v>
      </c>
      <c r="T180" s="89">
        <v>0</v>
      </c>
      <c r="U180" s="89">
        <v>0</v>
      </c>
      <c r="V180" s="94">
        <v>0</v>
      </c>
      <c r="W180" s="94">
        <v>0</v>
      </c>
      <c r="X180" s="94">
        <v>0</v>
      </c>
      <c r="Y180" s="89">
        <v>0</v>
      </c>
      <c r="Z180" s="94">
        <f t="shared" si="13"/>
        <v>0</v>
      </c>
      <c r="AA180" s="94">
        <f t="shared" si="14"/>
        <v>0</v>
      </c>
      <c r="AB180" s="89">
        <f t="shared" si="15"/>
        <v>0</v>
      </c>
      <c r="AC180" s="89">
        <f t="shared" si="16"/>
        <v>0</v>
      </c>
      <c r="AD180" s="89">
        <v>0</v>
      </c>
      <c r="AE180" s="89">
        <v>0</v>
      </c>
      <c r="AF180" s="117"/>
      <c r="AG180" s="117"/>
      <c r="AH180" s="262"/>
      <c r="AI180" s="17"/>
      <c r="AJ180" s="17"/>
      <c r="AK180" s="17"/>
      <c r="AL180" s="17"/>
      <c r="AM180" s="17"/>
      <c r="AN180" s="17"/>
      <c r="AO180" s="17"/>
      <c r="AP180" s="15" t="str">
        <f>IFERROR(VLOOKUP(AO180,Legend!$D$2:$E$26,2,0),"")</f>
        <v/>
      </c>
      <c r="AQ180" s="15"/>
      <c r="AR180" s="17"/>
      <c r="AS180" s="17"/>
      <c r="AT180" s="15"/>
      <c r="AU180" s="17"/>
      <c r="AV180" s="17"/>
      <c r="AW180" s="17" t="s">
        <v>10</v>
      </c>
      <c r="AX180" s="15"/>
      <c r="AY180" s="15"/>
    </row>
    <row r="181" spans="1:51" x14ac:dyDescent="0.25">
      <c r="A181" s="15"/>
      <c r="B181" s="15"/>
      <c r="C181" s="15"/>
      <c r="D181" s="15"/>
      <c r="E181" s="91"/>
      <c r="F181" s="15"/>
      <c r="G181" s="15"/>
      <c r="H181" s="15"/>
      <c r="I181" s="15"/>
      <c r="J181" s="15"/>
      <c r="K181" s="89"/>
      <c r="L181" s="15"/>
      <c r="M181" s="89">
        <v>0</v>
      </c>
      <c r="N181" s="89">
        <v>0</v>
      </c>
      <c r="O181" s="89">
        <v>0</v>
      </c>
      <c r="P181" s="94">
        <v>0</v>
      </c>
      <c r="Q181" s="94">
        <v>0</v>
      </c>
      <c r="R181" s="94">
        <v>0</v>
      </c>
      <c r="S181" s="94">
        <v>0</v>
      </c>
      <c r="T181" s="89">
        <v>0</v>
      </c>
      <c r="U181" s="89">
        <v>0</v>
      </c>
      <c r="V181" s="94">
        <v>0</v>
      </c>
      <c r="W181" s="94">
        <v>0</v>
      </c>
      <c r="X181" s="94">
        <v>0</v>
      </c>
      <c r="Y181" s="89">
        <v>0</v>
      </c>
      <c r="Z181" s="94">
        <f t="shared" si="13"/>
        <v>0</v>
      </c>
      <c r="AA181" s="94">
        <f t="shared" si="14"/>
        <v>0</v>
      </c>
      <c r="AB181" s="89">
        <f t="shared" si="15"/>
        <v>0</v>
      </c>
      <c r="AC181" s="89">
        <f t="shared" si="16"/>
        <v>0</v>
      </c>
      <c r="AD181" s="89">
        <v>0</v>
      </c>
      <c r="AE181" s="89">
        <v>0</v>
      </c>
      <c r="AF181" s="117"/>
      <c r="AG181" s="117"/>
      <c r="AH181" s="262"/>
      <c r="AI181" s="17"/>
      <c r="AJ181" s="17"/>
      <c r="AK181" s="17"/>
      <c r="AL181" s="17"/>
      <c r="AM181" s="17"/>
      <c r="AN181" s="17"/>
      <c r="AO181" s="17"/>
      <c r="AP181" s="15" t="str">
        <f>IFERROR(VLOOKUP(AO181,Legend!$D$2:$E$26,2,0),"")</f>
        <v/>
      </c>
      <c r="AQ181" s="15"/>
      <c r="AR181" s="17"/>
      <c r="AS181" s="17"/>
      <c r="AT181" s="15"/>
      <c r="AU181" s="17"/>
      <c r="AV181" s="17"/>
      <c r="AW181" s="17" t="s">
        <v>10</v>
      </c>
      <c r="AX181" s="15"/>
      <c r="AY181" s="15"/>
    </row>
    <row r="182" spans="1:51" x14ac:dyDescent="0.25">
      <c r="A182" s="15"/>
      <c r="B182" s="15"/>
      <c r="C182" s="15"/>
      <c r="D182" s="15"/>
      <c r="E182" s="91"/>
      <c r="F182" s="15"/>
      <c r="G182" s="15"/>
      <c r="H182" s="15"/>
      <c r="I182" s="15"/>
      <c r="J182" s="15"/>
      <c r="K182" s="89"/>
      <c r="L182" s="15"/>
      <c r="M182" s="89">
        <v>0</v>
      </c>
      <c r="N182" s="89">
        <v>0</v>
      </c>
      <c r="O182" s="89">
        <v>0</v>
      </c>
      <c r="P182" s="94">
        <v>0</v>
      </c>
      <c r="Q182" s="94">
        <v>0</v>
      </c>
      <c r="R182" s="94">
        <v>0</v>
      </c>
      <c r="S182" s="94">
        <v>0</v>
      </c>
      <c r="T182" s="89">
        <v>0</v>
      </c>
      <c r="U182" s="89">
        <v>0</v>
      </c>
      <c r="V182" s="94">
        <v>0</v>
      </c>
      <c r="W182" s="94">
        <v>0</v>
      </c>
      <c r="X182" s="94">
        <v>0</v>
      </c>
      <c r="Y182" s="89">
        <v>0</v>
      </c>
      <c r="Z182" s="94">
        <f t="shared" si="13"/>
        <v>0</v>
      </c>
      <c r="AA182" s="94">
        <f t="shared" si="14"/>
        <v>0</v>
      </c>
      <c r="AB182" s="89">
        <f t="shared" si="15"/>
        <v>0</v>
      </c>
      <c r="AC182" s="89">
        <f t="shared" si="16"/>
        <v>0</v>
      </c>
      <c r="AD182" s="89">
        <v>0</v>
      </c>
      <c r="AE182" s="89">
        <v>0</v>
      </c>
      <c r="AF182" s="117"/>
      <c r="AG182" s="117"/>
      <c r="AH182" s="262"/>
      <c r="AI182" s="17"/>
      <c r="AJ182" s="17"/>
      <c r="AK182" s="17"/>
      <c r="AL182" s="17"/>
      <c r="AM182" s="17"/>
      <c r="AN182" s="17"/>
      <c r="AO182" s="17"/>
      <c r="AP182" s="15" t="str">
        <f>IFERROR(VLOOKUP(AO182,Legend!$D$2:$E$26,2,0),"")</f>
        <v/>
      </c>
      <c r="AQ182" s="15"/>
      <c r="AR182" s="17"/>
      <c r="AS182" s="17"/>
      <c r="AT182" s="15"/>
      <c r="AU182" s="17"/>
      <c r="AV182" s="17"/>
      <c r="AW182" s="17" t="s">
        <v>10</v>
      </c>
      <c r="AX182" s="15"/>
      <c r="AY182" s="15"/>
    </row>
    <row r="183" spans="1:51" x14ac:dyDescent="0.25">
      <c r="A183" s="15"/>
      <c r="B183" s="15"/>
      <c r="C183" s="15"/>
      <c r="D183" s="15"/>
      <c r="E183" s="91"/>
      <c r="F183" s="15"/>
      <c r="G183" s="15"/>
      <c r="H183" s="15"/>
      <c r="I183" s="15"/>
      <c r="J183" s="15"/>
      <c r="K183" s="89"/>
      <c r="L183" s="15"/>
      <c r="M183" s="89">
        <v>0</v>
      </c>
      <c r="N183" s="89">
        <v>0</v>
      </c>
      <c r="O183" s="89">
        <v>0</v>
      </c>
      <c r="P183" s="94">
        <v>0</v>
      </c>
      <c r="Q183" s="94">
        <v>0</v>
      </c>
      <c r="R183" s="94">
        <v>0</v>
      </c>
      <c r="S183" s="94">
        <v>0</v>
      </c>
      <c r="T183" s="89">
        <v>0</v>
      </c>
      <c r="U183" s="89">
        <v>0</v>
      </c>
      <c r="V183" s="94">
        <v>0</v>
      </c>
      <c r="W183" s="94">
        <v>0</v>
      </c>
      <c r="X183" s="94">
        <v>0</v>
      </c>
      <c r="Y183" s="89">
        <v>0</v>
      </c>
      <c r="Z183" s="94">
        <f t="shared" si="13"/>
        <v>0</v>
      </c>
      <c r="AA183" s="94">
        <f t="shared" si="14"/>
        <v>0</v>
      </c>
      <c r="AB183" s="89">
        <f t="shared" si="15"/>
        <v>0</v>
      </c>
      <c r="AC183" s="89">
        <f t="shared" si="16"/>
        <v>0</v>
      </c>
      <c r="AD183" s="89">
        <v>0</v>
      </c>
      <c r="AE183" s="89">
        <v>0</v>
      </c>
      <c r="AF183" s="117"/>
      <c r="AG183" s="117"/>
      <c r="AH183" s="262"/>
      <c r="AI183" s="17"/>
      <c r="AJ183" s="17"/>
      <c r="AK183" s="17"/>
      <c r="AL183" s="17"/>
      <c r="AM183" s="17"/>
      <c r="AN183" s="17"/>
      <c r="AO183" s="17"/>
      <c r="AP183" s="15" t="str">
        <f>IFERROR(VLOOKUP(AO183,Legend!$D$2:$E$26,2,0),"")</f>
        <v/>
      </c>
      <c r="AQ183" s="15"/>
      <c r="AR183" s="17"/>
      <c r="AS183" s="17"/>
      <c r="AT183" s="15"/>
      <c r="AU183" s="17"/>
      <c r="AV183" s="17"/>
      <c r="AW183" s="17" t="s">
        <v>10</v>
      </c>
      <c r="AX183" s="15"/>
      <c r="AY183" s="15"/>
    </row>
    <row r="184" spans="1:51" x14ac:dyDescent="0.25">
      <c r="A184" s="15"/>
      <c r="B184" s="15"/>
      <c r="C184" s="15"/>
      <c r="D184" s="15"/>
      <c r="E184" s="91"/>
      <c r="F184" s="15"/>
      <c r="G184" s="15"/>
      <c r="H184" s="15"/>
      <c r="I184" s="15"/>
      <c r="J184" s="15"/>
      <c r="K184" s="89"/>
      <c r="L184" s="15"/>
      <c r="M184" s="89">
        <v>0</v>
      </c>
      <c r="N184" s="89">
        <v>0</v>
      </c>
      <c r="O184" s="89">
        <v>0</v>
      </c>
      <c r="P184" s="94">
        <v>0</v>
      </c>
      <c r="Q184" s="94">
        <v>0</v>
      </c>
      <c r="R184" s="94">
        <v>0</v>
      </c>
      <c r="S184" s="94">
        <v>0</v>
      </c>
      <c r="T184" s="89">
        <v>0</v>
      </c>
      <c r="U184" s="89">
        <v>0</v>
      </c>
      <c r="V184" s="94">
        <v>0</v>
      </c>
      <c r="W184" s="94">
        <v>0</v>
      </c>
      <c r="X184" s="94">
        <v>0</v>
      </c>
      <c r="Y184" s="89">
        <v>0</v>
      </c>
      <c r="Z184" s="94">
        <f t="shared" si="13"/>
        <v>0</v>
      </c>
      <c r="AA184" s="94">
        <f t="shared" si="14"/>
        <v>0</v>
      </c>
      <c r="AB184" s="89">
        <f t="shared" si="15"/>
        <v>0</v>
      </c>
      <c r="AC184" s="89">
        <f t="shared" si="16"/>
        <v>0</v>
      </c>
      <c r="AD184" s="89">
        <v>0</v>
      </c>
      <c r="AE184" s="89">
        <v>0</v>
      </c>
      <c r="AF184" s="117"/>
      <c r="AG184" s="117"/>
      <c r="AH184" s="262"/>
      <c r="AI184" s="17"/>
      <c r="AJ184" s="17"/>
      <c r="AK184" s="17"/>
      <c r="AL184" s="17"/>
      <c r="AM184" s="17"/>
      <c r="AN184" s="17"/>
      <c r="AO184" s="17"/>
      <c r="AP184" s="15" t="str">
        <f>IFERROR(VLOOKUP(AO184,Legend!$D$2:$E$26,2,0),"")</f>
        <v/>
      </c>
      <c r="AQ184" s="15"/>
      <c r="AR184" s="17"/>
      <c r="AS184" s="17"/>
      <c r="AT184" s="15"/>
      <c r="AU184" s="17"/>
      <c r="AV184" s="17"/>
      <c r="AW184" s="17" t="s">
        <v>10</v>
      </c>
      <c r="AX184" s="15"/>
      <c r="AY184" s="15"/>
    </row>
    <row r="185" spans="1:51" x14ac:dyDescent="0.25">
      <c r="A185" s="15"/>
      <c r="B185" s="15"/>
      <c r="C185" s="15"/>
      <c r="D185" s="15"/>
      <c r="E185" s="91"/>
      <c r="F185" s="15"/>
      <c r="G185" s="15"/>
      <c r="H185" s="15"/>
      <c r="I185" s="15"/>
      <c r="J185" s="15"/>
      <c r="K185" s="89"/>
      <c r="L185" s="15"/>
      <c r="M185" s="89">
        <v>0</v>
      </c>
      <c r="N185" s="89">
        <v>0</v>
      </c>
      <c r="O185" s="89">
        <v>0</v>
      </c>
      <c r="P185" s="94">
        <v>0</v>
      </c>
      <c r="Q185" s="94">
        <v>0</v>
      </c>
      <c r="R185" s="94">
        <v>0</v>
      </c>
      <c r="S185" s="94">
        <v>0</v>
      </c>
      <c r="T185" s="89">
        <v>0</v>
      </c>
      <c r="U185" s="89">
        <v>0</v>
      </c>
      <c r="V185" s="94">
        <v>0</v>
      </c>
      <c r="W185" s="94">
        <v>0</v>
      </c>
      <c r="X185" s="94">
        <v>0</v>
      </c>
      <c r="Y185" s="89">
        <v>0</v>
      </c>
      <c r="Z185" s="94">
        <f t="shared" si="13"/>
        <v>0</v>
      </c>
      <c r="AA185" s="94">
        <f t="shared" si="14"/>
        <v>0</v>
      </c>
      <c r="AB185" s="89">
        <f t="shared" si="15"/>
        <v>0</v>
      </c>
      <c r="AC185" s="89">
        <f t="shared" si="16"/>
        <v>0</v>
      </c>
      <c r="AD185" s="89">
        <v>0</v>
      </c>
      <c r="AE185" s="89">
        <v>0</v>
      </c>
      <c r="AF185" s="117"/>
      <c r="AG185" s="117"/>
      <c r="AH185" s="262"/>
      <c r="AI185" s="17"/>
      <c r="AJ185" s="17"/>
      <c r="AK185" s="17"/>
      <c r="AL185" s="17"/>
      <c r="AM185" s="17"/>
      <c r="AN185" s="17"/>
      <c r="AO185" s="17"/>
      <c r="AP185" s="15" t="str">
        <f>IFERROR(VLOOKUP(AO185,Legend!$D$2:$E$26,2,0),"")</f>
        <v/>
      </c>
      <c r="AQ185" s="15"/>
      <c r="AR185" s="17"/>
      <c r="AS185" s="17"/>
      <c r="AT185" s="15"/>
      <c r="AU185" s="17"/>
      <c r="AV185" s="17"/>
      <c r="AW185" s="17" t="s">
        <v>10</v>
      </c>
      <c r="AX185" s="15"/>
      <c r="AY185" s="15"/>
    </row>
    <row r="186" spans="1:51" x14ac:dyDescent="0.25">
      <c r="A186" s="15"/>
      <c r="B186" s="15"/>
      <c r="C186" s="15"/>
      <c r="D186" s="15"/>
      <c r="E186" s="91"/>
      <c r="F186" s="15"/>
      <c r="G186" s="15"/>
      <c r="H186" s="15"/>
      <c r="I186" s="15"/>
      <c r="J186" s="15"/>
      <c r="K186" s="89"/>
      <c r="L186" s="15"/>
      <c r="M186" s="89">
        <v>0</v>
      </c>
      <c r="N186" s="89">
        <v>0</v>
      </c>
      <c r="O186" s="89">
        <v>0</v>
      </c>
      <c r="P186" s="94">
        <v>0</v>
      </c>
      <c r="Q186" s="94">
        <v>0</v>
      </c>
      <c r="R186" s="94">
        <v>0</v>
      </c>
      <c r="S186" s="94">
        <v>0</v>
      </c>
      <c r="T186" s="89">
        <v>0</v>
      </c>
      <c r="U186" s="89">
        <v>0</v>
      </c>
      <c r="V186" s="94">
        <v>0</v>
      </c>
      <c r="W186" s="94">
        <v>0</v>
      </c>
      <c r="X186" s="94">
        <v>0</v>
      </c>
      <c r="Y186" s="89">
        <v>0</v>
      </c>
      <c r="Z186" s="94">
        <f t="shared" si="13"/>
        <v>0</v>
      </c>
      <c r="AA186" s="94">
        <f t="shared" si="14"/>
        <v>0</v>
      </c>
      <c r="AB186" s="89">
        <f t="shared" si="15"/>
        <v>0</v>
      </c>
      <c r="AC186" s="89">
        <f t="shared" si="16"/>
        <v>0</v>
      </c>
      <c r="AD186" s="89">
        <v>0</v>
      </c>
      <c r="AE186" s="89">
        <v>0</v>
      </c>
      <c r="AF186" s="117"/>
      <c r="AG186" s="117"/>
      <c r="AH186" s="262"/>
      <c r="AI186" s="17"/>
      <c r="AJ186" s="17"/>
      <c r="AK186" s="17"/>
      <c r="AL186" s="17"/>
      <c r="AM186" s="17"/>
      <c r="AN186" s="17"/>
      <c r="AO186" s="17"/>
      <c r="AP186" s="15" t="str">
        <f>IFERROR(VLOOKUP(AO186,Legend!$D$2:$E$26,2,0),"")</f>
        <v/>
      </c>
      <c r="AQ186" s="15"/>
      <c r="AR186" s="17"/>
      <c r="AS186" s="17"/>
      <c r="AT186" s="15"/>
      <c r="AU186" s="17"/>
      <c r="AV186" s="17"/>
      <c r="AW186" s="17" t="s">
        <v>10</v>
      </c>
      <c r="AX186" s="15"/>
      <c r="AY186" s="15"/>
    </row>
    <row r="187" spans="1:51" x14ac:dyDescent="0.25">
      <c r="A187" s="15"/>
      <c r="B187" s="15"/>
      <c r="C187" s="15"/>
      <c r="D187" s="15"/>
      <c r="E187" s="91"/>
      <c r="F187" s="15"/>
      <c r="G187" s="15"/>
      <c r="H187" s="15"/>
      <c r="I187" s="15"/>
      <c r="J187" s="15"/>
      <c r="K187" s="89"/>
      <c r="L187" s="15"/>
      <c r="M187" s="89">
        <v>0</v>
      </c>
      <c r="N187" s="89">
        <v>0</v>
      </c>
      <c r="O187" s="89">
        <v>0</v>
      </c>
      <c r="P187" s="94">
        <v>0</v>
      </c>
      <c r="Q187" s="94">
        <v>0</v>
      </c>
      <c r="R187" s="94">
        <v>0</v>
      </c>
      <c r="S187" s="94">
        <v>0</v>
      </c>
      <c r="T187" s="89">
        <v>0</v>
      </c>
      <c r="U187" s="89">
        <v>0</v>
      </c>
      <c r="V187" s="94">
        <v>0</v>
      </c>
      <c r="W187" s="94">
        <v>0</v>
      </c>
      <c r="X187" s="94">
        <v>0</v>
      </c>
      <c r="Y187" s="89">
        <v>0</v>
      </c>
      <c r="Z187" s="94">
        <f t="shared" si="13"/>
        <v>0</v>
      </c>
      <c r="AA187" s="94">
        <f t="shared" si="14"/>
        <v>0</v>
      </c>
      <c r="AB187" s="89">
        <f t="shared" si="15"/>
        <v>0</v>
      </c>
      <c r="AC187" s="89">
        <f t="shared" si="16"/>
        <v>0</v>
      </c>
      <c r="AD187" s="89">
        <v>0</v>
      </c>
      <c r="AE187" s="89">
        <v>0</v>
      </c>
      <c r="AF187" s="117"/>
      <c r="AG187" s="117"/>
      <c r="AH187" s="262"/>
      <c r="AI187" s="17"/>
      <c r="AJ187" s="17"/>
      <c r="AK187" s="17"/>
      <c r="AL187" s="17"/>
      <c r="AM187" s="17"/>
      <c r="AN187" s="17"/>
      <c r="AO187" s="17"/>
      <c r="AP187" s="15" t="str">
        <f>IFERROR(VLOOKUP(AO187,Legend!$D$2:$E$26,2,0),"")</f>
        <v/>
      </c>
      <c r="AQ187" s="15"/>
      <c r="AR187" s="17"/>
      <c r="AS187" s="17"/>
      <c r="AT187" s="15"/>
      <c r="AU187" s="17"/>
      <c r="AV187" s="17"/>
      <c r="AW187" s="17" t="s">
        <v>10</v>
      </c>
      <c r="AX187" s="15"/>
      <c r="AY187" s="15"/>
    </row>
    <row r="188" spans="1:51" x14ac:dyDescent="0.25">
      <c r="A188" s="15"/>
      <c r="B188" s="15"/>
      <c r="C188" s="15"/>
      <c r="D188" s="15"/>
      <c r="E188" s="91"/>
      <c r="F188" s="15"/>
      <c r="G188" s="15"/>
      <c r="H188" s="15"/>
      <c r="I188" s="15"/>
      <c r="J188" s="15"/>
      <c r="K188" s="89"/>
      <c r="L188" s="15"/>
      <c r="M188" s="89">
        <v>0</v>
      </c>
      <c r="N188" s="89">
        <v>0</v>
      </c>
      <c r="O188" s="89">
        <v>0</v>
      </c>
      <c r="P188" s="94">
        <v>0</v>
      </c>
      <c r="Q188" s="94">
        <v>0</v>
      </c>
      <c r="R188" s="94">
        <v>0</v>
      </c>
      <c r="S188" s="94">
        <v>0</v>
      </c>
      <c r="T188" s="89">
        <v>0</v>
      </c>
      <c r="U188" s="89">
        <v>0</v>
      </c>
      <c r="V188" s="94">
        <v>0</v>
      </c>
      <c r="W188" s="94">
        <v>0</v>
      </c>
      <c r="X188" s="94">
        <v>0</v>
      </c>
      <c r="Y188" s="89">
        <v>0</v>
      </c>
      <c r="Z188" s="94">
        <f t="shared" si="13"/>
        <v>0</v>
      </c>
      <c r="AA188" s="94">
        <f t="shared" si="14"/>
        <v>0</v>
      </c>
      <c r="AB188" s="89">
        <f t="shared" si="15"/>
        <v>0</v>
      </c>
      <c r="AC188" s="89">
        <f t="shared" si="16"/>
        <v>0</v>
      </c>
      <c r="AD188" s="89">
        <v>0</v>
      </c>
      <c r="AE188" s="89">
        <v>0</v>
      </c>
      <c r="AF188" s="117"/>
      <c r="AG188" s="117"/>
      <c r="AH188" s="262"/>
      <c r="AI188" s="17"/>
      <c r="AJ188" s="17"/>
      <c r="AK188" s="17"/>
      <c r="AL188" s="17"/>
      <c r="AM188" s="17"/>
      <c r="AN188" s="17"/>
      <c r="AO188" s="17"/>
      <c r="AP188" s="15" t="str">
        <f>IFERROR(VLOOKUP(AO188,Legend!$D$2:$E$26,2,0),"")</f>
        <v/>
      </c>
      <c r="AQ188" s="15"/>
      <c r="AR188" s="17"/>
      <c r="AS188" s="17"/>
      <c r="AT188" s="15"/>
      <c r="AU188" s="17"/>
      <c r="AV188" s="17"/>
      <c r="AW188" s="17" t="s">
        <v>10</v>
      </c>
      <c r="AX188" s="15"/>
      <c r="AY188" s="15"/>
    </row>
    <row r="189" spans="1:51" x14ac:dyDescent="0.25">
      <c r="A189" s="15"/>
      <c r="B189" s="15"/>
      <c r="C189" s="15"/>
      <c r="D189" s="15"/>
      <c r="E189" s="91"/>
      <c r="F189" s="15"/>
      <c r="G189" s="15"/>
      <c r="H189" s="15"/>
      <c r="I189" s="15"/>
      <c r="J189" s="15"/>
      <c r="K189" s="89"/>
      <c r="L189" s="15"/>
      <c r="M189" s="89">
        <v>0</v>
      </c>
      <c r="N189" s="89">
        <v>0</v>
      </c>
      <c r="O189" s="89">
        <v>0</v>
      </c>
      <c r="P189" s="94">
        <v>0</v>
      </c>
      <c r="Q189" s="94">
        <v>0</v>
      </c>
      <c r="R189" s="94">
        <v>0</v>
      </c>
      <c r="S189" s="94">
        <v>0</v>
      </c>
      <c r="T189" s="89">
        <v>0</v>
      </c>
      <c r="U189" s="89">
        <v>0</v>
      </c>
      <c r="V189" s="94">
        <v>0</v>
      </c>
      <c r="W189" s="94">
        <v>0</v>
      </c>
      <c r="X189" s="94">
        <v>0</v>
      </c>
      <c r="Y189" s="89">
        <v>0</v>
      </c>
      <c r="Z189" s="94">
        <f t="shared" si="13"/>
        <v>0</v>
      </c>
      <c r="AA189" s="94">
        <f t="shared" si="14"/>
        <v>0</v>
      </c>
      <c r="AB189" s="89">
        <f t="shared" si="15"/>
        <v>0</v>
      </c>
      <c r="AC189" s="89">
        <f t="shared" si="16"/>
        <v>0</v>
      </c>
      <c r="AD189" s="89">
        <v>0</v>
      </c>
      <c r="AE189" s="89">
        <v>0</v>
      </c>
      <c r="AF189" s="117"/>
      <c r="AG189" s="117"/>
      <c r="AH189" s="262"/>
      <c r="AI189" s="17"/>
      <c r="AJ189" s="17"/>
      <c r="AK189" s="17"/>
      <c r="AL189" s="17"/>
      <c r="AM189" s="17"/>
      <c r="AN189" s="17"/>
      <c r="AO189" s="17"/>
      <c r="AP189" s="15" t="str">
        <f>IFERROR(VLOOKUP(AO189,Legend!$D$2:$E$26,2,0),"")</f>
        <v/>
      </c>
      <c r="AQ189" s="15"/>
      <c r="AR189" s="17"/>
      <c r="AS189" s="17"/>
      <c r="AT189" s="15"/>
      <c r="AU189" s="17"/>
      <c r="AV189" s="17"/>
      <c r="AW189" s="17" t="s">
        <v>10</v>
      </c>
      <c r="AX189" s="15"/>
      <c r="AY189" s="15"/>
    </row>
    <row r="190" spans="1:51" x14ac:dyDescent="0.25">
      <c r="A190" s="15"/>
      <c r="B190" s="15"/>
      <c r="C190" s="15"/>
      <c r="D190" s="15"/>
      <c r="E190" s="91"/>
      <c r="F190" s="15"/>
      <c r="G190" s="15"/>
      <c r="H190" s="15"/>
      <c r="I190" s="15"/>
      <c r="J190" s="15"/>
      <c r="K190" s="89"/>
      <c r="L190" s="15"/>
      <c r="M190" s="89">
        <v>0</v>
      </c>
      <c r="N190" s="89">
        <v>0</v>
      </c>
      <c r="O190" s="89">
        <v>0</v>
      </c>
      <c r="P190" s="94">
        <v>0</v>
      </c>
      <c r="Q190" s="94">
        <v>0</v>
      </c>
      <c r="R190" s="94">
        <v>0</v>
      </c>
      <c r="S190" s="94">
        <v>0</v>
      </c>
      <c r="T190" s="89">
        <v>0</v>
      </c>
      <c r="U190" s="89">
        <v>0</v>
      </c>
      <c r="V190" s="94">
        <v>0</v>
      </c>
      <c r="W190" s="94">
        <v>0</v>
      </c>
      <c r="X190" s="94">
        <v>0</v>
      </c>
      <c r="Y190" s="89">
        <v>0</v>
      </c>
      <c r="Z190" s="94">
        <f t="shared" si="13"/>
        <v>0</v>
      </c>
      <c r="AA190" s="94">
        <f t="shared" si="14"/>
        <v>0</v>
      </c>
      <c r="AB190" s="89">
        <f t="shared" si="15"/>
        <v>0</v>
      </c>
      <c r="AC190" s="89">
        <f t="shared" si="16"/>
        <v>0</v>
      </c>
      <c r="AD190" s="89">
        <v>0</v>
      </c>
      <c r="AE190" s="89">
        <v>0</v>
      </c>
      <c r="AF190" s="117"/>
      <c r="AG190" s="117"/>
      <c r="AH190" s="262"/>
      <c r="AI190" s="17"/>
      <c r="AJ190" s="17"/>
      <c r="AK190" s="17"/>
      <c r="AL190" s="17"/>
      <c r="AM190" s="17"/>
      <c r="AN190" s="17"/>
      <c r="AO190" s="17"/>
      <c r="AP190" s="15" t="str">
        <f>IFERROR(VLOOKUP(AO190,Legend!$D$2:$E$26,2,0),"")</f>
        <v/>
      </c>
      <c r="AQ190" s="15"/>
      <c r="AR190" s="17"/>
      <c r="AS190" s="17"/>
      <c r="AT190" s="15"/>
      <c r="AU190" s="17"/>
      <c r="AV190" s="17"/>
      <c r="AW190" s="17" t="s">
        <v>10</v>
      </c>
      <c r="AX190" s="15"/>
      <c r="AY190" s="15"/>
    </row>
    <row r="191" spans="1:51" x14ac:dyDescent="0.25">
      <c r="A191" s="15"/>
      <c r="B191" s="15"/>
      <c r="C191" s="15"/>
      <c r="D191" s="15"/>
      <c r="E191" s="91"/>
      <c r="F191" s="15"/>
      <c r="G191" s="15"/>
      <c r="H191" s="15"/>
      <c r="I191" s="15"/>
      <c r="J191" s="15"/>
      <c r="K191" s="89"/>
      <c r="L191" s="15"/>
      <c r="M191" s="89">
        <v>0</v>
      </c>
      <c r="N191" s="89">
        <v>0</v>
      </c>
      <c r="O191" s="89">
        <v>0</v>
      </c>
      <c r="P191" s="94">
        <v>0</v>
      </c>
      <c r="Q191" s="94">
        <v>0</v>
      </c>
      <c r="R191" s="94">
        <v>0</v>
      </c>
      <c r="S191" s="94">
        <v>0</v>
      </c>
      <c r="T191" s="89">
        <v>0</v>
      </c>
      <c r="U191" s="89">
        <v>0</v>
      </c>
      <c r="V191" s="94">
        <v>0</v>
      </c>
      <c r="W191" s="94">
        <v>0</v>
      </c>
      <c r="X191" s="94">
        <v>0</v>
      </c>
      <c r="Y191" s="89">
        <v>0</v>
      </c>
      <c r="Z191" s="94">
        <f t="shared" si="13"/>
        <v>0</v>
      </c>
      <c r="AA191" s="94">
        <f t="shared" si="14"/>
        <v>0</v>
      </c>
      <c r="AB191" s="89">
        <f t="shared" si="15"/>
        <v>0</v>
      </c>
      <c r="AC191" s="89">
        <f t="shared" si="16"/>
        <v>0</v>
      </c>
      <c r="AD191" s="89">
        <v>0</v>
      </c>
      <c r="AE191" s="89">
        <v>0</v>
      </c>
      <c r="AF191" s="117"/>
      <c r="AG191" s="117"/>
      <c r="AH191" s="262"/>
      <c r="AI191" s="17"/>
      <c r="AJ191" s="17"/>
      <c r="AK191" s="17"/>
      <c r="AL191" s="17"/>
      <c r="AM191" s="17"/>
      <c r="AN191" s="17"/>
      <c r="AO191" s="17"/>
      <c r="AP191" s="15" t="str">
        <f>IFERROR(VLOOKUP(AO191,Legend!$D$2:$E$26,2,0),"")</f>
        <v/>
      </c>
      <c r="AQ191" s="15"/>
      <c r="AR191" s="17"/>
      <c r="AS191" s="17"/>
      <c r="AT191" s="15"/>
      <c r="AU191" s="17"/>
      <c r="AV191" s="17"/>
      <c r="AW191" s="17" t="s">
        <v>10</v>
      </c>
      <c r="AX191" s="15"/>
      <c r="AY191" s="15"/>
    </row>
    <row r="192" spans="1:51" x14ac:dyDescent="0.25">
      <c r="A192" s="15"/>
      <c r="B192" s="15"/>
      <c r="C192" s="15"/>
      <c r="D192" s="15"/>
      <c r="E192" s="91"/>
      <c r="F192" s="15"/>
      <c r="G192" s="15"/>
      <c r="H192" s="15"/>
      <c r="I192" s="15"/>
      <c r="J192" s="15"/>
      <c r="K192" s="89"/>
      <c r="L192" s="15"/>
      <c r="M192" s="89">
        <v>0</v>
      </c>
      <c r="N192" s="89">
        <v>0</v>
      </c>
      <c r="O192" s="89">
        <v>0</v>
      </c>
      <c r="P192" s="94">
        <v>0</v>
      </c>
      <c r="Q192" s="94">
        <v>0</v>
      </c>
      <c r="R192" s="94">
        <v>0</v>
      </c>
      <c r="S192" s="94">
        <v>0</v>
      </c>
      <c r="T192" s="89">
        <v>0</v>
      </c>
      <c r="U192" s="89">
        <v>0</v>
      </c>
      <c r="V192" s="94">
        <v>0</v>
      </c>
      <c r="W192" s="94">
        <v>0</v>
      </c>
      <c r="X192" s="94">
        <v>0</v>
      </c>
      <c r="Y192" s="89">
        <v>0</v>
      </c>
      <c r="Z192" s="94">
        <f t="shared" si="13"/>
        <v>0</v>
      </c>
      <c r="AA192" s="94">
        <f t="shared" si="14"/>
        <v>0</v>
      </c>
      <c r="AB192" s="89">
        <f t="shared" si="15"/>
        <v>0</v>
      </c>
      <c r="AC192" s="89">
        <f t="shared" si="16"/>
        <v>0</v>
      </c>
      <c r="AD192" s="89">
        <v>0</v>
      </c>
      <c r="AE192" s="89">
        <v>0</v>
      </c>
      <c r="AF192" s="117"/>
      <c r="AG192" s="117"/>
      <c r="AH192" s="262"/>
      <c r="AI192" s="17"/>
      <c r="AJ192" s="17"/>
      <c r="AK192" s="17"/>
      <c r="AL192" s="17"/>
      <c r="AM192" s="17"/>
      <c r="AN192" s="17"/>
      <c r="AO192" s="17"/>
      <c r="AP192" s="15" t="str">
        <f>IFERROR(VLOOKUP(AO192,Legend!$D$2:$E$26,2,0),"")</f>
        <v/>
      </c>
      <c r="AQ192" s="15"/>
      <c r="AR192" s="17"/>
      <c r="AS192" s="17"/>
      <c r="AT192" s="15"/>
      <c r="AU192" s="17"/>
      <c r="AV192" s="17"/>
      <c r="AW192" s="17" t="s">
        <v>10</v>
      </c>
      <c r="AX192" s="15"/>
      <c r="AY192" s="15"/>
    </row>
    <row r="193" spans="1:51" x14ac:dyDescent="0.25">
      <c r="A193" s="15"/>
      <c r="B193" s="15"/>
      <c r="C193" s="15"/>
      <c r="D193" s="15"/>
      <c r="E193" s="91"/>
      <c r="F193" s="15"/>
      <c r="G193" s="15"/>
      <c r="H193" s="15"/>
      <c r="I193" s="15"/>
      <c r="J193" s="15"/>
      <c r="K193" s="89"/>
      <c r="L193" s="15"/>
      <c r="M193" s="89">
        <v>0</v>
      </c>
      <c r="N193" s="89">
        <v>0</v>
      </c>
      <c r="O193" s="89">
        <v>0</v>
      </c>
      <c r="P193" s="94">
        <v>0</v>
      </c>
      <c r="Q193" s="94">
        <v>0</v>
      </c>
      <c r="R193" s="94">
        <v>0</v>
      </c>
      <c r="S193" s="94">
        <v>0</v>
      </c>
      <c r="T193" s="89">
        <v>0</v>
      </c>
      <c r="U193" s="89">
        <v>0</v>
      </c>
      <c r="V193" s="94">
        <v>0</v>
      </c>
      <c r="W193" s="94">
        <v>0</v>
      </c>
      <c r="X193" s="94">
        <v>0</v>
      </c>
      <c r="Y193" s="89">
        <v>0</v>
      </c>
      <c r="Z193" s="94">
        <f t="shared" si="13"/>
        <v>0</v>
      </c>
      <c r="AA193" s="94">
        <f t="shared" si="14"/>
        <v>0</v>
      </c>
      <c r="AB193" s="89">
        <f t="shared" si="15"/>
        <v>0</v>
      </c>
      <c r="AC193" s="89">
        <f t="shared" si="16"/>
        <v>0</v>
      </c>
      <c r="AD193" s="89">
        <v>0</v>
      </c>
      <c r="AE193" s="89">
        <v>0</v>
      </c>
      <c r="AF193" s="117"/>
      <c r="AG193" s="117"/>
      <c r="AH193" s="262"/>
      <c r="AI193" s="17"/>
      <c r="AJ193" s="17"/>
      <c r="AK193" s="17"/>
      <c r="AL193" s="17"/>
      <c r="AM193" s="17"/>
      <c r="AN193" s="17"/>
      <c r="AO193" s="17"/>
      <c r="AP193" s="15" t="str">
        <f>IFERROR(VLOOKUP(AO193,Legend!$D$2:$E$26,2,0),"")</f>
        <v/>
      </c>
      <c r="AQ193" s="15"/>
      <c r="AR193" s="17"/>
      <c r="AS193" s="17"/>
      <c r="AT193" s="15"/>
      <c r="AU193" s="17"/>
      <c r="AV193" s="17"/>
      <c r="AW193" s="17" t="s">
        <v>10</v>
      </c>
      <c r="AX193" s="15"/>
      <c r="AY193" s="15"/>
    </row>
    <row r="194" spans="1:51" x14ac:dyDescent="0.25">
      <c r="A194" s="15"/>
      <c r="B194" s="15"/>
      <c r="C194" s="15"/>
      <c r="D194" s="15"/>
      <c r="E194" s="91"/>
      <c r="F194" s="15"/>
      <c r="G194" s="15"/>
      <c r="H194" s="15"/>
      <c r="I194" s="15"/>
      <c r="J194" s="15"/>
      <c r="K194" s="89"/>
      <c r="L194" s="15"/>
      <c r="M194" s="89">
        <v>0</v>
      </c>
      <c r="N194" s="89">
        <v>0</v>
      </c>
      <c r="O194" s="89">
        <v>0</v>
      </c>
      <c r="P194" s="94">
        <v>0</v>
      </c>
      <c r="Q194" s="94">
        <v>0</v>
      </c>
      <c r="R194" s="94">
        <v>0</v>
      </c>
      <c r="S194" s="94">
        <v>0</v>
      </c>
      <c r="T194" s="89">
        <v>0</v>
      </c>
      <c r="U194" s="89">
        <v>0</v>
      </c>
      <c r="V194" s="94">
        <v>0</v>
      </c>
      <c r="W194" s="94">
        <v>0</v>
      </c>
      <c r="X194" s="94">
        <v>0</v>
      </c>
      <c r="Y194" s="89">
        <v>0</v>
      </c>
      <c r="Z194" s="94">
        <f t="shared" si="13"/>
        <v>0</v>
      </c>
      <c r="AA194" s="94">
        <f t="shared" si="14"/>
        <v>0</v>
      </c>
      <c r="AB194" s="89">
        <f t="shared" si="15"/>
        <v>0</v>
      </c>
      <c r="AC194" s="89">
        <f t="shared" si="16"/>
        <v>0</v>
      </c>
      <c r="AD194" s="89">
        <v>0</v>
      </c>
      <c r="AE194" s="89">
        <v>0</v>
      </c>
      <c r="AF194" s="117"/>
      <c r="AG194" s="117"/>
      <c r="AH194" s="262"/>
      <c r="AI194" s="17"/>
      <c r="AJ194" s="17"/>
      <c r="AK194" s="17"/>
      <c r="AL194" s="17"/>
      <c r="AM194" s="17"/>
      <c r="AN194" s="17"/>
      <c r="AO194" s="17"/>
      <c r="AP194" s="15" t="str">
        <f>IFERROR(VLOOKUP(AO194,Legend!$D$2:$E$26,2,0),"")</f>
        <v/>
      </c>
      <c r="AQ194" s="15"/>
      <c r="AR194" s="17"/>
      <c r="AS194" s="17"/>
      <c r="AT194" s="15"/>
      <c r="AU194" s="17"/>
      <c r="AV194" s="17"/>
      <c r="AW194" s="17" t="s">
        <v>10</v>
      </c>
      <c r="AX194" s="15"/>
      <c r="AY194" s="15"/>
    </row>
    <row r="195" spans="1:51" x14ac:dyDescent="0.25">
      <c r="A195" s="15"/>
      <c r="B195" s="15"/>
      <c r="C195" s="15"/>
      <c r="D195" s="15"/>
      <c r="E195" s="91"/>
      <c r="F195" s="15"/>
      <c r="G195" s="15"/>
      <c r="H195" s="15"/>
      <c r="I195" s="15"/>
      <c r="J195" s="15"/>
      <c r="K195" s="89"/>
      <c r="L195" s="15"/>
      <c r="M195" s="89">
        <v>0</v>
      </c>
      <c r="N195" s="89">
        <v>0</v>
      </c>
      <c r="O195" s="89">
        <v>0</v>
      </c>
      <c r="P195" s="94">
        <v>0</v>
      </c>
      <c r="Q195" s="94">
        <v>0</v>
      </c>
      <c r="R195" s="94">
        <v>0</v>
      </c>
      <c r="S195" s="94">
        <v>0</v>
      </c>
      <c r="T195" s="89">
        <v>0</v>
      </c>
      <c r="U195" s="89">
        <v>0</v>
      </c>
      <c r="V195" s="94">
        <v>0</v>
      </c>
      <c r="W195" s="94">
        <v>0</v>
      </c>
      <c r="X195" s="94">
        <v>0</v>
      </c>
      <c r="Y195" s="89">
        <v>0</v>
      </c>
      <c r="Z195" s="94">
        <f t="shared" si="13"/>
        <v>0</v>
      </c>
      <c r="AA195" s="94">
        <f t="shared" si="14"/>
        <v>0</v>
      </c>
      <c r="AB195" s="89">
        <f t="shared" si="15"/>
        <v>0</v>
      </c>
      <c r="AC195" s="89">
        <f t="shared" si="16"/>
        <v>0</v>
      </c>
      <c r="AD195" s="89">
        <v>0</v>
      </c>
      <c r="AE195" s="89">
        <v>0</v>
      </c>
      <c r="AF195" s="117"/>
      <c r="AG195" s="117"/>
      <c r="AH195" s="262"/>
      <c r="AI195" s="17"/>
      <c r="AJ195" s="17"/>
      <c r="AK195" s="17"/>
      <c r="AL195" s="17"/>
      <c r="AM195" s="17"/>
      <c r="AN195" s="17"/>
      <c r="AO195" s="17"/>
      <c r="AP195" s="15" t="str">
        <f>IFERROR(VLOOKUP(AO195,Legend!$D$2:$E$26,2,0),"")</f>
        <v/>
      </c>
      <c r="AQ195" s="15"/>
      <c r="AR195" s="17"/>
      <c r="AS195" s="17"/>
      <c r="AT195" s="15"/>
      <c r="AU195" s="17"/>
      <c r="AV195" s="17"/>
      <c r="AW195" s="17" t="s">
        <v>10</v>
      </c>
      <c r="AX195" s="15"/>
      <c r="AY195" s="15"/>
    </row>
    <row r="196" spans="1:51" x14ac:dyDescent="0.25">
      <c r="A196" s="15"/>
      <c r="B196" s="15"/>
      <c r="C196" s="15"/>
      <c r="D196" s="15"/>
      <c r="E196" s="91"/>
      <c r="F196" s="15"/>
      <c r="G196" s="15"/>
      <c r="H196" s="15"/>
      <c r="I196" s="15"/>
      <c r="J196" s="15"/>
      <c r="K196" s="89"/>
      <c r="L196" s="15"/>
      <c r="M196" s="89">
        <v>0</v>
      </c>
      <c r="N196" s="89">
        <v>0</v>
      </c>
      <c r="O196" s="89">
        <v>0</v>
      </c>
      <c r="P196" s="94">
        <v>0</v>
      </c>
      <c r="Q196" s="94">
        <v>0</v>
      </c>
      <c r="R196" s="94">
        <v>0</v>
      </c>
      <c r="S196" s="94">
        <v>0</v>
      </c>
      <c r="T196" s="89">
        <v>0</v>
      </c>
      <c r="U196" s="89">
        <v>0</v>
      </c>
      <c r="V196" s="94">
        <v>0</v>
      </c>
      <c r="W196" s="94">
        <v>0</v>
      </c>
      <c r="X196" s="94">
        <v>0</v>
      </c>
      <c r="Y196" s="89">
        <v>0</v>
      </c>
      <c r="Z196" s="94">
        <f t="shared" si="13"/>
        <v>0</v>
      </c>
      <c r="AA196" s="94">
        <f t="shared" si="14"/>
        <v>0</v>
      </c>
      <c r="AB196" s="89">
        <f t="shared" si="15"/>
        <v>0</v>
      </c>
      <c r="AC196" s="89">
        <f t="shared" si="16"/>
        <v>0</v>
      </c>
      <c r="AD196" s="89">
        <v>0</v>
      </c>
      <c r="AE196" s="89">
        <v>0</v>
      </c>
      <c r="AF196" s="117"/>
      <c r="AG196" s="117"/>
      <c r="AH196" s="262"/>
      <c r="AI196" s="17"/>
      <c r="AJ196" s="17"/>
      <c r="AK196" s="17"/>
      <c r="AL196" s="17"/>
      <c r="AM196" s="17"/>
      <c r="AN196" s="17"/>
      <c r="AO196" s="17"/>
      <c r="AP196" s="15" t="str">
        <f>IFERROR(VLOOKUP(AO196,Legend!$D$2:$E$26,2,0),"")</f>
        <v/>
      </c>
      <c r="AQ196" s="15"/>
      <c r="AR196" s="17"/>
      <c r="AS196" s="17"/>
      <c r="AT196" s="15"/>
      <c r="AU196" s="17"/>
      <c r="AV196" s="17"/>
      <c r="AW196" s="17" t="s">
        <v>10</v>
      </c>
      <c r="AX196" s="15"/>
      <c r="AY196" s="15"/>
    </row>
    <row r="197" spans="1:51" x14ac:dyDescent="0.25">
      <c r="A197" s="15"/>
      <c r="B197" s="15"/>
      <c r="C197" s="15"/>
      <c r="D197" s="15"/>
      <c r="E197" s="91"/>
      <c r="F197" s="15"/>
      <c r="G197" s="15"/>
      <c r="H197" s="15"/>
      <c r="I197" s="15"/>
      <c r="J197" s="15"/>
      <c r="K197" s="89"/>
      <c r="L197" s="15"/>
      <c r="M197" s="89">
        <v>0</v>
      </c>
      <c r="N197" s="89">
        <v>0</v>
      </c>
      <c r="O197" s="89">
        <v>0</v>
      </c>
      <c r="P197" s="94">
        <v>0</v>
      </c>
      <c r="Q197" s="94">
        <v>0</v>
      </c>
      <c r="R197" s="94">
        <v>0</v>
      </c>
      <c r="S197" s="94">
        <v>0</v>
      </c>
      <c r="T197" s="89">
        <v>0</v>
      </c>
      <c r="U197" s="89">
        <v>0</v>
      </c>
      <c r="V197" s="94">
        <v>0</v>
      </c>
      <c r="W197" s="94">
        <v>0</v>
      </c>
      <c r="X197" s="94">
        <v>0</v>
      </c>
      <c r="Y197" s="89">
        <v>0</v>
      </c>
      <c r="Z197" s="94">
        <f t="shared" ref="Z197:Z260" si="17">SUM(M197:Y197)</f>
        <v>0</v>
      </c>
      <c r="AA197" s="94">
        <f t="shared" si="14"/>
        <v>0</v>
      </c>
      <c r="AB197" s="89">
        <f t="shared" si="15"/>
        <v>0</v>
      </c>
      <c r="AC197" s="89">
        <f t="shared" si="16"/>
        <v>0</v>
      </c>
      <c r="AD197" s="89">
        <v>0</v>
      </c>
      <c r="AE197" s="89">
        <v>0</v>
      </c>
      <c r="AF197" s="117"/>
      <c r="AG197" s="117"/>
      <c r="AH197" s="262"/>
      <c r="AI197" s="17"/>
      <c r="AJ197" s="17"/>
      <c r="AK197" s="17"/>
      <c r="AL197" s="17"/>
      <c r="AM197" s="17"/>
      <c r="AN197" s="17"/>
      <c r="AO197" s="17"/>
      <c r="AP197" s="15" t="str">
        <f>IFERROR(VLOOKUP(AO197,Legend!$D$2:$E$26,2,0),"")</f>
        <v/>
      </c>
      <c r="AQ197" s="15"/>
      <c r="AR197" s="17"/>
      <c r="AS197" s="17"/>
      <c r="AT197" s="15"/>
      <c r="AU197" s="17"/>
      <c r="AV197" s="17"/>
      <c r="AW197" s="17" t="s">
        <v>10</v>
      </c>
      <c r="AX197" s="15"/>
      <c r="AY197" s="15"/>
    </row>
    <row r="198" spans="1:51" x14ac:dyDescent="0.25">
      <c r="A198" s="15"/>
      <c r="B198" s="15"/>
      <c r="C198" s="15"/>
      <c r="D198" s="15"/>
      <c r="E198" s="91"/>
      <c r="F198" s="15"/>
      <c r="G198" s="15"/>
      <c r="H198" s="15"/>
      <c r="I198" s="15"/>
      <c r="J198" s="15"/>
      <c r="K198" s="89"/>
      <c r="L198" s="15"/>
      <c r="M198" s="89">
        <v>0</v>
      </c>
      <c r="N198" s="89">
        <v>0</v>
      </c>
      <c r="O198" s="89">
        <v>0</v>
      </c>
      <c r="P198" s="94">
        <v>0</v>
      </c>
      <c r="Q198" s="94">
        <v>0</v>
      </c>
      <c r="R198" s="94">
        <v>0</v>
      </c>
      <c r="S198" s="94">
        <v>0</v>
      </c>
      <c r="T198" s="89">
        <v>0</v>
      </c>
      <c r="U198" s="89">
        <v>0</v>
      </c>
      <c r="V198" s="94">
        <v>0</v>
      </c>
      <c r="W198" s="94">
        <v>0</v>
      </c>
      <c r="X198" s="94">
        <v>0</v>
      </c>
      <c r="Y198" s="89">
        <v>0</v>
      </c>
      <c r="Z198" s="94">
        <f t="shared" si="17"/>
        <v>0</v>
      </c>
      <c r="AA198" s="94">
        <f t="shared" ref="AA198:AA261" si="18">Y198+M198</f>
        <v>0</v>
      </c>
      <c r="AB198" s="89">
        <f t="shared" ref="AB198:AB261" si="19">Z198-AA198</f>
        <v>0</v>
      </c>
      <c r="AC198" s="89">
        <f t="shared" ref="AC198:AC261" si="20">AB198</f>
        <v>0</v>
      </c>
      <c r="AD198" s="89">
        <v>0</v>
      </c>
      <c r="AE198" s="89">
        <v>0</v>
      </c>
      <c r="AF198" s="117"/>
      <c r="AG198" s="117"/>
      <c r="AH198" s="262"/>
      <c r="AI198" s="17"/>
      <c r="AJ198" s="17"/>
      <c r="AK198" s="17"/>
      <c r="AL198" s="17"/>
      <c r="AM198" s="17"/>
      <c r="AN198" s="17"/>
      <c r="AO198" s="17"/>
      <c r="AP198" s="15" t="str">
        <f>IFERROR(VLOOKUP(AO198,Legend!$D$2:$E$26,2,0),"")</f>
        <v/>
      </c>
      <c r="AQ198" s="15"/>
      <c r="AR198" s="17"/>
      <c r="AS198" s="17"/>
      <c r="AT198" s="15"/>
      <c r="AU198" s="17"/>
      <c r="AV198" s="17"/>
      <c r="AW198" s="17" t="s">
        <v>10</v>
      </c>
      <c r="AX198" s="15"/>
      <c r="AY198" s="15"/>
    </row>
    <row r="199" spans="1:51" x14ac:dyDescent="0.25">
      <c r="A199" s="15"/>
      <c r="B199" s="15"/>
      <c r="C199" s="15"/>
      <c r="D199" s="15"/>
      <c r="E199" s="91"/>
      <c r="F199" s="15"/>
      <c r="G199" s="15"/>
      <c r="H199" s="15"/>
      <c r="I199" s="15"/>
      <c r="J199" s="15"/>
      <c r="K199" s="89"/>
      <c r="L199" s="15"/>
      <c r="M199" s="89">
        <v>0</v>
      </c>
      <c r="N199" s="89">
        <v>0</v>
      </c>
      <c r="O199" s="89">
        <v>0</v>
      </c>
      <c r="P199" s="94">
        <v>0</v>
      </c>
      <c r="Q199" s="94">
        <v>0</v>
      </c>
      <c r="R199" s="94">
        <v>0</v>
      </c>
      <c r="S199" s="94">
        <v>0</v>
      </c>
      <c r="T199" s="89">
        <v>0</v>
      </c>
      <c r="U199" s="89">
        <v>0</v>
      </c>
      <c r="V199" s="94">
        <v>0</v>
      </c>
      <c r="W199" s="94">
        <v>0</v>
      </c>
      <c r="X199" s="94">
        <v>0</v>
      </c>
      <c r="Y199" s="89">
        <v>0</v>
      </c>
      <c r="Z199" s="94">
        <f t="shared" si="17"/>
        <v>0</v>
      </c>
      <c r="AA199" s="94">
        <f t="shared" si="18"/>
        <v>0</v>
      </c>
      <c r="AB199" s="89">
        <f t="shared" si="19"/>
        <v>0</v>
      </c>
      <c r="AC199" s="89">
        <f t="shared" si="20"/>
        <v>0</v>
      </c>
      <c r="AD199" s="89">
        <v>0</v>
      </c>
      <c r="AE199" s="89">
        <v>0</v>
      </c>
      <c r="AF199" s="117"/>
      <c r="AG199" s="117"/>
      <c r="AH199" s="262"/>
      <c r="AI199" s="17"/>
      <c r="AJ199" s="17"/>
      <c r="AK199" s="17"/>
      <c r="AL199" s="17"/>
      <c r="AM199" s="17"/>
      <c r="AN199" s="17"/>
      <c r="AO199" s="17"/>
      <c r="AP199" s="15" t="str">
        <f>IFERROR(VLOOKUP(AO199,Legend!$D$2:$E$26,2,0),"")</f>
        <v/>
      </c>
      <c r="AQ199" s="15"/>
      <c r="AR199" s="17"/>
      <c r="AS199" s="17"/>
      <c r="AT199" s="15"/>
      <c r="AU199" s="17"/>
      <c r="AV199" s="17"/>
      <c r="AW199" s="17" t="s">
        <v>10</v>
      </c>
      <c r="AX199" s="15"/>
      <c r="AY199" s="15"/>
    </row>
    <row r="200" spans="1:51" x14ac:dyDescent="0.25">
      <c r="A200" s="15"/>
      <c r="B200" s="15"/>
      <c r="C200" s="15"/>
      <c r="D200" s="15"/>
      <c r="E200" s="91"/>
      <c r="F200" s="15"/>
      <c r="G200" s="15"/>
      <c r="H200" s="15"/>
      <c r="I200" s="15"/>
      <c r="J200" s="15"/>
      <c r="K200" s="89"/>
      <c r="L200" s="15"/>
      <c r="M200" s="89">
        <v>0</v>
      </c>
      <c r="N200" s="89">
        <v>0</v>
      </c>
      <c r="O200" s="89">
        <v>0</v>
      </c>
      <c r="P200" s="94">
        <v>0</v>
      </c>
      <c r="Q200" s="94">
        <v>0</v>
      </c>
      <c r="R200" s="94">
        <v>0</v>
      </c>
      <c r="S200" s="94">
        <v>0</v>
      </c>
      <c r="T200" s="89">
        <v>0</v>
      </c>
      <c r="U200" s="89">
        <v>0</v>
      </c>
      <c r="V200" s="94">
        <v>0</v>
      </c>
      <c r="W200" s="94">
        <v>0</v>
      </c>
      <c r="X200" s="94">
        <v>0</v>
      </c>
      <c r="Y200" s="89">
        <v>0</v>
      </c>
      <c r="Z200" s="94">
        <f t="shared" si="17"/>
        <v>0</v>
      </c>
      <c r="AA200" s="94">
        <f t="shared" si="18"/>
        <v>0</v>
      </c>
      <c r="AB200" s="89">
        <f t="shared" si="19"/>
        <v>0</v>
      </c>
      <c r="AC200" s="89">
        <f t="shared" si="20"/>
        <v>0</v>
      </c>
      <c r="AD200" s="89">
        <v>0</v>
      </c>
      <c r="AE200" s="89">
        <v>0</v>
      </c>
      <c r="AF200" s="117"/>
      <c r="AG200" s="117"/>
      <c r="AH200" s="262"/>
      <c r="AI200" s="17"/>
      <c r="AJ200" s="17"/>
      <c r="AK200" s="17"/>
      <c r="AL200" s="17"/>
      <c r="AM200" s="17"/>
      <c r="AN200" s="17"/>
      <c r="AO200" s="17"/>
      <c r="AP200" s="15" t="str">
        <f>IFERROR(VLOOKUP(AO200,Legend!$D$2:$E$26,2,0),"")</f>
        <v/>
      </c>
      <c r="AQ200" s="15"/>
      <c r="AR200" s="17"/>
      <c r="AS200" s="17"/>
      <c r="AT200" s="15"/>
      <c r="AU200" s="17"/>
      <c r="AV200" s="17"/>
      <c r="AW200" s="17" t="s">
        <v>10</v>
      </c>
      <c r="AX200" s="15"/>
      <c r="AY200" s="15"/>
    </row>
    <row r="201" spans="1:51" x14ac:dyDescent="0.25">
      <c r="A201" s="15"/>
      <c r="B201" s="15"/>
      <c r="C201" s="15"/>
      <c r="D201" s="15"/>
      <c r="E201" s="91"/>
      <c r="F201" s="15"/>
      <c r="G201" s="15"/>
      <c r="H201" s="15"/>
      <c r="I201" s="15"/>
      <c r="J201" s="15"/>
      <c r="K201" s="89"/>
      <c r="L201" s="15"/>
      <c r="M201" s="89">
        <v>0</v>
      </c>
      <c r="N201" s="89">
        <v>0</v>
      </c>
      <c r="O201" s="89">
        <v>0</v>
      </c>
      <c r="P201" s="94">
        <v>0</v>
      </c>
      <c r="Q201" s="94">
        <v>0</v>
      </c>
      <c r="R201" s="94">
        <v>0</v>
      </c>
      <c r="S201" s="94">
        <v>0</v>
      </c>
      <c r="T201" s="89">
        <v>0</v>
      </c>
      <c r="U201" s="89">
        <v>0</v>
      </c>
      <c r="V201" s="94">
        <v>0</v>
      </c>
      <c r="W201" s="94">
        <v>0</v>
      </c>
      <c r="X201" s="94">
        <v>0</v>
      </c>
      <c r="Y201" s="89">
        <v>0</v>
      </c>
      <c r="Z201" s="94">
        <f t="shared" si="17"/>
        <v>0</v>
      </c>
      <c r="AA201" s="94">
        <f t="shared" si="18"/>
        <v>0</v>
      </c>
      <c r="AB201" s="89">
        <f t="shared" si="19"/>
        <v>0</v>
      </c>
      <c r="AC201" s="89">
        <f t="shared" si="20"/>
        <v>0</v>
      </c>
      <c r="AD201" s="89">
        <v>0</v>
      </c>
      <c r="AE201" s="89">
        <v>0</v>
      </c>
      <c r="AF201" s="117"/>
      <c r="AG201" s="117"/>
      <c r="AH201" s="262"/>
      <c r="AI201" s="17"/>
      <c r="AJ201" s="17"/>
      <c r="AK201" s="17"/>
      <c r="AL201" s="17"/>
      <c r="AM201" s="17"/>
      <c r="AN201" s="17"/>
      <c r="AO201" s="17"/>
      <c r="AP201" s="15" t="str">
        <f>IFERROR(VLOOKUP(AO201,Legend!$D$2:$E$26,2,0),"")</f>
        <v/>
      </c>
      <c r="AQ201" s="15"/>
      <c r="AR201" s="17"/>
      <c r="AS201" s="17"/>
      <c r="AT201" s="15"/>
      <c r="AU201" s="17"/>
      <c r="AV201" s="17"/>
      <c r="AW201" s="17" t="s">
        <v>10</v>
      </c>
      <c r="AX201" s="15"/>
      <c r="AY201" s="15"/>
    </row>
    <row r="202" spans="1:51" x14ac:dyDescent="0.25">
      <c r="A202" s="15"/>
      <c r="B202" s="15"/>
      <c r="C202" s="15"/>
      <c r="D202" s="15"/>
      <c r="E202" s="91"/>
      <c r="F202" s="15"/>
      <c r="G202" s="15"/>
      <c r="H202" s="15"/>
      <c r="I202" s="15"/>
      <c r="J202" s="15"/>
      <c r="K202" s="89"/>
      <c r="L202" s="15"/>
      <c r="M202" s="89">
        <v>0</v>
      </c>
      <c r="N202" s="89">
        <v>0</v>
      </c>
      <c r="O202" s="89">
        <v>0</v>
      </c>
      <c r="P202" s="94">
        <v>0</v>
      </c>
      <c r="Q202" s="94">
        <v>0</v>
      </c>
      <c r="R202" s="94">
        <v>0</v>
      </c>
      <c r="S202" s="94">
        <v>0</v>
      </c>
      <c r="T202" s="89">
        <v>0</v>
      </c>
      <c r="U202" s="89">
        <v>0</v>
      </c>
      <c r="V202" s="94">
        <v>0</v>
      </c>
      <c r="W202" s="94">
        <v>0</v>
      </c>
      <c r="X202" s="94">
        <v>0</v>
      </c>
      <c r="Y202" s="89">
        <v>0</v>
      </c>
      <c r="Z202" s="94">
        <f t="shared" si="17"/>
        <v>0</v>
      </c>
      <c r="AA202" s="94">
        <f t="shared" si="18"/>
        <v>0</v>
      </c>
      <c r="AB202" s="89">
        <f t="shared" si="19"/>
        <v>0</v>
      </c>
      <c r="AC202" s="89">
        <f t="shared" si="20"/>
        <v>0</v>
      </c>
      <c r="AD202" s="89">
        <v>0</v>
      </c>
      <c r="AE202" s="89">
        <v>0</v>
      </c>
      <c r="AF202" s="117"/>
      <c r="AG202" s="117"/>
      <c r="AH202" s="262"/>
      <c r="AI202" s="17"/>
      <c r="AJ202" s="17"/>
      <c r="AK202" s="17"/>
      <c r="AL202" s="17"/>
      <c r="AM202" s="17"/>
      <c r="AN202" s="17"/>
      <c r="AO202" s="17"/>
      <c r="AP202" s="15" t="str">
        <f>IFERROR(VLOOKUP(AO202,Legend!$D$2:$E$26,2,0),"")</f>
        <v/>
      </c>
      <c r="AQ202" s="15"/>
      <c r="AR202" s="17"/>
      <c r="AS202" s="17"/>
      <c r="AT202" s="15"/>
      <c r="AU202" s="17"/>
      <c r="AV202" s="17"/>
      <c r="AW202" s="17" t="s">
        <v>10</v>
      </c>
      <c r="AX202" s="15"/>
      <c r="AY202" s="15"/>
    </row>
    <row r="203" spans="1:51" x14ac:dyDescent="0.25">
      <c r="A203" s="15"/>
      <c r="B203" s="15"/>
      <c r="C203" s="15"/>
      <c r="D203" s="15"/>
      <c r="E203" s="91"/>
      <c r="F203" s="15"/>
      <c r="G203" s="15"/>
      <c r="H203" s="15"/>
      <c r="I203" s="15"/>
      <c r="J203" s="15"/>
      <c r="K203" s="89"/>
      <c r="L203" s="15"/>
      <c r="M203" s="89">
        <v>0</v>
      </c>
      <c r="N203" s="89">
        <v>0</v>
      </c>
      <c r="O203" s="89">
        <v>0</v>
      </c>
      <c r="P203" s="94">
        <v>0</v>
      </c>
      <c r="Q203" s="94">
        <v>0</v>
      </c>
      <c r="R203" s="94">
        <v>0</v>
      </c>
      <c r="S203" s="94">
        <v>0</v>
      </c>
      <c r="T203" s="89">
        <v>0</v>
      </c>
      <c r="U203" s="89">
        <v>0</v>
      </c>
      <c r="V203" s="94">
        <v>0</v>
      </c>
      <c r="W203" s="94">
        <v>0</v>
      </c>
      <c r="X203" s="94">
        <v>0</v>
      </c>
      <c r="Y203" s="89">
        <v>0</v>
      </c>
      <c r="Z203" s="94">
        <f t="shared" si="17"/>
        <v>0</v>
      </c>
      <c r="AA203" s="94">
        <f t="shared" si="18"/>
        <v>0</v>
      </c>
      <c r="AB203" s="89">
        <f t="shared" si="19"/>
        <v>0</v>
      </c>
      <c r="AC203" s="89">
        <f t="shared" si="20"/>
        <v>0</v>
      </c>
      <c r="AD203" s="89">
        <v>0</v>
      </c>
      <c r="AE203" s="89">
        <v>0</v>
      </c>
      <c r="AF203" s="117"/>
      <c r="AG203" s="117"/>
      <c r="AH203" s="262"/>
      <c r="AI203" s="17"/>
      <c r="AJ203" s="17"/>
      <c r="AK203" s="17"/>
      <c r="AL203" s="17"/>
      <c r="AM203" s="17"/>
      <c r="AN203" s="17"/>
      <c r="AO203" s="17"/>
      <c r="AP203" s="15" t="str">
        <f>IFERROR(VLOOKUP(AO203,Legend!$D$2:$E$26,2,0),"")</f>
        <v/>
      </c>
      <c r="AQ203" s="15"/>
      <c r="AR203" s="17"/>
      <c r="AS203" s="17"/>
      <c r="AT203" s="15"/>
      <c r="AU203" s="17"/>
      <c r="AV203" s="17"/>
      <c r="AW203" s="17" t="s">
        <v>10</v>
      </c>
      <c r="AX203" s="15"/>
      <c r="AY203" s="15"/>
    </row>
    <row r="204" spans="1:51" x14ac:dyDescent="0.25">
      <c r="A204" s="15"/>
      <c r="B204" s="15"/>
      <c r="C204" s="15"/>
      <c r="D204" s="15"/>
      <c r="E204" s="91"/>
      <c r="F204" s="15"/>
      <c r="G204" s="15"/>
      <c r="H204" s="15"/>
      <c r="I204" s="15"/>
      <c r="J204" s="15"/>
      <c r="K204" s="89"/>
      <c r="L204" s="15"/>
      <c r="M204" s="89">
        <v>0</v>
      </c>
      <c r="N204" s="89">
        <v>0</v>
      </c>
      <c r="O204" s="89">
        <v>0</v>
      </c>
      <c r="P204" s="94">
        <v>0</v>
      </c>
      <c r="Q204" s="94">
        <v>0</v>
      </c>
      <c r="R204" s="94">
        <v>0</v>
      </c>
      <c r="S204" s="94">
        <v>0</v>
      </c>
      <c r="T204" s="89">
        <v>0</v>
      </c>
      <c r="U204" s="89">
        <v>0</v>
      </c>
      <c r="V204" s="94">
        <v>0</v>
      </c>
      <c r="W204" s="94">
        <v>0</v>
      </c>
      <c r="X204" s="94">
        <v>0</v>
      </c>
      <c r="Y204" s="89">
        <v>0</v>
      </c>
      <c r="Z204" s="94">
        <f t="shared" si="17"/>
        <v>0</v>
      </c>
      <c r="AA204" s="94">
        <f t="shared" si="18"/>
        <v>0</v>
      </c>
      <c r="AB204" s="89">
        <f t="shared" si="19"/>
        <v>0</v>
      </c>
      <c r="AC204" s="89">
        <f t="shared" si="20"/>
        <v>0</v>
      </c>
      <c r="AD204" s="89">
        <v>0</v>
      </c>
      <c r="AE204" s="89">
        <v>0</v>
      </c>
      <c r="AF204" s="117"/>
      <c r="AG204" s="117"/>
      <c r="AH204" s="262"/>
      <c r="AI204" s="17"/>
      <c r="AJ204" s="17"/>
      <c r="AK204" s="17"/>
      <c r="AL204" s="17"/>
      <c r="AM204" s="17"/>
      <c r="AN204" s="17"/>
      <c r="AO204" s="17"/>
      <c r="AP204" s="15" t="str">
        <f>IFERROR(VLOOKUP(AO204,Legend!$D$2:$E$26,2,0),"")</f>
        <v/>
      </c>
      <c r="AQ204" s="15"/>
      <c r="AR204" s="17"/>
      <c r="AS204" s="17"/>
      <c r="AT204" s="15"/>
      <c r="AU204" s="17"/>
      <c r="AV204" s="17"/>
      <c r="AW204" s="17" t="s">
        <v>10</v>
      </c>
      <c r="AX204" s="15"/>
      <c r="AY204" s="15"/>
    </row>
    <row r="205" spans="1:51" x14ac:dyDescent="0.25">
      <c r="A205" s="15"/>
      <c r="B205" s="15"/>
      <c r="C205" s="15"/>
      <c r="D205" s="15"/>
      <c r="E205" s="91"/>
      <c r="F205" s="15"/>
      <c r="G205" s="15"/>
      <c r="H205" s="15"/>
      <c r="I205" s="15"/>
      <c r="J205" s="15"/>
      <c r="K205" s="89"/>
      <c r="L205" s="15"/>
      <c r="M205" s="89">
        <v>0</v>
      </c>
      <c r="N205" s="89">
        <v>0</v>
      </c>
      <c r="O205" s="89">
        <v>0</v>
      </c>
      <c r="P205" s="94">
        <v>0</v>
      </c>
      <c r="Q205" s="94">
        <v>0</v>
      </c>
      <c r="R205" s="94">
        <v>0</v>
      </c>
      <c r="S205" s="94">
        <v>0</v>
      </c>
      <c r="T205" s="89">
        <v>0</v>
      </c>
      <c r="U205" s="89">
        <v>0</v>
      </c>
      <c r="V205" s="94">
        <v>0</v>
      </c>
      <c r="W205" s="94">
        <v>0</v>
      </c>
      <c r="X205" s="94">
        <v>0</v>
      </c>
      <c r="Y205" s="89">
        <v>0</v>
      </c>
      <c r="Z205" s="94">
        <f t="shared" si="17"/>
        <v>0</v>
      </c>
      <c r="AA205" s="94">
        <f t="shared" si="18"/>
        <v>0</v>
      </c>
      <c r="AB205" s="89">
        <f t="shared" si="19"/>
        <v>0</v>
      </c>
      <c r="AC205" s="89">
        <f t="shared" si="20"/>
        <v>0</v>
      </c>
      <c r="AD205" s="89">
        <v>0</v>
      </c>
      <c r="AE205" s="89">
        <v>0</v>
      </c>
      <c r="AF205" s="117"/>
      <c r="AG205" s="117"/>
      <c r="AH205" s="262"/>
      <c r="AI205" s="17"/>
      <c r="AJ205" s="17"/>
      <c r="AK205" s="17"/>
      <c r="AL205" s="17"/>
      <c r="AM205" s="17"/>
      <c r="AN205" s="17"/>
      <c r="AO205" s="17"/>
      <c r="AP205" s="15" t="str">
        <f>IFERROR(VLOOKUP(AO205,Legend!$D$2:$E$26,2,0),"")</f>
        <v/>
      </c>
      <c r="AQ205" s="15"/>
      <c r="AR205" s="17"/>
      <c r="AS205" s="17"/>
      <c r="AT205" s="15"/>
      <c r="AU205" s="17"/>
      <c r="AV205" s="17"/>
      <c r="AW205" s="17" t="s">
        <v>10</v>
      </c>
      <c r="AX205" s="15"/>
      <c r="AY205" s="15"/>
    </row>
    <row r="206" spans="1:51" x14ac:dyDescent="0.25">
      <c r="A206" s="15"/>
      <c r="B206" s="15"/>
      <c r="C206" s="15"/>
      <c r="D206" s="15"/>
      <c r="E206" s="91"/>
      <c r="F206" s="15"/>
      <c r="G206" s="15"/>
      <c r="H206" s="15"/>
      <c r="I206" s="15"/>
      <c r="J206" s="15"/>
      <c r="K206" s="89"/>
      <c r="L206" s="15"/>
      <c r="M206" s="89">
        <v>0</v>
      </c>
      <c r="N206" s="89">
        <v>0</v>
      </c>
      <c r="O206" s="89">
        <v>0</v>
      </c>
      <c r="P206" s="94">
        <v>0</v>
      </c>
      <c r="Q206" s="94">
        <v>0</v>
      </c>
      <c r="R206" s="94">
        <v>0</v>
      </c>
      <c r="S206" s="94">
        <v>0</v>
      </c>
      <c r="T206" s="89">
        <v>0</v>
      </c>
      <c r="U206" s="89">
        <v>0</v>
      </c>
      <c r="V206" s="94">
        <v>0</v>
      </c>
      <c r="W206" s="94">
        <v>0</v>
      </c>
      <c r="X206" s="94">
        <v>0</v>
      </c>
      <c r="Y206" s="89">
        <v>0</v>
      </c>
      <c r="Z206" s="94">
        <f t="shared" si="17"/>
        <v>0</v>
      </c>
      <c r="AA206" s="94">
        <f t="shared" si="18"/>
        <v>0</v>
      </c>
      <c r="AB206" s="89">
        <f t="shared" si="19"/>
        <v>0</v>
      </c>
      <c r="AC206" s="89">
        <f t="shared" si="20"/>
        <v>0</v>
      </c>
      <c r="AD206" s="89">
        <v>0</v>
      </c>
      <c r="AE206" s="89">
        <v>0</v>
      </c>
      <c r="AF206" s="117"/>
      <c r="AG206" s="117"/>
      <c r="AH206" s="262"/>
      <c r="AI206" s="17"/>
      <c r="AJ206" s="17"/>
      <c r="AK206" s="17"/>
      <c r="AL206" s="17"/>
      <c r="AM206" s="17"/>
      <c r="AN206" s="17"/>
      <c r="AO206" s="17"/>
      <c r="AP206" s="15" t="str">
        <f>IFERROR(VLOOKUP(AO206,Legend!$D$2:$E$26,2,0),"")</f>
        <v/>
      </c>
      <c r="AQ206" s="15"/>
      <c r="AR206" s="17"/>
      <c r="AS206" s="17"/>
      <c r="AT206" s="15"/>
      <c r="AU206" s="17"/>
      <c r="AV206" s="17"/>
      <c r="AW206" s="17" t="s">
        <v>10</v>
      </c>
      <c r="AX206" s="15"/>
      <c r="AY206" s="15"/>
    </row>
    <row r="207" spans="1:51" x14ac:dyDescent="0.25">
      <c r="A207" s="15"/>
      <c r="B207" s="15"/>
      <c r="C207" s="15"/>
      <c r="D207" s="15"/>
      <c r="E207" s="91"/>
      <c r="F207" s="15"/>
      <c r="G207" s="15"/>
      <c r="H207" s="15"/>
      <c r="I207" s="15"/>
      <c r="J207" s="15"/>
      <c r="K207" s="89"/>
      <c r="L207" s="15"/>
      <c r="M207" s="89">
        <v>0</v>
      </c>
      <c r="N207" s="89">
        <v>0</v>
      </c>
      <c r="O207" s="89">
        <v>0</v>
      </c>
      <c r="P207" s="94">
        <v>0</v>
      </c>
      <c r="Q207" s="94">
        <v>0</v>
      </c>
      <c r="R207" s="94">
        <v>0</v>
      </c>
      <c r="S207" s="94">
        <v>0</v>
      </c>
      <c r="T207" s="89">
        <v>0</v>
      </c>
      <c r="U207" s="89">
        <v>0</v>
      </c>
      <c r="V207" s="94">
        <v>0</v>
      </c>
      <c r="W207" s="94">
        <v>0</v>
      </c>
      <c r="X207" s="94">
        <v>0</v>
      </c>
      <c r="Y207" s="89">
        <v>0</v>
      </c>
      <c r="Z207" s="94">
        <f t="shared" si="17"/>
        <v>0</v>
      </c>
      <c r="AA207" s="94">
        <f t="shared" si="18"/>
        <v>0</v>
      </c>
      <c r="AB207" s="89">
        <f t="shared" si="19"/>
        <v>0</v>
      </c>
      <c r="AC207" s="89">
        <f t="shared" si="20"/>
        <v>0</v>
      </c>
      <c r="AD207" s="89">
        <v>0</v>
      </c>
      <c r="AE207" s="89">
        <v>0</v>
      </c>
      <c r="AF207" s="117"/>
      <c r="AG207" s="117"/>
      <c r="AH207" s="262"/>
      <c r="AI207" s="17"/>
      <c r="AJ207" s="17"/>
      <c r="AK207" s="17"/>
      <c r="AL207" s="17"/>
      <c r="AM207" s="17"/>
      <c r="AN207" s="17"/>
      <c r="AO207" s="17"/>
      <c r="AP207" s="15" t="str">
        <f>IFERROR(VLOOKUP(AO207,Legend!$D$2:$E$26,2,0),"")</f>
        <v/>
      </c>
      <c r="AQ207" s="15"/>
      <c r="AR207" s="17"/>
      <c r="AS207" s="17"/>
      <c r="AT207" s="15"/>
      <c r="AU207" s="17"/>
      <c r="AV207" s="17"/>
      <c r="AW207" s="17" t="s">
        <v>10</v>
      </c>
      <c r="AX207" s="15"/>
      <c r="AY207" s="15"/>
    </row>
    <row r="208" spans="1:51" x14ac:dyDescent="0.25">
      <c r="A208" s="15"/>
      <c r="B208" s="15"/>
      <c r="C208" s="15"/>
      <c r="D208" s="15"/>
      <c r="E208" s="91"/>
      <c r="F208" s="15"/>
      <c r="G208" s="15"/>
      <c r="H208" s="15"/>
      <c r="I208" s="15"/>
      <c r="J208" s="15"/>
      <c r="K208" s="89"/>
      <c r="L208" s="15"/>
      <c r="M208" s="89">
        <v>0</v>
      </c>
      <c r="N208" s="89">
        <v>0</v>
      </c>
      <c r="O208" s="89">
        <v>0</v>
      </c>
      <c r="P208" s="94">
        <v>0</v>
      </c>
      <c r="Q208" s="94">
        <v>0</v>
      </c>
      <c r="R208" s="94">
        <v>0</v>
      </c>
      <c r="S208" s="94">
        <v>0</v>
      </c>
      <c r="T208" s="89">
        <v>0</v>
      </c>
      <c r="U208" s="89">
        <v>0</v>
      </c>
      <c r="V208" s="94">
        <v>0</v>
      </c>
      <c r="W208" s="94">
        <v>0</v>
      </c>
      <c r="X208" s="94">
        <v>0</v>
      </c>
      <c r="Y208" s="89">
        <v>0</v>
      </c>
      <c r="Z208" s="94">
        <f t="shared" si="17"/>
        <v>0</v>
      </c>
      <c r="AA208" s="94">
        <f t="shared" si="18"/>
        <v>0</v>
      </c>
      <c r="AB208" s="89">
        <f t="shared" si="19"/>
        <v>0</v>
      </c>
      <c r="AC208" s="89">
        <f t="shared" si="20"/>
        <v>0</v>
      </c>
      <c r="AD208" s="89">
        <v>0</v>
      </c>
      <c r="AE208" s="89">
        <v>0</v>
      </c>
      <c r="AF208" s="117"/>
      <c r="AG208" s="117"/>
      <c r="AH208" s="262"/>
      <c r="AI208" s="17"/>
      <c r="AJ208" s="17"/>
      <c r="AK208" s="17"/>
      <c r="AL208" s="17"/>
      <c r="AM208" s="17"/>
      <c r="AN208" s="17"/>
      <c r="AO208" s="17"/>
      <c r="AP208" s="15" t="str">
        <f>IFERROR(VLOOKUP(AO208,Legend!$D$2:$E$26,2,0),"")</f>
        <v/>
      </c>
      <c r="AQ208" s="15"/>
      <c r="AR208" s="17"/>
      <c r="AS208" s="17"/>
      <c r="AT208" s="15"/>
      <c r="AU208" s="17"/>
      <c r="AV208" s="17"/>
      <c r="AW208" s="17" t="s">
        <v>10</v>
      </c>
      <c r="AX208" s="15"/>
      <c r="AY208" s="15"/>
    </row>
    <row r="209" spans="1:51" x14ac:dyDescent="0.25">
      <c r="A209" s="15"/>
      <c r="B209" s="15"/>
      <c r="C209" s="15"/>
      <c r="D209" s="15"/>
      <c r="E209" s="91"/>
      <c r="F209" s="15"/>
      <c r="G209" s="15"/>
      <c r="H209" s="15"/>
      <c r="I209" s="15"/>
      <c r="J209" s="15"/>
      <c r="K209" s="89"/>
      <c r="L209" s="15"/>
      <c r="M209" s="89">
        <v>0</v>
      </c>
      <c r="N209" s="89">
        <v>0</v>
      </c>
      <c r="O209" s="89">
        <v>0</v>
      </c>
      <c r="P209" s="94">
        <v>0</v>
      </c>
      <c r="Q209" s="94">
        <v>0</v>
      </c>
      <c r="R209" s="94">
        <v>0</v>
      </c>
      <c r="S209" s="94">
        <v>0</v>
      </c>
      <c r="T209" s="89">
        <v>0</v>
      </c>
      <c r="U209" s="89">
        <v>0</v>
      </c>
      <c r="V209" s="94">
        <v>0</v>
      </c>
      <c r="W209" s="94">
        <v>0</v>
      </c>
      <c r="X209" s="94">
        <v>0</v>
      </c>
      <c r="Y209" s="89">
        <v>0</v>
      </c>
      <c r="Z209" s="94">
        <f t="shared" si="17"/>
        <v>0</v>
      </c>
      <c r="AA209" s="94">
        <f t="shared" si="18"/>
        <v>0</v>
      </c>
      <c r="AB209" s="89">
        <f t="shared" si="19"/>
        <v>0</v>
      </c>
      <c r="AC209" s="89">
        <f t="shared" si="20"/>
        <v>0</v>
      </c>
      <c r="AD209" s="89">
        <v>0</v>
      </c>
      <c r="AE209" s="89">
        <v>0</v>
      </c>
      <c r="AF209" s="117"/>
      <c r="AG209" s="117"/>
      <c r="AH209" s="262"/>
      <c r="AI209" s="17"/>
      <c r="AJ209" s="17"/>
      <c r="AK209" s="17"/>
      <c r="AL209" s="17"/>
      <c r="AM209" s="17"/>
      <c r="AN209" s="17"/>
      <c r="AO209" s="17"/>
      <c r="AP209" s="15" t="str">
        <f>IFERROR(VLOOKUP(AO209,Legend!$D$2:$E$26,2,0),"")</f>
        <v/>
      </c>
      <c r="AQ209" s="15"/>
      <c r="AR209" s="17"/>
      <c r="AS209" s="17"/>
      <c r="AT209" s="15"/>
      <c r="AU209" s="17"/>
      <c r="AV209" s="17"/>
      <c r="AW209" s="17" t="s">
        <v>10</v>
      </c>
      <c r="AX209" s="15"/>
      <c r="AY209" s="15"/>
    </row>
    <row r="210" spans="1:51" x14ac:dyDescent="0.25">
      <c r="A210" s="15"/>
      <c r="B210" s="15"/>
      <c r="C210" s="15"/>
      <c r="D210" s="15"/>
      <c r="E210" s="91"/>
      <c r="F210" s="15"/>
      <c r="G210" s="15"/>
      <c r="H210" s="15"/>
      <c r="I210" s="15"/>
      <c r="J210" s="15"/>
      <c r="K210" s="89"/>
      <c r="L210" s="15"/>
      <c r="M210" s="89">
        <v>0</v>
      </c>
      <c r="N210" s="89">
        <v>0</v>
      </c>
      <c r="O210" s="89">
        <v>0</v>
      </c>
      <c r="P210" s="94">
        <v>0</v>
      </c>
      <c r="Q210" s="94">
        <v>0</v>
      </c>
      <c r="R210" s="94">
        <v>0</v>
      </c>
      <c r="S210" s="94">
        <v>0</v>
      </c>
      <c r="T210" s="89">
        <v>0</v>
      </c>
      <c r="U210" s="89">
        <v>0</v>
      </c>
      <c r="V210" s="94">
        <v>0</v>
      </c>
      <c r="W210" s="94">
        <v>0</v>
      </c>
      <c r="X210" s="94">
        <v>0</v>
      </c>
      <c r="Y210" s="89">
        <v>0</v>
      </c>
      <c r="Z210" s="94">
        <f t="shared" si="17"/>
        <v>0</v>
      </c>
      <c r="AA210" s="94">
        <f t="shared" si="18"/>
        <v>0</v>
      </c>
      <c r="AB210" s="89">
        <f t="shared" si="19"/>
        <v>0</v>
      </c>
      <c r="AC210" s="89">
        <f t="shared" si="20"/>
        <v>0</v>
      </c>
      <c r="AD210" s="89">
        <v>0</v>
      </c>
      <c r="AE210" s="89">
        <v>0</v>
      </c>
      <c r="AF210" s="117"/>
      <c r="AG210" s="117"/>
      <c r="AH210" s="262"/>
      <c r="AI210" s="17"/>
      <c r="AJ210" s="17"/>
      <c r="AK210" s="17"/>
      <c r="AL210" s="17"/>
      <c r="AM210" s="17"/>
      <c r="AN210" s="17"/>
      <c r="AO210" s="17"/>
      <c r="AP210" s="15" t="str">
        <f>IFERROR(VLOOKUP(AO210,Legend!$D$2:$E$26,2,0),"")</f>
        <v/>
      </c>
      <c r="AQ210" s="15"/>
      <c r="AR210" s="17"/>
      <c r="AS210" s="17"/>
      <c r="AT210" s="15"/>
      <c r="AU210" s="17"/>
      <c r="AV210" s="17"/>
      <c r="AW210" s="17" t="s">
        <v>10</v>
      </c>
      <c r="AX210" s="15"/>
      <c r="AY210" s="15"/>
    </row>
    <row r="211" spans="1:51" x14ac:dyDescent="0.25">
      <c r="A211" s="15"/>
      <c r="B211" s="15"/>
      <c r="C211" s="15"/>
      <c r="D211" s="15"/>
      <c r="E211" s="91"/>
      <c r="F211" s="15"/>
      <c r="G211" s="15"/>
      <c r="H211" s="15"/>
      <c r="I211" s="15"/>
      <c r="J211" s="15"/>
      <c r="K211" s="89"/>
      <c r="L211" s="15"/>
      <c r="M211" s="89">
        <v>0</v>
      </c>
      <c r="N211" s="89">
        <v>0</v>
      </c>
      <c r="O211" s="89">
        <v>0</v>
      </c>
      <c r="P211" s="94">
        <v>0</v>
      </c>
      <c r="Q211" s="94">
        <v>0</v>
      </c>
      <c r="R211" s="94">
        <v>0</v>
      </c>
      <c r="S211" s="94">
        <v>0</v>
      </c>
      <c r="T211" s="89">
        <v>0</v>
      </c>
      <c r="U211" s="89">
        <v>0</v>
      </c>
      <c r="V211" s="94">
        <v>0</v>
      </c>
      <c r="W211" s="94">
        <v>0</v>
      </c>
      <c r="X211" s="94">
        <v>0</v>
      </c>
      <c r="Y211" s="89">
        <v>0</v>
      </c>
      <c r="Z211" s="94">
        <f t="shared" si="17"/>
        <v>0</v>
      </c>
      <c r="AA211" s="94">
        <f t="shared" si="18"/>
        <v>0</v>
      </c>
      <c r="AB211" s="89">
        <f t="shared" si="19"/>
        <v>0</v>
      </c>
      <c r="AC211" s="89">
        <f t="shared" si="20"/>
        <v>0</v>
      </c>
      <c r="AD211" s="89">
        <v>0</v>
      </c>
      <c r="AE211" s="89">
        <v>0</v>
      </c>
      <c r="AF211" s="117"/>
      <c r="AG211" s="117"/>
      <c r="AH211" s="262"/>
      <c r="AI211" s="17"/>
      <c r="AJ211" s="17"/>
      <c r="AK211" s="17"/>
      <c r="AL211" s="17"/>
      <c r="AM211" s="17"/>
      <c r="AN211" s="17"/>
      <c r="AO211" s="17"/>
      <c r="AP211" s="15" t="str">
        <f>IFERROR(VLOOKUP(AO211,Legend!$D$2:$E$26,2,0),"")</f>
        <v/>
      </c>
      <c r="AQ211" s="15"/>
      <c r="AR211" s="17"/>
      <c r="AS211" s="17"/>
      <c r="AT211" s="15"/>
      <c r="AU211" s="17"/>
      <c r="AV211" s="17"/>
      <c r="AW211" s="17" t="s">
        <v>10</v>
      </c>
      <c r="AX211" s="15"/>
      <c r="AY211" s="15"/>
    </row>
    <row r="212" spans="1:51" x14ac:dyDescent="0.25">
      <c r="A212" s="15"/>
      <c r="B212" s="15"/>
      <c r="C212" s="15"/>
      <c r="D212" s="15"/>
      <c r="E212" s="91"/>
      <c r="F212" s="15"/>
      <c r="G212" s="15"/>
      <c r="H212" s="15"/>
      <c r="I212" s="15"/>
      <c r="J212" s="15"/>
      <c r="K212" s="89"/>
      <c r="L212" s="15"/>
      <c r="M212" s="89">
        <v>0</v>
      </c>
      <c r="N212" s="89">
        <v>0</v>
      </c>
      <c r="O212" s="89">
        <v>0</v>
      </c>
      <c r="P212" s="94">
        <v>0</v>
      </c>
      <c r="Q212" s="94">
        <v>0</v>
      </c>
      <c r="R212" s="94">
        <v>0</v>
      </c>
      <c r="S212" s="94">
        <v>0</v>
      </c>
      <c r="T212" s="89">
        <v>0</v>
      </c>
      <c r="U212" s="89">
        <v>0</v>
      </c>
      <c r="V212" s="94">
        <v>0</v>
      </c>
      <c r="W212" s="94">
        <v>0</v>
      </c>
      <c r="X212" s="94">
        <v>0</v>
      </c>
      <c r="Y212" s="89">
        <v>0</v>
      </c>
      <c r="Z212" s="94">
        <f t="shared" si="17"/>
        <v>0</v>
      </c>
      <c r="AA212" s="94">
        <f t="shared" si="18"/>
        <v>0</v>
      </c>
      <c r="AB212" s="89">
        <f t="shared" si="19"/>
        <v>0</v>
      </c>
      <c r="AC212" s="89">
        <f t="shared" si="20"/>
        <v>0</v>
      </c>
      <c r="AD212" s="89">
        <v>0</v>
      </c>
      <c r="AE212" s="89">
        <v>0</v>
      </c>
      <c r="AF212" s="117"/>
      <c r="AG212" s="117"/>
      <c r="AH212" s="262"/>
      <c r="AI212" s="17"/>
      <c r="AJ212" s="17"/>
      <c r="AK212" s="17"/>
      <c r="AL212" s="17"/>
      <c r="AM212" s="17"/>
      <c r="AN212" s="17"/>
      <c r="AO212" s="17"/>
      <c r="AP212" s="15" t="str">
        <f>IFERROR(VLOOKUP(AO212,Legend!$D$2:$E$26,2,0),"")</f>
        <v/>
      </c>
      <c r="AQ212" s="15"/>
      <c r="AR212" s="17"/>
      <c r="AS212" s="17"/>
      <c r="AT212" s="15"/>
      <c r="AU212" s="17"/>
      <c r="AV212" s="17"/>
      <c r="AW212" s="17" t="s">
        <v>10</v>
      </c>
      <c r="AX212" s="15"/>
      <c r="AY212" s="15"/>
    </row>
    <row r="213" spans="1:51" x14ac:dyDescent="0.25">
      <c r="A213" s="15"/>
      <c r="B213" s="15"/>
      <c r="C213" s="15"/>
      <c r="D213" s="15"/>
      <c r="E213" s="91"/>
      <c r="F213" s="15"/>
      <c r="G213" s="15"/>
      <c r="H213" s="15"/>
      <c r="I213" s="15"/>
      <c r="J213" s="15"/>
      <c r="K213" s="89"/>
      <c r="L213" s="15"/>
      <c r="M213" s="89">
        <v>0</v>
      </c>
      <c r="N213" s="89">
        <v>0</v>
      </c>
      <c r="O213" s="89">
        <v>0</v>
      </c>
      <c r="P213" s="94">
        <v>0</v>
      </c>
      <c r="Q213" s="94">
        <v>0</v>
      </c>
      <c r="R213" s="94">
        <v>0</v>
      </c>
      <c r="S213" s="94">
        <v>0</v>
      </c>
      <c r="T213" s="89">
        <v>0</v>
      </c>
      <c r="U213" s="89">
        <v>0</v>
      </c>
      <c r="V213" s="94">
        <v>0</v>
      </c>
      <c r="W213" s="94">
        <v>0</v>
      </c>
      <c r="X213" s="94">
        <v>0</v>
      </c>
      <c r="Y213" s="89">
        <v>0</v>
      </c>
      <c r="Z213" s="94">
        <f t="shared" si="17"/>
        <v>0</v>
      </c>
      <c r="AA213" s="94">
        <f t="shared" si="18"/>
        <v>0</v>
      </c>
      <c r="AB213" s="89">
        <f t="shared" si="19"/>
        <v>0</v>
      </c>
      <c r="AC213" s="89">
        <f t="shared" si="20"/>
        <v>0</v>
      </c>
      <c r="AD213" s="89">
        <v>0</v>
      </c>
      <c r="AE213" s="89">
        <v>0</v>
      </c>
      <c r="AF213" s="117"/>
      <c r="AG213" s="117"/>
      <c r="AH213" s="262"/>
      <c r="AI213" s="17"/>
      <c r="AJ213" s="17"/>
      <c r="AK213" s="17"/>
      <c r="AL213" s="17"/>
      <c r="AM213" s="17"/>
      <c r="AN213" s="17"/>
      <c r="AO213" s="17"/>
      <c r="AP213" s="15" t="str">
        <f>IFERROR(VLOOKUP(AO213,Legend!$D$2:$E$26,2,0),"")</f>
        <v/>
      </c>
      <c r="AQ213" s="15"/>
      <c r="AR213" s="17"/>
      <c r="AS213" s="17"/>
      <c r="AT213" s="15"/>
      <c r="AU213" s="17"/>
      <c r="AV213" s="17"/>
      <c r="AW213" s="17" t="s">
        <v>10</v>
      </c>
      <c r="AX213" s="15"/>
      <c r="AY213" s="15"/>
    </row>
    <row r="214" spans="1:51" x14ac:dyDescent="0.25">
      <c r="A214" s="15"/>
      <c r="B214" s="15"/>
      <c r="C214" s="15"/>
      <c r="D214" s="15"/>
      <c r="E214" s="91"/>
      <c r="F214" s="15"/>
      <c r="G214" s="15"/>
      <c r="H214" s="15"/>
      <c r="I214" s="15"/>
      <c r="J214" s="15"/>
      <c r="K214" s="89"/>
      <c r="L214" s="15"/>
      <c r="M214" s="89">
        <v>0</v>
      </c>
      <c r="N214" s="89">
        <v>0</v>
      </c>
      <c r="O214" s="89">
        <v>0</v>
      </c>
      <c r="P214" s="94">
        <v>0</v>
      </c>
      <c r="Q214" s="94">
        <v>0</v>
      </c>
      <c r="R214" s="94">
        <v>0</v>
      </c>
      <c r="S214" s="94">
        <v>0</v>
      </c>
      <c r="T214" s="89">
        <v>0</v>
      </c>
      <c r="U214" s="89">
        <v>0</v>
      </c>
      <c r="V214" s="94">
        <v>0</v>
      </c>
      <c r="W214" s="94">
        <v>0</v>
      </c>
      <c r="X214" s="94">
        <v>0</v>
      </c>
      <c r="Y214" s="89">
        <v>0</v>
      </c>
      <c r="Z214" s="94">
        <f t="shared" si="17"/>
        <v>0</v>
      </c>
      <c r="AA214" s="94">
        <f t="shared" si="18"/>
        <v>0</v>
      </c>
      <c r="AB214" s="89">
        <f t="shared" si="19"/>
        <v>0</v>
      </c>
      <c r="AC214" s="89">
        <f t="shared" si="20"/>
        <v>0</v>
      </c>
      <c r="AD214" s="89">
        <v>0</v>
      </c>
      <c r="AE214" s="89">
        <v>0</v>
      </c>
      <c r="AF214" s="117"/>
      <c r="AG214" s="117"/>
      <c r="AH214" s="262"/>
      <c r="AI214" s="17"/>
      <c r="AJ214" s="17"/>
      <c r="AK214" s="17"/>
      <c r="AL214" s="17"/>
      <c r="AM214" s="17"/>
      <c r="AN214" s="17"/>
      <c r="AO214" s="17"/>
      <c r="AP214" s="15" t="str">
        <f>IFERROR(VLOOKUP(AO214,Legend!$D$2:$E$26,2,0),"")</f>
        <v/>
      </c>
      <c r="AQ214" s="15"/>
      <c r="AR214" s="17"/>
      <c r="AS214" s="17"/>
      <c r="AT214" s="15"/>
      <c r="AU214" s="17"/>
      <c r="AV214" s="17"/>
      <c r="AW214" s="17" t="s">
        <v>10</v>
      </c>
      <c r="AX214" s="15"/>
      <c r="AY214" s="15"/>
    </row>
    <row r="215" spans="1:51" x14ac:dyDescent="0.25">
      <c r="A215" s="15"/>
      <c r="B215" s="15"/>
      <c r="C215" s="15"/>
      <c r="D215" s="15"/>
      <c r="E215" s="91"/>
      <c r="F215" s="15"/>
      <c r="G215" s="15"/>
      <c r="H215" s="15"/>
      <c r="I215" s="15"/>
      <c r="J215" s="15"/>
      <c r="K215" s="89"/>
      <c r="L215" s="15"/>
      <c r="M215" s="89">
        <v>0</v>
      </c>
      <c r="N215" s="89">
        <v>0</v>
      </c>
      <c r="O215" s="89">
        <v>0</v>
      </c>
      <c r="P215" s="94">
        <v>0</v>
      </c>
      <c r="Q215" s="94">
        <v>0</v>
      </c>
      <c r="R215" s="94">
        <v>0</v>
      </c>
      <c r="S215" s="94">
        <v>0</v>
      </c>
      <c r="T215" s="89">
        <v>0</v>
      </c>
      <c r="U215" s="89">
        <v>0</v>
      </c>
      <c r="V215" s="94">
        <v>0</v>
      </c>
      <c r="W215" s="94">
        <v>0</v>
      </c>
      <c r="X215" s="94">
        <v>0</v>
      </c>
      <c r="Y215" s="89">
        <v>0</v>
      </c>
      <c r="Z215" s="94">
        <f t="shared" si="17"/>
        <v>0</v>
      </c>
      <c r="AA215" s="94">
        <f t="shared" si="18"/>
        <v>0</v>
      </c>
      <c r="AB215" s="89">
        <f t="shared" si="19"/>
        <v>0</v>
      </c>
      <c r="AC215" s="89">
        <f t="shared" si="20"/>
        <v>0</v>
      </c>
      <c r="AD215" s="89">
        <v>0</v>
      </c>
      <c r="AE215" s="89">
        <v>0</v>
      </c>
      <c r="AF215" s="117"/>
      <c r="AG215" s="117"/>
      <c r="AH215" s="262"/>
      <c r="AI215" s="17"/>
      <c r="AJ215" s="17"/>
      <c r="AK215" s="17"/>
      <c r="AL215" s="17"/>
      <c r="AM215" s="17"/>
      <c r="AN215" s="17"/>
      <c r="AO215" s="17"/>
      <c r="AP215" s="15" t="str">
        <f>IFERROR(VLOOKUP(AO215,Legend!$D$2:$E$26,2,0),"")</f>
        <v/>
      </c>
      <c r="AQ215" s="15"/>
      <c r="AR215" s="17"/>
      <c r="AS215" s="17"/>
      <c r="AT215" s="15"/>
      <c r="AU215" s="17"/>
      <c r="AV215" s="17"/>
      <c r="AW215" s="17" t="s">
        <v>10</v>
      </c>
      <c r="AX215" s="15"/>
      <c r="AY215" s="15"/>
    </row>
    <row r="216" spans="1:51" x14ac:dyDescent="0.25">
      <c r="A216" s="15"/>
      <c r="B216" s="15"/>
      <c r="C216" s="15"/>
      <c r="D216" s="15"/>
      <c r="E216" s="91"/>
      <c r="F216" s="15"/>
      <c r="G216" s="15"/>
      <c r="H216" s="15"/>
      <c r="I216" s="15"/>
      <c r="J216" s="15"/>
      <c r="K216" s="89"/>
      <c r="L216" s="15"/>
      <c r="M216" s="89">
        <v>0</v>
      </c>
      <c r="N216" s="89">
        <v>0</v>
      </c>
      <c r="O216" s="89">
        <v>0</v>
      </c>
      <c r="P216" s="94">
        <v>0</v>
      </c>
      <c r="Q216" s="94">
        <v>0</v>
      </c>
      <c r="R216" s="94">
        <v>0</v>
      </c>
      <c r="S216" s="94">
        <v>0</v>
      </c>
      <c r="T216" s="89">
        <v>0</v>
      </c>
      <c r="U216" s="89">
        <v>0</v>
      </c>
      <c r="V216" s="94">
        <v>0</v>
      </c>
      <c r="W216" s="94">
        <v>0</v>
      </c>
      <c r="X216" s="94">
        <v>0</v>
      </c>
      <c r="Y216" s="89">
        <v>0</v>
      </c>
      <c r="Z216" s="94">
        <f t="shared" si="17"/>
        <v>0</v>
      </c>
      <c r="AA216" s="94">
        <f t="shared" si="18"/>
        <v>0</v>
      </c>
      <c r="AB216" s="89">
        <f t="shared" si="19"/>
        <v>0</v>
      </c>
      <c r="AC216" s="89">
        <f t="shared" si="20"/>
        <v>0</v>
      </c>
      <c r="AD216" s="89">
        <v>0</v>
      </c>
      <c r="AE216" s="89">
        <v>0</v>
      </c>
      <c r="AF216" s="117"/>
      <c r="AG216" s="117"/>
      <c r="AH216" s="262"/>
      <c r="AI216" s="17"/>
      <c r="AJ216" s="17"/>
      <c r="AK216" s="17"/>
      <c r="AL216" s="17"/>
      <c r="AM216" s="17"/>
      <c r="AN216" s="17"/>
      <c r="AO216" s="17"/>
      <c r="AP216" s="15" t="str">
        <f>IFERROR(VLOOKUP(AO216,Legend!$D$2:$E$26,2,0),"")</f>
        <v/>
      </c>
      <c r="AQ216" s="15"/>
      <c r="AR216" s="17"/>
      <c r="AS216" s="17"/>
      <c r="AT216" s="15"/>
      <c r="AU216" s="17"/>
      <c r="AV216" s="17"/>
      <c r="AW216" s="17" t="s">
        <v>10</v>
      </c>
      <c r="AX216" s="15"/>
      <c r="AY216" s="15"/>
    </row>
    <row r="217" spans="1:51" x14ac:dyDescent="0.25">
      <c r="A217" s="15"/>
      <c r="B217" s="15"/>
      <c r="C217" s="15"/>
      <c r="D217" s="15"/>
      <c r="E217" s="91"/>
      <c r="F217" s="15"/>
      <c r="G217" s="15"/>
      <c r="H217" s="15"/>
      <c r="I217" s="15"/>
      <c r="J217" s="15"/>
      <c r="K217" s="89"/>
      <c r="L217" s="15"/>
      <c r="M217" s="89">
        <v>0</v>
      </c>
      <c r="N217" s="89">
        <v>0</v>
      </c>
      <c r="O217" s="89">
        <v>0</v>
      </c>
      <c r="P217" s="94">
        <v>0</v>
      </c>
      <c r="Q217" s="94">
        <v>0</v>
      </c>
      <c r="R217" s="94">
        <v>0</v>
      </c>
      <c r="S217" s="94">
        <v>0</v>
      </c>
      <c r="T217" s="89">
        <v>0</v>
      </c>
      <c r="U217" s="89">
        <v>0</v>
      </c>
      <c r="V217" s="94">
        <v>0</v>
      </c>
      <c r="W217" s="94">
        <v>0</v>
      </c>
      <c r="X217" s="94">
        <v>0</v>
      </c>
      <c r="Y217" s="89">
        <v>0</v>
      </c>
      <c r="Z217" s="94">
        <f t="shared" si="17"/>
        <v>0</v>
      </c>
      <c r="AA217" s="94">
        <f t="shared" si="18"/>
        <v>0</v>
      </c>
      <c r="AB217" s="89">
        <f t="shared" si="19"/>
        <v>0</v>
      </c>
      <c r="AC217" s="89">
        <f t="shared" si="20"/>
        <v>0</v>
      </c>
      <c r="AD217" s="89">
        <v>0</v>
      </c>
      <c r="AE217" s="89">
        <v>0</v>
      </c>
      <c r="AF217" s="117"/>
      <c r="AG217" s="117"/>
      <c r="AH217" s="262"/>
      <c r="AI217" s="17"/>
      <c r="AJ217" s="17"/>
      <c r="AK217" s="17"/>
      <c r="AL217" s="17"/>
      <c r="AM217" s="17"/>
      <c r="AN217" s="17"/>
      <c r="AO217" s="17"/>
      <c r="AP217" s="15" t="str">
        <f>IFERROR(VLOOKUP(AO217,Legend!$D$2:$E$26,2,0),"")</f>
        <v/>
      </c>
      <c r="AQ217" s="15"/>
      <c r="AR217" s="17"/>
      <c r="AS217" s="17"/>
      <c r="AT217" s="15"/>
      <c r="AU217" s="17"/>
      <c r="AV217" s="17"/>
      <c r="AW217" s="17" t="s">
        <v>10</v>
      </c>
      <c r="AX217" s="15"/>
      <c r="AY217" s="15"/>
    </row>
    <row r="218" spans="1:51" x14ac:dyDescent="0.25">
      <c r="A218" s="15"/>
      <c r="B218" s="15"/>
      <c r="C218" s="15"/>
      <c r="D218" s="15"/>
      <c r="E218" s="91"/>
      <c r="F218" s="15"/>
      <c r="G218" s="15"/>
      <c r="H218" s="15"/>
      <c r="I218" s="15"/>
      <c r="J218" s="15"/>
      <c r="K218" s="89"/>
      <c r="L218" s="15"/>
      <c r="M218" s="89">
        <v>0</v>
      </c>
      <c r="N218" s="89">
        <v>0</v>
      </c>
      <c r="O218" s="89">
        <v>0</v>
      </c>
      <c r="P218" s="94">
        <v>0</v>
      </c>
      <c r="Q218" s="94">
        <v>0</v>
      </c>
      <c r="R218" s="94">
        <v>0</v>
      </c>
      <c r="S218" s="94">
        <v>0</v>
      </c>
      <c r="T218" s="89">
        <v>0</v>
      </c>
      <c r="U218" s="89">
        <v>0</v>
      </c>
      <c r="V218" s="94">
        <v>0</v>
      </c>
      <c r="W218" s="94">
        <v>0</v>
      </c>
      <c r="X218" s="94">
        <v>0</v>
      </c>
      <c r="Y218" s="89">
        <v>0</v>
      </c>
      <c r="Z218" s="94">
        <f t="shared" si="17"/>
        <v>0</v>
      </c>
      <c r="AA218" s="94">
        <f t="shared" si="18"/>
        <v>0</v>
      </c>
      <c r="AB218" s="89">
        <f t="shared" si="19"/>
        <v>0</v>
      </c>
      <c r="AC218" s="89">
        <f t="shared" si="20"/>
        <v>0</v>
      </c>
      <c r="AD218" s="89">
        <v>0</v>
      </c>
      <c r="AE218" s="89">
        <v>0</v>
      </c>
      <c r="AF218" s="117"/>
      <c r="AG218" s="117"/>
      <c r="AH218" s="262"/>
      <c r="AI218" s="17"/>
      <c r="AJ218" s="17"/>
      <c r="AK218" s="17"/>
      <c r="AL218" s="17"/>
      <c r="AM218" s="17"/>
      <c r="AN218" s="17"/>
      <c r="AO218" s="17"/>
      <c r="AP218" s="15" t="str">
        <f>IFERROR(VLOOKUP(AO218,Legend!$D$2:$E$26,2,0),"")</f>
        <v/>
      </c>
      <c r="AQ218" s="15"/>
      <c r="AR218" s="17"/>
      <c r="AS218" s="17"/>
      <c r="AT218" s="15"/>
      <c r="AU218" s="17"/>
      <c r="AV218" s="17"/>
      <c r="AW218" s="17" t="s">
        <v>10</v>
      </c>
      <c r="AX218" s="15"/>
      <c r="AY218" s="15"/>
    </row>
    <row r="219" spans="1:51" x14ac:dyDescent="0.25">
      <c r="A219" s="15"/>
      <c r="B219" s="15"/>
      <c r="C219" s="15"/>
      <c r="D219" s="15"/>
      <c r="E219" s="91"/>
      <c r="F219" s="15"/>
      <c r="G219" s="15"/>
      <c r="H219" s="15"/>
      <c r="I219" s="15"/>
      <c r="J219" s="15"/>
      <c r="K219" s="89"/>
      <c r="L219" s="15"/>
      <c r="M219" s="89">
        <v>0</v>
      </c>
      <c r="N219" s="89">
        <v>0</v>
      </c>
      <c r="O219" s="89">
        <v>0</v>
      </c>
      <c r="P219" s="94">
        <v>0</v>
      </c>
      <c r="Q219" s="94">
        <v>0</v>
      </c>
      <c r="R219" s="94">
        <v>0</v>
      </c>
      <c r="S219" s="94">
        <v>0</v>
      </c>
      <c r="T219" s="89">
        <v>0</v>
      </c>
      <c r="U219" s="89">
        <v>0</v>
      </c>
      <c r="V219" s="94">
        <v>0</v>
      </c>
      <c r="W219" s="94">
        <v>0</v>
      </c>
      <c r="X219" s="94">
        <v>0</v>
      </c>
      <c r="Y219" s="89">
        <v>0</v>
      </c>
      <c r="Z219" s="94">
        <f t="shared" si="17"/>
        <v>0</v>
      </c>
      <c r="AA219" s="94">
        <f t="shared" si="18"/>
        <v>0</v>
      </c>
      <c r="AB219" s="89">
        <f t="shared" si="19"/>
        <v>0</v>
      </c>
      <c r="AC219" s="89">
        <f t="shared" si="20"/>
        <v>0</v>
      </c>
      <c r="AD219" s="89">
        <v>0</v>
      </c>
      <c r="AE219" s="89">
        <v>0</v>
      </c>
      <c r="AF219" s="117"/>
      <c r="AG219" s="117"/>
      <c r="AH219" s="262"/>
      <c r="AI219" s="17"/>
      <c r="AJ219" s="17"/>
      <c r="AK219" s="17"/>
      <c r="AL219" s="17"/>
      <c r="AM219" s="17"/>
      <c r="AN219" s="17"/>
      <c r="AO219" s="17"/>
      <c r="AP219" s="15" t="str">
        <f>IFERROR(VLOOKUP(AO219,Legend!$D$2:$E$26,2,0),"")</f>
        <v/>
      </c>
      <c r="AQ219" s="15"/>
      <c r="AR219" s="17"/>
      <c r="AS219" s="17"/>
      <c r="AT219" s="15"/>
      <c r="AU219" s="17"/>
      <c r="AV219" s="17"/>
      <c r="AW219" s="17" t="s">
        <v>10</v>
      </c>
      <c r="AX219" s="15"/>
      <c r="AY219" s="15"/>
    </row>
    <row r="220" spans="1:51" x14ac:dyDescent="0.25">
      <c r="A220" s="15"/>
      <c r="B220" s="15"/>
      <c r="C220" s="15"/>
      <c r="D220" s="15"/>
      <c r="E220" s="91"/>
      <c r="F220" s="15"/>
      <c r="G220" s="15"/>
      <c r="H220" s="15"/>
      <c r="I220" s="15"/>
      <c r="J220" s="15"/>
      <c r="K220" s="89"/>
      <c r="L220" s="15"/>
      <c r="M220" s="89">
        <v>0</v>
      </c>
      <c r="N220" s="89">
        <v>0</v>
      </c>
      <c r="O220" s="89">
        <v>0</v>
      </c>
      <c r="P220" s="94">
        <v>0</v>
      </c>
      <c r="Q220" s="94">
        <v>0</v>
      </c>
      <c r="R220" s="94">
        <v>0</v>
      </c>
      <c r="S220" s="94">
        <v>0</v>
      </c>
      <c r="T220" s="89">
        <v>0</v>
      </c>
      <c r="U220" s="89">
        <v>0</v>
      </c>
      <c r="V220" s="94">
        <v>0</v>
      </c>
      <c r="W220" s="94">
        <v>0</v>
      </c>
      <c r="X220" s="94">
        <v>0</v>
      </c>
      <c r="Y220" s="89">
        <v>0</v>
      </c>
      <c r="Z220" s="94">
        <f t="shared" si="17"/>
        <v>0</v>
      </c>
      <c r="AA220" s="94">
        <f t="shared" si="18"/>
        <v>0</v>
      </c>
      <c r="AB220" s="89">
        <f t="shared" si="19"/>
        <v>0</v>
      </c>
      <c r="AC220" s="89">
        <f t="shared" si="20"/>
        <v>0</v>
      </c>
      <c r="AD220" s="89">
        <v>0</v>
      </c>
      <c r="AE220" s="89">
        <v>0</v>
      </c>
      <c r="AF220" s="117"/>
      <c r="AG220" s="117"/>
      <c r="AH220" s="262"/>
      <c r="AI220" s="17"/>
      <c r="AJ220" s="17"/>
      <c r="AK220" s="17"/>
      <c r="AL220" s="17"/>
      <c r="AM220" s="17"/>
      <c r="AN220" s="17"/>
      <c r="AO220" s="17"/>
      <c r="AP220" s="15" t="str">
        <f>IFERROR(VLOOKUP(AO220,Legend!$D$2:$E$26,2,0),"")</f>
        <v/>
      </c>
      <c r="AQ220" s="15"/>
      <c r="AR220" s="17"/>
      <c r="AS220" s="17"/>
      <c r="AT220" s="15"/>
      <c r="AU220" s="17"/>
      <c r="AV220" s="17"/>
      <c r="AW220" s="17" t="s">
        <v>10</v>
      </c>
      <c r="AX220" s="15"/>
      <c r="AY220" s="15"/>
    </row>
    <row r="221" spans="1:51" x14ac:dyDescent="0.25">
      <c r="A221" s="15"/>
      <c r="B221" s="15"/>
      <c r="C221" s="15"/>
      <c r="D221" s="15"/>
      <c r="E221" s="91"/>
      <c r="F221" s="15"/>
      <c r="G221" s="15"/>
      <c r="H221" s="15"/>
      <c r="I221" s="15"/>
      <c r="J221" s="15"/>
      <c r="K221" s="89"/>
      <c r="L221" s="15"/>
      <c r="M221" s="89">
        <v>0</v>
      </c>
      <c r="N221" s="89">
        <v>0</v>
      </c>
      <c r="O221" s="89">
        <v>0</v>
      </c>
      <c r="P221" s="94">
        <v>0</v>
      </c>
      <c r="Q221" s="94">
        <v>0</v>
      </c>
      <c r="R221" s="94">
        <v>0</v>
      </c>
      <c r="S221" s="94">
        <v>0</v>
      </c>
      <c r="T221" s="89">
        <v>0</v>
      </c>
      <c r="U221" s="89">
        <v>0</v>
      </c>
      <c r="V221" s="94">
        <v>0</v>
      </c>
      <c r="W221" s="94">
        <v>0</v>
      </c>
      <c r="X221" s="94">
        <v>0</v>
      </c>
      <c r="Y221" s="89">
        <v>0</v>
      </c>
      <c r="Z221" s="94">
        <f t="shared" si="17"/>
        <v>0</v>
      </c>
      <c r="AA221" s="94">
        <f t="shared" si="18"/>
        <v>0</v>
      </c>
      <c r="AB221" s="89">
        <f t="shared" si="19"/>
        <v>0</v>
      </c>
      <c r="AC221" s="89">
        <f t="shared" si="20"/>
        <v>0</v>
      </c>
      <c r="AD221" s="89">
        <v>0</v>
      </c>
      <c r="AE221" s="89">
        <v>0</v>
      </c>
      <c r="AF221" s="117"/>
      <c r="AG221" s="117"/>
      <c r="AH221" s="262"/>
      <c r="AI221" s="17"/>
      <c r="AJ221" s="17"/>
      <c r="AK221" s="17"/>
      <c r="AL221" s="17"/>
      <c r="AM221" s="17"/>
      <c r="AN221" s="17"/>
      <c r="AO221" s="17"/>
      <c r="AP221" s="15" t="str">
        <f>IFERROR(VLOOKUP(AO221,Legend!$D$2:$E$26,2,0),"")</f>
        <v/>
      </c>
      <c r="AQ221" s="15"/>
      <c r="AR221" s="17"/>
      <c r="AS221" s="17"/>
      <c r="AT221" s="15"/>
      <c r="AU221" s="17"/>
      <c r="AV221" s="17"/>
      <c r="AW221" s="17" t="s">
        <v>10</v>
      </c>
      <c r="AX221" s="15"/>
      <c r="AY221" s="15"/>
    </row>
    <row r="222" spans="1:51" x14ac:dyDescent="0.25">
      <c r="A222" s="15"/>
      <c r="B222" s="15"/>
      <c r="C222" s="15"/>
      <c r="D222" s="15"/>
      <c r="E222" s="91"/>
      <c r="F222" s="15"/>
      <c r="G222" s="15"/>
      <c r="H222" s="15"/>
      <c r="I222" s="15"/>
      <c r="J222" s="15"/>
      <c r="K222" s="89"/>
      <c r="L222" s="15"/>
      <c r="M222" s="89">
        <v>0</v>
      </c>
      <c r="N222" s="89">
        <v>0</v>
      </c>
      <c r="O222" s="89">
        <v>0</v>
      </c>
      <c r="P222" s="94">
        <v>0</v>
      </c>
      <c r="Q222" s="94">
        <v>0</v>
      </c>
      <c r="R222" s="94">
        <v>0</v>
      </c>
      <c r="S222" s="94">
        <v>0</v>
      </c>
      <c r="T222" s="89">
        <v>0</v>
      </c>
      <c r="U222" s="89">
        <v>0</v>
      </c>
      <c r="V222" s="94">
        <v>0</v>
      </c>
      <c r="W222" s="94">
        <v>0</v>
      </c>
      <c r="X222" s="94">
        <v>0</v>
      </c>
      <c r="Y222" s="89">
        <v>0</v>
      </c>
      <c r="Z222" s="94">
        <f t="shared" si="17"/>
        <v>0</v>
      </c>
      <c r="AA222" s="94">
        <f t="shared" si="18"/>
        <v>0</v>
      </c>
      <c r="AB222" s="89">
        <f t="shared" si="19"/>
        <v>0</v>
      </c>
      <c r="AC222" s="89">
        <f t="shared" si="20"/>
        <v>0</v>
      </c>
      <c r="AD222" s="89">
        <v>0</v>
      </c>
      <c r="AE222" s="89">
        <v>0</v>
      </c>
      <c r="AF222" s="117"/>
      <c r="AG222" s="117"/>
      <c r="AH222" s="262"/>
      <c r="AI222" s="17"/>
      <c r="AJ222" s="17"/>
      <c r="AK222" s="17"/>
      <c r="AL222" s="17"/>
      <c r="AM222" s="17"/>
      <c r="AN222" s="17"/>
      <c r="AO222" s="17"/>
      <c r="AP222" s="15" t="str">
        <f>IFERROR(VLOOKUP(AO222,Legend!$D$2:$E$26,2,0),"")</f>
        <v/>
      </c>
      <c r="AQ222" s="15"/>
      <c r="AR222" s="17"/>
      <c r="AS222" s="17"/>
      <c r="AT222" s="15"/>
      <c r="AU222" s="17"/>
      <c r="AV222" s="17"/>
      <c r="AW222" s="17" t="s">
        <v>10</v>
      </c>
      <c r="AX222" s="15"/>
      <c r="AY222" s="15"/>
    </row>
    <row r="223" spans="1:51" x14ac:dyDescent="0.25">
      <c r="A223" s="15"/>
      <c r="B223" s="15"/>
      <c r="C223" s="15"/>
      <c r="D223" s="15"/>
      <c r="E223" s="91"/>
      <c r="F223" s="15"/>
      <c r="G223" s="15"/>
      <c r="H223" s="15"/>
      <c r="I223" s="15"/>
      <c r="J223" s="15"/>
      <c r="K223" s="89"/>
      <c r="L223" s="15"/>
      <c r="M223" s="89">
        <v>0</v>
      </c>
      <c r="N223" s="89">
        <v>0</v>
      </c>
      <c r="O223" s="89">
        <v>0</v>
      </c>
      <c r="P223" s="94">
        <v>0</v>
      </c>
      <c r="Q223" s="94">
        <v>0</v>
      </c>
      <c r="R223" s="94">
        <v>0</v>
      </c>
      <c r="S223" s="94">
        <v>0</v>
      </c>
      <c r="T223" s="89">
        <v>0</v>
      </c>
      <c r="U223" s="89">
        <v>0</v>
      </c>
      <c r="V223" s="94">
        <v>0</v>
      </c>
      <c r="W223" s="94">
        <v>0</v>
      </c>
      <c r="X223" s="94">
        <v>0</v>
      </c>
      <c r="Y223" s="89">
        <v>0</v>
      </c>
      <c r="Z223" s="94">
        <f t="shared" si="17"/>
        <v>0</v>
      </c>
      <c r="AA223" s="94">
        <f t="shared" si="18"/>
        <v>0</v>
      </c>
      <c r="AB223" s="89">
        <f t="shared" si="19"/>
        <v>0</v>
      </c>
      <c r="AC223" s="89">
        <f t="shared" si="20"/>
        <v>0</v>
      </c>
      <c r="AD223" s="89">
        <v>0</v>
      </c>
      <c r="AE223" s="89">
        <v>0</v>
      </c>
      <c r="AF223" s="117"/>
      <c r="AG223" s="117"/>
      <c r="AH223" s="262"/>
      <c r="AI223" s="17"/>
      <c r="AJ223" s="17"/>
      <c r="AK223" s="17"/>
      <c r="AL223" s="17"/>
      <c r="AM223" s="17"/>
      <c r="AN223" s="17"/>
      <c r="AO223" s="17"/>
      <c r="AP223" s="15" t="str">
        <f>IFERROR(VLOOKUP(AO223,Legend!$D$2:$E$26,2,0),"")</f>
        <v/>
      </c>
      <c r="AQ223" s="15"/>
      <c r="AR223" s="17"/>
      <c r="AS223" s="17"/>
      <c r="AT223" s="15"/>
      <c r="AU223" s="17"/>
      <c r="AV223" s="17"/>
      <c r="AW223" s="17" t="s">
        <v>10</v>
      </c>
      <c r="AX223" s="15"/>
      <c r="AY223" s="15"/>
    </row>
    <row r="224" spans="1:51" x14ac:dyDescent="0.25">
      <c r="A224" s="15"/>
      <c r="B224" s="15"/>
      <c r="C224" s="15"/>
      <c r="D224" s="15"/>
      <c r="E224" s="91"/>
      <c r="F224" s="15"/>
      <c r="G224" s="15"/>
      <c r="H224" s="15"/>
      <c r="I224" s="15"/>
      <c r="J224" s="15"/>
      <c r="K224" s="89"/>
      <c r="L224" s="15"/>
      <c r="M224" s="89">
        <v>0</v>
      </c>
      <c r="N224" s="89">
        <v>0</v>
      </c>
      <c r="O224" s="89">
        <v>0</v>
      </c>
      <c r="P224" s="94">
        <v>0</v>
      </c>
      <c r="Q224" s="94">
        <v>0</v>
      </c>
      <c r="R224" s="94">
        <v>0</v>
      </c>
      <c r="S224" s="94">
        <v>0</v>
      </c>
      <c r="T224" s="89">
        <v>0</v>
      </c>
      <c r="U224" s="89">
        <v>0</v>
      </c>
      <c r="V224" s="94">
        <v>0</v>
      </c>
      <c r="W224" s="94">
        <v>0</v>
      </c>
      <c r="X224" s="94">
        <v>0</v>
      </c>
      <c r="Y224" s="89">
        <v>0</v>
      </c>
      <c r="Z224" s="94">
        <f t="shared" si="17"/>
        <v>0</v>
      </c>
      <c r="AA224" s="94">
        <f t="shared" si="18"/>
        <v>0</v>
      </c>
      <c r="AB224" s="89">
        <f t="shared" si="19"/>
        <v>0</v>
      </c>
      <c r="AC224" s="89">
        <f t="shared" si="20"/>
        <v>0</v>
      </c>
      <c r="AD224" s="89">
        <v>0</v>
      </c>
      <c r="AE224" s="89">
        <v>0</v>
      </c>
      <c r="AF224" s="117"/>
      <c r="AG224" s="117"/>
      <c r="AH224" s="262"/>
      <c r="AI224" s="17"/>
      <c r="AJ224" s="17"/>
      <c r="AK224" s="17"/>
      <c r="AL224" s="17"/>
      <c r="AM224" s="17"/>
      <c r="AN224" s="17"/>
      <c r="AO224" s="17"/>
      <c r="AP224" s="15" t="str">
        <f>IFERROR(VLOOKUP(AO224,Legend!$D$2:$E$26,2,0),"")</f>
        <v/>
      </c>
      <c r="AQ224" s="15"/>
      <c r="AR224" s="17"/>
      <c r="AS224" s="17"/>
      <c r="AT224" s="15"/>
      <c r="AU224" s="17"/>
      <c r="AV224" s="17"/>
      <c r="AW224" s="17" t="s">
        <v>10</v>
      </c>
      <c r="AX224" s="15"/>
      <c r="AY224" s="15"/>
    </row>
    <row r="225" spans="1:51" x14ac:dyDescent="0.25">
      <c r="A225" s="15"/>
      <c r="B225" s="15"/>
      <c r="C225" s="15"/>
      <c r="D225" s="15"/>
      <c r="E225" s="91"/>
      <c r="F225" s="15"/>
      <c r="G225" s="15"/>
      <c r="H225" s="15"/>
      <c r="I225" s="15"/>
      <c r="J225" s="15"/>
      <c r="K225" s="89"/>
      <c r="L225" s="15"/>
      <c r="M225" s="89">
        <v>0</v>
      </c>
      <c r="N225" s="89">
        <v>0</v>
      </c>
      <c r="O225" s="89">
        <v>0</v>
      </c>
      <c r="P225" s="94">
        <v>0</v>
      </c>
      <c r="Q225" s="94">
        <v>0</v>
      </c>
      <c r="R225" s="94">
        <v>0</v>
      </c>
      <c r="S225" s="94">
        <v>0</v>
      </c>
      <c r="T225" s="89">
        <v>0</v>
      </c>
      <c r="U225" s="89">
        <v>0</v>
      </c>
      <c r="V225" s="94">
        <v>0</v>
      </c>
      <c r="W225" s="94">
        <v>0</v>
      </c>
      <c r="X225" s="94">
        <v>0</v>
      </c>
      <c r="Y225" s="89">
        <v>0</v>
      </c>
      <c r="Z225" s="94">
        <f t="shared" si="17"/>
        <v>0</v>
      </c>
      <c r="AA225" s="94">
        <f t="shared" si="18"/>
        <v>0</v>
      </c>
      <c r="AB225" s="89">
        <f t="shared" si="19"/>
        <v>0</v>
      </c>
      <c r="AC225" s="89">
        <f t="shared" si="20"/>
        <v>0</v>
      </c>
      <c r="AD225" s="89">
        <v>0</v>
      </c>
      <c r="AE225" s="89">
        <v>0</v>
      </c>
      <c r="AF225" s="117"/>
      <c r="AG225" s="117"/>
      <c r="AH225" s="262"/>
      <c r="AI225" s="17"/>
      <c r="AJ225" s="17"/>
      <c r="AK225" s="17"/>
      <c r="AL225" s="17"/>
      <c r="AM225" s="17"/>
      <c r="AN225" s="17"/>
      <c r="AO225" s="17"/>
      <c r="AP225" s="15" t="str">
        <f>IFERROR(VLOOKUP(AO225,Legend!$D$2:$E$26,2,0),"")</f>
        <v/>
      </c>
      <c r="AQ225" s="15"/>
      <c r="AR225" s="17"/>
      <c r="AS225" s="17"/>
      <c r="AT225" s="15"/>
      <c r="AU225" s="17"/>
      <c r="AV225" s="17"/>
      <c r="AW225" s="17" t="s">
        <v>10</v>
      </c>
      <c r="AX225" s="15"/>
      <c r="AY225" s="15"/>
    </row>
    <row r="226" spans="1:51" x14ac:dyDescent="0.25">
      <c r="A226" s="15"/>
      <c r="B226" s="15"/>
      <c r="C226" s="15"/>
      <c r="D226" s="15"/>
      <c r="E226" s="91"/>
      <c r="F226" s="15"/>
      <c r="G226" s="15"/>
      <c r="H226" s="15"/>
      <c r="I226" s="15"/>
      <c r="J226" s="15"/>
      <c r="K226" s="89"/>
      <c r="L226" s="15"/>
      <c r="M226" s="89">
        <v>0</v>
      </c>
      <c r="N226" s="89">
        <v>0</v>
      </c>
      <c r="O226" s="89">
        <v>0</v>
      </c>
      <c r="P226" s="94">
        <v>0</v>
      </c>
      <c r="Q226" s="94">
        <v>0</v>
      </c>
      <c r="R226" s="94">
        <v>0</v>
      </c>
      <c r="S226" s="94">
        <v>0</v>
      </c>
      <c r="T226" s="89">
        <v>0</v>
      </c>
      <c r="U226" s="89">
        <v>0</v>
      </c>
      <c r="V226" s="94">
        <v>0</v>
      </c>
      <c r="W226" s="94">
        <v>0</v>
      </c>
      <c r="X226" s="94">
        <v>0</v>
      </c>
      <c r="Y226" s="89">
        <v>0</v>
      </c>
      <c r="Z226" s="94">
        <f t="shared" si="17"/>
        <v>0</v>
      </c>
      <c r="AA226" s="94">
        <f t="shared" si="18"/>
        <v>0</v>
      </c>
      <c r="AB226" s="89">
        <f t="shared" si="19"/>
        <v>0</v>
      </c>
      <c r="AC226" s="89">
        <f t="shared" si="20"/>
        <v>0</v>
      </c>
      <c r="AD226" s="89">
        <v>0</v>
      </c>
      <c r="AE226" s="89">
        <v>0</v>
      </c>
      <c r="AF226" s="117"/>
      <c r="AG226" s="117"/>
      <c r="AH226" s="262"/>
      <c r="AI226" s="17"/>
      <c r="AJ226" s="17"/>
      <c r="AK226" s="17"/>
      <c r="AL226" s="17"/>
      <c r="AM226" s="17"/>
      <c r="AN226" s="17"/>
      <c r="AO226" s="17"/>
      <c r="AP226" s="15" t="str">
        <f>IFERROR(VLOOKUP(AO226,Legend!$D$2:$E$26,2,0),"")</f>
        <v/>
      </c>
      <c r="AQ226" s="15"/>
      <c r="AR226" s="17"/>
      <c r="AS226" s="17"/>
      <c r="AT226" s="15"/>
      <c r="AU226" s="17"/>
      <c r="AV226" s="17"/>
      <c r="AW226" s="17" t="s">
        <v>10</v>
      </c>
      <c r="AX226" s="15"/>
      <c r="AY226" s="15"/>
    </row>
    <row r="227" spans="1:51" x14ac:dyDescent="0.25">
      <c r="A227" s="15"/>
      <c r="B227" s="15"/>
      <c r="C227" s="15"/>
      <c r="D227" s="15"/>
      <c r="E227" s="91"/>
      <c r="F227" s="15"/>
      <c r="G227" s="15"/>
      <c r="H227" s="15"/>
      <c r="I227" s="15"/>
      <c r="J227" s="15"/>
      <c r="K227" s="89"/>
      <c r="L227" s="15"/>
      <c r="M227" s="89">
        <v>0</v>
      </c>
      <c r="N227" s="89">
        <v>0</v>
      </c>
      <c r="O227" s="89">
        <v>0</v>
      </c>
      <c r="P227" s="94">
        <v>0</v>
      </c>
      <c r="Q227" s="94">
        <v>0</v>
      </c>
      <c r="R227" s="94">
        <v>0</v>
      </c>
      <c r="S227" s="94">
        <v>0</v>
      </c>
      <c r="T227" s="89">
        <v>0</v>
      </c>
      <c r="U227" s="89">
        <v>0</v>
      </c>
      <c r="V227" s="94">
        <v>0</v>
      </c>
      <c r="W227" s="94">
        <v>0</v>
      </c>
      <c r="X227" s="94">
        <v>0</v>
      </c>
      <c r="Y227" s="89">
        <v>0</v>
      </c>
      <c r="Z227" s="94">
        <f t="shared" si="17"/>
        <v>0</v>
      </c>
      <c r="AA227" s="94">
        <f t="shared" si="18"/>
        <v>0</v>
      </c>
      <c r="AB227" s="89">
        <f t="shared" si="19"/>
        <v>0</v>
      </c>
      <c r="AC227" s="89">
        <f t="shared" si="20"/>
        <v>0</v>
      </c>
      <c r="AD227" s="89">
        <v>0</v>
      </c>
      <c r="AE227" s="89">
        <v>0</v>
      </c>
      <c r="AF227" s="117"/>
      <c r="AG227" s="117"/>
      <c r="AH227" s="262"/>
      <c r="AI227" s="17"/>
      <c r="AJ227" s="17"/>
      <c r="AK227" s="17"/>
      <c r="AL227" s="17"/>
      <c r="AM227" s="17"/>
      <c r="AN227" s="17"/>
      <c r="AO227" s="17"/>
      <c r="AP227" s="15" t="str">
        <f>IFERROR(VLOOKUP(AO227,Legend!$D$2:$E$26,2,0),"")</f>
        <v/>
      </c>
      <c r="AQ227" s="15"/>
      <c r="AR227" s="17"/>
      <c r="AS227" s="17"/>
      <c r="AT227" s="15"/>
      <c r="AU227" s="17"/>
      <c r="AV227" s="17"/>
      <c r="AW227" s="17" t="s">
        <v>10</v>
      </c>
      <c r="AX227" s="15"/>
      <c r="AY227" s="15"/>
    </row>
    <row r="228" spans="1:51" x14ac:dyDescent="0.25">
      <c r="A228" s="15"/>
      <c r="B228" s="15"/>
      <c r="C228" s="15"/>
      <c r="D228" s="15"/>
      <c r="E228" s="91"/>
      <c r="F228" s="15"/>
      <c r="G228" s="15"/>
      <c r="H228" s="15"/>
      <c r="I228" s="15"/>
      <c r="J228" s="15"/>
      <c r="K228" s="89"/>
      <c r="L228" s="15"/>
      <c r="M228" s="89">
        <v>0</v>
      </c>
      <c r="N228" s="89">
        <v>0</v>
      </c>
      <c r="O228" s="89">
        <v>0</v>
      </c>
      <c r="P228" s="94">
        <v>0</v>
      </c>
      <c r="Q228" s="94">
        <v>0</v>
      </c>
      <c r="R228" s="94">
        <v>0</v>
      </c>
      <c r="S228" s="94">
        <v>0</v>
      </c>
      <c r="T228" s="89">
        <v>0</v>
      </c>
      <c r="U228" s="89">
        <v>0</v>
      </c>
      <c r="V228" s="94">
        <v>0</v>
      </c>
      <c r="W228" s="94">
        <v>0</v>
      </c>
      <c r="X228" s="94">
        <v>0</v>
      </c>
      <c r="Y228" s="89">
        <v>0</v>
      </c>
      <c r="Z228" s="94">
        <f t="shared" si="17"/>
        <v>0</v>
      </c>
      <c r="AA228" s="94">
        <f t="shared" si="18"/>
        <v>0</v>
      </c>
      <c r="AB228" s="89">
        <f t="shared" si="19"/>
        <v>0</v>
      </c>
      <c r="AC228" s="89">
        <f t="shared" si="20"/>
        <v>0</v>
      </c>
      <c r="AD228" s="89">
        <v>0</v>
      </c>
      <c r="AE228" s="89">
        <v>0</v>
      </c>
      <c r="AF228" s="117"/>
      <c r="AG228" s="117"/>
      <c r="AH228" s="262"/>
      <c r="AI228" s="17"/>
      <c r="AJ228" s="17"/>
      <c r="AK228" s="17"/>
      <c r="AL228" s="17"/>
      <c r="AM228" s="17"/>
      <c r="AN228" s="17"/>
      <c r="AO228" s="17"/>
      <c r="AP228" s="15" t="str">
        <f>IFERROR(VLOOKUP(AO228,Legend!$D$2:$E$26,2,0),"")</f>
        <v/>
      </c>
      <c r="AQ228" s="15"/>
      <c r="AR228" s="17"/>
      <c r="AS228" s="17"/>
      <c r="AT228" s="15"/>
      <c r="AU228" s="17"/>
      <c r="AV228" s="17"/>
      <c r="AW228" s="17" t="s">
        <v>10</v>
      </c>
      <c r="AX228" s="15"/>
      <c r="AY228" s="15"/>
    </row>
    <row r="229" spans="1:51" x14ac:dyDescent="0.25">
      <c r="A229" s="15"/>
      <c r="B229" s="15"/>
      <c r="C229" s="15"/>
      <c r="D229" s="15"/>
      <c r="E229" s="91"/>
      <c r="F229" s="15"/>
      <c r="G229" s="15"/>
      <c r="H229" s="15"/>
      <c r="I229" s="15"/>
      <c r="J229" s="15"/>
      <c r="K229" s="89"/>
      <c r="L229" s="15"/>
      <c r="M229" s="89">
        <v>0</v>
      </c>
      <c r="N229" s="89">
        <v>0</v>
      </c>
      <c r="O229" s="89">
        <v>0</v>
      </c>
      <c r="P229" s="94">
        <v>0</v>
      </c>
      <c r="Q229" s="94">
        <v>0</v>
      </c>
      <c r="R229" s="94">
        <v>0</v>
      </c>
      <c r="S229" s="94">
        <v>0</v>
      </c>
      <c r="T229" s="89">
        <v>0</v>
      </c>
      <c r="U229" s="89">
        <v>0</v>
      </c>
      <c r="V229" s="94">
        <v>0</v>
      </c>
      <c r="W229" s="94">
        <v>0</v>
      </c>
      <c r="X229" s="94">
        <v>0</v>
      </c>
      <c r="Y229" s="89">
        <v>0</v>
      </c>
      <c r="Z229" s="94">
        <f t="shared" si="17"/>
        <v>0</v>
      </c>
      <c r="AA229" s="94">
        <f t="shared" si="18"/>
        <v>0</v>
      </c>
      <c r="AB229" s="89">
        <f t="shared" si="19"/>
        <v>0</v>
      </c>
      <c r="AC229" s="89">
        <f t="shared" si="20"/>
        <v>0</v>
      </c>
      <c r="AD229" s="89">
        <v>0</v>
      </c>
      <c r="AE229" s="89">
        <v>0</v>
      </c>
      <c r="AF229" s="117"/>
      <c r="AG229" s="117"/>
      <c r="AH229" s="262"/>
      <c r="AI229" s="17"/>
      <c r="AJ229" s="17"/>
      <c r="AK229" s="17"/>
      <c r="AL229" s="17"/>
      <c r="AM229" s="17"/>
      <c r="AN229" s="17"/>
      <c r="AO229" s="17"/>
      <c r="AP229" s="15" t="str">
        <f>IFERROR(VLOOKUP(AO229,Legend!$D$2:$E$26,2,0),"")</f>
        <v/>
      </c>
      <c r="AQ229" s="15"/>
      <c r="AR229" s="17"/>
      <c r="AS229" s="17"/>
      <c r="AT229" s="15"/>
      <c r="AU229" s="17"/>
      <c r="AV229" s="17"/>
      <c r="AW229" s="17" t="s">
        <v>10</v>
      </c>
      <c r="AX229" s="15"/>
      <c r="AY229" s="15"/>
    </row>
    <row r="230" spans="1:51" x14ac:dyDescent="0.25">
      <c r="A230" s="15"/>
      <c r="B230" s="15"/>
      <c r="C230" s="15"/>
      <c r="D230" s="15"/>
      <c r="E230" s="91"/>
      <c r="F230" s="15"/>
      <c r="G230" s="15"/>
      <c r="H230" s="15"/>
      <c r="I230" s="15"/>
      <c r="J230" s="15"/>
      <c r="K230" s="89"/>
      <c r="L230" s="15"/>
      <c r="M230" s="89">
        <v>0</v>
      </c>
      <c r="N230" s="89">
        <v>0</v>
      </c>
      <c r="O230" s="89">
        <v>0</v>
      </c>
      <c r="P230" s="94">
        <v>0</v>
      </c>
      <c r="Q230" s="94">
        <v>0</v>
      </c>
      <c r="R230" s="94">
        <v>0</v>
      </c>
      <c r="S230" s="94">
        <v>0</v>
      </c>
      <c r="T230" s="89">
        <v>0</v>
      </c>
      <c r="U230" s="89">
        <v>0</v>
      </c>
      <c r="V230" s="94">
        <v>0</v>
      </c>
      <c r="W230" s="94">
        <v>0</v>
      </c>
      <c r="X230" s="94">
        <v>0</v>
      </c>
      <c r="Y230" s="89">
        <v>0</v>
      </c>
      <c r="Z230" s="94">
        <f t="shared" si="17"/>
        <v>0</v>
      </c>
      <c r="AA230" s="94">
        <f t="shared" si="18"/>
        <v>0</v>
      </c>
      <c r="AB230" s="89">
        <f t="shared" si="19"/>
        <v>0</v>
      </c>
      <c r="AC230" s="89">
        <f t="shared" si="20"/>
        <v>0</v>
      </c>
      <c r="AD230" s="89">
        <v>0</v>
      </c>
      <c r="AE230" s="89">
        <v>0</v>
      </c>
      <c r="AF230" s="117"/>
      <c r="AG230" s="117"/>
      <c r="AH230" s="262"/>
      <c r="AI230" s="17"/>
      <c r="AJ230" s="17"/>
      <c r="AK230" s="17"/>
      <c r="AL230" s="17"/>
      <c r="AM230" s="17"/>
      <c r="AN230" s="17"/>
      <c r="AO230" s="17"/>
      <c r="AP230" s="15" t="str">
        <f>IFERROR(VLOOKUP(AO230,Legend!$D$2:$E$26,2,0),"")</f>
        <v/>
      </c>
      <c r="AQ230" s="15"/>
      <c r="AR230" s="17"/>
      <c r="AS230" s="17"/>
      <c r="AT230" s="15"/>
      <c r="AU230" s="17"/>
      <c r="AV230" s="17"/>
      <c r="AW230" s="17" t="s">
        <v>10</v>
      </c>
      <c r="AX230" s="15"/>
      <c r="AY230" s="15"/>
    </row>
    <row r="231" spans="1:51" x14ac:dyDescent="0.25">
      <c r="A231" s="15"/>
      <c r="B231" s="15"/>
      <c r="C231" s="15"/>
      <c r="D231" s="15"/>
      <c r="E231" s="91"/>
      <c r="F231" s="15"/>
      <c r="G231" s="15"/>
      <c r="H231" s="15"/>
      <c r="I231" s="15"/>
      <c r="J231" s="15"/>
      <c r="K231" s="89"/>
      <c r="L231" s="15"/>
      <c r="M231" s="89">
        <v>0</v>
      </c>
      <c r="N231" s="89">
        <v>0</v>
      </c>
      <c r="O231" s="89">
        <v>0</v>
      </c>
      <c r="P231" s="94">
        <v>0</v>
      </c>
      <c r="Q231" s="94">
        <v>0</v>
      </c>
      <c r="R231" s="94">
        <v>0</v>
      </c>
      <c r="S231" s="94">
        <v>0</v>
      </c>
      <c r="T231" s="89">
        <v>0</v>
      </c>
      <c r="U231" s="89">
        <v>0</v>
      </c>
      <c r="V231" s="94">
        <v>0</v>
      </c>
      <c r="W231" s="94">
        <v>0</v>
      </c>
      <c r="X231" s="94">
        <v>0</v>
      </c>
      <c r="Y231" s="89">
        <v>0</v>
      </c>
      <c r="Z231" s="94">
        <f t="shared" si="17"/>
        <v>0</v>
      </c>
      <c r="AA231" s="94">
        <f t="shared" si="18"/>
        <v>0</v>
      </c>
      <c r="AB231" s="89">
        <f t="shared" si="19"/>
        <v>0</v>
      </c>
      <c r="AC231" s="89">
        <f t="shared" si="20"/>
        <v>0</v>
      </c>
      <c r="AD231" s="89">
        <v>0</v>
      </c>
      <c r="AE231" s="89">
        <v>0</v>
      </c>
      <c r="AF231" s="117"/>
      <c r="AG231" s="117"/>
      <c r="AH231" s="262"/>
      <c r="AI231" s="17"/>
      <c r="AJ231" s="17"/>
      <c r="AK231" s="17"/>
      <c r="AL231" s="17"/>
      <c r="AM231" s="17"/>
      <c r="AN231" s="17"/>
      <c r="AO231" s="17"/>
      <c r="AP231" s="15" t="str">
        <f>IFERROR(VLOOKUP(AO231,Legend!$D$2:$E$26,2,0),"")</f>
        <v/>
      </c>
      <c r="AQ231" s="15"/>
      <c r="AR231" s="17"/>
      <c r="AS231" s="17"/>
      <c r="AT231" s="15"/>
      <c r="AU231" s="17"/>
      <c r="AV231" s="17"/>
      <c r="AW231" s="17" t="s">
        <v>10</v>
      </c>
      <c r="AX231" s="15"/>
      <c r="AY231" s="15"/>
    </row>
    <row r="232" spans="1:51" x14ac:dyDescent="0.25">
      <c r="A232" s="15"/>
      <c r="B232" s="15"/>
      <c r="C232" s="15"/>
      <c r="D232" s="15"/>
      <c r="E232" s="91"/>
      <c r="F232" s="15"/>
      <c r="G232" s="15"/>
      <c r="H232" s="15"/>
      <c r="I232" s="15"/>
      <c r="J232" s="15"/>
      <c r="K232" s="89"/>
      <c r="L232" s="15"/>
      <c r="M232" s="89">
        <v>0</v>
      </c>
      <c r="N232" s="89">
        <v>0</v>
      </c>
      <c r="O232" s="89">
        <v>0</v>
      </c>
      <c r="P232" s="94">
        <v>0</v>
      </c>
      <c r="Q232" s="94">
        <v>0</v>
      </c>
      <c r="R232" s="94">
        <v>0</v>
      </c>
      <c r="S232" s="94">
        <v>0</v>
      </c>
      <c r="T232" s="89">
        <v>0</v>
      </c>
      <c r="U232" s="89">
        <v>0</v>
      </c>
      <c r="V232" s="94">
        <v>0</v>
      </c>
      <c r="W232" s="94">
        <v>0</v>
      </c>
      <c r="X232" s="94">
        <v>0</v>
      </c>
      <c r="Y232" s="89">
        <v>0</v>
      </c>
      <c r="Z232" s="94">
        <f t="shared" si="17"/>
        <v>0</v>
      </c>
      <c r="AA232" s="94">
        <f t="shared" si="18"/>
        <v>0</v>
      </c>
      <c r="AB232" s="89">
        <f t="shared" si="19"/>
        <v>0</v>
      </c>
      <c r="AC232" s="89">
        <f t="shared" si="20"/>
        <v>0</v>
      </c>
      <c r="AD232" s="89">
        <v>0</v>
      </c>
      <c r="AE232" s="89">
        <v>0</v>
      </c>
      <c r="AF232" s="117"/>
      <c r="AG232" s="117"/>
      <c r="AH232" s="262"/>
      <c r="AI232" s="17"/>
      <c r="AJ232" s="17"/>
      <c r="AK232" s="17"/>
      <c r="AL232" s="17"/>
      <c r="AM232" s="17"/>
      <c r="AN232" s="17"/>
      <c r="AO232" s="17"/>
      <c r="AP232" s="15" t="str">
        <f>IFERROR(VLOOKUP(AO232,Legend!$D$2:$E$26,2,0),"")</f>
        <v/>
      </c>
      <c r="AQ232" s="15"/>
      <c r="AR232" s="17"/>
      <c r="AS232" s="17"/>
      <c r="AT232" s="15"/>
      <c r="AU232" s="17"/>
      <c r="AV232" s="17"/>
      <c r="AW232" s="17" t="s">
        <v>10</v>
      </c>
      <c r="AX232" s="15"/>
      <c r="AY232" s="15"/>
    </row>
    <row r="233" spans="1:51" x14ac:dyDescent="0.25">
      <c r="A233" s="15"/>
      <c r="B233" s="15"/>
      <c r="C233" s="15"/>
      <c r="D233" s="15"/>
      <c r="E233" s="91"/>
      <c r="F233" s="15"/>
      <c r="G233" s="15"/>
      <c r="H233" s="15"/>
      <c r="I233" s="15"/>
      <c r="J233" s="15"/>
      <c r="K233" s="89"/>
      <c r="L233" s="15"/>
      <c r="M233" s="89">
        <v>0</v>
      </c>
      <c r="N233" s="89">
        <v>0</v>
      </c>
      <c r="O233" s="89">
        <v>0</v>
      </c>
      <c r="P233" s="94">
        <v>0</v>
      </c>
      <c r="Q233" s="94">
        <v>0</v>
      </c>
      <c r="R233" s="94">
        <v>0</v>
      </c>
      <c r="S233" s="94">
        <v>0</v>
      </c>
      <c r="T233" s="89">
        <v>0</v>
      </c>
      <c r="U233" s="89">
        <v>0</v>
      </c>
      <c r="V233" s="94">
        <v>0</v>
      </c>
      <c r="W233" s="94">
        <v>0</v>
      </c>
      <c r="X233" s="94">
        <v>0</v>
      </c>
      <c r="Y233" s="89">
        <v>0</v>
      </c>
      <c r="Z233" s="94">
        <f t="shared" si="17"/>
        <v>0</v>
      </c>
      <c r="AA233" s="94">
        <f t="shared" si="18"/>
        <v>0</v>
      </c>
      <c r="AB233" s="89">
        <f t="shared" si="19"/>
        <v>0</v>
      </c>
      <c r="AC233" s="89">
        <f t="shared" si="20"/>
        <v>0</v>
      </c>
      <c r="AD233" s="89">
        <v>0</v>
      </c>
      <c r="AE233" s="89">
        <v>0</v>
      </c>
      <c r="AF233" s="117"/>
      <c r="AG233" s="117"/>
      <c r="AH233" s="262"/>
      <c r="AI233" s="17"/>
      <c r="AJ233" s="17"/>
      <c r="AK233" s="17"/>
      <c r="AL233" s="17"/>
      <c r="AM233" s="17"/>
      <c r="AN233" s="17"/>
      <c r="AO233" s="17"/>
      <c r="AP233" s="15" t="str">
        <f>IFERROR(VLOOKUP(AO233,Legend!$D$2:$E$26,2,0),"")</f>
        <v/>
      </c>
      <c r="AQ233" s="15"/>
      <c r="AR233" s="17"/>
      <c r="AS233" s="17"/>
      <c r="AT233" s="15"/>
      <c r="AU233" s="17"/>
      <c r="AV233" s="17"/>
      <c r="AW233" s="17" t="s">
        <v>10</v>
      </c>
      <c r="AX233" s="15"/>
      <c r="AY233" s="15"/>
    </row>
    <row r="234" spans="1:51" x14ac:dyDescent="0.25">
      <c r="A234" s="15"/>
      <c r="B234" s="15"/>
      <c r="C234" s="15"/>
      <c r="D234" s="15"/>
      <c r="E234" s="91"/>
      <c r="F234" s="15"/>
      <c r="G234" s="15"/>
      <c r="H234" s="15"/>
      <c r="I234" s="15"/>
      <c r="J234" s="15"/>
      <c r="K234" s="89"/>
      <c r="L234" s="15"/>
      <c r="M234" s="89">
        <v>0</v>
      </c>
      <c r="N234" s="89">
        <v>0</v>
      </c>
      <c r="O234" s="89">
        <v>0</v>
      </c>
      <c r="P234" s="94">
        <v>0</v>
      </c>
      <c r="Q234" s="94">
        <v>0</v>
      </c>
      <c r="R234" s="94">
        <v>0</v>
      </c>
      <c r="S234" s="94">
        <v>0</v>
      </c>
      <c r="T234" s="89">
        <v>0</v>
      </c>
      <c r="U234" s="89">
        <v>0</v>
      </c>
      <c r="V234" s="94">
        <v>0</v>
      </c>
      <c r="W234" s="94">
        <v>0</v>
      </c>
      <c r="X234" s="94">
        <v>0</v>
      </c>
      <c r="Y234" s="89">
        <v>0</v>
      </c>
      <c r="Z234" s="94">
        <f t="shared" si="17"/>
        <v>0</v>
      </c>
      <c r="AA234" s="94">
        <f t="shared" si="18"/>
        <v>0</v>
      </c>
      <c r="AB234" s="89">
        <f t="shared" si="19"/>
        <v>0</v>
      </c>
      <c r="AC234" s="89">
        <f t="shared" si="20"/>
        <v>0</v>
      </c>
      <c r="AD234" s="89">
        <v>0</v>
      </c>
      <c r="AE234" s="89">
        <v>0</v>
      </c>
      <c r="AF234" s="117"/>
      <c r="AG234" s="117"/>
      <c r="AH234" s="262"/>
      <c r="AI234" s="17"/>
      <c r="AJ234" s="17"/>
      <c r="AK234" s="17"/>
      <c r="AL234" s="17"/>
      <c r="AM234" s="17"/>
      <c r="AN234" s="17"/>
      <c r="AO234" s="17"/>
      <c r="AP234" s="15" t="str">
        <f>IFERROR(VLOOKUP(AO234,Legend!$D$2:$E$26,2,0),"")</f>
        <v/>
      </c>
      <c r="AQ234" s="15"/>
      <c r="AR234" s="17"/>
      <c r="AS234" s="17"/>
      <c r="AT234" s="15"/>
      <c r="AU234" s="17"/>
      <c r="AV234" s="17"/>
      <c r="AW234" s="17" t="s">
        <v>10</v>
      </c>
      <c r="AX234" s="15"/>
      <c r="AY234" s="15"/>
    </row>
    <row r="235" spans="1:51" x14ac:dyDescent="0.25">
      <c r="A235" s="15"/>
      <c r="B235" s="15"/>
      <c r="C235" s="15"/>
      <c r="D235" s="15"/>
      <c r="E235" s="91"/>
      <c r="F235" s="15"/>
      <c r="G235" s="15"/>
      <c r="H235" s="15"/>
      <c r="I235" s="15"/>
      <c r="J235" s="15"/>
      <c r="K235" s="89"/>
      <c r="L235" s="15"/>
      <c r="M235" s="89">
        <v>0</v>
      </c>
      <c r="N235" s="89">
        <v>0</v>
      </c>
      <c r="O235" s="89">
        <v>0</v>
      </c>
      <c r="P235" s="94">
        <v>0</v>
      </c>
      <c r="Q235" s="94">
        <v>0</v>
      </c>
      <c r="R235" s="94">
        <v>0</v>
      </c>
      <c r="S235" s="94">
        <v>0</v>
      </c>
      <c r="T235" s="89">
        <v>0</v>
      </c>
      <c r="U235" s="89">
        <v>0</v>
      </c>
      <c r="V235" s="94">
        <v>0</v>
      </c>
      <c r="W235" s="94">
        <v>0</v>
      </c>
      <c r="X235" s="94">
        <v>0</v>
      </c>
      <c r="Y235" s="89">
        <v>0</v>
      </c>
      <c r="Z235" s="94">
        <f t="shared" si="17"/>
        <v>0</v>
      </c>
      <c r="AA235" s="94">
        <f t="shared" si="18"/>
        <v>0</v>
      </c>
      <c r="AB235" s="89">
        <f t="shared" si="19"/>
        <v>0</v>
      </c>
      <c r="AC235" s="89">
        <f t="shared" si="20"/>
        <v>0</v>
      </c>
      <c r="AD235" s="89">
        <v>0</v>
      </c>
      <c r="AE235" s="89">
        <v>0</v>
      </c>
      <c r="AF235" s="117"/>
      <c r="AG235" s="117"/>
      <c r="AH235" s="262"/>
      <c r="AI235" s="17"/>
      <c r="AJ235" s="17"/>
      <c r="AK235" s="17"/>
      <c r="AL235" s="17"/>
      <c r="AM235" s="17"/>
      <c r="AN235" s="17"/>
      <c r="AO235" s="17"/>
      <c r="AP235" s="15" t="str">
        <f>IFERROR(VLOOKUP(AO235,Legend!$D$2:$E$26,2,0),"")</f>
        <v/>
      </c>
      <c r="AQ235" s="15"/>
      <c r="AR235" s="17"/>
      <c r="AS235" s="17"/>
      <c r="AT235" s="15"/>
      <c r="AU235" s="17"/>
      <c r="AV235" s="17"/>
      <c r="AW235" s="17" t="s">
        <v>10</v>
      </c>
      <c r="AX235" s="15"/>
      <c r="AY235" s="15"/>
    </row>
    <row r="236" spans="1:51" x14ac:dyDescent="0.25">
      <c r="A236" s="15"/>
      <c r="B236" s="15"/>
      <c r="C236" s="15"/>
      <c r="D236" s="15"/>
      <c r="E236" s="91"/>
      <c r="F236" s="15"/>
      <c r="G236" s="15"/>
      <c r="H236" s="15"/>
      <c r="I236" s="15"/>
      <c r="J236" s="15"/>
      <c r="K236" s="89"/>
      <c r="L236" s="15"/>
      <c r="M236" s="89">
        <v>0</v>
      </c>
      <c r="N236" s="89">
        <v>0</v>
      </c>
      <c r="O236" s="89">
        <v>0</v>
      </c>
      <c r="P236" s="94">
        <v>0</v>
      </c>
      <c r="Q236" s="94">
        <v>0</v>
      </c>
      <c r="R236" s="94">
        <v>0</v>
      </c>
      <c r="S236" s="94">
        <v>0</v>
      </c>
      <c r="T236" s="89">
        <v>0</v>
      </c>
      <c r="U236" s="89">
        <v>0</v>
      </c>
      <c r="V236" s="94">
        <v>0</v>
      </c>
      <c r="W236" s="94">
        <v>0</v>
      </c>
      <c r="X236" s="94">
        <v>0</v>
      </c>
      <c r="Y236" s="89">
        <v>0</v>
      </c>
      <c r="Z236" s="94">
        <f t="shared" si="17"/>
        <v>0</v>
      </c>
      <c r="AA236" s="94">
        <f t="shared" si="18"/>
        <v>0</v>
      </c>
      <c r="AB236" s="89">
        <f t="shared" si="19"/>
        <v>0</v>
      </c>
      <c r="AC236" s="89">
        <f t="shared" si="20"/>
        <v>0</v>
      </c>
      <c r="AD236" s="89">
        <v>0</v>
      </c>
      <c r="AE236" s="89">
        <v>0</v>
      </c>
      <c r="AF236" s="117"/>
      <c r="AG236" s="117"/>
      <c r="AH236" s="262"/>
      <c r="AI236" s="17"/>
      <c r="AJ236" s="17"/>
      <c r="AK236" s="17"/>
      <c r="AL236" s="17"/>
      <c r="AM236" s="17"/>
      <c r="AN236" s="17"/>
      <c r="AO236" s="17"/>
      <c r="AP236" s="15" t="str">
        <f>IFERROR(VLOOKUP(AO236,Legend!$D$2:$E$26,2,0),"")</f>
        <v/>
      </c>
      <c r="AQ236" s="15"/>
      <c r="AR236" s="17"/>
      <c r="AS236" s="17"/>
      <c r="AT236" s="15"/>
      <c r="AU236" s="17"/>
      <c r="AV236" s="17"/>
      <c r="AW236" s="17" t="s">
        <v>10</v>
      </c>
      <c r="AX236" s="15"/>
      <c r="AY236" s="15"/>
    </row>
    <row r="237" spans="1:51" x14ac:dyDescent="0.25">
      <c r="A237" s="15"/>
      <c r="B237" s="15"/>
      <c r="C237" s="15"/>
      <c r="D237" s="15"/>
      <c r="E237" s="91"/>
      <c r="F237" s="15"/>
      <c r="G237" s="15"/>
      <c r="H237" s="15"/>
      <c r="I237" s="15"/>
      <c r="J237" s="15"/>
      <c r="K237" s="89"/>
      <c r="L237" s="15"/>
      <c r="M237" s="89">
        <v>0</v>
      </c>
      <c r="N237" s="89">
        <v>0</v>
      </c>
      <c r="O237" s="89">
        <v>0</v>
      </c>
      <c r="P237" s="94">
        <v>0</v>
      </c>
      <c r="Q237" s="94">
        <v>0</v>
      </c>
      <c r="R237" s="94">
        <v>0</v>
      </c>
      <c r="S237" s="94">
        <v>0</v>
      </c>
      <c r="T237" s="89">
        <v>0</v>
      </c>
      <c r="U237" s="89">
        <v>0</v>
      </c>
      <c r="V237" s="94">
        <v>0</v>
      </c>
      <c r="W237" s="94">
        <v>0</v>
      </c>
      <c r="X237" s="94">
        <v>0</v>
      </c>
      <c r="Y237" s="89">
        <v>0</v>
      </c>
      <c r="Z237" s="94">
        <f t="shared" si="17"/>
        <v>0</v>
      </c>
      <c r="AA237" s="94">
        <f t="shared" si="18"/>
        <v>0</v>
      </c>
      <c r="AB237" s="89">
        <f t="shared" si="19"/>
        <v>0</v>
      </c>
      <c r="AC237" s="89">
        <f t="shared" si="20"/>
        <v>0</v>
      </c>
      <c r="AD237" s="89">
        <v>0</v>
      </c>
      <c r="AE237" s="89">
        <v>0</v>
      </c>
      <c r="AF237" s="117"/>
      <c r="AG237" s="117"/>
      <c r="AH237" s="262"/>
      <c r="AI237" s="17"/>
      <c r="AJ237" s="17"/>
      <c r="AK237" s="17"/>
      <c r="AL237" s="17"/>
      <c r="AM237" s="17"/>
      <c r="AN237" s="17"/>
      <c r="AO237" s="17"/>
      <c r="AP237" s="15" t="str">
        <f>IFERROR(VLOOKUP(AO237,Legend!$D$2:$E$26,2,0),"")</f>
        <v/>
      </c>
      <c r="AQ237" s="15"/>
      <c r="AR237" s="17"/>
      <c r="AS237" s="17"/>
      <c r="AT237" s="15"/>
      <c r="AU237" s="17"/>
      <c r="AV237" s="17"/>
      <c r="AW237" s="17" t="s">
        <v>10</v>
      </c>
      <c r="AX237" s="15"/>
      <c r="AY237" s="15"/>
    </row>
    <row r="238" spans="1:51" x14ac:dyDescent="0.25">
      <c r="A238" s="15"/>
      <c r="B238" s="15"/>
      <c r="C238" s="15"/>
      <c r="D238" s="15"/>
      <c r="E238" s="91"/>
      <c r="F238" s="15"/>
      <c r="G238" s="15"/>
      <c r="H238" s="15"/>
      <c r="I238" s="15"/>
      <c r="J238" s="15"/>
      <c r="K238" s="89"/>
      <c r="L238" s="15"/>
      <c r="M238" s="89">
        <v>0</v>
      </c>
      <c r="N238" s="89">
        <v>0</v>
      </c>
      <c r="O238" s="89">
        <v>0</v>
      </c>
      <c r="P238" s="94">
        <v>0</v>
      </c>
      <c r="Q238" s="94">
        <v>0</v>
      </c>
      <c r="R238" s="94">
        <v>0</v>
      </c>
      <c r="S238" s="94">
        <v>0</v>
      </c>
      <c r="T238" s="89">
        <v>0</v>
      </c>
      <c r="U238" s="89">
        <v>0</v>
      </c>
      <c r="V238" s="94">
        <v>0</v>
      </c>
      <c r="W238" s="94">
        <v>0</v>
      </c>
      <c r="X238" s="94">
        <v>0</v>
      </c>
      <c r="Y238" s="89">
        <v>0</v>
      </c>
      <c r="Z238" s="94">
        <f t="shared" si="17"/>
        <v>0</v>
      </c>
      <c r="AA238" s="94">
        <f t="shared" si="18"/>
        <v>0</v>
      </c>
      <c r="AB238" s="89">
        <f t="shared" si="19"/>
        <v>0</v>
      </c>
      <c r="AC238" s="89">
        <f t="shared" si="20"/>
        <v>0</v>
      </c>
      <c r="AD238" s="89">
        <v>0</v>
      </c>
      <c r="AE238" s="89">
        <v>0</v>
      </c>
      <c r="AF238" s="117"/>
      <c r="AG238" s="117"/>
      <c r="AH238" s="262"/>
      <c r="AI238" s="17"/>
      <c r="AJ238" s="17"/>
      <c r="AK238" s="17"/>
      <c r="AL238" s="17"/>
      <c r="AM238" s="17"/>
      <c r="AN238" s="17"/>
      <c r="AO238" s="17"/>
      <c r="AP238" s="15" t="str">
        <f>IFERROR(VLOOKUP(AO238,Legend!$D$2:$E$26,2,0),"")</f>
        <v/>
      </c>
      <c r="AQ238" s="15"/>
      <c r="AR238" s="17"/>
      <c r="AS238" s="17"/>
      <c r="AT238" s="15"/>
      <c r="AU238" s="17"/>
      <c r="AV238" s="17"/>
      <c r="AW238" s="17" t="s">
        <v>10</v>
      </c>
      <c r="AX238" s="15"/>
      <c r="AY238" s="15"/>
    </row>
    <row r="239" spans="1:51" x14ac:dyDescent="0.25">
      <c r="A239" s="15"/>
      <c r="B239" s="15"/>
      <c r="C239" s="15"/>
      <c r="D239" s="15"/>
      <c r="E239" s="91"/>
      <c r="F239" s="15"/>
      <c r="G239" s="15"/>
      <c r="H239" s="15"/>
      <c r="I239" s="15"/>
      <c r="J239" s="15"/>
      <c r="K239" s="89"/>
      <c r="L239" s="15"/>
      <c r="M239" s="89">
        <v>0</v>
      </c>
      <c r="N239" s="89">
        <v>0</v>
      </c>
      <c r="O239" s="89">
        <v>0</v>
      </c>
      <c r="P239" s="94">
        <v>0</v>
      </c>
      <c r="Q239" s="94">
        <v>0</v>
      </c>
      <c r="R239" s="94">
        <v>0</v>
      </c>
      <c r="S239" s="94">
        <v>0</v>
      </c>
      <c r="T239" s="89">
        <v>0</v>
      </c>
      <c r="U239" s="89">
        <v>0</v>
      </c>
      <c r="V239" s="94">
        <v>0</v>
      </c>
      <c r="W239" s="94">
        <v>0</v>
      </c>
      <c r="X239" s="94">
        <v>0</v>
      </c>
      <c r="Y239" s="89">
        <v>0</v>
      </c>
      <c r="Z239" s="94">
        <f t="shared" si="17"/>
        <v>0</v>
      </c>
      <c r="AA239" s="94">
        <f t="shared" si="18"/>
        <v>0</v>
      </c>
      <c r="AB239" s="89">
        <f t="shared" si="19"/>
        <v>0</v>
      </c>
      <c r="AC239" s="89">
        <f t="shared" si="20"/>
        <v>0</v>
      </c>
      <c r="AD239" s="89">
        <v>0</v>
      </c>
      <c r="AE239" s="89">
        <v>0</v>
      </c>
      <c r="AF239" s="117"/>
      <c r="AG239" s="117"/>
      <c r="AH239" s="262"/>
      <c r="AI239" s="17"/>
      <c r="AJ239" s="17"/>
      <c r="AK239" s="17"/>
      <c r="AL239" s="17"/>
      <c r="AM239" s="17"/>
      <c r="AN239" s="17"/>
      <c r="AO239" s="17"/>
      <c r="AP239" s="15" t="str">
        <f>IFERROR(VLOOKUP(AO239,Legend!$D$2:$E$26,2,0),"")</f>
        <v/>
      </c>
      <c r="AQ239" s="15"/>
      <c r="AR239" s="17"/>
      <c r="AS239" s="17"/>
      <c r="AT239" s="15"/>
      <c r="AU239" s="17"/>
      <c r="AV239" s="17"/>
      <c r="AW239" s="17" t="s">
        <v>10</v>
      </c>
      <c r="AX239" s="15"/>
      <c r="AY239" s="15"/>
    </row>
    <row r="240" spans="1:51" x14ac:dyDescent="0.25">
      <c r="A240" s="15"/>
      <c r="B240" s="15"/>
      <c r="C240" s="15"/>
      <c r="D240" s="15"/>
      <c r="E240" s="91"/>
      <c r="F240" s="15"/>
      <c r="G240" s="15"/>
      <c r="H240" s="15"/>
      <c r="I240" s="15"/>
      <c r="J240" s="15"/>
      <c r="K240" s="89"/>
      <c r="L240" s="15"/>
      <c r="M240" s="89">
        <v>0</v>
      </c>
      <c r="N240" s="89">
        <v>0</v>
      </c>
      <c r="O240" s="89">
        <v>0</v>
      </c>
      <c r="P240" s="94">
        <v>0</v>
      </c>
      <c r="Q240" s="94">
        <v>0</v>
      </c>
      <c r="R240" s="94">
        <v>0</v>
      </c>
      <c r="S240" s="94">
        <v>0</v>
      </c>
      <c r="T240" s="89">
        <v>0</v>
      </c>
      <c r="U240" s="89">
        <v>0</v>
      </c>
      <c r="V240" s="94">
        <v>0</v>
      </c>
      <c r="W240" s="94">
        <v>0</v>
      </c>
      <c r="X240" s="94">
        <v>0</v>
      </c>
      <c r="Y240" s="89">
        <v>0</v>
      </c>
      <c r="Z240" s="94">
        <f t="shared" si="17"/>
        <v>0</v>
      </c>
      <c r="AA240" s="94">
        <f t="shared" si="18"/>
        <v>0</v>
      </c>
      <c r="AB240" s="89">
        <f t="shared" si="19"/>
        <v>0</v>
      </c>
      <c r="AC240" s="89">
        <f t="shared" si="20"/>
        <v>0</v>
      </c>
      <c r="AD240" s="89">
        <v>0</v>
      </c>
      <c r="AE240" s="89">
        <v>0</v>
      </c>
      <c r="AF240" s="117"/>
      <c r="AG240" s="117"/>
      <c r="AH240" s="262"/>
      <c r="AI240" s="17"/>
      <c r="AJ240" s="17"/>
      <c r="AK240" s="17"/>
      <c r="AL240" s="17"/>
      <c r="AM240" s="17"/>
      <c r="AN240" s="17"/>
      <c r="AO240" s="17"/>
      <c r="AP240" s="15" t="str">
        <f>IFERROR(VLOOKUP(AO240,Legend!$D$2:$E$26,2,0),"")</f>
        <v/>
      </c>
      <c r="AQ240" s="15"/>
      <c r="AR240" s="17"/>
      <c r="AS240" s="17"/>
      <c r="AT240" s="15"/>
      <c r="AU240" s="17"/>
      <c r="AV240" s="17"/>
      <c r="AW240" s="17" t="s">
        <v>10</v>
      </c>
      <c r="AX240" s="15"/>
      <c r="AY240" s="15"/>
    </row>
    <row r="241" spans="1:51" x14ac:dyDescent="0.25">
      <c r="A241" s="15"/>
      <c r="B241" s="15"/>
      <c r="C241" s="15"/>
      <c r="D241" s="15"/>
      <c r="E241" s="91"/>
      <c r="F241" s="15"/>
      <c r="G241" s="15"/>
      <c r="H241" s="15"/>
      <c r="I241" s="15"/>
      <c r="J241" s="15"/>
      <c r="K241" s="89"/>
      <c r="L241" s="15"/>
      <c r="M241" s="89">
        <v>0</v>
      </c>
      <c r="N241" s="89">
        <v>0</v>
      </c>
      <c r="O241" s="89">
        <v>0</v>
      </c>
      <c r="P241" s="94">
        <v>0</v>
      </c>
      <c r="Q241" s="94">
        <v>0</v>
      </c>
      <c r="R241" s="94">
        <v>0</v>
      </c>
      <c r="S241" s="94">
        <v>0</v>
      </c>
      <c r="T241" s="89">
        <v>0</v>
      </c>
      <c r="U241" s="89">
        <v>0</v>
      </c>
      <c r="V241" s="94">
        <v>0</v>
      </c>
      <c r="W241" s="94">
        <v>0</v>
      </c>
      <c r="X241" s="94">
        <v>0</v>
      </c>
      <c r="Y241" s="89">
        <v>0</v>
      </c>
      <c r="Z241" s="94">
        <f t="shared" si="17"/>
        <v>0</v>
      </c>
      <c r="AA241" s="94">
        <f t="shared" si="18"/>
        <v>0</v>
      </c>
      <c r="AB241" s="89">
        <f t="shared" si="19"/>
        <v>0</v>
      </c>
      <c r="AC241" s="89">
        <f t="shared" si="20"/>
        <v>0</v>
      </c>
      <c r="AD241" s="89">
        <v>0</v>
      </c>
      <c r="AE241" s="89">
        <v>0</v>
      </c>
      <c r="AF241" s="117"/>
      <c r="AG241" s="117"/>
      <c r="AH241" s="262"/>
      <c r="AI241" s="17"/>
      <c r="AJ241" s="17"/>
      <c r="AK241" s="17"/>
      <c r="AL241" s="17"/>
      <c r="AM241" s="17"/>
      <c r="AN241" s="17"/>
      <c r="AO241" s="17"/>
      <c r="AP241" s="15" t="str">
        <f>IFERROR(VLOOKUP(AO241,Legend!$D$2:$E$26,2,0),"")</f>
        <v/>
      </c>
      <c r="AQ241" s="15"/>
      <c r="AR241" s="17"/>
      <c r="AS241" s="17"/>
      <c r="AT241" s="15"/>
      <c r="AU241" s="17"/>
      <c r="AV241" s="17"/>
      <c r="AW241" s="17" t="s">
        <v>10</v>
      </c>
      <c r="AX241" s="15"/>
      <c r="AY241" s="15"/>
    </row>
    <row r="242" spans="1:51" x14ac:dyDescent="0.25">
      <c r="A242" s="15"/>
      <c r="B242" s="15"/>
      <c r="C242" s="15"/>
      <c r="D242" s="15"/>
      <c r="E242" s="91"/>
      <c r="F242" s="15"/>
      <c r="G242" s="15"/>
      <c r="H242" s="15"/>
      <c r="I242" s="15"/>
      <c r="J242" s="15"/>
      <c r="K242" s="89"/>
      <c r="L242" s="15"/>
      <c r="M242" s="89">
        <v>0</v>
      </c>
      <c r="N242" s="89">
        <v>0</v>
      </c>
      <c r="O242" s="89">
        <v>0</v>
      </c>
      <c r="P242" s="94">
        <v>0</v>
      </c>
      <c r="Q242" s="94">
        <v>0</v>
      </c>
      <c r="R242" s="94">
        <v>0</v>
      </c>
      <c r="S242" s="94">
        <v>0</v>
      </c>
      <c r="T242" s="89">
        <v>0</v>
      </c>
      <c r="U242" s="89">
        <v>0</v>
      </c>
      <c r="V242" s="94">
        <v>0</v>
      </c>
      <c r="W242" s="94">
        <v>0</v>
      </c>
      <c r="X242" s="94">
        <v>0</v>
      </c>
      <c r="Y242" s="89">
        <v>0</v>
      </c>
      <c r="Z242" s="94">
        <f t="shared" si="17"/>
        <v>0</v>
      </c>
      <c r="AA242" s="94">
        <f t="shared" si="18"/>
        <v>0</v>
      </c>
      <c r="AB242" s="89">
        <f t="shared" si="19"/>
        <v>0</v>
      </c>
      <c r="AC242" s="89">
        <f t="shared" si="20"/>
        <v>0</v>
      </c>
      <c r="AD242" s="89">
        <v>0</v>
      </c>
      <c r="AE242" s="89">
        <v>0</v>
      </c>
      <c r="AF242" s="117"/>
      <c r="AG242" s="117"/>
      <c r="AH242" s="262"/>
      <c r="AI242" s="17"/>
      <c r="AJ242" s="17"/>
      <c r="AK242" s="17"/>
      <c r="AL242" s="17"/>
      <c r="AM242" s="17"/>
      <c r="AN242" s="17"/>
      <c r="AO242" s="17"/>
      <c r="AP242" s="15" t="str">
        <f>IFERROR(VLOOKUP(AO242,Legend!$D$2:$E$26,2,0),"")</f>
        <v/>
      </c>
      <c r="AQ242" s="15"/>
      <c r="AR242" s="17"/>
      <c r="AS242" s="17"/>
      <c r="AT242" s="15"/>
      <c r="AU242" s="17"/>
      <c r="AV242" s="17"/>
      <c r="AW242" s="17" t="s">
        <v>10</v>
      </c>
      <c r="AX242" s="15"/>
      <c r="AY242" s="15"/>
    </row>
    <row r="243" spans="1:51" x14ac:dyDescent="0.25">
      <c r="A243" s="15"/>
      <c r="B243" s="15"/>
      <c r="C243" s="15"/>
      <c r="D243" s="15"/>
      <c r="E243" s="91"/>
      <c r="F243" s="15"/>
      <c r="G243" s="15"/>
      <c r="H243" s="15"/>
      <c r="I243" s="15"/>
      <c r="J243" s="15"/>
      <c r="K243" s="89"/>
      <c r="L243" s="15"/>
      <c r="M243" s="89">
        <v>0</v>
      </c>
      <c r="N243" s="89">
        <v>0</v>
      </c>
      <c r="O243" s="89">
        <v>0</v>
      </c>
      <c r="P243" s="94">
        <v>0</v>
      </c>
      <c r="Q243" s="94">
        <v>0</v>
      </c>
      <c r="R243" s="94">
        <v>0</v>
      </c>
      <c r="S243" s="94">
        <v>0</v>
      </c>
      <c r="T243" s="89">
        <v>0</v>
      </c>
      <c r="U243" s="89">
        <v>0</v>
      </c>
      <c r="V243" s="94">
        <v>0</v>
      </c>
      <c r="W243" s="94">
        <v>0</v>
      </c>
      <c r="X243" s="94">
        <v>0</v>
      </c>
      <c r="Y243" s="89">
        <v>0</v>
      </c>
      <c r="Z243" s="94">
        <f t="shared" si="17"/>
        <v>0</v>
      </c>
      <c r="AA243" s="94">
        <f t="shared" si="18"/>
        <v>0</v>
      </c>
      <c r="AB243" s="89">
        <f t="shared" si="19"/>
        <v>0</v>
      </c>
      <c r="AC243" s="89">
        <f t="shared" si="20"/>
        <v>0</v>
      </c>
      <c r="AD243" s="89">
        <v>0</v>
      </c>
      <c r="AE243" s="89">
        <v>0</v>
      </c>
      <c r="AF243" s="117"/>
      <c r="AG243" s="117"/>
      <c r="AH243" s="262"/>
      <c r="AI243" s="17"/>
      <c r="AJ243" s="17"/>
      <c r="AK243" s="17"/>
      <c r="AL243" s="17"/>
      <c r="AM243" s="17"/>
      <c r="AN243" s="17"/>
      <c r="AO243" s="17"/>
      <c r="AP243" s="15" t="str">
        <f>IFERROR(VLOOKUP(AO243,Legend!$D$2:$E$26,2,0),"")</f>
        <v/>
      </c>
      <c r="AQ243" s="15"/>
      <c r="AR243" s="17"/>
      <c r="AS243" s="17"/>
      <c r="AT243" s="15"/>
      <c r="AU243" s="17"/>
      <c r="AV243" s="17"/>
      <c r="AW243" s="17" t="s">
        <v>10</v>
      </c>
      <c r="AX243" s="15"/>
      <c r="AY243" s="15"/>
    </row>
    <row r="244" spans="1:51" x14ac:dyDescent="0.25">
      <c r="A244" s="15"/>
      <c r="B244" s="15"/>
      <c r="C244" s="15"/>
      <c r="D244" s="15"/>
      <c r="E244" s="91"/>
      <c r="F244" s="15"/>
      <c r="G244" s="15"/>
      <c r="H244" s="15"/>
      <c r="I244" s="15"/>
      <c r="J244" s="15"/>
      <c r="K244" s="89"/>
      <c r="L244" s="15"/>
      <c r="M244" s="89">
        <v>0</v>
      </c>
      <c r="N244" s="89">
        <v>0</v>
      </c>
      <c r="O244" s="89">
        <v>0</v>
      </c>
      <c r="P244" s="94">
        <v>0</v>
      </c>
      <c r="Q244" s="94">
        <v>0</v>
      </c>
      <c r="R244" s="94">
        <v>0</v>
      </c>
      <c r="S244" s="94">
        <v>0</v>
      </c>
      <c r="T244" s="89">
        <v>0</v>
      </c>
      <c r="U244" s="89">
        <v>0</v>
      </c>
      <c r="V244" s="94">
        <v>0</v>
      </c>
      <c r="W244" s="94">
        <v>0</v>
      </c>
      <c r="X244" s="94">
        <v>0</v>
      </c>
      <c r="Y244" s="89">
        <v>0</v>
      </c>
      <c r="Z244" s="94">
        <f t="shared" si="17"/>
        <v>0</v>
      </c>
      <c r="AA244" s="94">
        <f t="shared" si="18"/>
        <v>0</v>
      </c>
      <c r="AB244" s="89">
        <f t="shared" si="19"/>
        <v>0</v>
      </c>
      <c r="AC244" s="89">
        <f t="shared" si="20"/>
        <v>0</v>
      </c>
      <c r="AD244" s="89">
        <v>0</v>
      </c>
      <c r="AE244" s="89">
        <v>0</v>
      </c>
      <c r="AF244" s="117"/>
      <c r="AG244" s="117"/>
      <c r="AH244" s="262"/>
      <c r="AI244" s="17"/>
      <c r="AJ244" s="17"/>
      <c r="AK244" s="17"/>
      <c r="AL244" s="17"/>
      <c r="AM244" s="17"/>
      <c r="AN244" s="17"/>
      <c r="AO244" s="17"/>
      <c r="AP244" s="15" t="str">
        <f>IFERROR(VLOOKUP(AO244,Legend!$D$2:$E$26,2,0),"")</f>
        <v/>
      </c>
      <c r="AQ244" s="15"/>
      <c r="AR244" s="17"/>
      <c r="AS244" s="17"/>
      <c r="AT244" s="15"/>
      <c r="AU244" s="17"/>
      <c r="AV244" s="17"/>
      <c r="AW244" s="17" t="s">
        <v>10</v>
      </c>
      <c r="AX244" s="15"/>
      <c r="AY244" s="15"/>
    </row>
    <row r="245" spans="1:51" x14ac:dyDescent="0.25">
      <c r="A245" s="15"/>
      <c r="B245" s="15"/>
      <c r="C245" s="15"/>
      <c r="D245" s="15"/>
      <c r="E245" s="91"/>
      <c r="F245" s="15"/>
      <c r="G245" s="15"/>
      <c r="H245" s="15"/>
      <c r="I245" s="15"/>
      <c r="J245" s="15"/>
      <c r="K245" s="89"/>
      <c r="L245" s="15"/>
      <c r="M245" s="89">
        <v>0</v>
      </c>
      <c r="N245" s="89">
        <v>0</v>
      </c>
      <c r="O245" s="89">
        <v>0</v>
      </c>
      <c r="P245" s="94">
        <v>0</v>
      </c>
      <c r="Q245" s="94">
        <v>0</v>
      </c>
      <c r="R245" s="94">
        <v>0</v>
      </c>
      <c r="S245" s="94">
        <v>0</v>
      </c>
      <c r="T245" s="89">
        <v>0</v>
      </c>
      <c r="U245" s="89">
        <v>0</v>
      </c>
      <c r="V245" s="94">
        <v>0</v>
      </c>
      <c r="W245" s="94">
        <v>0</v>
      </c>
      <c r="X245" s="94">
        <v>0</v>
      </c>
      <c r="Y245" s="89">
        <v>0</v>
      </c>
      <c r="Z245" s="94">
        <f t="shared" si="17"/>
        <v>0</v>
      </c>
      <c r="AA245" s="94">
        <f t="shared" si="18"/>
        <v>0</v>
      </c>
      <c r="AB245" s="89">
        <f t="shared" si="19"/>
        <v>0</v>
      </c>
      <c r="AC245" s="89">
        <f t="shared" si="20"/>
        <v>0</v>
      </c>
      <c r="AD245" s="89">
        <v>0</v>
      </c>
      <c r="AE245" s="89">
        <v>0</v>
      </c>
      <c r="AF245" s="117"/>
      <c r="AG245" s="117"/>
      <c r="AH245" s="262"/>
      <c r="AI245" s="17"/>
      <c r="AJ245" s="17"/>
      <c r="AK245" s="17"/>
      <c r="AL245" s="17"/>
      <c r="AM245" s="17"/>
      <c r="AN245" s="17"/>
      <c r="AO245" s="17"/>
      <c r="AP245" s="15" t="str">
        <f>IFERROR(VLOOKUP(AO245,Legend!$D$2:$E$26,2,0),"")</f>
        <v/>
      </c>
      <c r="AQ245" s="15"/>
      <c r="AR245" s="17"/>
      <c r="AS245" s="17"/>
      <c r="AT245" s="15"/>
      <c r="AU245" s="17"/>
      <c r="AV245" s="17"/>
      <c r="AW245" s="17" t="s">
        <v>10</v>
      </c>
      <c r="AX245" s="15"/>
      <c r="AY245" s="15"/>
    </row>
    <row r="246" spans="1:51" x14ac:dyDescent="0.25">
      <c r="A246" s="15"/>
      <c r="B246" s="15"/>
      <c r="C246" s="15"/>
      <c r="D246" s="15"/>
      <c r="E246" s="91"/>
      <c r="F246" s="15"/>
      <c r="G246" s="15"/>
      <c r="H246" s="15"/>
      <c r="I246" s="15"/>
      <c r="J246" s="15"/>
      <c r="K246" s="89"/>
      <c r="L246" s="15"/>
      <c r="M246" s="89">
        <v>0</v>
      </c>
      <c r="N246" s="89">
        <v>0</v>
      </c>
      <c r="O246" s="89">
        <v>0</v>
      </c>
      <c r="P246" s="94">
        <v>0</v>
      </c>
      <c r="Q246" s="94">
        <v>0</v>
      </c>
      <c r="R246" s="94">
        <v>0</v>
      </c>
      <c r="S246" s="94">
        <v>0</v>
      </c>
      <c r="T246" s="89">
        <v>0</v>
      </c>
      <c r="U246" s="89">
        <v>0</v>
      </c>
      <c r="V246" s="94">
        <v>0</v>
      </c>
      <c r="W246" s="94">
        <v>0</v>
      </c>
      <c r="X246" s="94">
        <v>0</v>
      </c>
      <c r="Y246" s="89">
        <v>0</v>
      </c>
      <c r="Z246" s="94">
        <f t="shared" si="17"/>
        <v>0</v>
      </c>
      <c r="AA246" s="94">
        <f t="shared" si="18"/>
        <v>0</v>
      </c>
      <c r="AB246" s="89">
        <f t="shared" si="19"/>
        <v>0</v>
      </c>
      <c r="AC246" s="89">
        <f t="shared" si="20"/>
        <v>0</v>
      </c>
      <c r="AD246" s="89">
        <v>0</v>
      </c>
      <c r="AE246" s="89">
        <v>0</v>
      </c>
      <c r="AF246" s="117"/>
      <c r="AG246" s="117"/>
      <c r="AH246" s="262"/>
      <c r="AI246" s="17"/>
      <c r="AJ246" s="17"/>
      <c r="AK246" s="17"/>
      <c r="AL246" s="17"/>
      <c r="AM246" s="17"/>
      <c r="AN246" s="17"/>
      <c r="AO246" s="17"/>
      <c r="AP246" s="15" t="str">
        <f>IFERROR(VLOOKUP(AO246,Legend!$D$2:$E$26,2,0),"")</f>
        <v/>
      </c>
      <c r="AQ246" s="15"/>
      <c r="AR246" s="17"/>
      <c r="AS246" s="17"/>
      <c r="AT246" s="15"/>
      <c r="AU246" s="17"/>
      <c r="AV246" s="17"/>
      <c r="AW246" s="17" t="s">
        <v>10</v>
      </c>
      <c r="AX246" s="15"/>
      <c r="AY246" s="15"/>
    </row>
    <row r="247" spans="1:51" x14ac:dyDescent="0.25">
      <c r="A247" s="15"/>
      <c r="B247" s="15"/>
      <c r="C247" s="15"/>
      <c r="D247" s="15"/>
      <c r="E247" s="91"/>
      <c r="F247" s="15"/>
      <c r="G247" s="15"/>
      <c r="H247" s="15"/>
      <c r="I247" s="15"/>
      <c r="J247" s="15"/>
      <c r="K247" s="89"/>
      <c r="L247" s="15"/>
      <c r="M247" s="89">
        <v>0</v>
      </c>
      <c r="N247" s="89">
        <v>0</v>
      </c>
      <c r="O247" s="89">
        <v>0</v>
      </c>
      <c r="P247" s="94">
        <v>0</v>
      </c>
      <c r="Q247" s="94">
        <v>0</v>
      </c>
      <c r="R247" s="94">
        <v>0</v>
      </c>
      <c r="S247" s="94">
        <v>0</v>
      </c>
      <c r="T247" s="89">
        <v>0</v>
      </c>
      <c r="U247" s="89">
        <v>0</v>
      </c>
      <c r="V247" s="94">
        <v>0</v>
      </c>
      <c r="W247" s="94">
        <v>0</v>
      </c>
      <c r="X247" s="94">
        <v>0</v>
      </c>
      <c r="Y247" s="89">
        <v>0</v>
      </c>
      <c r="Z247" s="94">
        <f t="shared" si="17"/>
        <v>0</v>
      </c>
      <c r="AA247" s="94">
        <f t="shared" si="18"/>
        <v>0</v>
      </c>
      <c r="AB247" s="89">
        <f t="shared" si="19"/>
        <v>0</v>
      </c>
      <c r="AC247" s="89">
        <f t="shared" si="20"/>
        <v>0</v>
      </c>
      <c r="AD247" s="89">
        <v>0</v>
      </c>
      <c r="AE247" s="89">
        <v>0</v>
      </c>
      <c r="AF247" s="117"/>
      <c r="AG247" s="117"/>
      <c r="AH247" s="262"/>
      <c r="AI247" s="17"/>
      <c r="AJ247" s="17"/>
      <c r="AK247" s="17"/>
      <c r="AL247" s="17"/>
      <c r="AM247" s="17"/>
      <c r="AN247" s="17"/>
      <c r="AO247" s="17"/>
      <c r="AP247" s="15" t="str">
        <f>IFERROR(VLOOKUP(AO247,Legend!$D$2:$E$26,2,0),"")</f>
        <v/>
      </c>
      <c r="AQ247" s="15"/>
      <c r="AR247" s="17"/>
      <c r="AS247" s="17"/>
      <c r="AT247" s="15"/>
      <c r="AU247" s="17"/>
      <c r="AV247" s="17"/>
      <c r="AW247" s="17" t="s">
        <v>10</v>
      </c>
      <c r="AX247" s="15"/>
      <c r="AY247" s="15"/>
    </row>
    <row r="248" spans="1:51" x14ac:dyDescent="0.25">
      <c r="A248" s="15"/>
      <c r="B248" s="15"/>
      <c r="C248" s="15"/>
      <c r="D248" s="15"/>
      <c r="E248" s="91"/>
      <c r="F248" s="15"/>
      <c r="G248" s="15"/>
      <c r="H248" s="15"/>
      <c r="I248" s="15"/>
      <c r="J248" s="15"/>
      <c r="K248" s="89"/>
      <c r="L248" s="15"/>
      <c r="M248" s="89">
        <v>0</v>
      </c>
      <c r="N248" s="89">
        <v>0</v>
      </c>
      <c r="O248" s="89">
        <v>0</v>
      </c>
      <c r="P248" s="94">
        <v>0</v>
      </c>
      <c r="Q248" s="94">
        <v>0</v>
      </c>
      <c r="R248" s="94">
        <v>0</v>
      </c>
      <c r="S248" s="94">
        <v>0</v>
      </c>
      <c r="T248" s="89">
        <v>0</v>
      </c>
      <c r="U248" s="89">
        <v>0</v>
      </c>
      <c r="V248" s="94">
        <v>0</v>
      </c>
      <c r="W248" s="94">
        <v>0</v>
      </c>
      <c r="X248" s="94">
        <v>0</v>
      </c>
      <c r="Y248" s="89">
        <v>0</v>
      </c>
      <c r="Z248" s="94">
        <f t="shared" si="17"/>
        <v>0</v>
      </c>
      <c r="AA248" s="94">
        <f t="shared" si="18"/>
        <v>0</v>
      </c>
      <c r="AB248" s="89">
        <f t="shared" si="19"/>
        <v>0</v>
      </c>
      <c r="AC248" s="89">
        <f t="shared" si="20"/>
        <v>0</v>
      </c>
      <c r="AD248" s="89">
        <v>0</v>
      </c>
      <c r="AE248" s="89">
        <v>0</v>
      </c>
      <c r="AF248" s="117"/>
      <c r="AG248" s="117"/>
      <c r="AH248" s="262"/>
      <c r="AI248" s="17"/>
      <c r="AJ248" s="17"/>
      <c r="AK248" s="17"/>
      <c r="AL248" s="17"/>
      <c r="AM248" s="17"/>
      <c r="AN248" s="17"/>
      <c r="AO248" s="17"/>
      <c r="AP248" s="15" t="str">
        <f>IFERROR(VLOOKUP(AO248,Legend!$D$2:$E$26,2,0),"")</f>
        <v/>
      </c>
      <c r="AQ248" s="15"/>
      <c r="AR248" s="17"/>
      <c r="AS248" s="17"/>
      <c r="AT248" s="15"/>
      <c r="AU248" s="17"/>
      <c r="AV248" s="17"/>
      <c r="AW248" s="17" t="s">
        <v>10</v>
      </c>
      <c r="AX248" s="15"/>
      <c r="AY248" s="15"/>
    </row>
    <row r="249" spans="1:51" x14ac:dyDescent="0.25">
      <c r="A249" s="15"/>
      <c r="B249" s="15"/>
      <c r="C249" s="15"/>
      <c r="D249" s="15"/>
      <c r="E249" s="91"/>
      <c r="F249" s="15"/>
      <c r="G249" s="15"/>
      <c r="H249" s="15"/>
      <c r="I249" s="15"/>
      <c r="J249" s="15"/>
      <c r="K249" s="89"/>
      <c r="L249" s="15"/>
      <c r="M249" s="89">
        <v>0</v>
      </c>
      <c r="N249" s="89">
        <v>0</v>
      </c>
      <c r="O249" s="89">
        <v>0</v>
      </c>
      <c r="P249" s="94">
        <v>0</v>
      </c>
      <c r="Q249" s="94">
        <v>0</v>
      </c>
      <c r="R249" s="94">
        <v>0</v>
      </c>
      <c r="S249" s="94">
        <v>0</v>
      </c>
      <c r="T249" s="89">
        <v>0</v>
      </c>
      <c r="U249" s="89">
        <v>0</v>
      </c>
      <c r="V249" s="94">
        <v>0</v>
      </c>
      <c r="W249" s="94">
        <v>0</v>
      </c>
      <c r="X249" s="94">
        <v>0</v>
      </c>
      <c r="Y249" s="89">
        <v>0</v>
      </c>
      <c r="Z249" s="94">
        <f t="shared" si="17"/>
        <v>0</v>
      </c>
      <c r="AA249" s="94">
        <f t="shared" si="18"/>
        <v>0</v>
      </c>
      <c r="AB249" s="89">
        <f t="shared" si="19"/>
        <v>0</v>
      </c>
      <c r="AC249" s="89">
        <f t="shared" si="20"/>
        <v>0</v>
      </c>
      <c r="AD249" s="89">
        <v>0</v>
      </c>
      <c r="AE249" s="89">
        <v>0</v>
      </c>
      <c r="AF249" s="117"/>
      <c r="AG249" s="117"/>
      <c r="AH249" s="262"/>
      <c r="AI249" s="17"/>
      <c r="AJ249" s="17"/>
      <c r="AK249" s="17"/>
      <c r="AL249" s="17"/>
      <c r="AM249" s="17"/>
      <c r="AN249" s="17"/>
      <c r="AO249" s="17"/>
      <c r="AP249" s="15" t="str">
        <f>IFERROR(VLOOKUP(AO249,Legend!$D$2:$E$26,2,0),"")</f>
        <v/>
      </c>
      <c r="AQ249" s="15"/>
      <c r="AR249" s="17"/>
      <c r="AS249" s="17"/>
      <c r="AT249" s="15"/>
      <c r="AU249" s="17"/>
      <c r="AV249" s="17"/>
      <c r="AW249" s="17" t="s">
        <v>10</v>
      </c>
      <c r="AX249" s="15"/>
      <c r="AY249" s="15"/>
    </row>
    <row r="250" spans="1:51" x14ac:dyDescent="0.25">
      <c r="A250" s="15"/>
      <c r="B250" s="15"/>
      <c r="C250" s="15"/>
      <c r="D250" s="15"/>
      <c r="E250" s="91"/>
      <c r="F250" s="15"/>
      <c r="G250" s="15"/>
      <c r="H250" s="15"/>
      <c r="I250" s="15"/>
      <c r="J250" s="15"/>
      <c r="K250" s="89"/>
      <c r="L250" s="15"/>
      <c r="M250" s="89">
        <v>0</v>
      </c>
      <c r="N250" s="89">
        <v>0</v>
      </c>
      <c r="O250" s="89">
        <v>0</v>
      </c>
      <c r="P250" s="94">
        <v>0</v>
      </c>
      <c r="Q250" s="94">
        <v>0</v>
      </c>
      <c r="R250" s="94">
        <v>0</v>
      </c>
      <c r="S250" s="94">
        <v>0</v>
      </c>
      <c r="T250" s="89">
        <v>0</v>
      </c>
      <c r="U250" s="89">
        <v>0</v>
      </c>
      <c r="V250" s="94">
        <v>0</v>
      </c>
      <c r="W250" s="94">
        <v>0</v>
      </c>
      <c r="X250" s="94">
        <v>0</v>
      </c>
      <c r="Y250" s="89">
        <v>0</v>
      </c>
      <c r="Z250" s="94">
        <f t="shared" si="17"/>
        <v>0</v>
      </c>
      <c r="AA250" s="94">
        <f t="shared" si="18"/>
        <v>0</v>
      </c>
      <c r="AB250" s="89">
        <f t="shared" si="19"/>
        <v>0</v>
      </c>
      <c r="AC250" s="89">
        <f t="shared" si="20"/>
        <v>0</v>
      </c>
      <c r="AD250" s="89">
        <v>0</v>
      </c>
      <c r="AE250" s="89">
        <v>0</v>
      </c>
      <c r="AF250" s="117"/>
      <c r="AG250" s="117"/>
      <c r="AH250" s="262"/>
      <c r="AI250" s="17"/>
      <c r="AJ250" s="17"/>
      <c r="AK250" s="17"/>
      <c r="AL250" s="17"/>
      <c r="AM250" s="17"/>
      <c r="AN250" s="17"/>
      <c r="AO250" s="17"/>
      <c r="AP250" s="15" t="str">
        <f>IFERROR(VLOOKUP(AO250,Legend!$D$2:$E$26,2,0),"")</f>
        <v/>
      </c>
      <c r="AQ250" s="15"/>
      <c r="AR250" s="17"/>
      <c r="AS250" s="17"/>
      <c r="AT250" s="15"/>
      <c r="AU250" s="17"/>
      <c r="AV250" s="17"/>
      <c r="AW250" s="17" t="s">
        <v>10</v>
      </c>
      <c r="AX250" s="15"/>
      <c r="AY250" s="15"/>
    </row>
    <row r="251" spans="1:51" x14ac:dyDescent="0.25">
      <c r="A251" s="15"/>
      <c r="B251" s="15"/>
      <c r="C251" s="15"/>
      <c r="D251" s="15"/>
      <c r="E251" s="91"/>
      <c r="F251" s="15"/>
      <c r="G251" s="15"/>
      <c r="H251" s="15"/>
      <c r="I251" s="15"/>
      <c r="J251" s="15"/>
      <c r="K251" s="89"/>
      <c r="L251" s="15"/>
      <c r="M251" s="89">
        <v>0</v>
      </c>
      <c r="N251" s="89">
        <v>0</v>
      </c>
      <c r="O251" s="89">
        <v>0</v>
      </c>
      <c r="P251" s="94">
        <v>0</v>
      </c>
      <c r="Q251" s="94">
        <v>0</v>
      </c>
      <c r="R251" s="94">
        <v>0</v>
      </c>
      <c r="S251" s="94">
        <v>0</v>
      </c>
      <c r="T251" s="89">
        <v>0</v>
      </c>
      <c r="U251" s="89">
        <v>0</v>
      </c>
      <c r="V251" s="94">
        <v>0</v>
      </c>
      <c r="W251" s="94">
        <v>0</v>
      </c>
      <c r="X251" s="94">
        <v>0</v>
      </c>
      <c r="Y251" s="89">
        <v>0</v>
      </c>
      <c r="Z251" s="94">
        <f t="shared" si="17"/>
        <v>0</v>
      </c>
      <c r="AA251" s="94">
        <f t="shared" si="18"/>
        <v>0</v>
      </c>
      <c r="AB251" s="89">
        <f t="shared" si="19"/>
        <v>0</v>
      </c>
      <c r="AC251" s="89">
        <f t="shared" si="20"/>
        <v>0</v>
      </c>
      <c r="AD251" s="89">
        <v>0</v>
      </c>
      <c r="AE251" s="89">
        <v>0</v>
      </c>
      <c r="AF251" s="117"/>
      <c r="AG251" s="117"/>
      <c r="AH251" s="262"/>
      <c r="AI251" s="17"/>
      <c r="AJ251" s="17"/>
      <c r="AK251" s="17"/>
      <c r="AL251" s="17"/>
      <c r="AM251" s="17"/>
      <c r="AN251" s="17"/>
      <c r="AO251" s="17"/>
      <c r="AP251" s="15" t="str">
        <f>IFERROR(VLOOKUP(AO251,Legend!$D$2:$E$26,2,0),"")</f>
        <v/>
      </c>
      <c r="AQ251" s="15"/>
      <c r="AR251" s="17"/>
      <c r="AS251" s="17"/>
      <c r="AT251" s="15"/>
      <c r="AU251" s="17"/>
      <c r="AV251" s="17"/>
      <c r="AW251" s="17" t="s">
        <v>10</v>
      </c>
      <c r="AX251" s="15"/>
      <c r="AY251" s="15"/>
    </row>
    <row r="252" spans="1:51" x14ac:dyDescent="0.25">
      <c r="A252" s="15"/>
      <c r="B252" s="15"/>
      <c r="C252" s="15"/>
      <c r="D252" s="15"/>
      <c r="E252" s="91"/>
      <c r="F252" s="15"/>
      <c r="G252" s="15"/>
      <c r="H252" s="15"/>
      <c r="I252" s="15"/>
      <c r="J252" s="15"/>
      <c r="K252" s="89"/>
      <c r="L252" s="15"/>
      <c r="M252" s="89">
        <v>0</v>
      </c>
      <c r="N252" s="89">
        <v>0</v>
      </c>
      <c r="O252" s="89">
        <v>0</v>
      </c>
      <c r="P252" s="94">
        <v>0</v>
      </c>
      <c r="Q252" s="94">
        <v>0</v>
      </c>
      <c r="R252" s="94">
        <v>0</v>
      </c>
      <c r="S252" s="94">
        <v>0</v>
      </c>
      <c r="T252" s="89">
        <v>0</v>
      </c>
      <c r="U252" s="89">
        <v>0</v>
      </c>
      <c r="V252" s="94">
        <v>0</v>
      </c>
      <c r="W252" s="94">
        <v>0</v>
      </c>
      <c r="X252" s="94">
        <v>0</v>
      </c>
      <c r="Y252" s="89">
        <v>0</v>
      </c>
      <c r="Z252" s="94">
        <f t="shared" si="17"/>
        <v>0</v>
      </c>
      <c r="AA252" s="94">
        <f t="shared" si="18"/>
        <v>0</v>
      </c>
      <c r="AB252" s="89">
        <f t="shared" si="19"/>
        <v>0</v>
      </c>
      <c r="AC252" s="89">
        <f t="shared" si="20"/>
        <v>0</v>
      </c>
      <c r="AD252" s="89">
        <v>0</v>
      </c>
      <c r="AE252" s="89">
        <v>0</v>
      </c>
      <c r="AF252" s="117"/>
      <c r="AG252" s="117"/>
      <c r="AH252" s="262"/>
      <c r="AI252" s="17"/>
      <c r="AJ252" s="17"/>
      <c r="AK252" s="17"/>
      <c r="AL252" s="17"/>
      <c r="AM252" s="17"/>
      <c r="AN252" s="17"/>
      <c r="AO252" s="17"/>
      <c r="AP252" s="15" t="str">
        <f>IFERROR(VLOOKUP(AO252,Legend!$D$2:$E$26,2,0),"")</f>
        <v/>
      </c>
      <c r="AQ252" s="15"/>
      <c r="AR252" s="17"/>
      <c r="AS252" s="17"/>
      <c r="AT252" s="15"/>
      <c r="AU252" s="17"/>
      <c r="AV252" s="17"/>
      <c r="AW252" s="17" t="s">
        <v>10</v>
      </c>
      <c r="AX252" s="15"/>
      <c r="AY252" s="15"/>
    </row>
    <row r="253" spans="1:51" x14ac:dyDescent="0.25">
      <c r="A253" s="15"/>
      <c r="B253" s="15"/>
      <c r="C253" s="15"/>
      <c r="D253" s="15"/>
      <c r="E253" s="91"/>
      <c r="F253" s="15"/>
      <c r="G253" s="15"/>
      <c r="H253" s="15"/>
      <c r="I253" s="15"/>
      <c r="J253" s="15"/>
      <c r="K253" s="89"/>
      <c r="L253" s="15"/>
      <c r="M253" s="89">
        <v>0</v>
      </c>
      <c r="N253" s="89">
        <v>0</v>
      </c>
      <c r="O253" s="89">
        <v>0</v>
      </c>
      <c r="P253" s="94">
        <v>0</v>
      </c>
      <c r="Q253" s="94">
        <v>0</v>
      </c>
      <c r="R253" s="94">
        <v>0</v>
      </c>
      <c r="S253" s="94">
        <v>0</v>
      </c>
      <c r="T253" s="89">
        <v>0</v>
      </c>
      <c r="U253" s="89">
        <v>0</v>
      </c>
      <c r="V253" s="94">
        <v>0</v>
      </c>
      <c r="W253" s="94">
        <v>0</v>
      </c>
      <c r="X253" s="94">
        <v>0</v>
      </c>
      <c r="Y253" s="89">
        <v>0</v>
      </c>
      <c r="Z253" s="94">
        <f t="shared" si="17"/>
        <v>0</v>
      </c>
      <c r="AA253" s="94">
        <f t="shared" si="18"/>
        <v>0</v>
      </c>
      <c r="AB253" s="89">
        <f t="shared" si="19"/>
        <v>0</v>
      </c>
      <c r="AC253" s="89">
        <f t="shared" si="20"/>
        <v>0</v>
      </c>
      <c r="AD253" s="89">
        <v>0</v>
      </c>
      <c r="AE253" s="89">
        <v>0</v>
      </c>
      <c r="AF253" s="117"/>
      <c r="AG253" s="117"/>
      <c r="AH253" s="262"/>
      <c r="AI253" s="17"/>
      <c r="AJ253" s="17"/>
      <c r="AK253" s="17"/>
      <c r="AL253" s="17"/>
      <c r="AM253" s="17"/>
      <c r="AN253" s="17"/>
      <c r="AO253" s="17"/>
      <c r="AP253" s="15" t="str">
        <f>IFERROR(VLOOKUP(AO253,Legend!$D$2:$E$26,2,0),"")</f>
        <v/>
      </c>
      <c r="AQ253" s="15"/>
      <c r="AR253" s="17"/>
      <c r="AS253" s="17"/>
      <c r="AT253" s="15"/>
      <c r="AU253" s="17"/>
      <c r="AV253" s="17"/>
      <c r="AW253" s="17" t="s">
        <v>10</v>
      </c>
      <c r="AX253" s="15"/>
      <c r="AY253" s="15"/>
    </row>
    <row r="254" spans="1:51" x14ac:dyDescent="0.25">
      <c r="A254" s="15"/>
      <c r="B254" s="15"/>
      <c r="C254" s="15"/>
      <c r="D254" s="15"/>
      <c r="E254" s="91"/>
      <c r="F254" s="15"/>
      <c r="G254" s="15"/>
      <c r="H254" s="15"/>
      <c r="I254" s="15"/>
      <c r="J254" s="15"/>
      <c r="K254" s="89"/>
      <c r="L254" s="15"/>
      <c r="M254" s="89">
        <v>0</v>
      </c>
      <c r="N254" s="89">
        <v>0</v>
      </c>
      <c r="O254" s="89">
        <v>0</v>
      </c>
      <c r="P254" s="94">
        <v>0</v>
      </c>
      <c r="Q254" s="94">
        <v>0</v>
      </c>
      <c r="R254" s="94">
        <v>0</v>
      </c>
      <c r="S254" s="94">
        <v>0</v>
      </c>
      <c r="T254" s="89">
        <v>0</v>
      </c>
      <c r="U254" s="89">
        <v>0</v>
      </c>
      <c r="V254" s="94">
        <v>0</v>
      </c>
      <c r="W254" s="94">
        <v>0</v>
      </c>
      <c r="X254" s="94">
        <v>0</v>
      </c>
      <c r="Y254" s="89">
        <v>0</v>
      </c>
      <c r="Z254" s="94">
        <f t="shared" si="17"/>
        <v>0</v>
      </c>
      <c r="AA254" s="94">
        <f t="shared" si="18"/>
        <v>0</v>
      </c>
      <c r="AB254" s="89">
        <f t="shared" si="19"/>
        <v>0</v>
      </c>
      <c r="AC254" s="89">
        <f t="shared" si="20"/>
        <v>0</v>
      </c>
      <c r="AD254" s="89">
        <v>0</v>
      </c>
      <c r="AE254" s="89">
        <v>0</v>
      </c>
      <c r="AF254" s="117"/>
      <c r="AG254" s="117"/>
      <c r="AH254" s="262"/>
      <c r="AI254" s="17"/>
      <c r="AJ254" s="17"/>
      <c r="AK254" s="17"/>
      <c r="AL254" s="17"/>
      <c r="AM254" s="17"/>
      <c r="AN254" s="17"/>
      <c r="AO254" s="17"/>
      <c r="AP254" s="15" t="str">
        <f>IFERROR(VLOOKUP(AO254,Legend!$D$2:$E$26,2,0),"")</f>
        <v/>
      </c>
      <c r="AQ254" s="15"/>
      <c r="AR254" s="17"/>
      <c r="AS254" s="17"/>
      <c r="AT254" s="15"/>
      <c r="AU254" s="17"/>
      <c r="AV254" s="17"/>
      <c r="AW254" s="17" t="s">
        <v>10</v>
      </c>
      <c r="AX254" s="15"/>
      <c r="AY254" s="15"/>
    </row>
    <row r="255" spans="1:51" x14ac:dyDescent="0.25">
      <c r="A255" s="15"/>
      <c r="B255" s="15"/>
      <c r="C255" s="15"/>
      <c r="D255" s="15"/>
      <c r="E255" s="91"/>
      <c r="F255" s="15"/>
      <c r="G255" s="15"/>
      <c r="H255" s="15"/>
      <c r="I255" s="15"/>
      <c r="J255" s="15"/>
      <c r="K255" s="89"/>
      <c r="L255" s="15"/>
      <c r="M255" s="89">
        <v>0</v>
      </c>
      <c r="N255" s="89">
        <v>0</v>
      </c>
      <c r="O255" s="89">
        <v>0</v>
      </c>
      <c r="P255" s="94">
        <v>0</v>
      </c>
      <c r="Q255" s="94">
        <v>0</v>
      </c>
      <c r="R255" s="94">
        <v>0</v>
      </c>
      <c r="S255" s="94">
        <v>0</v>
      </c>
      <c r="T255" s="89">
        <v>0</v>
      </c>
      <c r="U255" s="89">
        <v>0</v>
      </c>
      <c r="V255" s="94">
        <v>0</v>
      </c>
      <c r="W255" s="94">
        <v>0</v>
      </c>
      <c r="X255" s="94">
        <v>0</v>
      </c>
      <c r="Y255" s="89">
        <v>0</v>
      </c>
      <c r="Z255" s="94">
        <f t="shared" si="17"/>
        <v>0</v>
      </c>
      <c r="AA255" s="94">
        <f t="shared" si="18"/>
        <v>0</v>
      </c>
      <c r="AB255" s="89">
        <f t="shared" si="19"/>
        <v>0</v>
      </c>
      <c r="AC255" s="89">
        <f t="shared" si="20"/>
        <v>0</v>
      </c>
      <c r="AD255" s="89">
        <v>0</v>
      </c>
      <c r="AE255" s="89">
        <v>0</v>
      </c>
      <c r="AF255" s="117"/>
      <c r="AG255" s="117"/>
      <c r="AH255" s="262"/>
      <c r="AI255" s="17"/>
      <c r="AJ255" s="17"/>
      <c r="AK255" s="17"/>
      <c r="AL255" s="17"/>
      <c r="AM255" s="17"/>
      <c r="AN255" s="17"/>
      <c r="AO255" s="17"/>
      <c r="AP255" s="15" t="str">
        <f>IFERROR(VLOOKUP(AO255,Legend!$D$2:$E$26,2,0),"")</f>
        <v/>
      </c>
      <c r="AQ255" s="15"/>
      <c r="AR255" s="17"/>
      <c r="AS255" s="17"/>
      <c r="AT255" s="15"/>
      <c r="AU255" s="17"/>
      <c r="AV255" s="17"/>
      <c r="AW255" s="17" t="s">
        <v>10</v>
      </c>
      <c r="AX255" s="15"/>
      <c r="AY255" s="15"/>
    </row>
    <row r="256" spans="1:51" x14ac:dyDescent="0.25">
      <c r="A256" s="15"/>
      <c r="B256" s="15"/>
      <c r="C256" s="15"/>
      <c r="D256" s="15"/>
      <c r="E256" s="91"/>
      <c r="F256" s="15"/>
      <c r="G256" s="15"/>
      <c r="H256" s="15"/>
      <c r="I256" s="15"/>
      <c r="J256" s="15"/>
      <c r="K256" s="89"/>
      <c r="L256" s="15"/>
      <c r="M256" s="89">
        <v>0</v>
      </c>
      <c r="N256" s="89">
        <v>0</v>
      </c>
      <c r="O256" s="89">
        <v>0</v>
      </c>
      <c r="P256" s="94">
        <v>0</v>
      </c>
      <c r="Q256" s="94">
        <v>0</v>
      </c>
      <c r="R256" s="94">
        <v>0</v>
      </c>
      <c r="S256" s="94">
        <v>0</v>
      </c>
      <c r="T256" s="89">
        <v>0</v>
      </c>
      <c r="U256" s="89">
        <v>0</v>
      </c>
      <c r="V256" s="94">
        <v>0</v>
      </c>
      <c r="W256" s="94">
        <v>0</v>
      </c>
      <c r="X256" s="94">
        <v>0</v>
      </c>
      <c r="Y256" s="89">
        <v>0</v>
      </c>
      <c r="Z256" s="94">
        <f t="shared" si="17"/>
        <v>0</v>
      </c>
      <c r="AA256" s="94">
        <f t="shared" si="18"/>
        <v>0</v>
      </c>
      <c r="AB256" s="89">
        <f t="shared" si="19"/>
        <v>0</v>
      </c>
      <c r="AC256" s="89">
        <f t="shared" si="20"/>
        <v>0</v>
      </c>
      <c r="AD256" s="89">
        <v>0</v>
      </c>
      <c r="AE256" s="89">
        <v>0</v>
      </c>
      <c r="AF256" s="117"/>
      <c r="AG256" s="117"/>
      <c r="AH256" s="262"/>
      <c r="AI256" s="17"/>
      <c r="AJ256" s="17"/>
      <c r="AK256" s="17"/>
      <c r="AL256" s="17"/>
      <c r="AM256" s="17"/>
      <c r="AN256" s="17"/>
      <c r="AO256" s="17"/>
      <c r="AP256" s="15" t="str">
        <f>IFERROR(VLOOKUP(AO256,Legend!$D$2:$E$26,2,0),"")</f>
        <v/>
      </c>
      <c r="AQ256" s="15"/>
      <c r="AR256" s="17"/>
      <c r="AS256" s="17"/>
      <c r="AT256" s="15"/>
      <c r="AU256" s="17"/>
      <c r="AV256" s="17"/>
      <c r="AW256" s="17" t="s">
        <v>10</v>
      </c>
      <c r="AX256" s="15"/>
      <c r="AY256" s="15"/>
    </row>
    <row r="257" spans="1:51" x14ac:dyDescent="0.25">
      <c r="A257" s="15"/>
      <c r="B257" s="15"/>
      <c r="C257" s="15"/>
      <c r="D257" s="15"/>
      <c r="E257" s="91"/>
      <c r="F257" s="15"/>
      <c r="G257" s="15"/>
      <c r="H257" s="15"/>
      <c r="I257" s="15"/>
      <c r="J257" s="15"/>
      <c r="K257" s="89"/>
      <c r="L257" s="15"/>
      <c r="M257" s="89">
        <v>0</v>
      </c>
      <c r="N257" s="89">
        <v>0</v>
      </c>
      <c r="O257" s="89">
        <v>0</v>
      </c>
      <c r="P257" s="94">
        <v>0</v>
      </c>
      <c r="Q257" s="94">
        <v>0</v>
      </c>
      <c r="R257" s="94">
        <v>0</v>
      </c>
      <c r="S257" s="94">
        <v>0</v>
      </c>
      <c r="T257" s="89">
        <v>0</v>
      </c>
      <c r="U257" s="89">
        <v>0</v>
      </c>
      <c r="V257" s="94">
        <v>0</v>
      </c>
      <c r="W257" s="94">
        <v>0</v>
      </c>
      <c r="X257" s="94">
        <v>0</v>
      </c>
      <c r="Y257" s="89">
        <v>0</v>
      </c>
      <c r="Z257" s="94">
        <f t="shared" si="17"/>
        <v>0</v>
      </c>
      <c r="AA257" s="94">
        <f t="shared" si="18"/>
        <v>0</v>
      </c>
      <c r="AB257" s="89">
        <f t="shared" si="19"/>
        <v>0</v>
      </c>
      <c r="AC257" s="89">
        <f t="shared" si="20"/>
        <v>0</v>
      </c>
      <c r="AD257" s="89">
        <v>0</v>
      </c>
      <c r="AE257" s="89">
        <v>0</v>
      </c>
      <c r="AF257" s="117"/>
      <c r="AG257" s="117"/>
      <c r="AH257" s="262"/>
      <c r="AI257" s="17"/>
      <c r="AJ257" s="17"/>
      <c r="AK257" s="17"/>
      <c r="AL257" s="17"/>
      <c r="AM257" s="17"/>
      <c r="AN257" s="17"/>
      <c r="AO257" s="17"/>
      <c r="AP257" s="15" t="str">
        <f>IFERROR(VLOOKUP(AO257,Legend!$D$2:$E$26,2,0),"")</f>
        <v/>
      </c>
      <c r="AQ257" s="15"/>
      <c r="AR257" s="17"/>
      <c r="AS257" s="17"/>
      <c r="AT257" s="15"/>
      <c r="AU257" s="17"/>
      <c r="AV257" s="17"/>
      <c r="AW257" s="17" t="s">
        <v>10</v>
      </c>
      <c r="AX257" s="15"/>
      <c r="AY257" s="15"/>
    </row>
    <row r="258" spans="1:51" x14ac:dyDescent="0.25">
      <c r="A258" s="15"/>
      <c r="B258" s="15"/>
      <c r="C258" s="15"/>
      <c r="D258" s="15"/>
      <c r="E258" s="91"/>
      <c r="F258" s="15"/>
      <c r="G258" s="15"/>
      <c r="H258" s="15"/>
      <c r="I258" s="15"/>
      <c r="J258" s="15"/>
      <c r="K258" s="89"/>
      <c r="L258" s="15"/>
      <c r="M258" s="89">
        <v>0</v>
      </c>
      <c r="N258" s="89">
        <v>0</v>
      </c>
      <c r="O258" s="89">
        <v>0</v>
      </c>
      <c r="P258" s="94">
        <v>0</v>
      </c>
      <c r="Q258" s="94">
        <v>0</v>
      </c>
      <c r="R258" s="94">
        <v>0</v>
      </c>
      <c r="S258" s="94">
        <v>0</v>
      </c>
      <c r="T258" s="89">
        <v>0</v>
      </c>
      <c r="U258" s="89">
        <v>0</v>
      </c>
      <c r="V258" s="94">
        <v>0</v>
      </c>
      <c r="W258" s="94">
        <v>0</v>
      </c>
      <c r="X258" s="94">
        <v>0</v>
      </c>
      <c r="Y258" s="89">
        <v>0</v>
      </c>
      <c r="Z258" s="94">
        <f t="shared" si="17"/>
        <v>0</v>
      </c>
      <c r="AA258" s="94">
        <f t="shared" si="18"/>
        <v>0</v>
      </c>
      <c r="AB258" s="89">
        <f t="shared" si="19"/>
        <v>0</v>
      </c>
      <c r="AC258" s="89">
        <f t="shared" si="20"/>
        <v>0</v>
      </c>
      <c r="AD258" s="89">
        <v>0</v>
      </c>
      <c r="AE258" s="89">
        <v>0</v>
      </c>
      <c r="AF258" s="117"/>
      <c r="AG258" s="117"/>
      <c r="AH258" s="262"/>
      <c r="AI258" s="17"/>
      <c r="AJ258" s="17"/>
      <c r="AK258" s="17"/>
      <c r="AL258" s="17"/>
      <c r="AM258" s="17"/>
      <c r="AN258" s="17"/>
      <c r="AO258" s="17"/>
      <c r="AP258" s="15" t="str">
        <f>IFERROR(VLOOKUP(AO258,Legend!$D$2:$E$26,2,0),"")</f>
        <v/>
      </c>
      <c r="AQ258" s="15"/>
      <c r="AR258" s="17"/>
      <c r="AS258" s="17"/>
      <c r="AT258" s="15"/>
      <c r="AU258" s="17"/>
      <c r="AV258" s="17"/>
      <c r="AW258" s="17" t="s">
        <v>10</v>
      </c>
      <c r="AX258" s="15"/>
      <c r="AY258" s="15"/>
    </row>
    <row r="259" spans="1:51" x14ac:dyDescent="0.25">
      <c r="A259" s="15"/>
      <c r="B259" s="15"/>
      <c r="C259" s="15"/>
      <c r="D259" s="15"/>
      <c r="E259" s="91"/>
      <c r="F259" s="15"/>
      <c r="G259" s="15"/>
      <c r="H259" s="15"/>
      <c r="I259" s="15"/>
      <c r="J259" s="15"/>
      <c r="K259" s="89"/>
      <c r="L259" s="15"/>
      <c r="M259" s="89">
        <v>0</v>
      </c>
      <c r="N259" s="89">
        <v>0</v>
      </c>
      <c r="O259" s="89">
        <v>0</v>
      </c>
      <c r="P259" s="94">
        <v>0</v>
      </c>
      <c r="Q259" s="94">
        <v>0</v>
      </c>
      <c r="R259" s="94">
        <v>0</v>
      </c>
      <c r="S259" s="94">
        <v>0</v>
      </c>
      <c r="T259" s="89">
        <v>0</v>
      </c>
      <c r="U259" s="89">
        <v>0</v>
      </c>
      <c r="V259" s="94">
        <v>0</v>
      </c>
      <c r="W259" s="94">
        <v>0</v>
      </c>
      <c r="X259" s="94">
        <v>0</v>
      </c>
      <c r="Y259" s="89">
        <v>0</v>
      </c>
      <c r="Z259" s="94">
        <f t="shared" si="17"/>
        <v>0</v>
      </c>
      <c r="AA259" s="94">
        <f t="shared" si="18"/>
        <v>0</v>
      </c>
      <c r="AB259" s="89">
        <f t="shared" si="19"/>
        <v>0</v>
      </c>
      <c r="AC259" s="89">
        <f t="shared" si="20"/>
        <v>0</v>
      </c>
      <c r="AD259" s="89">
        <v>0</v>
      </c>
      <c r="AE259" s="89">
        <v>0</v>
      </c>
      <c r="AF259" s="117"/>
      <c r="AG259" s="117"/>
      <c r="AH259" s="262"/>
      <c r="AI259" s="17"/>
      <c r="AJ259" s="17"/>
      <c r="AK259" s="17"/>
      <c r="AL259" s="17"/>
      <c r="AM259" s="17"/>
      <c r="AN259" s="17"/>
      <c r="AO259" s="17"/>
      <c r="AP259" s="15" t="str">
        <f>IFERROR(VLOOKUP(AO259,Legend!$D$2:$E$26,2,0),"")</f>
        <v/>
      </c>
      <c r="AQ259" s="15"/>
      <c r="AR259" s="17"/>
      <c r="AS259" s="17"/>
      <c r="AT259" s="15"/>
      <c r="AU259" s="17"/>
      <c r="AV259" s="17"/>
      <c r="AW259" s="17" t="s">
        <v>10</v>
      </c>
      <c r="AX259" s="15"/>
      <c r="AY259" s="15"/>
    </row>
    <row r="260" spans="1:51" x14ac:dyDescent="0.25">
      <c r="A260" s="15"/>
      <c r="B260" s="15"/>
      <c r="C260" s="15"/>
      <c r="D260" s="15"/>
      <c r="E260" s="91"/>
      <c r="F260" s="15"/>
      <c r="G260" s="15"/>
      <c r="H260" s="15"/>
      <c r="I260" s="15"/>
      <c r="J260" s="15"/>
      <c r="K260" s="89"/>
      <c r="L260" s="15"/>
      <c r="M260" s="89">
        <v>0</v>
      </c>
      <c r="N260" s="89">
        <v>0</v>
      </c>
      <c r="O260" s="89">
        <v>0</v>
      </c>
      <c r="P260" s="94">
        <v>0</v>
      </c>
      <c r="Q260" s="94">
        <v>0</v>
      </c>
      <c r="R260" s="94">
        <v>0</v>
      </c>
      <c r="S260" s="94">
        <v>0</v>
      </c>
      <c r="T260" s="89">
        <v>0</v>
      </c>
      <c r="U260" s="89">
        <v>0</v>
      </c>
      <c r="V260" s="94">
        <v>0</v>
      </c>
      <c r="W260" s="94">
        <v>0</v>
      </c>
      <c r="X260" s="94">
        <v>0</v>
      </c>
      <c r="Y260" s="89">
        <v>0</v>
      </c>
      <c r="Z260" s="94">
        <f t="shared" si="17"/>
        <v>0</v>
      </c>
      <c r="AA260" s="94">
        <f t="shared" si="18"/>
        <v>0</v>
      </c>
      <c r="AB260" s="89">
        <f t="shared" si="19"/>
        <v>0</v>
      </c>
      <c r="AC260" s="89">
        <f t="shared" si="20"/>
        <v>0</v>
      </c>
      <c r="AD260" s="89">
        <v>0</v>
      </c>
      <c r="AE260" s="89">
        <v>0</v>
      </c>
      <c r="AF260" s="117"/>
      <c r="AG260" s="117"/>
      <c r="AH260" s="262"/>
      <c r="AI260" s="17"/>
      <c r="AJ260" s="17"/>
      <c r="AK260" s="17"/>
      <c r="AL260" s="17"/>
      <c r="AM260" s="17"/>
      <c r="AN260" s="17"/>
      <c r="AO260" s="17"/>
      <c r="AP260" s="15" t="str">
        <f>IFERROR(VLOOKUP(AO260,Legend!$D$2:$E$26,2,0),"")</f>
        <v/>
      </c>
      <c r="AQ260" s="15"/>
      <c r="AR260" s="17"/>
      <c r="AS260" s="17"/>
      <c r="AT260" s="15"/>
      <c r="AU260" s="17"/>
      <c r="AV260" s="17"/>
      <c r="AW260" s="17" t="s">
        <v>10</v>
      </c>
      <c r="AX260" s="15"/>
      <c r="AY260" s="15"/>
    </row>
    <row r="261" spans="1:51" x14ac:dyDescent="0.25">
      <c r="A261" s="15"/>
      <c r="B261" s="15"/>
      <c r="C261" s="15"/>
      <c r="D261" s="15"/>
      <c r="E261" s="91"/>
      <c r="F261" s="15"/>
      <c r="G261" s="15"/>
      <c r="H261" s="15"/>
      <c r="I261" s="15"/>
      <c r="J261" s="15"/>
      <c r="K261" s="89"/>
      <c r="L261" s="15"/>
      <c r="M261" s="89">
        <v>0</v>
      </c>
      <c r="N261" s="89">
        <v>0</v>
      </c>
      <c r="O261" s="89">
        <v>0</v>
      </c>
      <c r="P261" s="94">
        <v>0</v>
      </c>
      <c r="Q261" s="94">
        <v>0</v>
      </c>
      <c r="R261" s="94">
        <v>0</v>
      </c>
      <c r="S261" s="94">
        <v>0</v>
      </c>
      <c r="T261" s="89">
        <v>0</v>
      </c>
      <c r="U261" s="89">
        <v>0</v>
      </c>
      <c r="V261" s="94">
        <v>0</v>
      </c>
      <c r="W261" s="94">
        <v>0</v>
      </c>
      <c r="X261" s="94">
        <v>0</v>
      </c>
      <c r="Y261" s="89">
        <v>0</v>
      </c>
      <c r="Z261" s="94">
        <f t="shared" ref="Z261:Z324" si="21">SUM(M261:Y261)</f>
        <v>0</v>
      </c>
      <c r="AA261" s="94">
        <f t="shared" si="18"/>
        <v>0</v>
      </c>
      <c r="AB261" s="89">
        <f t="shared" si="19"/>
        <v>0</v>
      </c>
      <c r="AC261" s="89">
        <f t="shared" si="20"/>
        <v>0</v>
      </c>
      <c r="AD261" s="89">
        <v>0</v>
      </c>
      <c r="AE261" s="89">
        <v>0</v>
      </c>
      <c r="AF261" s="117"/>
      <c r="AG261" s="117"/>
      <c r="AH261" s="262"/>
      <c r="AI261" s="17"/>
      <c r="AJ261" s="17"/>
      <c r="AK261" s="17"/>
      <c r="AL261" s="17"/>
      <c r="AM261" s="17"/>
      <c r="AN261" s="17"/>
      <c r="AO261" s="17"/>
      <c r="AP261" s="15" t="str">
        <f>IFERROR(VLOOKUP(AO261,Legend!$D$2:$E$26,2,0),"")</f>
        <v/>
      </c>
      <c r="AQ261" s="15"/>
      <c r="AR261" s="17"/>
      <c r="AS261" s="17"/>
      <c r="AT261" s="15"/>
      <c r="AU261" s="17"/>
      <c r="AV261" s="17"/>
      <c r="AW261" s="17" t="s">
        <v>10</v>
      </c>
      <c r="AX261" s="15"/>
      <c r="AY261" s="15"/>
    </row>
    <row r="262" spans="1:51" x14ac:dyDescent="0.25">
      <c r="A262" s="15"/>
      <c r="B262" s="15"/>
      <c r="C262" s="15"/>
      <c r="D262" s="15"/>
      <c r="E262" s="91"/>
      <c r="F262" s="15"/>
      <c r="G262" s="15"/>
      <c r="H262" s="15"/>
      <c r="I262" s="15"/>
      <c r="J262" s="15"/>
      <c r="K262" s="89"/>
      <c r="L262" s="15"/>
      <c r="M262" s="89">
        <v>0</v>
      </c>
      <c r="N262" s="89">
        <v>0</v>
      </c>
      <c r="O262" s="89">
        <v>0</v>
      </c>
      <c r="P262" s="94">
        <v>0</v>
      </c>
      <c r="Q262" s="94">
        <v>0</v>
      </c>
      <c r="R262" s="94">
        <v>0</v>
      </c>
      <c r="S262" s="94">
        <v>0</v>
      </c>
      <c r="T262" s="89">
        <v>0</v>
      </c>
      <c r="U262" s="89">
        <v>0</v>
      </c>
      <c r="V262" s="94">
        <v>0</v>
      </c>
      <c r="W262" s="94">
        <v>0</v>
      </c>
      <c r="X262" s="94">
        <v>0</v>
      </c>
      <c r="Y262" s="89">
        <v>0</v>
      </c>
      <c r="Z262" s="94">
        <f t="shared" si="21"/>
        <v>0</v>
      </c>
      <c r="AA262" s="94">
        <f t="shared" ref="AA262:AA325" si="22">Y262+M262</f>
        <v>0</v>
      </c>
      <c r="AB262" s="89">
        <f t="shared" ref="AB262:AB325" si="23">Z262-AA262</f>
        <v>0</v>
      </c>
      <c r="AC262" s="89">
        <f t="shared" ref="AC262:AC325" si="24">AB262</f>
        <v>0</v>
      </c>
      <c r="AD262" s="89">
        <v>0</v>
      </c>
      <c r="AE262" s="89">
        <v>0</v>
      </c>
      <c r="AF262" s="117"/>
      <c r="AG262" s="117"/>
      <c r="AH262" s="262"/>
      <c r="AI262" s="17"/>
      <c r="AJ262" s="17"/>
      <c r="AK262" s="17"/>
      <c r="AL262" s="17"/>
      <c r="AM262" s="17"/>
      <c r="AN262" s="17"/>
      <c r="AO262" s="17"/>
      <c r="AP262" s="15" t="str">
        <f>IFERROR(VLOOKUP(AO262,Legend!$D$2:$E$26,2,0),"")</f>
        <v/>
      </c>
      <c r="AQ262" s="15"/>
      <c r="AR262" s="17"/>
      <c r="AS262" s="17"/>
      <c r="AT262" s="15"/>
      <c r="AU262" s="17"/>
      <c r="AV262" s="17"/>
      <c r="AW262" s="17" t="s">
        <v>10</v>
      </c>
      <c r="AX262" s="15"/>
      <c r="AY262" s="15"/>
    </row>
    <row r="263" spans="1:51" x14ac:dyDescent="0.25">
      <c r="A263" s="15"/>
      <c r="B263" s="15"/>
      <c r="C263" s="15"/>
      <c r="D263" s="15"/>
      <c r="E263" s="91"/>
      <c r="F263" s="15"/>
      <c r="G263" s="15"/>
      <c r="H263" s="15"/>
      <c r="I263" s="15"/>
      <c r="J263" s="15"/>
      <c r="K263" s="89"/>
      <c r="L263" s="15"/>
      <c r="M263" s="89">
        <v>0</v>
      </c>
      <c r="N263" s="89">
        <v>0</v>
      </c>
      <c r="O263" s="89">
        <v>0</v>
      </c>
      <c r="P263" s="94">
        <v>0</v>
      </c>
      <c r="Q263" s="94">
        <v>0</v>
      </c>
      <c r="R263" s="94">
        <v>0</v>
      </c>
      <c r="S263" s="94">
        <v>0</v>
      </c>
      <c r="T263" s="89">
        <v>0</v>
      </c>
      <c r="U263" s="89">
        <v>0</v>
      </c>
      <c r="V263" s="94">
        <v>0</v>
      </c>
      <c r="W263" s="94">
        <v>0</v>
      </c>
      <c r="X263" s="94">
        <v>0</v>
      </c>
      <c r="Y263" s="89">
        <v>0</v>
      </c>
      <c r="Z263" s="94">
        <f t="shared" si="21"/>
        <v>0</v>
      </c>
      <c r="AA263" s="94">
        <f t="shared" si="22"/>
        <v>0</v>
      </c>
      <c r="AB263" s="89">
        <f t="shared" si="23"/>
        <v>0</v>
      </c>
      <c r="AC263" s="89">
        <f t="shared" si="24"/>
        <v>0</v>
      </c>
      <c r="AD263" s="89">
        <v>0</v>
      </c>
      <c r="AE263" s="89">
        <v>0</v>
      </c>
      <c r="AF263" s="117"/>
      <c r="AG263" s="117"/>
      <c r="AH263" s="262"/>
      <c r="AI263" s="17"/>
      <c r="AJ263" s="17"/>
      <c r="AK263" s="17"/>
      <c r="AL263" s="17"/>
      <c r="AM263" s="17"/>
      <c r="AN263" s="17"/>
      <c r="AO263" s="17"/>
      <c r="AP263" s="15" t="str">
        <f>IFERROR(VLOOKUP(AO263,Legend!$D$2:$E$26,2,0),"")</f>
        <v/>
      </c>
      <c r="AQ263" s="15"/>
      <c r="AR263" s="17"/>
      <c r="AS263" s="17"/>
      <c r="AT263" s="15"/>
      <c r="AU263" s="17"/>
      <c r="AV263" s="17"/>
      <c r="AW263" s="17" t="s">
        <v>10</v>
      </c>
      <c r="AX263" s="15"/>
      <c r="AY263" s="15"/>
    </row>
    <row r="264" spans="1:51" x14ac:dyDescent="0.25">
      <c r="A264" s="15"/>
      <c r="B264" s="15"/>
      <c r="C264" s="15"/>
      <c r="D264" s="15"/>
      <c r="E264" s="91"/>
      <c r="F264" s="15"/>
      <c r="G264" s="15"/>
      <c r="H264" s="15"/>
      <c r="I264" s="15"/>
      <c r="J264" s="15"/>
      <c r="K264" s="89"/>
      <c r="L264" s="15"/>
      <c r="M264" s="89">
        <v>0</v>
      </c>
      <c r="N264" s="89">
        <v>0</v>
      </c>
      <c r="O264" s="89">
        <v>0</v>
      </c>
      <c r="P264" s="94">
        <v>0</v>
      </c>
      <c r="Q264" s="94">
        <v>0</v>
      </c>
      <c r="R264" s="94">
        <v>0</v>
      </c>
      <c r="S264" s="94">
        <v>0</v>
      </c>
      <c r="T264" s="89">
        <v>0</v>
      </c>
      <c r="U264" s="89">
        <v>0</v>
      </c>
      <c r="V264" s="94">
        <v>0</v>
      </c>
      <c r="W264" s="94">
        <v>0</v>
      </c>
      <c r="X264" s="94">
        <v>0</v>
      </c>
      <c r="Y264" s="89">
        <v>0</v>
      </c>
      <c r="Z264" s="94">
        <f t="shared" si="21"/>
        <v>0</v>
      </c>
      <c r="AA264" s="94">
        <f t="shared" si="22"/>
        <v>0</v>
      </c>
      <c r="AB264" s="89">
        <f t="shared" si="23"/>
        <v>0</v>
      </c>
      <c r="AC264" s="89">
        <f t="shared" si="24"/>
        <v>0</v>
      </c>
      <c r="AD264" s="89">
        <v>0</v>
      </c>
      <c r="AE264" s="89">
        <v>0</v>
      </c>
      <c r="AF264" s="117"/>
      <c r="AG264" s="117"/>
      <c r="AH264" s="262"/>
      <c r="AI264" s="17"/>
      <c r="AJ264" s="17"/>
      <c r="AK264" s="17"/>
      <c r="AL264" s="17"/>
      <c r="AM264" s="17"/>
      <c r="AN264" s="17"/>
      <c r="AO264" s="17"/>
      <c r="AP264" s="15" t="str">
        <f>IFERROR(VLOOKUP(AO264,Legend!$D$2:$E$26,2,0),"")</f>
        <v/>
      </c>
      <c r="AQ264" s="15"/>
      <c r="AR264" s="17"/>
      <c r="AS264" s="17"/>
      <c r="AT264" s="15"/>
      <c r="AU264" s="17"/>
      <c r="AV264" s="17"/>
      <c r="AW264" s="17" t="s">
        <v>10</v>
      </c>
      <c r="AX264" s="15"/>
      <c r="AY264" s="15"/>
    </row>
    <row r="265" spans="1:51" x14ac:dyDescent="0.25">
      <c r="A265" s="15"/>
      <c r="B265" s="15"/>
      <c r="C265" s="15"/>
      <c r="D265" s="15"/>
      <c r="E265" s="91"/>
      <c r="F265" s="15"/>
      <c r="G265" s="15"/>
      <c r="H265" s="15"/>
      <c r="I265" s="15"/>
      <c r="J265" s="15"/>
      <c r="K265" s="89"/>
      <c r="L265" s="15"/>
      <c r="M265" s="89">
        <v>0</v>
      </c>
      <c r="N265" s="89">
        <v>0</v>
      </c>
      <c r="O265" s="89">
        <v>0</v>
      </c>
      <c r="P265" s="94">
        <v>0</v>
      </c>
      <c r="Q265" s="94">
        <v>0</v>
      </c>
      <c r="R265" s="94">
        <v>0</v>
      </c>
      <c r="S265" s="94">
        <v>0</v>
      </c>
      <c r="T265" s="89">
        <v>0</v>
      </c>
      <c r="U265" s="89">
        <v>0</v>
      </c>
      <c r="V265" s="94">
        <v>0</v>
      </c>
      <c r="W265" s="94">
        <v>0</v>
      </c>
      <c r="X265" s="94">
        <v>0</v>
      </c>
      <c r="Y265" s="89">
        <v>0</v>
      </c>
      <c r="Z265" s="94">
        <f t="shared" si="21"/>
        <v>0</v>
      </c>
      <c r="AA265" s="94">
        <f t="shared" si="22"/>
        <v>0</v>
      </c>
      <c r="AB265" s="89">
        <f t="shared" si="23"/>
        <v>0</v>
      </c>
      <c r="AC265" s="89">
        <f t="shared" si="24"/>
        <v>0</v>
      </c>
      <c r="AD265" s="89">
        <v>0</v>
      </c>
      <c r="AE265" s="89">
        <v>0</v>
      </c>
      <c r="AF265" s="117"/>
      <c r="AG265" s="117"/>
      <c r="AH265" s="262"/>
      <c r="AI265" s="17"/>
      <c r="AJ265" s="17"/>
      <c r="AK265" s="17"/>
      <c r="AL265" s="17"/>
      <c r="AM265" s="17"/>
      <c r="AN265" s="17"/>
      <c r="AO265" s="17"/>
      <c r="AP265" s="15" t="str">
        <f>IFERROR(VLOOKUP(AO265,Legend!$D$2:$E$26,2,0),"")</f>
        <v/>
      </c>
      <c r="AQ265" s="15"/>
      <c r="AR265" s="17"/>
      <c r="AS265" s="17"/>
      <c r="AT265" s="15"/>
      <c r="AU265" s="17"/>
      <c r="AV265" s="17"/>
      <c r="AW265" s="17" t="s">
        <v>10</v>
      </c>
      <c r="AX265" s="15"/>
      <c r="AY265" s="15"/>
    </row>
    <row r="266" spans="1:51" x14ac:dyDescent="0.25">
      <c r="A266" s="15"/>
      <c r="B266" s="15"/>
      <c r="C266" s="15"/>
      <c r="D266" s="15"/>
      <c r="E266" s="91"/>
      <c r="F266" s="15"/>
      <c r="G266" s="15"/>
      <c r="H266" s="15"/>
      <c r="I266" s="15"/>
      <c r="J266" s="15"/>
      <c r="K266" s="89"/>
      <c r="L266" s="15"/>
      <c r="M266" s="89">
        <v>0</v>
      </c>
      <c r="N266" s="89">
        <v>0</v>
      </c>
      <c r="O266" s="89">
        <v>0</v>
      </c>
      <c r="P266" s="94">
        <v>0</v>
      </c>
      <c r="Q266" s="94">
        <v>0</v>
      </c>
      <c r="R266" s="94">
        <v>0</v>
      </c>
      <c r="S266" s="94">
        <v>0</v>
      </c>
      <c r="T266" s="89">
        <v>0</v>
      </c>
      <c r="U266" s="89">
        <v>0</v>
      </c>
      <c r="V266" s="94">
        <v>0</v>
      </c>
      <c r="W266" s="94">
        <v>0</v>
      </c>
      <c r="X266" s="94">
        <v>0</v>
      </c>
      <c r="Y266" s="89">
        <v>0</v>
      </c>
      <c r="Z266" s="94">
        <f t="shared" si="21"/>
        <v>0</v>
      </c>
      <c r="AA266" s="94">
        <f t="shared" si="22"/>
        <v>0</v>
      </c>
      <c r="AB266" s="89">
        <f t="shared" si="23"/>
        <v>0</v>
      </c>
      <c r="AC266" s="89">
        <f t="shared" si="24"/>
        <v>0</v>
      </c>
      <c r="AD266" s="89">
        <v>0</v>
      </c>
      <c r="AE266" s="89">
        <v>0</v>
      </c>
      <c r="AF266" s="117"/>
      <c r="AG266" s="117"/>
      <c r="AH266" s="262"/>
      <c r="AI266" s="17"/>
      <c r="AJ266" s="17"/>
      <c r="AK266" s="17"/>
      <c r="AL266" s="17"/>
      <c r="AM266" s="17"/>
      <c r="AN266" s="17"/>
      <c r="AO266" s="17"/>
      <c r="AP266" s="15" t="str">
        <f>IFERROR(VLOOKUP(AO266,Legend!$D$2:$E$26,2,0),"")</f>
        <v/>
      </c>
      <c r="AQ266" s="15"/>
      <c r="AR266" s="17"/>
      <c r="AS266" s="17"/>
      <c r="AT266" s="15"/>
      <c r="AU266" s="17"/>
      <c r="AV266" s="17"/>
      <c r="AW266" s="17" t="s">
        <v>10</v>
      </c>
      <c r="AX266" s="15"/>
      <c r="AY266" s="15"/>
    </row>
    <row r="267" spans="1:51" x14ac:dyDescent="0.25">
      <c r="A267" s="15"/>
      <c r="B267" s="15"/>
      <c r="C267" s="15"/>
      <c r="D267" s="15"/>
      <c r="E267" s="91"/>
      <c r="F267" s="15"/>
      <c r="G267" s="15"/>
      <c r="H267" s="15"/>
      <c r="I267" s="15"/>
      <c r="J267" s="15"/>
      <c r="K267" s="89"/>
      <c r="L267" s="15"/>
      <c r="M267" s="89">
        <v>0</v>
      </c>
      <c r="N267" s="89">
        <v>0</v>
      </c>
      <c r="O267" s="89">
        <v>0</v>
      </c>
      <c r="P267" s="94">
        <v>0</v>
      </c>
      <c r="Q267" s="94">
        <v>0</v>
      </c>
      <c r="R267" s="94">
        <v>0</v>
      </c>
      <c r="S267" s="94">
        <v>0</v>
      </c>
      <c r="T267" s="89">
        <v>0</v>
      </c>
      <c r="U267" s="89">
        <v>0</v>
      </c>
      <c r="V267" s="94">
        <v>0</v>
      </c>
      <c r="W267" s="94">
        <v>0</v>
      </c>
      <c r="X267" s="94">
        <v>0</v>
      </c>
      <c r="Y267" s="89">
        <v>0</v>
      </c>
      <c r="Z267" s="94">
        <f t="shared" si="21"/>
        <v>0</v>
      </c>
      <c r="AA267" s="94">
        <f t="shared" si="22"/>
        <v>0</v>
      </c>
      <c r="AB267" s="89">
        <f t="shared" si="23"/>
        <v>0</v>
      </c>
      <c r="AC267" s="89">
        <f t="shared" si="24"/>
        <v>0</v>
      </c>
      <c r="AD267" s="89">
        <v>0</v>
      </c>
      <c r="AE267" s="89">
        <v>0</v>
      </c>
      <c r="AF267" s="117"/>
      <c r="AG267" s="117"/>
      <c r="AH267" s="262"/>
      <c r="AI267" s="17"/>
      <c r="AJ267" s="17"/>
      <c r="AK267" s="17"/>
      <c r="AL267" s="17"/>
      <c r="AM267" s="17"/>
      <c r="AN267" s="17"/>
      <c r="AO267" s="17"/>
      <c r="AP267" s="15" t="str">
        <f>IFERROR(VLOOKUP(AO267,Legend!$D$2:$E$26,2,0),"")</f>
        <v/>
      </c>
      <c r="AQ267" s="15"/>
      <c r="AR267" s="17"/>
      <c r="AS267" s="17"/>
      <c r="AT267" s="15"/>
      <c r="AU267" s="17"/>
      <c r="AV267" s="17"/>
      <c r="AW267" s="17" t="s">
        <v>10</v>
      </c>
      <c r="AX267" s="15"/>
      <c r="AY267" s="15"/>
    </row>
    <row r="268" spans="1:51" x14ac:dyDescent="0.25">
      <c r="A268" s="15"/>
      <c r="B268" s="15"/>
      <c r="C268" s="15"/>
      <c r="D268" s="15"/>
      <c r="E268" s="91"/>
      <c r="F268" s="15"/>
      <c r="G268" s="15"/>
      <c r="H268" s="15"/>
      <c r="I268" s="15"/>
      <c r="J268" s="15"/>
      <c r="K268" s="89"/>
      <c r="L268" s="15"/>
      <c r="M268" s="89">
        <v>0</v>
      </c>
      <c r="N268" s="89">
        <v>0</v>
      </c>
      <c r="O268" s="89">
        <v>0</v>
      </c>
      <c r="P268" s="94">
        <v>0</v>
      </c>
      <c r="Q268" s="94">
        <v>0</v>
      </c>
      <c r="R268" s="94">
        <v>0</v>
      </c>
      <c r="S268" s="94">
        <v>0</v>
      </c>
      <c r="T268" s="89">
        <v>0</v>
      </c>
      <c r="U268" s="89">
        <v>0</v>
      </c>
      <c r="V268" s="94">
        <v>0</v>
      </c>
      <c r="W268" s="94">
        <v>0</v>
      </c>
      <c r="X268" s="94">
        <v>0</v>
      </c>
      <c r="Y268" s="89">
        <v>0</v>
      </c>
      <c r="Z268" s="94">
        <f t="shared" si="21"/>
        <v>0</v>
      </c>
      <c r="AA268" s="94">
        <f t="shared" si="22"/>
        <v>0</v>
      </c>
      <c r="AB268" s="89">
        <f t="shared" si="23"/>
        <v>0</v>
      </c>
      <c r="AC268" s="89">
        <f t="shared" si="24"/>
        <v>0</v>
      </c>
      <c r="AD268" s="89">
        <v>0</v>
      </c>
      <c r="AE268" s="89">
        <v>0</v>
      </c>
      <c r="AF268" s="117"/>
      <c r="AG268" s="117"/>
      <c r="AH268" s="262"/>
      <c r="AI268" s="17"/>
      <c r="AJ268" s="17"/>
      <c r="AK268" s="17"/>
      <c r="AL268" s="17"/>
      <c r="AM268" s="17"/>
      <c r="AN268" s="17"/>
      <c r="AO268" s="17"/>
      <c r="AP268" s="15" t="str">
        <f>IFERROR(VLOOKUP(AO268,Legend!$D$2:$E$26,2,0),"")</f>
        <v/>
      </c>
      <c r="AQ268" s="15"/>
      <c r="AR268" s="17"/>
      <c r="AS268" s="17"/>
      <c r="AT268" s="15"/>
      <c r="AU268" s="17"/>
      <c r="AV268" s="17"/>
      <c r="AW268" s="17" t="s">
        <v>10</v>
      </c>
      <c r="AX268" s="15"/>
      <c r="AY268" s="15"/>
    </row>
    <row r="269" spans="1:51" x14ac:dyDescent="0.25">
      <c r="A269" s="15"/>
      <c r="B269" s="15"/>
      <c r="C269" s="15"/>
      <c r="D269" s="15"/>
      <c r="E269" s="91"/>
      <c r="F269" s="15"/>
      <c r="G269" s="15"/>
      <c r="H269" s="15"/>
      <c r="I269" s="15"/>
      <c r="J269" s="15"/>
      <c r="K269" s="89"/>
      <c r="L269" s="15"/>
      <c r="M269" s="89">
        <v>0</v>
      </c>
      <c r="N269" s="89">
        <v>0</v>
      </c>
      <c r="O269" s="89">
        <v>0</v>
      </c>
      <c r="P269" s="94">
        <v>0</v>
      </c>
      <c r="Q269" s="94">
        <v>0</v>
      </c>
      <c r="R269" s="94">
        <v>0</v>
      </c>
      <c r="S269" s="94">
        <v>0</v>
      </c>
      <c r="T269" s="89">
        <v>0</v>
      </c>
      <c r="U269" s="89">
        <v>0</v>
      </c>
      <c r="V269" s="94">
        <v>0</v>
      </c>
      <c r="W269" s="94">
        <v>0</v>
      </c>
      <c r="X269" s="94">
        <v>0</v>
      </c>
      <c r="Y269" s="89">
        <v>0</v>
      </c>
      <c r="Z269" s="94">
        <f t="shared" si="21"/>
        <v>0</v>
      </c>
      <c r="AA269" s="94">
        <f t="shared" si="22"/>
        <v>0</v>
      </c>
      <c r="AB269" s="89">
        <f t="shared" si="23"/>
        <v>0</v>
      </c>
      <c r="AC269" s="89">
        <f t="shared" si="24"/>
        <v>0</v>
      </c>
      <c r="AD269" s="89">
        <v>0</v>
      </c>
      <c r="AE269" s="89">
        <v>0</v>
      </c>
      <c r="AF269" s="117"/>
      <c r="AG269" s="117"/>
      <c r="AH269" s="262"/>
      <c r="AI269" s="17"/>
      <c r="AJ269" s="17"/>
      <c r="AK269" s="17"/>
      <c r="AL269" s="17"/>
      <c r="AM269" s="17"/>
      <c r="AN269" s="17"/>
      <c r="AO269" s="17"/>
      <c r="AP269" s="15" t="str">
        <f>IFERROR(VLOOKUP(AO269,Legend!$D$2:$E$26,2,0),"")</f>
        <v/>
      </c>
      <c r="AQ269" s="15"/>
      <c r="AR269" s="17"/>
      <c r="AS269" s="17"/>
      <c r="AT269" s="15"/>
      <c r="AU269" s="17"/>
      <c r="AV269" s="17"/>
      <c r="AW269" s="17" t="s">
        <v>10</v>
      </c>
      <c r="AX269" s="15"/>
      <c r="AY269" s="15"/>
    </row>
    <row r="270" spans="1:51" x14ac:dyDescent="0.25">
      <c r="A270" s="15"/>
      <c r="B270" s="15"/>
      <c r="C270" s="15"/>
      <c r="D270" s="15"/>
      <c r="E270" s="91"/>
      <c r="F270" s="15"/>
      <c r="G270" s="15"/>
      <c r="H270" s="15"/>
      <c r="I270" s="15"/>
      <c r="J270" s="15"/>
      <c r="K270" s="89"/>
      <c r="L270" s="15"/>
      <c r="M270" s="89">
        <v>0</v>
      </c>
      <c r="N270" s="89">
        <v>0</v>
      </c>
      <c r="O270" s="89">
        <v>0</v>
      </c>
      <c r="P270" s="94">
        <v>0</v>
      </c>
      <c r="Q270" s="94">
        <v>0</v>
      </c>
      <c r="R270" s="94">
        <v>0</v>
      </c>
      <c r="S270" s="94">
        <v>0</v>
      </c>
      <c r="T270" s="89">
        <v>0</v>
      </c>
      <c r="U270" s="89">
        <v>0</v>
      </c>
      <c r="V270" s="94">
        <v>0</v>
      </c>
      <c r="W270" s="94">
        <v>0</v>
      </c>
      <c r="X270" s="94">
        <v>0</v>
      </c>
      <c r="Y270" s="89">
        <v>0</v>
      </c>
      <c r="Z270" s="94">
        <f t="shared" si="21"/>
        <v>0</v>
      </c>
      <c r="AA270" s="94">
        <f t="shared" si="22"/>
        <v>0</v>
      </c>
      <c r="AB270" s="89">
        <f t="shared" si="23"/>
        <v>0</v>
      </c>
      <c r="AC270" s="89">
        <f t="shared" si="24"/>
        <v>0</v>
      </c>
      <c r="AD270" s="89">
        <v>0</v>
      </c>
      <c r="AE270" s="89">
        <v>0</v>
      </c>
      <c r="AF270" s="117"/>
      <c r="AG270" s="117"/>
      <c r="AH270" s="262"/>
      <c r="AI270" s="17"/>
      <c r="AJ270" s="17"/>
      <c r="AK270" s="17"/>
      <c r="AL270" s="17"/>
      <c r="AM270" s="17"/>
      <c r="AN270" s="17"/>
      <c r="AO270" s="17"/>
      <c r="AP270" s="15" t="str">
        <f>IFERROR(VLOOKUP(AO270,Legend!$D$2:$E$26,2,0),"")</f>
        <v/>
      </c>
      <c r="AQ270" s="15"/>
      <c r="AR270" s="17"/>
      <c r="AS270" s="17"/>
      <c r="AT270" s="15"/>
      <c r="AU270" s="17"/>
      <c r="AV270" s="17"/>
      <c r="AW270" s="17" t="s">
        <v>10</v>
      </c>
      <c r="AX270" s="15"/>
      <c r="AY270" s="15"/>
    </row>
    <row r="271" spans="1:51" x14ac:dyDescent="0.25">
      <c r="A271" s="15"/>
      <c r="B271" s="15"/>
      <c r="C271" s="15"/>
      <c r="D271" s="15"/>
      <c r="E271" s="91"/>
      <c r="F271" s="15"/>
      <c r="G271" s="15"/>
      <c r="H271" s="15"/>
      <c r="I271" s="15"/>
      <c r="J271" s="15"/>
      <c r="K271" s="89"/>
      <c r="L271" s="15"/>
      <c r="M271" s="89">
        <v>0</v>
      </c>
      <c r="N271" s="89">
        <v>0</v>
      </c>
      <c r="O271" s="89">
        <v>0</v>
      </c>
      <c r="P271" s="94">
        <v>0</v>
      </c>
      <c r="Q271" s="94">
        <v>0</v>
      </c>
      <c r="R271" s="94">
        <v>0</v>
      </c>
      <c r="S271" s="94">
        <v>0</v>
      </c>
      <c r="T271" s="89">
        <v>0</v>
      </c>
      <c r="U271" s="89">
        <v>0</v>
      </c>
      <c r="V271" s="94">
        <v>0</v>
      </c>
      <c r="W271" s="94">
        <v>0</v>
      </c>
      <c r="X271" s="94">
        <v>0</v>
      </c>
      <c r="Y271" s="89">
        <v>0</v>
      </c>
      <c r="Z271" s="94">
        <f t="shared" si="21"/>
        <v>0</v>
      </c>
      <c r="AA271" s="94">
        <f t="shared" si="22"/>
        <v>0</v>
      </c>
      <c r="AB271" s="89">
        <f t="shared" si="23"/>
        <v>0</v>
      </c>
      <c r="AC271" s="89">
        <f t="shared" si="24"/>
        <v>0</v>
      </c>
      <c r="AD271" s="89">
        <v>0</v>
      </c>
      <c r="AE271" s="89">
        <v>0</v>
      </c>
      <c r="AF271" s="117"/>
      <c r="AG271" s="117"/>
      <c r="AH271" s="262"/>
      <c r="AI271" s="17"/>
      <c r="AJ271" s="17"/>
      <c r="AK271" s="17"/>
      <c r="AL271" s="17"/>
      <c r="AM271" s="17"/>
      <c r="AN271" s="17"/>
      <c r="AO271" s="17"/>
      <c r="AP271" s="15" t="str">
        <f>IFERROR(VLOOKUP(AO271,Legend!$D$2:$E$26,2,0),"")</f>
        <v/>
      </c>
      <c r="AQ271" s="15"/>
      <c r="AR271" s="17"/>
      <c r="AS271" s="17"/>
      <c r="AT271" s="15"/>
      <c r="AU271" s="17"/>
      <c r="AV271" s="17"/>
      <c r="AW271" s="17" t="s">
        <v>10</v>
      </c>
      <c r="AX271" s="15"/>
      <c r="AY271" s="15"/>
    </row>
    <row r="272" spans="1:51" x14ac:dyDescent="0.25">
      <c r="A272" s="15"/>
      <c r="B272" s="15"/>
      <c r="C272" s="15"/>
      <c r="D272" s="15"/>
      <c r="E272" s="91"/>
      <c r="F272" s="15"/>
      <c r="G272" s="15"/>
      <c r="H272" s="15"/>
      <c r="I272" s="15"/>
      <c r="J272" s="15"/>
      <c r="K272" s="89"/>
      <c r="L272" s="15"/>
      <c r="M272" s="89">
        <v>0</v>
      </c>
      <c r="N272" s="89">
        <v>0</v>
      </c>
      <c r="O272" s="89">
        <v>0</v>
      </c>
      <c r="P272" s="94">
        <v>0</v>
      </c>
      <c r="Q272" s="94">
        <v>0</v>
      </c>
      <c r="R272" s="94">
        <v>0</v>
      </c>
      <c r="S272" s="94">
        <v>0</v>
      </c>
      <c r="T272" s="89">
        <v>0</v>
      </c>
      <c r="U272" s="89">
        <v>0</v>
      </c>
      <c r="V272" s="94">
        <v>0</v>
      </c>
      <c r="W272" s="94">
        <v>0</v>
      </c>
      <c r="X272" s="94">
        <v>0</v>
      </c>
      <c r="Y272" s="89">
        <v>0</v>
      </c>
      <c r="Z272" s="94">
        <f t="shared" si="21"/>
        <v>0</v>
      </c>
      <c r="AA272" s="94">
        <f t="shared" si="22"/>
        <v>0</v>
      </c>
      <c r="AB272" s="89">
        <f t="shared" si="23"/>
        <v>0</v>
      </c>
      <c r="AC272" s="89">
        <f t="shared" si="24"/>
        <v>0</v>
      </c>
      <c r="AD272" s="89">
        <v>0</v>
      </c>
      <c r="AE272" s="89">
        <v>0</v>
      </c>
      <c r="AF272" s="117"/>
      <c r="AG272" s="117"/>
      <c r="AH272" s="262"/>
      <c r="AI272" s="17"/>
      <c r="AJ272" s="17"/>
      <c r="AK272" s="17"/>
      <c r="AL272" s="17"/>
      <c r="AM272" s="17"/>
      <c r="AN272" s="17"/>
      <c r="AO272" s="17"/>
      <c r="AP272" s="15" t="str">
        <f>IFERROR(VLOOKUP(AO272,Legend!$D$2:$E$26,2,0),"")</f>
        <v/>
      </c>
      <c r="AQ272" s="15"/>
      <c r="AR272" s="17"/>
      <c r="AS272" s="17"/>
      <c r="AT272" s="15"/>
      <c r="AU272" s="17"/>
      <c r="AV272" s="17"/>
      <c r="AW272" s="17" t="s">
        <v>10</v>
      </c>
      <c r="AX272" s="15"/>
      <c r="AY272" s="15"/>
    </row>
    <row r="273" spans="1:51" x14ac:dyDescent="0.25">
      <c r="A273" s="15"/>
      <c r="B273" s="15"/>
      <c r="C273" s="15"/>
      <c r="D273" s="15"/>
      <c r="E273" s="91"/>
      <c r="F273" s="15"/>
      <c r="G273" s="15"/>
      <c r="H273" s="15"/>
      <c r="I273" s="15"/>
      <c r="J273" s="15"/>
      <c r="K273" s="89"/>
      <c r="L273" s="15"/>
      <c r="M273" s="89">
        <v>0</v>
      </c>
      <c r="N273" s="89">
        <v>0</v>
      </c>
      <c r="O273" s="89">
        <v>0</v>
      </c>
      <c r="P273" s="94">
        <v>0</v>
      </c>
      <c r="Q273" s="94">
        <v>0</v>
      </c>
      <c r="R273" s="94">
        <v>0</v>
      </c>
      <c r="S273" s="94">
        <v>0</v>
      </c>
      <c r="T273" s="89">
        <v>0</v>
      </c>
      <c r="U273" s="89">
        <v>0</v>
      </c>
      <c r="V273" s="94">
        <v>0</v>
      </c>
      <c r="W273" s="94">
        <v>0</v>
      </c>
      <c r="X273" s="94">
        <v>0</v>
      </c>
      <c r="Y273" s="89">
        <v>0</v>
      </c>
      <c r="Z273" s="94">
        <f t="shared" si="21"/>
        <v>0</v>
      </c>
      <c r="AA273" s="94">
        <f t="shared" si="22"/>
        <v>0</v>
      </c>
      <c r="AB273" s="89">
        <f t="shared" si="23"/>
        <v>0</v>
      </c>
      <c r="AC273" s="89">
        <f t="shared" si="24"/>
        <v>0</v>
      </c>
      <c r="AD273" s="89">
        <v>0</v>
      </c>
      <c r="AE273" s="89">
        <v>0</v>
      </c>
      <c r="AF273" s="117"/>
      <c r="AG273" s="117"/>
      <c r="AH273" s="262"/>
      <c r="AI273" s="17"/>
      <c r="AJ273" s="17"/>
      <c r="AK273" s="17"/>
      <c r="AL273" s="17"/>
      <c r="AM273" s="17"/>
      <c r="AN273" s="17"/>
      <c r="AO273" s="17"/>
      <c r="AP273" s="15" t="str">
        <f>IFERROR(VLOOKUP(AO273,Legend!$D$2:$E$26,2,0),"")</f>
        <v/>
      </c>
      <c r="AQ273" s="15"/>
      <c r="AR273" s="17"/>
      <c r="AS273" s="17"/>
      <c r="AT273" s="15"/>
      <c r="AU273" s="17"/>
      <c r="AV273" s="17"/>
      <c r="AW273" s="17" t="s">
        <v>10</v>
      </c>
      <c r="AX273" s="15"/>
      <c r="AY273" s="15"/>
    </row>
    <row r="274" spans="1:51" x14ac:dyDescent="0.25">
      <c r="A274" s="15"/>
      <c r="B274" s="15"/>
      <c r="C274" s="15"/>
      <c r="D274" s="15"/>
      <c r="E274" s="91"/>
      <c r="F274" s="15"/>
      <c r="G274" s="15"/>
      <c r="H274" s="15"/>
      <c r="I274" s="15"/>
      <c r="J274" s="15"/>
      <c r="K274" s="89"/>
      <c r="L274" s="15"/>
      <c r="M274" s="89">
        <v>0</v>
      </c>
      <c r="N274" s="89">
        <v>0</v>
      </c>
      <c r="O274" s="89">
        <v>0</v>
      </c>
      <c r="P274" s="94">
        <v>0</v>
      </c>
      <c r="Q274" s="94">
        <v>0</v>
      </c>
      <c r="R274" s="94">
        <v>0</v>
      </c>
      <c r="S274" s="94">
        <v>0</v>
      </c>
      <c r="T274" s="89">
        <v>0</v>
      </c>
      <c r="U274" s="89">
        <v>0</v>
      </c>
      <c r="V274" s="94">
        <v>0</v>
      </c>
      <c r="W274" s="94">
        <v>0</v>
      </c>
      <c r="X274" s="94">
        <v>0</v>
      </c>
      <c r="Y274" s="89">
        <v>0</v>
      </c>
      <c r="Z274" s="94">
        <f t="shared" si="21"/>
        <v>0</v>
      </c>
      <c r="AA274" s="94">
        <f t="shared" si="22"/>
        <v>0</v>
      </c>
      <c r="AB274" s="89">
        <f t="shared" si="23"/>
        <v>0</v>
      </c>
      <c r="AC274" s="89">
        <f t="shared" si="24"/>
        <v>0</v>
      </c>
      <c r="AD274" s="89">
        <v>0</v>
      </c>
      <c r="AE274" s="89">
        <v>0</v>
      </c>
      <c r="AF274" s="117"/>
      <c r="AG274" s="117"/>
      <c r="AH274" s="262"/>
      <c r="AI274" s="17"/>
      <c r="AJ274" s="17"/>
      <c r="AK274" s="17"/>
      <c r="AL274" s="17"/>
      <c r="AM274" s="17"/>
      <c r="AN274" s="17"/>
      <c r="AO274" s="17"/>
      <c r="AP274" s="15" t="str">
        <f>IFERROR(VLOOKUP(AO274,Legend!$D$2:$E$26,2,0),"")</f>
        <v/>
      </c>
      <c r="AQ274" s="15"/>
      <c r="AR274" s="17"/>
      <c r="AS274" s="17"/>
      <c r="AT274" s="15"/>
      <c r="AU274" s="17"/>
      <c r="AV274" s="17"/>
      <c r="AW274" s="17" t="s">
        <v>10</v>
      </c>
      <c r="AX274" s="15"/>
      <c r="AY274" s="15"/>
    </row>
    <row r="275" spans="1:51" x14ac:dyDescent="0.25">
      <c r="A275" s="15"/>
      <c r="B275" s="15"/>
      <c r="C275" s="15"/>
      <c r="D275" s="15"/>
      <c r="E275" s="91"/>
      <c r="F275" s="15"/>
      <c r="G275" s="15"/>
      <c r="H275" s="15"/>
      <c r="I275" s="15"/>
      <c r="J275" s="15"/>
      <c r="K275" s="89"/>
      <c r="L275" s="15"/>
      <c r="M275" s="89">
        <v>0</v>
      </c>
      <c r="N275" s="89">
        <v>0</v>
      </c>
      <c r="O275" s="89">
        <v>0</v>
      </c>
      <c r="P275" s="94">
        <v>0</v>
      </c>
      <c r="Q275" s="94">
        <v>0</v>
      </c>
      <c r="R275" s="94">
        <v>0</v>
      </c>
      <c r="S275" s="94">
        <v>0</v>
      </c>
      <c r="T275" s="89">
        <v>0</v>
      </c>
      <c r="U275" s="89">
        <v>0</v>
      </c>
      <c r="V275" s="94">
        <v>0</v>
      </c>
      <c r="W275" s="94">
        <v>0</v>
      </c>
      <c r="X275" s="94">
        <v>0</v>
      </c>
      <c r="Y275" s="89">
        <v>0</v>
      </c>
      <c r="Z275" s="94">
        <f t="shared" si="21"/>
        <v>0</v>
      </c>
      <c r="AA275" s="94">
        <f t="shared" si="22"/>
        <v>0</v>
      </c>
      <c r="AB275" s="89">
        <f t="shared" si="23"/>
        <v>0</v>
      </c>
      <c r="AC275" s="89">
        <f t="shared" si="24"/>
        <v>0</v>
      </c>
      <c r="AD275" s="89">
        <v>0</v>
      </c>
      <c r="AE275" s="89">
        <v>0</v>
      </c>
      <c r="AF275" s="117"/>
      <c r="AG275" s="117"/>
      <c r="AH275" s="262"/>
      <c r="AI275" s="17"/>
      <c r="AJ275" s="17"/>
      <c r="AK275" s="17"/>
      <c r="AL275" s="17"/>
      <c r="AM275" s="17"/>
      <c r="AN275" s="17"/>
      <c r="AO275" s="17"/>
      <c r="AP275" s="15" t="str">
        <f>IFERROR(VLOOKUP(AO275,Legend!$D$2:$E$26,2,0),"")</f>
        <v/>
      </c>
      <c r="AQ275" s="15"/>
      <c r="AR275" s="17"/>
      <c r="AS275" s="17"/>
      <c r="AT275" s="15"/>
      <c r="AU275" s="17"/>
      <c r="AV275" s="17"/>
      <c r="AW275" s="17" t="s">
        <v>10</v>
      </c>
      <c r="AX275" s="15"/>
      <c r="AY275" s="15"/>
    </row>
    <row r="276" spans="1:51" x14ac:dyDescent="0.25">
      <c r="A276" s="15"/>
      <c r="B276" s="15"/>
      <c r="C276" s="15"/>
      <c r="D276" s="15"/>
      <c r="E276" s="91"/>
      <c r="F276" s="15"/>
      <c r="G276" s="15"/>
      <c r="H276" s="15"/>
      <c r="I276" s="15"/>
      <c r="J276" s="15"/>
      <c r="K276" s="89"/>
      <c r="L276" s="15"/>
      <c r="M276" s="89">
        <v>0</v>
      </c>
      <c r="N276" s="89">
        <v>0</v>
      </c>
      <c r="O276" s="89">
        <v>0</v>
      </c>
      <c r="P276" s="94">
        <v>0</v>
      </c>
      <c r="Q276" s="94">
        <v>0</v>
      </c>
      <c r="R276" s="94">
        <v>0</v>
      </c>
      <c r="S276" s="94">
        <v>0</v>
      </c>
      <c r="T276" s="89">
        <v>0</v>
      </c>
      <c r="U276" s="89">
        <v>0</v>
      </c>
      <c r="V276" s="94">
        <v>0</v>
      </c>
      <c r="W276" s="94">
        <v>0</v>
      </c>
      <c r="X276" s="94">
        <v>0</v>
      </c>
      <c r="Y276" s="89">
        <v>0</v>
      </c>
      <c r="Z276" s="94">
        <f t="shared" si="21"/>
        <v>0</v>
      </c>
      <c r="AA276" s="94">
        <f t="shared" si="22"/>
        <v>0</v>
      </c>
      <c r="AB276" s="89">
        <f t="shared" si="23"/>
        <v>0</v>
      </c>
      <c r="AC276" s="89">
        <f t="shared" si="24"/>
        <v>0</v>
      </c>
      <c r="AD276" s="89">
        <v>0</v>
      </c>
      <c r="AE276" s="89">
        <v>0</v>
      </c>
      <c r="AF276" s="117"/>
      <c r="AG276" s="117"/>
      <c r="AH276" s="262"/>
      <c r="AI276" s="17"/>
      <c r="AJ276" s="17"/>
      <c r="AK276" s="17"/>
      <c r="AL276" s="17"/>
      <c r="AM276" s="17"/>
      <c r="AN276" s="17"/>
      <c r="AO276" s="17"/>
      <c r="AP276" s="15" t="str">
        <f>IFERROR(VLOOKUP(AO276,Legend!$D$2:$E$26,2,0),"")</f>
        <v/>
      </c>
      <c r="AQ276" s="15"/>
      <c r="AR276" s="17"/>
      <c r="AS276" s="17"/>
      <c r="AT276" s="15"/>
      <c r="AU276" s="17"/>
      <c r="AV276" s="17"/>
      <c r="AW276" s="17" t="s">
        <v>10</v>
      </c>
      <c r="AX276" s="15"/>
      <c r="AY276" s="15"/>
    </row>
    <row r="277" spans="1:51" x14ac:dyDescent="0.25">
      <c r="A277" s="15"/>
      <c r="B277" s="15"/>
      <c r="C277" s="15"/>
      <c r="D277" s="15"/>
      <c r="E277" s="91"/>
      <c r="F277" s="15"/>
      <c r="G277" s="15"/>
      <c r="H277" s="15"/>
      <c r="I277" s="15"/>
      <c r="J277" s="15"/>
      <c r="K277" s="89"/>
      <c r="L277" s="15"/>
      <c r="M277" s="89">
        <v>0</v>
      </c>
      <c r="N277" s="89">
        <v>0</v>
      </c>
      <c r="O277" s="89">
        <v>0</v>
      </c>
      <c r="P277" s="94">
        <v>0</v>
      </c>
      <c r="Q277" s="94">
        <v>0</v>
      </c>
      <c r="R277" s="94">
        <v>0</v>
      </c>
      <c r="S277" s="94">
        <v>0</v>
      </c>
      <c r="T277" s="89">
        <v>0</v>
      </c>
      <c r="U277" s="89">
        <v>0</v>
      </c>
      <c r="V277" s="94">
        <v>0</v>
      </c>
      <c r="W277" s="94">
        <v>0</v>
      </c>
      <c r="X277" s="94">
        <v>0</v>
      </c>
      <c r="Y277" s="89">
        <v>0</v>
      </c>
      <c r="Z277" s="94">
        <f t="shared" si="21"/>
        <v>0</v>
      </c>
      <c r="AA277" s="94">
        <f t="shared" si="22"/>
        <v>0</v>
      </c>
      <c r="AB277" s="89">
        <f t="shared" si="23"/>
        <v>0</v>
      </c>
      <c r="AC277" s="89">
        <f t="shared" si="24"/>
        <v>0</v>
      </c>
      <c r="AD277" s="89">
        <v>0</v>
      </c>
      <c r="AE277" s="89">
        <v>0</v>
      </c>
      <c r="AF277" s="117"/>
      <c r="AG277" s="117"/>
      <c r="AH277" s="262"/>
      <c r="AI277" s="17"/>
      <c r="AJ277" s="17"/>
      <c r="AK277" s="17"/>
      <c r="AL277" s="17"/>
      <c r="AM277" s="17"/>
      <c r="AN277" s="17"/>
      <c r="AO277" s="17"/>
      <c r="AP277" s="15" t="str">
        <f>IFERROR(VLOOKUP(AO277,Legend!$D$2:$E$26,2,0),"")</f>
        <v/>
      </c>
      <c r="AQ277" s="15"/>
      <c r="AR277" s="17"/>
      <c r="AS277" s="17"/>
      <c r="AT277" s="15"/>
      <c r="AU277" s="17"/>
      <c r="AV277" s="17"/>
      <c r="AW277" s="17" t="s">
        <v>10</v>
      </c>
      <c r="AX277" s="15"/>
      <c r="AY277" s="15"/>
    </row>
    <row r="278" spans="1:51" x14ac:dyDescent="0.25">
      <c r="A278" s="15"/>
      <c r="B278" s="15"/>
      <c r="C278" s="15"/>
      <c r="D278" s="15"/>
      <c r="E278" s="91"/>
      <c r="F278" s="15"/>
      <c r="G278" s="15"/>
      <c r="H278" s="15"/>
      <c r="I278" s="15"/>
      <c r="J278" s="15"/>
      <c r="K278" s="89"/>
      <c r="L278" s="15"/>
      <c r="M278" s="89">
        <v>0</v>
      </c>
      <c r="N278" s="89">
        <v>0</v>
      </c>
      <c r="O278" s="89">
        <v>0</v>
      </c>
      <c r="P278" s="94">
        <v>0</v>
      </c>
      <c r="Q278" s="94">
        <v>0</v>
      </c>
      <c r="R278" s="94">
        <v>0</v>
      </c>
      <c r="S278" s="94">
        <v>0</v>
      </c>
      <c r="T278" s="89">
        <v>0</v>
      </c>
      <c r="U278" s="89">
        <v>0</v>
      </c>
      <c r="V278" s="94">
        <v>0</v>
      </c>
      <c r="W278" s="94">
        <v>0</v>
      </c>
      <c r="X278" s="94">
        <v>0</v>
      </c>
      <c r="Y278" s="89">
        <v>0</v>
      </c>
      <c r="Z278" s="94">
        <f t="shared" si="21"/>
        <v>0</v>
      </c>
      <c r="AA278" s="94">
        <f t="shared" si="22"/>
        <v>0</v>
      </c>
      <c r="AB278" s="89">
        <f t="shared" si="23"/>
        <v>0</v>
      </c>
      <c r="AC278" s="89">
        <f t="shared" si="24"/>
        <v>0</v>
      </c>
      <c r="AD278" s="89">
        <v>0</v>
      </c>
      <c r="AE278" s="89">
        <v>0</v>
      </c>
      <c r="AF278" s="117"/>
      <c r="AG278" s="117"/>
      <c r="AH278" s="262"/>
      <c r="AI278" s="17"/>
      <c r="AJ278" s="17"/>
      <c r="AK278" s="17"/>
      <c r="AL278" s="17"/>
      <c r="AM278" s="17"/>
      <c r="AN278" s="17"/>
      <c r="AO278" s="17"/>
      <c r="AP278" s="15" t="str">
        <f>IFERROR(VLOOKUP(AO278,Legend!$D$2:$E$26,2,0),"")</f>
        <v/>
      </c>
      <c r="AQ278" s="15"/>
      <c r="AR278" s="17"/>
      <c r="AS278" s="17"/>
      <c r="AT278" s="15"/>
      <c r="AU278" s="17"/>
      <c r="AV278" s="17"/>
      <c r="AW278" s="17" t="s">
        <v>10</v>
      </c>
      <c r="AX278" s="15"/>
      <c r="AY278" s="15"/>
    </row>
    <row r="279" spans="1:51" x14ac:dyDescent="0.25">
      <c r="A279" s="15"/>
      <c r="B279" s="15"/>
      <c r="C279" s="15"/>
      <c r="D279" s="15"/>
      <c r="E279" s="91"/>
      <c r="F279" s="15"/>
      <c r="G279" s="15"/>
      <c r="H279" s="15"/>
      <c r="I279" s="15"/>
      <c r="J279" s="15"/>
      <c r="K279" s="89"/>
      <c r="L279" s="15"/>
      <c r="M279" s="89">
        <v>0</v>
      </c>
      <c r="N279" s="89">
        <v>0</v>
      </c>
      <c r="O279" s="89">
        <v>0</v>
      </c>
      <c r="P279" s="94">
        <v>0</v>
      </c>
      <c r="Q279" s="94">
        <v>0</v>
      </c>
      <c r="R279" s="94">
        <v>0</v>
      </c>
      <c r="S279" s="94">
        <v>0</v>
      </c>
      <c r="T279" s="89">
        <v>0</v>
      </c>
      <c r="U279" s="89">
        <v>0</v>
      </c>
      <c r="V279" s="94">
        <v>0</v>
      </c>
      <c r="W279" s="94">
        <v>0</v>
      </c>
      <c r="X279" s="94">
        <v>0</v>
      </c>
      <c r="Y279" s="89">
        <v>0</v>
      </c>
      <c r="Z279" s="94">
        <f t="shared" si="21"/>
        <v>0</v>
      </c>
      <c r="AA279" s="94">
        <f t="shared" si="22"/>
        <v>0</v>
      </c>
      <c r="AB279" s="89">
        <f t="shared" si="23"/>
        <v>0</v>
      </c>
      <c r="AC279" s="89">
        <f t="shared" si="24"/>
        <v>0</v>
      </c>
      <c r="AD279" s="89">
        <v>0</v>
      </c>
      <c r="AE279" s="89">
        <v>0</v>
      </c>
      <c r="AF279" s="117"/>
      <c r="AG279" s="117"/>
      <c r="AH279" s="262"/>
      <c r="AI279" s="17"/>
      <c r="AJ279" s="17"/>
      <c r="AK279" s="17"/>
      <c r="AL279" s="17"/>
      <c r="AM279" s="17"/>
      <c r="AN279" s="17"/>
      <c r="AO279" s="17"/>
      <c r="AP279" s="15" t="str">
        <f>IFERROR(VLOOKUP(AO279,Legend!$D$2:$E$26,2,0),"")</f>
        <v/>
      </c>
      <c r="AQ279" s="15"/>
      <c r="AR279" s="17"/>
      <c r="AS279" s="17"/>
      <c r="AT279" s="15"/>
      <c r="AU279" s="17"/>
      <c r="AV279" s="17"/>
      <c r="AW279" s="17" t="s">
        <v>10</v>
      </c>
      <c r="AX279" s="15"/>
      <c r="AY279" s="15"/>
    </row>
    <row r="280" spans="1:51" x14ac:dyDescent="0.25">
      <c r="A280" s="15"/>
      <c r="B280" s="15"/>
      <c r="C280" s="15"/>
      <c r="D280" s="15"/>
      <c r="E280" s="91"/>
      <c r="F280" s="15"/>
      <c r="G280" s="15"/>
      <c r="H280" s="15"/>
      <c r="I280" s="15"/>
      <c r="J280" s="15"/>
      <c r="K280" s="89"/>
      <c r="L280" s="15"/>
      <c r="M280" s="89">
        <v>0</v>
      </c>
      <c r="N280" s="89">
        <v>0</v>
      </c>
      <c r="O280" s="89">
        <v>0</v>
      </c>
      <c r="P280" s="94">
        <v>0</v>
      </c>
      <c r="Q280" s="94">
        <v>0</v>
      </c>
      <c r="R280" s="94">
        <v>0</v>
      </c>
      <c r="S280" s="94">
        <v>0</v>
      </c>
      <c r="T280" s="89">
        <v>0</v>
      </c>
      <c r="U280" s="89">
        <v>0</v>
      </c>
      <c r="V280" s="94">
        <v>0</v>
      </c>
      <c r="W280" s="94">
        <v>0</v>
      </c>
      <c r="X280" s="94">
        <v>0</v>
      </c>
      <c r="Y280" s="89">
        <v>0</v>
      </c>
      <c r="Z280" s="94">
        <f t="shared" si="21"/>
        <v>0</v>
      </c>
      <c r="AA280" s="94">
        <f t="shared" si="22"/>
        <v>0</v>
      </c>
      <c r="AB280" s="89">
        <f t="shared" si="23"/>
        <v>0</v>
      </c>
      <c r="AC280" s="89">
        <f t="shared" si="24"/>
        <v>0</v>
      </c>
      <c r="AD280" s="89">
        <v>0</v>
      </c>
      <c r="AE280" s="89">
        <v>0</v>
      </c>
      <c r="AF280" s="117"/>
      <c r="AG280" s="117"/>
      <c r="AH280" s="262"/>
      <c r="AI280" s="17"/>
      <c r="AJ280" s="17"/>
      <c r="AK280" s="17"/>
      <c r="AL280" s="17"/>
      <c r="AM280" s="17"/>
      <c r="AN280" s="17"/>
      <c r="AO280" s="17"/>
      <c r="AP280" s="15" t="str">
        <f>IFERROR(VLOOKUP(AO280,Legend!$D$2:$E$26,2,0),"")</f>
        <v/>
      </c>
      <c r="AQ280" s="15"/>
      <c r="AR280" s="17"/>
      <c r="AS280" s="17"/>
      <c r="AT280" s="15"/>
      <c r="AU280" s="17"/>
      <c r="AV280" s="17"/>
      <c r="AW280" s="17" t="s">
        <v>10</v>
      </c>
      <c r="AX280" s="15"/>
      <c r="AY280" s="15"/>
    </row>
    <row r="281" spans="1:51" x14ac:dyDescent="0.25">
      <c r="A281" s="15"/>
      <c r="B281" s="15"/>
      <c r="C281" s="15"/>
      <c r="D281" s="15"/>
      <c r="E281" s="91"/>
      <c r="F281" s="15"/>
      <c r="G281" s="15"/>
      <c r="H281" s="15"/>
      <c r="I281" s="15"/>
      <c r="J281" s="15"/>
      <c r="K281" s="89"/>
      <c r="L281" s="15"/>
      <c r="M281" s="89">
        <v>0</v>
      </c>
      <c r="N281" s="89">
        <v>0</v>
      </c>
      <c r="O281" s="89">
        <v>0</v>
      </c>
      <c r="P281" s="94">
        <v>0</v>
      </c>
      <c r="Q281" s="94">
        <v>0</v>
      </c>
      <c r="R281" s="94">
        <v>0</v>
      </c>
      <c r="S281" s="94">
        <v>0</v>
      </c>
      <c r="T281" s="89">
        <v>0</v>
      </c>
      <c r="U281" s="89">
        <v>0</v>
      </c>
      <c r="V281" s="94">
        <v>0</v>
      </c>
      <c r="W281" s="94">
        <v>0</v>
      </c>
      <c r="X281" s="94">
        <v>0</v>
      </c>
      <c r="Y281" s="89">
        <v>0</v>
      </c>
      <c r="Z281" s="94">
        <f t="shared" si="21"/>
        <v>0</v>
      </c>
      <c r="AA281" s="94">
        <f t="shared" si="22"/>
        <v>0</v>
      </c>
      <c r="AB281" s="89">
        <f t="shared" si="23"/>
        <v>0</v>
      </c>
      <c r="AC281" s="89">
        <f t="shared" si="24"/>
        <v>0</v>
      </c>
      <c r="AD281" s="89">
        <v>0</v>
      </c>
      <c r="AE281" s="89">
        <v>0</v>
      </c>
      <c r="AF281" s="117"/>
      <c r="AG281" s="117"/>
      <c r="AH281" s="262"/>
      <c r="AI281" s="17"/>
      <c r="AJ281" s="17"/>
      <c r="AK281" s="17"/>
      <c r="AL281" s="17"/>
      <c r="AM281" s="17"/>
      <c r="AN281" s="17"/>
      <c r="AO281" s="17"/>
      <c r="AP281" s="15" t="str">
        <f>IFERROR(VLOOKUP(AO281,Legend!$D$2:$E$26,2,0),"")</f>
        <v/>
      </c>
      <c r="AQ281" s="15"/>
      <c r="AR281" s="17"/>
      <c r="AS281" s="17"/>
      <c r="AT281" s="15"/>
      <c r="AU281" s="17"/>
      <c r="AV281" s="17"/>
      <c r="AW281" s="17" t="s">
        <v>10</v>
      </c>
      <c r="AX281" s="15"/>
      <c r="AY281" s="15"/>
    </row>
    <row r="282" spans="1:51" x14ac:dyDescent="0.25">
      <c r="A282" s="15"/>
      <c r="B282" s="15"/>
      <c r="C282" s="15"/>
      <c r="D282" s="15"/>
      <c r="E282" s="91"/>
      <c r="F282" s="15"/>
      <c r="G282" s="15"/>
      <c r="H282" s="15"/>
      <c r="I282" s="15"/>
      <c r="J282" s="15"/>
      <c r="K282" s="89"/>
      <c r="L282" s="15"/>
      <c r="M282" s="89">
        <v>0</v>
      </c>
      <c r="N282" s="89">
        <v>0</v>
      </c>
      <c r="O282" s="89">
        <v>0</v>
      </c>
      <c r="P282" s="94">
        <v>0</v>
      </c>
      <c r="Q282" s="94">
        <v>0</v>
      </c>
      <c r="R282" s="94">
        <v>0</v>
      </c>
      <c r="S282" s="94">
        <v>0</v>
      </c>
      <c r="T282" s="89">
        <v>0</v>
      </c>
      <c r="U282" s="89">
        <v>0</v>
      </c>
      <c r="V282" s="94">
        <v>0</v>
      </c>
      <c r="W282" s="94">
        <v>0</v>
      </c>
      <c r="X282" s="94">
        <v>0</v>
      </c>
      <c r="Y282" s="89">
        <v>0</v>
      </c>
      <c r="Z282" s="94">
        <f t="shared" si="21"/>
        <v>0</v>
      </c>
      <c r="AA282" s="94">
        <f t="shared" si="22"/>
        <v>0</v>
      </c>
      <c r="AB282" s="89">
        <f t="shared" si="23"/>
        <v>0</v>
      </c>
      <c r="AC282" s="89">
        <f t="shared" si="24"/>
        <v>0</v>
      </c>
      <c r="AD282" s="89">
        <v>0</v>
      </c>
      <c r="AE282" s="89">
        <v>0</v>
      </c>
      <c r="AF282" s="117"/>
      <c r="AG282" s="117"/>
      <c r="AH282" s="262"/>
      <c r="AI282" s="17"/>
      <c r="AJ282" s="17"/>
      <c r="AK282" s="17"/>
      <c r="AL282" s="17"/>
      <c r="AM282" s="17"/>
      <c r="AN282" s="17"/>
      <c r="AO282" s="17"/>
      <c r="AP282" s="15" t="str">
        <f>IFERROR(VLOOKUP(AO282,Legend!$D$2:$E$26,2,0),"")</f>
        <v/>
      </c>
      <c r="AQ282" s="15"/>
      <c r="AR282" s="17"/>
      <c r="AS282" s="17"/>
      <c r="AT282" s="15"/>
      <c r="AU282" s="17"/>
      <c r="AV282" s="17"/>
      <c r="AW282" s="17" t="s">
        <v>10</v>
      </c>
      <c r="AX282" s="15"/>
      <c r="AY282" s="15"/>
    </row>
    <row r="283" spans="1:51" x14ac:dyDescent="0.25">
      <c r="A283" s="15"/>
      <c r="B283" s="15"/>
      <c r="C283" s="15"/>
      <c r="D283" s="15"/>
      <c r="E283" s="91"/>
      <c r="F283" s="15"/>
      <c r="G283" s="15"/>
      <c r="H283" s="15"/>
      <c r="I283" s="15"/>
      <c r="J283" s="15"/>
      <c r="K283" s="89"/>
      <c r="L283" s="15"/>
      <c r="M283" s="89">
        <v>0</v>
      </c>
      <c r="N283" s="89">
        <v>0</v>
      </c>
      <c r="O283" s="89">
        <v>0</v>
      </c>
      <c r="P283" s="94">
        <v>0</v>
      </c>
      <c r="Q283" s="94">
        <v>0</v>
      </c>
      <c r="R283" s="94">
        <v>0</v>
      </c>
      <c r="S283" s="94">
        <v>0</v>
      </c>
      <c r="T283" s="89">
        <v>0</v>
      </c>
      <c r="U283" s="89">
        <v>0</v>
      </c>
      <c r="V283" s="94">
        <v>0</v>
      </c>
      <c r="W283" s="94">
        <v>0</v>
      </c>
      <c r="X283" s="94">
        <v>0</v>
      </c>
      <c r="Y283" s="89">
        <v>0</v>
      </c>
      <c r="Z283" s="94">
        <f t="shared" si="21"/>
        <v>0</v>
      </c>
      <c r="AA283" s="94">
        <f t="shared" si="22"/>
        <v>0</v>
      </c>
      <c r="AB283" s="89">
        <f t="shared" si="23"/>
        <v>0</v>
      </c>
      <c r="AC283" s="89">
        <f t="shared" si="24"/>
        <v>0</v>
      </c>
      <c r="AD283" s="89">
        <v>0</v>
      </c>
      <c r="AE283" s="89">
        <v>0</v>
      </c>
      <c r="AF283" s="117"/>
      <c r="AG283" s="117"/>
      <c r="AH283" s="262"/>
      <c r="AI283" s="17"/>
      <c r="AJ283" s="17"/>
      <c r="AK283" s="17"/>
      <c r="AL283" s="17"/>
      <c r="AM283" s="17"/>
      <c r="AN283" s="17"/>
      <c r="AO283" s="17"/>
      <c r="AP283" s="15" t="str">
        <f>IFERROR(VLOOKUP(AO283,Legend!$D$2:$E$26,2,0),"")</f>
        <v/>
      </c>
      <c r="AQ283" s="15"/>
      <c r="AR283" s="17"/>
      <c r="AS283" s="17"/>
      <c r="AT283" s="15"/>
      <c r="AU283" s="17"/>
      <c r="AV283" s="17"/>
      <c r="AW283" s="17" t="s">
        <v>10</v>
      </c>
      <c r="AX283" s="15"/>
      <c r="AY283" s="15"/>
    </row>
    <row r="284" spans="1:51" x14ac:dyDescent="0.25">
      <c r="A284" s="15"/>
      <c r="B284" s="15"/>
      <c r="C284" s="15"/>
      <c r="D284" s="15"/>
      <c r="E284" s="91"/>
      <c r="F284" s="15"/>
      <c r="G284" s="15"/>
      <c r="H284" s="15"/>
      <c r="I284" s="15"/>
      <c r="J284" s="15"/>
      <c r="K284" s="89"/>
      <c r="L284" s="15"/>
      <c r="M284" s="89">
        <v>0</v>
      </c>
      <c r="N284" s="89">
        <v>0</v>
      </c>
      <c r="O284" s="89">
        <v>0</v>
      </c>
      <c r="P284" s="94">
        <v>0</v>
      </c>
      <c r="Q284" s="94">
        <v>0</v>
      </c>
      <c r="R284" s="94">
        <v>0</v>
      </c>
      <c r="S284" s="94">
        <v>0</v>
      </c>
      <c r="T284" s="89">
        <v>0</v>
      </c>
      <c r="U284" s="89">
        <v>0</v>
      </c>
      <c r="V284" s="94">
        <v>0</v>
      </c>
      <c r="W284" s="94">
        <v>0</v>
      </c>
      <c r="X284" s="94">
        <v>0</v>
      </c>
      <c r="Y284" s="89">
        <v>0</v>
      </c>
      <c r="Z284" s="94">
        <f t="shared" si="21"/>
        <v>0</v>
      </c>
      <c r="AA284" s="94">
        <f t="shared" si="22"/>
        <v>0</v>
      </c>
      <c r="AB284" s="89">
        <f t="shared" si="23"/>
        <v>0</v>
      </c>
      <c r="AC284" s="89">
        <f t="shared" si="24"/>
        <v>0</v>
      </c>
      <c r="AD284" s="89">
        <v>0</v>
      </c>
      <c r="AE284" s="89">
        <v>0</v>
      </c>
      <c r="AF284" s="117"/>
      <c r="AG284" s="117"/>
      <c r="AH284" s="262"/>
      <c r="AI284" s="17"/>
      <c r="AJ284" s="17"/>
      <c r="AK284" s="17"/>
      <c r="AL284" s="17"/>
      <c r="AM284" s="17"/>
      <c r="AN284" s="17"/>
      <c r="AO284" s="17"/>
      <c r="AP284" s="15" t="str">
        <f>IFERROR(VLOOKUP(AO284,Legend!$D$2:$E$26,2,0),"")</f>
        <v/>
      </c>
      <c r="AQ284" s="15"/>
      <c r="AR284" s="17"/>
      <c r="AS284" s="17"/>
      <c r="AT284" s="15"/>
      <c r="AU284" s="17"/>
      <c r="AV284" s="17"/>
      <c r="AW284" s="17" t="s">
        <v>10</v>
      </c>
      <c r="AX284" s="15"/>
      <c r="AY284" s="15"/>
    </row>
    <row r="285" spans="1:51" x14ac:dyDescent="0.25">
      <c r="A285" s="15"/>
      <c r="B285" s="15"/>
      <c r="C285" s="15"/>
      <c r="D285" s="15"/>
      <c r="E285" s="91"/>
      <c r="F285" s="15"/>
      <c r="G285" s="15"/>
      <c r="H285" s="15"/>
      <c r="I285" s="15"/>
      <c r="J285" s="15"/>
      <c r="K285" s="89"/>
      <c r="L285" s="15"/>
      <c r="M285" s="89">
        <v>0</v>
      </c>
      <c r="N285" s="89">
        <v>0</v>
      </c>
      <c r="O285" s="89">
        <v>0</v>
      </c>
      <c r="P285" s="94">
        <v>0</v>
      </c>
      <c r="Q285" s="94">
        <v>0</v>
      </c>
      <c r="R285" s="94">
        <v>0</v>
      </c>
      <c r="S285" s="94">
        <v>0</v>
      </c>
      <c r="T285" s="89">
        <v>0</v>
      </c>
      <c r="U285" s="89">
        <v>0</v>
      </c>
      <c r="V285" s="94">
        <v>0</v>
      </c>
      <c r="W285" s="94">
        <v>0</v>
      </c>
      <c r="X285" s="94">
        <v>0</v>
      </c>
      <c r="Y285" s="89">
        <v>0</v>
      </c>
      <c r="Z285" s="94">
        <f t="shared" si="21"/>
        <v>0</v>
      </c>
      <c r="AA285" s="94">
        <f t="shared" si="22"/>
        <v>0</v>
      </c>
      <c r="AB285" s="89">
        <f t="shared" si="23"/>
        <v>0</v>
      </c>
      <c r="AC285" s="89">
        <f t="shared" si="24"/>
        <v>0</v>
      </c>
      <c r="AD285" s="89">
        <v>0</v>
      </c>
      <c r="AE285" s="89">
        <v>0</v>
      </c>
      <c r="AF285" s="117"/>
      <c r="AG285" s="117"/>
      <c r="AH285" s="262"/>
      <c r="AI285" s="17"/>
      <c r="AJ285" s="17"/>
      <c r="AK285" s="17"/>
      <c r="AL285" s="17"/>
      <c r="AM285" s="17"/>
      <c r="AN285" s="17"/>
      <c r="AO285" s="17"/>
      <c r="AP285" s="15" t="str">
        <f>IFERROR(VLOOKUP(AO285,Legend!$D$2:$E$26,2,0),"")</f>
        <v/>
      </c>
      <c r="AQ285" s="15"/>
      <c r="AR285" s="17"/>
      <c r="AS285" s="17"/>
      <c r="AT285" s="15"/>
      <c r="AU285" s="17"/>
      <c r="AV285" s="17"/>
      <c r="AW285" s="17" t="s">
        <v>10</v>
      </c>
      <c r="AX285" s="15"/>
      <c r="AY285" s="15"/>
    </row>
    <row r="286" spans="1:51" x14ac:dyDescent="0.25">
      <c r="A286" s="15"/>
      <c r="B286" s="15"/>
      <c r="C286" s="15"/>
      <c r="D286" s="15"/>
      <c r="E286" s="91"/>
      <c r="F286" s="15"/>
      <c r="G286" s="15"/>
      <c r="H286" s="15"/>
      <c r="I286" s="15"/>
      <c r="J286" s="15"/>
      <c r="K286" s="89"/>
      <c r="L286" s="15"/>
      <c r="M286" s="89">
        <v>0</v>
      </c>
      <c r="N286" s="89">
        <v>0</v>
      </c>
      <c r="O286" s="89">
        <v>0</v>
      </c>
      <c r="P286" s="94">
        <v>0</v>
      </c>
      <c r="Q286" s="94">
        <v>0</v>
      </c>
      <c r="R286" s="94">
        <v>0</v>
      </c>
      <c r="S286" s="94">
        <v>0</v>
      </c>
      <c r="T286" s="89">
        <v>0</v>
      </c>
      <c r="U286" s="89">
        <v>0</v>
      </c>
      <c r="V286" s="94">
        <v>0</v>
      </c>
      <c r="W286" s="94">
        <v>0</v>
      </c>
      <c r="X286" s="94">
        <v>0</v>
      </c>
      <c r="Y286" s="89">
        <v>0</v>
      </c>
      <c r="Z286" s="94">
        <f t="shared" si="21"/>
        <v>0</v>
      </c>
      <c r="AA286" s="94">
        <f t="shared" si="22"/>
        <v>0</v>
      </c>
      <c r="AB286" s="89">
        <f t="shared" si="23"/>
        <v>0</v>
      </c>
      <c r="AC286" s="89">
        <f t="shared" si="24"/>
        <v>0</v>
      </c>
      <c r="AD286" s="89">
        <v>0</v>
      </c>
      <c r="AE286" s="89">
        <v>0</v>
      </c>
      <c r="AF286" s="117"/>
      <c r="AG286" s="117"/>
      <c r="AH286" s="262"/>
      <c r="AI286" s="17"/>
      <c r="AJ286" s="17"/>
      <c r="AK286" s="17"/>
      <c r="AL286" s="17"/>
      <c r="AM286" s="17"/>
      <c r="AN286" s="17"/>
      <c r="AO286" s="17"/>
      <c r="AP286" s="15" t="str">
        <f>IFERROR(VLOOKUP(AO286,Legend!$D$2:$E$26,2,0),"")</f>
        <v/>
      </c>
      <c r="AQ286" s="15"/>
      <c r="AR286" s="17"/>
      <c r="AS286" s="17"/>
      <c r="AT286" s="15"/>
      <c r="AU286" s="17"/>
      <c r="AV286" s="17"/>
      <c r="AW286" s="17" t="s">
        <v>10</v>
      </c>
      <c r="AX286" s="15"/>
      <c r="AY286" s="15"/>
    </row>
    <row r="287" spans="1:51" x14ac:dyDescent="0.25">
      <c r="A287" s="15"/>
      <c r="B287" s="15"/>
      <c r="C287" s="15"/>
      <c r="D287" s="15"/>
      <c r="E287" s="91"/>
      <c r="F287" s="15"/>
      <c r="G287" s="15"/>
      <c r="H287" s="15"/>
      <c r="I287" s="15"/>
      <c r="J287" s="15"/>
      <c r="K287" s="89"/>
      <c r="L287" s="15"/>
      <c r="M287" s="89">
        <v>0</v>
      </c>
      <c r="N287" s="89">
        <v>0</v>
      </c>
      <c r="O287" s="89">
        <v>0</v>
      </c>
      <c r="P287" s="94">
        <v>0</v>
      </c>
      <c r="Q287" s="94">
        <v>0</v>
      </c>
      <c r="R287" s="94">
        <v>0</v>
      </c>
      <c r="S287" s="94">
        <v>0</v>
      </c>
      <c r="T287" s="89">
        <v>0</v>
      </c>
      <c r="U287" s="89">
        <v>0</v>
      </c>
      <c r="V287" s="94">
        <v>0</v>
      </c>
      <c r="W287" s="94">
        <v>0</v>
      </c>
      <c r="X287" s="94">
        <v>0</v>
      </c>
      <c r="Y287" s="89">
        <v>0</v>
      </c>
      <c r="Z287" s="94">
        <f t="shared" si="21"/>
        <v>0</v>
      </c>
      <c r="AA287" s="94">
        <f t="shared" si="22"/>
        <v>0</v>
      </c>
      <c r="AB287" s="89">
        <f t="shared" si="23"/>
        <v>0</v>
      </c>
      <c r="AC287" s="89">
        <f t="shared" si="24"/>
        <v>0</v>
      </c>
      <c r="AD287" s="89">
        <v>0</v>
      </c>
      <c r="AE287" s="89">
        <v>0</v>
      </c>
      <c r="AF287" s="117"/>
      <c r="AG287" s="117"/>
      <c r="AH287" s="262"/>
      <c r="AI287" s="17"/>
      <c r="AJ287" s="17"/>
      <c r="AK287" s="17"/>
      <c r="AL287" s="17"/>
      <c r="AM287" s="17"/>
      <c r="AN287" s="17"/>
      <c r="AO287" s="17"/>
      <c r="AP287" s="15" t="str">
        <f>IFERROR(VLOOKUP(AO287,Legend!$D$2:$E$26,2,0),"")</f>
        <v/>
      </c>
      <c r="AQ287" s="15"/>
      <c r="AR287" s="17"/>
      <c r="AS287" s="17"/>
      <c r="AT287" s="15"/>
      <c r="AU287" s="17"/>
      <c r="AV287" s="17"/>
      <c r="AW287" s="17" t="s">
        <v>10</v>
      </c>
      <c r="AX287" s="15"/>
      <c r="AY287" s="15"/>
    </row>
    <row r="288" spans="1:51" x14ac:dyDescent="0.25">
      <c r="A288" s="15"/>
      <c r="B288" s="15"/>
      <c r="C288" s="15"/>
      <c r="D288" s="15"/>
      <c r="E288" s="91"/>
      <c r="F288" s="15"/>
      <c r="G288" s="15"/>
      <c r="H288" s="15"/>
      <c r="I288" s="15"/>
      <c r="J288" s="15"/>
      <c r="K288" s="89"/>
      <c r="L288" s="15"/>
      <c r="M288" s="89">
        <v>0</v>
      </c>
      <c r="N288" s="89">
        <v>0</v>
      </c>
      <c r="O288" s="89">
        <v>0</v>
      </c>
      <c r="P288" s="94">
        <v>0</v>
      </c>
      <c r="Q288" s="94">
        <v>0</v>
      </c>
      <c r="R288" s="94">
        <v>0</v>
      </c>
      <c r="S288" s="94">
        <v>0</v>
      </c>
      <c r="T288" s="89">
        <v>0</v>
      </c>
      <c r="U288" s="89">
        <v>0</v>
      </c>
      <c r="V288" s="94">
        <v>0</v>
      </c>
      <c r="W288" s="94">
        <v>0</v>
      </c>
      <c r="X288" s="94">
        <v>0</v>
      </c>
      <c r="Y288" s="89">
        <v>0</v>
      </c>
      <c r="Z288" s="94">
        <f t="shared" si="21"/>
        <v>0</v>
      </c>
      <c r="AA288" s="94">
        <f t="shared" si="22"/>
        <v>0</v>
      </c>
      <c r="AB288" s="89">
        <f t="shared" si="23"/>
        <v>0</v>
      </c>
      <c r="AC288" s="89">
        <f t="shared" si="24"/>
        <v>0</v>
      </c>
      <c r="AD288" s="89">
        <v>0</v>
      </c>
      <c r="AE288" s="89">
        <v>0</v>
      </c>
      <c r="AF288" s="117"/>
      <c r="AG288" s="117"/>
      <c r="AH288" s="262"/>
      <c r="AI288" s="17"/>
      <c r="AJ288" s="17"/>
      <c r="AK288" s="17"/>
      <c r="AL288" s="17"/>
      <c r="AM288" s="17"/>
      <c r="AN288" s="17"/>
      <c r="AO288" s="17"/>
      <c r="AP288" s="15" t="str">
        <f>IFERROR(VLOOKUP(AO288,Legend!$D$2:$E$26,2,0),"")</f>
        <v/>
      </c>
      <c r="AQ288" s="15"/>
      <c r="AR288" s="17"/>
      <c r="AS288" s="17"/>
      <c r="AT288" s="15"/>
      <c r="AU288" s="17"/>
      <c r="AV288" s="17"/>
      <c r="AW288" s="17" t="s">
        <v>10</v>
      </c>
      <c r="AX288" s="15"/>
      <c r="AY288" s="15"/>
    </row>
    <row r="289" spans="1:51" x14ac:dyDescent="0.25">
      <c r="A289" s="15"/>
      <c r="B289" s="15"/>
      <c r="C289" s="15"/>
      <c r="D289" s="15"/>
      <c r="E289" s="91"/>
      <c r="F289" s="15"/>
      <c r="G289" s="15"/>
      <c r="H289" s="15"/>
      <c r="I289" s="15"/>
      <c r="J289" s="15"/>
      <c r="K289" s="89"/>
      <c r="L289" s="15"/>
      <c r="M289" s="89">
        <v>0</v>
      </c>
      <c r="N289" s="89">
        <v>0</v>
      </c>
      <c r="O289" s="89">
        <v>0</v>
      </c>
      <c r="P289" s="94">
        <v>0</v>
      </c>
      <c r="Q289" s="94">
        <v>0</v>
      </c>
      <c r="R289" s="94">
        <v>0</v>
      </c>
      <c r="S289" s="94">
        <v>0</v>
      </c>
      <c r="T289" s="89">
        <v>0</v>
      </c>
      <c r="U289" s="89">
        <v>0</v>
      </c>
      <c r="V289" s="94">
        <v>0</v>
      </c>
      <c r="W289" s="94">
        <v>0</v>
      </c>
      <c r="X289" s="94">
        <v>0</v>
      </c>
      <c r="Y289" s="89">
        <v>0</v>
      </c>
      <c r="Z289" s="94">
        <f t="shared" si="21"/>
        <v>0</v>
      </c>
      <c r="AA289" s="94">
        <f t="shared" si="22"/>
        <v>0</v>
      </c>
      <c r="AB289" s="89">
        <f t="shared" si="23"/>
        <v>0</v>
      </c>
      <c r="AC289" s="89">
        <f t="shared" si="24"/>
        <v>0</v>
      </c>
      <c r="AD289" s="89">
        <v>0</v>
      </c>
      <c r="AE289" s="89">
        <v>0</v>
      </c>
      <c r="AF289" s="117"/>
      <c r="AG289" s="117"/>
      <c r="AH289" s="262"/>
      <c r="AI289" s="17"/>
      <c r="AJ289" s="17"/>
      <c r="AK289" s="17"/>
      <c r="AL289" s="17"/>
      <c r="AM289" s="17"/>
      <c r="AN289" s="17"/>
      <c r="AO289" s="17"/>
      <c r="AP289" s="15" t="str">
        <f>IFERROR(VLOOKUP(AO289,Legend!$D$2:$E$26,2,0),"")</f>
        <v/>
      </c>
      <c r="AQ289" s="15"/>
      <c r="AR289" s="17"/>
      <c r="AS289" s="17"/>
      <c r="AT289" s="15"/>
      <c r="AU289" s="17"/>
      <c r="AV289" s="17"/>
      <c r="AW289" s="17" t="s">
        <v>10</v>
      </c>
      <c r="AX289" s="15"/>
      <c r="AY289" s="15"/>
    </row>
    <row r="290" spans="1:51" x14ac:dyDescent="0.25">
      <c r="A290" s="15"/>
      <c r="B290" s="15"/>
      <c r="C290" s="15"/>
      <c r="D290" s="15"/>
      <c r="E290" s="91"/>
      <c r="F290" s="15"/>
      <c r="G290" s="15"/>
      <c r="H290" s="15"/>
      <c r="I290" s="15"/>
      <c r="J290" s="15"/>
      <c r="K290" s="89"/>
      <c r="L290" s="15"/>
      <c r="M290" s="89">
        <v>0</v>
      </c>
      <c r="N290" s="89">
        <v>0</v>
      </c>
      <c r="O290" s="89">
        <v>0</v>
      </c>
      <c r="P290" s="94">
        <v>0</v>
      </c>
      <c r="Q290" s="94">
        <v>0</v>
      </c>
      <c r="R290" s="94">
        <v>0</v>
      </c>
      <c r="S290" s="94">
        <v>0</v>
      </c>
      <c r="T290" s="89">
        <v>0</v>
      </c>
      <c r="U290" s="89">
        <v>0</v>
      </c>
      <c r="V290" s="94">
        <v>0</v>
      </c>
      <c r="W290" s="94">
        <v>0</v>
      </c>
      <c r="X290" s="94">
        <v>0</v>
      </c>
      <c r="Y290" s="89">
        <v>0</v>
      </c>
      <c r="Z290" s="94">
        <f t="shared" si="21"/>
        <v>0</v>
      </c>
      <c r="AA290" s="94">
        <f t="shared" si="22"/>
        <v>0</v>
      </c>
      <c r="AB290" s="89">
        <f t="shared" si="23"/>
        <v>0</v>
      </c>
      <c r="AC290" s="89">
        <f t="shared" si="24"/>
        <v>0</v>
      </c>
      <c r="AD290" s="89">
        <v>0</v>
      </c>
      <c r="AE290" s="89">
        <v>0</v>
      </c>
      <c r="AF290" s="117"/>
      <c r="AG290" s="117"/>
      <c r="AH290" s="262"/>
      <c r="AI290" s="17"/>
      <c r="AJ290" s="17"/>
      <c r="AK290" s="17"/>
      <c r="AL290" s="17"/>
      <c r="AM290" s="17"/>
      <c r="AN290" s="17"/>
      <c r="AO290" s="17"/>
      <c r="AP290" s="15" t="str">
        <f>IFERROR(VLOOKUP(AO290,Legend!$D$2:$E$26,2,0),"")</f>
        <v/>
      </c>
      <c r="AQ290" s="15"/>
      <c r="AR290" s="17"/>
      <c r="AS290" s="17"/>
      <c r="AT290" s="15"/>
      <c r="AU290" s="17"/>
      <c r="AV290" s="17"/>
      <c r="AW290" s="17" t="s">
        <v>10</v>
      </c>
      <c r="AX290" s="15"/>
      <c r="AY290" s="15"/>
    </row>
    <row r="291" spans="1:51" x14ac:dyDescent="0.25">
      <c r="A291" s="15"/>
      <c r="B291" s="15"/>
      <c r="C291" s="15"/>
      <c r="D291" s="15"/>
      <c r="E291" s="91"/>
      <c r="F291" s="15"/>
      <c r="G291" s="15"/>
      <c r="H291" s="15"/>
      <c r="I291" s="15"/>
      <c r="J291" s="15"/>
      <c r="K291" s="89"/>
      <c r="L291" s="15"/>
      <c r="M291" s="89">
        <v>0</v>
      </c>
      <c r="N291" s="89">
        <v>0</v>
      </c>
      <c r="O291" s="89">
        <v>0</v>
      </c>
      <c r="P291" s="94">
        <v>0</v>
      </c>
      <c r="Q291" s="94">
        <v>0</v>
      </c>
      <c r="R291" s="94">
        <v>0</v>
      </c>
      <c r="S291" s="94">
        <v>0</v>
      </c>
      <c r="T291" s="89">
        <v>0</v>
      </c>
      <c r="U291" s="89">
        <v>0</v>
      </c>
      <c r="V291" s="94">
        <v>0</v>
      </c>
      <c r="W291" s="94">
        <v>0</v>
      </c>
      <c r="X291" s="94">
        <v>0</v>
      </c>
      <c r="Y291" s="89">
        <v>0</v>
      </c>
      <c r="Z291" s="94">
        <f t="shared" si="21"/>
        <v>0</v>
      </c>
      <c r="AA291" s="94">
        <f t="shared" si="22"/>
        <v>0</v>
      </c>
      <c r="AB291" s="89">
        <f t="shared" si="23"/>
        <v>0</v>
      </c>
      <c r="AC291" s="89">
        <f t="shared" si="24"/>
        <v>0</v>
      </c>
      <c r="AD291" s="89">
        <v>0</v>
      </c>
      <c r="AE291" s="89">
        <v>0</v>
      </c>
      <c r="AF291" s="117"/>
      <c r="AG291" s="117"/>
      <c r="AH291" s="262"/>
      <c r="AI291" s="17"/>
      <c r="AJ291" s="17"/>
      <c r="AK291" s="17"/>
      <c r="AL291" s="17"/>
      <c r="AM291" s="17"/>
      <c r="AN291" s="17"/>
      <c r="AO291" s="17"/>
      <c r="AP291" s="15" t="str">
        <f>IFERROR(VLOOKUP(AO291,Legend!$D$2:$E$26,2,0),"")</f>
        <v/>
      </c>
      <c r="AQ291" s="15"/>
      <c r="AR291" s="17"/>
      <c r="AS291" s="17"/>
      <c r="AT291" s="15"/>
      <c r="AU291" s="17"/>
      <c r="AV291" s="17"/>
      <c r="AW291" s="17" t="s">
        <v>10</v>
      </c>
      <c r="AX291" s="15"/>
      <c r="AY291" s="15"/>
    </row>
    <row r="292" spans="1:51" x14ac:dyDescent="0.25">
      <c r="A292" s="15"/>
      <c r="B292" s="15"/>
      <c r="C292" s="15"/>
      <c r="D292" s="15"/>
      <c r="E292" s="91"/>
      <c r="F292" s="15"/>
      <c r="G292" s="15"/>
      <c r="H292" s="15"/>
      <c r="I292" s="15"/>
      <c r="J292" s="15"/>
      <c r="K292" s="89"/>
      <c r="L292" s="15"/>
      <c r="M292" s="89">
        <v>0</v>
      </c>
      <c r="N292" s="89">
        <v>0</v>
      </c>
      <c r="O292" s="89">
        <v>0</v>
      </c>
      <c r="P292" s="94">
        <v>0</v>
      </c>
      <c r="Q292" s="94">
        <v>0</v>
      </c>
      <c r="R292" s="94">
        <v>0</v>
      </c>
      <c r="S292" s="94">
        <v>0</v>
      </c>
      <c r="T292" s="89">
        <v>0</v>
      </c>
      <c r="U292" s="89">
        <v>0</v>
      </c>
      <c r="V292" s="94">
        <v>0</v>
      </c>
      <c r="W292" s="94">
        <v>0</v>
      </c>
      <c r="X292" s="94">
        <v>0</v>
      </c>
      <c r="Y292" s="89">
        <v>0</v>
      </c>
      <c r="Z292" s="94">
        <f t="shared" si="21"/>
        <v>0</v>
      </c>
      <c r="AA292" s="94">
        <f t="shared" si="22"/>
        <v>0</v>
      </c>
      <c r="AB292" s="89">
        <f t="shared" si="23"/>
        <v>0</v>
      </c>
      <c r="AC292" s="89">
        <f t="shared" si="24"/>
        <v>0</v>
      </c>
      <c r="AD292" s="89">
        <v>0</v>
      </c>
      <c r="AE292" s="89">
        <v>0</v>
      </c>
      <c r="AF292" s="117"/>
      <c r="AG292" s="117"/>
      <c r="AH292" s="262"/>
      <c r="AI292" s="17"/>
      <c r="AJ292" s="17"/>
      <c r="AK292" s="17"/>
      <c r="AL292" s="17"/>
      <c r="AM292" s="17"/>
      <c r="AN292" s="17"/>
      <c r="AO292" s="17"/>
      <c r="AP292" s="15" t="str">
        <f>IFERROR(VLOOKUP(AO292,Legend!$D$2:$E$26,2,0),"")</f>
        <v/>
      </c>
      <c r="AQ292" s="15"/>
      <c r="AR292" s="17"/>
      <c r="AS292" s="17"/>
      <c r="AT292" s="15"/>
      <c r="AU292" s="17"/>
      <c r="AV292" s="17"/>
      <c r="AW292" s="17" t="s">
        <v>10</v>
      </c>
      <c r="AX292" s="15"/>
      <c r="AY292" s="15"/>
    </row>
    <row r="293" spans="1:51" x14ac:dyDescent="0.25">
      <c r="A293" s="15"/>
      <c r="B293" s="15"/>
      <c r="C293" s="15"/>
      <c r="D293" s="15"/>
      <c r="E293" s="91"/>
      <c r="F293" s="15"/>
      <c r="G293" s="15"/>
      <c r="H293" s="15"/>
      <c r="I293" s="15"/>
      <c r="J293" s="15"/>
      <c r="K293" s="89"/>
      <c r="L293" s="15"/>
      <c r="M293" s="89">
        <v>0</v>
      </c>
      <c r="N293" s="89">
        <v>0</v>
      </c>
      <c r="O293" s="89">
        <v>0</v>
      </c>
      <c r="P293" s="94">
        <v>0</v>
      </c>
      <c r="Q293" s="94">
        <v>0</v>
      </c>
      <c r="R293" s="94">
        <v>0</v>
      </c>
      <c r="S293" s="94">
        <v>0</v>
      </c>
      <c r="T293" s="89">
        <v>0</v>
      </c>
      <c r="U293" s="89">
        <v>0</v>
      </c>
      <c r="V293" s="94">
        <v>0</v>
      </c>
      <c r="W293" s="94">
        <v>0</v>
      </c>
      <c r="X293" s="94">
        <v>0</v>
      </c>
      <c r="Y293" s="89">
        <v>0</v>
      </c>
      <c r="Z293" s="94">
        <f t="shared" si="21"/>
        <v>0</v>
      </c>
      <c r="AA293" s="94">
        <f t="shared" si="22"/>
        <v>0</v>
      </c>
      <c r="AB293" s="89">
        <f t="shared" si="23"/>
        <v>0</v>
      </c>
      <c r="AC293" s="89">
        <f t="shared" si="24"/>
        <v>0</v>
      </c>
      <c r="AD293" s="89">
        <v>0</v>
      </c>
      <c r="AE293" s="89">
        <v>0</v>
      </c>
      <c r="AF293" s="117"/>
      <c r="AG293" s="117"/>
      <c r="AH293" s="262"/>
      <c r="AI293" s="17"/>
      <c r="AJ293" s="17"/>
      <c r="AK293" s="17"/>
      <c r="AL293" s="17"/>
      <c r="AM293" s="17"/>
      <c r="AN293" s="17"/>
      <c r="AO293" s="17"/>
      <c r="AP293" s="15" t="str">
        <f>IFERROR(VLOOKUP(AO293,Legend!$D$2:$E$26,2,0),"")</f>
        <v/>
      </c>
      <c r="AQ293" s="15"/>
      <c r="AR293" s="17"/>
      <c r="AS293" s="17"/>
      <c r="AT293" s="15"/>
      <c r="AU293" s="17"/>
      <c r="AV293" s="17"/>
      <c r="AW293" s="17" t="s">
        <v>10</v>
      </c>
      <c r="AX293" s="15"/>
      <c r="AY293" s="15"/>
    </row>
    <row r="294" spans="1:51" x14ac:dyDescent="0.25">
      <c r="A294" s="15"/>
      <c r="B294" s="15"/>
      <c r="C294" s="15"/>
      <c r="D294" s="15"/>
      <c r="E294" s="91"/>
      <c r="F294" s="15"/>
      <c r="G294" s="15"/>
      <c r="H294" s="15"/>
      <c r="I294" s="15"/>
      <c r="J294" s="15"/>
      <c r="K294" s="89"/>
      <c r="L294" s="15"/>
      <c r="M294" s="89">
        <v>0</v>
      </c>
      <c r="N294" s="89">
        <v>0</v>
      </c>
      <c r="O294" s="89">
        <v>0</v>
      </c>
      <c r="P294" s="94">
        <v>0</v>
      </c>
      <c r="Q294" s="94">
        <v>0</v>
      </c>
      <c r="R294" s="94">
        <v>0</v>
      </c>
      <c r="S294" s="94">
        <v>0</v>
      </c>
      <c r="T294" s="89">
        <v>0</v>
      </c>
      <c r="U294" s="89">
        <v>0</v>
      </c>
      <c r="V294" s="94">
        <v>0</v>
      </c>
      <c r="W294" s="94">
        <v>0</v>
      </c>
      <c r="X294" s="94">
        <v>0</v>
      </c>
      <c r="Y294" s="89">
        <v>0</v>
      </c>
      <c r="Z294" s="94">
        <f t="shared" si="21"/>
        <v>0</v>
      </c>
      <c r="AA294" s="94">
        <f t="shared" si="22"/>
        <v>0</v>
      </c>
      <c r="AB294" s="89">
        <f t="shared" si="23"/>
        <v>0</v>
      </c>
      <c r="AC294" s="89">
        <f t="shared" si="24"/>
        <v>0</v>
      </c>
      <c r="AD294" s="89">
        <v>0</v>
      </c>
      <c r="AE294" s="89">
        <v>0</v>
      </c>
      <c r="AF294" s="117"/>
      <c r="AG294" s="117"/>
      <c r="AH294" s="262"/>
      <c r="AI294" s="17"/>
      <c r="AJ294" s="17"/>
      <c r="AK294" s="17"/>
      <c r="AL294" s="17"/>
      <c r="AM294" s="17"/>
      <c r="AN294" s="17"/>
      <c r="AO294" s="17"/>
      <c r="AP294" s="15" t="str">
        <f>IFERROR(VLOOKUP(AO294,Legend!$D$2:$E$26,2,0),"")</f>
        <v/>
      </c>
      <c r="AQ294" s="15"/>
      <c r="AR294" s="17"/>
      <c r="AS294" s="17"/>
      <c r="AT294" s="15"/>
      <c r="AU294" s="17"/>
      <c r="AV294" s="17"/>
      <c r="AW294" s="17" t="s">
        <v>10</v>
      </c>
      <c r="AX294" s="15"/>
      <c r="AY294" s="15"/>
    </row>
    <row r="295" spans="1:51" x14ac:dyDescent="0.25">
      <c r="A295" s="15"/>
      <c r="B295" s="15"/>
      <c r="C295" s="15"/>
      <c r="D295" s="15"/>
      <c r="E295" s="91"/>
      <c r="F295" s="15"/>
      <c r="G295" s="15"/>
      <c r="H295" s="15"/>
      <c r="I295" s="15"/>
      <c r="J295" s="15"/>
      <c r="K295" s="89"/>
      <c r="L295" s="15"/>
      <c r="M295" s="89">
        <v>0</v>
      </c>
      <c r="N295" s="89">
        <v>0</v>
      </c>
      <c r="O295" s="89">
        <v>0</v>
      </c>
      <c r="P295" s="94">
        <v>0</v>
      </c>
      <c r="Q295" s="94">
        <v>0</v>
      </c>
      <c r="R295" s="94">
        <v>0</v>
      </c>
      <c r="S295" s="94">
        <v>0</v>
      </c>
      <c r="T295" s="89">
        <v>0</v>
      </c>
      <c r="U295" s="89">
        <v>0</v>
      </c>
      <c r="V295" s="94">
        <v>0</v>
      </c>
      <c r="W295" s="94">
        <v>0</v>
      </c>
      <c r="X295" s="94">
        <v>0</v>
      </c>
      <c r="Y295" s="89">
        <v>0</v>
      </c>
      <c r="Z295" s="94">
        <f t="shared" si="21"/>
        <v>0</v>
      </c>
      <c r="AA295" s="94">
        <f t="shared" si="22"/>
        <v>0</v>
      </c>
      <c r="AB295" s="89">
        <f t="shared" si="23"/>
        <v>0</v>
      </c>
      <c r="AC295" s="89">
        <f t="shared" si="24"/>
        <v>0</v>
      </c>
      <c r="AD295" s="89">
        <v>0</v>
      </c>
      <c r="AE295" s="89">
        <v>0</v>
      </c>
      <c r="AF295" s="117"/>
      <c r="AG295" s="117"/>
      <c r="AH295" s="262"/>
      <c r="AI295" s="17"/>
      <c r="AJ295" s="17"/>
      <c r="AK295" s="17"/>
      <c r="AL295" s="17"/>
      <c r="AM295" s="17"/>
      <c r="AN295" s="17"/>
      <c r="AO295" s="17"/>
      <c r="AP295" s="15" t="str">
        <f>IFERROR(VLOOKUP(AO295,Legend!$D$2:$E$26,2,0),"")</f>
        <v/>
      </c>
      <c r="AQ295" s="15"/>
      <c r="AR295" s="17"/>
      <c r="AS295" s="17"/>
      <c r="AT295" s="15"/>
      <c r="AU295" s="17"/>
      <c r="AV295" s="17"/>
      <c r="AW295" s="17" t="s">
        <v>10</v>
      </c>
      <c r="AX295" s="15"/>
      <c r="AY295" s="15"/>
    </row>
    <row r="296" spans="1:51" x14ac:dyDescent="0.25">
      <c r="A296" s="15"/>
      <c r="B296" s="15"/>
      <c r="C296" s="15"/>
      <c r="D296" s="15"/>
      <c r="E296" s="91"/>
      <c r="F296" s="15"/>
      <c r="G296" s="15"/>
      <c r="H296" s="15"/>
      <c r="I296" s="15"/>
      <c r="J296" s="15"/>
      <c r="K296" s="89"/>
      <c r="L296" s="15"/>
      <c r="M296" s="89">
        <v>0</v>
      </c>
      <c r="N296" s="89">
        <v>0</v>
      </c>
      <c r="O296" s="89">
        <v>0</v>
      </c>
      <c r="P296" s="94">
        <v>0</v>
      </c>
      <c r="Q296" s="94">
        <v>0</v>
      </c>
      <c r="R296" s="94">
        <v>0</v>
      </c>
      <c r="S296" s="94">
        <v>0</v>
      </c>
      <c r="T296" s="89">
        <v>0</v>
      </c>
      <c r="U296" s="89">
        <v>0</v>
      </c>
      <c r="V296" s="94">
        <v>0</v>
      </c>
      <c r="W296" s="94">
        <v>0</v>
      </c>
      <c r="X296" s="94">
        <v>0</v>
      </c>
      <c r="Y296" s="89">
        <v>0</v>
      </c>
      <c r="Z296" s="94">
        <f t="shared" si="21"/>
        <v>0</v>
      </c>
      <c r="AA296" s="94">
        <f t="shared" si="22"/>
        <v>0</v>
      </c>
      <c r="AB296" s="89">
        <f t="shared" si="23"/>
        <v>0</v>
      </c>
      <c r="AC296" s="89">
        <f t="shared" si="24"/>
        <v>0</v>
      </c>
      <c r="AD296" s="89">
        <v>0</v>
      </c>
      <c r="AE296" s="89">
        <v>0</v>
      </c>
      <c r="AF296" s="117"/>
      <c r="AG296" s="117"/>
      <c r="AH296" s="262"/>
      <c r="AI296" s="17"/>
      <c r="AJ296" s="17"/>
      <c r="AK296" s="17"/>
      <c r="AL296" s="17"/>
      <c r="AM296" s="17"/>
      <c r="AN296" s="17"/>
      <c r="AO296" s="17"/>
      <c r="AP296" s="15" t="str">
        <f>IFERROR(VLOOKUP(AO296,Legend!$D$2:$E$26,2,0),"")</f>
        <v/>
      </c>
      <c r="AQ296" s="15"/>
      <c r="AR296" s="17"/>
      <c r="AS296" s="17"/>
      <c r="AT296" s="15"/>
      <c r="AU296" s="17"/>
      <c r="AV296" s="17"/>
      <c r="AW296" s="17" t="s">
        <v>10</v>
      </c>
      <c r="AX296" s="15"/>
      <c r="AY296" s="15"/>
    </row>
    <row r="297" spans="1:51" x14ac:dyDescent="0.25">
      <c r="A297" s="15"/>
      <c r="B297" s="15"/>
      <c r="C297" s="15"/>
      <c r="D297" s="15"/>
      <c r="E297" s="91"/>
      <c r="F297" s="15"/>
      <c r="G297" s="15"/>
      <c r="H297" s="15"/>
      <c r="I297" s="15"/>
      <c r="J297" s="15"/>
      <c r="K297" s="89"/>
      <c r="L297" s="15"/>
      <c r="M297" s="89">
        <v>0</v>
      </c>
      <c r="N297" s="89">
        <v>0</v>
      </c>
      <c r="O297" s="89">
        <v>0</v>
      </c>
      <c r="P297" s="94">
        <v>0</v>
      </c>
      <c r="Q297" s="94">
        <v>0</v>
      </c>
      <c r="R297" s="94">
        <v>0</v>
      </c>
      <c r="S297" s="94">
        <v>0</v>
      </c>
      <c r="T297" s="89">
        <v>0</v>
      </c>
      <c r="U297" s="89">
        <v>0</v>
      </c>
      <c r="V297" s="94">
        <v>0</v>
      </c>
      <c r="W297" s="94">
        <v>0</v>
      </c>
      <c r="X297" s="94">
        <v>0</v>
      </c>
      <c r="Y297" s="89">
        <v>0</v>
      </c>
      <c r="Z297" s="94">
        <f t="shared" si="21"/>
        <v>0</v>
      </c>
      <c r="AA297" s="94">
        <f t="shared" si="22"/>
        <v>0</v>
      </c>
      <c r="AB297" s="89">
        <f t="shared" si="23"/>
        <v>0</v>
      </c>
      <c r="AC297" s="89">
        <f t="shared" si="24"/>
        <v>0</v>
      </c>
      <c r="AD297" s="89">
        <v>0</v>
      </c>
      <c r="AE297" s="89">
        <v>0</v>
      </c>
      <c r="AF297" s="117"/>
      <c r="AG297" s="117"/>
      <c r="AH297" s="262"/>
      <c r="AI297" s="17"/>
      <c r="AJ297" s="17"/>
      <c r="AK297" s="17"/>
      <c r="AL297" s="17"/>
      <c r="AM297" s="17"/>
      <c r="AN297" s="17"/>
      <c r="AO297" s="17"/>
      <c r="AP297" s="15" t="str">
        <f>IFERROR(VLOOKUP(AO297,Legend!$D$2:$E$26,2,0),"")</f>
        <v/>
      </c>
      <c r="AQ297" s="15"/>
      <c r="AR297" s="17"/>
      <c r="AS297" s="17"/>
      <c r="AT297" s="15"/>
      <c r="AU297" s="17"/>
      <c r="AV297" s="17"/>
      <c r="AW297" s="17" t="s">
        <v>10</v>
      </c>
      <c r="AX297" s="15"/>
      <c r="AY297" s="15"/>
    </row>
    <row r="298" spans="1:51" x14ac:dyDescent="0.25">
      <c r="A298" s="15"/>
      <c r="B298" s="15"/>
      <c r="C298" s="15"/>
      <c r="D298" s="15"/>
      <c r="E298" s="91"/>
      <c r="F298" s="15"/>
      <c r="G298" s="15"/>
      <c r="H298" s="15"/>
      <c r="I298" s="15"/>
      <c r="J298" s="15"/>
      <c r="K298" s="89"/>
      <c r="L298" s="15"/>
      <c r="M298" s="89">
        <v>0</v>
      </c>
      <c r="N298" s="89">
        <v>0</v>
      </c>
      <c r="O298" s="89">
        <v>0</v>
      </c>
      <c r="P298" s="94">
        <v>0</v>
      </c>
      <c r="Q298" s="94">
        <v>0</v>
      </c>
      <c r="R298" s="94">
        <v>0</v>
      </c>
      <c r="S298" s="94">
        <v>0</v>
      </c>
      <c r="T298" s="89">
        <v>0</v>
      </c>
      <c r="U298" s="89">
        <v>0</v>
      </c>
      <c r="V298" s="94">
        <v>0</v>
      </c>
      <c r="W298" s="94">
        <v>0</v>
      </c>
      <c r="X298" s="94">
        <v>0</v>
      </c>
      <c r="Y298" s="89">
        <v>0</v>
      </c>
      <c r="Z298" s="94">
        <f t="shared" si="21"/>
        <v>0</v>
      </c>
      <c r="AA298" s="94">
        <f t="shared" si="22"/>
        <v>0</v>
      </c>
      <c r="AB298" s="89">
        <f t="shared" si="23"/>
        <v>0</v>
      </c>
      <c r="AC298" s="89">
        <f t="shared" si="24"/>
        <v>0</v>
      </c>
      <c r="AD298" s="89">
        <v>0</v>
      </c>
      <c r="AE298" s="89">
        <v>0</v>
      </c>
      <c r="AF298" s="117"/>
      <c r="AG298" s="117"/>
      <c r="AH298" s="262"/>
      <c r="AI298" s="17"/>
      <c r="AJ298" s="17"/>
      <c r="AK298" s="17"/>
      <c r="AL298" s="17"/>
      <c r="AM298" s="17"/>
      <c r="AN298" s="17"/>
      <c r="AO298" s="17"/>
      <c r="AP298" s="15" t="str">
        <f>IFERROR(VLOOKUP(AO298,Legend!$D$2:$E$26,2,0),"")</f>
        <v/>
      </c>
      <c r="AQ298" s="15"/>
      <c r="AR298" s="17"/>
      <c r="AS298" s="17"/>
      <c r="AT298" s="15"/>
      <c r="AU298" s="17"/>
      <c r="AV298" s="17"/>
      <c r="AW298" s="17" t="s">
        <v>10</v>
      </c>
      <c r="AX298" s="15"/>
      <c r="AY298" s="15"/>
    </row>
    <row r="299" spans="1:51" x14ac:dyDescent="0.25">
      <c r="A299" s="15"/>
      <c r="B299" s="15"/>
      <c r="C299" s="15"/>
      <c r="D299" s="15"/>
      <c r="E299" s="91"/>
      <c r="F299" s="15"/>
      <c r="G299" s="15"/>
      <c r="H299" s="15"/>
      <c r="I299" s="15"/>
      <c r="J299" s="15"/>
      <c r="K299" s="89"/>
      <c r="L299" s="15"/>
      <c r="M299" s="89">
        <v>0</v>
      </c>
      <c r="N299" s="89">
        <v>0</v>
      </c>
      <c r="O299" s="89">
        <v>0</v>
      </c>
      <c r="P299" s="94">
        <v>0</v>
      </c>
      <c r="Q299" s="94">
        <v>0</v>
      </c>
      <c r="R299" s="94">
        <v>0</v>
      </c>
      <c r="S299" s="94">
        <v>0</v>
      </c>
      <c r="T299" s="89">
        <v>0</v>
      </c>
      <c r="U299" s="89">
        <v>0</v>
      </c>
      <c r="V299" s="94">
        <v>0</v>
      </c>
      <c r="W299" s="94">
        <v>0</v>
      </c>
      <c r="X299" s="94">
        <v>0</v>
      </c>
      <c r="Y299" s="89">
        <v>0</v>
      </c>
      <c r="Z299" s="94">
        <f t="shared" si="21"/>
        <v>0</v>
      </c>
      <c r="AA299" s="94">
        <f t="shared" si="22"/>
        <v>0</v>
      </c>
      <c r="AB299" s="89">
        <f t="shared" si="23"/>
        <v>0</v>
      </c>
      <c r="AC299" s="89">
        <f t="shared" si="24"/>
        <v>0</v>
      </c>
      <c r="AD299" s="89">
        <v>0</v>
      </c>
      <c r="AE299" s="89">
        <v>0</v>
      </c>
      <c r="AF299" s="117"/>
      <c r="AG299" s="117"/>
      <c r="AH299" s="262"/>
      <c r="AI299" s="17"/>
      <c r="AJ299" s="17"/>
      <c r="AK299" s="17"/>
      <c r="AL299" s="17"/>
      <c r="AM299" s="17"/>
      <c r="AN299" s="17"/>
      <c r="AO299" s="17"/>
      <c r="AP299" s="15" t="str">
        <f>IFERROR(VLOOKUP(AO299,Legend!$D$2:$E$26,2,0),"")</f>
        <v/>
      </c>
      <c r="AQ299" s="15"/>
      <c r="AR299" s="17"/>
      <c r="AS299" s="17"/>
      <c r="AT299" s="15"/>
      <c r="AU299" s="17"/>
      <c r="AV299" s="17"/>
      <c r="AW299" s="17" t="s">
        <v>10</v>
      </c>
      <c r="AX299" s="15"/>
      <c r="AY299" s="15"/>
    </row>
    <row r="300" spans="1:51" x14ac:dyDescent="0.25">
      <c r="A300" s="15"/>
      <c r="B300" s="15"/>
      <c r="C300" s="15"/>
      <c r="D300" s="15"/>
      <c r="E300" s="91"/>
      <c r="F300" s="15"/>
      <c r="G300" s="15"/>
      <c r="H300" s="15"/>
      <c r="I300" s="15"/>
      <c r="J300" s="15"/>
      <c r="K300" s="89"/>
      <c r="L300" s="15"/>
      <c r="M300" s="89">
        <v>0</v>
      </c>
      <c r="N300" s="89">
        <v>0</v>
      </c>
      <c r="O300" s="89">
        <v>0</v>
      </c>
      <c r="P300" s="94">
        <v>0</v>
      </c>
      <c r="Q300" s="94">
        <v>0</v>
      </c>
      <c r="R300" s="94">
        <v>0</v>
      </c>
      <c r="S300" s="94">
        <v>0</v>
      </c>
      <c r="T300" s="89">
        <v>0</v>
      </c>
      <c r="U300" s="89">
        <v>0</v>
      </c>
      <c r="V300" s="94">
        <v>0</v>
      </c>
      <c r="W300" s="94">
        <v>0</v>
      </c>
      <c r="X300" s="94">
        <v>0</v>
      </c>
      <c r="Y300" s="89">
        <v>0</v>
      </c>
      <c r="Z300" s="94">
        <f t="shared" si="21"/>
        <v>0</v>
      </c>
      <c r="AA300" s="94">
        <f t="shared" si="22"/>
        <v>0</v>
      </c>
      <c r="AB300" s="89">
        <f t="shared" si="23"/>
        <v>0</v>
      </c>
      <c r="AC300" s="89">
        <f t="shared" si="24"/>
        <v>0</v>
      </c>
      <c r="AD300" s="89">
        <v>0</v>
      </c>
      <c r="AE300" s="89">
        <v>0</v>
      </c>
      <c r="AF300" s="117"/>
      <c r="AG300" s="117"/>
      <c r="AH300" s="262"/>
      <c r="AI300" s="17"/>
      <c r="AJ300" s="17"/>
      <c r="AK300" s="17"/>
      <c r="AL300" s="17"/>
      <c r="AM300" s="17"/>
      <c r="AN300" s="17"/>
      <c r="AO300" s="17"/>
      <c r="AP300" s="15" t="str">
        <f>IFERROR(VLOOKUP(AO300,Legend!$D$2:$E$26,2,0),"")</f>
        <v/>
      </c>
      <c r="AQ300" s="15"/>
      <c r="AR300" s="17"/>
      <c r="AS300" s="17"/>
      <c r="AT300" s="15"/>
      <c r="AU300" s="17"/>
      <c r="AV300" s="17"/>
      <c r="AW300" s="17" t="s">
        <v>10</v>
      </c>
      <c r="AX300" s="15"/>
      <c r="AY300" s="15"/>
    </row>
    <row r="301" spans="1:51" x14ac:dyDescent="0.25">
      <c r="A301" s="15"/>
      <c r="B301" s="15"/>
      <c r="C301" s="15"/>
      <c r="D301" s="15"/>
      <c r="E301" s="91"/>
      <c r="F301" s="15"/>
      <c r="G301" s="15"/>
      <c r="H301" s="15"/>
      <c r="I301" s="15"/>
      <c r="J301" s="15"/>
      <c r="K301" s="89"/>
      <c r="L301" s="15"/>
      <c r="M301" s="89">
        <v>0</v>
      </c>
      <c r="N301" s="89">
        <v>0</v>
      </c>
      <c r="O301" s="89">
        <v>0</v>
      </c>
      <c r="P301" s="94">
        <v>0</v>
      </c>
      <c r="Q301" s="94">
        <v>0</v>
      </c>
      <c r="R301" s="94">
        <v>0</v>
      </c>
      <c r="S301" s="94">
        <v>0</v>
      </c>
      <c r="T301" s="89">
        <v>0</v>
      </c>
      <c r="U301" s="89">
        <v>0</v>
      </c>
      <c r="V301" s="94">
        <v>0</v>
      </c>
      <c r="W301" s="94">
        <v>0</v>
      </c>
      <c r="X301" s="94">
        <v>0</v>
      </c>
      <c r="Y301" s="89">
        <v>0</v>
      </c>
      <c r="Z301" s="94">
        <f t="shared" si="21"/>
        <v>0</v>
      </c>
      <c r="AA301" s="94">
        <f t="shared" si="22"/>
        <v>0</v>
      </c>
      <c r="AB301" s="89">
        <f t="shared" si="23"/>
        <v>0</v>
      </c>
      <c r="AC301" s="89">
        <f t="shared" si="24"/>
        <v>0</v>
      </c>
      <c r="AD301" s="89">
        <v>0</v>
      </c>
      <c r="AE301" s="89">
        <v>0</v>
      </c>
      <c r="AF301" s="117"/>
      <c r="AG301" s="117"/>
      <c r="AH301" s="262"/>
      <c r="AI301" s="17"/>
      <c r="AJ301" s="17"/>
      <c r="AK301" s="17"/>
      <c r="AL301" s="17"/>
      <c r="AM301" s="17"/>
      <c r="AN301" s="17"/>
      <c r="AO301" s="17"/>
      <c r="AP301" s="15" t="str">
        <f>IFERROR(VLOOKUP(AO301,Legend!$D$2:$E$26,2,0),"")</f>
        <v/>
      </c>
      <c r="AQ301" s="15"/>
      <c r="AR301" s="17"/>
      <c r="AS301" s="17"/>
      <c r="AT301" s="15"/>
      <c r="AU301" s="17"/>
      <c r="AV301" s="17"/>
      <c r="AW301" s="17" t="s">
        <v>10</v>
      </c>
      <c r="AX301" s="15"/>
      <c r="AY301" s="15"/>
    </row>
    <row r="302" spans="1:51" x14ac:dyDescent="0.25">
      <c r="A302" s="15"/>
      <c r="B302" s="15"/>
      <c r="C302" s="15"/>
      <c r="D302" s="15"/>
      <c r="E302" s="91"/>
      <c r="F302" s="15"/>
      <c r="G302" s="15"/>
      <c r="H302" s="15"/>
      <c r="I302" s="15"/>
      <c r="J302" s="15"/>
      <c r="K302" s="89"/>
      <c r="L302" s="15"/>
      <c r="M302" s="89">
        <v>0</v>
      </c>
      <c r="N302" s="89">
        <v>0</v>
      </c>
      <c r="O302" s="89">
        <v>0</v>
      </c>
      <c r="P302" s="94">
        <v>0</v>
      </c>
      <c r="Q302" s="94">
        <v>0</v>
      </c>
      <c r="R302" s="94">
        <v>0</v>
      </c>
      <c r="S302" s="94">
        <v>0</v>
      </c>
      <c r="T302" s="89">
        <v>0</v>
      </c>
      <c r="U302" s="89">
        <v>0</v>
      </c>
      <c r="V302" s="94">
        <v>0</v>
      </c>
      <c r="W302" s="94">
        <v>0</v>
      </c>
      <c r="X302" s="94">
        <v>0</v>
      </c>
      <c r="Y302" s="89">
        <v>0</v>
      </c>
      <c r="Z302" s="94">
        <f t="shared" si="21"/>
        <v>0</v>
      </c>
      <c r="AA302" s="94">
        <f t="shared" si="22"/>
        <v>0</v>
      </c>
      <c r="AB302" s="89">
        <f t="shared" si="23"/>
        <v>0</v>
      </c>
      <c r="AC302" s="89">
        <f t="shared" si="24"/>
        <v>0</v>
      </c>
      <c r="AD302" s="89">
        <v>0</v>
      </c>
      <c r="AE302" s="89">
        <v>0</v>
      </c>
      <c r="AF302" s="117"/>
      <c r="AG302" s="117"/>
      <c r="AH302" s="262"/>
      <c r="AI302" s="17"/>
      <c r="AJ302" s="17"/>
      <c r="AK302" s="17"/>
      <c r="AL302" s="17"/>
      <c r="AM302" s="17"/>
      <c r="AN302" s="17"/>
      <c r="AO302" s="17"/>
      <c r="AP302" s="15" t="str">
        <f>IFERROR(VLOOKUP(AO302,Legend!$D$2:$E$26,2,0),"")</f>
        <v/>
      </c>
      <c r="AQ302" s="15"/>
      <c r="AR302" s="17"/>
      <c r="AS302" s="17"/>
      <c r="AT302" s="15"/>
      <c r="AU302" s="17"/>
      <c r="AV302" s="17"/>
      <c r="AW302" s="17" t="s">
        <v>10</v>
      </c>
      <c r="AX302" s="15"/>
      <c r="AY302" s="15"/>
    </row>
    <row r="303" spans="1:51" x14ac:dyDescent="0.25">
      <c r="A303" s="15"/>
      <c r="B303" s="15"/>
      <c r="C303" s="15"/>
      <c r="D303" s="15"/>
      <c r="E303" s="91"/>
      <c r="F303" s="15"/>
      <c r="G303" s="15"/>
      <c r="H303" s="15"/>
      <c r="I303" s="15"/>
      <c r="J303" s="15"/>
      <c r="K303" s="89"/>
      <c r="L303" s="15"/>
      <c r="M303" s="89">
        <v>0</v>
      </c>
      <c r="N303" s="89">
        <v>0</v>
      </c>
      <c r="O303" s="89">
        <v>0</v>
      </c>
      <c r="P303" s="94">
        <v>0</v>
      </c>
      <c r="Q303" s="94">
        <v>0</v>
      </c>
      <c r="R303" s="94">
        <v>0</v>
      </c>
      <c r="S303" s="94">
        <v>0</v>
      </c>
      <c r="T303" s="89">
        <v>0</v>
      </c>
      <c r="U303" s="89">
        <v>0</v>
      </c>
      <c r="V303" s="94">
        <v>0</v>
      </c>
      <c r="W303" s="94">
        <v>0</v>
      </c>
      <c r="X303" s="94">
        <v>0</v>
      </c>
      <c r="Y303" s="89">
        <v>0</v>
      </c>
      <c r="Z303" s="94">
        <f t="shared" si="21"/>
        <v>0</v>
      </c>
      <c r="AA303" s="94">
        <f t="shared" si="22"/>
        <v>0</v>
      </c>
      <c r="AB303" s="89">
        <f t="shared" si="23"/>
        <v>0</v>
      </c>
      <c r="AC303" s="89">
        <f t="shared" si="24"/>
        <v>0</v>
      </c>
      <c r="AD303" s="89">
        <v>0</v>
      </c>
      <c r="AE303" s="89">
        <v>0</v>
      </c>
      <c r="AF303" s="117"/>
      <c r="AG303" s="117"/>
      <c r="AH303" s="262"/>
      <c r="AI303" s="17"/>
      <c r="AJ303" s="17"/>
      <c r="AK303" s="17"/>
      <c r="AL303" s="17"/>
      <c r="AM303" s="17"/>
      <c r="AN303" s="17"/>
      <c r="AO303" s="17"/>
      <c r="AP303" s="15" t="str">
        <f>IFERROR(VLOOKUP(AO303,Legend!$D$2:$E$26,2,0),"")</f>
        <v/>
      </c>
      <c r="AQ303" s="15"/>
      <c r="AR303" s="17"/>
      <c r="AS303" s="17"/>
      <c r="AT303" s="15"/>
      <c r="AU303" s="17"/>
      <c r="AV303" s="17"/>
      <c r="AW303" s="17" t="s">
        <v>10</v>
      </c>
      <c r="AX303" s="15"/>
      <c r="AY303" s="15"/>
    </row>
    <row r="304" spans="1:51" x14ac:dyDescent="0.25">
      <c r="A304" s="15"/>
      <c r="B304" s="15"/>
      <c r="C304" s="15"/>
      <c r="D304" s="15"/>
      <c r="E304" s="91"/>
      <c r="F304" s="15"/>
      <c r="G304" s="15"/>
      <c r="H304" s="15"/>
      <c r="I304" s="15"/>
      <c r="J304" s="15"/>
      <c r="K304" s="89"/>
      <c r="L304" s="15"/>
      <c r="M304" s="89">
        <v>0</v>
      </c>
      <c r="N304" s="89">
        <v>0</v>
      </c>
      <c r="O304" s="89">
        <v>0</v>
      </c>
      <c r="P304" s="94">
        <v>0</v>
      </c>
      <c r="Q304" s="94">
        <v>0</v>
      </c>
      <c r="R304" s="94">
        <v>0</v>
      </c>
      <c r="S304" s="94">
        <v>0</v>
      </c>
      <c r="T304" s="89">
        <v>0</v>
      </c>
      <c r="U304" s="89">
        <v>0</v>
      </c>
      <c r="V304" s="94">
        <v>0</v>
      </c>
      <c r="W304" s="94">
        <v>0</v>
      </c>
      <c r="X304" s="94">
        <v>0</v>
      </c>
      <c r="Y304" s="89">
        <v>0</v>
      </c>
      <c r="Z304" s="94">
        <f t="shared" si="21"/>
        <v>0</v>
      </c>
      <c r="AA304" s="94">
        <f t="shared" si="22"/>
        <v>0</v>
      </c>
      <c r="AB304" s="89">
        <f t="shared" si="23"/>
        <v>0</v>
      </c>
      <c r="AC304" s="89">
        <f t="shared" si="24"/>
        <v>0</v>
      </c>
      <c r="AD304" s="89">
        <v>0</v>
      </c>
      <c r="AE304" s="89">
        <v>0</v>
      </c>
      <c r="AF304" s="117"/>
      <c r="AG304" s="117"/>
      <c r="AH304" s="262"/>
      <c r="AI304" s="17"/>
      <c r="AJ304" s="17"/>
      <c r="AK304" s="17"/>
      <c r="AL304" s="17"/>
      <c r="AM304" s="17"/>
      <c r="AN304" s="17"/>
      <c r="AO304" s="17"/>
      <c r="AP304" s="15" t="str">
        <f>IFERROR(VLOOKUP(AO304,Legend!$D$2:$E$26,2,0),"")</f>
        <v/>
      </c>
      <c r="AQ304" s="15"/>
      <c r="AR304" s="17"/>
      <c r="AS304" s="17"/>
      <c r="AT304" s="15"/>
      <c r="AU304" s="17"/>
      <c r="AV304" s="17"/>
      <c r="AW304" s="17" t="s">
        <v>10</v>
      </c>
      <c r="AX304" s="15"/>
      <c r="AY304" s="15"/>
    </row>
    <row r="305" spans="1:51" x14ac:dyDescent="0.25">
      <c r="A305" s="15"/>
      <c r="B305" s="15"/>
      <c r="C305" s="15"/>
      <c r="D305" s="15"/>
      <c r="E305" s="91"/>
      <c r="F305" s="15"/>
      <c r="G305" s="15"/>
      <c r="H305" s="15"/>
      <c r="I305" s="15"/>
      <c r="J305" s="15"/>
      <c r="K305" s="89"/>
      <c r="L305" s="15"/>
      <c r="M305" s="89">
        <v>0</v>
      </c>
      <c r="N305" s="89">
        <v>0</v>
      </c>
      <c r="O305" s="89">
        <v>0</v>
      </c>
      <c r="P305" s="94">
        <v>0</v>
      </c>
      <c r="Q305" s="94">
        <v>0</v>
      </c>
      <c r="R305" s="94">
        <v>0</v>
      </c>
      <c r="S305" s="94">
        <v>0</v>
      </c>
      <c r="T305" s="89">
        <v>0</v>
      </c>
      <c r="U305" s="89">
        <v>0</v>
      </c>
      <c r="V305" s="94">
        <v>0</v>
      </c>
      <c r="W305" s="94">
        <v>0</v>
      </c>
      <c r="X305" s="94">
        <v>0</v>
      </c>
      <c r="Y305" s="89">
        <v>0</v>
      </c>
      <c r="Z305" s="94">
        <f t="shared" si="21"/>
        <v>0</v>
      </c>
      <c r="AA305" s="94">
        <f t="shared" si="22"/>
        <v>0</v>
      </c>
      <c r="AB305" s="89">
        <f t="shared" si="23"/>
        <v>0</v>
      </c>
      <c r="AC305" s="89">
        <f t="shared" si="24"/>
        <v>0</v>
      </c>
      <c r="AD305" s="89">
        <v>0</v>
      </c>
      <c r="AE305" s="89">
        <v>0</v>
      </c>
      <c r="AF305" s="117"/>
      <c r="AG305" s="117"/>
      <c r="AH305" s="262"/>
      <c r="AI305" s="17"/>
      <c r="AJ305" s="17"/>
      <c r="AK305" s="17"/>
      <c r="AL305" s="17"/>
      <c r="AM305" s="17"/>
      <c r="AN305" s="17"/>
      <c r="AO305" s="17"/>
      <c r="AP305" s="15" t="str">
        <f>IFERROR(VLOOKUP(AO305,Legend!$D$2:$E$26,2,0),"")</f>
        <v/>
      </c>
      <c r="AQ305" s="15"/>
      <c r="AR305" s="17"/>
      <c r="AS305" s="17"/>
      <c r="AT305" s="15"/>
      <c r="AU305" s="17"/>
      <c r="AV305" s="17"/>
      <c r="AW305" s="17" t="s">
        <v>10</v>
      </c>
      <c r="AX305" s="15"/>
      <c r="AY305" s="15"/>
    </row>
    <row r="306" spans="1:51" x14ac:dyDescent="0.25">
      <c r="A306" s="15"/>
      <c r="B306" s="15"/>
      <c r="C306" s="15"/>
      <c r="D306" s="15"/>
      <c r="E306" s="91"/>
      <c r="F306" s="15"/>
      <c r="G306" s="15"/>
      <c r="H306" s="15"/>
      <c r="I306" s="15"/>
      <c r="J306" s="15"/>
      <c r="K306" s="89"/>
      <c r="L306" s="15"/>
      <c r="M306" s="89">
        <v>0</v>
      </c>
      <c r="N306" s="89">
        <v>0</v>
      </c>
      <c r="O306" s="89">
        <v>0</v>
      </c>
      <c r="P306" s="94">
        <v>0</v>
      </c>
      <c r="Q306" s="94">
        <v>0</v>
      </c>
      <c r="R306" s="94">
        <v>0</v>
      </c>
      <c r="S306" s="94">
        <v>0</v>
      </c>
      <c r="T306" s="89">
        <v>0</v>
      </c>
      <c r="U306" s="89">
        <v>0</v>
      </c>
      <c r="V306" s="94">
        <v>0</v>
      </c>
      <c r="W306" s="94">
        <v>0</v>
      </c>
      <c r="X306" s="94">
        <v>0</v>
      </c>
      <c r="Y306" s="89">
        <v>0</v>
      </c>
      <c r="Z306" s="94">
        <f t="shared" si="21"/>
        <v>0</v>
      </c>
      <c r="AA306" s="94">
        <f t="shared" si="22"/>
        <v>0</v>
      </c>
      <c r="AB306" s="89">
        <f t="shared" si="23"/>
        <v>0</v>
      </c>
      <c r="AC306" s="89">
        <f t="shared" si="24"/>
        <v>0</v>
      </c>
      <c r="AD306" s="89">
        <v>0</v>
      </c>
      <c r="AE306" s="89">
        <v>0</v>
      </c>
      <c r="AF306" s="117"/>
      <c r="AG306" s="117"/>
      <c r="AH306" s="262"/>
      <c r="AI306" s="17"/>
      <c r="AJ306" s="17"/>
      <c r="AK306" s="17"/>
      <c r="AL306" s="17"/>
      <c r="AM306" s="17"/>
      <c r="AN306" s="17"/>
      <c r="AO306" s="17"/>
      <c r="AP306" s="15" t="str">
        <f>IFERROR(VLOOKUP(AO306,Legend!$D$2:$E$26,2,0),"")</f>
        <v/>
      </c>
      <c r="AQ306" s="15"/>
      <c r="AR306" s="17"/>
      <c r="AS306" s="17"/>
      <c r="AT306" s="15"/>
      <c r="AU306" s="17"/>
      <c r="AV306" s="17"/>
      <c r="AW306" s="17" t="s">
        <v>10</v>
      </c>
      <c r="AX306" s="15"/>
      <c r="AY306" s="15"/>
    </row>
    <row r="307" spans="1:51" x14ac:dyDescent="0.25">
      <c r="A307" s="15"/>
      <c r="B307" s="15"/>
      <c r="C307" s="15"/>
      <c r="D307" s="15"/>
      <c r="E307" s="91"/>
      <c r="F307" s="15"/>
      <c r="G307" s="15"/>
      <c r="H307" s="15"/>
      <c r="I307" s="15"/>
      <c r="J307" s="15"/>
      <c r="K307" s="89"/>
      <c r="L307" s="15"/>
      <c r="M307" s="89">
        <v>0</v>
      </c>
      <c r="N307" s="89">
        <v>0</v>
      </c>
      <c r="O307" s="89">
        <v>0</v>
      </c>
      <c r="P307" s="94">
        <v>0</v>
      </c>
      <c r="Q307" s="94">
        <v>0</v>
      </c>
      <c r="R307" s="94">
        <v>0</v>
      </c>
      <c r="S307" s="94">
        <v>0</v>
      </c>
      <c r="T307" s="89">
        <v>0</v>
      </c>
      <c r="U307" s="89">
        <v>0</v>
      </c>
      <c r="V307" s="94">
        <v>0</v>
      </c>
      <c r="W307" s="94">
        <v>0</v>
      </c>
      <c r="X307" s="94">
        <v>0</v>
      </c>
      <c r="Y307" s="89">
        <v>0</v>
      </c>
      <c r="Z307" s="94">
        <f t="shared" si="21"/>
        <v>0</v>
      </c>
      <c r="AA307" s="94">
        <f t="shared" si="22"/>
        <v>0</v>
      </c>
      <c r="AB307" s="89">
        <f t="shared" si="23"/>
        <v>0</v>
      </c>
      <c r="AC307" s="89">
        <f t="shared" si="24"/>
        <v>0</v>
      </c>
      <c r="AD307" s="89">
        <v>0</v>
      </c>
      <c r="AE307" s="89">
        <v>0</v>
      </c>
      <c r="AF307" s="117"/>
      <c r="AG307" s="117"/>
      <c r="AH307" s="262"/>
      <c r="AI307" s="17"/>
      <c r="AJ307" s="17"/>
      <c r="AK307" s="17"/>
      <c r="AL307" s="17"/>
      <c r="AM307" s="17"/>
      <c r="AN307" s="17"/>
      <c r="AO307" s="17"/>
      <c r="AP307" s="15" t="str">
        <f>IFERROR(VLOOKUP(AO307,Legend!$D$2:$E$26,2,0),"")</f>
        <v/>
      </c>
      <c r="AQ307" s="15"/>
      <c r="AR307" s="17"/>
      <c r="AS307" s="17"/>
      <c r="AT307" s="15"/>
      <c r="AU307" s="17"/>
      <c r="AV307" s="17"/>
      <c r="AW307" s="17" t="s">
        <v>10</v>
      </c>
      <c r="AX307" s="15"/>
      <c r="AY307" s="15"/>
    </row>
    <row r="308" spans="1:51" x14ac:dyDescent="0.25">
      <c r="A308" s="15"/>
      <c r="B308" s="15"/>
      <c r="C308" s="15"/>
      <c r="D308" s="15"/>
      <c r="E308" s="91"/>
      <c r="F308" s="15"/>
      <c r="G308" s="15"/>
      <c r="H308" s="15"/>
      <c r="I308" s="15"/>
      <c r="J308" s="15"/>
      <c r="K308" s="89"/>
      <c r="L308" s="15"/>
      <c r="M308" s="89">
        <v>0</v>
      </c>
      <c r="N308" s="89">
        <v>0</v>
      </c>
      <c r="O308" s="89">
        <v>0</v>
      </c>
      <c r="P308" s="94">
        <v>0</v>
      </c>
      <c r="Q308" s="94">
        <v>0</v>
      </c>
      <c r="R308" s="94">
        <v>0</v>
      </c>
      <c r="S308" s="94">
        <v>0</v>
      </c>
      <c r="T308" s="89">
        <v>0</v>
      </c>
      <c r="U308" s="89">
        <v>0</v>
      </c>
      <c r="V308" s="94">
        <v>0</v>
      </c>
      <c r="W308" s="94">
        <v>0</v>
      </c>
      <c r="X308" s="94">
        <v>0</v>
      </c>
      <c r="Y308" s="89">
        <v>0</v>
      </c>
      <c r="Z308" s="94">
        <f t="shared" si="21"/>
        <v>0</v>
      </c>
      <c r="AA308" s="94">
        <f t="shared" si="22"/>
        <v>0</v>
      </c>
      <c r="AB308" s="89">
        <f t="shared" si="23"/>
        <v>0</v>
      </c>
      <c r="AC308" s="89">
        <f t="shared" si="24"/>
        <v>0</v>
      </c>
      <c r="AD308" s="89">
        <v>0</v>
      </c>
      <c r="AE308" s="89">
        <v>0</v>
      </c>
      <c r="AF308" s="117"/>
      <c r="AG308" s="117"/>
      <c r="AH308" s="262"/>
      <c r="AI308" s="17"/>
      <c r="AJ308" s="17"/>
      <c r="AK308" s="17"/>
      <c r="AL308" s="17"/>
      <c r="AM308" s="17"/>
      <c r="AN308" s="17"/>
      <c r="AO308" s="17"/>
      <c r="AP308" s="15" t="str">
        <f>IFERROR(VLOOKUP(AO308,Legend!$D$2:$E$26,2,0),"")</f>
        <v/>
      </c>
      <c r="AQ308" s="15"/>
      <c r="AR308" s="17"/>
      <c r="AS308" s="17"/>
      <c r="AT308" s="15"/>
      <c r="AU308" s="17"/>
      <c r="AV308" s="17"/>
      <c r="AW308" s="17" t="s">
        <v>10</v>
      </c>
      <c r="AX308" s="15"/>
      <c r="AY308" s="15"/>
    </row>
    <row r="309" spans="1:51" x14ac:dyDescent="0.25">
      <c r="A309" s="15"/>
      <c r="B309" s="15"/>
      <c r="C309" s="15"/>
      <c r="D309" s="15"/>
      <c r="E309" s="91"/>
      <c r="F309" s="15"/>
      <c r="G309" s="15"/>
      <c r="H309" s="15"/>
      <c r="I309" s="15"/>
      <c r="J309" s="15"/>
      <c r="K309" s="89"/>
      <c r="L309" s="15"/>
      <c r="M309" s="89">
        <v>0</v>
      </c>
      <c r="N309" s="89">
        <v>0</v>
      </c>
      <c r="O309" s="89">
        <v>0</v>
      </c>
      <c r="P309" s="94">
        <v>0</v>
      </c>
      <c r="Q309" s="94">
        <v>0</v>
      </c>
      <c r="R309" s="94">
        <v>0</v>
      </c>
      <c r="S309" s="94">
        <v>0</v>
      </c>
      <c r="T309" s="89">
        <v>0</v>
      </c>
      <c r="U309" s="89">
        <v>0</v>
      </c>
      <c r="V309" s="94">
        <v>0</v>
      </c>
      <c r="W309" s="94">
        <v>0</v>
      </c>
      <c r="X309" s="94">
        <v>0</v>
      </c>
      <c r="Y309" s="89">
        <v>0</v>
      </c>
      <c r="Z309" s="94">
        <f t="shared" si="21"/>
        <v>0</v>
      </c>
      <c r="AA309" s="94">
        <f t="shared" si="22"/>
        <v>0</v>
      </c>
      <c r="AB309" s="89">
        <f t="shared" si="23"/>
        <v>0</v>
      </c>
      <c r="AC309" s="89">
        <f t="shared" si="24"/>
        <v>0</v>
      </c>
      <c r="AD309" s="89">
        <v>0</v>
      </c>
      <c r="AE309" s="89">
        <v>0</v>
      </c>
      <c r="AF309" s="117"/>
      <c r="AG309" s="117"/>
      <c r="AH309" s="262"/>
      <c r="AI309" s="17"/>
      <c r="AJ309" s="17"/>
      <c r="AK309" s="17"/>
      <c r="AL309" s="17"/>
      <c r="AM309" s="17"/>
      <c r="AN309" s="17"/>
      <c r="AO309" s="17"/>
      <c r="AP309" s="15" t="str">
        <f>IFERROR(VLOOKUP(AO309,Legend!$D$2:$E$26,2,0),"")</f>
        <v/>
      </c>
      <c r="AQ309" s="15"/>
      <c r="AR309" s="17"/>
      <c r="AS309" s="17"/>
      <c r="AT309" s="15"/>
      <c r="AU309" s="17"/>
      <c r="AV309" s="17"/>
      <c r="AW309" s="17" t="s">
        <v>10</v>
      </c>
      <c r="AX309" s="15"/>
      <c r="AY309" s="15"/>
    </row>
    <row r="310" spans="1:51" x14ac:dyDescent="0.25">
      <c r="A310" s="15"/>
      <c r="B310" s="15"/>
      <c r="C310" s="15"/>
      <c r="D310" s="15"/>
      <c r="E310" s="91"/>
      <c r="F310" s="15"/>
      <c r="G310" s="15"/>
      <c r="H310" s="15"/>
      <c r="I310" s="15"/>
      <c r="J310" s="15"/>
      <c r="K310" s="89"/>
      <c r="L310" s="15"/>
      <c r="M310" s="89">
        <v>0</v>
      </c>
      <c r="N310" s="89">
        <v>0</v>
      </c>
      <c r="O310" s="89">
        <v>0</v>
      </c>
      <c r="P310" s="94">
        <v>0</v>
      </c>
      <c r="Q310" s="94">
        <v>0</v>
      </c>
      <c r="R310" s="94">
        <v>0</v>
      </c>
      <c r="S310" s="94">
        <v>0</v>
      </c>
      <c r="T310" s="89">
        <v>0</v>
      </c>
      <c r="U310" s="89">
        <v>0</v>
      </c>
      <c r="V310" s="94">
        <v>0</v>
      </c>
      <c r="W310" s="94">
        <v>0</v>
      </c>
      <c r="X310" s="94">
        <v>0</v>
      </c>
      <c r="Y310" s="89">
        <v>0</v>
      </c>
      <c r="Z310" s="94">
        <f t="shared" si="21"/>
        <v>0</v>
      </c>
      <c r="AA310" s="94">
        <f t="shared" si="22"/>
        <v>0</v>
      </c>
      <c r="AB310" s="89">
        <f t="shared" si="23"/>
        <v>0</v>
      </c>
      <c r="AC310" s="89">
        <f t="shared" si="24"/>
        <v>0</v>
      </c>
      <c r="AD310" s="89">
        <v>0</v>
      </c>
      <c r="AE310" s="89">
        <v>0</v>
      </c>
      <c r="AF310" s="117"/>
      <c r="AG310" s="117"/>
      <c r="AH310" s="262"/>
      <c r="AI310" s="17"/>
      <c r="AJ310" s="17"/>
      <c r="AK310" s="17"/>
      <c r="AL310" s="17"/>
      <c r="AM310" s="17"/>
      <c r="AN310" s="17"/>
      <c r="AO310" s="17"/>
      <c r="AP310" s="15" t="str">
        <f>IFERROR(VLOOKUP(AO310,Legend!$D$2:$E$26,2,0),"")</f>
        <v/>
      </c>
      <c r="AQ310" s="15"/>
      <c r="AR310" s="17"/>
      <c r="AS310" s="17"/>
      <c r="AT310" s="15"/>
      <c r="AU310" s="17"/>
      <c r="AV310" s="17"/>
      <c r="AW310" s="17" t="s">
        <v>10</v>
      </c>
      <c r="AX310" s="15"/>
      <c r="AY310" s="15"/>
    </row>
    <row r="311" spans="1:51" x14ac:dyDescent="0.25">
      <c r="A311" s="15"/>
      <c r="B311" s="15"/>
      <c r="C311" s="15"/>
      <c r="D311" s="15"/>
      <c r="E311" s="91"/>
      <c r="F311" s="15"/>
      <c r="G311" s="15"/>
      <c r="H311" s="15"/>
      <c r="I311" s="15"/>
      <c r="J311" s="15"/>
      <c r="K311" s="89"/>
      <c r="L311" s="15"/>
      <c r="M311" s="89">
        <v>0</v>
      </c>
      <c r="N311" s="89">
        <v>0</v>
      </c>
      <c r="O311" s="89">
        <v>0</v>
      </c>
      <c r="P311" s="94">
        <v>0</v>
      </c>
      <c r="Q311" s="94">
        <v>0</v>
      </c>
      <c r="R311" s="94">
        <v>0</v>
      </c>
      <c r="S311" s="94">
        <v>0</v>
      </c>
      <c r="T311" s="89">
        <v>0</v>
      </c>
      <c r="U311" s="89">
        <v>0</v>
      </c>
      <c r="V311" s="94">
        <v>0</v>
      </c>
      <c r="W311" s="94">
        <v>0</v>
      </c>
      <c r="X311" s="94">
        <v>0</v>
      </c>
      <c r="Y311" s="89">
        <v>0</v>
      </c>
      <c r="Z311" s="94">
        <f t="shared" si="21"/>
        <v>0</v>
      </c>
      <c r="AA311" s="94">
        <f t="shared" si="22"/>
        <v>0</v>
      </c>
      <c r="AB311" s="89">
        <f t="shared" si="23"/>
        <v>0</v>
      </c>
      <c r="AC311" s="89">
        <f t="shared" si="24"/>
        <v>0</v>
      </c>
      <c r="AD311" s="89">
        <v>0</v>
      </c>
      <c r="AE311" s="89">
        <v>0</v>
      </c>
      <c r="AF311" s="117"/>
      <c r="AG311" s="117"/>
      <c r="AH311" s="262"/>
      <c r="AI311" s="17"/>
      <c r="AJ311" s="17"/>
      <c r="AK311" s="17"/>
      <c r="AL311" s="17"/>
      <c r="AM311" s="17"/>
      <c r="AN311" s="17"/>
      <c r="AO311" s="17"/>
      <c r="AP311" s="15" t="str">
        <f>IFERROR(VLOOKUP(AO311,Legend!$D$2:$E$26,2,0),"")</f>
        <v/>
      </c>
      <c r="AQ311" s="15"/>
      <c r="AR311" s="17"/>
      <c r="AS311" s="17"/>
      <c r="AT311" s="15"/>
      <c r="AU311" s="17"/>
      <c r="AV311" s="17"/>
      <c r="AW311" s="17" t="s">
        <v>10</v>
      </c>
      <c r="AX311" s="15"/>
      <c r="AY311" s="15"/>
    </row>
    <row r="312" spans="1:51" x14ac:dyDescent="0.25">
      <c r="A312" s="15"/>
      <c r="B312" s="15"/>
      <c r="C312" s="15"/>
      <c r="D312" s="15"/>
      <c r="E312" s="91"/>
      <c r="F312" s="15"/>
      <c r="G312" s="15"/>
      <c r="H312" s="15"/>
      <c r="I312" s="15"/>
      <c r="J312" s="15"/>
      <c r="K312" s="89"/>
      <c r="L312" s="15"/>
      <c r="M312" s="89">
        <v>0</v>
      </c>
      <c r="N312" s="89">
        <v>0</v>
      </c>
      <c r="O312" s="89">
        <v>0</v>
      </c>
      <c r="P312" s="94">
        <v>0</v>
      </c>
      <c r="Q312" s="94">
        <v>0</v>
      </c>
      <c r="R312" s="94">
        <v>0</v>
      </c>
      <c r="S312" s="94">
        <v>0</v>
      </c>
      <c r="T312" s="89">
        <v>0</v>
      </c>
      <c r="U312" s="89">
        <v>0</v>
      </c>
      <c r="V312" s="94">
        <v>0</v>
      </c>
      <c r="W312" s="94">
        <v>0</v>
      </c>
      <c r="X312" s="94">
        <v>0</v>
      </c>
      <c r="Y312" s="89">
        <v>0</v>
      </c>
      <c r="Z312" s="94">
        <f t="shared" si="21"/>
        <v>0</v>
      </c>
      <c r="AA312" s="94">
        <f t="shared" si="22"/>
        <v>0</v>
      </c>
      <c r="AB312" s="89">
        <f t="shared" si="23"/>
        <v>0</v>
      </c>
      <c r="AC312" s="89">
        <f t="shared" si="24"/>
        <v>0</v>
      </c>
      <c r="AD312" s="89">
        <v>0</v>
      </c>
      <c r="AE312" s="89">
        <v>0</v>
      </c>
      <c r="AF312" s="117"/>
      <c r="AG312" s="117"/>
      <c r="AH312" s="262"/>
      <c r="AI312" s="17"/>
      <c r="AJ312" s="17"/>
      <c r="AK312" s="17"/>
      <c r="AL312" s="17"/>
      <c r="AM312" s="17"/>
      <c r="AN312" s="17"/>
      <c r="AO312" s="17"/>
      <c r="AP312" s="15" t="str">
        <f>IFERROR(VLOOKUP(AO312,Legend!$D$2:$E$26,2,0),"")</f>
        <v/>
      </c>
      <c r="AQ312" s="15"/>
      <c r="AR312" s="17"/>
      <c r="AS312" s="17"/>
      <c r="AT312" s="15"/>
      <c r="AU312" s="17"/>
      <c r="AV312" s="17"/>
      <c r="AW312" s="17" t="s">
        <v>10</v>
      </c>
      <c r="AX312" s="15"/>
      <c r="AY312" s="15"/>
    </row>
    <row r="313" spans="1:51" x14ac:dyDescent="0.25">
      <c r="A313" s="15"/>
      <c r="B313" s="15"/>
      <c r="C313" s="15"/>
      <c r="D313" s="15"/>
      <c r="E313" s="91"/>
      <c r="F313" s="15"/>
      <c r="G313" s="15"/>
      <c r="H313" s="15"/>
      <c r="I313" s="15"/>
      <c r="J313" s="15"/>
      <c r="K313" s="89"/>
      <c r="L313" s="15"/>
      <c r="M313" s="89">
        <v>0</v>
      </c>
      <c r="N313" s="89">
        <v>0</v>
      </c>
      <c r="O313" s="89">
        <v>0</v>
      </c>
      <c r="P313" s="94">
        <v>0</v>
      </c>
      <c r="Q313" s="94">
        <v>0</v>
      </c>
      <c r="R313" s="94">
        <v>0</v>
      </c>
      <c r="S313" s="94">
        <v>0</v>
      </c>
      <c r="T313" s="89">
        <v>0</v>
      </c>
      <c r="U313" s="89">
        <v>0</v>
      </c>
      <c r="V313" s="94">
        <v>0</v>
      </c>
      <c r="W313" s="94">
        <v>0</v>
      </c>
      <c r="X313" s="94">
        <v>0</v>
      </c>
      <c r="Y313" s="89">
        <v>0</v>
      </c>
      <c r="Z313" s="94">
        <f t="shared" si="21"/>
        <v>0</v>
      </c>
      <c r="AA313" s="94">
        <f t="shared" si="22"/>
        <v>0</v>
      </c>
      <c r="AB313" s="89">
        <f t="shared" si="23"/>
        <v>0</v>
      </c>
      <c r="AC313" s="89">
        <f t="shared" si="24"/>
        <v>0</v>
      </c>
      <c r="AD313" s="89">
        <v>0</v>
      </c>
      <c r="AE313" s="89">
        <v>0</v>
      </c>
      <c r="AF313" s="117"/>
      <c r="AG313" s="117"/>
      <c r="AH313" s="262"/>
      <c r="AI313" s="17"/>
      <c r="AJ313" s="17"/>
      <c r="AK313" s="17"/>
      <c r="AL313" s="17"/>
      <c r="AM313" s="17"/>
      <c r="AN313" s="17"/>
      <c r="AO313" s="17"/>
      <c r="AP313" s="15" t="str">
        <f>IFERROR(VLOOKUP(AO313,Legend!$D$2:$E$26,2,0),"")</f>
        <v/>
      </c>
      <c r="AQ313" s="15"/>
      <c r="AR313" s="17"/>
      <c r="AS313" s="17"/>
      <c r="AT313" s="15"/>
      <c r="AU313" s="17"/>
      <c r="AV313" s="17"/>
      <c r="AW313" s="17" t="s">
        <v>10</v>
      </c>
      <c r="AX313" s="15"/>
      <c r="AY313" s="15"/>
    </row>
    <row r="314" spans="1:51" x14ac:dyDescent="0.25">
      <c r="A314" s="15"/>
      <c r="B314" s="15"/>
      <c r="C314" s="15"/>
      <c r="D314" s="15"/>
      <c r="E314" s="91"/>
      <c r="F314" s="15"/>
      <c r="G314" s="15"/>
      <c r="H314" s="15"/>
      <c r="I314" s="15"/>
      <c r="J314" s="15"/>
      <c r="K314" s="89"/>
      <c r="L314" s="15"/>
      <c r="M314" s="89">
        <v>0</v>
      </c>
      <c r="N314" s="89">
        <v>0</v>
      </c>
      <c r="O314" s="89">
        <v>0</v>
      </c>
      <c r="P314" s="94">
        <v>0</v>
      </c>
      <c r="Q314" s="94">
        <v>0</v>
      </c>
      <c r="R314" s="94">
        <v>0</v>
      </c>
      <c r="S314" s="94">
        <v>0</v>
      </c>
      <c r="T314" s="89">
        <v>0</v>
      </c>
      <c r="U314" s="89">
        <v>0</v>
      </c>
      <c r="V314" s="94">
        <v>0</v>
      </c>
      <c r="W314" s="94">
        <v>0</v>
      </c>
      <c r="X314" s="94">
        <v>0</v>
      </c>
      <c r="Y314" s="89">
        <v>0</v>
      </c>
      <c r="Z314" s="94">
        <f t="shared" si="21"/>
        <v>0</v>
      </c>
      <c r="AA314" s="94">
        <f t="shared" si="22"/>
        <v>0</v>
      </c>
      <c r="AB314" s="89">
        <f t="shared" si="23"/>
        <v>0</v>
      </c>
      <c r="AC314" s="89">
        <f t="shared" si="24"/>
        <v>0</v>
      </c>
      <c r="AD314" s="89">
        <v>0</v>
      </c>
      <c r="AE314" s="89">
        <v>0</v>
      </c>
      <c r="AF314" s="117"/>
      <c r="AG314" s="117"/>
      <c r="AH314" s="262"/>
      <c r="AI314" s="17"/>
      <c r="AJ314" s="17"/>
      <c r="AK314" s="17"/>
      <c r="AL314" s="17"/>
      <c r="AM314" s="17"/>
      <c r="AN314" s="17"/>
      <c r="AO314" s="17"/>
      <c r="AP314" s="15" t="str">
        <f>IFERROR(VLOOKUP(AO314,Legend!$D$2:$E$26,2,0),"")</f>
        <v/>
      </c>
      <c r="AQ314" s="15"/>
      <c r="AR314" s="17"/>
      <c r="AS314" s="17"/>
      <c r="AT314" s="15"/>
      <c r="AU314" s="17"/>
      <c r="AV314" s="17"/>
      <c r="AW314" s="17" t="s">
        <v>10</v>
      </c>
      <c r="AX314" s="15"/>
      <c r="AY314" s="15"/>
    </row>
    <row r="315" spans="1:51" x14ac:dyDescent="0.25">
      <c r="A315" s="15"/>
      <c r="B315" s="15"/>
      <c r="C315" s="15"/>
      <c r="D315" s="15"/>
      <c r="E315" s="91"/>
      <c r="F315" s="15"/>
      <c r="G315" s="15"/>
      <c r="H315" s="15"/>
      <c r="I315" s="15"/>
      <c r="J315" s="15"/>
      <c r="K315" s="89"/>
      <c r="L315" s="15"/>
      <c r="M315" s="89">
        <v>0</v>
      </c>
      <c r="N315" s="89">
        <v>0</v>
      </c>
      <c r="O315" s="89">
        <v>0</v>
      </c>
      <c r="P315" s="94">
        <v>0</v>
      </c>
      <c r="Q315" s="94">
        <v>0</v>
      </c>
      <c r="R315" s="94">
        <v>0</v>
      </c>
      <c r="S315" s="94">
        <v>0</v>
      </c>
      <c r="T315" s="89">
        <v>0</v>
      </c>
      <c r="U315" s="89">
        <v>0</v>
      </c>
      <c r="V315" s="94">
        <v>0</v>
      </c>
      <c r="W315" s="94">
        <v>0</v>
      </c>
      <c r="X315" s="94">
        <v>0</v>
      </c>
      <c r="Y315" s="89">
        <v>0</v>
      </c>
      <c r="Z315" s="94">
        <f t="shared" si="21"/>
        <v>0</v>
      </c>
      <c r="AA315" s="94">
        <f t="shared" si="22"/>
        <v>0</v>
      </c>
      <c r="AB315" s="89">
        <f t="shared" si="23"/>
        <v>0</v>
      </c>
      <c r="AC315" s="89">
        <f t="shared" si="24"/>
        <v>0</v>
      </c>
      <c r="AD315" s="89">
        <v>0</v>
      </c>
      <c r="AE315" s="89">
        <v>0</v>
      </c>
      <c r="AF315" s="117"/>
      <c r="AG315" s="117"/>
      <c r="AH315" s="262"/>
      <c r="AI315" s="17"/>
      <c r="AJ315" s="17"/>
      <c r="AK315" s="17"/>
      <c r="AL315" s="17"/>
      <c r="AM315" s="17"/>
      <c r="AN315" s="17"/>
      <c r="AO315" s="17"/>
      <c r="AP315" s="15" t="str">
        <f>IFERROR(VLOOKUP(AO315,Legend!$D$2:$E$26,2,0),"")</f>
        <v/>
      </c>
      <c r="AQ315" s="15"/>
      <c r="AR315" s="17"/>
      <c r="AS315" s="17"/>
      <c r="AT315" s="15"/>
      <c r="AU315" s="17"/>
      <c r="AV315" s="17"/>
      <c r="AW315" s="17" t="s">
        <v>10</v>
      </c>
      <c r="AX315" s="15"/>
      <c r="AY315" s="15"/>
    </row>
    <row r="316" spans="1:51" x14ac:dyDescent="0.25">
      <c r="A316" s="15"/>
      <c r="B316" s="15"/>
      <c r="C316" s="15"/>
      <c r="D316" s="15"/>
      <c r="E316" s="91"/>
      <c r="F316" s="15"/>
      <c r="G316" s="15"/>
      <c r="H316" s="15"/>
      <c r="I316" s="15"/>
      <c r="J316" s="15"/>
      <c r="K316" s="89"/>
      <c r="L316" s="15"/>
      <c r="M316" s="89">
        <v>0</v>
      </c>
      <c r="N316" s="89">
        <v>0</v>
      </c>
      <c r="O316" s="89">
        <v>0</v>
      </c>
      <c r="P316" s="94">
        <v>0</v>
      </c>
      <c r="Q316" s="94">
        <v>0</v>
      </c>
      <c r="R316" s="94">
        <v>0</v>
      </c>
      <c r="S316" s="94">
        <v>0</v>
      </c>
      <c r="T316" s="89">
        <v>0</v>
      </c>
      <c r="U316" s="89">
        <v>0</v>
      </c>
      <c r="V316" s="94">
        <v>0</v>
      </c>
      <c r="W316" s="94">
        <v>0</v>
      </c>
      <c r="X316" s="94">
        <v>0</v>
      </c>
      <c r="Y316" s="89">
        <v>0</v>
      </c>
      <c r="Z316" s="94">
        <f t="shared" si="21"/>
        <v>0</v>
      </c>
      <c r="AA316" s="94">
        <f t="shared" si="22"/>
        <v>0</v>
      </c>
      <c r="AB316" s="89">
        <f t="shared" si="23"/>
        <v>0</v>
      </c>
      <c r="AC316" s="89">
        <f t="shared" si="24"/>
        <v>0</v>
      </c>
      <c r="AD316" s="89">
        <v>0</v>
      </c>
      <c r="AE316" s="89">
        <v>0</v>
      </c>
      <c r="AF316" s="117"/>
      <c r="AG316" s="117"/>
      <c r="AH316" s="262"/>
      <c r="AI316" s="17"/>
      <c r="AJ316" s="17"/>
      <c r="AK316" s="17"/>
      <c r="AL316" s="17"/>
      <c r="AM316" s="17"/>
      <c r="AN316" s="17"/>
      <c r="AO316" s="17"/>
      <c r="AP316" s="15" t="str">
        <f>IFERROR(VLOOKUP(AO316,Legend!$D$2:$E$26,2,0),"")</f>
        <v/>
      </c>
      <c r="AQ316" s="15"/>
      <c r="AR316" s="17"/>
      <c r="AS316" s="17"/>
      <c r="AT316" s="15"/>
      <c r="AU316" s="17"/>
      <c r="AV316" s="17"/>
      <c r="AW316" s="17" t="s">
        <v>10</v>
      </c>
      <c r="AX316" s="15"/>
      <c r="AY316" s="15"/>
    </row>
    <row r="317" spans="1:51" x14ac:dyDescent="0.25">
      <c r="A317" s="15"/>
      <c r="B317" s="15"/>
      <c r="C317" s="15"/>
      <c r="D317" s="15"/>
      <c r="E317" s="91"/>
      <c r="F317" s="15"/>
      <c r="G317" s="15"/>
      <c r="H317" s="15"/>
      <c r="I317" s="15"/>
      <c r="J317" s="15"/>
      <c r="K317" s="89"/>
      <c r="L317" s="89"/>
      <c r="M317" s="89">
        <v>0</v>
      </c>
      <c r="N317" s="89">
        <v>0</v>
      </c>
      <c r="O317" s="89">
        <v>0</v>
      </c>
      <c r="P317" s="94">
        <v>0</v>
      </c>
      <c r="Q317" s="94">
        <v>0</v>
      </c>
      <c r="R317" s="94">
        <v>0</v>
      </c>
      <c r="S317" s="94">
        <v>0</v>
      </c>
      <c r="T317" s="89">
        <v>0</v>
      </c>
      <c r="U317" s="89">
        <v>0</v>
      </c>
      <c r="V317" s="94">
        <v>0</v>
      </c>
      <c r="W317" s="94">
        <v>0</v>
      </c>
      <c r="X317" s="94">
        <v>0</v>
      </c>
      <c r="Y317" s="89">
        <v>0</v>
      </c>
      <c r="Z317" s="94">
        <f t="shared" si="21"/>
        <v>0</v>
      </c>
      <c r="AA317" s="94">
        <f t="shared" si="22"/>
        <v>0</v>
      </c>
      <c r="AB317" s="89">
        <f t="shared" si="23"/>
        <v>0</v>
      </c>
      <c r="AC317" s="89">
        <f t="shared" si="24"/>
        <v>0</v>
      </c>
      <c r="AD317" s="89">
        <v>0</v>
      </c>
      <c r="AE317" s="89">
        <v>0</v>
      </c>
      <c r="AF317" s="117"/>
      <c r="AG317" s="117"/>
      <c r="AH317" s="262"/>
      <c r="AI317" s="17"/>
      <c r="AJ317" s="17"/>
      <c r="AK317" s="17"/>
      <c r="AL317" s="17"/>
      <c r="AM317" s="17"/>
      <c r="AN317" s="17"/>
      <c r="AO317" s="17"/>
      <c r="AP317" s="15" t="str">
        <f>IFERROR(VLOOKUP(AO317,Legend!$D$2:$E$26,2,0),"")</f>
        <v/>
      </c>
      <c r="AQ317" s="15"/>
      <c r="AR317" s="17"/>
      <c r="AS317" s="17"/>
      <c r="AT317" s="15"/>
      <c r="AU317" s="17"/>
      <c r="AV317" s="17"/>
      <c r="AW317" s="17" t="s">
        <v>10</v>
      </c>
      <c r="AX317" s="15"/>
      <c r="AY317" s="15"/>
    </row>
    <row r="318" spans="1:51" x14ac:dyDescent="0.25">
      <c r="A318" s="15"/>
      <c r="B318" s="15"/>
      <c r="C318" s="15"/>
      <c r="D318" s="15"/>
      <c r="E318" s="91"/>
      <c r="F318" s="15"/>
      <c r="G318" s="15"/>
      <c r="H318" s="15"/>
      <c r="I318" s="15"/>
      <c r="J318" s="15"/>
      <c r="K318" s="89"/>
      <c r="L318" s="89"/>
      <c r="M318" s="89">
        <v>0</v>
      </c>
      <c r="N318" s="89">
        <v>0</v>
      </c>
      <c r="O318" s="89">
        <v>0</v>
      </c>
      <c r="P318" s="94">
        <v>0</v>
      </c>
      <c r="Q318" s="94">
        <v>0</v>
      </c>
      <c r="R318" s="94">
        <v>0</v>
      </c>
      <c r="S318" s="94">
        <v>0</v>
      </c>
      <c r="T318" s="89">
        <v>0</v>
      </c>
      <c r="U318" s="89">
        <v>0</v>
      </c>
      <c r="V318" s="94">
        <v>0</v>
      </c>
      <c r="W318" s="94">
        <v>0</v>
      </c>
      <c r="X318" s="94">
        <v>0</v>
      </c>
      <c r="Y318" s="89">
        <v>0</v>
      </c>
      <c r="Z318" s="94">
        <f t="shared" si="21"/>
        <v>0</v>
      </c>
      <c r="AA318" s="94">
        <f t="shared" si="22"/>
        <v>0</v>
      </c>
      <c r="AB318" s="89">
        <f t="shared" si="23"/>
        <v>0</v>
      </c>
      <c r="AC318" s="89">
        <f t="shared" si="24"/>
        <v>0</v>
      </c>
      <c r="AD318" s="89">
        <v>0</v>
      </c>
      <c r="AE318" s="89">
        <v>0</v>
      </c>
      <c r="AF318" s="117"/>
      <c r="AG318" s="117"/>
      <c r="AH318" s="262"/>
      <c r="AI318" s="17"/>
      <c r="AJ318" s="17"/>
      <c r="AK318" s="17"/>
      <c r="AL318" s="17"/>
      <c r="AM318" s="17"/>
      <c r="AN318" s="17"/>
      <c r="AO318" s="17"/>
      <c r="AP318" s="15" t="str">
        <f>IFERROR(VLOOKUP(AO318,Legend!$D$2:$E$26,2,0),"")</f>
        <v/>
      </c>
      <c r="AQ318" s="15"/>
      <c r="AR318" s="17"/>
      <c r="AS318" s="17"/>
      <c r="AT318" s="15"/>
      <c r="AU318" s="17"/>
      <c r="AV318" s="17"/>
      <c r="AW318" s="17" t="s">
        <v>10</v>
      </c>
      <c r="AX318" s="15"/>
      <c r="AY318" s="15"/>
    </row>
    <row r="319" spans="1:51" x14ac:dyDescent="0.25">
      <c r="A319" s="15"/>
      <c r="B319" s="15"/>
      <c r="C319" s="15"/>
      <c r="D319" s="15"/>
      <c r="E319" s="91"/>
      <c r="F319" s="15"/>
      <c r="G319" s="15"/>
      <c r="H319" s="15"/>
      <c r="I319" s="15"/>
      <c r="J319" s="15"/>
      <c r="K319" s="89"/>
      <c r="L319" s="15"/>
      <c r="M319" s="89">
        <v>0</v>
      </c>
      <c r="N319" s="89">
        <v>0</v>
      </c>
      <c r="O319" s="89">
        <v>0</v>
      </c>
      <c r="P319" s="94">
        <v>0</v>
      </c>
      <c r="Q319" s="94">
        <v>0</v>
      </c>
      <c r="R319" s="94">
        <v>0</v>
      </c>
      <c r="S319" s="94">
        <v>0</v>
      </c>
      <c r="T319" s="89">
        <v>0</v>
      </c>
      <c r="U319" s="89">
        <v>0</v>
      </c>
      <c r="V319" s="94">
        <v>0</v>
      </c>
      <c r="W319" s="94">
        <v>0</v>
      </c>
      <c r="X319" s="94">
        <v>0</v>
      </c>
      <c r="Y319" s="89">
        <v>0</v>
      </c>
      <c r="Z319" s="94">
        <f t="shared" si="21"/>
        <v>0</v>
      </c>
      <c r="AA319" s="94">
        <f t="shared" si="22"/>
        <v>0</v>
      </c>
      <c r="AB319" s="89">
        <f t="shared" si="23"/>
        <v>0</v>
      </c>
      <c r="AC319" s="89">
        <f t="shared" si="24"/>
        <v>0</v>
      </c>
      <c r="AD319" s="89">
        <v>0</v>
      </c>
      <c r="AE319" s="89">
        <v>0</v>
      </c>
      <c r="AF319" s="117"/>
      <c r="AG319" s="117"/>
      <c r="AH319" s="262"/>
      <c r="AI319" s="17"/>
      <c r="AJ319" s="17"/>
      <c r="AK319" s="17"/>
      <c r="AL319" s="17"/>
      <c r="AM319" s="17"/>
      <c r="AN319" s="17"/>
      <c r="AO319" s="17"/>
      <c r="AP319" s="15" t="str">
        <f>IFERROR(VLOOKUP(AO319,Legend!$D$2:$E$26,2,0),"")</f>
        <v/>
      </c>
      <c r="AQ319" s="15"/>
      <c r="AR319" s="17"/>
      <c r="AS319" s="17"/>
      <c r="AT319" s="15"/>
      <c r="AU319" s="17"/>
      <c r="AV319" s="17"/>
      <c r="AW319" s="17" t="s">
        <v>10</v>
      </c>
      <c r="AX319" s="15"/>
      <c r="AY319" s="15"/>
    </row>
    <row r="320" spans="1:51" x14ac:dyDescent="0.25">
      <c r="A320" s="15"/>
      <c r="B320" s="15"/>
      <c r="C320" s="15"/>
      <c r="D320" s="15"/>
      <c r="E320" s="91"/>
      <c r="F320" s="15"/>
      <c r="G320" s="15"/>
      <c r="H320" s="15"/>
      <c r="I320" s="15"/>
      <c r="J320" s="15"/>
      <c r="K320" s="89"/>
      <c r="L320" s="89"/>
      <c r="M320" s="89">
        <v>0</v>
      </c>
      <c r="N320" s="89">
        <v>0</v>
      </c>
      <c r="O320" s="89">
        <v>0</v>
      </c>
      <c r="P320" s="94">
        <v>0</v>
      </c>
      <c r="Q320" s="94">
        <v>0</v>
      </c>
      <c r="R320" s="94">
        <v>0</v>
      </c>
      <c r="S320" s="94">
        <v>0</v>
      </c>
      <c r="T320" s="89">
        <v>0</v>
      </c>
      <c r="U320" s="89">
        <v>0</v>
      </c>
      <c r="V320" s="94">
        <v>0</v>
      </c>
      <c r="W320" s="94">
        <v>0</v>
      </c>
      <c r="X320" s="94">
        <v>0</v>
      </c>
      <c r="Y320" s="89">
        <v>0</v>
      </c>
      <c r="Z320" s="94">
        <f t="shared" si="21"/>
        <v>0</v>
      </c>
      <c r="AA320" s="94">
        <f t="shared" si="22"/>
        <v>0</v>
      </c>
      <c r="AB320" s="89">
        <f t="shared" si="23"/>
        <v>0</v>
      </c>
      <c r="AC320" s="89">
        <f t="shared" si="24"/>
        <v>0</v>
      </c>
      <c r="AD320" s="89">
        <v>0</v>
      </c>
      <c r="AE320" s="89">
        <v>0</v>
      </c>
      <c r="AF320" s="117"/>
      <c r="AG320" s="117"/>
      <c r="AH320" s="262"/>
      <c r="AI320" s="17"/>
      <c r="AJ320" s="17"/>
      <c r="AK320" s="17"/>
      <c r="AL320" s="17"/>
      <c r="AM320" s="17"/>
      <c r="AN320" s="17"/>
      <c r="AO320" s="17"/>
      <c r="AP320" s="15" t="str">
        <f>IFERROR(VLOOKUP(AO320,Legend!$D$2:$E$26,2,0),"")</f>
        <v/>
      </c>
      <c r="AQ320" s="15"/>
      <c r="AR320" s="17"/>
      <c r="AS320" s="17"/>
      <c r="AT320" s="15"/>
      <c r="AU320" s="17"/>
      <c r="AV320" s="17"/>
      <c r="AW320" s="17" t="s">
        <v>10</v>
      </c>
      <c r="AX320" s="15"/>
      <c r="AY320" s="15"/>
    </row>
    <row r="321" spans="1:51" x14ac:dyDescent="0.25">
      <c r="A321" s="15"/>
      <c r="B321" s="15"/>
      <c r="C321" s="15"/>
      <c r="D321" s="15"/>
      <c r="E321" s="91"/>
      <c r="F321" s="15"/>
      <c r="G321" s="15"/>
      <c r="H321" s="15"/>
      <c r="I321" s="15"/>
      <c r="J321" s="15"/>
      <c r="K321" s="89"/>
      <c r="L321" s="89"/>
      <c r="M321" s="89">
        <v>0</v>
      </c>
      <c r="N321" s="89">
        <v>0</v>
      </c>
      <c r="O321" s="89">
        <v>0</v>
      </c>
      <c r="P321" s="94">
        <v>0</v>
      </c>
      <c r="Q321" s="94">
        <v>0</v>
      </c>
      <c r="R321" s="94">
        <v>0</v>
      </c>
      <c r="S321" s="94">
        <v>0</v>
      </c>
      <c r="T321" s="89">
        <v>0</v>
      </c>
      <c r="U321" s="89">
        <v>0</v>
      </c>
      <c r="V321" s="94">
        <v>0</v>
      </c>
      <c r="W321" s="94">
        <v>0</v>
      </c>
      <c r="X321" s="94">
        <v>0</v>
      </c>
      <c r="Y321" s="89">
        <v>0</v>
      </c>
      <c r="Z321" s="94">
        <f t="shared" si="21"/>
        <v>0</v>
      </c>
      <c r="AA321" s="94">
        <f t="shared" si="22"/>
        <v>0</v>
      </c>
      <c r="AB321" s="89">
        <f t="shared" si="23"/>
        <v>0</v>
      </c>
      <c r="AC321" s="89">
        <f t="shared" si="24"/>
        <v>0</v>
      </c>
      <c r="AD321" s="89">
        <v>0</v>
      </c>
      <c r="AE321" s="89">
        <v>0</v>
      </c>
      <c r="AF321" s="117"/>
      <c r="AG321" s="117"/>
      <c r="AH321" s="262"/>
      <c r="AI321" s="17"/>
      <c r="AJ321" s="17"/>
      <c r="AK321" s="17"/>
      <c r="AL321" s="17"/>
      <c r="AM321" s="17"/>
      <c r="AN321" s="17"/>
      <c r="AO321" s="17"/>
      <c r="AP321" s="15" t="str">
        <f>IFERROR(VLOOKUP(AO321,Legend!$D$2:$E$26,2,0),"")</f>
        <v/>
      </c>
      <c r="AQ321" s="15"/>
      <c r="AR321" s="17"/>
      <c r="AS321" s="17"/>
      <c r="AT321" s="15"/>
      <c r="AU321" s="17"/>
      <c r="AV321" s="17"/>
      <c r="AW321" s="17" t="s">
        <v>10</v>
      </c>
      <c r="AX321" s="15"/>
      <c r="AY321" s="15"/>
    </row>
    <row r="322" spans="1:51" x14ac:dyDescent="0.25">
      <c r="A322" s="15"/>
      <c r="B322" s="15"/>
      <c r="C322" s="15"/>
      <c r="D322" s="15"/>
      <c r="E322" s="91"/>
      <c r="F322" s="15"/>
      <c r="G322" s="15"/>
      <c r="H322" s="15"/>
      <c r="I322" s="15"/>
      <c r="J322" s="15"/>
      <c r="K322" s="89"/>
      <c r="L322" s="89"/>
      <c r="M322" s="89">
        <v>0</v>
      </c>
      <c r="N322" s="89">
        <v>0</v>
      </c>
      <c r="O322" s="89">
        <v>0</v>
      </c>
      <c r="P322" s="94">
        <v>0</v>
      </c>
      <c r="Q322" s="94">
        <v>0</v>
      </c>
      <c r="R322" s="94">
        <v>0</v>
      </c>
      <c r="S322" s="94">
        <v>0</v>
      </c>
      <c r="T322" s="89">
        <v>0</v>
      </c>
      <c r="U322" s="89">
        <v>0</v>
      </c>
      <c r="V322" s="94">
        <v>0</v>
      </c>
      <c r="W322" s="94">
        <v>0</v>
      </c>
      <c r="X322" s="94">
        <v>0</v>
      </c>
      <c r="Y322" s="89">
        <v>0</v>
      </c>
      <c r="Z322" s="94">
        <f t="shared" si="21"/>
        <v>0</v>
      </c>
      <c r="AA322" s="94">
        <f t="shared" si="22"/>
        <v>0</v>
      </c>
      <c r="AB322" s="89">
        <f t="shared" si="23"/>
        <v>0</v>
      </c>
      <c r="AC322" s="89">
        <f t="shared" si="24"/>
        <v>0</v>
      </c>
      <c r="AD322" s="89">
        <v>0</v>
      </c>
      <c r="AE322" s="89">
        <v>0</v>
      </c>
      <c r="AF322" s="117"/>
      <c r="AG322" s="117"/>
      <c r="AH322" s="262"/>
      <c r="AI322" s="17"/>
      <c r="AJ322" s="17"/>
      <c r="AK322" s="17"/>
      <c r="AL322" s="17"/>
      <c r="AM322" s="17"/>
      <c r="AN322" s="17"/>
      <c r="AO322" s="17"/>
      <c r="AP322" s="15" t="str">
        <f>IFERROR(VLOOKUP(AO322,Legend!$D$2:$E$26,2,0),"")</f>
        <v/>
      </c>
      <c r="AQ322" s="15"/>
      <c r="AR322" s="17"/>
      <c r="AS322" s="17"/>
      <c r="AT322" s="15"/>
      <c r="AU322" s="17"/>
      <c r="AV322" s="17"/>
      <c r="AW322" s="17" t="s">
        <v>10</v>
      </c>
      <c r="AX322" s="15"/>
      <c r="AY322" s="15"/>
    </row>
    <row r="323" spans="1:51" x14ac:dyDescent="0.25">
      <c r="A323" s="15"/>
      <c r="B323" s="15"/>
      <c r="C323" s="15"/>
      <c r="D323" s="15"/>
      <c r="E323" s="91"/>
      <c r="F323" s="15"/>
      <c r="G323" s="15"/>
      <c r="H323" s="15"/>
      <c r="I323" s="15"/>
      <c r="J323" s="15"/>
      <c r="K323" s="89"/>
      <c r="L323" s="15"/>
      <c r="M323" s="89">
        <v>0</v>
      </c>
      <c r="N323" s="89">
        <v>0</v>
      </c>
      <c r="O323" s="89">
        <v>0</v>
      </c>
      <c r="P323" s="94">
        <v>0</v>
      </c>
      <c r="Q323" s="94">
        <v>0</v>
      </c>
      <c r="R323" s="94">
        <v>0</v>
      </c>
      <c r="S323" s="94">
        <v>0</v>
      </c>
      <c r="T323" s="89">
        <v>0</v>
      </c>
      <c r="U323" s="89">
        <v>0</v>
      </c>
      <c r="V323" s="94">
        <v>0</v>
      </c>
      <c r="W323" s="94">
        <v>0</v>
      </c>
      <c r="X323" s="94">
        <v>0</v>
      </c>
      <c r="Y323" s="89">
        <v>0</v>
      </c>
      <c r="Z323" s="94">
        <f t="shared" si="21"/>
        <v>0</v>
      </c>
      <c r="AA323" s="94">
        <f t="shared" si="22"/>
        <v>0</v>
      </c>
      <c r="AB323" s="89">
        <f t="shared" si="23"/>
        <v>0</v>
      </c>
      <c r="AC323" s="89">
        <f t="shared" si="24"/>
        <v>0</v>
      </c>
      <c r="AD323" s="89">
        <v>0</v>
      </c>
      <c r="AE323" s="89">
        <v>0</v>
      </c>
      <c r="AF323" s="117"/>
      <c r="AG323" s="117"/>
      <c r="AH323" s="262"/>
      <c r="AI323" s="17"/>
      <c r="AJ323" s="17"/>
      <c r="AK323" s="17"/>
      <c r="AL323" s="17"/>
      <c r="AM323" s="17"/>
      <c r="AN323" s="17"/>
      <c r="AO323" s="17"/>
      <c r="AP323" s="15" t="str">
        <f>IFERROR(VLOOKUP(AO323,Legend!$D$2:$E$26,2,0),"")</f>
        <v/>
      </c>
      <c r="AQ323" s="15"/>
      <c r="AR323" s="17"/>
      <c r="AS323" s="17"/>
      <c r="AT323" s="15"/>
      <c r="AU323" s="17"/>
      <c r="AV323" s="17"/>
      <c r="AW323" s="17" t="s">
        <v>10</v>
      </c>
      <c r="AX323" s="15"/>
      <c r="AY323" s="15"/>
    </row>
    <row r="324" spans="1:51" x14ac:dyDescent="0.25">
      <c r="A324" s="15"/>
      <c r="B324" s="15"/>
      <c r="C324" s="15"/>
      <c r="D324" s="15"/>
      <c r="E324" s="91"/>
      <c r="F324" s="15"/>
      <c r="G324" s="15"/>
      <c r="H324" s="15"/>
      <c r="I324" s="15"/>
      <c r="J324" s="15"/>
      <c r="K324" s="89"/>
      <c r="L324" s="15"/>
      <c r="M324" s="89">
        <v>0</v>
      </c>
      <c r="N324" s="89">
        <v>0</v>
      </c>
      <c r="O324" s="89">
        <v>0</v>
      </c>
      <c r="P324" s="94">
        <v>0</v>
      </c>
      <c r="Q324" s="94">
        <v>0</v>
      </c>
      <c r="R324" s="94">
        <v>0</v>
      </c>
      <c r="S324" s="94">
        <v>0</v>
      </c>
      <c r="T324" s="89">
        <v>0</v>
      </c>
      <c r="U324" s="89">
        <v>0</v>
      </c>
      <c r="V324" s="94">
        <v>0</v>
      </c>
      <c r="W324" s="94">
        <v>0</v>
      </c>
      <c r="X324" s="94">
        <v>0</v>
      </c>
      <c r="Y324" s="89">
        <v>0</v>
      </c>
      <c r="Z324" s="94">
        <f t="shared" si="21"/>
        <v>0</v>
      </c>
      <c r="AA324" s="94">
        <f t="shared" si="22"/>
        <v>0</v>
      </c>
      <c r="AB324" s="89">
        <f t="shared" si="23"/>
        <v>0</v>
      </c>
      <c r="AC324" s="89">
        <f t="shared" si="24"/>
        <v>0</v>
      </c>
      <c r="AD324" s="89">
        <v>0</v>
      </c>
      <c r="AE324" s="89">
        <v>0</v>
      </c>
      <c r="AF324" s="117"/>
      <c r="AG324" s="117"/>
      <c r="AH324" s="262"/>
      <c r="AI324" s="17"/>
      <c r="AJ324" s="17"/>
      <c r="AK324" s="17"/>
      <c r="AL324" s="17"/>
      <c r="AM324" s="17"/>
      <c r="AN324" s="17"/>
      <c r="AO324" s="17"/>
      <c r="AP324" s="15" t="str">
        <f>IFERROR(VLOOKUP(AO324,Legend!$D$2:$E$26,2,0),"")</f>
        <v/>
      </c>
      <c r="AQ324" s="15"/>
      <c r="AR324" s="17"/>
      <c r="AS324" s="17"/>
      <c r="AT324" s="15"/>
      <c r="AU324" s="17"/>
      <c r="AV324" s="17"/>
      <c r="AW324" s="17" t="s">
        <v>10</v>
      </c>
      <c r="AX324" s="15"/>
      <c r="AY324" s="15"/>
    </row>
    <row r="325" spans="1:51" x14ac:dyDescent="0.25">
      <c r="A325" s="15"/>
      <c r="B325" s="15"/>
      <c r="C325" s="15"/>
      <c r="D325" s="15"/>
      <c r="E325" s="91"/>
      <c r="F325" s="15"/>
      <c r="G325" s="15"/>
      <c r="H325" s="15"/>
      <c r="I325" s="15"/>
      <c r="J325" s="15"/>
      <c r="K325" s="89"/>
      <c r="L325" s="15"/>
      <c r="M325" s="89">
        <v>0</v>
      </c>
      <c r="N325" s="89">
        <v>0</v>
      </c>
      <c r="O325" s="89">
        <v>0</v>
      </c>
      <c r="P325" s="94">
        <v>0</v>
      </c>
      <c r="Q325" s="94">
        <v>0</v>
      </c>
      <c r="R325" s="94">
        <v>0</v>
      </c>
      <c r="S325" s="94">
        <v>0</v>
      </c>
      <c r="T325" s="89">
        <v>0</v>
      </c>
      <c r="U325" s="89">
        <v>0</v>
      </c>
      <c r="V325" s="94">
        <v>0</v>
      </c>
      <c r="W325" s="94">
        <v>0</v>
      </c>
      <c r="X325" s="94">
        <v>0</v>
      </c>
      <c r="Y325" s="89">
        <v>0</v>
      </c>
      <c r="Z325" s="94">
        <f t="shared" ref="Z325:Z388" si="25">SUM(M325:Y325)</f>
        <v>0</v>
      </c>
      <c r="AA325" s="94">
        <f t="shared" si="22"/>
        <v>0</v>
      </c>
      <c r="AB325" s="89">
        <f t="shared" si="23"/>
        <v>0</v>
      </c>
      <c r="AC325" s="89">
        <f t="shared" si="24"/>
        <v>0</v>
      </c>
      <c r="AD325" s="89">
        <v>0</v>
      </c>
      <c r="AE325" s="89">
        <v>0</v>
      </c>
      <c r="AF325" s="117"/>
      <c r="AG325" s="117"/>
      <c r="AH325" s="262"/>
      <c r="AI325" s="17"/>
      <c r="AJ325" s="17"/>
      <c r="AK325" s="17"/>
      <c r="AL325" s="17"/>
      <c r="AM325" s="17"/>
      <c r="AN325" s="17"/>
      <c r="AO325" s="17"/>
      <c r="AP325" s="15" t="str">
        <f>IFERROR(VLOOKUP(AO325,Legend!$D$2:$E$26,2,0),"")</f>
        <v/>
      </c>
      <c r="AQ325" s="15"/>
      <c r="AR325" s="17"/>
      <c r="AS325" s="17"/>
      <c r="AT325" s="15"/>
      <c r="AU325" s="17"/>
      <c r="AV325" s="17"/>
      <c r="AW325" s="17" t="s">
        <v>10</v>
      </c>
      <c r="AX325" s="15"/>
      <c r="AY325" s="15"/>
    </row>
    <row r="326" spans="1:51" x14ac:dyDescent="0.25">
      <c r="A326" s="15"/>
      <c r="B326" s="15"/>
      <c r="C326" s="15"/>
      <c r="D326" s="15"/>
      <c r="E326" s="91"/>
      <c r="F326" s="15"/>
      <c r="G326" s="15"/>
      <c r="H326" s="15"/>
      <c r="I326" s="15"/>
      <c r="J326" s="15"/>
      <c r="K326" s="89"/>
      <c r="L326" s="15"/>
      <c r="M326" s="89">
        <v>0</v>
      </c>
      <c r="N326" s="89">
        <v>0</v>
      </c>
      <c r="O326" s="89">
        <v>0</v>
      </c>
      <c r="P326" s="94">
        <v>0</v>
      </c>
      <c r="Q326" s="94">
        <v>0</v>
      </c>
      <c r="R326" s="94">
        <v>0</v>
      </c>
      <c r="S326" s="94">
        <v>0</v>
      </c>
      <c r="T326" s="89">
        <v>0</v>
      </c>
      <c r="U326" s="89">
        <v>0</v>
      </c>
      <c r="V326" s="94">
        <v>0</v>
      </c>
      <c r="W326" s="94">
        <v>0</v>
      </c>
      <c r="X326" s="94">
        <v>0</v>
      </c>
      <c r="Y326" s="89">
        <v>0</v>
      </c>
      <c r="Z326" s="94">
        <f t="shared" si="25"/>
        <v>0</v>
      </c>
      <c r="AA326" s="94">
        <f t="shared" ref="AA326:AA389" si="26">Y326+M326</f>
        <v>0</v>
      </c>
      <c r="AB326" s="89">
        <f t="shared" ref="AB326:AB389" si="27">Z326-AA326</f>
        <v>0</v>
      </c>
      <c r="AC326" s="89">
        <f t="shared" ref="AC326:AC389" si="28">AB326</f>
        <v>0</v>
      </c>
      <c r="AD326" s="89">
        <v>0</v>
      </c>
      <c r="AE326" s="89">
        <v>0</v>
      </c>
      <c r="AF326" s="117"/>
      <c r="AG326" s="117"/>
      <c r="AH326" s="262"/>
      <c r="AI326" s="17"/>
      <c r="AJ326" s="17"/>
      <c r="AK326" s="17"/>
      <c r="AL326" s="17"/>
      <c r="AM326" s="17"/>
      <c r="AN326" s="17"/>
      <c r="AO326" s="17"/>
      <c r="AP326" s="15" t="str">
        <f>IFERROR(VLOOKUP(AO326,Legend!$D$2:$E$26,2,0),"")</f>
        <v/>
      </c>
      <c r="AQ326" s="15"/>
      <c r="AR326" s="17"/>
      <c r="AS326" s="17"/>
      <c r="AT326" s="15"/>
      <c r="AU326" s="17"/>
      <c r="AV326" s="17"/>
      <c r="AW326" s="17" t="s">
        <v>10</v>
      </c>
      <c r="AX326" s="15"/>
      <c r="AY326" s="15"/>
    </row>
    <row r="327" spans="1:51" x14ac:dyDescent="0.25">
      <c r="A327" s="15"/>
      <c r="B327" s="15"/>
      <c r="C327" s="15"/>
      <c r="D327" s="15"/>
      <c r="E327" s="91"/>
      <c r="F327" s="15"/>
      <c r="G327" s="15"/>
      <c r="H327" s="15"/>
      <c r="I327" s="15"/>
      <c r="J327" s="15"/>
      <c r="K327" s="89"/>
      <c r="L327" s="15"/>
      <c r="M327" s="89">
        <v>0</v>
      </c>
      <c r="N327" s="89">
        <v>0</v>
      </c>
      <c r="O327" s="89">
        <v>0</v>
      </c>
      <c r="P327" s="94">
        <v>0</v>
      </c>
      <c r="Q327" s="94">
        <v>0</v>
      </c>
      <c r="R327" s="94">
        <v>0</v>
      </c>
      <c r="S327" s="94">
        <v>0</v>
      </c>
      <c r="T327" s="89">
        <v>0</v>
      </c>
      <c r="U327" s="89">
        <v>0</v>
      </c>
      <c r="V327" s="94">
        <v>0</v>
      </c>
      <c r="W327" s="94">
        <v>0</v>
      </c>
      <c r="X327" s="94">
        <v>0</v>
      </c>
      <c r="Y327" s="89">
        <v>0</v>
      </c>
      <c r="Z327" s="94">
        <f t="shared" si="25"/>
        <v>0</v>
      </c>
      <c r="AA327" s="94">
        <f t="shared" si="26"/>
        <v>0</v>
      </c>
      <c r="AB327" s="89">
        <f t="shared" si="27"/>
        <v>0</v>
      </c>
      <c r="AC327" s="89">
        <f t="shared" si="28"/>
        <v>0</v>
      </c>
      <c r="AD327" s="89">
        <v>0</v>
      </c>
      <c r="AE327" s="89">
        <v>0</v>
      </c>
      <c r="AF327" s="117"/>
      <c r="AG327" s="117"/>
      <c r="AH327" s="262"/>
      <c r="AI327" s="17"/>
      <c r="AJ327" s="17"/>
      <c r="AK327" s="17"/>
      <c r="AL327" s="17"/>
      <c r="AM327" s="17"/>
      <c r="AN327" s="17"/>
      <c r="AO327" s="17"/>
      <c r="AP327" s="15" t="str">
        <f>IFERROR(VLOOKUP(AO327,Legend!$D$2:$E$26,2,0),"")</f>
        <v/>
      </c>
      <c r="AQ327" s="15"/>
      <c r="AR327" s="17"/>
      <c r="AS327" s="17"/>
      <c r="AT327" s="15"/>
      <c r="AU327" s="17"/>
      <c r="AV327" s="17"/>
      <c r="AW327" s="17" t="s">
        <v>10</v>
      </c>
      <c r="AX327" s="15"/>
      <c r="AY327" s="15"/>
    </row>
    <row r="328" spans="1:51" x14ac:dyDescent="0.25">
      <c r="A328" s="15"/>
      <c r="B328" s="15"/>
      <c r="C328" s="15"/>
      <c r="D328" s="15"/>
      <c r="E328" s="91"/>
      <c r="F328" s="15"/>
      <c r="G328" s="15"/>
      <c r="H328" s="15"/>
      <c r="I328" s="15"/>
      <c r="J328" s="15"/>
      <c r="K328" s="89"/>
      <c r="L328" s="15"/>
      <c r="M328" s="89">
        <v>0</v>
      </c>
      <c r="N328" s="89">
        <v>0</v>
      </c>
      <c r="O328" s="89">
        <v>0</v>
      </c>
      <c r="P328" s="94">
        <v>0</v>
      </c>
      <c r="Q328" s="94">
        <v>0</v>
      </c>
      <c r="R328" s="94">
        <v>0</v>
      </c>
      <c r="S328" s="94">
        <v>0</v>
      </c>
      <c r="T328" s="89">
        <v>0</v>
      </c>
      <c r="U328" s="89">
        <v>0</v>
      </c>
      <c r="V328" s="94">
        <v>0</v>
      </c>
      <c r="W328" s="94">
        <v>0</v>
      </c>
      <c r="X328" s="94">
        <v>0</v>
      </c>
      <c r="Y328" s="89">
        <v>0</v>
      </c>
      <c r="Z328" s="94">
        <f t="shared" si="25"/>
        <v>0</v>
      </c>
      <c r="AA328" s="94">
        <f t="shared" si="26"/>
        <v>0</v>
      </c>
      <c r="AB328" s="89">
        <f t="shared" si="27"/>
        <v>0</v>
      </c>
      <c r="AC328" s="89">
        <f t="shared" si="28"/>
        <v>0</v>
      </c>
      <c r="AD328" s="89">
        <v>0</v>
      </c>
      <c r="AE328" s="89">
        <v>0</v>
      </c>
      <c r="AF328" s="117"/>
      <c r="AG328" s="117"/>
      <c r="AH328" s="262"/>
      <c r="AI328" s="17"/>
      <c r="AJ328" s="17"/>
      <c r="AK328" s="17"/>
      <c r="AL328" s="17"/>
      <c r="AM328" s="17"/>
      <c r="AN328" s="17"/>
      <c r="AO328" s="17"/>
      <c r="AP328" s="15" t="str">
        <f>IFERROR(VLOOKUP(AO328,Legend!$D$2:$E$26,2,0),"")</f>
        <v/>
      </c>
      <c r="AQ328" s="15"/>
      <c r="AR328" s="17"/>
      <c r="AS328" s="17"/>
      <c r="AT328" s="15"/>
      <c r="AU328" s="17"/>
      <c r="AV328" s="17"/>
      <c r="AW328" s="17" t="s">
        <v>10</v>
      </c>
      <c r="AX328" s="15"/>
      <c r="AY328" s="15"/>
    </row>
    <row r="329" spans="1:51" x14ac:dyDescent="0.25">
      <c r="A329" s="15"/>
      <c r="B329" s="15"/>
      <c r="C329" s="15"/>
      <c r="D329" s="15"/>
      <c r="E329" s="91"/>
      <c r="F329" s="15"/>
      <c r="G329" s="15"/>
      <c r="H329" s="15"/>
      <c r="I329" s="15"/>
      <c r="J329" s="15"/>
      <c r="K329" s="89"/>
      <c r="L329" s="15"/>
      <c r="M329" s="89">
        <v>0</v>
      </c>
      <c r="N329" s="89">
        <v>0</v>
      </c>
      <c r="O329" s="89">
        <v>0</v>
      </c>
      <c r="P329" s="94">
        <v>0</v>
      </c>
      <c r="Q329" s="94">
        <v>0</v>
      </c>
      <c r="R329" s="94">
        <v>0</v>
      </c>
      <c r="S329" s="94">
        <v>0</v>
      </c>
      <c r="T329" s="89">
        <v>0</v>
      </c>
      <c r="U329" s="89">
        <v>0</v>
      </c>
      <c r="V329" s="94">
        <v>0</v>
      </c>
      <c r="W329" s="94">
        <v>0</v>
      </c>
      <c r="X329" s="94">
        <v>0</v>
      </c>
      <c r="Y329" s="89">
        <v>0</v>
      </c>
      <c r="Z329" s="94">
        <f t="shared" si="25"/>
        <v>0</v>
      </c>
      <c r="AA329" s="94">
        <f t="shared" si="26"/>
        <v>0</v>
      </c>
      <c r="AB329" s="89">
        <f t="shared" si="27"/>
        <v>0</v>
      </c>
      <c r="AC329" s="89">
        <f t="shared" si="28"/>
        <v>0</v>
      </c>
      <c r="AD329" s="89">
        <v>0</v>
      </c>
      <c r="AE329" s="89">
        <v>0</v>
      </c>
      <c r="AF329" s="117"/>
      <c r="AG329" s="117"/>
      <c r="AH329" s="262"/>
      <c r="AI329" s="17"/>
      <c r="AJ329" s="17"/>
      <c r="AK329" s="17"/>
      <c r="AL329" s="17"/>
      <c r="AM329" s="17"/>
      <c r="AN329" s="17"/>
      <c r="AO329" s="17"/>
      <c r="AP329" s="15" t="str">
        <f>IFERROR(VLOOKUP(AO329,Legend!$D$2:$E$26,2,0),"")</f>
        <v/>
      </c>
      <c r="AQ329" s="15"/>
      <c r="AR329" s="17"/>
      <c r="AS329" s="17"/>
      <c r="AT329" s="15"/>
      <c r="AU329" s="17"/>
      <c r="AV329" s="17"/>
      <c r="AW329" s="17" t="s">
        <v>10</v>
      </c>
      <c r="AX329" s="15"/>
      <c r="AY329" s="15"/>
    </row>
    <row r="330" spans="1:51" x14ac:dyDescent="0.25">
      <c r="A330" s="15"/>
      <c r="B330" s="15"/>
      <c r="C330" s="15"/>
      <c r="D330" s="15"/>
      <c r="E330" s="91"/>
      <c r="F330" s="15"/>
      <c r="G330" s="15"/>
      <c r="H330" s="15"/>
      <c r="I330" s="15"/>
      <c r="J330" s="15"/>
      <c r="K330" s="89"/>
      <c r="L330" s="15"/>
      <c r="M330" s="89">
        <v>0</v>
      </c>
      <c r="N330" s="89">
        <v>0</v>
      </c>
      <c r="O330" s="89">
        <v>0</v>
      </c>
      <c r="P330" s="94">
        <v>0</v>
      </c>
      <c r="Q330" s="94">
        <v>0</v>
      </c>
      <c r="R330" s="94">
        <v>0</v>
      </c>
      <c r="S330" s="94">
        <v>0</v>
      </c>
      <c r="T330" s="89">
        <v>0</v>
      </c>
      <c r="U330" s="89">
        <v>0</v>
      </c>
      <c r="V330" s="94">
        <v>0</v>
      </c>
      <c r="W330" s="94">
        <v>0</v>
      </c>
      <c r="X330" s="94">
        <v>0</v>
      </c>
      <c r="Y330" s="89">
        <v>0</v>
      </c>
      <c r="Z330" s="94">
        <f t="shared" si="25"/>
        <v>0</v>
      </c>
      <c r="AA330" s="94">
        <f t="shared" si="26"/>
        <v>0</v>
      </c>
      <c r="AB330" s="89">
        <f t="shared" si="27"/>
        <v>0</v>
      </c>
      <c r="AC330" s="89">
        <f t="shared" si="28"/>
        <v>0</v>
      </c>
      <c r="AD330" s="89">
        <v>0</v>
      </c>
      <c r="AE330" s="89">
        <v>0</v>
      </c>
      <c r="AF330" s="117"/>
      <c r="AG330" s="117"/>
      <c r="AH330" s="262"/>
      <c r="AI330" s="17"/>
      <c r="AJ330" s="17"/>
      <c r="AK330" s="17"/>
      <c r="AL330" s="17"/>
      <c r="AM330" s="17"/>
      <c r="AN330" s="17"/>
      <c r="AO330" s="17"/>
      <c r="AP330" s="15" t="str">
        <f>IFERROR(VLOOKUP(AO330,Legend!$D$2:$E$26,2,0),"")</f>
        <v/>
      </c>
      <c r="AQ330" s="15"/>
      <c r="AR330" s="17"/>
      <c r="AS330" s="17"/>
      <c r="AT330" s="15"/>
      <c r="AU330" s="17"/>
      <c r="AV330" s="17"/>
      <c r="AW330" s="17" t="s">
        <v>10</v>
      </c>
      <c r="AX330" s="15"/>
      <c r="AY330" s="15"/>
    </row>
    <row r="331" spans="1:51" x14ac:dyDescent="0.25">
      <c r="A331" s="15"/>
      <c r="B331" s="15"/>
      <c r="C331" s="15"/>
      <c r="D331" s="15"/>
      <c r="E331" s="91"/>
      <c r="F331" s="15"/>
      <c r="G331" s="15"/>
      <c r="H331" s="15"/>
      <c r="I331" s="15"/>
      <c r="J331" s="15"/>
      <c r="K331" s="89"/>
      <c r="L331" s="15"/>
      <c r="M331" s="89">
        <v>0</v>
      </c>
      <c r="N331" s="89">
        <v>0</v>
      </c>
      <c r="O331" s="89">
        <v>0</v>
      </c>
      <c r="P331" s="94">
        <v>0</v>
      </c>
      <c r="Q331" s="94">
        <v>0</v>
      </c>
      <c r="R331" s="94">
        <v>0</v>
      </c>
      <c r="S331" s="94">
        <v>0</v>
      </c>
      <c r="T331" s="89">
        <v>0</v>
      </c>
      <c r="U331" s="89">
        <v>0</v>
      </c>
      <c r="V331" s="94">
        <v>0</v>
      </c>
      <c r="W331" s="94">
        <v>0</v>
      </c>
      <c r="X331" s="94">
        <v>0</v>
      </c>
      <c r="Y331" s="89">
        <v>0</v>
      </c>
      <c r="Z331" s="94">
        <f t="shared" si="25"/>
        <v>0</v>
      </c>
      <c r="AA331" s="94">
        <f t="shared" si="26"/>
        <v>0</v>
      </c>
      <c r="AB331" s="89">
        <f t="shared" si="27"/>
        <v>0</v>
      </c>
      <c r="AC331" s="89">
        <f t="shared" si="28"/>
        <v>0</v>
      </c>
      <c r="AD331" s="89">
        <v>0</v>
      </c>
      <c r="AE331" s="89">
        <v>0</v>
      </c>
      <c r="AF331" s="117"/>
      <c r="AG331" s="117"/>
      <c r="AH331" s="262"/>
      <c r="AI331" s="17"/>
      <c r="AJ331" s="17"/>
      <c r="AK331" s="17"/>
      <c r="AL331" s="17"/>
      <c r="AM331" s="17"/>
      <c r="AN331" s="17"/>
      <c r="AO331" s="17"/>
      <c r="AP331" s="15" t="str">
        <f>IFERROR(VLOOKUP(AO331,Legend!$D$2:$E$26,2,0),"")</f>
        <v/>
      </c>
      <c r="AQ331" s="15"/>
      <c r="AR331" s="17"/>
      <c r="AS331" s="17"/>
      <c r="AT331" s="15"/>
      <c r="AU331" s="17"/>
      <c r="AV331" s="17"/>
      <c r="AW331" s="17" t="s">
        <v>10</v>
      </c>
      <c r="AX331" s="15"/>
      <c r="AY331" s="15"/>
    </row>
    <row r="332" spans="1:51" x14ac:dyDescent="0.25">
      <c r="A332" s="15"/>
      <c r="B332" s="15"/>
      <c r="C332" s="15"/>
      <c r="D332" s="15"/>
      <c r="E332" s="91"/>
      <c r="F332" s="15"/>
      <c r="G332" s="15"/>
      <c r="H332" s="15"/>
      <c r="I332" s="15"/>
      <c r="J332" s="15"/>
      <c r="K332" s="89"/>
      <c r="L332" s="15"/>
      <c r="M332" s="89">
        <v>0</v>
      </c>
      <c r="N332" s="89">
        <v>0</v>
      </c>
      <c r="O332" s="89">
        <v>0</v>
      </c>
      <c r="P332" s="94">
        <v>0</v>
      </c>
      <c r="Q332" s="94">
        <v>0</v>
      </c>
      <c r="R332" s="94">
        <v>0</v>
      </c>
      <c r="S332" s="94">
        <v>0</v>
      </c>
      <c r="T332" s="89">
        <v>0</v>
      </c>
      <c r="U332" s="89">
        <v>0</v>
      </c>
      <c r="V332" s="94">
        <v>0</v>
      </c>
      <c r="W332" s="94">
        <v>0</v>
      </c>
      <c r="X332" s="94">
        <v>0</v>
      </c>
      <c r="Y332" s="89">
        <v>0</v>
      </c>
      <c r="Z332" s="94">
        <f t="shared" si="25"/>
        <v>0</v>
      </c>
      <c r="AA332" s="94">
        <f t="shared" si="26"/>
        <v>0</v>
      </c>
      <c r="AB332" s="89">
        <f t="shared" si="27"/>
        <v>0</v>
      </c>
      <c r="AC332" s="89">
        <f t="shared" si="28"/>
        <v>0</v>
      </c>
      <c r="AD332" s="89">
        <v>0</v>
      </c>
      <c r="AE332" s="89">
        <v>0</v>
      </c>
      <c r="AF332" s="117"/>
      <c r="AG332" s="117"/>
      <c r="AH332" s="262"/>
      <c r="AI332" s="17"/>
      <c r="AJ332" s="17"/>
      <c r="AK332" s="17"/>
      <c r="AL332" s="17"/>
      <c r="AM332" s="17"/>
      <c r="AN332" s="17"/>
      <c r="AO332" s="17"/>
      <c r="AP332" s="15" t="str">
        <f>IFERROR(VLOOKUP(AO332,Legend!$D$2:$E$26,2,0),"")</f>
        <v/>
      </c>
      <c r="AQ332" s="15"/>
      <c r="AR332" s="17"/>
      <c r="AS332" s="17"/>
      <c r="AT332" s="15"/>
      <c r="AU332" s="17"/>
      <c r="AV332" s="17"/>
      <c r="AW332" s="17" t="s">
        <v>10</v>
      </c>
      <c r="AX332" s="15"/>
      <c r="AY332" s="15"/>
    </row>
    <row r="333" spans="1:51" x14ac:dyDescent="0.25">
      <c r="A333" s="15"/>
      <c r="B333" s="15"/>
      <c r="C333" s="15"/>
      <c r="D333" s="15"/>
      <c r="E333" s="91"/>
      <c r="F333" s="15"/>
      <c r="G333" s="15"/>
      <c r="H333" s="15"/>
      <c r="I333" s="15"/>
      <c r="J333" s="15"/>
      <c r="K333" s="89"/>
      <c r="L333" s="15"/>
      <c r="M333" s="89">
        <v>0</v>
      </c>
      <c r="N333" s="89">
        <v>0</v>
      </c>
      <c r="O333" s="89">
        <v>0</v>
      </c>
      <c r="P333" s="94">
        <v>0</v>
      </c>
      <c r="Q333" s="94">
        <v>0</v>
      </c>
      <c r="R333" s="94">
        <v>0</v>
      </c>
      <c r="S333" s="94">
        <v>0</v>
      </c>
      <c r="T333" s="89">
        <v>0</v>
      </c>
      <c r="U333" s="89">
        <v>0</v>
      </c>
      <c r="V333" s="94">
        <v>0</v>
      </c>
      <c r="W333" s="94">
        <v>0</v>
      </c>
      <c r="X333" s="94">
        <v>0</v>
      </c>
      <c r="Y333" s="89">
        <v>0</v>
      </c>
      <c r="Z333" s="94">
        <f t="shared" si="25"/>
        <v>0</v>
      </c>
      <c r="AA333" s="94">
        <f t="shared" si="26"/>
        <v>0</v>
      </c>
      <c r="AB333" s="89">
        <f t="shared" si="27"/>
        <v>0</v>
      </c>
      <c r="AC333" s="89">
        <f t="shared" si="28"/>
        <v>0</v>
      </c>
      <c r="AD333" s="89">
        <v>0</v>
      </c>
      <c r="AE333" s="89">
        <v>0</v>
      </c>
      <c r="AF333" s="117"/>
      <c r="AG333" s="117"/>
      <c r="AH333" s="262"/>
      <c r="AI333" s="17"/>
      <c r="AJ333" s="17"/>
      <c r="AK333" s="17"/>
      <c r="AL333" s="17"/>
      <c r="AM333" s="17"/>
      <c r="AN333" s="17"/>
      <c r="AO333" s="17"/>
      <c r="AP333" s="15" t="str">
        <f>IFERROR(VLOOKUP(AO333,Legend!$D$2:$E$26,2,0),"")</f>
        <v/>
      </c>
      <c r="AQ333" s="15"/>
      <c r="AR333" s="17"/>
      <c r="AS333" s="17"/>
      <c r="AT333" s="15"/>
      <c r="AU333" s="17"/>
      <c r="AV333" s="17"/>
      <c r="AW333" s="17" t="s">
        <v>10</v>
      </c>
      <c r="AX333" s="15"/>
      <c r="AY333" s="15"/>
    </row>
    <row r="334" spans="1:51" x14ac:dyDescent="0.25">
      <c r="A334" s="15"/>
      <c r="B334" s="15"/>
      <c r="C334" s="15"/>
      <c r="D334" s="15"/>
      <c r="E334" s="91"/>
      <c r="F334" s="15"/>
      <c r="G334" s="15"/>
      <c r="H334" s="15"/>
      <c r="I334" s="15"/>
      <c r="J334" s="15"/>
      <c r="K334" s="89"/>
      <c r="L334" s="15"/>
      <c r="M334" s="89">
        <v>0</v>
      </c>
      <c r="N334" s="89">
        <v>0</v>
      </c>
      <c r="O334" s="89">
        <v>0</v>
      </c>
      <c r="P334" s="94">
        <v>0</v>
      </c>
      <c r="Q334" s="94">
        <v>0</v>
      </c>
      <c r="R334" s="94">
        <v>0</v>
      </c>
      <c r="S334" s="94">
        <v>0</v>
      </c>
      <c r="T334" s="89">
        <v>0</v>
      </c>
      <c r="U334" s="89">
        <v>0</v>
      </c>
      <c r="V334" s="94">
        <v>0</v>
      </c>
      <c r="W334" s="94">
        <v>0</v>
      </c>
      <c r="X334" s="94">
        <v>0</v>
      </c>
      <c r="Y334" s="89">
        <v>0</v>
      </c>
      <c r="Z334" s="94">
        <f t="shared" si="25"/>
        <v>0</v>
      </c>
      <c r="AA334" s="94">
        <f t="shared" si="26"/>
        <v>0</v>
      </c>
      <c r="AB334" s="89">
        <f t="shared" si="27"/>
        <v>0</v>
      </c>
      <c r="AC334" s="89">
        <f t="shared" si="28"/>
        <v>0</v>
      </c>
      <c r="AD334" s="89">
        <v>0</v>
      </c>
      <c r="AE334" s="89">
        <v>0</v>
      </c>
      <c r="AF334" s="117"/>
      <c r="AG334" s="117"/>
      <c r="AH334" s="262"/>
      <c r="AI334" s="17"/>
      <c r="AJ334" s="17"/>
      <c r="AK334" s="17"/>
      <c r="AL334" s="17"/>
      <c r="AM334" s="17"/>
      <c r="AN334" s="17"/>
      <c r="AO334" s="17"/>
      <c r="AP334" s="15" t="str">
        <f>IFERROR(VLOOKUP(AO334,Legend!$D$2:$E$26,2,0),"")</f>
        <v/>
      </c>
      <c r="AQ334" s="15"/>
      <c r="AR334" s="17"/>
      <c r="AS334" s="17"/>
      <c r="AT334" s="15"/>
      <c r="AU334" s="17"/>
      <c r="AV334" s="17"/>
      <c r="AW334" s="17" t="s">
        <v>10</v>
      </c>
      <c r="AX334" s="15"/>
      <c r="AY334" s="15"/>
    </row>
    <row r="335" spans="1:51" x14ac:dyDescent="0.25">
      <c r="A335" s="15"/>
      <c r="B335" s="15"/>
      <c r="C335" s="15"/>
      <c r="D335" s="15"/>
      <c r="E335" s="91"/>
      <c r="F335" s="15"/>
      <c r="G335" s="15"/>
      <c r="H335" s="15"/>
      <c r="I335" s="15"/>
      <c r="J335" s="15"/>
      <c r="K335" s="89"/>
      <c r="L335" s="15"/>
      <c r="M335" s="89">
        <v>0</v>
      </c>
      <c r="N335" s="89">
        <v>0</v>
      </c>
      <c r="O335" s="89">
        <v>0</v>
      </c>
      <c r="P335" s="94">
        <v>0</v>
      </c>
      <c r="Q335" s="94">
        <v>0</v>
      </c>
      <c r="R335" s="94">
        <v>0</v>
      </c>
      <c r="S335" s="94">
        <v>0</v>
      </c>
      <c r="T335" s="89">
        <v>0</v>
      </c>
      <c r="U335" s="89">
        <v>0</v>
      </c>
      <c r="V335" s="94">
        <v>0</v>
      </c>
      <c r="W335" s="94">
        <v>0</v>
      </c>
      <c r="X335" s="94">
        <v>0</v>
      </c>
      <c r="Y335" s="89">
        <v>0</v>
      </c>
      <c r="Z335" s="94">
        <f t="shared" si="25"/>
        <v>0</v>
      </c>
      <c r="AA335" s="94">
        <f t="shared" si="26"/>
        <v>0</v>
      </c>
      <c r="AB335" s="89">
        <f t="shared" si="27"/>
        <v>0</v>
      </c>
      <c r="AC335" s="89">
        <f t="shared" si="28"/>
        <v>0</v>
      </c>
      <c r="AD335" s="89">
        <v>0</v>
      </c>
      <c r="AE335" s="89">
        <v>0</v>
      </c>
      <c r="AF335" s="117"/>
      <c r="AG335" s="117"/>
      <c r="AH335" s="262"/>
      <c r="AI335" s="17"/>
      <c r="AJ335" s="17"/>
      <c r="AK335" s="17"/>
      <c r="AL335" s="17"/>
      <c r="AM335" s="17"/>
      <c r="AN335" s="17"/>
      <c r="AO335" s="17"/>
      <c r="AP335" s="15" t="str">
        <f>IFERROR(VLOOKUP(AO335,Legend!$D$2:$E$26,2,0),"")</f>
        <v/>
      </c>
      <c r="AQ335" s="15"/>
      <c r="AR335" s="17"/>
      <c r="AS335" s="17"/>
      <c r="AT335" s="15"/>
      <c r="AU335" s="17"/>
      <c r="AV335" s="17"/>
      <c r="AW335" s="17" t="s">
        <v>10</v>
      </c>
      <c r="AX335" s="15"/>
      <c r="AY335" s="15"/>
    </row>
    <row r="336" spans="1:51" x14ac:dyDescent="0.25">
      <c r="A336" s="15"/>
      <c r="B336" s="15"/>
      <c r="C336" s="15"/>
      <c r="D336" s="15"/>
      <c r="E336" s="91"/>
      <c r="F336" s="15"/>
      <c r="G336" s="15"/>
      <c r="H336" s="15"/>
      <c r="I336" s="15"/>
      <c r="J336" s="15"/>
      <c r="K336" s="89"/>
      <c r="L336" s="15"/>
      <c r="M336" s="89">
        <v>0</v>
      </c>
      <c r="N336" s="89">
        <v>0</v>
      </c>
      <c r="O336" s="89">
        <v>0</v>
      </c>
      <c r="P336" s="94">
        <v>0</v>
      </c>
      <c r="Q336" s="94">
        <v>0</v>
      </c>
      <c r="R336" s="94">
        <v>0</v>
      </c>
      <c r="S336" s="94">
        <v>0</v>
      </c>
      <c r="T336" s="89">
        <v>0</v>
      </c>
      <c r="U336" s="89">
        <v>0</v>
      </c>
      <c r="V336" s="94">
        <v>0</v>
      </c>
      <c r="W336" s="94">
        <v>0</v>
      </c>
      <c r="X336" s="94">
        <v>0</v>
      </c>
      <c r="Y336" s="89">
        <v>0</v>
      </c>
      <c r="Z336" s="94">
        <f t="shared" si="25"/>
        <v>0</v>
      </c>
      <c r="AA336" s="94">
        <f t="shared" si="26"/>
        <v>0</v>
      </c>
      <c r="AB336" s="89">
        <f t="shared" si="27"/>
        <v>0</v>
      </c>
      <c r="AC336" s="89">
        <f t="shared" si="28"/>
        <v>0</v>
      </c>
      <c r="AD336" s="89">
        <v>0</v>
      </c>
      <c r="AE336" s="89">
        <v>0</v>
      </c>
      <c r="AF336" s="117"/>
      <c r="AG336" s="117"/>
      <c r="AH336" s="262"/>
      <c r="AI336" s="17"/>
      <c r="AJ336" s="17"/>
      <c r="AK336" s="17"/>
      <c r="AL336" s="17"/>
      <c r="AM336" s="17"/>
      <c r="AN336" s="17"/>
      <c r="AO336" s="17"/>
      <c r="AP336" s="15" t="str">
        <f>IFERROR(VLOOKUP(AO336,Legend!$D$2:$E$26,2,0),"")</f>
        <v/>
      </c>
      <c r="AQ336" s="15"/>
      <c r="AR336" s="17"/>
      <c r="AS336" s="17"/>
      <c r="AT336" s="15"/>
      <c r="AU336" s="17"/>
      <c r="AV336" s="17"/>
      <c r="AW336" s="17" t="s">
        <v>10</v>
      </c>
      <c r="AX336" s="15"/>
      <c r="AY336" s="15"/>
    </row>
    <row r="337" spans="1:51" x14ac:dyDescent="0.25">
      <c r="A337" s="15"/>
      <c r="B337" s="15"/>
      <c r="C337" s="15"/>
      <c r="D337" s="15"/>
      <c r="E337" s="91"/>
      <c r="F337" s="15"/>
      <c r="G337" s="15"/>
      <c r="H337" s="15"/>
      <c r="I337" s="15"/>
      <c r="J337" s="15"/>
      <c r="K337" s="89"/>
      <c r="L337" s="15"/>
      <c r="M337" s="89">
        <v>0</v>
      </c>
      <c r="N337" s="89">
        <v>0</v>
      </c>
      <c r="O337" s="89">
        <v>0</v>
      </c>
      <c r="P337" s="94">
        <v>0</v>
      </c>
      <c r="Q337" s="94">
        <v>0</v>
      </c>
      <c r="R337" s="94">
        <v>0</v>
      </c>
      <c r="S337" s="94">
        <v>0</v>
      </c>
      <c r="T337" s="89">
        <v>0</v>
      </c>
      <c r="U337" s="89">
        <v>0</v>
      </c>
      <c r="V337" s="94">
        <v>0</v>
      </c>
      <c r="W337" s="94">
        <v>0</v>
      </c>
      <c r="X337" s="94">
        <v>0</v>
      </c>
      <c r="Y337" s="89">
        <v>0</v>
      </c>
      <c r="Z337" s="94">
        <f t="shared" si="25"/>
        <v>0</v>
      </c>
      <c r="AA337" s="94">
        <f t="shared" si="26"/>
        <v>0</v>
      </c>
      <c r="AB337" s="89">
        <f t="shared" si="27"/>
        <v>0</v>
      </c>
      <c r="AC337" s="89">
        <f t="shared" si="28"/>
        <v>0</v>
      </c>
      <c r="AD337" s="89">
        <v>0</v>
      </c>
      <c r="AE337" s="89">
        <v>0</v>
      </c>
      <c r="AF337" s="117"/>
      <c r="AG337" s="117"/>
      <c r="AH337" s="262"/>
      <c r="AI337" s="17"/>
      <c r="AJ337" s="17"/>
      <c r="AK337" s="17"/>
      <c r="AL337" s="17"/>
      <c r="AM337" s="17"/>
      <c r="AN337" s="17"/>
      <c r="AO337" s="17"/>
      <c r="AP337" s="15" t="str">
        <f>IFERROR(VLOOKUP(AO337,Legend!$D$2:$E$26,2,0),"")</f>
        <v/>
      </c>
      <c r="AQ337" s="15"/>
      <c r="AR337" s="17"/>
      <c r="AS337" s="17"/>
      <c r="AT337" s="15"/>
      <c r="AU337" s="17"/>
      <c r="AV337" s="17"/>
      <c r="AW337" s="17" t="s">
        <v>10</v>
      </c>
      <c r="AX337" s="15"/>
      <c r="AY337" s="15"/>
    </row>
    <row r="338" spans="1:51" x14ac:dyDescent="0.25">
      <c r="A338" s="15"/>
      <c r="B338" s="15"/>
      <c r="C338" s="15"/>
      <c r="D338" s="15"/>
      <c r="E338" s="91"/>
      <c r="F338" s="15"/>
      <c r="G338" s="15"/>
      <c r="H338" s="15"/>
      <c r="I338" s="15"/>
      <c r="J338" s="15"/>
      <c r="K338" s="89"/>
      <c r="L338" s="15"/>
      <c r="M338" s="89">
        <v>0</v>
      </c>
      <c r="N338" s="89">
        <v>0</v>
      </c>
      <c r="O338" s="89">
        <v>0</v>
      </c>
      <c r="P338" s="94">
        <v>0</v>
      </c>
      <c r="Q338" s="94">
        <v>0</v>
      </c>
      <c r="R338" s="94">
        <v>0</v>
      </c>
      <c r="S338" s="94">
        <v>0</v>
      </c>
      <c r="T338" s="89">
        <v>0</v>
      </c>
      <c r="U338" s="89">
        <v>0</v>
      </c>
      <c r="V338" s="94">
        <v>0</v>
      </c>
      <c r="W338" s="94">
        <v>0</v>
      </c>
      <c r="X338" s="94">
        <v>0</v>
      </c>
      <c r="Y338" s="89">
        <v>0</v>
      </c>
      <c r="Z338" s="94">
        <f t="shared" si="25"/>
        <v>0</v>
      </c>
      <c r="AA338" s="94">
        <f t="shared" si="26"/>
        <v>0</v>
      </c>
      <c r="AB338" s="89">
        <f t="shared" si="27"/>
        <v>0</v>
      </c>
      <c r="AC338" s="89">
        <f t="shared" si="28"/>
        <v>0</v>
      </c>
      <c r="AD338" s="89">
        <v>0</v>
      </c>
      <c r="AE338" s="89">
        <v>0</v>
      </c>
      <c r="AF338" s="117"/>
      <c r="AG338" s="117"/>
      <c r="AH338" s="262"/>
      <c r="AI338" s="17"/>
      <c r="AJ338" s="17"/>
      <c r="AK338" s="17"/>
      <c r="AL338" s="17"/>
      <c r="AM338" s="17"/>
      <c r="AN338" s="17"/>
      <c r="AO338" s="17"/>
      <c r="AP338" s="15" t="str">
        <f>IFERROR(VLOOKUP(AO338,Legend!$D$2:$E$26,2,0),"")</f>
        <v/>
      </c>
      <c r="AQ338" s="15"/>
      <c r="AR338" s="17"/>
      <c r="AS338" s="17"/>
      <c r="AT338" s="15"/>
      <c r="AU338" s="17"/>
      <c r="AV338" s="17"/>
      <c r="AW338" s="17" t="s">
        <v>10</v>
      </c>
      <c r="AX338" s="15"/>
      <c r="AY338" s="15"/>
    </row>
    <row r="339" spans="1:51" x14ac:dyDescent="0.25">
      <c r="A339" s="15"/>
      <c r="B339" s="15"/>
      <c r="C339" s="15"/>
      <c r="D339" s="15"/>
      <c r="E339" s="91"/>
      <c r="F339" s="15"/>
      <c r="G339" s="15"/>
      <c r="H339" s="15"/>
      <c r="I339" s="15"/>
      <c r="J339" s="15"/>
      <c r="K339" s="89"/>
      <c r="L339" s="15"/>
      <c r="M339" s="89">
        <v>0</v>
      </c>
      <c r="N339" s="89">
        <v>0</v>
      </c>
      <c r="O339" s="89">
        <v>0</v>
      </c>
      <c r="P339" s="94">
        <v>0</v>
      </c>
      <c r="Q339" s="94">
        <v>0</v>
      </c>
      <c r="R339" s="94">
        <v>0</v>
      </c>
      <c r="S339" s="94">
        <v>0</v>
      </c>
      <c r="T339" s="89">
        <v>0</v>
      </c>
      <c r="U339" s="89">
        <v>0</v>
      </c>
      <c r="V339" s="94">
        <v>0</v>
      </c>
      <c r="W339" s="94">
        <v>0</v>
      </c>
      <c r="X339" s="94">
        <v>0</v>
      </c>
      <c r="Y339" s="89">
        <v>0</v>
      </c>
      <c r="Z339" s="94">
        <f t="shared" si="25"/>
        <v>0</v>
      </c>
      <c r="AA339" s="94">
        <f t="shared" si="26"/>
        <v>0</v>
      </c>
      <c r="AB339" s="89">
        <f t="shared" si="27"/>
        <v>0</v>
      </c>
      <c r="AC339" s="89">
        <f t="shared" si="28"/>
        <v>0</v>
      </c>
      <c r="AD339" s="89">
        <v>0</v>
      </c>
      <c r="AE339" s="89">
        <v>0</v>
      </c>
      <c r="AF339" s="117"/>
      <c r="AG339" s="117"/>
      <c r="AH339" s="262"/>
      <c r="AI339" s="17"/>
      <c r="AJ339" s="17"/>
      <c r="AK339" s="17"/>
      <c r="AL339" s="17"/>
      <c r="AM339" s="17"/>
      <c r="AN339" s="17"/>
      <c r="AO339" s="17"/>
      <c r="AP339" s="15" t="str">
        <f>IFERROR(VLOOKUP(AO339,Legend!$D$2:$E$26,2,0),"")</f>
        <v/>
      </c>
      <c r="AQ339" s="15"/>
      <c r="AR339" s="17"/>
      <c r="AS339" s="17"/>
      <c r="AT339" s="15"/>
      <c r="AU339" s="17"/>
      <c r="AV339" s="17"/>
      <c r="AW339" s="17" t="s">
        <v>10</v>
      </c>
      <c r="AX339" s="15"/>
      <c r="AY339" s="15"/>
    </row>
    <row r="340" spans="1:51" x14ac:dyDescent="0.25">
      <c r="A340" s="15"/>
      <c r="B340" s="15"/>
      <c r="C340" s="15"/>
      <c r="D340" s="15"/>
      <c r="E340" s="91"/>
      <c r="F340" s="15"/>
      <c r="G340" s="15"/>
      <c r="H340" s="15"/>
      <c r="I340" s="15"/>
      <c r="J340" s="15"/>
      <c r="K340" s="89"/>
      <c r="L340" s="15"/>
      <c r="M340" s="89">
        <v>0</v>
      </c>
      <c r="N340" s="89">
        <v>0</v>
      </c>
      <c r="O340" s="89">
        <v>0</v>
      </c>
      <c r="P340" s="94">
        <v>0</v>
      </c>
      <c r="Q340" s="94">
        <v>0</v>
      </c>
      <c r="R340" s="94">
        <v>0</v>
      </c>
      <c r="S340" s="94">
        <v>0</v>
      </c>
      <c r="T340" s="89">
        <v>0</v>
      </c>
      <c r="U340" s="89">
        <v>0</v>
      </c>
      <c r="V340" s="94">
        <v>0</v>
      </c>
      <c r="W340" s="94">
        <v>0</v>
      </c>
      <c r="X340" s="94">
        <v>0</v>
      </c>
      <c r="Y340" s="89">
        <v>0</v>
      </c>
      <c r="Z340" s="94">
        <f t="shared" si="25"/>
        <v>0</v>
      </c>
      <c r="AA340" s="94">
        <f t="shared" si="26"/>
        <v>0</v>
      </c>
      <c r="AB340" s="89">
        <f t="shared" si="27"/>
        <v>0</v>
      </c>
      <c r="AC340" s="89">
        <f t="shared" si="28"/>
        <v>0</v>
      </c>
      <c r="AD340" s="89">
        <v>0</v>
      </c>
      <c r="AE340" s="89">
        <v>0</v>
      </c>
      <c r="AF340" s="117"/>
      <c r="AG340" s="117"/>
      <c r="AH340" s="262"/>
      <c r="AI340" s="17"/>
      <c r="AJ340" s="17"/>
      <c r="AK340" s="17"/>
      <c r="AL340" s="17"/>
      <c r="AM340" s="17"/>
      <c r="AN340" s="17"/>
      <c r="AO340" s="17"/>
      <c r="AP340" s="15" t="str">
        <f>IFERROR(VLOOKUP(AO340,Legend!$D$2:$E$26,2,0),"")</f>
        <v/>
      </c>
      <c r="AQ340" s="15"/>
      <c r="AR340" s="17"/>
      <c r="AS340" s="17"/>
      <c r="AT340" s="15"/>
      <c r="AU340" s="17"/>
      <c r="AV340" s="17"/>
      <c r="AW340" s="17" t="s">
        <v>10</v>
      </c>
      <c r="AX340" s="15"/>
      <c r="AY340" s="15"/>
    </row>
    <row r="341" spans="1:51" x14ac:dyDescent="0.25">
      <c r="A341" s="15"/>
      <c r="B341" s="15"/>
      <c r="C341" s="15"/>
      <c r="D341" s="15"/>
      <c r="E341" s="91"/>
      <c r="F341" s="15"/>
      <c r="G341" s="15"/>
      <c r="H341" s="15"/>
      <c r="I341" s="15"/>
      <c r="J341" s="15"/>
      <c r="K341" s="89"/>
      <c r="L341" s="15"/>
      <c r="M341" s="89">
        <v>0</v>
      </c>
      <c r="N341" s="89">
        <v>0</v>
      </c>
      <c r="O341" s="89">
        <v>0</v>
      </c>
      <c r="P341" s="94">
        <v>0</v>
      </c>
      <c r="Q341" s="94">
        <v>0</v>
      </c>
      <c r="R341" s="94">
        <v>0</v>
      </c>
      <c r="S341" s="94">
        <v>0</v>
      </c>
      <c r="T341" s="89">
        <v>0</v>
      </c>
      <c r="U341" s="89">
        <v>0</v>
      </c>
      <c r="V341" s="94">
        <v>0</v>
      </c>
      <c r="W341" s="94">
        <v>0</v>
      </c>
      <c r="X341" s="94">
        <v>0</v>
      </c>
      <c r="Y341" s="89">
        <v>0</v>
      </c>
      <c r="Z341" s="94">
        <f t="shared" si="25"/>
        <v>0</v>
      </c>
      <c r="AA341" s="94">
        <f t="shared" si="26"/>
        <v>0</v>
      </c>
      <c r="AB341" s="89">
        <f t="shared" si="27"/>
        <v>0</v>
      </c>
      <c r="AC341" s="89">
        <f t="shared" si="28"/>
        <v>0</v>
      </c>
      <c r="AD341" s="89">
        <v>0</v>
      </c>
      <c r="AE341" s="89">
        <v>0</v>
      </c>
      <c r="AF341" s="117"/>
      <c r="AG341" s="117"/>
      <c r="AH341" s="262"/>
      <c r="AI341" s="17"/>
      <c r="AJ341" s="17"/>
      <c r="AK341" s="17"/>
      <c r="AL341" s="17"/>
      <c r="AM341" s="17"/>
      <c r="AN341" s="17"/>
      <c r="AO341" s="17"/>
      <c r="AP341" s="15" t="str">
        <f>IFERROR(VLOOKUP(AO341,Legend!$D$2:$E$26,2,0),"")</f>
        <v/>
      </c>
      <c r="AQ341" s="15"/>
      <c r="AR341" s="17"/>
      <c r="AS341" s="17"/>
      <c r="AT341" s="15"/>
      <c r="AU341" s="17"/>
      <c r="AV341" s="17"/>
      <c r="AW341" s="17" t="s">
        <v>10</v>
      </c>
      <c r="AX341" s="15"/>
      <c r="AY341" s="15"/>
    </row>
    <row r="342" spans="1:51" x14ac:dyDescent="0.25">
      <c r="A342" s="15"/>
      <c r="B342" s="15"/>
      <c r="C342" s="15"/>
      <c r="D342" s="15"/>
      <c r="E342" s="91"/>
      <c r="F342" s="15"/>
      <c r="G342" s="15"/>
      <c r="H342" s="15"/>
      <c r="I342" s="15"/>
      <c r="J342" s="15"/>
      <c r="K342" s="89"/>
      <c r="L342" s="15"/>
      <c r="M342" s="89">
        <v>0</v>
      </c>
      <c r="N342" s="89">
        <v>0</v>
      </c>
      <c r="O342" s="89">
        <v>0</v>
      </c>
      <c r="P342" s="94">
        <v>0</v>
      </c>
      <c r="Q342" s="94">
        <v>0</v>
      </c>
      <c r="R342" s="94">
        <v>0</v>
      </c>
      <c r="S342" s="94">
        <v>0</v>
      </c>
      <c r="T342" s="89">
        <v>0</v>
      </c>
      <c r="U342" s="89">
        <v>0</v>
      </c>
      <c r="V342" s="94">
        <v>0</v>
      </c>
      <c r="W342" s="94">
        <v>0</v>
      </c>
      <c r="X342" s="94">
        <v>0</v>
      </c>
      <c r="Y342" s="89">
        <v>0</v>
      </c>
      <c r="Z342" s="94">
        <f t="shared" si="25"/>
        <v>0</v>
      </c>
      <c r="AA342" s="94">
        <f t="shared" si="26"/>
        <v>0</v>
      </c>
      <c r="AB342" s="89">
        <f t="shared" si="27"/>
        <v>0</v>
      </c>
      <c r="AC342" s="89">
        <f t="shared" si="28"/>
        <v>0</v>
      </c>
      <c r="AD342" s="89">
        <v>0</v>
      </c>
      <c r="AE342" s="89">
        <v>0</v>
      </c>
      <c r="AF342" s="117"/>
      <c r="AG342" s="117"/>
      <c r="AH342" s="262"/>
      <c r="AI342" s="17"/>
      <c r="AJ342" s="17"/>
      <c r="AK342" s="17"/>
      <c r="AL342" s="17"/>
      <c r="AM342" s="17"/>
      <c r="AN342" s="17"/>
      <c r="AO342" s="17"/>
      <c r="AP342" s="15" t="str">
        <f>IFERROR(VLOOKUP(AO342,Legend!$D$2:$E$26,2,0),"")</f>
        <v/>
      </c>
      <c r="AQ342" s="15"/>
      <c r="AR342" s="17"/>
      <c r="AS342" s="17"/>
      <c r="AT342" s="15"/>
      <c r="AU342" s="17"/>
      <c r="AV342" s="17"/>
      <c r="AW342" s="17" t="s">
        <v>10</v>
      </c>
      <c r="AX342" s="15"/>
      <c r="AY342" s="15"/>
    </row>
    <row r="343" spans="1:51" x14ac:dyDescent="0.25">
      <c r="A343" s="15"/>
      <c r="B343" s="15"/>
      <c r="C343" s="15"/>
      <c r="D343" s="15"/>
      <c r="E343" s="91"/>
      <c r="F343" s="15"/>
      <c r="G343" s="15"/>
      <c r="H343" s="15"/>
      <c r="I343" s="15"/>
      <c r="J343" s="15"/>
      <c r="K343" s="89"/>
      <c r="L343" s="15"/>
      <c r="M343" s="89">
        <v>0</v>
      </c>
      <c r="N343" s="89">
        <v>0</v>
      </c>
      <c r="O343" s="89">
        <v>0</v>
      </c>
      <c r="P343" s="94">
        <v>0</v>
      </c>
      <c r="Q343" s="94">
        <v>0</v>
      </c>
      <c r="R343" s="94">
        <v>0</v>
      </c>
      <c r="S343" s="94">
        <v>0</v>
      </c>
      <c r="T343" s="89">
        <v>0</v>
      </c>
      <c r="U343" s="89">
        <v>0</v>
      </c>
      <c r="V343" s="94">
        <v>0</v>
      </c>
      <c r="W343" s="94">
        <v>0</v>
      </c>
      <c r="X343" s="94">
        <v>0</v>
      </c>
      <c r="Y343" s="89">
        <v>0</v>
      </c>
      <c r="Z343" s="94">
        <f t="shared" si="25"/>
        <v>0</v>
      </c>
      <c r="AA343" s="94">
        <f t="shared" si="26"/>
        <v>0</v>
      </c>
      <c r="AB343" s="89">
        <f t="shared" si="27"/>
        <v>0</v>
      </c>
      <c r="AC343" s="89">
        <f t="shared" si="28"/>
        <v>0</v>
      </c>
      <c r="AD343" s="89">
        <v>0</v>
      </c>
      <c r="AE343" s="89">
        <v>0</v>
      </c>
      <c r="AF343" s="117"/>
      <c r="AG343" s="117"/>
      <c r="AH343" s="262"/>
      <c r="AI343" s="17"/>
      <c r="AJ343" s="17"/>
      <c r="AK343" s="17"/>
      <c r="AL343" s="17"/>
      <c r="AM343" s="17"/>
      <c r="AN343" s="17"/>
      <c r="AO343" s="17"/>
      <c r="AP343" s="15" t="str">
        <f>IFERROR(VLOOKUP(AO343,Legend!$D$2:$E$26,2,0),"")</f>
        <v/>
      </c>
      <c r="AQ343" s="15"/>
      <c r="AR343" s="17"/>
      <c r="AS343" s="17"/>
      <c r="AT343" s="15"/>
      <c r="AU343" s="17"/>
      <c r="AV343" s="17"/>
      <c r="AW343" s="17" t="s">
        <v>10</v>
      </c>
      <c r="AX343" s="15"/>
      <c r="AY343" s="15"/>
    </row>
    <row r="344" spans="1:51" x14ac:dyDescent="0.25">
      <c r="A344" s="15"/>
      <c r="B344" s="15"/>
      <c r="C344" s="15"/>
      <c r="D344" s="15"/>
      <c r="E344" s="91"/>
      <c r="F344" s="15"/>
      <c r="G344" s="15"/>
      <c r="H344" s="15"/>
      <c r="I344" s="15"/>
      <c r="J344" s="15"/>
      <c r="K344" s="89"/>
      <c r="L344" s="15"/>
      <c r="M344" s="89">
        <v>0</v>
      </c>
      <c r="N344" s="89">
        <v>0</v>
      </c>
      <c r="O344" s="89">
        <v>0</v>
      </c>
      <c r="P344" s="94">
        <v>0</v>
      </c>
      <c r="Q344" s="94">
        <v>0</v>
      </c>
      <c r="R344" s="94">
        <v>0</v>
      </c>
      <c r="S344" s="94">
        <v>0</v>
      </c>
      <c r="T344" s="89">
        <v>0</v>
      </c>
      <c r="U344" s="89">
        <v>0</v>
      </c>
      <c r="V344" s="94">
        <v>0</v>
      </c>
      <c r="W344" s="94">
        <v>0</v>
      </c>
      <c r="X344" s="94">
        <v>0</v>
      </c>
      <c r="Y344" s="89">
        <v>0</v>
      </c>
      <c r="Z344" s="94">
        <f t="shared" si="25"/>
        <v>0</v>
      </c>
      <c r="AA344" s="94">
        <f t="shared" si="26"/>
        <v>0</v>
      </c>
      <c r="AB344" s="89">
        <f t="shared" si="27"/>
        <v>0</v>
      </c>
      <c r="AC344" s="89">
        <f t="shared" si="28"/>
        <v>0</v>
      </c>
      <c r="AD344" s="89">
        <v>0</v>
      </c>
      <c r="AE344" s="89">
        <v>0</v>
      </c>
      <c r="AF344" s="117"/>
      <c r="AG344" s="117"/>
      <c r="AH344" s="262"/>
      <c r="AI344" s="17"/>
      <c r="AJ344" s="17"/>
      <c r="AK344" s="17"/>
      <c r="AL344" s="17"/>
      <c r="AM344" s="17"/>
      <c r="AN344" s="17"/>
      <c r="AO344" s="17"/>
      <c r="AP344" s="15" t="str">
        <f>IFERROR(VLOOKUP(AO344,Legend!$D$2:$E$26,2,0),"")</f>
        <v/>
      </c>
      <c r="AQ344" s="15"/>
      <c r="AR344" s="17"/>
      <c r="AS344" s="17"/>
      <c r="AT344" s="15"/>
      <c r="AU344" s="17"/>
      <c r="AV344" s="17"/>
      <c r="AW344" s="17" t="s">
        <v>10</v>
      </c>
      <c r="AX344" s="15"/>
      <c r="AY344" s="15"/>
    </row>
    <row r="345" spans="1:51" x14ac:dyDescent="0.25">
      <c r="A345" s="15"/>
      <c r="B345" s="15"/>
      <c r="C345" s="15"/>
      <c r="D345" s="15"/>
      <c r="E345" s="91"/>
      <c r="F345" s="15"/>
      <c r="G345" s="15"/>
      <c r="H345" s="15"/>
      <c r="I345" s="15"/>
      <c r="J345" s="15"/>
      <c r="K345" s="89"/>
      <c r="L345" s="15"/>
      <c r="M345" s="89">
        <v>0</v>
      </c>
      <c r="N345" s="89">
        <v>0</v>
      </c>
      <c r="O345" s="89">
        <v>0</v>
      </c>
      <c r="P345" s="94">
        <v>0</v>
      </c>
      <c r="Q345" s="94">
        <v>0</v>
      </c>
      <c r="R345" s="94">
        <v>0</v>
      </c>
      <c r="S345" s="94">
        <v>0</v>
      </c>
      <c r="T345" s="89">
        <v>0</v>
      </c>
      <c r="U345" s="89">
        <v>0</v>
      </c>
      <c r="V345" s="94">
        <v>0</v>
      </c>
      <c r="W345" s="94">
        <v>0</v>
      </c>
      <c r="X345" s="94">
        <v>0</v>
      </c>
      <c r="Y345" s="89">
        <v>0</v>
      </c>
      <c r="Z345" s="94">
        <f t="shared" si="25"/>
        <v>0</v>
      </c>
      <c r="AA345" s="94">
        <f t="shared" si="26"/>
        <v>0</v>
      </c>
      <c r="AB345" s="89">
        <f t="shared" si="27"/>
        <v>0</v>
      </c>
      <c r="AC345" s="89">
        <f t="shared" si="28"/>
        <v>0</v>
      </c>
      <c r="AD345" s="89">
        <v>0</v>
      </c>
      <c r="AE345" s="89">
        <v>0</v>
      </c>
      <c r="AF345" s="117"/>
      <c r="AG345" s="117"/>
      <c r="AH345" s="262"/>
      <c r="AI345" s="17"/>
      <c r="AJ345" s="17"/>
      <c r="AK345" s="17"/>
      <c r="AL345" s="17"/>
      <c r="AM345" s="17"/>
      <c r="AN345" s="17"/>
      <c r="AO345" s="17"/>
      <c r="AP345" s="15" t="str">
        <f>IFERROR(VLOOKUP(AO345,Legend!$D$2:$E$26,2,0),"")</f>
        <v/>
      </c>
      <c r="AQ345" s="15"/>
      <c r="AR345" s="17"/>
      <c r="AS345" s="17"/>
      <c r="AT345" s="15"/>
      <c r="AU345" s="17"/>
      <c r="AV345" s="17"/>
      <c r="AW345" s="17" t="s">
        <v>10</v>
      </c>
      <c r="AX345" s="15"/>
      <c r="AY345" s="15"/>
    </row>
    <row r="346" spans="1:51" x14ac:dyDescent="0.25">
      <c r="A346" s="15"/>
      <c r="B346" s="15"/>
      <c r="C346" s="15"/>
      <c r="D346" s="15"/>
      <c r="E346" s="91"/>
      <c r="F346" s="15"/>
      <c r="G346" s="15"/>
      <c r="H346" s="15"/>
      <c r="I346" s="15"/>
      <c r="J346" s="15"/>
      <c r="K346" s="89"/>
      <c r="L346" s="15"/>
      <c r="M346" s="89">
        <v>0</v>
      </c>
      <c r="N346" s="89">
        <v>0</v>
      </c>
      <c r="O346" s="89">
        <v>0</v>
      </c>
      <c r="P346" s="94">
        <v>0</v>
      </c>
      <c r="Q346" s="94">
        <v>0</v>
      </c>
      <c r="R346" s="94">
        <v>0</v>
      </c>
      <c r="S346" s="94">
        <v>0</v>
      </c>
      <c r="T346" s="89">
        <v>0</v>
      </c>
      <c r="U346" s="89">
        <v>0</v>
      </c>
      <c r="V346" s="94">
        <v>0</v>
      </c>
      <c r="W346" s="94">
        <v>0</v>
      </c>
      <c r="X346" s="94">
        <v>0</v>
      </c>
      <c r="Y346" s="89">
        <v>0</v>
      </c>
      <c r="Z346" s="94">
        <f t="shared" si="25"/>
        <v>0</v>
      </c>
      <c r="AA346" s="94">
        <f t="shared" si="26"/>
        <v>0</v>
      </c>
      <c r="AB346" s="89">
        <f t="shared" si="27"/>
        <v>0</v>
      </c>
      <c r="AC346" s="89">
        <f t="shared" si="28"/>
        <v>0</v>
      </c>
      <c r="AD346" s="89">
        <v>0</v>
      </c>
      <c r="AE346" s="89">
        <v>0</v>
      </c>
      <c r="AF346" s="117"/>
      <c r="AG346" s="117"/>
      <c r="AH346" s="262"/>
      <c r="AI346" s="17"/>
      <c r="AJ346" s="17"/>
      <c r="AK346" s="17"/>
      <c r="AL346" s="17"/>
      <c r="AM346" s="17"/>
      <c r="AN346" s="17"/>
      <c r="AO346" s="17"/>
      <c r="AP346" s="15" t="str">
        <f>IFERROR(VLOOKUP(AO346,Legend!$D$2:$E$26,2,0),"")</f>
        <v/>
      </c>
      <c r="AQ346" s="15"/>
      <c r="AR346" s="17"/>
      <c r="AS346" s="17"/>
      <c r="AT346" s="15"/>
      <c r="AU346" s="17"/>
      <c r="AV346" s="17"/>
      <c r="AW346" s="17" t="s">
        <v>10</v>
      </c>
      <c r="AX346" s="15"/>
      <c r="AY346" s="15"/>
    </row>
    <row r="347" spans="1:51" x14ac:dyDescent="0.25">
      <c r="A347" s="15"/>
      <c r="B347" s="15"/>
      <c r="C347" s="15"/>
      <c r="D347" s="15"/>
      <c r="E347" s="91"/>
      <c r="F347" s="15"/>
      <c r="G347" s="15"/>
      <c r="H347" s="15"/>
      <c r="I347" s="15"/>
      <c r="J347" s="15"/>
      <c r="K347" s="89"/>
      <c r="L347" s="15"/>
      <c r="M347" s="89">
        <v>0</v>
      </c>
      <c r="N347" s="89">
        <v>0</v>
      </c>
      <c r="O347" s="89">
        <v>0</v>
      </c>
      <c r="P347" s="94">
        <v>0</v>
      </c>
      <c r="Q347" s="94">
        <v>0</v>
      </c>
      <c r="R347" s="94">
        <v>0</v>
      </c>
      <c r="S347" s="94">
        <v>0</v>
      </c>
      <c r="T347" s="89">
        <v>0</v>
      </c>
      <c r="U347" s="89">
        <v>0</v>
      </c>
      <c r="V347" s="94">
        <v>0</v>
      </c>
      <c r="W347" s="94">
        <v>0</v>
      </c>
      <c r="X347" s="94">
        <v>0</v>
      </c>
      <c r="Y347" s="89">
        <v>0</v>
      </c>
      <c r="Z347" s="94">
        <f t="shared" si="25"/>
        <v>0</v>
      </c>
      <c r="AA347" s="94">
        <f t="shared" si="26"/>
        <v>0</v>
      </c>
      <c r="AB347" s="89">
        <f t="shared" si="27"/>
        <v>0</v>
      </c>
      <c r="AC347" s="89">
        <f t="shared" si="28"/>
        <v>0</v>
      </c>
      <c r="AD347" s="89">
        <v>0</v>
      </c>
      <c r="AE347" s="89">
        <v>0</v>
      </c>
      <c r="AF347" s="117"/>
      <c r="AG347" s="117"/>
      <c r="AH347" s="262"/>
      <c r="AI347" s="17"/>
      <c r="AJ347" s="17"/>
      <c r="AK347" s="17"/>
      <c r="AL347" s="17"/>
      <c r="AM347" s="17"/>
      <c r="AN347" s="17"/>
      <c r="AO347" s="17"/>
      <c r="AP347" s="15" t="str">
        <f>IFERROR(VLOOKUP(AO347,Legend!$D$2:$E$26,2,0),"")</f>
        <v/>
      </c>
      <c r="AQ347" s="15"/>
      <c r="AR347" s="17"/>
      <c r="AS347" s="17"/>
      <c r="AT347" s="15"/>
      <c r="AU347" s="17"/>
      <c r="AV347" s="17"/>
      <c r="AW347" s="17" t="s">
        <v>10</v>
      </c>
      <c r="AX347" s="15"/>
      <c r="AY347" s="15"/>
    </row>
    <row r="348" spans="1:51" x14ac:dyDescent="0.25">
      <c r="A348" s="15"/>
      <c r="B348" s="15"/>
      <c r="C348" s="15"/>
      <c r="D348" s="15"/>
      <c r="E348" s="91"/>
      <c r="F348" s="15"/>
      <c r="G348" s="15"/>
      <c r="H348" s="15"/>
      <c r="I348" s="15"/>
      <c r="J348" s="15"/>
      <c r="K348" s="89"/>
      <c r="L348" s="89"/>
      <c r="M348" s="89">
        <v>0</v>
      </c>
      <c r="N348" s="89">
        <v>0</v>
      </c>
      <c r="O348" s="89">
        <v>0</v>
      </c>
      <c r="P348" s="94">
        <v>0</v>
      </c>
      <c r="Q348" s="94">
        <v>0</v>
      </c>
      <c r="R348" s="94">
        <v>0</v>
      </c>
      <c r="S348" s="94">
        <v>0</v>
      </c>
      <c r="T348" s="89">
        <v>0</v>
      </c>
      <c r="U348" s="89">
        <v>0</v>
      </c>
      <c r="V348" s="94">
        <v>0</v>
      </c>
      <c r="W348" s="94">
        <v>0</v>
      </c>
      <c r="X348" s="94">
        <v>0</v>
      </c>
      <c r="Y348" s="89">
        <v>0</v>
      </c>
      <c r="Z348" s="94">
        <f t="shared" si="25"/>
        <v>0</v>
      </c>
      <c r="AA348" s="94">
        <f t="shared" si="26"/>
        <v>0</v>
      </c>
      <c r="AB348" s="89">
        <f t="shared" si="27"/>
        <v>0</v>
      </c>
      <c r="AC348" s="89">
        <f t="shared" si="28"/>
        <v>0</v>
      </c>
      <c r="AD348" s="89">
        <v>0</v>
      </c>
      <c r="AE348" s="89">
        <v>0</v>
      </c>
      <c r="AF348" s="117"/>
      <c r="AG348" s="117"/>
      <c r="AH348" s="262"/>
      <c r="AI348" s="17"/>
      <c r="AJ348" s="17"/>
      <c r="AK348" s="17"/>
      <c r="AL348" s="17"/>
      <c r="AM348" s="17"/>
      <c r="AN348" s="17"/>
      <c r="AO348" s="17"/>
      <c r="AP348" s="15" t="str">
        <f>IFERROR(VLOOKUP(AO348,Legend!$D$2:$E$26,2,0),"")</f>
        <v/>
      </c>
      <c r="AQ348" s="15"/>
      <c r="AR348" s="17"/>
      <c r="AS348" s="17"/>
      <c r="AT348" s="15"/>
      <c r="AU348" s="17"/>
      <c r="AV348" s="17"/>
      <c r="AW348" s="17" t="s">
        <v>10</v>
      </c>
      <c r="AX348" s="15"/>
      <c r="AY348" s="15"/>
    </row>
    <row r="349" spans="1:51" x14ac:dyDescent="0.25">
      <c r="A349" s="15"/>
      <c r="B349" s="15"/>
      <c r="C349" s="15"/>
      <c r="D349" s="15"/>
      <c r="E349" s="91"/>
      <c r="F349" s="15"/>
      <c r="G349" s="15"/>
      <c r="H349" s="15"/>
      <c r="I349" s="15"/>
      <c r="J349" s="15"/>
      <c r="K349" s="89"/>
      <c r="L349" s="89"/>
      <c r="M349" s="89">
        <v>0</v>
      </c>
      <c r="N349" s="89">
        <v>0</v>
      </c>
      <c r="O349" s="89">
        <v>0</v>
      </c>
      <c r="P349" s="94">
        <v>0</v>
      </c>
      <c r="Q349" s="94">
        <v>0</v>
      </c>
      <c r="R349" s="94">
        <v>0</v>
      </c>
      <c r="S349" s="94">
        <v>0</v>
      </c>
      <c r="T349" s="89">
        <v>0</v>
      </c>
      <c r="U349" s="89">
        <v>0</v>
      </c>
      <c r="V349" s="94">
        <v>0</v>
      </c>
      <c r="W349" s="94">
        <v>0</v>
      </c>
      <c r="X349" s="94">
        <v>0</v>
      </c>
      <c r="Y349" s="89">
        <v>0</v>
      </c>
      <c r="Z349" s="94">
        <f t="shared" si="25"/>
        <v>0</v>
      </c>
      <c r="AA349" s="94">
        <f t="shared" si="26"/>
        <v>0</v>
      </c>
      <c r="AB349" s="89">
        <f t="shared" si="27"/>
        <v>0</v>
      </c>
      <c r="AC349" s="89">
        <f t="shared" si="28"/>
        <v>0</v>
      </c>
      <c r="AD349" s="89">
        <v>0</v>
      </c>
      <c r="AE349" s="89">
        <v>0</v>
      </c>
      <c r="AF349" s="117"/>
      <c r="AG349" s="117"/>
      <c r="AH349" s="262"/>
      <c r="AI349" s="17"/>
      <c r="AJ349" s="17"/>
      <c r="AK349" s="17"/>
      <c r="AL349" s="17"/>
      <c r="AM349" s="17"/>
      <c r="AN349" s="17"/>
      <c r="AO349" s="17"/>
      <c r="AP349" s="15" t="str">
        <f>IFERROR(VLOOKUP(AO349,Legend!$D$2:$E$26,2,0),"")</f>
        <v/>
      </c>
      <c r="AQ349" s="15"/>
      <c r="AR349" s="17"/>
      <c r="AS349" s="17"/>
      <c r="AT349" s="15"/>
      <c r="AU349" s="17"/>
      <c r="AV349" s="17"/>
      <c r="AW349" s="17" t="s">
        <v>10</v>
      </c>
      <c r="AX349" s="15"/>
      <c r="AY349" s="15"/>
    </row>
    <row r="350" spans="1:51" x14ac:dyDescent="0.25">
      <c r="A350" s="15"/>
      <c r="B350" s="15"/>
      <c r="C350" s="15"/>
      <c r="D350" s="15"/>
      <c r="E350" s="91"/>
      <c r="F350" s="15"/>
      <c r="G350" s="15"/>
      <c r="H350" s="15"/>
      <c r="I350" s="15"/>
      <c r="J350" s="15"/>
      <c r="K350" s="89"/>
      <c r="L350" s="89"/>
      <c r="M350" s="89">
        <v>0</v>
      </c>
      <c r="N350" s="89">
        <v>0</v>
      </c>
      <c r="O350" s="89">
        <v>0</v>
      </c>
      <c r="P350" s="94">
        <v>0</v>
      </c>
      <c r="Q350" s="94">
        <v>0</v>
      </c>
      <c r="R350" s="94">
        <v>0</v>
      </c>
      <c r="S350" s="94">
        <v>0</v>
      </c>
      <c r="T350" s="89">
        <v>0</v>
      </c>
      <c r="U350" s="89">
        <v>0</v>
      </c>
      <c r="V350" s="94">
        <v>0</v>
      </c>
      <c r="W350" s="94">
        <v>0</v>
      </c>
      <c r="X350" s="94">
        <v>0</v>
      </c>
      <c r="Y350" s="89">
        <v>0</v>
      </c>
      <c r="Z350" s="94">
        <f t="shared" si="25"/>
        <v>0</v>
      </c>
      <c r="AA350" s="94">
        <f t="shared" si="26"/>
        <v>0</v>
      </c>
      <c r="AB350" s="89">
        <f t="shared" si="27"/>
        <v>0</v>
      </c>
      <c r="AC350" s="89">
        <f t="shared" si="28"/>
        <v>0</v>
      </c>
      <c r="AD350" s="89">
        <v>0</v>
      </c>
      <c r="AE350" s="89">
        <v>0</v>
      </c>
      <c r="AF350" s="117"/>
      <c r="AG350" s="117"/>
      <c r="AH350" s="262"/>
      <c r="AI350" s="17"/>
      <c r="AJ350" s="17"/>
      <c r="AK350" s="17"/>
      <c r="AL350" s="17"/>
      <c r="AM350" s="17"/>
      <c r="AN350" s="17"/>
      <c r="AO350" s="17"/>
      <c r="AP350" s="15" t="str">
        <f>IFERROR(VLOOKUP(AO350,Legend!$D$2:$E$26,2,0),"")</f>
        <v/>
      </c>
      <c r="AQ350" s="15"/>
      <c r="AR350" s="17"/>
      <c r="AS350" s="17"/>
      <c r="AT350" s="15"/>
      <c r="AU350" s="17"/>
      <c r="AV350" s="17"/>
      <c r="AW350" s="17" t="s">
        <v>10</v>
      </c>
      <c r="AX350" s="15"/>
      <c r="AY350" s="15"/>
    </row>
    <row r="351" spans="1:51" x14ac:dyDescent="0.25">
      <c r="A351" s="15"/>
      <c r="B351" s="15"/>
      <c r="C351" s="15"/>
      <c r="D351" s="15"/>
      <c r="E351" s="91"/>
      <c r="F351" s="15"/>
      <c r="G351" s="15"/>
      <c r="H351" s="15"/>
      <c r="I351" s="15"/>
      <c r="J351" s="15"/>
      <c r="K351" s="89"/>
      <c r="L351" s="15"/>
      <c r="M351" s="89">
        <v>0</v>
      </c>
      <c r="N351" s="89">
        <v>0</v>
      </c>
      <c r="O351" s="89">
        <v>0</v>
      </c>
      <c r="P351" s="94">
        <v>0</v>
      </c>
      <c r="Q351" s="94">
        <v>0</v>
      </c>
      <c r="R351" s="94">
        <v>0</v>
      </c>
      <c r="S351" s="94">
        <v>0</v>
      </c>
      <c r="T351" s="89">
        <v>0</v>
      </c>
      <c r="U351" s="89">
        <v>0</v>
      </c>
      <c r="V351" s="94">
        <v>0</v>
      </c>
      <c r="W351" s="94">
        <v>0</v>
      </c>
      <c r="X351" s="94">
        <v>0</v>
      </c>
      <c r="Y351" s="89">
        <v>0</v>
      </c>
      <c r="Z351" s="94">
        <f t="shared" si="25"/>
        <v>0</v>
      </c>
      <c r="AA351" s="94">
        <f t="shared" si="26"/>
        <v>0</v>
      </c>
      <c r="AB351" s="89">
        <f t="shared" si="27"/>
        <v>0</v>
      </c>
      <c r="AC351" s="89">
        <f t="shared" si="28"/>
        <v>0</v>
      </c>
      <c r="AD351" s="89">
        <v>0</v>
      </c>
      <c r="AE351" s="89">
        <v>0</v>
      </c>
      <c r="AF351" s="117"/>
      <c r="AG351" s="117"/>
      <c r="AH351" s="262"/>
      <c r="AI351" s="17"/>
      <c r="AJ351" s="17"/>
      <c r="AK351" s="17"/>
      <c r="AL351" s="17"/>
      <c r="AM351" s="17"/>
      <c r="AN351" s="17"/>
      <c r="AO351" s="17"/>
      <c r="AP351" s="15" t="str">
        <f>IFERROR(VLOOKUP(AO351,Legend!$D$2:$E$26,2,0),"")</f>
        <v/>
      </c>
      <c r="AQ351" s="15"/>
      <c r="AR351" s="17"/>
      <c r="AS351" s="17"/>
      <c r="AT351" s="15"/>
      <c r="AU351" s="17"/>
      <c r="AV351" s="17"/>
      <c r="AW351" s="17" t="s">
        <v>10</v>
      </c>
      <c r="AX351" s="15"/>
      <c r="AY351" s="15"/>
    </row>
    <row r="352" spans="1:51" x14ac:dyDescent="0.25">
      <c r="A352" s="15"/>
      <c r="B352" s="15"/>
      <c r="C352" s="15"/>
      <c r="D352" s="15"/>
      <c r="E352" s="91"/>
      <c r="F352" s="15"/>
      <c r="G352" s="15"/>
      <c r="H352" s="15"/>
      <c r="I352" s="15"/>
      <c r="J352" s="15"/>
      <c r="K352" s="89"/>
      <c r="L352" s="15"/>
      <c r="M352" s="89">
        <v>0</v>
      </c>
      <c r="N352" s="89">
        <v>0</v>
      </c>
      <c r="O352" s="89">
        <v>0</v>
      </c>
      <c r="P352" s="94">
        <v>0</v>
      </c>
      <c r="Q352" s="94">
        <v>0</v>
      </c>
      <c r="R352" s="94">
        <v>0</v>
      </c>
      <c r="S352" s="94">
        <v>0</v>
      </c>
      <c r="T352" s="89">
        <v>0</v>
      </c>
      <c r="U352" s="89">
        <v>0</v>
      </c>
      <c r="V352" s="94">
        <v>0</v>
      </c>
      <c r="W352" s="94">
        <v>0</v>
      </c>
      <c r="X352" s="94">
        <v>0</v>
      </c>
      <c r="Y352" s="89">
        <v>0</v>
      </c>
      <c r="Z352" s="94">
        <f t="shared" si="25"/>
        <v>0</v>
      </c>
      <c r="AA352" s="94">
        <f t="shared" si="26"/>
        <v>0</v>
      </c>
      <c r="AB352" s="89">
        <f t="shared" si="27"/>
        <v>0</v>
      </c>
      <c r="AC352" s="89">
        <f t="shared" si="28"/>
        <v>0</v>
      </c>
      <c r="AD352" s="89">
        <v>0</v>
      </c>
      <c r="AE352" s="89">
        <v>0</v>
      </c>
      <c r="AF352" s="117"/>
      <c r="AG352" s="117"/>
      <c r="AH352" s="262"/>
      <c r="AI352" s="17"/>
      <c r="AJ352" s="17"/>
      <c r="AK352" s="17"/>
      <c r="AL352" s="17"/>
      <c r="AM352" s="17"/>
      <c r="AN352" s="17"/>
      <c r="AO352" s="17"/>
      <c r="AP352" s="15" t="str">
        <f>IFERROR(VLOOKUP(AO352,Legend!$D$2:$E$26,2,0),"")</f>
        <v/>
      </c>
      <c r="AQ352" s="15"/>
      <c r="AR352" s="17"/>
      <c r="AS352" s="17"/>
      <c r="AT352" s="15"/>
      <c r="AU352" s="17"/>
      <c r="AV352" s="17"/>
      <c r="AW352" s="17" t="s">
        <v>10</v>
      </c>
      <c r="AX352" s="15"/>
      <c r="AY352" s="15"/>
    </row>
    <row r="353" spans="1:51" x14ac:dyDescent="0.25">
      <c r="A353" s="15"/>
      <c r="B353" s="15"/>
      <c r="C353" s="15"/>
      <c r="D353" s="15"/>
      <c r="E353" s="91"/>
      <c r="F353" s="15"/>
      <c r="G353" s="15"/>
      <c r="H353" s="15"/>
      <c r="I353" s="15"/>
      <c r="J353" s="15"/>
      <c r="K353" s="89"/>
      <c r="L353" s="89"/>
      <c r="M353" s="89">
        <v>0</v>
      </c>
      <c r="N353" s="89">
        <v>0</v>
      </c>
      <c r="O353" s="89">
        <v>0</v>
      </c>
      <c r="P353" s="94">
        <v>0</v>
      </c>
      <c r="Q353" s="94">
        <v>0</v>
      </c>
      <c r="R353" s="94">
        <v>0</v>
      </c>
      <c r="S353" s="94">
        <v>0</v>
      </c>
      <c r="T353" s="89">
        <v>0</v>
      </c>
      <c r="U353" s="89">
        <v>0</v>
      </c>
      <c r="V353" s="94">
        <v>0</v>
      </c>
      <c r="W353" s="94">
        <v>0</v>
      </c>
      <c r="X353" s="94">
        <v>0</v>
      </c>
      <c r="Y353" s="89">
        <v>0</v>
      </c>
      <c r="Z353" s="94">
        <f t="shared" si="25"/>
        <v>0</v>
      </c>
      <c r="AA353" s="94">
        <f t="shared" si="26"/>
        <v>0</v>
      </c>
      <c r="AB353" s="89">
        <f t="shared" si="27"/>
        <v>0</v>
      </c>
      <c r="AC353" s="89">
        <f t="shared" si="28"/>
        <v>0</v>
      </c>
      <c r="AD353" s="89">
        <v>0</v>
      </c>
      <c r="AE353" s="89">
        <v>0</v>
      </c>
      <c r="AF353" s="117"/>
      <c r="AG353" s="117"/>
      <c r="AH353" s="262"/>
      <c r="AI353" s="17"/>
      <c r="AJ353" s="17"/>
      <c r="AK353" s="17"/>
      <c r="AL353" s="17"/>
      <c r="AM353" s="17"/>
      <c r="AN353" s="17"/>
      <c r="AO353" s="17"/>
      <c r="AP353" s="15" t="str">
        <f>IFERROR(VLOOKUP(AO353,Legend!$D$2:$E$26,2,0),"")</f>
        <v/>
      </c>
      <c r="AQ353" s="15"/>
      <c r="AR353" s="17"/>
      <c r="AS353" s="17"/>
      <c r="AT353" s="15"/>
      <c r="AU353" s="17"/>
      <c r="AV353" s="17"/>
      <c r="AW353" s="17" t="s">
        <v>10</v>
      </c>
      <c r="AX353" s="15"/>
      <c r="AY353" s="15"/>
    </row>
    <row r="354" spans="1:51" x14ac:dyDescent="0.25">
      <c r="A354" s="15"/>
      <c r="B354" s="15"/>
      <c r="C354" s="15"/>
      <c r="D354" s="15"/>
      <c r="E354" s="91"/>
      <c r="F354" s="15"/>
      <c r="G354" s="15"/>
      <c r="H354" s="15"/>
      <c r="I354" s="15"/>
      <c r="J354" s="15"/>
      <c r="K354" s="89"/>
      <c r="L354" s="89"/>
      <c r="M354" s="89">
        <v>0</v>
      </c>
      <c r="N354" s="89">
        <v>0</v>
      </c>
      <c r="O354" s="89">
        <v>0</v>
      </c>
      <c r="P354" s="94">
        <v>0</v>
      </c>
      <c r="Q354" s="94">
        <v>0</v>
      </c>
      <c r="R354" s="94">
        <v>0</v>
      </c>
      <c r="S354" s="94">
        <v>0</v>
      </c>
      <c r="T354" s="89">
        <v>0</v>
      </c>
      <c r="U354" s="89">
        <v>0</v>
      </c>
      <c r="V354" s="94">
        <v>0</v>
      </c>
      <c r="W354" s="94">
        <v>0</v>
      </c>
      <c r="X354" s="94">
        <v>0</v>
      </c>
      <c r="Y354" s="89">
        <v>0</v>
      </c>
      <c r="Z354" s="94">
        <f t="shared" si="25"/>
        <v>0</v>
      </c>
      <c r="AA354" s="94">
        <f t="shared" si="26"/>
        <v>0</v>
      </c>
      <c r="AB354" s="89">
        <f t="shared" si="27"/>
        <v>0</v>
      </c>
      <c r="AC354" s="89">
        <f t="shared" si="28"/>
        <v>0</v>
      </c>
      <c r="AD354" s="89">
        <v>0</v>
      </c>
      <c r="AE354" s="89">
        <v>0</v>
      </c>
      <c r="AF354" s="117"/>
      <c r="AG354" s="117"/>
      <c r="AH354" s="262"/>
      <c r="AI354" s="17"/>
      <c r="AJ354" s="17"/>
      <c r="AK354" s="17"/>
      <c r="AL354" s="17"/>
      <c r="AM354" s="17"/>
      <c r="AN354" s="17"/>
      <c r="AO354" s="17"/>
      <c r="AP354" s="15" t="str">
        <f>IFERROR(VLOOKUP(AO354,Legend!$D$2:$E$26,2,0),"")</f>
        <v/>
      </c>
      <c r="AQ354" s="15"/>
      <c r="AR354" s="17"/>
      <c r="AS354" s="17"/>
      <c r="AT354" s="15"/>
      <c r="AU354" s="17"/>
      <c r="AV354" s="17"/>
      <c r="AW354" s="17" t="s">
        <v>10</v>
      </c>
      <c r="AX354" s="15"/>
      <c r="AY354" s="15"/>
    </row>
    <row r="355" spans="1:51" x14ac:dyDescent="0.25">
      <c r="A355" s="15"/>
      <c r="B355" s="15"/>
      <c r="C355" s="15"/>
      <c r="D355" s="15"/>
      <c r="E355" s="91"/>
      <c r="F355" s="15"/>
      <c r="G355" s="15"/>
      <c r="H355" s="15"/>
      <c r="I355" s="15"/>
      <c r="J355" s="15"/>
      <c r="K355" s="89"/>
      <c r="L355" s="89"/>
      <c r="M355" s="89">
        <v>0</v>
      </c>
      <c r="N355" s="89">
        <v>0</v>
      </c>
      <c r="O355" s="89">
        <v>0</v>
      </c>
      <c r="P355" s="94">
        <v>0</v>
      </c>
      <c r="Q355" s="94">
        <v>0</v>
      </c>
      <c r="R355" s="94">
        <v>0</v>
      </c>
      <c r="S355" s="94">
        <v>0</v>
      </c>
      <c r="T355" s="89">
        <v>0</v>
      </c>
      <c r="U355" s="89">
        <v>0</v>
      </c>
      <c r="V355" s="94">
        <v>0</v>
      </c>
      <c r="W355" s="94">
        <v>0</v>
      </c>
      <c r="X355" s="94">
        <v>0</v>
      </c>
      <c r="Y355" s="89">
        <v>0</v>
      </c>
      <c r="Z355" s="94">
        <f t="shared" si="25"/>
        <v>0</v>
      </c>
      <c r="AA355" s="94">
        <f t="shared" si="26"/>
        <v>0</v>
      </c>
      <c r="AB355" s="89">
        <f t="shared" si="27"/>
        <v>0</v>
      </c>
      <c r="AC355" s="89">
        <f t="shared" si="28"/>
        <v>0</v>
      </c>
      <c r="AD355" s="89">
        <v>0</v>
      </c>
      <c r="AE355" s="89">
        <v>0</v>
      </c>
      <c r="AF355" s="117"/>
      <c r="AG355" s="117"/>
      <c r="AH355" s="262"/>
      <c r="AI355" s="17"/>
      <c r="AJ355" s="17"/>
      <c r="AK355" s="17"/>
      <c r="AL355" s="17"/>
      <c r="AM355" s="17"/>
      <c r="AN355" s="17"/>
      <c r="AO355" s="17"/>
      <c r="AP355" s="15" t="str">
        <f>IFERROR(VLOOKUP(AO355,Legend!$D$2:$E$26,2,0),"")</f>
        <v/>
      </c>
      <c r="AQ355" s="15"/>
      <c r="AR355" s="17"/>
      <c r="AS355" s="17"/>
      <c r="AT355" s="15"/>
      <c r="AU355" s="17"/>
      <c r="AV355" s="17"/>
      <c r="AW355" s="17" t="s">
        <v>10</v>
      </c>
      <c r="AX355" s="15"/>
      <c r="AY355" s="15"/>
    </row>
    <row r="356" spans="1:51" x14ac:dyDescent="0.25">
      <c r="A356" s="15"/>
      <c r="B356" s="15"/>
      <c r="C356" s="15"/>
      <c r="D356" s="15"/>
      <c r="E356" s="91"/>
      <c r="F356" s="15"/>
      <c r="G356" s="15"/>
      <c r="H356" s="15"/>
      <c r="I356" s="15"/>
      <c r="J356" s="15"/>
      <c r="K356" s="89"/>
      <c r="L356" s="89"/>
      <c r="M356" s="89">
        <v>0</v>
      </c>
      <c r="N356" s="89">
        <v>0</v>
      </c>
      <c r="O356" s="89">
        <v>0</v>
      </c>
      <c r="P356" s="94">
        <v>0</v>
      </c>
      <c r="Q356" s="94">
        <v>0</v>
      </c>
      <c r="R356" s="94">
        <v>0</v>
      </c>
      <c r="S356" s="94">
        <v>0</v>
      </c>
      <c r="T356" s="89">
        <v>0</v>
      </c>
      <c r="U356" s="89">
        <v>0</v>
      </c>
      <c r="V356" s="94">
        <v>0</v>
      </c>
      <c r="W356" s="94">
        <v>0</v>
      </c>
      <c r="X356" s="94">
        <v>0</v>
      </c>
      <c r="Y356" s="89">
        <v>0</v>
      </c>
      <c r="Z356" s="94">
        <f t="shared" si="25"/>
        <v>0</v>
      </c>
      <c r="AA356" s="94">
        <f t="shared" si="26"/>
        <v>0</v>
      </c>
      <c r="AB356" s="89">
        <f t="shared" si="27"/>
        <v>0</v>
      </c>
      <c r="AC356" s="89">
        <f t="shared" si="28"/>
        <v>0</v>
      </c>
      <c r="AD356" s="89">
        <v>0</v>
      </c>
      <c r="AE356" s="89">
        <v>0</v>
      </c>
      <c r="AF356" s="117"/>
      <c r="AG356" s="117"/>
      <c r="AH356" s="262"/>
      <c r="AI356" s="17"/>
      <c r="AJ356" s="17"/>
      <c r="AK356" s="17"/>
      <c r="AL356" s="17"/>
      <c r="AM356" s="17"/>
      <c r="AN356" s="17"/>
      <c r="AO356" s="17"/>
      <c r="AP356" s="15" t="str">
        <f>IFERROR(VLOOKUP(AO356,Legend!$D$2:$E$26,2,0),"")</f>
        <v/>
      </c>
      <c r="AQ356" s="15"/>
      <c r="AR356" s="17"/>
      <c r="AS356" s="17"/>
      <c r="AT356" s="15"/>
      <c r="AU356" s="17"/>
      <c r="AV356" s="17"/>
      <c r="AW356" s="17" t="s">
        <v>10</v>
      </c>
      <c r="AX356" s="15"/>
      <c r="AY356" s="15"/>
    </row>
    <row r="357" spans="1:51" x14ac:dyDescent="0.25">
      <c r="A357" s="15"/>
      <c r="B357" s="15"/>
      <c r="C357" s="15"/>
      <c r="D357" s="15"/>
      <c r="E357" s="91"/>
      <c r="F357" s="15"/>
      <c r="G357" s="15"/>
      <c r="H357" s="15"/>
      <c r="I357" s="15"/>
      <c r="J357" s="15"/>
      <c r="K357" s="89"/>
      <c r="L357" s="89"/>
      <c r="M357" s="89">
        <v>0</v>
      </c>
      <c r="N357" s="89">
        <v>0</v>
      </c>
      <c r="O357" s="89">
        <v>0</v>
      </c>
      <c r="P357" s="94">
        <v>0</v>
      </c>
      <c r="Q357" s="94">
        <v>0</v>
      </c>
      <c r="R357" s="94">
        <v>0</v>
      </c>
      <c r="S357" s="94">
        <v>0</v>
      </c>
      <c r="T357" s="89">
        <v>0</v>
      </c>
      <c r="U357" s="89">
        <v>0</v>
      </c>
      <c r="V357" s="94">
        <v>0</v>
      </c>
      <c r="W357" s="94">
        <v>0</v>
      </c>
      <c r="X357" s="94">
        <v>0</v>
      </c>
      <c r="Y357" s="89">
        <v>0</v>
      </c>
      <c r="Z357" s="94">
        <f t="shared" si="25"/>
        <v>0</v>
      </c>
      <c r="AA357" s="94">
        <f t="shared" si="26"/>
        <v>0</v>
      </c>
      <c r="AB357" s="89">
        <f t="shared" si="27"/>
        <v>0</v>
      </c>
      <c r="AC357" s="89">
        <f t="shared" si="28"/>
        <v>0</v>
      </c>
      <c r="AD357" s="89">
        <v>0</v>
      </c>
      <c r="AE357" s="89">
        <v>0</v>
      </c>
      <c r="AF357" s="117"/>
      <c r="AG357" s="117"/>
      <c r="AH357" s="262"/>
      <c r="AI357" s="17"/>
      <c r="AJ357" s="17"/>
      <c r="AK357" s="17"/>
      <c r="AL357" s="17"/>
      <c r="AM357" s="17"/>
      <c r="AN357" s="17"/>
      <c r="AO357" s="17"/>
      <c r="AP357" s="15" t="str">
        <f>IFERROR(VLOOKUP(AO357,Legend!$D$2:$E$26,2,0),"")</f>
        <v/>
      </c>
      <c r="AQ357" s="15"/>
      <c r="AR357" s="17"/>
      <c r="AS357" s="17"/>
      <c r="AT357" s="15"/>
      <c r="AU357" s="17"/>
      <c r="AV357" s="17"/>
      <c r="AW357" s="17" t="s">
        <v>10</v>
      </c>
      <c r="AX357" s="15"/>
      <c r="AY357" s="15"/>
    </row>
    <row r="358" spans="1:51" x14ac:dyDescent="0.25">
      <c r="A358" s="15"/>
      <c r="B358" s="15"/>
      <c r="C358" s="15"/>
      <c r="D358" s="15"/>
      <c r="E358" s="91"/>
      <c r="F358" s="15"/>
      <c r="G358" s="15"/>
      <c r="H358" s="15"/>
      <c r="I358" s="15"/>
      <c r="J358" s="15"/>
      <c r="K358" s="89"/>
      <c r="L358" s="89"/>
      <c r="M358" s="89">
        <v>0</v>
      </c>
      <c r="N358" s="89">
        <v>0</v>
      </c>
      <c r="O358" s="89">
        <v>0</v>
      </c>
      <c r="P358" s="94">
        <v>0</v>
      </c>
      <c r="Q358" s="94">
        <v>0</v>
      </c>
      <c r="R358" s="94">
        <v>0</v>
      </c>
      <c r="S358" s="94">
        <v>0</v>
      </c>
      <c r="T358" s="89">
        <v>0</v>
      </c>
      <c r="U358" s="89">
        <v>0</v>
      </c>
      <c r="V358" s="94">
        <v>0</v>
      </c>
      <c r="W358" s="94">
        <v>0</v>
      </c>
      <c r="X358" s="94">
        <v>0</v>
      </c>
      <c r="Y358" s="89">
        <v>0</v>
      </c>
      <c r="Z358" s="94">
        <f t="shared" si="25"/>
        <v>0</v>
      </c>
      <c r="AA358" s="94">
        <f t="shared" si="26"/>
        <v>0</v>
      </c>
      <c r="AB358" s="89">
        <f t="shared" si="27"/>
        <v>0</v>
      </c>
      <c r="AC358" s="89">
        <f t="shared" si="28"/>
        <v>0</v>
      </c>
      <c r="AD358" s="89">
        <v>0</v>
      </c>
      <c r="AE358" s="89">
        <v>0</v>
      </c>
      <c r="AF358" s="117"/>
      <c r="AG358" s="117"/>
      <c r="AH358" s="262"/>
      <c r="AI358" s="17"/>
      <c r="AJ358" s="17"/>
      <c r="AK358" s="17"/>
      <c r="AL358" s="17"/>
      <c r="AM358" s="17"/>
      <c r="AN358" s="17"/>
      <c r="AO358" s="17"/>
      <c r="AP358" s="15" t="str">
        <f>IFERROR(VLOOKUP(AO358,Legend!$D$2:$E$26,2,0),"")</f>
        <v/>
      </c>
      <c r="AQ358" s="15"/>
      <c r="AR358" s="17"/>
      <c r="AS358" s="17"/>
      <c r="AT358" s="15"/>
      <c r="AU358" s="17"/>
      <c r="AV358" s="17"/>
      <c r="AW358" s="17" t="s">
        <v>10</v>
      </c>
      <c r="AX358" s="15"/>
      <c r="AY358" s="15"/>
    </row>
    <row r="359" spans="1:51" x14ac:dyDescent="0.25">
      <c r="A359" s="15"/>
      <c r="B359" s="15"/>
      <c r="C359" s="15"/>
      <c r="D359" s="15"/>
      <c r="E359" s="91"/>
      <c r="F359" s="15"/>
      <c r="G359" s="15"/>
      <c r="H359" s="15"/>
      <c r="I359" s="15"/>
      <c r="J359" s="15"/>
      <c r="K359" s="89"/>
      <c r="L359" s="89"/>
      <c r="M359" s="89">
        <v>0</v>
      </c>
      <c r="N359" s="89">
        <v>0</v>
      </c>
      <c r="O359" s="89">
        <v>0</v>
      </c>
      <c r="P359" s="94">
        <v>0</v>
      </c>
      <c r="Q359" s="94">
        <v>0</v>
      </c>
      <c r="R359" s="94">
        <v>0</v>
      </c>
      <c r="S359" s="94">
        <v>0</v>
      </c>
      <c r="T359" s="89">
        <v>0</v>
      </c>
      <c r="U359" s="89">
        <v>0</v>
      </c>
      <c r="V359" s="94">
        <v>0</v>
      </c>
      <c r="W359" s="94">
        <v>0</v>
      </c>
      <c r="X359" s="94">
        <v>0</v>
      </c>
      <c r="Y359" s="89">
        <v>0</v>
      </c>
      <c r="Z359" s="94">
        <f t="shared" si="25"/>
        <v>0</v>
      </c>
      <c r="AA359" s="94">
        <f t="shared" si="26"/>
        <v>0</v>
      </c>
      <c r="AB359" s="89">
        <f t="shared" si="27"/>
        <v>0</v>
      </c>
      <c r="AC359" s="89">
        <f t="shared" si="28"/>
        <v>0</v>
      </c>
      <c r="AD359" s="89">
        <v>0</v>
      </c>
      <c r="AE359" s="89">
        <v>0</v>
      </c>
      <c r="AF359" s="117"/>
      <c r="AG359" s="117"/>
      <c r="AH359" s="262"/>
      <c r="AI359" s="17"/>
      <c r="AJ359" s="17"/>
      <c r="AK359" s="17"/>
      <c r="AL359" s="17"/>
      <c r="AM359" s="17"/>
      <c r="AN359" s="17"/>
      <c r="AO359" s="17"/>
      <c r="AP359" s="15" t="str">
        <f>IFERROR(VLOOKUP(AO359,Legend!$D$2:$E$26,2,0),"")</f>
        <v/>
      </c>
      <c r="AQ359" s="15"/>
      <c r="AR359" s="17"/>
      <c r="AS359" s="17"/>
      <c r="AT359" s="15"/>
      <c r="AU359" s="17"/>
      <c r="AV359" s="17"/>
      <c r="AW359" s="17" t="s">
        <v>10</v>
      </c>
      <c r="AX359" s="15"/>
      <c r="AY359" s="15"/>
    </row>
    <row r="360" spans="1:51" x14ac:dyDescent="0.25">
      <c r="A360" s="15"/>
      <c r="B360" s="15"/>
      <c r="C360" s="15"/>
      <c r="D360" s="15"/>
      <c r="E360" s="91"/>
      <c r="F360" s="15"/>
      <c r="G360" s="15"/>
      <c r="H360" s="15"/>
      <c r="I360" s="15"/>
      <c r="J360" s="15"/>
      <c r="K360" s="89"/>
      <c r="L360" s="89"/>
      <c r="M360" s="89">
        <v>0</v>
      </c>
      <c r="N360" s="89">
        <v>0</v>
      </c>
      <c r="O360" s="89">
        <v>0</v>
      </c>
      <c r="P360" s="94">
        <v>0</v>
      </c>
      <c r="Q360" s="94">
        <v>0</v>
      </c>
      <c r="R360" s="94">
        <v>0</v>
      </c>
      <c r="S360" s="94">
        <v>0</v>
      </c>
      <c r="T360" s="89">
        <v>0</v>
      </c>
      <c r="U360" s="89">
        <v>0</v>
      </c>
      <c r="V360" s="94">
        <v>0</v>
      </c>
      <c r="W360" s="94">
        <v>0</v>
      </c>
      <c r="X360" s="94">
        <v>0</v>
      </c>
      <c r="Y360" s="89">
        <v>0</v>
      </c>
      <c r="Z360" s="94">
        <f t="shared" si="25"/>
        <v>0</v>
      </c>
      <c r="AA360" s="94">
        <f t="shared" si="26"/>
        <v>0</v>
      </c>
      <c r="AB360" s="89">
        <f t="shared" si="27"/>
        <v>0</v>
      </c>
      <c r="AC360" s="89">
        <f t="shared" si="28"/>
        <v>0</v>
      </c>
      <c r="AD360" s="89">
        <v>0</v>
      </c>
      <c r="AE360" s="89">
        <v>0</v>
      </c>
      <c r="AF360" s="117"/>
      <c r="AG360" s="117"/>
      <c r="AH360" s="262"/>
      <c r="AI360" s="17"/>
      <c r="AJ360" s="17"/>
      <c r="AK360" s="17"/>
      <c r="AL360" s="17"/>
      <c r="AM360" s="17"/>
      <c r="AN360" s="17"/>
      <c r="AO360" s="17"/>
      <c r="AP360" s="15" t="str">
        <f>IFERROR(VLOOKUP(AO360,Legend!$D$2:$E$26,2,0),"")</f>
        <v/>
      </c>
      <c r="AQ360" s="15"/>
      <c r="AR360" s="17"/>
      <c r="AS360" s="17"/>
      <c r="AT360" s="15"/>
      <c r="AU360" s="17"/>
      <c r="AV360" s="17"/>
      <c r="AW360" s="17" t="s">
        <v>10</v>
      </c>
      <c r="AX360" s="15"/>
      <c r="AY360" s="15"/>
    </row>
    <row r="361" spans="1:51" x14ac:dyDescent="0.25">
      <c r="A361" s="15"/>
      <c r="B361" s="15"/>
      <c r="C361" s="15"/>
      <c r="D361" s="15"/>
      <c r="E361" s="91"/>
      <c r="F361" s="15"/>
      <c r="G361" s="15"/>
      <c r="H361" s="15"/>
      <c r="I361" s="15"/>
      <c r="J361" s="15"/>
      <c r="K361" s="89"/>
      <c r="L361" s="15"/>
      <c r="M361" s="89">
        <v>0</v>
      </c>
      <c r="N361" s="89">
        <v>0</v>
      </c>
      <c r="O361" s="89">
        <v>0</v>
      </c>
      <c r="P361" s="94">
        <v>0</v>
      </c>
      <c r="Q361" s="94">
        <v>0</v>
      </c>
      <c r="R361" s="94">
        <v>0</v>
      </c>
      <c r="S361" s="94">
        <v>0</v>
      </c>
      <c r="T361" s="89">
        <v>0</v>
      </c>
      <c r="U361" s="89">
        <v>0</v>
      </c>
      <c r="V361" s="94">
        <v>0</v>
      </c>
      <c r="W361" s="94">
        <v>0</v>
      </c>
      <c r="X361" s="94">
        <v>0</v>
      </c>
      <c r="Y361" s="89">
        <v>0</v>
      </c>
      <c r="Z361" s="94">
        <f t="shared" si="25"/>
        <v>0</v>
      </c>
      <c r="AA361" s="94">
        <f t="shared" si="26"/>
        <v>0</v>
      </c>
      <c r="AB361" s="89">
        <f t="shared" si="27"/>
        <v>0</v>
      </c>
      <c r="AC361" s="89">
        <f t="shared" si="28"/>
        <v>0</v>
      </c>
      <c r="AD361" s="89">
        <v>0</v>
      </c>
      <c r="AE361" s="89">
        <v>0</v>
      </c>
      <c r="AF361" s="117"/>
      <c r="AG361" s="117"/>
      <c r="AH361" s="262"/>
      <c r="AI361" s="17"/>
      <c r="AJ361" s="17"/>
      <c r="AK361" s="17"/>
      <c r="AL361" s="17"/>
      <c r="AM361" s="17"/>
      <c r="AN361" s="17"/>
      <c r="AO361" s="17"/>
      <c r="AP361" s="15" t="str">
        <f>IFERROR(VLOOKUP(AO361,Legend!$D$2:$E$26,2,0),"")</f>
        <v/>
      </c>
      <c r="AQ361" s="15"/>
      <c r="AR361" s="17"/>
      <c r="AS361" s="17"/>
      <c r="AT361" s="15"/>
      <c r="AU361" s="17"/>
      <c r="AV361" s="17"/>
      <c r="AW361" s="17" t="s">
        <v>10</v>
      </c>
      <c r="AX361" s="15"/>
      <c r="AY361" s="15"/>
    </row>
    <row r="362" spans="1:51" x14ac:dyDescent="0.25">
      <c r="A362" s="15"/>
      <c r="B362" s="15"/>
      <c r="C362" s="15"/>
      <c r="D362" s="15"/>
      <c r="E362" s="91"/>
      <c r="F362" s="15"/>
      <c r="G362" s="15"/>
      <c r="H362" s="15"/>
      <c r="I362" s="15"/>
      <c r="J362" s="15"/>
      <c r="K362" s="89"/>
      <c r="L362" s="15"/>
      <c r="M362" s="89">
        <v>0</v>
      </c>
      <c r="N362" s="89">
        <v>0</v>
      </c>
      <c r="O362" s="89">
        <v>0</v>
      </c>
      <c r="P362" s="94">
        <v>0</v>
      </c>
      <c r="Q362" s="94">
        <v>0</v>
      </c>
      <c r="R362" s="94">
        <v>0</v>
      </c>
      <c r="S362" s="94">
        <v>0</v>
      </c>
      <c r="T362" s="89">
        <v>0</v>
      </c>
      <c r="U362" s="89">
        <v>0</v>
      </c>
      <c r="V362" s="94">
        <v>0</v>
      </c>
      <c r="W362" s="94">
        <v>0</v>
      </c>
      <c r="X362" s="94">
        <v>0</v>
      </c>
      <c r="Y362" s="89">
        <v>0</v>
      </c>
      <c r="Z362" s="94">
        <f t="shared" si="25"/>
        <v>0</v>
      </c>
      <c r="AA362" s="94">
        <f t="shared" si="26"/>
        <v>0</v>
      </c>
      <c r="AB362" s="89">
        <f t="shared" si="27"/>
        <v>0</v>
      </c>
      <c r="AC362" s="89">
        <f t="shared" si="28"/>
        <v>0</v>
      </c>
      <c r="AD362" s="89">
        <v>0</v>
      </c>
      <c r="AE362" s="89">
        <v>0</v>
      </c>
      <c r="AF362" s="117"/>
      <c r="AG362" s="117"/>
      <c r="AH362" s="262"/>
      <c r="AI362" s="17"/>
      <c r="AJ362" s="17"/>
      <c r="AK362" s="17"/>
      <c r="AL362" s="17"/>
      <c r="AM362" s="17"/>
      <c r="AN362" s="17"/>
      <c r="AO362" s="17"/>
      <c r="AP362" s="15" t="str">
        <f>IFERROR(VLOOKUP(AO362,Legend!$D$2:$E$26,2,0),"")</f>
        <v/>
      </c>
      <c r="AQ362" s="15"/>
      <c r="AR362" s="17"/>
      <c r="AS362" s="17"/>
      <c r="AT362" s="15"/>
      <c r="AU362" s="17"/>
      <c r="AV362" s="17"/>
      <c r="AW362" s="17" t="s">
        <v>10</v>
      </c>
      <c r="AX362" s="15"/>
      <c r="AY362" s="15"/>
    </row>
    <row r="363" spans="1:51" x14ac:dyDescent="0.25">
      <c r="A363" s="15"/>
      <c r="B363" s="15"/>
      <c r="C363" s="15"/>
      <c r="D363" s="15"/>
      <c r="E363" s="91"/>
      <c r="F363" s="15"/>
      <c r="G363" s="15"/>
      <c r="H363" s="15"/>
      <c r="I363" s="15"/>
      <c r="J363" s="15"/>
      <c r="K363" s="89"/>
      <c r="L363" s="15"/>
      <c r="M363" s="89">
        <v>0</v>
      </c>
      <c r="N363" s="89">
        <v>0</v>
      </c>
      <c r="O363" s="89">
        <v>0</v>
      </c>
      <c r="P363" s="94">
        <v>0</v>
      </c>
      <c r="Q363" s="94">
        <v>0</v>
      </c>
      <c r="R363" s="94">
        <v>0</v>
      </c>
      <c r="S363" s="94">
        <v>0</v>
      </c>
      <c r="T363" s="89">
        <v>0</v>
      </c>
      <c r="U363" s="89">
        <v>0</v>
      </c>
      <c r="V363" s="94">
        <v>0</v>
      </c>
      <c r="W363" s="94">
        <v>0</v>
      </c>
      <c r="X363" s="94">
        <v>0</v>
      </c>
      <c r="Y363" s="89">
        <v>0</v>
      </c>
      <c r="Z363" s="94">
        <f t="shared" si="25"/>
        <v>0</v>
      </c>
      <c r="AA363" s="94">
        <f t="shared" si="26"/>
        <v>0</v>
      </c>
      <c r="AB363" s="89">
        <f t="shared" si="27"/>
        <v>0</v>
      </c>
      <c r="AC363" s="89">
        <f t="shared" si="28"/>
        <v>0</v>
      </c>
      <c r="AD363" s="89">
        <v>0</v>
      </c>
      <c r="AE363" s="89">
        <v>0</v>
      </c>
      <c r="AF363" s="117"/>
      <c r="AG363" s="117"/>
      <c r="AH363" s="262"/>
      <c r="AI363" s="17"/>
      <c r="AJ363" s="17"/>
      <c r="AK363" s="17"/>
      <c r="AL363" s="17"/>
      <c r="AM363" s="17"/>
      <c r="AN363" s="17"/>
      <c r="AO363" s="17"/>
      <c r="AP363" s="15" t="str">
        <f>IFERROR(VLOOKUP(AO363,Legend!$D$2:$E$26,2,0),"")</f>
        <v/>
      </c>
      <c r="AQ363" s="15"/>
      <c r="AR363" s="17"/>
      <c r="AS363" s="17"/>
      <c r="AT363" s="15"/>
      <c r="AU363" s="17"/>
      <c r="AV363" s="17"/>
      <c r="AW363" s="17" t="s">
        <v>10</v>
      </c>
      <c r="AX363" s="15"/>
      <c r="AY363" s="15"/>
    </row>
    <row r="364" spans="1:51" x14ac:dyDescent="0.25">
      <c r="A364" s="15"/>
      <c r="B364" s="15"/>
      <c r="C364" s="15"/>
      <c r="D364" s="15"/>
      <c r="E364" s="91"/>
      <c r="F364" s="15"/>
      <c r="G364" s="15"/>
      <c r="H364" s="15"/>
      <c r="I364" s="15"/>
      <c r="J364" s="15"/>
      <c r="K364" s="89"/>
      <c r="L364" s="15"/>
      <c r="M364" s="89">
        <v>0</v>
      </c>
      <c r="N364" s="89">
        <v>0</v>
      </c>
      <c r="O364" s="89">
        <v>0</v>
      </c>
      <c r="P364" s="94">
        <v>0</v>
      </c>
      <c r="Q364" s="94">
        <v>0</v>
      </c>
      <c r="R364" s="94">
        <v>0</v>
      </c>
      <c r="S364" s="94">
        <v>0</v>
      </c>
      <c r="T364" s="89">
        <v>0</v>
      </c>
      <c r="U364" s="89">
        <v>0</v>
      </c>
      <c r="V364" s="94">
        <v>0</v>
      </c>
      <c r="W364" s="94">
        <v>0</v>
      </c>
      <c r="X364" s="94">
        <v>0</v>
      </c>
      <c r="Y364" s="89">
        <v>0</v>
      </c>
      <c r="Z364" s="94">
        <f t="shared" si="25"/>
        <v>0</v>
      </c>
      <c r="AA364" s="94">
        <f t="shared" si="26"/>
        <v>0</v>
      </c>
      <c r="AB364" s="89">
        <f t="shared" si="27"/>
        <v>0</v>
      </c>
      <c r="AC364" s="89">
        <f t="shared" si="28"/>
        <v>0</v>
      </c>
      <c r="AD364" s="89">
        <v>0</v>
      </c>
      <c r="AE364" s="89">
        <v>0</v>
      </c>
      <c r="AF364" s="117"/>
      <c r="AG364" s="117"/>
      <c r="AH364" s="262"/>
      <c r="AI364" s="17"/>
      <c r="AJ364" s="17"/>
      <c r="AK364" s="17"/>
      <c r="AL364" s="17"/>
      <c r="AM364" s="17"/>
      <c r="AN364" s="17"/>
      <c r="AO364" s="17"/>
      <c r="AP364" s="15" t="str">
        <f>IFERROR(VLOOKUP(AO364,Legend!$D$2:$E$26,2,0),"")</f>
        <v/>
      </c>
      <c r="AQ364" s="15"/>
      <c r="AR364" s="17"/>
      <c r="AS364" s="17"/>
      <c r="AT364" s="15"/>
      <c r="AU364" s="17"/>
      <c r="AV364" s="17"/>
      <c r="AW364" s="17" t="s">
        <v>10</v>
      </c>
      <c r="AX364" s="15"/>
      <c r="AY364" s="15"/>
    </row>
    <row r="365" spans="1:51" x14ac:dyDescent="0.25">
      <c r="A365" s="15"/>
      <c r="B365" s="15"/>
      <c r="C365" s="15"/>
      <c r="D365" s="15"/>
      <c r="E365" s="91"/>
      <c r="F365" s="15"/>
      <c r="G365" s="15"/>
      <c r="H365" s="15"/>
      <c r="I365" s="15"/>
      <c r="J365" s="15"/>
      <c r="K365" s="89"/>
      <c r="L365" s="15"/>
      <c r="M365" s="89">
        <v>0</v>
      </c>
      <c r="N365" s="89">
        <v>0</v>
      </c>
      <c r="O365" s="89">
        <v>0</v>
      </c>
      <c r="P365" s="94">
        <v>0</v>
      </c>
      <c r="Q365" s="94">
        <v>0</v>
      </c>
      <c r="R365" s="94">
        <v>0</v>
      </c>
      <c r="S365" s="94">
        <v>0</v>
      </c>
      <c r="T365" s="89">
        <v>0</v>
      </c>
      <c r="U365" s="89">
        <v>0</v>
      </c>
      <c r="V365" s="94">
        <v>0</v>
      </c>
      <c r="W365" s="94">
        <v>0</v>
      </c>
      <c r="X365" s="94">
        <v>0</v>
      </c>
      <c r="Y365" s="89">
        <v>0</v>
      </c>
      <c r="Z365" s="94">
        <f t="shared" si="25"/>
        <v>0</v>
      </c>
      <c r="AA365" s="94">
        <f t="shared" si="26"/>
        <v>0</v>
      </c>
      <c r="AB365" s="89">
        <f t="shared" si="27"/>
        <v>0</v>
      </c>
      <c r="AC365" s="89">
        <f t="shared" si="28"/>
        <v>0</v>
      </c>
      <c r="AD365" s="89">
        <v>0</v>
      </c>
      <c r="AE365" s="89">
        <v>0</v>
      </c>
      <c r="AF365" s="117"/>
      <c r="AG365" s="117"/>
      <c r="AH365" s="262"/>
      <c r="AI365" s="17"/>
      <c r="AJ365" s="17"/>
      <c r="AK365" s="17"/>
      <c r="AL365" s="17"/>
      <c r="AM365" s="17"/>
      <c r="AN365" s="17"/>
      <c r="AO365" s="17"/>
      <c r="AP365" s="15" t="str">
        <f>IFERROR(VLOOKUP(AO365,Legend!$D$2:$E$26,2,0),"")</f>
        <v/>
      </c>
      <c r="AQ365" s="15"/>
      <c r="AR365" s="17"/>
      <c r="AS365" s="17"/>
      <c r="AT365" s="15"/>
      <c r="AU365" s="17"/>
      <c r="AV365" s="17"/>
      <c r="AW365" s="17" t="s">
        <v>10</v>
      </c>
      <c r="AX365" s="15"/>
      <c r="AY365" s="15"/>
    </row>
    <row r="366" spans="1:51" x14ac:dyDescent="0.25">
      <c r="A366" s="15"/>
      <c r="B366" s="15"/>
      <c r="C366" s="15"/>
      <c r="D366" s="15"/>
      <c r="E366" s="91"/>
      <c r="F366" s="15"/>
      <c r="G366" s="15"/>
      <c r="H366" s="15"/>
      <c r="I366" s="15"/>
      <c r="J366" s="15"/>
      <c r="K366" s="89"/>
      <c r="L366" s="15"/>
      <c r="M366" s="89">
        <v>0</v>
      </c>
      <c r="N366" s="89">
        <v>0</v>
      </c>
      <c r="O366" s="89">
        <v>0</v>
      </c>
      <c r="P366" s="94">
        <v>0</v>
      </c>
      <c r="Q366" s="94">
        <v>0</v>
      </c>
      <c r="R366" s="94">
        <v>0</v>
      </c>
      <c r="S366" s="94">
        <v>0</v>
      </c>
      <c r="T366" s="89">
        <v>0</v>
      </c>
      <c r="U366" s="89">
        <v>0</v>
      </c>
      <c r="V366" s="94">
        <v>0</v>
      </c>
      <c r="W366" s="94">
        <v>0</v>
      </c>
      <c r="X366" s="94">
        <v>0</v>
      </c>
      <c r="Y366" s="89">
        <v>0</v>
      </c>
      <c r="Z366" s="94">
        <f t="shared" si="25"/>
        <v>0</v>
      </c>
      <c r="AA366" s="94">
        <f t="shared" si="26"/>
        <v>0</v>
      </c>
      <c r="AB366" s="89">
        <f t="shared" si="27"/>
        <v>0</v>
      </c>
      <c r="AC366" s="89">
        <f t="shared" si="28"/>
        <v>0</v>
      </c>
      <c r="AD366" s="89">
        <v>0</v>
      </c>
      <c r="AE366" s="89">
        <v>0</v>
      </c>
      <c r="AF366" s="117"/>
      <c r="AG366" s="117"/>
      <c r="AH366" s="262"/>
      <c r="AI366" s="17"/>
      <c r="AJ366" s="17"/>
      <c r="AK366" s="17"/>
      <c r="AL366" s="17"/>
      <c r="AM366" s="17"/>
      <c r="AN366" s="17"/>
      <c r="AO366" s="17"/>
      <c r="AP366" s="15" t="str">
        <f>IFERROR(VLOOKUP(AO366,Legend!$D$2:$E$26,2,0),"")</f>
        <v/>
      </c>
      <c r="AQ366" s="15"/>
      <c r="AR366" s="17"/>
      <c r="AS366" s="17"/>
      <c r="AT366" s="15"/>
      <c r="AU366" s="17"/>
      <c r="AV366" s="17"/>
      <c r="AW366" s="17" t="s">
        <v>10</v>
      </c>
      <c r="AX366" s="15"/>
      <c r="AY366" s="15"/>
    </row>
    <row r="367" spans="1:51" x14ac:dyDescent="0.25">
      <c r="A367" s="15"/>
      <c r="B367" s="15"/>
      <c r="C367" s="15"/>
      <c r="D367" s="15"/>
      <c r="E367" s="91"/>
      <c r="F367" s="15"/>
      <c r="G367" s="15"/>
      <c r="H367" s="15"/>
      <c r="I367" s="15"/>
      <c r="J367" s="15"/>
      <c r="K367" s="89"/>
      <c r="L367" s="15"/>
      <c r="M367" s="89">
        <v>0</v>
      </c>
      <c r="N367" s="89">
        <v>0</v>
      </c>
      <c r="O367" s="89">
        <v>0</v>
      </c>
      <c r="P367" s="94">
        <v>0</v>
      </c>
      <c r="Q367" s="94">
        <v>0</v>
      </c>
      <c r="R367" s="94">
        <v>0</v>
      </c>
      <c r="S367" s="94">
        <v>0</v>
      </c>
      <c r="T367" s="89">
        <v>0</v>
      </c>
      <c r="U367" s="89">
        <v>0</v>
      </c>
      <c r="V367" s="94">
        <v>0</v>
      </c>
      <c r="W367" s="94">
        <v>0</v>
      </c>
      <c r="X367" s="94">
        <v>0</v>
      </c>
      <c r="Y367" s="89">
        <v>0</v>
      </c>
      <c r="Z367" s="94">
        <f t="shared" si="25"/>
        <v>0</v>
      </c>
      <c r="AA367" s="94">
        <f t="shared" si="26"/>
        <v>0</v>
      </c>
      <c r="AB367" s="89">
        <f t="shared" si="27"/>
        <v>0</v>
      </c>
      <c r="AC367" s="89">
        <f t="shared" si="28"/>
        <v>0</v>
      </c>
      <c r="AD367" s="89">
        <v>0</v>
      </c>
      <c r="AE367" s="89">
        <v>0</v>
      </c>
      <c r="AF367" s="117"/>
      <c r="AG367" s="117"/>
      <c r="AH367" s="262"/>
      <c r="AI367" s="17"/>
      <c r="AJ367" s="17"/>
      <c r="AK367" s="17"/>
      <c r="AL367" s="17"/>
      <c r="AM367" s="17"/>
      <c r="AN367" s="17"/>
      <c r="AO367" s="17"/>
      <c r="AP367" s="15" t="str">
        <f>IFERROR(VLOOKUP(AO367,Legend!$D$2:$E$26,2,0),"")</f>
        <v/>
      </c>
      <c r="AQ367" s="15"/>
      <c r="AR367" s="17"/>
      <c r="AS367" s="17"/>
      <c r="AT367" s="15"/>
      <c r="AU367" s="17"/>
      <c r="AV367" s="17"/>
      <c r="AW367" s="17" t="s">
        <v>10</v>
      </c>
      <c r="AX367" s="15"/>
      <c r="AY367" s="15"/>
    </row>
    <row r="368" spans="1:51" x14ac:dyDescent="0.25">
      <c r="A368" s="15"/>
      <c r="B368" s="15"/>
      <c r="C368" s="15"/>
      <c r="D368" s="15"/>
      <c r="E368" s="91"/>
      <c r="F368" s="15"/>
      <c r="G368" s="15"/>
      <c r="H368" s="15"/>
      <c r="I368" s="15"/>
      <c r="J368" s="15"/>
      <c r="K368" s="89"/>
      <c r="L368" s="15"/>
      <c r="M368" s="89">
        <v>0</v>
      </c>
      <c r="N368" s="89">
        <v>0</v>
      </c>
      <c r="O368" s="89">
        <v>0</v>
      </c>
      <c r="P368" s="94">
        <v>0</v>
      </c>
      <c r="Q368" s="94">
        <v>0</v>
      </c>
      <c r="R368" s="94">
        <v>0</v>
      </c>
      <c r="S368" s="94">
        <v>0</v>
      </c>
      <c r="T368" s="89">
        <v>0</v>
      </c>
      <c r="U368" s="89">
        <v>0</v>
      </c>
      <c r="V368" s="94">
        <v>0</v>
      </c>
      <c r="W368" s="94">
        <v>0</v>
      </c>
      <c r="X368" s="94">
        <v>0</v>
      </c>
      <c r="Y368" s="89">
        <v>0</v>
      </c>
      <c r="Z368" s="94">
        <f t="shared" si="25"/>
        <v>0</v>
      </c>
      <c r="AA368" s="94">
        <f t="shared" si="26"/>
        <v>0</v>
      </c>
      <c r="AB368" s="89">
        <f t="shared" si="27"/>
        <v>0</v>
      </c>
      <c r="AC368" s="89">
        <f t="shared" si="28"/>
        <v>0</v>
      </c>
      <c r="AD368" s="89">
        <v>0</v>
      </c>
      <c r="AE368" s="89">
        <v>0</v>
      </c>
      <c r="AF368" s="117"/>
      <c r="AG368" s="117"/>
      <c r="AH368" s="262"/>
      <c r="AI368" s="17"/>
      <c r="AJ368" s="17"/>
      <c r="AK368" s="17"/>
      <c r="AL368" s="17"/>
      <c r="AM368" s="17"/>
      <c r="AN368" s="17"/>
      <c r="AO368" s="17"/>
      <c r="AP368" s="15" t="str">
        <f>IFERROR(VLOOKUP(AO368,Legend!$D$2:$E$26,2,0),"")</f>
        <v/>
      </c>
      <c r="AQ368" s="15"/>
      <c r="AR368" s="17"/>
      <c r="AS368" s="17"/>
      <c r="AT368" s="15"/>
      <c r="AU368" s="17"/>
      <c r="AV368" s="17"/>
      <c r="AW368" s="17" t="s">
        <v>10</v>
      </c>
      <c r="AX368" s="15"/>
      <c r="AY368" s="15"/>
    </row>
    <row r="369" spans="1:51" x14ac:dyDescent="0.25">
      <c r="A369" s="15"/>
      <c r="B369" s="15"/>
      <c r="C369" s="15"/>
      <c r="D369" s="15"/>
      <c r="E369" s="91"/>
      <c r="F369" s="15"/>
      <c r="G369" s="15"/>
      <c r="H369" s="15"/>
      <c r="I369" s="15"/>
      <c r="J369" s="15"/>
      <c r="K369" s="89"/>
      <c r="L369" s="15"/>
      <c r="M369" s="89">
        <v>0</v>
      </c>
      <c r="N369" s="89">
        <v>0</v>
      </c>
      <c r="O369" s="89">
        <v>0</v>
      </c>
      <c r="P369" s="94">
        <v>0</v>
      </c>
      <c r="Q369" s="94">
        <v>0</v>
      </c>
      <c r="R369" s="94">
        <v>0</v>
      </c>
      <c r="S369" s="94">
        <v>0</v>
      </c>
      <c r="T369" s="89">
        <v>0</v>
      </c>
      <c r="U369" s="89">
        <v>0</v>
      </c>
      <c r="V369" s="94">
        <v>0</v>
      </c>
      <c r="W369" s="94">
        <v>0</v>
      </c>
      <c r="X369" s="94">
        <v>0</v>
      </c>
      <c r="Y369" s="89">
        <v>0</v>
      </c>
      <c r="Z369" s="94">
        <f t="shared" si="25"/>
        <v>0</v>
      </c>
      <c r="AA369" s="94">
        <f t="shared" si="26"/>
        <v>0</v>
      </c>
      <c r="AB369" s="89">
        <f t="shared" si="27"/>
        <v>0</v>
      </c>
      <c r="AC369" s="89">
        <f t="shared" si="28"/>
        <v>0</v>
      </c>
      <c r="AD369" s="89">
        <v>0</v>
      </c>
      <c r="AE369" s="89">
        <v>0</v>
      </c>
      <c r="AF369" s="117"/>
      <c r="AG369" s="117"/>
      <c r="AH369" s="262"/>
      <c r="AI369" s="17"/>
      <c r="AJ369" s="17"/>
      <c r="AK369" s="17"/>
      <c r="AL369" s="17"/>
      <c r="AM369" s="17"/>
      <c r="AN369" s="17"/>
      <c r="AO369" s="17"/>
      <c r="AP369" s="15" t="str">
        <f>IFERROR(VLOOKUP(AO369,Legend!$D$2:$E$26,2,0),"")</f>
        <v/>
      </c>
      <c r="AQ369" s="15"/>
      <c r="AR369" s="17"/>
      <c r="AS369" s="17"/>
      <c r="AT369" s="15"/>
      <c r="AU369" s="17"/>
      <c r="AV369" s="17"/>
      <c r="AW369" s="17" t="s">
        <v>10</v>
      </c>
      <c r="AX369" s="15"/>
      <c r="AY369" s="15"/>
    </row>
    <row r="370" spans="1:51" x14ac:dyDescent="0.25">
      <c r="A370" s="15"/>
      <c r="B370" s="15"/>
      <c r="C370" s="15"/>
      <c r="D370" s="15"/>
      <c r="E370" s="91"/>
      <c r="F370" s="15"/>
      <c r="G370" s="15"/>
      <c r="H370" s="15"/>
      <c r="I370" s="15"/>
      <c r="J370" s="15"/>
      <c r="K370" s="89"/>
      <c r="L370" s="15"/>
      <c r="M370" s="89">
        <v>0</v>
      </c>
      <c r="N370" s="89">
        <v>0</v>
      </c>
      <c r="O370" s="89">
        <v>0</v>
      </c>
      <c r="P370" s="94">
        <v>0</v>
      </c>
      <c r="Q370" s="94">
        <v>0</v>
      </c>
      <c r="R370" s="94">
        <v>0</v>
      </c>
      <c r="S370" s="94">
        <v>0</v>
      </c>
      <c r="T370" s="89">
        <v>0</v>
      </c>
      <c r="U370" s="89">
        <v>0</v>
      </c>
      <c r="V370" s="94">
        <v>0</v>
      </c>
      <c r="W370" s="94">
        <v>0</v>
      </c>
      <c r="X370" s="94">
        <v>0</v>
      </c>
      <c r="Y370" s="89">
        <v>0</v>
      </c>
      <c r="Z370" s="94">
        <f t="shared" si="25"/>
        <v>0</v>
      </c>
      <c r="AA370" s="94">
        <f t="shared" si="26"/>
        <v>0</v>
      </c>
      <c r="AB370" s="89">
        <f t="shared" si="27"/>
        <v>0</v>
      </c>
      <c r="AC370" s="89">
        <f t="shared" si="28"/>
        <v>0</v>
      </c>
      <c r="AD370" s="89">
        <v>0</v>
      </c>
      <c r="AE370" s="89">
        <v>0</v>
      </c>
      <c r="AF370" s="117"/>
      <c r="AG370" s="117"/>
      <c r="AH370" s="262"/>
      <c r="AI370" s="17"/>
      <c r="AJ370" s="17"/>
      <c r="AK370" s="17"/>
      <c r="AL370" s="17"/>
      <c r="AM370" s="17"/>
      <c r="AN370" s="17"/>
      <c r="AO370" s="17"/>
      <c r="AP370" s="15" t="str">
        <f>IFERROR(VLOOKUP(AO370,Legend!$D$2:$E$26,2,0),"")</f>
        <v/>
      </c>
      <c r="AQ370" s="15"/>
      <c r="AR370" s="17"/>
      <c r="AS370" s="17"/>
      <c r="AT370" s="15"/>
      <c r="AU370" s="17"/>
      <c r="AV370" s="17"/>
      <c r="AW370" s="17" t="s">
        <v>10</v>
      </c>
      <c r="AX370" s="15"/>
      <c r="AY370" s="15"/>
    </row>
    <row r="371" spans="1:51" x14ac:dyDescent="0.25">
      <c r="A371" s="15"/>
      <c r="B371" s="15"/>
      <c r="C371" s="15"/>
      <c r="D371" s="15"/>
      <c r="E371" s="91"/>
      <c r="F371" s="15"/>
      <c r="G371" s="15"/>
      <c r="H371" s="15"/>
      <c r="I371" s="15"/>
      <c r="J371" s="15"/>
      <c r="K371" s="89"/>
      <c r="L371" s="15"/>
      <c r="M371" s="89">
        <v>0</v>
      </c>
      <c r="N371" s="89">
        <v>0</v>
      </c>
      <c r="O371" s="89">
        <v>0</v>
      </c>
      <c r="P371" s="94">
        <v>0</v>
      </c>
      <c r="Q371" s="94">
        <v>0</v>
      </c>
      <c r="R371" s="94">
        <v>0</v>
      </c>
      <c r="S371" s="94">
        <v>0</v>
      </c>
      <c r="T371" s="89">
        <v>0</v>
      </c>
      <c r="U371" s="89">
        <v>0</v>
      </c>
      <c r="V371" s="94">
        <v>0</v>
      </c>
      <c r="W371" s="94">
        <v>0</v>
      </c>
      <c r="X371" s="94">
        <v>0</v>
      </c>
      <c r="Y371" s="89">
        <v>0</v>
      </c>
      <c r="Z371" s="94">
        <f t="shared" si="25"/>
        <v>0</v>
      </c>
      <c r="AA371" s="94">
        <f t="shared" si="26"/>
        <v>0</v>
      </c>
      <c r="AB371" s="89">
        <f t="shared" si="27"/>
        <v>0</v>
      </c>
      <c r="AC371" s="89">
        <f t="shared" si="28"/>
        <v>0</v>
      </c>
      <c r="AD371" s="89">
        <v>0</v>
      </c>
      <c r="AE371" s="89">
        <v>0</v>
      </c>
      <c r="AF371" s="117"/>
      <c r="AG371" s="117"/>
      <c r="AH371" s="262"/>
      <c r="AI371" s="17"/>
      <c r="AJ371" s="17"/>
      <c r="AK371" s="17"/>
      <c r="AL371" s="17"/>
      <c r="AM371" s="17"/>
      <c r="AN371" s="17"/>
      <c r="AO371" s="17"/>
      <c r="AP371" s="15" t="str">
        <f>IFERROR(VLOOKUP(AO371,Legend!$D$2:$E$26,2,0),"")</f>
        <v/>
      </c>
      <c r="AQ371" s="15"/>
      <c r="AR371" s="17"/>
      <c r="AS371" s="17"/>
      <c r="AT371" s="15"/>
      <c r="AU371" s="17"/>
      <c r="AV371" s="17"/>
      <c r="AW371" s="17" t="s">
        <v>10</v>
      </c>
      <c r="AX371" s="15"/>
      <c r="AY371" s="15"/>
    </row>
    <row r="372" spans="1:51" x14ac:dyDescent="0.25">
      <c r="A372" s="15"/>
      <c r="B372" s="15"/>
      <c r="C372" s="15"/>
      <c r="D372" s="15"/>
      <c r="E372" s="91"/>
      <c r="F372" s="15"/>
      <c r="G372" s="15"/>
      <c r="H372" s="15"/>
      <c r="I372" s="15"/>
      <c r="J372" s="15"/>
      <c r="K372" s="89"/>
      <c r="L372" s="15"/>
      <c r="M372" s="89">
        <v>0</v>
      </c>
      <c r="N372" s="89">
        <v>0</v>
      </c>
      <c r="O372" s="89">
        <v>0</v>
      </c>
      <c r="P372" s="94">
        <v>0</v>
      </c>
      <c r="Q372" s="94">
        <v>0</v>
      </c>
      <c r="R372" s="94">
        <v>0</v>
      </c>
      <c r="S372" s="94">
        <v>0</v>
      </c>
      <c r="T372" s="89">
        <v>0</v>
      </c>
      <c r="U372" s="89">
        <v>0</v>
      </c>
      <c r="V372" s="94">
        <v>0</v>
      </c>
      <c r="W372" s="94">
        <v>0</v>
      </c>
      <c r="X372" s="94">
        <v>0</v>
      </c>
      <c r="Y372" s="89">
        <v>0</v>
      </c>
      <c r="Z372" s="94">
        <f t="shared" si="25"/>
        <v>0</v>
      </c>
      <c r="AA372" s="94">
        <f t="shared" si="26"/>
        <v>0</v>
      </c>
      <c r="AB372" s="89">
        <f t="shared" si="27"/>
        <v>0</v>
      </c>
      <c r="AC372" s="89">
        <f t="shared" si="28"/>
        <v>0</v>
      </c>
      <c r="AD372" s="89">
        <v>0</v>
      </c>
      <c r="AE372" s="89">
        <v>0</v>
      </c>
      <c r="AF372" s="117"/>
      <c r="AG372" s="117"/>
      <c r="AH372" s="262"/>
      <c r="AI372" s="17"/>
      <c r="AJ372" s="17"/>
      <c r="AK372" s="17"/>
      <c r="AL372" s="17"/>
      <c r="AM372" s="17"/>
      <c r="AN372" s="17"/>
      <c r="AO372" s="17"/>
      <c r="AP372" s="15" t="str">
        <f>IFERROR(VLOOKUP(AO372,Legend!$D$2:$E$26,2,0),"")</f>
        <v/>
      </c>
      <c r="AQ372" s="15"/>
      <c r="AR372" s="17"/>
      <c r="AS372" s="17"/>
      <c r="AT372" s="15"/>
      <c r="AU372" s="17"/>
      <c r="AV372" s="17"/>
      <c r="AW372" s="17" t="s">
        <v>10</v>
      </c>
      <c r="AX372" s="15"/>
      <c r="AY372" s="15"/>
    </row>
    <row r="373" spans="1:51" x14ac:dyDescent="0.25">
      <c r="A373" s="15"/>
      <c r="B373" s="15"/>
      <c r="C373" s="15"/>
      <c r="D373" s="15"/>
      <c r="E373" s="91"/>
      <c r="F373" s="15"/>
      <c r="G373" s="15"/>
      <c r="H373" s="15"/>
      <c r="I373" s="15"/>
      <c r="J373" s="15"/>
      <c r="K373" s="89"/>
      <c r="L373" s="15"/>
      <c r="M373" s="89">
        <v>0</v>
      </c>
      <c r="N373" s="89">
        <v>0</v>
      </c>
      <c r="O373" s="89">
        <v>0</v>
      </c>
      <c r="P373" s="94">
        <v>0</v>
      </c>
      <c r="Q373" s="94">
        <v>0</v>
      </c>
      <c r="R373" s="94">
        <v>0</v>
      </c>
      <c r="S373" s="94">
        <v>0</v>
      </c>
      <c r="T373" s="89">
        <v>0</v>
      </c>
      <c r="U373" s="89">
        <v>0</v>
      </c>
      <c r="V373" s="94">
        <v>0</v>
      </c>
      <c r="W373" s="94">
        <v>0</v>
      </c>
      <c r="X373" s="94">
        <v>0</v>
      </c>
      <c r="Y373" s="89">
        <v>0</v>
      </c>
      <c r="Z373" s="94">
        <f t="shared" si="25"/>
        <v>0</v>
      </c>
      <c r="AA373" s="94">
        <f t="shared" si="26"/>
        <v>0</v>
      </c>
      <c r="AB373" s="89">
        <f t="shared" si="27"/>
        <v>0</v>
      </c>
      <c r="AC373" s="89">
        <f t="shared" si="28"/>
        <v>0</v>
      </c>
      <c r="AD373" s="89">
        <v>0</v>
      </c>
      <c r="AE373" s="89">
        <v>0</v>
      </c>
      <c r="AF373" s="117"/>
      <c r="AG373" s="117"/>
      <c r="AH373" s="262"/>
      <c r="AI373" s="17"/>
      <c r="AJ373" s="17"/>
      <c r="AK373" s="17"/>
      <c r="AL373" s="17"/>
      <c r="AM373" s="17"/>
      <c r="AN373" s="17"/>
      <c r="AO373" s="17"/>
      <c r="AP373" s="15" t="str">
        <f>IFERROR(VLOOKUP(AO373,Legend!$D$2:$E$26,2,0),"")</f>
        <v/>
      </c>
      <c r="AQ373" s="15"/>
      <c r="AR373" s="17"/>
      <c r="AS373" s="17"/>
      <c r="AT373" s="15"/>
      <c r="AU373" s="17"/>
      <c r="AV373" s="17"/>
      <c r="AW373" s="17" t="s">
        <v>10</v>
      </c>
      <c r="AX373" s="15"/>
      <c r="AY373" s="15"/>
    </row>
    <row r="374" spans="1:51" x14ac:dyDescent="0.25">
      <c r="A374" s="15"/>
      <c r="B374" s="15"/>
      <c r="C374" s="15"/>
      <c r="D374" s="15"/>
      <c r="E374" s="91"/>
      <c r="F374" s="15"/>
      <c r="G374" s="15"/>
      <c r="H374" s="15"/>
      <c r="I374" s="15"/>
      <c r="J374" s="15"/>
      <c r="K374" s="89"/>
      <c r="L374" s="15"/>
      <c r="M374" s="89">
        <v>0</v>
      </c>
      <c r="N374" s="89">
        <v>0</v>
      </c>
      <c r="O374" s="89">
        <v>0</v>
      </c>
      <c r="P374" s="94">
        <v>0</v>
      </c>
      <c r="Q374" s="94">
        <v>0</v>
      </c>
      <c r="R374" s="94">
        <v>0</v>
      </c>
      <c r="S374" s="94">
        <v>0</v>
      </c>
      <c r="T374" s="89">
        <v>0</v>
      </c>
      <c r="U374" s="89">
        <v>0</v>
      </c>
      <c r="V374" s="94">
        <v>0</v>
      </c>
      <c r="W374" s="94">
        <v>0</v>
      </c>
      <c r="X374" s="94">
        <v>0</v>
      </c>
      <c r="Y374" s="89">
        <v>0</v>
      </c>
      <c r="Z374" s="94">
        <f t="shared" si="25"/>
        <v>0</v>
      </c>
      <c r="AA374" s="94">
        <f t="shared" si="26"/>
        <v>0</v>
      </c>
      <c r="AB374" s="89">
        <f t="shared" si="27"/>
        <v>0</v>
      </c>
      <c r="AC374" s="89">
        <f t="shared" si="28"/>
        <v>0</v>
      </c>
      <c r="AD374" s="89">
        <v>0</v>
      </c>
      <c r="AE374" s="89">
        <v>0</v>
      </c>
      <c r="AF374" s="117"/>
      <c r="AG374" s="117"/>
      <c r="AH374" s="262"/>
      <c r="AI374" s="17"/>
      <c r="AJ374" s="17"/>
      <c r="AK374" s="17"/>
      <c r="AL374" s="17"/>
      <c r="AM374" s="17"/>
      <c r="AN374" s="17"/>
      <c r="AO374" s="17"/>
      <c r="AP374" s="15" t="str">
        <f>IFERROR(VLOOKUP(AO374,Legend!$D$2:$E$26,2,0),"")</f>
        <v/>
      </c>
      <c r="AQ374" s="15"/>
      <c r="AR374" s="17"/>
      <c r="AS374" s="17"/>
      <c r="AT374" s="15"/>
      <c r="AU374" s="17"/>
      <c r="AV374" s="17"/>
      <c r="AW374" s="17" t="s">
        <v>10</v>
      </c>
      <c r="AX374" s="15"/>
      <c r="AY374" s="15"/>
    </row>
    <row r="375" spans="1:51" x14ac:dyDescent="0.25">
      <c r="A375" s="15"/>
      <c r="B375" s="15"/>
      <c r="C375" s="15"/>
      <c r="D375" s="15"/>
      <c r="E375" s="91"/>
      <c r="F375" s="15"/>
      <c r="G375" s="15"/>
      <c r="H375" s="15"/>
      <c r="I375" s="15"/>
      <c r="J375" s="15"/>
      <c r="K375" s="89"/>
      <c r="L375" s="15"/>
      <c r="M375" s="89">
        <v>0</v>
      </c>
      <c r="N375" s="89">
        <v>0</v>
      </c>
      <c r="O375" s="89">
        <v>0</v>
      </c>
      <c r="P375" s="94">
        <v>0</v>
      </c>
      <c r="Q375" s="94">
        <v>0</v>
      </c>
      <c r="R375" s="94">
        <v>0</v>
      </c>
      <c r="S375" s="94">
        <v>0</v>
      </c>
      <c r="T375" s="89">
        <v>0</v>
      </c>
      <c r="U375" s="89">
        <v>0</v>
      </c>
      <c r="V375" s="94">
        <v>0</v>
      </c>
      <c r="W375" s="94">
        <v>0</v>
      </c>
      <c r="X375" s="94">
        <v>0</v>
      </c>
      <c r="Y375" s="89">
        <v>0</v>
      </c>
      <c r="Z375" s="94">
        <f t="shared" si="25"/>
        <v>0</v>
      </c>
      <c r="AA375" s="94">
        <f t="shared" si="26"/>
        <v>0</v>
      </c>
      <c r="AB375" s="89">
        <f t="shared" si="27"/>
        <v>0</v>
      </c>
      <c r="AC375" s="89">
        <f t="shared" si="28"/>
        <v>0</v>
      </c>
      <c r="AD375" s="89">
        <v>0</v>
      </c>
      <c r="AE375" s="89">
        <v>0</v>
      </c>
      <c r="AF375" s="117"/>
      <c r="AG375" s="117"/>
      <c r="AH375" s="262"/>
      <c r="AI375" s="17"/>
      <c r="AJ375" s="17"/>
      <c r="AK375" s="17"/>
      <c r="AL375" s="17"/>
      <c r="AM375" s="17"/>
      <c r="AN375" s="17"/>
      <c r="AO375" s="17"/>
      <c r="AP375" s="15" t="str">
        <f>IFERROR(VLOOKUP(AO375,Legend!$D$2:$E$26,2,0),"")</f>
        <v/>
      </c>
      <c r="AQ375" s="15"/>
      <c r="AR375" s="17"/>
      <c r="AS375" s="17"/>
      <c r="AT375" s="15"/>
      <c r="AU375" s="17"/>
      <c r="AV375" s="17"/>
      <c r="AW375" s="17" t="s">
        <v>10</v>
      </c>
      <c r="AX375" s="15"/>
      <c r="AY375" s="15"/>
    </row>
    <row r="376" spans="1:51" x14ac:dyDescent="0.25">
      <c r="A376" s="15"/>
      <c r="B376" s="15"/>
      <c r="C376" s="15"/>
      <c r="D376" s="15"/>
      <c r="E376" s="91"/>
      <c r="F376" s="15"/>
      <c r="G376" s="15"/>
      <c r="H376" s="15"/>
      <c r="I376" s="15"/>
      <c r="J376" s="15"/>
      <c r="K376" s="89"/>
      <c r="L376" s="15"/>
      <c r="M376" s="89">
        <v>0</v>
      </c>
      <c r="N376" s="89">
        <v>0</v>
      </c>
      <c r="O376" s="89">
        <v>0</v>
      </c>
      <c r="P376" s="94">
        <v>0</v>
      </c>
      <c r="Q376" s="94">
        <v>0</v>
      </c>
      <c r="R376" s="94">
        <v>0</v>
      </c>
      <c r="S376" s="94">
        <v>0</v>
      </c>
      <c r="T376" s="89">
        <v>0</v>
      </c>
      <c r="U376" s="89">
        <v>0</v>
      </c>
      <c r="V376" s="94">
        <v>0</v>
      </c>
      <c r="W376" s="94">
        <v>0</v>
      </c>
      <c r="X376" s="94">
        <v>0</v>
      </c>
      <c r="Y376" s="89">
        <v>0</v>
      </c>
      <c r="Z376" s="94">
        <f t="shared" si="25"/>
        <v>0</v>
      </c>
      <c r="AA376" s="94">
        <f t="shared" si="26"/>
        <v>0</v>
      </c>
      <c r="AB376" s="89">
        <f t="shared" si="27"/>
        <v>0</v>
      </c>
      <c r="AC376" s="89">
        <f t="shared" si="28"/>
        <v>0</v>
      </c>
      <c r="AD376" s="89">
        <v>0</v>
      </c>
      <c r="AE376" s="89">
        <v>0</v>
      </c>
      <c r="AF376" s="117"/>
      <c r="AG376" s="117"/>
      <c r="AH376" s="262"/>
      <c r="AI376" s="17"/>
      <c r="AJ376" s="17"/>
      <c r="AK376" s="17"/>
      <c r="AL376" s="17"/>
      <c r="AM376" s="17"/>
      <c r="AN376" s="17"/>
      <c r="AO376" s="17"/>
      <c r="AP376" s="15" t="str">
        <f>IFERROR(VLOOKUP(AO376,Legend!$D$2:$E$26,2,0),"")</f>
        <v/>
      </c>
      <c r="AQ376" s="15"/>
      <c r="AR376" s="17"/>
      <c r="AS376" s="17"/>
      <c r="AT376" s="15"/>
      <c r="AU376" s="17"/>
      <c r="AV376" s="17"/>
      <c r="AW376" s="17" t="s">
        <v>10</v>
      </c>
      <c r="AX376" s="15"/>
      <c r="AY376" s="15"/>
    </row>
    <row r="377" spans="1:51" x14ac:dyDescent="0.25">
      <c r="A377" s="15"/>
      <c r="B377" s="15"/>
      <c r="C377" s="15"/>
      <c r="D377" s="15"/>
      <c r="E377" s="91"/>
      <c r="F377" s="15"/>
      <c r="G377" s="15"/>
      <c r="H377" s="15"/>
      <c r="I377" s="15"/>
      <c r="J377" s="15"/>
      <c r="K377" s="89"/>
      <c r="L377" s="15"/>
      <c r="M377" s="89">
        <v>0</v>
      </c>
      <c r="N377" s="89">
        <v>0</v>
      </c>
      <c r="O377" s="89">
        <v>0</v>
      </c>
      <c r="P377" s="94">
        <v>0</v>
      </c>
      <c r="Q377" s="94">
        <v>0</v>
      </c>
      <c r="R377" s="94">
        <v>0</v>
      </c>
      <c r="S377" s="94">
        <v>0</v>
      </c>
      <c r="T377" s="89">
        <v>0</v>
      </c>
      <c r="U377" s="89">
        <v>0</v>
      </c>
      <c r="V377" s="94">
        <v>0</v>
      </c>
      <c r="W377" s="94">
        <v>0</v>
      </c>
      <c r="X377" s="94">
        <v>0</v>
      </c>
      <c r="Y377" s="89">
        <v>0</v>
      </c>
      <c r="Z377" s="94">
        <f t="shared" si="25"/>
        <v>0</v>
      </c>
      <c r="AA377" s="94">
        <f t="shared" si="26"/>
        <v>0</v>
      </c>
      <c r="AB377" s="89">
        <f t="shared" si="27"/>
        <v>0</v>
      </c>
      <c r="AC377" s="89">
        <f t="shared" si="28"/>
        <v>0</v>
      </c>
      <c r="AD377" s="89">
        <v>0</v>
      </c>
      <c r="AE377" s="89">
        <v>0</v>
      </c>
      <c r="AF377" s="117"/>
      <c r="AG377" s="117"/>
      <c r="AH377" s="262"/>
      <c r="AI377" s="17"/>
      <c r="AJ377" s="17"/>
      <c r="AK377" s="17"/>
      <c r="AL377" s="17"/>
      <c r="AM377" s="17"/>
      <c r="AN377" s="17"/>
      <c r="AO377" s="17"/>
      <c r="AP377" s="15" t="str">
        <f>IFERROR(VLOOKUP(AO377,Legend!$D$2:$E$26,2,0),"")</f>
        <v/>
      </c>
      <c r="AQ377" s="15"/>
      <c r="AR377" s="17"/>
      <c r="AS377" s="17"/>
      <c r="AT377" s="15"/>
      <c r="AU377" s="17"/>
      <c r="AV377" s="17"/>
      <c r="AW377" s="17" t="s">
        <v>10</v>
      </c>
      <c r="AX377" s="15"/>
      <c r="AY377" s="15"/>
    </row>
    <row r="378" spans="1:51" x14ac:dyDescent="0.25">
      <c r="A378" s="15"/>
      <c r="B378" s="15"/>
      <c r="C378" s="15"/>
      <c r="D378" s="15"/>
      <c r="E378" s="91"/>
      <c r="F378" s="15"/>
      <c r="G378" s="15"/>
      <c r="H378" s="15"/>
      <c r="I378" s="15"/>
      <c r="J378" s="15"/>
      <c r="K378" s="89"/>
      <c r="L378" s="15"/>
      <c r="M378" s="89">
        <v>0</v>
      </c>
      <c r="N378" s="89">
        <v>0</v>
      </c>
      <c r="O378" s="89">
        <v>0</v>
      </c>
      <c r="P378" s="94">
        <v>0</v>
      </c>
      <c r="Q378" s="94">
        <v>0</v>
      </c>
      <c r="R378" s="94">
        <v>0</v>
      </c>
      <c r="S378" s="94">
        <v>0</v>
      </c>
      <c r="T378" s="89">
        <v>0</v>
      </c>
      <c r="U378" s="89">
        <v>0</v>
      </c>
      <c r="V378" s="94">
        <v>0</v>
      </c>
      <c r="W378" s="94">
        <v>0</v>
      </c>
      <c r="X378" s="94">
        <v>0</v>
      </c>
      <c r="Y378" s="89">
        <v>0</v>
      </c>
      <c r="Z378" s="94">
        <f t="shared" si="25"/>
        <v>0</v>
      </c>
      <c r="AA378" s="94">
        <f t="shared" si="26"/>
        <v>0</v>
      </c>
      <c r="AB378" s="89">
        <f t="shared" si="27"/>
        <v>0</v>
      </c>
      <c r="AC378" s="89">
        <f t="shared" si="28"/>
        <v>0</v>
      </c>
      <c r="AD378" s="89">
        <v>0</v>
      </c>
      <c r="AE378" s="89">
        <v>0</v>
      </c>
      <c r="AF378" s="117"/>
      <c r="AG378" s="117"/>
      <c r="AH378" s="262"/>
      <c r="AI378" s="17"/>
      <c r="AJ378" s="17"/>
      <c r="AK378" s="17"/>
      <c r="AL378" s="17"/>
      <c r="AM378" s="17"/>
      <c r="AN378" s="17"/>
      <c r="AO378" s="17"/>
      <c r="AP378" s="15" t="str">
        <f>IFERROR(VLOOKUP(AO378,Legend!$D$2:$E$26,2,0),"")</f>
        <v/>
      </c>
      <c r="AQ378" s="15"/>
      <c r="AR378" s="17"/>
      <c r="AS378" s="17"/>
      <c r="AT378" s="15"/>
      <c r="AU378" s="17"/>
      <c r="AV378" s="17"/>
      <c r="AW378" s="17" t="s">
        <v>10</v>
      </c>
      <c r="AX378" s="15"/>
      <c r="AY378" s="15"/>
    </row>
    <row r="379" spans="1:51" x14ac:dyDescent="0.25">
      <c r="A379" s="15"/>
      <c r="B379" s="15"/>
      <c r="C379" s="15"/>
      <c r="D379" s="15"/>
      <c r="E379" s="91"/>
      <c r="F379" s="15"/>
      <c r="G379" s="15"/>
      <c r="H379" s="15"/>
      <c r="I379" s="15"/>
      <c r="J379" s="15"/>
      <c r="K379" s="89"/>
      <c r="L379" s="15"/>
      <c r="M379" s="89">
        <v>0</v>
      </c>
      <c r="N379" s="89">
        <v>0</v>
      </c>
      <c r="O379" s="89">
        <v>0</v>
      </c>
      <c r="P379" s="94">
        <v>0</v>
      </c>
      <c r="Q379" s="94">
        <v>0</v>
      </c>
      <c r="R379" s="94">
        <v>0</v>
      </c>
      <c r="S379" s="94">
        <v>0</v>
      </c>
      <c r="T379" s="89">
        <v>0</v>
      </c>
      <c r="U379" s="89">
        <v>0</v>
      </c>
      <c r="V379" s="94">
        <v>0</v>
      </c>
      <c r="W379" s="94">
        <v>0</v>
      </c>
      <c r="X379" s="94">
        <v>0</v>
      </c>
      <c r="Y379" s="89">
        <v>0</v>
      </c>
      <c r="Z379" s="94">
        <f t="shared" si="25"/>
        <v>0</v>
      </c>
      <c r="AA379" s="94">
        <f t="shared" si="26"/>
        <v>0</v>
      </c>
      <c r="AB379" s="89">
        <f t="shared" si="27"/>
        <v>0</v>
      </c>
      <c r="AC379" s="89">
        <f t="shared" si="28"/>
        <v>0</v>
      </c>
      <c r="AD379" s="89">
        <v>0</v>
      </c>
      <c r="AE379" s="89">
        <v>0</v>
      </c>
      <c r="AF379" s="117"/>
      <c r="AG379" s="117"/>
      <c r="AH379" s="262"/>
      <c r="AI379" s="17"/>
      <c r="AJ379" s="17"/>
      <c r="AK379" s="17"/>
      <c r="AL379" s="17"/>
      <c r="AM379" s="17"/>
      <c r="AN379" s="17"/>
      <c r="AO379" s="17"/>
      <c r="AP379" s="15" t="str">
        <f>IFERROR(VLOOKUP(AO379,Legend!$D$2:$E$26,2,0),"")</f>
        <v/>
      </c>
      <c r="AQ379" s="15"/>
      <c r="AR379" s="17"/>
      <c r="AS379" s="17"/>
      <c r="AT379" s="15"/>
      <c r="AU379" s="17"/>
      <c r="AV379" s="17"/>
      <c r="AW379" s="17" t="s">
        <v>10</v>
      </c>
      <c r="AX379" s="15"/>
      <c r="AY379" s="15"/>
    </row>
    <row r="380" spans="1:51" x14ac:dyDescent="0.25">
      <c r="A380" s="15"/>
      <c r="B380" s="15"/>
      <c r="C380" s="15"/>
      <c r="D380" s="15"/>
      <c r="E380" s="91"/>
      <c r="F380" s="15"/>
      <c r="G380" s="15"/>
      <c r="H380" s="15"/>
      <c r="I380" s="15"/>
      <c r="J380" s="15"/>
      <c r="K380" s="89"/>
      <c r="L380" s="15"/>
      <c r="M380" s="89">
        <v>0</v>
      </c>
      <c r="N380" s="89">
        <v>0</v>
      </c>
      <c r="O380" s="89">
        <v>0</v>
      </c>
      <c r="P380" s="94">
        <v>0</v>
      </c>
      <c r="Q380" s="94">
        <v>0</v>
      </c>
      <c r="R380" s="94">
        <v>0</v>
      </c>
      <c r="S380" s="94">
        <v>0</v>
      </c>
      <c r="T380" s="89">
        <v>0</v>
      </c>
      <c r="U380" s="89">
        <v>0</v>
      </c>
      <c r="V380" s="94">
        <v>0</v>
      </c>
      <c r="W380" s="94">
        <v>0</v>
      </c>
      <c r="X380" s="94">
        <v>0</v>
      </c>
      <c r="Y380" s="89">
        <v>0</v>
      </c>
      <c r="Z380" s="94">
        <f t="shared" si="25"/>
        <v>0</v>
      </c>
      <c r="AA380" s="94">
        <f t="shared" si="26"/>
        <v>0</v>
      </c>
      <c r="AB380" s="89">
        <f t="shared" si="27"/>
        <v>0</v>
      </c>
      <c r="AC380" s="89">
        <f t="shared" si="28"/>
        <v>0</v>
      </c>
      <c r="AD380" s="89">
        <v>0</v>
      </c>
      <c r="AE380" s="89">
        <v>0</v>
      </c>
      <c r="AF380" s="117"/>
      <c r="AG380" s="117"/>
      <c r="AH380" s="262"/>
      <c r="AI380" s="17"/>
      <c r="AJ380" s="17"/>
      <c r="AK380" s="17"/>
      <c r="AL380" s="17"/>
      <c r="AM380" s="17"/>
      <c r="AN380" s="17"/>
      <c r="AO380" s="17"/>
      <c r="AP380" s="15" t="str">
        <f>IFERROR(VLOOKUP(AO380,Legend!$D$2:$E$26,2,0),"")</f>
        <v/>
      </c>
      <c r="AQ380" s="15"/>
      <c r="AR380" s="17"/>
      <c r="AS380" s="17"/>
      <c r="AT380" s="15"/>
      <c r="AU380" s="17"/>
      <c r="AV380" s="17"/>
      <c r="AW380" s="17" t="s">
        <v>10</v>
      </c>
      <c r="AX380" s="15"/>
      <c r="AY380" s="15"/>
    </row>
    <row r="381" spans="1:51" x14ac:dyDescent="0.25">
      <c r="A381" s="15"/>
      <c r="B381" s="15"/>
      <c r="C381" s="15"/>
      <c r="D381" s="15"/>
      <c r="E381" s="91"/>
      <c r="F381" s="15"/>
      <c r="G381" s="15"/>
      <c r="H381" s="15"/>
      <c r="I381" s="15"/>
      <c r="J381" s="15"/>
      <c r="K381" s="89"/>
      <c r="L381" s="15"/>
      <c r="M381" s="89">
        <v>0</v>
      </c>
      <c r="N381" s="89">
        <v>0</v>
      </c>
      <c r="O381" s="89">
        <v>0</v>
      </c>
      <c r="P381" s="94">
        <v>0</v>
      </c>
      <c r="Q381" s="94">
        <v>0</v>
      </c>
      <c r="R381" s="94">
        <v>0</v>
      </c>
      <c r="S381" s="94">
        <v>0</v>
      </c>
      <c r="T381" s="89">
        <v>0</v>
      </c>
      <c r="U381" s="89">
        <v>0</v>
      </c>
      <c r="V381" s="94">
        <v>0</v>
      </c>
      <c r="W381" s="94">
        <v>0</v>
      </c>
      <c r="X381" s="94">
        <v>0</v>
      </c>
      <c r="Y381" s="89">
        <v>0</v>
      </c>
      <c r="Z381" s="94">
        <f t="shared" si="25"/>
        <v>0</v>
      </c>
      <c r="AA381" s="94">
        <f t="shared" si="26"/>
        <v>0</v>
      </c>
      <c r="AB381" s="89">
        <f t="shared" si="27"/>
        <v>0</v>
      </c>
      <c r="AC381" s="89">
        <f t="shared" si="28"/>
        <v>0</v>
      </c>
      <c r="AD381" s="89">
        <v>0</v>
      </c>
      <c r="AE381" s="89">
        <v>0</v>
      </c>
      <c r="AF381" s="117"/>
      <c r="AG381" s="117"/>
      <c r="AH381" s="262"/>
      <c r="AI381" s="17"/>
      <c r="AJ381" s="17"/>
      <c r="AK381" s="17"/>
      <c r="AL381" s="17"/>
      <c r="AM381" s="17"/>
      <c r="AN381" s="17"/>
      <c r="AO381" s="17"/>
      <c r="AP381" s="15" t="str">
        <f>IFERROR(VLOOKUP(AO381,Legend!$D$2:$E$26,2,0),"")</f>
        <v/>
      </c>
      <c r="AQ381" s="15"/>
      <c r="AR381" s="17"/>
      <c r="AS381" s="17"/>
      <c r="AT381" s="15"/>
      <c r="AU381" s="17"/>
      <c r="AV381" s="17"/>
      <c r="AW381" s="17" t="s">
        <v>10</v>
      </c>
      <c r="AX381" s="15"/>
      <c r="AY381" s="15"/>
    </row>
    <row r="382" spans="1:51" x14ac:dyDescent="0.25">
      <c r="A382" s="15"/>
      <c r="B382" s="15"/>
      <c r="C382" s="15"/>
      <c r="D382" s="15"/>
      <c r="E382" s="91"/>
      <c r="F382" s="15"/>
      <c r="G382" s="15"/>
      <c r="H382" s="15"/>
      <c r="I382" s="15"/>
      <c r="J382" s="15"/>
      <c r="K382" s="89"/>
      <c r="L382" s="15"/>
      <c r="M382" s="89">
        <v>0</v>
      </c>
      <c r="N382" s="89">
        <v>0</v>
      </c>
      <c r="O382" s="89">
        <v>0</v>
      </c>
      <c r="P382" s="94">
        <v>0</v>
      </c>
      <c r="Q382" s="94">
        <v>0</v>
      </c>
      <c r="R382" s="94">
        <v>0</v>
      </c>
      <c r="S382" s="94">
        <v>0</v>
      </c>
      <c r="T382" s="89">
        <v>0</v>
      </c>
      <c r="U382" s="89">
        <v>0</v>
      </c>
      <c r="V382" s="94">
        <v>0</v>
      </c>
      <c r="W382" s="94">
        <v>0</v>
      </c>
      <c r="X382" s="94">
        <v>0</v>
      </c>
      <c r="Y382" s="89">
        <v>0</v>
      </c>
      <c r="Z382" s="94">
        <f t="shared" si="25"/>
        <v>0</v>
      </c>
      <c r="AA382" s="94">
        <f t="shared" si="26"/>
        <v>0</v>
      </c>
      <c r="AB382" s="89">
        <f t="shared" si="27"/>
        <v>0</v>
      </c>
      <c r="AC382" s="89">
        <f t="shared" si="28"/>
        <v>0</v>
      </c>
      <c r="AD382" s="89">
        <v>0</v>
      </c>
      <c r="AE382" s="89">
        <v>0</v>
      </c>
      <c r="AF382" s="117"/>
      <c r="AG382" s="117"/>
      <c r="AH382" s="262"/>
      <c r="AI382" s="17"/>
      <c r="AJ382" s="17"/>
      <c r="AK382" s="17"/>
      <c r="AL382" s="17"/>
      <c r="AM382" s="17"/>
      <c r="AN382" s="17"/>
      <c r="AO382" s="17"/>
      <c r="AP382" s="15" t="str">
        <f>IFERROR(VLOOKUP(AO382,Legend!$D$2:$E$26,2,0),"")</f>
        <v/>
      </c>
      <c r="AQ382" s="15"/>
      <c r="AR382" s="17"/>
      <c r="AS382" s="17"/>
      <c r="AT382" s="15"/>
      <c r="AU382" s="17"/>
      <c r="AV382" s="17"/>
      <c r="AW382" s="17" t="s">
        <v>10</v>
      </c>
      <c r="AX382" s="15"/>
      <c r="AY382" s="15"/>
    </row>
    <row r="383" spans="1:51" x14ac:dyDescent="0.25">
      <c r="A383" s="15"/>
      <c r="B383" s="15"/>
      <c r="C383" s="15"/>
      <c r="D383" s="15"/>
      <c r="E383" s="91"/>
      <c r="F383" s="15"/>
      <c r="G383" s="15"/>
      <c r="H383" s="15"/>
      <c r="I383" s="15"/>
      <c r="J383" s="15"/>
      <c r="K383" s="89"/>
      <c r="L383" s="15"/>
      <c r="M383" s="89">
        <v>0</v>
      </c>
      <c r="N383" s="89">
        <v>0</v>
      </c>
      <c r="O383" s="89">
        <v>0</v>
      </c>
      <c r="P383" s="94">
        <v>0</v>
      </c>
      <c r="Q383" s="94">
        <v>0</v>
      </c>
      <c r="R383" s="94">
        <v>0</v>
      </c>
      <c r="S383" s="94">
        <v>0</v>
      </c>
      <c r="T383" s="89">
        <v>0</v>
      </c>
      <c r="U383" s="89">
        <v>0</v>
      </c>
      <c r="V383" s="94">
        <v>0</v>
      </c>
      <c r="W383" s="94">
        <v>0</v>
      </c>
      <c r="X383" s="94">
        <v>0</v>
      </c>
      <c r="Y383" s="89">
        <v>0</v>
      </c>
      <c r="Z383" s="94">
        <f t="shared" si="25"/>
        <v>0</v>
      </c>
      <c r="AA383" s="94">
        <f t="shared" si="26"/>
        <v>0</v>
      </c>
      <c r="AB383" s="89">
        <f t="shared" si="27"/>
        <v>0</v>
      </c>
      <c r="AC383" s="89">
        <f t="shared" si="28"/>
        <v>0</v>
      </c>
      <c r="AD383" s="89">
        <v>0</v>
      </c>
      <c r="AE383" s="89">
        <v>0</v>
      </c>
      <c r="AF383" s="117"/>
      <c r="AG383" s="117"/>
      <c r="AH383" s="262"/>
      <c r="AI383" s="17"/>
      <c r="AJ383" s="17"/>
      <c r="AK383" s="17"/>
      <c r="AL383" s="17"/>
      <c r="AM383" s="17"/>
      <c r="AN383" s="17"/>
      <c r="AO383" s="17"/>
      <c r="AP383" s="15" t="str">
        <f>IFERROR(VLOOKUP(AO383,Legend!$D$2:$E$26,2,0),"")</f>
        <v/>
      </c>
      <c r="AQ383" s="15"/>
      <c r="AR383" s="17"/>
      <c r="AS383" s="17"/>
      <c r="AT383" s="15"/>
      <c r="AU383" s="17"/>
      <c r="AV383" s="17"/>
      <c r="AW383" s="17" t="s">
        <v>10</v>
      </c>
      <c r="AX383" s="15"/>
      <c r="AY383" s="15"/>
    </row>
    <row r="384" spans="1:51" x14ac:dyDescent="0.25">
      <c r="A384" s="15"/>
      <c r="B384" s="15"/>
      <c r="C384" s="15"/>
      <c r="D384" s="15"/>
      <c r="E384" s="91"/>
      <c r="F384" s="15"/>
      <c r="G384" s="15"/>
      <c r="H384" s="15"/>
      <c r="I384" s="15"/>
      <c r="J384" s="15"/>
      <c r="K384" s="89"/>
      <c r="L384" s="15"/>
      <c r="M384" s="89">
        <v>0</v>
      </c>
      <c r="N384" s="89">
        <v>0</v>
      </c>
      <c r="O384" s="89">
        <v>0</v>
      </c>
      <c r="P384" s="94">
        <v>0</v>
      </c>
      <c r="Q384" s="94">
        <v>0</v>
      </c>
      <c r="R384" s="94">
        <v>0</v>
      </c>
      <c r="S384" s="94">
        <v>0</v>
      </c>
      <c r="T384" s="89">
        <v>0</v>
      </c>
      <c r="U384" s="89">
        <v>0</v>
      </c>
      <c r="V384" s="94">
        <v>0</v>
      </c>
      <c r="W384" s="94">
        <v>0</v>
      </c>
      <c r="X384" s="94">
        <v>0</v>
      </c>
      <c r="Y384" s="89">
        <v>0</v>
      </c>
      <c r="Z384" s="94">
        <f t="shared" si="25"/>
        <v>0</v>
      </c>
      <c r="AA384" s="94">
        <f t="shared" si="26"/>
        <v>0</v>
      </c>
      <c r="AB384" s="89">
        <f t="shared" si="27"/>
        <v>0</v>
      </c>
      <c r="AC384" s="89">
        <f t="shared" si="28"/>
        <v>0</v>
      </c>
      <c r="AD384" s="89">
        <v>0</v>
      </c>
      <c r="AE384" s="89">
        <v>0</v>
      </c>
      <c r="AF384" s="117"/>
      <c r="AG384" s="117"/>
      <c r="AH384" s="262"/>
      <c r="AI384" s="17"/>
      <c r="AJ384" s="17"/>
      <c r="AK384" s="17"/>
      <c r="AL384" s="17"/>
      <c r="AM384" s="17"/>
      <c r="AN384" s="17"/>
      <c r="AO384" s="17"/>
      <c r="AP384" s="15" t="str">
        <f>IFERROR(VLOOKUP(AO384,Legend!$D$2:$E$26,2,0),"")</f>
        <v/>
      </c>
      <c r="AQ384" s="15"/>
      <c r="AR384" s="17"/>
      <c r="AS384" s="17"/>
      <c r="AT384" s="15"/>
      <c r="AU384" s="17"/>
      <c r="AV384" s="17"/>
      <c r="AW384" s="17" t="s">
        <v>10</v>
      </c>
      <c r="AX384" s="15"/>
      <c r="AY384" s="15"/>
    </row>
    <row r="385" spans="1:51" x14ac:dyDescent="0.25">
      <c r="A385" s="15"/>
      <c r="B385" s="15"/>
      <c r="C385" s="15"/>
      <c r="D385" s="15"/>
      <c r="E385" s="91"/>
      <c r="F385" s="15"/>
      <c r="G385" s="15"/>
      <c r="H385" s="15"/>
      <c r="I385" s="15"/>
      <c r="J385" s="15"/>
      <c r="K385" s="89"/>
      <c r="L385" s="15"/>
      <c r="M385" s="89">
        <v>0</v>
      </c>
      <c r="N385" s="89">
        <v>0</v>
      </c>
      <c r="O385" s="89">
        <v>0</v>
      </c>
      <c r="P385" s="94">
        <v>0</v>
      </c>
      <c r="Q385" s="94">
        <v>0</v>
      </c>
      <c r="R385" s="94">
        <v>0</v>
      </c>
      <c r="S385" s="94">
        <v>0</v>
      </c>
      <c r="T385" s="89">
        <v>0</v>
      </c>
      <c r="U385" s="89">
        <v>0</v>
      </c>
      <c r="V385" s="94">
        <v>0</v>
      </c>
      <c r="W385" s="94">
        <v>0</v>
      </c>
      <c r="X385" s="94">
        <v>0</v>
      </c>
      <c r="Y385" s="89">
        <v>0</v>
      </c>
      <c r="Z385" s="94">
        <f t="shared" si="25"/>
        <v>0</v>
      </c>
      <c r="AA385" s="94">
        <f t="shared" si="26"/>
        <v>0</v>
      </c>
      <c r="AB385" s="89">
        <f t="shared" si="27"/>
        <v>0</v>
      </c>
      <c r="AC385" s="89">
        <f t="shared" si="28"/>
        <v>0</v>
      </c>
      <c r="AD385" s="89">
        <v>0</v>
      </c>
      <c r="AE385" s="89">
        <v>0</v>
      </c>
      <c r="AF385" s="117"/>
      <c r="AG385" s="117"/>
      <c r="AH385" s="262"/>
      <c r="AI385" s="17"/>
      <c r="AJ385" s="17"/>
      <c r="AK385" s="17"/>
      <c r="AL385" s="17"/>
      <c r="AM385" s="17"/>
      <c r="AN385" s="17"/>
      <c r="AO385" s="17"/>
      <c r="AP385" s="15" t="str">
        <f>IFERROR(VLOOKUP(AO385,Legend!$D$2:$E$26,2,0),"")</f>
        <v/>
      </c>
      <c r="AQ385" s="15"/>
      <c r="AR385" s="17"/>
      <c r="AS385" s="17"/>
      <c r="AT385" s="15"/>
      <c r="AU385" s="17"/>
      <c r="AV385" s="17"/>
      <c r="AW385" s="17" t="s">
        <v>10</v>
      </c>
      <c r="AX385" s="15"/>
      <c r="AY385" s="15"/>
    </row>
    <row r="386" spans="1:51" x14ac:dyDescent="0.25">
      <c r="A386" s="15"/>
      <c r="B386" s="15"/>
      <c r="C386" s="15"/>
      <c r="D386" s="15"/>
      <c r="E386" s="91"/>
      <c r="F386" s="15"/>
      <c r="G386" s="15"/>
      <c r="H386" s="15"/>
      <c r="I386" s="15"/>
      <c r="J386" s="15"/>
      <c r="K386" s="89"/>
      <c r="L386" s="15"/>
      <c r="M386" s="89">
        <v>0</v>
      </c>
      <c r="N386" s="89">
        <v>0</v>
      </c>
      <c r="O386" s="89">
        <v>0</v>
      </c>
      <c r="P386" s="94">
        <v>0</v>
      </c>
      <c r="Q386" s="94">
        <v>0</v>
      </c>
      <c r="R386" s="94">
        <v>0</v>
      </c>
      <c r="S386" s="94">
        <v>0</v>
      </c>
      <c r="T386" s="89">
        <v>0</v>
      </c>
      <c r="U386" s="89">
        <v>0</v>
      </c>
      <c r="V386" s="94">
        <v>0</v>
      </c>
      <c r="W386" s="94">
        <v>0</v>
      </c>
      <c r="X386" s="94">
        <v>0</v>
      </c>
      <c r="Y386" s="89">
        <v>0</v>
      </c>
      <c r="Z386" s="94">
        <f t="shared" si="25"/>
        <v>0</v>
      </c>
      <c r="AA386" s="94">
        <f t="shared" si="26"/>
        <v>0</v>
      </c>
      <c r="AB386" s="89">
        <f t="shared" si="27"/>
        <v>0</v>
      </c>
      <c r="AC386" s="89">
        <f t="shared" si="28"/>
        <v>0</v>
      </c>
      <c r="AD386" s="89">
        <v>0</v>
      </c>
      <c r="AE386" s="89">
        <v>0</v>
      </c>
      <c r="AF386" s="117"/>
      <c r="AG386" s="117"/>
      <c r="AH386" s="262"/>
      <c r="AI386" s="17"/>
      <c r="AJ386" s="17"/>
      <c r="AK386" s="17"/>
      <c r="AL386" s="17"/>
      <c r="AM386" s="17"/>
      <c r="AN386" s="17"/>
      <c r="AO386" s="17"/>
      <c r="AP386" s="15" t="str">
        <f>IFERROR(VLOOKUP(AO386,Legend!$D$2:$E$26,2,0),"")</f>
        <v/>
      </c>
      <c r="AQ386" s="15"/>
      <c r="AR386" s="17"/>
      <c r="AS386" s="17"/>
      <c r="AT386" s="15"/>
      <c r="AU386" s="17"/>
      <c r="AV386" s="17"/>
      <c r="AW386" s="17" t="s">
        <v>10</v>
      </c>
      <c r="AX386" s="15"/>
      <c r="AY386" s="15"/>
    </row>
    <row r="387" spans="1:51" x14ac:dyDescent="0.25">
      <c r="A387" s="15"/>
      <c r="B387" s="15"/>
      <c r="C387" s="15"/>
      <c r="D387" s="15"/>
      <c r="E387" s="91"/>
      <c r="F387" s="15"/>
      <c r="G387" s="15"/>
      <c r="H387" s="15"/>
      <c r="I387" s="15"/>
      <c r="J387" s="15"/>
      <c r="K387" s="89"/>
      <c r="L387" s="15"/>
      <c r="M387" s="89">
        <v>0</v>
      </c>
      <c r="N387" s="89">
        <v>0</v>
      </c>
      <c r="O387" s="89">
        <v>0</v>
      </c>
      <c r="P387" s="94">
        <v>0</v>
      </c>
      <c r="Q387" s="94">
        <v>0</v>
      </c>
      <c r="R387" s="94">
        <v>0</v>
      </c>
      <c r="S387" s="94">
        <v>0</v>
      </c>
      <c r="T387" s="89">
        <v>0</v>
      </c>
      <c r="U387" s="89">
        <v>0</v>
      </c>
      <c r="V387" s="94">
        <v>0</v>
      </c>
      <c r="W387" s="94">
        <v>0</v>
      </c>
      <c r="X387" s="94">
        <v>0</v>
      </c>
      <c r="Y387" s="89">
        <v>0</v>
      </c>
      <c r="Z387" s="94">
        <f t="shared" si="25"/>
        <v>0</v>
      </c>
      <c r="AA387" s="94">
        <f t="shared" si="26"/>
        <v>0</v>
      </c>
      <c r="AB387" s="89">
        <f t="shared" si="27"/>
        <v>0</v>
      </c>
      <c r="AC387" s="89">
        <f t="shared" si="28"/>
        <v>0</v>
      </c>
      <c r="AD387" s="89">
        <v>0</v>
      </c>
      <c r="AE387" s="89">
        <v>0</v>
      </c>
      <c r="AF387" s="117"/>
      <c r="AG387" s="117"/>
      <c r="AH387" s="262"/>
      <c r="AI387" s="17"/>
      <c r="AJ387" s="17"/>
      <c r="AK387" s="17"/>
      <c r="AL387" s="17"/>
      <c r="AM387" s="17"/>
      <c r="AN387" s="17"/>
      <c r="AO387" s="17"/>
      <c r="AP387" s="15" t="str">
        <f>IFERROR(VLOOKUP(AO387,Legend!$D$2:$E$26,2,0),"")</f>
        <v/>
      </c>
      <c r="AQ387" s="15"/>
      <c r="AR387" s="17"/>
      <c r="AS387" s="17"/>
      <c r="AT387" s="15"/>
      <c r="AU387" s="17"/>
      <c r="AV387" s="17"/>
      <c r="AW387" s="17" t="s">
        <v>10</v>
      </c>
      <c r="AX387" s="15"/>
      <c r="AY387" s="15"/>
    </row>
    <row r="388" spans="1:51" x14ac:dyDescent="0.25">
      <c r="A388" s="15"/>
      <c r="B388" s="15"/>
      <c r="C388" s="15"/>
      <c r="D388" s="15"/>
      <c r="E388" s="91"/>
      <c r="F388" s="15"/>
      <c r="G388" s="15"/>
      <c r="H388" s="15"/>
      <c r="I388" s="15"/>
      <c r="J388" s="15"/>
      <c r="K388" s="89"/>
      <c r="L388" s="15"/>
      <c r="M388" s="89">
        <v>0</v>
      </c>
      <c r="N388" s="89">
        <v>0</v>
      </c>
      <c r="O388" s="89">
        <v>0</v>
      </c>
      <c r="P388" s="94">
        <v>0</v>
      </c>
      <c r="Q388" s="94">
        <v>0</v>
      </c>
      <c r="R388" s="94">
        <v>0</v>
      </c>
      <c r="S388" s="94">
        <v>0</v>
      </c>
      <c r="T388" s="89">
        <v>0</v>
      </c>
      <c r="U388" s="89">
        <v>0</v>
      </c>
      <c r="V388" s="94">
        <v>0</v>
      </c>
      <c r="W388" s="94">
        <v>0</v>
      </c>
      <c r="X388" s="94">
        <v>0</v>
      </c>
      <c r="Y388" s="89">
        <v>0</v>
      </c>
      <c r="Z388" s="94">
        <f t="shared" si="25"/>
        <v>0</v>
      </c>
      <c r="AA388" s="94">
        <f t="shared" si="26"/>
        <v>0</v>
      </c>
      <c r="AB388" s="89">
        <f t="shared" si="27"/>
        <v>0</v>
      </c>
      <c r="AC388" s="89">
        <f t="shared" si="28"/>
        <v>0</v>
      </c>
      <c r="AD388" s="89">
        <v>0</v>
      </c>
      <c r="AE388" s="89">
        <v>0</v>
      </c>
      <c r="AF388" s="117"/>
      <c r="AG388" s="117"/>
      <c r="AH388" s="262"/>
      <c r="AI388" s="17"/>
      <c r="AJ388" s="17"/>
      <c r="AK388" s="17"/>
      <c r="AL388" s="17"/>
      <c r="AM388" s="17"/>
      <c r="AN388" s="17"/>
      <c r="AO388" s="17"/>
      <c r="AP388" s="15" t="str">
        <f>IFERROR(VLOOKUP(AO388,Legend!$D$2:$E$26,2,0),"")</f>
        <v/>
      </c>
      <c r="AQ388" s="15"/>
      <c r="AR388" s="17"/>
      <c r="AS388" s="17"/>
      <c r="AT388" s="15"/>
      <c r="AU388" s="17"/>
      <c r="AV388" s="17"/>
      <c r="AW388" s="17" t="s">
        <v>10</v>
      </c>
      <c r="AX388" s="15"/>
      <c r="AY388" s="15"/>
    </row>
    <row r="389" spans="1:51" x14ac:dyDescent="0.25">
      <c r="A389" s="15"/>
      <c r="B389" s="15"/>
      <c r="C389" s="15"/>
      <c r="D389" s="15"/>
      <c r="E389" s="91"/>
      <c r="F389" s="15"/>
      <c r="G389" s="15"/>
      <c r="H389" s="15"/>
      <c r="I389" s="15"/>
      <c r="J389" s="15"/>
      <c r="K389" s="89"/>
      <c r="L389" s="15"/>
      <c r="M389" s="89">
        <v>0</v>
      </c>
      <c r="N389" s="89">
        <v>0</v>
      </c>
      <c r="O389" s="89">
        <v>0</v>
      </c>
      <c r="P389" s="94">
        <v>0</v>
      </c>
      <c r="Q389" s="94">
        <v>0</v>
      </c>
      <c r="R389" s="94">
        <v>0</v>
      </c>
      <c r="S389" s="94">
        <v>0</v>
      </c>
      <c r="T389" s="89">
        <v>0</v>
      </c>
      <c r="U389" s="89">
        <v>0</v>
      </c>
      <c r="V389" s="94">
        <v>0</v>
      </c>
      <c r="W389" s="94">
        <v>0</v>
      </c>
      <c r="X389" s="94">
        <v>0</v>
      </c>
      <c r="Y389" s="89">
        <v>0</v>
      </c>
      <c r="Z389" s="94">
        <f t="shared" ref="Z389:Z452" si="29">SUM(M389:Y389)</f>
        <v>0</v>
      </c>
      <c r="AA389" s="94">
        <f t="shared" si="26"/>
        <v>0</v>
      </c>
      <c r="AB389" s="89">
        <f t="shared" si="27"/>
        <v>0</v>
      </c>
      <c r="AC389" s="89">
        <f t="shared" si="28"/>
        <v>0</v>
      </c>
      <c r="AD389" s="89">
        <v>0</v>
      </c>
      <c r="AE389" s="89">
        <v>0</v>
      </c>
      <c r="AF389" s="117"/>
      <c r="AG389" s="117"/>
      <c r="AH389" s="262"/>
      <c r="AI389" s="17"/>
      <c r="AJ389" s="17"/>
      <c r="AK389" s="17"/>
      <c r="AL389" s="17"/>
      <c r="AM389" s="17"/>
      <c r="AN389" s="17"/>
      <c r="AO389" s="17"/>
      <c r="AP389" s="15" t="str">
        <f>IFERROR(VLOOKUP(AO389,Legend!$D$2:$E$26,2,0),"")</f>
        <v/>
      </c>
      <c r="AQ389" s="15"/>
      <c r="AR389" s="17"/>
      <c r="AS389" s="17"/>
      <c r="AT389" s="15"/>
      <c r="AU389" s="17"/>
      <c r="AV389" s="17"/>
      <c r="AW389" s="17" t="s">
        <v>10</v>
      </c>
      <c r="AX389" s="15"/>
      <c r="AY389" s="15"/>
    </row>
    <row r="390" spans="1:51" x14ac:dyDescent="0.25">
      <c r="A390" s="15"/>
      <c r="B390" s="15"/>
      <c r="C390" s="15"/>
      <c r="D390" s="15"/>
      <c r="E390" s="91"/>
      <c r="F390" s="15"/>
      <c r="G390" s="15"/>
      <c r="H390" s="15"/>
      <c r="I390" s="15"/>
      <c r="J390" s="15"/>
      <c r="K390" s="89"/>
      <c r="L390" s="15"/>
      <c r="M390" s="89">
        <v>0</v>
      </c>
      <c r="N390" s="89">
        <v>0</v>
      </c>
      <c r="O390" s="89">
        <v>0</v>
      </c>
      <c r="P390" s="94">
        <v>0</v>
      </c>
      <c r="Q390" s="94">
        <v>0</v>
      </c>
      <c r="R390" s="94">
        <v>0</v>
      </c>
      <c r="S390" s="94">
        <v>0</v>
      </c>
      <c r="T390" s="89">
        <v>0</v>
      </c>
      <c r="U390" s="89">
        <v>0</v>
      </c>
      <c r="V390" s="94">
        <v>0</v>
      </c>
      <c r="W390" s="94">
        <v>0</v>
      </c>
      <c r="X390" s="94">
        <v>0</v>
      </c>
      <c r="Y390" s="89">
        <v>0</v>
      </c>
      <c r="Z390" s="94">
        <f t="shared" si="29"/>
        <v>0</v>
      </c>
      <c r="AA390" s="94">
        <f t="shared" ref="AA390:AA453" si="30">Y390+M390</f>
        <v>0</v>
      </c>
      <c r="AB390" s="89">
        <f t="shared" ref="AB390:AB453" si="31">Z390-AA390</f>
        <v>0</v>
      </c>
      <c r="AC390" s="89">
        <f t="shared" ref="AC390:AC453" si="32">AB390</f>
        <v>0</v>
      </c>
      <c r="AD390" s="89">
        <v>0</v>
      </c>
      <c r="AE390" s="89">
        <v>0</v>
      </c>
      <c r="AF390" s="117"/>
      <c r="AG390" s="117"/>
      <c r="AH390" s="262"/>
      <c r="AI390" s="17"/>
      <c r="AJ390" s="17"/>
      <c r="AK390" s="17"/>
      <c r="AL390" s="17"/>
      <c r="AM390" s="17"/>
      <c r="AN390" s="17"/>
      <c r="AO390" s="17"/>
      <c r="AP390" s="15" t="str">
        <f>IFERROR(VLOOKUP(AO390,Legend!$D$2:$E$26,2,0),"")</f>
        <v/>
      </c>
      <c r="AQ390" s="15"/>
      <c r="AR390" s="17"/>
      <c r="AS390" s="17"/>
      <c r="AT390" s="15"/>
      <c r="AU390" s="17"/>
      <c r="AV390" s="17"/>
      <c r="AW390" s="17" t="s">
        <v>10</v>
      </c>
      <c r="AX390" s="15"/>
      <c r="AY390" s="15"/>
    </row>
    <row r="391" spans="1:51" x14ac:dyDescent="0.25">
      <c r="A391" s="15"/>
      <c r="B391" s="15"/>
      <c r="C391" s="15"/>
      <c r="D391" s="15"/>
      <c r="E391" s="91"/>
      <c r="F391" s="15"/>
      <c r="G391" s="15"/>
      <c r="H391" s="15"/>
      <c r="I391" s="15"/>
      <c r="J391" s="15"/>
      <c r="K391" s="89"/>
      <c r="L391" s="15"/>
      <c r="M391" s="89">
        <v>0</v>
      </c>
      <c r="N391" s="89">
        <v>0</v>
      </c>
      <c r="O391" s="89">
        <v>0</v>
      </c>
      <c r="P391" s="94">
        <v>0</v>
      </c>
      <c r="Q391" s="94">
        <v>0</v>
      </c>
      <c r="R391" s="94">
        <v>0</v>
      </c>
      <c r="S391" s="94">
        <v>0</v>
      </c>
      <c r="T391" s="89">
        <v>0</v>
      </c>
      <c r="U391" s="89">
        <v>0</v>
      </c>
      <c r="V391" s="94">
        <v>0</v>
      </c>
      <c r="W391" s="94">
        <v>0</v>
      </c>
      <c r="X391" s="94">
        <v>0</v>
      </c>
      <c r="Y391" s="89">
        <v>0</v>
      </c>
      <c r="Z391" s="94">
        <f t="shared" si="29"/>
        <v>0</v>
      </c>
      <c r="AA391" s="94">
        <f t="shared" si="30"/>
        <v>0</v>
      </c>
      <c r="AB391" s="89">
        <f t="shared" si="31"/>
        <v>0</v>
      </c>
      <c r="AC391" s="89">
        <f t="shared" si="32"/>
        <v>0</v>
      </c>
      <c r="AD391" s="89">
        <v>0</v>
      </c>
      <c r="AE391" s="89">
        <v>0</v>
      </c>
      <c r="AF391" s="117"/>
      <c r="AG391" s="117"/>
      <c r="AH391" s="262"/>
      <c r="AI391" s="17"/>
      <c r="AJ391" s="17"/>
      <c r="AK391" s="17"/>
      <c r="AL391" s="17"/>
      <c r="AM391" s="17"/>
      <c r="AN391" s="17"/>
      <c r="AO391" s="17"/>
      <c r="AP391" s="15" t="str">
        <f>IFERROR(VLOOKUP(AO391,Legend!$D$2:$E$26,2,0),"")</f>
        <v/>
      </c>
      <c r="AQ391" s="15"/>
      <c r="AR391" s="17"/>
      <c r="AS391" s="17"/>
      <c r="AT391" s="15"/>
      <c r="AU391" s="17"/>
      <c r="AV391" s="17"/>
      <c r="AW391" s="17" t="s">
        <v>10</v>
      </c>
      <c r="AX391" s="15"/>
      <c r="AY391" s="15"/>
    </row>
    <row r="392" spans="1:51" x14ac:dyDescent="0.25">
      <c r="A392" s="15"/>
      <c r="B392" s="15"/>
      <c r="C392" s="15"/>
      <c r="D392" s="15"/>
      <c r="E392" s="91"/>
      <c r="F392" s="15"/>
      <c r="G392" s="15"/>
      <c r="H392" s="15"/>
      <c r="I392" s="15"/>
      <c r="J392" s="15"/>
      <c r="K392" s="89"/>
      <c r="L392" s="15"/>
      <c r="M392" s="89">
        <v>0</v>
      </c>
      <c r="N392" s="89">
        <v>0</v>
      </c>
      <c r="O392" s="89">
        <v>0</v>
      </c>
      <c r="P392" s="94">
        <v>0</v>
      </c>
      <c r="Q392" s="94">
        <v>0</v>
      </c>
      <c r="R392" s="94">
        <v>0</v>
      </c>
      <c r="S392" s="94">
        <v>0</v>
      </c>
      <c r="T392" s="89">
        <v>0</v>
      </c>
      <c r="U392" s="89">
        <v>0</v>
      </c>
      <c r="V392" s="94">
        <v>0</v>
      </c>
      <c r="W392" s="94">
        <v>0</v>
      </c>
      <c r="X392" s="94">
        <v>0</v>
      </c>
      <c r="Y392" s="89">
        <v>0</v>
      </c>
      <c r="Z392" s="94">
        <f t="shared" si="29"/>
        <v>0</v>
      </c>
      <c r="AA392" s="94">
        <f t="shared" si="30"/>
        <v>0</v>
      </c>
      <c r="AB392" s="89">
        <f t="shared" si="31"/>
        <v>0</v>
      </c>
      <c r="AC392" s="89">
        <f t="shared" si="32"/>
        <v>0</v>
      </c>
      <c r="AD392" s="89">
        <v>0</v>
      </c>
      <c r="AE392" s="89">
        <v>0</v>
      </c>
      <c r="AF392" s="117"/>
      <c r="AG392" s="117"/>
      <c r="AH392" s="262"/>
      <c r="AI392" s="17"/>
      <c r="AJ392" s="17"/>
      <c r="AK392" s="17"/>
      <c r="AL392" s="17"/>
      <c r="AM392" s="17"/>
      <c r="AN392" s="17"/>
      <c r="AO392" s="17"/>
      <c r="AP392" s="15" t="str">
        <f>IFERROR(VLOOKUP(AO392,Legend!$D$2:$E$26,2,0),"")</f>
        <v/>
      </c>
      <c r="AQ392" s="15"/>
      <c r="AR392" s="17"/>
      <c r="AS392" s="17"/>
      <c r="AT392" s="15"/>
      <c r="AU392" s="17"/>
      <c r="AV392" s="17"/>
      <c r="AW392" s="17" t="s">
        <v>10</v>
      </c>
      <c r="AX392" s="15"/>
      <c r="AY392" s="15"/>
    </row>
    <row r="393" spans="1:51" x14ac:dyDescent="0.25">
      <c r="A393" s="15"/>
      <c r="B393" s="15"/>
      <c r="C393" s="15"/>
      <c r="D393" s="15"/>
      <c r="E393" s="91"/>
      <c r="F393" s="15"/>
      <c r="G393" s="15"/>
      <c r="H393" s="15"/>
      <c r="I393" s="15"/>
      <c r="J393" s="15"/>
      <c r="K393" s="89"/>
      <c r="L393" s="15"/>
      <c r="M393" s="89">
        <v>0</v>
      </c>
      <c r="N393" s="89">
        <v>0</v>
      </c>
      <c r="O393" s="89">
        <v>0</v>
      </c>
      <c r="P393" s="94">
        <v>0</v>
      </c>
      <c r="Q393" s="94">
        <v>0</v>
      </c>
      <c r="R393" s="94">
        <v>0</v>
      </c>
      <c r="S393" s="94">
        <v>0</v>
      </c>
      <c r="T393" s="89">
        <v>0</v>
      </c>
      <c r="U393" s="89">
        <v>0</v>
      </c>
      <c r="V393" s="94">
        <v>0</v>
      </c>
      <c r="W393" s="94">
        <v>0</v>
      </c>
      <c r="X393" s="94">
        <v>0</v>
      </c>
      <c r="Y393" s="89">
        <v>0</v>
      </c>
      <c r="Z393" s="94">
        <f t="shared" si="29"/>
        <v>0</v>
      </c>
      <c r="AA393" s="94">
        <f t="shared" si="30"/>
        <v>0</v>
      </c>
      <c r="AB393" s="89">
        <f t="shared" si="31"/>
        <v>0</v>
      </c>
      <c r="AC393" s="89">
        <f t="shared" si="32"/>
        <v>0</v>
      </c>
      <c r="AD393" s="89">
        <v>0</v>
      </c>
      <c r="AE393" s="89">
        <v>0</v>
      </c>
      <c r="AF393" s="117"/>
      <c r="AG393" s="117"/>
      <c r="AH393" s="262"/>
      <c r="AI393" s="17"/>
      <c r="AJ393" s="17"/>
      <c r="AK393" s="17"/>
      <c r="AL393" s="17"/>
      <c r="AM393" s="17"/>
      <c r="AN393" s="17"/>
      <c r="AO393" s="17"/>
      <c r="AP393" s="15" t="str">
        <f>IFERROR(VLOOKUP(AO393,Legend!$D$2:$E$26,2,0),"")</f>
        <v/>
      </c>
      <c r="AQ393" s="15"/>
      <c r="AR393" s="17"/>
      <c r="AS393" s="17"/>
      <c r="AT393" s="15"/>
      <c r="AU393" s="17"/>
      <c r="AV393" s="17"/>
      <c r="AW393" s="17" t="s">
        <v>10</v>
      </c>
      <c r="AX393" s="15"/>
      <c r="AY393" s="15"/>
    </row>
    <row r="394" spans="1:51" x14ac:dyDescent="0.25">
      <c r="A394" s="15"/>
      <c r="B394" s="15"/>
      <c r="C394" s="15"/>
      <c r="D394" s="15"/>
      <c r="E394" s="91"/>
      <c r="F394" s="15"/>
      <c r="G394" s="15"/>
      <c r="H394" s="15"/>
      <c r="I394" s="15"/>
      <c r="J394" s="15"/>
      <c r="K394" s="89"/>
      <c r="L394" s="15"/>
      <c r="M394" s="89">
        <v>0</v>
      </c>
      <c r="N394" s="89">
        <v>0</v>
      </c>
      <c r="O394" s="89">
        <v>0</v>
      </c>
      <c r="P394" s="94">
        <v>0</v>
      </c>
      <c r="Q394" s="94">
        <v>0</v>
      </c>
      <c r="R394" s="94">
        <v>0</v>
      </c>
      <c r="S394" s="94">
        <v>0</v>
      </c>
      <c r="T394" s="89">
        <v>0</v>
      </c>
      <c r="U394" s="89">
        <v>0</v>
      </c>
      <c r="V394" s="94">
        <v>0</v>
      </c>
      <c r="W394" s="94">
        <v>0</v>
      </c>
      <c r="X394" s="94">
        <v>0</v>
      </c>
      <c r="Y394" s="89">
        <v>0</v>
      </c>
      <c r="Z394" s="94">
        <f t="shared" si="29"/>
        <v>0</v>
      </c>
      <c r="AA394" s="94">
        <f t="shared" si="30"/>
        <v>0</v>
      </c>
      <c r="AB394" s="89">
        <f t="shared" si="31"/>
        <v>0</v>
      </c>
      <c r="AC394" s="89">
        <f t="shared" si="32"/>
        <v>0</v>
      </c>
      <c r="AD394" s="89">
        <v>0</v>
      </c>
      <c r="AE394" s="89">
        <v>0</v>
      </c>
      <c r="AF394" s="117"/>
      <c r="AG394" s="117"/>
      <c r="AH394" s="262"/>
      <c r="AI394" s="17"/>
      <c r="AJ394" s="17"/>
      <c r="AK394" s="17"/>
      <c r="AL394" s="17"/>
      <c r="AM394" s="17"/>
      <c r="AN394" s="17"/>
      <c r="AO394" s="17"/>
      <c r="AP394" s="15" t="str">
        <f>IFERROR(VLOOKUP(AO394,Legend!$D$2:$E$26,2,0),"")</f>
        <v/>
      </c>
      <c r="AQ394" s="15"/>
      <c r="AR394" s="17"/>
      <c r="AS394" s="17"/>
      <c r="AT394" s="15"/>
      <c r="AU394" s="17"/>
      <c r="AV394" s="17"/>
      <c r="AW394" s="17" t="s">
        <v>10</v>
      </c>
      <c r="AX394" s="15"/>
      <c r="AY394" s="15"/>
    </row>
    <row r="395" spans="1:51" x14ac:dyDescent="0.25">
      <c r="A395" s="15"/>
      <c r="B395" s="15"/>
      <c r="C395" s="15"/>
      <c r="D395" s="15"/>
      <c r="E395" s="91"/>
      <c r="F395" s="15"/>
      <c r="G395" s="15"/>
      <c r="H395" s="15"/>
      <c r="I395" s="15"/>
      <c r="J395" s="15"/>
      <c r="K395" s="89"/>
      <c r="L395" s="15"/>
      <c r="M395" s="89">
        <v>0</v>
      </c>
      <c r="N395" s="89">
        <v>0</v>
      </c>
      <c r="O395" s="89">
        <v>0</v>
      </c>
      <c r="P395" s="94">
        <v>0</v>
      </c>
      <c r="Q395" s="94">
        <v>0</v>
      </c>
      <c r="R395" s="94">
        <v>0</v>
      </c>
      <c r="S395" s="94">
        <v>0</v>
      </c>
      <c r="T395" s="89">
        <v>0</v>
      </c>
      <c r="U395" s="89">
        <v>0</v>
      </c>
      <c r="V395" s="94">
        <v>0</v>
      </c>
      <c r="W395" s="94">
        <v>0</v>
      </c>
      <c r="X395" s="94">
        <v>0</v>
      </c>
      <c r="Y395" s="89">
        <v>0</v>
      </c>
      <c r="Z395" s="94">
        <f t="shared" si="29"/>
        <v>0</v>
      </c>
      <c r="AA395" s="94">
        <f t="shared" si="30"/>
        <v>0</v>
      </c>
      <c r="AB395" s="89">
        <f t="shared" si="31"/>
        <v>0</v>
      </c>
      <c r="AC395" s="89">
        <f t="shared" si="32"/>
        <v>0</v>
      </c>
      <c r="AD395" s="89">
        <v>0</v>
      </c>
      <c r="AE395" s="89">
        <v>0</v>
      </c>
      <c r="AF395" s="117"/>
      <c r="AG395" s="117"/>
      <c r="AH395" s="262"/>
      <c r="AI395" s="17"/>
      <c r="AJ395" s="17"/>
      <c r="AK395" s="17"/>
      <c r="AL395" s="17"/>
      <c r="AM395" s="17"/>
      <c r="AN395" s="17"/>
      <c r="AO395" s="17"/>
      <c r="AP395" s="15" t="str">
        <f>IFERROR(VLOOKUP(AO395,Legend!$D$2:$E$26,2,0),"")</f>
        <v/>
      </c>
      <c r="AQ395" s="15"/>
      <c r="AR395" s="17"/>
      <c r="AS395" s="17"/>
      <c r="AT395" s="15"/>
      <c r="AU395" s="17"/>
      <c r="AV395" s="17"/>
      <c r="AW395" s="17" t="s">
        <v>10</v>
      </c>
      <c r="AX395" s="15"/>
      <c r="AY395" s="15"/>
    </row>
    <row r="396" spans="1:51" x14ac:dyDescent="0.25">
      <c r="A396" s="15"/>
      <c r="B396" s="15"/>
      <c r="C396" s="15"/>
      <c r="D396" s="15"/>
      <c r="E396" s="91"/>
      <c r="F396" s="15"/>
      <c r="G396" s="15"/>
      <c r="H396" s="15"/>
      <c r="I396" s="15"/>
      <c r="J396" s="15"/>
      <c r="K396" s="89"/>
      <c r="L396" s="15"/>
      <c r="M396" s="89">
        <v>0</v>
      </c>
      <c r="N396" s="89">
        <v>0</v>
      </c>
      <c r="O396" s="89">
        <v>0</v>
      </c>
      <c r="P396" s="94">
        <v>0</v>
      </c>
      <c r="Q396" s="94">
        <v>0</v>
      </c>
      <c r="R396" s="94">
        <v>0</v>
      </c>
      <c r="S396" s="94">
        <v>0</v>
      </c>
      <c r="T396" s="89">
        <v>0</v>
      </c>
      <c r="U396" s="89">
        <v>0</v>
      </c>
      <c r="V396" s="94">
        <v>0</v>
      </c>
      <c r="W396" s="94">
        <v>0</v>
      </c>
      <c r="X396" s="94">
        <v>0</v>
      </c>
      <c r="Y396" s="89">
        <v>0</v>
      </c>
      <c r="Z396" s="94">
        <f t="shared" si="29"/>
        <v>0</v>
      </c>
      <c r="AA396" s="94">
        <f t="shared" si="30"/>
        <v>0</v>
      </c>
      <c r="AB396" s="89">
        <f t="shared" si="31"/>
        <v>0</v>
      </c>
      <c r="AC396" s="89">
        <f t="shared" si="32"/>
        <v>0</v>
      </c>
      <c r="AD396" s="89">
        <v>0</v>
      </c>
      <c r="AE396" s="89">
        <v>0</v>
      </c>
      <c r="AF396" s="117"/>
      <c r="AG396" s="117"/>
      <c r="AH396" s="262"/>
      <c r="AI396" s="17"/>
      <c r="AJ396" s="17"/>
      <c r="AK396" s="17"/>
      <c r="AL396" s="17"/>
      <c r="AM396" s="17"/>
      <c r="AN396" s="17"/>
      <c r="AO396" s="17"/>
      <c r="AP396" s="15" t="str">
        <f>IFERROR(VLOOKUP(AO396,Legend!$D$2:$E$26,2,0),"")</f>
        <v/>
      </c>
      <c r="AQ396" s="15"/>
      <c r="AR396" s="17"/>
      <c r="AS396" s="17"/>
      <c r="AT396" s="15"/>
      <c r="AU396" s="17"/>
      <c r="AV396" s="17"/>
      <c r="AW396" s="17" t="s">
        <v>10</v>
      </c>
      <c r="AX396" s="15"/>
      <c r="AY396" s="15"/>
    </row>
    <row r="397" spans="1:51" x14ac:dyDescent="0.25">
      <c r="A397" s="15"/>
      <c r="B397" s="15"/>
      <c r="C397" s="15"/>
      <c r="D397" s="15"/>
      <c r="E397" s="91"/>
      <c r="F397" s="15"/>
      <c r="G397" s="15"/>
      <c r="H397" s="15"/>
      <c r="I397" s="15"/>
      <c r="J397" s="15"/>
      <c r="K397" s="89"/>
      <c r="L397" s="15"/>
      <c r="M397" s="89">
        <v>0</v>
      </c>
      <c r="N397" s="89">
        <v>0</v>
      </c>
      <c r="O397" s="89">
        <v>0</v>
      </c>
      <c r="P397" s="94">
        <v>0</v>
      </c>
      <c r="Q397" s="94">
        <v>0</v>
      </c>
      <c r="R397" s="94">
        <v>0</v>
      </c>
      <c r="S397" s="94">
        <v>0</v>
      </c>
      <c r="T397" s="89">
        <v>0</v>
      </c>
      <c r="U397" s="89">
        <v>0</v>
      </c>
      <c r="V397" s="94">
        <v>0</v>
      </c>
      <c r="W397" s="94">
        <v>0</v>
      </c>
      <c r="X397" s="94">
        <v>0</v>
      </c>
      <c r="Y397" s="89">
        <v>0</v>
      </c>
      <c r="Z397" s="94">
        <f t="shared" si="29"/>
        <v>0</v>
      </c>
      <c r="AA397" s="94">
        <f t="shared" si="30"/>
        <v>0</v>
      </c>
      <c r="AB397" s="89">
        <f t="shared" si="31"/>
        <v>0</v>
      </c>
      <c r="AC397" s="89">
        <f t="shared" si="32"/>
        <v>0</v>
      </c>
      <c r="AD397" s="89">
        <v>0</v>
      </c>
      <c r="AE397" s="89">
        <v>0</v>
      </c>
      <c r="AF397" s="117"/>
      <c r="AG397" s="117"/>
      <c r="AH397" s="262"/>
      <c r="AI397" s="17"/>
      <c r="AJ397" s="17"/>
      <c r="AK397" s="17"/>
      <c r="AL397" s="17"/>
      <c r="AM397" s="17"/>
      <c r="AN397" s="17"/>
      <c r="AO397" s="17"/>
      <c r="AP397" s="15" t="str">
        <f>IFERROR(VLOOKUP(AO397,Legend!$D$2:$E$26,2,0),"")</f>
        <v/>
      </c>
      <c r="AQ397" s="15"/>
      <c r="AR397" s="17"/>
      <c r="AS397" s="17"/>
      <c r="AT397" s="15"/>
      <c r="AU397" s="17"/>
      <c r="AV397" s="17"/>
      <c r="AW397" s="17" t="s">
        <v>10</v>
      </c>
      <c r="AX397" s="15"/>
      <c r="AY397" s="15"/>
    </row>
    <row r="398" spans="1:51" x14ac:dyDescent="0.25">
      <c r="A398" s="15"/>
      <c r="B398" s="15"/>
      <c r="C398" s="15"/>
      <c r="D398" s="15"/>
      <c r="E398" s="91"/>
      <c r="F398" s="15"/>
      <c r="G398" s="15"/>
      <c r="H398" s="15"/>
      <c r="I398" s="15"/>
      <c r="J398" s="15"/>
      <c r="K398" s="89"/>
      <c r="L398" s="15"/>
      <c r="M398" s="89">
        <v>0</v>
      </c>
      <c r="N398" s="89">
        <v>0</v>
      </c>
      <c r="O398" s="89">
        <v>0</v>
      </c>
      <c r="P398" s="94">
        <v>0</v>
      </c>
      <c r="Q398" s="94">
        <v>0</v>
      </c>
      <c r="R398" s="94">
        <v>0</v>
      </c>
      <c r="S398" s="94">
        <v>0</v>
      </c>
      <c r="T398" s="89">
        <v>0</v>
      </c>
      <c r="U398" s="89">
        <v>0</v>
      </c>
      <c r="V398" s="94">
        <v>0</v>
      </c>
      <c r="W398" s="94">
        <v>0</v>
      </c>
      <c r="X398" s="94">
        <v>0</v>
      </c>
      <c r="Y398" s="89">
        <v>0</v>
      </c>
      <c r="Z398" s="94">
        <f t="shared" si="29"/>
        <v>0</v>
      </c>
      <c r="AA398" s="94">
        <f t="shared" si="30"/>
        <v>0</v>
      </c>
      <c r="AB398" s="89">
        <f t="shared" si="31"/>
        <v>0</v>
      </c>
      <c r="AC398" s="89">
        <f t="shared" si="32"/>
        <v>0</v>
      </c>
      <c r="AD398" s="89">
        <v>0</v>
      </c>
      <c r="AE398" s="89">
        <v>0</v>
      </c>
      <c r="AF398" s="117"/>
      <c r="AG398" s="117"/>
      <c r="AH398" s="262"/>
      <c r="AI398" s="17"/>
      <c r="AJ398" s="17"/>
      <c r="AK398" s="17"/>
      <c r="AL398" s="17"/>
      <c r="AM398" s="17"/>
      <c r="AN398" s="17"/>
      <c r="AO398" s="17"/>
      <c r="AP398" s="15" t="str">
        <f>IFERROR(VLOOKUP(AO398,Legend!$D$2:$E$26,2,0),"")</f>
        <v/>
      </c>
      <c r="AQ398" s="15"/>
      <c r="AR398" s="17"/>
      <c r="AS398" s="17"/>
      <c r="AT398" s="15"/>
      <c r="AU398" s="17"/>
      <c r="AV398" s="17"/>
      <c r="AW398" s="17" t="s">
        <v>10</v>
      </c>
      <c r="AX398" s="15"/>
      <c r="AY398" s="15"/>
    </row>
    <row r="399" spans="1:51" x14ac:dyDescent="0.25">
      <c r="A399" s="15"/>
      <c r="B399" s="15"/>
      <c r="C399" s="15"/>
      <c r="D399" s="15"/>
      <c r="E399" s="91"/>
      <c r="F399" s="15"/>
      <c r="G399" s="15"/>
      <c r="H399" s="15"/>
      <c r="I399" s="15"/>
      <c r="J399" s="15"/>
      <c r="K399" s="89"/>
      <c r="L399" s="15"/>
      <c r="M399" s="89">
        <v>0</v>
      </c>
      <c r="N399" s="89">
        <v>0</v>
      </c>
      <c r="O399" s="89">
        <v>0</v>
      </c>
      <c r="P399" s="94">
        <v>0</v>
      </c>
      <c r="Q399" s="94">
        <v>0</v>
      </c>
      <c r="R399" s="94">
        <v>0</v>
      </c>
      <c r="S399" s="94">
        <v>0</v>
      </c>
      <c r="T399" s="89">
        <v>0</v>
      </c>
      <c r="U399" s="89">
        <v>0</v>
      </c>
      <c r="V399" s="94">
        <v>0</v>
      </c>
      <c r="W399" s="94">
        <v>0</v>
      </c>
      <c r="X399" s="94">
        <v>0</v>
      </c>
      <c r="Y399" s="89">
        <v>0</v>
      </c>
      <c r="Z399" s="94">
        <f t="shared" si="29"/>
        <v>0</v>
      </c>
      <c r="AA399" s="94">
        <f t="shared" si="30"/>
        <v>0</v>
      </c>
      <c r="AB399" s="89">
        <f t="shared" si="31"/>
        <v>0</v>
      </c>
      <c r="AC399" s="89">
        <f t="shared" si="32"/>
        <v>0</v>
      </c>
      <c r="AD399" s="89">
        <v>0</v>
      </c>
      <c r="AE399" s="89">
        <v>0</v>
      </c>
      <c r="AF399" s="117"/>
      <c r="AG399" s="117"/>
      <c r="AH399" s="262"/>
      <c r="AI399" s="17"/>
      <c r="AJ399" s="17"/>
      <c r="AK399" s="17"/>
      <c r="AL399" s="17"/>
      <c r="AM399" s="17"/>
      <c r="AN399" s="17"/>
      <c r="AO399" s="17"/>
      <c r="AP399" s="15" t="str">
        <f>IFERROR(VLOOKUP(AO399,Legend!$D$2:$E$26,2,0),"")</f>
        <v/>
      </c>
      <c r="AQ399" s="15"/>
      <c r="AR399" s="17"/>
      <c r="AS399" s="17"/>
      <c r="AT399" s="15"/>
      <c r="AU399" s="17"/>
      <c r="AV399" s="17"/>
      <c r="AW399" s="17" t="s">
        <v>10</v>
      </c>
      <c r="AX399" s="15"/>
      <c r="AY399" s="15"/>
    </row>
    <row r="400" spans="1:51" x14ac:dyDescent="0.25">
      <c r="A400" s="15"/>
      <c r="B400" s="15"/>
      <c r="C400" s="15"/>
      <c r="D400" s="15"/>
      <c r="E400" s="91"/>
      <c r="F400" s="15"/>
      <c r="G400" s="15"/>
      <c r="H400" s="15"/>
      <c r="I400" s="15"/>
      <c r="J400" s="15"/>
      <c r="K400" s="89"/>
      <c r="L400" s="15"/>
      <c r="M400" s="89">
        <v>0</v>
      </c>
      <c r="N400" s="89">
        <v>0</v>
      </c>
      <c r="O400" s="89">
        <v>0</v>
      </c>
      <c r="P400" s="94">
        <v>0</v>
      </c>
      <c r="Q400" s="94">
        <v>0</v>
      </c>
      <c r="R400" s="94">
        <v>0</v>
      </c>
      <c r="S400" s="94">
        <v>0</v>
      </c>
      <c r="T400" s="89">
        <v>0</v>
      </c>
      <c r="U400" s="89">
        <v>0</v>
      </c>
      <c r="V400" s="94">
        <v>0</v>
      </c>
      <c r="W400" s="94">
        <v>0</v>
      </c>
      <c r="X400" s="94">
        <v>0</v>
      </c>
      <c r="Y400" s="89">
        <v>0</v>
      </c>
      <c r="Z400" s="94">
        <f t="shared" si="29"/>
        <v>0</v>
      </c>
      <c r="AA400" s="94">
        <f t="shared" si="30"/>
        <v>0</v>
      </c>
      <c r="AB400" s="89">
        <f t="shared" si="31"/>
        <v>0</v>
      </c>
      <c r="AC400" s="89">
        <f t="shared" si="32"/>
        <v>0</v>
      </c>
      <c r="AD400" s="89">
        <v>0</v>
      </c>
      <c r="AE400" s="89">
        <v>0</v>
      </c>
      <c r="AF400" s="117"/>
      <c r="AG400" s="117"/>
      <c r="AH400" s="262"/>
      <c r="AI400" s="17"/>
      <c r="AJ400" s="17"/>
      <c r="AK400" s="17"/>
      <c r="AL400" s="17"/>
      <c r="AM400" s="17"/>
      <c r="AN400" s="17"/>
      <c r="AO400" s="17"/>
      <c r="AP400" s="15" t="str">
        <f>IFERROR(VLOOKUP(AO400,Legend!$D$2:$E$26,2,0),"")</f>
        <v/>
      </c>
      <c r="AQ400" s="15"/>
      <c r="AR400" s="17"/>
      <c r="AS400" s="17"/>
      <c r="AT400" s="15"/>
      <c r="AU400" s="17"/>
      <c r="AV400" s="17"/>
      <c r="AW400" s="17" t="s">
        <v>10</v>
      </c>
      <c r="AX400" s="15"/>
      <c r="AY400" s="15"/>
    </row>
    <row r="401" spans="1:51" x14ac:dyDescent="0.25">
      <c r="A401" s="15"/>
      <c r="B401" s="15"/>
      <c r="C401" s="15"/>
      <c r="D401" s="15"/>
      <c r="E401" s="91"/>
      <c r="F401" s="15"/>
      <c r="G401" s="15"/>
      <c r="H401" s="15"/>
      <c r="I401" s="15"/>
      <c r="J401" s="15"/>
      <c r="K401" s="89"/>
      <c r="L401" s="15"/>
      <c r="M401" s="89">
        <v>0</v>
      </c>
      <c r="N401" s="89">
        <v>0</v>
      </c>
      <c r="O401" s="89">
        <v>0</v>
      </c>
      <c r="P401" s="94">
        <v>0</v>
      </c>
      <c r="Q401" s="94">
        <v>0</v>
      </c>
      <c r="R401" s="94">
        <v>0</v>
      </c>
      <c r="S401" s="94">
        <v>0</v>
      </c>
      <c r="T401" s="89">
        <v>0</v>
      </c>
      <c r="U401" s="89">
        <v>0</v>
      </c>
      <c r="V401" s="94">
        <v>0</v>
      </c>
      <c r="W401" s="94">
        <v>0</v>
      </c>
      <c r="X401" s="94">
        <v>0</v>
      </c>
      <c r="Y401" s="89">
        <v>0</v>
      </c>
      <c r="Z401" s="94">
        <f t="shared" si="29"/>
        <v>0</v>
      </c>
      <c r="AA401" s="94">
        <f t="shared" si="30"/>
        <v>0</v>
      </c>
      <c r="AB401" s="89">
        <f t="shared" si="31"/>
        <v>0</v>
      </c>
      <c r="AC401" s="89">
        <f t="shared" si="32"/>
        <v>0</v>
      </c>
      <c r="AD401" s="89">
        <v>0</v>
      </c>
      <c r="AE401" s="89">
        <v>0</v>
      </c>
      <c r="AF401" s="117"/>
      <c r="AG401" s="117"/>
      <c r="AH401" s="262"/>
      <c r="AI401" s="17"/>
      <c r="AJ401" s="17"/>
      <c r="AK401" s="17"/>
      <c r="AL401" s="17"/>
      <c r="AM401" s="17"/>
      <c r="AN401" s="17"/>
      <c r="AO401" s="17"/>
      <c r="AP401" s="15" t="str">
        <f>IFERROR(VLOOKUP(AO401,Legend!$D$2:$E$26,2,0),"")</f>
        <v/>
      </c>
      <c r="AQ401" s="15"/>
      <c r="AR401" s="17"/>
      <c r="AS401" s="17"/>
      <c r="AT401" s="15"/>
      <c r="AU401" s="17"/>
      <c r="AV401" s="17"/>
      <c r="AW401" s="17" t="s">
        <v>10</v>
      </c>
      <c r="AX401" s="15"/>
      <c r="AY401" s="15"/>
    </row>
    <row r="402" spans="1:51" x14ac:dyDescent="0.25">
      <c r="A402" s="15"/>
      <c r="B402" s="15"/>
      <c r="C402" s="15"/>
      <c r="D402" s="15"/>
      <c r="E402" s="91"/>
      <c r="F402" s="15"/>
      <c r="G402" s="15"/>
      <c r="H402" s="15"/>
      <c r="I402" s="15"/>
      <c r="J402" s="15"/>
      <c r="K402" s="89"/>
      <c r="L402" s="15"/>
      <c r="M402" s="89">
        <v>0</v>
      </c>
      <c r="N402" s="89">
        <v>0</v>
      </c>
      <c r="O402" s="89">
        <v>0</v>
      </c>
      <c r="P402" s="94">
        <v>0</v>
      </c>
      <c r="Q402" s="94">
        <v>0</v>
      </c>
      <c r="R402" s="94">
        <v>0</v>
      </c>
      <c r="S402" s="94">
        <v>0</v>
      </c>
      <c r="T402" s="89">
        <v>0</v>
      </c>
      <c r="U402" s="89">
        <v>0</v>
      </c>
      <c r="V402" s="94">
        <v>0</v>
      </c>
      <c r="W402" s="94">
        <v>0</v>
      </c>
      <c r="X402" s="94">
        <v>0</v>
      </c>
      <c r="Y402" s="89">
        <v>0</v>
      </c>
      <c r="Z402" s="94">
        <f t="shared" si="29"/>
        <v>0</v>
      </c>
      <c r="AA402" s="94">
        <f t="shared" si="30"/>
        <v>0</v>
      </c>
      <c r="AB402" s="89">
        <f t="shared" si="31"/>
        <v>0</v>
      </c>
      <c r="AC402" s="89">
        <f t="shared" si="32"/>
        <v>0</v>
      </c>
      <c r="AD402" s="89">
        <v>0</v>
      </c>
      <c r="AE402" s="89">
        <v>0</v>
      </c>
      <c r="AF402" s="117"/>
      <c r="AG402" s="117"/>
      <c r="AH402" s="262"/>
      <c r="AI402" s="17"/>
      <c r="AJ402" s="17"/>
      <c r="AK402" s="17"/>
      <c r="AL402" s="17"/>
      <c r="AM402" s="17"/>
      <c r="AN402" s="17"/>
      <c r="AO402" s="17"/>
      <c r="AP402" s="15" t="str">
        <f>IFERROR(VLOOKUP(AO402,Legend!$D$2:$E$26,2,0),"")</f>
        <v/>
      </c>
      <c r="AQ402" s="15"/>
      <c r="AR402" s="17"/>
      <c r="AS402" s="17"/>
      <c r="AT402" s="15"/>
      <c r="AU402" s="17"/>
      <c r="AV402" s="17"/>
      <c r="AW402" s="17" t="s">
        <v>10</v>
      </c>
      <c r="AX402" s="15"/>
      <c r="AY402" s="15"/>
    </row>
    <row r="403" spans="1:51" x14ac:dyDescent="0.25">
      <c r="A403" s="15"/>
      <c r="B403" s="15"/>
      <c r="C403" s="15"/>
      <c r="D403" s="15"/>
      <c r="E403" s="91"/>
      <c r="F403" s="15"/>
      <c r="G403" s="15"/>
      <c r="H403" s="15"/>
      <c r="I403" s="15"/>
      <c r="J403" s="15"/>
      <c r="K403" s="89"/>
      <c r="L403" s="15"/>
      <c r="M403" s="89">
        <v>0</v>
      </c>
      <c r="N403" s="89">
        <v>0</v>
      </c>
      <c r="O403" s="89">
        <v>0</v>
      </c>
      <c r="P403" s="94">
        <v>0</v>
      </c>
      <c r="Q403" s="94">
        <v>0</v>
      </c>
      <c r="R403" s="94">
        <v>0</v>
      </c>
      <c r="S403" s="94">
        <v>0</v>
      </c>
      <c r="T403" s="89">
        <v>0</v>
      </c>
      <c r="U403" s="89">
        <v>0</v>
      </c>
      <c r="V403" s="94">
        <v>0</v>
      </c>
      <c r="W403" s="94">
        <v>0</v>
      </c>
      <c r="X403" s="94">
        <v>0</v>
      </c>
      <c r="Y403" s="89">
        <v>0</v>
      </c>
      <c r="Z403" s="94">
        <f t="shared" si="29"/>
        <v>0</v>
      </c>
      <c r="AA403" s="94">
        <f t="shared" si="30"/>
        <v>0</v>
      </c>
      <c r="AB403" s="89">
        <f t="shared" si="31"/>
        <v>0</v>
      </c>
      <c r="AC403" s="89">
        <f t="shared" si="32"/>
        <v>0</v>
      </c>
      <c r="AD403" s="89">
        <v>0</v>
      </c>
      <c r="AE403" s="89">
        <v>0</v>
      </c>
      <c r="AF403" s="117"/>
      <c r="AG403" s="117"/>
      <c r="AH403" s="262"/>
      <c r="AI403" s="17"/>
      <c r="AJ403" s="17"/>
      <c r="AK403" s="17"/>
      <c r="AL403" s="17"/>
      <c r="AM403" s="17"/>
      <c r="AN403" s="17"/>
      <c r="AO403" s="17"/>
      <c r="AP403" s="15" t="str">
        <f>IFERROR(VLOOKUP(AO403,Legend!$D$2:$E$26,2,0),"")</f>
        <v/>
      </c>
      <c r="AQ403" s="15"/>
      <c r="AR403" s="17"/>
      <c r="AS403" s="17"/>
      <c r="AT403" s="15"/>
      <c r="AU403" s="17"/>
      <c r="AV403" s="17"/>
      <c r="AW403" s="17" t="s">
        <v>10</v>
      </c>
      <c r="AX403" s="15"/>
      <c r="AY403" s="15"/>
    </row>
    <row r="404" spans="1:51" x14ac:dyDescent="0.25">
      <c r="A404" s="15"/>
      <c r="B404" s="15"/>
      <c r="C404" s="15"/>
      <c r="D404" s="15"/>
      <c r="E404" s="91"/>
      <c r="F404" s="15"/>
      <c r="G404" s="15"/>
      <c r="H404" s="15"/>
      <c r="I404" s="15"/>
      <c r="J404" s="15"/>
      <c r="K404" s="89"/>
      <c r="L404" s="15"/>
      <c r="M404" s="89">
        <v>0</v>
      </c>
      <c r="N404" s="89">
        <v>0</v>
      </c>
      <c r="O404" s="89">
        <v>0</v>
      </c>
      <c r="P404" s="94">
        <v>0</v>
      </c>
      <c r="Q404" s="94">
        <v>0</v>
      </c>
      <c r="R404" s="94">
        <v>0</v>
      </c>
      <c r="S404" s="94">
        <v>0</v>
      </c>
      <c r="T404" s="89">
        <v>0</v>
      </c>
      <c r="U404" s="89">
        <v>0</v>
      </c>
      <c r="V404" s="94">
        <v>0</v>
      </c>
      <c r="W404" s="94">
        <v>0</v>
      </c>
      <c r="X404" s="94">
        <v>0</v>
      </c>
      <c r="Y404" s="89">
        <v>0</v>
      </c>
      <c r="Z404" s="94">
        <f t="shared" si="29"/>
        <v>0</v>
      </c>
      <c r="AA404" s="94">
        <f t="shared" si="30"/>
        <v>0</v>
      </c>
      <c r="AB404" s="89">
        <f t="shared" si="31"/>
        <v>0</v>
      </c>
      <c r="AC404" s="89">
        <f t="shared" si="32"/>
        <v>0</v>
      </c>
      <c r="AD404" s="89">
        <v>0</v>
      </c>
      <c r="AE404" s="89">
        <v>0</v>
      </c>
      <c r="AF404" s="117"/>
      <c r="AG404" s="117"/>
      <c r="AH404" s="262"/>
      <c r="AI404" s="17"/>
      <c r="AJ404" s="17"/>
      <c r="AK404" s="17"/>
      <c r="AL404" s="17"/>
      <c r="AM404" s="17"/>
      <c r="AN404" s="17"/>
      <c r="AO404" s="17"/>
      <c r="AP404" s="15" t="str">
        <f>IFERROR(VLOOKUP(AO404,Legend!$D$2:$E$26,2,0),"")</f>
        <v/>
      </c>
      <c r="AQ404" s="15"/>
      <c r="AR404" s="17"/>
      <c r="AS404" s="17"/>
      <c r="AT404" s="15"/>
      <c r="AU404" s="17"/>
      <c r="AV404" s="17"/>
      <c r="AW404" s="17" t="s">
        <v>10</v>
      </c>
      <c r="AX404" s="15"/>
      <c r="AY404" s="15"/>
    </row>
    <row r="405" spans="1:51" x14ac:dyDescent="0.25">
      <c r="A405" s="15"/>
      <c r="B405" s="15"/>
      <c r="C405" s="15"/>
      <c r="D405" s="15"/>
      <c r="E405" s="91"/>
      <c r="F405" s="15"/>
      <c r="G405" s="15"/>
      <c r="H405" s="15"/>
      <c r="I405" s="15"/>
      <c r="J405" s="15"/>
      <c r="K405" s="89"/>
      <c r="L405" s="15"/>
      <c r="M405" s="89">
        <v>0</v>
      </c>
      <c r="N405" s="89">
        <v>0</v>
      </c>
      <c r="O405" s="89">
        <v>0</v>
      </c>
      <c r="P405" s="94">
        <v>0</v>
      </c>
      <c r="Q405" s="94">
        <v>0</v>
      </c>
      <c r="R405" s="94">
        <v>0</v>
      </c>
      <c r="S405" s="94">
        <v>0</v>
      </c>
      <c r="T405" s="89">
        <v>0</v>
      </c>
      <c r="U405" s="89">
        <v>0</v>
      </c>
      <c r="V405" s="94">
        <v>0</v>
      </c>
      <c r="W405" s="94">
        <v>0</v>
      </c>
      <c r="X405" s="94">
        <v>0</v>
      </c>
      <c r="Y405" s="89">
        <v>0</v>
      </c>
      <c r="Z405" s="94">
        <f t="shared" si="29"/>
        <v>0</v>
      </c>
      <c r="AA405" s="94">
        <f t="shared" si="30"/>
        <v>0</v>
      </c>
      <c r="AB405" s="89">
        <f t="shared" si="31"/>
        <v>0</v>
      </c>
      <c r="AC405" s="89">
        <f t="shared" si="32"/>
        <v>0</v>
      </c>
      <c r="AD405" s="89">
        <v>0</v>
      </c>
      <c r="AE405" s="89">
        <v>0</v>
      </c>
      <c r="AF405" s="117"/>
      <c r="AG405" s="117"/>
      <c r="AH405" s="262"/>
      <c r="AI405" s="17"/>
      <c r="AJ405" s="17"/>
      <c r="AK405" s="17"/>
      <c r="AL405" s="17"/>
      <c r="AM405" s="17"/>
      <c r="AN405" s="17"/>
      <c r="AO405" s="17"/>
      <c r="AP405" s="15" t="str">
        <f>IFERROR(VLOOKUP(AO405,Legend!$D$2:$E$26,2,0),"")</f>
        <v/>
      </c>
      <c r="AQ405" s="15"/>
      <c r="AR405" s="17"/>
      <c r="AS405" s="17"/>
      <c r="AT405" s="15"/>
      <c r="AU405" s="17"/>
      <c r="AV405" s="17"/>
      <c r="AW405" s="17" t="s">
        <v>10</v>
      </c>
      <c r="AX405" s="15"/>
      <c r="AY405" s="15"/>
    </row>
    <row r="406" spans="1:51" x14ac:dyDescent="0.25">
      <c r="A406" s="15"/>
      <c r="B406" s="15"/>
      <c r="C406" s="15"/>
      <c r="D406" s="15"/>
      <c r="E406" s="91"/>
      <c r="F406" s="15"/>
      <c r="G406" s="15"/>
      <c r="H406" s="15"/>
      <c r="I406" s="15"/>
      <c r="J406" s="15"/>
      <c r="K406" s="89"/>
      <c r="L406" s="15"/>
      <c r="M406" s="89">
        <v>0</v>
      </c>
      <c r="N406" s="89">
        <v>0</v>
      </c>
      <c r="O406" s="89">
        <v>0</v>
      </c>
      <c r="P406" s="94">
        <v>0</v>
      </c>
      <c r="Q406" s="94">
        <v>0</v>
      </c>
      <c r="R406" s="94">
        <v>0</v>
      </c>
      <c r="S406" s="94">
        <v>0</v>
      </c>
      <c r="T406" s="89">
        <v>0</v>
      </c>
      <c r="U406" s="89">
        <v>0</v>
      </c>
      <c r="V406" s="94">
        <v>0</v>
      </c>
      <c r="W406" s="94">
        <v>0</v>
      </c>
      <c r="X406" s="94">
        <v>0</v>
      </c>
      <c r="Y406" s="89">
        <v>0</v>
      </c>
      <c r="Z406" s="94">
        <f t="shared" si="29"/>
        <v>0</v>
      </c>
      <c r="AA406" s="94">
        <f t="shared" si="30"/>
        <v>0</v>
      </c>
      <c r="AB406" s="89">
        <f t="shared" si="31"/>
        <v>0</v>
      </c>
      <c r="AC406" s="89">
        <f t="shared" si="32"/>
        <v>0</v>
      </c>
      <c r="AD406" s="89">
        <v>0</v>
      </c>
      <c r="AE406" s="89">
        <v>0</v>
      </c>
      <c r="AF406" s="117"/>
      <c r="AG406" s="117"/>
      <c r="AH406" s="262"/>
      <c r="AI406" s="17"/>
      <c r="AJ406" s="17"/>
      <c r="AK406" s="17"/>
      <c r="AL406" s="17"/>
      <c r="AM406" s="17"/>
      <c r="AN406" s="17"/>
      <c r="AO406" s="17"/>
      <c r="AP406" s="15" t="str">
        <f>IFERROR(VLOOKUP(AO406,Legend!$D$2:$E$26,2,0),"")</f>
        <v/>
      </c>
      <c r="AQ406" s="15"/>
      <c r="AR406" s="17"/>
      <c r="AS406" s="17"/>
      <c r="AT406" s="15"/>
      <c r="AU406" s="17"/>
      <c r="AV406" s="17"/>
      <c r="AW406" s="17" t="s">
        <v>10</v>
      </c>
      <c r="AX406" s="15"/>
      <c r="AY406" s="15"/>
    </row>
    <row r="407" spans="1:51" x14ac:dyDescent="0.25">
      <c r="A407" s="15"/>
      <c r="B407" s="15"/>
      <c r="C407" s="15"/>
      <c r="D407" s="15"/>
      <c r="E407" s="91"/>
      <c r="F407" s="15"/>
      <c r="G407" s="15"/>
      <c r="H407" s="15"/>
      <c r="I407" s="15"/>
      <c r="J407" s="15"/>
      <c r="K407" s="89"/>
      <c r="L407" s="15"/>
      <c r="M407" s="89">
        <v>0</v>
      </c>
      <c r="N407" s="89">
        <v>0</v>
      </c>
      <c r="O407" s="89">
        <v>0</v>
      </c>
      <c r="P407" s="94">
        <v>0</v>
      </c>
      <c r="Q407" s="94">
        <v>0</v>
      </c>
      <c r="R407" s="94">
        <v>0</v>
      </c>
      <c r="S407" s="94">
        <v>0</v>
      </c>
      <c r="T407" s="89">
        <v>0</v>
      </c>
      <c r="U407" s="89">
        <v>0</v>
      </c>
      <c r="V407" s="94">
        <v>0</v>
      </c>
      <c r="W407" s="94">
        <v>0</v>
      </c>
      <c r="X407" s="94">
        <v>0</v>
      </c>
      <c r="Y407" s="89">
        <v>0</v>
      </c>
      <c r="Z407" s="94">
        <f t="shared" si="29"/>
        <v>0</v>
      </c>
      <c r="AA407" s="94">
        <f t="shared" si="30"/>
        <v>0</v>
      </c>
      <c r="AB407" s="89">
        <f t="shared" si="31"/>
        <v>0</v>
      </c>
      <c r="AC407" s="89">
        <f t="shared" si="32"/>
        <v>0</v>
      </c>
      <c r="AD407" s="89">
        <v>0</v>
      </c>
      <c r="AE407" s="89">
        <v>0</v>
      </c>
      <c r="AF407" s="117"/>
      <c r="AG407" s="117"/>
      <c r="AH407" s="262"/>
      <c r="AI407" s="17"/>
      <c r="AJ407" s="17"/>
      <c r="AK407" s="17"/>
      <c r="AL407" s="17"/>
      <c r="AM407" s="17"/>
      <c r="AN407" s="17"/>
      <c r="AO407" s="17"/>
      <c r="AP407" s="15" t="str">
        <f>IFERROR(VLOOKUP(AO407,Legend!$D$2:$E$26,2,0),"")</f>
        <v/>
      </c>
      <c r="AQ407" s="15"/>
      <c r="AR407" s="17"/>
      <c r="AS407" s="17"/>
      <c r="AT407" s="15"/>
      <c r="AU407" s="17"/>
      <c r="AV407" s="17"/>
      <c r="AW407" s="17" t="s">
        <v>10</v>
      </c>
      <c r="AX407" s="15"/>
      <c r="AY407" s="15"/>
    </row>
    <row r="408" spans="1:51" x14ac:dyDescent="0.25">
      <c r="A408" s="15"/>
      <c r="B408" s="15"/>
      <c r="C408" s="15"/>
      <c r="D408" s="15"/>
      <c r="E408" s="91"/>
      <c r="F408" s="15"/>
      <c r="G408" s="15"/>
      <c r="H408" s="15"/>
      <c r="I408" s="15"/>
      <c r="J408" s="15"/>
      <c r="K408" s="89"/>
      <c r="L408" s="15"/>
      <c r="M408" s="89">
        <v>0</v>
      </c>
      <c r="N408" s="89">
        <v>0</v>
      </c>
      <c r="O408" s="89">
        <v>0</v>
      </c>
      <c r="P408" s="94">
        <v>0</v>
      </c>
      <c r="Q408" s="94">
        <v>0</v>
      </c>
      <c r="R408" s="94">
        <v>0</v>
      </c>
      <c r="S408" s="94">
        <v>0</v>
      </c>
      <c r="T408" s="89">
        <v>0</v>
      </c>
      <c r="U408" s="89">
        <v>0</v>
      </c>
      <c r="V408" s="94">
        <v>0</v>
      </c>
      <c r="W408" s="94">
        <v>0</v>
      </c>
      <c r="X408" s="94">
        <v>0</v>
      </c>
      <c r="Y408" s="89">
        <v>0</v>
      </c>
      <c r="Z408" s="94">
        <f t="shared" si="29"/>
        <v>0</v>
      </c>
      <c r="AA408" s="94">
        <f t="shared" si="30"/>
        <v>0</v>
      </c>
      <c r="AB408" s="89">
        <f t="shared" si="31"/>
        <v>0</v>
      </c>
      <c r="AC408" s="89">
        <f t="shared" si="32"/>
        <v>0</v>
      </c>
      <c r="AD408" s="89">
        <v>0</v>
      </c>
      <c r="AE408" s="89">
        <v>0</v>
      </c>
      <c r="AF408" s="117"/>
      <c r="AG408" s="117"/>
      <c r="AH408" s="262"/>
      <c r="AI408" s="17"/>
      <c r="AJ408" s="17"/>
      <c r="AK408" s="17"/>
      <c r="AL408" s="17"/>
      <c r="AM408" s="17"/>
      <c r="AN408" s="17"/>
      <c r="AO408" s="17"/>
      <c r="AP408" s="15" t="str">
        <f>IFERROR(VLOOKUP(AO408,Legend!$D$2:$E$26,2,0),"")</f>
        <v/>
      </c>
      <c r="AQ408" s="15"/>
      <c r="AR408" s="17"/>
      <c r="AS408" s="17"/>
      <c r="AT408" s="15"/>
      <c r="AU408" s="17"/>
      <c r="AV408" s="17"/>
      <c r="AW408" s="17" t="s">
        <v>10</v>
      </c>
      <c r="AX408" s="15"/>
      <c r="AY408" s="15"/>
    </row>
    <row r="409" spans="1:51" x14ac:dyDescent="0.25">
      <c r="A409" s="15"/>
      <c r="B409" s="15"/>
      <c r="C409" s="15"/>
      <c r="D409" s="15"/>
      <c r="E409" s="91"/>
      <c r="F409" s="15"/>
      <c r="G409" s="15"/>
      <c r="H409" s="15"/>
      <c r="I409" s="15"/>
      <c r="J409" s="15"/>
      <c r="K409" s="89"/>
      <c r="L409" s="15"/>
      <c r="M409" s="89">
        <v>0</v>
      </c>
      <c r="N409" s="89">
        <v>0</v>
      </c>
      <c r="O409" s="89">
        <v>0</v>
      </c>
      <c r="P409" s="94">
        <v>0</v>
      </c>
      <c r="Q409" s="94">
        <v>0</v>
      </c>
      <c r="R409" s="94">
        <v>0</v>
      </c>
      <c r="S409" s="94">
        <v>0</v>
      </c>
      <c r="T409" s="89">
        <v>0</v>
      </c>
      <c r="U409" s="89">
        <v>0</v>
      </c>
      <c r="V409" s="94">
        <v>0</v>
      </c>
      <c r="W409" s="94">
        <v>0</v>
      </c>
      <c r="X409" s="94">
        <v>0</v>
      </c>
      <c r="Y409" s="89">
        <v>0</v>
      </c>
      <c r="Z409" s="94">
        <f t="shared" si="29"/>
        <v>0</v>
      </c>
      <c r="AA409" s="94">
        <f t="shared" si="30"/>
        <v>0</v>
      </c>
      <c r="AB409" s="89">
        <f t="shared" si="31"/>
        <v>0</v>
      </c>
      <c r="AC409" s="89">
        <f t="shared" si="32"/>
        <v>0</v>
      </c>
      <c r="AD409" s="89">
        <v>0</v>
      </c>
      <c r="AE409" s="89">
        <v>0</v>
      </c>
      <c r="AF409" s="117"/>
      <c r="AG409" s="117"/>
      <c r="AH409" s="262"/>
      <c r="AI409" s="17"/>
      <c r="AJ409" s="17"/>
      <c r="AK409" s="17"/>
      <c r="AL409" s="17"/>
      <c r="AM409" s="17"/>
      <c r="AN409" s="17"/>
      <c r="AO409" s="17"/>
      <c r="AP409" s="15" t="str">
        <f>IFERROR(VLOOKUP(AO409,Legend!$D$2:$E$26,2,0),"")</f>
        <v/>
      </c>
      <c r="AQ409" s="15"/>
      <c r="AR409" s="17"/>
      <c r="AS409" s="17"/>
      <c r="AT409" s="15"/>
      <c r="AU409" s="17"/>
      <c r="AV409" s="17"/>
      <c r="AW409" s="17" t="s">
        <v>10</v>
      </c>
      <c r="AX409" s="15"/>
      <c r="AY409" s="15"/>
    </row>
    <row r="410" spans="1:51" x14ac:dyDescent="0.25">
      <c r="A410" s="15"/>
      <c r="B410" s="15"/>
      <c r="C410" s="15"/>
      <c r="D410" s="15"/>
      <c r="E410" s="91"/>
      <c r="F410" s="15"/>
      <c r="G410" s="15"/>
      <c r="H410" s="15"/>
      <c r="I410" s="15"/>
      <c r="J410" s="15"/>
      <c r="K410" s="89"/>
      <c r="L410" s="15"/>
      <c r="M410" s="89">
        <v>0</v>
      </c>
      <c r="N410" s="89">
        <v>0</v>
      </c>
      <c r="O410" s="89">
        <v>0</v>
      </c>
      <c r="P410" s="94">
        <v>0</v>
      </c>
      <c r="Q410" s="94">
        <v>0</v>
      </c>
      <c r="R410" s="94">
        <v>0</v>
      </c>
      <c r="S410" s="94">
        <v>0</v>
      </c>
      <c r="T410" s="89">
        <v>0</v>
      </c>
      <c r="U410" s="89">
        <v>0</v>
      </c>
      <c r="V410" s="94">
        <v>0</v>
      </c>
      <c r="W410" s="94">
        <v>0</v>
      </c>
      <c r="X410" s="94">
        <v>0</v>
      </c>
      <c r="Y410" s="89">
        <v>0</v>
      </c>
      <c r="Z410" s="94">
        <f t="shared" si="29"/>
        <v>0</v>
      </c>
      <c r="AA410" s="94">
        <f t="shared" si="30"/>
        <v>0</v>
      </c>
      <c r="AB410" s="89">
        <f t="shared" si="31"/>
        <v>0</v>
      </c>
      <c r="AC410" s="89">
        <f t="shared" si="32"/>
        <v>0</v>
      </c>
      <c r="AD410" s="89">
        <v>0</v>
      </c>
      <c r="AE410" s="89">
        <v>0</v>
      </c>
      <c r="AF410" s="117"/>
      <c r="AG410" s="117"/>
      <c r="AH410" s="262"/>
      <c r="AI410" s="17"/>
      <c r="AJ410" s="17"/>
      <c r="AK410" s="17"/>
      <c r="AL410" s="17"/>
      <c r="AM410" s="17"/>
      <c r="AN410" s="17"/>
      <c r="AO410" s="17"/>
      <c r="AP410" s="15" t="str">
        <f>IFERROR(VLOOKUP(AO410,Legend!$D$2:$E$26,2,0),"")</f>
        <v/>
      </c>
      <c r="AQ410" s="15"/>
      <c r="AR410" s="17"/>
      <c r="AS410" s="17"/>
      <c r="AT410" s="15"/>
      <c r="AU410" s="17"/>
      <c r="AV410" s="17"/>
      <c r="AW410" s="17" t="s">
        <v>10</v>
      </c>
      <c r="AX410" s="15"/>
      <c r="AY410" s="15"/>
    </row>
    <row r="411" spans="1:51" x14ac:dyDescent="0.25">
      <c r="A411" s="15"/>
      <c r="B411" s="15"/>
      <c r="C411" s="15"/>
      <c r="D411" s="15"/>
      <c r="E411" s="91"/>
      <c r="F411" s="15"/>
      <c r="G411" s="15"/>
      <c r="H411" s="15"/>
      <c r="I411" s="15"/>
      <c r="J411" s="15"/>
      <c r="K411" s="89"/>
      <c r="L411" s="15"/>
      <c r="M411" s="89">
        <v>0</v>
      </c>
      <c r="N411" s="89">
        <v>0</v>
      </c>
      <c r="O411" s="89">
        <v>0</v>
      </c>
      <c r="P411" s="94">
        <v>0</v>
      </c>
      <c r="Q411" s="94">
        <v>0</v>
      </c>
      <c r="R411" s="94">
        <v>0</v>
      </c>
      <c r="S411" s="94">
        <v>0</v>
      </c>
      <c r="T411" s="89">
        <v>0</v>
      </c>
      <c r="U411" s="89">
        <v>0</v>
      </c>
      <c r="V411" s="94">
        <v>0</v>
      </c>
      <c r="W411" s="94">
        <v>0</v>
      </c>
      <c r="X411" s="94">
        <v>0</v>
      </c>
      <c r="Y411" s="89">
        <v>0</v>
      </c>
      <c r="Z411" s="94">
        <f t="shared" si="29"/>
        <v>0</v>
      </c>
      <c r="AA411" s="94">
        <f t="shared" si="30"/>
        <v>0</v>
      </c>
      <c r="AB411" s="89">
        <f t="shared" si="31"/>
        <v>0</v>
      </c>
      <c r="AC411" s="89">
        <f t="shared" si="32"/>
        <v>0</v>
      </c>
      <c r="AD411" s="89">
        <v>0</v>
      </c>
      <c r="AE411" s="89">
        <v>0</v>
      </c>
      <c r="AF411" s="117"/>
      <c r="AG411" s="117"/>
      <c r="AH411" s="262"/>
      <c r="AI411" s="17"/>
      <c r="AJ411" s="17"/>
      <c r="AK411" s="17"/>
      <c r="AL411" s="17"/>
      <c r="AM411" s="17"/>
      <c r="AN411" s="17"/>
      <c r="AO411" s="17"/>
      <c r="AP411" s="15" t="str">
        <f>IFERROR(VLOOKUP(AO411,Legend!$D$2:$E$26,2,0),"")</f>
        <v/>
      </c>
      <c r="AQ411" s="15"/>
      <c r="AR411" s="17"/>
      <c r="AS411" s="17"/>
      <c r="AT411" s="15"/>
      <c r="AU411" s="17"/>
      <c r="AV411" s="17"/>
      <c r="AW411" s="17" t="s">
        <v>10</v>
      </c>
      <c r="AX411" s="15"/>
      <c r="AY411" s="15"/>
    </row>
    <row r="412" spans="1:51" x14ac:dyDescent="0.25">
      <c r="A412" s="15"/>
      <c r="B412" s="15"/>
      <c r="C412" s="15"/>
      <c r="D412" s="15"/>
      <c r="E412" s="91"/>
      <c r="F412" s="15"/>
      <c r="G412" s="15"/>
      <c r="H412" s="15"/>
      <c r="I412" s="15"/>
      <c r="J412" s="15"/>
      <c r="K412" s="89"/>
      <c r="L412" s="15"/>
      <c r="M412" s="89">
        <v>0</v>
      </c>
      <c r="N412" s="89">
        <v>0</v>
      </c>
      <c r="O412" s="89">
        <v>0</v>
      </c>
      <c r="P412" s="94">
        <v>0</v>
      </c>
      <c r="Q412" s="94">
        <v>0</v>
      </c>
      <c r="R412" s="94">
        <v>0</v>
      </c>
      <c r="S412" s="94">
        <v>0</v>
      </c>
      <c r="T412" s="89">
        <v>0</v>
      </c>
      <c r="U412" s="89">
        <v>0</v>
      </c>
      <c r="V412" s="94">
        <v>0</v>
      </c>
      <c r="W412" s="94">
        <v>0</v>
      </c>
      <c r="X412" s="94">
        <v>0</v>
      </c>
      <c r="Y412" s="89">
        <v>0</v>
      </c>
      <c r="Z412" s="94">
        <f t="shared" si="29"/>
        <v>0</v>
      </c>
      <c r="AA412" s="94">
        <f t="shared" si="30"/>
        <v>0</v>
      </c>
      <c r="AB412" s="89">
        <f t="shared" si="31"/>
        <v>0</v>
      </c>
      <c r="AC412" s="89">
        <f t="shared" si="32"/>
        <v>0</v>
      </c>
      <c r="AD412" s="89">
        <v>0</v>
      </c>
      <c r="AE412" s="89">
        <v>0</v>
      </c>
      <c r="AF412" s="117"/>
      <c r="AG412" s="117"/>
      <c r="AH412" s="262"/>
      <c r="AI412" s="17"/>
      <c r="AJ412" s="17"/>
      <c r="AK412" s="17"/>
      <c r="AL412" s="17"/>
      <c r="AM412" s="17"/>
      <c r="AN412" s="17"/>
      <c r="AO412" s="17"/>
      <c r="AP412" s="15" t="str">
        <f>IFERROR(VLOOKUP(AO412,Legend!$D$2:$E$26,2,0),"")</f>
        <v/>
      </c>
      <c r="AQ412" s="15"/>
      <c r="AR412" s="17"/>
      <c r="AS412" s="17"/>
      <c r="AT412" s="15"/>
      <c r="AU412" s="17"/>
      <c r="AV412" s="17"/>
      <c r="AW412" s="17" t="s">
        <v>10</v>
      </c>
      <c r="AX412" s="15"/>
      <c r="AY412" s="15"/>
    </row>
    <row r="413" spans="1:51" x14ac:dyDescent="0.25">
      <c r="A413" s="15"/>
      <c r="B413" s="15"/>
      <c r="C413" s="15"/>
      <c r="D413" s="15"/>
      <c r="E413" s="91"/>
      <c r="F413" s="15"/>
      <c r="G413" s="15"/>
      <c r="H413" s="15"/>
      <c r="I413" s="15"/>
      <c r="J413" s="15"/>
      <c r="K413" s="89"/>
      <c r="L413" s="15"/>
      <c r="M413" s="89">
        <v>0</v>
      </c>
      <c r="N413" s="89">
        <v>0</v>
      </c>
      <c r="O413" s="89">
        <v>0</v>
      </c>
      <c r="P413" s="94">
        <v>0</v>
      </c>
      <c r="Q413" s="94">
        <v>0</v>
      </c>
      <c r="R413" s="94">
        <v>0</v>
      </c>
      <c r="S413" s="94">
        <v>0</v>
      </c>
      <c r="T413" s="89">
        <v>0</v>
      </c>
      <c r="U413" s="89">
        <v>0</v>
      </c>
      <c r="V413" s="94">
        <v>0</v>
      </c>
      <c r="W413" s="94">
        <v>0</v>
      </c>
      <c r="X413" s="94">
        <v>0</v>
      </c>
      <c r="Y413" s="89">
        <v>0</v>
      </c>
      <c r="Z413" s="94">
        <f t="shared" si="29"/>
        <v>0</v>
      </c>
      <c r="AA413" s="94">
        <f t="shared" si="30"/>
        <v>0</v>
      </c>
      <c r="AB413" s="89">
        <f t="shared" si="31"/>
        <v>0</v>
      </c>
      <c r="AC413" s="89">
        <f t="shared" si="32"/>
        <v>0</v>
      </c>
      <c r="AD413" s="89">
        <v>0</v>
      </c>
      <c r="AE413" s="89">
        <v>0</v>
      </c>
      <c r="AF413" s="117"/>
      <c r="AG413" s="117"/>
      <c r="AH413" s="262"/>
      <c r="AI413" s="17"/>
      <c r="AJ413" s="17"/>
      <c r="AK413" s="17"/>
      <c r="AL413" s="17"/>
      <c r="AM413" s="17"/>
      <c r="AN413" s="17"/>
      <c r="AO413" s="17"/>
      <c r="AP413" s="15" t="str">
        <f>IFERROR(VLOOKUP(AO413,Legend!$D$2:$E$26,2,0),"")</f>
        <v/>
      </c>
      <c r="AQ413" s="15"/>
      <c r="AR413" s="17"/>
      <c r="AS413" s="17"/>
      <c r="AT413" s="15"/>
      <c r="AU413" s="17"/>
      <c r="AV413" s="17"/>
      <c r="AW413" s="17" t="s">
        <v>10</v>
      </c>
      <c r="AX413" s="15"/>
      <c r="AY413" s="15"/>
    </row>
    <row r="414" spans="1:51" x14ac:dyDescent="0.25">
      <c r="A414" s="15"/>
      <c r="B414" s="15"/>
      <c r="C414" s="15"/>
      <c r="D414" s="15"/>
      <c r="E414" s="91"/>
      <c r="F414" s="15"/>
      <c r="G414" s="15"/>
      <c r="H414" s="15"/>
      <c r="I414" s="15"/>
      <c r="J414" s="15"/>
      <c r="K414" s="89"/>
      <c r="L414" s="15"/>
      <c r="M414" s="89">
        <v>0</v>
      </c>
      <c r="N414" s="89">
        <v>0</v>
      </c>
      <c r="O414" s="89">
        <v>0</v>
      </c>
      <c r="P414" s="94">
        <v>0</v>
      </c>
      <c r="Q414" s="94">
        <v>0</v>
      </c>
      <c r="R414" s="94">
        <v>0</v>
      </c>
      <c r="S414" s="94">
        <v>0</v>
      </c>
      <c r="T414" s="89">
        <v>0</v>
      </c>
      <c r="U414" s="89">
        <v>0</v>
      </c>
      <c r="V414" s="94">
        <v>0</v>
      </c>
      <c r="W414" s="94">
        <v>0</v>
      </c>
      <c r="X414" s="94">
        <v>0</v>
      </c>
      <c r="Y414" s="89">
        <v>0</v>
      </c>
      <c r="Z414" s="94">
        <f t="shared" si="29"/>
        <v>0</v>
      </c>
      <c r="AA414" s="94">
        <f t="shared" si="30"/>
        <v>0</v>
      </c>
      <c r="AB414" s="89">
        <f t="shared" si="31"/>
        <v>0</v>
      </c>
      <c r="AC414" s="89">
        <f t="shared" si="32"/>
        <v>0</v>
      </c>
      <c r="AD414" s="89">
        <v>0</v>
      </c>
      <c r="AE414" s="89">
        <v>0</v>
      </c>
      <c r="AF414" s="117"/>
      <c r="AG414" s="117"/>
      <c r="AH414" s="262"/>
      <c r="AI414" s="17"/>
      <c r="AJ414" s="17"/>
      <c r="AK414" s="17"/>
      <c r="AL414" s="17"/>
      <c r="AM414" s="17"/>
      <c r="AN414" s="17"/>
      <c r="AO414" s="17"/>
      <c r="AP414" s="15" t="str">
        <f>IFERROR(VLOOKUP(AO414,Legend!$D$2:$E$26,2,0),"")</f>
        <v/>
      </c>
      <c r="AQ414" s="15"/>
      <c r="AR414" s="17"/>
      <c r="AS414" s="17"/>
      <c r="AT414" s="15"/>
      <c r="AU414" s="17"/>
      <c r="AV414" s="17"/>
      <c r="AW414" s="17" t="s">
        <v>10</v>
      </c>
      <c r="AX414" s="15"/>
      <c r="AY414" s="15"/>
    </row>
    <row r="415" spans="1:51" x14ac:dyDescent="0.25">
      <c r="A415" s="15"/>
      <c r="B415" s="15"/>
      <c r="C415" s="15"/>
      <c r="D415" s="15"/>
      <c r="E415" s="91"/>
      <c r="F415" s="15"/>
      <c r="G415" s="15"/>
      <c r="H415" s="15"/>
      <c r="I415" s="15"/>
      <c r="J415" s="15"/>
      <c r="K415" s="89"/>
      <c r="L415" s="15"/>
      <c r="M415" s="89">
        <v>0</v>
      </c>
      <c r="N415" s="89">
        <v>0</v>
      </c>
      <c r="O415" s="89">
        <v>0</v>
      </c>
      <c r="P415" s="94">
        <v>0</v>
      </c>
      <c r="Q415" s="94">
        <v>0</v>
      </c>
      <c r="R415" s="94">
        <v>0</v>
      </c>
      <c r="S415" s="94">
        <v>0</v>
      </c>
      <c r="T415" s="89">
        <v>0</v>
      </c>
      <c r="U415" s="89">
        <v>0</v>
      </c>
      <c r="V415" s="94">
        <v>0</v>
      </c>
      <c r="W415" s="94">
        <v>0</v>
      </c>
      <c r="X415" s="94">
        <v>0</v>
      </c>
      <c r="Y415" s="89">
        <v>0</v>
      </c>
      <c r="Z415" s="94">
        <f t="shared" si="29"/>
        <v>0</v>
      </c>
      <c r="AA415" s="94">
        <f t="shared" si="30"/>
        <v>0</v>
      </c>
      <c r="AB415" s="89">
        <f t="shared" si="31"/>
        <v>0</v>
      </c>
      <c r="AC415" s="89">
        <f t="shared" si="32"/>
        <v>0</v>
      </c>
      <c r="AD415" s="89">
        <v>0</v>
      </c>
      <c r="AE415" s="89">
        <v>0</v>
      </c>
      <c r="AF415" s="117"/>
      <c r="AG415" s="117"/>
      <c r="AH415" s="262"/>
      <c r="AI415" s="17"/>
      <c r="AJ415" s="17"/>
      <c r="AK415" s="17"/>
      <c r="AL415" s="17"/>
      <c r="AM415" s="17"/>
      <c r="AN415" s="17"/>
      <c r="AO415" s="17"/>
      <c r="AP415" s="15" t="str">
        <f>IFERROR(VLOOKUP(AO415,Legend!$D$2:$E$26,2,0),"")</f>
        <v/>
      </c>
      <c r="AQ415" s="15"/>
      <c r="AR415" s="17"/>
      <c r="AS415" s="17"/>
      <c r="AT415" s="15"/>
      <c r="AU415" s="17"/>
      <c r="AV415" s="17"/>
      <c r="AW415" s="17" t="s">
        <v>10</v>
      </c>
      <c r="AX415" s="15"/>
      <c r="AY415" s="15"/>
    </row>
    <row r="416" spans="1:51" x14ac:dyDescent="0.25">
      <c r="A416" s="15"/>
      <c r="B416" s="15"/>
      <c r="C416" s="15"/>
      <c r="D416" s="15"/>
      <c r="E416" s="91"/>
      <c r="F416" s="15"/>
      <c r="G416" s="15"/>
      <c r="H416" s="15"/>
      <c r="I416" s="15"/>
      <c r="J416" s="15"/>
      <c r="K416" s="89"/>
      <c r="L416" s="15"/>
      <c r="M416" s="89">
        <v>0</v>
      </c>
      <c r="N416" s="89">
        <v>0</v>
      </c>
      <c r="O416" s="89">
        <v>0</v>
      </c>
      <c r="P416" s="94">
        <v>0</v>
      </c>
      <c r="Q416" s="94">
        <v>0</v>
      </c>
      <c r="R416" s="94">
        <v>0</v>
      </c>
      <c r="S416" s="94">
        <v>0</v>
      </c>
      <c r="T416" s="89">
        <v>0</v>
      </c>
      <c r="U416" s="89">
        <v>0</v>
      </c>
      <c r="V416" s="94">
        <v>0</v>
      </c>
      <c r="W416" s="94">
        <v>0</v>
      </c>
      <c r="X416" s="94">
        <v>0</v>
      </c>
      <c r="Y416" s="89">
        <v>0</v>
      </c>
      <c r="Z416" s="94">
        <f t="shared" si="29"/>
        <v>0</v>
      </c>
      <c r="AA416" s="94">
        <f t="shared" si="30"/>
        <v>0</v>
      </c>
      <c r="AB416" s="89">
        <f t="shared" si="31"/>
        <v>0</v>
      </c>
      <c r="AC416" s="89">
        <f t="shared" si="32"/>
        <v>0</v>
      </c>
      <c r="AD416" s="89">
        <v>0</v>
      </c>
      <c r="AE416" s="89">
        <v>0</v>
      </c>
      <c r="AF416" s="117"/>
      <c r="AG416" s="117"/>
      <c r="AH416" s="262"/>
      <c r="AI416" s="17"/>
      <c r="AJ416" s="17"/>
      <c r="AK416" s="17"/>
      <c r="AL416" s="17"/>
      <c r="AM416" s="17"/>
      <c r="AN416" s="17"/>
      <c r="AO416" s="17"/>
      <c r="AP416" s="15" t="str">
        <f>IFERROR(VLOOKUP(AO416,Legend!$D$2:$E$26,2,0),"")</f>
        <v/>
      </c>
      <c r="AQ416" s="15"/>
      <c r="AR416" s="17"/>
      <c r="AS416" s="17"/>
      <c r="AT416" s="15"/>
      <c r="AU416" s="17"/>
      <c r="AV416" s="17"/>
      <c r="AW416" s="17" t="s">
        <v>10</v>
      </c>
      <c r="AX416" s="15"/>
      <c r="AY416" s="15"/>
    </row>
    <row r="417" spans="1:51" x14ac:dyDescent="0.25">
      <c r="A417" s="15"/>
      <c r="B417" s="15"/>
      <c r="C417" s="15"/>
      <c r="D417" s="15"/>
      <c r="E417" s="91"/>
      <c r="F417" s="15"/>
      <c r="G417" s="15"/>
      <c r="H417" s="15"/>
      <c r="I417" s="15"/>
      <c r="J417" s="15"/>
      <c r="K417" s="89"/>
      <c r="L417" s="15"/>
      <c r="M417" s="89">
        <v>0</v>
      </c>
      <c r="N417" s="89">
        <v>0</v>
      </c>
      <c r="O417" s="89">
        <v>0</v>
      </c>
      <c r="P417" s="94">
        <v>0</v>
      </c>
      <c r="Q417" s="94">
        <v>0</v>
      </c>
      <c r="R417" s="94">
        <v>0</v>
      </c>
      <c r="S417" s="94">
        <v>0</v>
      </c>
      <c r="T417" s="89">
        <v>0</v>
      </c>
      <c r="U417" s="89">
        <v>0</v>
      </c>
      <c r="V417" s="94">
        <v>0</v>
      </c>
      <c r="W417" s="94">
        <v>0</v>
      </c>
      <c r="X417" s="94">
        <v>0</v>
      </c>
      <c r="Y417" s="89">
        <v>0</v>
      </c>
      <c r="Z417" s="94">
        <f t="shared" si="29"/>
        <v>0</v>
      </c>
      <c r="AA417" s="94">
        <f t="shared" si="30"/>
        <v>0</v>
      </c>
      <c r="AB417" s="89">
        <f t="shared" si="31"/>
        <v>0</v>
      </c>
      <c r="AC417" s="89">
        <f t="shared" si="32"/>
        <v>0</v>
      </c>
      <c r="AD417" s="89">
        <v>0</v>
      </c>
      <c r="AE417" s="89">
        <v>0</v>
      </c>
      <c r="AF417" s="117"/>
      <c r="AG417" s="117"/>
      <c r="AH417" s="262"/>
      <c r="AI417" s="17"/>
      <c r="AJ417" s="17"/>
      <c r="AK417" s="17"/>
      <c r="AL417" s="17"/>
      <c r="AM417" s="17"/>
      <c r="AN417" s="17"/>
      <c r="AO417" s="17"/>
      <c r="AP417" s="15" t="str">
        <f>IFERROR(VLOOKUP(AO417,Legend!$D$2:$E$26,2,0),"")</f>
        <v/>
      </c>
      <c r="AQ417" s="15"/>
      <c r="AR417" s="17"/>
      <c r="AS417" s="17"/>
      <c r="AT417" s="15"/>
      <c r="AU417" s="17"/>
      <c r="AV417" s="17"/>
      <c r="AW417" s="17" t="s">
        <v>10</v>
      </c>
      <c r="AX417" s="15"/>
      <c r="AY417" s="15"/>
    </row>
    <row r="418" spans="1:51" x14ac:dyDescent="0.25">
      <c r="A418" s="15"/>
      <c r="B418" s="15"/>
      <c r="C418" s="15"/>
      <c r="D418" s="15"/>
      <c r="E418" s="91"/>
      <c r="F418" s="15"/>
      <c r="G418" s="15"/>
      <c r="H418" s="15"/>
      <c r="I418" s="15"/>
      <c r="J418" s="15"/>
      <c r="K418" s="89"/>
      <c r="L418" s="15"/>
      <c r="M418" s="89">
        <v>0</v>
      </c>
      <c r="N418" s="89">
        <v>0</v>
      </c>
      <c r="O418" s="89">
        <v>0</v>
      </c>
      <c r="P418" s="94">
        <v>0</v>
      </c>
      <c r="Q418" s="94">
        <v>0</v>
      </c>
      <c r="R418" s="94">
        <v>0</v>
      </c>
      <c r="S418" s="94">
        <v>0</v>
      </c>
      <c r="T418" s="89">
        <v>0</v>
      </c>
      <c r="U418" s="89">
        <v>0</v>
      </c>
      <c r="V418" s="94">
        <v>0</v>
      </c>
      <c r="W418" s="94">
        <v>0</v>
      </c>
      <c r="X418" s="94">
        <v>0</v>
      </c>
      <c r="Y418" s="89">
        <v>0</v>
      </c>
      <c r="Z418" s="94">
        <f t="shared" si="29"/>
        <v>0</v>
      </c>
      <c r="AA418" s="94">
        <f t="shared" si="30"/>
        <v>0</v>
      </c>
      <c r="AB418" s="89">
        <f t="shared" si="31"/>
        <v>0</v>
      </c>
      <c r="AC418" s="89">
        <f t="shared" si="32"/>
        <v>0</v>
      </c>
      <c r="AD418" s="89">
        <v>0</v>
      </c>
      <c r="AE418" s="89">
        <v>0</v>
      </c>
      <c r="AF418" s="117"/>
      <c r="AG418" s="117"/>
      <c r="AH418" s="262"/>
      <c r="AI418" s="17"/>
      <c r="AJ418" s="17"/>
      <c r="AK418" s="17"/>
      <c r="AL418" s="17"/>
      <c r="AM418" s="17"/>
      <c r="AN418" s="17"/>
      <c r="AO418" s="17"/>
      <c r="AP418" s="15" t="str">
        <f>IFERROR(VLOOKUP(AO418,Legend!$D$2:$E$26,2,0),"")</f>
        <v/>
      </c>
      <c r="AQ418" s="15"/>
      <c r="AR418" s="17"/>
      <c r="AS418" s="17"/>
      <c r="AT418" s="15"/>
      <c r="AU418" s="17"/>
      <c r="AV418" s="17"/>
      <c r="AW418" s="17" t="s">
        <v>10</v>
      </c>
      <c r="AX418" s="15"/>
      <c r="AY418" s="15"/>
    </row>
    <row r="419" spans="1:51" x14ac:dyDescent="0.25">
      <c r="A419" s="15"/>
      <c r="B419" s="15"/>
      <c r="C419" s="15"/>
      <c r="D419" s="15"/>
      <c r="E419" s="91"/>
      <c r="F419" s="15"/>
      <c r="G419" s="15"/>
      <c r="H419" s="15"/>
      <c r="I419" s="15"/>
      <c r="J419" s="15"/>
      <c r="K419" s="89"/>
      <c r="L419" s="15"/>
      <c r="M419" s="89">
        <v>0</v>
      </c>
      <c r="N419" s="89">
        <v>0</v>
      </c>
      <c r="O419" s="89">
        <v>0</v>
      </c>
      <c r="P419" s="94">
        <v>0</v>
      </c>
      <c r="Q419" s="94">
        <v>0</v>
      </c>
      <c r="R419" s="94">
        <v>0</v>
      </c>
      <c r="S419" s="94">
        <v>0</v>
      </c>
      <c r="T419" s="89">
        <v>0</v>
      </c>
      <c r="U419" s="89">
        <v>0</v>
      </c>
      <c r="V419" s="94">
        <v>0</v>
      </c>
      <c r="W419" s="94">
        <v>0</v>
      </c>
      <c r="X419" s="94">
        <v>0</v>
      </c>
      <c r="Y419" s="89">
        <v>0</v>
      </c>
      <c r="Z419" s="94">
        <f t="shared" si="29"/>
        <v>0</v>
      </c>
      <c r="AA419" s="94">
        <f t="shared" si="30"/>
        <v>0</v>
      </c>
      <c r="AB419" s="89">
        <f t="shared" si="31"/>
        <v>0</v>
      </c>
      <c r="AC419" s="89">
        <f t="shared" si="32"/>
        <v>0</v>
      </c>
      <c r="AD419" s="89">
        <v>0</v>
      </c>
      <c r="AE419" s="89">
        <v>0</v>
      </c>
      <c r="AF419" s="117"/>
      <c r="AG419" s="117"/>
      <c r="AH419" s="262"/>
      <c r="AI419" s="17"/>
      <c r="AJ419" s="17"/>
      <c r="AK419" s="17"/>
      <c r="AL419" s="17"/>
      <c r="AM419" s="17"/>
      <c r="AN419" s="17"/>
      <c r="AO419" s="17"/>
      <c r="AP419" s="15" t="str">
        <f>IFERROR(VLOOKUP(AO419,Legend!$D$2:$E$26,2,0),"")</f>
        <v/>
      </c>
      <c r="AQ419" s="15"/>
      <c r="AR419" s="17"/>
      <c r="AS419" s="17"/>
      <c r="AT419" s="15"/>
      <c r="AU419" s="17"/>
      <c r="AV419" s="17"/>
      <c r="AW419" s="17" t="s">
        <v>10</v>
      </c>
      <c r="AX419" s="15"/>
      <c r="AY419" s="15"/>
    </row>
    <row r="420" spans="1:51" x14ac:dyDescent="0.25">
      <c r="A420" s="15"/>
      <c r="B420" s="15"/>
      <c r="C420" s="15"/>
      <c r="D420" s="15"/>
      <c r="E420" s="91"/>
      <c r="F420" s="15"/>
      <c r="G420" s="15"/>
      <c r="H420" s="15"/>
      <c r="I420" s="15"/>
      <c r="J420" s="15"/>
      <c r="K420" s="89"/>
      <c r="L420" s="15"/>
      <c r="M420" s="89">
        <v>0</v>
      </c>
      <c r="N420" s="89">
        <v>0</v>
      </c>
      <c r="O420" s="89">
        <v>0</v>
      </c>
      <c r="P420" s="94">
        <v>0</v>
      </c>
      <c r="Q420" s="94">
        <v>0</v>
      </c>
      <c r="R420" s="94">
        <v>0</v>
      </c>
      <c r="S420" s="94">
        <v>0</v>
      </c>
      <c r="T420" s="89">
        <v>0</v>
      </c>
      <c r="U420" s="89">
        <v>0</v>
      </c>
      <c r="V420" s="94">
        <v>0</v>
      </c>
      <c r="W420" s="94">
        <v>0</v>
      </c>
      <c r="X420" s="94">
        <v>0</v>
      </c>
      <c r="Y420" s="89">
        <v>0</v>
      </c>
      <c r="Z420" s="94">
        <f t="shared" si="29"/>
        <v>0</v>
      </c>
      <c r="AA420" s="94">
        <f t="shared" si="30"/>
        <v>0</v>
      </c>
      <c r="AB420" s="89">
        <f t="shared" si="31"/>
        <v>0</v>
      </c>
      <c r="AC420" s="89">
        <f t="shared" si="32"/>
        <v>0</v>
      </c>
      <c r="AD420" s="89">
        <v>0</v>
      </c>
      <c r="AE420" s="89">
        <v>0</v>
      </c>
      <c r="AF420" s="117"/>
      <c r="AG420" s="117"/>
      <c r="AH420" s="262"/>
      <c r="AI420" s="17"/>
      <c r="AJ420" s="17"/>
      <c r="AK420" s="17"/>
      <c r="AL420" s="17"/>
      <c r="AM420" s="17"/>
      <c r="AN420" s="17"/>
      <c r="AO420" s="17"/>
      <c r="AP420" s="15" t="str">
        <f>IFERROR(VLOOKUP(AO420,Legend!$D$2:$E$26,2,0),"")</f>
        <v/>
      </c>
      <c r="AQ420" s="15"/>
      <c r="AR420" s="17"/>
      <c r="AS420" s="17"/>
      <c r="AT420" s="15"/>
      <c r="AU420" s="17"/>
      <c r="AV420" s="17"/>
      <c r="AW420" s="17" t="s">
        <v>10</v>
      </c>
      <c r="AX420" s="15"/>
      <c r="AY420" s="15"/>
    </row>
    <row r="421" spans="1:51" x14ac:dyDescent="0.25">
      <c r="A421" s="15"/>
      <c r="B421" s="15"/>
      <c r="C421" s="15"/>
      <c r="D421" s="15"/>
      <c r="E421" s="91"/>
      <c r="F421" s="15"/>
      <c r="G421" s="15"/>
      <c r="H421" s="15"/>
      <c r="I421" s="15"/>
      <c r="J421" s="15"/>
      <c r="K421" s="89"/>
      <c r="L421" s="15"/>
      <c r="M421" s="89">
        <v>0</v>
      </c>
      <c r="N421" s="89">
        <v>0</v>
      </c>
      <c r="O421" s="89">
        <v>0</v>
      </c>
      <c r="P421" s="94">
        <v>0</v>
      </c>
      <c r="Q421" s="94">
        <v>0</v>
      </c>
      <c r="R421" s="94">
        <v>0</v>
      </c>
      <c r="S421" s="94">
        <v>0</v>
      </c>
      <c r="T421" s="89">
        <v>0</v>
      </c>
      <c r="U421" s="89">
        <v>0</v>
      </c>
      <c r="V421" s="94">
        <v>0</v>
      </c>
      <c r="W421" s="94">
        <v>0</v>
      </c>
      <c r="X421" s="94">
        <v>0</v>
      </c>
      <c r="Y421" s="89">
        <v>0</v>
      </c>
      <c r="Z421" s="94">
        <f t="shared" si="29"/>
        <v>0</v>
      </c>
      <c r="AA421" s="94">
        <f t="shared" si="30"/>
        <v>0</v>
      </c>
      <c r="AB421" s="89">
        <f t="shared" si="31"/>
        <v>0</v>
      </c>
      <c r="AC421" s="89">
        <f t="shared" si="32"/>
        <v>0</v>
      </c>
      <c r="AD421" s="89">
        <v>0</v>
      </c>
      <c r="AE421" s="89">
        <v>0</v>
      </c>
      <c r="AF421" s="117"/>
      <c r="AG421" s="117"/>
      <c r="AH421" s="262"/>
      <c r="AI421" s="17"/>
      <c r="AJ421" s="17"/>
      <c r="AK421" s="17"/>
      <c r="AL421" s="17"/>
      <c r="AM421" s="17"/>
      <c r="AN421" s="17"/>
      <c r="AO421" s="17"/>
      <c r="AP421" s="15" t="str">
        <f>IFERROR(VLOOKUP(AO421,Legend!$D$2:$E$26,2,0),"")</f>
        <v/>
      </c>
      <c r="AQ421" s="15"/>
      <c r="AR421" s="17"/>
      <c r="AS421" s="17"/>
      <c r="AT421" s="15"/>
      <c r="AU421" s="17"/>
      <c r="AV421" s="17"/>
      <c r="AW421" s="17" t="s">
        <v>10</v>
      </c>
      <c r="AX421" s="15"/>
      <c r="AY421" s="15"/>
    </row>
    <row r="422" spans="1:51" x14ac:dyDescent="0.25">
      <c r="A422" s="15"/>
      <c r="B422" s="15"/>
      <c r="C422" s="15"/>
      <c r="D422" s="15"/>
      <c r="E422" s="91"/>
      <c r="F422" s="15"/>
      <c r="G422" s="15"/>
      <c r="H422" s="15"/>
      <c r="I422" s="15"/>
      <c r="J422" s="15"/>
      <c r="K422" s="89"/>
      <c r="L422" s="15"/>
      <c r="M422" s="89">
        <v>0</v>
      </c>
      <c r="N422" s="89">
        <v>0</v>
      </c>
      <c r="O422" s="89">
        <v>0</v>
      </c>
      <c r="P422" s="94">
        <v>0</v>
      </c>
      <c r="Q422" s="94">
        <v>0</v>
      </c>
      <c r="R422" s="94">
        <v>0</v>
      </c>
      <c r="S422" s="94">
        <v>0</v>
      </c>
      <c r="T422" s="89">
        <v>0</v>
      </c>
      <c r="U422" s="89">
        <v>0</v>
      </c>
      <c r="V422" s="94">
        <v>0</v>
      </c>
      <c r="W422" s="94">
        <v>0</v>
      </c>
      <c r="X422" s="94">
        <v>0</v>
      </c>
      <c r="Y422" s="89">
        <v>0</v>
      </c>
      <c r="Z422" s="94">
        <f t="shared" si="29"/>
        <v>0</v>
      </c>
      <c r="AA422" s="94">
        <f t="shared" si="30"/>
        <v>0</v>
      </c>
      <c r="AB422" s="89">
        <f t="shared" si="31"/>
        <v>0</v>
      </c>
      <c r="AC422" s="89">
        <f t="shared" si="32"/>
        <v>0</v>
      </c>
      <c r="AD422" s="89">
        <v>0</v>
      </c>
      <c r="AE422" s="89">
        <v>0</v>
      </c>
      <c r="AF422" s="117"/>
      <c r="AG422" s="117"/>
      <c r="AH422" s="262"/>
      <c r="AI422" s="17"/>
      <c r="AJ422" s="17"/>
      <c r="AK422" s="17"/>
      <c r="AL422" s="17"/>
      <c r="AM422" s="17"/>
      <c r="AN422" s="17"/>
      <c r="AO422" s="17"/>
      <c r="AP422" s="15" t="str">
        <f>IFERROR(VLOOKUP(AO422,Legend!$D$2:$E$26,2,0),"")</f>
        <v/>
      </c>
      <c r="AQ422" s="15"/>
      <c r="AR422" s="17"/>
      <c r="AS422" s="17"/>
      <c r="AT422" s="15"/>
      <c r="AU422" s="17"/>
      <c r="AV422" s="17"/>
      <c r="AW422" s="17" t="s">
        <v>10</v>
      </c>
      <c r="AX422" s="15"/>
      <c r="AY422" s="15"/>
    </row>
    <row r="423" spans="1:51" x14ac:dyDescent="0.25">
      <c r="A423" s="15"/>
      <c r="B423" s="15"/>
      <c r="C423" s="15"/>
      <c r="D423" s="15"/>
      <c r="E423" s="91"/>
      <c r="F423" s="15"/>
      <c r="G423" s="15"/>
      <c r="H423" s="15"/>
      <c r="I423" s="15"/>
      <c r="J423" s="15"/>
      <c r="K423" s="89"/>
      <c r="L423" s="15"/>
      <c r="M423" s="89">
        <v>0</v>
      </c>
      <c r="N423" s="89">
        <v>0</v>
      </c>
      <c r="O423" s="89">
        <v>0</v>
      </c>
      <c r="P423" s="94">
        <v>0</v>
      </c>
      <c r="Q423" s="94">
        <v>0</v>
      </c>
      <c r="R423" s="94">
        <v>0</v>
      </c>
      <c r="S423" s="94">
        <v>0</v>
      </c>
      <c r="T423" s="89">
        <v>0</v>
      </c>
      <c r="U423" s="89">
        <v>0</v>
      </c>
      <c r="V423" s="94">
        <v>0</v>
      </c>
      <c r="W423" s="94">
        <v>0</v>
      </c>
      <c r="X423" s="94">
        <v>0</v>
      </c>
      <c r="Y423" s="89">
        <v>0</v>
      </c>
      <c r="Z423" s="94">
        <f t="shared" si="29"/>
        <v>0</v>
      </c>
      <c r="AA423" s="94">
        <f t="shared" si="30"/>
        <v>0</v>
      </c>
      <c r="AB423" s="89">
        <f t="shared" si="31"/>
        <v>0</v>
      </c>
      <c r="AC423" s="89">
        <f t="shared" si="32"/>
        <v>0</v>
      </c>
      <c r="AD423" s="89">
        <v>0</v>
      </c>
      <c r="AE423" s="89">
        <v>0</v>
      </c>
      <c r="AF423" s="117"/>
      <c r="AG423" s="117"/>
      <c r="AH423" s="262"/>
      <c r="AI423" s="17"/>
      <c r="AJ423" s="17"/>
      <c r="AK423" s="17"/>
      <c r="AL423" s="17"/>
      <c r="AM423" s="17"/>
      <c r="AN423" s="17"/>
      <c r="AO423" s="17"/>
      <c r="AP423" s="15" t="str">
        <f>IFERROR(VLOOKUP(AO423,Legend!$D$2:$E$26,2,0),"")</f>
        <v/>
      </c>
      <c r="AQ423" s="15"/>
      <c r="AR423" s="17"/>
      <c r="AS423" s="17"/>
      <c r="AT423" s="15"/>
      <c r="AU423" s="17"/>
      <c r="AV423" s="17"/>
      <c r="AW423" s="17" t="s">
        <v>10</v>
      </c>
      <c r="AX423" s="15"/>
      <c r="AY423" s="15"/>
    </row>
    <row r="424" spans="1:51" x14ac:dyDescent="0.25">
      <c r="A424" s="15"/>
      <c r="B424" s="15"/>
      <c r="C424" s="15"/>
      <c r="D424" s="15"/>
      <c r="E424" s="91"/>
      <c r="F424" s="15"/>
      <c r="G424" s="15"/>
      <c r="H424" s="15"/>
      <c r="I424" s="15"/>
      <c r="J424" s="15"/>
      <c r="K424" s="89"/>
      <c r="L424" s="15"/>
      <c r="M424" s="89">
        <v>0</v>
      </c>
      <c r="N424" s="89">
        <v>0</v>
      </c>
      <c r="O424" s="89">
        <v>0</v>
      </c>
      <c r="P424" s="94">
        <v>0</v>
      </c>
      <c r="Q424" s="94">
        <v>0</v>
      </c>
      <c r="R424" s="94">
        <v>0</v>
      </c>
      <c r="S424" s="94">
        <v>0</v>
      </c>
      <c r="T424" s="89">
        <v>0</v>
      </c>
      <c r="U424" s="89">
        <v>0</v>
      </c>
      <c r="V424" s="94">
        <v>0</v>
      </c>
      <c r="W424" s="94">
        <v>0</v>
      </c>
      <c r="X424" s="94">
        <v>0</v>
      </c>
      <c r="Y424" s="89">
        <v>0</v>
      </c>
      <c r="Z424" s="94">
        <f t="shared" si="29"/>
        <v>0</v>
      </c>
      <c r="AA424" s="94">
        <f t="shared" si="30"/>
        <v>0</v>
      </c>
      <c r="AB424" s="89">
        <f t="shared" si="31"/>
        <v>0</v>
      </c>
      <c r="AC424" s="89">
        <f t="shared" si="32"/>
        <v>0</v>
      </c>
      <c r="AD424" s="89">
        <v>0</v>
      </c>
      <c r="AE424" s="89">
        <v>0</v>
      </c>
      <c r="AF424" s="117"/>
      <c r="AG424" s="117"/>
      <c r="AH424" s="262"/>
      <c r="AI424" s="17"/>
      <c r="AJ424" s="17"/>
      <c r="AK424" s="17"/>
      <c r="AL424" s="17"/>
      <c r="AM424" s="17"/>
      <c r="AN424" s="17"/>
      <c r="AO424" s="17"/>
      <c r="AP424" s="15" t="str">
        <f>IFERROR(VLOOKUP(AO424,Legend!$D$2:$E$26,2,0),"")</f>
        <v/>
      </c>
      <c r="AQ424" s="15"/>
      <c r="AR424" s="17"/>
      <c r="AS424" s="17"/>
      <c r="AT424" s="15"/>
      <c r="AU424" s="17"/>
      <c r="AV424" s="17"/>
      <c r="AW424" s="17" t="s">
        <v>10</v>
      </c>
      <c r="AX424" s="15"/>
      <c r="AY424" s="15"/>
    </row>
    <row r="425" spans="1:51" x14ac:dyDescent="0.25">
      <c r="A425" s="15"/>
      <c r="B425" s="15"/>
      <c r="C425" s="15"/>
      <c r="D425" s="15"/>
      <c r="E425" s="91"/>
      <c r="F425" s="15"/>
      <c r="G425" s="15"/>
      <c r="H425" s="15"/>
      <c r="I425" s="15"/>
      <c r="J425" s="15"/>
      <c r="K425" s="89"/>
      <c r="L425" s="15"/>
      <c r="M425" s="89">
        <v>0</v>
      </c>
      <c r="N425" s="89">
        <v>0</v>
      </c>
      <c r="O425" s="89">
        <v>0</v>
      </c>
      <c r="P425" s="94">
        <v>0</v>
      </c>
      <c r="Q425" s="94">
        <v>0</v>
      </c>
      <c r="R425" s="94">
        <v>0</v>
      </c>
      <c r="S425" s="94">
        <v>0</v>
      </c>
      <c r="T425" s="89">
        <v>0</v>
      </c>
      <c r="U425" s="89">
        <v>0</v>
      </c>
      <c r="V425" s="94">
        <v>0</v>
      </c>
      <c r="W425" s="94">
        <v>0</v>
      </c>
      <c r="X425" s="94">
        <v>0</v>
      </c>
      <c r="Y425" s="89">
        <v>0</v>
      </c>
      <c r="Z425" s="94">
        <f t="shared" si="29"/>
        <v>0</v>
      </c>
      <c r="AA425" s="94">
        <f t="shared" si="30"/>
        <v>0</v>
      </c>
      <c r="AB425" s="89">
        <f t="shared" si="31"/>
        <v>0</v>
      </c>
      <c r="AC425" s="89">
        <f t="shared" si="32"/>
        <v>0</v>
      </c>
      <c r="AD425" s="89">
        <v>0</v>
      </c>
      <c r="AE425" s="89">
        <v>0</v>
      </c>
      <c r="AF425" s="117"/>
      <c r="AG425" s="117"/>
      <c r="AH425" s="262"/>
      <c r="AI425" s="17"/>
      <c r="AJ425" s="17"/>
      <c r="AK425" s="17"/>
      <c r="AL425" s="17"/>
      <c r="AM425" s="17"/>
      <c r="AN425" s="17"/>
      <c r="AO425" s="17"/>
      <c r="AP425" s="15" t="str">
        <f>IFERROR(VLOOKUP(AO425,Legend!$D$2:$E$26,2,0),"")</f>
        <v/>
      </c>
      <c r="AQ425" s="15"/>
      <c r="AR425" s="17"/>
      <c r="AS425" s="17"/>
      <c r="AT425" s="15"/>
      <c r="AU425" s="17"/>
      <c r="AV425" s="17"/>
      <c r="AW425" s="17" t="s">
        <v>10</v>
      </c>
      <c r="AX425" s="15"/>
      <c r="AY425" s="15"/>
    </row>
    <row r="426" spans="1:51" x14ac:dyDescent="0.25">
      <c r="A426" s="15"/>
      <c r="B426" s="15"/>
      <c r="C426" s="15"/>
      <c r="D426" s="15"/>
      <c r="E426" s="91"/>
      <c r="F426" s="15"/>
      <c r="G426" s="15"/>
      <c r="H426" s="15"/>
      <c r="I426" s="15"/>
      <c r="J426" s="15"/>
      <c r="K426" s="89"/>
      <c r="L426" s="15"/>
      <c r="M426" s="89">
        <v>0</v>
      </c>
      <c r="N426" s="89">
        <v>0</v>
      </c>
      <c r="O426" s="89">
        <v>0</v>
      </c>
      <c r="P426" s="94">
        <v>0</v>
      </c>
      <c r="Q426" s="94">
        <v>0</v>
      </c>
      <c r="R426" s="94">
        <v>0</v>
      </c>
      <c r="S426" s="94">
        <v>0</v>
      </c>
      <c r="T426" s="89">
        <v>0</v>
      </c>
      <c r="U426" s="89">
        <v>0</v>
      </c>
      <c r="V426" s="94">
        <v>0</v>
      </c>
      <c r="W426" s="94">
        <v>0</v>
      </c>
      <c r="X426" s="94">
        <v>0</v>
      </c>
      <c r="Y426" s="89">
        <v>0</v>
      </c>
      <c r="Z426" s="94">
        <f t="shared" si="29"/>
        <v>0</v>
      </c>
      <c r="AA426" s="94">
        <f t="shared" si="30"/>
        <v>0</v>
      </c>
      <c r="AB426" s="89">
        <f t="shared" si="31"/>
        <v>0</v>
      </c>
      <c r="AC426" s="89">
        <f t="shared" si="32"/>
        <v>0</v>
      </c>
      <c r="AD426" s="89">
        <v>0</v>
      </c>
      <c r="AE426" s="89">
        <v>0</v>
      </c>
      <c r="AF426" s="117"/>
      <c r="AG426" s="117"/>
      <c r="AH426" s="262"/>
      <c r="AI426" s="17"/>
      <c r="AJ426" s="17"/>
      <c r="AK426" s="17"/>
      <c r="AL426" s="17"/>
      <c r="AM426" s="17"/>
      <c r="AN426" s="17"/>
      <c r="AO426" s="17"/>
      <c r="AP426" s="15" t="str">
        <f>IFERROR(VLOOKUP(AO426,Legend!$D$2:$E$26,2,0),"")</f>
        <v/>
      </c>
      <c r="AQ426" s="15"/>
      <c r="AR426" s="17"/>
      <c r="AS426" s="17"/>
      <c r="AT426" s="15"/>
      <c r="AU426" s="17"/>
      <c r="AV426" s="17"/>
      <c r="AW426" s="17" t="s">
        <v>10</v>
      </c>
      <c r="AX426" s="15"/>
      <c r="AY426" s="15"/>
    </row>
    <row r="427" spans="1:51" x14ac:dyDescent="0.25">
      <c r="A427" s="15"/>
      <c r="B427" s="15"/>
      <c r="C427" s="15"/>
      <c r="D427" s="15"/>
      <c r="E427" s="91"/>
      <c r="F427" s="15"/>
      <c r="G427" s="15"/>
      <c r="H427" s="15"/>
      <c r="I427" s="15"/>
      <c r="J427" s="15"/>
      <c r="K427" s="89"/>
      <c r="L427" s="15"/>
      <c r="M427" s="89">
        <v>0</v>
      </c>
      <c r="N427" s="89">
        <v>0</v>
      </c>
      <c r="O427" s="89">
        <v>0</v>
      </c>
      <c r="P427" s="94">
        <v>0</v>
      </c>
      <c r="Q427" s="94">
        <v>0</v>
      </c>
      <c r="R427" s="94">
        <v>0</v>
      </c>
      <c r="S427" s="94">
        <v>0</v>
      </c>
      <c r="T427" s="89">
        <v>0</v>
      </c>
      <c r="U427" s="89">
        <v>0</v>
      </c>
      <c r="V427" s="94">
        <v>0</v>
      </c>
      <c r="W427" s="94">
        <v>0</v>
      </c>
      <c r="X427" s="94">
        <v>0</v>
      </c>
      <c r="Y427" s="89">
        <v>0</v>
      </c>
      <c r="Z427" s="94">
        <f t="shared" si="29"/>
        <v>0</v>
      </c>
      <c r="AA427" s="94">
        <f t="shared" si="30"/>
        <v>0</v>
      </c>
      <c r="AB427" s="89">
        <f t="shared" si="31"/>
        <v>0</v>
      </c>
      <c r="AC427" s="89">
        <f t="shared" si="32"/>
        <v>0</v>
      </c>
      <c r="AD427" s="89">
        <v>0</v>
      </c>
      <c r="AE427" s="89">
        <v>0</v>
      </c>
      <c r="AF427" s="117"/>
      <c r="AG427" s="117"/>
      <c r="AH427" s="262"/>
      <c r="AI427" s="17"/>
      <c r="AJ427" s="17"/>
      <c r="AK427" s="17"/>
      <c r="AL427" s="17"/>
      <c r="AM427" s="17"/>
      <c r="AN427" s="17"/>
      <c r="AO427" s="17"/>
      <c r="AP427" s="15" t="str">
        <f>IFERROR(VLOOKUP(AO427,Legend!$D$2:$E$26,2,0),"")</f>
        <v/>
      </c>
      <c r="AQ427" s="15"/>
      <c r="AR427" s="17"/>
      <c r="AS427" s="17"/>
      <c r="AT427" s="15"/>
      <c r="AU427" s="17"/>
      <c r="AV427" s="17"/>
      <c r="AW427" s="17" t="s">
        <v>10</v>
      </c>
      <c r="AX427" s="15"/>
      <c r="AY427" s="15"/>
    </row>
    <row r="428" spans="1:51" x14ac:dyDescent="0.25">
      <c r="A428" s="15"/>
      <c r="B428" s="15"/>
      <c r="C428" s="15"/>
      <c r="D428" s="15"/>
      <c r="E428" s="91"/>
      <c r="F428" s="15"/>
      <c r="G428" s="15"/>
      <c r="H428" s="15"/>
      <c r="I428" s="15"/>
      <c r="J428" s="15"/>
      <c r="K428" s="89"/>
      <c r="L428" s="15"/>
      <c r="M428" s="89">
        <v>0</v>
      </c>
      <c r="N428" s="89">
        <v>0</v>
      </c>
      <c r="O428" s="89">
        <v>0</v>
      </c>
      <c r="P428" s="94">
        <v>0</v>
      </c>
      <c r="Q428" s="94">
        <v>0</v>
      </c>
      <c r="R428" s="94">
        <v>0</v>
      </c>
      <c r="S428" s="94">
        <v>0</v>
      </c>
      <c r="T428" s="89">
        <v>0</v>
      </c>
      <c r="U428" s="89">
        <v>0</v>
      </c>
      <c r="V428" s="94">
        <v>0</v>
      </c>
      <c r="W428" s="94">
        <v>0</v>
      </c>
      <c r="X428" s="94">
        <v>0</v>
      </c>
      <c r="Y428" s="89">
        <v>0</v>
      </c>
      <c r="Z428" s="94">
        <f t="shared" si="29"/>
        <v>0</v>
      </c>
      <c r="AA428" s="94">
        <f t="shared" si="30"/>
        <v>0</v>
      </c>
      <c r="AB428" s="89">
        <f t="shared" si="31"/>
        <v>0</v>
      </c>
      <c r="AC428" s="89">
        <f t="shared" si="32"/>
        <v>0</v>
      </c>
      <c r="AD428" s="89">
        <v>0</v>
      </c>
      <c r="AE428" s="89">
        <v>0</v>
      </c>
      <c r="AF428" s="117"/>
      <c r="AG428" s="117"/>
      <c r="AH428" s="262"/>
      <c r="AI428" s="17"/>
      <c r="AJ428" s="17"/>
      <c r="AK428" s="17"/>
      <c r="AL428" s="17"/>
      <c r="AM428" s="17"/>
      <c r="AN428" s="17"/>
      <c r="AO428" s="17"/>
      <c r="AP428" s="15" t="str">
        <f>IFERROR(VLOOKUP(AO428,Legend!$D$2:$E$26,2,0),"")</f>
        <v/>
      </c>
      <c r="AQ428" s="15"/>
      <c r="AR428" s="17"/>
      <c r="AS428" s="17"/>
      <c r="AT428" s="15"/>
      <c r="AU428" s="17"/>
      <c r="AV428" s="17"/>
      <c r="AW428" s="17" t="s">
        <v>10</v>
      </c>
      <c r="AX428" s="15"/>
      <c r="AY428" s="15"/>
    </row>
    <row r="429" spans="1:51" x14ac:dyDescent="0.25">
      <c r="A429" s="15"/>
      <c r="B429" s="15"/>
      <c r="C429" s="15"/>
      <c r="D429" s="15"/>
      <c r="E429" s="91"/>
      <c r="F429" s="15"/>
      <c r="G429" s="15"/>
      <c r="H429" s="15"/>
      <c r="I429" s="15"/>
      <c r="J429" s="15"/>
      <c r="K429" s="89"/>
      <c r="L429" s="15"/>
      <c r="M429" s="89">
        <v>0</v>
      </c>
      <c r="N429" s="89">
        <v>0</v>
      </c>
      <c r="O429" s="89">
        <v>0</v>
      </c>
      <c r="P429" s="94">
        <v>0</v>
      </c>
      <c r="Q429" s="94">
        <v>0</v>
      </c>
      <c r="R429" s="94">
        <v>0</v>
      </c>
      <c r="S429" s="94">
        <v>0</v>
      </c>
      <c r="T429" s="89">
        <v>0</v>
      </c>
      <c r="U429" s="89">
        <v>0</v>
      </c>
      <c r="V429" s="94">
        <v>0</v>
      </c>
      <c r="W429" s="94">
        <v>0</v>
      </c>
      <c r="X429" s="94">
        <v>0</v>
      </c>
      <c r="Y429" s="89">
        <v>0</v>
      </c>
      <c r="Z429" s="94">
        <f t="shared" si="29"/>
        <v>0</v>
      </c>
      <c r="AA429" s="94">
        <f t="shared" si="30"/>
        <v>0</v>
      </c>
      <c r="AB429" s="89">
        <f t="shared" si="31"/>
        <v>0</v>
      </c>
      <c r="AC429" s="89">
        <f t="shared" si="32"/>
        <v>0</v>
      </c>
      <c r="AD429" s="89">
        <v>0</v>
      </c>
      <c r="AE429" s="89">
        <v>0</v>
      </c>
      <c r="AF429" s="117"/>
      <c r="AG429" s="117"/>
      <c r="AH429" s="262"/>
      <c r="AI429" s="17"/>
      <c r="AJ429" s="17"/>
      <c r="AK429" s="17"/>
      <c r="AL429" s="17"/>
      <c r="AM429" s="17"/>
      <c r="AN429" s="17"/>
      <c r="AO429" s="17"/>
      <c r="AP429" s="15" t="str">
        <f>IFERROR(VLOOKUP(AO429,Legend!$D$2:$E$26,2,0),"")</f>
        <v/>
      </c>
      <c r="AQ429" s="15"/>
      <c r="AR429" s="17"/>
      <c r="AS429" s="17"/>
      <c r="AT429" s="15"/>
      <c r="AU429" s="17"/>
      <c r="AV429" s="17"/>
      <c r="AW429" s="17" t="s">
        <v>10</v>
      </c>
      <c r="AX429" s="15"/>
      <c r="AY429" s="15"/>
    </row>
    <row r="430" spans="1:51" x14ac:dyDescent="0.25">
      <c r="A430" s="15"/>
      <c r="B430" s="15"/>
      <c r="C430" s="15"/>
      <c r="D430" s="15"/>
      <c r="E430" s="91"/>
      <c r="F430" s="15"/>
      <c r="G430" s="15"/>
      <c r="H430" s="15"/>
      <c r="I430" s="15"/>
      <c r="J430" s="15"/>
      <c r="K430" s="89"/>
      <c r="L430" s="15"/>
      <c r="M430" s="89">
        <v>0</v>
      </c>
      <c r="N430" s="89">
        <v>0</v>
      </c>
      <c r="O430" s="89">
        <v>0</v>
      </c>
      <c r="P430" s="94">
        <v>0</v>
      </c>
      <c r="Q430" s="94">
        <v>0</v>
      </c>
      <c r="R430" s="94">
        <v>0</v>
      </c>
      <c r="S430" s="94">
        <v>0</v>
      </c>
      <c r="T430" s="89">
        <v>0</v>
      </c>
      <c r="U430" s="89">
        <v>0</v>
      </c>
      <c r="V430" s="94">
        <v>0</v>
      </c>
      <c r="W430" s="94">
        <v>0</v>
      </c>
      <c r="X430" s="94">
        <v>0</v>
      </c>
      <c r="Y430" s="89">
        <v>0</v>
      </c>
      <c r="Z430" s="94">
        <f t="shared" si="29"/>
        <v>0</v>
      </c>
      <c r="AA430" s="94">
        <f t="shared" si="30"/>
        <v>0</v>
      </c>
      <c r="AB430" s="89">
        <f t="shared" si="31"/>
        <v>0</v>
      </c>
      <c r="AC430" s="89">
        <f t="shared" si="32"/>
        <v>0</v>
      </c>
      <c r="AD430" s="89">
        <v>0</v>
      </c>
      <c r="AE430" s="89">
        <v>0</v>
      </c>
      <c r="AF430" s="117"/>
      <c r="AG430" s="117"/>
      <c r="AH430" s="262"/>
      <c r="AI430" s="17"/>
      <c r="AJ430" s="17"/>
      <c r="AK430" s="17"/>
      <c r="AL430" s="17"/>
      <c r="AM430" s="17"/>
      <c r="AN430" s="17"/>
      <c r="AO430" s="17"/>
      <c r="AP430" s="15" t="str">
        <f>IFERROR(VLOOKUP(AO430,Legend!$D$2:$E$26,2,0),"")</f>
        <v/>
      </c>
      <c r="AQ430" s="15"/>
      <c r="AR430" s="17"/>
      <c r="AS430" s="17"/>
      <c r="AT430" s="15"/>
      <c r="AU430" s="17"/>
      <c r="AV430" s="17"/>
      <c r="AW430" s="17" t="s">
        <v>10</v>
      </c>
      <c r="AX430" s="15"/>
      <c r="AY430" s="15"/>
    </row>
    <row r="431" spans="1:51" x14ac:dyDescent="0.25">
      <c r="A431" s="15"/>
      <c r="B431" s="15"/>
      <c r="C431" s="15"/>
      <c r="D431" s="15"/>
      <c r="E431" s="91"/>
      <c r="F431" s="15"/>
      <c r="G431" s="15"/>
      <c r="H431" s="15"/>
      <c r="I431" s="15"/>
      <c r="J431" s="15"/>
      <c r="K431" s="89"/>
      <c r="L431" s="15"/>
      <c r="M431" s="89">
        <v>0</v>
      </c>
      <c r="N431" s="89">
        <v>0</v>
      </c>
      <c r="O431" s="89">
        <v>0</v>
      </c>
      <c r="P431" s="94">
        <v>0</v>
      </c>
      <c r="Q431" s="94">
        <v>0</v>
      </c>
      <c r="R431" s="94">
        <v>0</v>
      </c>
      <c r="S431" s="94">
        <v>0</v>
      </c>
      <c r="T431" s="89">
        <v>0</v>
      </c>
      <c r="U431" s="89">
        <v>0</v>
      </c>
      <c r="V431" s="94">
        <v>0</v>
      </c>
      <c r="W431" s="94">
        <v>0</v>
      </c>
      <c r="X431" s="94">
        <v>0</v>
      </c>
      <c r="Y431" s="89">
        <v>0</v>
      </c>
      <c r="Z431" s="94">
        <f t="shared" si="29"/>
        <v>0</v>
      </c>
      <c r="AA431" s="94">
        <f t="shared" si="30"/>
        <v>0</v>
      </c>
      <c r="AB431" s="89">
        <f t="shared" si="31"/>
        <v>0</v>
      </c>
      <c r="AC431" s="89">
        <f t="shared" si="32"/>
        <v>0</v>
      </c>
      <c r="AD431" s="89">
        <v>0</v>
      </c>
      <c r="AE431" s="89">
        <v>0</v>
      </c>
      <c r="AF431" s="117"/>
      <c r="AG431" s="117"/>
      <c r="AH431" s="262"/>
      <c r="AI431" s="17"/>
      <c r="AJ431" s="17"/>
      <c r="AK431" s="17"/>
      <c r="AL431" s="17"/>
      <c r="AM431" s="17"/>
      <c r="AN431" s="17"/>
      <c r="AO431" s="17"/>
      <c r="AP431" s="15" t="str">
        <f>IFERROR(VLOOKUP(AO431,Legend!$D$2:$E$26,2,0),"")</f>
        <v/>
      </c>
      <c r="AQ431" s="15"/>
      <c r="AR431" s="17"/>
      <c r="AS431" s="17"/>
      <c r="AT431" s="15"/>
      <c r="AU431" s="17"/>
      <c r="AV431" s="17"/>
      <c r="AW431" s="17" t="s">
        <v>10</v>
      </c>
      <c r="AX431" s="15"/>
      <c r="AY431" s="15"/>
    </row>
    <row r="432" spans="1:51" x14ac:dyDescent="0.25">
      <c r="A432" s="15"/>
      <c r="B432" s="15"/>
      <c r="C432" s="15"/>
      <c r="D432" s="15"/>
      <c r="E432" s="91"/>
      <c r="F432" s="15"/>
      <c r="G432" s="15"/>
      <c r="H432" s="15"/>
      <c r="I432" s="15"/>
      <c r="J432" s="15"/>
      <c r="K432" s="89"/>
      <c r="L432" s="15"/>
      <c r="M432" s="89">
        <v>0</v>
      </c>
      <c r="N432" s="89">
        <v>0</v>
      </c>
      <c r="O432" s="89">
        <v>0</v>
      </c>
      <c r="P432" s="94">
        <v>0</v>
      </c>
      <c r="Q432" s="94">
        <v>0</v>
      </c>
      <c r="R432" s="94">
        <v>0</v>
      </c>
      <c r="S432" s="94">
        <v>0</v>
      </c>
      <c r="T432" s="89">
        <v>0</v>
      </c>
      <c r="U432" s="89">
        <v>0</v>
      </c>
      <c r="V432" s="94">
        <v>0</v>
      </c>
      <c r="W432" s="94">
        <v>0</v>
      </c>
      <c r="X432" s="94">
        <v>0</v>
      </c>
      <c r="Y432" s="89">
        <v>0</v>
      </c>
      <c r="Z432" s="94">
        <f t="shared" si="29"/>
        <v>0</v>
      </c>
      <c r="AA432" s="94">
        <f t="shared" si="30"/>
        <v>0</v>
      </c>
      <c r="AB432" s="89">
        <f t="shared" si="31"/>
        <v>0</v>
      </c>
      <c r="AC432" s="89">
        <f t="shared" si="32"/>
        <v>0</v>
      </c>
      <c r="AD432" s="89">
        <v>0</v>
      </c>
      <c r="AE432" s="89">
        <v>0</v>
      </c>
      <c r="AF432" s="117"/>
      <c r="AG432" s="117"/>
      <c r="AH432" s="262"/>
      <c r="AI432" s="17"/>
      <c r="AJ432" s="17"/>
      <c r="AK432" s="17"/>
      <c r="AL432" s="17"/>
      <c r="AM432" s="17"/>
      <c r="AN432" s="17"/>
      <c r="AO432" s="17"/>
      <c r="AP432" s="15" t="str">
        <f>IFERROR(VLOOKUP(AO432,Legend!$D$2:$E$26,2,0),"")</f>
        <v/>
      </c>
      <c r="AQ432" s="15"/>
      <c r="AR432" s="17"/>
      <c r="AS432" s="17"/>
      <c r="AT432" s="15"/>
      <c r="AU432" s="17"/>
      <c r="AV432" s="17"/>
      <c r="AW432" s="17" t="s">
        <v>10</v>
      </c>
      <c r="AX432" s="15"/>
      <c r="AY432" s="15"/>
    </row>
    <row r="433" spans="1:51" x14ac:dyDescent="0.25">
      <c r="A433" s="15"/>
      <c r="B433" s="15"/>
      <c r="C433" s="15"/>
      <c r="D433" s="15"/>
      <c r="E433" s="91"/>
      <c r="F433" s="15"/>
      <c r="G433" s="15"/>
      <c r="H433" s="15"/>
      <c r="I433" s="15"/>
      <c r="J433" s="15"/>
      <c r="K433" s="89"/>
      <c r="L433" s="15"/>
      <c r="M433" s="89">
        <v>0</v>
      </c>
      <c r="N433" s="89">
        <v>0</v>
      </c>
      <c r="O433" s="89">
        <v>0</v>
      </c>
      <c r="P433" s="94">
        <v>0</v>
      </c>
      <c r="Q433" s="94">
        <v>0</v>
      </c>
      <c r="R433" s="94">
        <v>0</v>
      </c>
      <c r="S433" s="94">
        <v>0</v>
      </c>
      <c r="T433" s="89">
        <v>0</v>
      </c>
      <c r="U433" s="89">
        <v>0</v>
      </c>
      <c r="V433" s="94">
        <v>0</v>
      </c>
      <c r="W433" s="94">
        <v>0</v>
      </c>
      <c r="X433" s="94">
        <v>0</v>
      </c>
      <c r="Y433" s="89">
        <v>0</v>
      </c>
      <c r="Z433" s="94">
        <f t="shared" si="29"/>
        <v>0</v>
      </c>
      <c r="AA433" s="94">
        <f t="shared" si="30"/>
        <v>0</v>
      </c>
      <c r="AB433" s="89">
        <f t="shared" si="31"/>
        <v>0</v>
      </c>
      <c r="AC433" s="89">
        <f t="shared" si="32"/>
        <v>0</v>
      </c>
      <c r="AD433" s="89">
        <v>0</v>
      </c>
      <c r="AE433" s="89">
        <v>0</v>
      </c>
      <c r="AF433" s="117"/>
      <c r="AG433" s="117"/>
      <c r="AH433" s="262"/>
      <c r="AI433" s="17"/>
      <c r="AJ433" s="17"/>
      <c r="AK433" s="17"/>
      <c r="AL433" s="17"/>
      <c r="AM433" s="17"/>
      <c r="AN433" s="17"/>
      <c r="AO433" s="17"/>
      <c r="AP433" s="15" t="str">
        <f>IFERROR(VLOOKUP(AO433,Legend!$D$2:$E$26,2,0),"")</f>
        <v/>
      </c>
      <c r="AQ433" s="15"/>
      <c r="AR433" s="17"/>
      <c r="AS433" s="17"/>
      <c r="AT433" s="15"/>
      <c r="AU433" s="17"/>
      <c r="AV433" s="17"/>
      <c r="AW433" s="17" t="s">
        <v>10</v>
      </c>
      <c r="AX433" s="15"/>
      <c r="AY433" s="15"/>
    </row>
    <row r="434" spans="1:51" x14ac:dyDescent="0.25">
      <c r="A434" s="15"/>
      <c r="B434" s="15"/>
      <c r="C434" s="15"/>
      <c r="D434" s="15"/>
      <c r="E434" s="91"/>
      <c r="F434" s="15"/>
      <c r="G434" s="15"/>
      <c r="H434" s="15"/>
      <c r="I434" s="15"/>
      <c r="J434" s="15"/>
      <c r="K434" s="89"/>
      <c r="L434" s="15"/>
      <c r="M434" s="89">
        <v>0</v>
      </c>
      <c r="N434" s="89">
        <v>0</v>
      </c>
      <c r="O434" s="89">
        <v>0</v>
      </c>
      <c r="P434" s="94">
        <v>0</v>
      </c>
      <c r="Q434" s="94">
        <v>0</v>
      </c>
      <c r="R434" s="94">
        <v>0</v>
      </c>
      <c r="S434" s="94">
        <v>0</v>
      </c>
      <c r="T434" s="89">
        <v>0</v>
      </c>
      <c r="U434" s="89">
        <v>0</v>
      </c>
      <c r="V434" s="94">
        <v>0</v>
      </c>
      <c r="W434" s="94">
        <v>0</v>
      </c>
      <c r="X434" s="94">
        <v>0</v>
      </c>
      <c r="Y434" s="89">
        <v>0</v>
      </c>
      <c r="Z434" s="94">
        <f t="shared" si="29"/>
        <v>0</v>
      </c>
      <c r="AA434" s="94">
        <f t="shared" si="30"/>
        <v>0</v>
      </c>
      <c r="AB434" s="89">
        <f t="shared" si="31"/>
        <v>0</v>
      </c>
      <c r="AC434" s="89">
        <f t="shared" si="32"/>
        <v>0</v>
      </c>
      <c r="AD434" s="89">
        <v>0</v>
      </c>
      <c r="AE434" s="89">
        <v>0</v>
      </c>
      <c r="AF434" s="117"/>
      <c r="AG434" s="117"/>
      <c r="AH434" s="262"/>
      <c r="AI434" s="17"/>
      <c r="AJ434" s="17"/>
      <c r="AK434" s="17"/>
      <c r="AL434" s="17"/>
      <c r="AM434" s="17"/>
      <c r="AN434" s="17"/>
      <c r="AO434" s="17"/>
      <c r="AP434" s="15" t="str">
        <f>IFERROR(VLOOKUP(AO434,Legend!$D$2:$E$26,2,0),"")</f>
        <v/>
      </c>
      <c r="AQ434" s="15"/>
      <c r="AR434" s="17"/>
      <c r="AS434" s="17"/>
      <c r="AT434" s="15"/>
      <c r="AU434" s="17"/>
      <c r="AV434" s="17"/>
      <c r="AW434" s="17" t="s">
        <v>10</v>
      </c>
      <c r="AX434" s="15"/>
      <c r="AY434" s="15"/>
    </row>
    <row r="435" spans="1:51" x14ac:dyDescent="0.25">
      <c r="A435" s="15"/>
      <c r="B435" s="15"/>
      <c r="C435" s="15"/>
      <c r="D435" s="15"/>
      <c r="E435" s="91"/>
      <c r="F435" s="15"/>
      <c r="G435" s="15"/>
      <c r="H435" s="15"/>
      <c r="I435" s="15"/>
      <c r="J435" s="15"/>
      <c r="K435" s="89"/>
      <c r="L435" s="15"/>
      <c r="M435" s="89">
        <v>0</v>
      </c>
      <c r="N435" s="89">
        <v>0</v>
      </c>
      <c r="O435" s="89">
        <v>0</v>
      </c>
      <c r="P435" s="94">
        <v>0</v>
      </c>
      <c r="Q435" s="94">
        <v>0</v>
      </c>
      <c r="R435" s="94">
        <v>0</v>
      </c>
      <c r="S435" s="94">
        <v>0</v>
      </c>
      <c r="T435" s="89">
        <v>0</v>
      </c>
      <c r="U435" s="89">
        <v>0</v>
      </c>
      <c r="V435" s="94">
        <v>0</v>
      </c>
      <c r="W435" s="94">
        <v>0</v>
      </c>
      <c r="X435" s="94">
        <v>0</v>
      </c>
      <c r="Y435" s="89">
        <v>0</v>
      </c>
      <c r="Z435" s="94">
        <f t="shared" si="29"/>
        <v>0</v>
      </c>
      <c r="AA435" s="94">
        <f t="shared" si="30"/>
        <v>0</v>
      </c>
      <c r="AB435" s="89">
        <f t="shared" si="31"/>
        <v>0</v>
      </c>
      <c r="AC435" s="89">
        <f t="shared" si="32"/>
        <v>0</v>
      </c>
      <c r="AD435" s="89">
        <v>0</v>
      </c>
      <c r="AE435" s="89">
        <v>0</v>
      </c>
      <c r="AF435" s="117"/>
      <c r="AG435" s="117"/>
      <c r="AH435" s="262"/>
      <c r="AI435" s="17"/>
      <c r="AJ435" s="17"/>
      <c r="AK435" s="17"/>
      <c r="AL435" s="17"/>
      <c r="AM435" s="17"/>
      <c r="AN435" s="17"/>
      <c r="AO435" s="17"/>
      <c r="AP435" s="15" t="str">
        <f>IFERROR(VLOOKUP(AO435,Legend!$D$2:$E$26,2,0),"")</f>
        <v/>
      </c>
      <c r="AQ435" s="15"/>
      <c r="AR435" s="17"/>
      <c r="AS435" s="17"/>
      <c r="AT435" s="15"/>
      <c r="AU435" s="17"/>
      <c r="AV435" s="17"/>
      <c r="AW435" s="17" t="s">
        <v>10</v>
      </c>
      <c r="AX435" s="15"/>
      <c r="AY435" s="15"/>
    </row>
    <row r="436" spans="1:51" x14ac:dyDescent="0.25">
      <c r="A436" s="15"/>
      <c r="B436" s="15"/>
      <c r="C436" s="15"/>
      <c r="D436" s="15"/>
      <c r="E436" s="91"/>
      <c r="F436" s="15"/>
      <c r="G436" s="15"/>
      <c r="H436" s="15"/>
      <c r="I436" s="15"/>
      <c r="J436" s="15"/>
      <c r="K436" s="89"/>
      <c r="L436" s="15"/>
      <c r="M436" s="89">
        <v>0</v>
      </c>
      <c r="N436" s="89">
        <v>0</v>
      </c>
      <c r="O436" s="89">
        <v>0</v>
      </c>
      <c r="P436" s="94">
        <v>0</v>
      </c>
      <c r="Q436" s="94">
        <v>0</v>
      </c>
      <c r="R436" s="94">
        <v>0</v>
      </c>
      <c r="S436" s="94">
        <v>0</v>
      </c>
      <c r="T436" s="89">
        <v>0</v>
      </c>
      <c r="U436" s="89">
        <v>0</v>
      </c>
      <c r="V436" s="94">
        <v>0</v>
      </c>
      <c r="W436" s="94">
        <v>0</v>
      </c>
      <c r="X436" s="94">
        <v>0</v>
      </c>
      <c r="Y436" s="89">
        <v>0</v>
      </c>
      <c r="Z436" s="94">
        <f t="shared" si="29"/>
        <v>0</v>
      </c>
      <c r="AA436" s="94">
        <f t="shared" si="30"/>
        <v>0</v>
      </c>
      <c r="AB436" s="89">
        <f t="shared" si="31"/>
        <v>0</v>
      </c>
      <c r="AC436" s="89">
        <f t="shared" si="32"/>
        <v>0</v>
      </c>
      <c r="AD436" s="89">
        <v>0</v>
      </c>
      <c r="AE436" s="89">
        <v>0</v>
      </c>
      <c r="AF436" s="117"/>
      <c r="AG436" s="117"/>
      <c r="AH436" s="262"/>
      <c r="AI436" s="17"/>
      <c r="AJ436" s="17"/>
      <c r="AK436" s="17"/>
      <c r="AL436" s="17"/>
      <c r="AM436" s="17"/>
      <c r="AN436" s="17"/>
      <c r="AO436" s="17"/>
      <c r="AP436" s="15" t="str">
        <f>IFERROR(VLOOKUP(AO436,Legend!$D$2:$E$26,2,0),"")</f>
        <v/>
      </c>
      <c r="AQ436" s="15"/>
      <c r="AR436" s="17"/>
      <c r="AS436" s="17"/>
      <c r="AT436" s="15"/>
      <c r="AU436" s="17"/>
      <c r="AV436" s="17"/>
      <c r="AW436" s="17" t="s">
        <v>10</v>
      </c>
      <c r="AX436" s="15"/>
      <c r="AY436" s="15"/>
    </row>
    <row r="437" spans="1:51" x14ac:dyDescent="0.25">
      <c r="A437" s="15"/>
      <c r="B437" s="15"/>
      <c r="C437" s="15"/>
      <c r="D437" s="15"/>
      <c r="E437" s="91"/>
      <c r="F437" s="15"/>
      <c r="G437" s="15"/>
      <c r="H437" s="15"/>
      <c r="I437" s="15"/>
      <c r="J437" s="15"/>
      <c r="K437" s="89"/>
      <c r="L437" s="15"/>
      <c r="M437" s="89">
        <v>0</v>
      </c>
      <c r="N437" s="89">
        <v>0</v>
      </c>
      <c r="O437" s="89">
        <v>0</v>
      </c>
      <c r="P437" s="94">
        <v>0</v>
      </c>
      <c r="Q437" s="94">
        <v>0</v>
      </c>
      <c r="R437" s="94">
        <v>0</v>
      </c>
      <c r="S437" s="94">
        <v>0</v>
      </c>
      <c r="T437" s="89">
        <v>0</v>
      </c>
      <c r="U437" s="89">
        <v>0</v>
      </c>
      <c r="V437" s="94">
        <v>0</v>
      </c>
      <c r="W437" s="94">
        <v>0</v>
      </c>
      <c r="X437" s="94">
        <v>0</v>
      </c>
      <c r="Y437" s="89">
        <v>0</v>
      </c>
      <c r="Z437" s="94">
        <f t="shared" si="29"/>
        <v>0</v>
      </c>
      <c r="AA437" s="94">
        <f t="shared" si="30"/>
        <v>0</v>
      </c>
      <c r="AB437" s="89">
        <f t="shared" si="31"/>
        <v>0</v>
      </c>
      <c r="AC437" s="89">
        <f t="shared" si="32"/>
        <v>0</v>
      </c>
      <c r="AD437" s="89">
        <v>0</v>
      </c>
      <c r="AE437" s="89">
        <v>0</v>
      </c>
      <c r="AF437" s="117"/>
      <c r="AG437" s="117"/>
      <c r="AH437" s="262"/>
      <c r="AI437" s="17"/>
      <c r="AJ437" s="17"/>
      <c r="AK437" s="17"/>
      <c r="AL437" s="17"/>
      <c r="AM437" s="17"/>
      <c r="AN437" s="17"/>
      <c r="AO437" s="17"/>
      <c r="AP437" s="15" t="str">
        <f>IFERROR(VLOOKUP(AO437,Legend!$D$2:$E$26,2,0),"")</f>
        <v/>
      </c>
      <c r="AQ437" s="15"/>
      <c r="AR437" s="17"/>
      <c r="AS437" s="17"/>
      <c r="AT437" s="15"/>
      <c r="AU437" s="17"/>
      <c r="AV437" s="17"/>
      <c r="AW437" s="17" t="s">
        <v>10</v>
      </c>
      <c r="AX437" s="15"/>
      <c r="AY437" s="15"/>
    </row>
    <row r="438" spans="1:51" x14ac:dyDescent="0.25">
      <c r="A438" s="15"/>
      <c r="B438" s="15"/>
      <c r="C438" s="15"/>
      <c r="D438" s="15"/>
      <c r="E438" s="91"/>
      <c r="F438" s="15"/>
      <c r="G438" s="15"/>
      <c r="H438" s="15"/>
      <c r="I438" s="15"/>
      <c r="J438" s="15"/>
      <c r="K438" s="89"/>
      <c r="L438" s="15"/>
      <c r="M438" s="89">
        <v>0</v>
      </c>
      <c r="N438" s="89">
        <v>0</v>
      </c>
      <c r="O438" s="89">
        <v>0</v>
      </c>
      <c r="P438" s="94">
        <v>0</v>
      </c>
      <c r="Q438" s="94">
        <v>0</v>
      </c>
      <c r="R438" s="94">
        <v>0</v>
      </c>
      <c r="S438" s="94">
        <v>0</v>
      </c>
      <c r="T438" s="89">
        <v>0</v>
      </c>
      <c r="U438" s="89">
        <v>0</v>
      </c>
      <c r="V438" s="94">
        <v>0</v>
      </c>
      <c r="W438" s="94">
        <v>0</v>
      </c>
      <c r="X438" s="94">
        <v>0</v>
      </c>
      <c r="Y438" s="89">
        <v>0</v>
      </c>
      <c r="Z438" s="94">
        <f t="shared" si="29"/>
        <v>0</v>
      </c>
      <c r="AA438" s="94">
        <f t="shared" si="30"/>
        <v>0</v>
      </c>
      <c r="AB438" s="89">
        <f t="shared" si="31"/>
        <v>0</v>
      </c>
      <c r="AC438" s="89">
        <f t="shared" si="32"/>
        <v>0</v>
      </c>
      <c r="AD438" s="89">
        <v>0</v>
      </c>
      <c r="AE438" s="89">
        <v>0</v>
      </c>
      <c r="AF438" s="117"/>
      <c r="AG438" s="117"/>
      <c r="AH438" s="262"/>
      <c r="AI438" s="17"/>
      <c r="AJ438" s="17"/>
      <c r="AK438" s="17"/>
      <c r="AL438" s="17"/>
      <c r="AM438" s="17"/>
      <c r="AN438" s="17"/>
      <c r="AO438" s="17"/>
      <c r="AP438" s="15" t="str">
        <f>IFERROR(VLOOKUP(AO438,Legend!$D$2:$E$26,2,0),"")</f>
        <v/>
      </c>
      <c r="AQ438" s="15"/>
      <c r="AR438" s="17"/>
      <c r="AS438" s="17"/>
      <c r="AT438" s="15"/>
      <c r="AU438" s="17"/>
      <c r="AV438" s="17"/>
      <c r="AW438" s="17" t="s">
        <v>10</v>
      </c>
      <c r="AX438" s="15"/>
      <c r="AY438" s="15"/>
    </row>
    <row r="439" spans="1:51" x14ac:dyDescent="0.25">
      <c r="A439" s="15"/>
      <c r="B439" s="15"/>
      <c r="C439" s="15"/>
      <c r="D439" s="15"/>
      <c r="E439" s="91"/>
      <c r="F439" s="15"/>
      <c r="G439" s="15"/>
      <c r="H439" s="15"/>
      <c r="I439" s="15"/>
      <c r="J439" s="15"/>
      <c r="K439" s="89"/>
      <c r="L439" s="15"/>
      <c r="M439" s="89">
        <v>0</v>
      </c>
      <c r="N439" s="89">
        <v>0</v>
      </c>
      <c r="O439" s="89">
        <v>0</v>
      </c>
      <c r="P439" s="94">
        <v>0</v>
      </c>
      <c r="Q439" s="94">
        <v>0</v>
      </c>
      <c r="R439" s="94">
        <v>0</v>
      </c>
      <c r="S439" s="94">
        <v>0</v>
      </c>
      <c r="T439" s="89">
        <v>0</v>
      </c>
      <c r="U439" s="89">
        <v>0</v>
      </c>
      <c r="V439" s="94">
        <v>0</v>
      </c>
      <c r="W439" s="94">
        <v>0</v>
      </c>
      <c r="X439" s="94">
        <v>0</v>
      </c>
      <c r="Y439" s="89">
        <v>0</v>
      </c>
      <c r="Z439" s="94">
        <f t="shared" si="29"/>
        <v>0</v>
      </c>
      <c r="AA439" s="94">
        <f t="shared" si="30"/>
        <v>0</v>
      </c>
      <c r="AB439" s="89">
        <f t="shared" si="31"/>
        <v>0</v>
      </c>
      <c r="AC439" s="89">
        <f t="shared" si="32"/>
        <v>0</v>
      </c>
      <c r="AD439" s="89">
        <v>0</v>
      </c>
      <c r="AE439" s="89">
        <v>0</v>
      </c>
      <c r="AF439" s="117"/>
      <c r="AG439" s="117"/>
      <c r="AH439" s="262"/>
      <c r="AI439" s="17"/>
      <c r="AJ439" s="17"/>
      <c r="AK439" s="17"/>
      <c r="AL439" s="17"/>
      <c r="AM439" s="17"/>
      <c r="AN439" s="17"/>
      <c r="AO439" s="17"/>
      <c r="AP439" s="15" t="str">
        <f>IFERROR(VLOOKUP(AO439,Legend!$D$2:$E$26,2,0),"")</f>
        <v/>
      </c>
      <c r="AQ439" s="15"/>
      <c r="AR439" s="17"/>
      <c r="AS439" s="17"/>
      <c r="AT439" s="15"/>
      <c r="AU439" s="17"/>
      <c r="AV439" s="17"/>
      <c r="AW439" s="17" t="s">
        <v>10</v>
      </c>
      <c r="AX439" s="15"/>
      <c r="AY439" s="15"/>
    </row>
    <row r="440" spans="1:51" x14ac:dyDescent="0.25">
      <c r="A440" s="15"/>
      <c r="B440" s="15"/>
      <c r="C440" s="15"/>
      <c r="D440" s="15"/>
      <c r="E440" s="91"/>
      <c r="F440" s="15"/>
      <c r="G440" s="15"/>
      <c r="H440" s="15"/>
      <c r="I440" s="15"/>
      <c r="J440" s="15"/>
      <c r="K440" s="89"/>
      <c r="L440" s="15"/>
      <c r="M440" s="89">
        <v>0</v>
      </c>
      <c r="N440" s="89">
        <v>0</v>
      </c>
      <c r="O440" s="89">
        <v>0</v>
      </c>
      <c r="P440" s="94">
        <v>0</v>
      </c>
      <c r="Q440" s="94">
        <v>0</v>
      </c>
      <c r="R440" s="94">
        <v>0</v>
      </c>
      <c r="S440" s="94">
        <v>0</v>
      </c>
      <c r="T440" s="89">
        <v>0</v>
      </c>
      <c r="U440" s="89">
        <v>0</v>
      </c>
      <c r="V440" s="94">
        <v>0</v>
      </c>
      <c r="W440" s="94">
        <v>0</v>
      </c>
      <c r="X440" s="94">
        <v>0</v>
      </c>
      <c r="Y440" s="89">
        <v>0</v>
      </c>
      <c r="Z440" s="94">
        <f t="shared" si="29"/>
        <v>0</v>
      </c>
      <c r="AA440" s="94">
        <f t="shared" si="30"/>
        <v>0</v>
      </c>
      <c r="AB440" s="89">
        <f t="shared" si="31"/>
        <v>0</v>
      </c>
      <c r="AC440" s="89">
        <f t="shared" si="32"/>
        <v>0</v>
      </c>
      <c r="AD440" s="89">
        <v>0</v>
      </c>
      <c r="AE440" s="89">
        <v>0</v>
      </c>
      <c r="AF440" s="117"/>
      <c r="AG440" s="117"/>
      <c r="AH440" s="262"/>
      <c r="AI440" s="17"/>
      <c r="AJ440" s="17"/>
      <c r="AK440" s="17"/>
      <c r="AL440" s="17"/>
      <c r="AM440" s="17"/>
      <c r="AN440" s="17"/>
      <c r="AO440" s="17"/>
      <c r="AP440" s="15" t="str">
        <f>IFERROR(VLOOKUP(AO440,Legend!$D$2:$E$26,2,0),"")</f>
        <v/>
      </c>
      <c r="AQ440" s="15"/>
      <c r="AR440" s="17"/>
      <c r="AS440" s="17"/>
      <c r="AT440" s="15"/>
      <c r="AU440" s="17"/>
      <c r="AV440" s="17"/>
      <c r="AW440" s="17" t="s">
        <v>10</v>
      </c>
      <c r="AX440" s="15"/>
      <c r="AY440" s="15"/>
    </row>
    <row r="441" spans="1:51" x14ac:dyDescent="0.25">
      <c r="A441" s="15"/>
      <c r="B441" s="15"/>
      <c r="C441" s="15"/>
      <c r="D441" s="15"/>
      <c r="E441" s="91"/>
      <c r="F441" s="15"/>
      <c r="G441" s="15"/>
      <c r="H441" s="15"/>
      <c r="I441" s="15"/>
      <c r="J441" s="15"/>
      <c r="K441" s="89"/>
      <c r="L441" s="15"/>
      <c r="M441" s="89">
        <v>0</v>
      </c>
      <c r="N441" s="89">
        <v>0</v>
      </c>
      <c r="O441" s="89">
        <v>0</v>
      </c>
      <c r="P441" s="94">
        <v>0</v>
      </c>
      <c r="Q441" s="94">
        <v>0</v>
      </c>
      <c r="R441" s="94">
        <v>0</v>
      </c>
      <c r="S441" s="94">
        <v>0</v>
      </c>
      <c r="T441" s="89">
        <v>0</v>
      </c>
      <c r="U441" s="89">
        <v>0</v>
      </c>
      <c r="V441" s="94">
        <v>0</v>
      </c>
      <c r="W441" s="94">
        <v>0</v>
      </c>
      <c r="X441" s="94">
        <v>0</v>
      </c>
      <c r="Y441" s="89">
        <v>0</v>
      </c>
      <c r="Z441" s="94">
        <f t="shared" si="29"/>
        <v>0</v>
      </c>
      <c r="AA441" s="94">
        <f t="shared" si="30"/>
        <v>0</v>
      </c>
      <c r="AB441" s="89">
        <f t="shared" si="31"/>
        <v>0</v>
      </c>
      <c r="AC441" s="89">
        <f t="shared" si="32"/>
        <v>0</v>
      </c>
      <c r="AD441" s="89">
        <v>0</v>
      </c>
      <c r="AE441" s="89">
        <v>0</v>
      </c>
      <c r="AF441" s="117"/>
      <c r="AG441" s="117"/>
      <c r="AH441" s="262"/>
      <c r="AI441" s="17"/>
      <c r="AJ441" s="17"/>
      <c r="AK441" s="17"/>
      <c r="AL441" s="17"/>
      <c r="AM441" s="17"/>
      <c r="AN441" s="17"/>
      <c r="AO441" s="17"/>
      <c r="AP441" s="15" t="str">
        <f>IFERROR(VLOOKUP(AO441,Legend!$D$2:$E$26,2,0),"")</f>
        <v/>
      </c>
      <c r="AQ441" s="15"/>
      <c r="AR441" s="17"/>
      <c r="AS441" s="17"/>
      <c r="AT441" s="15"/>
      <c r="AU441" s="17"/>
      <c r="AV441" s="17"/>
      <c r="AW441" s="17" t="s">
        <v>10</v>
      </c>
      <c r="AX441" s="15"/>
      <c r="AY441" s="15"/>
    </row>
    <row r="442" spans="1:51" x14ac:dyDescent="0.25">
      <c r="A442" s="15"/>
      <c r="B442" s="15"/>
      <c r="C442" s="15"/>
      <c r="D442" s="15"/>
      <c r="E442" s="91"/>
      <c r="F442" s="15"/>
      <c r="G442" s="15"/>
      <c r="H442" s="15"/>
      <c r="I442" s="15"/>
      <c r="J442" s="15"/>
      <c r="K442" s="89"/>
      <c r="L442" s="15"/>
      <c r="M442" s="89">
        <v>0</v>
      </c>
      <c r="N442" s="89">
        <v>0</v>
      </c>
      <c r="O442" s="89">
        <v>0</v>
      </c>
      <c r="P442" s="94">
        <v>0</v>
      </c>
      <c r="Q442" s="94">
        <v>0</v>
      </c>
      <c r="R442" s="94">
        <v>0</v>
      </c>
      <c r="S442" s="94">
        <v>0</v>
      </c>
      <c r="T442" s="89">
        <v>0</v>
      </c>
      <c r="U442" s="89">
        <v>0</v>
      </c>
      <c r="V442" s="94">
        <v>0</v>
      </c>
      <c r="W442" s="94">
        <v>0</v>
      </c>
      <c r="X442" s="94">
        <v>0</v>
      </c>
      <c r="Y442" s="89">
        <v>0</v>
      </c>
      <c r="Z442" s="94">
        <f t="shared" si="29"/>
        <v>0</v>
      </c>
      <c r="AA442" s="94">
        <f t="shared" si="30"/>
        <v>0</v>
      </c>
      <c r="AB442" s="89">
        <f t="shared" si="31"/>
        <v>0</v>
      </c>
      <c r="AC442" s="89">
        <f t="shared" si="32"/>
        <v>0</v>
      </c>
      <c r="AD442" s="89">
        <v>0</v>
      </c>
      <c r="AE442" s="89">
        <v>0</v>
      </c>
      <c r="AF442" s="117"/>
      <c r="AG442" s="117"/>
      <c r="AH442" s="262"/>
      <c r="AI442" s="17"/>
      <c r="AJ442" s="17"/>
      <c r="AK442" s="17"/>
      <c r="AL442" s="17"/>
      <c r="AM442" s="17"/>
      <c r="AN442" s="17"/>
      <c r="AO442" s="17"/>
      <c r="AP442" s="15" t="str">
        <f>IFERROR(VLOOKUP(AO442,Legend!$D$2:$E$26,2,0),"")</f>
        <v/>
      </c>
      <c r="AQ442" s="15"/>
      <c r="AR442" s="17"/>
      <c r="AS442" s="17"/>
      <c r="AT442" s="15"/>
      <c r="AU442" s="17"/>
      <c r="AV442" s="17"/>
      <c r="AW442" s="17" t="s">
        <v>10</v>
      </c>
      <c r="AX442" s="15"/>
      <c r="AY442" s="15"/>
    </row>
    <row r="443" spans="1:51" x14ac:dyDescent="0.25">
      <c r="A443" s="15"/>
      <c r="B443" s="15"/>
      <c r="C443" s="15"/>
      <c r="D443" s="15"/>
      <c r="E443" s="91"/>
      <c r="F443" s="15"/>
      <c r="G443" s="15"/>
      <c r="H443" s="15"/>
      <c r="I443" s="15"/>
      <c r="J443" s="15"/>
      <c r="K443" s="89"/>
      <c r="L443" s="15"/>
      <c r="M443" s="89">
        <v>0</v>
      </c>
      <c r="N443" s="89">
        <v>0</v>
      </c>
      <c r="O443" s="89">
        <v>0</v>
      </c>
      <c r="P443" s="94">
        <v>0</v>
      </c>
      <c r="Q443" s="94">
        <v>0</v>
      </c>
      <c r="R443" s="94">
        <v>0</v>
      </c>
      <c r="S443" s="94">
        <v>0</v>
      </c>
      <c r="T443" s="89">
        <v>0</v>
      </c>
      <c r="U443" s="89">
        <v>0</v>
      </c>
      <c r="V443" s="94">
        <v>0</v>
      </c>
      <c r="W443" s="94">
        <v>0</v>
      </c>
      <c r="X443" s="94">
        <v>0</v>
      </c>
      <c r="Y443" s="89">
        <v>0</v>
      </c>
      <c r="Z443" s="94">
        <f t="shared" si="29"/>
        <v>0</v>
      </c>
      <c r="AA443" s="94">
        <f t="shared" si="30"/>
        <v>0</v>
      </c>
      <c r="AB443" s="89">
        <f t="shared" si="31"/>
        <v>0</v>
      </c>
      <c r="AC443" s="89">
        <f t="shared" si="32"/>
        <v>0</v>
      </c>
      <c r="AD443" s="89">
        <v>0</v>
      </c>
      <c r="AE443" s="89">
        <v>0</v>
      </c>
      <c r="AF443" s="117"/>
      <c r="AG443" s="117"/>
      <c r="AH443" s="262"/>
      <c r="AI443" s="17"/>
      <c r="AJ443" s="17"/>
      <c r="AK443" s="17"/>
      <c r="AL443" s="17"/>
      <c r="AM443" s="17"/>
      <c r="AN443" s="17"/>
      <c r="AO443" s="17"/>
      <c r="AP443" s="15" t="str">
        <f>IFERROR(VLOOKUP(AO443,Legend!$D$2:$E$26,2,0),"")</f>
        <v/>
      </c>
      <c r="AQ443" s="15"/>
      <c r="AR443" s="17"/>
      <c r="AS443" s="17"/>
      <c r="AT443" s="15"/>
      <c r="AU443" s="17"/>
      <c r="AV443" s="17"/>
      <c r="AW443" s="17" t="s">
        <v>10</v>
      </c>
      <c r="AX443" s="15"/>
      <c r="AY443" s="15"/>
    </row>
    <row r="444" spans="1:51" x14ac:dyDescent="0.25">
      <c r="A444" s="15"/>
      <c r="B444" s="15"/>
      <c r="C444" s="15"/>
      <c r="D444" s="15"/>
      <c r="E444" s="91"/>
      <c r="F444" s="15"/>
      <c r="G444" s="15"/>
      <c r="H444" s="15"/>
      <c r="I444" s="15"/>
      <c r="J444" s="15"/>
      <c r="K444" s="89"/>
      <c r="L444" s="15"/>
      <c r="M444" s="89">
        <v>0</v>
      </c>
      <c r="N444" s="89">
        <v>0</v>
      </c>
      <c r="O444" s="89">
        <v>0</v>
      </c>
      <c r="P444" s="94">
        <v>0</v>
      </c>
      <c r="Q444" s="94">
        <v>0</v>
      </c>
      <c r="R444" s="94">
        <v>0</v>
      </c>
      <c r="S444" s="94">
        <v>0</v>
      </c>
      <c r="T444" s="89">
        <v>0</v>
      </c>
      <c r="U444" s="89">
        <v>0</v>
      </c>
      <c r="V444" s="94">
        <v>0</v>
      </c>
      <c r="W444" s="94">
        <v>0</v>
      </c>
      <c r="X444" s="94">
        <v>0</v>
      </c>
      <c r="Y444" s="89">
        <v>0</v>
      </c>
      <c r="Z444" s="94">
        <f t="shared" si="29"/>
        <v>0</v>
      </c>
      <c r="AA444" s="94">
        <f t="shared" si="30"/>
        <v>0</v>
      </c>
      <c r="AB444" s="89">
        <f t="shared" si="31"/>
        <v>0</v>
      </c>
      <c r="AC444" s="89">
        <f t="shared" si="32"/>
        <v>0</v>
      </c>
      <c r="AD444" s="89">
        <v>0</v>
      </c>
      <c r="AE444" s="89">
        <v>0</v>
      </c>
      <c r="AF444" s="117"/>
      <c r="AG444" s="117"/>
      <c r="AH444" s="262"/>
      <c r="AI444" s="17"/>
      <c r="AJ444" s="17"/>
      <c r="AK444" s="17"/>
      <c r="AL444" s="17"/>
      <c r="AM444" s="17"/>
      <c r="AN444" s="17"/>
      <c r="AO444" s="17"/>
      <c r="AP444" s="15" t="str">
        <f>IFERROR(VLOOKUP(AO444,Legend!$D$2:$E$26,2,0),"")</f>
        <v/>
      </c>
      <c r="AQ444" s="15"/>
      <c r="AR444" s="17"/>
      <c r="AS444" s="17"/>
      <c r="AT444" s="15"/>
      <c r="AU444" s="17"/>
      <c r="AV444" s="17"/>
      <c r="AW444" s="17" t="s">
        <v>10</v>
      </c>
      <c r="AX444" s="15"/>
      <c r="AY444" s="15"/>
    </row>
    <row r="445" spans="1:51" x14ac:dyDescent="0.25">
      <c r="A445" s="15"/>
      <c r="B445" s="15"/>
      <c r="C445" s="15"/>
      <c r="D445" s="15"/>
      <c r="E445" s="91"/>
      <c r="F445" s="15"/>
      <c r="G445" s="15"/>
      <c r="H445" s="15"/>
      <c r="I445" s="15"/>
      <c r="J445" s="15"/>
      <c r="K445" s="89"/>
      <c r="L445" s="15"/>
      <c r="M445" s="89">
        <v>0</v>
      </c>
      <c r="N445" s="89">
        <v>0</v>
      </c>
      <c r="O445" s="89">
        <v>0</v>
      </c>
      <c r="P445" s="94">
        <v>0</v>
      </c>
      <c r="Q445" s="94">
        <v>0</v>
      </c>
      <c r="R445" s="94">
        <v>0</v>
      </c>
      <c r="S445" s="94">
        <v>0</v>
      </c>
      <c r="T445" s="89">
        <v>0</v>
      </c>
      <c r="U445" s="89">
        <v>0</v>
      </c>
      <c r="V445" s="94">
        <v>0</v>
      </c>
      <c r="W445" s="94">
        <v>0</v>
      </c>
      <c r="X445" s="94">
        <v>0</v>
      </c>
      <c r="Y445" s="89">
        <v>0</v>
      </c>
      <c r="Z445" s="94">
        <f t="shared" si="29"/>
        <v>0</v>
      </c>
      <c r="AA445" s="94">
        <f t="shared" si="30"/>
        <v>0</v>
      </c>
      <c r="AB445" s="89">
        <f t="shared" si="31"/>
        <v>0</v>
      </c>
      <c r="AC445" s="89">
        <f t="shared" si="32"/>
        <v>0</v>
      </c>
      <c r="AD445" s="89">
        <v>0</v>
      </c>
      <c r="AE445" s="89">
        <v>0</v>
      </c>
      <c r="AF445" s="117"/>
      <c r="AG445" s="117"/>
      <c r="AH445" s="262"/>
      <c r="AI445" s="17"/>
      <c r="AJ445" s="17"/>
      <c r="AK445" s="17"/>
      <c r="AL445" s="17"/>
      <c r="AM445" s="17"/>
      <c r="AN445" s="17"/>
      <c r="AO445" s="17"/>
      <c r="AP445" s="15" t="str">
        <f>IFERROR(VLOOKUP(AO445,Legend!$D$2:$E$26,2,0),"")</f>
        <v/>
      </c>
      <c r="AQ445" s="15"/>
      <c r="AR445" s="17"/>
      <c r="AS445" s="17"/>
      <c r="AT445" s="15"/>
      <c r="AU445" s="17"/>
      <c r="AV445" s="17"/>
      <c r="AW445" s="17" t="s">
        <v>10</v>
      </c>
      <c r="AX445" s="15"/>
      <c r="AY445" s="15"/>
    </row>
    <row r="446" spans="1:51" x14ac:dyDescent="0.25">
      <c r="A446" s="15"/>
      <c r="B446" s="15"/>
      <c r="C446" s="15"/>
      <c r="D446" s="15"/>
      <c r="E446" s="91"/>
      <c r="F446" s="15"/>
      <c r="G446" s="15"/>
      <c r="H446" s="15"/>
      <c r="I446" s="15"/>
      <c r="J446" s="15"/>
      <c r="K446" s="89"/>
      <c r="L446" s="15"/>
      <c r="M446" s="89">
        <v>0</v>
      </c>
      <c r="N446" s="89">
        <v>0</v>
      </c>
      <c r="O446" s="89">
        <v>0</v>
      </c>
      <c r="P446" s="94">
        <v>0</v>
      </c>
      <c r="Q446" s="94">
        <v>0</v>
      </c>
      <c r="R446" s="94">
        <v>0</v>
      </c>
      <c r="S446" s="94">
        <v>0</v>
      </c>
      <c r="T446" s="89">
        <v>0</v>
      </c>
      <c r="U446" s="89">
        <v>0</v>
      </c>
      <c r="V446" s="94">
        <v>0</v>
      </c>
      <c r="W446" s="94">
        <v>0</v>
      </c>
      <c r="X446" s="94">
        <v>0</v>
      </c>
      <c r="Y446" s="89">
        <v>0</v>
      </c>
      <c r="Z446" s="94">
        <f t="shared" si="29"/>
        <v>0</v>
      </c>
      <c r="AA446" s="94">
        <f t="shared" si="30"/>
        <v>0</v>
      </c>
      <c r="AB446" s="89">
        <f t="shared" si="31"/>
        <v>0</v>
      </c>
      <c r="AC446" s="89">
        <f t="shared" si="32"/>
        <v>0</v>
      </c>
      <c r="AD446" s="89">
        <v>0</v>
      </c>
      <c r="AE446" s="89">
        <v>0</v>
      </c>
      <c r="AF446" s="117"/>
      <c r="AG446" s="117"/>
      <c r="AH446" s="262"/>
      <c r="AI446" s="17"/>
      <c r="AJ446" s="17"/>
      <c r="AK446" s="17"/>
      <c r="AL446" s="17"/>
      <c r="AM446" s="17"/>
      <c r="AN446" s="17"/>
      <c r="AO446" s="17"/>
      <c r="AP446" s="15" t="str">
        <f>IFERROR(VLOOKUP(AO446,Legend!$D$2:$E$26,2,0),"")</f>
        <v/>
      </c>
      <c r="AQ446" s="15"/>
      <c r="AR446" s="17"/>
      <c r="AS446" s="17"/>
      <c r="AT446" s="15"/>
      <c r="AU446" s="17"/>
      <c r="AV446" s="17"/>
      <c r="AW446" s="17" t="s">
        <v>10</v>
      </c>
      <c r="AX446" s="15"/>
      <c r="AY446" s="15"/>
    </row>
    <row r="447" spans="1:51" x14ac:dyDescent="0.25">
      <c r="A447" s="15"/>
      <c r="B447" s="15"/>
      <c r="C447" s="15"/>
      <c r="D447" s="15"/>
      <c r="E447" s="91"/>
      <c r="F447" s="15"/>
      <c r="G447" s="15"/>
      <c r="H447" s="15"/>
      <c r="I447" s="15"/>
      <c r="J447" s="15"/>
      <c r="K447" s="89"/>
      <c r="L447" s="15"/>
      <c r="M447" s="89">
        <v>0</v>
      </c>
      <c r="N447" s="89">
        <v>0</v>
      </c>
      <c r="O447" s="89">
        <v>0</v>
      </c>
      <c r="P447" s="94">
        <v>0</v>
      </c>
      <c r="Q447" s="94">
        <v>0</v>
      </c>
      <c r="R447" s="94">
        <v>0</v>
      </c>
      <c r="S447" s="94">
        <v>0</v>
      </c>
      <c r="T447" s="89">
        <v>0</v>
      </c>
      <c r="U447" s="89">
        <v>0</v>
      </c>
      <c r="V447" s="94">
        <v>0</v>
      </c>
      <c r="W447" s="94">
        <v>0</v>
      </c>
      <c r="X447" s="94">
        <v>0</v>
      </c>
      <c r="Y447" s="89">
        <v>0</v>
      </c>
      <c r="Z447" s="94">
        <f t="shared" si="29"/>
        <v>0</v>
      </c>
      <c r="AA447" s="94">
        <f t="shared" si="30"/>
        <v>0</v>
      </c>
      <c r="AB447" s="89">
        <f t="shared" si="31"/>
        <v>0</v>
      </c>
      <c r="AC447" s="89">
        <f t="shared" si="32"/>
        <v>0</v>
      </c>
      <c r="AD447" s="89">
        <v>0</v>
      </c>
      <c r="AE447" s="89">
        <v>0</v>
      </c>
      <c r="AF447" s="117"/>
      <c r="AG447" s="117"/>
      <c r="AH447" s="262"/>
      <c r="AI447" s="17"/>
      <c r="AJ447" s="17"/>
      <c r="AK447" s="17"/>
      <c r="AL447" s="17"/>
      <c r="AM447" s="17"/>
      <c r="AN447" s="17"/>
      <c r="AO447" s="17"/>
      <c r="AP447" s="15" t="str">
        <f>IFERROR(VLOOKUP(AO447,Legend!$D$2:$E$26,2,0),"")</f>
        <v/>
      </c>
      <c r="AQ447" s="15"/>
      <c r="AR447" s="17"/>
      <c r="AS447" s="17"/>
      <c r="AT447" s="15"/>
      <c r="AU447" s="17"/>
      <c r="AV447" s="17"/>
      <c r="AW447" s="17" t="s">
        <v>10</v>
      </c>
      <c r="AX447" s="15"/>
      <c r="AY447" s="15"/>
    </row>
    <row r="448" spans="1:51" x14ac:dyDescent="0.25">
      <c r="A448" s="15"/>
      <c r="B448" s="15"/>
      <c r="C448" s="15"/>
      <c r="D448" s="15"/>
      <c r="E448" s="91"/>
      <c r="F448" s="15"/>
      <c r="G448" s="15"/>
      <c r="H448" s="15"/>
      <c r="I448" s="15"/>
      <c r="J448" s="15"/>
      <c r="K448" s="89"/>
      <c r="L448" s="15"/>
      <c r="M448" s="89">
        <v>0</v>
      </c>
      <c r="N448" s="89">
        <v>0</v>
      </c>
      <c r="O448" s="89">
        <v>0</v>
      </c>
      <c r="P448" s="94">
        <v>0</v>
      </c>
      <c r="Q448" s="94">
        <v>0</v>
      </c>
      <c r="R448" s="94">
        <v>0</v>
      </c>
      <c r="S448" s="94">
        <v>0</v>
      </c>
      <c r="T448" s="89">
        <v>0</v>
      </c>
      <c r="U448" s="89">
        <v>0</v>
      </c>
      <c r="V448" s="94">
        <v>0</v>
      </c>
      <c r="W448" s="94">
        <v>0</v>
      </c>
      <c r="X448" s="94">
        <v>0</v>
      </c>
      <c r="Y448" s="89">
        <v>0</v>
      </c>
      <c r="Z448" s="94">
        <f t="shared" si="29"/>
        <v>0</v>
      </c>
      <c r="AA448" s="94">
        <f t="shared" si="30"/>
        <v>0</v>
      </c>
      <c r="AB448" s="89">
        <f t="shared" si="31"/>
        <v>0</v>
      </c>
      <c r="AC448" s="89">
        <f t="shared" si="32"/>
        <v>0</v>
      </c>
      <c r="AD448" s="89">
        <v>0</v>
      </c>
      <c r="AE448" s="89">
        <v>0</v>
      </c>
      <c r="AF448" s="117"/>
      <c r="AG448" s="117"/>
      <c r="AH448" s="262"/>
      <c r="AI448" s="17"/>
      <c r="AJ448" s="17"/>
      <c r="AK448" s="17"/>
      <c r="AL448" s="17"/>
      <c r="AM448" s="17"/>
      <c r="AN448" s="17"/>
      <c r="AO448" s="17"/>
      <c r="AP448" s="15" t="str">
        <f>IFERROR(VLOOKUP(AO448,Legend!$D$2:$E$26,2,0),"")</f>
        <v/>
      </c>
      <c r="AQ448" s="15"/>
      <c r="AR448" s="17"/>
      <c r="AS448" s="17"/>
      <c r="AT448" s="15"/>
      <c r="AU448" s="17"/>
      <c r="AV448" s="17"/>
      <c r="AW448" s="17" t="s">
        <v>10</v>
      </c>
      <c r="AX448" s="15"/>
      <c r="AY448" s="15"/>
    </row>
    <row r="449" spans="1:51" x14ac:dyDescent="0.25">
      <c r="A449" s="15"/>
      <c r="B449" s="15"/>
      <c r="C449" s="15"/>
      <c r="D449" s="15"/>
      <c r="E449" s="91"/>
      <c r="F449" s="15"/>
      <c r="G449" s="15"/>
      <c r="H449" s="15"/>
      <c r="I449" s="15"/>
      <c r="J449" s="15"/>
      <c r="K449" s="89"/>
      <c r="L449" s="15"/>
      <c r="M449" s="89">
        <v>0</v>
      </c>
      <c r="N449" s="89">
        <v>0</v>
      </c>
      <c r="O449" s="89">
        <v>0</v>
      </c>
      <c r="P449" s="94">
        <v>0</v>
      </c>
      <c r="Q449" s="94">
        <v>0</v>
      </c>
      <c r="R449" s="94">
        <v>0</v>
      </c>
      <c r="S449" s="94">
        <v>0</v>
      </c>
      <c r="T449" s="89">
        <v>0</v>
      </c>
      <c r="U449" s="89">
        <v>0</v>
      </c>
      <c r="V449" s="94">
        <v>0</v>
      </c>
      <c r="W449" s="94">
        <v>0</v>
      </c>
      <c r="X449" s="94">
        <v>0</v>
      </c>
      <c r="Y449" s="89">
        <v>0</v>
      </c>
      <c r="Z449" s="94">
        <f t="shared" si="29"/>
        <v>0</v>
      </c>
      <c r="AA449" s="94">
        <f t="shared" si="30"/>
        <v>0</v>
      </c>
      <c r="AB449" s="89">
        <f t="shared" si="31"/>
        <v>0</v>
      </c>
      <c r="AC449" s="89">
        <f t="shared" si="32"/>
        <v>0</v>
      </c>
      <c r="AD449" s="89">
        <v>0</v>
      </c>
      <c r="AE449" s="89">
        <v>0</v>
      </c>
      <c r="AF449" s="117"/>
      <c r="AG449" s="117"/>
      <c r="AH449" s="262"/>
      <c r="AI449" s="17"/>
      <c r="AJ449" s="17"/>
      <c r="AK449" s="17"/>
      <c r="AL449" s="17"/>
      <c r="AM449" s="17"/>
      <c r="AN449" s="17"/>
      <c r="AO449" s="17"/>
      <c r="AP449" s="15" t="str">
        <f>IFERROR(VLOOKUP(AO449,Legend!$D$2:$E$26,2,0),"")</f>
        <v/>
      </c>
      <c r="AQ449" s="15"/>
      <c r="AR449" s="17"/>
      <c r="AS449" s="17"/>
      <c r="AT449" s="15"/>
      <c r="AU449" s="17"/>
      <c r="AV449" s="17"/>
      <c r="AW449" s="17" t="s">
        <v>10</v>
      </c>
      <c r="AX449" s="15"/>
      <c r="AY449" s="15"/>
    </row>
    <row r="450" spans="1:51" x14ac:dyDescent="0.25">
      <c r="A450" s="15"/>
      <c r="B450" s="15"/>
      <c r="C450" s="15"/>
      <c r="D450" s="15"/>
      <c r="E450" s="91"/>
      <c r="F450" s="15"/>
      <c r="G450" s="15"/>
      <c r="H450" s="15"/>
      <c r="I450" s="15"/>
      <c r="J450" s="15"/>
      <c r="K450" s="89"/>
      <c r="L450" s="15"/>
      <c r="M450" s="89">
        <v>0</v>
      </c>
      <c r="N450" s="89">
        <v>0</v>
      </c>
      <c r="O450" s="89">
        <v>0</v>
      </c>
      <c r="P450" s="94">
        <v>0</v>
      </c>
      <c r="Q450" s="94">
        <v>0</v>
      </c>
      <c r="R450" s="94">
        <v>0</v>
      </c>
      <c r="S450" s="94">
        <v>0</v>
      </c>
      <c r="T450" s="89">
        <v>0</v>
      </c>
      <c r="U450" s="89">
        <v>0</v>
      </c>
      <c r="V450" s="94">
        <v>0</v>
      </c>
      <c r="W450" s="94">
        <v>0</v>
      </c>
      <c r="X450" s="94">
        <v>0</v>
      </c>
      <c r="Y450" s="89">
        <v>0</v>
      </c>
      <c r="Z450" s="94">
        <f t="shared" si="29"/>
        <v>0</v>
      </c>
      <c r="AA450" s="94">
        <f t="shared" si="30"/>
        <v>0</v>
      </c>
      <c r="AB450" s="89">
        <f t="shared" si="31"/>
        <v>0</v>
      </c>
      <c r="AC450" s="89">
        <f t="shared" si="32"/>
        <v>0</v>
      </c>
      <c r="AD450" s="89">
        <v>0</v>
      </c>
      <c r="AE450" s="89">
        <v>0</v>
      </c>
      <c r="AF450" s="117"/>
      <c r="AG450" s="117"/>
      <c r="AH450" s="262"/>
      <c r="AI450" s="17"/>
      <c r="AJ450" s="17"/>
      <c r="AK450" s="17"/>
      <c r="AL450" s="17"/>
      <c r="AM450" s="17"/>
      <c r="AN450" s="17"/>
      <c r="AO450" s="17"/>
      <c r="AP450" s="15" t="str">
        <f>IFERROR(VLOOKUP(AO450,Legend!$D$2:$E$26,2,0),"")</f>
        <v/>
      </c>
      <c r="AQ450" s="15"/>
      <c r="AR450" s="17"/>
      <c r="AS450" s="17"/>
      <c r="AT450" s="15"/>
      <c r="AU450" s="17"/>
      <c r="AV450" s="17"/>
      <c r="AW450" s="17" t="s">
        <v>10</v>
      </c>
      <c r="AX450" s="15"/>
      <c r="AY450" s="15"/>
    </row>
    <row r="451" spans="1:51" x14ac:dyDescent="0.25">
      <c r="A451" s="15"/>
      <c r="B451" s="15"/>
      <c r="C451" s="15"/>
      <c r="D451" s="15"/>
      <c r="E451" s="91"/>
      <c r="F451" s="15"/>
      <c r="G451" s="15"/>
      <c r="H451" s="15"/>
      <c r="I451" s="15"/>
      <c r="J451" s="15"/>
      <c r="K451" s="89"/>
      <c r="L451" s="15"/>
      <c r="M451" s="89">
        <v>0</v>
      </c>
      <c r="N451" s="89">
        <v>0</v>
      </c>
      <c r="O451" s="89">
        <v>0</v>
      </c>
      <c r="P451" s="94">
        <v>0</v>
      </c>
      <c r="Q451" s="94">
        <v>0</v>
      </c>
      <c r="R451" s="94">
        <v>0</v>
      </c>
      <c r="S451" s="94">
        <v>0</v>
      </c>
      <c r="T451" s="89">
        <v>0</v>
      </c>
      <c r="U451" s="89">
        <v>0</v>
      </c>
      <c r="V451" s="94">
        <v>0</v>
      </c>
      <c r="W451" s="94">
        <v>0</v>
      </c>
      <c r="X451" s="94">
        <v>0</v>
      </c>
      <c r="Y451" s="89">
        <v>0</v>
      </c>
      <c r="Z451" s="94">
        <f t="shared" si="29"/>
        <v>0</v>
      </c>
      <c r="AA451" s="94">
        <f t="shared" si="30"/>
        <v>0</v>
      </c>
      <c r="AB451" s="89">
        <f t="shared" si="31"/>
        <v>0</v>
      </c>
      <c r="AC451" s="89">
        <f t="shared" si="32"/>
        <v>0</v>
      </c>
      <c r="AD451" s="89">
        <v>0</v>
      </c>
      <c r="AE451" s="89">
        <v>0</v>
      </c>
      <c r="AF451" s="117"/>
      <c r="AG451" s="117"/>
      <c r="AH451" s="262"/>
      <c r="AI451" s="17"/>
      <c r="AJ451" s="17"/>
      <c r="AK451" s="17"/>
      <c r="AL451" s="17"/>
      <c r="AM451" s="17"/>
      <c r="AN451" s="17"/>
      <c r="AO451" s="17"/>
      <c r="AP451" s="15" t="str">
        <f>IFERROR(VLOOKUP(AO451,Legend!$D$2:$E$26,2,0),"")</f>
        <v/>
      </c>
      <c r="AQ451" s="15"/>
      <c r="AR451" s="17"/>
      <c r="AS451" s="17"/>
      <c r="AT451" s="15"/>
      <c r="AU451" s="17"/>
      <c r="AV451" s="17"/>
      <c r="AW451" s="17" t="s">
        <v>10</v>
      </c>
      <c r="AX451" s="15"/>
      <c r="AY451" s="15"/>
    </row>
    <row r="452" spans="1:51" x14ac:dyDescent="0.25">
      <c r="A452" s="15"/>
      <c r="B452" s="15"/>
      <c r="C452" s="15"/>
      <c r="D452" s="15"/>
      <c r="E452" s="91"/>
      <c r="F452" s="15"/>
      <c r="G452" s="15"/>
      <c r="H452" s="15"/>
      <c r="I452" s="15"/>
      <c r="J452" s="15"/>
      <c r="K452" s="89"/>
      <c r="L452" s="15"/>
      <c r="M452" s="89">
        <v>0</v>
      </c>
      <c r="N452" s="89">
        <v>0</v>
      </c>
      <c r="O452" s="89">
        <v>0</v>
      </c>
      <c r="P452" s="94">
        <v>0</v>
      </c>
      <c r="Q452" s="94">
        <v>0</v>
      </c>
      <c r="R452" s="94">
        <v>0</v>
      </c>
      <c r="S452" s="94">
        <v>0</v>
      </c>
      <c r="T452" s="89">
        <v>0</v>
      </c>
      <c r="U452" s="89">
        <v>0</v>
      </c>
      <c r="V452" s="94">
        <v>0</v>
      </c>
      <c r="W452" s="94">
        <v>0</v>
      </c>
      <c r="X452" s="94">
        <v>0</v>
      </c>
      <c r="Y452" s="89">
        <v>0</v>
      </c>
      <c r="Z452" s="94">
        <f t="shared" si="29"/>
        <v>0</v>
      </c>
      <c r="AA452" s="94">
        <f t="shared" si="30"/>
        <v>0</v>
      </c>
      <c r="AB452" s="89">
        <f t="shared" si="31"/>
        <v>0</v>
      </c>
      <c r="AC452" s="89">
        <f t="shared" si="32"/>
        <v>0</v>
      </c>
      <c r="AD452" s="89">
        <v>0</v>
      </c>
      <c r="AE452" s="89">
        <v>0</v>
      </c>
      <c r="AF452" s="117"/>
      <c r="AG452" s="117"/>
      <c r="AH452" s="262"/>
      <c r="AI452" s="17"/>
      <c r="AJ452" s="17"/>
      <c r="AK452" s="17"/>
      <c r="AL452" s="17"/>
      <c r="AM452" s="17"/>
      <c r="AN452" s="17"/>
      <c r="AO452" s="17"/>
      <c r="AP452" s="15" t="str">
        <f>IFERROR(VLOOKUP(AO452,Legend!$D$2:$E$26,2,0),"")</f>
        <v/>
      </c>
      <c r="AQ452" s="15"/>
      <c r="AR452" s="17"/>
      <c r="AS452" s="17"/>
      <c r="AT452" s="15"/>
      <c r="AU452" s="17"/>
      <c r="AV452" s="17"/>
      <c r="AW452" s="17" t="s">
        <v>10</v>
      </c>
      <c r="AX452" s="15"/>
      <c r="AY452" s="15"/>
    </row>
    <row r="453" spans="1:51" x14ac:dyDescent="0.25">
      <c r="A453" s="15"/>
      <c r="B453" s="15"/>
      <c r="C453" s="15"/>
      <c r="D453" s="15"/>
      <c r="E453" s="91"/>
      <c r="F453" s="15"/>
      <c r="G453" s="15"/>
      <c r="H453" s="15"/>
      <c r="I453" s="15"/>
      <c r="J453" s="15"/>
      <c r="K453" s="89"/>
      <c r="L453" s="15"/>
      <c r="M453" s="89">
        <v>0</v>
      </c>
      <c r="N453" s="89">
        <v>0</v>
      </c>
      <c r="O453" s="89">
        <v>0</v>
      </c>
      <c r="P453" s="94">
        <v>0</v>
      </c>
      <c r="Q453" s="94">
        <v>0</v>
      </c>
      <c r="R453" s="94">
        <v>0</v>
      </c>
      <c r="S453" s="94">
        <v>0</v>
      </c>
      <c r="T453" s="89">
        <v>0</v>
      </c>
      <c r="U453" s="89">
        <v>0</v>
      </c>
      <c r="V453" s="94">
        <v>0</v>
      </c>
      <c r="W453" s="94">
        <v>0</v>
      </c>
      <c r="X453" s="94">
        <v>0</v>
      </c>
      <c r="Y453" s="89">
        <v>0</v>
      </c>
      <c r="Z453" s="94">
        <f t="shared" ref="Z453:Z516" si="33">SUM(M453:Y453)</f>
        <v>0</v>
      </c>
      <c r="AA453" s="94">
        <f t="shared" si="30"/>
        <v>0</v>
      </c>
      <c r="AB453" s="89">
        <f t="shared" si="31"/>
        <v>0</v>
      </c>
      <c r="AC453" s="89">
        <f t="shared" si="32"/>
        <v>0</v>
      </c>
      <c r="AD453" s="89">
        <v>0</v>
      </c>
      <c r="AE453" s="89">
        <v>0</v>
      </c>
      <c r="AF453" s="117"/>
      <c r="AG453" s="117"/>
      <c r="AH453" s="262"/>
      <c r="AI453" s="17"/>
      <c r="AJ453" s="17"/>
      <c r="AK453" s="17"/>
      <c r="AL453" s="17"/>
      <c r="AM453" s="17"/>
      <c r="AN453" s="17"/>
      <c r="AO453" s="17"/>
      <c r="AP453" s="15" t="str">
        <f>IFERROR(VLOOKUP(AO453,Legend!$D$2:$E$26,2,0),"")</f>
        <v/>
      </c>
      <c r="AQ453" s="15"/>
      <c r="AR453" s="17"/>
      <c r="AS453" s="17"/>
      <c r="AT453" s="15"/>
      <c r="AU453" s="17"/>
      <c r="AV453" s="17"/>
      <c r="AW453" s="17" t="s">
        <v>10</v>
      </c>
      <c r="AX453" s="15"/>
      <c r="AY453" s="15"/>
    </row>
    <row r="454" spans="1:51" x14ac:dyDescent="0.25">
      <c r="A454" s="15"/>
      <c r="B454" s="15"/>
      <c r="C454" s="15"/>
      <c r="D454" s="15"/>
      <c r="E454" s="91"/>
      <c r="F454" s="15"/>
      <c r="G454" s="15"/>
      <c r="H454" s="15"/>
      <c r="I454" s="15"/>
      <c r="J454" s="15"/>
      <c r="K454" s="89"/>
      <c r="L454" s="15"/>
      <c r="M454" s="89">
        <v>0</v>
      </c>
      <c r="N454" s="89">
        <v>0</v>
      </c>
      <c r="O454" s="89">
        <v>0</v>
      </c>
      <c r="P454" s="94">
        <v>0</v>
      </c>
      <c r="Q454" s="94">
        <v>0</v>
      </c>
      <c r="R454" s="94">
        <v>0</v>
      </c>
      <c r="S454" s="94">
        <v>0</v>
      </c>
      <c r="T454" s="89">
        <v>0</v>
      </c>
      <c r="U454" s="89">
        <v>0</v>
      </c>
      <c r="V454" s="94">
        <v>0</v>
      </c>
      <c r="W454" s="94">
        <v>0</v>
      </c>
      <c r="X454" s="94">
        <v>0</v>
      </c>
      <c r="Y454" s="89">
        <v>0</v>
      </c>
      <c r="Z454" s="94">
        <f t="shared" si="33"/>
        <v>0</v>
      </c>
      <c r="AA454" s="94">
        <f t="shared" ref="AA454:AA517" si="34">Y454+M454</f>
        <v>0</v>
      </c>
      <c r="AB454" s="89">
        <f t="shared" ref="AB454:AB517" si="35">Z454-AA454</f>
        <v>0</v>
      </c>
      <c r="AC454" s="89">
        <f t="shared" ref="AC454:AC517" si="36">AB454</f>
        <v>0</v>
      </c>
      <c r="AD454" s="89">
        <v>0</v>
      </c>
      <c r="AE454" s="89">
        <v>0</v>
      </c>
      <c r="AF454" s="117"/>
      <c r="AG454" s="117"/>
      <c r="AH454" s="262"/>
      <c r="AI454" s="17"/>
      <c r="AJ454" s="17"/>
      <c r="AK454" s="17"/>
      <c r="AL454" s="17"/>
      <c r="AM454" s="17"/>
      <c r="AN454" s="17"/>
      <c r="AO454" s="17"/>
      <c r="AP454" s="15" t="str">
        <f>IFERROR(VLOOKUP(AO454,Legend!$D$2:$E$26,2,0),"")</f>
        <v/>
      </c>
      <c r="AQ454" s="15"/>
      <c r="AR454" s="17"/>
      <c r="AS454" s="17"/>
      <c r="AT454" s="15"/>
      <c r="AU454" s="17"/>
      <c r="AV454" s="17"/>
      <c r="AW454" s="17" t="s">
        <v>10</v>
      </c>
      <c r="AX454" s="15"/>
      <c r="AY454" s="15"/>
    </row>
    <row r="455" spans="1:51" x14ac:dyDescent="0.25">
      <c r="A455" s="15"/>
      <c r="B455" s="15"/>
      <c r="C455" s="15"/>
      <c r="D455" s="15"/>
      <c r="E455" s="91"/>
      <c r="F455" s="15"/>
      <c r="G455" s="15"/>
      <c r="H455" s="15"/>
      <c r="I455" s="15"/>
      <c r="J455" s="15"/>
      <c r="K455" s="89"/>
      <c r="L455" s="15"/>
      <c r="M455" s="89">
        <v>0</v>
      </c>
      <c r="N455" s="89">
        <v>0</v>
      </c>
      <c r="O455" s="89">
        <v>0</v>
      </c>
      <c r="P455" s="94">
        <v>0</v>
      </c>
      <c r="Q455" s="94">
        <v>0</v>
      </c>
      <c r="R455" s="94">
        <v>0</v>
      </c>
      <c r="S455" s="94">
        <v>0</v>
      </c>
      <c r="T455" s="89">
        <v>0</v>
      </c>
      <c r="U455" s="89">
        <v>0</v>
      </c>
      <c r="V455" s="94">
        <v>0</v>
      </c>
      <c r="W455" s="94">
        <v>0</v>
      </c>
      <c r="X455" s="94">
        <v>0</v>
      </c>
      <c r="Y455" s="89">
        <v>0</v>
      </c>
      <c r="Z455" s="94">
        <f t="shared" si="33"/>
        <v>0</v>
      </c>
      <c r="AA455" s="94">
        <f t="shared" si="34"/>
        <v>0</v>
      </c>
      <c r="AB455" s="89">
        <f t="shared" si="35"/>
        <v>0</v>
      </c>
      <c r="AC455" s="89">
        <f t="shared" si="36"/>
        <v>0</v>
      </c>
      <c r="AD455" s="89">
        <v>0</v>
      </c>
      <c r="AE455" s="89">
        <v>0</v>
      </c>
      <c r="AF455" s="117"/>
      <c r="AG455" s="117"/>
      <c r="AH455" s="262"/>
      <c r="AI455" s="17"/>
      <c r="AJ455" s="17"/>
      <c r="AK455" s="17"/>
      <c r="AL455" s="17"/>
      <c r="AM455" s="17"/>
      <c r="AN455" s="17"/>
      <c r="AO455" s="17"/>
      <c r="AP455" s="15" t="str">
        <f>IFERROR(VLOOKUP(AO455,Legend!$D$2:$E$26,2,0),"")</f>
        <v/>
      </c>
      <c r="AQ455" s="15"/>
      <c r="AR455" s="17"/>
      <c r="AS455" s="17"/>
      <c r="AT455" s="15"/>
      <c r="AU455" s="17"/>
      <c r="AV455" s="17"/>
      <c r="AW455" s="17" t="s">
        <v>10</v>
      </c>
      <c r="AX455" s="15"/>
      <c r="AY455" s="15"/>
    </row>
    <row r="456" spans="1:51" x14ac:dyDescent="0.25">
      <c r="A456" s="15"/>
      <c r="B456" s="15"/>
      <c r="C456" s="15"/>
      <c r="D456" s="15"/>
      <c r="E456" s="91"/>
      <c r="F456" s="15"/>
      <c r="G456" s="15"/>
      <c r="H456" s="15"/>
      <c r="I456" s="15"/>
      <c r="J456" s="15"/>
      <c r="K456" s="89"/>
      <c r="L456" s="15"/>
      <c r="M456" s="89">
        <v>0</v>
      </c>
      <c r="N456" s="89">
        <v>0</v>
      </c>
      <c r="O456" s="89">
        <v>0</v>
      </c>
      <c r="P456" s="94">
        <v>0</v>
      </c>
      <c r="Q456" s="94">
        <v>0</v>
      </c>
      <c r="R456" s="94">
        <v>0</v>
      </c>
      <c r="S456" s="94">
        <v>0</v>
      </c>
      <c r="T456" s="89">
        <v>0</v>
      </c>
      <c r="U456" s="89">
        <v>0</v>
      </c>
      <c r="V456" s="94">
        <v>0</v>
      </c>
      <c r="W456" s="94">
        <v>0</v>
      </c>
      <c r="X456" s="94">
        <v>0</v>
      </c>
      <c r="Y456" s="89">
        <v>0</v>
      </c>
      <c r="Z456" s="94">
        <f t="shared" si="33"/>
        <v>0</v>
      </c>
      <c r="AA456" s="94">
        <f t="shared" si="34"/>
        <v>0</v>
      </c>
      <c r="AB456" s="89">
        <f t="shared" si="35"/>
        <v>0</v>
      </c>
      <c r="AC456" s="89">
        <f t="shared" si="36"/>
        <v>0</v>
      </c>
      <c r="AD456" s="89">
        <v>0</v>
      </c>
      <c r="AE456" s="89">
        <v>0</v>
      </c>
      <c r="AF456" s="117"/>
      <c r="AG456" s="117"/>
      <c r="AH456" s="262"/>
      <c r="AI456" s="17"/>
      <c r="AJ456" s="17"/>
      <c r="AK456" s="17"/>
      <c r="AL456" s="17"/>
      <c r="AM456" s="17"/>
      <c r="AN456" s="17"/>
      <c r="AO456" s="17"/>
      <c r="AP456" s="15" t="str">
        <f>IFERROR(VLOOKUP(AO456,Legend!$D$2:$E$26,2,0),"")</f>
        <v/>
      </c>
      <c r="AQ456" s="15"/>
      <c r="AR456" s="17"/>
      <c r="AS456" s="17"/>
      <c r="AT456" s="15"/>
      <c r="AU456" s="17"/>
      <c r="AV456" s="17"/>
      <c r="AW456" s="17" t="s">
        <v>10</v>
      </c>
      <c r="AX456" s="15"/>
      <c r="AY456" s="15"/>
    </row>
    <row r="457" spans="1:51" x14ac:dyDescent="0.25">
      <c r="A457" s="15"/>
      <c r="B457" s="15"/>
      <c r="C457" s="15"/>
      <c r="D457" s="15"/>
      <c r="E457" s="91"/>
      <c r="F457" s="15"/>
      <c r="G457" s="15"/>
      <c r="H457" s="15"/>
      <c r="I457" s="15"/>
      <c r="J457" s="15"/>
      <c r="K457" s="89"/>
      <c r="L457" s="15"/>
      <c r="M457" s="89">
        <v>0</v>
      </c>
      <c r="N457" s="89">
        <v>0</v>
      </c>
      <c r="O457" s="89">
        <v>0</v>
      </c>
      <c r="P457" s="94">
        <v>0</v>
      </c>
      <c r="Q457" s="94">
        <v>0</v>
      </c>
      <c r="R457" s="94">
        <v>0</v>
      </c>
      <c r="S457" s="94">
        <v>0</v>
      </c>
      <c r="T457" s="89">
        <v>0</v>
      </c>
      <c r="U457" s="89">
        <v>0</v>
      </c>
      <c r="V457" s="94">
        <v>0</v>
      </c>
      <c r="W457" s="94">
        <v>0</v>
      </c>
      <c r="X457" s="94">
        <v>0</v>
      </c>
      <c r="Y457" s="89">
        <v>0</v>
      </c>
      <c r="Z457" s="94">
        <f t="shared" si="33"/>
        <v>0</v>
      </c>
      <c r="AA457" s="94">
        <f t="shared" si="34"/>
        <v>0</v>
      </c>
      <c r="AB457" s="89">
        <f t="shared" si="35"/>
        <v>0</v>
      </c>
      <c r="AC457" s="89">
        <f t="shared" si="36"/>
        <v>0</v>
      </c>
      <c r="AD457" s="89">
        <v>0</v>
      </c>
      <c r="AE457" s="89">
        <v>0</v>
      </c>
      <c r="AF457" s="117"/>
      <c r="AG457" s="117"/>
      <c r="AH457" s="262"/>
      <c r="AI457" s="17"/>
      <c r="AJ457" s="17"/>
      <c r="AK457" s="17"/>
      <c r="AL457" s="17"/>
      <c r="AM457" s="17"/>
      <c r="AN457" s="17"/>
      <c r="AO457" s="17"/>
      <c r="AP457" s="15" t="str">
        <f>IFERROR(VLOOKUP(AO457,Legend!$D$2:$E$26,2,0),"")</f>
        <v/>
      </c>
      <c r="AQ457" s="15"/>
      <c r="AR457" s="17"/>
      <c r="AS457" s="17"/>
      <c r="AT457" s="15"/>
      <c r="AU457" s="17"/>
      <c r="AV457" s="17"/>
      <c r="AW457" s="17" t="s">
        <v>10</v>
      </c>
      <c r="AX457" s="15"/>
      <c r="AY457" s="15"/>
    </row>
    <row r="458" spans="1:51" x14ac:dyDescent="0.25">
      <c r="A458" s="15"/>
      <c r="B458" s="15"/>
      <c r="C458" s="15"/>
      <c r="D458" s="15"/>
      <c r="E458" s="91"/>
      <c r="F458" s="15"/>
      <c r="G458" s="15"/>
      <c r="H458" s="15"/>
      <c r="I458" s="15"/>
      <c r="J458" s="15"/>
      <c r="K458" s="89"/>
      <c r="L458" s="15"/>
      <c r="M458" s="89">
        <v>0</v>
      </c>
      <c r="N458" s="89">
        <v>0</v>
      </c>
      <c r="O458" s="89">
        <v>0</v>
      </c>
      <c r="P458" s="94">
        <v>0</v>
      </c>
      <c r="Q458" s="94">
        <v>0</v>
      </c>
      <c r="R458" s="94">
        <v>0</v>
      </c>
      <c r="S458" s="94">
        <v>0</v>
      </c>
      <c r="T458" s="89">
        <v>0</v>
      </c>
      <c r="U458" s="89">
        <v>0</v>
      </c>
      <c r="V458" s="94">
        <v>0</v>
      </c>
      <c r="W458" s="94">
        <v>0</v>
      </c>
      <c r="X458" s="94">
        <v>0</v>
      </c>
      <c r="Y458" s="89">
        <v>0</v>
      </c>
      <c r="Z458" s="94">
        <f t="shared" si="33"/>
        <v>0</v>
      </c>
      <c r="AA458" s="94">
        <f t="shared" si="34"/>
        <v>0</v>
      </c>
      <c r="AB458" s="89">
        <f t="shared" si="35"/>
        <v>0</v>
      </c>
      <c r="AC458" s="89">
        <f t="shared" si="36"/>
        <v>0</v>
      </c>
      <c r="AD458" s="89">
        <v>0</v>
      </c>
      <c r="AE458" s="89">
        <v>0</v>
      </c>
      <c r="AF458" s="117"/>
      <c r="AG458" s="117"/>
      <c r="AH458" s="262"/>
      <c r="AI458" s="17"/>
      <c r="AJ458" s="17"/>
      <c r="AK458" s="17"/>
      <c r="AL458" s="17"/>
      <c r="AM458" s="17"/>
      <c r="AN458" s="17"/>
      <c r="AO458" s="17"/>
      <c r="AP458" s="15" t="str">
        <f>IFERROR(VLOOKUP(AO458,Legend!$D$2:$E$26,2,0),"")</f>
        <v/>
      </c>
      <c r="AQ458" s="15"/>
      <c r="AR458" s="17"/>
      <c r="AS458" s="17"/>
      <c r="AT458" s="15"/>
      <c r="AU458" s="17"/>
      <c r="AV458" s="17"/>
      <c r="AW458" s="17" t="s">
        <v>10</v>
      </c>
      <c r="AX458" s="15"/>
      <c r="AY458" s="15"/>
    </row>
    <row r="459" spans="1:51" x14ac:dyDescent="0.25">
      <c r="A459" s="15"/>
      <c r="B459" s="15"/>
      <c r="C459" s="15"/>
      <c r="D459" s="15"/>
      <c r="E459" s="91"/>
      <c r="F459" s="15"/>
      <c r="G459" s="15"/>
      <c r="H459" s="15"/>
      <c r="I459" s="15"/>
      <c r="J459" s="15"/>
      <c r="K459" s="89"/>
      <c r="L459" s="15"/>
      <c r="M459" s="89">
        <v>0</v>
      </c>
      <c r="N459" s="89">
        <v>0</v>
      </c>
      <c r="O459" s="89">
        <v>0</v>
      </c>
      <c r="P459" s="94">
        <v>0</v>
      </c>
      <c r="Q459" s="94">
        <v>0</v>
      </c>
      <c r="R459" s="94">
        <v>0</v>
      </c>
      <c r="S459" s="94">
        <v>0</v>
      </c>
      <c r="T459" s="89">
        <v>0</v>
      </c>
      <c r="U459" s="89">
        <v>0</v>
      </c>
      <c r="V459" s="94">
        <v>0</v>
      </c>
      <c r="W459" s="94">
        <v>0</v>
      </c>
      <c r="X459" s="94">
        <v>0</v>
      </c>
      <c r="Y459" s="89">
        <v>0</v>
      </c>
      <c r="Z459" s="94">
        <f t="shared" si="33"/>
        <v>0</v>
      </c>
      <c r="AA459" s="94">
        <f t="shared" si="34"/>
        <v>0</v>
      </c>
      <c r="AB459" s="89">
        <f t="shared" si="35"/>
        <v>0</v>
      </c>
      <c r="AC459" s="89">
        <f t="shared" si="36"/>
        <v>0</v>
      </c>
      <c r="AD459" s="89">
        <v>0</v>
      </c>
      <c r="AE459" s="89">
        <v>0</v>
      </c>
      <c r="AF459" s="117"/>
      <c r="AG459" s="117"/>
      <c r="AH459" s="262"/>
      <c r="AI459" s="17"/>
      <c r="AJ459" s="17"/>
      <c r="AK459" s="17"/>
      <c r="AL459" s="17"/>
      <c r="AM459" s="17"/>
      <c r="AN459" s="17"/>
      <c r="AO459" s="17"/>
      <c r="AP459" s="15" t="str">
        <f>IFERROR(VLOOKUP(AO459,Legend!$D$2:$E$26,2,0),"")</f>
        <v/>
      </c>
      <c r="AQ459" s="15"/>
      <c r="AR459" s="17"/>
      <c r="AS459" s="17"/>
      <c r="AT459" s="15"/>
      <c r="AU459" s="17"/>
      <c r="AV459" s="17"/>
      <c r="AW459" s="17" t="s">
        <v>10</v>
      </c>
      <c r="AX459" s="15"/>
      <c r="AY459" s="15"/>
    </row>
    <row r="460" spans="1:51" x14ac:dyDescent="0.25">
      <c r="A460" s="15"/>
      <c r="B460" s="15"/>
      <c r="C460" s="15"/>
      <c r="D460" s="15"/>
      <c r="E460" s="91"/>
      <c r="F460" s="15"/>
      <c r="G460" s="15"/>
      <c r="H460" s="15"/>
      <c r="I460" s="15"/>
      <c r="J460" s="15"/>
      <c r="K460" s="89"/>
      <c r="L460" s="15"/>
      <c r="M460" s="89">
        <v>0</v>
      </c>
      <c r="N460" s="89">
        <v>0</v>
      </c>
      <c r="O460" s="89">
        <v>0</v>
      </c>
      <c r="P460" s="94">
        <v>0</v>
      </c>
      <c r="Q460" s="94">
        <v>0</v>
      </c>
      <c r="R460" s="94">
        <v>0</v>
      </c>
      <c r="S460" s="94">
        <v>0</v>
      </c>
      <c r="T460" s="89">
        <v>0</v>
      </c>
      <c r="U460" s="89">
        <v>0</v>
      </c>
      <c r="V460" s="94">
        <v>0</v>
      </c>
      <c r="W460" s="94">
        <v>0</v>
      </c>
      <c r="X460" s="94">
        <v>0</v>
      </c>
      <c r="Y460" s="89">
        <v>0</v>
      </c>
      <c r="Z460" s="94">
        <f t="shared" si="33"/>
        <v>0</v>
      </c>
      <c r="AA460" s="94">
        <f t="shared" si="34"/>
        <v>0</v>
      </c>
      <c r="AB460" s="89">
        <f t="shared" si="35"/>
        <v>0</v>
      </c>
      <c r="AC460" s="89">
        <f t="shared" si="36"/>
        <v>0</v>
      </c>
      <c r="AD460" s="89">
        <v>0</v>
      </c>
      <c r="AE460" s="89">
        <v>0</v>
      </c>
      <c r="AF460" s="117"/>
      <c r="AG460" s="117"/>
      <c r="AH460" s="262"/>
      <c r="AI460" s="17"/>
      <c r="AJ460" s="17"/>
      <c r="AK460" s="17"/>
      <c r="AL460" s="17"/>
      <c r="AM460" s="17"/>
      <c r="AN460" s="17"/>
      <c r="AO460" s="17"/>
      <c r="AP460" s="15" t="str">
        <f>IFERROR(VLOOKUP(AO460,Legend!$D$2:$E$26,2,0),"")</f>
        <v/>
      </c>
      <c r="AQ460" s="15"/>
      <c r="AR460" s="17"/>
      <c r="AS460" s="17"/>
      <c r="AT460" s="15"/>
      <c r="AU460" s="17"/>
      <c r="AV460" s="17"/>
      <c r="AW460" s="17" t="s">
        <v>10</v>
      </c>
      <c r="AX460" s="15"/>
      <c r="AY460" s="15"/>
    </row>
    <row r="461" spans="1:51" x14ac:dyDescent="0.25">
      <c r="A461" s="15"/>
      <c r="B461" s="15"/>
      <c r="C461" s="15"/>
      <c r="D461" s="15"/>
      <c r="E461" s="91"/>
      <c r="F461" s="15"/>
      <c r="G461" s="15"/>
      <c r="H461" s="15"/>
      <c r="I461" s="15"/>
      <c r="J461" s="15"/>
      <c r="K461" s="89"/>
      <c r="L461" s="15"/>
      <c r="M461" s="89">
        <v>0</v>
      </c>
      <c r="N461" s="89">
        <v>0</v>
      </c>
      <c r="O461" s="89">
        <v>0</v>
      </c>
      <c r="P461" s="94">
        <v>0</v>
      </c>
      <c r="Q461" s="94">
        <v>0</v>
      </c>
      <c r="R461" s="94">
        <v>0</v>
      </c>
      <c r="S461" s="94">
        <v>0</v>
      </c>
      <c r="T461" s="89">
        <v>0</v>
      </c>
      <c r="U461" s="89">
        <v>0</v>
      </c>
      <c r="V461" s="94">
        <v>0</v>
      </c>
      <c r="W461" s="94">
        <v>0</v>
      </c>
      <c r="X461" s="94">
        <v>0</v>
      </c>
      <c r="Y461" s="89">
        <v>0</v>
      </c>
      <c r="Z461" s="94">
        <f t="shared" si="33"/>
        <v>0</v>
      </c>
      <c r="AA461" s="94">
        <f t="shared" si="34"/>
        <v>0</v>
      </c>
      <c r="AB461" s="89">
        <f t="shared" si="35"/>
        <v>0</v>
      </c>
      <c r="AC461" s="89">
        <f t="shared" si="36"/>
        <v>0</v>
      </c>
      <c r="AD461" s="89">
        <v>0</v>
      </c>
      <c r="AE461" s="89">
        <v>0</v>
      </c>
      <c r="AF461" s="117"/>
      <c r="AG461" s="117"/>
      <c r="AH461" s="262"/>
      <c r="AI461" s="17"/>
      <c r="AJ461" s="17"/>
      <c r="AK461" s="17"/>
      <c r="AL461" s="17"/>
      <c r="AM461" s="17"/>
      <c r="AN461" s="17"/>
      <c r="AO461" s="17"/>
      <c r="AP461" s="15" t="str">
        <f>IFERROR(VLOOKUP(AO461,Legend!$D$2:$E$26,2,0),"")</f>
        <v/>
      </c>
      <c r="AQ461" s="15"/>
      <c r="AR461" s="17"/>
      <c r="AS461" s="17"/>
      <c r="AT461" s="15"/>
      <c r="AU461" s="17"/>
      <c r="AV461" s="17"/>
      <c r="AW461" s="17" t="s">
        <v>10</v>
      </c>
      <c r="AX461" s="15"/>
      <c r="AY461" s="15"/>
    </row>
    <row r="462" spans="1:51" x14ac:dyDescent="0.25">
      <c r="A462" s="15"/>
      <c r="B462" s="15"/>
      <c r="C462" s="15"/>
      <c r="D462" s="15"/>
      <c r="E462" s="91"/>
      <c r="F462" s="15"/>
      <c r="G462" s="15"/>
      <c r="H462" s="15"/>
      <c r="I462" s="15"/>
      <c r="J462" s="15"/>
      <c r="K462" s="89"/>
      <c r="L462" s="15"/>
      <c r="M462" s="89">
        <v>0</v>
      </c>
      <c r="N462" s="89">
        <v>0</v>
      </c>
      <c r="O462" s="89">
        <v>0</v>
      </c>
      <c r="P462" s="94">
        <v>0</v>
      </c>
      <c r="Q462" s="94">
        <v>0</v>
      </c>
      <c r="R462" s="94">
        <v>0</v>
      </c>
      <c r="S462" s="94">
        <v>0</v>
      </c>
      <c r="T462" s="89">
        <v>0</v>
      </c>
      <c r="U462" s="89">
        <v>0</v>
      </c>
      <c r="V462" s="94">
        <v>0</v>
      </c>
      <c r="W462" s="94">
        <v>0</v>
      </c>
      <c r="X462" s="94">
        <v>0</v>
      </c>
      <c r="Y462" s="89">
        <v>0</v>
      </c>
      <c r="Z462" s="94">
        <f t="shared" si="33"/>
        <v>0</v>
      </c>
      <c r="AA462" s="94">
        <f t="shared" si="34"/>
        <v>0</v>
      </c>
      <c r="AB462" s="89">
        <f t="shared" si="35"/>
        <v>0</v>
      </c>
      <c r="AC462" s="89">
        <f t="shared" si="36"/>
        <v>0</v>
      </c>
      <c r="AD462" s="89">
        <v>0</v>
      </c>
      <c r="AE462" s="89">
        <v>0</v>
      </c>
      <c r="AF462" s="117"/>
      <c r="AG462" s="117"/>
      <c r="AH462" s="262"/>
      <c r="AI462" s="17"/>
      <c r="AJ462" s="17"/>
      <c r="AK462" s="17"/>
      <c r="AL462" s="17"/>
      <c r="AM462" s="17"/>
      <c r="AN462" s="17"/>
      <c r="AO462" s="17"/>
      <c r="AP462" s="15" t="str">
        <f>IFERROR(VLOOKUP(AO462,Legend!$D$2:$E$26,2,0),"")</f>
        <v/>
      </c>
      <c r="AQ462" s="15"/>
      <c r="AR462" s="17"/>
      <c r="AS462" s="17"/>
      <c r="AT462" s="15"/>
      <c r="AU462" s="17"/>
      <c r="AV462" s="17"/>
      <c r="AW462" s="17" t="s">
        <v>10</v>
      </c>
      <c r="AX462" s="15"/>
      <c r="AY462" s="15"/>
    </row>
    <row r="463" spans="1:51" x14ac:dyDescent="0.25">
      <c r="A463" s="15"/>
      <c r="B463" s="15"/>
      <c r="C463" s="15"/>
      <c r="D463" s="15"/>
      <c r="E463" s="91"/>
      <c r="F463" s="15"/>
      <c r="G463" s="15"/>
      <c r="H463" s="15"/>
      <c r="I463" s="15"/>
      <c r="J463" s="15"/>
      <c r="K463" s="89"/>
      <c r="L463" s="15"/>
      <c r="M463" s="89">
        <v>0</v>
      </c>
      <c r="N463" s="89">
        <v>0</v>
      </c>
      <c r="O463" s="89">
        <v>0</v>
      </c>
      <c r="P463" s="94">
        <v>0</v>
      </c>
      <c r="Q463" s="94">
        <v>0</v>
      </c>
      <c r="R463" s="94">
        <v>0</v>
      </c>
      <c r="S463" s="94">
        <v>0</v>
      </c>
      <c r="T463" s="89">
        <v>0</v>
      </c>
      <c r="U463" s="89">
        <v>0</v>
      </c>
      <c r="V463" s="94">
        <v>0</v>
      </c>
      <c r="W463" s="94">
        <v>0</v>
      </c>
      <c r="X463" s="94">
        <v>0</v>
      </c>
      <c r="Y463" s="89">
        <v>0</v>
      </c>
      <c r="Z463" s="94">
        <f t="shared" si="33"/>
        <v>0</v>
      </c>
      <c r="AA463" s="94">
        <f t="shared" si="34"/>
        <v>0</v>
      </c>
      <c r="AB463" s="89">
        <f t="shared" si="35"/>
        <v>0</v>
      </c>
      <c r="AC463" s="89">
        <f t="shared" si="36"/>
        <v>0</v>
      </c>
      <c r="AD463" s="89">
        <v>0</v>
      </c>
      <c r="AE463" s="89">
        <v>0</v>
      </c>
      <c r="AF463" s="117"/>
      <c r="AG463" s="117"/>
      <c r="AH463" s="262"/>
      <c r="AI463" s="17"/>
      <c r="AJ463" s="17"/>
      <c r="AK463" s="17"/>
      <c r="AL463" s="17"/>
      <c r="AM463" s="17"/>
      <c r="AN463" s="17"/>
      <c r="AO463" s="17"/>
      <c r="AP463" s="15" t="str">
        <f>IFERROR(VLOOKUP(AO463,Legend!$D$2:$E$26,2,0),"")</f>
        <v/>
      </c>
      <c r="AQ463" s="15"/>
      <c r="AR463" s="17"/>
      <c r="AS463" s="17"/>
      <c r="AT463" s="15"/>
      <c r="AU463" s="17"/>
      <c r="AV463" s="17"/>
      <c r="AW463" s="17" t="s">
        <v>10</v>
      </c>
      <c r="AX463" s="15"/>
      <c r="AY463" s="15"/>
    </row>
    <row r="464" spans="1:51" x14ac:dyDescent="0.25">
      <c r="A464" s="15"/>
      <c r="B464" s="15"/>
      <c r="C464" s="15"/>
      <c r="D464" s="15"/>
      <c r="E464" s="91"/>
      <c r="F464" s="15"/>
      <c r="G464" s="15"/>
      <c r="H464" s="15"/>
      <c r="I464" s="15"/>
      <c r="J464" s="15"/>
      <c r="K464" s="89"/>
      <c r="L464" s="15"/>
      <c r="M464" s="89">
        <v>0</v>
      </c>
      <c r="N464" s="89">
        <v>0</v>
      </c>
      <c r="O464" s="89">
        <v>0</v>
      </c>
      <c r="P464" s="94">
        <v>0</v>
      </c>
      <c r="Q464" s="94">
        <v>0</v>
      </c>
      <c r="R464" s="94">
        <v>0</v>
      </c>
      <c r="S464" s="94">
        <v>0</v>
      </c>
      <c r="T464" s="89">
        <v>0</v>
      </c>
      <c r="U464" s="89">
        <v>0</v>
      </c>
      <c r="V464" s="94">
        <v>0</v>
      </c>
      <c r="W464" s="94">
        <v>0</v>
      </c>
      <c r="X464" s="94">
        <v>0</v>
      </c>
      <c r="Y464" s="89">
        <v>0</v>
      </c>
      <c r="Z464" s="94">
        <f t="shared" si="33"/>
        <v>0</v>
      </c>
      <c r="AA464" s="94">
        <f t="shared" si="34"/>
        <v>0</v>
      </c>
      <c r="AB464" s="89">
        <f t="shared" si="35"/>
        <v>0</v>
      </c>
      <c r="AC464" s="89">
        <f t="shared" si="36"/>
        <v>0</v>
      </c>
      <c r="AD464" s="89">
        <v>0</v>
      </c>
      <c r="AE464" s="89">
        <v>0</v>
      </c>
      <c r="AF464" s="117"/>
      <c r="AG464" s="117"/>
      <c r="AH464" s="262"/>
      <c r="AI464" s="17"/>
      <c r="AJ464" s="17"/>
      <c r="AK464" s="17"/>
      <c r="AL464" s="17"/>
      <c r="AM464" s="17"/>
      <c r="AN464" s="17"/>
      <c r="AO464" s="17"/>
      <c r="AP464" s="15" t="str">
        <f>IFERROR(VLOOKUP(AO464,Legend!$D$2:$E$26,2,0),"")</f>
        <v/>
      </c>
      <c r="AQ464" s="15"/>
      <c r="AR464" s="17"/>
      <c r="AS464" s="17"/>
      <c r="AT464" s="15"/>
      <c r="AU464" s="17"/>
      <c r="AV464" s="17"/>
      <c r="AW464" s="17" t="s">
        <v>10</v>
      </c>
      <c r="AX464" s="15"/>
      <c r="AY464" s="15"/>
    </row>
    <row r="465" spans="1:51" x14ac:dyDescent="0.25">
      <c r="A465" s="15"/>
      <c r="B465" s="15"/>
      <c r="C465" s="15"/>
      <c r="D465" s="15"/>
      <c r="E465" s="91"/>
      <c r="F465" s="15"/>
      <c r="G465" s="15"/>
      <c r="H465" s="15"/>
      <c r="I465" s="15"/>
      <c r="J465" s="15"/>
      <c r="K465" s="89"/>
      <c r="L465" s="15"/>
      <c r="M465" s="89">
        <v>0</v>
      </c>
      <c r="N465" s="89">
        <v>0</v>
      </c>
      <c r="O465" s="89">
        <v>0</v>
      </c>
      <c r="P465" s="94">
        <v>0</v>
      </c>
      <c r="Q465" s="94">
        <v>0</v>
      </c>
      <c r="R465" s="94">
        <v>0</v>
      </c>
      <c r="S465" s="94">
        <v>0</v>
      </c>
      <c r="T465" s="89">
        <v>0</v>
      </c>
      <c r="U465" s="89">
        <v>0</v>
      </c>
      <c r="V465" s="94">
        <v>0</v>
      </c>
      <c r="W465" s="94">
        <v>0</v>
      </c>
      <c r="X465" s="94">
        <v>0</v>
      </c>
      <c r="Y465" s="89">
        <v>0</v>
      </c>
      <c r="Z465" s="94">
        <f t="shared" si="33"/>
        <v>0</v>
      </c>
      <c r="AA465" s="94">
        <f t="shared" si="34"/>
        <v>0</v>
      </c>
      <c r="AB465" s="89">
        <f t="shared" si="35"/>
        <v>0</v>
      </c>
      <c r="AC465" s="89">
        <f t="shared" si="36"/>
        <v>0</v>
      </c>
      <c r="AD465" s="89">
        <v>0</v>
      </c>
      <c r="AE465" s="89">
        <v>0</v>
      </c>
      <c r="AF465" s="117"/>
      <c r="AG465" s="117"/>
      <c r="AH465" s="262"/>
      <c r="AI465" s="17"/>
      <c r="AJ465" s="17"/>
      <c r="AK465" s="17"/>
      <c r="AL465" s="17"/>
      <c r="AM465" s="17"/>
      <c r="AN465" s="17"/>
      <c r="AO465" s="17"/>
      <c r="AP465" s="15" t="str">
        <f>IFERROR(VLOOKUP(AO465,Legend!$D$2:$E$26,2,0),"")</f>
        <v/>
      </c>
      <c r="AQ465" s="15"/>
      <c r="AR465" s="17"/>
      <c r="AS465" s="17"/>
      <c r="AT465" s="15"/>
      <c r="AU465" s="17"/>
      <c r="AV465" s="17"/>
      <c r="AW465" s="17" t="s">
        <v>10</v>
      </c>
      <c r="AX465" s="15"/>
      <c r="AY465" s="15"/>
    </row>
    <row r="466" spans="1:51" x14ac:dyDescent="0.25">
      <c r="A466" s="15"/>
      <c r="B466" s="15"/>
      <c r="C466" s="15"/>
      <c r="D466" s="15"/>
      <c r="E466" s="91"/>
      <c r="F466" s="15"/>
      <c r="G466" s="15"/>
      <c r="H466" s="15"/>
      <c r="I466" s="15"/>
      <c r="J466" s="15"/>
      <c r="K466" s="89"/>
      <c r="L466" s="15"/>
      <c r="M466" s="89">
        <v>0</v>
      </c>
      <c r="N466" s="89">
        <v>0</v>
      </c>
      <c r="O466" s="89">
        <v>0</v>
      </c>
      <c r="P466" s="94">
        <v>0</v>
      </c>
      <c r="Q466" s="94">
        <v>0</v>
      </c>
      <c r="R466" s="94">
        <v>0</v>
      </c>
      <c r="S466" s="94">
        <v>0</v>
      </c>
      <c r="T466" s="89">
        <v>0</v>
      </c>
      <c r="U466" s="89">
        <v>0</v>
      </c>
      <c r="V466" s="94">
        <v>0</v>
      </c>
      <c r="W466" s="94">
        <v>0</v>
      </c>
      <c r="X466" s="94">
        <v>0</v>
      </c>
      <c r="Y466" s="89">
        <v>0</v>
      </c>
      <c r="Z466" s="94">
        <f t="shared" si="33"/>
        <v>0</v>
      </c>
      <c r="AA466" s="94">
        <f t="shared" si="34"/>
        <v>0</v>
      </c>
      <c r="AB466" s="89">
        <f t="shared" si="35"/>
        <v>0</v>
      </c>
      <c r="AC466" s="89">
        <f t="shared" si="36"/>
        <v>0</v>
      </c>
      <c r="AD466" s="89">
        <v>0</v>
      </c>
      <c r="AE466" s="89">
        <v>0</v>
      </c>
      <c r="AF466" s="117"/>
      <c r="AG466" s="117"/>
      <c r="AH466" s="262"/>
      <c r="AI466" s="17"/>
      <c r="AJ466" s="17"/>
      <c r="AK466" s="17"/>
      <c r="AL466" s="17"/>
      <c r="AM466" s="17"/>
      <c r="AN466" s="17"/>
      <c r="AO466" s="17"/>
      <c r="AP466" s="15" t="str">
        <f>IFERROR(VLOOKUP(AO466,Legend!$D$2:$E$26,2,0),"")</f>
        <v/>
      </c>
      <c r="AQ466" s="15"/>
      <c r="AR466" s="17"/>
      <c r="AS466" s="17"/>
      <c r="AT466" s="15"/>
      <c r="AU466" s="17"/>
      <c r="AV466" s="17"/>
      <c r="AW466" s="17" t="s">
        <v>10</v>
      </c>
      <c r="AX466" s="15"/>
      <c r="AY466" s="15"/>
    </row>
    <row r="467" spans="1:51" x14ac:dyDescent="0.25">
      <c r="A467" s="15"/>
      <c r="B467" s="15"/>
      <c r="C467" s="15"/>
      <c r="D467" s="15"/>
      <c r="E467" s="91"/>
      <c r="F467" s="15"/>
      <c r="G467" s="15"/>
      <c r="H467" s="15"/>
      <c r="I467" s="15"/>
      <c r="J467" s="15"/>
      <c r="K467" s="89"/>
      <c r="L467" s="15"/>
      <c r="M467" s="89">
        <v>0</v>
      </c>
      <c r="N467" s="89">
        <v>0</v>
      </c>
      <c r="O467" s="89">
        <v>0</v>
      </c>
      <c r="P467" s="94">
        <v>0</v>
      </c>
      <c r="Q467" s="94">
        <v>0</v>
      </c>
      <c r="R467" s="94">
        <v>0</v>
      </c>
      <c r="S467" s="94">
        <v>0</v>
      </c>
      <c r="T467" s="89">
        <v>0</v>
      </c>
      <c r="U467" s="89">
        <v>0</v>
      </c>
      <c r="V467" s="94">
        <v>0</v>
      </c>
      <c r="W467" s="94">
        <v>0</v>
      </c>
      <c r="X467" s="94">
        <v>0</v>
      </c>
      <c r="Y467" s="89">
        <v>0</v>
      </c>
      <c r="Z467" s="94">
        <f t="shared" si="33"/>
        <v>0</v>
      </c>
      <c r="AA467" s="94">
        <f t="shared" si="34"/>
        <v>0</v>
      </c>
      <c r="AB467" s="89">
        <f t="shared" si="35"/>
        <v>0</v>
      </c>
      <c r="AC467" s="89">
        <f t="shared" si="36"/>
        <v>0</v>
      </c>
      <c r="AD467" s="89">
        <v>0</v>
      </c>
      <c r="AE467" s="89">
        <v>0</v>
      </c>
      <c r="AF467" s="117"/>
      <c r="AG467" s="117"/>
      <c r="AH467" s="262"/>
      <c r="AI467" s="17"/>
      <c r="AJ467" s="17"/>
      <c r="AK467" s="17"/>
      <c r="AL467" s="17"/>
      <c r="AM467" s="17"/>
      <c r="AN467" s="17"/>
      <c r="AO467" s="17"/>
      <c r="AP467" s="15" t="str">
        <f>IFERROR(VLOOKUP(AO467,Legend!$D$2:$E$26,2,0),"")</f>
        <v/>
      </c>
      <c r="AQ467" s="15"/>
      <c r="AR467" s="17"/>
      <c r="AS467" s="17"/>
      <c r="AT467" s="15"/>
      <c r="AU467" s="17"/>
      <c r="AV467" s="17"/>
      <c r="AW467" s="17" t="s">
        <v>10</v>
      </c>
      <c r="AX467" s="15"/>
      <c r="AY467" s="15"/>
    </row>
    <row r="468" spans="1:51" x14ac:dyDescent="0.25">
      <c r="A468" s="15"/>
      <c r="B468" s="15"/>
      <c r="C468" s="15"/>
      <c r="D468" s="15"/>
      <c r="E468" s="91"/>
      <c r="F468" s="15"/>
      <c r="G468" s="15"/>
      <c r="H468" s="15"/>
      <c r="I468" s="15"/>
      <c r="J468" s="15"/>
      <c r="K468" s="89"/>
      <c r="L468" s="15"/>
      <c r="M468" s="89">
        <v>0</v>
      </c>
      <c r="N468" s="89">
        <v>0</v>
      </c>
      <c r="O468" s="89">
        <v>0</v>
      </c>
      <c r="P468" s="94">
        <v>0</v>
      </c>
      <c r="Q468" s="94">
        <v>0</v>
      </c>
      <c r="R468" s="94">
        <v>0</v>
      </c>
      <c r="S468" s="94">
        <v>0</v>
      </c>
      <c r="T468" s="89">
        <v>0</v>
      </c>
      <c r="U468" s="89">
        <v>0</v>
      </c>
      <c r="V468" s="94">
        <v>0</v>
      </c>
      <c r="W468" s="94">
        <v>0</v>
      </c>
      <c r="X468" s="94">
        <v>0</v>
      </c>
      <c r="Y468" s="89">
        <v>0</v>
      </c>
      <c r="Z468" s="94">
        <f t="shared" si="33"/>
        <v>0</v>
      </c>
      <c r="AA468" s="94">
        <f t="shared" si="34"/>
        <v>0</v>
      </c>
      <c r="AB468" s="89">
        <f t="shared" si="35"/>
        <v>0</v>
      </c>
      <c r="AC468" s="89">
        <f t="shared" si="36"/>
        <v>0</v>
      </c>
      <c r="AD468" s="89">
        <v>0</v>
      </c>
      <c r="AE468" s="89">
        <v>0</v>
      </c>
      <c r="AF468" s="117"/>
      <c r="AG468" s="117"/>
      <c r="AH468" s="262"/>
      <c r="AI468" s="17"/>
      <c r="AJ468" s="17"/>
      <c r="AK468" s="17"/>
      <c r="AL468" s="17"/>
      <c r="AM468" s="17"/>
      <c r="AN468" s="17"/>
      <c r="AO468" s="17"/>
      <c r="AP468" s="15" t="str">
        <f>IFERROR(VLOOKUP(AO468,Legend!$D$2:$E$26,2,0),"")</f>
        <v/>
      </c>
      <c r="AQ468" s="15"/>
      <c r="AR468" s="17"/>
      <c r="AS468" s="17"/>
      <c r="AT468" s="15"/>
      <c r="AU468" s="17"/>
      <c r="AV468" s="17"/>
      <c r="AW468" s="17" t="s">
        <v>10</v>
      </c>
      <c r="AX468" s="15"/>
      <c r="AY468" s="15"/>
    </row>
    <row r="469" spans="1:51" x14ac:dyDescent="0.25">
      <c r="A469" s="15"/>
      <c r="B469" s="15"/>
      <c r="C469" s="15"/>
      <c r="D469" s="15"/>
      <c r="E469" s="91"/>
      <c r="F469" s="15"/>
      <c r="G469" s="15"/>
      <c r="H469" s="15"/>
      <c r="I469" s="15"/>
      <c r="J469" s="15"/>
      <c r="K469" s="89"/>
      <c r="L469" s="15"/>
      <c r="M469" s="89">
        <v>0</v>
      </c>
      <c r="N469" s="89">
        <v>0</v>
      </c>
      <c r="O469" s="89">
        <v>0</v>
      </c>
      <c r="P469" s="94">
        <v>0</v>
      </c>
      <c r="Q469" s="94">
        <v>0</v>
      </c>
      <c r="R469" s="94">
        <v>0</v>
      </c>
      <c r="S469" s="94">
        <v>0</v>
      </c>
      <c r="T469" s="89">
        <v>0</v>
      </c>
      <c r="U469" s="89">
        <v>0</v>
      </c>
      <c r="V469" s="94">
        <v>0</v>
      </c>
      <c r="W469" s="94">
        <v>0</v>
      </c>
      <c r="X469" s="94">
        <v>0</v>
      </c>
      <c r="Y469" s="89">
        <v>0</v>
      </c>
      <c r="Z469" s="94">
        <f t="shared" si="33"/>
        <v>0</v>
      </c>
      <c r="AA469" s="94">
        <f t="shared" si="34"/>
        <v>0</v>
      </c>
      <c r="AB469" s="89">
        <f t="shared" si="35"/>
        <v>0</v>
      </c>
      <c r="AC469" s="89">
        <f t="shared" si="36"/>
        <v>0</v>
      </c>
      <c r="AD469" s="89">
        <v>0</v>
      </c>
      <c r="AE469" s="89">
        <v>0</v>
      </c>
      <c r="AF469" s="117"/>
      <c r="AG469" s="117"/>
      <c r="AH469" s="262"/>
      <c r="AI469" s="17"/>
      <c r="AJ469" s="17"/>
      <c r="AK469" s="17"/>
      <c r="AL469" s="17"/>
      <c r="AM469" s="17"/>
      <c r="AN469" s="17"/>
      <c r="AO469" s="17"/>
      <c r="AP469" s="15" t="str">
        <f>IFERROR(VLOOKUP(AO469,Legend!$D$2:$E$26,2,0),"")</f>
        <v/>
      </c>
      <c r="AQ469" s="15"/>
      <c r="AR469" s="17"/>
      <c r="AS469" s="17"/>
      <c r="AT469" s="15"/>
      <c r="AU469" s="17"/>
      <c r="AV469" s="17"/>
      <c r="AW469" s="17" t="s">
        <v>10</v>
      </c>
      <c r="AX469" s="15"/>
      <c r="AY469" s="15"/>
    </row>
    <row r="470" spans="1:51" x14ac:dyDescent="0.25">
      <c r="A470" s="15"/>
      <c r="B470" s="15"/>
      <c r="C470" s="15"/>
      <c r="D470" s="15"/>
      <c r="E470" s="91"/>
      <c r="F470" s="15"/>
      <c r="G470" s="15"/>
      <c r="H470" s="15"/>
      <c r="I470" s="15"/>
      <c r="J470" s="15"/>
      <c r="K470" s="89"/>
      <c r="L470" s="15"/>
      <c r="M470" s="89">
        <v>0</v>
      </c>
      <c r="N470" s="89">
        <v>0</v>
      </c>
      <c r="O470" s="89">
        <v>0</v>
      </c>
      <c r="P470" s="94">
        <v>0</v>
      </c>
      <c r="Q470" s="94">
        <v>0</v>
      </c>
      <c r="R470" s="94">
        <v>0</v>
      </c>
      <c r="S470" s="94">
        <v>0</v>
      </c>
      <c r="T470" s="89">
        <v>0</v>
      </c>
      <c r="U470" s="89">
        <v>0</v>
      </c>
      <c r="V470" s="94">
        <v>0</v>
      </c>
      <c r="W470" s="94">
        <v>0</v>
      </c>
      <c r="X470" s="94">
        <v>0</v>
      </c>
      <c r="Y470" s="89">
        <v>0</v>
      </c>
      <c r="Z470" s="94">
        <f t="shared" si="33"/>
        <v>0</v>
      </c>
      <c r="AA470" s="94">
        <f t="shared" si="34"/>
        <v>0</v>
      </c>
      <c r="AB470" s="89">
        <f t="shared" si="35"/>
        <v>0</v>
      </c>
      <c r="AC470" s="89">
        <f t="shared" si="36"/>
        <v>0</v>
      </c>
      <c r="AD470" s="89">
        <v>0</v>
      </c>
      <c r="AE470" s="89">
        <v>0</v>
      </c>
      <c r="AF470" s="117"/>
      <c r="AG470" s="117"/>
      <c r="AH470" s="262"/>
      <c r="AI470" s="17"/>
      <c r="AJ470" s="17"/>
      <c r="AK470" s="17"/>
      <c r="AL470" s="17"/>
      <c r="AM470" s="17"/>
      <c r="AN470" s="17"/>
      <c r="AO470" s="17"/>
      <c r="AP470" s="15" t="str">
        <f>IFERROR(VLOOKUP(AO470,Legend!$D$2:$E$26,2,0),"")</f>
        <v/>
      </c>
      <c r="AQ470" s="15"/>
      <c r="AR470" s="17"/>
      <c r="AS470" s="17"/>
      <c r="AT470" s="15"/>
      <c r="AU470" s="17"/>
      <c r="AV470" s="17"/>
      <c r="AW470" s="17" t="s">
        <v>10</v>
      </c>
      <c r="AX470" s="15"/>
      <c r="AY470" s="15"/>
    </row>
    <row r="471" spans="1:51" x14ac:dyDescent="0.25">
      <c r="A471" s="15"/>
      <c r="B471" s="15"/>
      <c r="C471" s="15"/>
      <c r="D471" s="15"/>
      <c r="E471" s="91"/>
      <c r="F471" s="15"/>
      <c r="G471" s="15"/>
      <c r="H471" s="15"/>
      <c r="I471" s="15"/>
      <c r="J471" s="15"/>
      <c r="K471" s="89"/>
      <c r="L471" s="15"/>
      <c r="M471" s="89">
        <v>0</v>
      </c>
      <c r="N471" s="89">
        <v>0</v>
      </c>
      <c r="O471" s="89">
        <v>0</v>
      </c>
      <c r="P471" s="94">
        <v>0</v>
      </c>
      <c r="Q471" s="94">
        <v>0</v>
      </c>
      <c r="R471" s="94">
        <v>0</v>
      </c>
      <c r="S471" s="94">
        <v>0</v>
      </c>
      <c r="T471" s="89">
        <v>0</v>
      </c>
      <c r="U471" s="89">
        <v>0</v>
      </c>
      <c r="V471" s="94">
        <v>0</v>
      </c>
      <c r="W471" s="94">
        <v>0</v>
      </c>
      <c r="X471" s="94">
        <v>0</v>
      </c>
      <c r="Y471" s="89">
        <v>0</v>
      </c>
      <c r="Z471" s="94">
        <f t="shared" si="33"/>
        <v>0</v>
      </c>
      <c r="AA471" s="94">
        <f t="shared" si="34"/>
        <v>0</v>
      </c>
      <c r="AB471" s="89">
        <f t="shared" si="35"/>
        <v>0</v>
      </c>
      <c r="AC471" s="89">
        <f t="shared" si="36"/>
        <v>0</v>
      </c>
      <c r="AD471" s="89">
        <v>0</v>
      </c>
      <c r="AE471" s="89">
        <v>0</v>
      </c>
      <c r="AF471" s="117"/>
      <c r="AG471" s="117"/>
      <c r="AH471" s="262"/>
      <c r="AI471" s="17"/>
      <c r="AJ471" s="17"/>
      <c r="AK471" s="17"/>
      <c r="AL471" s="17"/>
      <c r="AM471" s="17"/>
      <c r="AN471" s="17"/>
      <c r="AO471" s="17"/>
      <c r="AP471" s="15" t="str">
        <f>IFERROR(VLOOKUP(AO471,Legend!$D$2:$E$26,2,0),"")</f>
        <v/>
      </c>
      <c r="AQ471" s="15"/>
      <c r="AR471" s="17"/>
      <c r="AS471" s="17"/>
      <c r="AT471" s="15"/>
      <c r="AU471" s="17"/>
      <c r="AV471" s="17"/>
      <c r="AW471" s="17" t="s">
        <v>10</v>
      </c>
      <c r="AX471" s="15"/>
      <c r="AY471" s="15"/>
    </row>
    <row r="472" spans="1:51" x14ac:dyDescent="0.25">
      <c r="A472" s="15"/>
      <c r="B472" s="15"/>
      <c r="C472" s="15"/>
      <c r="D472" s="15"/>
      <c r="E472" s="91"/>
      <c r="F472" s="15"/>
      <c r="G472" s="15"/>
      <c r="H472" s="15"/>
      <c r="I472" s="15"/>
      <c r="J472" s="15"/>
      <c r="K472" s="89"/>
      <c r="L472" s="15"/>
      <c r="M472" s="89">
        <v>0</v>
      </c>
      <c r="N472" s="89">
        <v>0</v>
      </c>
      <c r="O472" s="89">
        <v>0</v>
      </c>
      <c r="P472" s="94">
        <v>0</v>
      </c>
      <c r="Q472" s="94">
        <v>0</v>
      </c>
      <c r="R472" s="94">
        <v>0</v>
      </c>
      <c r="S472" s="94">
        <v>0</v>
      </c>
      <c r="T472" s="89">
        <v>0</v>
      </c>
      <c r="U472" s="89">
        <v>0</v>
      </c>
      <c r="V472" s="94">
        <v>0</v>
      </c>
      <c r="W472" s="94">
        <v>0</v>
      </c>
      <c r="X472" s="94">
        <v>0</v>
      </c>
      <c r="Y472" s="89">
        <v>0</v>
      </c>
      <c r="Z472" s="94">
        <f t="shared" si="33"/>
        <v>0</v>
      </c>
      <c r="AA472" s="94">
        <f t="shared" si="34"/>
        <v>0</v>
      </c>
      <c r="AB472" s="89">
        <f t="shared" si="35"/>
        <v>0</v>
      </c>
      <c r="AC472" s="89">
        <f t="shared" si="36"/>
        <v>0</v>
      </c>
      <c r="AD472" s="89">
        <v>0</v>
      </c>
      <c r="AE472" s="89">
        <v>0</v>
      </c>
      <c r="AF472" s="117"/>
      <c r="AG472" s="117"/>
      <c r="AH472" s="262"/>
      <c r="AI472" s="17"/>
      <c r="AJ472" s="17"/>
      <c r="AK472" s="17"/>
      <c r="AL472" s="17"/>
      <c r="AM472" s="17"/>
      <c r="AN472" s="17"/>
      <c r="AO472" s="17"/>
      <c r="AP472" s="15" t="str">
        <f>IFERROR(VLOOKUP(AO472,Legend!$D$2:$E$26,2,0),"")</f>
        <v/>
      </c>
      <c r="AQ472" s="15"/>
      <c r="AR472" s="17"/>
      <c r="AS472" s="17"/>
      <c r="AT472" s="15"/>
      <c r="AU472" s="17"/>
      <c r="AV472" s="17"/>
      <c r="AW472" s="17" t="s">
        <v>10</v>
      </c>
      <c r="AX472" s="15"/>
      <c r="AY472" s="15"/>
    </row>
    <row r="473" spans="1:51" x14ac:dyDescent="0.25">
      <c r="A473" s="15"/>
      <c r="B473" s="15"/>
      <c r="C473" s="15"/>
      <c r="D473" s="15"/>
      <c r="E473" s="91"/>
      <c r="F473" s="15"/>
      <c r="G473" s="15"/>
      <c r="H473" s="15"/>
      <c r="I473" s="15"/>
      <c r="J473" s="15"/>
      <c r="K473" s="89"/>
      <c r="L473" s="15"/>
      <c r="M473" s="89">
        <v>0</v>
      </c>
      <c r="N473" s="89">
        <v>0</v>
      </c>
      <c r="O473" s="89">
        <v>0</v>
      </c>
      <c r="P473" s="94">
        <v>0</v>
      </c>
      <c r="Q473" s="94">
        <v>0</v>
      </c>
      <c r="R473" s="94">
        <v>0</v>
      </c>
      <c r="S473" s="94">
        <v>0</v>
      </c>
      <c r="T473" s="89">
        <v>0</v>
      </c>
      <c r="U473" s="89">
        <v>0</v>
      </c>
      <c r="V473" s="94">
        <v>0</v>
      </c>
      <c r="W473" s="94">
        <v>0</v>
      </c>
      <c r="X473" s="94">
        <v>0</v>
      </c>
      <c r="Y473" s="89">
        <v>0</v>
      </c>
      <c r="Z473" s="94">
        <f t="shared" si="33"/>
        <v>0</v>
      </c>
      <c r="AA473" s="94">
        <f t="shared" si="34"/>
        <v>0</v>
      </c>
      <c r="AB473" s="89">
        <f t="shared" si="35"/>
        <v>0</v>
      </c>
      <c r="AC473" s="89">
        <f t="shared" si="36"/>
        <v>0</v>
      </c>
      <c r="AD473" s="89">
        <v>0</v>
      </c>
      <c r="AE473" s="89">
        <v>0</v>
      </c>
      <c r="AF473" s="117"/>
      <c r="AG473" s="117"/>
      <c r="AH473" s="262"/>
      <c r="AI473" s="17"/>
      <c r="AJ473" s="17"/>
      <c r="AK473" s="17"/>
      <c r="AL473" s="17"/>
      <c r="AM473" s="17"/>
      <c r="AN473" s="17"/>
      <c r="AO473" s="17"/>
      <c r="AP473" s="15" t="str">
        <f>IFERROR(VLOOKUP(AO473,Legend!$D$2:$E$26,2,0),"")</f>
        <v/>
      </c>
      <c r="AQ473" s="15"/>
      <c r="AR473" s="17"/>
      <c r="AS473" s="17"/>
      <c r="AT473" s="15"/>
      <c r="AU473" s="17"/>
      <c r="AV473" s="17"/>
      <c r="AW473" s="17" t="s">
        <v>10</v>
      </c>
      <c r="AX473" s="15"/>
      <c r="AY473" s="15"/>
    </row>
    <row r="474" spans="1:51" x14ac:dyDescent="0.25">
      <c r="A474" s="15"/>
      <c r="B474" s="15"/>
      <c r="C474" s="15"/>
      <c r="D474" s="15"/>
      <c r="E474" s="91"/>
      <c r="F474" s="15"/>
      <c r="G474" s="15"/>
      <c r="H474" s="15"/>
      <c r="I474" s="15"/>
      <c r="J474" s="15"/>
      <c r="K474" s="89"/>
      <c r="L474" s="15"/>
      <c r="M474" s="89">
        <v>0</v>
      </c>
      <c r="N474" s="89">
        <v>0</v>
      </c>
      <c r="O474" s="89">
        <v>0</v>
      </c>
      <c r="P474" s="94">
        <v>0</v>
      </c>
      <c r="Q474" s="94">
        <v>0</v>
      </c>
      <c r="R474" s="94">
        <v>0</v>
      </c>
      <c r="S474" s="94">
        <v>0</v>
      </c>
      <c r="T474" s="89">
        <v>0</v>
      </c>
      <c r="U474" s="89">
        <v>0</v>
      </c>
      <c r="V474" s="94">
        <v>0</v>
      </c>
      <c r="W474" s="94">
        <v>0</v>
      </c>
      <c r="X474" s="94">
        <v>0</v>
      </c>
      <c r="Y474" s="89">
        <v>0</v>
      </c>
      <c r="Z474" s="94">
        <f t="shared" si="33"/>
        <v>0</v>
      </c>
      <c r="AA474" s="94">
        <f t="shared" si="34"/>
        <v>0</v>
      </c>
      <c r="AB474" s="89">
        <f t="shared" si="35"/>
        <v>0</v>
      </c>
      <c r="AC474" s="89">
        <f t="shared" si="36"/>
        <v>0</v>
      </c>
      <c r="AD474" s="89">
        <v>0</v>
      </c>
      <c r="AE474" s="89">
        <v>0</v>
      </c>
      <c r="AF474" s="117"/>
      <c r="AG474" s="117"/>
      <c r="AH474" s="262"/>
      <c r="AI474" s="17"/>
      <c r="AJ474" s="17"/>
      <c r="AK474" s="17"/>
      <c r="AL474" s="17"/>
      <c r="AM474" s="17"/>
      <c r="AN474" s="17"/>
      <c r="AO474" s="17"/>
      <c r="AP474" s="15" t="str">
        <f>IFERROR(VLOOKUP(AO474,Legend!$D$2:$E$26,2,0),"")</f>
        <v/>
      </c>
      <c r="AQ474" s="15"/>
      <c r="AR474" s="17"/>
      <c r="AS474" s="17"/>
      <c r="AT474" s="15"/>
      <c r="AU474" s="17"/>
      <c r="AV474" s="17"/>
      <c r="AW474" s="17" t="s">
        <v>10</v>
      </c>
      <c r="AX474" s="15"/>
      <c r="AY474" s="15"/>
    </row>
    <row r="475" spans="1:51" x14ac:dyDescent="0.25">
      <c r="A475" s="15"/>
      <c r="B475" s="15"/>
      <c r="C475" s="15"/>
      <c r="D475" s="15"/>
      <c r="E475" s="91"/>
      <c r="F475" s="15"/>
      <c r="G475" s="15"/>
      <c r="H475" s="15"/>
      <c r="I475" s="15"/>
      <c r="J475" s="15"/>
      <c r="K475" s="89"/>
      <c r="L475" s="15"/>
      <c r="M475" s="89">
        <v>0</v>
      </c>
      <c r="N475" s="89">
        <v>0</v>
      </c>
      <c r="O475" s="89">
        <v>0</v>
      </c>
      <c r="P475" s="94">
        <v>0</v>
      </c>
      <c r="Q475" s="94">
        <v>0</v>
      </c>
      <c r="R475" s="94">
        <v>0</v>
      </c>
      <c r="S475" s="94">
        <v>0</v>
      </c>
      <c r="T475" s="89">
        <v>0</v>
      </c>
      <c r="U475" s="89">
        <v>0</v>
      </c>
      <c r="V475" s="94">
        <v>0</v>
      </c>
      <c r="W475" s="94">
        <v>0</v>
      </c>
      <c r="X475" s="94">
        <v>0</v>
      </c>
      <c r="Y475" s="89">
        <v>0</v>
      </c>
      <c r="Z475" s="94">
        <f t="shared" si="33"/>
        <v>0</v>
      </c>
      <c r="AA475" s="94">
        <f t="shared" si="34"/>
        <v>0</v>
      </c>
      <c r="AB475" s="89">
        <f t="shared" si="35"/>
        <v>0</v>
      </c>
      <c r="AC475" s="89">
        <f t="shared" si="36"/>
        <v>0</v>
      </c>
      <c r="AD475" s="89">
        <v>0</v>
      </c>
      <c r="AE475" s="89">
        <v>0</v>
      </c>
      <c r="AF475" s="117"/>
      <c r="AG475" s="117"/>
      <c r="AH475" s="262"/>
      <c r="AI475" s="17"/>
      <c r="AJ475" s="17"/>
      <c r="AK475" s="17"/>
      <c r="AL475" s="17"/>
      <c r="AM475" s="17"/>
      <c r="AN475" s="17"/>
      <c r="AO475" s="17"/>
      <c r="AP475" s="15" t="str">
        <f>IFERROR(VLOOKUP(AO475,Legend!$D$2:$E$26,2,0),"")</f>
        <v/>
      </c>
      <c r="AQ475" s="15"/>
      <c r="AR475" s="17"/>
      <c r="AS475" s="17"/>
      <c r="AT475" s="15"/>
      <c r="AU475" s="17"/>
      <c r="AV475" s="17"/>
      <c r="AW475" s="17" t="s">
        <v>10</v>
      </c>
      <c r="AX475" s="15"/>
      <c r="AY475" s="15"/>
    </row>
    <row r="476" spans="1:51" x14ac:dyDescent="0.25">
      <c r="A476" s="15"/>
      <c r="B476" s="15"/>
      <c r="C476" s="15"/>
      <c r="D476" s="15"/>
      <c r="E476" s="91"/>
      <c r="F476" s="15"/>
      <c r="G476" s="15"/>
      <c r="H476" s="15"/>
      <c r="I476" s="15"/>
      <c r="J476" s="15"/>
      <c r="K476" s="89"/>
      <c r="L476" s="15"/>
      <c r="M476" s="89">
        <v>0</v>
      </c>
      <c r="N476" s="89">
        <v>0</v>
      </c>
      <c r="O476" s="89">
        <v>0</v>
      </c>
      <c r="P476" s="94">
        <v>0</v>
      </c>
      <c r="Q476" s="94">
        <v>0</v>
      </c>
      <c r="R476" s="94">
        <v>0</v>
      </c>
      <c r="S476" s="94">
        <v>0</v>
      </c>
      <c r="T476" s="89">
        <v>0</v>
      </c>
      <c r="U476" s="89">
        <v>0</v>
      </c>
      <c r="V476" s="94">
        <v>0</v>
      </c>
      <c r="W476" s="94">
        <v>0</v>
      </c>
      <c r="X476" s="94">
        <v>0</v>
      </c>
      <c r="Y476" s="89">
        <v>0</v>
      </c>
      <c r="Z476" s="94">
        <f t="shared" si="33"/>
        <v>0</v>
      </c>
      <c r="AA476" s="94">
        <f t="shared" si="34"/>
        <v>0</v>
      </c>
      <c r="AB476" s="89">
        <f t="shared" si="35"/>
        <v>0</v>
      </c>
      <c r="AC476" s="89">
        <f t="shared" si="36"/>
        <v>0</v>
      </c>
      <c r="AD476" s="89">
        <v>0</v>
      </c>
      <c r="AE476" s="89">
        <v>0</v>
      </c>
      <c r="AF476" s="117"/>
      <c r="AG476" s="117"/>
      <c r="AH476" s="262"/>
      <c r="AI476" s="17"/>
      <c r="AJ476" s="17"/>
      <c r="AK476" s="17"/>
      <c r="AL476" s="17"/>
      <c r="AM476" s="17"/>
      <c r="AN476" s="17"/>
      <c r="AO476" s="17"/>
      <c r="AP476" s="15" t="str">
        <f>IFERROR(VLOOKUP(AO476,Legend!$D$2:$E$26,2,0),"")</f>
        <v/>
      </c>
      <c r="AQ476" s="15"/>
      <c r="AR476" s="17"/>
      <c r="AS476" s="17"/>
      <c r="AT476" s="15"/>
      <c r="AU476" s="17"/>
      <c r="AV476" s="17"/>
      <c r="AW476" s="17" t="s">
        <v>10</v>
      </c>
      <c r="AX476" s="15"/>
      <c r="AY476" s="15"/>
    </row>
    <row r="477" spans="1:51" x14ac:dyDescent="0.25">
      <c r="A477" s="15"/>
      <c r="B477" s="15"/>
      <c r="C477" s="15"/>
      <c r="D477" s="15"/>
      <c r="E477" s="91"/>
      <c r="F477" s="15"/>
      <c r="G477" s="15"/>
      <c r="H477" s="15"/>
      <c r="I477" s="15"/>
      <c r="J477" s="15"/>
      <c r="K477" s="89"/>
      <c r="L477" s="15"/>
      <c r="M477" s="89">
        <v>0</v>
      </c>
      <c r="N477" s="89">
        <v>0</v>
      </c>
      <c r="O477" s="89">
        <v>0</v>
      </c>
      <c r="P477" s="94">
        <v>0</v>
      </c>
      <c r="Q477" s="94">
        <v>0</v>
      </c>
      <c r="R477" s="94">
        <v>0</v>
      </c>
      <c r="S477" s="94">
        <v>0</v>
      </c>
      <c r="T477" s="89">
        <v>0</v>
      </c>
      <c r="U477" s="89">
        <v>0</v>
      </c>
      <c r="V477" s="94">
        <v>0</v>
      </c>
      <c r="W477" s="94">
        <v>0</v>
      </c>
      <c r="X477" s="94">
        <v>0</v>
      </c>
      <c r="Y477" s="89">
        <v>0</v>
      </c>
      <c r="Z477" s="94">
        <f t="shared" si="33"/>
        <v>0</v>
      </c>
      <c r="AA477" s="94">
        <f t="shared" si="34"/>
        <v>0</v>
      </c>
      <c r="AB477" s="89">
        <f t="shared" si="35"/>
        <v>0</v>
      </c>
      <c r="AC477" s="89">
        <f t="shared" si="36"/>
        <v>0</v>
      </c>
      <c r="AD477" s="89">
        <v>0</v>
      </c>
      <c r="AE477" s="89">
        <v>0</v>
      </c>
      <c r="AF477" s="117"/>
      <c r="AG477" s="117"/>
      <c r="AH477" s="262"/>
      <c r="AI477" s="17"/>
      <c r="AJ477" s="17"/>
      <c r="AK477" s="17"/>
      <c r="AL477" s="17"/>
      <c r="AM477" s="17"/>
      <c r="AN477" s="17"/>
      <c r="AO477" s="17"/>
      <c r="AP477" s="15" t="str">
        <f>IFERROR(VLOOKUP(AO477,Legend!$D$2:$E$26,2,0),"")</f>
        <v/>
      </c>
      <c r="AQ477" s="15"/>
      <c r="AR477" s="17"/>
      <c r="AS477" s="17"/>
      <c r="AT477" s="15"/>
      <c r="AU477" s="17"/>
      <c r="AV477" s="17"/>
      <c r="AW477" s="17" t="s">
        <v>10</v>
      </c>
      <c r="AX477" s="15"/>
      <c r="AY477" s="15"/>
    </row>
    <row r="478" spans="1:51" x14ac:dyDescent="0.25">
      <c r="A478" s="15"/>
      <c r="B478" s="15"/>
      <c r="C478" s="15"/>
      <c r="D478" s="15"/>
      <c r="E478" s="91"/>
      <c r="F478" s="15"/>
      <c r="G478" s="15"/>
      <c r="H478" s="15"/>
      <c r="I478" s="15"/>
      <c r="J478" s="15"/>
      <c r="K478" s="89"/>
      <c r="L478" s="15"/>
      <c r="M478" s="89">
        <v>0</v>
      </c>
      <c r="N478" s="89">
        <v>0</v>
      </c>
      <c r="O478" s="89">
        <v>0</v>
      </c>
      <c r="P478" s="94">
        <v>0</v>
      </c>
      <c r="Q478" s="94">
        <v>0</v>
      </c>
      <c r="R478" s="94">
        <v>0</v>
      </c>
      <c r="S478" s="94">
        <v>0</v>
      </c>
      <c r="T478" s="89">
        <v>0</v>
      </c>
      <c r="U478" s="89">
        <v>0</v>
      </c>
      <c r="V478" s="94">
        <v>0</v>
      </c>
      <c r="W478" s="94">
        <v>0</v>
      </c>
      <c r="X478" s="94">
        <v>0</v>
      </c>
      <c r="Y478" s="89">
        <v>0</v>
      </c>
      <c r="Z478" s="94">
        <f t="shared" si="33"/>
        <v>0</v>
      </c>
      <c r="AA478" s="94">
        <f t="shared" si="34"/>
        <v>0</v>
      </c>
      <c r="AB478" s="89">
        <f t="shared" si="35"/>
        <v>0</v>
      </c>
      <c r="AC478" s="89">
        <f t="shared" si="36"/>
        <v>0</v>
      </c>
      <c r="AD478" s="89">
        <v>0</v>
      </c>
      <c r="AE478" s="89">
        <v>0</v>
      </c>
      <c r="AF478" s="117"/>
      <c r="AG478" s="117"/>
      <c r="AH478" s="262"/>
      <c r="AI478" s="17"/>
      <c r="AJ478" s="17"/>
      <c r="AK478" s="17"/>
      <c r="AL478" s="17"/>
      <c r="AM478" s="17"/>
      <c r="AN478" s="17"/>
      <c r="AO478" s="17"/>
      <c r="AP478" s="15" t="str">
        <f>IFERROR(VLOOKUP(AO478,Legend!$D$2:$E$26,2,0),"")</f>
        <v/>
      </c>
      <c r="AQ478" s="15"/>
      <c r="AR478" s="17"/>
      <c r="AS478" s="17"/>
      <c r="AT478" s="15"/>
      <c r="AU478" s="17"/>
      <c r="AV478" s="17"/>
      <c r="AW478" s="17" t="s">
        <v>10</v>
      </c>
      <c r="AX478" s="15"/>
      <c r="AY478" s="15"/>
    </row>
    <row r="479" spans="1:51" x14ac:dyDescent="0.25">
      <c r="A479" s="15"/>
      <c r="B479" s="15"/>
      <c r="C479" s="15"/>
      <c r="D479" s="15"/>
      <c r="E479" s="91"/>
      <c r="F479" s="15"/>
      <c r="G479" s="15"/>
      <c r="H479" s="15"/>
      <c r="I479" s="15"/>
      <c r="J479" s="15"/>
      <c r="K479" s="89"/>
      <c r="L479" s="15"/>
      <c r="M479" s="89">
        <v>0</v>
      </c>
      <c r="N479" s="89">
        <v>0</v>
      </c>
      <c r="O479" s="89">
        <v>0</v>
      </c>
      <c r="P479" s="94">
        <v>0</v>
      </c>
      <c r="Q479" s="94">
        <v>0</v>
      </c>
      <c r="R479" s="94">
        <v>0</v>
      </c>
      <c r="S479" s="94">
        <v>0</v>
      </c>
      <c r="T479" s="89">
        <v>0</v>
      </c>
      <c r="U479" s="89">
        <v>0</v>
      </c>
      <c r="V479" s="94">
        <v>0</v>
      </c>
      <c r="W479" s="94">
        <v>0</v>
      </c>
      <c r="X479" s="94">
        <v>0</v>
      </c>
      <c r="Y479" s="89">
        <v>0</v>
      </c>
      <c r="Z479" s="94">
        <f t="shared" si="33"/>
        <v>0</v>
      </c>
      <c r="AA479" s="94">
        <f t="shared" si="34"/>
        <v>0</v>
      </c>
      <c r="AB479" s="89">
        <f t="shared" si="35"/>
        <v>0</v>
      </c>
      <c r="AC479" s="89">
        <f t="shared" si="36"/>
        <v>0</v>
      </c>
      <c r="AD479" s="89">
        <v>0</v>
      </c>
      <c r="AE479" s="89">
        <v>0</v>
      </c>
      <c r="AF479" s="117"/>
      <c r="AG479" s="117"/>
      <c r="AH479" s="262"/>
      <c r="AI479" s="17"/>
      <c r="AJ479" s="17"/>
      <c r="AK479" s="17"/>
      <c r="AL479" s="17"/>
      <c r="AM479" s="17"/>
      <c r="AN479" s="17"/>
      <c r="AO479" s="17"/>
      <c r="AP479" s="15" t="str">
        <f>IFERROR(VLOOKUP(AO479,Legend!$D$2:$E$26,2,0),"")</f>
        <v/>
      </c>
      <c r="AQ479" s="15"/>
      <c r="AR479" s="17"/>
      <c r="AS479" s="17"/>
      <c r="AT479" s="15"/>
      <c r="AU479" s="17"/>
      <c r="AV479" s="17"/>
      <c r="AW479" s="17" t="s">
        <v>10</v>
      </c>
      <c r="AX479" s="15"/>
      <c r="AY479" s="15"/>
    </row>
    <row r="480" spans="1:51" x14ac:dyDescent="0.25">
      <c r="A480" s="15"/>
      <c r="B480" s="15"/>
      <c r="C480" s="15"/>
      <c r="D480" s="15"/>
      <c r="E480" s="91"/>
      <c r="F480" s="15"/>
      <c r="G480" s="15"/>
      <c r="H480" s="15"/>
      <c r="I480" s="15"/>
      <c r="J480" s="15"/>
      <c r="K480" s="89"/>
      <c r="L480" s="15"/>
      <c r="M480" s="89">
        <v>0</v>
      </c>
      <c r="N480" s="89">
        <v>0</v>
      </c>
      <c r="O480" s="89">
        <v>0</v>
      </c>
      <c r="P480" s="94">
        <v>0</v>
      </c>
      <c r="Q480" s="94">
        <v>0</v>
      </c>
      <c r="R480" s="94">
        <v>0</v>
      </c>
      <c r="S480" s="94">
        <v>0</v>
      </c>
      <c r="T480" s="89">
        <v>0</v>
      </c>
      <c r="U480" s="89">
        <v>0</v>
      </c>
      <c r="V480" s="94">
        <v>0</v>
      </c>
      <c r="W480" s="94">
        <v>0</v>
      </c>
      <c r="X480" s="94">
        <v>0</v>
      </c>
      <c r="Y480" s="89">
        <v>0</v>
      </c>
      <c r="Z480" s="94">
        <f t="shared" si="33"/>
        <v>0</v>
      </c>
      <c r="AA480" s="94">
        <f t="shared" si="34"/>
        <v>0</v>
      </c>
      <c r="AB480" s="89">
        <f t="shared" si="35"/>
        <v>0</v>
      </c>
      <c r="AC480" s="89">
        <f t="shared" si="36"/>
        <v>0</v>
      </c>
      <c r="AD480" s="89">
        <v>0</v>
      </c>
      <c r="AE480" s="89">
        <v>0</v>
      </c>
      <c r="AF480" s="117"/>
      <c r="AG480" s="117"/>
      <c r="AH480" s="262"/>
      <c r="AI480" s="17"/>
      <c r="AJ480" s="17"/>
      <c r="AK480" s="17"/>
      <c r="AL480" s="17"/>
      <c r="AM480" s="17"/>
      <c r="AN480" s="17"/>
      <c r="AO480" s="17"/>
      <c r="AP480" s="15" t="str">
        <f>IFERROR(VLOOKUP(AO480,Legend!$D$2:$E$26,2,0),"")</f>
        <v/>
      </c>
      <c r="AQ480" s="15"/>
      <c r="AR480" s="17"/>
      <c r="AS480" s="17"/>
      <c r="AT480" s="15"/>
      <c r="AU480" s="17"/>
      <c r="AV480" s="17"/>
      <c r="AW480" s="17" t="s">
        <v>10</v>
      </c>
      <c r="AX480" s="15"/>
      <c r="AY480" s="15"/>
    </row>
    <row r="481" spans="1:51" x14ac:dyDescent="0.25">
      <c r="A481" s="15"/>
      <c r="B481" s="15"/>
      <c r="C481" s="15"/>
      <c r="D481" s="15"/>
      <c r="E481" s="91"/>
      <c r="F481" s="15"/>
      <c r="G481" s="15"/>
      <c r="H481" s="15"/>
      <c r="I481" s="15"/>
      <c r="J481" s="15"/>
      <c r="K481" s="89"/>
      <c r="L481" s="15"/>
      <c r="M481" s="89">
        <v>0</v>
      </c>
      <c r="N481" s="89">
        <v>0</v>
      </c>
      <c r="O481" s="89">
        <v>0</v>
      </c>
      <c r="P481" s="94">
        <v>0</v>
      </c>
      <c r="Q481" s="94">
        <v>0</v>
      </c>
      <c r="R481" s="94">
        <v>0</v>
      </c>
      <c r="S481" s="94">
        <v>0</v>
      </c>
      <c r="T481" s="89">
        <v>0</v>
      </c>
      <c r="U481" s="89">
        <v>0</v>
      </c>
      <c r="V481" s="94">
        <v>0</v>
      </c>
      <c r="W481" s="94">
        <v>0</v>
      </c>
      <c r="X481" s="94">
        <v>0</v>
      </c>
      <c r="Y481" s="89">
        <v>0</v>
      </c>
      <c r="Z481" s="94">
        <f t="shared" si="33"/>
        <v>0</v>
      </c>
      <c r="AA481" s="94">
        <f t="shared" si="34"/>
        <v>0</v>
      </c>
      <c r="AB481" s="89">
        <f t="shared" si="35"/>
        <v>0</v>
      </c>
      <c r="AC481" s="89">
        <f t="shared" si="36"/>
        <v>0</v>
      </c>
      <c r="AD481" s="89">
        <v>0</v>
      </c>
      <c r="AE481" s="89">
        <v>0</v>
      </c>
      <c r="AF481" s="117"/>
      <c r="AG481" s="117"/>
      <c r="AH481" s="262"/>
      <c r="AI481" s="17"/>
      <c r="AJ481" s="17"/>
      <c r="AK481" s="17"/>
      <c r="AL481" s="17"/>
      <c r="AM481" s="17"/>
      <c r="AN481" s="17"/>
      <c r="AO481" s="17"/>
      <c r="AP481" s="15" t="str">
        <f>IFERROR(VLOOKUP(AO481,Legend!$D$2:$E$26,2,0),"")</f>
        <v/>
      </c>
      <c r="AQ481" s="15"/>
      <c r="AR481" s="17"/>
      <c r="AS481" s="17"/>
      <c r="AT481" s="15"/>
      <c r="AU481" s="17"/>
      <c r="AV481" s="17"/>
      <c r="AW481" s="17" t="s">
        <v>10</v>
      </c>
      <c r="AX481" s="15"/>
      <c r="AY481" s="15"/>
    </row>
    <row r="482" spans="1:51" x14ac:dyDescent="0.25">
      <c r="A482" s="15"/>
      <c r="B482" s="15"/>
      <c r="C482" s="15"/>
      <c r="D482" s="15"/>
      <c r="E482" s="91"/>
      <c r="F482" s="15"/>
      <c r="G482" s="15"/>
      <c r="H482" s="15"/>
      <c r="I482" s="15"/>
      <c r="J482" s="15"/>
      <c r="K482" s="89"/>
      <c r="L482" s="15"/>
      <c r="M482" s="89">
        <v>0</v>
      </c>
      <c r="N482" s="89">
        <v>0</v>
      </c>
      <c r="O482" s="89">
        <v>0</v>
      </c>
      <c r="P482" s="94">
        <v>0</v>
      </c>
      <c r="Q482" s="94">
        <v>0</v>
      </c>
      <c r="R482" s="94">
        <v>0</v>
      </c>
      <c r="S482" s="94">
        <v>0</v>
      </c>
      <c r="T482" s="89">
        <v>0</v>
      </c>
      <c r="U482" s="89">
        <v>0</v>
      </c>
      <c r="V482" s="94">
        <v>0</v>
      </c>
      <c r="W482" s="94">
        <v>0</v>
      </c>
      <c r="X482" s="94">
        <v>0</v>
      </c>
      <c r="Y482" s="89">
        <v>0</v>
      </c>
      <c r="Z482" s="94">
        <f t="shared" si="33"/>
        <v>0</v>
      </c>
      <c r="AA482" s="94">
        <f t="shared" si="34"/>
        <v>0</v>
      </c>
      <c r="AB482" s="89">
        <f t="shared" si="35"/>
        <v>0</v>
      </c>
      <c r="AC482" s="89">
        <f t="shared" si="36"/>
        <v>0</v>
      </c>
      <c r="AD482" s="89">
        <v>0</v>
      </c>
      <c r="AE482" s="89">
        <v>0</v>
      </c>
      <c r="AF482" s="117"/>
      <c r="AG482" s="117"/>
      <c r="AH482" s="262"/>
      <c r="AI482" s="17"/>
      <c r="AJ482" s="17"/>
      <c r="AK482" s="17"/>
      <c r="AL482" s="17"/>
      <c r="AM482" s="17"/>
      <c r="AN482" s="17"/>
      <c r="AO482" s="17"/>
      <c r="AP482" s="15" t="str">
        <f>IFERROR(VLOOKUP(AO482,Legend!$D$2:$E$26,2,0),"")</f>
        <v/>
      </c>
      <c r="AQ482" s="15"/>
      <c r="AR482" s="17"/>
      <c r="AS482" s="17"/>
      <c r="AT482" s="15"/>
      <c r="AU482" s="17"/>
      <c r="AV482" s="17"/>
      <c r="AW482" s="17" t="s">
        <v>10</v>
      </c>
      <c r="AX482" s="15"/>
      <c r="AY482" s="15"/>
    </row>
    <row r="483" spans="1:51" x14ac:dyDescent="0.25">
      <c r="A483" s="15"/>
      <c r="B483" s="15"/>
      <c r="C483" s="15"/>
      <c r="D483" s="15"/>
      <c r="E483" s="91"/>
      <c r="F483" s="15"/>
      <c r="G483" s="15"/>
      <c r="H483" s="15"/>
      <c r="I483" s="15"/>
      <c r="J483" s="15"/>
      <c r="K483" s="89"/>
      <c r="L483" s="15"/>
      <c r="M483" s="89">
        <v>0</v>
      </c>
      <c r="N483" s="89">
        <v>0</v>
      </c>
      <c r="O483" s="89">
        <v>0</v>
      </c>
      <c r="P483" s="94">
        <v>0</v>
      </c>
      <c r="Q483" s="94">
        <v>0</v>
      </c>
      <c r="R483" s="94">
        <v>0</v>
      </c>
      <c r="S483" s="94">
        <v>0</v>
      </c>
      <c r="T483" s="89">
        <v>0</v>
      </c>
      <c r="U483" s="89">
        <v>0</v>
      </c>
      <c r="V483" s="94">
        <v>0</v>
      </c>
      <c r="W483" s="94">
        <v>0</v>
      </c>
      <c r="X483" s="94">
        <v>0</v>
      </c>
      <c r="Y483" s="89">
        <v>0</v>
      </c>
      <c r="Z483" s="94">
        <f t="shared" si="33"/>
        <v>0</v>
      </c>
      <c r="AA483" s="94">
        <f t="shared" si="34"/>
        <v>0</v>
      </c>
      <c r="AB483" s="89">
        <f t="shared" si="35"/>
        <v>0</v>
      </c>
      <c r="AC483" s="89">
        <f t="shared" si="36"/>
        <v>0</v>
      </c>
      <c r="AD483" s="89">
        <v>0</v>
      </c>
      <c r="AE483" s="89">
        <v>0</v>
      </c>
      <c r="AF483" s="117"/>
      <c r="AG483" s="117"/>
      <c r="AH483" s="262"/>
      <c r="AI483" s="17"/>
      <c r="AJ483" s="17"/>
      <c r="AK483" s="17"/>
      <c r="AL483" s="17"/>
      <c r="AM483" s="17"/>
      <c r="AN483" s="17"/>
      <c r="AO483" s="17"/>
      <c r="AP483" s="15" t="str">
        <f>IFERROR(VLOOKUP(AO483,Legend!$D$2:$E$26,2,0),"")</f>
        <v/>
      </c>
      <c r="AQ483" s="15"/>
      <c r="AR483" s="17"/>
      <c r="AS483" s="17"/>
      <c r="AT483" s="15"/>
      <c r="AU483" s="17"/>
      <c r="AV483" s="17"/>
      <c r="AW483" s="17" t="s">
        <v>10</v>
      </c>
      <c r="AX483" s="15"/>
      <c r="AY483" s="15"/>
    </row>
    <row r="484" spans="1:51" x14ac:dyDescent="0.25">
      <c r="A484" s="15"/>
      <c r="B484" s="15"/>
      <c r="C484" s="15"/>
      <c r="D484" s="15"/>
      <c r="E484" s="91"/>
      <c r="F484" s="15"/>
      <c r="G484" s="15"/>
      <c r="H484" s="15"/>
      <c r="I484" s="15"/>
      <c r="J484" s="15"/>
      <c r="K484" s="89"/>
      <c r="L484" s="15"/>
      <c r="M484" s="89">
        <v>0</v>
      </c>
      <c r="N484" s="89">
        <v>0</v>
      </c>
      <c r="O484" s="89">
        <v>0</v>
      </c>
      <c r="P484" s="94">
        <v>0</v>
      </c>
      <c r="Q484" s="94">
        <v>0</v>
      </c>
      <c r="R484" s="94">
        <v>0</v>
      </c>
      <c r="S484" s="94">
        <v>0</v>
      </c>
      <c r="T484" s="89">
        <v>0</v>
      </c>
      <c r="U484" s="89">
        <v>0</v>
      </c>
      <c r="V484" s="94">
        <v>0</v>
      </c>
      <c r="W484" s="94">
        <v>0</v>
      </c>
      <c r="X484" s="94">
        <v>0</v>
      </c>
      <c r="Y484" s="89">
        <v>0</v>
      </c>
      <c r="Z484" s="94">
        <f t="shared" si="33"/>
        <v>0</v>
      </c>
      <c r="AA484" s="94">
        <f t="shared" si="34"/>
        <v>0</v>
      </c>
      <c r="AB484" s="89">
        <f t="shared" si="35"/>
        <v>0</v>
      </c>
      <c r="AC484" s="89">
        <f t="shared" si="36"/>
        <v>0</v>
      </c>
      <c r="AD484" s="89">
        <v>0</v>
      </c>
      <c r="AE484" s="89">
        <v>0</v>
      </c>
      <c r="AF484" s="117"/>
      <c r="AG484" s="117"/>
      <c r="AH484" s="262"/>
      <c r="AI484" s="17"/>
      <c r="AJ484" s="17"/>
      <c r="AK484" s="17"/>
      <c r="AL484" s="17"/>
      <c r="AM484" s="17"/>
      <c r="AN484" s="17"/>
      <c r="AO484" s="17"/>
      <c r="AP484" s="15" t="str">
        <f>IFERROR(VLOOKUP(AO484,Legend!$D$2:$E$26,2,0),"")</f>
        <v/>
      </c>
      <c r="AQ484" s="15"/>
      <c r="AR484" s="17"/>
      <c r="AS484" s="17"/>
      <c r="AT484" s="15"/>
      <c r="AU484" s="17"/>
      <c r="AV484" s="17"/>
      <c r="AW484" s="17" t="s">
        <v>10</v>
      </c>
      <c r="AX484" s="15"/>
      <c r="AY484" s="15"/>
    </row>
    <row r="485" spans="1:51" x14ac:dyDescent="0.25">
      <c r="A485" s="15"/>
      <c r="B485" s="15"/>
      <c r="C485" s="15"/>
      <c r="D485" s="15"/>
      <c r="E485" s="91"/>
      <c r="F485" s="15"/>
      <c r="G485" s="15"/>
      <c r="H485" s="15"/>
      <c r="I485" s="15"/>
      <c r="J485" s="15"/>
      <c r="K485" s="89"/>
      <c r="L485" s="15"/>
      <c r="M485" s="89">
        <v>0</v>
      </c>
      <c r="N485" s="89">
        <v>0</v>
      </c>
      <c r="O485" s="89">
        <v>0</v>
      </c>
      <c r="P485" s="94">
        <v>0</v>
      </c>
      <c r="Q485" s="94">
        <v>0</v>
      </c>
      <c r="R485" s="94">
        <v>0</v>
      </c>
      <c r="S485" s="94">
        <v>0</v>
      </c>
      <c r="T485" s="89">
        <v>0</v>
      </c>
      <c r="U485" s="89">
        <v>0</v>
      </c>
      <c r="V485" s="94">
        <v>0</v>
      </c>
      <c r="W485" s="94">
        <v>0</v>
      </c>
      <c r="X485" s="94">
        <v>0</v>
      </c>
      <c r="Y485" s="89">
        <v>0</v>
      </c>
      <c r="Z485" s="94">
        <f t="shared" si="33"/>
        <v>0</v>
      </c>
      <c r="AA485" s="94">
        <f t="shared" si="34"/>
        <v>0</v>
      </c>
      <c r="AB485" s="89">
        <f t="shared" si="35"/>
        <v>0</v>
      </c>
      <c r="AC485" s="89">
        <f t="shared" si="36"/>
        <v>0</v>
      </c>
      <c r="AD485" s="89">
        <v>0</v>
      </c>
      <c r="AE485" s="89">
        <v>0</v>
      </c>
      <c r="AF485" s="117"/>
      <c r="AG485" s="117"/>
      <c r="AH485" s="262"/>
      <c r="AI485" s="17"/>
      <c r="AJ485" s="17"/>
      <c r="AK485" s="17"/>
      <c r="AL485" s="17"/>
      <c r="AM485" s="17"/>
      <c r="AN485" s="17"/>
      <c r="AO485" s="17"/>
      <c r="AP485" s="15" t="str">
        <f>IFERROR(VLOOKUP(AO485,Legend!$D$2:$E$26,2,0),"")</f>
        <v/>
      </c>
      <c r="AQ485" s="15"/>
      <c r="AR485" s="17"/>
      <c r="AS485" s="17"/>
      <c r="AT485" s="15"/>
      <c r="AU485" s="17"/>
      <c r="AV485" s="17"/>
      <c r="AW485" s="17" t="s">
        <v>10</v>
      </c>
      <c r="AX485" s="15"/>
      <c r="AY485" s="15"/>
    </row>
    <row r="486" spans="1:51" x14ac:dyDescent="0.25">
      <c r="A486" s="15"/>
      <c r="B486" s="15"/>
      <c r="C486" s="15"/>
      <c r="D486" s="15"/>
      <c r="E486" s="91"/>
      <c r="F486" s="15"/>
      <c r="G486" s="15"/>
      <c r="H486" s="15"/>
      <c r="I486" s="15"/>
      <c r="J486" s="15"/>
      <c r="K486" s="89"/>
      <c r="L486" s="15"/>
      <c r="M486" s="89">
        <v>0</v>
      </c>
      <c r="N486" s="89">
        <v>0</v>
      </c>
      <c r="O486" s="89">
        <v>0</v>
      </c>
      <c r="P486" s="94">
        <v>0</v>
      </c>
      <c r="Q486" s="94">
        <v>0</v>
      </c>
      <c r="R486" s="94">
        <v>0</v>
      </c>
      <c r="S486" s="94">
        <v>0</v>
      </c>
      <c r="T486" s="89">
        <v>0</v>
      </c>
      <c r="U486" s="89">
        <v>0</v>
      </c>
      <c r="V486" s="94">
        <v>0</v>
      </c>
      <c r="W486" s="94">
        <v>0</v>
      </c>
      <c r="X486" s="94">
        <v>0</v>
      </c>
      <c r="Y486" s="89">
        <v>0</v>
      </c>
      <c r="Z486" s="94">
        <f t="shared" si="33"/>
        <v>0</v>
      </c>
      <c r="AA486" s="94">
        <f t="shared" si="34"/>
        <v>0</v>
      </c>
      <c r="AB486" s="89">
        <f t="shared" si="35"/>
        <v>0</v>
      </c>
      <c r="AC486" s="89">
        <f t="shared" si="36"/>
        <v>0</v>
      </c>
      <c r="AD486" s="89">
        <v>0</v>
      </c>
      <c r="AE486" s="89">
        <v>0</v>
      </c>
      <c r="AF486" s="117"/>
      <c r="AG486" s="117"/>
      <c r="AH486" s="262"/>
      <c r="AI486" s="17"/>
      <c r="AJ486" s="17"/>
      <c r="AK486" s="17"/>
      <c r="AL486" s="17"/>
      <c r="AM486" s="17"/>
      <c r="AN486" s="17"/>
      <c r="AO486" s="17"/>
      <c r="AP486" s="15" t="str">
        <f>IFERROR(VLOOKUP(AO486,Legend!$D$2:$E$26,2,0),"")</f>
        <v/>
      </c>
      <c r="AQ486" s="15"/>
      <c r="AR486" s="17"/>
      <c r="AS486" s="17"/>
      <c r="AT486" s="15"/>
      <c r="AU486" s="17"/>
      <c r="AV486" s="17"/>
      <c r="AW486" s="17" t="s">
        <v>10</v>
      </c>
      <c r="AX486" s="15"/>
      <c r="AY486" s="15"/>
    </row>
    <row r="487" spans="1:51" x14ac:dyDescent="0.25">
      <c r="A487" s="15"/>
      <c r="B487" s="15"/>
      <c r="C487" s="15"/>
      <c r="D487" s="15"/>
      <c r="E487" s="91"/>
      <c r="F487" s="15"/>
      <c r="G487" s="15"/>
      <c r="H487" s="15"/>
      <c r="I487" s="15"/>
      <c r="J487" s="15"/>
      <c r="K487" s="89"/>
      <c r="L487" s="15"/>
      <c r="M487" s="89">
        <v>0</v>
      </c>
      <c r="N487" s="89">
        <v>0</v>
      </c>
      <c r="O487" s="89">
        <v>0</v>
      </c>
      <c r="P487" s="94">
        <v>0</v>
      </c>
      <c r="Q487" s="94">
        <v>0</v>
      </c>
      <c r="R487" s="94">
        <v>0</v>
      </c>
      <c r="S487" s="94">
        <v>0</v>
      </c>
      <c r="T487" s="89">
        <v>0</v>
      </c>
      <c r="U487" s="89">
        <v>0</v>
      </c>
      <c r="V487" s="94">
        <v>0</v>
      </c>
      <c r="W487" s="94">
        <v>0</v>
      </c>
      <c r="X487" s="94">
        <v>0</v>
      </c>
      <c r="Y487" s="89">
        <v>0</v>
      </c>
      <c r="Z487" s="94">
        <f t="shared" si="33"/>
        <v>0</v>
      </c>
      <c r="AA487" s="94">
        <f t="shared" si="34"/>
        <v>0</v>
      </c>
      <c r="AB487" s="89">
        <f t="shared" si="35"/>
        <v>0</v>
      </c>
      <c r="AC487" s="89">
        <f t="shared" si="36"/>
        <v>0</v>
      </c>
      <c r="AD487" s="89">
        <v>0</v>
      </c>
      <c r="AE487" s="89">
        <v>0</v>
      </c>
      <c r="AF487" s="117"/>
      <c r="AG487" s="117"/>
      <c r="AH487" s="262"/>
      <c r="AI487" s="17"/>
      <c r="AJ487" s="17"/>
      <c r="AK487" s="17"/>
      <c r="AL487" s="17"/>
      <c r="AM487" s="17"/>
      <c r="AN487" s="17"/>
      <c r="AO487" s="17"/>
      <c r="AP487" s="15" t="str">
        <f>IFERROR(VLOOKUP(AO487,Legend!$D$2:$E$26,2,0),"")</f>
        <v/>
      </c>
      <c r="AQ487" s="15"/>
      <c r="AR487" s="17"/>
      <c r="AS487" s="17"/>
      <c r="AT487" s="15"/>
      <c r="AU487" s="17"/>
      <c r="AV487" s="17"/>
      <c r="AW487" s="17" t="s">
        <v>10</v>
      </c>
      <c r="AX487" s="15"/>
      <c r="AY487" s="15"/>
    </row>
    <row r="488" spans="1:51" x14ac:dyDescent="0.25">
      <c r="A488" s="15"/>
      <c r="B488" s="15"/>
      <c r="C488" s="15"/>
      <c r="D488" s="15"/>
      <c r="E488" s="91"/>
      <c r="F488" s="15"/>
      <c r="G488" s="15"/>
      <c r="H488" s="15"/>
      <c r="I488" s="15"/>
      <c r="J488" s="15"/>
      <c r="K488" s="89"/>
      <c r="L488" s="15"/>
      <c r="M488" s="89">
        <v>0</v>
      </c>
      <c r="N488" s="89">
        <v>0</v>
      </c>
      <c r="O488" s="89">
        <v>0</v>
      </c>
      <c r="P488" s="94">
        <v>0</v>
      </c>
      <c r="Q488" s="94">
        <v>0</v>
      </c>
      <c r="R488" s="94">
        <v>0</v>
      </c>
      <c r="S488" s="94">
        <v>0</v>
      </c>
      <c r="T488" s="89">
        <v>0</v>
      </c>
      <c r="U488" s="89">
        <v>0</v>
      </c>
      <c r="V488" s="94">
        <v>0</v>
      </c>
      <c r="W488" s="94">
        <v>0</v>
      </c>
      <c r="X488" s="94">
        <v>0</v>
      </c>
      <c r="Y488" s="89">
        <v>0</v>
      </c>
      <c r="Z488" s="94">
        <f t="shared" si="33"/>
        <v>0</v>
      </c>
      <c r="AA488" s="94">
        <f t="shared" si="34"/>
        <v>0</v>
      </c>
      <c r="AB488" s="89">
        <f t="shared" si="35"/>
        <v>0</v>
      </c>
      <c r="AC488" s="89">
        <f t="shared" si="36"/>
        <v>0</v>
      </c>
      <c r="AD488" s="89">
        <v>0</v>
      </c>
      <c r="AE488" s="89">
        <v>0</v>
      </c>
      <c r="AF488" s="117"/>
      <c r="AG488" s="117"/>
      <c r="AH488" s="262"/>
      <c r="AI488" s="17"/>
      <c r="AJ488" s="17"/>
      <c r="AK488" s="17"/>
      <c r="AL488" s="17"/>
      <c r="AM488" s="17"/>
      <c r="AN488" s="17"/>
      <c r="AO488" s="17"/>
      <c r="AP488" s="15" t="str">
        <f>IFERROR(VLOOKUP(AO488,Legend!$D$2:$E$26,2,0),"")</f>
        <v/>
      </c>
      <c r="AQ488" s="15"/>
      <c r="AR488" s="17"/>
      <c r="AS488" s="17"/>
      <c r="AT488" s="15"/>
      <c r="AU488" s="17"/>
      <c r="AV488" s="17"/>
      <c r="AW488" s="17" t="s">
        <v>10</v>
      </c>
      <c r="AX488" s="15"/>
      <c r="AY488" s="15"/>
    </row>
    <row r="489" spans="1:51" x14ac:dyDescent="0.25">
      <c r="A489" s="15"/>
      <c r="B489" s="15"/>
      <c r="C489" s="15"/>
      <c r="D489" s="15"/>
      <c r="E489" s="91"/>
      <c r="F489" s="15"/>
      <c r="G489" s="15"/>
      <c r="H489" s="15"/>
      <c r="I489" s="15"/>
      <c r="J489" s="15"/>
      <c r="K489" s="89"/>
      <c r="L489" s="15"/>
      <c r="M489" s="89">
        <v>0</v>
      </c>
      <c r="N489" s="89">
        <v>0</v>
      </c>
      <c r="O489" s="89">
        <v>0</v>
      </c>
      <c r="P489" s="94">
        <v>0</v>
      </c>
      <c r="Q489" s="94">
        <v>0</v>
      </c>
      <c r="R489" s="94">
        <v>0</v>
      </c>
      <c r="S489" s="94">
        <v>0</v>
      </c>
      <c r="T489" s="89">
        <v>0</v>
      </c>
      <c r="U489" s="89">
        <v>0</v>
      </c>
      <c r="V489" s="94">
        <v>0</v>
      </c>
      <c r="W489" s="94">
        <v>0</v>
      </c>
      <c r="X489" s="94">
        <v>0</v>
      </c>
      <c r="Y489" s="89">
        <v>0</v>
      </c>
      <c r="Z489" s="94">
        <f t="shared" si="33"/>
        <v>0</v>
      </c>
      <c r="AA489" s="94">
        <f t="shared" si="34"/>
        <v>0</v>
      </c>
      <c r="AB489" s="89">
        <f t="shared" si="35"/>
        <v>0</v>
      </c>
      <c r="AC489" s="89">
        <f t="shared" si="36"/>
        <v>0</v>
      </c>
      <c r="AD489" s="89">
        <v>0</v>
      </c>
      <c r="AE489" s="89">
        <v>0</v>
      </c>
      <c r="AF489" s="117"/>
      <c r="AG489" s="117"/>
      <c r="AH489" s="262"/>
      <c r="AI489" s="17"/>
      <c r="AJ489" s="17"/>
      <c r="AK489" s="17"/>
      <c r="AL489" s="17"/>
      <c r="AM489" s="17"/>
      <c r="AN489" s="17"/>
      <c r="AO489" s="17"/>
      <c r="AP489" s="15" t="str">
        <f>IFERROR(VLOOKUP(AO489,Legend!$D$2:$E$26,2,0),"")</f>
        <v/>
      </c>
      <c r="AQ489" s="15"/>
      <c r="AR489" s="17"/>
      <c r="AS489" s="17"/>
      <c r="AT489" s="15"/>
      <c r="AU489" s="17"/>
      <c r="AV489" s="17"/>
      <c r="AW489" s="17" t="s">
        <v>10</v>
      </c>
      <c r="AX489" s="15"/>
      <c r="AY489" s="15"/>
    </row>
    <row r="490" spans="1:51" x14ac:dyDescent="0.25">
      <c r="A490" s="15"/>
      <c r="B490" s="15"/>
      <c r="C490" s="15"/>
      <c r="D490" s="15"/>
      <c r="E490" s="91"/>
      <c r="F490" s="15"/>
      <c r="G490" s="15"/>
      <c r="H490" s="15"/>
      <c r="I490" s="15"/>
      <c r="J490" s="15"/>
      <c r="K490" s="89"/>
      <c r="L490" s="15"/>
      <c r="M490" s="89">
        <v>0</v>
      </c>
      <c r="N490" s="89">
        <v>0</v>
      </c>
      <c r="O490" s="89">
        <v>0</v>
      </c>
      <c r="P490" s="94">
        <v>0</v>
      </c>
      <c r="Q490" s="94">
        <v>0</v>
      </c>
      <c r="R490" s="94">
        <v>0</v>
      </c>
      <c r="S490" s="94">
        <v>0</v>
      </c>
      <c r="T490" s="89">
        <v>0</v>
      </c>
      <c r="U490" s="89">
        <v>0</v>
      </c>
      <c r="V490" s="94">
        <v>0</v>
      </c>
      <c r="W490" s="94">
        <v>0</v>
      </c>
      <c r="X490" s="94">
        <v>0</v>
      </c>
      <c r="Y490" s="89">
        <v>0</v>
      </c>
      <c r="Z490" s="94">
        <f t="shared" si="33"/>
        <v>0</v>
      </c>
      <c r="AA490" s="94">
        <f t="shared" si="34"/>
        <v>0</v>
      </c>
      <c r="AB490" s="89">
        <f t="shared" si="35"/>
        <v>0</v>
      </c>
      <c r="AC490" s="89">
        <f t="shared" si="36"/>
        <v>0</v>
      </c>
      <c r="AD490" s="89">
        <v>0</v>
      </c>
      <c r="AE490" s="89">
        <v>0</v>
      </c>
      <c r="AF490" s="117"/>
      <c r="AG490" s="117"/>
      <c r="AH490" s="262"/>
      <c r="AI490" s="17"/>
      <c r="AJ490" s="17"/>
      <c r="AK490" s="17"/>
      <c r="AL490" s="17"/>
      <c r="AM490" s="17"/>
      <c r="AN490" s="17"/>
      <c r="AO490" s="17"/>
      <c r="AP490" s="15" t="str">
        <f>IFERROR(VLOOKUP(AO490,Legend!$D$2:$E$26,2,0),"")</f>
        <v/>
      </c>
      <c r="AQ490" s="15"/>
      <c r="AR490" s="17"/>
      <c r="AS490" s="17"/>
      <c r="AT490" s="15"/>
      <c r="AU490" s="17"/>
      <c r="AV490" s="17"/>
      <c r="AW490" s="17" t="s">
        <v>10</v>
      </c>
      <c r="AX490" s="15"/>
      <c r="AY490" s="15"/>
    </row>
    <row r="491" spans="1:51" x14ac:dyDescent="0.25">
      <c r="A491" s="15"/>
      <c r="B491" s="15"/>
      <c r="C491" s="15"/>
      <c r="D491" s="15"/>
      <c r="E491" s="91"/>
      <c r="F491" s="15"/>
      <c r="G491" s="15"/>
      <c r="H491" s="15"/>
      <c r="I491" s="15"/>
      <c r="J491" s="15"/>
      <c r="K491" s="89"/>
      <c r="L491" s="15"/>
      <c r="M491" s="89">
        <v>0</v>
      </c>
      <c r="N491" s="89">
        <v>0</v>
      </c>
      <c r="O491" s="89">
        <v>0</v>
      </c>
      <c r="P491" s="94">
        <v>0</v>
      </c>
      <c r="Q491" s="94">
        <v>0</v>
      </c>
      <c r="R491" s="94">
        <v>0</v>
      </c>
      <c r="S491" s="94">
        <v>0</v>
      </c>
      <c r="T491" s="89">
        <v>0</v>
      </c>
      <c r="U491" s="89">
        <v>0</v>
      </c>
      <c r="V491" s="94">
        <v>0</v>
      </c>
      <c r="W491" s="94">
        <v>0</v>
      </c>
      <c r="X491" s="94">
        <v>0</v>
      </c>
      <c r="Y491" s="89">
        <v>0</v>
      </c>
      <c r="Z491" s="94">
        <f t="shared" si="33"/>
        <v>0</v>
      </c>
      <c r="AA491" s="94">
        <f t="shared" si="34"/>
        <v>0</v>
      </c>
      <c r="AB491" s="89">
        <f t="shared" si="35"/>
        <v>0</v>
      </c>
      <c r="AC491" s="89">
        <f t="shared" si="36"/>
        <v>0</v>
      </c>
      <c r="AD491" s="89">
        <v>0</v>
      </c>
      <c r="AE491" s="89">
        <v>0</v>
      </c>
      <c r="AF491" s="117"/>
      <c r="AG491" s="117"/>
      <c r="AH491" s="262"/>
      <c r="AI491" s="17"/>
      <c r="AJ491" s="17"/>
      <c r="AK491" s="17"/>
      <c r="AL491" s="17"/>
      <c r="AM491" s="17"/>
      <c r="AN491" s="17"/>
      <c r="AO491" s="17"/>
      <c r="AP491" s="15" t="str">
        <f>IFERROR(VLOOKUP(AO491,Legend!$D$2:$E$26,2,0),"")</f>
        <v/>
      </c>
      <c r="AQ491" s="15"/>
      <c r="AR491" s="17"/>
      <c r="AS491" s="17"/>
      <c r="AT491" s="15"/>
      <c r="AU491" s="17"/>
      <c r="AV491" s="17"/>
      <c r="AW491" s="17" t="s">
        <v>10</v>
      </c>
      <c r="AX491" s="15"/>
      <c r="AY491" s="15"/>
    </row>
    <row r="492" spans="1:51" x14ac:dyDescent="0.25">
      <c r="A492" s="15"/>
      <c r="B492" s="15"/>
      <c r="C492" s="15"/>
      <c r="D492" s="15"/>
      <c r="E492" s="91"/>
      <c r="F492" s="15"/>
      <c r="G492" s="15"/>
      <c r="H492" s="15"/>
      <c r="I492" s="15"/>
      <c r="J492" s="15"/>
      <c r="K492" s="89"/>
      <c r="L492" s="15"/>
      <c r="M492" s="89">
        <v>0</v>
      </c>
      <c r="N492" s="89">
        <v>0</v>
      </c>
      <c r="O492" s="89">
        <v>0</v>
      </c>
      <c r="P492" s="94">
        <v>0</v>
      </c>
      <c r="Q492" s="94">
        <v>0</v>
      </c>
      <c r="R492" s="94">
        <v>0</v>
      </c>
      <c r="S492" s="94">
        <v>0</v>
      </c>
      <c r="T492" s="89">
        <v>0</v>
      </c>
      <c r="U492" s="89">
        <v>0</v>
      </c>
      <c r="V492" s="94">
        <v>0</v>
      </c>
      <c r="W492" s="94">
        <v>0</v>
      </c>
      <c r="X492" s="94">
        <v>0</v>
      </c>
      <c r="Y492" s="89">
        <v>0</v>
      </c>
      <c r="Z492" s="94">
        <f t="shared" si="33"/>
        <v>0</v>
      </c>
      <c r="AA492" s="94">
        <f t="shared" si="34"/>
        <v>0</v>
      </c>
      <c r="AB492" s="89">
        <f t="shared" si="35"/>
        <v>0</v>
      </c>
      <c r="AC492" s="89">
        <f t="shared" si="36"/>
        <v>0</v>
      </c>
      <c r="AD492" s="89">
        <v>0</v>
      </c>
      <c r="AE492" s="89">
        <v>0</v>
      </c>
      <c r="AF492" s="117"/>
      <c r="AG492" s="117"/>
      <c r="AH492" s="262"/>
      <c r="AI492" s="17"/>
      <c r="AJ492" s="17"/>
      <c r="AK492" s="17"/>
      <c r="AL492" s="17"/>
      <c r="AM492" s="17"/>
      <c r="AN492" s="17"/>
      <c r="AO492" s="17"/>
      <c r="AP492" s="15" t="str">
        <f>IFERROR(VLOOKUP(AO492,Legend!$D$2:$E$26,2,0),"")</f>
        <v/>
      </c>
      <c r="AQ492" s="15"/>
      <c r="AR492" s="17"/>
      <c r="AS492" s="17"/>
      <c r="AT492" s="15"/>
      <c r="AU492" s="17"/>
      <c r="AV492" s="17"/>
      <c r="AW492" s="17" t="s">
        <v>10</v>
      </c>
      <c r="AX492" s="15"/>
      <c r="AY492" s="15"/>
    </row>
    <row r="493" spans="1:51" x14ac:dyDescent="0.25">
      <c r="A493" s="15"/>
      <c r="B493" s="15"/>
      <c r="C493" s="15"/>
      <c r="D493" s="15"/>
      <c r="E493" s="91"/>
      <c r="F493" s="15"/>
      <c r="G493" s="15"/>
      <c r="H493" s="15"/>
      <c r="I493" s="15"/>
      <c r="J493" s="15"/>
      <c r="K493" s="89"/>
      <c r="L493" s="15"/>
      <c r="M493" s="89">
        <v>0</v>
      </c>
      <c r="N493" s="89">
        <v>0</v>
      </c>
      <c r="O493" s="89">
        <v>0</v>
      </c>
      <c r="P493" s="94">
        <v>0</v>
      </c>
      <c r="Q493" s="94">
        <v>0</v>
      </c>
      <c r="R493" s="94">
        <v>0</v>
      </c>
      <c r="S493" s="94">
        <v>0</v>
      </c>
      <c r="T493" s="89">
        <v>0</v>
      </c>
      <c r="U493" s="89">
        <v>0</v>
      </c>
      <c r="V493" s="94">
        <v>0</v>
      </c>
      <c r="W493" s="94">
        <v>0</v>
      </c>
      <c r="X493" s="94">
        <v>0</v>
      </c>
      <c r="Y493" s="89">
        <v>0</v>
      </c>
      <c r="Z493" s="94">
        <f t="shared" si="33"/>
        <v>0</v>
      </c>
      <c r="AA493" s="94">
        <f t="shared" si="34"/>
        <v>0</v>
      </c>
      <c r="AB493" s="89">
        <f t="shared" si="35"/>
        <v>0</v>
      </c>
      <c r="AC493" s="89">
        <f t="shared" si="36"/>
        <v>0</v>
      </c>
      <c r="AD493" s="89">
        <v>0</v>
      </c>
      <c r="AE493" s="89">
        <v>0</v>
      </c>
      <c r="AF493" s="117"/>
      <c r="AG493" s="117"/>
      <c r="AH493" s="262"/>
      <c r="AI493" s="17"/>
      <c r="AJ493" s="17"/>
      <c r="AK493" s="17"/>
      <c r="AL493" s="17"/>
      <c r="AM493" s="17"/>
      <c r="AN493" s="17"/>
      <c r="AO493" s="17"/>
      <c r="AP493" s="15" t="str">
        <f>IFERROR(VLOOKUP(AO493,Legend!$D$2:$E$26,2,0),"")</f>
        <v/>
      </c>
      <c r="AQ493" s="15"/>
      <c r="AR493" s="17"/>
      <c r="AS493" s="17"/>
      <c r="AT493" s="15"/>
      <c r="AU493" s="17"/>
      <c r="AV493" s="17"/>
      <c r="AW493" s="17" t="s">
        <v>10</v>
      </c>
      <c r="AX493" s="15"/>
      <c r="AY493" s="15"/>
    </row>
    <row r="494" spans="1:51" x14ac:dyDescent="0.25">
      <c r="A494" s="15"/>
      <c r="B494" s="15"/>
      <c r="C494" s="15"/>
      <c r="D494" s="15"/>
      <c r="E494" s="91"/>
      <c r="F494" s="15"/>
      <c r="G494" s="15"/>
      <c r="H494" s="15"/>
      <c r="I494" s="15"/>
      <c r="J494" s="15"/>
      <c r="K494" s="89"/>
      <c r="L494" s="15"/>
      <c r="M494" s="89">
        <v>0</v>
      </c>
      <c r="N494" s="89">
        <v>0</v>
      </c>
      <c r="O494" s="89">
        <v>0</v>
      </c>
      <c r="P494" s="94">
        <v>0</v>
      </c>
      <c r="Q494" s="94">
        <v>0</v>
      </c>
      <c r="R494" s="94">
        <v>0</v>
      </c>
      <c r="S494" s="94">
        <v>0</v>
      </c>
      <c r="T494" s="89">
        <v>0</v>
      </c>
      <c r="U494" s="89">
        <v>0</v>
      </c>
      <c r="V494" s="94">
        <v>0</v>
      </c>
      <c r="W494" s="94">
        <v>0</v>
      </c>
      <c r="X494" s="94">
        <v>0</v>
      </c>
      <c r="Y494" s="89">
        <v>0</v>
      </c>
      <c r="Z494" s="94">
        <f t="shared" si="33"/>
        <v>0</v>
      </c>
      <c r="AA494" s="94">
        <f t="shared" si="34"/>
        <v>0</v>
      </c>
      <c r="AB494" s="89">
        <f t="shared" si="35"/>
        <v>0</v>
      </c>
      <c r="AC494" s="89">
        <f t="shared" si="36"/>
        <v>0</v>
      </c>
      <c r="AD494" s="89">
        <v>0</v>
      </c>
      <c r="AE494" s="89">
        <v>0</v>
      </c>
      <c r="AF494" s="117"/>
      <c r="AG494" s="117"/>
      <c r="AH494" s="262"/>
      <c r="AI494" s="17"/>
      <c r="AJ494" s="17"/>
      <c r="AK494" s="17"/>
      <c r="AL494" s="17"/>
      <c r="AM494" s="17"/>
      <c r="AN494" s="17"/>
      <c r="AO494" s="17"/>
      <c r="AP494" s="15" t="str">
        <f>IFERROR(VLOOKUP(AO494,Legend!$D$2:$E$26,2,0),"")</f>
        <v/>
      </c>
      <c r="AQ494" s="15"/>
      <c r="AR494" s="17"/>
      <c r="AS494" s="17"/>
      <c r="AT494" s="15"/>
      <c r="AU494" s="17"/>
      <c r="AV494" s="17"/>
      <c r="AW494" s="17" t="s">
        <v>10</v>
      </c>
      <c r="AX494" s="15"/>
      <c r="AY494" s="15"/>
    </row>
    <row r="495" spans="1:51" x14ac:dyDescent="0.25">
      <c r="A495" s="15"/>
      <c r="B495" s="15"/>
      <c r="C495" s="15"/>
      <c r="D495" s="15"/>
      <c r="E495" s="91"/>
      <c r="F495" s="15"/>
      <c r="G495" s="15"/>
      <c r="H495" s="15"/>
      <c r="I495" s="15"/>
      <c r="J495" s="15"/>
      <c r="K495" s="89"/>
      <c r="L495" s="15"/>
      <c r="M495" s="89">
        <v>0</v>
      </c>
      <c r="N495" s="89">
        <v>0</v>
      </c>
      <c r="O495" s="89">
        <v>0</v>
      </c>
      <c r="P495" s="94">
        <v>0</v>
      </c>
      <c r="Q495" s="94">
        <v>0</v>
      </c>
      <c r="R495" s="94">
        <v>0</v>
      </c>
      <c r="S495" s="94">
        <v>0</v>
      </c>
      <c r="T495" s="89">
        <v>0</v>
      </c>
      <c r="U495" s="89">
        <v>0</v>
      </c>
      <c r="V495" s="94">
        <v>0</v>
      </c>
      <c r="W495" s="94">
        <v>0</v>
      </c>
      <c r="X495" s="94">
        <v>0</v>
      </c>
      <c r="Y495" s="89">
        <v>0</v>
      </c>
      <c r="Z495" s="94">
        <f t="shared" si="33"/>
        <v>0</v>
      </c>
      <c r="AA495" s="94">
        <f t="shared" si="34"/>
        <v>0</v>
      </c>
      <c r="AB495" s="89">
        <f t="shared" si="35"/>
        <v>0</v>
      </c>
      <c r="AC495" s="89">
        <f t="shared" si="36"/>
        <v>0</v>
      </c>
      <c r="AD495" s="89">
        <v>0</v>
      </c>
      <c r="AE495" s="89">
        <v>0</v>
      </c>
      <c r="AF495" s="117"/>
      <c r="AG495" s="117"/>
      <c r="AH495" s="262"/>
      <c r="AI495" s="17"/>
      <c r="AJ495" s="17"/>
      <c r="AK495" s="17"/>
      <c r="AL495" s="17"/>
      <c r="AM495" s="17"/>
      <c r="AN495" s="17"/>
      <c r="AO495" s="17"/>
      <c r="AP495" s="15" t="str">
        <f>IFERROR(VLOOKUP(AO495,Legend!$D$2:$E$26,2,0),"")</f>
        <v/>
      </c>
      <c r="AQ495" s="15"/>
      <c r="AR495" s="17"/>
      <c r="AS495" s="17"/>
      <c r="AT495" s="15"/>
      <c r="AU495" s="17"/>
      <c r="AV495" s="17"/>
      <c r="AW495" s="17" t="s">
        <v>10</v>
      </c>
      <c r="AX495" s="15"/>
      <c r="AY495" s="15"/>
    </row>
    <row r="496" spans="1:51" x14ac:dyDescent="0.25">
      <c r="A496" s="15"/>
      <c r="B496" s="15"/>
      <c r="C496" s="15"/>
      <c r="D496" s="15"/>
      <c r="E496" s="91"/>
      <c r="F496" s="15"/>
      <c r="G496" s="15"/>
      <c r="H496" s="15"/>
      <c r="I496" s="15"/>
      <c r="J496" s="15"/>
      <c r="K496" s="89"/>
      <c r="L496" s="15"/>
      <c r="M496" s="89">
        <v>0</v>
      </c>
      <c r="N496" s="89">
        <v>0</v>
      </c>
      <c r="O496" s="89">
        <v>0</v>
      </c>
      <c r="P496" s="94">
        <v>0</v>
      </c>
      <c r="Q496" s="94">
        <v>0</v>
      </c>
      <c r="R496" s="94">
        <v>0</v>
      </c>
      <c r="S496" s="94">
        <v>0</v>
      </c>
      <c r="T496" s="89">
        <v>0</v>
      </c>
      <c r="U496" s="89">
        <v>0</v>
      </c>
      <c r="V496" s="94">
        <v>0</v>
      </c>
      <c r="W496" s="94">
        <v>0</v>
      </c>
      <c r="X496" s="94">
        <v>0</v>
      </c>
      <c r="Y496" s="89">
        <v>0</v>
      </c>
      <c r="Z496" s="94">
        <f t="shared" si="33"/>
        <v>0</v>
      </c>
      <c r="AA496" s="94">
        <f t="shared" si="34"/>
        <v>0</v>
      </c>
      <c r="AB496" s="89">
        <f t="shared" si="35"/>
        <v>0</v>
      </c>
      <c r="AC496" s="89">
        <f t="shared" si="36"/>
        <v>0</v>
      </c>
      <c r="AD496" s="89">
        <v>0</v>
      </c>
      <c r="AE496" s="89">
        <v>0</v>
      </c>
      <c r="AF496" s="117"/>
      <c r="AG496" s="117"/>
      <c r="AH496" s="262"/>
      <c r="AI496" s="17"/>
      <c r="AJ496" s="17"/>
      <c r="AK496" s="17"/>
      <c r="AL496" s="17"/>
      <c r="AM496" s="17"/>
      <c r="AN496" s="17"/>
      <c r="AO496" s="17"/>
      <c r="AP496" s="15" t="str">
        <f>IFERROR(VLOOKUP(AO496,Legend!$D$2:$E$26,2,0),"")</f>
        <v/>
      </c>
      <c r="AQ496" s="15"/>
      <c r="AR496" s="17"/>
      <c r="AS496" s="17"/>
      <c r="AT496" s="15"/>
      <c r="AU496" s="17"/>
      <c r="AV496" s="17"/>
      <c r="AW496" s="17" t="s">
        <v>10</v>
      </c>
      <c r="AX496" s="15"/>
      <c r="AY496" s="15"/>
    </row>
    <row r="497" spans="1:51" x14ac:dyDescent="0.25">
      <c r="A497" s="15"/>
      <c r="B497" s="15"/>
      <c r="C497" s="15"/>
      <c r="D497" s="15"/>
      <c r="E497" s="91"/>
      <c r="F497" s="15"/>
      <c r="G497" s="15"/>
      <c r="H497" s="15"/>
      <c r="I497" s="15"/>
      <c r="J497" s="15"/>
      <c r="K497" s="89"/>
      <c r="L497" s="15"/>
      <c r="M497" s="89">
        <v>0</v>
      </c>
      <c r="N497" s="89">
        <v>0</v>
      </c>
      <c r="O497" s="89">
        <v>0</v>
      </c>
      <c r="P497" s="94">
        <v>0</v>
      </c>
      <c r="Q497" s="94">
        <v>0</v>
      </c>
      <c r="R497" s="94">
        <v>0</v>
      </c>
      <c r="S497" s="94">
        <v>0</v>
      </c>
      <c r="T497" s="89">
        <v>0</v>
      </c>
      <c r="U497" s="89">
        <v>0</v>
      </c>
      <c r="V497" s="94">
        <v>0</v>
      </c>
      <c r="W497" s="94">
        <v>0</v>
      </c>
      <c r="X497" s="94">
        <v>0</v>
      </c>
      <c r="Y497" s="89">
        <v>0</v>
      </c>
      <c r="Z497" s="94">
        <f t="shared" si="33"/>
        <v>0</v>
      </c>
      <c r="AA497" s="94">
        <f t="shared" si="34"/>
        <v>0</v>
      </c>
      <c r="AB497" s="89">
        <f t="shared" si="35"/>
        <v>0</v>
      </c>
      <c r="AC497" s="89">
        <f t="shared" si="36"/>
        <v>0</v>
      </c>
      <c r="AD497" s="89">
        <v>0</v>
      </c>
      <c r="AE497" s="89">
        <v>0</v>
      </c>
      <c r="AF497" s="117"/>
      <c r="AG497" s="117"/>
      <c r="AH497" s="262"/>
      <c r="AI497" s="17"/>
      <c r="AJ497" s="17"/>
      <c r="AK497" s="17"/>
      <c r="AL497" s="17"/>
      <c r="AM497" s="17"/>
      <c r="AN497" s="17"/>
      <c r="AO497" s="17"/>
      <c r="AP497" s="15" t="str">
        <f>IFERROR(VLOOKUP(AO497,Legend!$D$2:$E$26,2,0),"")</f>
        <v/>
      </c>
      <c r="AQ497" s="15"/>
      <c r="AR497" s="17"/>
      <c r="AS497" s="17"/>
      <c r="AT497" s="15"/>
      <c r="AU497" s="17"/>
      <c r="AV497" s="17"/>
      <c r="AW497" s="17" t="s">
        <v>10</v>
      </c>
      <c r="AX497" s="15"/>
      <c r="AY497" s="15"/>
    </row>
    <row r="498" spans="1:51" x14ac:dyDescent="0.25">
      <c r="A498" s="15"/>
      <c r="B498" s="15"/>
      <c r="C498" s="15"/>
      <c r="D498" s="15"/>
      <c r="E498" s="91"/>
      <c r="F498" s="15"/>
      <c r="G498" s="15"/>
      <c r="H498" s="15"/>
      <c r="I498" s="15"/>
      <c r="J498" s="15"/>
      <c r="K498" s="89"/>
      <c r="L498" s="15"/>
      <c r="M498" s="89">
        <v>0</v>
      </c>
      <c r="N498" s="89">
        <v>0</v>
      </c>
      <c r="O498" s="89">
        <v>0</v>
      </c>
      <c r="P498" s="94">
        <v>0</v>
      </c>
      <c r="Q498" s="94">
        <v>0</v>
      </c>
      <c r="R498" s="94">
        <v>0</v>
      </c>
      <c r="S498" s="94">
        <v>0</v>
      </c>
      <c r="T498" s="89">
        <v>0</v>
      </c>
      <c r="U498" s="89">
        <v>0</v>
      </c>
      <c r="V498" s="94">
        <v>0</v>
      </c>
      <c r="W498" s="94">
        <v>0</v>
      </c>
      <c r="X498" s="94">
        <v>0</v>
      </c>
      <c r="Y498" s="89">
        <v>0</v>
      </c>
      <c r="Z498" s="94">
        <f t="shared" si="33"/>
        <v>0</v>
      </c>
      <c r="AA498" s="94">
        <f t="shared" si="34"/>
        <v>0</v>
      </c>
      <c r="AB498" s="89">
        <f t="shared" si="35"/>
        <v>0</v>
      </c>
      <c r="AC498" s="89">
        <f t="shared" si="36"/>
        <v>0</v>
      </c>
      <c r="AD498" s="89">
        <v>0</v>
      </c>
      <c r="AE498" s="89">
        <v>0</v>
      </c>
      <c r="AF498" s="117"/>
      <c r="AG498" s="117"/>
      <c r="AH498" s="262"/>
      <c r="AI498" s="17"/>
      <c r="AJ498" s="17"/>
      <c r="AK498" s="17"/>
      <c r="AL498" s="17"/>
      <c r="AM498" s="17"/>
      <c r="AN498" s="17"/>
      <c r="AO498" s="17"/>
      <c r="AP498" s="15" t="str">
        <f>IFERROR(VLOOKUP(AO498,Legend!$D$2:$E$26,2,0),"")</f>
        <v/>
      </c>
      <c r="AQ498" s="15"/>
      <c r="AR498" s="17"/>
      <c r="AS498" s="17"/>
      <c r="AT498" s="15"/>
      <c r="AU498" s="17"/>
      <c r="AV498" s="17"/>
      <c r="AW498" s="17" t="s">
        <v>10</v>
      </c>
      <c r="AX498" s="15"/>
      <c r="AY498" s="15"/>
    </row>
    <row r="499" spans="1:51" x14ac:dyDescent="0.25">
      <c r="A499" s="15"/>
      <c r="B499" s="15"/>
      <c r="C499" s="15"/>
      <c r="D499" s="15"/>
      <c r="E499" s="91"/>
      <c r="F499" s="15"/>
      <c r="G499" s="15"/>
      <c r="H499" s="15"/>
      <c r="I499" s="15"/>
      <c r="J499" s="15"/>
      <c r="K499" s="89"/>
      <c r="L499" s="15"/>
      <c r="M499" s="89">
        <v>0</v>
      </c>
      <c r="N499" s="89">
        <v>0</v>
      </c>
      <c r="O499" s="89">
        <v>0</v>
      </c>
      <c r="P499" s="94">
        <v>0</v>
      </c>
      <c r="Q499" s="94">
        <v>0</v>
      </c>
      <c r="R499" s="94">
        <v>0</v>
      </c>
      <c r="S499" s="94">
        <v>0</v>
      </c>
      <c r="T499" s="89">
        <v>0</v>
      </c>
      <c r="U499" s="89">
        <v>0</v>
      </c>
      <c r="V499" s="94">
        <v>0</v>
      </c>
      <c r="W499" s="94">
        <v>0</v>
      </c>
      <c r="X499" s="94">
        <v>0</v>
      </c>
      <c r="Y499" s="89">
        <v>0</v>
      </c>
      <c r="Z499" s="94">
        <f t="shared" si="33"/>
        <v>0</v>
      </c>
      <c r="AA499" s="94">
        <f t="shared" si="34"/>
        <v>0</v>
      </c>
      <c r="AB499" s="89">
        <f t="shared" si="35"/>
        <v>0</v>
      </c>
      <c r="AC499" s="89">
        <f t="shared" si="36"/>
        <v>0</v>
      </c>
      <c r="AD499" s="89">
        <v>0</v>
      </c>
      <c r="AE499" s="89">
        <v>0</v>
      </c>
      <c r="AF499" s="117"/>
      <c r="AG499" s="117"/>
      <c r="AH499" s="262"/>
      <c r="AI499" s="17"/>
      <c r="AJ499" s="17"/>
      <c r="AK499" s="17"/>
      <c r="AL499" s="17"/>
      <c r="AM499" s="17"/>
      <c r="AN499" s="17"/>
      <c r="AO499" s="17"/>
      <c r="AP499" s="15" t="str">
        <f>IFERROR(VLOOKUP(AO499,Legend!$D$2:$E$26,2,0),"")</f>
        <v/>
      </c>
      <c r="AQ499" s="15"/>
      <c r="AR499" s="17"/>
      <c r="AS499" s="17"/>
      <c r="AT499" s="15"/>
      <c r="AU499" s="17"/>
      <c r="AV499" s="17"/>
      <c r="AW499" s="17" t="s">
        <v>10</v>
      </c>
      <c r="AX499" s="15"/>
      <c r="AY499" s="15"/>
    </row>
    <row r="500" spans="1:51" x14ac:dyDescent="0.25">
      <c r="A500" s="15"/>
      <c r="B500" s="15"/>
      <c r="C500" s="15"/>
      <c r="D500" s="15"/>
      <c r="E500" s="91"/>
      <c r="F500" s="15"/>
      <c r="G500" s="15"/>
      <c r="H500" s="15"/>
      <c r="I500" s="15"/>
      <c r="J500" s="15"/>
      <c r="K500" s="89"/>
      <c r="L500" s="15"/>
      <c r="M500" s="89">
        <v>0</v>
      </c>
      <c r="N500" s="89">
        <v>0</v>
      </c>
      <c r="O500" s="89">
        <v>0</v>
      </c>
      <c r="P500" s="94">
        <v>0</v>
      </c>
      <c r="Q500" s="94">
        <v>0</v>
      </c>
      <c r="R500" s="94">
        <v>0</v>
      </c>
      <c r="S500" s="94">
        <v>0</v>
      </c>
      <c r="T500" s="89">
        <v>0</v>
      </c>
      <c r="U500" s="89">
        <v>0</v>
      </c>
      <c r="V500" s="94">
        <v>0</v>
      </c>
      <c r="W500" s="94">
        <v>0</v>
      </c>
      <c r="X500" s="94">
        <v>0</v>
      </c>
      <c r="Y500" s="89">
        <v>0</v>
      </c>
      <c r="Z500" s="94">
        <f t="shared" si="33"/>
        <v>0</v>
      </c>
      <c r="AA500" s="94">
        <f t="shared" si="34"/>
        <v>0</v>
      </c>
      <c r="AB500" s="89">
        <f t="shared" si="35"/>
        <v>0</v>
      </c>
      <c r="AC500" s="89">
        <f t="shared" si="36"/>
        <v>0</v>
      </c>
      <c r="AD500" s="89">
        <v>0</v>
      </c>
      <c r="AE500" s="89">
        <v>0</v>
      </c>
      <c r="AF500" s="117"/>
      <c r="AG500" s="117"/>
      <c r="AH500" s="262"/>
      <c r="AI500" s="17"/>
      <c r="AJ500" s="17"/>
      <c r="AK500" s="17"/>
      <c r="AL500" s="17"/>
      <c r="AM500" s="17"/>
      <c r="AN500" s="17"/>
      <c r="AO500" s="17"/>
      <c r="AP500" s="15" t="str">
        <f>IFERROR(VLOOKUP(AO500,Legend!$D$2:$E$26,2,0),"")</f>
        <v/>
      </c>
      <c r="AQ500" s="15"/>
      <c r="AR500" s="17"/>
      <c r="AS500" s="17"/>
      <c r="AT500" s="15"/>
      <c r="AU500" s="17"/>
      <c r="AV500" s="17"/>
      <c r="AW500" s="17" t="s">
        <v>10</v>
      </c>
      <c r="AX500" s="15"/>
      <c r="AY500" s="15"/>
    </row>
    <row r="501" spans="1:51" x14ac:dyDescent="0.25">
      <c r="A501" s="15"/>
      <c r="B501" s="15"/>
      <c r="C501" s="15"/>
      <c r="D501" s="15"/>
      <c r="E501" s="91"/>
      <c r="F501" s="15"/>
      <c r="G501" s="15"/>
      <c r="H501" s="15"/>
      <c r="I501" s="15"/>
      <c r="J501" s="15"/>
      <c r="K501" s="89"/>
      <c r="L501" s="15"/>
      <c r="M501" s="89">
        <v>0</v>
      </c>
      <c r="N501" s="89">
        <v>0</v>
      </c>
      <c r="O501" s="89">
        <v>0</v>
      </c>
      <c r="P501" s="94">
        <v>0</v>
      </c>
      <c r="Q501" s="94">
        <v>0</v>
      </c>
      <c r="R501" s="94">
        <v>0</v>
      </c>
      <c r="S501" s="94">
        <v>0</v>
      </c>
      <c r="T501" s="89">
        <v>0</v>
      </c>
      <c r="U501" s="89">
        <v>0</v>
      </c>
      <c r="V501" s="94">
        <v>0</v>
      </c>
      <c r="W501" s="94">
        <v>0</v>
      </c>
      <c r="X501" s="94">
        <v>0</v>
      </c>
      <c r="Y501" s="89">
        <v>0</v>
      </c>
      <c r="Z501" s="94">
        <f t="shared" si="33"/>
        <v>0</v>
      </c>
      <c r="AA501" s="94">
        <f t="shared" si="34"/>
        <v>0</v>
      </c>
      <c r="AB501" s="89">
        <f t="shared" si="35"/>
        <v>0</v>
      </c>
      <c r="AC501" s="89">
        <f t="shared" si="36"/>
        <v>0</v>
      </c>
      <c r="AD501" s="89">
        <v>0</v>
      </c>
      <c r="AE501" s="89">
        <v>0</v>
      </c>
      <c r="AF501" s="117"/>
      <c r="AG501" s="117"/>
      <c r="AH501" s="262"/>
      <c r="AI501" s="17"/>
      <c r="AJ501" s="17"/>
      <c r="AK501" s="17"/>
      <c r="AL501" s="17"/>
      <c r="AM501" s="17"/>
      <c r="AN501" s="17"/>
      <c r="AO501" s="17"/>
      <c r="AP501" s="15" t="str">
        <f>IFERROR(VLOOKUP(AO501,Legend!$D$2:$E$26,2,0),"")</f>
        <v/>
      </c>
      <c r="AQ501" s="15"/>
      <c r="AR501" s="17"/>
      <c r="AS501" s="17"/>
      <c r="AT501" s="15"/>
      <c r="AU501" s="17"/>
      <c r="AV501" s="17"/>
      <c r="AW501" s="17" t="s">
        <v>10</v>
      </c>
      <c r="AX501" s="15"/>
      <c r="AY501" s="15"/>
    </row>
    <row r="502" spans="1:51" x14ac:dyDescent="0.25">
      <c r="A502" s="15"/>
      <c r="B502" s="15"/>
      <c r="C502" s="15"/>
      <c r="D502" s="15"/>
      <c r="E502" s="91"/>
      <c r="F502" s="15"/>
      <c r="G502" s="15"/>
      <c r="H502" s="15"/>
      <c r="I502" s="15"/>
      <c r="J502" s="15"/>
      <c r="K502" s="89"/>
      <c r="L502" s="15"/>
      <c r="M502" s="89">
        <v>0</v>
      </c>
      <c r="N502" s="89">
        <v>0</v>
      </c>
      <c r="O502" s="89">
        <v>0</v>
      </c>
      <c r="P502" s="94">
        <v>0</v>
      </c>
      <c r="Q502" s="94">
        <v>0</v>
      </c>
      <c r="R502" s="94">
        <v>0</v>
      </c>
      <c r="S502" s="94">
        <v>0</v>
      </c>
      <c r="T502" s="89">
        <v>0</v>
      </c>
      <c r="U502" s="89">
        <v>0</v>
      </c>
      <c r="V502" s="94">
        <v>0</v>
      </c>
      <c r="W502" s="94">
        <v>0</v>
      </c>
      <c r="X502" s="94">
        <v>0</v>
      </c>
      <c r="Y502" s="89">
        <v>0</v>
      </c>
      <c r="Z502" s="94">
        <f t="shared" si="33"/>
        <v>0</v>
      </c>
      <c r="AA502" s="94">
        <f t="shared" si="34"/>
        <v>0</v>
      </c>
      <c r="AB502" s="89">
        <f t="shared" si="35"/>
        <v>0</v>
      </c>
      <c r="AC502" s="89">
        <f t="shared" si="36"/>
        <v>0</v>
      </c>
      <c r="AD502" s="89">
        <v>0</v>
      </c>
      <c r="AE502" s="89">
        <v>0</v>
      </c>
      <c r="AF502" s="117"/>
      <c r="AG502" s="117"/>
      <c r="AH502" s="262"/>
      <c r="AI502" s="17"/>
      <c r="AJ502" s="17"/>
      <c r="AK502" s="17"/>
      <c r="AL502" s="17"/>
      <c r="AM502" s="17"/>
      <c r="AN502" s="17"/>
      <c r="AO502" s="17"/>
      <c r="AP502" s="15" t="str">
        <f>IFERROR(VLOOKUP(AO502,Legend!$D$2:$E$26,2,0),"")</f>
        <v/>
      </c>
      <c r="AQ502" s="15"/>
      <c r="AR502" s="17"/>
      <c r="AS502" s="17"/>
      <c r="AT502" s="15"/>
      <c r="AU502" s="17"/>
      <c r="AV502" s="17"/>
      <c r="AW502" s="17" t="s">
        <v>10</v>
      </c>
      <c r="AX502" s="15"/>
      <c r="AY502" s="15"/>
    </row>
    <row r="503" spans="1:51" x14ac:dyDescent="0.25">
      <c r="A503" s="15"/>
      <c r="B503" s="15"/>
      <c r="C503" s="15"/>
      <c r="D503" s="15"/>
      <c r="E503" s="91"/>
      <c r="F503" s="15"/>
      <c r="G503" s="15"/>
      <c r="H503" s="15"/>
      <c r="I503" s="15"/>
      <c r="J503" s="15"/>
      <c r="K503" s="89"/>
      <c r="L503" s="15"/>
      <c r="M503" s="89">
        <v>0</v>
      </c>
      <c r="N503" s="89">
        <v>0</v>
      </c>
      <c r="O503" s="89">
        <v>0</v>
      </c>
      <c r="P503" s="94">
        <v>0</v>
      </c>
      <c r="Q503" s="94">
        <v>0</v>
      </c>
      <c r="R503" s="94">
        <v>0</v>
      </c>
      <c r="S503" s="94">
        <v>0</v>
      </c>
      <c r="T503" s="89">
        <v>0</v>
      </c>
      <c r="U503" s="89">
        <v>0</v>
      </c>
      <c r="V503" s="94">
        <v>0</v>
      </c>
      <c r="W503" s="94">
        <v>0</v>
      </c>
      <c r="X503" s="94">
        <v>0</v>
      </c>
      <c r="Y503" s="89">
        <v>0</v>
      </c>
      <c r="Z503" s="94">
        <f t="shared" si="33"/>
        <v>0</v>
      </c>
      <c r="AA503" s="94">
        <f t="shared" si="34"/>
        <v>0</v>
      </c>
      <c r="AB503" s="89">
        <f t="shared" si="35"/>
        <v>0</v>
      </c>
      <c r="AC503" s="89">
        <f t="shared" si="36"/>
        <v>0</v>
      </c>
      <c r="AD503" s="89">
        <v>0</v>
      </c>
      <c r="AE503" s="89">
        <v>0</v>
      </c>
      <c r="AF503" s="117"/>
      <c r="AG503" s="117"/>
      <c r="AH503" s="262"/>
      <c r="AI503" s="17"/>
      <c r="AJ503" s="17"/>
      <c r="AK503" s="17"/>
      <c r="AL503" s="17"/>
      <c r="AM503" s="17"/>
      <c r="AN503" s="17"/>
      <c r="AO503" s="17"/>
      <c r="AP503" s="15" t="str">
        <f>IFERROR(VLOOKUP(AO503,Legend!$D$2:$E$26,2,0),"")</f>
        <v/>
      </c>
      <c r="AQ503" s="15"/>
      <c r="AR503" s="17"/>
      <c r="AS503" s="17"/>
      <c r="AT503" s="15"/>
      <c r="AU503" s="17"/>
      <c r="AV503" s="17"/>
      <c r="AW503" s="17" t="s">
        <v>10</v>
      </c>
      <c r="AX503" s="15"/>
      <c r="AY503" s="15"/>
    </row>
    <row r="504" spans="1:51" x14ac:dyDescent="0.25">
      <c r="A504" s="15"/>
      <c r="B504" s="15"/>
      <c r="C504" s="15"/>
      <c r="D504" s="15"/>
      <c r="E504" s="91"/>
      <c r="F504" s="15"/>
      <c r="G504" s="15"/>
      <c r="H504" s="15"/>
      <c r="I504" s="15"/>
      <c r="J504" s="15"/>
      <c r="K504" s="89"/>
      <c r="L504" s="15"/>
      <c r="M504" s="89">
        <v>0</v>
      </c>
      <c r="N504" s="89">
        <v>0</v>
      </c>
      <c r="O504" s="89">
        <v>0</v>
      </c>
      <c r="P504" s="94">
        <v>0</v>
      </c>
      <c r="Q504" s="94">
        <v>0</v>
      </c>
      <c r="R504" s="94">
        <v>0</v>
      </c>
      <c r="S504" s="94">
        <v>0</v>
      </c>
      <c r="T504" s="89">
        <v>0</v>
      </c>
      <c r="U504" s="89">
        <v>0</v>
      </c>
      <c r="V504" s="94">
        <v>0</v>
      </c>
      <c r="W504" s="94">
        <v>0</v>
      </c>
      <c r="X504" s="94">
        <v>0</v>
      </c>
      <c r="Y504" s="89">
        <v>0</v>
      </c>
      <c r="Z504" s="94">
        <f t="shared" si="33"/>
        <v>0</v>
      </c>
      <c r="AA504" s="94">
        <f t="shared" si="34"/>
        <v>0</v>
      </c>
      <c r="AB504" s="89">
        <f t="shared" si="35"/>
        <v>0</v>
      </c>
      <c r="AC504" s="89">
        <f t="shared" si="36"/>
        <v>0</v>
      </c>
      <c r="AD504" s="89">
        <v>0</v>
      </c>
      <c r="AE504" s="89">
        <v>0</v>
      </c>
      <c r="AF504" s="117"/>
      <c r="AG504" s="117"/>
      <c r="AH504" s="262"/>
      <c r="AI504" s="17"/>
      <c r="AJ504" s="17"/>
      <c r="AK504" s="17"/>
      <c r="AL504" s="17"/>
      <c r="AM504" s="17"/>
      <c r="AN504" s="17"/>
      <c r="AO504" s="17"/>
      <c r="AP504" s="15" t="str">
        <f>IFERROR(VLOOKUP(AO504,Legend!$D$2:$E$26,2,0),"")</f>
        <v/>
      </c>
      <c r="AQ504" s="15"/>
      <c r="AR504" s="17"/>
      <c r="AS504" s="17"/>
      <c r="AT504" s="15"/>
      <c r="AU504" s="17"/>
      <c r="AV504" s="17"/>
      <c r="AW504" s="17" t="s">
        <v>10</v>
      </c>
      <c r="AX504" s="15"/>
      <c r="AY504" s="15"/>
    </row>
    <row r="505" spans="1:51" x14ac:dyDescent="0.25">
      <c r="A505" s="15"/>
      <c r="B505" s="15"/>
      <c r="C505" s="15"/>
      <c r="D505" s="15"/>
      <c r="E505" s="91"/>
      <c r="F505" s="15"/>
      <c r="G505" s="15"/>
      <c r="H505" s="15"/>
      <c r="I505" s="15"/>
      <c r="J505" s="15"/>
      <c r="K505" s="89"/>
      <c r="L505" s="15"/>
      <c r="M505" s="89">
        <v>0</v>
      </c>
      <c r="N505" s="89">
        <v>0</v>
      </c>
      <c r="O505" s="89">
        <v>0</v>
      </c>
      <c r="P505" s="94">
        <v>0</v>
      </c>
      <c r="Q505" s="94">
        <v>0</v>
      </c>
      <c r="R505" s="94">
        <v>0</v>
      </c>
      <c r="S505" s="94">
        <v>0</v>
      </c>
      <c r="T505" s="89">
        <v>0</v>
      </c>
      <c r="U505" s="89">
        <v>0</v>
      </c>
      <c r="V505" s="94">
        <v>0</v>
      </c>
      <c r="W505" s="94">
        <v>0</v>
      </c>
      <c r="X505" s="94">
        <v>0</v>
      </c>
      <c r="Y505" s="89">
        <v>0</v>
      </c>
      <c r="Z505" s="94">
        <f t="shared" si="33"/>
        <v>0</v>
      </c>
      <c r="AA505" s="94">
        <f t="shared" si="34"/>
        <v>0</v>
      </c>
      <c r="AB505" s="89">
        <f t="shared" si="35"/>
        <v>0</v>
      </c>
      <c r="AC505" s="89">
        <f t="shared" si="36"/>
        <v>0</v>
      </c>
      <c r="AD505" s="89">
        <v>0</v>
      </c>
      <c r="AE505" s="89">
        <v>0</v>
      </c>
      <c r="AF505" s="117"/>
      <c r="AG505" s="117"/>
      <c r="AH505" s="262"/>
      <c r="AI505" s="17"/>
      <c r="AJ505" s="17"/>
      <c r="AK505" s="17"/>
      <c r="AL505" s="17"/>
      <c r="AM505" s="17"/>
      <c r="AN505" s="17"/>
      <c r="AO505" s="17"/>
      <c r="AP505" s="15" t="str">
        <f>IFERROR(VLOOKUP(AO505,Legend!$D$2:$E$26,2,0),"")</f>
        <v/>
      </c>
      <c r="AQ505" s="15"/>
      <c r="AR505" s="17"/>
      <c r="AS505" s="17"/>
      <c r="AT505" s="15"/>
      <c r="AU505" s="17"/>
      <c r="AV505" s="17"/>
      <c r="AW505" s="17" t="s">
        <v>10</v>
      </c>
      <c r="AX505" s="15"/>
      <c r="AY505" s="15"/>
    </row>
    <row r="506" spans="1:51" x14ac:dyDescent="0.25">
      <c r="A506" s="15"/>
      <c r="B506" s="15"/>
      <c r="C506" s="15"/>
      <c r="D506" s="15"/>
      <c r="E506" s="91"/>
      <c r="F506" s="15"/>
      <c r="G506" s="15"/>
      <c r="H506" s="15"/>
      <c r="I506" s="15"/>
      <c r="J506" s="15"/>
      <c r="K506" s="89"/>
      <c r="L506" s="15"/>
      <c r="M506" s="89">
        <v>0</v>
      </c>
      <c r="N506" s="89">
        <v>0</v>
      </c>
      <c r="O506" s="89">
        <v>0</v>
      </c>
      <c r="P506" s="94">
        <v>0</v>
      </c>
      <c r="Q506" s="94">
        <v>0</v>
      </c>
      <c r="R506" s="94">
        <v>0</v>
      </c>
      <c r="S506" s="94">
        <v>0</v>
      </c>
      <c r="T506" s="89">
        <v>0</v>
      </c>
      <c r="U506" s="89">
        <v>0</v>
      </c>
      <c r="V506" s="94">
        <v>0</v>
      </c>
      <c r="W506" s="94">
        <v>0</v>
      </c>
      <c r="X506" s="94">
        <v>0</v>
      </c>
      <c r="Y506" s="89">
        <v>0</v>
      </c>
      <c r="Z506" s="94">
        <f t="shared" si="33"/>
        <v>0</v>
      </c>
      <c r="AA506" s="94">
        <f t="shared" si="34"/>
        <v>0</v>
      </c>
      <c r="AB506" s="89">
        <f t="shared" si="35"/>
        <v>0</v>
      </c>
      <c r="AC506" s="89">
        <f t="shared" si="36"/>
        <v>0</v>
      </c>
      <c r="AD506" s="89">
        <v>0</v>
      </c>
      <c r="AE506" s="89">
        <v>0</v>
      </c>
      <c r="AF506" s="117"/>
      <c r="AG506" s="117"/>
      <c r="AH506" s="262"/>
      <c r="AI506" s="17"/>
      <c r="AJ506" s="17"/>
      <c r="AK506" s="17"/>
      <c r="AL506" s="17"/>
      <c r="AM506" s="17"/>
      <c r="AN506" s="17"/>
      <c r="AO506" s="17"/>
      <c r="AP506" s="15" t="str">
        <f>IFERROR(VLOOKUP(AO506,Legend!$D$2:$E$26,2,0),"")</f>
        <v/>
      </c>
      <c r="AQ506" s="15"/>
      <c r="AR506" s="17"/>
      <c r="AS506" s="17"/>
      <c r="AT506" s="15"/>
      <c r="AU506" s="17"/>
      <c r="AV506" s="17"/>
      <c r="AW506" s="17" t="s">
        <v>10</v>
      </c>
      <c r="AX506" s="15"/>
      <c r="AY506" s="15"/>
    </row>
    <row r="507" spans="1:51" x14ac:dyDescent="0.25">
      <c r="A507" s="15"/>
      <c r="B507" s="15"/>
      <c r="C507" s="15"/>
      <c r="D507" s="15"/>
      <c r="E507" s="91"/>
      <c r="F507" s="15"/>
      <c r="G507" s="15"/>
      <c r="H507" s="15"/>
      <c r="I507" s="15"/>
      <c r="J507" s="15"/>
      <c r="K507" s="89"/>
      <c r="L507" s="15"/>
      <c r="M507" s="89">
        <v>0</v>
      </c>
      <c r="N507" s="89">
        <v>0</v>
      </c>
      <c r="O507" s="89">
        <v>0</v>
      </c>
      <c r="P507" s="94">
        <v>0</v>
      </c>
      <c r="Q507" s="94">
        <v>0</v>
      </c>
      <c r="R507" s="94">
        <v>0</v>
      </c>
      <c r="S507" s="94">
        <v>0</v>
      </c>
      <c r="T507" s="89">
        <v>0</v>
      </c>
      <c r="U507" s="89">
        <v>0</v>
      </c>
      <c r="V507" s="94">
        <v>0</v>
      </c>
      <c r="W507" s="94">
        <v>0</v>
      </c>
      <c r="X507" s="94">
        <v>0</v>
      </c>
      <c r="Y507" s="89">
        <v>0</v>
      </c>
      <c r="Z507" s="94">
        <f t="shared" si="33"/>
        <v>0</v>
      </c>
      <c r="AA507" s="94">
        <f t="shared" si="34"/>
        <v>0</v>
      </c>
      <c r="AB507" s="89">
        <f t="shared" si="35"/>
        <v>0</v>
      </c>
      <c r="AC507" s="89">
        <f t="shared" si="36"/>
        <v>0</v>
      </c>
      <c r="AD507" s="89">
        <v>0</v>
      </c>
      <c r="AE507" s="89">
        <v>0</v>
      </c>
      <c r="AF507" s="117"/>
      <c r="AG507" s="117"/>
      <c r="AH507" s="262"/>
      <c r="AI507" s="17"/>
      <c r="AJ507" s="17"/>
      <c r="AK507" s="17"/>
      <c r="AL507" s="17"/>
      <c r="AM507" s="17"/>
      <c r="AN507" s="17"/>
      <c r="AO507" s="17"/>
      <c r="AP507" s="15" t="str">
        <f>IFERROR(VLOOKUP(AO507,Legend!$D$2:$E$26,2,0),"")</f>
        <v/>
      </c>
      <c r="AQ507" s="15"/>
      <c r="AR507" s="17"/>
      <c r="AS507" s="17"/>
      <c r="AT507" s="15"/>
      <c r="AU507" s="17"/>
      <c r="AV507" s="17"/>
      <c r="AW507" s="17" t="s">
        <v>10</v>
      </c>
      <c r="AX507" s="15"/>
      <c r="AY507" s="15"/>
    </row>
    <row r="508" spans="1:51" x14ac:dyDescent="0.25">
      <c r="A508" s="15"/>
      <c r="B508" s="15"/>
      <c r="C508" s="15"/>
      <c r="D508" s="15"/>
      <c r="E508" s="91"/>
      <c r="F508" s="15"/>
      <c r="G508" s="15"/>
      <c r="H508" s="15"/>
      <c r="I508" s="15"/>
      <c r="J508" s="15"/>
      <c r="K508" s="89"/>
      <c r="L508" s="15"/>
      <c r="M508" s="89">
        <v>0</v>
      </c>
      <c r="N508" s="89">
        <v>0</v>
      </c>
      <c r="O508" s="89">
        <v>0</v>
      </c>
      <c r="P508" s="94">
        <v>0</v>
      </c>
      <c r="Q508" s="94">
        <v>0</v>
      </c>
      <c r="R508" s="94">
        <v>0</v>
      </c>
      <c r="S508" s="94">
        <v>0</v>
      </c>
      <c r="T508" s="89">
        <v>0</v>
      </c>
      <c r="U508" s="89">
        <v>0</v>
      </c>
      <c r="V508" s="94">
        <v>0</v>
      </c>
      <c r="W508" s="94">
        <v>0</v>
      </c>
      <c r="X508" s="94">
        <v>0</v>
      </c>
      <c r="Y508" s="89">
        <v>0</v>
      </c>
      <c r="Z508" s="94">
        <f t="shared" si="33"/>
        <v>0</v>
      </c>
      <c r="AA508" s="94">
        <f t="shared" si="34"/>
        <v>0</v>
      </c>
      <c r="AB508" s="89">
        <f t="shared" si="35"/>
        <v>0</v>
      </c>
      <c r="AC508" s="89">
        <f t="shared" si="36"/>
        <v>0</v>
      </c>
      <c r="AD508" s="89">
        <v>0</v>
      </c>
      <c r="AE508" s="89">
        <v>0</v>
      </c>
      <c r="AF508" s="117"/>
      <c r="AG508" s="117"/>
      <c r="AH508" s="262"/>
      <c r="AI508" s="17"/>
      <c r="AJ508" s="17"/>
      <c r="AK508" s="17"/>
      <c r="AL508" s="17"/>
      <c r="AM508" s="17"/>
      <c r="AN508" s="17"/>
      <c r="AO508" s="17"/>
      <c r="AP508" s="15" t="str">
        <f>IFERROR(VLOOKUP(AO508,Legend!$D$2:$E$26,2,0),"")</f>
        <v/>
      </c>
      <c r="AQ508" s="15"/>
      <c r="AR508" s="17"/>
      <c r="AS508" s="17"/>
      <c r="AT508" s="15"/>
      <c r="AU508" s="17"/>
      <c r="AV508" s="17"/>
      <c r="AW508" s="17" t="s">
        <v>10</v>
      </c>
      <c r="AX508" s="15"/>
      <c r="AY508" s="15"/>
    </row>
    <row r="509" spans="1:51" x14ac:dyDescent="0.25">
      <c r="A509" s="15"/>
      <c r="B509" s="15"/>
      <c r="C509" s="15"/>
      <c r="D509" s="15"/>
      <c r="E509" s="91"/>
      <c r="F509" s="15"/>
      <c r="G509" s="15"/>
      <c r="H509" s="15"/>
      <c r="I509" s="15"/>
      <c r="J509" s="15"/>
      <c r="K509" s="89"/>
      <c r="L509" s="15"/>
      <c r="M509" s="89">
        <v>0</v>
      </c>
      <c r="N509" s="89">
        <v>0</v>
      </c>
      <c r="O509" s="89">
        <v>0</v>
      </c>
      <c r="P509" s="94">
        <v>0</v>
      </c>
      <c r="Q509" s="94">
        <v>0</v>
      </c>
      <c r="R509" s="94">
        <v>0</v>
      </c>
      <c r="S509" s="94">
        <v>0</v>
      </c>
      <c r="T509" s="89">
        <v>0</v>
      </c>
      <c r="U509" s="89">
        <v>0</v>
      </c>
      <c r="V509" s="94">
        <v>0</v>
      </c>
      <c r="W509" s="94">
        <v>0</v>
      </c>
      <c r="X509" s="94">
        <v>0</v>
      </c>
      <c r="Y509" s="89">
        <v>0</v>
      </c>
      <c r="Z509" s="94">
        <f t="shared" si="33"/>
        <v>0</v>
      </c>
      <c r="AA509" s="94">
        <f t="shared" si="34"/>
        <v>0</v>
      </c>
      <c r="AB509" s="89">
        <f t="shared" si="35"/>
        <v>0</v>
      </c>
      <c r="AC509" s="89">
        <f t="shared" si="36"/>
        <v>0</v>
      </c>
      <c r="AD509" s="89">
        <v>0</v>
      </c>
      <c r="AE509" s="89">
        <v>0</v>
      </c>
      <c r="AF509" s="117"/>
      <c r="AG509" s="117"/>
      <c r="AH509" s="262"/>
      <c r="AI509" s="17"/>
      <c r="AJ509" s="17"/>
      <c r="AK509" s="17"/>
      <c r="AL509" s="17"/>
      <c r="AM509" s="17"/>
      <c r="AN509" s="17"/>
      <c r="AO509" s="17"/>
      <c r="AP509" s="15" t="str">
        <f>IFERROR(VLOOKUP(AO509,Legend!$D$2:$E$26,2,0),"")</f>
        <v/>
      </c>
      <c r="AQ509" s="15"/>
      <c r="AR509" s="17"/>
      <c r="AS509" s="17"/>
      <c r="AT509" s="15"/>
      <c r="AU509" s="17"/>
      <c r="AV509" s="17"/>
      <c r="AW509" s="17" t="s">
        <v>10</v>
      </c>
      <c r="AX509" s="15"/>
      <c r="AY509" s="15"/>
    </row>
    <row r="510" spans="1:51" x14ac:dyDescent="0.25">
      <c r="A510" s="15"/>
      <c r="B510" s="15"/>
      <c r="C510" s="15"/>
      <c r="D510" s="15"/>
      <c r="E510" s="91"/>
      <c r="F510" s="15"/>
      <c r="G510" s="15"/>
      <c r="H510" s="15"/>
      <c r="I510" s="15"/>
      <c r="J510" s="15"/>
      <c r="K510" s="89"/>
      <c r="L510" s="15"/>
      <c r="M510" s="89">
        <v>0</v>
      </c>
      <c r="N510" s="89">
        <v>0</v>
      </c>
      <c r="O510" s="89">
        <v>0</v>
      </c>
      <c r="P510" s="94">
        <v>0</v>
      </c>
      <c r="Q510" s="94">
        <v>0</v>
      </c>
      <c r="R510" s="94">
        <v>0</v>
      </c>
      <c r="S510" s="94">
        <v>0</v>
      </c>
      <c r="T510" s="89">
        <v>0</v>
      </c>
      <c r="U510" s="89">
        <v>0</v>
      </c>
      <c r="V510" s="94">
        <v>0</v>
      </c>
      <c r="W510" s="94">
        <v>0</v>
      </c>
      <c r="X510" s="94">
        <v>0</v>
      </c>
      <c r="Y510" s="89">
        <v>0</v>
      </c>
      <c r="Z510" s="94">
        <f t="shared" si="33"/>
        <v>0</v>
      </c>
      <c r="AA510" s="94">
        <f t="shared" si="34"/>
        <v>0</v>
      </c>
      <c r="AB510" s="89">
        <f t="shared" si="35"/>
        <v>0</v>
      </c>
      <c r="AC510" s="89">
        <f t="shared" si="36"/>
        <v>0</v>
      </c>
      <c r="AD510" s="89">
        <v>0</v>
      </c>
      <c r="AE510" s="89">
        <v>0</v>
      </c>
      <c r="AF510" s="117"/>
      <c r="AG510" s="117"/>
      <c r="AH510" s="262"/>
      <c r="AI510" s="17"/>
      <c r="AJ510" s="17"/>
      <c r="AK510" s="17"/>
      <c r="AL510" s="17"/>
      <c r="AM510" s="17"/>
      <c r="AN510" s="17"/>
      <c r="AO510" s="17"/>
      <c r="AP510" s="15" t="str">
        <f>IFERROR(VLOOKUP(AO510,Legend!$D$2:$E$26,2,0),"")</f>
        <v/>
      </c>
      <c r="AQ510" s="15"/>
      <c r="AR510" s="17"/>
      <c r="AS510" s="17"/>
      <c r="AT510" s="15"/>
      <c r="AU510" s="17"/>
      <c r="AV510" s="17"/>
      <c r="AW510" s="17" t="s">
        <v>10</v>
      </c>
      <c r="AX510" s="15"/>
      <c r="AY510" s="15"/>
    </row>
    <row r="511" spans="1:51" x14ac:dyDescent="0.25">
      <c r="A511" s="15"/>
      <c r="B511" s="15"/>
      <c r="C511" s="15"/>
      <c r="D511" s="15"/>
      <c r="E511" s="91"/>
      <c r="F511" s="15"/>
      <c r="G511" s="15"/>
      <c r="H511" s="15"/>
      <c r="I511" s="15"/>
      <c r="J511" s="15"/>
      <c r="K511" s="89"/>
      <c r="L511" s="15"/>
      <c r="M511" s="89">
        <v>0</v>
      </c>
      <c r="N511" s="89">
        <v>0</v>
      </c>
      <c r="O511" s="89">
        <v>0</v>
      </c>
      <c r="P511" s="94">
        <v>0</v>
      </c>
      <c r="Q511" s="94">
        <v>0</v>
      </c>
      <c r="R511" s="94">
        <v>0</v>
      </c>
      <c r="S511" s="94">
        <v>0</v>
      </c>
      <c r="T511" s="89">
        <v>0</v>
      </c>
      <c r="U511" s="89">
        <v>0</v>
      </c>
      <c r="V511" s="94">
        <v>0</v>
      </c>
      <c r="W511" s="94">
        <v>0</v>
      </c>
      <c r="X511" s="94">
        <v>0</v>
      </c>
      <c r="Y511" s="89">
        <v>0</v>
      </c>
      <c r="Z511" s="94">
        <f t="shared" si="33"/>
        <v>0</v>
      </c>
      <c r="AA511" s="94">
        <f t="shared" si="34"/>
        <v>0</v>
      </c>
      <c r="AB511" s="89">
        <f t="shared" si="35"/>
        <v>0</v>
      </c>
      <c r="AC511" s="89">
        <f t="shared" si="36"/>
        <v>0</v>
      </c>
      <c r="AD511" s="89">
        <v>0</v>
      </c>
      <c r="AE511" s="89">
        <v>0</v>
      </c>
      <c r="AF511" s="117"/>
      <c r="AG511" s="117"/>
      <c r="AH511" s="262"/>
      <c r="AI511" s="17"/>
      <c r="AJ511" s="17"/>
      <c r="AK511" s="17"/>
      <c r="AL511" s="17"/>
      <c r="AM511" s="17"/>
      <c r="AN511" s="17"/>
      <c r="AO511" s="17"/>
      <c r="AP511" s="15" t="str">
        <f>IFERROR(VLOOKUP(AO511,Legend!$D$2:$E$26,2,0),"")</f>
        <v/>
      </c>
      <c r="AQ511" s="15"/>
      <c r="AR511" s="17"/>
      <c r="AS511" s="17"/>
      <c r="AT511" s="15"/>
      <c r="AU511" s="17"/>
      <c r="AV511" s="17"/>
      <c r="AW511" s="17" t="s">
        <v>10</v>
      </c>
      <c r="AX511" s="15"/>
      <c r="AY511" s="15"/>
    </row>
    <row r="512" spans="1:51" x14ac:dyDescent="0.25">
      <c r="A512" s="15"/>
      <c r="B512" s="15"/>
      <c r="C512" s="15"/>
      <c r="D512" s="15"/>
      <c r="E512" s="91"/>
      <c r="F512" s="15"/>
      <c r="G512" s="15"/>
      <c r="H512" s="15"/>
      <c r="I512" s="15"/>
      <c r="J512" s="15"/>
      <c r="K512" s="89"/>
      <c r="L512" s="15"/>
      <c r="M512" s="89">
        <v>0</v>
      </c>
      <c r="N512" s="89">
        <v>0</v>
      </c>
      <c r="O512" s="89">
        <v>0</v>
      </c>
      <c r="P512" s="94">
        <v>0</v>
      </c>
      <c r="Q512" s="94">
        <v>0</v>
      </c>
      <c r="R512" s="94">
        <v>0</v>
      </c>
      <c r="S512" s="94">
        <v>0</v>
      </c>
      <c r="T512" s="89">
        <v>0</v>
      </c>
      <c r="U512" s="89">
        <v>0</v>
      </c>
      <c r="V512" s="94">
        <v>0</v>
      </c>
      <c r="W512" s="94">
        <v>0</v>
      </c>
      <c r="X512" s="94">
        <v>0</v>
      </c>
      <c r="Y512" s="89">
        <v>0</v>
      </c>
      <c r="Z512" s="94">
        <f t="shared" si="33"/>
        <v>0</v>
      </c>
      <c r="AA512" s="94">
        <f t="shared" si="34"/>
        <v>0</v>
      </c>
      <c r="AB512" s="89">
        <f t="shared" si="35"/>
        <v>0</v>
      </c>
      <c r="AC512" s="89">
        <f t="shared" si="36"/>
        <v>0</v>
      </c>
      <c r="AD512" s="89">
        <v>0</v>
      </c>
      <c r="AE512" s="89">
        <v>0</v>
      </c>
      <c r="AF512" s="117"/>
      <c r="AG512" s="117"/>
      <c r="AH512" s="262"/>
      <c r="AI512" s="17"/>
      <c r="AJ512" s="17"/>
      <c r="AK512" s="17"/>
      <c r="AL512" s="17"/>
      <c r="AM512" s="17"/>
      <c r="AN512" s="17"/>
      <c r="AO512" s="17"/>
      <c r="AP512" s="15" t="str">
        <f>IFERROR(VLOOKUP(AO512,Legend!$D$2:$E$26,2,0),"")</f>
        <v/>
      </c>
      <c r="AQ512" s="15"/>
      <c r="AR512" s="17"/>
      <c r="AS512" s="17"/>
      <c r="AT512" s="15"/>
      <c r="AU512" s="17"/>
      <c r="AV512" s="17"/>
      <c r="AW512" s="17" t="s">
        <v>10</v>
      </c>
      <c r="AX512" s="15"/>
      <c r="AY512" s="15"/>
    </row>
    <row r="513" spans="1:51" x14ac:dyDescent="0.25">
      <c r="A513" s="15"/>
      <c r="B513" s="15"/>
      <c r="C513" s="15"/>
      <c r="D513" s="15"/>
      <c r="E513" s="91"/>
      <c r="F513" s="15"/>
      <c r="G513" s="15"/>
      <c r="H513" s="15"/>
      <c r="I513" s="15"/>
      <c r="J513" s="15"/>
      <c r="K513" s="89"/>
      <c r="L513" s="15"/>
      <c r="M513" s="89">
        <v>0</v>
      </c>
      <c r="N513" s="89">
        <v>0</v>
      </c>
      <c r="O513" s="89">
        <v>0</v>
      </c>
      <c r="P513" s="94">
        <v>0</v>
      </c>
      <c r="Q513" s="94">
        <v>0</v>
      </c>
      <c r="R513" s="94">
        <v>0</v>
      </c>
      <c r="S513" s="94">
        <v>0</v>
      </c>
      <c r="T513" s="89">
        <v>0</v>
      </c>
      <c r="U513" s="89">
        <v>0</v>
      </c>
      <c r="V513" s="94">
        <v>0</v>
      </c>
      <c r="W513" s="94">
        <v>0</v>
      </c>
      <c r="X513" s="94">
        <v>0</v>
      </c>
      <c r="Y513" s="89">
        <v>0</v>
      </c>
      <c r="Z513" s="94">
        <f t="shared" si="33"/>
        <v>0</v>
      </c>
      <c r="AA513" s="94">
        <f t="shared" si="34"/>
        <v>0</v>
      </c>
      <c r="AB513" s="89">
        <f t="shared" si="35"/>
        <v>0</v>
      </c>
      <c r="AC513" s="89">
        <f t="shared" si="36"/>
        <v>0</v>
      </c>
      <c r="AD513" s="89">
        <v>0</v>
      </c>
      <c r="AE513" s="89">
        <v>0</v>
      </c>
      <c r="AF513" s="117"/>
      <c r="AG513" s="117"/>
      <c r="AH513" s="262"/>
      <c r="AI513" s="17"/>
      <c r="AJ513" s="17"/>
      <c r="AK513" s="17"/>
      <c r="AL513" s="17"/>
      <c r="AM513" s="17"/>
      <c r="AN513" s="17"/>
      <c r="AO513" s="17"/>
      <c r="AP513" s="15" t="str">
        <f>IFERROR(VLOOKUP(AO513,Legend!$D$2:$E$26,2,0),"")</f>
        <v/>
      </c>
      <c r="AQ513" s="15"/>
      <c r="AR513" s="17"/>
      <c r="AS513" s="17"/>
      <c r="AT513" s="15"/>
      <c r="AU513" s="17"/>
      <c r="AV513" s="17"/>
      <c r="AW513" s="17" t="s">
        <v>10</v>
      </c>
      <c r="AX513" s="15"/>
      <c r="AY513" s="15"/>
    </row>
    <row r="514" spans="1:51" x14ac:dyDescent="0.25">
      <c r="A514" s="15"/>
      <c r="B514" s="15"/>
      <c r="C514" s="15"/>
      <c r="D514" s="15"/>
      <c r="E514" s="91"/>
      <c r="F514" s="15"/>
      <c r="G514" s="15"/>
      <c r="H514" s="15"/>
      <c r="I514" s="15"/>
      <c r="J514" s="15"/>
      <c r="K514" s="89"/>
      <c r="L514" s="15"/>
      <c r="M514" s="89">
        <v>0</v>
      </c>
      <c r="N514" s="89">
        <v>0</v>
      </c>
      <c r="O514" s="89">
        <v>0</v>
      </c>
      <c r="P514" s="94">
        <v>0</v>
      </c>
      <c r="Q514" s="94">
        <v>0</v>
      </c>
      <c r="R514" s="94">
        <v>0</v>
      </c>
      <c r="S514" s="94">
        <v>0</v>
      </c>
      <c r="T514" s="89">
        <v>0</v>
      </c>
      <c r="U514" s="89">
        <v>0</v>
      </c>
      <c r="V514" s="94">
        <v>0</v>
      </c>
      <c r="W514" s="94">
        <v>0</v>
      </c>
      <c r="X514" s="94">
        <v>0</v>
      </c>
      <c r="Y514" s="89">
        <v>0</v>
      </c>
      <c r="Z514" s="94">
        <f t="shared" si="33"/>
        <v>0</v>
      </c>
      <c r="AA514" s="94">
        <f t="shared" si="34"/>
        <v>0</v>
      </c>
      <c r="AB514" s="89">
        <f t="shared" si="35"/>
        <v>0</v>
      </c>
      <c r="AC514" s="89">
        <f t="shared" si="36"/>
        <v>0</v>
      </c>
      <c r="AD514" s="89">
        <v>0</v>
      </c>
      <c r="AE514" s="89">
        <v>0</v>
      </c>
      <c r="AF514" s="117"/>
      <c r="AG514" s="117"/>
      <c r="AH514" s="262"/>
      <c r="AI514" s="17"/>
      <c r="AJ514" s="17"/>
      <c r="AK514" s="17"/>
      <c r="AL514" s="17"/>
      <c r="AM514" s="17"/>
      <c r="AN514" s="17"/>
      <c r="AO514" s="17"/>
      <c r="AP514" s="15" t="str">
        <f>IFERROR(VLOOKUP(AO514,Legend!$D$2:$E$26,2,0),"")</f>
        <v/>
      </c>
      <c r="AQ514" s="15"/>
      <c r="AR514" s="17"/>
      <c r="AS514" s="17"/>
      <c r="AT514" s="15"/>
      <c r="AU514" s="17"/>
      <c r="AV514" s="17"/>
      <c r="AW514" s="17" t="s">
        <v>10</v>
      </c>
      <c r="AX514" s="15"/>
      <c r="AY514" s="15"/>
    </row>
    <row r="515" spans="1:51" x14ac:dyDescent="0.25">
      <c r="A515" s="15"/>
      <c r="B515" s="15"/>
      <c r="C515" s="15"/>
      <c r="D515" s="15"/>
      <c r="E515" s="91"/>
      <c r="F515" s="15"/>
      <c r="G515" s="15"/>
      <c r="H515" s="15"/>
      <c r="I515" s="15"/>
      <c r="J515" s="15"/>
      <c r="K515" s="89"/>
      <c r="L515" s="15"/>
      <c r="M515" s="89">
        <v>0</v>
      </c>
      <c r="N515" s="89">
        <v>0</v>
      </c>
      <c r="O515" s="89">
        <v>0</v>
      </c>
      <c r="P515" s="94">
        <v>0</v>
      </c>
      <c r="Q515" s="94">
        <v>0</v>
      </c>
      <c r="R515" s="94">
        <v>0</v>
      </c>
      <c r="S515" s="94">
        <v>0</v>
      </c>
      <c r="T515" s="89">
        <v>0</v>
      </c>
      <c r="U515" s="89">
        <v>0</v>
      </c>
      <c r="V515" s="94">
        <v>0</v>
      </c>
      <c r="W515" s="94">
        <v>0</v>
      </c>
      <c r="X515" s="94">
        <v>0</v>
      </c>
      <c r="Y515" s="89">
        <v>0</v>
      </c>
      <c r="Z515" s="94">
        <f t="shared" si="33"/>
        <v>0</v>
      </c>
      <c r="AA515" s="94">
        <f t="shared" si="34"/>
        <v>0</v>
      </c>
      <c r="AB515" s="89">
        <f t="shared" si="35"/>
        <v>0</v>
      </c>
      <c r="AC515" s="89">
        <f t="shared" si="36"/>
        <v>0</v>
      </c>
      <c r="AD515" s="89">
        <v>0</v>
      </c>
      <c r="AE515" s="89">
        <v>0</v>
      </c>
      <c r="AF515" s="117"/>
      <c r="AG515" s="117"/>
      <c r="AH515" s="262"/>
      <c r="AI515" s="17"/>
      <c r="AJ515" s="17"/>
      <c r="AK515" s="17"/>
      <c r="AL515" s="17"/>
      <c r="AM515" s="17"/>
      <c r="AN515" s="17"/>
      <c r="AO515" s="17"/>
      <c r="AP515" s="15" t="str">
        <f>IFERROR(VLOOKUP(AO515,Legend!$D$2:$E$26,2,0),"")</f>
        <v/>
      </c>
      <c r="AQ515" s="15"/>
      <c r="AR515" s="17"/>
      <c r="AS515" s="17"/>
      <c r="AT515" s="15"/>
      <c r="AU515" s="17"/>
      <c r="AV515" s="17"/>
      <c r="AW515" s="17" t="s">
        <v>10</v>
      </c>
      <c r="AX515" s="15"/>
      <c r="AY515" s="15"/>
    </row>
    <row r="516" spans="1:51" x14ac:dyDescent="0.25">
      <c r="A516" s="15"/>
      <c r="B516" s="15"/>
      <c r="C516" s="15"/>
      <c r="D516" s="15"/>
      <c r="E516" s="91"/>
      <c r="F516" s="15"/>
      <c r="G516" s="15"/>
      <c r="H516" s="15"/>
      <c r="I516" s="15"/>
      <c r="J516" s="15"/>
      <c r="K516" s="89"/>
      <c r="L516" s="15"/>
      <c r="M516" s="89">
        <v>0</v>
      </c>
      <c r="N516" s="89">
        <v>0</v>
      </c>
      <c r="O516" s="89">
        <v>0</v>
      </c>
      <c r="P516" s="94">
        <v>0</v>
      </c>
      <c r="Q516" s="94">
        <v>0</v>
      </c>
      <c r="R516" s="94">
        <v>0</v>
      </c>
      <c r="S516" s="94">
        <v>0</v>
      </c>
      <c r="T516" s="89">
        <v>0</v>
      </c>
      <c r="U516" s="89">
        <v>0</v>
      </c>
      <c r="V516" s="94">
        <v>0</v>
      </c>
      <c r="W516" s="94">
        <v>0</v>
      </c>
      <c r="X516" s="94">
        <v>0</v>
      </c>
      <c r="Y516" s="89">
        <v>0</v>
      </c>
      <c r="Z516" s="94">
        <f t="shared" si="33"/>
        <v>0</v>
      </c>
      <c r="AA516" s="94">
        <f t="shared" si="34"/>
        <v>0</v>
      </c>
      <c r="AB516" s="89">
        <f t="shared" si="35"/>
        <v>0</v>
      </c>
      <c r="AC516" s="89">
        <f t="shared" si="36"/>
        <v>0</v>
      </c>
      <c r="AD516" s="89">
        <v>0</v>
      </c>
      <c r="AE516" s="89">
        <v>0</v>
      </c>
      <c r="AF516" s="117"/>
      <c r="AG516" s="117"/>
      <c r="AH516" s="262"/>
      <c r="AI516" s="17"/>
      <c r="AJ516" s="17"/>
      <c r="AK516" s="17"/>
      <c r="AL516" s="17"/>
      <c r="AM516" s="17"/>
      <c r="AN516" s="17"/>
      <c r="AO516" s="17"/>
      <c r="AP516" s="15" t="str">
        <f>IFERROR(VLOOKUP(AO516,Legend!$D$2:$E$26,2,0),"")</f>
        <v/>
      </c>
      <c r="AQ516" s="15"/>
      <c r="AR516" s="17"/>
      <c r="AS516" s="17"/>
      <c r="AT516" s="15"/>
      <c r="AU516" s="17"/>
      <c r="AV516" s="17"/>
      <c r="AW516" s="17" t="s">
        <v>10</v>
      </c>
      <c r="AX516" s="15"/>
      <c r="AY516" s="15"/>
    </row>
    <row r="517" spans="1:51" x14ac:dyDescent="0.25">
      <c r="A517" s="15"/>
      <c r="B517" s="15"/>
      <c r="C517" s="15"/>
      <c r="D517" s="15"/>
      <c r="E517" s="91"/>
      <c r="F517" s="15"/>
      <c r="G517" s="15"/>
      <c r="H517" s="15"/>
      <c r="I517" s="15"/>
      <c r="J517" s="15"/>
      <c r="K517" s="89"/>
      <c r="L517" s="15"/>
      <c r="M517" s="89">
        <v>0</v>
      </c>
      <c r="N517" s="89">
        <v>0</v>
      </c>
      <c r="O517" s="89">
        <v>0</v>
      </c>
      <c r="P517" s="94">
        <v>0</v>
      </c>
      <c r="Q517" s="94">
        <v>0</v>
      </c>
      <c r="R517" s="94">
        <v>0</v>
      </c>
      <c r="S517" s="94">
        <v>0</v>
      </c>
      <c r="T517" s="89">
        <v>0</v>
      </c>
      <c r="U517" s="89">
        <v>0</v>
      </c>
      <c r="V517" s="94">
        <v>0</v>
      </c>
      <c r="W517" s="94">
        <v>0</v>
      </c>
      <c r="X517" s="94">
        <v>0</v>
      </c>
      <c r="Y517" s="89">
        <v>0</v>
      </c>
      <c r="Z517" s="94">
        <f t="shared" ref="Z517:Z574" si="37">SUM(M517:Y517)</f>
        <v>0</v>
      </c>
      <c r="AA517" s="94">
        <f t="shared" si="34"/>
        <v>0</v>
      </c>
      <c r="AB517" s="89">
        <f t="shared" si="35"/>
        <v>0</v>
      </c>
      <c r="AC517" s="89">
        <f t="shared" si="36"/>
        <v>0</v>
      </c>
      <c r="AD517" s="89">
        <v>0</v>
      </c>
      <c r="AE517" s="89">
        <v>0</v>
      </c>
      <c r="AF517" s="117"/>
      <c r="AG517" s="117"/>
      <c r="AH517" s="262"/>
      <c r="AI517" s="17"/>
      <c r="AJ517" s="17"/>
      <c r="AK517" s="17"/>
      <c r="AL517" s="17"/>
      <c r="AM517" s="17"/>
      <c r="AN517" s="17"/>
      <c r="AO517" s="17"/>
      <c r="AP517" s="15" t="str">
        <f>IFERROR(VLOOKUP(AO517,Legend!$D$2:$E$26,2,0),"")</f>
        <v/>
      </c>
      <c r="AQ517" s="15"/>
      <c r="AR517" s="17"/>
      <c r="AS517" s="17"/>
      <c r="AT517" s="15"/>
      <c r="AU517" s="17"/>
      <c r="AV517" s="17"/>
      <c r="AW517" s="17" t="s">
        <v>10</v>
      </c>
      <c r="AX517" s="15"/>
      <c r="AY517" s="15"/>
    </row>
    <row r="518" spans="1:51" x14ac:dyDescent="0.25">
      <c r="A518" s="15"/>
      <c r="B518" s="15"/>
      <c r="C518" s="15"/>
      <c r="D518" s="15"/>
      <c r="E518" s="91"/>
      <c r="F518" s="15"/>
      <c r="G518" s="15"/>
      <c r="H518" s="15"/>
      <c r="I518" s="15"/>
      <c r="J518" s="15"/>
      <c r="K518" s="89"/>
      <c r="L518" s="15"/>
      <c r="M518" s="89">
        <v>0</v>
      </c>
      <c r="N518" s="89">
        <v>0</v>
      </c>
      <c r="O518" s="89">
        <v>0</v>
      </c>
      <c r="P518" s="94">
        <v>0</v>
      </c>
      <c r="Q518" s="94">
        <v>0</v>
      </c>
      <c r="R518" s="94">
        <v>0</v>
      </c>
      <c r="S518" s="94">
        <v>0</v>
      </c>
      <c r="T518" s="89">
        <v>0</v>
      </c>
      <c r="U518" s="89">
        <v>0</v>
      </c>
      <c r="V518" s="94">
        <v>0</v>
      </c>
      <c r="W518" s="94">
        <v>0</v>
      </c>
      <c r="X518" s="94">
        <v>0</v>
      </c>
      <c r="Y518" s="89">
        <v>0</v>
      </c>
      <c r="Z518" s="94">
        <f t="shared" si="37"/>
        <v>0</v>
      </c>
      <c r="AA518" s="94">
        <f t="shared" ref="AA518:AA574" si="38">Y518+M518</f>
        <v>0</v>
      </c>
      <c r="AB518" s="89">
        <f t="shared" ref="AB518:AB574" si="39">Z518-AA518</f>
        <v>0</v>
      </c>
      <c r="AC518" s="89">
        <f t="shared" ref="AC518:AC574" si="40">AB518</f>
        <v>0</v>
      </c>
      <c r="AD518" s="89">
        <v>0</v>
      </c>
      <c r="AE518" s="89">
        <v>0</v>
      </c>
      <c r="AF518" s="117"/>
      <c r="AG518" s="117"/>
      <c r="AH518" s="262"/>
      <c r="AI518" s="17"/>
      <c r="AJ518" s="17"/>
      <c r="AK518" s="17"/>
      <c r="AL518" s="17"/>
      <c r="AM518" s="17"/>
      <c r="AN518" s="17"/>
      <c r="AO518" s="17"/>
      <c r="AP518" s="15" t="str">
        <f>IFERROR(VLOOKUP(AO518,Legend!$D$2:$E$26,2,0),"")</f>
        <v/>
      </c>
      <c r="AQ518" s="15"/>
      <c r="AR518" s="17"/>
      <c r="AS518" s="17"/>
      <c r="AT518" s="15"/>
      <c r="AU518" s="17"/>
      <c r="AV518" s="17"/>
      <c r="AW518" s="17" t="s">
        <v>10</v>
      </c>
      <c r="AX518" s="15"/>
      <c r="AY518" s="15"/>
    </row>
    <row r="519" spans="1:51" x14ac:dyDescent="0.25">
      <c r="A519" s="15"/>
      <c r="B519" s="15"/>
      <c r="C519" s="15"/>
      <c r="D519" s="15"/>
      <c r="E519" s="91"/>
      <c r="F519" s="15"/>
      <c r="G519" s="15"/>
      <c r="H519" s="15"/>
      <c r="I519" s="15"/>
      <c r="J519" s="15"/>
      <c r="K519" s="89"/>
      <c r="L519" s="15"/>
      <c r="M519" s="89">
        <v>0</v>
      </c>
      <c r="N519" s="89">
        <v>0</v>
      </c>
      <c r="O519" s="89">
        <v>0</v>
      </c>
      <c r="P519" s="94">
        <v>0</v>
      </c>
      <c r="Q519" s="94">
        <v>0</v>
      </c>
      <c r="R519" s="94">
        <v>0</v>
      </c>
      <c r="S519" s="94">
        <v>0</v>
      </c>
      <c r="T519" s="89">
        <v>0</v>
      </c>
      <c r="U519" s="89">
        <v>0</v>
      </c>
      <c r="V519" s="94">
        <v>0</v>
      </c>
      <c r="W519" s="94">
        <v>0</v>
      </c>
      <c r="X519" s="94">
        <v>0</v>
      </c>
      <c r="Y519" s="89">
        <v>0</v>
      </c>
      <c r="Z519" s="94">
        <f t="shared" si="37"/>
        <v>0</v>
      </c>
      <c r="AA519" s="94">
        <f t="shared" si="38"/>
        <v>0</v>
      </c>
      <c r="AB519" s="89">
        <f t="shared" si="39"/>
        <v>0</v>
      </c>
      <c r="AC519" s="89">
        <f t="shared" si="40"/>
        <v>0</v>
      </c>
      <c r="AD519" s="89">
        <v>0</v>
      </c>
      <c r="AE519" s="89">
        <v>0</v>
      </c>
      <c r="AF519" s="117"/>
      <c r="AG519" s="117"/>
      <c r="AH519" s="262"/>
      <c r="AI519" s="17"/>
      <c r="AJ519" s="17"/>
      <c r="AK519" s="17"/>
      <c r="AL519" s="17"/>
      <c r="AM519" s="17"/>
      <c r="AN519" s="17"/>
      <c r="AO519" s="17"/>
      <c r="AP519" s="15" t="str">
        <f>IFERROR(VLOOKUP(AO519,Legend!$D$2:$E$26,2,0),"")</f>
        <v/>
      </c>
      <c r="AQ519" s="15"/>
      <c r="AR519" s="17"/>
      <c r="AS519" s="17"/>
      <c r="AT519" s="15"/>
      <c r="AU519" s="17"/>
      <c r="AV519" s="17"/>
      <c r="AW519" s="17" t="s">
        <v>10</v>
      </c>
      <c r="AX519" s="15"/>
      <c r="AY519" s="15"/>
    </row>
    <row r="520" spans="1:51" x14ac:dyDescent="0.25">
      <c r="A520" s="15"/>
      <c r="B520" s="15"/>
      <c r="C520" s="15"/>
      <c r="D520" s="15"/>
      <c r="E520" s="91"/>
      <c r="F520" s="15"/>
      <c r="G520" s="15"/>
      <c r="H520" s="15"/>
      <c r="I520" s="15"/>
      <c r="J520" s="15"/>
      <c r="K520" s="89"/>
      <c r="L520" s="15"/>
      <c r="M520" s="89">
        <v>0</v>
      </c>
      <c r="N520" s="89">
        <v>0</v>
      </c>
      <c r="O520" s="89">
        <v>0</v>
      </c>
      <c r="P520" s="94">
        <v>0</v>
      </c>
      <c r="Q520" s="94">
        <v>0</v>
      </c>
      <c r="R520" s="94">
        <v>0</v>
      </c>
      <c r="S520" s="94">
        <v>0</v>
      </c>
      <c r="T520" s="89">
        <v>0</v>
      </c>
      <c r="U520" s="89">
        <v>0</v>
      </c>
      <c r="V520" s="94">
        <v>0</v>
      </c>
      <c r="W520" s="94">
        <v>0</v>
      </c>
      <c r="X520" s="94">
        <v>0</v>
      </c>
      <c r="Y520" s="89">
        <v>0</v>
      </c>
      <c r="Z520" s="94">
        <f t="shared" si="37"/>
        <v>0</v>
      </c>
      <c r="AA520" s="94">
        <f t="shared" si="38"/>
        <v>0</v>
      </c>
      <c r="AB520" s="89">
        <f t="shared" si="39"/>
        <v>0</v>
      </c>
      <c r="AC520" s="89">
        <f t="shared" si="40"/>
        <v>0</v>
      </c>
      <c r="AD520" s="89">
        <v>0</v>
      </c>
      <c r="AE520" s="89">
        <v>0</v>
      </c>
      <c r="AF520" s="117"/>
      <c r="AG520" s="117"/>
      <c r="AH520" s="262"/>
      <c r="AI520" s="17"/>
      <c r="AJ520" s="17"/>
      <c r="AK520" s="17"/>
      <c r="AL520" s="17"/>
      <c r="AM520" s="17"/>
      <c r="AN520" s="17"/>
      <c r="AO520" s="17"/>
      <c r="AP520" s="15" t="str">
        <f>IFERROR(VLOOKUP(AO520,Legend!$D$2:$E$26,2,0),"")</f>
        <v/>
      </c>
      <c r="AQ520" s="15"/>
      <c r="AR520" s="17"/>
      <c r="AS520" s="17"/>
      <c r="AT520" s="15"/>
      <c r="AU520" s="17"/>
      <c r="AV520" s="17"/>
      <c r="AW520" s="17" t="s">
        <v>10</v>
      </c>
      <c r="AX520" s="15"/>
      <c r="AY520" s="15"/>
    </row>
    <row r="521" spans="1:51" x14ac:dyDescent="0.25">
      <c r="A521" s="15"/>
      <c r="B521" s="15"/>
      <c r="C521" s="15"/>
      <c r="D521" s="15"/>
      <c r="E521" s="91"/>
      <c r="F521" s="15"/>
      <c r="G521" s="15"/>
      <c r="H521" s="15"/>
      <c r="I521" s="15"/>
      <c r="J521" s="15"/>
      <c r="K521" s="89"/>
      <c r="L521" s="15"/>
      <c r="M521" s="89">
        <v>0</v>
      </c>
      <c r="N521" s="89">
        <v>0</v>
      </c>
      <c r="O521" s="89">
        <v>0</v>
      </c>
      <c r="P521" s="94">
        <v>0</v>
      </c>
      <c r="Q521" s="94">
        <v>0</v>
      </c>
      <c r="R521" s="94">
        <v>0</v>
      </c>
      <c r="S521" s="94">
        <v>0</v>
      </c>
      <c r="T521" s="89">
        <v>0</v>
      </c>
      <c r="U521" s="89">
        <v>0</v>
      </c>
      <c r="V521" s="94">
        <v>0</v>
      </c>
      <c r="W521" s="94">
        <v>0</v>
      </c>
      <c r="X521" s="94">
        <v>0</v>
      </c>
      <c r="Y521" s="89">
        <v>0</v>
      </c>
      <c r="Z521" s="94">
        <f t="shared" si="37"/>
        <v>0</v>
      </c>
      <c r="AA521" s="94">
        <f t="shared" si="38"/>
        <v>0</v>
      </c>
      <c r="AB521" s="89">
        <f t="shared" si="39"/>
        <v>0</v>
      </c>
      <c r="AC521" s="89">
        <f t="shared" si="40"/>
        <v>0</v>
      </c>
      <c r="AD521" s="89">
        <v>0</v>
      </c>
      <c r="AE521" s="89">
        <v>0</v>
      </c>
      <c r="AF521" s="117"/>
      <c r="AG521" s="117"/>
      <c r="AH521" s="262"/>
      <c r="AI521" s="17"/>
      <c r="AJ521" s="17"/>
      <c r="AK521" s="17"/>
      <c r="AL521" s="17"/>
      <c r="AM521" s="17"/>
      <c r="AN521" s="17"/>
      <c r="AO521" s="17"/>
      <c r="AP521" s="15" t="str">
        <f>IFERROR(VLOOKUP(AO521,Legend!$D$2:$E$26,2,0),"")</f>
        <v/>
      </c>
      <c r="AQ521" s="15"/>
      <c r="AR521" s="17"/>
      <c r="AS521" s="17"/>
      <c r="AT521" s="15"/>
      <c r="AU521" s="17"/>
      <c r="AV521" s="17"/>
      <c r="AW521" s="17" t="s">
        <v>10</v>
      </c>
      <c r="AX521" s="15"/>
      <c r="AY521" s="15"/>
    </row>
    <row r="522" spans="1:51" x14ac:dyDescent="0.25">
      <c r="A522" s="15"/>
      <c r="B522" s="15"/>
      <c r="C522" s="15"/>
      <c r="D522" s="15"/>
      <c r="E522" s="91"/>
      <c r="F522" s="15"/>
      <c r="G522" s="15"/>
      <c r="H522" s="15"/>
      <c r="I522" s="15"/>
      <c r="J522" s="15"/>
      <c r="K522" s="89"/>
      <c r="L522" s="15"/>
      <c r="M522" s="89">
        <v>0</v>
      </c>
      <c r="N522" s="89">
        <v>0</v>
      </c>
      <c r="O522" s="89">
        <v>0</v>
      </c>
      <c r="P522" s="94">
        <v>0</v>
      </c>
      <c r="Q522" s="94">
        <v>0</v>
      </c>
      <c r="R522" s="94">
        <v>0</v>
      </c>
      <c r="S522" s="94">
        <v>0</v>
      </c>
      <c r="T522" s="89">
        <v>0</v>
      </c>
      <c r="U522" s="89">
        <v>0</v>
      </c>
      <c r="V522" s="94">
        <v>0</v>
      </c>
      <c r="W522" s="94">
        <v>0</v>
      </c>
      <c r="X522" s="94">
        <v>0</v>
      </c>
      <c r="Y522" s="89">
        <v>0</v>
      </c>
      <c r="Z522" s="94">
        <f t="shared" si="37"/>
        <v>0</v>
      </c>
      <c r="AA522" s="94">
        <f t="shared" si="38"/>
        <v>0</v>
      </c>
      <c r="AB522" s="89">
        <f t="shared" si="39"/>
        <v>0</v>
      </c>
      <c r="AC522" s="89">
        <f t="shared" si="40"/>
        <v>0</v>
      </c>
      <c r="AD522" s="89">
        <v>0</v>
      </c>
      <c r="AE522" s="89">
        <v>0</v>
      </c>
      <c r="AF522" s="117"/>
      <c r="AG522" s="117"/>
      <c r="AH522" s="262"/>
      <c r="AI522" s="17"/>
      <c r="AJ522" s="17"/>
      <c r="AK522" s="17"/>
      <c r="AL522" s="17"/>
      <c r="AM522" s="17"/>
      <c r="AN522" s="17"/>
      <c r="AO522" s="17"/>
      <c r="AP522" s="15" t="str">
        <f>IFERROR(VLOOKUP(AO522,Legend!$D$2:$E$26,2,0),"")</f>
        <v/>
      </c>
      <c r="AQ522" s="15"/>
      <c r="AR522" s="17"/>
      <c r="AS522" s="17"/>
      <c r="AT522" s="15"/>
      <c r="AU522" s="17"/>
      <c r="AV522" s="17"/>
      <c r="AW522" s="17" t="s">
        <v>10</v>
      </c>
      <c r="AX522" s="15"/>
      <c r="AY522" s="15"/>
    </row>
    <row r="523" spans="1:51" x14ac:dyDescent="0.25">
      <c r="A523" s="15"/>
      <c r="B523" s="15"/>
      <c r="C523" s="15"/>
      <c r="D523" s="15"/>
      <c r="E523" s="91"/>
      <c r="F523" s="15"/>
      <c r="G523" s="15"/>
      <c r="H523" s="15"/>
      <c r="I523" s="15"/>
      <c r="J523" s="15"/>
      <c r="K523" s="89"/>
      <c r="L523" s="15"/>
      <c r="M523" s="89">
        <v>0</v>
      </c>
      <c r="N523" s="89">
        <v>0</v>
      </c>
      <c r="O523" s="89">
        <v>0</v>
      </c>
      <c r="P523" s="94">
        <v>0</v>
      </c>
      <c r="Q523" s="94">
        <v>0</v>
      </c>
      <c r="R523" s="94">
        <v>0</v>
      </c>
      <c r="S523" s="94">
        <v>0</v>
      </c>
      <c r="T523" s="89">
        <v>0</v>
      </c>
      <c r="U523" s="89">
        <v>0</v>
      </c>
      <c r="V523" s="94">
        <v>0</v>
      </c>
      <c r="W523" s="94">
        <v>0</v>
      </c>
      <c r="X523" s="94">
        <v>0</v>
      </c>
      <c r="Y523" s="89">
        <v>0</v>
      </c>
      <c r="Z523" s="94">
        <f t="shared" si="37"/>
        <v>0</v>
      </c>
      <c r="AA523" s="94">
        <f t="shared" si="38"/>
        <v>0</v>
      </c>
      <c r="AB523" s="89">
        <f t="shared" si="39"/>
        <v>0</v>
      </c>
      <c r="AC523" s="89">
        <f t="shared" si="40"/>
        <v>0</v>
      </c>
      <c r="AD523" s="89">
        <v>0</v>
      </c>
      <c r="AE523" s="89">
        <v>0</v>
      </c>
      <c r="AF523" s="117"/>
      <c r="AG523" s="117"/>
      <c r="AH523" s="262"/>
      <c r="AI523" s="17"/>
      <c r="AJ523" s="17"/>
      <c r="AK523" s="17"/>
      <c r="AL523" s="17"/>
      <c r="AM523" s="17"/>
      <c r="AN523" s="17"/>
      <c r="AO523" s="17"/>
      <c r="AP523" s="15" t="str">
        <f>IFERROR(VLOOKUP(AO523,Legend!$D$2:$E$26,2,0),"")</f>
        <v/>
      </c>
      <c r="AQ523" s="15"/>
      <c r="AR523" s="17"/>
      <c r="AS523" s="17"/>
      <c r="AT523" s="15"/>
      <c r="AU523" s="17"/>
      <c r="AV523" s="17"/>
      <c r="AW523" s="17" t="s">
        <v>10</v>
      </c>
      <c r="AX523" s="15"/>
      <c r="AY523" s="15"/>
    </row>
    <row r="524" spans="1:51" x14ac:dyDescent="0.25">
      <c r="A524" s="15"/>
      <c r="B524" s="15"/>
      <c r="C524" s="15"/>
      <c r="D524" s="15"/>
      <c r="E524" s="91"/>
      <c r="F524" s="15"/>
      <c r="G524" s="15"/>
      <c r="H524" s="15"/>
      <c r="I524" s="15"/>
      <c r="J524" s="15"/>
      <c r="K524" s="89"/>
      <c r="L524" s="15"/>
      <c r="M524" s="89">
        <v>0</v>
      </c>
      <c r="N524" s="89">
        <v>0</v>
      </c>
      <c r="O524" s="89">
        <v>0</v>
      </c>
      <c r="P524" s="94">
        <v>0</v>
      </c>
      <c r="Q524" s="94">
        <v>0</v>
      </c>
      <c r="R524" s="94">
        <v>0</v>
      </c>
      <c r="S524" s="94">
        <v>0</v>
      </c>
      <c r="T524" s="89">
        <v>0</v>
      </c>
      <c r="U524" s="89">
        <v>0</v>
      </c>
      <c r="V524" s="94">
        <v>0</v>
      </c>
      <c r="W524" s="94">
        <v>0</v>
      </c>
      <c r="X524" s="94">
        <v>0</v>
      </c>
      <c r="Y524" s="89">
        <v>0</v>
      </c>
      <c r="Z524" s="94">
        <f t="shared" si="37"/>
        <v>0</v>
      </c>
      <c r="AA524" s="94">
        <f t="shared" si="38"/>
        <v>0</v>
      </c>
      <c r="AB524" s="89">
        <f t="shared" si="39"/>
        <v>0</v>
      </c>
      <c r="AC524" s="89">
        <f t="shared" si="40"/>
        <v>0</v>
      </c>
      <c r="AD524" s="89">
        <v>0</v>
      </c>
      <c r="AE524" s="89">
        <v>0</v>
      </c>
      <c r="AF524" s="117"/>
      <c r="AG524" s="117"/>
      <c r="AH524" s="262"/>
      <c r="AI524" s="17"/>
      <c r="AJ524" s="17"/>
      <c r="AK524" s="17"/>
      <c r="AL524" s="17"/>
      <c r="AM524" s="17"/>
      <c r="AN524" s="17"/>
      <c r="AO524" s="17"/>
      <c r="AP524" s="15" t="str">
        <f>IFERROR(VLOOKUP(AO524,Legend!$D$2:$E$26,2,0),"")</f>
        <v/>
      </c>
      <c r="AQ524" s="15"/>
      <c r="AR524" s="17"/>
      <c r="AS524" s="17"/>
      <c r="AT524" s="15"/>
      <c r="AU524" s="17"/>
      <c r="AV524" s="17"/>
      <c r="AW524" s="17" t="s">
        <v>10</v>
      </c>
      <c r="AX524" s="15"/>
      <c r="AY524" s="15"/>
    </row>
    <row r="525" spans="1:51" x14ac:dyDescent="0.25">
      <c r="A525" s="15"/>
      <c r="B525" s="15"/>
      <c r="C525" s="15"/>
      <c r="D525" s="15"/>
      <c r="E525" s="91"/>
      <c r="F525" s="15"/>
      <c r="G525" s="15"/>
      <c r="H525" s="15"/>
      <c r="I525" s="15"/>
      <c r="J525" s="15"/>
      <c r="K525" s="89"/>
      <c r="L525" s="15"/>
      <c r="M525" s="89">
        <v>0</v>
      </c>
      <c r="N525" s="89">
        <v>0</v>
      </c>
      <c r="O525" s="89">
        <v>0</v>
      </c>
      <c r="P525" s="94">
        <v>0</v>
      </c>
      <c r="Q525" s="94">
        <v>0</v>
      </c>
      <c r="R525" s="94">
        <v>0</v>
      </c>
      <c r="S525" s="94">
        <v>0</v>
      </c>
      <c r="T525" s="89">
        <v>0</v>
      </c>
      <c r="U525" s="89">
        <v>0</v>
      </c>
      <c r="V525" s="94">
        <v>0</v>
      </c>
      <c r="W525" s="94">
        <v>0</v>
      </c>
      <c r="X525" s="94">
        <v>0</v>
      </c>
      <c r="Y525" s="89">
        <v>0</v>
      </c>
      <c r="Z525" s="94">
        <f t="shared" si="37"/>
        <v>0</v>
      </c>
      <c r="AA525" s="94">
        <f t="shared" si="38"/>
        <v>0</v>
      </c>
      <c r="AB525" s="89">
        <f t="shared" si="39"/>
        <v>0</v>
      </c>
      <c r="AC525" s="89">
        <f t="shared" si="40"/>
        <v>0</v>
      </c>
      <c r="AD525" s="89">
        <v>0</v>
      </c>
      <c r="AE525" s="89">
        <v>0</v>
      </c>
      <c r="AF525" s="117"/>
      <c r="AG525" s="117"/>
      <c r="AH525" s="262"/>
      <c r="AI525" s="17"/>
      <c r="AJ525" s="17"/>
      <c r="AK525" s="17"/>
      <c r="AL525" s="17"/>
      <c r="AM525" s="17"/>
      <c r="AN525" s="17"/>
      <c r="AO525" s="17"/>
      <c r="AP525" s="15" t="str">
        <f>IFERROR(VLOOKUP(AO525,Legend!$D$2:$E$26,2,0),"")</f>
        <v/>
      </c>
      <c r="AQ525" s="15"/>
      <c r="AR525" s="17"/>
      <c r="AS525" s="17"/>
      <c r="AT525" s="15"/>
      <c r="AU525" s="17"/>
      <c r="AV525" s="17"/>
      <c r="AW525" s="17" t="s">
        <v>10</v>
      </c>
      <c r="AX525" s="15"/>
      <c r="AY525" s="15"/>
    </row>
    <row r="526" spans="1:51" x14ac:dyDescent="0.25">
      <c r="A526" s="15"/>
      <c r="B526" s="15"/>
      <c r="C526" s="15"/>
      <c r="D526" s="15"/>
      <c r="E526" s="91"/>
      <c r="F526" s="15"/>
      <c r="G526" s="15"/>
      <c r="H526" s="15"/>
      <c r="I526" s="15"/>
      <c r="J526" s="15"/>
      <c r="K526" s="89"/>
      <c r="L526" s="15"/>
      <c r="M526" s="89">
        <v>0</v>
      </c>
      <c r="N526" s="89">
        <v>0</v>
      </c>
      <c r="O526" s="89">
        <v>0</v>
      </c>
      <c r="P526" s="94">
        <v>0</v>
      </c>
      <c r="Q526" s="94">
        <v>0</v>
      </c>
      <c r="R526" s="94">
        <v>0</v>
      </c>
      <c r="S526" s="94">
        <v>0</v>
      </c>
      <c r="T526" s="89">
        <v>0</v>
      </c>
      <c r="U526" s="89">
        <v>0</v>
      </c>
      <c r="V526" s="94">
        <v>0</v>
      </c>
      <c r="W526" s="94">
        <v>0</v>
      </c>
      <c r="X526" s="94">
        <v>0</v>
      </c>
      <c r="Y526" s="89">
        <v>0</v>
      </c>
      <c r="Z526" s="94">
        <f t="shared" si="37"/>
        <v>0</v>
      </c>
      <c r="AA526" s="94">
        <f t="shared" si="38"/>
        <v>0</v>
      </c>
      <c r="AB526" s="89">
        <f t="shared" si="39"/>
        <v>0</v>
      </c>
      <c r="AC526" s="89">
        <f t="shared" si="40"/>
        <v>0</v>
      </c>
      <c r="AD526" s="89">
        <v>0</v>
      </c>
      <c r="AE526" s="89">
        <v>0</v>
      </c>
      <c r="AF526" s="117"/>
      <c r="AG526" s="117"/>
      <c r="AH526" s="262"/>
      <c r="AI526" s="17"/>
      <c r="AJ526" s="17"/>
      <c r="AK526" s="17"/>
      <c r="AL526" s="17"/>
      <c r="AM526" s="17"/>
      <c r="AN526" s="17"/>
      <c r="AO526" s="17"/>
      <c r="AP526" s="15" t="str">
        <f>IFERROR(VLOOKUP(AO526,Legend!$D$2:$E$26,2,0),"")</f>
        <v/>
      </c>
      <c r="AQ526" s="15"/>
      <c r="AR526" s="17"/>
      <c r="AS526" s="17"/>
      <c r="AT526" s="15"/>
      <c r="AU526" s="17"/>
      <c r="AV526" s="17"/>
      <c r="AW526" s="17" t="s">
        <v>10</v>
      </c>
      <c r="AX526" s="15"/>
      <c r="AY526" s="15"/>
    </row>
    <row r="527" spans="1:51" x14ac:dyDescent="0.25">
      <c r="A527" s="15"/>
      <c r="B527" s="15"/>
      <c r="C527" s="15"/>
      <c r="D527" s="15"/>
      <c r="E527" s="91"/>
      <c r="F527" s="15"/>
      <c r="G527" s="15"/>
      <c r="H527" s="15"/>
      <c r="I527" s="15"/>
      <c r="J527" s="15"/>
      <c r="K527" s="89"/>
      <c r="L527" s="15"/>
      <c r="M527" s="89">
        <v>0</v>
      </c>
      <c r="N527" s="89">
        <v>0</v>
      </c>
      <c r="O527" s="89">
        <v>0</v>
      </c>
      <c r="P527" s="94">
        <v>0</v>
      </c>
      <c r="Q527" s="94">
        <v>0</v>
      </c>
      <c r="R527" s="94">
        <v>0</v>
      </c>
      <c r="S527" s="94">
        <v>0</v>
      </c>
      <c r="T527" s="89">
        <v>0</v>
      </c>
      <c r="U527" s="89">
        <v>0</v>
      </c>
      <c r="V527" s="94">
        <v>0</v>
      </c>
      <c r="W527" s="94">
        <v>0</v>
      </c>
      <c r="X527" s="94">
        <v>0</v>
      </c>
      <c r="Y527" s="89">
        <v>0</v>
      </c>
      <c r="Z527" s="94">
        <f t="shared" si="37"/>
        <v>0</v>
      </c>
      <c r="AA527" s="94">
        <f t="shared" si="38"/>
        <v>0</v>
      </c>
      <c r="AB527" s="89">
        <f t="shared" si="39"/>
        <v>0</v>
      </c>
      <c r="AC527" s="89">
        <f t="shared" si="40"/>
        <v>0</v>
      </c>
      <c r="AD527" s="89">
        <v>0</v>
      </c>
      <c r="AE527" s="89">
        <v>0</v>
      </c>
      <c r="AF527" s="117"/>
      <c r="AG527" s="117"/>
      <c r="AH527" s="262"/>
      <c r="AI527" s="17"/>
      <c r="AJ527" s="17"/>
      <c r="AK527" s="17"/>
      <c r="AL527" s="17"/>
      <c r="AM527" s="17"/>
      <c r="AN527" s="17"/>
      <c r="AO527" s="17"/>
      <c r="AP527" s="15" t="str">
        <f>IFERROR(VLOOKUP(AO527,Legend!$D$2:$E$26,2,0),"")</f>
        <v/>
      </c>
      <c r="AQ527" s="15"/>
      <c r="AR527" s="17"/>
      <c r="AS527" s="17"/>
      <c r="AT527" s="15"/>
      <c r="AU527" s="17"/>
      <c r="AV527" s="17"/>
      <c r="AW527" s="17" t="s">
        <v>10</v>
      </c>
      <c r="AX527" s="15"/>
      <c r="AY527" s="15"/>
    </row>
    <row r="528" spans="1:51" x14ac:dyDescent="0.25">
      <c r="A528" s="15"/>
      <c r="B528" s="15"/>
      <c r="C528" s="15"/>
      <c r="D528" s="15"/>
      <c r="E528" s="91"/>
      <c r="F528" s="15"/>
      <c r="G528" s="15"/>
      <c r="H528" s="15"/>
      <c r="I528" s="15"/>
      <c r="J528" s="15"/>
      <c r="K528" s="89"/>
      <c r="L528" s="15"/>
      <c r="M528" s="89">
        <v>0</v>
      </c>
      <c r="N528" s="89">
        <v>0</v>
      </c>
      <c r="O528" s="89">
        <v>0</v>
      </c>
      <c r="P528" s="94">
        <v>0</v>
      </c>
      <c r="Q528" s="94">
        <v>0</v>
      </c>
      <c r="R528" s="94">
        <v>0</v>
      </c>
      <c r="S528" s="94">
        <v>0</v>
      </c>
      <c r="T528" s="89">
        <v>0</v>
      </c>
      <c r="U528" s="89">
        <v>0</v>
      </c>
      <c r="V528" s="94">
        <v>0</v>
      </c>
      <c r="W528" s="94">
        <v>0</v>
      </c>
      <c r="X528" s="94">
        <v>0</v>
      </c>
      <c r="Y528" s="89">
        <v>0</v>
      </c>
      <c r="Z528" s="94">
        <f t="shared" si="37"/>
        <v>0</v>
      </c>
      <c r="AA528" s="94">
        <f t="shared" si="38"/>
        <v>0</v>
      </c>
      <c r="AB528" s="89">
        <f t="shared" si="39"/>
        <v>0</v>
      </c>
      <c r="AC528" s="89">
        <f t="shared" si="40"/>
        <v>0</v>
      </c>
      <c r="AD528" s="89">
        <v>0</v>
      </c>
      <c r="AE528" s="89">
        <v>0</v>
      </c>
      <c r="AF528" s="117"/>
      <c r="AG528" s="117"/>
      <c r="AH528" s="262"/>
      <c r="AI528" s="17"/>
      <c r="AJ528" s="17"/>
      <c r="AK528" s="17"/>
      <c r="AL528" s="17"/>
      <c r="AM528" s="17"/>
      <c r="AN528" s="17"/>
      <c r="AO528" s="17"/>
      <c r="AP528" s="15" t="str">
        <f>IFERROR(VLOOKUP(AO528,Legend!$D$2:$E$26,2,0),"")</f>
        <v/>
      </c>
      <c r="AQ528" s="15"/>
      <c r="AR528" s="17"/>
      <c r="AS528" s="17"/>
      <c r="AT528" s="15"/>
      <c r="AU528" s="17"/>
      <c r="AV528" s="17"/>
      <c r="AW528" s="17" t="s">
        <v>10</v>
      </c>
      <c r="AX528" s="15"/>
      <c r="AY528" s="15"/>
    </row>
    <row r="529" spans="1:51" x14ac:dyDescent="0.25">
      <c r="A529" s="15"/>
      <c r="B529" s="15"/>
      <c r="C529" s="15"/>
      <c r="D529" s="15"/>
      <c r="E529" s="91"/>
      <c r="F529" s="15"/>
      <c r="G529" s="15"/>
      <c r="H529" s="15"/>
      <c r="I529" s="15"/>
      <c r="J529" s="15"/>
      <c r="K529" s="89"/>
      <c r="L529" s="15"/>
      <c r="M529" s="89">
        <v>0</v>
      </c>
      <c r="N529" s="89">
        <v>0</v>
      </c>
      <c r="O529" s="89">
        <v>0</v>
      </c>
      <c r="P529" s="94">
        <v>0</v>
      </c>
      <c r="Q529" s="94">
        <v>0</v>
      </c>
      <c r="R529" s="94">
        <v>0</v>
      </c>
      <c r="S529" s="94">
        <v>0</v>
      </c>
      <c r="T529" s="89">
        <v>0</v>
      </c>
      <c r="U529" s="89">
        <v>0</v>
      </c>
      <c r="V529" s="94">
        <v>0</v>
      </c>
      <c r="W529" s="94">
        <v>0</v>
      </c>
      <c r="X529" s="94">
        <v>0</v>
      </c>
      <c r="Y529" s="89">
        <v>0</v>
      </c>
      <c r="Z529" s="94">
        <f t="shared" si="37"/>
        <v>0</v>
      </c>
      <c r="AA529" s="94">
        <f t="shared" si="38"/>
        <v>0</v>
      </c>
      <c r="AB529" s="89">
        <f t="shared" si="39"/>
        <v>0</v>
      </c>
      <c r="AC529" s="89">
        <f t="shared" si="40"/>
        <v>0</v>
      </c>
      <c r="AD529" s="89">
        <v>0</v>
      </c>
      <c r="AE529" s="89">
        <v>0</v>
      </c>
      <c r="AF529" s="117"/>
      <c r="AG529" s="117"/>
      <c r="AH529" s="262"/>
      <c r="AI529" s="17"/>
      <c r="AJ529" s="17"/>
      <c r="AK529" s="17"/>
      <c r="AL529" s="17"/>
      <c r="AM529" s="17"/>
      <c r="AN529" s="17"/>
      <c r="AO529" s="17"/>
      <c r="AP529" s="15" t="str">
        <f>IFERROR(VLOOKUP(AO529,Legend!$D$2:$E$26,2,0),"")</f>
        <v/>
      </c>
      <c r="AQ529" s="15"/>
      <c r="AR529" s="17"/>
      <c r="AS529" s="17"/>
      <c r="AT529" s="15"/>
      <c r="AU529" s="17"/>
      <c r="AV529" s="17"/>
      <c r="AW529" s="17" t="s">
        <v>10</v>
      </c>
      <c r="AX529" s="15"/>
      <c r="AY529" s="15"/>
    </row>
    <row r="530" spans="1:51" x14ac:dyDescent="0.25">
      <c r="A530" s="15"/>
      <c r="B530" s="15"/>
      <c r="C530" s="15"/>
      <c r="D530" s="15"/>
      <c r="E530" s="91"/>
      <c r="F530" s="15"/>
      <c r="G530" s="15"/>
      <c r="H530" s="15"/>
      <c r="I530" s="15"/>
      <c r="J530" s="15"/>
      <c r="K530" s="89"/>
      <c r="L530" s="15"/>
      <c r="M530" s="89">
        <v>0</v>
      </c>
      <c r="N530" s="89">
        <v>0</v>
      </c>
      <c r="O530" s="89">
        <v>0</v>
      </c>
      <c r="P530" s="94">
        <v>0</v>
      </c>
      <c r="Q530" s="94">
        <v>0</v>
      </c>
      <c r="R530" s="94">
        <v>0</v>
      </c>
      <c r="S530" s="94">
        <v>0</v>
      </c>
      <c r="T530" s="89">
        <v>0</v>
      </c>
      <c r="U530" s="89">
        <v>0</v>
      </c>
      <c r="V530" s="94">
        <v>0</v>
      </c>
      <c r="W530" s="94">
        <v>0</v>
      </c>
      <c r="X530" s="94">
        <v>0</v>
      </c>
      <c r="Y530" s="89">
        <v>0</v>
      </c>
      <c r="Z530" s="94">
        <f t="shared" si="37"/>
        <v>0</v>
      </c>
      <c r="AA530" s="94">
        <f t="shared" si="38"/>
        <v>0</v>
      </c>
      <c r="AB530" s="89">
        <f t="shared" si="39"/>
        <v>0</v>
      </c>
      <c r="AC530" s="89">
        <f t="shared" si="40"/>
        <v>0</v>
      </c>
      <c r="AD530" s="89">
        <v>0</v>
      </c>
      <c r="AE530" s="89">
        <v>0</v>
      </c>
      <c r="AF530" s="117"/>
      <c r="AG530" s="117"/>
      <c r="AH530" s="262"/>
      <c r="AI530" s="17"/>
      <c r="AJ530" s="17"/>
      <c r="AK530" s="17"/>
      <c r="AL530" s="17"/>
      <c r="AM530" s="17"/>
      <c r="AN530" s="17"/>
      <c r="AO530" s="17"/>
      <c r="AP530" s="15" t="str">
        <f>IFERROR(VLOOKUP(AO530,Legend!$D$2:$E$26,2,0),"")</f>
        <v/>
      </c>
      <c r="AQ530" s="15"/>
      <c r="AR530" s="17"/>
      <c r="AS530" s="17"/>
      <c r="AT530" s="15"/>
      <c r="AU530" s="17"/>
      <c r="AV530" s="17"/>
      <c r="AW530" s="17" t="s">
        <v>10</v>
      </c>
      <c r="AX530" s="15"/>
      <c r="AY530" s="15"/>
    </row>
    <row r="531" spans="1:51" x14ac:dyDescent="0.25">
      <c r="A531" s="15"/>
      <c r="B531" s="15"/>
      <c r="C531" s="15"/>
      <c r="D531" s="15"/>
      <c r="E531" s="91"/>
      <c r="F531" s="15"/>
      <c r="G531" s="15"/>
      <c r="H531" s="15"/>
      <c r="I531" s="15"/>
      <c r="J531" s="15"/>
      <c r="K531" s="89"/>
      <c r="L531" s="15"/>
      <c r="M531" s="89">
        <v>0</v>
      </c>
      <c r="N531" s="89">
        <v>0</v>
      </c>
      <c r="O531" s="89">
        <v>0</v>
      </c>
      <c r="P531" s="94">
        <v>0</v>
      </c>
      <c r="Q531" s="94">
        <v>0</v>
      </c>
      <c r="R531" s="94">
        <v>0</v>
      </c>
      <c r="S531" s="94">
        <v>0</v>
      </c>
      <c r="T531" s="89">
        <v>0</v>
      </c>
      <c r="U531" s="89">
        <v>0</v>
      </c>
      <c r="V531" s="94">
        <v>0</v>
      </c>
      <c r="W531" s="94">
        <v>0</v>
      </c>
      <c r="X531" s="94">
        <v>0</v>
      </c>
      <c r="Y531" s="89">
        <v>0</v>
      </c>
      <c r="Z531" s="94">
        <f t="shared" si="37"/>
        <v>0</v>
      </c>
      <c r="AA531" s="94">
        <f t="shared" si="38"/>
        <v>0</v>
      </c>
      <c r="AB531" s="89">
        <f t="shared" si="39"/>
        <v>0</v>
      </c>
      <c r="AC531" s="89">
        <f t="shared" si="40"/>
        <v>0</v>
      </c>
      <c r="AD531" s="89">
        <v>0</v>
      </c>
      <c r="AE531" s="89">
        <v>0</v>
      </c>
      <c r="AF531" s="117"/>
      <c r="AG531" s="117"/>
      <c r="AH531" s="262"/>
      <c r="AI531" s="17"/>
      <c r="AJ531" s="17"/>
      <c r="AK531" s="17"/>
      <c r="AL531" s="17"/>
      <c r="AM531" s="17"/>
      <c r="AN531" s="17"/>
      <c r="AO531" s="17"/>
      <c r="AP531" s="15" t="str">
        <f>IFERROR(VLOOKUP(AO531,Legend!$D$2:$E$26,2,0),"")</f>
        <v/>
      </c>
      <c r="AQ531" s="15"/>
      <c r="AR531" s="17"/>
      <c r="AS531" s="17"/>
      <c r="AT531" s="15"/>
      <c r="AU531" s="17"/>
      <c r="AV531" s="17"/>
      <c r="AW531" s="17" t="s">
        <v>10</v>
      </c>
      <c r="AX531" s="15"/>
      <c r="AY531" s="15"/>
    </row>
    <row r="532" spans="1:51" x14ac:dyDescent="0.25">
      <c r="A532" s="15"/>
      <c r="B532" s="15"/>
      <c r="C532" s="15"/>
      <c r="D532" s="15"/>
      <c r="E532" s="91"/>
      <c r="F532" s="15"/>
      <c r="G532" s="15"/>
      <c r="H532" s="15"/>
      <c r="I532" s="15"/>
      <c r="J532" s="15"/>
      <c r="K532" s="89"/>
      <c r="L532" s="15"/>
      <c r="M532" s="89">
        <v>0</v>
      </c>
      <c r="N532" s="89">
        <v>0</v>
      </c>
      <c r="O532" s="89">
        <v>0</v>
      </c>
      <c r="P532" s="94">
        <v>0</v>
      </c>
      <c r="Q532" s="94">
        <v>0</v>
      </c>
      <c r="R532" s="94">
        <v>0</v>
      </c>
      <c r="S532" s="94">
        <v>0</v>
      </c>
      <c r="T532" s="89">
        <v>0</v>
      </c>
      <c r="U532" s="89">
        <v>0</v>
      </c>
      <c r="V532" s="94">
        <v>0</v>
      </c>
      <c r="W532" s="94">
        <v>0</v>
      </c>
      <c r="X532" s="94">
        <v>0</v>
      </c>
      <c r="Y532" s="89">
        <v>0</v>
      </c>
      <c r="Z532" s="94">
        <f t="shared" si="37"/>
        <v>0</v>
      </c>
      <c r="AA532" s="94">
        <f t="shared" si="38"/>
        <v>0</v>
      </c>
      <c r="AB532" s="89">
        <f t="shared" si="39"/>
        <v>0</v>
      </c>
      <c r="AC532" s="89">
        <f t="shared" si="40"/>
        <v>0</v>
      </c>
      <c r="AD532" s="89">
        <v>0</v>
      </c>
      <c r="AE532" s="89">
        <v>0</v>
      </c>
      <c r="AF532" s="117"/>
      <c r="AG532" s="117"/>
      <c r="AH532" s="262"/>
      <c r="AI532" s="17"/>
      <c r="AJ532" s="17"/>
      <c r="AK532" s="17"/>
      <c r="AL532" s="17"/>
      <c r="AM532" s="17"/>
      <c r="AN532" s="17"/>
      <c r="AO532" s="17"/>
      <c r="AP532" s="15" t="str">
        <f>IFERROR(VLOOKUP(AO532,Legend!$D$2:$E$26,2,0),"")</f>
        <v/>
      </c>
      <c r="AQ532" s="15"/>
      <c r="AR532" s="17"/>
      <c r="AS532" s="17"/>
      <c r="AT532" s="15"/>
      <c r="AU532" s="17"/>
      <c r="AV532" s="17"/>
      <c r="AW532" s="17" t="s">
        <v>10</v>
      </c>
      <c r="AX532" s="15"/>
      <c r="AY532" s="15"/>
    </row>
    <row r="533" spans="1:51" x14ac:dyDescent="0.25">
      <c r="A533" s="15"/>
      <c r="B533" s="15"/>
      <c r="C533" s="15"/>
      <c r="D533" s="15"/>
      <c r="E533" s="91"/>
      <c r="F533" s="15"/>
      <c r="G533" s="15"/>
      <c r="H533" s="15"/>
      <c r="I533" s="15"/>
      <c r="J533" s="15"/>
      <c r="K533" s="89"/>
      <c r="L533" s="15"/>
      <c r="M533" s="89">
        <v>0</v>
      </c>
      <c r="N533" s="89">
        <v>0</v>
      </c>
      <c r="O533" s="89">
        <v>0</v>
      </c>
      <c r="P533" s="94">
        <v>0</v>
      </c>
      <c r="Q533" s="94">
        <v>0</v>
      </c>
      <c r="R533" s="94">
        <v>0</v>
      </c>
      <c r="S533" s="94">
        <v>0</v>
      </c>
      <c r="T533" s="89">
        <v>0</v>
      </c>
      <c r="U533" s="89">
        <v>0</v>
      </c>
      <c r="V533" s="94">
        <v>0</v>
      </c>
      <c r="W533" s="94">
        <v>0</v>
      </c>
      <c r="X533" s="94">
        <v>0</v>
      </c>
      <c r="Y533" s="89">
        <v>0</v>
      </c>
      <c r="Z533" s="94">
        <f t="shared" si="37"/>
        <v>0</v>
      </c>
      <c r="AA533" s="94">
        <f t="shared" si="38"/>
        <v>0</v>
      </c>
      <c r="AB533" s="89">
        <f t="shared" si="39"/>
        <v>0</v>
      </c>
      <c r="AC533" s="89">
        <f t="shared" si="40"/>
        <v>0</v>
      </c>
      <c r="AD533" s="89">
        <v>0</v>
      </c>
      <c r="AE533" s="89">
        <v>0</v>
      </c>
      <c r="AF533" s="117"/>
      <c r="AG533" s="117"/>
      <c r="AH533" s="262"/>
      <c r="AI533" s="17"/>
      <c r="AJ533" s="17"/>
      <c r="AK533" s="17"/>
      <c r="AL533" s="17"/>
      <c r="AM533" s="17"/>
      <c r="AN533" s="17"/>
      <c r="AO533" s="17"/>
      <c r="AP533" s="15" t="str">
        <f>IFERROR(VLOOKUP(AO533,Legend!$D$2:$E$26,2,0),"")</f>
        <v/>
      </c>
      <c r="AQ533" s="15"/>
      <c r="AR533" s="17"/>
      <c r="AS533" s="17"/>
      <c r="AT533" s="15"/>
      <c r="AU533" s="17"/>
      <c r="AV533" s="17"/>
      <c r="AW533" s="17" t="s">
        <v>10</v>
      </c>
      <c r="AX533" s="15"/>
      <c r="AY533" s="15"/>
    </row>
    <row r="534" spans="1:51" x14ac:dyDescent="0.25">
      <c r="A534" s="15"/>
      <c r="B534" s="15"/>
      <c r="C534" s="15"/>
      <c r="D534" s="15"/>
      <c r="E534" s="91"/>
      <c r="F534" s="15"/>
      <c r="G534" s="15"/>
      <c r="H534" s="15"/>
      <c r="I534" s="15"/>
      <c r="J534" s="15"/>
      <c r="K534" s="89"/>
      <c r="L534" s="15"/>
      <c r="M534" s="89">
        <v>0</v>
      </c>
      <c r="N534" s="89">
        <v>0</v>
      </c>
      <c r="O534" s="89">
        <v>0</v>
      </c>
      <c r="P534" s="94">
        <v>0</v>
      </c>
      <c r="Q534" s="94">
        <v>0</v>
      </c>
      <c r="R534" s="94">
        <v>0</v>
      </c>
      <c r="S534" s="94">
        <v>0</v>
      </c>
      <c r="T534" s="89">
        <v>0</v>
      </c>
      <c r="U534" s="89">
        <v>0</v>
      </c>
      <c r="V534" s="94">
        <v>0</v>
      </c>
      <c r="W534" s="94">
        <v>0</v>
      </c>
      <c r="X534" s="94">
        <v>0</v>
      </c>
      <c r="Y534" s="89">
        <v>0</v>
      </c>
      <c r="Z534" s="94">
        <f t="shared" si="37"/>
        <v>0</v>
      </c>
      <c r="AA534" s="94">
        <f t="shared" si="38"/>
        <v>0</v>
      </c>
      <c r="AB534" s="89">
        <f t="shared" si="39"/>
        <v>0</v>
      </c>
      <c r="AC534" s="89">
        <f t="shared" si="40"/>
        <v>0</v>
      </c>
      <c r="AD534" s="89">
        <v>0</v>
      </c>
      <c r="AE534" s="89">
        <v>0</v>
      </c>
      <c r="AF534" s="117"/>
      <c r="AG534" s="117"/>
      <c r="AH534" s="262"/>
      <c r="AI534" s="17"/>
      <c r="AJ534" s="17"/>
      <c r="AK534" s="17"/>
      <c r="AL534" s="17"/>
      <c r="AM534" s="17"/>
      <c r="AN534" s="17"/>
      <c r="AO534" s="17"/>
      <c r="AP534" s="15" t="str">
        <f>IFERROR(VLOOKUP(AO534,Legend!$D$2:$E$26,2,0),"")</f>
        <v/>
      </c>
      <c r="AQ534" s="15"/>
      <c r="AR534" s="17"/>
      <c r="AS534" s="17"/>
      <c r="AT534" s="15"/>
      <c r="AU534" s="17"/>
      <c r="AV534" s="17"/>
      <c r="AW534" s="17" t="s">
        <v>10</v>
      </c>
      <c r="AX534" s="15"/>
      <c r="AY534" s="15"/>
    </row>
    <row r="535" spans="1:51" x14ac:dyDescent="0.25">
      <c r="A535" s="15"/>
      <c r="B535" s="15"/>
      <c r="C535" s="15"/>
      <c r="D535" s="15"/>
      <c r="E535" s="91"/>
      <c r="F535" s="15"/>
      <c r="G535" s="15"/>
      <c r="H535" s="15"/>
      <c r="I535" s="15"/>
      <c r="J535" s="15"/>
      <c r="K535" s="89"/>
      <c r="L535" s="15"/>
      <c r="M535" s="89">
        <v>0</v>
      </c>
      <c r="N535" s="89">
        <v>0</v>
      </c>
      <c r="O535" s="89">
        <v>0</v>
      </c>
      <c r="P535" s="94">
        <v>0</v>
      </c>
      <c r="Q535" s="94">
        <v>0</v>
      </c>
      <c r="R535" s="94">
        <v>0</v>
      </c>
      <c r="S535" s="94">
        <v>0</v>
      </c>
      <c r="T535" s="89">
        <v>0</v>
      </c>
      <c r="U535" s="89">
        <v>0</v>
      </c>
      <c r="V535" s="94">
        <v>0</v>
      </c>
      <c r="W535" s="94">
        <v>0</v>
      </c>
      <c r="X535" s="94">
        <v>0</v>
      </c>
      <c r="Y535" s="89">
        <v>0</v>
      </c>
      <c r="Z535" s="94">
        <f t="shared" si="37"/>
        <v>0</v>
      </c>
      <c r="AA535" s="94">
        <f t="shared" si="38"/>
        <v>0</v>
      </c>
      <c r="AB535" s="89">
        <f t="shared" si="39"/>
        <v>0</v>
      </c>
      <c r="AC535" s="89">
        <f t="shared" si="40"/>
        <v>0</v>
      </c>
      <c r="AD535" s="89">
        <v>0</v>
      </c>
      <c r="AE535" s="89">
        <v>0</v>
      </c>
      <c r="AF535" s="117"/>
      <c r="AG535" s="117"/>
      <c r="AH535" s="262"/>
      <c r="AI535" s="17"/>
      <c r="AJ535" s="17"/>
      <c r="AK535" s="17"/>
      <c r="AL535" s="17"/>
      <c r="AM535" s="17"/>
      <c r="AN535" s="17"/>
      <c r="AO535" s="17"/>
      <c r="AP535" s="15" t="str">
        <f>IFERROR(VLOOKUP(AO535,Legend!$D$2:$E$26,2,0),"")</f>
        <v/>
      </c>
      <c r="AQ535" s="15"/>
      <c r="AR535" s="17"/>
      <c r="AS535" s="17"/>
      <c r="AT535" s="15"/>
      <c r="AU535" s="17"/>
      <c r="AV535" s="17"/>
      <c r="AW535" s="17" t="s">
        <v>10</v>
      </c>
      <c r="AX535" s="15"/>
      <c r="AY535" s="15"/>
    </row>
    <row r="536" spans="1:51" x14ac:dyDescent="0.25">
      <c r="A536" s="15"/>
      <c r="B536" s="15"/>
      <c r="C536" s="15"/>
      <c r="D536" s="15"/>
      <c r="E536" s="91"/>
      <c r="F536" s="15"/>
      <c r="G536" s="15"/>
      <c r="H536" s="15"/>
      <c r="I536" s="15"/>
      <c r="J536" s="15"/>
      <c r="K536" s="89"/>
      <c r="L536" s="15"/>
      <c r="M536" s="89">
        <v>0</v>
      </c>
      <c r="N536" s="89">
        <v>0</v>
      </c>
      <c r="O536" s="89">
        <v>0</v>
      </c>
      <c r="P536" s="94">
        <v>0</v>
      </c>
      <c r="Q536" s="94">
        <v>0</v>
      </c>
      <c r="R536" s="94">
        <v>0</v>
      </c>
      <c r="S536" s="94">
        <v>0</v>
      </c>
      <c r="T536" s="89">
        <v>0</v>
      </c>
      <c r="U536" s="89">
        <v>0</v>
      </c>
      <c r="V536" s="94">
        <v>0</v>
      </c>
      <c r="W536" s="94">
        <v>0</v>
      </c>
      <c r="X536" s="94">
        <v>0</v>
      </c>
      <c r="Y536" s="89">
        <v>0</v>
      </c>
      <c r="Z536" s="94">
        <f t="shared" si="37"/>
        <v>0</v>
      </c>
      <c r="AA536" s="94">
        <f t="shared" si="38"/>
        <v>0</v>
      </c>
      <c r="AB536" s="89">
        <f t="shared" si="39"/>
        <v>0</v>
      </c>
      <c r="AC536" s="89">
        <f t="shared" si="40"/>
        <v>0</v>
      </c>
      <c r="AD536" s="89">
        <v>0</v>
      </c>
      <c r="AE536" s="89">
        <v>0</v>
      </c>
      <c r="AF536" s="117"/>
      <c r="AG536" s="117"/>
      <c r="AH536" s="262"/>
      <c r="AI536" s="17"/>
      <c r="AJ536" s="17"/>
      <c r="AK536" s="17"/>
      <c r="AL536" s="17"/>
      <c r="AM536" s="17"/>
      <c r="AN536" s="17"/>
      <c r="AO536" s="17"/>
      <c r="AP536" s="15" t="str">
        <f>IFERROR(VLOOKUP(AO536,Legend!$D$2:$E$26,2,0),"")</f>
        <v/>
      </c>
      <c r="AQ536" s="15"/>
      <c r="AR536" s="17"/>
      <c r="AS536" s="17"/>
      <c r="AT536" s="15"/>
      <c r="AU536" s="17"/>
      <c r="AV536" s="17"/>
      <c r="AW536" s="17" t="s">
        <v>10</v>
      </c>
      <c r="AX536" s="15"/>
      <c r="AY536" s="15"/>
    </row>
    <row r="537" spans="1:51" x14ac:dyDescent="0.25">
      <c r="A537" s="15"/>
      <c r="B537" s="15"/>
      <c r="C537" s="15"/>
      <c r="D537" s="15"/>
      <c r="E537" s="91"/>
      <c r="F537" s="15"/>
      <c r="G537" s="15"/>
      <c r="H537" s="15"/>
      <c r="I537" s="15"/>
      <c r="J537" s="15"/>
      <c r="K537" s="89"/>
      <c r="L537" s="15"/>
      <c r="M537" s="89">
        <v>0</v>
      </c>
      <c r="N537" s="89">
        <v>0</v>
      </c>
      <c r="O537" s="89">
        <v>0</v>
      </c>
      <c r="P537" s="94">
        <v>0</v>
      </c>
      <c r="Q537" s="94">
        <v>0</v>
      </c>
      <c r="R537" s="94">
        <v>0</v>
      </c>
      <c r="S537" s="94">
        <v>0</v>
      </c>
      <c r="T537" s="89">
        <v>0</v>
      </c>
      <c r="U537" s="89">
        <v>0</v>
      </c>
      <c r="V537" s="94">
        <v>0</v>
      </c>
      <c r="W537" s="94">
        <v>0</v>
      </c>
      <c r="X537" s="94">
        <v>0</v>
      </c>
      <c r="Y537" s="89">
        <v>0</v>
      </c>
      <c r="Z537" s="94">
        <f t="shared" si="37"/>
        <v>0</v>
      </c>
      <c r="AA537" s="94">
        <f t="shared" si="38"/>
        <v>0</v>
      </c>
      <c r="AB537" s="89">
        <f t="shared" si="39"/>
        <v>0</v>
      </c>
      <c r="AC537" s="89">
        <f t="shared" si="40"/>
        <v>0</v>
      </c>
      <c r="AD537" s="89">
        <v>0</v>
      </c>
      <c r="AE537" s="89">
        <v>0</v>
      </c>
      <c r="AF537" s="117"/>
      <c r="AG537" s="117"/>
      <c r="AH537" s="262"/>
      <c r="AI537" s="17"/>
      <c r="AJ537" s="17"/>
      <c r="AK537" s="17"/>
      <c r="AL537" s="17"/>
      <c r="AM537" s="17"/>
      <c r="AN537" s="17"/>
      <c r="AO537" s="17"/>
      <c r="AP537" s="15" t="str">
        <f>IFERROR(VLOOKUP(AO537,Legend!$D$2:$E$26,2,0),"")</f>
        <v/>
      </c>
      <c r="AQ537" s="15"/>
      <c r="AR537" s="17"/>
      <c r="AS537" s="17"/>
      <c r="AT537" s="15"/>
      <c r="AU537" s="17"/>
      <c r="AV537" s="17"/>
      <c r="AW537" s="17" t="s">
        <v>10</v>
      </c>
      <c r="AX537" s="15"/>
      <c r="AY537" s="15"/>
    </row>
    <row r="538" spans="1:51" x14ac:dyDescent="0.25">
      <c r="A538" s="15"/>
      <c r="B538" s="15"/>
      <c r="C538" s="15"/>
      <c r="D538" s="15"/>
      <c r="E538" s="91"/>
      <c r="F538" s="15"/>
      <c r="G538" s="15"/>
      <c r="H538" s="15"/>
      <c r="I538" s="15"/>
      <c r="J538" s="15"/>
      <c r="K538" s="89"/>
      <c r="L538" s="15"/>
      <c r="M538" s="89">
        <v>0</v>
      </c>
      <c r="N538" s="89">
        <v>0</v>
      </c>
      <c r="O538" s="89">
        <v>0</v>
      </c>
      <c r="P538" s="94">
        <v>0</v>
      </c>
      <c r="Q538" s="94">
        <v>0</v>
      </c>
      <c r="R538" s="94">
        <v>0</v>
      </c>
      <c r="S538" s="94">
        <v>0</v>
      </c>
      <c r="T538" s="89">
        <v>0</v>
      </c>
      <c r="U538" s="89">
        <v>0</v>
      </c>
      <c r="V538" s="94">
        <v>0</v>
      </c>
      <c r="W538" s="94">
        <v>0</v>
      </c>
      <c r="X538" s="94">
        <v>0</v>
      </c>
      <c r="Y538" s="89">
        <v>0</v>
      </c>
      <c r="Z538" s="94">
        <f t="shared" si="37"/>
        <v>0</v>
      </c>
      <c r="AA538" s="94">
        <f t="shared" si="38"/>
        <v>0</v>
      </c>
      <c r="AB538" s="89">
        <f t="shared" si="39"/>
        <v>0</v>
      </c>
      <c r="AC538" s="89">
        <f t="shared" si="40"/>
        <v>0</v>
      </c>
      <c r="AD538" s="89">
        <v>0</v>
      </c>
      <c r="AE538" s="89">
        <v>0</v>
      </c>
      <c r="AF538" s="117"/>
      <c r="AG538" s="117"/>
      <c r="AH538" s="262"/>
      <c r="AI538" s="17"/>
      <c r="AJ538" s="17"/>
      <c r="AK538" s="17"/>
      <c r="AL538" s="17"/>
      <c r="AM538" s="17"/>
      <c r="AN538" s="17"/>
      <c r="AO538" s="17"/>
      <c r="AP538" s="15" t="str">
        <f>IFERROR(VLOOKUP(AO538,Legend!$D$2:$E$26,2,0),"")</f>
        <v/>
      </c>
      <c r="AQ538" s="15"/>
      <c r="AR538" s="17"/>
      <c r="AS538" s="17"/>
      <c r="AT538" s="15"/>
      <c r="AU538" s="17"/>
      <c r="AV538" s="17"/>
      <c r="AW538" s="17" t="s">
        <v>10</v>
      </c>
      <c r="AX538" s="15"/>
      <c r="AY538" s="15"/>
    </row>
    <row r="539" spans="1:51" x14ac:dyDescent="0.25">
      <c r="A539" s="15"/>
      <c r="B539" s="15"/>
      <c r="C539" s="15"/>
      <c r="D539" s="15"/>
      <c r="E539" s="91"/>
      <c r="F539" s="15"/>
      <c r="G539" s="15"/>
      <c r="H539" s="15"/>
      <c r="I539" s="15"/>
      <c r="J539" s="15"/>
      <c r="K539" s="89"/>
      <c r="L539" s="15"/>
      <c r="M539" s="89">
        <v>0</v>
      </c>
      <c r="N539" s="89">
        <v>0</v>
      </c>
      <c r="O539" s="89">
        <v>0</v>
      </c>
      <c r="P539" s="94">
        <v>0</v>
      </c>
      <c r="Q539" s="94">
        <v>0</v>
      </c>
      <c r="R539" s="94">
        <v>0</v>
      </c>
      <c r="S539" s="94">
        <v>0</v>
      </c>
      <c r="T539" s="89">
        <v>0</v>
      </c>
      <c r="U539" s="89">
        <v>0</v>
      </c>
      <c r="V539" s="94">
        <v>0</v>
      </c>
      <c r="W539" s="94">
        <v>0</v>
      </c>
      <c r="X539" s="94">
        <v>0</v>
      </c>
      <c r="Y539" s="89">
        <v>0</v>
      </c>
      <c r="Z539" s="94">
        <f t="shared" si="37"/>
        <v>0</v>
      </c>
      <c r="AA539" s="94">
        <f t="shared" si="38"/>
        <v>0</v>
      </c>
      <c r="AB539" s="89">
        <f t="shared" si="39"/>
        <v>0</v>
      </c>
      <c r="AC539" s="89">
        <f t="shared" si="40"/>
        <v>0</v>
      </c>
      <c r="AD539" s="89">
        <v>0</v>
      </c>
      <c r="AE539" s="89">
        <v>0</v>
      </c>
      <c r="AF539" s="117"/>
      <c r="AG539" s="117"/>
      <c r="AH539" s="262"/>
      <c r="AI539" s="17"/>
      <c r="AJ539" s="17"/>
      <c r="AK539" s="17"/>
      <c r="AL539" s="17"/>
      <c r="AM539" s="17"/>
      <c r="AN539" s="17"/>
      <c r="AO539" s="17"/>
      <c r="AP539" s="15" t="str">
        <f>IFERROR(VLOOKUP(AO539,Legend!$D$2:$E$26,2,0),"")</f>
        <v/>
      </c>
      <c r="AQ539" s="15"/>
      <c r="AR539" s="17"/>
      <c r="AS539" s="17"/>
      <c r="AT539" s="15"/>
      <c r="AU539" s="17"/>
      <c r="AV539" s="17"/>
      <c r="AW539" s="17" t="s">
        <v>10</v>
      </c>
      <c r="AX539" s="15"/>
      <c r="AY539" s="15"/>
    </row>
    <row r="540" spans="1:51" x14ac:dyDescent="0.25">
      <c r="A540" s="15"/>
      <c r="B540" s="15"/>
      <c r="C540" s="15"/>
      <c r="D540" s="15"/>
      <c r="E540" s="91"/>
      <c r="F540" s="15"/>
      <c r="G540" s="15"/>
      <c r="H540" s="15"/>
      <c r="I540" s="15"/>
      <c r="J540" s="15"/>
      <c r="K540" s="89"/>
      <c r="L540" s="15"/>
      <c r="M540" s="89">
        <v>0</v>
      </c>
      <c r="N540" s="89">
        <v>0</v>
      </c>
      <c r="O540" s="89">
        <v>0</v>
      </c>
      <c r="P540" s="94">
        <v>0</v>
      </c>
      <c r="Q540" s="94">
        <v>0</v>
      </c>
      <c r="R540" s="94">
        <v>0</v>
      </c>
      <c r="S540" s="94">
        <v>0</v>
      </c>
      <c r="T540" s="89">
        <v>0</v>
      </c>
      <c r="U540" s="89">
        <v>0</v>
      </c>
      <c r="V540" s="94">
        <v>0</v>
      </c>
      <c r="W540" s="94">
        <v>0</v>
      </c>
      <c r="X540" s="94">
        <v>0</v>
      </c>
      <c r="Y540" s="89">
        <v>0</v>
      </c>
      <c r="Z540" s="94">
        <f t="shared" si="37"/>
        <v>0</v>
      </c>
      <c r="AA540" s="94">
        <f t="shared" si="38"/>
        <v>0</v>
      </c>
      <c r="AB540" s="89">
        <f t="shared" si="39"/>
        <v>0</v>
      </c>
      <c r="AC540" s="89">
        <f t="shared" si="40"/>
        <v>0</v>
      </c>
      <c r="AD540" s="89">
        <v>0</v>
      </c>
      <c r="AE540" s="89">
        <v>0</v>
      </c>
      <c r="AF540" s="117"/>
      <c r="AG540" s="117"/>
      <c r="AH540" s="262"/>
      <c r="AI540" s="17"/>
      <c r="AJ540" s="17"/>
      <c r="AK540" s="17"/>
      <c r="AL540" s="17"/>
      <c r="AM540" s="17"/>
      <c r="AN540" s="17"/>
      <c r="AO540" s="17"/>
      <c r="AP540" s="15" t="str">
        <f>IFERROR(VLOOKUP(AO540,Legend!$D$2:$E$26,2,0),"")</f>
        <v/>
      </c>
      <c r="AQ540" s="15"/>
      <c r="AR540" s="17"/>
      <c r="AS540" s="17"/>
      <c r="AT540" s="15"/>
      <c r="AU540" s="17"/>
      <c r="AV540" s="17"/>
      <c r="AW540" s="17" t="s">
        <v>10</v>
      </c>
      <c r="AX540" s="15"/>
      <c r="AY540" s="15"/>
    </row>
    <row r="541" spans="1:51" x14ac:dyDescent="0.25">
      <c r="A541" s="15"/>
      <c r="B541" s="15"/>
      <c r="C541" s="15"/>
      <c r="D541" s="15"/>
      <c r="E541" s="91"/>
      <c r="F541" s="15"/>
      <c r="G541" s="15"/>
      <c r="H541" s="15"/>
      <c r="I541" s="15"/>
      <c r="J541" s="15"/>
      <c r="K541" s="89"/>
      <c r="L541" s="15"/>
      <c r="M541" s="89">
        <v>0</v>
      </c>
      <c r="N541" s="89">
        <v>0</v>
      </c>
      <c r="O541" s="89">
        <v>0</v>
      </c>
      <c r="P541" s="94">
        <v>0</v>
      </c>
      <c r="Q541" s="94">
        <v>0</v>
      </c>
      <c r="R541" s="94">
        <v>0</v>
      </c>
      <c r="S541" s="94">
        <v>0</v>
      </c>
      <c r="T541" s="89">
        <v>0</v>
      </c>
      <c r="U541" s="89">
        <v>0</v>
      </c>
      <c r="V541" s="94">
        <v>0</v>
      </c>
      <c r="W541" s="94">
        <v>0</v>
      </c>
      <c r="X541" s="94">
        <v>0</v>
      </c>
      <c r="Y541" s="89">
        <v>0</v>
      </c>
      <c r="Z541" s="94">
        <f t="shared" si="37"/>
        <v>0</v>
      </c>
      <c r="AA541" s="94">
        <f t="shared" si="38"/>
        <v>0</v>
      </c>
      <c r="AB541" s="89">
        <f t="shared" si="39"/>
        <v>0</v>
      </c>
      <c r="AC541" s="89">
        <f t="shared" si="40"/>
        <v>0</v>
      </c>
      <c r="AD541" s="89">
        <v>0</v>
      </c>
      <c r="AE541" s="89">
        <v>0</v>
      </c>
      <c r="AF541" s="117"/>
      <c r="AG541" s="117"/>
      <c r="AH541" s="262"/>
      <c r="AI541" s="17"/>
      <c r="AJ541" s="17"/>
      <c r="AK541" s="17"/>
      <c r="AL541" s="17"/>
      <c r="AM541" s="17"/>
      <c r="AN541" s="17"/>
      <c r="AO541" s="17"/>
      <c r="AP541" s="15" t="str">
        <f>IFERROR(VLOOKUP(AO541,Legend!$D$2:$E$26,2,0),"")</f>
        <v/>
      </c>
      <c r="AQ541" s="15"/>
      <c r="AR541" s="17"/>
      <c r="AS541" s="17"/>
      <c r="AT541" s="15"/>
      <c r="AU541" s="17"/>
      <c r="AV541" s="17"/>
      <c r="AW541" s="17" t="s">
        <v>10</v>
      </c>
      <c r="AX541" s="15"/>
      <c r="AY541" s="15"/>
    </row>
    <row r="542" spans="1:51" x14ac:dyDescent="0.25">
      <c r="A542" s="15"/>
      <c r="B542" s="15"/>
      <c r="C542" s="15"/>
      <c r="D542" s="15"/>
      <c r="E542" s="91"/>
      <c r="F542" s="15"/>
      <c r="G542" s="15"/>
      <c r="H542" s="15"/>
      <c r="I542" s="15"/>
      <c r="J542" s="15"/>
      <c r="K542" s="89"/>
      <c r="L542" s="15"/>
      <c r="M542" s="89">
        <v>0</v>
      </c>
      <c r="N542" s="89">
        <v>0</v>
      </c>
      <c r="O542" s="89">
        <v>0</v>
      </c>
      <c r="P542" s="94">
        <v>0</v>
      </c>
      <c r="Q542" s="94">
        <v>0</v>
      </c>
      <c r="R542" s="94">
        <v>0</v>
      </c>
      <c r="S542" s="94">
        <v>0</v>
      </c>
      <c r="T542" s="89">
        <v>0</v>
      </c>
      <c r="U542" s="89">
        <v>0</v>
      </c>
      <c r="V542" s="94">
        <v>0</v>
      </c>
      <c r="W542" s="94">
        <v>0</v>
      </c>
      <c r="X542" s="94">
        <v>0</v>
      </c>
      <c r="Y542" s="89">
        <v>0</v>
      </c>
      <c r="Z542" s="94">
        <f t="shared" si="37"/>
        <v>0</v>
      </c>
      <c r="AA542" s="94">
        <f t="shared" si="38"/>
        <v>0</v>
      </c>
      <c r="AB542" s="89">
        <f t="shared" si="39"/>
        <v>0</v>
      </c>
      <c r="AC542" s="89">
        <f t="shared" si="40"/>
        <v>0</v>
      </c>
      <c r="AD542" s="89">
        <v>0</v>
      </c>
      <c r="AE542" s="89">
        <v>0</v>
      </c>
      <c r="AF542" s="117"/>
      <c r="AG542" s="117"/>
      <c r="AH542" s="262"/>
      <c r="AI542" s="17"/>
      <c r="AJ542" s="17"/>
      <c r="AK542" s="17"/>
      <c r="AL542" s="17"/>
      <c r="AM542" s="17"/>
      <c r="AN542" s="17"/>
      <c r="AO542" s="17"/>
      <c r="AP542" s="15" t="str">
        <f>IFERROR(VLOOKUP(AO542,Legend!$D$2:$E$26,2,0),"")</f>
        <v/>
      </c>
      <c r="AQ542" s="15"/>
      <c r="AR542" s="17"/>
      <c r="AS542" s="17"/>
      <c r="AT542" s="15"/>
      <c r="AU542" s="17"/>
      <c r="AV542" s="17"/>
      <c r="AW542" s="17" t="s">
        <v>10</v>
      </c>
      <c r="AX542" s="15"/>
      <c r="AY542" s="15"/>
    </row>
    <row r="543" spans="1:51" x14ac:dyDescent="0.25">
      <c r="A543" s="15"/>
      <c r="B543" s="15"/>
      <c r="C543" s="15"/>
      <c r="D543" s="15"/>
      <c r="E543" s="91"/>
      <c r="F543" s="15"/>
      <c r="G543" s="15"/>
      <c r="H543" s="15"/>
      <c r="I543" s="15"/>
      <c r="J543" s="15"/>
      <c r="K543" s="89"/>
      <c r="L543" s="15"/>
      <c r="M543" s="89">
        <v>0</v>
      </c>
      <c r="N543" s="89">
        <v>0</v>
      </c>
      <c r="O543" s="89">
        <v>0</v>
      </c>
      <c r="P543" s="94">
        <v>0</v>
      </c>
      <c r="Q543" s="94">
        <v>0</v>
      </c>
      <c r="R543" s="94">
        <v>0</v>
      </c>
      <c r="S543" s="94">
        <v>0</v>
      </c>
      <c r="T543" s="89">
        <v>0</v>
      </c>
      <c r="U543" s="89">
        <v>0</v>
      </c>
      <c r="V543" s="94">
        <v>0</v>
      </c>
      <c r="W543" s="94">
        <v>0</v>
      </c>
      <c r="X543" s="94">
        <v>0</v>
      </c>
      <c r="Y543" s="89">
        <v>0</v>
      </c>
      <c r="Z543" s="94">
        <f t="shared" si="37"/>
        <v>0</v>
      </c>
      <c r="AA543" s="94">
        <f t="shared" si="38"/>
        <v>0</v>
      </c>
      <c r="AB543" s="89">
        <f t="shared" si="39"/>
        <v>0</v>
      </c>
      <c r="AC543" s="89">
        <f t="shared" si="40"/>
        <v>0</v>
      </c>
      <c r="AD543" s="89">
        <v>0</v>
      </c>
      <c r="AE543" s="89">
        <v>0</v>
      </c>
      <c r="AF543" s="117"/>
      <c r="AG543" s="117"/>
      <c r="AH543" s="262"/>
      <c r="AI543" s="17"/>
      <c r="AJ543" s="17"/>
      <c r="AK543" s="17"/>
      <c r="AL543" s="17"/>
      <c r="AM543" s="17"/>
      <c r="AN543" s="17"/>
      <c r="AO543" s="17"/>
      <c r="AP543" s="15" t="str">
        <f>IFERROR(VLOOKUP(AO543,Legend!$D$2:$E$26,2,0),"")</f>
        <v/>
      </c>
      <c r="AQ543" s="15"/>
      <c r="AR543" s="17"/>
      <c r="AS543" s="17"/>
      <c r="AT543" s="15"/>
      <c r="AU543" s="17"/>
      <c r="AV543" s="17"/>
      <c r="AW543" s="17" t="s">
        <v>10</v>
      </c>
      <c r="AX543" s="15"/>
      <c r="AY543" s="15"/>
    </row>
    <row r="544" spans="1:51" x14ac:dyDescent="0.25">
      <c r="A544" s="15"/>
      <c r="B544" s="15"/>
      <c r="C544" s="15"/>
      <c r="D544" s="15"/>
      <c r="E544" s="91"/>
      <c r="F544" s="15"/>
      <c r="G544" s="15"/>
      <c r="H544" s="15"/>
      <c r="I544" s="15"/>
      <c r="J544" s="15"/>
      <c r="K544" s="89"/>
      <c r="L544" s="15"/>
      <c r="M544" s="89">
        <v>0</v>
      </c>
      <c r="N544" s="89">
        <v>0</v>
      </c>
      <c r="O544" s="89">
        <v>0</v>
      </c>
      <c r="P544" s="94">
        <v>0</v>
      </c>
      <c r="Q544" s="94">
        <v>0</v>
      </c>
      <c r="R544" s="94">
        <v>0</v>
      </c>
      <c r="S544" s="94">
        <v>0</v>
      </c>
      <c r="T544" s="89">
        <v>0</v>
      </c>
      <c r="U544" s="89">
        <v>0</v>
      </c>
      <c r="V544" s="94">
        <v>0</v>
      </c>
      <c r="W544" s="94">
        <v>0</v>
      </c>
      <c r="X544" s="94">
        <v>0</v>
      </c>
      <c r="Y544" s="89">
        <v>0</v>
      </c>
      <c r="Z544" s="94">
        <f t="shared" si="37"/>
        <v>0</v>
      </c>
      <c r="AA544" s="94">
        <f t="shared" si="38"/>
        <v>0</v>
      </c>
      <c r="AB544" s="89">
        <f t="shared" si="39"/>
        <v>0</v>
      </c>
      <c r="AC544" s="89">
        <f t="shared" si="40"/>
        <v>0</v>
      </c>
      <c r="AD544" s="89">
        <v>0</v>
      </c>
      <c r="AE544" s="89">
        <v>0</v>
      </c>
      <c r="AF544" s="117"/>
      <c r="AG544" s="117"/>
      <c r="AH544" s="262"/>
      <c r="AI544" s="17"/>
      <c r="AJ544" s="17"/>
      <c r="AK544" s="17"/>
      <c r="AL544" s="17"/>
      <c r="AM544" s="17"/>
      <c r="AN544" s="17"/>
      <c r="AO544" s="17"/>
      <c r="AP544" s="15" t="str">
        <f>IFERROR(VLOOKUP(AO544,Legend!$D$2:$E$26,2,0),"")</f>
        <v/>
      </c>
      <c r="AQ544" s="15"/>
      <c r="AR544" s="17"/>
      <c r="AS544" s="17"/>
      <c r="AT544" s="15"/>
      <c r="AU544" s="17"/>
      <c r="AV544" s="17"/>
      <c r="AW544" s="17" t="s">
        <v>10</v>
      </c>
      <c r="AX544" s="15"/>
      <c r="AY544" s="15"/>
    </row>
    <row r="545" spans="1:51" x14ac:dyDescent="0.25">
      <c r="A545" s="15"/>
      <c r="B545" s="15"/>
      <c r="C545" s="15"/>
      <c r="D545" s="15"/>
      <c r="E545" s="91"/>
      <c r="F545" s="15"/>
      <c r="G545" s="15"/>
      <c r="H545" s="15"/>
      <c r="I545" s="15"/>
      <c r="J545" s="15"/>
      <c r="K545" s="89"/>
      <c r="L545" s="15"/>
      <c r="M545" s="89">
        <v>0</v>
      </c>
      <c r="N545" s="89">
        <v>0</v>
      </c>
      <c r="O545" s="89">
        <v>0</v>
      </c>
      <c r="P545" s="94">
        <v>0</v>
      </c>
      <c r="Q545" s="94">
        <v>0</v>
      </c>
      <c r="R545" s="94">
        <v>0</v>
      </c>
      <c r="S545" s="94">
        <v>0</v>
      </c>
      <c r="T545" s="89">
        <v>0</v>
      </c>
      <c r="U545" s="89">
        <v>0</v>
      </c>
      <c r="V545" s="94">
        <v>0</v>
      </c>
      <c r="W545" s="94">
        <v>0</v>
      </c>
      <c r="X545" s="94">
        <v>0</v>
      </c>
      <c r="Y545" s="89">
        <v>0</v>
      </c>
      <c r="Z545" s="94">
        <f t="shared" si="37"/>
        <v>0</v>
      </c>
      <c r="AA545" s="94">
        <f t="shared" si="38"/>
        <v>0</v>
      </c>
      <c r="AB545" s="89">
        <f t="shared" si="39"/>
        <v>0</v>
      </c>
      <c r="AC545" s="89">
        <f t="shared" si="40"/>
        <v>0</v>
      </c>
      <c r="AD545" s="89">
        <v>0</v>
      </c>
      <c r="AE545" s="89">
        <v>0</v>
      </c>
      <c r="AF545" s="117"/>
      <c r="AG545" s="117"/>
      <c r="AH545" s="262"/>
      <c r="AI545" s="17"/>
      <c r="AJ545" s="17"/>
      <c r="AK545" s="17"/>
      <c r="AL545" s="17"/>
      <c r="AM545" s="17"/>
      <c r="AN545" s="17"/>
      <c r="AO545" s="17"/>
      <c r="AP545" s="15" t="str">
        <f>IFERROR(VLOOKUP(AO545,Legend!$D$2:$E$26,2,0),"")</f>
        <v/>
      </c>
      <c r="AQ545" s="15"/>
      <c r="AR545" s="17"/>
      <c r="AS545" s="17"/>
      <c r="AT545" s="15"/>
      <c r="AU545" s="17"/>
      <c r="AV545" s="17"/>
      <c r="AW545" s="17" t="s">
        <v>10</v>
      </c>
      <c r="AX545" s="15"/>
      <c r="AY545" s="15"/>
    </row>
    <row r="546" spans="1:51" x14ac:dyDescent="0.25">
      <c r="A546" s="15"/>
      <c r="B546" s="15"/>
      <c r="C546" s="15"/>
      <c r="D546" s="15"/>
      <c r="E546" s="91"/>
      <c r="F546" s="15"/>
      <c r="G546" s="15"/>
      <c r="H546" s="15"/>
      <c r="I546" s="15"/>
      <c r="J546" s="15"/>
      <c r="K546" s="89"/>
      <c r="L546" s="15"/>
      <c r="M546" s="89">
        <v>0</v>
      </c>
      <c r="N546" s="89">
        <v>0</v>
      </c>
      <c r="O546" s="89">
        <v>0</v>
      </c>
      <c r="P546" s="94">
        <v>0</v>
      </c>
      <c r="Q546" s="94">
        <v>0</v>
      </c>
      <c r="R546" s="94">
        <v>0</v>
      </c>
      <c r="S546" s="94">
        <v>0</v>
      </c>
      <c r="T546" s="89">
        <v>0</v>
      </c>
      <c r="U546" s="89">
        <v>0</v>
      </c>
      <c r="V546" s="94">
        <v>0</v>
      </c>
      <c r="W546" s="94">
        <v>0</v>
      </c>
      <c r="X546" s="94">
        <v>0</v>
      </c>
      <c r="Y546" s="89">
        <v>0</v>
      </c>
      <c r="Z546" s="94">
        <f t="shared" si="37"/>
        <v>0</v>
      </c>
      <c r="AA546" s="94">
        <f t="shared" si="38"/>
        <v>0</v>
      </c>
      <c r="AB546" s="89">
        <f t="shared" si="39"/>
        <v>0</v>
      </c>
      <c r="AC546" s="89">
        <f t="shared" si="40"/>
        <v>0</v>
      </c>
      <c r="AD546" s="89">
        <v>0</v>
      </c>
      <c r="AE546" s="89">
        <v>0</v>
      </c>
      <c r="AF546" s="117"/>
      <c r="AG546" s="117"/>
      <c r="AH546" s="262"/>
      <c r="AI546" s="17"/>
      <c r="AJ546" s="17"/>
      <c r="AK546" s="17"/>
      <c r="AL546" s="17"/>
      <c r="AM546" s="17"/>
      <c r="AN546" s="17"/>
      <c r="AO546" s="17"/>
      <c r="AP546" s="15" t="str">
        <f>IFERROR(VLOOKUP(AO546,Legend!$D$2:$E$26,2,0),"")</f>
        <v/>
      </c>
      <c r="AQ546" s="15"/>
      <c r="AR546" s="17"/>
      <c r="AS546" s="17"/>
      <c r="AT546" s="15"/>
      <c r="AU546" s="17"/>
      <c r="AV546" s="17"/>
      <c r="AW546" s="17" t="s">
        <v>10</v>
      </c>
      <c r="AX546" s="15"/>
      <c r="AY546" s="15"/>
    </row>
    <row r="547" spans="1:51" x14ac:dyDescent="0.25">
      <c r="A547" s="15"/>
      <c r="B547" s="15"/>
      <c r="C547" s="15"/>
      <c r="D547" s="15"/>
      <c r="E547" s="91"/>
      <c r="F547" s="15"/>
      <c r="G547" s="15"/>
      <c r="H547" s="15"/>
      <c r="I547" s="15"/>
      <c r="J547" s="15"/>
      <c r="K547" s="89"/>
      <c r="L547" s="15"/>
      <c r="M547" s="89">
        <v>0</v>
      </c>
      <c r="N547" s="89">
        <v>0</v>
      </c>
      <c r="O547" s="89">
        <v>0</v>
      </c>
      <c r="P547" s="94">
        <v>0</v>
      </c>
      <c r="Q547" s="94">
        <v>0</v>
      </c>
      <c r="R547" s="94">
        <v>0</v>
      </c>
      <c r="S547" s="94">
        <v>0</v>
      </c>
      <c r="T547" s="89">
        <v>0</v>
      </c>
      <c r="U547" s="89">
        <v>0</v>
      </c>
      <c r="V547" s="94">
        <v>0</v>
      </c>
      <c r="W547" s="94">
        <v>0</v>
      </c>
      <c r="X547" s="94">
        <v>0</v>
      </c>
      <c r="Y547" s="89">
        <v>0</v>
      </c>
      <c r="Z547" s="94">
        <f t="shared" si="37"/>
        <v>0</v>
      </c>
      <c r="AA547" s="94">
        <f t="shared" si="38"/>
        <v>0</v>
      </c>
      <c r="AB547" s="89">
        <f t="shared" si="39"/>
        <v>0</v>
      </c>
      <c r="AC547" s="89">
        <f t="shared" si="40"/>
        <v>0</v>
      </c>
      <c r="AD547" s="89">
        <v>0</v>
      </c>
      <c r="AE547" s="89">
        <v>0</v>
      </c>
      <c r="AF547" s="117"/>
      <c r="AG547" s="117"/>
      <c r="AH547" s="262"/>
      <c r="AI547" s="17"/>
      <c r="AJ547" s="17"/>
      <c r="AK547" s="17"/>
      <c r="AL547" s="17"/>
      <c r="AM547" s="17"/>
      <c r="AN547" s="17"/>
      <c r="AO547" s="17"/>
      <c r="AP547" s="15" t="str">
        <f>IFERROR(VLOOKUP(AO547,Legend!$D$2:$E$26,2,0),"")</f>
        <v/>
      </c>
      <c r="AQ547" s="15"/>
      <c r="AR547" s="17"/>
      <c r="AS547" s="17"/>
      <c r="AT547" s="15"/>
      <c r="AU547" s="17"/>
      <c r="AV547" s="17"/>
      <c r="AW547" s="17" t="s">
        <v>10</v>
      </c>
      <c r="AX547" s="15"/>
      <c r="AY547" s="15"/>
    </row>
    <row r="548" spans="1:51" x14ac:dyDescent="0.25">
      <c r="A548" s="15"/>
      <c r="B548" s="15"/>
      <c r="C548" s="15"/>
      <c r="D548" s="15"/>
      <c r="E548" s="91"/>
      <c r="F548" s="15"/>
      <c r="G548" s="15"/>
      <c r="H548" s="15"/>
      <c r="I548" s="15"/>
      <c r="J548" s="15"/>
      <c r="K548" s="89"/>
      <c r="L548" s="15"/>
      <c r="M548" s="89">
        <v>0</v>
      </c>
      <c r="N548" s="89">
        <v>0</v>
      </c>
      <c r="O548" s="89">
        <v>0</v>
      </c>
      <c r="P548" s="94">
        <v>0</v>
      </c>
      <c r="Q548" s="94">
        <v>0</v>
      </c>
      <c r="R548" s="94">
        <v>0</v>
      </c>
      <c r="S548" s="94">
        <v>0</v>
      </c>
      <c r="T548" s="89">
        <v>0</v>
      </c>
      <c r="U548" s="89">
        <v>0</v>
      </c>
      <c r="V548" s="94">
        <v>0</v>
      </c>
      <c r="W548" s="94">
        <v>0</v>
      </c>
      <c r="X548" s="94">
        <v>0</v>
      </c>
      <c r="Y548" s="89">
        <v>0</v>
      </c>
      <c r="Z548" s="94">
        <f t="shared" si="37"/>
        <v>0</v>
      </c>
      <c r="AA548" s="94">
        <f t="shared" si="38"/>
        <v>0</v>
      </c>
      <c r="AB548" s="89">
        <f t="shared" si="39"/>
        <v>0</v>
      </c>
      <c r="AC548" s="89">
        <f t="shared" si="40"/>
        <v>0</v>
      </c>
      <c r="AD548" s="89">
        <v>0</v>
      </c>
      <c r="AE548" s="89">
        <v>0</v>
      </c>
      <c r="AF548" s="117"/>
      <c r="AG548" s="117"/>
      <c r="AH548" s="262"/>
      <c r="AI548" s="17"/>
      <c r="AJ548" s="17"/>
      <c r="AK548" s="17"/>
      <c r="AL548" s="17"/>
      <c r="AM548" s="17"/>
      <c r="AN548" s="17"/>
      <c r="AO548" s="17"/>
      <c r="AP548" s="15" t="str">
        <f>IFERROR(VLOOKUP(AO548,Legend!$D$2:$E$26,2,0),"")</f>
        <v/>
      </c>
      <c r="AQ548" s="15"/>
      <c r="AR548" s="17"/>
      <c r="AS548" s="17"/>
      <c r="AT548" s="15"/>
      <c r="AU548" s="17"/>
      <c r="AV548" s="17"/>
      <c r="AW548" s="17" t="s">
        <v>10</v>
      </c>
      <c r="AX548" s="15"/>
      <c r="AY548" s="15"/>
    </row>
    <row r="549" spans="1:51" x14ac:dyDescent="0.25">
      <c r="A549" s="15"/>
      <c r="B549" s="15"/>
      <c r="C549" s="15"/>
      <c r="D549" s="15"/>
      <c r="E549" s="91"/>
      <c r="F549" s="15"/>
      <c r="G549" s="15"/>
      <c r="H549" s="15"/>
      <c r="I549" s="15"/>
      <c r="J549" s="15"/>
      <c r="K549" s="89"/>
      <c r="L549" s="15"/>
      <c r="M549" s="89">
        <v>0</v>
      </c>
      <c r="N549" s="89">
        <v>0</v>
      </c>
      <c r="O549" s="89">
        <v>0</v>
      </c>
      <c r="P549" s="94">
        <v>0</v>
      </c>
      <c r="Q549" s="94">
        <v>0</v>
      </c>
      <c r="R549" s="94">
        <v>0</v>
      </c>
      <c r="S549" s="94">
        <v>0</v>
      </c>
      <c r="T549" s="89">
        <v>0</v>
      </c>
      <c r="U549" s="89">
        <v>0</v>
      </c>
      <c r="V549" s="94">
        <v>0</v>
      </c>
      <c r="W549" s="94">
        <v>0</v>
      </c>
      <c r="X549" s="94">
        <v>0</v>
      </c>
      <c r="Y549" s="89">
        <v>0</v>
      </c>
      <c r="Z549" s="94">
        <f t="shared" si="37"/>
        <v>0</v>
      </c>
      <c r="AA549" s="94">
        <f t="shared" si="38"/>
        <v>0</v>
      </c>
      <c r="AB549" s="89">
        <f t="shared" si="39"/>
        <v>0</v>
      </c>
      <c r="AC549" s="89">
        <f t="shared" si="40"/>
        <v>0</v>
      </c>
      <c r="AD549" s="89">
        <v>0</v>
      </c>
      <c r="AE549" s="89">
        <v>0</v>
      </c>
      <c r="AF549" s="117"/>
      <c r="AG549" s="117"/>
      <c r="AH549" s="262"/>
      <c r="AI549" s="17"/>
      <c r="AJ549" s="17"/>
      <c r="AK549" s="17"/>
      <c r="AL549" s="17"/>
      <c r="AM549" s="17"/>
      <c r="AN549" s="17"/>
      <c r="AO549" s="17"/>
      <c r="AP549" s="15" t="str">
        <f>IFERROR(VLOOKUP(AO549,Legend!$D$2:$E$26,2,0),"")</f>
        <v/>
      </c>
      <c r="AQ549" s="15"/>
      <c r="AR549" s="17"/>
      <c r="AS549" s="17"/>
      <c r="AT549" s="15"/>
      <c r="AU549" s="17"/>
      <c r="AV549" s="17"/>
      <c r="AW549" s="17" t="s">
        <v>10</v>
      </c>
      <c r="AX549" s="15"/>
      <c r="AY549" s="15"/>
    </row>
    <row r="550" spans="1:51" x14ac:dyDescent="0.25">
      <c r="A550" s="15"/>
      <c r="B550" s="15"/>
      <c r="C550" s="15"/>
      <c r="D550" s="15"/>
      <c r="E550" s="91"/>
      <c r="F550" s="15"/>
      <c r="G550" s="15"/>
      <c r="H550" s="15"/>
      <c r="I550" s="15"/>
      <c r="J550" s="15"/>
      <c r="K550" s="89"/>
      <c r="L550" s="15"/>
      <c r="M550" s="89">
        <v>0</v>
      </c>
      <c r="N550" s="89">
        <v>0</v>
      </c>
      <c r="O550" s="89">
        <v>0</v>
      </c>
      <c r="P550" s="94">
        <v>0</v>
      </c>
      <c r="Q550" s="94">
        <v>0</v>
      </c>
      <c r="R550" s="94">
        <v>0</v>
      </c>
      <c r="S550" s="94">
        <v>0</v>
      </c>
      <c r="T550" s="89">
        <v>0</v>
      </c>
      <c r="U550" s="89">
        <v>0</v>
      </c>
      <c r="V550" s="94">
        <v>0</v>
      </c>
      <c r="W550" s="94">
        <v>0</v>
      </c>
      <c r="X550" s="94">
        <v>0</v>
      </c>
      <c r="Y550" s="89">
        <v>0</v>
      </c>
      <c r="Z550" s="94">
        <f t="shared" si="37"/>
        <v>0</v>
      </c>
      <c r="AA550" s="94">
        <f t="shared" si="38"/>
        <v>0</v>
      </c>
      <c r="AB550" s="89">
        <f t="shared" si="39"/>
        <v>0</v>
      </c>
      <c r="AC550" s="89">
        <f t="shared" si="40"/>
        <v>0</v>
      </c>
      <c r="AD550" s="89">
        <v>0</v>
      </c>
      <c r="AE550" s="89">
        <v>0</v>
      </c>
      <c r="AF550" s="117"/>
      <c r="AG550" s="117"/>
      <c r="AH550" s="262"/>
      <c r="AI550" s="17"/>
      <c r="AJ550" s="17"/>
      <c r="AK550" s="17"/>
      <c r="AL550" s="17"/>
      <c r="AM550" s="17"/>
      <c r="AN550" s="17"/>
      <c r="AO550" s="17"/>
      <c r="AP550" s="15" t="str">
        <f>IFERROR(VLOOKUP(AO550,Legend!$D$2:$E$26,2,0),"")</f>
        <v/>
      </c>
      <c r="AQ550" s="15"/>
      <c r="AR550" s="17"/>
      <c r="AS550" s="17"/>
      <c r="AT550" s="15"/>
      <c r="AU550" s="17"/>
      <c r="AV550" s="17"/>
      <c r="AW550" s="17" t="s">
        <v>10</v>
      </c>
      <c r="AX550" s="15"/>
      <c r="AY550" s="15"/>
    </row>
    <row r="551" spans="1:51" x14ac:dyDescent="0.25">
      <c r="A551" s="15"/>
      <c r="B551" s="15"/>
      <c r="C551" s="15"/>
      <c r="D551" s="15"/>
      <c r="E551" s="91"/>
      <c r="F551" s="15"/>
      <c r="G551" s="15"/>
      <c r="H551" s="15"/>
      <c r="I551" s="15"/>
      <c r="J551" s="15"/>
      <c r="K551" s="89"/>
      <c r="L551" s="15"/>
      <c r="M551" s="89">
        <v>0</v>
      </c>
      <c r="N551" s="89">
        <v>0</v>
      </c>
      <c r="O551" s="89">
        <v>0</v>
      </c>
      <c r="P551" s="94">
        <v>0</v>
      </c>
      <c r="Q551" s="94">
        <v>0</v>
      </c>
      <c r="R551" s="94">
        <v>0</v>
      </c>
      <c r="S551" s="94">
        <v>0</v>
      </c>
      <c r="T551" s="89">
        <v>0</v>
      </c>
      <c r="U551" s="89">
        <v>0</v>
      </c>
      <c r="V551" s="94">
        <v>0</v>
      </c>
      <c r="W551" s="94">
        <v>0</v>
      </c>
      <c r="X551" s="94">
        <v>0</v>
      </c>
      <c r="Y551" s="89">
        <v>0</v>
      </c>
      <c r="Z551" s="94">
        <f t="shared" si="37"/>
        <v>0</v>
      </c>
      <c r="AA551" s="94">
        <f t="shared" si="38"/>
        <v>0</v>
      </c>
      <c r="AB551" s="89">
        <f t="shared" si="39"/>
        <v>0</v>
      </c>
      <c r="AC551" s="89">
        <f t="shared" si="40"/>
        <v>0</v>
      </c>
      <c r="AD551" s="89">
        <v>0</v>
      </c>
      <c r="AE551" s="89">
        <v>0</v>
      </c>
      <c r="AF551" s="117"/>
      <c r="AG551" s="117"/>
      <c r="AH551" s="262"/>
      <c r="AI551" s="17"/>
      <c r="AJ551" s="17"/>
      <c r="AK551" s="17"/>
      <c r="AL551" s="17"/>
      <c r="AM551" s="17"/>
      <c r="AN551" s="17"/>
      <c r="AO551" s="17"/>
      <c r="AP551" s="15" t="str">
        <f>IFERROR(VLOOKUP(AO551,Legend!$D$2:$E$26,2,0),"")</f>
        <v/>
      </c>
      <c r="AQ551" s="15"/>
      <c r="AR551" s="17"/>
      <c r="AS551" s="17"/>
      <c r="AT551" s="15"/>
      <c r="AU551" s="17"/>
      <c r="AV551" s="17"/>
      <c r="AW551" s="17" t="s">
        <v>10</v>
      </c>
      <c r="AX551" s="15"/>
      <c r="AY551" s="15"/>
    </row>
    <row r="552" spans="1:51" x14ac:dyDescent="0.25">
      <c r="A552" s="15"/>
      <c r="B552" s="15"/>
      <c r="C552" s="15"/>
      <c r="D552" s="15"/>
      <c r="E552" s="91"/>
      <c r="F552" s="15"/>
      <c r="G552" s="15"/>
      <c r="H552" s="15"/>
      <c r="I552" s="15"/>
      <c r="J552" s="15"/>
      <c r="K552" s="89"/>
      <c r="L552" s="15"/>
      <c r="M552" s="89">
        <v>0</v>
      </c>
      <c r="N552" s="89">
        <v>0</v>
      </c>
      <c r="O552" s="89">
        <v>0</v>
      </c>
      <c r="P552" s="94">
        <v>0</v>
      </c>
      <c r="Q552" s="94">
        <v>0</v>
      </c>
      <c r="R552" s="94">
        <v>0</v>
      </c>
      <c r="S552" s="94">
        <v>0</v>
      </c>
      <c r="T552" s="89">
        <v>0</v>
      </c>
      <c r="U552" s="89">
        <v>0</v>
      </c>
      <c r="V552" s="94">
        <v>0</v>
      </c>
      <c r="W552" s="94">
        <v>0</v>
      </c>
      <c r="X552" s="94">
        <v>0</v>
      </c>
      <c r="Y552" s="89">
        <v>0</v>
      </c>
      <c r="Z552" s="94">
        <f t="shared" si="37"/>
        <v>0</v>
      </c>
      <c r="AA552" s="94">
        <f t="shared" si="38"/>
        <v>0</v>
      </c>
      <c r="AB552" s="89">
        <f t="shared" si="39"/>
        <v>0</v>
      </c>
      <c r="AC552" s="89">
        <f t="shared" si="40"/>
        <v>0</v>
      </c>
      <c r="AD552" s="89">
        <v>0</v>
      </c>
      <c r="AE552" s="89">
        <v>0</v>
      </c>
      <c r="AF552" s="117"/>
      <c r="AG552" s="117"/>
      <c r="AH552" s="262"/>
      <c r="AI552" s="17"/>
      <c r="AJ552" s="17"/>
      <c r="AK552" s="17"/>
      <c r="AL552" s="17"/>
      <c r="AM552" s="17"/>
      <c r="AN552" s="17"/>
      <c r="AO552" s="17"/>
      <c r="AP552" s="15" t="str">
        <f>IFERROR(VLOOKUP(AO552,Legend!$D$2:$E$26,2,0),"")</f>
        <v/>
      </c>
      <c r="AQ552" s="15"/>
      <c r="AR552" s="17"/>
      <c r="AS552" s="17"/>
      <c r="AT552" s="15"/>
      <c r="AU552" s="17"/>
      <c r="AV552" s="17"/>
      <c r="AW552" s="17" t="s">
        <v>10</v>
      </c>
      <c r="AX552" s="15"/>
      <c r="AY552" s="15"/>
    </row>
    <row r="553" spans="1:51" x14ac:dyDescent="0.25">
      <c r="A553" s="15"/>
      <c r="B553" s="15"/>
      <c r="C553" s="15"/>
      <c r="D553" s="15"/>
      <c r="E553" s="91"/>
      <c r="F553" s="15"/>
      <c r="G553" s="15"/>
      <c r="H553" s="15"/>
      <c r="I553" s="15"/>
      <c r="J553" s="15"/>
      <c r="K553" s="89"/>
      <c r="L553" s="15"/>
      <c r="M553" s="89">
        <v>0</v>
      </c>
      <c r="N553" s="89">
        <v>0</v>
      </c>
      <c r="O553" s="89">
        <v>0</v>
      </c>
      <c r="P553" s="94">
        <v>0</v>
      </c>
      <c r="Q553" s="94">
        <v>0</v>
      </c>
      <c r="R553" s="94">
        <v>0</v>
      </c>
      <c r="S553" s="94">
        <v>0</v>
      </c>
      <c r="T553" s="89">
        <v>0</v>
      </c>
      <c r="U553" s="89">
        <v>0</v>
      </c>
      <c r="V553" s="94">
        <v>0</v>
      </c>
      <c r="W553" s="94">
        <v>0</v>
      </c>
      <c r="X553" s="94">
        <v>0</v>
      </c>
      <c r="Y553" s="89">
        <v>0</v>
      </c>
      <c r="Z553" s="94">
        <f t="shared" si="37"/>
        <v>0</v>
      </c>
      <c r="AA553" s="94">
        <f t="shared" si="38"/>
        <v>0</v>
      </c>
      <c r="AB553" s="89">
        <f t="shared" si="39"/>
        <v>0</v>
      </c>
      <c r="AC553" s="89">
        <f t="shared" si="40"/>
        <v>0</v>
      </c>
      <c r="AD553" s="89">
        <v>0</v>
      </c>
      <c r="AE553" s="89">
        <v>0</v>
      </c>
      <c r="AF553" s="117"/>
      <c r="AG553" s="117"/>
      <c r="AH553" s="262"/>
      <c r="AI553" s="17"/>
      <c r="AJ553" s="17"/>
      <c r="AK553" s="17"/>
      <c r="AL553" s="17"/>
      <c r="AM553" s="17"/>
      <c r="AN553" s="17"/>
      <c r="AO553" s="17"/>
      <c r="AP553" s="15" t="str">
        <f>IFERROR(VLOOKUP(AO553,Legend!$D$2:$E$26,2,0),"")</f>
        <v/>
      </c>
      <c r="AQ553" s="15"/>
      <c r="AR553" s="17"/>
      <c r="AS553" s="17"/>
      <c r="AT553" s="15"/>
      <c r="AU553" s="17"/>
      <c r="AV553" s="17"/>
      <c r="AW553" s="17" t="s">
        <v>10</v>
      </c>
      <c r="AX553" s="15"/>
      <c r="AY553" s="15"/>
    </row>
    <row r="554" spans="1:51" x14ac:dyDescent="0.25">
      <c r="A554" s="15"/>
      <c r="B554" s="15"/>
      <c r="C554" s="15"/>
      <c r="D554" s="15"/>
      <c r="E554" s="91"/>
      <c r="F554" s="15"/>
      <c r="G554" s="15"/>
      <c r="H554" s="15"/>
      <c r="I554" s="15"/>
      <c r="J554" s="15"/>
      <c r="K554" s="89"/>
      <c r="L554" s="15"/>
      <c r="M554" s="89">
        <v>0</v>
      </c>
      <c r="N554" s="89">
        <v>0</v>
      </c>
      <c r="O554" s="89">
        <v>0</v>
      </c>
      <c r="P554" s="94">
        <v>0</v>
      </c>
      <c r="Q554" s="94">
        <v>0</v>
      </c>
      <c r="R554" s="94">
        <v>0</v>
      </c>
      <c r="S554" s="94">
        <v>0</v>
      </c>
      <c r="T554" s="89">
        <v>0</v>
      </c>
      <c r="U554" s="89">
        <v>0</v>
      </c>
      <c r="V554" s="94">
        <v>0</v>
      </c>
      <c r="W554" s="94">
        <v>0</v>
      </c>
      <c r="X554" s="94">
        <v>0</v>
      </c>
      <c r="Y554" s="89">
        <v>0</v>
      </c>
      <c r="Z554" s="94">
        <f t="shared" si="37"/>
        <v>0</v>
      </c>
      <c r="AA554" s="94">
        <f t="shared" si="38"/>
        <v>0</v>
      </c>
      <c r="AB554" s="89">
        <f t="shared" si="39"/>
        <v>0</v>
      </c>
      <c r="AC554" s="89">
        <f t="shared" si="40"/>
        <v>0</v>
      </c>
      <c r="AD554" s="89">
        <v>0</v>
      </c>
      <c r="AE554" s="89">
        <v>0</v>
      </c>
      <c r="AF554" s="117"/>
      <c r="AG554" s="117"/>
      <c r="AH554" s="262"/>
      <c r="AI554" s="17"/>
      <c r="AJ554" s="17"/>
      <c r="AK554" s="17"/>
      <c r="AL554" s="17"/>
      <c r="AM554" s="17"/>
      <c r="AN554" s="17"/>
      <c r="AO554" s="17"/>
      <c r="AP554" s="15" t="str">
        <f>IFERROR(VLOOKUP(AO554,Legend!$D$2:$E$26,2,0),"")</f>
        <v/>
      </c>
      <c r="AQ554" s="15"/>
      <c r="AR554" s="17"/>
      <c r="AS554" s="17"/>
      <c r="AT554" s="15"/>
      <c r="AU554" s="17"/>
      <c r="AV554" s="17"/>
      <c r="AW554" s="17" t="s">
        <v>10</v>
      </c>
      <c r="AX554" s="15"/>
      <c r="AY554" s="15"/>
    </row>
    <row r="555" spans="1:51" x14ac:dyDescent="0.25">
      <c r="A555" s="15"/>
      <c r="B555" s="15"/>
      <c r="C555" s="15"/>
      <c r="D555" s="15"/>
      <c r="E555" s="91"/>
      <c r="F555" s="15"/>
      <c r="G555" s="15"/>
      <c r="H555" s="15"/>
      <c r="I555" s="15"/>
      <c r="J555" s="15"/>
      <c r="K555" s="89"/>
      <c r="L555" s="15"/>
      <c r="M555" s="89">
        <v>0</v>
      </c>
      <c r="N555" s="89">
        <v>0</v>
      </c>
      <c r="O555" s="89">
        <v>0</v>
      </c>
      <c r="P555" s="94">
        <v>0</v>
      </c>
      <c r="Q555" s="94">
        <v>0</v>
      </c>
      <c r="R555" s="94">
        <v>0</v>
      </c>
      <c r="S555" s="94">
        <v>0</v>
      </c>
      <c r="T555" s="89">
        <v>0</v>
      </c>
      <c r="U555" s="89">
        <v>0</v>
      </c>
      <c r="V555" s="94">
        <v>0</v>
      </c>
      <c r="W555" s="94">
        <v>0</v>
      </c>
      <c r="X555" s="94">
        <v>0</v>
      </c>
      <c r="Y555" s="89">
        <v>0</v>
      </c>
      <c r="Z555" s="94">
        <f t="shared" si="37"/>
        <v>0</v>
      </c>
      <c r="AA555" s="94">
        <f t="shared" si="38"/>
        <v>0</v>
      </c>
      <c r="AB555" s="89">
        <f t="shared" si="39"/>
        <v>0</v>
      </c>
      <c r="AC555" s="89">
        <f t="shared" si="40"/>
        <v>0</v>
      </c>
      <c r="AD555" s="89">
        <v>0</v>
      </c>
      <c r="AE555" s="89">
        <v>0</v>
      </c>
      <c r="AF555" s="117"/>
      <c r="AG555" s="117"/>
      <c r="AH555" s="262"/>
      <c r="AI555" s="17"/>
      <c r="AJ555" s="17"/>
      <c r="AK555" s="17"/>
      <c r="AL555" s="17"/>
      <c r="AM555" s="17"/>
      <c r="AN555" s="17"/>
      <c r="AO555" s="17"/>
      <c r="AP555" s="15" t="str">
        <f>IFERROR(VLOOKUP(AO555,Legend!$D$2:$E$26,2,0),"")</f>
        <v/>
      </c>
      <c r="AQ555" s="15"/>
      <c r="AR555" s="17"/>
      <c r="AS555" s="17"/>
      <c r="AT555" s="15"/>
      <c r="AU555" s="17"/>
      <c r="AV555" s="17"/>
      <c r="AW555" s="17" t="s">
        <v>10</v>
      </c>
      <c r="AX555" s="15"/>
      <c r="AY555" s="15"/>
    </row>
    <row r="556" spans="1:51" x14ac:dyDescent="0.25">
      <c r="A556" s="15"/>
      <c r="B556" s="15"/>
      <c r="C556" s="15"/>
      <c r="D556" s="15"/>
      <c r="E556" s="91"/>
      <c r="F556" s="15"/>
      <c r="G556" s="15"/>
      <c r="H556" s="15"/>
      <c r="I556" s="15"/>
      <c r="J556" s="15"/>
      <c r="K556" s="89"/>
      <c r="L556" s="15"/>
      <c r="M556" s="89">
        <v>0</v>
      </c>
      <c r="N556" s="89">
        <v>0</v>
      </c>
      <c r="O556" s="89">
        <v>0</v>
      </c>
      <c r="P556" s="94">
        <v>0</v>
      </c>
      <c r="Q556" s="94">
        <v>0</v>
      </c>
      <c r="R556" s="94">
        <v>0</v>
      </c>
      <c r="S556" s="94">
        <v>0</v>
      </c>
      <c r="T556" s="89">
        <v>0</v>
      </c>
      <c r="U556" s="89">
        <v>0</v>
      </c>
      <c r="V556" s="94">
        <v>0</v>
      </c>
      <c r="W556" s="94">
        <v>0</v>
      </c>
      <c r="X556" s="94">
        <v>0</v>
      </c>
      <c r="Y556" s="89">
        <v>0</v>
      </c>
      <c r="Z556" s="94">
        <f t="shared" si="37"/>
        <v>0</v>
      </c>
      <c r="AA556" s="94">
        <f t="shared" si="38"/>
        <v>0</v>
      </c>
      <c r="AB556" s="89">
        <f t="shared" si="39"/>
        <v>0</v>
      </c>
      <c r="AC556" s="89">
        <f t="shared" si="40"/>
        <v>0</v>
      </c>
      <c r="AD556" s="89">
        <v>0</v>
      </c>
      <c r="AE556" s="89">
        <v>0</v>
      </c>
      <c r="AF556" s="117"/>
      <c r="AG556" s="117"/>
      <c r="AH556" s="262"/>
      <c r="AI556" s="17"/>
      <c r="AJ556" s="17"/>
      <c r="AK556" s="17"/>
      <c r="AL556" s="17"/>
      <c r="AM556" s="17"/>
      <c r="AN556" s="17"/>
      <c r="AO556" s="17"/>
      <c r="AP556" s="15" t="str">
        <f>IFERROR(VLOOKUP(AO556,Legend!$D$2:$E$26,2,0),"")</f>
        <v/>
      </c>
      <c r="AQ556" s="15"/>
      <c r="AR556" s="17"/>
      <c r="AS556" s="17"/>
      <c r="AT556" s="15"/>
      <c r="AU556" s="17"/>
      <c r="AV556" s="17"/>
      <c r="AW556" s="17" t="s">
        <v>10</v>
      </c>
      <c r="AX556" s="15"/>
      <c r="AY556" s="15"/>
    </row>
    <row r="557" spans="1:51" x14ac:dyDescent="0.25">
      <c r="A557" s="15"/>
      <c r="B557" s="15"/>
      <c r="C557" s="15"/>
      <c r="D557" s="15"/>
      <c r="E557" s="91"/>
      <c r="F557" s="15"/>
      <c r="G557" s="15"/>
      <c r="H557" s="15"/>
      <c r="I557" s="15"/>
      <c r="J557" s="15"/>
      <c r="K557" s="89"/>
      <c r="L557" s="15"/>
      <c r="M557" s="89">
        <v>0</v>
      </c>
      <c r="N557" s="89">
        <v>0</v>
      </c>
      <c r="O557" s="89">
        <v>0</v>
      </c>
      <c r="P557" s="94">
        <v>0</v>
      </c>
      <c r="Q557" s="94">
        <v>0</v>
      </c>
      <c r="R557" s="94">
        <v>0</v>
      </c>
      <c r="S557" s="94">
        <v>0</v>
      </c>
      <c r="T557" s="89">
        <v>0</v>
      </c>
      <c r="U557" s="89">
        <v>0</v>
      </c>
      <c r="V557" s="94">
        <v>0</v>
      </c>
      <c r="W557" s="94">
        <v>0</v>
      </c>
      <c r="X557" s="94">
        <v>0</v>
      </c>
      <c r="Y557" s="89">
        <v>0</v>
      </c>
      <c r="Z557" s="94">
        <f t="shared" si="37"/>
        <v>0</v>
      </c>
      <c r="AA557" s="94">
        <f t="shared" si="38"/>
        <v>0</v>
      </c>
      <c r="AB557" s="89">
        <f t="shared" si="39"/>
        <v>0</v>
      </c>
      <c r="AC557" s="89">
        <f t="shared" si="40"/>
        <v>0</v>
      </c>
      <c r="AD557" s="89">
        <v>0</v>
      </c>
      <c r="AE557" s="89">
        <v>0</v>
      </c>
      <c r="AF557" s="117"/>
      <c r="AG557" s="117"/>
      <c r="AH557" s="262"/>
      <c r="AI557" s="17"/>
      <c r="AJ557" s="17"/>
      <c r="AK557" s="17"/>
      <c r="AL557" s="17"/>
      <c r="AM557" s="17"/>
      <c r="AN557" s="17"/>
      <c r="AO557" s="17"/>
      <c r="AP557" s="15" t="str">
        <f>IFERROR(VLOOKUP(AO557,Legend!$D$2:$E$26,2,0),"")</f>
        <v/>
      </c>
      <c r="AQ557" s="15"/>
      <c r="AR557" s="17"/>
      <c r="AS557" s="17"/>
      <c r="AT557" s="15"/>
      <c r="AU557" s="17"/>
      <c r="AV557" s="17"/>
      <c r="AW557" s="17" t="s">
        <v>10</v>
      </c>
      <c r="AX557" s="15"/>
      <c r="AY557" s="15"/>
    </row>
    <row r="558" spans="1:51" x14ac:dyDescent="0.25">
      <c r="A558" s="15"/>
      <c r="B558" s="15"/>
      <c r="C558" s="15"/>
      <c r="D558" s="15"/>
      <c r="E558" s="91"/>
      <c r="F558" s="15"/>
      <c r="G558" s="15"/>
      <c r="H558" s="15"/>
      <c r="I558" s="15"/>
      <c r="J558" s="15"/>
      <c r="K558" s="89"/>
      <c r="L558" s="15"/>
      <c r="M558" s="89">
        <v>0</v>
      </c>
      <c r="N558" s="89">
        <v>0</v>
      </c>
      <c r="O558" s="89">
        <v>0</v>
      </c>
      <c r="P558" s="94">
        <v>0</v>
      </c>
      <c r="Q558" s="94">
        <v>0</v>
      </c>
      <c r="R558" s="94">
        <v>0</v>
      </c>
      <c r="S558" s="94">
        <v>0</v>
      </c>
      <c r="T558" s="89">
        <v>0</v>
      </c>
      <c r="U558" s="89">
        <v>0</v>
      </c>
      <c r="V558" s="94">
        <v>0</v>
      </c>
      <c r="W558" s="94">
        <v>0</v>
      </c>
      <c r="X558" s="94">
        <v>0</v>
      </c>
      <c r="Y558" s="89">
        <v>0</v>
      </c>
      <c r="Z558" s="94">
        <f t="shared" si="37"/>
        <v>0</v>
      </c>
      <c r="AA558" s="94">
        <f t="shared" si="38"/>
        <v>0</v>
      </c>
      <c r="AB558" s="89">
        <f t="shared" si="39"/>
        <v>0</v>
      </c>
      <c r="AC558" s="89">
        <f t="shared" si="40"/>
        <v>0</v>
      </c>
      <c r="AD558" s="89">
        <v>0</v>
      </c>
      <c r="AE558" s="89">
        <v>0</v>
      </c>
      <c r="AF558" s="117"/>
      <c r="AG558" s="117"/>
      <c r="AH558" s="262"/>
      <c r="AI558" s="17"/>
      <c r="AJ558" s="17"/>
      <c r="AK558" s="17"/>
      <c r="AL558" s="17"/>
      <c r="AM558" s="17"/>
      <c r="AN558" s="17"/>
      <c r="AO558" s="17"/>
      <c r="AP558" s="15" t="str">
        <f>IFERROR(VLOOKUP(AO558,Legend!$D$2:$E$26,2,0),"")</f>
        <v/>
      </c>
      <c r="AQ558" s="15"/>
      <c r="AR558" s="17"/>
      <c r="AS558" s="17"/>
      <c r="AT558" s="15"/>
      <c r="AU558" s="17"/>
      <c r="AV558" s="17"/>
      <c r="AW558" s="17" t="s">
        <v>10</v>
      </c>
      <c r="AX558" s="15"/>
      <c r="AY558" s="15"/>
    </row>
    <row r="559" spans="1:51" x14ac:dyDescent="0.25">
      <c r="A559" s="15"/>
      <c r="B559" s="15"/>
      <c r="C559" s="15"/>
      <c r="D559" s="15"/>
      <c r="E559" s="91"/>
      <c r="F559" s="15"/>
      <c r="G559" s="15"/>
      <c r="H559" s="15"/>
      <c r="I559" s="15"/>
      <c r="J559" s="15"/>
      <c r="K559" s="89"/>
      <c r="L559" s="15"/>
      <c r="M559" s="89">
        <v>0</v>
      </c>
      <c r="N559" s="89">
        <v>0</v>
      </c>
      <c r="O559" s="89">
        <v>0</v>
      </c>
      <c r="P559" s="94">
        <v>0</v>
      </c>
      <c r="Q559" s="94">
        <v>0</v>
      </c>
      <c r="R559" s="94">
        <v>0</v>
      </c>
      <c r="S559" s="94">
        <v>0</v>
      </c>
      <c r="T559" s="89">
        <v>0</v>
      </c>
      <c r="U559" s="89">
        <v>0</v>
      </c>
      <c r="V559" s="94">
        <v>0</v>
      </c>
      <c r="W559" s="94">
        <v>0</v>
      </c>
      <c r="X559" s="94">
        <v>0</v>
      </c>
      <c r="Y559" s="89">
        <v>0</v>
      </c>
      <c r="Z559" s="94">
        <f t="shared" si="37"/>
        <v>0</v>
      </c>
      <c r="AA559" s="94">
        <f t="shared" si="38"/>
        <v>0</v>
      </c>
      <c r="AB559" s="89">
        <f t="shared" si="39"/>
        <v>0</v>
      </c>
      <c r="AC559" s="89">
        <f t="shared" si="40"/>
        <v>0</v>
      </c>
      <c r="AD559" s="89">
        <v>0</v>
      </c>
      <c r="AE559" s="89">
        <v>0</v>
      </c>
      <c r="AF559" s="117"/>
      <c r="AG559" s="117"/>
      <c r="AH559" s="262"/>
      <c r="AI559" s="17"/>
      <c r="AJ559" s="17"/>
      <c r="AK559" s="17"/>
      <c r="AL559" s="17"/>
      <c r="AM559" s="17"/>
      <c r="AN559" s="17"/>
      <c r="AO559" s="17"/>
      <c r="AP559" s="15" t="str">
        <f>IFERROR(VLOOKUP(AO559,Legend!$D$2:$E$26,2,0),"")</f>
        <v/>
      </c>
      <c r="AQ559" s="15"/>
      <c r="AR559" s="17"/>
      <c r="AS559" s="17"/>
      <c r="AT559" s="15"/>
      <c r="AU559" s="17"/>
      <c r="AV559" s="17"/>
      <c r="AW559" s="17" t="s">
        <v>10</v>
      </c>
      <c r="AX559" s="15"/>
      <c r="AY559" s="15"/>
    </row>
    <row r="560" spans="1:51" x14ac:dyDescent="0.25">
      <c r="A560" s="15"/>
      <c r="B560" s="15"/>
      <c r="C560" s="15"/>
      <c r="D560" s="15"/>
      <c r="E560" s="91"/>
      <c r="F560" s="15"/>
      <c r="G560" s="15"/>
      <c r="H560" s="15"/>
      <c r="I560" s="15"/>
      <c r="J560" s="15"/>
      <c r="K560" s="89"/>
      <c r="L560" s="15"/>
      <c r="M560" s="89">
        <v>0</v>
      </c>
      <c r="N560" s="89">
        <v>0</v>
      </c>
      <c r="O560" s="89">
        <v>0</v>
      </c>
      <c r="P560" s="94">
        <v>0</v>
      </c>
      <c r="Q560" s="94">
        <v>0</v>
      </c>
      <c r="R560" s="94">
        <v>0</v>
      </c>
      <c r="S560" s="94">
        <v>0</v>
      </c>
      <c r="T560" s="89">
        <v>0</v>
      </c>
      <c r="U560" s="89">
        <v>0</v>
      </c>
      <c r="V560" s="94">
        <v>0</v>
      </c>
      <c r="W560" s="94">
        <v>0</v>
      </c>
      <c r="X560" s="94">
        <v>0</v>
      </c>
      <c r="Y560" s="89">
        <v>0</v>
      </c>
      <c r="Z560" s="94">
        <f t="shared" si="37"/>
        <v>0</v>
      </c>
      <c r="AA560" s="94">
        <f t="shared" si="38"/>
        <v>0</v>
      </c>
      <c r="AB560" s="89">
        <f t="shared" si="39"/>
        <v>0</v>
      </c>
      <c r="AC560" s="89">
        <f t="shared" si="40"/>
        <v>0</v>
      </c>
      <c r="AD560" s="89">
        <v>0</v>
      </c>
      <c r="AE560" s="89">
        <v>0</v>
      </c>
      <c r="AF560" s="117"/>
      <c r="AG560" s="117"/>
      <c r="AH560" s="262"/>
      <c r="AI560" s="17"/>
      <c r="AJ560" s="17"/>
      <c r="AK560" s="17"/>
      <c r="AL560" s="17"/>
      <c r="AM560" s="17"/>
      <c r="AN560" s="17"/>
      <c r="AO560" s="17"/>
      <c r="AP560" s="15" t="str">
        <f>IFERROR(VLOOKUP(AO560,Legend!$D$2:$E$26,2,0),"")</f>
        <v/>
      </c>
      <c r="AQ560" s="15"/>
      <c r="AR560" s="17"/>
      <c r="AS560" s="17"/>
      <c r="AT560" s="15"/>
      <c r="AU560" s="17"/>
      <c r="AV560" s="17"/>
      <c r="AW560" s="17" t="s">
        <v>10</v>
      </c>
      <c r="AX560" s="15"/>
      <c r="AY560" s="15"/>
    </row>
    <row r="561" spans="1:51" x14ac:dyDescent="0.25">
      <c r="A561" s="15"/>
      <c r="B561" s="15"/>
      <c r="C561" s="15"/>
      <c r="D561" s="15"/>
      <c r="E561" s="91"/>
      <c r="F561" s="15"/>
      <c r="G561" s="15"/>
      <c r="H561" s="15"/>
      <c r="I561" s="15"/>
      <c r="J561" s="15"/>
      <c r="K561" s="89"/>
      <c r="L561" s="15"/>
      <c r="M561" s="89">
        <v>0</v>
      </c>
      <c r="N561" s="89">
        <v>0</v>
      </c>
      <c r="O561" s="89">
        <v>0</v>
      </c>
      <c r="P561" s="94">
        <v>0</v>
      </c>
      <c r="Q561" s="94">
        <v>0</v>
      </c>
      <c r="R561" s="94">
        <v>0</v>
      </c>
      <c r="S561" s="94">
        <v>0</v>
      </c>
      <c r="T561" s="89">
        <v>0</v>
      </c>
      <c r="U561" s="89">
        <v>0</v>
      </c>
      <c r="V561" s="94">
        <v>0</v>
      </c>
      <c r="W561" s="94">
        <v>0</v>
      </c>
      <c r="X561" s="94">
        <v>0</v>
      </c>
      <c r="Y561" s="89">
        <v>0</v>
      </c>
      <c r="Z561" s="94">
        <f t="shared" si="37"/>
        <v>0</v>
      </c>
      <c r="AA561" s="94">
        <f t="shared" si="38"/>
        <v>0</v>
      </c>
      <c r="AB561" s="89">
        <f t="shared" si="39"/>
        <v>0</v>
      </c>
      <c r="AC561" s="89">
        <f t="shared" si="40"/>
        <v>0</v>
      </c>
      <c r="AD561" s="89">
        <v>0</v>
      </c>
      <c r="AE561" s="89">
        <v>0</v>
      </c>
      <c r="AF561" s="117"/>
      <c r="AG561" s="117"/>
      <c r="AH561" s="262"/>
      <c r="AI561" s="17"/>
      <c r="AJ561" s="17"/>
      <c r="AK561" s="17"/>
      <c r="AL561" s="17"/>
      <c r="AM561" s="17"/>
      <c r="AN561" s="17"/>
      <c r="AO561" s="17"/>
      <c r="AP561" s="15" t="str">
        <f>IFERROR(VLOOKUP(AO561,Legend!$D$2:$E$26,2,0),"")</f>
        <v/>
      </c>
      <c r="AQ561" s="15"/>
      <c r="AR561" s="17"/>
      <c r="AS561" s="17"/>
      <c r="AT561" s="15"/>
      <c r="AU561" s="17"/>
      <c r="AV561" s="17"/>
      <c r="AW561" s="17" t="s">
        <v>10</v>
      </c>
      <c r="AX561" s="15"/>
      <c r="AY561" s="15"/>
    </row>
    <row r="562" spans="1:51" x14ac:dyDescent="0.25">
      <c r="A562" s="15"/>
      <c r="B562" s="15"/>
      <c r="C562" s="15"/>
      <c r="D562" s="15"/>
      <c r="E562" s="91"/>
      <c r="F562" s="15"/>
      <c r="G562" s="15"/>
      <c r="H562" s="15"/>
      <c r="I562" s="15"/>
      <c r="J562" s="15"/>
      <c r="K562" s="89"/>
      <c r="L562" s="15"/>
      <c r="M562" s="89">
        <v>0</v>
      </c>
      <c r="N562" s="89">
        <v>0</v>
      </c>
      <c r="O562" s="89">
        <v>0</v>
      </c>
      <c r="P562" s="94">
        <v>0</v>
      </c>
      <c r="Q562" s="94">
        <v>0</v>
      </c>
      <c r="R562" s="94">
        <v>0</v>
      </c>
      <c r="S562" s="94">
        <v>0</v>
      </c>
      <c r="T562" s="89">
        <v>0</v>
      </c>
      <c r="U562" s="89">
        <v>0</v>
      </c>
      <c r="V562" s="94">
        <v>0</v>
      </c>
      <c r="W562" s="94">
        <v>0</v>
      </c>
      <c r="X562" s="94">
        <v>0</v>
      </c>
      <c r="Y562" s="89">
        <v>0</v>
      </c>
      <c r="Z562" s="94">
        <f t="shared" si="37"/>
        <v>0</v>
      </c>
      <c r="AA562" s="94">
        <f t="shared" si="38"/>
        <v>0</v>
      </c>
      <c r="AB562" s="89">
        <f t="shared" si="39"/>
        <v>0</v>
      </c>
      <c r="AC562" s="89">
        <f t="shared" si="40"/>
        <v>0</v>
      </c>
      <c r="AD562" s="89">
        <v>0</v>
      </c>
      <c r="AE562" s="89">
        <v>0</v>
      </c>
      <c r="AF562" s="117"/>
      <c r="AG562" s="117"/>
      <c r="AH562" s="262"/>
      <c r="AI562" s="17"/>
      <c r="AJ562" s="17"/>
      <c r="AK562" s="17"/>
      <c r="AL562" s="17"/>
      <c r="AM562" s="17"/>
      <c r="AN562" s="17"/>
      <c r="AO562" s="17"/>
      <c r="AP562" s="15" t="str">
        <f>IFERROR(VLOOKUP(AO562,Legend!$D$2:$E$26,2,0),"")</f>
        <v/>
      </c>
      <c r="AQ562" s="15"/>
      <c r="AR562" s="17"/>
      <c r="AS562" s="17"/>
      <c r="AT562" s="15"/>
      <c r="AU562" s="17"/>
      <c r="AV562" s="17"/>
      <c r="AW562" s="17" t="s">
        <v>10</v>
      </c>
      <c r="AX562" s="15"/>
      <c r="AY562" s="15"/>
    </row>
    <row r="563" spans="1:51" x14ac:dyDescent="0.25">
      <c r="A563" s="15"/>
      <c r="B563" s="15"/>
      <c r="C563" s="15"/>
      <c r="D563" s="15"/>
      <c r="E563" s="91"/>
      <c r="F563" s="15"/>
      <c r="G563" s="15"/>
      <c r="H563" s="15"/>
      <c r="I563" s="15"/>
      <c r="J563" s="15"/>
      <c r="K563" s="89"/>
      <c r="L563" s="15"/>
      <c r="M563" s="89">
        <v>0</v>
      </c>
      <c r="N563" s="89">
        <v>0</v>
      </c>
      <c r="O563" s="89">
        <v>0</v>
      </c>
      <c r="P563" s="94">
        <v>0</v>
      </c>
      <c r="Q563" s="94">
        <v>0</v>
      </c>
      <c r="R563" s="94">
        <v>0</v>
      </c>
      <c r="S563" s="94">
        <v>0</v>
      </c>
      <c r="T563" s="89">
        <v>0</v>
      </c>
      <c r="U563" s="89">
        <v>0</v>
      </c>
      <c r="V563" s="94">
        <v>0</v>
      </c>
      <c r="W563" s="94">
        <v>0</v>
      </c>
      <c r="X563" s="94">
        <v>0</v>
      </c>
      <c r="Y563" s="89">
        <v>0</v>
      </c>
      <c r="Z563" s="94">
        <f t="shared" si="37"/>
        <v>0</v>
      </c>
      <c r="AA563" s="94">
        <f t="shared" si="38"/>
        <v>0</v>
      </c>
      <c r="AB563" s="89">
        <f t="shared" si="39"/>
        <v>0</v>
      </c>
      <c r="AC563" s="89">
        <f t="shared" si="40"/>
        <v>0</v>
      </c>
      <c r="AD563" s="89">
        <v>0</v>
      </c>
      <c r="AE563" s="89">
        <v>0</v>
      </c>
      <c r="AF563" s="117"/>
      <c r="AG563" s="117"/>
      <c r="AH563" s="262"/>
      <c r="AI563" s="17"/>
      <c r="AJ563" s="17"/>
      <c r="AK563" s="17"/>
      <c r="AL563" s="17"/>
      <c r="AM563" s="17"/>
      <c r="AN563" s="17"/>
      <c r="AO563" s="17"/>
      <c r="AP563" s="15" t="str">
        <f>IFERROR(VLOOKUP(AO563,Legend!$D$2:$E$26,2,0),"")</f>
        <v/>
      </c>
      <c r="AQ563" s="15"/>
      <c r="AR563" s="17"/>
      <c r="AS563" s="17"/>
      <c r="AT563" s="15"/>
      <c r="AU563" s="17"/>
      <c r="AV563" s="17"/>
      <c r="AW563" s="17" t="s">
        <v>10</v>
      </c>
      <c r="AX563" s="15"/>
      <c r="AY563" s="15"/>
    </row>
    <row r="564" spans="1:51" x14ac:dyDescent="0.25">
      <c r="A564" s="15"/>
      <c r="B564" s="15"/>
      <c r="C564" s="15"/>
      <c r="D564" s="15"/>
      <c r="E564" s="91"/>
      <c r="F564" s="15"/>
      <c r="G564" s="15"/>
      <c r="H564" s="15"/>
      <c r="I564" s="15"/>
      <c r="J564" s="15"/>
      <c r="K564" s="89"/>
      <c r="L564" s="15"/>
      <c r="M564" s="89">
        <v>0</v>
      </c>
      <c r="N564" s="89">
        <v>0</v>
      </c>
      <c r="O564" s="89">
        <v>0</v>
      </c>
      <c r="P564" s="94">
        <v>0</v>
      </c>
      <c r="Q564" s="94">
        <v>0</v>
      </c>
      <c r="R564" s="94">
        <v>0</v>
      </c>
      <c r="S564" s="94">
        <v>0</v>
      </c>
      <c r="T564" s="89">
        <v>0</v>
      </c>
      <c r="U564" s="89">
        <v>0</v>
      </c>
      <c r="V564" s="94">
        <v>0</v>
      </c>
      <c r="W564" s="94">
        <v>0</v>
      </c>
      <c r="X564" s="94">
        <v>0</v>
      </c>
      <c r="Y564" s="89">
        <v>0</v>
      </c>
      <c r="Z564" s="94">
        <f t="shared" si="37"/>
        <v>0</v>
      </c>
      <c r="AA564" s="94">
        <f t="shared" si="38"/>
        <v>0</v>
      </c>
      <c r="AB564" s="89">
        <f t="shared" si="39"/>
        <v>0</v>
      </c>
      <c r="AC564" s="89">
        <f t="shared" si="40"/>
        <v>0</v>
      </c>
      <c r="AD564" s="89">
        <v>0</v>
      </c>
      <c r="AE564" s="89">
        <v>0</v>
      </c>
      <c r="AF564" s="117"/>
      <c r="AG564" s="117"/>
      <c r="AH564" s="262"/>
      <c r="AI564" s="17"/>
      <c r="AJ564" s="17"/>
      <c r="AK564" s="17"/>
      <c r="AL564" s="17"/>
      <c r="AM564" s="17"/>
      <c r="AN564" s="17"/>
      <c r="AO564" s="17"/>
      <c r="AP564" s="15" t="str">
        <f>IFERROR(VLOOKUP(AO564,Legend!$D$2:$E$26,2,0),"")</f>
        <v/>
      </c>
      <c r="AQ564" s="15"/>
      <c r="AR564" s="17"/>
      <c r="AS564" s="17"/>
      <c r="AT564" s="15"/>
      <c r="AU564" s="17"/>
      <c r="AV564" s="17"/>
      <c r="AW564" s="17" t="s">
        <v>10</v>
      </c>
      <c r="AX564" s="15"/>
      <c r="AY564" s="15"/>
    </row>
    <row r="565" spans="1:51" x14ac:dyDescent="0.25">
      <c r="A565" s="15"/>
      <c r="B565" s="15"/>
      <c r="C565" s="15"/>
      <c r="D565" s="15"/>
      <c r="E565" s="91"/>
      <c r="F565" s="15"/>
      <c r="G565" s="15"/>
      <c r="H565" s="15"/>
      <c r="I565" s="15"/>
      <c r="J565" s="15"/>
      <c r="K565" s="89"/>
      <c r="L565" s="15"/>
      <c r="M565" s="89">
        <v>0</v>
      </c>
      <c r="N565" s="89">
        <v>0</v>
      </c>
      <c r="O565" s="89">
        <v>0</v>
      </c>
      <c r="P565" s="94">
        <v>0</v>
      </c>
      <c r="Q565" s="94">
        <v>0</v>
      </c>
      <c r="R565" s="94">
        <v>0</v>
      </c>
      <c r="S565" s="94">
        <v>0</v>
      </c>
      <c r="T565" s="89">
        <v>0</v>
      </c>
      <c r="U565" s="89">
        <v>0</v>
      </c>
      <c r="V565" s="94">
        <v>0</v>
      </c>
      <c r="W565" s="94">
        <v>0</v>
      </c>
      <c r="X565" s="94">
        <v>0</v>
      </c>
      <c r="Y565" s="89">
        <v>0</v>
      </c>
      <c r="Z565" s="94">
        <f t="shared" si="37"/>
        <v>0</v>
      </c>
      <c r="AA565" s="94">
        <f t="shared" si="38"/>
        <v>0</v>
      </c>
      <c r="AB565" s="89">
        <f t="shared" si="39"/>
        <v>0</v>
      </c>
      <c r="AC565" s="89">
        <f t="shared" si="40"/>
        <v>0</v>
      </c>
      <c r="AD565" s="89">
        <v>0</v>
      </c>
      <c r="AE565" s="89">
        <v>0</v>
      </c>
      <c r="AF565" s="117"/>
      <c r="AG565" s="117"/>
      <c r="AH565" s="262"/>
      <c r="AI565" s="17"/>
      <c r="AJ565" s="17"/>
      <c r="AK565" s="17"/>
      <c r="AL565" s="17"/>
      <c r="AM565" s="17"/>
      <c r="AN565" s="17"/>
      <c r="AO565" s="17"/>
      <c r="AP565" s="15" t="str">
        <f>IFERROR(VLOOKUP(AO565,Legend!$D$2:$E$26,2,0),"")</f>
        <v/>
      </c>
      <c r="AQ565" s="15"/>
      <c r="AR565" s="17"/>
      <c r="AS565" s="17"/>
      <c r="AT565" s="15"/>
      <c r="AU565" s="17"/>
      <c r="AV565" s="17"/>
      <c r="AW565" s="17" t="s">
        <v>10</v>
      </c>
      <c r="AX565" s="15"/>
      <c r="AY565" s="15"/>
    </row>
    <row r="566" spans="1:51" x14ac:dyDescent="0.25">
      <c r="A566" s="15"/>
      <c r="B566" s="15"/>
      <c r="C566" s="15"/>
      <c r="D566" s="15"/>
      <c r="E566" s="91"/>
      <c r="F566" s="15"/>
      <c r="G566" s="15"/>
      <c r="H566" s="15"/>
      <c r="I566" s="15"/>
      <c r="J566" s="15"/>
      <c r="K566" s="89"/>
      <c r="L566" s="15"/>
      <c r="M566" s="89">
        <v>0</v>
      </c>
      <c r="N566" s="89">
        <v>0</v>
      </c>
      <c r="O566" s="89">
        <v>0</v>
      </c>
      <c r="P566" s="94">
        <v>0</v>
      </c>
      <c r="Q566" s="94">
        <v>0</v>
      </c>
      <c r="R566" s="94">
        <v>0</v>
      </c>
      <c r="S566" s="94">
        <v>0</v>
      </c>
      <c r="T566" s="89">
        <v>0</v>
      </c>
      <c r="U566" s="89">
        <v>0</v>
      </c>
      <c r="V566" s="94">
        <v>0</v>
      </c>
      <c r="W566" s="94">
        <v>0</v>
      </c>
      <c r="X566" s="94">
        <v>0</v>
      </c>
      <c r="Y566" s="89">
        <v>0</v>
      </c>
      <c r="Z566" s="94">
        <f t="shared" si="37"/>
        <v>0</v>
      </c>
      <c r="AA566" s="94">
        <f t="shared" si="38"/>
        <v>0</v>
      </c>
      <c r="AB566" s="89">
        <f t="shared" si="39"/>
        <v>0</v>
      </c>
      <c r="AC566" s="89">
        <f t="shared" si="40"/>
        <v>0</v>
      </c>
      <c r="AD566" s="89">
        <v>0</v>
      </c>
      <c r="AE566" s="89">
        <v>0</v>
      </c>
      <c r="AF566" s="117"/>
      <c r="AG566" s="117"/>
      <c r="AH566" s="262"/>
      <c r="AI566" s="17"/>
      <c r="AJ566" s="17"/>
      <c r="AK566" s="17"/>
      <c r="AL566" s="17"/>
      <c r="AM566" s="17"/>
      <c r="AN566" s="17"/>
      <c r="AO566" s="17"/>
      <c r="AP566" s="15" t="str">
        <f>IFERROR(VLOOKUP(AO566,Legend!$D$2:$E$26,2,0),"")</f>
        <v/>
      </c>
      <c r="AQ566" s="15"/>
      <c r="AR566" s="17"/>
      <c r="AS566" s="17"/>
      <c r="AT566" s="15"/>
      <c r="AU566" s="17"/>
      <c r="AV566" s="17"/>
      <c r="AW566" s="17" t="s">
        <v>10</v>
      </c>
      <c r="AX566" s="15"/>
      <c r="AY566" s="15"/>
    </row>
    <row r="567" spans="1:51" x14ac:dyDescent="0.25">
      <c r="A567" s="15"/>
      <c r="B567" s="15"/>
      <c r="C567" s="15"/>
      <c r="D567" s="15"/>
      <c r="E567" s="91"/>
      <c r="F567" s="15"/>
      <c r="G567" s="15"/>
      <c r="H567" s="15"/>
      <c r="I567" s="15"/>
      <c r="J567" s="15"/>
      <c r="K567" s="89"/>
      <c r="L567" s="15"/>
      <c r="M567" s="89">
        <v>0</v>
      </c>
      <c r="N567" s="89">
        <v>0</v>
      </c>
      <c r="O567" s="89">
        <v>0</v>
      </c>
      <c r="P567" s="94">
        <v>0</v>
      </c>
      <c r="Q567" s="94">
        <v>0</v>
      </c>
      <c r="R567" s="94">
        <v>0</v>
      </c>
      <c r="S567" s="94">
        <v>0</v>
      </c>
      <c r="T567" s="89">
        <v>0</v>
      </c>
      <c r="U567" s="89">
        <v>0</v>
      </c>
      <c r="V567" s="94">
        <v>0</v>
      </c>
      <c r="W567" s="94">
        <v>0</v>
      </c>
      <c r="X567" s="94">
        <v>0</v>
      </c>
      <c r="Y567" s="89">
        <v>0</v>
      </c>
      <c r="Z567" s="94">
        <f t="shared" si="37"/>
        <v>0</v>
      </c>
      <c r="AA567" s="94">
        <f t="shared" si="38"/>
        <v>0</v>
      </c>
      <c r="AB567" s="89">
        <f t="shared" si="39"/>
        <v>0</v>
      </c>
      <c r="AC567" s="89">
        <f t="shared" si="40"/>
        <v>0</v>
      </c>
      <c r="AD567" s="89">
        <v>0</v>
      </c>
      <c r="AE567" s="89">
        <v>0</v>
      </c>
      <c r="AF567" s="117"/>
      <c r="AG567" s="117"/>
      <c r="AH567" s="262"/>
      <c r="AI567" s="17"/>
      <c r="AJ567" s="17"/>
      <c r="AK567" s="17"/>
      <c r="AL567" s="17"/>
      <c r="AM567" s="17"/>
      <c r="AN567" s="17"/>
      <c r="AO567" s="17"/>
      <c r="AP567" s="15" t="str">
        <f>IFERROR(VLOOKUP(AO567,Legend!$D$2:$E$26,2,0),"")</f>
        <v/>
      </c>
      <c r="AQ567" s="15"/>
      <c r="AR567" s="17"/>
      <c r="AS567" s="17"/>
      <c r="AT567" s="15"/>
      <c r="AU567" s="17"/>
      <c r="AV567" s="17"/>
      <c r="AW567" s="17" t="s">
        <v>10</v>
      </c>
      <c r="AX567" s="15"/>
      <c r="AY567" s="15"/>
    </row>
    <row r="568" spans="1:51" x14ac:dyDescent="0.25">
      <c r="A568" s="15"/>
      <c r="B568" s="15"/>
      <c r="C568" s="15"/>
      <c r="D568" s="15"/>
      <c r="E568" s="91"/>
      <c r="F568" s="15"/>
      <c r="G568" s="15"/>
      <c r="H568" s="15"/>
      <c r="I568" s="15"/>
      <c r="J568" s="15"/>
      <c r="K568" s="89"/>
      <c r="L568" s="15"/>
      <c r="M568" s="89">
        <v>0</v>
      </c>
      <c r="N568" s="89">
        <v>0</v>
      </c>
      <c r="O568" s="89">
        <v>0</v>
      </c>
      <c r="P568" s="94">
        <v>0</v>
      </c>
      <c r="Q568" s="94">
        <v>0</v>
      </c>
      <c r="R568" s="94">
        <v>0</v>
      </c>
      <c r="S568" s="94">
        <v>0</v>
      </c>
      <c r="T568" s="89">
        <v>0</v>
      </c>
      <c r="U568" s="89">
        <v>0</v>
      </c>
      <c r="V568" s="94">
        <v>0</v>
      </c>
      <c r="W568" s="94">
        <v>0</v>
      </c>
      <c r="X568" s="94">
        <v>0</v>
      </c>
      <c r="Y568" s="89">
        <v>0</v>
      </c>
      <c r="Z568" s="94">
        <f t="shared" si="37"/>
        <v>0</v>
      </c>
      <c r="AA568" s="94">
        <f t="shared" si="38"/>
        <v>0</v>
      </c>
      <c r="AB568" s="89">
        <f t="shared" si="39"/>
        <v>0</v>
      </c>
      <c r="AC568" s="89">
        <f t="shared" si="40"/>
        <v>0</v>
      </c>
      <c r="AD568" s="89">
        <v>0</v>
      </c>
      <c r="AE568" s="89">
        <v>0</v>
      </c>
      <c r="AF568" s="117"/>
      <c r="AG568" s="117"/>
      <c r="AH568" s="262"/>
      <c r="AI568" s="17"/>
      <c r="AJ568" s="17"/>
      <c r="AK568" s="17"/>
      <c r="AL568" s="17"/>
      <c r="AM568" s="17"/>
      <c r="AN568" s="17"/>
      <c r="AO568" s="17"/>
      <c r="AP568" s="15" t="str">
        <f>IFERROR(VLOOKUP(AO568,Legend!$D$2:$E$26,2,0),"")</f>
        <v/>
      </c>
      <c r="AQ568" s="15"/>
      <c r="AR568" s="17"/>
      <c r="AS568" s="17"/>
      <c r="AT568" s="15"/>
      <c r="AU568" s="17"/>
      <c r="AV568" s="17"/>
      <c r="AW568" s="17" t="s">
        <v>10</v>
      </c>
      <c r="AX568" s="15"/>
      <c r="AY568" s="15"/>
    </row>
    <row r="569" spans="1:51" x14ac:dyDescent="0.25">
      <c r="A569" s="15"/>
      <c r="B569" s="15"/>
      <c r="C569" s="15"/>
      <c r="D569" s="15"/>
      <c r="E569" s="91"/>
      <c r="F569" s="15"/>
      <c r="G569" s="15"/>
      <c r="H569" s="15"/>
      <c r="I569" s="15"/>
      <c r="J569" s="15"/>
      <c r="K569" s="89"/>
      <c r="L569" s="15"/>
      <c r="M569" s="89">
        <v>0</v>
      </c>
      <c r="N569" s="89">
        <v>0</v>
      </c>
      <c r="O569" s="89">
        <v>0</v>
      </c>
      <c r="P569" s="94">
        <v>0</v>
      </c>
      <c r="Q569" s="94">
        <v>0</v>
      </c>
      <c r="R569" s="94">
        <v>0</v>
      </c>
      <c r="S569" s="94">
        <v>0</v>
      </c>
      <c r="T569" s="89">
        <v>0</v>
      </c>
      <c r="U569" s="89">
        <v>0</v>
      </c>
      <c r="V569" s="94">
        <v>0</v>
      </c>
      <c r="W569" s="94">
        <v>0</v>
      </c>
      <c r="X569" s="94">
        <v>0</v>
      </c>
      <c r="Y569" s="89">
        <v>0</v>
      </c>
      <c r="Z569" s="94">
        <f t="shared" si="37"/>
        <v>0</v>
      </c>
      <c r="AA569" s="94">
        <f t="shared" si="38"/>
        <v>0</v>
      </c>
      <c r="AB569" s="89">
        <f t="shared" si="39"/>
        <v>0</v>
      </c>
      <c r="AC569" s="89">
        <f t="shared" si="40"/>
        <v>0</v>
      </c>
      <c r="AD569" s="89">
        <v>0</v>
      </c>
      <c r="AE569" s="89">
        <v>0</v>
      </c>
      <c r="AF569" s="117"/>
      <c r="AG569" s="117"/>
      <c r="AH569" s="262"/>
      <c r="AI569" s="17"/>
      <c r="AJ569" s="17"/>
      <c r="AK569" s="17"/>
      <c r="AL569" s="17"/>
      <c r="AM569" s="17"/>
      <c r="AN569" s="17"/>
      <c r="AO569" s="17"/>
      <c r="AP569" s="15" t="str">
        <f>IFERROR(VLOOKUP(AO569,Legend!$D$2:$E$26,2,0),"")</f>
        <v/>
      </c>
      <c r="AQ569" s="15"/>
      <c r="AR569" s="17"/>
      <c r="AS569" s="17"/>
      <c r="AT569" s="15"/>
      <c r="AU569" s="17"/>
      <c r="AV569" s="17"/>
      <c r="AW569" s="17" t="s">
        <v>10</v>
      </c>
      <c r="AX569" s="15"/>
      <c r="AY569" s="15"/>
    </row>
    <row r="570" spans="1:51" x14ac:dyDescent="0.25">
      <c r="A570" s="15"/>
      <c r="B570" s="15"/>
      <c r="C570" s="15"/>
      <c r="D570" s="15"/>
      <c r="E570" s="91"/>
      <c r="F570" s="15"/>
      <c r="G570" s="15"/>
      <c r="H570" s="15"/>
      <c r="I570" s="15"/>
      <c r="J570" s="15"/>
      <c r="K570" s="89"/>
      <c r="L570" s="15"/>
      <c r="M570" s="89">
        <v>0</v>
      </c>
      <c r="N570" s="89">
        <v>0</v>
      </c>
      <c r="O570" s="89">
        <v>0</v>
      </c>
      <c r="P570" s="94">
        <v>0</v>
      </c>
      <c r="Q570" s="94">
        <v>0</v>
      </c>
      <c r="R570" s="94">
        <v>0</v>
      </c>
      <c r="S570" s="94">
        <v>0</v>
      </c>
      <c r="T570" s="89">
        <v>0</v>
      </c>
      <c r="U570" s="89">
        <v>0</v>
      </c>
      <c r="V570" s="94">
        <v>0</v>
      </c>
      <c r="W570" s="94">
        <v>0</v>
      </c>
      <c r="X570" s="94">
        <v>0</v>
      </c>
      <c r="Y570" s="89">
        <v>0</v>
      </c>
      <c r="Z570" s="94">
        <f t="shared" si="37"/>
        <v>0</v>
      </c>
      <c r="AA570" s="94">
        <f t="shared" si="38"/>
        <v>0</v>
      </c>
      <c r="AB570" s="89">
        <f t="shared" si="39"/>
        <v>0</v>
      </c>
      <c r="AC570" s="89">
        <f t="shared" si="40"/>
        <v>0</v>
      </c>
      <c r="AD570" s="89">
        <v>0</v>
      </c>
      <c r="AE570" s="89">
        <v>0</v>
      </c>
      <c r="AF570" s="117"/>
      <c r="AG570" s="117"/>
      <c r="AH570" s="262"/>
      <c r="AI570" s="17"/>
      <c r="AJ570" s="17"/>
      <c r="AK570" s="17"/>
      <c r="AL570" s="17"/>
      <c r="AM570" s="17"/>
      <c r="AN570" s="17"/>
      <c r="AO570" s="17"/>
      <c r="AP570" s="15" t="str">
        <f>IFERROR(VLOOKUP(AO570,Legend!$D$2:$E$26,2,0),"")</f>
        <v/>
      </c>
      <c r="AQ570" s="15"/>
      <c r="AR570" s="17"/>
      <c r="AS570" s="17"/>
      <c r="AT570" s="15"/>
      <c r="AU570" s="17"/>
      <c r="AV570" s="17"/>
      <c r="AW570" s="17" t="s">
        <v>10</v>
      </c>
      <c r="AX570" s="15"/>
      <c r="AY570" s="15"/>
    </row>
    <row r="571" spans="1:51" x14ac:dyDescent="0.25">
      <c r="A571" s="15"/>
      <c r="B571" s="15"/>
      <c r="C571" s="15"/>
      <c r="D571" s="15"/>
      <c r="E571" s="91"/>
      <c r="F571" s="15"/>
      <c r="G571" s="15"/>
      <c r="H571" s="15"/>
      <c r="I571" s="15"/>
      <c r="J571" s="15"/>
      <c r="K571" s="89"/>
      <c r="L571" s="15"/>
      <c r="M571" s="89">
        <v>0</v>
      </c>
      <c r="N571" s="89">
        <v>0</v>
      </c>
      <c r="O571" s="89">
        <v>0</v>
      </c>
      <c r="P571" s="94">
        <v>0</v>
      </c>
      <c r="Q571" s="94">
        <v>0</v>
      </c>
      <c r="R571" s="94">
        <v>0</v>
      </c>
      <c r="S571" s="94">
        <v>0</v>
      </c>
      <c r="T571" s="89">
        <v>0</v>
      </c>
      <c r="U571" s="89">
        <v>0</v>
      </c>
      <c r="V571" s="94">
        <v>0</v>
      </c>
      <c r="W571" s="94">
        <v>0</v>
      </c>
      <c r="X571" s="94">
        <v>0</v>
      </c>
      <c r="Y571" s="89">
        <v>0</v>
      </c>
      <c r="Z571" s="94">
        <f t="shared" si="37"/>
        <v>0</v>
      </c>
      <c r="AA571" s="94">
        <f t="shared" si="38"/>
        <v>0</v>
      </c>
      <c r="AB571" s="89">
        <f t="shared" si="39"/>
        <v>0</v>
      </c>
      <c r="AC571" s="89">
        <f t="shared" si="40"/>
        <v>0</v>
      </c>
      <c r="AD571" s="89">
        <v>0</v>
      </c>
      <c r="AE571" s="89">
        <v>0</v>
      </c>
      <c r="AF571" s="117"/>
      <c r="AG571" s="117"/>
      <c r="AH571" s="262"/>
      <c r="AI571" s="17"/>
      <c r="AJ571" s="17"/>
      <c r="AK571" s="17"/>
      <c r="AL571" s="17"/>
      <c r="AM571" s="17"/>
      <c r="AN571" s="17"/>
      <c r="AO571" s="17"/>
      <c r="AP571" s="15" t="str">
        <f>IFERROR(VLOOKUP(AO571,Legend!$D$2:$E$26,2,0),"")</f>
        <v/>
      </c>
      <c r="AQ571" s="15"/>
      <c r="AR571" s="17"/>
      <c r="AS571" s="17"/>
      <c r="AT571" s="15"/>
      <c r="AU571" s="17"/>
      <c r="AV571" s="17"/>
      <c r="AW571" s="17" t="s">
        <v>10</v>
      </c>
      <c r="AX571" s="15"/>
      <c r="AY571" s="15"/>
    </row>
    <row r="572" spans="1:51" x14ac:dyDescent="0.25">
      <c r="A572" s="15"/>
      <c r="B572" s="15"/>
      <c r="C572" s="15"/>
      <c r="D572" s="15"/>
      <c r="E572" s="91"/>
      <c r="F572" s="15"/>
      <c r="G572" s="15"/>
      <c r="H572" s="15"/>
      <c r="I572" s="15"/>
      <c r="J572" s="15"/>
      <c r="K572" s="89"/>
      <c r="L572" s="15"/>
      <c r="M572" s="89">
        <v>0</v>
      </c>
      <c r="N572" s="89">
        <v>0</v>
      </c>
      <c r="O572" s="89">
        <v>0</v>
      </c>
      <c r="P572" s="94">
        <v>0</v>
      </c>
      <c r="Q572" s="94">
        <v>0</v>
      </c>
      <c r="R572" s="94">
        <v>0</v>
      </c>
      <c r="S572" s="94">
        <v>0</v>
      </c>
      <c r="T572" s="89">
        <v>0</v>
      </c>
      <c r="U572" s="89">
        <v>0</v>
      </c>
      <c r="V572" s="94">
        <v>0</v>
      </c>
      <c r="W572" s="94">
        <v>0</v>
      </c>
      <c r="X572" s="94">
        <v>0</v>
      </c>
      <c r="Y572" s="89">
        <v>0</v>
      </c>
      <c r="Z572" s="94">
        <f t="shared" si="37"/>
        <v>0</v>
      </c>
      <c r="AA572" s="94">
        <f t="shared" si="38"/>
        <v>0</v>
      </c>
      <c r="AB572" s="89">
        <f t="shared" si="39"/>
        <v>0</v>
      </c>
      <c r="AC572" s="89">
        <f t="shared" si="40"/>
        <v>0</v>
      </c>
      <c r="AD572" s="89">
        <v>0</v>
      </c>
      <c r="AE572" s="89">
        <v>0</v>
      </c>
      <c r="AF572" s="117"/>
      <c r="AG572" s="117"/>
      <c r="AH572" s="262"/>
      <c r="AI572" s="17"/>
      <c r="AJ572" s="17"/>
      <c r="AK572" s="17"/>
      <c r="AL572" s="17"/>
      <c r="AM572" s="17"/>
      <c r="AN572" s="17"/>
      <c r="AO572" s="17"/>
      <c r="AP572" s="15" t="str">
        <f>IFERROR(VLOOKUP(AO572,Legend!$D$2:$E$26,2,0),"")</f>
        <v/>
      </c>
      <c r="AQ572" s="15"/>
      <c r="AR572" s="17"/>
      <c r="AS572" s="17"/>
      <c r="AT572" s="15"/>
      <c r="AU572" s="17"/>
      <c r="AV572" s="17"/>
      <c r="AW572" s="17" t="s">
        <v>10</v>
      </c>
      <c r="AX572" s="15"/>
      <c r="AY572" s="15"/>
    </row>
    <row r="573" spans="1:51" x14ac:dyDescent="0.25">
      <c r="A573" s="15"/>
      <c r="B573" s="15"/>
      <c r="C573" s="15"/>
      <c r="D573" s="15"/>
      <c r="E573" s="91"/>
      <c r="F573" s="15"/>
      <c r="G573" s="15"/>
      <c r="H573" s="15"/>
      <c r="I573" s="15"/>
      <c r="J573" s="15"/>
      <c r="K573" s="89"/>
      <c r="L573" s="15"/>
      <c r="M573" s="89">
        <v>0</v>
      </c>
      <c r="N573" s="89">
        <v>0</v>
      </c>
      <c r="O573" s="89">
        <v>0</v>
      </c>
      <c r="P573" s="94">
        <v>0</v>
      </c>
      <c r="Q573" s="94">
        <v>0</v>
      </c>
      <c r="R573" s="94">
        <v>0</v>
      </c>
      <c r="S573" s="94">
        <v>0</v>
      </c>
      <c r="T573" s="89">
        <v>0</v>
      </c>
      <c r="U573" s="89">
        <v>0</v>
      </c>
      <c r="V573" s="94">
        <v>0</v>
      </c>
      <c r="W573" s="94">
        <v>0</v>
      </c>
      <c r="X573" s="94">
        <v>0</v>
      </c>
      <c r="Y573" s="89">
        <v>0</v>
      </c>
      <c r="Z573" s="94">
        <f t="shared" si="37"/>
        <v>0</v>
      </c>
      <c r="AA573" s="94">
        <f t="shared" si="38"/>
        <v>0</v>
      </c>
      <c r="AB573" s="89">
        <f t="shared" si="39"/>
        <v>0</v>
      </c>
      <c r="AC573" s="89">
        <f t="shared" si="40"/>
        <v>0</v>
      </c>
      <c r="AD573" s="89">
        <v>0</v>
      </c>
      <c r="AE573" s="89">
        <v>0</v>
      </c>
      <c r="AF573" s="117"/>
      <c r="AG573" s="117"/>
      <c r="AH573" s="262"/>
      <c r="AI573" s="17"/>
      <c r="AJ573" s="17"/>
      <c r="AK573" s="17"/>
      <c r="AL573" s="17"/>
      <c r="AM573" s="17"/>
      <c r="AN573" s="17"/>
      <c r="AO573" s="17"/>
      <c r="AP573" s="15" t="str">
        <f>IFERROR(VLOOKUP(AO573,Legend!$D$2:$E$26,2,0),"")</f>
        <v/>
      </c>
      <c r="AQ573" s="15"/>
      <c r="AR573" s="17"/>
      <c r="AS573" s="17"/>
      <c r="AT573" s="15"/>
      <c r="AU573" s="17"/>
      <c r="AV573" s="17"/>
      <c r="AW573" s="17" t="s">
        <v>10</v>
      </c>
      <c r="AX573" s="15"/>
      <c r="AY573" s="15"/>
    </row>
    <row r="574" spans="1:51" x14ac:dyDescent="0.25">
      <c r="A574" s="15"/>
      <c r="B574" s="15"/>
      <c r="C574" s="15"/>
      <c r="D574" s="15"/>
      <c r="E574" s="91"/>
      <c r="F574" s="15"/>
      <c r="G574" s="15"/>
      <c r="H574" s="15"/>
      <c r="I574" s="15"/>
      <c r="J574" s="15"/>
      <c r="K574" s="89"/>
      <c r="L574" s="15"/>
      <c r="M574" s="89">
        <v>0</v>
      </c>
      <c r="N574" s="89">
        <v>0</v>
      </c>
      <c r="O574" s="89">
        <v>0</v>
      </c>
      <c r="P574" s="94">
        <v>0</v>
      </c>
      <c r="Q574" s="94">
        <v>0</v>
      </c>
      <c r="R574" s="94">
        <v>0</v>
      </c>
      <c r="S574" s="94">
        <v>0</v>
      </c>
      <c r="T574" s="89">
        <v>0</v>
      </c>
      <c r="U574" s="89">
        <v>0</v>
      </c>
      <c r="V574" s="94">
        <v>0</v>
      </c>
      <c r="W574" s="94">
        <v>0</v>
      </c>
      <c r="X574" s="94">
        <v>0</v>
      </c>
      <c r="Y574" s="89">
        <v>0</v>
      </c>
      <c r="Z574" s="94">
        <f t="shared" si="37"/>
        <v>0</v>
      </c>
      <c r="AA574" s="94">
        <f t="shared" si="38"/>
        <v>0</v>
      </c>
      <c r="AB574" s="89">
        <f t="shared" si="39"/>
        <v>0</v>
      </c>
      <c r="AC574" s="89">
        <f t="shared" si="40"/>
        <v>0</v>
      </c>
      <c r="AD574" s="89">
        <v>0</v>
      </c>
      <c r="AE574" s="89">
        <v>0</v>
      </c>
      <c r="AF574" s="117"/>
      <c r="AG574" s="117"/>
      <c r="AH574" s="262"/>
      <c r="AI574" s="17"/>
      <c r="AJ574" s="17"/>
      <c r="AK574" s="17"/>
      <c r="AL574" s="17"/>
      <c r="AM574" s="17"/>
      <c r="AN574" s="17"/>
      <c r="AO574" s="17"/>
      <c r="AP574" s="15" t="str">
        <f>IFERROR(VLOOKUP(AO574,Legend!$D$2:$E$26,2,0),"")</f>
        <v/>
      </c>
      <c r="AQ574" s="15"/>
      <c r="AR574" s="17"/>
      <c r="AS574" s="17"/>
      <c r="AT574" s="15"/>
      <c r="AU574" s="17"/>
      <c r="AV574" s="17"/>
      <c r="AW574" s="17" t="s">
        <v>10</v>
      </c>
      <c r="AX574" s="15"/>
      <c r="AY574" s="15"/>
    </row>
    <row r="575" spans="1:51" s="219" customFormat="1" x14ac:dyDescent="0.25">
      <c r="E575" s="220"/>
      <c r="J575" s="221" t="s">
        <v>253</v>
      </c>
      <c r="K575" s="222">
        <f>SUBTOTAL(9,K4:K574)</f>
        <v>0</v>
      </c>
      <c r="L575" s="222">
        <f t="shared" ref="L575:AE575" si="41">SUBTOTAL(9,L4:L574)</f>
        <v>0</v>
      </c>
      <c r="M575" s="222">
        <f t="shared" si="41"/>
        <v>0</v>
      </c>
      <c r="N575" s="222">
        <f t="shared" si="41"/>
        <v>0</v>
      </c>
      <c r="O575" s="222">
        <f t="shared" si="41"/>
        <v>0</v>
      </c>
      <c r="P575" s="222"/>
      <c r="Q575" s="222">
        <f t="shared" si="41"/>
        <v>0</v>
      </c>
      <c r="R575" s="222">
        <f t="shared" si="41"/>
        <v>0</v>
      </c>
      <c r="S575" s="222">
        <f t="shared" si="41"/>
        <v>0</v>
      </c>
      <c r="T575" s="222">
        <f t="shared" si="41"/>
        <v>0</v>
      </c>
      <c r="U575" s="222">
        <f t="shared" si="41"/>
        <v>0</v>
      </c>
      <c r="V575" s="222">
        <f t="shared" si="41"/>
        <v>0</v>
      </c>
      <c r="W575" s="222">
        <f t="shared" si="41"/>
        <v>0</v>
      </c>
      <c r="X575" s="222">
        <f t="shared" si="41"/>
        <v>0</v>
      </c>
      <c r="Y575" s="222">
        <f t="shared" si="41"/>
        <v>0</v>
      </c>
      <c r="Z575" s="222">
        <f t="shared" si="41"/>
        <v>0</v>
      </c>
      <c r="AA575" s="222">
        <f t="shared" si="41"/>
        <v>0</v>
      </c>
      <c r="AB575" s="222">
        <f t="shared" si="41"/>
        <v>0</v>
      </c>
      <c r="AC575" s="222">
        <f t="shared" si="41"/>
        <v>0</v>
      </c>
      <c r="AD575" s="222">
        <f t="shared" si="41"/>
        <v>0</v>
      </c>
      <c r="AE575" s="222">
        <f t="shared" si="41"/>
        <v>0</v>
      </c>
      <c r="AG575" s="223"/>
      <c r="AH575" s="223"/>
      <c r="AI575" s="223"/>
      <c r="AO575" s="223"/>
      <c r="AS575" s="223"/>
    </row>
    <row r="576" spans="1:51" x14ac:dyDescent="0.25">
      <c r="J576" s="36"/>
      <c r="K576" s="59"/>
      <c r="L576" s="59"/>
      <c r="M576" s="59"/>
      <c r="N576" s="59"/>
      <c r="O576" s="59"/>
      <c r="P576" s="59"/>
      <c r="Q576" s="59"/>
      <c r="R576" s="59"/>
      <c r="S576" s="59"/>
      <c r="T576" s="59"/>
      <c r="U576" s="59"/>
      <c r="V576" s="59"/>
      <c r="W576" s="59"/>
      <c r="X576" s="59"/>
      <c r="Y576" s="59"/>
      <c r="Z576" s="59"/>
      <c r="AA576" s="59"/>
      <c r="AB576" s="59"/>
      <c r="AC576" s="59"/>
      <c r="AD576" s="59"/>
      <c r="AE576" s="59"/>
    </row>
    <row r="577" spans="10:44" ht="15.75" thickBot="1" x14ac:dyDescent="0.3">
      <c r="J577" s="92" t="s">
        <v>195</v>
      </c>
      <c r="K577" s="70">
        <f>SUM(K4:K574)</f>
        <v>0</v>
      </c>
      <c r="L577" s="70">
        <f t="shared" ref="L577:AE577" si="42">SUM(L4:L574)</f>
        <v>0</v>
      </c>
      <c r="M577" s="70">
        <f t="shared" si="42"/>
        <v>0</v>
      </c>
      <c r="N577" s="70">
        <f t="shared" si="42"/>
        <v>0</v>
      </c>
      <c r="O577" s="70">
        <f t="shared" si="42"/>
        <v>0</v>
      </c>
      <c r="P577" s="70"/>
      <c r="Q577" s="70">
        <f t="shared" si="42"/>
        <v>0</v>
      </c>
      <c r="R577" s="70">
        <f t="shared" si="42"/>
        <v>0</v>
      </c>
      <c r="S577" s="70">
        <f t="shared" si="42"/>
        <v>0</v>
      </c>
      <c r="T577" s="70">
        <f t="shared" si="42"/>
        <v>0</v>
      </c>
      <c r="U577" s="70">
        <f t="shared" si="42"/>
        <v>0</v>
      </c>
      <c r="V577" s="70">
        <f t="shared" si="42"/>
        <v>0</v>
      </c>
      <c r="W577" s="70">
        <f t="shared" si="42"/>
        <v>0</v>
      </c>
      <c r="X577" s="70">
        <f t="shared" si="42"/>
        <v>0</v>
      </c>
      <c r="Y577" s="70">
        <f t="shared" si="42"/>
        <v>0</v>
      </c>
      <c r="Z577" s="70">
        <f>SUM(Z4:Z574)</f>
        <v>0</v>
      </c>
      <c r="AA577" s="70">
        <f t="shared" si="42"/>
        <v>0</v>
      </c>
      <c r="AB577" s="70">
        <f t="shared" si="42"/>
        <v>0</v>
      </c>
      <c r="AC577" s="70">
        <f t="shared" si="42"/>
        <v>0</v>
      </c>
      <c r="AD577" s="70">
        <f t="shared" si="42"/>
        <v>0</v>
      </c>
      <c r="AE577" s="70">
        <f t="shared" si="42"/>
        <v>0</v>
      </c>
    </row>
    <row r="578" spans="10:44" ht="15.75" thickTop="1" x14ac:dyDescent="0.25">
      <c r="J578" s="36"/>
      <c r="K578" s="96"/>
      <c r="L578" s="96"/>
      <c r="M578" s="96"/>
      <c r="N578" s="96"/>
      <c r="O578" s="96"/>
      <c r="P578" s="96"/>
      <c r="Q578" s="96"/>
      <c r="R578" s="96"/>
      <c r="S578" s="96"/>
      <c r="T578" s="96"/>
      <c r="U578" s="96"/>
      <c r="V578" s="96"/>
      <c r="W578" s="96"/>
      <c r="X578" s="96"/>
      <c r="Y578" s="96"/>
      <c r="Z578" s="96"/>
      <c r="AA578" s="96"/>
      <c r="AB578" s="96"/>
      <c r="AC578" s="96"/>
      <c r="AD578" s="96"/>
      <c r="AE578" s="96"/>
    </row>
    <row r="579" spans="10:44" x14ac:dyDescent="0.25">
      <c r="Y579" s="148"/>
      <c r="Z579" s="149"/>
      <c r="AA579" s="149"/>
      <c r="AB579" s="149"/>
      <c r="AC579" s="149"/>
      <c r="AD579" s="149"/>
      <c r="AE579" s="150"/>
      <c r="AF579" s="150"/>
      <c r="AG579" s="150"/>
      <c r="AH579" s="151"/>
      <c r="AI579" s="149"/>
      <c r="AJ579" s="149"/>
      <c r="AK579" s="441" t="s">
        <v>284</v>
      </c>
      <c r="AL579" s="442"/>
      <c r="AM579" s="443"/>
      <c r="AN579" s="152"/>
      <c r="AO579" s="441" t="s">
        <v>310</v>
      </c>
      <c r="AP579" s="442"/>
      <c r="AQ579" s="443"/>
    </row>
    <row r="580" spans="10:44" x14ac:dyDescent="0.25">
      <c r="Z580" s="277" t="s">
        <v>26</v>
      </c>
      <c r="AA580" s="278" t="s">
        <v>34</v>
      </c>
      <c r="AB580" s="278" t="s">
        <v>311</v>
      </c>
      <c r="AC580" s="278" t="s">
        <v>183</v>
      </c>
      <c r="AD580" s="149"/>
      <c r="AE580" s="275" t="s">
        <v>312</v>
      </c>
      <c r="AF580" s="276" t="s">
        <v>313</v>
      </c>
      <c r="AG580" s="275" t="s">
        <v>314</v>
      </c>
      <c r="AH580" s="444" t="s">
        <v>257</v>
      </c>
      <c r="AI580" s="445"/>
      <c r="AJ580" s="445"/>
      <c r="AK580" s="153" t="s">
        <v>188</v>
      </c>
      <c r="AL580" s="154" t="s">
        <v>187</v>
      </c>
      <c r="AM580" s="155" t="s">
        <v>178</v>
      </c>
      <c r="AN580" s="156"/>
      <c r="AO580" s="284" t="s">
        <v>188</v>
      </c>
      <c r="AP580" s="285" t="s">
        <v>187</v>
      </c>
      <c r="AQ580" s="281" t="s">
        <v>178</v>
      </c>
    </row>
    <row r="581" spans="10:44" x14ac:dyDescent="0.25">
      <c r="Z581" s="260"/>
      <c r="AA581" s="160">
        <f>SUMIF($AH$4:$AH$574,Z581,$Z$4:$Z$574)</f>
        <v>0</v>
      </c>
      <c r="AB581" s="160">
        <f>SUMIF($AH$4:$AH$574,Z581,$AB$4:$AB$574)</f>
        <v>0</v>
      </c>
      <c r="AC581" s="160">
        <f t="shared" ref="AC581:AC604" si="43">SUMIFS($AC$4:$AC$574,$AH$4:$AH$574,$Z581,$AS$4:$AS$574,"YES")</f>
        <v>0</v>
      </c>
      <c r="AD581" s="149"/>
      <c r="AE581" s="157">
        <f>SUMIF($AP$4:$AP$574,AH581,$Z$4:$Z$574)</f>
        <v>0</v>
      </c>
      <c r="AF581" s="157">
        <f>SUMIF($AP$4:$AP$574,AH581,$AA$4:$AA$574)</f>
        <v>0</v>
      </c>
      <c r="AG581" s="279">
        <f>SUMIF($AP$4:$AP$574,AH581,$AB$4:$AB$574)</f>
        <v>0</v>
      </c>
      <c r="AH581" s="439" t="s">
        <v>259</v>
      </c>
      <c r="AI581" s="439"/>
      <c r="AJ581" s="439"/>
      <c r="AK581" s="218">
        <f t="shared" ref="AK581:AK612" si="44">SUMIFS($AB$4:$AB$574,$AP$4:$AP$574,AH581,$AS$4:$AS$574,$AK$580)</f>
        <v>0</v>
      </c>
      <c r="AL581" s="158">
        <f t="shared" ref="AL581:AL612" si="45">SUMIFS($AB$4:$AB$574,$AP$4:$AP$574,AH581,$AS$4:$AS$574,$AL$580)</f>
        <v>0</v>
      </c>
      <c r="AM581" s="158">
        <f t="shared" ref="AM581:AM612" si="46">SUMIFS($AB$4:$AB$574,$AP$4:$AP$574,AH581,$AS$4:$AS$574,$AM$580)</f>
        <v>0</v>
      </c>
      <c r="AN581" s="159">
        <f t="shared" ref="AN581:AN612" si="47">SUBTOTAL(9,AK581:AM581)-AG581</f>
        <v>0</v>
      </c>
      <c r="AO581" s="282">
        <f t="shared" ref="AO581:AQ612" si="48">SUMIFS($AA$4:$AA$574,$AP$4:$AP$574,$AH581,$AS$4:$AS$574,AO$580)</f>
        <v>0</v>
      </c>
      <c r="AP581" s="282">
        <f t="shared" si="48"/>
        <v>0</v>
      </c>
      <c r="AQ581" s="282">
        <f t="shared" si="48"/>
        <v>0</v>
      </c>
    </row>
    <row r="582" spans="10:44" x14ac:dyDescent="0.25">
      <c r="Z582" s="260"/>
      <c r="AA582" s="160">
        <f>SUMIF($AH$4:$AH$574,Z582,$Z$4:$Z$574)</f>
        <v>0</v>
      </c>
      <c r="AB582" s="160">
        <f t="shared" ref="AB582:AB604" si="49">SUMIF($AH$4:$AH$574,Z582,$AB$4:$AB$574)</f>
        <v>0</v>
      </c>
      <c r="AC582" s="160">
        <f t="shared" si="43"/>
        <v>0</v>
      </c>
      <c r="AD582" s="149"/>
      <c r="AE582" s="157">
        <f t="shared" ref="AE582:AE612" si="50">SUMIF($AP$4:$AP$574,AH582,$Z$4:$Z$574)</f>
        <v>0</v>
      </c>
      <c r="AF582" s="157">
        <f t="shared" ref="AF582:AF612" si="51">SUMIF($AP$4:$AP$574,AH582,$AA$4:$AA$574)</f>
        <v>0</v>
      </c>
      <c r="AG582" s="279">
        <f t="shared" ref="AG582:AG612" si="52">SUMIF($AP$4:$AP$574,AH582,$AB$4:$AB$574)</f>
        <v>0</v>
      </c>
      <c r="AH582" s="439" t="s">
        <v>260</v>
      </c>
      <c r="AI582" s="439"/>
      <c r="AJ582" s="439"/>
      <c r="AK582" s="158">
        <f t="shared" si="44"/>
        <v>0</v>
      </c>
      <c r="AL582" s="158">
        <f t="shared" si="45"/>
        <v>0</v>
      </c>
      <c r="AM582" s="158">
        <f t="shared" si="46"/>
        <v>0</v>
      </c>
      <c r="AN582" s="159">
        <f t="shared" ref="AN582:AN605" si="53">SUBTOTAL(9,AK582:AM582)-AG582</f>
        <v>0</v>
      </c>
      <c r="AO582" s="282">
        <f t="shared" si="48"/>
        <v>0</v>
      </c>
      <c r="AP582" s="282">
        <f t="shared" si="48"/>
        <v>0</v>
      </c>
      <c r="AQ582" s="282">
        <f t="shared" si="48"/>
        <v>0</v>
      </c>
    </row>
    <row r="583" spans="10:44" x14ac:dyDescent="0.25">
      <c r="Z583" s="260"/>
      <c r="AA583" s="160">
        <f t="shared" ref="AA583:AA604" si="54">SUMIF($AH$4:$AH$574,Z583,$Z$4:$Z$574)</f>
        <v>0</v>
      </c>
      <c r="AB583" s="160">
        <f t="shared" si="49"/>
        <v>0</v>
      </c>
      <c r="AC583" s="160">
        <f t="shared" si="43"/>
        <v>0</v>
      </c>
      <c r="AD583" s="149"/>
      <c r="AE583" s="157">
        <f t="shared" si="50"/>
        <v>0</v>
      </c>
      <c r="AF583" s="157">
        <f t="shared" si="51"/>
        <v>0</v>
      </c>
      <c r="AG583" s="279">
        <f t="shared" si="52"/>
        <v>0</v>
      </c>
      <c r="AH583" s="439" t="s">
        <v>261</v>
      </c>
      <c r="AI583" s="439"/>
      <c r="AJ583" s="439"/>
      <c r="AK583" s="158">
        <f t="shared" si="44"/>
        <v>0</v>
      </c>
      <c r="AL583" s="158">
        <f t="shared" si="45"/>
        <v>0</v>
      </c>
      <c r="AM583" s="158">
        <f t="shared" si="46"/>
        <v>0</v>
      </c>
      <c r="AN583" s="159">
        <f t="shared" si="53"/>
        <v>0</v>
      </c>
      <c r="AO583" s="282">
        <f t="shared" si="48"/>
        <v>0</v>
      </c>
      <c r="AP583" s="282">
        <f t="shared" si="48"/>
        <v>0</v>
      </c>
      <c r="AQ583" s="282">
        <f t="shared" si="48"/>
        <v>0</v>
      </c>
    </row>
    <row r="584" spans="10:44" x14ac:dyDescent="0.25">
      <c r="Z584" s="260"/>
      <c r="AA584" s="160">
        <f t="shared" si="54"/>
        <v>0</v>
      </c>
      <c r="AB584" s="160">
        <f t="shared" si="49"/>
        <v>0</v>
      </c>
      <c r="AC584" s="160">
        <f t="shared" si="43"/>
        <v>0</v>
      </c>
      <c r="AD584" s="149"/>
      <c r="AE584" s="157">
        <f t="shared" si="50"/>
        <v>0</v>
      </c>
      <c r="AF584" s="157">
        <f t="shared" si="51"/>
        <v>0</v>
      </c>
      <c r="AG584" s="279">
        <f t="shared" si="52"/>
        <v>0</v>
      </c>
      <c r="AH584" s="439" t="s">
        <v>262</v>
      </c>
      <c r="AI584" s="439"/>
      <c r="AJ584" s="439"/>
      <c r="AK584" s="158">
        <f t="shared" si="44"/>
        <v>0</v>
      </c>
      <c r="AL584" s="158">
        <f t="shared" si="45"/>
        <v>0</v>
      </c>
      <c r="AM584" s="158">
        <f t="shared" si="46"/>
        <v>0</v>
      </c>
      <c r="AN584" s="159">
        <f t="shared" si="53"/>
        <v>0</v>
      </c>
      <c r="AO584" s="282">
        <f t="shared" si="48"/>
        <v>0</v>
      </c>
      <c r="AP584" s="282">
        <f t="shared" si="48"/>
        <v>0</v>
      </c>
      <c r="AQ584" s="282">
        <f t="shared" si="48"/>
        <v>0</v>
      </c>
    </row>
    <row r="585" spans="10:44" x14ac:dyDescent="0.25">
      <c r="Z585" s="293"/>
      <c r="AA585" s="160">
        <f t="shared" si="54"/>
        <v>0</v>
      </c>
      <c r="AB585" s="160">
        <f t="shared" si="49"/>
        <v>0</v>
      </c>
      <c r="AC585" s="160">
        <f t="shared" si="43"/>
        <v>0</v>
      </c>
      <c r="AD585" s="149"/>
      <c r="AE585" s="157">
        <f t="shared" si="50"/>
        <v>0</v>
      </c>
      <c r="AF585" s="157">
        <f t="shared" si="51"/>
        <v>0</v>
      </c>
      <c r="AG585" s="279">
        <f t="shared" si="52"/>
        <v>0</v>
      </c>
      <c r="AH585" s="439" t="s">
        <v>263</v>
      </c>
      <c r="AI585" s="439"/>
      <c r="AJ585" s="439"/>
      <c r="AK585" s="158">
        <f t="shared" si="44"/>
        <v>0</v>
      </c>
      <c r="AL585" s="158">
        <f t="shared" si="45"/>
        <v>0</v>
      </c>
      <c r="AM585" s="158">
        <f t="shared" si="46"/>
        <v>0</v>
      </c>
      <c r="AN585" s="159">
        <f t="shared" si="53"/>
        <v>0</v>
      </c>
      <c r="AO585" s="282">
        <f t="shared" si="48"/>
        <v>0</v>
      </c>
      <c r="AP585" s="282">
        <f t="shared" si="48"/>
        <v>0</v>
      </c>
      <c r="AQ585" s="282">
        <f t="shared" si="48"/>
        <v>0</v>
      </c>
    </row>
    <row r="586" spans="10:44" x14ac:dyDescent="0.25">
      <c r="Z586" s="293"/>
      <c r="AA586" s="160">
        <f t="shared" si="54"/>
        <v>0</v>
      </c>
      <c r="AB586" s="160">
        <f t="shared" si="49"/>
        <v>0</v>
      </c>
      <c r="AC586" s="160">
        <f t="shared" si="43"/>
        <v>0</v>
      </c>
      <c r="AD586" s="149"/>
      <c r="AE586" s="157">
        <f t="shared" si="50"/>
        <v>0</v>
      </c>
      <c r="AF586" s="157">
        <f t="shared" si="51"/>
        <v>0</v>
      </c>
      <c r="AG586" s="279">
        <f t="shared" si="52"/>
        <v>0</v>
      </c>
      <c r="AH586" s="439" t="s">
        <v>264</v>
      </c>
      <c r="AI586" s="439"/>
      <c r="AJ586" s="439"/>
      <c r="AK586" s="158">
        <f t="shared" si="44"/>
        <v>0</v>
      </c>
      <c r="AL586" s="158">
        <f t="shared" si="45"/>
        <v>0</v>
      </c>
      <c r="AM586" s="158">
        <f t="shared" si="46"/>
        <v>0</v>
      </c>
      <c r="AN586" s="159">
        <f t="shared" si="53"/>
        <v>0</v>
      </c>
      <c r="AO586" s="282">
        <f t="shared" si="48"/>
        <v>0</v>
      </c>
      <c r="AP586" s="282">
        <f t="shared" si="48"/>
        <v>0</v>
      </c>
      <c r="AQ586" s="282">
        <f t="shared" si="48"/>
        <v>0</v>
      </c>
    </row>
    <row r="587" spans="10:44" x14ac:dyDescent="0.25">
      <c r="Z587" s="293"/>
      <c r="AA587" s="160">
        <f t="shared" si="54"/>
        <v>0</v>
      </c>
      <c r="AB587" s="160">
        <f t="shared" si="49"/>
        <v>0</v>
      </c>
      <c r="AC587" s="160">
        <f t="shared" si="43"/>
        <v>0</v>
      </c>
      <c r="AD587" s="149"/>
      <c r="AE587" s="157">
        <f t="shared" si="50"/>
        <v>0</v>
      </c>
      <c r="AF587" s="157">
        <f t="shared" si="51"/>
        <v>0</v>
      </c>
      <c r="AG587" s="279">
        <f t="shared" si="52"/>
        <v>0</v>
      </c>
      <c r="AH587" s="439" t="s">
        <v>265</v>
      </c>
      <c r="AI587" s="439"/>
      <c r="AJ587" s="439"/>
      <c r="AK587" s="158">
        <f t="shared" si="44"/>
        <v>0</v>
      </c>
      <c r="AL587" s="158">
        <f t="shared" si="45"/>
        <v>0</v>
      </c>
      <c r="AM587" s="158">
        <f t="shared" si="46"/>
        <v>0</v>
      </c>
      <c r="AN587" s="159">
        <f t="shared" si="53"/>
        <v>0</v>
      </c>
      <c r="AO587" s="282">
        <f t="shared" si="48"/>
        <v>0</v>
      </c>
      <c r="AP587" s="282">
        <f t="shared" si="48"/>
        <v>0</v>
      </c>
      <c r="AQ587" s="282">
        <f t="shared" si="48"/>
        <v>0</v>
      </c>
    </row>
    <row r="588" spans="10:44" x14ac:dyDescent="0.25">
      <c r="Z588" s="293"/>
      <c r="AA588" s="160">
        <f t="shared" si="54"/>
        <v>0</v>
      </c>
      <c r="AB588" s="160">
        <f t="shared" si="49"/>
        <v>0</v>
      </c>
      <c r="AC588" s="160">
        <f t="shared" si="43"/>
        <v>0</v>
      </c>
      <c r="AD588" s="149"/>
      <c r="AE588" s="157">
        <f t="shared" si="50"/>
        <v>0</v>
      </c>
      <c r="AF588" s="157">
        <f t="shared" si="51"/>
        <v>0</v>
      </c>
      <c r="AG588" s="279">
        <f t="shared" si="52"/>
        <v>0</v>
      </c>
      <c r="AH588" s="439" t="s">
        <v>266</v>
      </c>
      <c r="AI588" s="439"/>
      <c r="AJ588" s="439"/>
      <c r="AK588" s="158">
        <f t="shared" si="44"/>
        <v>0</v>
      </c>
      <c r="AL588" s="158">
        <f t="shared" si="45"/>
        <v>0</v>
      </c>
      <c r="AM588" s="158">
        <f t="shared" si="46"/>
        <v>0</v>
      </c>
      <c r="AN588" s="159">
        <f t="shared" si="53"/>
        <v>0</v>
      </c>
      <c r="AO588" s="282">
        <f t="shared" si="48"/>
        <v>0</v>
      </c>
      <c r="AP588" s="282">
        <f t="shared" si="48"/>
        <v>0</v>
      </c>
      <c r="AQ588" s="282">
        <f t="shared" si="48"/>
        <v>0</v>
      </c>
    </row>
    <row r="589" spans="10:44" x14ac:dyDescent="0.25">
      <c r="Z589" s="293"/>
      <c r="AA589" s="160">
        <f t="shared" si="54"/>
        <v>0</v>
      </c>
      <c r="AB589" s="160">
        <f t="shared" si="49"/>
        <v>0</v>
      </c>
      <c r="AC589" s="160">
        <f t="shared" si="43"/>
        <v>0</v>
      </c>
      <c r="AD589" s="149"/>
      <c r="AE589" s="157">
        <f t="shared" si="50"/>
        <v>0</v>
      </c>
      <c r="AF589" s="157">
        <f t="shared" si="51"/>
        <v>0</v>
      </c>
      <c r="AG589" s="279">
        <f t="shared" si="52"/>
        <v>0</v>
      </c>
      <c r="AH589" s="439" t="s">
        <v>267</v>
      </c>
      <c r="AI589" s="439"/>
      <c r="AJ589" s="439"/>
      <c r="AK589" s="158">
        <f t="shared" si="44"/>
        <v>0</v>
      </c>
      <c r="AL589" s="158">
        <f t="shared" si="45"/>
        <v>0</v>
      </c>
      <c r="AM589" s="158">
        <f t="shared" si="46"/>
        <v>0</v>
      </c>
      <c r="AN589" s="159">
        <f t="shared" si="53"/>
        <v>0</v>
      </c>
      <c r="AO589" s="282">
        <f t="shared" si="48"/>
        <v>0</v>
      </c>
      <c r="AP589" s="282">
        <f t="shared" si="48"/>
        <v>0</v>
      </c>
      <c r="AQ589" s="282">
        <f t="shared" si="48"/>
        <v>0</v>
      </c>
    </row>
    <row r="590" spans="10:44" x14ac:dyDescent="0.25">
      <c r="Z590" s="293"/>
      <c r="AA590" s="160">
        <f t="shared" si="54"/>
        <v>0</v>
      </c>
      <c r="AB590" s="160">
        <f t="shared" si="49"/>
        <v>0</v>
      </c>
      <c r="AC590" s="160">
        <f t="shared" si="43"/>
        <v>0</v>
      </c>
      <c r="AD590" s="149"/>
      <c r="AE590" s="157">
        <f t="shared" si="50"/>
        <v>0</v>
      </c>
      <c r="AF590" s="157">
        <f t="shared" si="51"/>
        <v>0</v>
      </c>
      <c r="AG590" s="279">
        <f t="shared" si="52"/>
        <v>0</v>
      </c>
      <c r="AH590" s="439" t="s">
        <v>268</v>
      </c>
      <c r="AI590" s="439"/>
      <c r="AJ590" s="439"/>
      <c r="AK590" s="158">
        <f t="shared" si="44"/>
        <v>0</v>
      </c>
      <c r="AL590" s="158">
        <f t="shared" si="45"/>
        <v>0</v>
      </c>
      <c r="AM590" s="158">
        <f t="shared" si="46"/>
        <v>0</v>
      </c>
      <c r="AN590" s="159">
        <f t="shared" si="53"/>
        <v>0</v>
      </c>
      <c r="AO590" s="282">
        <f t="shared" si="48"/>
        <v>0</v>
      </c>
      <c r="AP590" s="282">
        <f t="shared" si="48"/>
        <v>0</v>
      </c>
      <c r="AQ590" s="282">
        <f t="shared" si="48"/>
        <v>0</v>
      </c>
    </row>
    <row r="591" spans="10:44" x14ac:dyDescent="0.25">
      <c r="Z591" s="260"/>
      <c r="AA591" s="160">
        <f t="shared" si="54"/>
        <v>0</v>
      </c>
      <c r="AB591" s="160">
        <f t="shared" si="49"/>
        <v>0</v>
      </c>
      <c r="AC591" s="160">
        <f t="shared" si="43"/>
        <v>0</v>
      </c>
      <c r="AD591" s="149"/>
      <c r="AE591" s="157">
        <f t="shared" si="50"/>
        <v>0</v>
      </c>
      <c r="AF591" s="157">
        <f t="shared" si="51"/>
        <v>0</v>
      </c>
      <c r="AG591" s="279">
        <f t="shared" si="52"/>
        <v>0</v>
      </c>
      <c r="AH591" s="439" t="s">
        <v>269</v>
      </c>
      <c r="AI591" s="439"/>
      <c r="AJ591" s="439"/>
      <c r="AK591" s="158">
        <f t="shared" si="44"/>
        <v>0</v>
      </c>
      <c r="AL591" s="158">
        <f t="shared" si="45"/>
        <v>0</v>
      </c>
      <c r="AM591" s="158">
        <f t="shared" si="46"/>
        <v>0</v>
      </c>
      <c r="AN591" s="159">
        <f t="shared" si="53"/>
        <v>0</v>
      </c>
      <c r="AO591" s="282">
        <f t="shared" si="48"/>
        <v>0</v>
      </c>
      <c r="AP591" s="282">
        <f t="shared" si="48"/>
        <v>0</v>
      </c>
      <c r="AQ591" s="282">
        <f t="shared" si="48"/>
        <v>0</v>
      </c>
      <c r="AR591" s="228"/>
    </row>
    <row r="592" spans="10:44" x14ac:dyDescent="0.25">
      <c r="Z592" s="260"/>
      <c r="AA592" s="160">
        <f t="shared" si="54"/>
        <v>0</v>
      </c>
      <c r="AB592" s="160">
        <f t="shared" si="49"/>
        <v>0</v>
      </c>
      <c r="AC592" s="160">
        <f t="shared" si="43"/>
        <v>0</v>
      </c>
      <c r="AD592" s="149"/>
      <c r="AE592" s="157">
        <f t="shared" si="50"/>
        <v>0</v>
      </c>
      <c r="AF592" s="157">
        <f t="shared" si="51"/>
        <v>0</v>
      </c>
      <c r="AG592" s="279">
        <f t="shared" si="52"/>
        <v>0</v>
      </c>
      <c r="AH592" s="439" t="s">
        <v>270</v>
      </c>
      <c r="AI592" s="439"/>
      <c r="AJ592" s="439"/>
      <c r="AK592" s="158">
        <f t="shared" si="44"/>
        <v>0</v>
      </c>
      <c r="AL592" s="158">
        <f t="shared" si="45"/>
        <v>0</v>
      </c>
      <c r="AM592" s="158">
        <f t="shared" si="46"/>
        <v>0</v>
      </c>
      <c r="AN592" s="159">
        <f t="shared" si="53"/>
        <v>0</v>
      </c>
      <c r="AO592" s="282">
        <f t="shared" si="48"/>
        <v>0</v>
      </c>
      <c r="AP592" s="282">
        <f t="shared" si="48"/>
        <v>0</v>
      </c>
      <c r="AQ592" s="282">
        <f t="shared" si="48"/>
        <v>0</v>
      </c>
      <c r="AR592" s="228"/>
    </row>
    <row r="593" spans="25:44" x14ac:dyDescent="0.25">
      <c r="Z593" s="260"/>
      <c r="AA593" s="160">
        <f t="shared" si="54"/>
        <v>0</v>
      </c>
      <c r="AB593" s="160">
        <f t="shared" si="49"/>
        <v>0</v>
      </c>
      <c r="AC593" s="160">
        <f t="shared" si="43"/>
        <v>0</v>
      </c>
      <c r="AD593" s="149"/>
      <c r="AE593" s="157">
        <f t="shared" si="50"/>
        <v>0</v>
      </c>
      <c r="AF593" s="157">
        <f t="shared" si="51"/>
        <v>0</v>
      </c>
      <c r="AG593" s="279">
        <f t="shared" si="52"/>
        <v>0</v>
      </c>
      <c r="AH593" s="439" t="s">
        <v>271</v>
      </c>
      <c r="AI593" s="439"/>
      <c r="AJ593" s="439"/>
      <c r="AK593" s="158">
        <f t="shared" si="44"/>
        <v>0</v>
      </c>
      <c r="AL593" s="158">
        <f t="shared" si="45"/>
        <v>0</v>
      </c>
      <c r="AM593" s="158">
        <f t="shared" si="46"/>
        <v>0</v>
      </c>
      <c r="AN593" s="159">
        <f t="shared" si="53"/>
        <v>0</v>
      </c>
      <c r="AO593" s="282">
        <f t="shared" si="48"/>
        <v>0</v>
      </c>
      <c r="AP593" s="282">
        <f t="shared" si="48"/>
        <v>0</v>
      </c>
      <c r="AQ593" s="282">
        <f t="shared" si="48"/>
        <v>0</v>
      </c>
      <c r="AR593" s="228"/>
    </row>
    <row r="594" spans="25:44" x14ac:dyDescent="0.25">
      <c r="Z594" s="260"/>
      <c r="AA594" s="160">
        <f t="shared" si="54"/>
        <v>0</v>
      </c>
      <c r="AB594" s="160">
        <f t="shared" si="49"/>
        <v>0</v>
      </c>
      <c r="AC594" s="160">
        <f t="shared" si="43"/>
        <v>0</v>
      </c>
      <c r="AD594" s="149"/>
      <c r="AE594" s="157">
        <f t="shared" si="50"/>
        <v>0</v>
      </c>
      <c r="AF594" s="157">
        <f t="shared" si="51"/>
        <v>0</v>
      </c>
      <c r="AG594" s="279">
        <f t="shared" si="52"/>
        <v>0</v>
      </c>
      <c r="AH594" s="439" t="s">
        <v>272</v>
      </c>
      <c r="AI594" s="439"/>
      <c r="AJ594" s="439"/>
      <c r="AK594" s="158">
        <f t="shared" si="44"/>
        <v>0</v>
      </c>
      <c r="AL594" s="158">
        <f t="shared" si="45"/>
        <v>0</v>
      </c>
      <c r="AM594" s="158">
        <f t="shared" si="46"/>
        <v>0</v>
      </c>
      <c r="AN594" s="159">
        <f t="shared" si="53"/>
        <v>0</v>
      </c>
      <c r="AO594" s="282">
        <f t="shared" si="48"/>
        <v>0</v>
      </c>
      <c r="AP594" s="282">
        <f t="shared" si="48"/>
        <v>0</v>
      </c>
      <c r="AQ594" s="282">
        <f t="shared" si="48"/>
        <v>0</v>
      </c>
      <c r="AR594" s="228"/>
    </row>
    <row r="595" spans="25:44" x14ac:dyDescent="0.25">
      <c r="Z595" s="260"/>
      <c r="AA595" s="160">
        <f t="shared" si="54"/>
        <v>0</v>
      </c>
      <c r="AB595" s="160">
        <f t="shared" si="49"/>
        <v>0</v>
      </c>
      <c r="AC595" s="160">
        <f t="shared" si="43"/>
        <v>0</v>
      </c>
      <c r="AD595" s="149"/>
      <c r="AE595" s="157">
        <f t="shared" si="50"/>
        <v>0</v>
      </c>
      <c r="AF595" s="157">
        <f t="shared" si="51"/>
        <v>0</v>
      </c>
      <c r="AG595" s="279">
        <f t="shared" si="52"/>
        <v>0</v>
      </c>
      <c r="AH595" s="439" t="s">
        <v>273</v>
      </c>
      <c r="AI595" s="439"/>
      <c r="AJ595" s="439"/>
      <c r="AK595" s="158">
        <f t="shared" si="44"/>
        <v>0</v>
      </c>
      <c r="AL595" s="158">
        <f t="shared" si="45"/>
        <v>0</v>
      </c>
      <c r="AM595" s="158">
        <f t="shared" si="46"/>
        <v>0</v>
      </c>
      <c r="AN595" s="159">
        <f t="shared" si="53"/>
        <v>0</v>
      </c>
      <c r="AO595" s="282">
        <f t="shared" si="48"/>
        <v>0</v>
      </c>
      <c r="AP595" s="282">
        <f t="shared" si="48"/>
        <v>0</v>
      </c>
      <c r="AQ595" s="282">
        <f t="shared" si="48"/>
        <v>0</v>
      </c>
      <c r="AR595" s="228"/>
    </row>
    <row r="596" spans="25:44" x14ac:dyDescent="0.25">
      <c r="Z596" s="260"/>
      <c r="AA596" s="160">
        <f t="shared" si="54"/>
        <v>0</v>
      </c>
      <c r="AB596" s="160">
        <f t="shared" si="49"/>
        <v>0</v>
      </c>
      <c r="AC596" s="160">
        <f t="shared" si="43"/>
        <v>0</v>
      </c>
      <c r="AD596" s="149"/>
      <c r="AE596" s="157">
        <f t="shared" si="50"/>
        <v>0</v>
      </c>
      <c r="AF596" s="157">
        <f t="shared" si="51"/>
        <v>0</v>
      </c>
      <c r="AG596" s="279">
        <f t="shared" si="52"/>
        <v>0</v>
      </c>
      <c r="AH596" s="439" t="s">
        <v>274</v>
      </c>
      <c r="AI596" s="439"/>
      <c r="AJ596" s="439"/>
      <c r="AK596" s="158">
        <f t="shared" si="44"/>
        <v>0</v>
      </c>
      <c r="AL596" s="158">
        <f t="shared" si="45"/>
        <v>0</v>
      </c>
      <c r="AM596" s="158">
        <f t="shared" si="46"/>
        <v>0</v>
      </c>
      <c r="AN596" s="159">
        <f t="shared" si="53"/>
        <v>0</v>
      </c>
      <c r="AO596" s="282">
        <f t="shared" si="48"/>
        <v>0</v>
      </c>
      <c r="AP596" s="282">
        <f t="shared" si="48"/>
        <v>0</v>
      </c>
      <c r="AQ596" s="282">
        <f t="shared" si="48"/>
        <v>0</v>
      </c>
      <c r="AR596" s="228"/>
    </row>
    <row r="597" spans="25:44" x14ac:dyDescent="0.25">
      <c r="Z597" s="260"/>
      <c r="AA597" s="160">
        <f t="shared" si="54"/>
        <v>0</v>
      </c>
      <c r="AB597" s="160">
        <f t="shared" si="49"/>
        <v>0</v>
      </c>
      <c r="AC597" s="160">
        <f t="shared" si="43"/>
        <v>0</v>
      </c>
      <c r="AD597" s="149"/>
      <c r="AE597" s="157">
        <f t="shared" si="50"/>
        <v>0</v>
      </c>
      <c r="AF597" s="157">
        <f t="shared" si="51"/>
        <v>0</v>
      </c>
      <c r="AG597" s="279">
        <f t="shared" si="52"/>
        <v>0</v>
      </c>
      <c r="AH597" s="439" t="s">
        <v>275</v>
      </c>
      <c r="AI597" s="439"/>
      <c r="AJ597" s="439"/>
      <c r="AK597" s="158">
        <f t="shared" si="44"/>
        <v>0</v>
      </c>
      <c r="AL597" s="158">
        <f t="shared" si="45"/>
        <v>0</v>
      </c>
      <c r="AM597" s="158">
        <f t="shared" si="46"/>
        <v>0</v>
      </c>
      <c r="AN597" s="159">
        <f t="shared" si="53"/>
        <v>0</v>
      </c>
      <c r="AO597" s="282">
        <f t="shared" si="48"/>
        <v>0</v>
      </c>
      <c r="AP597" s="282">
        <f t="shared" si="48"/>
        <v>0</v>
      </c>
      <c r="AQ597" s="282">
        <f t="shared" si="48"/>
        <v>0</v>
      </c>
      <c r="AR597" s="228"/>
    </row>
    <row r="598" spans="25:44" x14ac:dyDescent="0.25">
      <c r="Z598" s="260"/>
      <c r="AA598" s="160">
        <f t="shared" si="54"/>
        <v>0</v>
      </c>
      <c r="AB598" s="160">
        <f t="shared" si="49"/>
        <v>0</v>
      </c>
      <c r="AC598" s="160">
        <f t="shared" si="43"/>
        <v>0</v>
      </c>
      <c r="AD598" s="149"/>
      <c r="AE598" s="157">
        <f t="shared" si="50"/>
        <v>0</v>
      </c>
      <c r="AF598" s="157">
        <f t="shared" si="51"/>
        <v>0</v>
      </c>
      <c r="AG598" s="279">
        <f t="shared" si="52"/>
        <v>0</v>
      </c>
      <c r="AH598" s="439" t="s">
        <v>276</v>
      </c>
      <c r="AI598" s="439"/>
      <c r="AJ598" s="439"/>
      <c r="AK598" s="158">
        <f t="shared" si="44"/>
        <v>0</v>
      </c>
      <c r="AL598" s="158">
        <f t="shared" si="45"/>
        <v>0</v>
      </c>
      <c r="AM598" s="158">
        <f t="shared" si="46"/>
        <v>0</v>
      </c>
      <c r="AN598" s="159">
        <f t="shared" si="53"/>
        <v>0</v>
      </c>
      <c r="AO598" s="282">
        <f t="shared" si="48"/>
        <v>0</v>
      </c>
      <c r="AP598" s="282">
        <f t="shared" si="48"/>
        <v>0</v>
      </c>
      <c r="AQ598" s="282">
        <f t="shared" si="48"/>
        <v>0</v>
      </c>
      <c r="AR598" s="228"/>
    </row>
    <row r="599" spans="25:44" x14ac:dyDescent="0.25">
      <c r="Z599" s="260"/>
      <c r="AA599" s="160">
        <f t="shared" si="54"/>
        <v>0</v>
      </c>
      <c r="AB599" s="160">
        <f t="shared" si="49"/>
        <v>0</v>
      </c>
      <c r="AC599" s="160">
        <f t="shared" si="43"/>
        <v>0</v>
      </c>
      <c r="AD599" s="149"/>
      <c r="AE599" s="157">
        <f t="shared" si="50"/>
        <v>0</v>
      </c>
      <c r="AF599" s="157">
        <f t="shared" si="51"/>
        <v>0</v>
      </c>
      <c r="AG599" s="279">
        <f t="shared" si="52"/>
        <v>0</v>
      </c>
      <c r="AH599" s="439" t="s">
        <v>277</v>
      </c>
      <c r="AI599" s="439"/>
      <c r="AJ599" s="439"/>
      <c r="AK599" s="158">
        <f t="shared" si="44"/>
        <v>0</v>
      </c>
      <c r="AL599" s="158">
        <f t="shared" si="45"/>
        <v>0</v>
      </c>
      <c r="AM599" s="158">
        <f t="shared" si="46"/>
        <v>0</v>
      </c>
      <c r="AN599" s="159">
        <f t="shared" si="53"/>
        <v>0</v>
      </c>
      <c r="AO599" s="282">
        <f t="shared" si="48"/>
        <v>0</v>
      </c>
      <c r="AP599" s="282">
        <f t="shared" si="48"/>
        <v>0</v>
      </c>
      <c r="AQ599" s="282">
        <f t="shared" si="48"/>
        <v>0</v>
      </c>
      <c r="AR599" s="228"/>
    </row>
    <row r="600" spans="25:44" x14ac:dyDescent="0.25">
      <c r="Z600" s="260"/>
      <c r="AA600" s="160">
        <f t="shared" si="54"/>
        <v>0</v>
      </c>
      <c r="AB600" s="160">
        <f t="shared" si="49"/>
        <v>0</v>
      </c>
      <c r="AC600" s="160">
        <f t="shared" si="43"/>
        <v>0</v>
      </c>
      <c r="AD600" s="149"/>
      <c r="AE600" s="157">
        <f t="shared" si="50"/>
        <v>0</v>
      </c>
      <c r="AF600" s="157">
        <f t="shared" si="51"/>
        <v>0</v>
      </c>
      <c r="AG600" s="279">
        <f t="shared" si="52"/>
        <v>0</v>
      </c>
      <c r="AH600" s="439" t="s">
        <v>278</v>
      </c>
      <c r="AI600" s="439"/>
      <c r="AJ600" s="439"/>
      <c r="AK600" s="158">
        <f t="shared" si="44"/>
        <v>0</v>
      </c>
      <c r="AL600" s="158">
        <f t="shared" si="45"/>
        <v>0</v>
      </c>
      <c r="AM600" s="158">
        <f t="shared" si="46"/>
        <v>0</v>
      </c>
      <c r="AN600" s="159">
        <f t="shared" si="53"/>
        <v>0</v>
      </c>
      <c r="AO600" s="282">
        <f t="shared" si="48"/>
        <v>0</v>
      </c>
      <c r="AP600" s="282">
        <f t="shared" si="48"/>
        <v>0</v>
      </c>
      <c r="AQ600" s="282">
        <f t="shared" si="48"/>
        <v>0</v>
      </c>
      <c r="AR600" s="228"/>
    </row>
    <row r="601" spans="25:44" x14ac:dyDescent="0.25">
      <c r="Z601" s="260"/>
      <c r="AA601" s="160">
        <f t="shared" si="54"/>
        <v>0</v>
      </c>
      <c r="AB601" s="160">
        <f t="shared" si="49"/>
        <v>0</v>
      </c>
      <c r="AC601" s="160">
        <f t="shared" si="43"/>
        <v>0</v>
      </c>
      <c r="AD601" s="149"/>
      <c r="AE601" s="157">
        <f t="shared" si="50"/>
        <v>0</v>
      </c>
      <c r="AF601" s="157">
        <f t="shared" si="51"/>
        <v>0</v>
      </c>
      <c r="AG601" s="279">
        <f t="shared" si="52"/>
        <v>0</v>
      </c>
      <c r="AH601" s="439" t="s">
        <v>279</v>
      </c>
      <c r="AI601" s="439"/>
      <c r="AJ601" s="439"/>
      <c r="AK601" s="158">
        <f t="shared" si="44"/>
        <v>0</v>
      </c>
      <c r="AL601" s="158">
        <f t="shared" si="45"/>
        <v>0</v>
      </c>
      <c r="AM601" s="158">
        <f t="shared" si="46"/>
        <v>0</v>
      </c>
      <c r="AN601" s="159">
        <f t="shared" si="53"/>
        <v>0</v>
      </c>
      <c r="AO601" s="282">
        <f t="shared" si="48"/>
        <v>0</v>
      </c>
      <c r="AP601" s="282">
        <f t="shared" si="48"/>
        <v>0</v>
      </c>
      <c r="AQ601" s="282">
        <f t="shared" si="48"/>
        <v>0</v>
      </c>
      <c r="AR601" s="228"/>
    </row>
    <row r="602" spans="25:44" x14ac:dyDescent="0.25">
      <c r="Z602" s="260"/>
      <c r="AA602" s="160">
        <f t="shared" si="54"/>
        <v>0</v>
      </c>
      <c r="AB602" s="160">
        <f t="shared" si="49"/>
        <v>0</v>
      </c>
      <c r="AC602" s="160">
        <f t="shared" si="43"/>
        <v>0</v>
      </c>
      <c r="AD602" s="149"/>
      <c r="AE602" s="157">
        <f>SUMIF($AP$4:$AP$574,AH602,$Z$4:$Z$574)</f>
        <v>0</v>
      </c>
      <c r="AF602" s="157">
        <f t="shared" si="51"/>
        <v>0</v>
      </c>
      <c r="AG602" s="279">
        <f t="shared" si="52"/>
        <v>0</v>
      </c>
      <c r="AH602" s="439" t="s">
        <v>280</v>
      </c>
      <c r="AI602" s="439"/>
      <c r="AJ602" s="439"/>
      <c r="AK602" s="158">
        <f t="shared" si="44"/>
        <v>0</v>
      </c>
      <c r="AL602" s="158">
        <f t="shared" si="45"/>
        <v>0</v>
      </c>
      <c r="AM602" s="158">
        <f t="shared" si="46"/>
        <v>0</v>
      </c>
      <c r="AN602" s="159">
        <f t="shared" si="53"/>
        <v>0</v>
      </c>
      <c r="AO602" s="282">
        <f t="shared" si="48"/>
        <v>0</v>
      </c>
      <c r="AP602" s="282">
        <f t="shared" si="48"/>
        <v>0</v>
      </c>
      <c r="AQ602" s="282">
        <f t="shared" si="48"/>
        <v>0</v>
      </c>
      <c r="AR602" s="228"/>
    </row>
    <row r="603" spans="25:44" x14ac:dyDescent="0.25">
      <c r="Z603" s="260"/>
      <c r="AA603" s="160">
        <f t="shared" si="54"/>
        <v>0</v>
      </c>
      <c r="AB603" s="160">
        <f t="shared" si="49"/>
        <v>0</v>
      </c>
      <c r="AC603" s="160">
        <f t="shared" si="43"/>
        <v>0</v>
      </c>
      <c r="AD603" s="149"/>
      <c r="AE603" s="157">
        <f t="shared" si="50"/>
        <v>0</v>
      </c>
      <c r="AF603" s="157">
        <f t="shared" si="51"/>
        <v>0</v>
      </c>
      <c r="AG603" s="279">
        <f t="shared" si="52"/>
        <v>0</v>
      </c>
      <c r="AH603" s="439" t="s">
        <v>281</v>
      </c>
      <c r="AI603" s="439"/>
      <c r="AJ603" s="439"/>
      <c r="AK603" s="158">
        <f t="shared" si="44"/>
        <v>0</v>
      </c>
      <c r="AL603" s="158">
        <f t="shared" si="45"/>
        <v>0</v>
      </c>
      <c r="AM603" s="158">
        <f t="shared" si="46"/>
        <v>0</v>
      </c>
      <c r="AN603" s="159">
        <f t="shared" si="53"/>
        <v>0</v>
      </c>
      <c r="AO603" s="282">
        <f t="shared" si="48"/>
        <v>0</v>
      </c>
      <c r="AP603" s="282">
        <f t="shared" si="48"/>
        <v>0</v>
      </c>
      <c r="AQ603" s="282">
        <f t="shared" si="48"/>
        <v>0</v>
      </c>
      <c r="AR603" s="228"/>
    </row>
    <row r="604" spans="25:44" x14ac:dyDescent="0.25">
      <c r="Z604" s="294"/>
      <c r="AA604" s="295">
        <f t="shared" si="54"/>
        <v>0</v>
      </c>
      <c r="AB604" s="295">
        <f t="shared" si="49"/>
        <v>0</v>
      </c>
      <c r="AC604" s="295">
        <f t="shared" si="43"/>
        <v>0</v>
      </c>
      <c r="AD604" s="149"/>
      <c r="AE604" s="157">
        <f t="shared" si="50"/>
        <v>0</v>
      </c>
      <c r="AF604" s="157">
        <f t="shared" si="51"/>
        <v>0</v>
      </c>
      <c r="AG604" s="279">
        <f t="shared" si="52"/>
        <v>0</v>
      </c>
      <c r="AH604" s="439" t="s">
        <v>282</v>
      </c>
      <c r="AI604" s="439"/>
      <c r="AJ604" s="439"/>
      <c r="AK604" s="158">
        <f t="shared" si="44"/>
        <v>0</v>
      </c>
      <c r="AL604" s="158">
        <f t="shared" si="45"/>
        <v>0</v>
      </c>
      <c r="AM604" s="158">
        <f t="shared" si="46"/>
        <v>0</v>
      </c>
      <c r="AN604" s="159">
        <f t="shared" si="53"/>
        <v>0</v>
      </c>
      <c r="AO604" s="282">
        <f t="shared" si="48"/>
        <v>0</v>
      </c>
      <c r="AP604" s="282">
        <f t="shared" si="48"/>
        <v>0</v>
      </c>
      <c r="AQ604" s="282">
        <f t="shared" si="48"/>
        <v>0</v>
      </c>
      <c r="AR604" s="228"/>
    </row>
    <row r="605" spans="25:44" ht="15.75" thickBot="1" x14ac:dyDescent="0.3">
      <c r="Z605" s="296" t="s">
        <v>195</v>
      </c>
      <c r="AA605" s="297">
        <f>SUM(AA581:AA604)</f>
        <v>0</v>
      </c>
      <c r="AB605" s="297">
        <f>SUM(AB581:AB604)</f>
        <v>0</v>
      </c>
      <c r="AC605" s="297">
        <f t="shared" ref="AC605" si="55">SUM(AC581:AC604)</f>
        <v>0</v>
      </c>
      <c r="AD605" s="149"/>
      <c r="AE605" s="157">
        <f t="shared" si="50"/>
        <v>0</v>
      </c>
      <c r="AF605" s="157">
        <f t="shared" si="51"/>
        <v>0</v>
      </c>
      <c r="AG605" s="279">
        <f t="shared" si="52"/>
        <v>0</v>
      </c>
      <c r="AH605" s="439" t="s">
        <v>283</v>
      </c>
      <c r="AI605" s="439"/>
      <c r="AJ605" s="439"/>
      <c r="AK605" s="158">
        <f t="shared" si="44"/>
        <v>0</v>
      </c>
      <c r="AL605" s="158">
        <f t="shared" si="45"/>
        <v>0</v>
      </c>
      <c r="AM605" s="158">
        <f t="shared" si="46"/>
        <v>0</v>
      </c>
      <c r="AN605" s="159">
        <f t="shared" si="53"/>
        <v>0</v>
      </c>
      <c r="AO605" s="282">
        <f t="shared" si="48"/>
        <v>0</v>
      </c>
      <c r="AP605" s="282">
        <f t="shared" si="48"/>
        <v>0</v>
      </c>
      <c r="AQ605" s="282">
        <f t="shared" si="48"/>
        <v>0</v>
      </c>
      <c r="AR605" s="228"/>
    </row>
    <row r="606" spans="25:44" ht="15.75" thickTop="1" x14ac:dyDescent="0.25">
      <c r="Z606" s="148"/>
      <c r="AA606" s="162">
        <f>AA605-AE613</f>
        <v>0</v>
      </c>
      <c r="AB606" s="162">
        <f>AB605-AG613</f>
        <v>0</v>
      </c>
      <c r="AC606" s="162">
        <f>AM613-AC605</f>
        <v>0</v>
      </c>
      <c r="AD606" s="149"/>
      <c r="AE606" s="157">
        <f t="shared" si="50"/>
        <v>0</v>
      </c>
      <c r="AF606" s="157">
        <f t="shared" si="51"/>
        <v>0</v>
      </c>
      <c r="AG606" s="279">
        <f t="shared" si="52"/>
        <v>0</v>
      </c>
      <c r="AH606" s="439">
        <v>0</v>
      </c>
      <c r="AI606" s="439"/>
      <c r="AJ606" s="439"/>
      <c r="AK606" s="158">
        <f t="shared" si="44"/>
        <v>0</v>
      </c>
      <c r="AL606" s="158">
        <f t="shared" si="45"/>
        <v>0</v>
      </c>
      <c r="AM606" s="158">
        <f t="shared" si="46"/>
        <v>0</v>
      </c>
      <c r="AN606" s="159">
        <f t="shared" si="47"/>
        <v>0</v>
      </c>
      <c r="AO606" s="282">
        <f t="shared" si="48"/>
        <v>0</v>
      </c>
      <c r="AP606" s="282">
        <f t="shared" si="48"/>
        <v>0</v>
      </c>
      <c r="AQ606" s="282">
        <f t="shared" si="48"/>
        <v>0</v>
      </c>
      <c r="AR606" s="228"/>
    </row>
    <row r="607" spans="25:44" x14ac:dyDescent="0.25">
      <c r="Y607" s="148"/>
      <c r="Z607" s="149"/>
      <c r="AA607" s="149"/>
      <c r="AB607" s="149"/>
      <c r="AC607" s="149"/>
      <c r="AD607" s="149"/>
      <c r="AE607" s="157">
        <f t="shared" si="50"/>
        <v>0</v>
      </c>
      <c r="AF607" s="157">
        <f t="shared" si="51"/>
        <v>0</v>
      </c>
      <c r="AG607" s="279">
        <f t="shared" si="52"/>
        <v>0</v>
      </c>
      <c r="AH607" s="439">
        <v>0</v>
      </c>
      <c r="AI607" s="439"/>
      <c r="AJ607" s="439"/>
      <c r="AK607" s="158">
        <f t="shared" si="44"/>
        <v>0</v>
      </c>
      <c r="AL607" s="158">
        <f t="shared" si="45"/>
        <v>0</v>
      </c>
      <c r="AM607" s="158">
        <f t="shared" si="46"/>
        <v>0</v>
      </c>
      <c r="AN607" s="159">
        <f t="shared" si="47"/>
        <v>0</v>
      </c>
      <c r="AO607" s="282">
        <f t="shared" si="48"/>
        <v>0</v>
      </c>
      <c r="AP607" s="282">
        <f t="shared" si="48"/>
        <v>0</v>
      </c>
      <c r="AQ607" s="282">
        <f t="shared" si="48"/>
        <v>0</v>
      </c>
      <c r="AR607" s="228"/>
    </row>
    <row r="608" spans="25:44" x14ac:dyDescent="0.25">
      <c r="Y608" s="148"/>
      <c r="Z608" s="149"/>
      <c r="AA608" s="149"/>
      <c r="AB608" s="149"/>
      <c r="AC608" s="149"/>
      <c r="AD608" s="149"/>
      <c r="AE608" s="157">
        <f t="shared" si="50"/>
        <v>0</v>
      </c>
      <c r="AF608" s="157">
        <f t="shared" si="51"/>
        <v>0</v>
      </c>
      <c r="AG608" s="279">
        <f t="shared" si="52"/>
        <v>0</v>
      </c>
      <c r="AH608" s="439">
        <v>0</v>
      </c>
      <c r="AI608" s="439"/>
      <c r="AJ608" s="439"/>
      <c r="AK608" s="158">
        <f t="shared" si="44"/>
        <v>0</v>
      </c>
      <c r="AL608" s="158">
        <f t="shared" si="45"/>
        <v>0</v>
      </c>
      <c r="AM608" s="158">
        <f t="shared" si="46"/>
        <v>0</v>
      </c>
      <c r="AN608" s="159">
        <f t="shared" si="47"/>
        <v>0</v>
      </c>
      <c r="AO608" s="282">
        <f t="shared" si="48"/>
        <v>0</v>
      </c>
      <c r="AP608" s="282">
        <f t="shared" si="48"/>
        <v>0</v>
      </c>
      <c r="AQ608" s="282">
        <f t="shared" si="48"/>
        <v>0</v>
      </c>
      <c r="AR608" s="228"/>
    </row>
    <row r="609" spans="25:44" x14ac:dyDescent="0.25">
      <c r="Y609" s="148"/>
      <c r="Z609" s="149"/>
      <c r="AA609" s="149"/>
      <c r="AB609" s="149"/>
      <c r="AC609" s="149"/>
      <c r="AD609" s="149"/>
      <c r="AE609" s="157">
        <f t="shared" si="50"/>
        <v>0</v>
      </c>
      <c r="AF609" s="157">
        <f t="shared" si="51"/>
        <v>0</v>
      </c>
      <c r="AG609" s="279">
        <f t="shared" si="52"/>
        <v>0</v>
      </c>
      <c r="AH609" s="439">
        <v>0</v>
      </c>
      <c r="AI609" s="439"/>
      <c r="AJ609" s="439"/>
      <c r="AK609" s="158">
        <f t="shared" si="44"/>
        <v>0</v>
      </c>
      <c r="AL609" s="158">
        <f t="shared" si="45"/>
        <v>0</v>
      </c>
      <c r="AM609" s="158">
        <f t="shared" si="46"/>
        <v>0</v>
      </c>
      <c r="AN609" s="159">
        <f t="shared" si="47"/>
        <v>0</v>
      </c>
      <c r="AO609" s="282">
        <f t="shared" si="48"/>
        <v>0</v>
      </c>
      <c r="AP609" s="282">
        <f t="shared" si="48"/>
        <v>0</v>
      </c>
      <c r="AQ609" s="282">
        <f t="shared" si="48"/>
        <v>0</v>
      </c>
      <c r="AR609" s="228"/>
    </row>
    <row r="610" spans="25:44" x14ac:dyDescent="0.25">
      <c r="Y610" s="148"/>
      <c r="Z610" s="149"/>
      <c r="AA610" s="149"/>
      <c r="AB610" s="164" t="s">
        <v>315</v>
      </c>
      <c r="AC610" s="149">
        <v>0</v>
      </c>
      <c r="AD610" s="149"/>
      <c r="AE610" s="157">
        <f t="shared" si="50"/>
        <v>0</v>
      </c>
      <c r="AF610" s="157">
        <f t="shared" si="51"/>
        <v>0</v>
      </c>
      <c r="AG610" s="279">
        <f t="shared" si="52"/>
        <v>0</v>
      </c>
      <c r="AH610" s="439">
        <v>0</v>
      </c>
      <c r="AI610" s="439"/>
      <c r="AJ610" s="439"/>
      <c r="AK610" s="158">
        <f t="shared" si="44"/>
        <v>0</v>
      </c>
      <c r="AL610" s="158">
        <f t="shared" si="45"/>
        <v>0</v>
      </c>
      <c r="AM610" s="158">
        <f t="shared" si="46"/>
        <v>0</v>
      </c>
      <c r="AN610" s="159">
        <f t="shared" si="47"/>
        <v>0</v>
      </c>
      <c r="AO610" s="282">
        <f t="shared" si="48"/>
        <v>0</v>
      </c>
      <c r="AP610" s="282">
        <f t="shared" si="48"/>
        <v>0</v>
      </c>
      <c r="AQ610" s="282">
        <f t="shared" si="48"/>
        <v>0</v>
      </c>
      <c r="AR610" s="228"/>
    </row>
    <row r="611" spans="25:44" x14ac:dyDescent="0.25">
      <c r="Y611" s="148"/>
      <c r="Z611" s="149"/>
      <c r="AA611" s="149"/>
      <c r="AB611" s="164" t="s">
        <v>316</v>
      </c>
      <c r="AC611" s="149">
        <v>0</v>
      </c>
      <c r="AD611" s="149"/>
      <c r="AE611" s="157">
        <f t="shared" si="50"/>
        <v>0</v>
      </c>
      <c r="AF611" s="157">
        <f t="shared" si="51"/>
        <v>0</v>
      </c>
      <c r="AG611" s="279">
        <f t="shared" si="52"/>
        <v>0</v>
      </c>
      <c r="AH611" s="439">
        <v>0</v>
      </c>
      <c r="AI611" s="439"/>
      <c r="AJ611" s="439"/>
      <c r="AK611" s="158">
        <f t="shared" si="44"/>
        <v>0</v>
      </c>
      <c r="AL611" s="158">
        <f t="shared" si="45"/>
        <v>0</v>
      </c>
      <c r="AM611" s="158">
        <f t="shared" si="46"/>
        <v>0</v>
      </c>
      <c r="AN611" s="159">
        <f t="shared" si="47"/>
        <v>0</v>
      </c>
      <c r="AO611" s="282">
        <f t="shared" si="48"/>
        <v>0</v>
      </c>
      <c r="AP611" s="282">
        <f t="shared" si="48"/>
        <v>0</v>
      </c>
      <c r="AQ611" s="282">
        <f t="shared" si="48"/>
        <v>0</v>
      </c>
      <c r="AR611" s="228"/>
    </row>
    <row r="612" spans="25:44" ht="15.75" thickBot="1" x14ac:dyDescent="0.3">
      <c r="Y612" s="148"/>
      <c r="Z612" s="149"/>
      <c r="AA612" s="149"/>
      <c r="AB612" s="169" t="s">
        <v>317</v>
      </c>
      <c r="AC612" s="229">
        <f>AM615</f>
        <v>0</v>
      </c>
      <c r="AD612" s="149"/>
      <c r="AE612" s="171">
        <f t="shared" si="50"/>
        <v>0</v>
      </c>
      <c r="AF612" s="171">
        <f t="shared" si="51"/>
        <v>0</v>
      </c>
      <c r="AG612" s="172">
        <f t="shared" si="52"/>
        <v>0</v>
      </c>
      <c r="AH612" s="436" t="e">
        <v>#N/A</v>
      </c>
      <c r="AI612" s="436"/>
      <c r="AJ612" s="436"/>
      <c r="AK612" s="163">
        <f t="shared" si="44"/>
        <v>0</v>
      </c>
      <c r="AL612" s="163">
        <f t="shared" si="45"/>
        <v>0</v>
      </c>
      <c r="AM612" s="163">
        <f t="shared" si="46"/>
        <v>0</v>
      </c>
      <c r="AN612" s="192">
        <f t="shared" si="47"/>
        <v>0</v>
      </c>
      <c r="AO612" s="283">
        <f t="shared" si="48"/>
        <v>0</v>
      </c>
      <c r="AP612" s="283">
        <f t="shared" si="48"/>
        <v>0</v>
      </c>
      <c r="AQ612" s="283">
        <f t="shared" si="48"/>
        <v>0</v>
      </c>
      <c r="AR612" s="228"/>
    </row>
    <row r="613" spans="25:44" ht="15.75" thickTop="1" x14ac:dyDescent="0.25">
      <c r="Y613" s="148"/>
      <c r="AB613" s="169" t="s">
        <v>319</v>
      </c>
      <c r="AC613" s="149">
        <f>SUM(AC610:AC612)</f>
        <v>0</v>
      </c>
      <c r="AD613" s="149"/>
      <c r="AE613" s="108">
        <f>SUM(AE581:AE612)</f>
        <v>0</v>
      </c>
      <c r="AF613" s="109">
        <f>SUM(AF581:AF612)</f>
        <v>0</v>
      </c>
      <c r="AG613" s="109">
        <f>SUM(AG581:AG612)</f>
        <v>0</v>
      </c>
      <c r="AH613" s="437" t="s">
        <v>195</v>
      </c>
      <c r="AI613" s="437"/>
      <c r="AJ613" s="438"/>
      <c r="AK613" s="173">
        <f>SUM(AK581:AK612)</f>
        <v>0</v>
      </c>
      <c r="AL613" s="111">
        <f>SUM(AL581:AL612)</f>
        <v>0</v>
      </c>
      <c r="AM613" s="112">
        <f>SUM(AM581:AM612)</f>
        <v>0</v>
      </c>
      <c r="AN613" s="280">
        <f>SUBTOTAL(9,AN581:AN612)</f>
        <v>0</v>
      </c>
      <c r="AO613" s="165">
        <f>SUM(AO581:AO612)</f>
        <v>0</v>
      </c>
      <c r="AP613" s="165">
        <f>SUM(AP581:AP612)</f>
        <v>0</v>
      </c>
      <c r="AQ613" s="286">
        <f>SUM(AQ581:AQ612)</f>
        <v>0</v>
      </c>
      <c r="AR613" s="228"/>
    </row>
    <row r="614" spans="25:44" x14ac:dyDescent="0.25">
      <c r="Y614" s="148"/>
      <c r="AB614" s="149"/>
      <c r="AC614" s="149"/>
      <c r="AD614" s="149"/>
      <c r="AE614" s="166">
        <f>Z577-AE613</f>
        <v>0</v>
      </c>
      <c r="AF614" s="166">
        <f>AA577-AF613</f>
        <v>0</v>
      </c>
      <c r="AG614" s="166">
        <f>AB577-AG613</f>
        <v>0</v>
      </c>
      <c r="AH614" s="151"/>
      <c r="AI614" s="149"/>
      <c r="AJ614" s="149"/>
      <c r="AK614" s="152"/>
      <c r="AL614" s="151"/>
      <c r="AM614" s="152"/>
      <c r="AN614" s="156"/>
      <c r="AO614" s="167"/>
      <c r="AP614" s="167"/>
      <c r="AQ614" s="168">
        <f>AE613-AK613-AL613-AM613-AO613-AP613-AQ613</f>
        <v>0</v>
      </c>
      <c r="AR614" s="228"/>
    </row>
    <row r="615" spans="25:44" x14ac:dyDescent="0.25">
      <c r="Y615" s="149"/>
      <c r="AB615" s="149"/>
      <c r="AC615" s="149"/>
      <c r="AD615" s="149"/>
      <c r="AE615" s="150"/>
      <c r="AF615" s="150"/>
      <c r="AG615" s="150"/>
      <c r="AH615" s="151"/>
      <c r="AI615" s="149"/>
      <c r="AJ615" s="149"/>
      <c r="AK615" s="152"/>
      <c r="AL615" t="s">
        <v>318</v>
      </c>
      <c r="AM615" s="149">
        <v>0</v>
      </c>
      <c r="AN615" s="152"/>
      <c r="AO615" s="167"/>
      <c r="AP615" s="167"/>
      <c r="AQ615" s="167"/>
      <c r="AR615" s="167"/>
    </row>
    <row r="616" spans="25:44" x14ac:dyDescent="0.25">
      <c r="Y616" s="149"/>
      <c r="AB616" s="149"/>
      <c r="AC616" s="149"/>
      <c r="AD616" s="149"/>
      <c r="AE616" s="170"/>
      <c r="AF616" s="170"/>
      <c r="AG616" s="151"/>
      <c r="AH616" s="151"/>
      <c r="AI616" s="149"/>
      <c r="AJ616" s="149"/>
      <c r="AK616" s="152"/>
      <c r="AL616" s="152"/>
      <c r="AM616" s="152"/>
      <c r="AN616" s="152"/>
      <c r="AO616" s="152"/>
      <c r="AP616" s="151"/>
      <c r="AQ616" s="167"/>
      <c r="AR616" s="167"/>
    </row>
  </sheetData>
  <autoFilter ref="A3:AV13" xr:uid="{74A8721F-BCF2-4904-B9EA-99ABDFA7A3BD}"/>
  <mergeCells count="38">
    <mergeCell ref="A1:H1"/>
    <mergeCell ref="AK579:AM579"/>
    <mergeCell ref="AO579:AQ579"/>
    <mergeCell ref="AH580:AJ580"/>
    <mergeCell ref="AH581:AJ581"/>
    <mergeCell ref="Z1:AC1"/>
    <mergeCell ref="AH582:AJ582"/>
    <mergeCell ref="AH583:AJ583"/>
    <mergeCell ref="AH584:AJ584"/>
    <mergeCell ref="AH585:AJ585"/>
    <mergeCell ref="AH586:AJ586"/>
    <mergeCell ref="AH587:AJ587"/>
    <mergeCell ref="AH588:AJ588"/>
    <mergeCell ref="AH589:AJ589"/>
    <mergeCell ref="AH590:AJ590"/>
    <mergeCell ref="AH591:AJ591"/>
    <mergeCell ref="AH592:AJ592"/>
    <mergeCell ref="AH593:AJ593"/>
    <mergeCell ref="AH594:AJ594"/>
    <mergeCell ref="AH595:AJ595"/>
    <mergeCell ref="AH596:AJ596"/>
    <mergeCell ref="AH597:AJ597"/>
    <mergeCell ref="AH598:AJ598"/>
    <mergeCell ref="AH599:AJ599"/>
    <mergeCell ref="AH600:AJ600"/>
    <mergeCell ref="AH601:AJ601"/>
    <mergeCell ref="AH602:AJ602"/>
    <mergeCell ref="AH603:AJ603"/>
    <mergeCell ref="AH604:AJ604"/>
    <mergeCell ref="AH605:AJ605"/>
    <mergeCell ref="AH611:AJ611"/>
    <mergeCell ref="AH612:AJ612"/>
    <mergeCell ref="AH613:AJ613"/>
    <mergeCell ref="AH606:AJ606"/>
    <mergeCell ref="AH607:AJ607"/>
    <mergeCell ref="AH608:AJ608"/>
    <mergeCell ref="AH609:AJ609"/>
    <mergeCell ref="AH610:AJ610"/>
  </mergeCells>
  <conditionalFormatting sqref="AI4:AN574">
    <cfRule type="cellIs" dxfId="107" priority="29" operator="equal">
      <formula>"YES"</formula>
    </cfRule>
    <cfRule type="cellIs" dxfId="106" priority="30" operator="equal">
      <formula>"NO"</formula>
    </cfRule>
  </conditionalFormatting>
  <conditionalFormatting sqref="AK580">
    <cfRule type="cellIs" dxfId="105" priority="19" operator="equal">
      <formula>"NO-OOS"</formula>
    </cfRule>
    <cfRule type="cellIs" dxfId="104" priority="20" operator="equal">
      <formula>"NO-CO"</formula>
    </cfRule>
    <cfRule type="cellIs" dxfId="103" priority="21" operator="equal">
      <formula>"YES"</formula>
    </cfRule>
    <cfRule type="cellIs" dxfId="102" priority="22" operator="equal">
      <formula>"NO"</formula>
    </cfRule>
  </conditionalFormatting>
  <conditionalFormatting sqref="AK4:AN574">
    <cfRule type="cellIs" dxfId="101" priority="67" operator="equal">
      <formula>"MISSING"</formula>
    </cfRule>
  </conditionalFormatting>
  <conditionalFormatting sqref="AO580">
    <cfRule type="cellIs" dxfId="100" priority="15" operator="equal">
      <formula>"NO-OOS"</formula>
    </cfRule>
    <cfRule type="cellIs" dxfId="99" priority="16" operator="equal">
      <formula>"NO-CO"</formula>
    </cfRule>
    <cfRule type="cellIs" dxfId="98" priority="17" operator="equal">
      <formula>"YES"</formula>
    </cfRule>
    <cfRule type="cellIs" dxfId="97" priority="18" operator="equal">
      <formula>"NO"</formula>
    </cfRule>
  </conditionalFormatting>
  <conditionalFormatting sqref="AP4:AP574">
    <cfRule type="cellIs" dxfId="96" priority="1" operator="equal">
      <formula>"MISSING"</formula>
    </cfRule>
    <cfRule type="cellIs" dxfId="95" priority="2" operator="equal">
      <formula>"YES"</formula>
    </cfRule>
    <cfRule type="cellIs" dxfId="94" priority="3" operator="equal">
      <formula>"NO"</formula>
    </cfRule>
  </conditionalFormatting>
  <conditionalFormatting sqref="AQ4:AQ574">
    <cfRule type="expression" dxfId="93" priority="23">
      <formula>$AQ4="NO-GA"</formula>
    </cfRule>
    <cfRule type="expression" dxfId="92" priority="24">
      <formula>$AQ4="YES"</formula>
    </cfRule>
  </conditionalFormatting>
  <conditionalFormatting sqref="AR4:AR574">
    <cfRule type="cellIs" dxfId="91" priority="4" operator="equal">
      <formula>"YES"</formula>
    </cfRule>
    <cfRule type="cellIs" dxfId="90" priority="5" operator="equal">
      <formula>"NO"</formula>
    </cfRule>
    <cfRule type="cellIs" dxfId="89" priority="6" operator="equal">
      <formula>"MISSING"</formula>
    </cfRule>
  </conditionalFormatting>
  <conditionalFormatting sqref="AS4:AS574">
    <cfRule type="expression" dxfId="88" priority="8">
      <formula>$AS4="NO-OOS"</formula>
    </cfRule>
    <cfRule type="expression" dxfId="87" priority="13">
      <formula>$AS4="NO-GA"</formula>
    </cfRule>
    <cfRule type="expression" dxfId="86" priority="14">
      <formula>$AS4="YES"</formula>
    </cfRule>
  </conditionalFormatting>
  <dataValidations count="5">
    <dataValidation type="list" allowBlank="1" showInputMessage="1" showErrorMessage="1" sqref="AK4:AM574 AR4:AR574" xr:uid="{DA3BAE75-64FB-46B5-91DB-D71B7ADD919E}">
      <formula1>"YES, Missing, N/A"</formula1>
    </dataValidation>
    <dataValidation type="list" allowBlank="1" showInputMessage="1" showErrorMessage="1" sqref="AI4:AJ574" xr:uid="{25403C22-157B-49A4-9645-1383AF26A3C9}">
      <formula1>"YES, NO, N/A"</formula1>
    </dataValidation>
    <dataValidation type="list" allowBlank="1" showInputMessage="1" showErrorMessage="1" sqref="AN4:AN574" xr:uid="{48B28642-0A0E-426C-821C-5C4C3249CACC}">
      <formula1>"GA Resident, Non Resident, Non Qualifying"</formula1>
    </dataValidation>
    <dataValidation type="list" allowBlank="1" showInputMessage="1" showErrorMessage="1" sqref="AQ4:AQ574" xr:uid="{274B8F60-03F6-44BC-9F42-68CA3A345AA2}">
      <formula1>"YES, NO-GA, N/A"</formula1>
    </dataValidation>
    <dataValidation type="list" allowBlank="1" showInputMessage="1" showErrorMessage="1" sqref="AS4:AS574" xr:uid="{8B149ED4-C50C-4199-B2F8-C8DF9CEA2003}">
      <formula1>"YES, NO-GA, NO-OOS"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4B2E2551-FCB3-4327-82FB-D6F64B07CE9C}">
          <x14:formula1>
            <xm:f>Legend!$D$2:$D$26</xm:f>
          </x14:formula1>
          <xm:sqref>AO4:AO310</xm:sqref>
        </x14:dataValidation>
        <x14:dataValidation type="list" showInputMessage="1" showErrorMessage="1" promptTitle="FF2" prompt="GS - Georgia Spend NON PAYROLL_x000a_GL - Geogia Labor (GA Residents)_x000a_NQ - Non Qualified_x000a_DL - Distant Labor (NON-GA Residents)" xr:uid="{7850D07A-E272-405D-80A0-AB1D591FA501}">
          <x14:formula1>
            <xm:f>Legend!$K$3:$K$6</xm:f>
          </x14:formula1>
          <xm:sqref>AV4:AV574</xm:sqref>
        </x14:dataValidation>
        <x14:dataValidation type="list" allowBlank="1" showInputMessage="1" showErrorMessage="1" xr:uid="{7249509E-C081-41E5-9F97-DC25BD64EAF7}">
          <x14:formula1>
            <xm:f>Legend!$N$3:$N$8</xm:f>
          </x14:formula1>
          <xm:sqref>AW4:AW574</xm:sqref>
        </x14:dataValidation>
        <x14:dataValidation type="list" allowBlank="1" showInputMessage="1" showErrorMessage="1" xr:uid="{75E04754-55B3-4B9B-9D94-B90C79A2A3B1}">
          <x14:formula1>
            <xm:f>Legend!$H$3:$H$15</xm:f>
          </x14:formula1>
          <xm:sqref>AU4:AU574</xm:sqref>
        </x14:dataValidation>
        <x14:dataValidation type="list" allowBlank="1" showInputMessage="1" showErrorMessage="1" xr:uid="{F5DADC60-EC0F-4F1F-9BD8-6A52F045E08D}">
          <x14:formula1>
            <xm:f>Overview!$C$15:$C$17</xm:f>
          </x14:formula1>
          <xm:sqref>AY4:AY574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7D085-248E-43E3-B492-A2A8CCDC5234}">
  <sheetPr codeName="Sheet11">
    <tabColor rgb="FF00B050"/>
  </sheetPr>
  <dimension ref="A1:K70"/>
  <sheetViews>
    <sheetView zoomScale="90" zoomScaleNormal="90" workbookViewId="0">
      <pane xSplit="4" ySplit="3" topLeftCell="E4" activePane="bottomRight" state="frozen"/>
      <selection activeCell="D21" sqref="D21"/>
      <selection pane="topRight" activeCell="D21" sqref="D21"/>
      <selection pane="bottomLeft" activeCell="D21" sqref="D21"/>
      <selection pane="bottomRight" activeCell="H17" sqref="H17"/>
    </sheetView>
  </sheetViews>
  <sheetFormatPr defaultRowHeight="15" x14ac:dyDescent="0.25"/>
  <cols>
    <col min="1" max="1" width="7" customWidth="1"/>
    <col min="2" max="2" width="26" bestFit="1" customWidth="1"/>
    <col min="3" max="3" width="11.7109375" bestFit="1" customWidth="1"/>
    <col min="4" max="4" width="24.42578125" bestFit="1" customWidth="1"/>
    <col min="5" max="5" width="42" bestFit="1" customWidth="1"/>
    <col min="6" max="7" width="12.28515625" customWidth="1"/>
    <col min="8" max="8" width="14" customWidth="1"/>
    <col min="9" max="9" width="14.5703125" customWidth="1"/>
    <col min="10" max="10" width="23.28515625" customWidth="1"/>
    <col min="11" max="11" width="31.28515625" customWidth="1"/>
  </cols>
  <sheetData>
    <row r="1" spans="1:11" ht="46.5" x14ac:dyDescent="0.7">
      <c r="A1" s="394" t="s">
        <v>455</v>
      </c>
    </row>
    <row r="3" spans="1:11" ht="45" x14ac:dyDescent="0.25">
      <c r="A3" s="15"/>
      <c r="B3" s="17" t="s">
        <v>71</v>
      </c>
      <c r="C3" s="17" t="s">
        <v>72</v>
      </c>
      <c r="D3" s="17" t="s">
        <v>83</v>
      </c>
      <c r="E3" s="17" t="s">
        <v>84</v>
      </c>
      <c r="F3" s="16" t="s">
        <v>164</v>
      </c>
      <c r="G3" s="16" t="s">
        <v>85</v>
      </c>
      <c r="H3" s="17" t="s">
        <v>86</v>
      </c>
      <c r="I3" s="16" t="s">
        <v>165</v>
      </c>
      <c r="J3" s="54" t="s">
        <v>171</v>
      </c>
      <c r="K3" s="17" t="s">
        <v>87</v>
      </c>
    </row>
    <row r="4" spans="1:11" x14ac:dyDescent="0.25">
      <c r="A4" s="15">
        <v>1</v>
      </c>
      <c r="B4" s="15"/>
      <c r="C4" s="15"/>
      <c r="D4" s="15"/>
      <c r="E4" s="15"/>
      <c r="F4" s="15"/>
      <c r="G4" s="15"/>
      <c r="H4" s="18"/>
      <c r="I4" s="17" t="s">
        <v>89</v>
      </c>
      <c r="J4" s="15"/>
      <c r="K4" s="15"/>
    </row>
    <row r="5" spans="1:11" x14ac:dyDescent="0.25">
      <c r="A5" s="15">
        <v>2</v>
      </c>
      <c r="B5" s="15"/>
      <c r="C5" s="15"/>
      <c r="D5" s="15"/>
      <c r="E5" s="15"/>
      <c r="F5" s="15"/>
      <c r="G5" s="15"/>
      <c r="H5" s="18"/>
      <c r="I5" s="17" t="s">
        <v>89</v>
      </c>
      <c r="J5" s="15"/>
      <c r="K5" s="15"/>
    </row>
    <row r="6" spans="1:11" x14ac:dyDescent="0.25">
      <c r="A6" s="15">
        <v>3</v>
      </c>
      <c r="B6" s="15"/>
      <c r="C6" s="15"/>
      <c r="D6" s="15"/>
      <c r="E6" s="15"/>
      <c r="F6" s="15"/>
      <c r="G6" s="15"/>
      <c r="H6" s="18"/>
      <c r="I6" s="17" t="s">
        <v>89</v>
      </c>
      <c r="J6" s="15"/>
      <c r="K6" s="15"/>
    </row>
    <row r="7" spans="1:11" x14ac:dyDescent="0.25">
      <c r="A7" s="15">
        <v>4</v>
      </c>
      <c r="B7" s="15"/>
      <c r="C7" s="15"/>
      <c r="D7" s="15"/>
      <c r="E7" s="15"/>
      <c r="F7" s="15"/>
      <c r="G7" s="15"/>
      <c r="H7" s="18"/>
      <c r="I7" s="17" t="s">
        <v>89</v>
      </c>
      <c r="J7" s="15"/>
      <c r="K7" s="15"/>
    </row>
    <row r="8" spans="1:11" x14ac:dyDescent="0.25">
      <c r="A8" s="15">
        <v>5</v>
      </c>
      <c r="B8" s="15"/>
      <c r="C8" s="15"/>
      <c r="D8" s="15"/>
      <c r="E8" s="15"/>
      <c r="F8" s="15"/>
      <c r="G8" s="15"/>
      <c r="H8" s="18"/>
      <c r="I8" s="17" t="s">
        <v>89</v>
      </c>
      <c r="J8" s="15"/>
      <c r="K8" s="15"/>
    </row>
    <row r="9" spans="1:11" x14ac:dyDescent="0.25">
      <c r="A9" s="15">
        <v>6</v>
      </c>
      <c r="B9" s="15"/>
      <c r="C9" s="15"/>
      <c r="D9" s="15"/>
      <c r="E9" s="15"/>
      <c r="F9" s="15"/>
      <c r="G9" s="15"/>
      <c r="H9" s="18"/>
      <c r="I9" s="17" t="s">
        <v>89</v>
      </c>
      <c r="J9" s="15"/>
      <c r="K9" s="15"/>
    </row>
    <row r="10" spans="1:11" x14ac:dyDescent="0.25">
      <c r="A10" s="15">
        <v>7</v>
      </c>
      <c r="B10" s="15"/>
      <c r="C10" s="15"/>
      <c r="D10" s="15"/>
      <c r="E10" s="15"/>
      <c r="F10" s="15"/>
      <c r="G10" s="15"/>
      <c r="H10" s="18"/>
      <c r="I10" s="17" t="s">
        <v>89</v>
      </c>
      <c r="J10" s="15"/>
      <c r="K10" s="15"/>
    </row>
    <row r="11" spans="1:11" x14ac:dyDescent="0.25">
      <c r="A11" s="15">
        <v>8</v>
      </c>
      <c r="B11" s="15"/>
      <c r="C11" s="15"/>
      <c r="D11" s="15"/>
      <c r="E11" s="15"/>
      <c r="F11" s="15"/>
      <c r="G11" s="15"/>
      <c r="H11" s="18"/>
      <c r="I11" s="17" t="s">
        <v>89</v>
      </c>
      <c r="J11" s="15"/>
      <c r="K11" s="15"/>
    </row>
    <row r="12" spans="1:11" x14ac:dyDescent="0.25">
      <c r="A12" s="15">
        <v>9</v>
      </c>
      <c r="B12" s="15"/>
      <c r="C12" s="15"/>
      <c r="D12" s="15"/>
      <c r="E12" s="15"/>
      <c r="F12" s="15"/>
      <c r="G12" s="15"/>
      <c r="H12" s="18"/>
      <c r="I12" s="17" t="s">
        <v>89</v>
      </c>
      <c r="J12" s="15"/>
      <c r="K12" s="15"/>
    </row>
    <row r="13" spans="1:11" x14ac:dyDescent="0.25">
      <c r="A13" s="15">
        <v>10</v>
      </c>
      <c r="B13" s="15"/>
      <c r="C13" s="15"/>
      <c r="D13" s="15"/>
      <c r="E13" s="15"/>
      <c r="F13" s="15"/>
      <c r="G13" s="15"/>
      <c r="H13" s="18"/>
      <c r="I13" s="17" t="s">
        <v>89</v>
      </c>
      <c r="J13" s="15"/>
      <c r="K13" s="15"/>
    </row>
    <row r="14" spans="1:11" x14ac:dyDescent="0.25">
      <c r="A14" s="15">
        <v>11</v>
      </c>
      <c r="B14" s="15"/>
      <c r="C14" s="15"/>
      <c r="D14" s="15"/>
      <c r="E14" s="15"/>
      <c r="F14" s="15"/>
      <c r="G14" s="15"/>
      <c r="H14" s="18"/>
      <c r="I14" s="17" t="s">
        <v>89</v>
      </c>
      <c r="J14" s="15"/>
      <c r="K14" s="15"/>
    </row>
    <row r="15" spans="1:11" x14ac:dyDescent="0.25">
      <c r="A15" s="15">
        <v>12</v>
      </c>
      <c r="B15" s="15"/>
      <c r="C15" s="15"/>
      <c r="D15" s="15"/>
      <c r="E15" s="15"/>
      <c r="F15" s="15"/>
      <c r="G15" s="15"/>
      <c r="H15" s="18"/>
      <c r="I15" s="17" t="s">
        <v>89</v>
      </c>
      <c r="J15" s="15"/>
      <c r="K15" s="15"/>
    </row>
    <row r="16" spans="1:11" x14ac:dyDescent="0.25">
      <c r="A16" s="15">
        <v>13</v>
      </c>
      <c r="B16" s="15"/>
      <c r="C16" s="15"/>
      <c r="D16" s="15"/>
      <c r="E16" s="15"/>
      <c r="F16" s="15"/>
      <c r="G16" s="15"/>
      <c r="H16" s="18"/>
      <c r="I16" s="17" t="s">
        <v>89</v>
      </c>
      <c r="J16" s="15"/>
      <c r="K16" s="15"/>
    </row>
    <row r="17" spans="1:11" x14ac:dyDescent="0.25">
      <c r="A17" s="15">
        <v>14</v>
      </c>
      <c r="B17" s="15"/>
      <c r="C17" s="15"/>
      <c r="D17" s="15"/>
      <c r="E17" s="15"/>
      <c r="F17" s="15"/>
      <c r="G17" s="15"/>
      <c r="H17" s="18"/>
      <c r="I17" s="17" t="s">
        <v>89</v>
      </c>
      <c r="J17" s="15"/>
      <c r="K17" s="15"/>
    </row>
    <row r="18" spans="1:11" x14ac:dyDescent="0.25">
      <c r="A18" s="15">
        <v>15</v>
      </c>
      <c r="B18" s="15"/>
      <c r="C18" s="15"/>
      <c r="D18" s="15"/>
      <c r="E18" s="15"/>
      <c r="F18" s="15"/>
      <c r="G18" s="15"/>
      <c r="H18" s="18"/>
      <c r="I18" s="17" t="s">
        <v>89</v>
      </c>
      <c r="J18" s="15"/>
      <c r="K18" s="15"/>
    </row>
    <row r="19" spans="1:11" x14ac:dyDescent="0.25">
      <c r="A19" s="15">
        <v>16</v>
      </c>
      <c r="B19" s="15"/>
      <c r="C19" s="15"/>
      <c r="D19" s="15"/>
      <c r="E19" s="15"/>
      <c r="F19" s="15"/>
      <c r="G19" s="15"/>
      <c r="H19" s="18"/>
      <c r="I19" s="17" t="s">
        <v>89</v>
      </c>
      <c r="J19" s="15"/>
      <c r="K19" s="15"/>
    </row>
    <row r="20" spans="1:11" x14ac:dyDescent="0.25">
      <c r="A20" s="15">
        <v>17</v>
      </c>
      <c r="B20" s="15"/>
      <c r="C20" s="15"/>
      <c r="D20" s="15"/>
      <c r="E20" s="15"/>
      <c r="F20" s="15"/>
      <c r="G20" s="15"/>
      <c r="H20" s="18"/>
      <c r="I20" s="17" t="s">
        <v>89</v>
      </c>
      <c r="J20" s="15"/>
      <c r="K20" s="15"/>
    </row>
    <row r="21" spans="1:11" x14ac:dyDescent="0.25">
      <c r="A21" s="15">
        <v>18</v>
      </c>
      <c r="B21" s="15"/>
      <c r="C21" s="15"/>
      <c r="D21" s="15"/>
      <c r="E21" s="15"/>
      <c r="F21" s="15"/>
      <c r="G21" s="15"/>
      <c r="H21" s="18"/>
      <c r="I21" s="17" t="s">
        <v>89</v>
      </c>
      <c r="J21" s="15"/>
      <c r="K21" s="15"/>
    </row>
    <row r="22" spans="1:11" x14ac:dyDescent="0.25">
      <c r="A22" s="15">
        <v>19</v>
      </c>
      <c r="B22" s="15"/>
      <c r="C22" s="15"/>
      <c r="D22" s="15"/>
      <c r="E22" s="15"/>
      <c r="F22" s="15"/>
      <c r="G22" s="15"/>
      <c r="H22" s="18"/>
      <c r="I22" s="17" t="s">
        <v>89</v>
      </c>
      <c r="J22" s="15"/>
      <c r="K22" s="15"/>
    </row>
    <row r="23" spans="1:11" x14ac:dyDescent="0.25">
      <c r="A23" s="15">
        <v>20</v>
      </c>
      <c r="B23" s="15"/>
      <c r="C23" s="15"/>
      <c r="D23" s="15"/>
      <c r="E23" s="15"/>
      <c r="F23" s="15"/>
      <c r="G23" s="15"/>
      <c r="H23" s="18"/>
      <c r="I23" s="17" t="s">
        <v>89</v>
      </c>
      <c r="J23" s="15"/>
      <c r="K23" s="15"/>
    </row>
    <row r="24" spans="1:11" x14ac:dyDescent="0.25">
      <c r="A24" s="15">
        <v>21</v>
      </c>
      <c r="B24" s="15"/>
      <c r="C24" s="15"/>
      <c r="D24" s="15"/>
      <c r="E24" s="15"/>
      <c r="F24" s="15"/>
      <c r="G24" s="15"/>
      <c r="H24" s="18"/>
      <c r="I24" s="17" t="s">
        <v>89</v>
      </c>
      <c r="J24" s="15"/>
      <c r="K24" s="15"/>
    </row>
    <row r="25" spans="1:11" x14ac:dyDescent="0.25">
      <c r="A25" s="15">
        <v>22</v>
      </c>
      <c r="B25" s="15"/>
      <c r="C25" s="15"/>
      <c r="D25" s="15"/>
      <c r="E25" s="15"/>
      <c r="F25" s="15"/>
      <c r="G25" s="15"/>
      <c r="H25" s="18"/>
      <c r="I25" s="17" t="s">
        <v>89</v>
      </c>
      <c r="J25" s="15"/>
      <c r="K25" s="15"/>
    </row>
    <row r="26" spans="1:11" x14ac:dyDescent="0.25">
      <c r="A26" s="15">
        <v>23</v>
      </c>
      <c r="B26" s="15"/>
      <c r="C26" s="15"/>
      <c r="D26" s="15"/>
      <c r="E26" s="15"/>
      <c r="F26" s="15"/>
      <c r="G26" s="15"/>
      <c r="H26" s="18"/>
      <c r="I26" s="17" t="s">
        <v>89</v>
      </c>
      <c r="J26" s="15"/>
      <c r="K26" s="15"/>
    </row>
    <row r="27" spans="1:11" x14ac:dyDescent="0.25">
      <c r="A27" s="15">
        <v>24</v>
      </c>
      <c r="B27" s="15"/>
      <c r="C27" s="15"/>
      <c r="D27" s="15"/>
      <c r="E27" s="15"/>
      <c r="F27" s="15"/>
      <c r="G27" s="15"/>
      <c r="H27" s="18"/>
      <c r="I27" s="17" t="s">
        <v>89</v>
      </c>
      <c r="J27" s="15"/>
      <c r="K27" s="15"/>
    </row>
    <row r="28" spans="1:11" x14ac:dyDescent="0.25">
      <c r="A28" s="15">
        <v>25</v>
      </c>
      <c r="B28" s="15"/>
      <c r="C28" s="15"/>
      <c r="D28" s="15"/>
      <c r="E28" s="15"/>
      <c r="F28" s="15"/>
      <c r="G28" s="15"/>
      <c r="H28" s="18"/>
      <c r="I28" s="17" t="s">
        <v>89</v>
      </c>
      <c r="J28" s="15"/>
      <c r="K28" s="15"/>
    </row>
    <row r="29" spans="1:11" x14ac:dyDescent="0.25">
      <c r="A29" s="15">
        <v>26</v>
      </c>
      <c r="B29" s="15"/>
      <c r="C29" s="15"/>
      <c r="D29" s="15"/>
      <c r="E29" s="15"/>
      <c r="F29" s="15"/>
      <c r="G29" s="15"/>
      <c r="H29" s="18"/>
      <c r="I29" s="17" t="s">
        <v>89</v>
      </c>
      <c r="J29" s="15"/>
      <c r="K29" s="15"/>
    </row>
    <row r="30" spans="1:11" x14ac:dyDescent="0.25">
      <c r="A30" s="15">
        <v>27</v>
      </c>
      <c r="B30" s="15"/>
      <c r="C30" s="15"/>
      <c r="D30" s="15"/>
      <c r="E30" s="15"/>
      <c r="F30" s="15"/>
      <c r="G30" s="15"/>
      <c r="H30" s="18"/>
      <c r="I30" s="17" t="s">
        <v>89</v>
      </c>
      <c r="J30" s="15"/>
      <c r="K30" s="15"/>
    </row>
    <row r="31" spans="1:11" x14ac:dyDescent="0.25">
      <c r="A31" s="15">
        <v>28</v>
      </c>
      <c r="B31" s="15"/>
      <c r="C31" s="15"/>
      <c r="D31" s="15"/>
      <c r="E31" s="15"/>
      <c r="F31" s="15"/>
      <c r="G31" s="15"/>
      <c r="H31" s="18"/>
      <c r="I31" s="17" t="s">
        <v>89</v>
      </c>
      <c r="J31" s="15"/>
      <c r="K31" s="15"/>
    </row>
    <row r="32" spans="1:11" x14ac:dyDescent="0.25">
      <c r="A32" s="15">
        <v>29</v>
      </c>
      <c r="B32" s="15"/>
      <c r="C32" s="15"/>
      <c r="D32" s="15"/>
      <c r="E32" s="15"/>
      <c r="F32" s="15"/>
      <c r="G32" s="15"/>
      <c r="H32" s="18"/>
      <c r="I32" s="17" t="s">
        <v>89</v>
      </c>
      <c r="J32" s="15"/>
      <c r="K32" s="15"/>
    </row>
    <row r="33" spans="1:11" x14ac:dyDescent="0.25">
      <c r="A33" s="15">
        <v>30</v>
      </c>
      <c r="B33" s="15"/>
      <c r="C33" s="15"/>
      <c r="D33" s="15"/>
      <c r="E33" s="15"/>
      <c r="F33" s="15"/>
      <c r="G33" s="15"/>
      <c r="H33" s="18"/>
      <c r="I33" s="17" t="s">
        <v>89</v>
      </c>
      <c r="J33" s="15"/>
      <c r="K33" s="15"/>
    </row>
    <row r="34" spans="1:11" x14ac:dyDescent="0.25">
      <c r="A34" s="15">
        <v>31</v>
      </c>
      <c r="B34" s="15"/>
      <c r="C34" s="15"/>
      <c r="D34" s="15"/>
      <c r="E34" s="15"/>
      <c r="F34" s="15"/>
      <c r="G34" s="15"/>
      <c r="H34" s="18"/>
      <c r="I34" s="17" t="s">
        <v>89</v>
      </c>
      <c r="J34" s="15"/>
      <c r="K34" s="15"/>
    </row>
    <row r="35" spans="1:11" x14ac:dyDescent="0.25">
      <c r="A35" s="15">
        <v>32</v>
      </c>
      <c r="B35" s="15"/>
      <c r="C35" s="15"/>
      <c r="D35" s="15"/>
      <c r="E35" s="15"/>
      <c r="F35" s="15"/>
      <c r="G35" s="15"/>
      <c r="H35" s="18"/>
      <c r="I35" s="17" t="s">
        <v>89</v>
      </c>
      <c r="J35" s="15"/>
      <c r="K35" s="15"/>
    </row>
    <row r="36" spans="1:11" x14ac:dyDescent="0.25">
      <c r="A36" s="15">
        <v>33</v>
      </c>
      <c r="B36" s="15"/>
      <c r="C36" s="15"/>
      <c r="D36" s="15"/>
      <c r="E36" s="15"/>
      <c r="F36" s="15"/>
      <c r="G36" s="15"/>
      <c r="H36" s="18"/>
      <c r="I36" s="17" t="s">
        <v>89</v>
      </c>
      <c r="J36" s="15"/>
      <c r="K36" s="15"/>
    </row>
    <row r="37" spans="1:11" x14ac:dyDescent="0.25">
      <c r="A37" s="15">
        <v>34</v>
      </c>
      <c r="B37" s="15"/>
      <c r="C37" s="15"/>
      <c r="D37" s="15"/>
      <c r="E37" s="15"/>
      <c r="F37" s="15"/>
      <c r="G37" s="15"/>
      <c r="H37" s="18"/>
      <c r="I37" s="17" t="s">
        <v>89</v>
      </c>
      <c r="J37" s="15"/>
      <c r="K37" s="15"/>
    </row>
    <row r="38" spans="1:11" x14ac:dyDescent="0.25">
      <c r="A38" s="15">
        <v>35</v>
      </c>
      <c r="B38" s="15"/>
      <c r="C38" s="15"/>
      <c r="D38" s="15"/>
      <c r="E38" s="15"/>
      <c r="F38" s="15"/>
      <c r="G38" s="15"/>
      <c r="H38" s="18"/>
      <c r="I38" s="17" t="s">
        <v>89</v>
      </c>
      <c r="J38" s="15"/>
      <c r="K38" s="15"/>
    </row>
    <row r="39" spans="1:11" x14ac:dyDescent="0.25">
      <c r="A39" s="15">
        <v>36</v>
      </c>
      <c r="B39" s="15"/>
      <c r="C39" s="15"/>
      <c r="D39" s="15"/>
      <c r="E39" s="15"/>
      <c r="F39" s="15"/>
      <c r="G39" s="15"/>
      <c r="H39" s="18"/>
      <c r="I39" s="17" t="s">
        <v>89</v>
      </c>
      <c r="J39" s="15"/>
      <c r="K39" s="15"/>
    </row>
    <row r="40" spans="1:11" x14ac:dyDescent="0.25">
      <c r="A40" s="15">
        <v>37</v>
      </c>
      <c r="B40" s="15"/>
      <c r="C40" s="15"/>
      <c r="D40" s="15"/>
      <c r="E40" s="15"/>
      <c r="F40" s="15"/>
      <c r="G40" s="15"/>
      <c r="H40" s="18"/>
      <c r="I40" s="17" t="s">
        <v>89</v>
      </c>
      <c r="J40" s="15"/>
      <c r="K40" s="15"/>
    </row>
    <row r="41" spans="1:11" x14ac:dyDescent="0.25">
      <c r="A41" s="15">
        <v>38</v>
      </c>
      <c r="B41" s="15"/>
      <c r="C41" s="15"/>
      <c r="D41" s="15"/>
      <c r="E41" s="15"/>
      <c r="F41" s="15"/>
      <c r="G41" s="15"/>
      <c r="H41" s="18"/>
      <c r="I41" s="17" t="s">
        <v>89</v>
      </c>
      <c r="J41" s="15"/>
      <c r="K41" s="15"/>
    </row>
    <row r="42" spans="1:11" x14ac:dyDescent="0.25">
      <c r="A42" s="15">
        <v>39</v>
      </c>
      <c r="B42" s="15"/>
      <c r="C42" s="15"/>
      <c r="D42" s="15"/>
      <c r="E42" s="15"/>
      <c r="F42" s="15"/>
      <c r="G42" s="15"/>
      <c r="H42" s="18"/>
      <c r="I42" s="17" t="s">
        <v>89</v>
      </c>
      <c r="J42" s="15"/>
      <c r="K42" s="15"/>
    </row>
    <row r="43" spans="1:11" x14ac:dyDescent="0.25">
      <c r="A43" s="15">
        <v>40</v>
      </c>
      <c r="B43" s="15"/>
      <c r="C43" s="15"/>
      <c r="D43" s="15"/>
      <c r="E43" s="15"/>
      <c r="F43" s="15"/>
      <c r="G43" s="15"/>
      <c r="H43" s="18"/>
      <c r="I43" s="17" t="s">
        <v>89</v>
      </c>
      <c r="J43" s="15"/>
      <c r="K43" s="15"/>
    </row>
    <row r="44" spans="1:11" x14ac:dyDescent="0.25">
      <c r="A44" s="15">
        <v>41</v>
      </c>
      <c r="B44" s="15"/>
      <c r="C44" s="15"/>
      <c r="D44" s="15"/>
      <c r="E44" s="15"/>
      <c r="F44" s="15"/>
      <c r="G44" s="15"/>
      <c r="H44" s="18"/>
      <c r="I44" s="17" t="s">
        <v>89</v>
      </c>
      <c r="J44" s="15"/>
      <c r="K44" s="15"/>
    </row>
    <row r="45" spans="1:11" x14ac:dyDescent="0.25">
      <c r="A45" s="15">
        <v>42</v>
      </c>
      <c r="B45" s="15"/>
      <c r="C45" s="15"/>
      <c r="D45" s="15"/>
      <c r="E45" s="15"/>
      <c r="F45" s="15"/>
      <c r="G45" s="15"/>
      <c r="H45" s="18"/>
      <c r="I45" s="17" t="s">
        <v>89</v>
      </c>
      <c r="J45" s="15"/>
      <c r="K45" s="15"/>
    </row>
    <row r="46" spans="1:11" x14ac:dyDescent="0.25">
      <c r="A46" s="15">
        <v>43</v>
      </c>
      <c r="B46" s="15"/>
      <c r="C46" s="15"/>
      <c r="D46" s="15"/>
      <c r="E46" s="15"/>
      <c r="F46" s="15"/>
      <c r="G46" s="15"/>
      <c r="H46" s="18"/>
      <c r="I46" s="17" t="s">
        <v>89</v>
      </c>
      <c r="J46" s="15"/>
      <c r="K46" s="15"/>
    </row>
    <row r="47" spans="1:11" x14ac:dyDescent="0.25">
      <c r="A47" s="15">
        <v>44</v>
      </c>
      <c r="B47" s="15"/>
      <c r="C47" s="15"/>
      <c r="D47" s="15"/>
      <c r="E47" s="15"/>
      <c r="F47" s="15"/>
      <c r="G47" s="15"/>
      <c r="H47" s="18"/>
      <c r="I47" s="17" t="s">
        <v>89</v>
      </c>
      <c r="J47" s="15"/>
      <c r="K47" s="15"/>
    </row>
    <row r="48" spans="1:11" x14ac:dyDescent="0.25">
      <c r="A48" s="15">
        <v>45</v>
      </c>
      <c r="B48" s="15"/>
      <c r="C48" s="15"/>
      <c r="D48" s="15"/>
      <c r="E48" s="15"/>
      <c r="F48" s="15"/>
      <c r="G48" s="15"/>
      <c r="H48" s="18"/>
      <c r="I48" s="17" t="s">
        <v>89</v>
      </c>
      <c r="J48" s="15"/>
      <c r="K48" s="15"/>
    </row>
    <row r="49" spans="1:11" x14ac:dyDescent="0.25">
      <c r="A49" s="15">
        <v>46</v>
      </c>
      <c r="B49" s="15"/>
      <c r="C49" s="15"/>
      <c r="D49" s="15"/>
      <c r="E49" s="15"/>
      <c r="F49" s="15"/>
      <c r="G49" s="15"/>
      <c r="H49" s="18"/>
      <c r="I49" s="17" t="s">
        <v>89</v>
      </c>
      <c r="J49" s="15"/>
      <c r="K49" s="15"/>
    </row>
    <row r="50" spans="1:11" x14ac:dyDescent="0.25">
      <c r="A50" s="15">
        <v>47</v>
      </c>
      <c r="B50" s="15"/>
      <c r="C50" s="15"/>
      <c r="D50" s="15"/>
      <c r="E50" s="15"/>
      <c r="F50" s="15"/>
      <c r="G50" s="15"/>
      <c r="H50" s="18"/>
      <c r="I50" s="17" t="s">
        <v>89</v>
      </c>
      <c r="J50" s="15"/>
      <c r="K50" s="15"/>
    </row>
    <row r="51" spans="1:11" x14ac:dyDescent="0.25">
      <c r="A51" s="15">
        <v>48</v>
      </c>
      <c r="B51" s="15"/>
      <c r="C51" s="15"/>
      <c r="D51" s="15"/>
      <c r="E51" s="15"/>
      <c r="F51" s="15"/>
      <c r="G51" s="15"/>
      <c r="H51" s="18"/>
      <c r="I51" s="17" t="s">
        <v>89</v>
      </c>
      <c r="J51" s="15"/>
      <c r="K51" s="15"/>
    </row>
    <row r="52" spans="1:11" x14ac:dyDescent="0.25">
      <c r="A52" s="15">
        <v>49</v>
      </c>
      <c r="B52" s="15"/>
      <c r="C52" s="15"/>
      <c r="D52" s="15"/>
      <c r="E52" s="15"/>
      <c r="F52" s="15"/>
      <c r="G52" s="15"/>
      <c r="H52" s="18"/>
      <c r="I52" s="17" t="s">
        <v>89</v>
      </c>
      <c r="J52" s="15"/>
      <c r="K52" s="15"/>
    </row>
    <row r="53" spans="1:11" x14ac:dyDescent="0.25">
      <c r="A53" s="15">
        <v>50</v>
      </c>
      <c r="B53" s="15"/>
      <c r="C53" s="15"/>
      <c r="D53" s="15"/>
      <c r="E53" s="15"/>
      <c r="F53" s="15"/>
      <c r="G53" s="15"/>
      <c r="H53" s="18"/>
      <c r="I53" s="17" t="s">
        <v>89</v>
      </c>
      <c r="J53" s="15"/>
      <c r="K53" s="15"/>
    </row>
    <row r="54" spans="1:11" x14ac:dyDescent="0.25">
      <c r="A54" s="15">
        <v>51</v>
      </c>
      <c r="B54" s="15"/>
      <c r="C54" s="15"/>
      <c r="D54" s="15"/>
      <c r="E54" s="15"/>
      <c r="F54" s="15"/>
      <c r="G54" s="15"/>
      <c r="H54" s="18"/>
      <c r="I54" s="17" t="s">
        <v>89</v>
      </c>
      <c r="J54" s="15"/>
      <c r="K54" s="15"/>
    </row>
    <row r="55" spans="1:11" x14ac:dyDescent="0.25">
      <c r="A55" s="15">
        <v>52</v>
      </c>
      <c r="B55" s="15"/>
      <c r="C55" s="15"/>
      <c r="D55" s="15"/>
      <c r="E55" s="15"/>
      <c r="F55" s="15"/>
      <c r="G55" s="15"/>
      <c r="H55" s="18"/>
      <c r="I55" s="17" t="s">
        <v>89</v>
      </c>
      <c r="J55" s="15"/>
      <c r="K55" s="15"/>
    </row>
    <row r="56" spans="1:11" x14ac:dyDescent="0.25">
      <c r="A56" s="15">
        <v>53</v>
      </c>
      <c r="B56" s="15"/>
      <c r="C56" s="15"/>
      <c r="D56" s="15"/>
      <c r="E56" s="15"/>
      <c r="F56" s="15"/>
      <c r="G56" s="15"/>
      <c r="H56" s="18"/>
      <c r="I56" s="17" t="s">
        <v>89</v>
      </c>
      <c r="J56" s="15"/>
      <c r="K56" s="15"/>
    </row>
    <row r="57" spans="1:11" x14ac:dyDescent="0.25">
      <c r="A57" s="15">
        <v>54</v>
      </c>
      <c r="B57" s="15"/>
      <c r="C57" s="15"/>
      <c r="D57" s="15"/>
      <c r="E57" s="15"/>
      <c r="F57" s="15"/>
      <c r="G57" s="15"/>
      <c r="H57" s="18"/>
      <c r="I57" s="17" t="s">
        <v>89</v>
      </c>
      <c r="J57" s="15"/>
      <c r="K57" s="15"/>
    </row>
    <row r="58" spans="1:11" x14ac:dyDescent="0.25">
      <c r="A58" s="15">
        <v>55</v>
      </c>
      <c r="B58" s="15"/>
      <c r="C58" s="15"/>
      <c r="D58" s="15"/>
      <c r="E58" s="15"/>
      <c r="F58" s="15"/>
      <c r="G58" s="15"/>
      <c r="H58" s="18"/>
      <c r="I58" s="17" t="s">
        <v>89</v>
      </c>
      <c r="J58" s="15"/>
      <c r="K58" s="15"/>
    </row>
    <row r="59" spans="1:11" x14ac:dyDescent="0.25">
      <c r="A59" s="15">
        <v>56</v>
      </c>
      <c r="B59" s="15"/>
      <c r="C59" s="15"/>
      <c r="D59" s="15"/>
      <c r="E59" s="15"/>
      <c r="F59" s="15"/>
      <c r="G59" s="15"/>
      <c r="H59" s="18"/>
      <c r="I59" s="17" t="s">
        <v>89</v>
      </c>
      <c r="J59" s="15"/>
      <c r="K59" s="15"/>
    </row>
    <row r="60" spans="1:11" x14ac:dyDescent="0.25">
      <c r="A60" s="15">
        <v>57</v>
      </c>
      <c r="B60" s="15"/>
      <c r="C60" s="15"/>
      <c r="D60" s="15"/>
      <c r="E60" s="15"/>
      <c r="F60" s="15"/>
      <c r="G60" s="15"/>
      <c r="H60" s="18"/>
      <c r="I60" s="17" t="s">
        <v>89</v>
      </c>
      <c r="J60" s="15"/>
      <c r="K60" s="15"/>
    </row>
    <row r="61" spans="1:11" x14ac:dyDescent="0.25">
      <c r="A61" s="15">
        <v>58</v>
      </c>
      <c r="B61" s="15"/>
      <c r="C61" s="15"/>
      <c r="D61" s="15"/>
      <c r="E61" s="15"/>
      <c r="F61" s="15"/>
      <c r="G61" s="15"/>
      <c r="H61" s="18"/>
      <c r="I61" s="17" t="s">
        <v>89</v>
      </c>
      <c r="J61" s="15"/>
      <c r="K61" s="15"/>
    </row>
    <row r="62" spans="1:11" x14ac:dyDescent="0.25">
      <c r="A62" s="15">
        <v>59</v>
      </c>
      <c r="B62" s="15"/>
      <c r="C62" s="15"/>
      <c r="D62" s="15"/>
      <c r="E62" s="15"/>
      <c r="F62" s="15"/>
      <c r="G62" s="15"/>
      <c r="H62" s="18"/>
      <c r="I62" s="17" t="s">
        <v>89</v>
      </c>
      <c r="J62" s="15"/>
      <c r="K62" s="15"/>
    </row>
    <row r="63" spans="1:11" x14ac:dyDescent="0.25">
      <c r="A63" s="15">
        <v>60</v>
      </c>
      <c r="B63" s="15"/>
      <c r="C63" s="15"/>
      <c r="D63" s="15"/>
      <c r="E63" s="15"/>
      <c r="F63" s="15"/>
      <c r="G63" s="15"/>
      <c r="H63" s="18"/>
      <c r="I63" s="17" t="s">
        <v>89</v>
      </c>
      <c r="J63" s="15"/>
      <c r="K63" s="15"/>
    </row>
    <row r="64" spans="1:11" x14ac:dyDescent="0.25">
      <c r="A64" s="15">
        <v>61</v>
      </c>
      <c r="B64" s="15"/>
      <c r="C64" s="15"/>
      <c r="D64" s="15"/>
      <c r="E64" s="15"/>
      <c r="F64" s="15"/>
      <c r="G64" s="15"/>
      <c r="H64" s="18"/>
      <c r="I64" s="17" t="s">
        <v>89</v>
      </c>
      <c r="J64" s="15"/>
      <c r="K64" s="15"/>
    </row>
    <row r="65" spans="1:11" x14ac:dyDescent="0.25">
      <c r="A65" s="15">
        <v>62</v>
      </c>
      <c r="B65" s="15"/>
      <c r="C65" s="15"/>
      <c r="D65" s="15"/>
      <c r="E65" s="15"/>
      <c r="F65" s="15"/>
      <c r="G65" s="15"/>
      <c r="H65" s="18"/>
      <c r="I65" s="17" t="s">
        <v>89</v>
      </c>
      <c r="J65" s="15"/>
      <c r="K65" s="15"/>
    </row>
    <row r="66" spans="1:11" x14ac:dyDescent="0.25">
      <c r="A66" s="15">
        <v>63</v>
      </c>
      <c r="B66" s="15"/>
      <c r="C66" s="15"/>
      <c r="D66" s="15"/>
      <c r="E66" s="15"/>
      <c r="F66" s="15"/>
      <c r="G66" s="15"/>
      <c r="H66" s="18"/>
      <c r="I66" s="17" t="s">
        <v>89</v>
      </c>
      <c r="J66" s="15"/>
      <c r="K66" s="15"/>
    </row>
    <row r="67" spans="1:11" x14ac:dyDescent="0.25">
      <c r="A67" s="15">
        <v>64</v>
      </c>
      <c r="B67" s="15"/>
      <c r="C67" s="15"/>
      <c r="D67" s="15"/>
      <c r="E67" s="15"/>
      <c r="F67" s="15"/>
      <c r="G67" s="15"/>
      <c r="H67" s="18"/>
      <c r="I67" s="17" t="s">
        <v>89</v>
      </c>
      <c r="J67" s="15"/>
      <c r="K67" s="15"/>
    </row>
    <row r="68" spans="1:11" x14ac:dyDescent="0.25">
      <c r="A68" s="15">
        <v>65</v>
      </c>
      <c r="B68" s="15"/>
      <c r="C68" s="15"/>
      <c r="D68" s="15"/>
      <c r="E68" s="15"/>
      <c r="F68" s="15"/>
      <c r="G68" s="15"/>
      <c r="H68" s="18"/>
      <c r="I68" s="17" t="s">
        <v>89</v>
      </c>
      <c r="J68" s="15"/>
      <c r="K68" s="15"/>
    </row>
    <row r="69" spans="1:11" x14ac:dyDescent="0.25">
      <c r="A69" s="15">
        <v>66</v>
      </c>
      <c r="B69" s="15"/>
      <c r="C69" s="15"/>
      <c r="D69" s="15"/>
      <c r="E69" s="15"/>
      <c r="F69" s="15"/>
      <c r="G69" s="15"/>
      <c r="H69" s="18"/>
      <c r="I69" s="17" t="s">
        <v>89</v>
      </c>
      <c r="J69" s="15"/>
      <c r="K69" s="15"/>
    </row>
    <row r="70" spans="1:11" x14ac:dyDescent="0.25">
      <c r="A70" s="15">
        <v>67</v>
      </c>
      <c r="B70" s="15"/>
      <c r="C70" s="15"/>
      <c r="D70" s="15"/>
      <c r="E70" s="15"/>
      <c r="F70" s="15"/>
      <c r="G70" s="15"/>
      <c r="H70" s="18"/>
      <c r="I70" s="17" t="s">
        <v>89</v>
      </c>
      <c r="J70" s="15"/>
      <c r="K70" s="15"/>
    </row>
  </sheetData>
  <conditionalFormatting sqref="B4:B70">
    <cfRule type="duplicateValues" dxfId="85" priority="5"/>
  </conditionalFormatting>
  <conditionalFormatting sqref="D45">
    <cfRule type="duplicateValues" dxfId="84" priority="4"/>
  </conditionalFormatting>
  <conditionalFormatting sqref="D49">
    <cfRule type="duplicateValues" dxfId="83" priority="3"/>
  </conditionalFormatting>
  <conditionalFormatting sqref="J45">
    <cfRule type="duplicateValues" dxfId="82" priority="2"/>
  </conditionalFormatting>
  <conditionalFormatting sqref="J49">
    <cfRule type="duplicateValues" dxfId="81" priority="1"/>
  </conditionalFormatting>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5285F-76B8-470C-8D24-1E0893222ADC}">
  <sheetPr>
    <tabColor rgb="FFFFCCFF"/>
  </sheetPr>
  <dimension ref="A1:AC74"/>
  <sheetViews>
    <sheetView topLeftCell="W1" zoomScale="90" zoomScaleNormal="90" workbookViewId="0">
      <pane ySplit="3" topLeftCell="A4" activePane="bottomLeft" state="frozen"/>
      <selection pane="bottomLeft" activeCell="E16" sqref="E16"/>
    </sheetView>
  </sheetViews>
  <sheetFormatPr defaultRowHeight="15" x14ac:dyDescent="0.25"/>
  <cols>
    <col min="1" max="1" width="16.28515625" customWidth="1"/>
    <col min="2" max="2" width="21.42578125" bestFit="1" customWidth="1"/>
    <col min="3" max="5" width="16.28515625" customWidth="1"/>
    <col min="6" max="6" width="15.7109375" customWidth="1"/>
    <col min="7" max="7" width="14.85546875" bestFit="1" customWidth="1"/>
    <col min="8" max="8" width="15" customWidth="1"/>
    <col min="9" max="9" width="17.85546875" bestFit="1" customWidth="1"/>
    <col min="10" max="10" width="14.28515625" customWidth="1"/>
    <col min="11" max="11" width="17.7109375" bestFit="1" customWidth="1"/>
    <col min="12" max="12" width="17.42578125" bestFit="1" customWidth="1"/>
    <col min="13" max="13" width="22.85546875" bestFit="1" customWidth="1"/>
    <col min="14" max="14" width="14.5703125" bestFit="1" customWidth="1"/>
    <col min="15" max="15" width="21.7109375" bestFit="1" customWidth="1"/>
    <col min="16" max="16" width="21.85546875" bestFit="1" customWidth="1"/>
    <col min="17" max="17" width="21.7109375" style="12" customWidth="1"/>
    <col min="18" max="19" width="13.85546875" style="12" customWidth="1"/>
    <col min="20" max="21" width="13.85546875" bestFit="1" customWidth="1"/>
    <col min="22" max="22" width="24.5703125" bestFit="1" customWidth="1"/>
    <col min="23" max="23" width="13.85546875" bestFit="1" customWidth="1"/>
    <col min="24" max="24" width="14.5703125" bestFit="1" customWidth="1"/>
    <col min="25" max="25" width="16.7109375" bestFit="1" customWidth="1"/>
    <col min="26" max="26" width="13.7109375" bestFit="1" customWidth="1"/>
    <col min="27" max="27" width="32.140625" customWidth="1"/>
    <col min="28" max="28" width="13.7109375" bestFit="1" customWidth="1"/>
    <col min="29" max="29" width="34.5703125" bestFit="1" customWidth="1"/>
  </cols>
  <sheetData>
    <row r="1" spans="1:29" ht="61.5" x14ac:dyDescent="0.9">
      <c r="A1" s="406" t="s">
        <v>456</v>
      </c>
    </row>
    <row r="2" spans="1:29" ht="15.75" thickBot="1" x14ac:dyDescent="0.3">
      <c r="G2" s="3"/>
      <c r="H2" s="405"/>
      <c r="O2" s="313" t="s">
        <v>354</v>
      </c>
      <c r="P2" s="313"/>
      <c r="Q2"/>
      <c r="R2"/>
      <c r="S2"/>
    </row>
    <row r="3" spans="1:29" s="56" customFormat="1" ht="30.75" thickBot="1" x14ac:dyDescent="0.3">
      <c r="A3" s="362" t="s">
        <v>355</v>
      </c>
      <c r="B3" s="363" t="s">
        <v>54</v>
      </c>
      <c r="C3" s="363" t="s">
        <v>56</v>
      </c>
      <c r="D3" s="363" t="s">
        <v>57</v>
      </c>
      <c r="E3" s="363" t="s">
        <v>394</v>
      </c>
      <c r="F3" s="364" t="s">
        <v>391</v>
      </c>
      <c r="G3" s="365" t="s">
        <v>26</v>
      </c>
      <c r="H3" s="361" t="s">
        <v>27</v>
      </c>
      <c r="I3" s="365" t="s">
        <v>356</v>
      </c>
      <c r="J3" s="365" t="s">
        <v>357</v>
      </c>
      <c r="K3" s="365" t="s">
        <v>358</v>
      </c>
      <c r="L3" s="365" t="s">
        <v>359</v>
      </c>
      <c r="M3" s="365" t="s">
        <v>360</v>
      </c>
      <c r="N3" s="365" t="s">
        <v>361</v>
      </c>
      <c r="O3" s="365" t="s">
        <v>362</v>
      </c>
      <c r="P3" s="365" t="s">
        <v>363</v>
      </c>
      <c r="Q3" s="366" t="s">
        <v>364</v>
      </c>
      <c r="R3" s="332" t="s">
        <v>206</v>
      </c>
      <c r="S3" s="333" t="s">
        <v>18</v>
      </c>
      <c r="T3" s="333" t="s">
        <v>183</v>
      </c>
      <c r="U3" s="334" t="s">
        <v>365</v>
      </c>
      <c r="V3" s="326" t="s">
        <v>408</v>
      </c>
      <c r="W3" s="334" t="s">
        <v>0</v>
      </c>
      <c r="X3" s="334" t="s">
        <v>1</v>
      </c>
      <c r="Y3" s="334" t="s">
        <v>30</v>
      </c>
      <c r="Z3" s="334" t="s">
        <v>183</v>
      </c>
      <c r="AA3" s="334" t="s">
        <v>109</v>
      </c>
      <c r="AB3" s="360" t="s">
        <v>256</v>
      </c>
      <c r="AC3" s="361" t="s">
        <v>257</v>
      </c>
    </row>
    <row r="4" spans="1:29" x14ac:dyDescent="0.25">
      <c r="A4" s="49"/>
      <c r="B4" s="49"/>
      <c r="C4" s="49"/>
      <c r="D4" s="49"/>
      <c r="E4" s="49"/>
      <c r="F4" s="49"/>
      <c r="G4" s="314"/>
      <c r="H4" s="15"/>
      <c r="I4" s="314"/>
      <c r="J4" s="315"/>
      <c r="K4" s="315"/>
      <c r="L4" s="315"/>
      <c r="M4" s="315"/>
      <c r="N4" s="315"/>
      <c r="O4" s="315"/>
      <c r="P4" s="315"/>
      <c r="Q4" s="315"/>
      <c r="R4" s="315">
        <f>SUM(J4:Q4)</f>
        <v>0</v>
      </c>
      <c r="S4" s="315">
        <f>Q4</f>
        <v>0</v>
      </c>
      <c r="T4" s="315">
        <f>R4-S4</f>
        <v>0</v>
      </c>
      <c r="U4" s="49" t="s">
        <v>385</v>
      </c>
      <c r="V4" s="15" t="s">
        <v>405</v>
      </c>
      <c r="W4" s="17" t="s">
        <v>6</v>
      </c>
      <c r="X4" s="17" t="s">
        <v>2</v>
      </c>
      <c r="Y4" s="17" t="s">
        <v>10</v>
      </c>
      <c r="Z4" s="314" t="s">
        <v>178</v>
      </c>
      <c r="AA4" s="49"/>
      <c r="AB4" s="314">
        <v>23</v>
      </c>
      <c r="AC4" s="15" t="str">
        <f>IFERROR(VLOOKUP(AB4,Legend!$D$2:$E$26,2,0),"")</f>
        <v>Georgia Cast Hires: (to include fringes)</v>
      </c>
    </row>
    <row r="5" spans="1:29" x14ac:dyDescent="0.25">
      <c r="A5" s="15"/>
      <c r="B5" s="15"/>
      <c r="C5" s="15"/>
      <c r="D5" s="15"/>
      <c r="E5" s="15"/>
      <c r="F5" s="15"/>
      <c r="G5" s="17"/>
      <c r="H5" s="15"/>
      <c r="I5" s="17"/>
      <c r="J5" s="89"/>
      <c r="K5" s="89"/>
      <c r="L5" s="89"/>
      <c r="M5" s="89"/>
      <c r="N5" s="89"/>
      <c r="O5" s="89"/>
      <c r="P5" s="89"/>
      <c r="Q5" s="89"/>
      <c r="R5" s="89">
        <f t="shared" ref="R5:R34" si="0">SUM(J5:Q5)</f>
        <v>0</v>
      </c>
      <c r="S5" s="89">
        <f t="shared" ref="S5:S34" si="1">Q5</f>
        <v>0</v>
      </c>
      <c r="T5" s="89">
        <f t="shared" ref="T5:T34" si="2">R5-S5</f>
        <v>0</v>
      </c>
      <c r="U5" s="15" t="s">
        <v>385</v>
      </c>
      <c r="V5" s="15" t="s">
        <v>406</v>
      </c>
      <c r="W5" s="17" t="s">
        <v>14</v>
      </c>
      <c r="X5" s="17" t="s">
        <v>9</v>
      </c>
      <c r="Y5" s="17" t="s">
        <v>10</v>
      </c>
      <c r="Z5" s="17" t="s">
        <v>187</v>
      </c>
      <c r="AA5" s="15"/>
      <c r="AB5" s="17">
        <v>23</v>
      </c>
      <c r="AC5" s="15" t="str">
        <f>IFERROR(VLOOKUP(AB5,Legend!$D$2:$E$26,2,0),"")</f>
        <v>Georgia Cast Hires: (to include fringes)</v>
      </c>
    </row>
    <row r="6" spans="1:29" x14ac:dyDescent="0.25">
      <c r="A6" s="15"/>
      <c r="B6" s="15"/>
      <c r="C6" s="15"/>
      <c r="D6" s="15"/>
      <c r="E6" s="15"/>
      <c r="F6" s="15"/>
      <c r="G6" s="17"/>
      <c r="H6" s="15"/>
      <c r="I6" s="17"/>
      <c r="J6" s="89"/>
      <c r="K6" s="89"/>
      <c r="L6" s="89"/>
      <c r="M6" s="89"/>
      <c r="N6" s="89"/>
      <c r="O6" s="89"/>
      <c r="P6" s="89"/>
      <c r="Q6" s="89"/>
      <c r="R6" s="89">
        <f t="shared" si="0"/>
        <v>0</v>
      </c>
      <c r="S6" s="89">
        <f t="shared" si="1"/>
        <v>0</v>
      </c>
      <c r="T6" s="89">
        <f t="shared" si="2"/>
        <v>0</v>
      </c>
      <c r="U6" s="15" t="s">
        <v>385</v>
      </c>
      <c r="V6" s="15" t="s">
        <v>407</v>
      </c>
      <c r="W6" s="17" t="s">
        <v>7</v>
      </c>
      <c r="X6" s="17" t="s">
        <v>5</v>
      </c>
      <c r="Y6" s="17" t="s">
        <v>10</v>
      </c>
      <c r="Z6" s="17" t="s">
        <v>188</v>
      </c>
      <c r="AA6" s="15"/>
      <c r="AB6" s="17">
        <v>23</v>
      </c>
      <c r="AC6" s="15" t="str">
        <f>IFERROR(VLOOKUP(AB6,Legend!$D$2:$E$26,2,0),"")</f>
        <v>Georgia Cast Hires: (to include fringes)</v>
      </c>
    </row>
    <row r="7" spans="1:29" x14ac:dyDescent="0.25">
      <c r="A7" s="15"/>
      <c r="B7" s="15"/>
      <c r="C7" s="15"/>
      <c r="D7" s="15"/>
      <c r="E7" s="15"/>
      <c r="F7" s="15"/>
      <c r="G7" s="17"/>
      <c r="H7" s="15"/>
      <c r="I7" s="17"/>
      <c r="J7" s="89"/>
      <c r="K7" s="89"/>
      <c r="L7" s="89"/>
      <c r="M7" s="89"/>
      <c r="N7" s="89"/>
      <c r="O7" s="89"/>
      <c r="P7" s="89"/>
      <c r="Q7" s="89"/>
      <c r="R7" s="89">
        <f t="shared" si="0"/>
        <v>0</v>
      </c>
      <c r="S7" s="89">
        <f t="shared" si="1"/>
        <v>0</v>
      </c>
      <c r="T7" s="89">
        <f t="shared" si="2"/>
        <v>0</v>
      </c>
      <c r="U7" s="15"/>
      <c r="V7" s="15"/>
      <c r="W7" s="17" t="s">
        <v>4</v>
      </c>
      <c r="X7" s="17" t="s">
        <v>44</v>
      </c>
      <c r="Y7" s="17" t="s">
        <v>10</v>
      </c>
      <c r="Z7" s="17"/>
      <c r="AA7" s="15"/>
      <c r="AB7" s="17"/>
      <c r="AC7" s="15" t="str">
        <f>IFERROR(VLOOKUP(AB7,Legend!$D$2:$E$26,2,0),"")</f>
        <v/>
      </c>
    </row>
    <row r="8" spans="1:29" x14ac:dyDescent="0.25">
      <c r="A8" s="15"/>
      <c r="B8" s="15"/>
      <c r="C8" s="15"/>
      <c r="D8" s="15"/>
      <c r="E8" s="15"/>
      <c r="F8" s="15"/>
      <c r="G8" s="17"/>
      <c r="H8" s="15"/>
      <c r="I8" s="17"/>
      <c r="J8" s="89"/>
      <c r="K8" s="89"/>
      <c r="L8" s="89"/>
      <c r="M8" s="89"/>
      <c r="N8" s="89"/>
      <c r="O8" s="89"/>
      <c r="P8" s="89"/>
      <c r="Q8" s="89"/>
      <c r="R8" s="89">
        <f t="shared" si="0"/>
        <v>0</v>
      </c>
      <c r="S8" s="89">
        <f t="shared" si="1"/>
        <v>0</v>
      </c>
      <c r="T8" s="89">
        <f t="shared" si="2"/>
        <v>0</v>
      </c>
      <c r="U8" s="15"/>
      <c r="V8" s="15"/>
      <c r="W8" s="17" t="s">
        <v>16</v>
      </c>
      <c r="X8" s="17"/>
      <c r="Y8" s="17" t="s">
        <v>10</v>
      </c>
      <c r="Z8" s="17"/>
      <c r="AA8" s="15"/>
      <c r="AB8" s="17"/>
      <c r="AC8" s="15" t="str">
        <f>IFERROR(VLOOKUP(AB8,Legend!$D$2:$E$26,2,0),"")</f>
        <v/>
      </c>
    </row>
    <row r="9" spans="1:29" x14ac:dyDescent="0.25">
      <c r="A9" s="15"/>
      <c r="B9" s="15"/>
      <c r="C9" s="15"/>
      <c r="D9" s="15"/>
      <c r="E9" s="15"/>
      <c r="F9" s="15"/>
      <c r="G9" s="17"/>
      <c r="H9" s="15"/>
      <c r="I9" s="17"/>
      <c r="J9" s="89"/>
      <c r="K9" s="89"/>
      <c r="L9" s="89"/>
      <c r="M9" s="89"/>
      <c r="N9" s="89"/>
      <c r="O9" s="89"/>
      <c r="P9" s="89"/>
      <c r="Q9" s="89"/>
      <c r="R9" s="89">
        <f t="shared" si="0"/>
        <v>0</v>
      </c>
      <c r="S9" s="89">
        <f t="shared" si="1"/>
        <v>0</v>
      </c>
      <c r="T9" s="89">
        <f t="shared" si="2"/>
        <v>0</v>
      </c>
      <c r="U9" s="15"/>
      <c r="V9" s="15"/>
      <c r="W9" s="17" t="s">
        <v>172</v>
      </c>
      <c r="X9" s="17"/>
      <c r="Y9" s="17" t="s">
        <v>10</v>
      </c>
      <c r="Z9" s="17"/>
      <c r="AA9" s="15"/>
      <c r="AB9" s="17"/>
      <c r="AC9" s="15" t="str">
        <f>IFERROR(VLOOKUP(AB9,Legend!$D$2:$E$26,2,0),"")</f>
        <v/>
      </c>
    </row>
    <row r="10" spans="1:29" x14ac:dyDescent="0.25">
      <c r="A10" s="15"/>
      <c r="B10" s="15"/>
      <c r="C10" s="15"/>
      <c r="D10" s="15"/>
      <c r="E10" s="15"/>
      <c r="F10" s="15"/>
      <c r="G10" s="17"/>
      <c r="H10" s="15"/>
      <c r="I10" s="17"/>
      <c r="J10" s="89"/>
      <c r="K10" s="89"/>
      <c r="L10" s="89"/>
      <c r="M10" s="89"/>
      <c r="N10" s="89"/>
      <c r="O10" s="89"/>
      <c r="P10" s="89"/>
      <c r="Q10" s="89"/>
      <c r="R10" s="89">
        <f t="shared" si="0"/>
        <v>0</v>
      </c>
      <c r="S10" s="89">
        <f t="shared" si="1"/>
        <v>0</v>
      </c>
      <c r="T10" s="89">
        <f t="shared" si="2"/>
        <v>0</v>
      </c>
      <c r="U10" s="15"/>
      <c r="V10" s="15"/>
      <c r="W10" s="17" t="s">
        <v>81</v>
      </c>
      <c r="X10" s="17"/>
      <c r="Y10" s="17" t="s">
        <v>10</v>
      </c>
      <c r="Z10" s="17"/>
      <c r="AA10" s="15"/>
      <c r="AB10" s="17"/>
      <c r="AC10" s="15" t="str">
        <f>IFERROR(VLOOKUP(AB10,Legend!$D$2:$E$26,2,0),"")</f>
        <v/>
      </c>
    </row>
    <row r="11" spans="1:29" x14ac:dyDescent="0.25">
      <c r="A11" s="15"/>
      <c r="B11" s="15"/>
      <c r="C11" s="15"/>
      <c r="D11" s="15"/>
      <c r="E11" s="15"/>
      <c r="F11" s="15"/>
      <c r="G11" s="17"/>
      <c r="H11" s="15"/>
      <c r="I11" s="17"/>
      <c r="J11" s="89"/>
      <c r="K11" s="89"/>
      <c r="L11" s="89"/>
      <c r="M11" s="89"/>
      <c r="N11" s="89"/>
      <c r="O11" s="89"/>
      <c r="P11" s="89"/>
      <c r="Q11" s="89"/>
      <c r="R11" s="89">
        <f t="shared" si="0"/>
        <v>0</v>
      </c>
      <c r="S11" s="89">
        <f t="shared" si="1"/>
        <v>0</v>
      </c>
      <c r="T11" s="89">
        <f t="shared" si="2"/>
        <v>0</v>
      </c>
      <c r="U11" s="15"/>
      <c r="V11" s="15"/>
      <c r="W11" s="17" t="s">
        <v>82</v>
      </c>
      <c r="X11" s="17"/>
      <c r="Y11" s="17" t="s">
        <v>10</v>
      </c>
      <c r="Z11" s="17"/>
      <c r="AA11" s="15"/>
      <c r="AB11" s="17"/>
      <c r="AC11" s="15" t="str">
        <f>IFERROR(VLOOKUP(AB11,Legend!$D$2:$E$26,2,0),"")</f>
        <v/>
      </c>
    </row>
    <row r="12" spans="1:29" x14ac:dyDescent="0.25">
      <c r="A12" s="15"/>
      <c r="B12" s="15"/>
      <c r="C12" s="15"/>
      <c r="D12" s="15"/>
      <c r="E12" s="15"/>
      <c r="F12" s="15"/>
      <c r="G12" s="17"/>
      <c r="H12" s="15"/>
      <c r="I12" s="17"/>
      <c r="J12" s="89"/>
      <c r="K12" s="89"/>
      <c r="L12" s="89"/>
      <c r="M12" s="89"/>
      <c r="N12" s="89"/>
      <c r="O12" s="89"/>
      <c r="P12" s="89"/>
      <c r="Q12" s="89"/>
      <c r="R12" s="89">
        <f t="shared" si="0"/>
        <v>0</v>
      </c>
      <c r="S12" s="89">
        <f t="shared" si="1"/>
        <v>0</v>
      </c>
      <c r="T12" s="89">
        <f t="shared" si="2"/>
        <v>0</v>
      </c>
      <c r="U12" s="15"/>
      <c r="V12" s="15"/>
      <c r="W12" s="17" t="s">
        <v>21</v>
      </c>
      <c r="X12" s="17"/>
      <c r="Y12" s="17" t="s">
        <v>10</v>
      </c>
      <c r="Z12" s="17"/>
      <c r="AA12" s="15"/>
      <c r="AB12" s="17"/>
      <c r="AC12" s="15" t="str">
        <f>IFERROR(VLOOKUP(AB12,Legend!$D$2:$E$26,2,0),"")</f>
        <v/>
      </c>
    </row>
    <row r="13" spans="1:29" x14ac:dyDescent="0.25">
      <c r="A13" s="15"/>
      <c r="B13" s="15"/>
      <c r="C13" s="15"/>
      <c r="D13" s="15"/>
      <c r="E13" s="15"/>
      <c r="F13" s="15"/>
      <c r="G13" s="17"/>
      <c r="H13" s="15"/>
      <c r="I13" s="17"/>
      <c r="J13" s="89"/>
      <c r="K13" s="89"/>
      <c r="L13" s="89"/>
      <c r="M13" s="89"/>
      <c r="N13" s="89"/>
      <c r="O13" s="89"/>
      <c r="P13" s="89"/>
      <c r="Q13" s="89"/>
      <c r="R13" s="89">
        <f t="shared" si="0"/>
        <v>0</v>
      </c>
      <c r="S13" s="89">
        <f t="shared" si="1"/>
        <v>0</v>
      </c>
      <c r="T13" s="89">
        <f t="shared" si="2"/>
        <v>0</v>
      </c>
      <c r="U13" s="15"/>
      <c r="V13" s="15"/>
      <c r="W13" s="17" t="s">
        <v>22</v>
      </c>
      <c r="X13" s="17"/>
      <c r="Y13" s="17" t="s">
        <v>10</v>
      </c>
      <c r="Z13" s="17"/>
      <c r="AA13" s="15"/>
      <c r="AB13" s="17"/>
      <c r="AC13" s="15" t="str">
        <f>IFERROR(VLOOKUP(AB13,Legend!$D$2:$E$26,2,0),"")</f>
        <v/>
      </c>
    </row>
    <row r="14" spans="1:29" x14ac:dyDescent="0.25">
      <c r="A14" s="15"/>
      <c r="B14" s="15"/>
      <c r="C14" s="15"/>
      <c r="D14" s="15"/>
      <c r="E14" s="15"/>
      <c r="F14" s="15"/>
      <c r="G14" s="17"/>
      <c r="H14" s="15"/>
      <c r="I14" s="17"/>
      <c r="J14" s="89"/>
      <c r="K14" s="89"/>
      <c r="L14" s="89"/>
      <c r="M14" s="89"/>
      <c r="N14" s="89"/>
      <c r="O14" s="89"/>
      <c r="P14" s="89"/>
      <c r="Q14" s="89"/>
      <c r="R14" s="89">
        <f t="shared" si="0"/>
        <v>0</v>
      </c>
      <c r="S14" s="89">
        <f t="shared" si="1"/>
        <v>0</v>
      </c>
      <c r="T14" s="89">
        <f t="shared" si="2"/>
        <v>0</v>
      </c>
      <c r="U14" s="15"/>
      <c r="V14" s="15"/>
      <c r="W14" s="17" t="s">
        <v>11</v>
      </c>
      <c r="X14" s="17"/>
      <c r="Y14" s="17" t="s">
        <v>10</v>
      </c>
      <c r="Z14" s="17"/>
      <c r="AA14" s="15"/>
      <c r="AB14" s="17"/>
      <c r="AC14" s="15" t="str">
        <f>IFERROR(VLOOKUP(AB14,Legend!$D$2:$E$26,2,0),"")</f>
        <v/>
      </c>
    </row>
    <row r="15" spans="1:29" x14ac:dyDescent="0.25">
      <c r="A15" s="15"/>
      <c r="B15" s="15"/>
      <c r="C15" s="15"/>
      <c r="D15" s="15"/>
      <c r="E15" s="15"/>
      <c r="F15" s="15"/>
      <c r="G15" s="17"/>
      <c r="H15" s="15"/>
      <c r="I15" s="17"/>
      <c r="J15" s="89"/>
      <c r="K15" s="89"/>
      <c r="L15" s="89"/>
      <c r="M15" s="89"/>
      <c r="N15" s="89"/>
      <c r="O15" s="89"/>
      <c r="P15" s="89"/>
      <c r="Q15" s="89"/>
      <c r="R15" s="89">
        <f t="shared" si="0"/>
        <v>0</v>
      </c>
      <c r="S15" s="89">
        <f t="shared" si="1"/>
        <v>0</v>
      </c>
      <c r="T15" s="89">
        <f t="shared" si="2"/>
        <v>0</v>
      </c>
      <c r="U15" s="15"/>
      <c r="V15" s="15"/>
      <c r="W15" s="17" t="s">
        <v>5</v>
      </c>
      <c r="X15" s="17"/>
      <c r="Y15" s="17" t="s">
        <v>10</v>
      </c>
      <c r="Z15" s="17"/>
      <c r="AA15" s="15"/>
      <c r="AB15" s="17"/>
      <c r="AC15" s="15" t="str">
        <f>IFERROR(VLOOKUP(AB15,Legend!$D$2:$E$26,2,0),"")</f>
        <v/>
      </c>
    </row>
    <row r="16" spans="1:29" x14ac:dyDescent="0.25">
      <c r="A16" s="15"/>
      <c r="B16" s="15"/>
      <c r="C16" s="15"/>
      <c r="D16" s="15"/>
      <c r="E16" s="15"/>
      <c r="F16" s="15"/>
      <c r="G16" s="17"/>
      <c r="H16" s="15"/>
      <c r="I16" s="17"/>
      <c r="J16" s="89"/>
      <c r="K16" s="89"/>
      <c r="L16" s="89"/>
      <c r="M16" s="89"/>
      <c r="N16" s="89"/>
      <c r="O16" s="89"/>
      <c r="P16" s="89"/>
      <c r="Q16" s="89"/>
      <c r="R16" s="89">
        <f t="shared" si="0"/>
        <v>0</v>
      </c>
      <c r="S16" s="89">
        <f t="shared" si="1"/>
        <v>0</v>
      </c>
      <c r="T16" s="89">
        <f t="shared" si="2"/>
        <v>0</v>
      </c>
      <c r="U16" s="15"/>
      <c r="V16" s="15"/>
      <c r="W16" s="17"/>
      <c r="X16" s="17"/>
      <c r="Y16" s="17" t="s">
        <v>10</v>
      </c>
      <c r="Z16" s="17"/>
      <c r="AA16" s="15"/>
      <c r="AB16" s="17"/>
      <c r="AC16" s="15" t="str">
        <f>IFERROR(VLOOKUP(AB16,Legend!$D$2:$E$26,2,0),"")</f>
        <v/>
      </c>
    </row>
    <row r="17" spans="1:29" x14ac:dyDescent="0.25">
      <c r="A17" s="15"/>
      <c r="B17" s="15"/>
      <c r="C17" s="15"/>
      <c r="D17" s="15"/>
      <c r="E17" s="15"/>
      <c r="F17" s="15"/>
      <c r="G17" s="17"/>
      <c r="H17" s="15"/>
      <c r="I17" s="17"/>
      <c r="J17" s="89"/>
      <c r="K17" s="89"/>
      <c r="L17" s="89"/>
      <c r="M17" s="89"/>
      <c r="N17" s="89"/>
      <c r="O17" s="89"/>
      <c r="P17" s="89"/>
      <c r="Q17" s="89"/>
      <c r="R17" s="89">
        <f t="shared" si="0"/>
        <v>0</v>
      </c>
      <c r="S17" s="89">
        <f t="shared" si="1"/>
        <v>0</v>
      </c>
      <c r="T17" s="89">
        <f t="shared" si="2"/>
        <v>0</v>
      </c>
      <c r="U17" s="15"/>
      <c r="V17" s="15"/>
      <c r="W17" s="17"/>
      <c r="X17" s="17"/>
      <c r="Y17" s="17" t="s">
        <v>10</v>
      </c>
      <c r="Z17" s="17"/>
      <c r="AA17" s="15"/>
      <c r="AB17" s="17"/>
      <c r="AC17" s="15" t="str">
        <f>IFERROR(VLOOKUP(AB17,Legend!$D$2:$E$26,2,0),"")</f>
        <v/>
      </c>
    </row>
    <row r="18" spans="1:29" x14ac:dyDescent="0.25">
      <c r="A18" s="15"/>
      <c r="B18" s="15"/>
      <c r="C18" s="15"/>
      <c r="D18" s="15"/>
      <c r="E18" s="15"/>
      <c r="F18" s="15"/>
      <c r="G18" s="17"/>
      <c r="H18" s="15"/>
      <c r="I18" s="17"/>
      <c r="J18" s="89"/>
      <c r="K18" s="89"/>
      <c r="L18" s="89"/>
      <c r="M18" s="89"/>
      <c r="N18" s="89"/>
      <c r="O18" s="89"/>
      <c r="P18" s="89"/>
      <c r="Q18" s="89"/>
      <c r="R18" s="89">
        <f t="shared" si="0"/>
        <v>0</v>
      </c>
      <c r="S18" s="89">
        <f t="shared" si="1"/>
        <v>0</v>
      </c>
      <c r="T18" s="89">
        <f t="shared" si="2"/>
        <v>0</v>
      </c>
      <c r="U18" s="15"/>
      <c r="V18" s="15"/>
      <c r="W18" s="17"/>
      <c r="X18" s="17"/>
      <c r="Y18" s="17" t="s">
        <v>10</v>
      </c>
      <c r="Z18" s="17"/>
      <c r="AA18" s="15"/>
      <c r="AB18" s="17"/>
      <c r="AC18" s="15" t="str">
        <f>IFERROR(VLOOKUP(AB18,Legend!$D$2:$E$26,2,0),"")</f>
        <v/>
      </c>
    </row>
    <row r="19" spans="1:29" x14ac:dyDescent="0.25">
      <c r="A19" s="15"/>
      <c r="B19" s="15"/>
      <c r="C19" s="15"/>
      <c r="D19" s="15"/>
      <c r="E19" s="15"/>
      <c r="F19" s="15"/>
      <c r="G19" s="17"/>
      <c r="H19" s="15"/>
      <c r="I19" s="17"/>
      <c r="J19" s="89"/>
      <c r="K19" s="89"/>
      <c r="L19" s="89"/>
      <c r="M19" s="89"/>
      <c r="N19" s="89"/>
      <c r="O19" s="89"/>
      <c r="P19" s="89"/>
      <c r="Q19" s="89"/>
      <c r="R19" s="89">
        <f t="shared" si="0"/>
        <v>0</v>
      </c>
      <c r="S19" s="89">
        <f t="shared" si="1"/>
        <v>0</v>
      </c>
      <c r="T19" s="89">
        <f t="shared" si="2"/>
        <v>0</v>
      </c>
      <c r="U19" s="15"/>
      <c r="V19" s="15"/>
      <c r="W19" s="17"/>
      <c r="X19" s="17"/>
      <c r="Y19" s="17" t="s">
        <v>10</v>
      </c>
      <c r="Z19" s="17"/>
      <c r="AA19" s="15"/>
      <c r="AB19" s="17"/>
      <c r="AC19" s="15" t="str">
        <f>IFERROR(VLOOKUP(AB19,Legend!$D$2:$E$26,2,0),"")</f>
        <v/>
      </c>
    </row>
    <row r="20" spans="1:29" x14ac:dyDescent="0.25">
      <c r="A20" s="15"/>
      <c r="B20" s="15"/>
      <c r="C20" s="15"/>
      <c r="D20" s="15"/>
      <c r="E20" s="15"/>
      <c r="F20" s="15"/>
      <c r="G20" s="17"/>
      <c r="H20" s="15"/>
      <c r="I20" s="17"/>
      <c r="J20" s="89"/>
      <c r="K20" s="89"/>
      <c r="L20" s="89"/>
      <c r="M20" s="89"/>
      <c r="N20" s="89"/>
      <c r="O20" s="89"/>
      <c r="P20" s="89"/>
      <c r="Q20" s="89"/>
      <c r="R20" s="89">
        <f t="shared" si="0"/>
        <v>0</v>
      </c>
      <c r="S20" s="89">
        <f t="shared" si="1"/>
        <v>0</v>
      </c>
      <c r="T20" s="89">
        <f t="shared" si="2"/>
        <v>0</v>
      </c>
      <c r="U20" s="15"/>
      <c r="V20" s="15"/>
      <c r="W20" s="17"/>
      <c r="X20" s="17"/>
      <c r="Y20" s="17" t="s">
        <v>10</v>
      </c>
      <c r="Z20" s="17"/>
      <c r="AA20" s="15"/>
      <c r="AB20" s="17"/>
      <c r="AC20" s="15" t="str">
        <f>IFERROR(VLOOKUP(AB20,Legend!$D$2:$E$26,2,0),"")</f>
        <v/>
      </c>
    </row>
    <row r="21" spans="1:29" x14ac:dyDescent="0.25">
      <c r="A21" s="15"/>
      <c r="B21" s="15"/>
      <c r="C21" s="15"/>
      <c r="D21" s="15"/>
      <c r="E21" s="15"/>
      <c r="F21" s="15"/>
      <c r="G21" s="17"/>
      <c r="H21" s="15"/>
      <c r="I21" s="17"/>
      <c r="J21" s="89"/>
      <c r="K21" s="89"/>
      <c r="L21" s="89"/>
      <c r="M21" s="89"/>
      <c r="N21" s="89"/>
      <c r="O21" s="89"/>
      <c r="P21" s="89"/>
      <c r="Q21" s="89"/>
      <c r="R21" s="89">
        <f t="shared" si="0"/>
        <v>0</v>
      </c>
      <c r="S21" s="89">
        <f t="shared" si="1"/>
        <v>0</v>
      </c>
      <c r="T21" s="89">
        <f t="shared" si="2"/>
        <v>0</v>
      </c>
      <c r="U21" s="15"/>
      <c r="V21" s="15"/>
      <c r="W21" s="17"/>
      <c r="X21" s="17"/>
      <c r="Y21" s="17" t="s">
        <v>10</v>
      </c>
      <c r="Z21" s="17"/>
      <c r="AA21" s="15"/>
      <c r="AB21" s="17"/>
      <c r="AC21" s="15" t="str">
        <f>IFERROR(VLOOKUP(AB21,Legend!$D$2:$E$26,2,0),"")</f>
        <v/>
      </c>
    </row>
    <row r="22" spans="1:29" x14ac:dyDescent="0.25">
      <c r="A22" s="15"/>
      <c r="B22" s="15"/>
      <c r="C22" s="15"/>
      <c r="D22" s="15"/>
      <c r="E22" s="15"/>
      <c r="F22" s="15"/>
      <c r="G22" s="17"/>
      <c r="H22" s="15"/>
      <c r="I22" s="17"/>
      <c r="J22" s="89"/>
      <c r="K22" s="89"/>
      <c r="L22" s="89"/>
      <c r="M22" s="89"/>
      <c r="N22" s="89"/>
      <c r="O22" s="89"/>
      <c r="P22" s="89"/>
      <c r="Q22" s="89"/>
      <c r="R22" s="89">
        <f t="shared" si="0"/>
        <v>0</v>
      </c>
      <c r="S22" s="89">
        <f t="shared" si="1"/>
        <v>0</v>
      </c>
      <c r="T22" s="89">
        <f t="shared" si="2"/>
        <v>0</v>
      </c>
      <c r="U22" s="15"/>
      <c r="V22" s="15"/>
      <c r="W22" s="17"/>
      <c r="X22" s="17"/>
      <c r="Y22" s="17" t="s">
        <v>10</v>
      </c>
      <c r="Z22" s="17"/>
      <c r="AA22" s="15"/>
      <c r="AB22" s="17"/>
      <c r="AC22" s="15" t="str">
        <f>IFERROR(VLOOKUP(AB22,Legend!$D$2:$E$26,2,0),"")</f>
        <v/>
      </c>
    </row>
    <row r="23" spans="1:29" x14ac:dyDescent="0.25">
      <c r="A23" s="15"/>
      <c r="B23" s="15"/>
      <c r="C23" s="15"/>
      <c r="D23" s="15"/>
      <c r="E23" s="15"/>
      <c r="F23" s="15"/>
      <c r="G23" s="17"/>
      <c r="H23" s="15"/>
      <c r="I23" s="17"/>
      <c r="J23" s="89"/>
      <c r="K23" s="89"/>
      <c r="L23" s="89"/>
      <c r="M23" s="89"/>
      <c r="N23" s="89"/>
      <c r="O23" s="89"/>
      <c r="P23" s="89"/>
      <c r="Q23" s="89"/>
      <c r="R23" s="89">
        <f t="shared" si="0"/>
        <v>0</v>
      </c>
      <c r="S23" s="89">
        <f t="shared" si="1"/>
        <v>0</v>
      </c>
      <c r="T23" s="89">
        <f t="shared" si="2"/>
        <v>0</v>
      </c>
      <c r="U23" s="15"/>
      <c r="V23" s="15"/>
      <c r="W23" s="17"/>
      <c r="X23" s="17"/>
      <c r="Y23" s="17" t="s">
        <v>10</v>
      </c>
      <c r="Z23" s="17"/>
      <c r="AA23" s="15"/>
      <c r="AB23" s="17"/>
      <c r="AC23" s="15" t="str">
        <f>IFERROR(VLOOKUP(AB23,Legend!$D$2:$E$26,2,0),"")</f>
        <v/>
      </c>
    </row>
    <row r="24" spans="1:29" x14ac:dyDescent="0.25">
      <c r="A24" s="15"/>
      <c r="B24" s="15"/>
      <c r="C24" s="15"/>
      <c r="D24" s="15"/>
      <c r="E24" s="15"/>
      <c r="F24" s="15"/>
      <c r="G24" s="17"/>
      <c r="H24" s="15"/>
      <c r="I24" s="17"/>
      <c r="J24" s="89"/>
      <c r="K24" s="89"/>
      <c r="L24" s="89"/>
      <c r="M24" s="89"/>
      <c r="N24" s="89"/>
      <c r="O24" s="89"/>
      <c r="P24" s="89"/>
      <c r="Q24" s="89"/>
      <c r="R24" s="89">
        <f t="shared" si="0"/>
        <v>0</v>
      </c>
      <c r="S24" s="89">
        <f t="shared" si="1"/>
        <v>0</v>
      </c>
      <c r="T24" s="89">
        <f t="shared" si="2"/>
        <v>0</v>
      </c>
      <c r="U24" s="15"/>
      <c r="V24" s="15"/>
      <c r="W24" s="17"/>
      <c r="X24" s="17"/>
      <c r="Y24" s="17" t="s">
        <v>10</v>
      </c>
      <c r="Z24" s="17"/>
      <c r="AA24" s="15"/>
      <c r="AB24" s="17"/>
      <c r="AC24" s="15" t="str">
        <f>IFERROR(VLOOKUP(AB24,Legend!$D$2:$E$26,2,0),"")</f>
        <v/>
      </c>
    </row>
    <row r="25" spans="1:29" x14ac:dyDescent="0.25">
      <c r="A25" s="15"/>
      <c r="B25" s="15"/>
      <c r="C25" s="15"/>
      <c r="D25" s="15"/>
      <c r="E25" s="15"/>
      <c r="F25" s="15"/>
      <c r="G25" s="17"/>
      <c r="H25" s="15"/>
      <c r="I25" s="17"/>
      <c r="J25" s="89"/>
      <c r="K25" s="89"/>
      <c r="L25" s="89"/>
      <c r="M25" s="89"/>
      <c r="N25" s="89"/>
      <c r="O25" s="89"/>
      <c r="P25" s="89"/>
      <c r="Q25" s="89"/>
      <c r="R25" s="89">
        <f t="shared" si="0"/>
        <v>0</v>
      </c>
      <c r="S25" s="89">
        <f t="shared" si="1"/>
        <v>0</v>
      </c>
      <c r="T25" s="89">
        <f t="shared" si="2"/>
        <v>0</v>
      </c>
      <c r="U25" s="15"/>
      <c r="V25" s="15"/>
      <c r="W25" s="17"/>
      <c r="X25" s="17"/>
      <c r="Y25" s="17" t="s">
        <v>10</v>
      </c>
      <c r="Z25" s="17"/>
      <c r="AA25" s="15"/>
      <c r="AB25" s="17"/>
      <c r="AC25" s="15" t="str">
        <f>IFERROR(VLOOKUP(AB25,Legend!$D$2:$E$26,2,0),"")</f>
        <v/>
      </c>
    </row>
    <row r="26" spans="1:29" x14ac:dyDescent="0.25">
      <c r="A26" s="15"/>
      <c r="B26" s="15"/>
      <c r="C26" s="15"/>
      <c r="D26" s="15"/>
      <c r="E26" s="15"/>
      <c r="F26" s="15"/>
      <c r="G26" s="17"/>
      <c r="H26" s="15"/>
      <c r="I26" s="17"/>
      <c r="J26" s="89"/>
      <c r="K26" s="89"/>
      <c r="L26" s="89"/>
      <c r="M26" s="89"/>
      <c r="N26" s="89"/>
      <c r="O26" s="89"/>
      <c r="P26" s="89"/>
      <c r="Q26" s="89"/>
      <c r="R26" s="89">
        <f t="shared" si="0"/>
        <v>0</v>
      </c>
      <c r="S26" s="89">
        <f t="shared" si="1"/>
        <v>0</v>
      </c>
      <c r="T26" s="89">
        <f t="shared" si="2"/>
        <v>0</v>
      </c>
      <c r="U26" s="15"/>
      <c r="V26" s="15"/>
      <c r="W26" s="17"/>
      <c r="X26" s="17"/>
      <c r="Y26" s="17" t="s">
        <v>10</v>
      </c>
      <c r="Z26" s="17"/>
      <c r="AA26" s="15"/>
      <c r="AB26" s="17"/>
      <c r="AC26" s="15" t="str">
        <f>IFERROR(VLOOKUP(AB26,Legend!$D$2:$E$26,2,0),"")</f>
        <v/>
      </c>
    </row>
    <row r="27" spans="1:29" x14ac:dyDescent="0.25">
      <c r="A27" s="15"/>
      <c r="B27" s="15"/>
      <c r="C27" s="15"/>
      <c r="D27" s="15"/>
      <c r="E27" s="15"/>
      <c r="F27" s="15"/>
      <c r="G27" s="17"/>
      <c r="H27" s="15"/>
      <c r="I27" s="17"/>
      <c r="J27" s="89"/>
      <c r="K27" s="89"/>
      <c r="L27" s="89"/>
      <c r="M27" s="89"/>
      <c r="N27" s="89"/>
      <c r="O27" s="89"/>
      <c r="P27" s="89"/>
      <c r="Q27" s="89"/>
      <c r="R27" s="89">
        <f t="shared" si="0"/>
        <v>0</v>
      </c>
      <c r="S27" s="89">
        <f t="shared" si="1"/>
        <v>0</v>
      </c>
      <c r="T27" s="89">
        <f t="shared" si="2"/>
        <v>0</v>
      </c>
      <c r="U27" s="15"/>
      <c r="V27" s="15"/>
      <c r="W27" s="17"/>
      <c r="X27" s="17"/>
      <c r="Y27" s="17" t="s">
        <v>10</v>
      </c>
      <c r="Z27" s="17"/>
      <c r="AA27" s="15"/>
      <c r="AB27" s="17"/>
      <c r="AC27" s="15" t="str">
        <f>IFERROR(VLOOKUP(AB27,Legend!$D$2:$E$26,2,0),"")</f>
        <v/>
      </c>
    </row>
    <row r="28" spans="1:29" x14ac:dyDescent="0.25">
      <c r="A28" s="15"/>
      <c r="B28" s="15"/>
      <c r="C28" s="15"/>
      <c r="D28" s="15"/>
      <c r="E28" s="15"/>
      <c r="F28" s="15"/>
      <c r="G28" s="17"/>
      <c r="H28" s="15"/>
      <c r="I28" s="17"/>
      <c r="J28" s="89"/>
      <c r="K28" s="89"/>
      <c r="L28" s="89"/>
      <c r="M28" s="89"/>
      <c r="N28" s="89"/>
      <c r="O28" s="89"/>
      <c r="P28" s="89"/>
      <c r="Q28" s="89"/>
      <c r="R28" s="89">
        <f t="shared" si="0"/>
        <v>0</v>
      </c>
      <c r="S28" s="89">
        <f t="shared" si="1"/>
        <v>0</v>
      </c>
      <c r="T28" s="89">
        <f t="shared" si="2"/>
        <v>0</v>
      </c>
      <c r="U28" s="15"/>
      <c r="V28" s="15"/>
      <c r="W28" s="17"/>
      <c r="X28" s="17"/>
      <c r="Y28" s="17" t="s">
        <v>10</v>
      </c>
      <c r="Z28" s="17"/>
      <c r="AA28" s="15"/>
      <c r="AB28" s="17"/>
      <c r="AC28" s="15" t="str">
        <f>IFERROR(VLOOKUP(AB28,Legend!$D$2:$E$26,2,0),"")</f>
        <v/>
      </c>
    </row>
    <row r="29" spans="1:29" x14ac:dyDescent="0.25">
      <c r="A29" s="15"/>
      <c r="B29" s="15"/>
      <c r="C29" s="15"/>
      <c r="D29" s="15"/>
      <c r="E29" s="15"/>
      <c r="F29" s="15"/>
      <c r="G29" s="17"/>
      <c r="H29" s="15"/>
      <c r="I29" s="17"/>
      <c r="J29" s="89"/>
      <c r="K29" s="89"/>
      <c r="L29" s="89"/>
      <c r="M29" s="89"/>
      <c r="N29" s="89"/>
      <c r="O29" s="89"/>
      <c r="P29" s="89"/>
      <c r="Q29" s="89"/>
      <c r="R29" s="89">
        <f t="shared" si="0"/>
        <v>0</v>
      </c>
      <c r="S29" s="89">
        <f t="shared" si="1"/>
        <v>0</v>
      </c>
      <c r="T29" s="89">
        <f t="shared" si="2"/>
        <v>0</v>
      </c>
      <c r="U29" s="15"/>
      <c r="V29" s="15"/>
      <c r="W29" s="17"/>
      <c r="X29" s="17"/>
      <c r="Y29" s="17" t="s">
        <v>10</v>
      </c>
      <c r="Z29" s="17"/>
      <c r="AA29" s="15"/>
      <c r="AB29" s="17"/>
      <c r="AC29" s="15" t="str">
        <f>IFERROR(VLOOKUP(AB29,Legend!$D$2:$E$26,2,0),"")</f>
        <v/>
      </c>
    </row>
    <row r="30" spans="1:29" x14ac:dyDescent="0.25">
      <c r="A30" s="15"/>
      <c r="B30" s="15"/>
      <c r="C30" s="15"/>
      <c r="D30" s="15"/>
      <c r="E30" s="15"/>
      <c r="F30" s="15"/>
      <c r="G30" s="17"/>
      <c r="H30" s="15"/>
      <c r="I30" s="17"/>
      <c r="J30" s="89"/>
      <c r="K30" s="89"/>
      <c r="L30" s="89"/>
      <c r="M30" s="89"/>
      <c r="N30" s="89"/>
      <c r="O30" s="89"/>
      <c r="P30" s="89"/>
      <c r="Q30" s="89"/>
      <c r="R30" s="89">
        <f t="shared" si="0"/>
        <v>0</v>
      </c>
      <c r="S30" s="89">
        <f t="shared" si="1"/>
        <v>0</v>
      </c>
      <c r="T30" s="89">
        <f t="shared" si="2"/>
        <v>0</v>
      </c>
      <c r="U30" s="15"/>
      <c r="V30" s="15"/>
      <c r="W30" s="17"/>
      <c r="X30" s="17"/>
      <c r="Y30" s="17" t="s">
        <v>10</v>
      </c>
      <c r="Z30" s="17"/>
      <c r="AA30" s="15"/>
      <c r="AB30" s="17"/>
      <c r="AC30" s="15" t="str">
        <f>IFERROR(VLOOKUP(AB30,Legend!$D$2:$E$26,2,0),"")</f>
        <v/>
      </c>
    </row>
    <row r="31" spans="1:29" x14ac:dyDescent="0.25">
      <c r="A31" s="15"/>
      <c r="B31" s="15"/>
      <c r="C31" s="15"/>
      <c r="D31" s="15"/>
      <c r="E31" s="15"/>
      <c r="F31" s="15"/>
      <c r="G31" s="17"/>
      <c r="H31" s="15"/>
      <c r="I31" s="17"/>
      <c r="J31" s="89"/>
      <c r="K31" s="89"/>
      <c r="L31" s="89"/>
      <c r="M31" s="89"/>
      <c r="N31" s="89"/>
      <c r="O31" s="89"/>
      <c r="P31" s="89"/>
      <c r="Q31" s="89"/>
      <c r="R31" s="89">
        <f t="shared" si="0"/>
        <v>0</v>
      </c>
      <c r="S31" s="89">
        <f t="shared" si="1"/>
        <v>0</v>
      </c>
      <c r="T31" s="89">
        <f t="shared" si="2"/>
        <v>0</v>
      </c>
      <c r="U31" s="15"/>
      <c r="V31" s="15"/>
      <c r="W31" s="17"/>
      <c r="X31" s="17"/>
      <c r="Y31" s="17" t="s">
        <v>10</v>
      </c>
      <c r="Z31" s="17"/>
      <c r="AA31" s="15"/>
      <c r="AB31" s="17"/>
      <c r="AC31" s="15" t="str">
        <f>IFERROR(VLOOKUP(AB31,Legend!$D$2:$E$26,2,0),"")</f>
        <v/>
      </c>
    </row>
    <row r="32" spans="1:29" x14ac:dyDescent="0.25">
      <c r="A32" s="15"/>
      <c r="B32" s="15"/>
      <c r="C32" s="15"/>
      <c r="D32" s="15"/>
      <c r="E32" s="15"/>
      <c r="F32" s="15"/>
      <c r="G32" s="17"/>
      <c r="H32" s="15"/>
      <c r="I32" s="17"/>
      <c r="J32" s="89"/>
      <c r="K32" s="89"/>
      <c r="L32" s="89"/>
      <c r="M32" s="89"/>
      <c r="N32" s="89"/>
      <c r="O32" s="89"/>
      <c r="P32" s="89"/>
      <c r="Q32" s="89"/>
      <c r="R32" s="89">
        <f t="shared" si="0"/>
        <v>0</v>
      </c>
      <c r="S32" s="89">
        <f t="shared" si="1"/>
        <v>0</v>
      </c>
      <c r="T32" s="89">
        <f t="shared" si="2"/>
        <v>0</v>
      </c>
      <c r="U32" s="15"/>
      <c r="V32" s="15"/>
      <c r="W32" s="17"/>
      <c r="X32" s="17"/>
      <c r="Y32" s="17" t="s">
        <v>10</v>
      </c>
      <c r="Z32" s="17"/>
      <c r="AA32" s="15"/>
      <c r="AB32" s="17"/>
      <c r="AC32" s="15" t="str">
        <f>IFERROR(VLOOKUP(AB32,Legend!$D$2:$E$26,2,0),"")</f>
        <v/>
      </c>
    </row>
    <row r="33" spans="1:29" x14ac:dyDescent="0.25">
      <c r="A33" s="15"/>
      <c r="B33" s="15"/>
      <c r="C33" s="15"/>
      <c r="D33" s="15"/>
      <c r="E33" s="15"/>
      <c r="F33" s="15"/>
      <c r="G33" s="17"/>
      <c r="H33" s="15"/>
      <c r="I33" s="17"/>
      <c r="J33" s="89"/>
      <c r="K33" s="89"/>
      <c r="L33" s="89"/>
      <c r="M33" s="89"/>
      <c r="N33" s="89"/>
      <c r="O33" s="89"/>
      <c r="P33" s="89"/>
      <c r="Q33" s="89"/>
      <c r="R33" s="89">
        <f t="shared" si="0"/>
        <v>0</v>
      </c>
      <c r="S33" s="89">
        <f t="shared" si="1"/>
        <v>0</v>
      </c>
      <c r="T33" s="89">
        <f t="shared" si="2"/>
        <v>0</v>
      </c>
      <c r="U33" s="15"/>
      <c r="V33" s="15"/>
      <c r="W33" s="17"/>
      <c r="X33" s="17"/>
      <c r="Y33" s="17" t="s">
        <v>10</v>
      </c>
      <c r="Z33" s="17"/>
      <c r="AA33" s="15"/>
      <c r="AB33" s="17"/>
      <c r="AC33" s="15" t="str">
        <f>IFERROR(VLOOKUP(AB33,Legend!$D$2:$E$26,2,0),"")</f>
        <v/>
      </c>
    </row>
    <row r="34" spans="1:29" x14ac:dyDescent="0.25">
      <c r="A34" s="15"/>
      <c r="B34" s="15"/>
      <c r="C34" s="15"/>
      <c r="D34" s="15"/>
      <c r="E34" s="15"/>
      <c r="F34" s="15"/>
      <c r="G34" s="17"/>
      <c r="H34" s="15"/>
      <c r="I34" s="17"/>
      <c r="J34" s="89"/>
      <c r="K34" s="89"/>
      <c r="L34" s="89"/>
      <c r="M34" s="89"/>
      <c r="N34" s="89"/>
      <c r="O34" s="89"/>
      <c r="P34" s="89"/>
      <c r="Q34" s="89"/>
      <c r="R34" s="89">
        <f t="shared" si="0"/>
        <v>0</v>
      </c>
      <c r="S34" s="89">
        <f t="shared" si="1"/>
        <v>0</v>
      </c>
      <c r="T34" s="89">
        <f t="shared" si="2"/>
        <v>0</v>
      </c>
      <c r="U34" s="15"/>
      <c r="V34" s="15"/>
      <c r="W34" s="17"/>
      <c r="X34" s="17"/>
      <c r="Y34" s="17" t="s">
        <v>10</v>
      </c>
      <c r="Z34" s="17"/>
      <c r="AA34" s="15"/>
      <c r="AB34" s="17"/>
      <c r="AC34" s="15" t="str">
        <f>IFERROR(VLOOKUP(AB34,Legend!$D$2:$E$26,2,0),"")</f>
        <v/>
      </c>
    </row>
    <row r="35" spans="1:29" x14ac:dyDescent="0.25">
      <c r="I35" s="301" t="s">
        <v>253</v>
      </c>
      <c r="J35" s="289">
        <f>SUBTOTAL(9,J4:J34)</f>
        <v>0</v>
      </c>
      <c r="K35" s="289">
        <f t="shared" ref="K35:T35" si="3">SUBTOTAL(9,K4:K34)</f>
        <v>0</v>
      </c>
      <c r="L35" s="289">
        <f t="shared" si="3"/>
        <v>0</v>
      </c>
      <c r="M35" s="289">
        <f t="shared" si="3"/>
        <v>0</v>
      </c>
      <c r="N35" s="289">
        <f t="shared" si="3"/>
        <v>0</v>
      </c>
      <c r="O35" s="289">
        <f t="shared" si="3"/>
        <v>0</v>
      </c>
      <c r="P35" s="289">
        <f t="shared" si="3"/>
        <v>0</v>
      </c>
      <c r="Q35" s="289">
        <f t="shared" si="3"/>
        <v>0</v>
      </c>
      <c r="R35" s="289">
        <f t="shared" si="3"/>
        <v>0</v>
      </c>
      <c r="S35" s="289">
        <f t="shared" si="3"/>
        <v>0</v>
      </c>
      <c r="T35" s="289">
        <f t="shared" si="3"/>
        <v>0</v>
      </c>
    </row>
    <row r="36" spans="1:29" x14ac:dyDescent="0.25">
      <c r="Q36"/>
      <c r="R36"/>
      <c r="S36"/>
    </row>
    <row r="37" spans="1:29" ht="15.75" thickBot="1" x14ac:dyDescent="0.3">
      <c r="I37" s="320" t="s">
        <v>320</v>
      </c>
      <c r="J37" s="321">
        <f>SUM(J4:J34)</f>
        <v>0</v>
      </c>
      <c r="K37" s="321">
        <f t="shared" ref="K37:T37" si="4">SUM(K4:K34)</f>
        <v>0</v>
      </c>
      <c r="L37" s="321">
        <f t="shared" si="4"/>
        <v>0</v>
      </c>
      <c r="M37" s="321">
        <f t="shared" si="4"/>
        <v>0</v>
      </c>
      <c r="N37" s="321">
        <f t="shared" si="4"/>
        <v>0</v>
      </c>
      <c r="O37" s="321">
        <f t="shared" si="4"/>
        <v>0</v>
      </c>
      <c r="P37" s="321">
        <f t="shared" si="4"/>
        <v>0</v>
      </c>
      <c r="Q37" s="321">
        <f t="shared" si="4"/>
        <v>0</v>
      </c>
      <c r="R37" s="321">
        <f t="shared" si="4"/>
        <v>0</v>
      </c>
      <c r="S37" s="321">
        <f t="shared" si="4"/>
        <v>0</v>
      </c>
      <c r="T37" s="321">
        <f t="shared" si="4"/>
        <v>0</v>
      </c>
    </row>
    <row r="38" spans="1:29" ht="15.75" thickTop="1" x14ac:dyDescent="0.25"/>
    <row r="42" spans="1:29" x14ac:dyDescent="0.25">
      <c r="R42" s="429" t="s">
        <v>284</v>
      </c>
      <c r="S42" s="430"/>
      <c r="T42" s="431"/>
      <c r="V42" s="429" t="s">
        <v>310</v>
      </c>
      <c r="W42" s="430"/>
      <c r="X42" s="431"/>
    </row>
    <row r="43" spans="1:29" x14ac:dyDescent="0.25">
      <c r="F43" s="120" t="s">
        <v>382</v>
      </c>
      <c r="G43" s="120" t="s">
        <v>383</v>
      </c>
      <c r="H43" s="287" t="s">
        <v>384</v>
      </c>
      <c r="I43" s="20" t="s">
        <v>388</v>
      </c>
      <c r="J43" s="288" t="s">
        <v>187</v>
      </c>
      <c r="K43" s="325" t="s">
        <v>188</v>
      </c>
      <c r="N43" s="322" t="s">
        <v>285</v>
      </c>
      <c r="O43" s="323" t="s">
        <v>167</v>
      </c>
      <c r="P43" s="323" t="s">
        <v>286</v>
      </c>
      <c r="Q43" s="324" t="s">
        <v>257</v>
      </c>
      <c r="R43" s="325" t="s">
        <v>188</v>
      </c>
      <c r="S43" s="102" t="s">
        <v>187</v>
      </c>
      <c r="T43" s="103" t="s">
        <v>178</v>
      </c>
      <c r="V43" s="325" t="s">
        <v>188</v>
      </c>
      <c r="W43" s="188" t="s">
        <v>187</v>
      </c>
      <c r="X43" s="189" t="s">
        <v>178</v>
      </c>
    </row>
    <row r="44" spans="1:29" x14ac:dyDescent="0.25">
      <c r="F44" s="302">
        <v>20240124</v>
      </c>
      <c r="G44" s="89">
        <f t="shared" ref="G44:G58" si="5">SUMIF($G$4:$G$34,F44,$R$4:$R$34)</f>
        <v>0</v>
      </c>
      <c r="H44" s="89">
        <f t="shared" ref="H44:H58" si="6">SUMIFS($T$4:$T$34,$G$4:$G$34,F44,$Z$4:$Z$34,"YES")</f>
        <v>0</v>
      </c>
      <c r="I44" s="89">
        <f t="shared" ref="I44:I58" si="7">SUMIFS($S$4:$S$34,$G$4:$G$34,F44,$Z$4:$Z$34,"YES")</f>
        <v>0</v>
      </c>
      <c r="J44" s="89">
        <f t="shared" ref="J44:J58" si="8">SUMIFS($R$4:$R$34,$G$4:$G$34,F44,$Z$4:$Z$34,"NO-GA")</f>
        <v>0</v>
      </c>
      <c r="K44" s="89">
        <f t="shared" ref="K44:K58" si="9">SUMIFS($R$4:$R$34,$G$4:$G$34,F44,$Z$4:$Z$34,"NO-OOS")</f>
        <v>0</v>
      </c>
      <c r="N44" s="105">
        <f t="shared" ref="N44:N71" si="10">SUMIF($AC$4:$AC$34,Q44,$R$4:$R$34)</f>
        <v>0</v>
      </c>
      <c r="O44" s="105">
        <f t="shared" ref="O44:O71" si="11">SUMIF($AC$4:$AC$34,Q44,$S$4:$S$34)</f>
        <v>0</v>
      </c>
      <c r="P44" s="105">
        <f t="shared" ref="P44:P71" si="12">SUMIF($AC$4:$AC$34,Q44,$T$4:$T$34)</f>
        <v>0</v>
      </c>
      <c r="Q44" s="106" t="s">
        <v>259</v>
      </c>
      <c r="R44" s="308">
        <f t="shared" ref="R44:R71" si="13">SUMIFS($T$4:$T$34,$AC$4:$AC$34,Q44,$Z$4:$Z$34,$R$43)</f>
        <v>0</v>
      </c>
      <c r="S44" s="309">
        <f t="shared" ref="S44:S71" si="14">SUMIFS($T$4:$T$34,$AC$4:$AC$34,Q44,$Z$4:$Z$34,$S$43)</f>
        <v>0</v>
      </c>
      <c r="T44" s="310">
        <f t="shared" ref="T44:T71" si="15">SUMIFS($T$4:$T$34,$AC$4:$AC$34,Q44,$Z$4:$Z$34,$T$43)</f>
        <v>0</v>
      </c>
      <c r="U44" s="311">
        <f>SUBTOTAL(9,R44:T44)-P44</f>
        <v>0</v>
      </c>
      <c r="V44" s="308">
        <f t="shared" ref="V44:V71" si="16">SUMIFS($S$4:$S$34,$AC$4:$AC$34,Q44,$Z$4:$Z$34,$V$43)</f>
        <v>0</v>
      </c>
      <c r="W44" s="309">
        <f t="shared" ref="W44:W71" si="17">SUMIFS($S$4:$S$34,$AC$4:$AC$34,Q44,$Z$4:$Z$34,$W$43)</f>
        <v>0</v>
      </c>
      <c r="X44" s="310">
        <f t="shared" ref="X44:X71" si="18">SUMIFS($S$4:$S$34,$AC$4:$AC$34,Q44,$Z$4:$Z$34,$X$43)</f>
        <v>0</v>
      </c>
      <c r="Y44" s="311">
        <f>SUBTOTAL(9,V44:X44)-O44</f>
        <v>0</v>
      </c>
    </row>
    <row r="45" spans="1:29" x14ac:dyDescent="0.25">
      <c r="F45" s="302">
        <v>20240125</v>
      </c>
      <c r="G45" s="89">
        <f t="shared" si="5"/>
        <v>0</v>
      </c>
      <c r="H45" s="89">
        <f t="shared" si="6"/>
        <v>0</v>
      </c>
      <c r="I45" s="89">
        <f t="shared" si="7"/>
        <v>0</v>
      </c>
      <c r="J45" s="89">
        <f t="shared" si="8"/>
        <v>0</v>
      </c>
      <c r="K45" s="89">
        <f t="shared" si="9"/>
        <v>0</v>
      </c>
      <c r="N45" s="105">
        <f t="shared" si="10"/>
        <v>0</v>
      </c>
      <c r="O45" s="105">
        <f t="shared" si="11"/>
        <v>0</v>
      </c>
      <c r="P45" s="105">
        <f t="shared" si="12"/>
        <v>0</v>
      </c>
      <c r="Q45" s="106" t="s">
        <v>260</v>
      </c>
      <c r="R45" s="308">
        <f t="shared" si="13"/>
        <v>0</v>
      </c>
      <c r="S45" s="309">
        <f t="shared" si="14"/>
        <v>0</v>
      </c>
      <c r="T45" s="310">
        <f t="shared" si="15"/>
        <v>0</v>
      </c>
      <c r="U45" s="311">
        <f t="shared" ref="U45:U71" si="19">SUBTOTAL(9,R45:T45)-P45</f>
        <v>0</v>
      </c>
      <c r="V45" s="308">
        <f t="shared" si="16"/>
        <v>0</v>
      </c>
      <c r="W45" s="309">
        <f t="shared" si="17"/>
        <v>0</v>
      </c>
      <c r="X45" s="310">
        <f t="shared" si="18"/>
        <v>0</v>
      </c>
      <c r="Y45" s="311">
        <f t="shared" ref="Y45:Y71" si="20">SUBTOTAL(9,V45:X45)-O45</f>
        <v>0</v>
      </c>
    </row>
    <row r="46" spans="1:29" x14ac:dyDescent="0.25">
      <c r="F46" s="302">
        <v>20240126</v>
      </c>
      <c r="G46" s="89">
        <f t="shared" si="5"/>
        <v>0</v>
      </c>
      <c r="H46" s="89">
        <f t="shared" si="6"/>
        <v>0</v>
      </c>
      <c r="I46" s="89">
        <f t="shared" si="7"/>
        <v>0</v>
      </c>
      <c r="J46" s="89">
        <f t="shared" si="8"/>
        <v>0</v>
      </c>
      <c r="K46" s="89">
        <f t="shared" si="9"/>
        <v>0</v>
      </c>
      <c r="N46" s="105">
        <f t="shared" si="10"/>
        <v>0</v>
      </c>
      <c r="O46" s="105">
        <f t="shared" si="11"/>
        <v>0</v>
      </c>
      <c r="P46" s="105">
        <f t="shared" si="12"/>
        <v>0</v>
      </c>
      <c r="Q46" s="106" t="s">
        <v>261</v>
      </c>
      <c r="R46" s="308">
        <f t="shared" si="13"/>
        <v>0</v>
      </c>
      <c r="S46" s="309">
        <f t="shared" si="14"/>
        <v>0</v>
      </c>
      <c r="T46" s="310">
        <f t="shared" si="15"/>
        <v>0</v>
      </c>
      <c r="U46" s="311">
        <f t="shared" si="19"/>
        <v>0</v>
      </c>
      <c r="V46" s="308">
        <f t="shared" si="16"/>
        <v>0</v>
      </c>
      <c r="W46" s="309">
        <f t="shared" si="17"/>
        <v>0</v>
      </c>
      <c r="X46" s="310">
        <f t="shared" si="18"/>
        <v>0</v>
      </c>
      <c r="Y46" s="311">
        <f t="shared" si="20"/>
        <v>0</v>
      </c>
    </row>
    <row r="47" spans="1:29" x14ac:dyDescent="0.25">
      <c r="F47" s="303"/>
      <c r="G47" s="89">
        <f t="shared" si="5"/>
        <v>0</v>
      </c>
      <c r="H47" s="89">
        <f t="shared" si="6"/>
        <v>0</v>
      </c>
      <c r="I47" s="89">
        <f t="shared" si="7"/>
        <v>0</v>
      </c>
      <c r="J47" s="89">
        <f t="shared" si="8"/>
        <v>0</v>
      </c>
      <c r="K47" s="89">
        <f t="shared" si="9"/>
        <v>0</v>
      </c>
      <c r="N47" s="105">
        <f t="shared" si="10"/>
        <v>0</v>
      </c>
      <c r="O47" s="105">
        <f t="shared" si="11"/>
        <v>0</v>
      </c>
      <c r="P47" s="105">
        <f t="shared" si="12"/>
        <v>0</v>
      </c>
      <c r="Q47" s="106" t="s">
        <v>262</v>
      </c>
      <c r="R47" s="308">
        <f t="shared" si="13"/>
        <v>0</v>
      </c>
      <c r="S47" s="309">
        <f t="shared" si="14"/>
        <v>0</v>
      </c>
      <c r="T47" s="310">
        <f t="shared" si="15"/>
        <v>0</v>
      </c>
      <c r="U47" s="311">
        <f t="shared" si="19"/>
        <v>0</v>
      </c>
      <c r="V47" s="308">
        <f t="shared" si="16"/>
        <v>0</v>
      </c>
      <c r="W47" s="309">
        <f t="shared" si="17"/>
        <v>0</v>
      </c>
      <c r="X47" s="310">
        <f t="shared" si="18"/>
        <v>0</v>
      </c>
      <c r="Y47" s="311">
        <f t="shared" si="20"/>
        <v>0</v>
      </c>
    </row>
    <row r="48" spans="1:29" x14ac:dyDescent="0.25">
      <c r="F48" s="303"/>
      <c r="G48" s="89">
        <f t="shared" si="5"/>
        <v>0</v>
      </c>
      <c r="H48" s="89">
        <f t="shared" si="6"/>
        <v>0</v>
      </c>
      <c r="I48" s="89">
        <f t="shared" si="7"/>
        <v>0</v>
      </c>
      <c r="J48" s="89">
        <f t="shared" si="8"/>
        <v>0</v>
      </c>
      <c r="K48" s="89">
        <f t="shared" si="9"/>
        <v>0</v>
      </c>
      <c r="N48" s="105">
        <f t="shared" si="10"/>
        <v>0</v>
      </c>
      <c r="O48" s="105">
        <f t="shared" si="11"/>
        <v>0</v>
      </c>
      <c r="P48" s="105">
        <f t="shared" si="12"/>
        <v>0</v>
      </c>
      <c r="Q48" s="106" t="s">
        <v>263</v>
      </c>
      <c r="R48" s="308">
        <f t="shared" si="13"/>
        <v>0</v>
      </c>
      <c r="S48" s="309">
        <f t="shared" si="14"/>
        <v>0</v>
      </c>
      <c r="T48" s="310">
        <f t="shared" si="15"/>
        <v>0</v>
      </c>
      <c r="U48" s="311">
        <f t="shared" si="19"/>
        <v>0</v>
      </c>
      <c r="V48" s="308">
        <f t="shared" si="16"/>
        <v>0</v>
      </c>
      <c r="W48" s="309">
        <f t="shared" si="17"/>
        <v>0</v>
      </c>
      <c r="X48" s="310">
        <f t="shared" si="18"/>
        <v>0</v>
      </c>
      <c r="Y48" s="311">
        <f t="shared" si="20"/>
        <v>0</v>
      </c>
    </row>
    <row r="49" spans="6:25" x14ac:dyDescent="0.25">
      <c r="F49" s="303"/>
      <c r="G49" s="89">
        <f t="shared" si="5"/>
        <v>0</v>
      </c>
      <c r="H49" s="89">
        <f t="shared" si="6"/>
        <v>0</v>
      </c>
      <c r="I49" s="89">
        <f t="shared" si="7"/>
        <v>0</v>
      </c>
      <c r="J49" s="89">
        <f t="shared" si="8"/>
        <v>0</v>
      </c>
      <c r="K49" s="89">
        <f t="shared" si="9"/>
        <v>0</v>
      </c>
      <c r="N49" s="105">
        <f t="shared" si="10"/>
        <v>0</v>
      </c>
      <c r="O49" s="105">
        <f t="shared" si="11"/>
        <v>0</v>
      </c>
      <c r="P49" s="105">
        <f t="shared" si="12"/>
        <v>0</v>
      </c>
      <c r="Q49" s="106" t="s">
        <v>264</v>
      </c>
      <c r="R49" s="308">
        <f t="shared" si="13"/>
        <v>0</v>
      </c>
      <c r="S49" s="309">
        <f t="shared" si="14"/>
        <v>0</v>
      </c>
      <c r="T49" s="310">
        <f t="shared" si="15"/>
        <v>0</v>
      </c>
      <c r="U49" s="311">
        <f t="shared" si="19"/>
        <v>0</v>
      </c>
      <c r="V49" s="308">
        <f t="shared" si="16"/>
        <v>0</v>
      </c>
      <c r="W49" s="309">
        <f t="shared" si="17"/>
        <v>0</v>
      </c>
      <c r="X49" s="310">
        <f t="shared" si="18"/>
        <v>0</v>
      </c>
      <c r="Y49" s="311">
        <f t="shared" si="20"/>
        <v>0</v>
      </c>
    </row>
    <row r="50" spans="6:25" x14ac:dyDescent="0.25">
      <c r="F50" s="303"/>
      <c r="G50" s="89">
        <f t="shared" si="5"/>
        <v>0</v>
      </c>
      <c r="H50" s="89">
        <f t="shared" si="6"/>
        <v>0</v>
      </c>
      <c r="I50" s="89">
        <f t="shared" si="7"/>
        <v>0</v>
      </c>
      <c r="J50" s="89">
        <f t="shared" si="8"/>
        <v>0</v>
      </c>
      <c r="K50" s="89">
        <f t="shared" si="9"/>
        <v>0</v>
      </c>
      <c r="N50" s="105">
        <f t="shared" si="10"/>
        <v>0</v>
      </c>
      <c r="O50" s="105">
        <f t="shared" si="11"/>
        <v>0</v>
      </c>
      <c r="P50" s="105">
        <f t="shared" si="12"/>
        <v>0</v>
      </c>
      <c r="Q50" s="106" t="s">
        <v>265</v>
      </c>
      <c r="R50" s="308">
        <f t="shared" si="13"/>
        <v>0</v>
      </c>
      <c r="S50" s="309">
        <f t="shared" si="14"/>
        <v>0</v>
      </c>
      <c r="T50" s="310">
        <f t="shared" si="15"/>
        <v>0</v>
      </c>
      <c r="U50" s="311">
        <f t="shared" si="19"/>
        <v>0</v>
      </c>
      <c r="V50" s="308">
        <f t="shared" si="16"/>
        <v>0</v>
      </c>
      <c r="W50" s="309">
        <f t="shared" si="17"/>
        <v>0</v>
      </c>
      <c r="X50" s="310">
        <f t="shared" si="18"/>
        <v>0</v>
      </c>
      <c r="Y50" s="311">
        <f t="shared" si="20"/>
        <v>0</v>
      </c>
    </row>
    <row r="51" spans="6:25" x14ac:dyDescent="0.25">
      <c r="F51" s="303"/>
      <c r="G51" s="89">
        <f t="shared" si="5"/>
        <v>0</v>
      </c>
      <c r="H51" s="89">
        <f t="shared" si="6"/>
        <v>0</v>
      </c>
      <c r="I51" s="89">
        <f t="shared" si="7"/>
        <v>0</v>
      </c>
      <c r="J51" s="89">
        <f t="shared" si="8"/>
        <v>0</v>
      </c>
      <c r="K51" s="89">
        <f t="shared" si="9"/>
        <v>0</v>
      </c>
      <c r="N51" s="105">
        <f t="shared" si="10"/>
        <v>0</v>
      </c>
      <c r="O51" s="105">
        <f t="shared" si="11"/>
        <v>0</v>
      </c>
      <c r="P51" s="105">
        <f t="shared" si="12"/>
        <v>0</v>
      </c>
      <c r="Q51" s="106" t="s">
        <v>266</v>
      </c>
      <c r="R51" s="308">
        <f t="shared" si="13"/>
        <v>0</v>
      </c>
      <c r="S51" s="309">
        <f t="shared" si="14"/>
        <v>0</v>
      </c>
      <c r="T51" s="310">
        <f t="shared" si="15"/>
        <v>0</v>
      </c>
      <c r="U51" s="311">
        <f t="shared" si="19"/>
        <v>0</v>
      </c>
      <c r="V51" s="308">
        <f t="shared" si="16"/>
        <v>0</v>
      </c>
      <c r="W51" s="309">
        <f t="shared" si="17"/>
        <v>0</v>
      </c>
      <c r="X51" s="310">
        <f t="shared" si="18"/>
        <v>0</v>
      </c>
      <c r="Y51" s="311">
        <f t="shared" si="20"/>
        <v>0</v>
      </c>
    </row>
    <row r="52" spans="6:25" x14ac:dyDescent="0.25">
      <c r="F52" s="303"/>
      <c r="G52" s="89">
        <f t="shared" si="5"/>
        <v>0</v>
      </c>
      <c r="H52" s="89">
        <f t="shared" si="6"/>
        <v>0</v>
      </c>
      <c r="I52" s="89">
        <f t="shared" si="7"/>
        <v>0</v>
      </c>
      <c r="J52" s="89">
        <f t="shared" si="8"/>
        <v>0</v>
      </c>
      <c r="K52" s="89">
        <f t="shared" si="9"/>
        <v>0</v>
      </c>
      <c r="N52" s="105">
        <f t="shared" si="10"/>
        <v>0</v>
      </c>
      <c r="O52" s="105">
        <f t="shared" si="11"/>
        <v>0</v>
      </c>
      <c r="P52" s="105">
        <f t="shared" si="12"/>
        <v>0</v>
      </c>
      <c r="Q52" s="106" t="s">
        <v>267</v>
      </c>
      <c r="R52" s="308">
        <f t="shared" si="13"/>
        <v>0</v>
      </c>
      <c r="S52" s="309">
        <f t="shared" si="14"/>
        <v>0</v>
      </c>
      <c r="T52" s="310">
        <f t="shared" si="15"/>
        <v>0</v>
      </c>
      <c r="U52" s="311">
        <f t="shared" si="19"/>
        <v>0</v>
      </c>
      <c r="V52" s="308">
        <f t="shared" si="16"/>
        <v>0</v>
      </c>
      <c r="W52" s="309">
        <f t="shared" si="17"/>
        <v>0</v>
      </c>
      <c r="X52" s="310">
        <f t="shared" si="18"/>
        <v>0</v>
      </c>
      <c r="Y52" s="311">
        <f t="shared" si="20"/>
        <v>0</v>
      </c>
    </row>
    <row r="53" spans="6:25" x14ac:dyDescent="0.25">
      <c r="F53" s="303"/>
      <c r="G53" s="89">
        <f t="shared" si="5"/>
        <v>0</v>
      </c>
      <c r="H53" s="89">
        <f t="shared" si="6"/>
        <v>0</v>
      </c>
      <c r="I53" s="89">
        <f t="shared" si="7"/>
        <v>0</v>
      </c>
      <c r="J53" s="89">
        <f t="shared" si="8"/>
        <v>0</v>
      </c>
      <c r="K53" s="89">
        <f t="shared" si="9"/>
        <v>0</v>
      </c>
      <c r="N53" s="105">
        <f t="shared" si="10"/>
        <v>0</v>
      </c>
      <c r="O53" s="105">
        <f t="shared" si="11"/>
        <v>0</v>
      </c>
      <c r="P53" s="105">
        <f t="shared" si="12"/>
        <v>0</v>
      </c>
      <c r="Q53" s="106" t="s">
        <v>268</v>
      </c>
      <c r="R53" s="308">
        <f t="shared" si="13"/>
        <v>0</v>
      </c>
      <c r="S53" s="309">
        <f t="shared" si="14"/>
        <v>0</v>
      </c>
      <c r="T53" s="310">
        <f t="shared" si="15"/>
        <v>0</v>
      </c>
      <c r="U53" s="311">
        <f t="shared" si="19"/>
        <v>0</v>
      </c>
      <c r="V53" s="308">
        <f t="shared" si="16"/>
        <v>0</v>
      </c>
      <c r="W53" s="309">
        <f t="shared" si="17"/>
        <v>0</v>
      </c>
      <c r="X53" s="310">
        <f t="shared" si="18"/>
        <v>0</v>
      </c>
      <c r="Y53" s="311">
        <f t="shared" si="20"/>
        <v>0</v>
      </c>
    </row>
    <row r="54" spans="6:25" x14ac:dyDescent="0.25">
      <c r="F54" s="303"/>
      <c r="G54" s="89">
        <f t="shared" si="5"/>
        <v>0</v>
      </c>
      <c r="H54" s="89">
        <f t="shared" si="6"/>
        <v>0</v>
      </c>
      <c r="I54" s="89">
        <f t="shared" si="7"/>
        <v>0</v>
      </c>
      <c r="J54" s="89">
        <f t="shared" si="8"/>
        <v>0</v>
      </c>
      <c r="K54" s="89">
        <f t="shared" si="9"/>
        <v>0</v>
      </c>
      <c r="N54" s="105">
        <f t="shared" si="10"/>
        <v>0</v>
      </c>
      <c r="O54" s="105">
        <f t="shared" si="11"/>
        <v>0</v>
      </c>
      <c r="P54" s="105">
        <f t="shared" si="12"/>
        <v>0</v>
      </c>
      <c r="Q54" s="106" t="s">
        <v>269</v>
      </c>
      <c r="R54" s="308">
        <f t="shared" si="13"/>
        <v>0</v>
      </c>
      <c r="S54" s="309">
        <f t="shared" si="14"/>
        <v>0</v>
      </c>
      <c r="T54" s="310">
        <f t="shared" si="15"/>
        <v>0</v>
      </c>
      <c r="U54" s="311">
        <f t="shared" si="19"/>
        <v>0</v>
      </c>
      <c r="V54" s="308">
        <f t="shared" si="16"/>
        <v>0</v>
      </c>
      <c r="W54" s="309">
        <f t="shared" si="17"/>
        <v>0</v>
      </c>
      <c r="X54" s="310">
        <f t="shared" si="18"/>
        <v>0</v>
      </c>
      <c r="Y54" s="311">
        <f t="shared" si="20"/>
        <v>0</v>
      </c>
    </row>
    <row r="55" spans="6:25" x14ac:dyDescent="0.25">
      <c r="F55" s="303"/>
      <c r="G55" s="89">
        <f t="shared" si="5"/>
        <v>0</v>
      </c>
      <c r="H55" s="89">
        <f t="shared" si="6"/>
        <v>0</v>
      </c>
      <c r="I55" s="89">
        <f t="shared" si="7"/>
        <v>0</v>
      </c>
      <c r="J55" s="89">
        <f t="shared" si="8"/>
        <v>0</v>
      </c>
      <c r="K55" s="89">
        <f t="shared" si="9"/>
        <v>0</v>
      </c>
      <c r="N55" s="105">
        <f t="shared" si="10"/>
        <v>0</v>
      </c>
      <c r="O55" s="105">
        <f t="shared" si="11"/>
        <v>0</v>
      </c>
      <c r="P55" s="105">
        <f t="shared" si="12"/>
        <v>0</v>
      </c>
      <c r="Q55" s="106" t="s">
        <v>270</v>
      </c>
      <c r="R55" s="308">
        <f t="shared" si="13"/>
        <v>0</v>
      </c>
      <c r="S55" s="309">
        <f t="shared" si="14"/>
        <v>0</v>
      </c>
      <c r="T55" s="310">
        <f t="shared" si="15"/>
        <v>0</v>
      </c>
      <c r="U55" s="311">
        <f t="shared" si="19"/>
        <v>0</v>
      </c>
      <c r="V55" s="308">
        <f t="shared" si="16"/>
        <v>0</v>
      </c>
      <c r="W55" s="309">
        <f t="shared" si="17"/>
        <v>0</v>
      </c>
      <c r="X55" s="310">
        <f t="shared" si="18"/>
        <v>0</v>
      </c>
      <c r="Y55" s="311">
        <f t="shared" si="20"/>
        <v>0</v>
      </c>
    </row>
    <row r="56" spans="6:25" x14ac:dyDescent="0.25">
      <c r="F56" s="303"/>
      <c r="G56" s="89">
        <f t="shared" si="5"/>
        <v>0</v>
      </c>
      <c r="H56" s="89">
        <f t="shared" si="6"/>
        <v>0</v>
      </c>
      <c r="I56" s="89">
        <f t="shared" si="7"/>
        <v>0</v>
      </c>
      <c r="J56" s="89">
        <f t="shared" si="8"/>
        <v>0</v>
      </c>
      <c r="K56" s="89">
        <f t="shared" si="9"/>
        <v>0</v>
      </c>
      <c r="N56" s="105">
        <f t="shared" si="10"/>
        <v>0</v>
      </c>
      <c r="O56" s="105">
        <f t="shared" si="11"/>
        <v>0</v>
      </c>
      <c r="P56" s="105">
        <f t="shared" si="12"/>
        <v>0</v>
      </c>
      <c r="Q56" s="106" t="s">
        <v>271</v>
      </c>
      <c r="R56" s="308">
        <f t="shared" si="13"/>
        <v>0</v>
      </c>
      <c r="S56" s="309">
        <f t="shared" si="14"/>
        <v>0</v>
      </c>
      <c r="T56" s="310">
        <f t="shared" si="15"/>
        <v>0</v>
      </c>
      <c r="U56" s="311">
        <f t="shared" si="19"/>
        <v>0</v>
      </c>
      <c r="V56" s="308">
        <f t="shared" si="16"/>
        <v>0</v>
      </c>
      <c r="W56" s="309">
        <f t="shared" si="17"/>
        <v>0</v>
      </c>
      <c r="X56" s="310">
        <f t="shared" si="18"/>
        <v>0</v>
      </c>
      <c r="Y56" s="311">
        <f t="shared" si="20"/>
        <v>0</v>
      </c>
    </row>
    <row r="57" spans="6:25" x14ac:dyDescent="0.25">
      <c r="F57" s="303"/>
      <c r="G57" s="89">
        <f t="shared" si="5"/>
        <v>0</v>
      </c>
      <c r="H57" s="89">
        <f t="shared" si="6"/>
        <v>0</v>
      </c>
      <c r="I57" s="89">
        <f t="shared" si="7"/>
        <v>0</v>
      </c>
      <c r="J57" s="89">
        <f t="shared" si="8"/>
        <v>0</v>
      </c>
      <c r="K57" s="89">
        <f t="shared" si="9"/>
        <v>0</v>
      </c>
      <c r="N57" s="105">
        <f t="shared" si="10"/>
        <v>0</v>
      </c>
      <c r="O57" s="105">
        <f t="shared" si="11"/>
        <v>0</v>
      </c>
      <c r="P57" s="105">
        <f t="shared" si="12"/>
        <v>0</v>
      </c>
      <c r="Q57" s="106" t="s">
        <v>272</v>
      </c>
      <c r="R57" s="308">
        <f t="shared" si="13"/>
        <v>0</v>
      </c>
      <c r="S57" s="309">
        <f t="shared" si="14"/>
        <v>0</v>
      </c>
      <c r="T57" s="310">
        <f t="shared" si="15"/>
        <v>0</v>
      </c>
      <c r="U57" s="311">
        <f t="shared" si="19"/>
        <v>0</v>
      </c>
      <c r="V57" s="308">
        <f t="shared" si="16"/>
        <v>0</v>
      </c>
      <c r="W57" s="309">
        <f t="shared" si="17"/>
        <v>0</v>
      </c>
      <c r="X57" s="310">
        <f t="shared" si="18"/>
        <v>0</v>
      </c>
      <c r="Y57" s="311">
        <f t="shared" si="20"/>
        <v>0</v>
      </c>
    </row>
    <row r="58" spans="6:25" x14ac:dyDescent="0.25">
      <c r="F58" s="303"/>
      <c r="G58" s="89">
        <f t="shared" si="5"/>
        <v>0</v>
      </c>
      <c r="H58" s="89">
        <f t="shared" si="6"/>
        <v>0</v>
      </c>
      <c r="I58" s="89">
        <f t="shared" si="7"/>
        <v>0</v>
      </c>
      <c r="J58" s="89">
        <f t="shared" si="8"/>
        <v>0</v>
      </c>
      <c r="K58" s="89">
        <f t="shared" si="9"/>
        <v>0</v>
      </c>
      <c r="N58" s="105">
        <f t="shared" si="10"/>
        <v>0</v>
      </c>
      <c r="O58" s="105">
        <f t="shared" si="11"/>
        <v>0</v>
      </c>
      <c r="P58" s="105">
        <f t="shared" si="12"/>
        <v>0</v>
      </c>
      <c r="Q58" s="106" t="s">
        <v>273</v>
      </c>
      <c r="R58" s="308">
        <f t="shared" si="13"/>
        <v>0</v>
      </c>
      <c r="S58" s="309">
        <f t="shared" si="14"/>
        <v>0</v>
      </c>
      <c r="T58" s="310">
        <f t="shared" si="15"/>
        <v>0</v>
      </c>
      <c r="U58" s="311">
        <f t="shared" si="19"/>
        <v>0</v>
      </c>
      <c r="V58" s="308">
        <f t="shared" si="16"/>
        <v>0</v>
      </c>
      <c r="W58" s="309">
        <f t="shared" si="17"/>
        <v>0</v>
      </c>
      <c r="X58" s="310">
        <f t="shared" si="18"/>
        <v>0</v>
      </c>
      <c r="Y58" s="311">
        <f t="shared" si="20"/>
        <v>0</v>
      </c>
    </row>
    <row r="59" spans="6:25" x14ac:dyDescent="0.25">
      <c r="G59" s="53">
        <f>SUM(G44:G58)</f>
        <v>0</v>
      </c>
      <c r="H59" s="53">
        <f>SUM(H44:H58)</f>
        <v>0</v>
      </c>
      <c r="I59" s="53">
        <f t="shared" ref="I59" si="21">SUM(I44:I58)</f>
        <v>0</v>
      </c>
      <c r="J59" s="53">
        <f t="shared" ref="J59:K59" si="22">SUM(J44:J58)</f>
        <v>0</v>
      </c>
      <c r="K59" s="53">
        <f t="shared" si="22"/>
        <v>0</v>
      </c>
      <c r="L59" s="53">
        <f>SUM(H59:K59)-G59</f>
        <v>0</v>
      </c>
      <c r="N59" s="105">
        <f t="shared" si="10"/>
        <v>0</v>
      </c>
      <c r="O59" s="105">
        <f t="shared" si="11"/>
        <v>0</v>
      </c>
      <c r="P59" s="105">
        <f t="shared" si="12"/>
        <v>0</v>
      </c>
      <c r="Q59" s="106" t="s">
        <v>274</v>
      </c>
      <c r="R59" s="308">
        <f t="shared" si="13"/>
        <v>0</v>
      </c>
      <c r="S59" s="309">
        <f t="shared" si="14"/>
        <v>0</v>
      </c>
      <c r="T59" s="310">
        <f t="shared" si="15"/>
        <v>0</v>
      </c>
      <c r="U59" s="311">
        <f t="shared" si="19"/>
        <v>0</v>
      </c>
      <c r="V59" s="308">
        <f t="shared" si="16"/>
        <v>0</v>
      </c>
      <c r="W59" s="309">
        <f t="shared" si="17"/>
        <v>0</v>
      </c>
      <c r="X59" s="310">
        <f t="shared" si="18"/>
        <v>0</v>
      </c>
      <c r="Y59" s="311">
        <f t="shared" si="20"/>
        <v>0</v>
      </c>
    </row>
    <row r="60" spans="6:25" x14ac:dyDescent="0.25">
      <c r="N60" s="105">
        <f t="shared" si="10"/>
        <v>0</v>
      </c>
      <c r="O60" s="105">
        <f t="shared" si="11"/>
        <v>0</v>
      </c>
      <c r="P60" s="105">
        <f t="shared" si="12"/>
        <v>0</v>
      </c>
      <c r="Q60" s="106" t="s">
        <v>275</v>
      </c>
      <c r="R60" s="308">
        <f t="shared" si="13"/>
        <v>0</v>
      </c>
      <c r="S60" s="309">
        <f t="shared" si="14"/>
        <v>0</v>
      </c>
      <c r="T60" s="310">
        <f t="shared" si="15"/>
        <v>0</v>
      </c>
      <c r="U60" s="311">
        <f t="shared" si="19"/>
        <v>0</v>
      </c>
      <c r="V60" s="308">
        <f t="shared" si="16"/>
        <v>0</v>
      </c>
      <c r="W60" s="309">
        <f t="shared" si="17"/>
        <v>0</v>
      </c>
      <c r="X60" s="310">
        <f t="shared" si="18"/>
        <v>0</v>
      </c>
      <c r="Y60" s="311">
        <f t="shared" si="20"/>
        <v>0</v>
      </c>
    </row>
    <row r="61" spans="6:25" x14ac:dyDescent="0.25">
      <c r="N61" s="105">
        <f t="shared" si="10"/>
        <v>0</v>
      </c>
      <c r="O61" s="105">
        <f t="shared" si="11"/>
        <v>0</v>
      </c>
      <c r="P61" s="105">
        <f t="shared" si="12"/>
        <v>0</v>
      </c>
      <c r="Q61" s="106" t="s">
        <v>276</v>
      </c>
      <c r="R61" s="308">
        <f t="shared" si="13"/>
        <v>0</v>
      </c>
      <c r="S61" s="309">
        <f t="shared" si="14"/>
        <v>0</v>
      </c>
      <c r="T61" s="310">
        <f t="shared" si="15"/>
        <v>0</v>
      </c>
      <c r="U61" s="311">
        <f t="shared" si="19"/>
        <v>0</v>
      </c>
      <c r="V61" s="308">
        <f t="shared" si="16"/>
        <v>0</v>
      </c>
      <c r="W61" s="309">
        <f t="shared" si="17"/>
        <v>0</v>
      </c>
      <c r="X61" s="310">
        <f t="shared" si="18"/>
        <v>0</v>
      </c>
      <c r="Y61" s="311">
        <f t="shared" si="20"/>
        <v>0</v>
      </c>
    </row>
    <row r="62" spans="6:25" x14ac:dyDescent="0.25">
      <c r="N62" s="105">
        <f t="shared" si="10"/>
        <v>0</v>
      </c>
      <c r="O62" s="105">
        <f t="shared" si="11"/>
        <v>0</v>
      </c>
      <c r="P62" s="105">
        <f t="shared" si="12"/>
        <v>0</v>
      </c>
      <c r="Q62" s="106" t="s">
        <v>277</v>
      </c>
      <c r="R62" s="308">
        <f t="shared" si="13"/>
        <v>0</v>
      </c>
      <c r="S62" s="309">
        <f t="shared" si="14"/>
        <v>0</v>
      </c>
      <c r="T62" s="310">
        <f t="shared" si="15"/>
        <v>0</v>
      </c>
      <c r="U62" s="311">
        <f t="shared" si="19"/>
        <v>0</v>
      </c>
      <c r="V62" s="308">
        <f t="shared" si="16"/>
        <v>0</v>
      </c>
      <c r="W62" s="309">
        <f t="shared" si="17"/>
        <v>0</v>
      </c>
      <c r="X62" s="310">
        <f t="shared" si="18"/>
        <v>0</v>
      </c>
      <c r="Y62" s="311">
        <f t="shared" si="20"/>
        <v>0</v>
      </c>
    </row>
    <row r="63" spans="6:25" x14ac:dyDescent="0.25">
      <c r="N63" s="105">
        <f t="shared" si="10"/>
        <v>0</v>
      </c>
      <c r="O63" s="105">
        <f t="shared" si="11"/>
        <v>0</v>
      </c>
      <c r="P63" s="105">
        <f t="shared" si="12"/>
        <v>0</v>
      </c>
      <c r="Q63" s="106" t="s">
        <v>278</v>
      </c>
      <c r="R63" s="308">
        <f t="shared" si="13"/>
        <v>0</v>
      </c>
      <c r="S63" s="309">
        <f t="shared" si="14"/>
        <v>0</v>
      </c>
      <c r="T63" s="310">
        <f t="shared" si="15"/>
        <v>0</v>
      </c>
      <c r="U63" s="311">
        <f t="shared" si="19"/>
        <v>0</v>
      </c>
      <c r="V63" s="308">
        <f t="shared" si="16"/>
        <v>0</v>
      </c>
      <c r="W63" s="309">
        <f t="shared" si="17"/>
        <v>0</v>
      </c>
      <c r="X63" s="310">
        <f t="shared" si="18"/>
        <v>0</v>
      </c>
      <c r="Y63" s="311">
        <f t="shared" si="20"/>
        <v>0</v>
      </c>
    </row>
    <row r="64" spans="6:25" x14ac:dyDescent="0.25">
      <c r="N64" s="105">
        <f t="shared" si="10"/>
        <v>0</v>
      </c>
      <c r="O64" s="105">
        <f t="shared" si="11"/>
        <v>0</v>
      </c>
      <c r="P64" s="105">
        <f t="shared" si="12"/>
        <v>0</v>
      </c>
      <c r="Q64" s="106" t="s">
        <v>279</v>
      </c>
      <c r="R64" s="308">
        <f t="shared" si="13"/>
        <v>0</v>
      </c>
      <c r="S64" s="309">
        <f t="shared" si="14"/>
        <v>0</v>
      </c>
      <c r="T64" s="310">
        <f t="shared" si="15"/>
        <v>0</v>
      </c>
      <c r="U64" s="311">
        <f t="shared" si="19"/>
        <v>0</v>
      </c>
      <c r="V64" s="308">
        <f t="shared" si="16"/>
        <v>0</v>
      </c>
      <c r="W64" s="309">
        <f t="shared" si="17"/>
        <v>0</v>
      </c>
      <c r="X64" s="310">
        <f t="shared" si="18"/>
        <v>0</v>
      </c>
      <c r="Y64" s="311">
        <f t="shared" si="20"/>
        <v>0</v>
      </c>
    </row>
    <row r="65" spans="14:25" x14ac:dyDescent="0.25">
      <c r="N65" s="105">
        <f t="shared" si="10"/>
        <v>0</v>
      </c>
      <c r="O65" s="105">
        <f t="shared" si="11"/>
        <v>0</v>
      </c>
      <c r="P65" s="105">
        <f t="shared" si="12"/>
        <v>0</v>
      </c>
      <c r="Q65" s="106" t="s">
        <v>280</v>
      </c>
      <c r="R65" s="308">
        <f t="shared" si="13"/>
        <v>0</v>
      </c>
      <c r="S65" s="309">
        <f t="shared" si="14"/>
        <v>0</v>
      </c>
      <c r="T65" s="310">
        <f t="shared" si="15"/>
        <v>0</v>
      </c>
      <c r="U65" s="311">
        <f t="shared" si="19"/>
        <v>0</v>
      </c>
      <c r="V65" s="308">
        <f t="shared" si="16"/>
        <v>0</v>
      </c>
      <c r="W65" s="309">
        <f t="shared" si="17"/>
        <v>0</v>
      </c>
      <c r="X65" s="310">
        <f t="shared" si="18"/>
        <v>0</v>
      </c>
      <c r="Y65" s="311">
        <f t="shared" si="20"/>
        <v>0</v>
      </c>
    </row>
    <row r="66" spans="14:25" x14ac:dyDescent="0.25">
      <c r="N66" s="105">
        <f t="shared" si="10"/>
        <v>0</v>
      </c>
      <c r="O66" s="105">
        <f t="shared" si="11"/>
        <v>0</v>
      </c>
      <c r="P66" s="105">
        <f t="shared" si="12"/>
        <v>0</v>
      </c>
      <c r="Q66" s="106" t="s">
        <v>281</v>
      </c>
      <c r="R66" s="308">
        <f t="shared" si="13"/>
        <v>0</v>
      </c>
      <c r="S66" s="309">
        <f t="shared" si="14"/>
        <v>0</v>
      </c>
      <c r="T66" s="310">
        <f t="shared" si="15"/>
        <v>0</v>
      </c>
      <c r="U66" s="311">
        <f t="shared" si="19"/>
        <v>0</v>
      </c>
      <c r="V66" s="308">
        <f t="shared" si="16"/>
        <v>0</v>
      </c>
      <c r="W66" s="309">
        <f t="shared" si="17"/>
        <v>0</v>
      </c>
      <c r="X66" s="310">
        <f t="shared" si="18"/>
        <v>0</v>
      </c>
      <c r="Y66" s="311">
        <f t="shared" si="20"/>
        <v>0</v>
      </c>
    </row>
    <row r="67" spans="14:25" x14ac:dyDescent="0.25">
      <c r="N67" s="105">
        <f t="shared" si="10"/>
        <v>0</v>
      </c>
      <c r="O67" s="105">
        <f t="shared" si="11"/>
        <v>0</v>
      </c>
      <c r="P67" s="105">
        <f t="shared" si="12"/>
        <v>0</v>
      </c>
      <c r="Q67" s="106" t="s">
        <v>282</v>
      </c>
      <c r="R67" s="308">
        <f t="shared" si="13"/>
        <v>0</v>
      </c>
      <c r="S67" s="309">
        <f t="shared" si="14"/>
        <v>0</v>
      </c>
      <c r="T67" s="310">
        <f t="shared" si="15"/>
        <v>0</v>
      </c>
      <c r="U67" s="311">
        <f t="shared" si="19"/>
        <v>0</v>
      </c>
      <c r="V67" s="308">
        <f t="shared" si="16"/>
        <v>0</v>
      </c>
      <c r="W67" s="309">
        <f t="shared" si="17"/>
        <v>0</v>
      </c>
      <c r="X67" s="310">
        <f t="shared" si="18"/>
        <v>0</v>
      </c>
      <c r="Y67" s="311">
        <f t="shared" si="20"/>
        <v>0</v>
      </c>
    </row>
    <row r="68" spans="14:25" x14ac:dyDescent="0.25">
      <c r="N68" s="105">
        <f t="shared" si="10"/>
        <v>0</v>
      </c>
      <c r="O68" s="105">
        <f t="shared" si="11"/>
        <v>0</v>
      </c>
      <c r="P68" s="105">
        <f t="shared" si="12"/>
        <v>0</v>
      </c>
      <c r="Q68" s="106" t="s">
        <v>283</v>
      </c>
      <c r="R68" s="308">
        <f t="shared" si="13"/>
        <v>0</v>
      </c>
      <c r="S68" s="309">
        <f t="shared" si="14"/>
        <v>0</v>
      </c>
      <c r="T68" s="310">
        <f t="shared" si="15"/>
        <v>0</v>
      </c>
      <c r="U68" s="311">
        <f t="shared" si="19"/>
        <v>0</v>
      </c>
      <c r="V68" s="308">
        <f t="shared" si="16"/>
        <v>0</v>
      </c>
      <c r="W68" s="309">
        <f t="shared" si="17"/>
        <v>0</v>
      </c>
      <c r="X68" s="310">
        <f t="shared" si="18"/>
        <v>0</v>
      </c>
      <c r="Y68" s="311">
        <f t="shared" si="20"/>
        <v>0</v>
      </c>
    </row>
    <row r="69" spans="14:25" x14ac:dyDescent="0.25">
      <c r="N69" s="105">
        <f t="shared" si="10"/>
        <v>0</v>
      </c>
      <c r="O69" s="105">
        <f t="shared" si="11"/>
        <v>0</v>
      </c>
      <c r="P69" s="105">
        <f t="shared" si="12"/>
        <v>0</v>
      </c>
      <c r="Q69" s="304"/>
      <c r="R69" s="308">
        <f t="shared" si="13"/>
        <v>0</v>
      </c>
      <c r="S69" s="309">
        <f t="shared" si="14"/>
        <v>0</v>
      </c>
      <c r="T69" s="310">
        <f t="shared" si="15"/>
        <v>0</v>
      </c>
      <c r="U69" s="311">
        <f t="shared" si="19"/>
        <v>0</v>
      </c>
      <c r="V69" s="308">
        <f t="shared" si="16"/>
        <v>0</v>
      </c>
      <c r="W69" s="309">
        <f t="shared" si="17"/>
        <v>0</v>
      </c>
      <c r="X69" s="310">
        <f t="shared" si="18"/>
        <v>0</v>
      </c>
      <c r="Y69" s="311">
        <f t="shared" si="20"/>
        <v>0</v>
      </c>
    </row>
    <row r="70" spans="14:25" x14ac:dyDescent="0.25">
      <c r="N70" s="105">
        <f t="shared" si="10"/>
        <v>0</v>
      </c>
      <c r="O70" s="105">
        <f t="shared" si="11"/>
        <v>0</v>
      </c>
      <c r="P70" s="105">
        <f t="shared" si="12"/>
        <v>0</v>
      </c>
      <c r="Q70" s="304"/>
      <c r="R70" s="308">
        <f t="shared" si="13"/>
        <v>0</v>
      </c>
      <c r="S70" s="309">
        <f t="shared" si="14"/>
        <v>0</v>
      </c>
      <c r="T70" s="310">
        <f t="shared" si="15"/>
        <v>0</v>
      </c>
      <c r="U70" s="311">
        <f t="shared" si="19"/>
        <v>0</v>
      </c>
      <c r="V70" s="308">
        <f t="shared" si="16"/>
        <v>0</v>
      </c>
      <c r="W70" s="309">
        <f t="shared" si="17"/>
        <v>0</v>
      </c>
      <c r="X70" s="310">
        <f t="shared" si="18"/>
        <v>0</v>
      </c>
      <c r="Y70" s="311">
        <f t="shared" si="20"/>
        <v>0</v>
      </c>
    </row>
    <row r="71" spans="14:25" x14ac:dyDescent="0.25">
      <c r="N71" s="105">
        <f t="shared" si="10"/>
        <v>0</v>
      </c>
      <c r="O71" s="105">
        <f t="shared" si="11"/>
        <v>0</v>
      </c>
      <c r="P71" s="105">
        <f t="shared" si="12"/>
        <v>0</v>
      </c>
      <c r="Q71" s="304"/>
      <c r="R71" s="308">
        <f t="shared" si="13"/>
        <v>0</v>
      </c>
      <c r="S71" s="309">
        <f t="shared" si="14"/>
        <v>0</v>
      </c>
      <c r="T71" s="310">
        <f t="shared" si="15"/>
        <v>0</v>
      </c>
      <c r="U71" s="311">
        <f t="shared" si="19"/>
        <v>0</v>
      </c>
      <c r="V71" s="308">
        <f t="shared" si="16"/>
        <v>0</v>
      </c>
      <c r="W71" s="309">
        <f t="shared" si="17"/>
        <v>0</v>
      </c>
      <c r="X71" s="310">
        <f t="shared" si="18"/>
        <v>0</v>
      </c>
      <c r="Y71" s="311">
        <f t="shared" si="20"/>
        <v>0</v>
      </c>
    </row>
    <row r="72" spans="14:25" ht="15.75" thickBot="1" x14ac:dyDescent="0.3">
      <c r="N72" s="305">
        <f>SUM(N44:N71)</f>
        <v>0</v>
      </c>
      <c r="O72" s="306">
        <f t="shared" ref="O72:P72" si="23">SUM(O44:O71)</f>
        <v>0</v>
      </c>
      <c r="P72" s="306">
        <f t="shared" si="23"/>
        <v>0</v>
      </c>
      <c r="Q72" s="307"/>
      <c r="R72" s="305">
        <f>SUM(R44:R71)</f>
        <v>0</v>
      </c>
      <c r="S72" s="306">
        <f t="shared" ref="S72:V72" si="24">SUM(S44:S71)</f>
        <v>0</v>
      </c>
      <c r="T72" s="307">
        <f>SUM(T44:T71)</f>
        <v>0</v>
      </c>
      <c r="U72" s="312">
        <f t="shared" ref="U72" si="25">SUM(U44:U71)</f>
        <v>0</v>
      </c>
      <c r="V72" s="305">
        <f t="shared" si="24"/>
        <v>0</v>
      </c>
      <c r="W72" s="306">
        <f t="shared" ref="W72" si="26">SUM(W44:W71)</f>
        <v>0</v>
      </c>
      <c r="X72" s="307">
        <f>SUM(X44:X71)</f>
        <v>0</v>
      </c>
      <c r="Y72" s="312">
        <f t="shared" ref="Y72" si="27">SUM(Y44:Y71)</f>
        <v>0</v>
      </c>
    </row>
    <row r="73" spans="14:25" ht="15.75" thickTop="1" x14ac:dyDescent="0.25">
      <c r="P73" s="290">
        <f>O72+P72</f>
        <v>0</v>
      </c>
      <c r="Q73" s="76"/>
    </row>
    <row r="74" spans="14:25" x14ac:dyDescent="0.25">
      <c r="P74" s="291">
        <f>N72-P73</f>
        <v>0</v>
      </c>
      <c r="Q74"/>
    </row>
  </sheetData>
  <mergeCells count="2">
    <mergeCell ref="R42:T42"/>
    <mergeCell ref="V42:X42"/>
  </mergeCells>
  <conditionalFormatting sqref="O43:O71 N72:N74 W75:W93">
    <cfRule type="containsText" dxfId="80" priority="24" operator="containsText" text="NO-OOS">
      <formula>NOT(ISERROR(SEARCH("NO-OOS",N43)))</formula>
    </cfRule>
  </conditionalFormatting>
  <conditionalFormatting sqref="O43:O71 N72:U72 N72:N74 W75:W93">
    <cfRule type="containsText" dxfId="79" priority="25" operator="containsText" text="NO-GA">
      <formula>NOT(ISERROR(SEARCH("NO-GA",N43)))</formula>
    </cfRule>
    <cfRule type="containsText" dxfId="78" priority="26" operator="containsText" text="YES">
      <formula>NOT(ISERROR(SEARCH("YES",N43)))</formula>
    </cfRule>
  </conditionalFormatting>
  <conditionalFormatting sqref="P44:P71">
    <cfRule type="containsText" dxfId="77" priority="18" operator="containsText" text="NO-OOS">
      <formula>NOT(ISERROR(SEARCH("NO-OOS",P44)))</formula>
    </cfRule>
    <cfRule type="containsText" dxfId="76" priority="19" operator="containsText" text="NO-GA">
      <formula>NOT(ISERROR(SEARCH("NO-GA",P44)))</formula>
    </cfRule>
    <cfRule type="containsText" dxfId="75" priority="20" operator="containsText" text="YES">
      <formula>NOT(ISERROR(SEARCH("YES",P44)))</formula>
    </cfRule>
  </conditionalFormatting>
  <conditionalFormatting sqref="V4:V34">
    <cfRule type="cellIs" dxfId="74" priority="1" operator="equal">
      <formula>"YES-INVALID"</formula>
    </cfRule>
    <cfRule type="cellIs" dxfId="73" priority="2" operator="equal">
      <formula>"YES"</formula>
    </cfRule>
    <cfRule type="cellIs" dxfId="72" priority="3" operator="equal">
      <formula>"MISSING"</formula>
    </cfRule>
  </conditionalFormatting>
  <conditionalFormatting sqref="Z4:Z34 W35:W40 N72:Y72">
    <cfRule type="containsText" dxfId="71" priority="7" operator="containsText" text="NO-OOS">
      <formula>NOT(ISERROR(SEARCH("NO-OOS",N4)))</formula>
    </cfRule>
  </conditionalFormatting>
  <conditionalFormatting sqref="Z4:Z34 W35:W40 V72:Y72">
    <cfRule type="containsText" dxfId="70" priority="8" operator="containsText" text="NO-GA">
      <formula>NOT(ISERROR(SEARCH("NO-GA",V4)))</formula>
    </cfRule>
    <cfRule type="containsText" dxfId="69" priority="9" operator="containsText" text="YES">
      <formula>NOT(ISERROR(SEARCH("YES",V4)))</formula>
    </cfRule>
  </conditionalFormatting>
  <conditionalFormatting sqref="AB4:AC34">
    <cfRule type="cellIs" dxfId="68" priority="21" operator="equal">
      <formula>"MISSING"</formula>
    </cfRule>
    <cfRule type="cellIs" dxfId="67" priority="22" operator="equal">
      <formula>"YES"</formula>
    </cfRule>
    <cfRule type="cellIs" dxfId="66" priority="23" operator="equal">
      <formula>"NO"</formula>
    </cfRule>
  </conditionalFormatting>
  <dataValidations count="4">
    <dataValidation type="list" allowBlank="1" showInputMessage="1" showErrorMessage="1" sqref="W78:W93 Z4:Z34 W35:W40" xr:uid="{B920EB6C-5DFF-4CB7-8B54-CEF23EAFE989}">
      <formula1>"YES,NO-GA,NO-OOS"</formula1>
    </dataValidation>
    <dataValidation type="list" allowBlank="1" showInputMessage="1" showErrorMessage="1" sqref="V4:V34" xr:uid="{2F860A89-AD13-4B95-B9B0-3A38EE534BCB}">
      <formula1>"YES, YES-INVALID, MISSING, N/A"</formula1>
    </dataValidation>
    <dataValidation type="list" allowBlank="1" showInputMessage="1" showErrorMessage="1" sqref="U73:U93 U35:U43" xr:uid="{5364125E-4536-49BC-BD39-E05A6A8ADB22}">
      <formula1>#REF!</formula1>
    </dataValidation>
    <dataValidation type="list" allowBlank="1" showInputMessage="1" showErrorMessage="1" promptTitle="FF2" prompt="GS - Georgia Spend Non-Payroll_x000a_GL - Georgia Labor (Georgia Residents)_x000a_NQ - Non Qualified_x000a_DL - Distant Labor (Non-Georgia Residents)" sqref="V73:V93 V35:V40" xr:uid="{54E85008-D8DD-4AF0-89E7-3F483473E4B4}">
      <formula1>#REF!</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3BA86393-E407-4578-A2D3-C14EF8DE33A2}">
          <x14:formula1>
            <xm:f>Legend!$D$2:$D$26</xm:f>
          </x14:formula1>
          <xm:sqref>AB4:AB34</xm:sqref>
        </x14:dataValidation>
        <x14:dataValidation type="list" allowBlank="1" showInputMessage="1" showErrorMessage="1" xr:uid="{E9864803-F3EB-4905-8317-758DDAFFE1BB}">
          <x14:formula1>
            <xm:f>Overview!$C$15:$C$17</xm:f>
          </x14:formula1>
          <xm:sqref>V4:V34</xm:sqref>
        </x14:dataValidation>
        <x14:dataValidation type="list" allowBlank="1" showInputMessage="1" showErrorMessage="1" xr:uid="{4DFC45C4-6ED3-4A72-A642-37A0DBDACDB9}">
          <x14:formula1>
            <xm:f>Legend!$H$3:$H$15</xm:f>
          </x14:formula1>
          <xm:sqref>W4:W34</xm:sqref>
        </x14:dataValidation>
        <x14:dataValidation type="list" allowBlank="1" showInputMessage="1" showErrorMessage="1" xr:uid="{7248730D-7ADD-4158-AC0A-6FD585F4399E}">
          <x14:formula1>
            <xm:f>Legend!$N$3:$N$8</xm:f>
          </x14:formula1>
          <xm:sqref>Y4:Y34</xm:sqref>
        </x14:dataValidation>
        <x14:dataValidation type="list" showInputMessage="1" showErrorMessage="1" promptTitle="FF2" prompt="GS - Georgia Spend NON PAYROLL_x000a_GL - Geogia Labor (GA Residents)_x000a_NQ - Non Qualified_x000a_DL - Distant Labor (NON-GA Residents)" xr:uid="{F4AAA2E5-3AC0-4287-996F-CDE518F7D37B}">
          <x14:formula1>
            <xm:f>Legend!$K$3:$K$6</xm:f>
          </x14:formula1>
          <xm:sqref>X4:X34</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594F6-C917-49EB-8D41-9E26AB7E1BA4}">
  <sheetPr codeName="Sheet14">
    <tabColor rgb="FFCCCCFF"/>
  </sheetPr>
  <dimension ref="A1:AR1048493"/>
  <sheetViews>
    <sheetView zoomScale="90" zoomScaleNormal="90" workbookViewId="0">
      <pane ySplit="3" topLeftCell="A14" activePane="bottomLeft" state="frozen"/>
      <selection activeCell="X1" sqref="X1"/>
      <selection pane="bottomLeft" activeCell="R22" sqref="R22"/>
    </sheetView>
  </sheetViews>
  <sheetFormatPr defaultRowHeight="15" x14ac:dyDescent="0.25"/>
  <cols>
    <col min="1" max="1" width="12.140625" style="3" bestFit="1" customWidth="1"/>
    <col min="2" max="2" width="13.7109375" style="3" bestFit="1" customWidth="1"/>
    <col min="3" max="3" width="20.28515625" style="3" customWidth="1"/>
    <col min="4" max="4" width="17.28515625" style="3" customWidth="1"/>
    <col min="5" max="5" width="16.140625" style="3" customWidth="1"/>
    <col min="6" max="6" width="26.7109375" style="4" customWidth="1"/>
    <col min="7" max="7" width="10.28515625" bestFit="1" customWidth="1"/>
    <col min="8" max="8" width="11" customWidth="1"/>
    <col min="9" max="9" width="12" style="3" bestFit="1" customWidth="1"/>
    <col min="10" max="10" width="10.28515625" style="3" bestFit="1" customWidth="1"/>
    <col min="11" max="11" width="46.7109375" style="3" customWidth="1"/>
    <col min="12" max="12" width="10.7109375" bestFit="1" customWidth="1"/>
    <col min="13" max="13" width="10.28515625" bestFit="1" customWidth="1"/>
    <col min="14" max="14" width="16" bestFit="1" customWidth="1"/>
    <col min="15" max="15" width="14.28515625" bestFit="1" customWidth="1"/>
    <col min="16" max="16" width="16.7109375" style="3" bestFit="1" customWidth="1"/>
    <col min="17" max="17" width="30.5703125" style="12" customWidth="1"/>
    <col min="18" max="18" width="13.7109375" style="12" bestFit="1" customWidth="1"/>
    <col min="19" max="19" width="12.42578125" bestFit="1" customWidth="1"/>
    <col min="20" max="20" width="16.28515625" bestFit="1" customWidth="1"/>
    <col min="21" max="21" width="11.7109375" bestFit="1" customWidth="1"/>
    <col min="22" max="22" width="16.28515625" bestFit="1" customWidth="1"/>
    <col min="23" max="23" width="15.42578125" style="3" customWidth="1"/>
    <col min="24" max="24" width="15.140625" customWidth="1"/>
    <col min="25" max="25" width="13" bestFit="1" customWidth="1"/>
    <col min="26" max="26" width="13" style="12" bestFit="1" customWidth="1"/>
    <col min="27" max="27" width="24.5703125" style="12" bestFit="1" customWidth="1"/>
    <col min="28" max="28" width="11.140625" bestFit="1" customWidth="1"/>
    <col min="29" max="29" width="14.42578125" bestFit="1" customWidth="1"/>
    <col min="30" max="30" width="16.85546875" bestFit="1" customWidth="1"/>
    <col min="31" max="31" width="12.85546875" bestFit="1" customWidth="1"/>
    <col min="32" max="32" width="13.85546875" bestFit="1" customWidth="1"/>
    <col min="33" max="33" width="14.42578125" customWidth="1"/>
    <col min="34" max="34" width="11.85546875" style="3" bestFit="1" customWidth="1"/>
    <col min="35" max="35" width="16.42578125" customWidth="1"/>
    <col min="36" max="36" width="14.5703125" bestFit="1" customWidth="1"/>
    <col min="37" max="37" width="52.28515625" style="3" bestFit="1" customWidth="1"/>
    <col min="38" max="38" width="14.85546875" bestFit="1" customWidth="1"/>
    <col min="39" max="39" width="21.5703125" customWidth="1"/>
    <col min="40" max="40" width="23.28515625" customWidth="1"/>
    <col min="41" max="41" width="18.28515625" style="3" bestFit="1" customWidth="1"/>
    <col min="42" max="42" width="12" bestFit="1" customWidth="1"/>
    <col min="43" max="43" width="23.28515625" bestFit="1" customWidth="1"/>
    <col min="44" max="44" width="26.42578125" customWidth="1"/>
    <col min="45" max="45" width="24.5703125" bestFit="1" customWidth="1"/>
  </cols>
  <sheetData>
    <row r="1" spans="1:44" ht="34.5" thickBot="1" x14ac:dyDescent="0.55000000000000004">
      <c r="A1" s="408" t="s">
        <v>457</v>
      </c>
      <c r="B1" s="407"/>
      <c r="C1" s="407"/>
      <c r="D1" s="407"/>
    </row>
    <row r="2" spans="1:44" ht="15.75" thickBot="1" x14ac:dyDescent="0.3">
      <c r="B2" s="390"/>
      <c r="C2" s="410" t="s">
        <v>458</v>
      </c>
      <c r="D2" s="411" t="str">
        <f>Overview!C9</f>
        <v>1/14, 1/15/2026</v>
      </c>
      <c r="G2" s="3"/>
      <c r="H2" s="3"/>
      <c r="J2"/>
      <c r="K2"/>
      <c r="N2" s="3"/>
      <c r="P2"/>
      <c r="Q2" s="450" t="s">
        <v>371</v>
      </c>
      <c r="R2" s="450"/>
      <c r="S2" s="450"/>
      <c r="T2" s="450"/>
      <c r="V2" s="12"/>
      <c r="W2" s="182" t="s">
        <v>371</v>
      </c>
      <c r="X2" s="182"/>
      <c r="Y2" s="182"/>
      <c r="Z2" s="182"/>
      <c r="AA2" s="182"/>
      <c r="AB2" s="182"/>
      <c r="AC2" s="182"/>
      <c r="AD2" s="182"/>
      <c r="AE2" s="182"/>
      <c r="AF2" s="182"/>
      <c r="AG2" s="182"/>
      <c r="AH2" s="182"/>
      <c r="AI2" s="182"/>
      <c r="AJ2" s="182" t="s">
        <v>371</v>
      </c>
      <c r="AK2" s="182"/>
      <c r="AL2" s="182"/>
      <c r="AM2" s="182"/>
      <c r="AN2" s="182"/>
      <c r="AO2" s="182"/>
      <c r="AP2" s="449" t="s">
        <v>201</v>
      </c>
      <c r="AQ2" s="449"/>
      <c r="AR2" s="449"/>
    </row>
    <row r="3" spans="1:44" s="331" customFormat="1" ht="45" x14ac:dyDescent="0.25">
      <c r="A3" s="349" t="s">
        <v>372</v>
      </c>
      <c r="B3" s="349" t="s">
        <v>25</v>
      </c>
      <c r="C3" s="409" t="s">
        <v>26</v>
      </c>
      <c r="D3" s="409" t="s">
        <v>27</v>
      </c>
      <c r="E3" s="350" t="s">
        <v>28</v>
      </c>
      <c r="F3" s="350" t="s">
        <v>29</v>
      </c>
      <c r="G3" s="350" t="s">
        <v>0</v>
      </c>
      <c r="H3" s="350" t="s">
        <v>1</v>
      </c>
      <c r="I3" s="350" t="s">
        <v>30</v>
      </c>
      <c r="J3" s="350" t="s">
        <v>31</v>
      </c>
      <c r="K3" s="350" t="s">
        <v>32</v>
      </c>
      <c r="L3" s="351" t="s">
        <v>73</v>
      </c>
      <c r="M3" s="351" t="s">
        <v>76</v>
      </c>
      <c r="N3" s="351" t="s">
        <v>74</v>
      </c>
      <c r="O3" s="351" t="s">
        <v>75</v>
      </c>
      <c r="P3" s="351" t="s">
        <v>77</v>
      </c>
      <c r="Q3" s="358" t="s">
        <v>179</v>
      </c>
      <c r="R3" s="358" t="s">
        <v>180</v>
      </c>
      <c r="S3" s="358" t="s">
        <v>181</v>
      </c>
      <c r="T3" s="358" t="s">
        <v>182</v>
      </c>
      <c r="U3" s="329" t="s">
        <v>33</v>
      </c>
      <c r="V3" s="330" t="s">
        <v>34</v>
      </c>
      <c r="W3" s="358" t="s">
        <v>167</v>
      </c>
      <c r="X3" s="358" t="s">
        <v>183</v>
      </c>
      <c r="Y3" s="326" t="s">
        <v>374</v>
      </c>
      <c r="Z3" s="326" t="s">
        <v>380</v>
      </c>
      <c r="AA3" s="326" t="s">
        <v>408</v>
      </c>
      <c r="AB3" s="326" t="s">
        <v>381</v>
      </c>
      <c r="AC3" s="358" t="s">
        <v>287</v>
      </c>
      <c r="AD3" s="354" t="s">
        <v>369</v>
      </c>
      <c r="AE3" s="354" t="s">
        <v>368</v>
      </c>
      <c r="AF3" s="354" t="s">
        <v>403</v>
      </c>
      <c r="AG3" s="358" t="s">
        <v>175</v>
      </c>
      <c r="AH3" s="358" t="s">
        <v>176</v>
      </c>
      <c r="AI3" s="354" t="s">
        <v>404</v>
      </c>
      <c r="AJ3" s="359" t="s">
        <v>256</v>
      </c>
      <c r="AK3" s="359" t="s">
        <v>257</v>
      </c>
      <c r="AL3" s="358" t="s">
        <v>183</v>
      </c>
      <c r="AM3" s="358" t="s">
        <v>109</v>
      </c>
      <c r="AN3" s="358" t="s">
        <v>185</v>
      </c>
      <c r="AO3" s="358" t="s">
        <v>347</v>
      </c>
      <c r="AP3" s="331" t="s">
        <v>175</v>
      </c>
      <c r="AQ3" s="331" t="s">
        <v>202</v>
      </c>
      <c r="AR3" s="331" t="s">
        <v>109</v>
      </c>
    </row>
    <row r="4" spans="1:44" x14ac:dyDescent="0.25">
      <c r="A4" s="17">
        <v>1</v>
      </c>
      <c r="B4" s="17"/>
      <c r="C4" s="17"/>
      <c r="D4" s="18"/>
      <c r="E4" s="93"/>
      <c r="F4" s="91"/>
      <c r="G4" s="17" t="s">
        <v>6</v>
      </c>
      <c r="H4" s="17" t="s">
        <v>2</v>
      </c>
      <c r="I4" s="17" t="s">
        <v>3</v>
      </c>
      <c r="J4" s="15"/>
      <c r="K4" s="15"/>
      <c r="L4" s="15"/>
      <c r="M4" s="15"/>
      <c r="N4" s="17"/>
      <c r="O4" s="15"/>
      <c r="P4" s="15"/>
      <c r="Q4" s="15"/>
      <c r="R4" s="15"/>
      <c r="S4" s="15"/>
      <c r="T4" s="15"/>
      <c r="U4" s="15" t="s">
        <v>35</v>
      </c>
      <c r="V4" s="94">
        <v>0</v>
      </c>
      <c r="W4" s="94">
        <v>0</v>
      </c>
      <c r="X4" s="94">
        <f t="shared" ref="X4:X32" si="0">V4-W4</f>
        <v>0</v>
      </c>
      <c r="Y4" s="17"/>
      <c r="Z4" s="17"/>
      <c r="AA4" s="15" t="s">
        <v>405</v>
      </c>
      <c r="AB4" s="17"/>
      <c r="AC4" s="17"/>
      <c r="AD4" s="15"/>
      <c r="AE4" s="17"/>
      <c r="AF4" s="17"/>
      <c r="AG4" s="17"/>
      <c r="AH4" s="17"/>
      <c r="AI4" s="17"/>
      <c r="AJ4" s="17">
        <v>1</v>
      </c>
      <c r="AK4" s="15" t="str">
        <f>IFERROR(VLOOKUP(AJ4,Legend!$D$2:$E$26,2,0),"")</f>
        <v>Lodging (Hotels, Condos, etc.)</v>
      </c>
      <c r="AL4" s="17"/>
      <c r="AM4" s="15"/>
      <c r="AN4" s="15"/>
      <c r="AO4" s="15"/>
      <c r="AP4" s="412"/>
      <c r="AQ4" s="15"/>
      <c r="AR4" s="15"/>
    </row>
    <row r="5" spans="1:44" x14ac:dyDescent="0.25">
      <c r="A5" s="17">
        <v>2</v>
      </c>
      <c r="B5" s="17"/>
      <c r="C5" s="17"/>
      <c r="D5" s="18"/>
      <c r="E5" s="93"/>
      <c r="F5" s="91"/>
      <c r="G5" s="17" t="s">
        <v>14</v>
      </c>
      <c r="H5" s="17" t="s">
        <v>9</v>
      </c>
      <c r="I5" s="17" t="s">
        <v>3</v>
      </c>
      <c r="J5" s="15"/>
      <c r="K5" s="15"/>
      <c r="L5" s="15"/>
      <c r="M5" s="15"/>
      <c r="N5" s="15"/>
      <c r="O5" s="15"/>
      <c r="P5" s="15"/>
      <c r="Q5" s="15"/>
      <c r="R5" s="15"/>
      <c r="S5" s="15"/>
      <c r="T5" s="15"/>
      <c r="U5" s="15" t="s">
        <v>35</v>
      </c>
      <c r="V5" s="94">
        <v>0</v>
      </c>
      <c r="W5" s="94">
        <v>0</v>
      </c>
      <c r="X5" s="94">
        <f t="shared" si="0"/>
        <v>0</v>
      </c>
      <c r="Y5" s="17"/>
      <c r="Z5" s="17"/>
      <c r="AA5" s="15" t="s">
        <v>406</v>
      </c>
      <c r="AB5" s="17"/>
      <c r="AC5" s="17"/>
      <c r="AD5" s="15"/>
      <c r="AE5" s="17"/>
      <c r="AF5" s="17"/>
      <c r="AG5" s="17"/>
      <c r="AH5" s="17"/>
      <c r="AI5" s="17"/>
      <c r="AJ5" s="17">
        <v>2</v>
      </c>
      <c r="AK5" s="15" t="str">
        <f>IFERROR(VLOOKUP(AJ5,Legend!$D$2:$E$26,2,0),"")</f>
        <v>Car Rental (Non Resident)</v>
      </c>
      <c r="AL5" s="17"/>
      <c r="AM5" s="15"/>
      <c r="AN5" s="15"/>
      <c r="AO5" s="15"/>
      <c r="AP5" s="412"/>
      <c r="AQ5" s="15"/>
      <c r="AR5" s="15"/>
    </row>
    <row r="6" spans="1:44" x14ac:dyDescent="0.25">
      <c r="A6" s="17">
        <v>3</v>
      </c>
      <c r="B6" s="17"/>
      <c r="C6" s="17"/>
      <c r="D6" s="18"/>
      <c r="E6" s="93"/>
      <c r="F6" s="91"/>
      <c r="G6" s="17" t="s">
        <v>7</v>
      </c>
      <c r="H6" s="17" t="s">
        <v>5</v>
      </c>
      <c r="I6" s="17" t="s">
        <v>3</v>
      </c>
      <c r="J6" s="15"/>
      <c r="K6" s="15"/>
      <c r="L6" s="15"/>
      <c r="M6" s="15"/>
      <c r="N6" s="15"/>
      <c r="O6" s="15"/>
      <c r="P6" s="15"/>
      <c r="Q6" s="15"/>
      <c r="R6" s="15"/>
      <c r="S6" s="15"/>
      <c r="T6" s="15"/>
      <c r="U6" s="15" t="s">
        <v>35</v>
      </c>
      <c r="V6" s="94">
        <v>0</v>
      </c>
      <c r="W6" s="94">
        <v>0</v>
      </c>
      <c r="X6" s="94">
        <f t="shared" si="0"/>
        <v>0</v>
      </c>
      <c r="Y6" s="17"/>
      <c r="Z6" s="17"/>
      <c r="AA6" s="15" t="s">
        <v>407</v>
      </c>
      <c r="AB6" s="17"/>
      <c r="AC6" s="17"/>
      <c r="AD6" s="15"/>
      <c r="AE6" s="17"/>
      <c r="AF6" s="17"/>
      <c r="AG6" s="17"/>
      <c r="AH6" s="17"/>
      <c r="AI6" s="17"/>
      <c r="AJ6" s="17">
        <v>3</v>
      </c>
      <c r="AK6" s="15" t="str">
        <f>IFERROR(VLOOKUP(AJ6,Legend!$D$2:$E$26,2,0),"")</f>
        <v>Transportation/Truck Rentals/Gasoline/Car Svcs</v>
      </c>
      <c r="AL6" s="17"/>
      <c r="AM6" s="15"/>
      <c r="AN6" s="15"/>
      <c r="AO6" s="15"/>
      <c r="AP6" s="412"/>
      <c r="AQ6" s="15"/>
      <c r="AR6" s="15"/>
    </row>
    <row r="7" spans="1:44" x14ac:dyDescent="0.25">
      <c r="A7" s="17">
        <v>4</v>
      </c>
      <c r="B7" s="17"/>
      <c r="C7" s="17"/>
      <c r="D7" s="18"/>
      <c r="E7" s="93"/>
      <c r="F7" s="91"/>
      <c r="G7" s="17" t="s">
        <v>4</v>
      </c>
      <c r="H7" s="17" t="s">
        <v>44</v>
      </c>
      <c r="I7" s="17" t="s">
        <v>3</v>
      </c>
      <c r="J7" s="15"/>
      <c r="K7" s="15"/>
      <c r="L7" s="15"/>
      <c r="M7" s="15"/>
      <c r="N7" s="15"/>
      <c r="O7" s="15"/>
      <c r="P7" s="15"/>
      <c r="Q7" s="15"/>
      <c r="R7" s="15"/>
      <c r="S7" s="15"/>
      <c r="T7" s="15"/>
      <c r="U7" s="15" t="s">
        <v>35</v>
      </c>
      <c r="V7" s="94">
        <v>0</v>
      </c>
      <c r="W7" s="94">
        <v>0</v>
      </c>
      <c r="X7" s="94">
        <f t="shared" si="0"/>
        <v>0</v>
      </c>
      <c r="Y7" s="17"/>
      <c r="Z7" s="17"/>
      <c r="AA7" s="15"/>
      <c r="AB7" s="17"/>
      <c r="AC7" s="17"/>
      <c r="AD7" s="15"/>
      <c r="AE7" s="17"/>
      <c r="AF7" s="17"/>
      <c r="AG7" s="17"/>
      <c r="AH7" s="17"/>
      <c r="AI7" s="17"/>
      <c r="AJ7" s="17">
        <v>4</v>
      </c>
      <c r="AK7" s="15" t="str">
        <f>IFERROR(VLOOKUP(AJ7,Legend!$D$2:$E$26,2,0),"")</f>
        <v>Airfare Purchase</v>
      </c>
      <c r="AL7" s="17"/>
      <c r="AM7" s="15"/>
      <c r="AN7" s="15"/>
      <c r="AO7" s="15"/>
      <c r="AP7" s="412"/>
      <c r="AQ7" s="15"/>
      <c r="AR7" s="15"/>
    </row>
    <row r="8" spans="1:44" x14ac:dyDescent="0.25">
      <c r="A8" s="17">
        <v>5</v>
      </c>
      <c r="B8" s="17"/>
      <c r="C8" s="17"/>
      <c r="D8" s="18"/>
      <c r="E8" s="93"/>
      <c r="F8" s="91"/>
      <c r="G8" s="17" t="s">
        <v>16</v>
      </c>
      <c r="H8" s="17"/>
      <c r="I8" s="17" t="s">
        <v>3</v>
      </c>
      <c r="J8" s="15"/>
      <c r="K8" s="15"/>
      <c r="L8" s="15"/>
      <c r="M8" s="15"/>
      <c r="N8" s="15"/>
      <c r="O8" s="15"/>
      <c r="P8" s="15"/>
      <c r="Q8" s="15"/>
      <c r="R8" s="15"/>
      <c r="S8" s="15"/>
      <c r="T8" s="15"/>
      <c r="U8" s="15" t="s">
        <v>35</v>
      </c>
      <c r="V8" s="94">
        <v>0</v>
      </c>
      <c r="W8" s="94">
        <v>0</v>
      </c>
      <c r="X8" s="94">
        <f t="shared" si="0"/>
        <v>0</v>
      </c>
      <c r="Y8" s="17"/>
      <c r="Z8" s="17"/>
      <c r="AA8" s="15"/>
      <c r="AB8" s="17"/>
      <c r="AC8" s="17"/>
      <c r="AD8" s="15"/>
      <c r="AE8" s="17"/>
      <c r="AF8" s="17"/>
      <c r="AG8" s="17"/>
      <c r="AH8" s="17"/>
      <c r="AI8" s="17"/>
      <c r="AJ8" s="17">
        <v>5</v>
      </c>
      <c r="AK8" s="15" t="str">
        <f>IFERROR(VLOOKUP(AJ8,Legend!$D$2:$E$26,2,0),"")</f>
        <v>Catering/Crafty</v>
      </c>
      <c r="AL8" s="17"/>
      <c r="AM8" s="15"/>
      <c r="AN8" s="15"/>
      <c r="AO8" s="15"/>
      <c r="AP8" s="412"/>
      <c r="AQ8" s="15"/>
      <c r="AR8" s="15"/>
    </row>
    <row r="9" spans="1:44" x14ac:dyDescent="0.25">
      <c r="A9" s="17">
        <v>6</v>
      </c>
      <c r="B9" s="17"/>
      <c r="C9" s="17"/>
      <c r="D9" s="15"/>
      <c r="E9" s="93"/>
      <c r="F9" s="91"/>
      <c r="G9" s="17" t="s">
        <v>172</v>
      </c>
      <c r="H9" s="17"/>
      <c r="I9" s="17" t="s">
        <v>3</v>
      </c>
      <c r="J9" s="15"/>
      <c r="K9" s="15"/>
      <c r="L9" s="15"/>
      <c r="M9" s="15"/>
      <c r="N9" s="15"/>
      <c r="O9" s="15"/>
      <c r="P9" s="15"/>
      <c r="Q9" s="15"/>
      <c r="R9" s="15"/>
      <c r="S9" s="15"/>
      <c r="T9" s="15"/>
      <c r="U9" s="15" t="s">
        <v>35</v>
      </c>
      <c r="V9" s="94">
        <v>0</v>
      </c>
      <c r="W9" s="94">
        <v>0</v>
      </c>
      <c r="X9" s="94">
        <f t="shared" si="0"/>
        <v>0</v>
      </c>
      <c r="Y9" s="17"/>
      <c r="Z9" s="17"/>
      <c r="AA9" s="15"/>
      <c r="AB9" s="17"/>
      <c r="AC9" s="17"/>
      <c r="AD9" s="15"/>
      <c r="AE9" s="17"/>
      <c r="AF9" s="17"/>
      <c r="AG9" s="17"/>
      <c r="AH9" s="17"/>
      <c r="AI9" s="17"/>
      <c r="AJ9" s="17">
        <v>6</v>
      </c>
      <c r="AK9" s="15" t="str">
        <f>IFERROR(VLOOKUP(AJ9,Legend!$D$2:$E$26,2,0),"")</f>
        <v>Construction Hardware/Lumber/Supplies</v>
      </c>
      <c r="AL9" s="17"/>
      <c r="AM9" s="15"/>
      <c r="AN9" s="15"/>
      <c r="AO9" s="15"/>
      <c r="AP9" s="412"/>
      <c r="AQ9" s="15"/>
      <c r="AR9" s="15"/>
    </row>
    <row r="10" spans="1:44" x14ac:dyDescent="0.25">
      <c r="A10" s="17">
        <v>7</v>
      </c>
      <c r="B10" s="17"/>
      <c r="C10" s="17"/>
      <c r="D10" s="18"/>
      <c r="E10" s="93"/>
      <c r="F10" s="91"/>
      <c r="G10" s="17" t="s">
        <v>81</v>
      </c>
      <c r="H10" s="17"/>
      <c r="I10" s="17" t="s">
        <v>3</v>
      </c>
      <c r="J10" s="15"/>
      <c r="K10" s="15"/>
      <c r="L10" s="15"/>
      <c r="M10" s="15"/>
      <c r="N10" s="15"/>
      <c r="O10" s="15"/>
      <c r="P10" s="15"/>
      <c r="Q10" s="15"/>
      <c r="R10" s="15"/>
      <c r="S10" s="15"/>
      <c r="T10" s="15"/>
      <c r="U10" s="15" t="s">
        <v>35</v>
      </c>
      <c r="V10" s="94">
        <v>0</v>
      </c>
      <c r="W10" s="94">
        <v>0</v>
      </c>
      <c r="X10" s="94">
        <f t="shared" si="0"/>
        <v>0</v>
      </c>
      <c r="Y10" s="17"/>
      <c r="Z10" s="17"/>
      <c r="AA10" s="15"/>
      <c r="AB10" s="17"/>
      <c r="AC10" s="17"/>
      <c r="AD10" s="15"/>
      <c r="AE10" s="17"/>
      <c r="AF10" s="17"/>
      <c r="AG10" s="17"/>
      <c r="AH10" s="17"/>
      <c r="AI10" s="17"/>
      <c r="AJ10" s="17">
        <v>7</v>
      </c>
      <c r="AK10" s="15" t="str">
        <f>IFERROR(VLOOKUP(AJ10,Legend!$D$2:$E$26,2,0),"")</f>
        <v>Office/Production Equipment Rentals and Purchases</v>
      </c>
      <c r="AL10" s="17"/>
      <c r="AM10" s="15"/>
      <c r="AN10" s="15"/>
      <c r="AO10" s="15"/>
      <c r="AP10" s="412"/>
      <c r="AQ10" s="15"/>
      <c r="AR10" s="15"/>
    </row>
    <row r="11" spans="1:44" x14ac:dyDescent="0.25">
      <c r="A11" s="17">
        <v>8</v>
      </c>
      <c r="B11" s="17"/>
      <c r="C11" s="17"/>
      <c r="D11" s="18"/>
      <c r="E11" s="93"/>
      <c r="F11" s="91"/>
      <c r="G11" s="17" t="s">
        <v>82</v>
      </c>
      <c r="H11" s="17"/>
      <c r="I11" s="17" t="s">
        <v>3</v>
      </c>
      <c r="J11" s="15"/>
      <c r="K11" s="15"/>
      <c r="L11" s="15"/>
      <c r="M11" s="15"/>
      <c r="N11" s="15"/>
      <c r="O11" s="15"/>
      <c r="P11" s="15"/>
      <c r="Q11" s="15"/>
      <c r="R11" s="15"/>
      <c r="S11" s="15"/>
      <c r="T11" s="15"/>
      <c r="U11" s="15" t="s">
        <v>35</v>
      </c>
      <c r="V11" s="94">
        <v>0</v>
      </c>
      <c r="W11" s="94">
        <v>0</v>
      </c>
      <c r="X11" s="94">
        <f t="shared" si="0"/>
        <v>0</v>
      </c>
      <c r="Y11" s="17"/>
      <c r="Z11" s="17"/>
      <c r="AA11" s="15"/>
      <c r="AB11" s="17"/>
      <c r="AC11" s="17"/>
      <c r="AD11" s="15"/>
      <c r="AE11" s="17"/>
      <c r="AF11" s="17"/>
      <c r="AG11" s="17"/>
      <c r="AH11" s="17"/>
      <c r="AI11" s="17"/>
      <c r="AJ11" s="17">
        <v>8</v>
      </c>
      <c r="AK11" s="15" t="str">
        <f>IFERROR(VLOOKUP(AJ11,Legend!$D$2:$E$26,2,0),"")</f>
        <v>Camera: Package/Rentals/Expendables</v>
      </c>
      <c r="AL11" s="17"/>
      <c r="AM11" s="15"/>
      <c r="AN11" s="15"/>
      <c r="AO11" s="15"/>
      <c r="AP11" s="412"/>
      <c r="AQ11" s="15"/>
      <c r="AR11" s="15"/>
    </row>
    <row r="12" spans="1:44" x14ac:dyDescent="0.25">
      <c r="A12" s="17">
        <v>9</v>
      </c>
      <c r="B12" s="17"/>
      <c r="C12" s="17"/>
      <c r="D12" s="18"/>
      <c r="E12" s="93"/>
      <c r="F12" s="91"/>
      <c r="G12" s="17" t="s">
        <v>21</v>
      </c>
      <c r="H12" s="17"/>
      <c r="I12" s="17" t="s">
        <v>3</v>
      </c>
      <c r="J12" s="15"/>
      <c r="K12" s="15"/>
      <c r="L12" s="15"/>
      <c r="M12" s="15"/>
      <c r="N12" s="15"/>
      <c r="O12" s="15"/>
      <c r="P12" s="15"/>
      <c r="Q12" s="15"/>
      <c r="R12" s="15"/>
      <c r="S12" s="15"/>
      <c r="T12" s="15"/>
      <c r="U12" s="15" t="s">
        <v>35</v>
      </c>
      <c r="V12" s="94">
        <v>0</v>
      </c>
      <c r="W12" s="94">
        <v>0</v>
      </c>
      <c r="X12" s="94">
        <f>V12-W12</f>
        <v>0</v>
      </c>
      <c r="Y12" s="17"/>
      <c r="Z12" s="17"/>
      <c r="AA12" s="15"/>
      <c r="AB12" s="17"/>
      <c r="AC12" s="17"/>
      <c r="AD12" s="15"/>
      <c r="AE12" s="17"/>
      <c r="AF12" s="17"/>
      <c r="AG12" s="17"/>
      <c r="AH12" s="17"/>
      <c r="AI12" s="17"/>
      <c r="AJ12" s="17">
        <v>9</v>
      </c>
      <c r="AK12" s="15" t="str">
        <f>IFERROR(VLOOKUP(AJ12,Legend!$D$2:$E$26,2,0),"")</f>
        <v>Grip/Electric: Package/Rentals/Expendables</v>
      </c>
      <c r="AL12" s="17"/>
      <c r="AM12" s="15"/>
      <c r="AN12" s="15"/>
      <c r="AO12" s="15"/>
      <c r="AP12" s="412"/>
      <c r="AQ12" s="15"/>
      <c r="AR12" s="15"/>
    </row>
    <row r="13" spans="1:44" x14ac:dyDescent="0.25">
      <c r="A13" s="17">
        <v>10</v>
      </c>
      <c r="B13" s="17"/>
      <c r="C13" s="17"/>
      <c r="D13" s="18"/>
      <c r="E13" s="93"/>
      <c r="F13" s="91"/>
      <c r="G13" s="17" t="s">
        <v>22</v>
      </c>
      <c r="H13" s="17"/>
      <c r="I13" s="17" t="s">
        <v>3</v>
      </c>
      <c r="J13" s="15"/>
      <c r="K13" s="15"/>
      <c r="L13" s="15"/>
      <c r="M13" s="15"/>
      <c r="N13" s="15"/>
      <c r="O13" s="15"/>
      <c r="P13" s="15"/>
      <c r="Q13" s="15"/>
      <c r="R13" s="15"/>
      <c r="S13" s="15"/>
      <c r="T13" s="15"/>
      <c r="U13" s="15" t="s">
        <v>35</v>
      </c>
      <c r="V13" s="94">
        <v>0</v>
      </c>
      <c r="W13" s="94">
        <v>0</v>
      </c>
      <c r="X13" s="94">
        <f t="shared" si="0"/>
        <v>0</v>
      </c>
      <c r="Y13" s="17"/>
      <c r="Z13" s="17"/>
      <c r="AA13" s="15"/>
      <c r="AB13" s="17"/>
      <c r="AC13" s="17"/>
      <c r="AD13" s="15"/>
      <c r="AE13" s="17"/>
      <c r="AF13" s="17"/>
      <c r="AG13" s="17"/>
      <c r="AH13" s="17"/>
      <c r="AI13" s="17"/>
      <c r="AJ13" s="17">
        <v>10</v>
      </c>
      <c r="AK13" s="15" t="str">
        <f>IFERROR(VLOOKUP(AJ13,Legend!$D$2:$E$26,2,0),"")</f>
        <v>Sound: Package/Rentals/Walkies/Expendables</v>
      </c>
      <c r="AL13" s="17"/>
      <c r="AM13" s="15"/>
      <c r="AN13" s="15"/>
      <c r="AO13" s="15"/>
      <c r="AP13" s="412"/>
      <c r="AQ13" s="15"/>
      <c r="AR13" s="15"/>
    </row>
    <row r="14" spans="1:44" x14ac:dyDescent="0.25">
      <c r="A14" s="17">
        <v>11</v>
      </c>
      <c r="B14" s="17"/>
      <c r="C14" s="17"/>
      <c r="D14" s="18"/>
      <c r="E14" s="93"/>
      <c r="F14" s="91"/>
      <c r="G14" s="17" t="s">
        <v>11</v>
      </c>
      <c r="H14" s="17"/>
      <c r="I14" s="17" t="s">
        <v>3</v>
      </c>
      <c r="J14" s="15"/>
      <c r="K14" s="15"/>
      <c r="L14" s="15"/>
      <c r="M14" s="15"/>
      <c r="N14" s="15"/>
      <c r="O14" s="15"/>
      <c r="P14" s="15"/>
      <c r="Q14" s="15"/>
      <c r="R14" s="15"/>
      <c r="S14" s="15"/>
      <c r="T14" s="15"/>
      <c r="U14" s="15" t="s">
        <v>35</v>
      </c>
      <c r="V14" s="94">
        <v>0</v>
      </c>
      <c r="W14" s="94">
        <v>0</v>
      </c>
      <c r="X14" s="94">
        <f t="shared" si="0"/>
        <v>0</v>
      </c>
      <c r="Y14" s="17"/>
      <c r="Z14" s="17"/>
      <c r="AA14" s="15"/>
      <c r="AB14" s="17"/>
      <c r="AC14" s="17"/>
      <c r="AD14" s="15"/>
      <c r="AE14" s="17"/>
      <c r="AF14" s="17"/>
      <c r="AG14" s="17"/>
      <c r="AH14" s="17"/>
      <c r="AI14" s="17"/>
      <c r="AJ14" s="17">
        <v>11</v>
      </c>
      <c r="AK14" s="15" t="str">
        <f>IFERROR(VLOOKUP(AJ14,Legend!$D$2:$E$26,2,0),"")</f>
        <v>Set Dressing/Props: Rentals/Purchases/Expendables</v>
      </c>
      <c r="AL14" s="17"/>
      <c r="AM14" s="15"/>
      <c r="AN14" s="15"/>
      <c r="AO14" s="15"/>
      <c r="AP14" s="412"/>
      <c r="AQ14" s="15"/>
      <c r="AR14" s="15"/>
    </row>
    <row r="15" spans="1:44" x14ac:dyDescent="0.25">
      <c r="A15" s="17">
        <v>12</v>
      </c>
      <c r="B15" s="17"/>
      <c r="C15" s="17"/>
      <c r="D15" s="18"/>
      <c r="E15" s="93"/>
      <c r="F15" s="91"/>
      <c r="G15" s="17" t="s">
        <v>5</v>
      </c>
      <c r="H15" s="17"/>
      <c r="I15" s="17" t="s">
        <v>3</v>
      </c>
      <c r="J15" s="49"/>
      <c r="K15" s="15"/>
      <c r="L15" s="15"/>
      <c r="M15" s="15"/>
      <c r="N15" s="15"/>
      <c r="O15" s="15"/>
      <c r="P15" s="15"/>
      <c r="Q15" s="15"/>
      <c r="R15" s="15"/>
      <c r="S15" s="15"/>
      <c r="T15" s="15"/>
      <c r="U15" s="15" t="s">
        <v>35</v>
      </c>
      <c r="V15" s="94">
        <v>0</v>
      </c>
      <c r="W15" s="94">
        <v>0</v>
      </c>
      <c r="X15" s="94">
        <f t="shared" si="0"/>
        <v>0</v>
      </c>
      <c r="Y15" s="17"/>
      <c r="Z15" s="17"/>
      <c r="AA15" s="15"/>
      <c r="AB15" s="17"/>
      <c r="AC15" s="17"/>
      <c r="AD15" s="15"/>
      <c r="AE15" s="17"/>
      <c r="AF15" s="17"/>
      <c r="AG15" s="17"/>
      <c r="AH15" s="17"/>
      <c r="AI15" s="17"/>
      <c r="AJ15" s="17">
        <v>12</v>
      </c>
      <c r="AK15" s="15" t="str">
        <f>IFERROR(VLOOKUP(AJ15,Legend!$D$2:$E$26,2,0),"")</f>
        <v>Wardrobe: Rentals/Purchases/Dry Cleaning/Laundry</v>
      </c>
      <c r="AL15" s="17"/>
      <c r="AM15" s="15"/>
      <c r="AN15" s="15"/>
      <c r="AO15" s="15"/>
      <c r="AP15" s="412"/>
      <c r="AQ15" s="15"/>
      <c r="AR15" s="15"/>
    </row>
    <row r="16" spans="1:44" x14ac:dyDescent="0.25">
      <c r="A16" s="17">
        <v>13</v>
      </c>
      <c r="B16" s="17"/>
      <c r="C16" s="17"/>
      <c r="D16" s="18"/>
      <c r="E16" s="93"/>
      <c r="F16" s="91"/>
      <c r="G16" s="17"/>
      <c r="H16" s="17"/>
      <c r="I16" s="17" t="s">
        <v>3</v>
      </c>
      <c r="J16" s="49"/>
      <c r="K16" s="49"/>
      <c r="L16" s="49"/>
      <c r="M16" s="49"/>
      <c r="N16" s="15"/>
      <c r="O16" s="15"/>
      <c r="P16" s="15"/>
      <c r="Q16" s="15"/>
      <c r="R16" s="15"/>
      <c r="S16" s="15"/>
      <c r="T16" s="15"/>
      <c r="U16" s="15" t="s">
        <v>35</v>
      </c>
      <c r="V16" s="94">
        <v>0</v>
      </c>
      <c r="W16" s="94">
        <v>0</v>
      </c>
      <c r="X16" s="94">
        <f t="shared" si="0"/>
        <v>0</v>
      </c>
      <c r="Y16" s="17"/>
      <c r="Z16" s="17"/>
      <c r="AA16" s="15"/>
      <c r="AB16" s="17"/>
      <c r="AC16" s="17"/>
      <c r="AD16" s="15"/>
      <c r="AE16" s="17"/>
      <c r="AF16" s="17"/>
      <c r="AG16" s="17"/>
      <c r="AH16" s="17"/>
      <c r="AI16" s="17"/>
      <c r="AJ16" s="17">
        <v>13</v>
      </c>
      <c r="AK16" s="15" t="str">
        <f>IFERROR(VLOOKUP(AJ16,Legend!$D$2:$E$26,2,0),"")</f>
        <v>Makeup/Hair/Special Effects Purchases</v>
      </c>
      <c r="AL16" s="17"/>
      <c r="AM16" s="15"/>
      <c r="AN16" s="15"/>
      <c r="AO16" s="15"/>
      <c r="AP16" s="412"/>
      <c r="AQ16" s="15"/>
      <c r="AR16" s="15"/>
    </row>
    <row r="17" spans="1:44" x14ac:dyDescent="0.25">
      <c r="A17" s="17">
        <v>14</v>
      </c>
      <c r="B17" s="17"/>
      <c r="C17" s="17"/>
      <c r="D17" s="18"/>
      <c r="E17" s="93"/>
      <c r="F17" s="91"/>
      <c r="G17" s="17"/>
      <c r="H17" s="17"/>
      <c r="I17" s="17" t="s">
        <v>3</v>
      </c>
      <c r="J17" s="49"/>
      <c r="K17" s="49"/>
      <c r="L17" s="49"/>
      <c r="M17" s="49"/>
      <c r="N17" s="15"/>
      <c r="O17" s="15"/>
      <c r="P17" s="15"/>
      <c r="Q17" s="15"/>
      <c r="R17" s="15"/>
      <c r="S17" s="15"/>
      <c r="T17" s="15"/>
      <c r="U17" s="15" t="s">
        <v>35</v>
      </c>
      <c r="V17" s="94">
        <v>0</v>
      </c>
      <c r="W17" s="94">
        <v>0</v>
      </c>
      <c r="X17" s="94">
        <f t="shared" si="0"/>
        <v>0</v>
      </c>
      <c r="Y17" s="17"/>
      <c r="Z17" s="17"/>
      <c r="AA17" s="15"/>
      <c r="AB17" s="17"/>
      <c r="AC17" s="17"/>
      <c r="AD17" s="15"/>
      <c r="AE17" s="17"/>
      <c r="AF17" s="17"/>
      <c r="AG17" s="17"/>
      <c r="AH17" s="17"/>
      <c r="AI17" s="17"/>
      <c r="AJ17" s="17">
        <v>14</v>
      </c>
      <c r="AK17" s="15" t="str">
        <f>IFERROR(VLOOKUP(AJ17,Legend!$D$2:$E$26,2,0),"")</f>
        <v>Location Fees/Permits</v>
      </c>
      <c r="AL17" s="17"/>
      <c r="AM17" s="15"/>
      <c r="AN17" s="15"/>
      <c r="AO17" s="15"/>
      <c r="AP17" s="412"/>
      <c r="AQ17" s="15"/>
      <c r="AR17" s="15"/>
    </row>
    <row r="18" spans="1:44" x14ac:dyDescent="0.25">
      <c r="A18" s="17">
        <v>15</v>
      </c>
      <c r="B18" s="17"/>
      <c r="C18" s="17"/>
      <c r="D18" s="18"/>
      <c r="E18" s="183"/>
      <c r="F18" s="91"/>
      <c r="G18" s="17"/>
      <c r="H18" s="17"/>
      <c r="I18" s="17" t="s">
        <v>3</v>
      </c>
      <c r="J18" s="15"/>
      <c r="K18" s="15"/>
      <c r="L18" s="15"/>
      <c r="M18" s="15"/>
      <c r="N18" s="17"/>
      <c r="O18" s="15"/>
      <c r="P18" s="15"/>
      <c r="Q18" s="15"/>
      <c r="R18" s="15"/>
      <c r="S18" s="15"/>
      <c r="T18" s="15"/>
      <c r="U18" s="15" t="s">
        <v>35</v>
      </c>
      <c r="V18" s="94">
        <v>0</v>
      </c>
      <c r="W18" s="94">
        <v>0</v>
      </c>
      <c r="X18" s="94">
        <f t="shared" si="0"/>
        <v>0</v>
      </c>
      <c r="Y18" s="17"/>
      <c r="Z18" s="17"/>
      <c r="AA18" s="15"/>
      <c r="AB18" s="17"/>
      <c r="AC18" s="17"/>
      <c r="AD18" s="15"/>
      <c r="AE18" s="17"/>
      <c r="AF18" s="17"/>
      <c r="AG18" s="17"/>
      <c r="AH18" s="17"/>
      <c r="AI18" s="17"/>
      <c r="AJ18" s="17">
        <v>15</v>
      </c>
      <c r="AK18" s="15" t="str">
        <f>IFERROR(VLOOKUP(AJ18,Legend!$D$2:$E$26,2,0),"")</f>
        <v>Faciltity Rental: Office</v>
      </c>
      <c r="AL18" s="17"/>
      <c r="AM18" s="15"/>
      <c r="AN18" s="15"/>
      <c r="AO18" s="15"/>
      <c r="AP18" s="412"/>
      <c r="AQ18" s="15"/>
      <c r="AR18" s="15"/>
    </row>
    <row r="19" spans="1:44" x14ac:dyDescent="0.25">
      <c r="A19" s="17">
        <v>16</v>
      </c>
      <c r="B19" s="17"/>
      <c r="C19" s="17"/>
      <c r="D19" s="18"/>
      <c r="E19" s="183"/>
      <c r="F19" s="91"/>
      <c r="G19" s="17"/>
      <c r="H19" s="17"/>
      <c r="I19" s="17" t="s">
        <v>3</v>
      </c>
      <c r="J19" s="15"/>
      <c r="K19" s="15"/>
      <c r="L19" s="15"/>
      <c r="M19" s="15"/>
      <c r="N19" s="17"/>
      <c r="O19" s="15"/>
      <c r="P19" s="15"/>
      <c r="Q19" s="15"/>
      <c r="R19" s="15"/>
      <c r="S19" s="15"/>
      <c r="T19" s="15"/>
      <c r="U19" s="15" t="s">
        <v>35</v>
      </c>
      <c r="V19" s="94">
        <v>0</v>
      </c>
      <c r="W19" s="94">
        <v>0</v>
      </c>
      <c r="X19" s="94">
        <f t="shared" si="0"/>
        <v>0</v>
      </c>
      <c r="Y19" s="17"/>
      <c r="Z19" s="17"/>
      <c r="AA19" s="15"/>
      <c r="AB19" s="17"/>
      <c r="AC19" s="17"/>
      <c r="AD19" s="15"/>
      <c r="AE19" s="17"/>
      <c r="AF19" s="17"/>
      <c r="AG19" s="17"/>
      <c r="AH19" s="17"/>
      <c r="AI19" s="17"/>
      <c r="AJ19" s="17">
        <v>16</v>
      </c>
      <c r="AK19" s="15" t="str">
        <f>IFERROR(VLOOKUP(AJ19,Legend!$D$2:$E$26,2,0),"")</f>
        <v>Faciltity Rental: Stage/Warehouse</v>
      </c>
      <c r="AL19" s="17"/>
      <c r="AM19" s="15"/>
      <c r="AN19" s="15"/>
      <c r="AO19" s="15"/>
      <c r="AP19" s="412"/>
      <c r="AQ19" s="15"/>
      <c r="AR19" s="15"/>
    </row>
    <row r="20" spans="1:44" x14ac:dyDescent="0.25">
      <c r="A20" s="17">
        <v>17</v>
      </c>
      <c r="B20" s="17"/>
      <c r="C20" s="17"/>
      <c r="D20" s="18"/>
      <c r="E20" s="183"/>
      <c r="F20" s="91"/>
      <c r="G20" s="17"/>
      <c r="H20" s="17"/>
      <c r="I20" s="17" t="s">
        <v>3</v>
      </c>
      <c r="J20" s="15"/>
      <c r="K20" s="15"/>
      <c r="L20" s="15"/>
      <c r="M20" s="15"/>
      <c r="N20" s="17"/>
      <c r="O20" s="15"/>
      <c r="P20" s="15"/>
      <c r="Q20" s="15"/>
      <c r="R20" s="15"/>
      <c r="S20" s="15"/>
      <c r="T20" s="15"/>
      <c r="U20" s="15" t="s">
        <v>35</v>
      </c>
      <c r="V20" s="94">
        <v>0</v>
      </c>
      <c r="W20" s="94">
        <v>0</v>
      </c>
      <c r="X20" s="94">
        <f t="shared" si="0"/>
        <v>0</v>
      </c>
      <c r="Y20" s="17"/>
      <c r="Z20" s="17"/>
      <c r="AA20" s="15"/>
      <c r="AB20" s="17"/>
      <c r="AC20" s="17"/>
      <c r="AD20" s="15"/>
      <c r="AE20" s="17"/>
      <c r="AF20" s="17"/>
      <c r="AG20" s="17"/>
      <c r="AH20" s="17"/>
      <c r="AI20" s="17"/>
      <c r="AJ20" s="17">
        <v>17</v>
      </c>
      <c r="AK20" s="15" t="str">
        <f>IFERROR(VLOOKUP(AJ20,Legend!$D$2:$E$26,2,0),"")</f>
        <v>Post Editing in Georgia</v>
      </c>
      <c r="AL20" s="17"/>
      <c r="AM20" s="15"/>
      <c r="AN20" s="15"/>
      <c r="AO20" s="15"/>
      <c r="AP20" s="412"/>
      <c r="AQ20" s="15"/>
      <c r="AR20" s="15"/>
    </row>
    <row r="21" spans="1:44" x14ac:dyDescent="0.25">
      <c r="A21" s="17">
        <v>18</v>
      </c>
      <c r="B21" s="17"/>
      <c r="C21" s="17"/>
      <c r="D21" s="18"/>
      <c r="E21" s="93"/>
      <c r="F21" s="91"/>
      <c r="G21" s="17"/>
      <c r="H21" s="17"/>
      <c r="I21" s="17" t="s">
        <v>3</v>
      </c>
      <c r="J21" s="15"/>
      <c r="K21" s="15"/>
      <c r="L21" s="15"/>
      <c r="M21" s="15"/>
      <c r="N21" s="17"/>
      <c r="O21" s="15"/>
      <c r="P21" s="15"/>
      <c r="Q21" s="15"/>
      <c r="R21" s="15"/>
      <c r="S21" s="15"/>
      <c r="T21" s="15"/>
      <c r="U21" s="15" t="s">
        <v>35</v>
      </c>
      <c r="V21" s="94">
        <v>0</v>
      </c>
      <c r="W21" s="94">
        <v>0</v>
      </c>
      <c r="X21" s="94">
        <f t="shared" si="0"/>
        <v>0</v>
      </c>
      <c r="Y21" s="17"/>
      <c r="Z21" s="17"/>
      <c r="AA21" s="15"/>
      <c r="AB21" s="17"/>
      <c r="AC21" s="17"/>
      <c r="AD21" s="15"/>
      <c r="AE21" s="17"/>
      <c r="AF21" s="17"/>
      <c r="AG21" s="17"/>
      <c r="AH21" s="17"/>
      <c r="AI21" s="17"/>
      <c r="AJ21" s="17">
        <v>18</v>
      </c>
      <c r="AK21" s="15" t="str">
        <f>IFERROR(VLOOKUP(AJ21,Legend!$D$2:$E$26,2,0),"")</f>
        <v>Original Music Scored</v>
      </c>
      <c r="AL21" s="17"/>
      <c r="AM21" s="15"/>
      <c r="AN21" s="15"/>
      <c r="AO21" s="15"/>
      <c r="AP21" s="412"/>
      <c r="AQ21" s="15"/>
      <c r="AR21" s="15"/>
    </row>
    <row r="22" spans="1:44" x14ac:dyDescent="0.25">
      <c r="A22" s="17">
        <v>19</v>
      </c>
      <c r="B22" s="17"/>
      <c r="C22" s="17"/>
      <c r="D22" s="18"/>
      <c r="E22" s="93"/>
      <c r="F22" s="91"/>
      <c r="G22" s="17"/>
      <c r="H22" s="17"/>
      <c r="I22" s="17" t="s">
        <v>3</v>
      </c>
      <c r="J22" s="15"/>
      <c r="K22" s="15"/>
      <c r="L22" s="15"/>
      <c r="M22" s="15"/>
      <c r="N22" s="17"/>
      <c r="O22" s="15"/>
      <c r="P22" s="15"/>
      <c r="Q22" s="15"/>
      <c r="R22" s="15"/>
      <c r="S22" s="15"/>
      <c r="T22" s="15"/>
      <c r="U22" s="15" t="s">
        <v>35</v>
      </c>
      <c r="V22" s="94">
        <v>0</v>
      </c>
      <c r="W22" s="94">
        <v>0</v>
      </c>
      <c r="X22" s="94">
        <f t="shared" si="0"/>
        <v>0</v>
      </c>
      <c r="Y22" s="17"/>
      <c r="Z22" s="17"/>
      <c r="AA22" s="15"/>
      <c r="AB22" s="17"/>
      <c r="AC22" s="17"/>
      <c r="AD22" s="15"/>
      <c r="AE22" s="17"/>
      <c r="AF22" s="17"/>
      <c r="AG22" s="17"/>
      <c r="AH22" s="17"/>
      <c r="AI22" s="17"/>
      <c r="AJ22" s="17">
        <v>19</v>
      </c>
      <c r="AK22" s="15" t="str">
        <f>IFERROR(VLOOKUP(AJ22,Legend!$D$2:$E$26,2,0),"")</f>
        <v>Other: (not included in a category listed)</v>
      </c>
      <c r="AL22" s="17"/>
      <c r="AM22" s="15"/>
      <c r="AN22" s="15"/>
      <c r="AO22" s="15"/>
      <c r="AP22" s="412"/>
      <c r="AQ22" s="15"/>
      <c r="AR22" s="15"/>
    </row>
    <row r="23" spans="1:44" x14ac:dyDescent="0.25">
      <c r="A23" s="17">
        <v>20</v>
      </c>
      <c r="B23" s="17"/>
      <c r="C23" s="17"/>
      <c r="D23" s="18"/>
      <c r="E23" s="93"/>
      <c r="F23" s="91"/>
      <c r="G23" s="17"/>
      <c r="H23" s="17"/>
      <c r="I23" s="17" t="s">
        <v>3</v>
      </c>
      <c r="J23" s="15"/>
      <c r="K23" s="15"/>
      <c r="L23" s="15"/>
      <c r="M23" s="15"/>
      <c r="N23" s="17"/>
      <c r="O23" s="15"/>
      <c r="P23" s="15"/>
      <c r="Q23" s="15"/>
      <c r="R23" s="15"/>
      <c r="S23" s="15"/>
      <c r="T23" s="15"/>
      <c r="U23" s="15" t="s">
        <v>35</v>
      </c>
      <c r="V23" s="94">
        <v>0</v>
      </c>
      <c r="W23" s="94">
        <v>0</v>
      </c>
      <c r="X23" s="94">
        <f t="shared" si="0"/>
        <v>0</v>
      </c>
      <c r="Y23" s="17"/>
      <c r="Z23" s="17"/>
      <c r="AA23" s="15"/>
      <c r="AB23" s="17"/>
      <c r="AC23" s="17"/>
      <c r="AD23" s="15"/>
      <c r="AE23" s="17"/>
      <c r="AF23" s="17"/>
      <c r="AG23" s="17"/>
      <c r="AH23" s="17"/>
      <c r="AI23" s="17"/>
      <c r="AJ23" s="17">
        <v>20</v>
      </c>
      <c r="AK23" s="15" t="str">
        <f>IFERROR(VLOOKUP(AJ23,Legend!$D$2:$E$26,2,0),"")</f>
        <v>Off-Duty Government Personnel: (Police/Fire)</v>
      </c>
      <c r="AL23" s="17"/>
      <c r="AM23" s="15"/>
      <c r="AN23" s="15"/>
      <c r="AO23" s="15"/>
      <c r="AP23" s="412"/>
      <c r="AQ23" s="15"/>
      <c r="AR23" s="15"/>
    </row>
    <row r="24" spans="1:44" x14ac:dyDescent="0.25">
      <c r="A24" s="17">
        <v>21</v>
      </c>
      <c r="B24" s="17"/>
      <c r="C24" s="17"/>
      <c r="D24" s="18"/>
      <c r="E24" s="93"/>
      <c r="F24" s="91"/>
      <c r="G24" s="17"/>
      <c r="H24" s="17"/>
      <c r="I24" s="17" t="s">
        <v>3</v>
      </c>
      <c r="J24" s="15"/>
      <c r="K24" s="15"/>
      <c r="L24" s="15"/>
      <c r="M24" s="15"/>
      <c r="N24" s="17"/>
      <c r="O24" s="15"/>
      <c r="P24" s="15"/>
      <c r="Q24" s="15"/>
      <c r="R24" s="15"/>
      <c r="S24" s="15"/>
      <c r="T24" s="15"/>
      <c r="U24" s="15" t="s">
        <v>35</v>
      </c>
      <c r="V24" s="94">
        <v>0</v>
      </c>
      <c r="W24" s="94">
        <v>0</v>
      </c>
      <c r="X24" s="94">
        <f t="shared" ref="X24:X27" si="1">V24-W24</f>
        <v>0</v>
      </c>
      <c r="Y24" s="17"/>
      <c r="Z24" s="17"/>
      <c r="AA24" s="15"/>
      <c r="AB24" s="17"/>
      <c r="AC24" s="17"/>
      <c r="AD24" s="15"/>
      <c r="AE24" s="17"/>
      <c r="AF24" s="17"/>
      <c r="AG24" s="17"/>
      <c r="AH24" s="17"/>
      <c r="AI24" s="17"/>
      <c r="AJ24" s="17">
        <v>21</v>
      </c>
      <c r="AK24" s="15" t="str">
        <f>IFERROR(VLOOKUP(AJ24,Legend!$D$2:$E$26,2,0),"")</f>
        <v>Security Personnel</v>
      </c>
      <c r="AL24" s="17"/>
      <c r="AM24" s="15"/>
      <c r="AN24" s="15"/>
      <c r="AO24" s="15"/>
      <c r="AP24" s="412"/>
      <c r="AQ24" s="15"/>
      <c r="AR24" s="15"/>
    </row>
    <row r="25" spans="1:44" x14ac:dyDescent="0.25">
      <c r="A25" s="17">
        <v>22</v>
      </c>
      <c r="B25" s="17"/>
      <c r="C25" s="17"/>
      <c r="D25" s="18"/>
      <c r="E25" s="93"/>
      <c r="F25" s="91"/>
      <c r="G25" s="17"/>
      <c r="H25" s="17"/>
      <c r="I25" s="17" t="s">
        <v>3</v>
      </c>
      <c r="J25" s="15"/>
      <c r="K25" s="15"/>
      <c r="L25" s="15"/>
      <c r="M25" s="15"/>
      <c r="N25" s="17"/>
      <c r="O25" s="15"/>
      <c r="P25" s="15"/>
      <c r="Q25" s="15"/>
      <c r="R25" s="15"/>
      <c r="S25" s="15"/>
      <c r="T25" s="15"/>
      <c r="U25" s="15" t="s">
        <v>35</v>
      </c>
      <c r="V25" s="94">
        <v>0</v>
      </c>
      <c r="W25" s="94">
        <v>0</v>
      </c>
      <c r="X25" s="94">
        <f t="shared" si="1"/>
        <v>0</v>
      </c>
      <c r="Y25" s="17"/>
      <c r="Z25" s="17"/>
      <c r="AA25" s="15"/>
      <c r="AB25" s="17"/>
      <c r="AC25" s="17"/>
      <c r="AD25" s="15"/>
      <c r="AE25" s="17"/>
      <c r="AF25" s="17"/>
      <c r="AG25" s="17"/>
      <c r="AH25" s="17"/>
      <c r="AI25" s="17"/>
      <c r="AJ25" s="17">
        <v>22</v>
      </c>
      <c r="AK25" s="15" t="str">
        <f>IFERROR(VLOOKUP(AJ25,Legend!$D$2:$E$26,2,0),"")</f>
        <v>Georgia Crew Hires: (to include fringes)</v>
      </c>
      <c r="AL25" s="17"/>
      <c r="AM25" s="15"/>
      <c r="AN25" s="15"/>
      <c r="AO25" s="15"/>
      <c r="AP25" s="412"/>
      <c r="AQ25" s="15"/>
      <c r="AR25" s="15"/>
    </row>
    <row r="26" spans="1:44" x14ac:dyDescent="0.25">
      <c r="A26" s="17">
        <v>23</v>
      </c>
      <c r="B26" s="17"/>
      <c r="C26" s="17"/>
      <c r="D26" s="18"/>
      <c r="E26" s="93"/>
      <c r="F26" s="91"/>
      <c r="G26" s="17"/>
      <c r="H26" s="17"/>
      <c r="I26" s="17" t="s">
        <v>3</v>
      </c>
      <c r="J26" s="15"/>
      <c r="K26" s="15"/>
      <c r="L26" s="15"/>
      <c r="M26" s="15"/>
      <c r="N26" s="17"/>
      <c r="O26" s="15"/>
      <c r="P26" s="15"/>
      <c r="Q26" s="15"/>
      <c r="R26" s="15"/>
      <c r="S26" s="15"/>
      <c r="T26" s="15"/>
      <c r="U26" s="15" t="s">
        <v>35</v>
      </c>
      <c r="V26" s="94">
        <v>0</v>
      </c>
      <c r="W26" s="94">
        <v>0</v>
      </c>
      <c r="X26" s="94">
        <f t="shared" si="1"/>
        <v>0</v>
      </c>
      <c r="Y26" s="17"/>
      <c r="Z26" s="17"/>
      <c r="AA26" s="15"/>
      <c r="AB26" s="17"/>
      <c r="AC26" s="17"/>
      <c r="AD26" s="15"/>
      <c r="AE26" s="17"/>
      <c r="AF26" s="17"/>
      <c r="AG26" s="17"/>
      <c r="AH26" s="17"/>
      <c r="AI26" s="17"/>
      <c r="AJ26" s="17">
        <v>23</v>
      </c>
      <c r="AK26" s="15" t="str">
        <f>IFERROR(VLOOKUP(AJ26,Legend!$D$2:$E$26,2,0),"")</f>
        <v>Georgia Cast Hires: (to include fringes)</v>
      </c>
      <c r="AL26" s="17"/>
      <c r="AM26" s="15"/>
      <c r="AN26" s="15"/>
      <c r="AO26" s="15"/>
      <c r="AP26" s="412"/>
      <c r="AQ26" s="15"/>
      <c r="AR26" s="15"/>
    </row>
    <row r="27" spans="1:44" x14ac:dyDescent="0.25">
      <c r="A27" s="17">
        <v>24</v>
      </c>
      <c r="B27" s="17"/>
      <c r="C27" s="17"/>
      <c r="D27" s="18"/>
      <c r="E27" s="93"/>
      <c r="F27" s="91"/>
      <c r="G27" s="17"/>
      <c r="H27" s="17"/>
      <c r="I27" s="17" t="s">
        <v>3</v>
      </c>
      <c r="J27" s="15"/>
      <c r="K27" s="15"/>
      <c r="L27" s="15"/>
      <c r="M27" s="15"/>
      <c r="N27" s="17"/>
      <c r="O27" s="15"/>
      <c r="P27" s="15"/>
      <c r="Q27" s="15"/>
      <c r="R27" s="15"/>
      <c r="S27" s="15"/>
      <c r="T27" s="15"/>
      <c r="U27" s="15" t="s">
        <v>35</v>
      </c>
      <c r="V27" s="94">
        <v>0</v>
      </c>
      <c r="W27" s="94">
        <v>0</v>
      </c>
      <c r="X27" s="94">
        <f t="shared" si="1"/>
        <v>0</v>
      </c>
      <c r="Y27" s="17"/>
      <c r="Z27" s="17"/>
      <c r="AA27" s="15"/>
      <c r="AB27" s="17"/>
      <c r="AC27" s="17"/>
      <c r="AD27" s="15"/>
      <c r="AE27" s="17"/>
      <c r="AF27" s="17"/>
      <c r="AG27" s="17"/>
      <c r="AH27" s="17"/>
      <c r="AI27" s="17"/>
      <c r="AJ27" s="17">
        <v>24</v>
      </c>
      <c r="AK27" s="15" t="str">
        <f>IFERROR(VLOOKUP(AJ27,Legend!$D$2:$E$26,2,0),"")</f>
        <v>Georgia Extras Hires</v>
      </c>
      <c r="AL27" s="17"/>
      <c r="AM27" s="15"/>
      <c r="AN27" s="15"/>
      <c r="AO27" s="15"/>
      <c r="AP27" s="412"/>
      <c r="AQ27" s="15"/>
      <c r="AR27" s="15"/>
    </row>
    <row r="28" spans="1:44" x14ac:dyDescent="0.25">
      <c r="A28" s="17">
        <v>25</v>
      </c>
      <c r="B28" s="17"/>
      <c r="C28" s="17"/>
      <c r="D28" s="18"/>
      <c r="E28" s="183"/>
      <c r="F28" s="91"/>
      <c r="G28" s="17"/>
      <c r="H28" s="17"/>
      <c r="I28" s="17" t="s">
        <v>3</v>
      </c>
      <c r="J28" s="15"/>
      <c r="K28" s="15"/>
      <c r="L28" s="15"/>
      <c r="M28" s="15"/>
      <c r="N28" s="17"/>
      <c r="O28" s="15"/>
      <c r="P28" s="15"/>
      <c r="Q28" s="15"/>
      <c r="R28" s="15"/>
      <c r="S28" s="15"/>
      <c r="T28" s="15"/>
      <c r="U28" s="15" t="s">
        <v>35</v>
      </c>
      <c r="V28" s="94">
        <v>0</v>
      </c>
      <c r="W28" s="94">
        <v>0</v>
      </c>
      <c r="X28" s="94">
        <f t="shared" si="0"/>
        <v>0</v>
      </c>
      <c r="Y28" s="17"/>
      <c r="Z28" s="17"/>
      <c r="AA28" s="15"/>
      <c r="AB28" s="17"/>
      <c r="AC28" s="17"/>
      <c r="AD28" s="15"/>
      <c r="AE28" s="17"/>
      <c r="AF28" s="17"/>
      <c r="AG28" s="17"/>
      <c r="AH28" s="17"/>
      <c r="AI28" s="17"/>
      <c r="AJ28" s="17">
        <v>25</v>
      </c>
      <c r="AK28" s="15" t="str">
        <f>IFERROR(VLOOKUP(AJ28,Legend!$D$2:$E$26,2,0),"")</f>
        <v>Per Diem Payments Cast &amp; Crew</v>
      </c>
      <c r="AL28" s="17"/>
      <c r="AM28" s="15"/>
      <c r="AN28" s="15"/>
      <c r="AO28" s="15"/>
      <c r="AP28" s="412"/>
      <c r="AQ28" s="15"/>
      <c r="AR28" s="15"/>
    </row>
    <row r="29" spans="1:44" x14ac:dyDescent="0.25">
      <c r="A29" s="17">
        <v>26</v>
      </c>
      <c r="B29" s="17"/>
      <c r="C29" s="17"/>
      <c r="D29" s="18"/>
      <c r="E29" s="93"/>
      <c r="F29" s="91"/>
      <c r="G29" s="17"/>
      <c r="H29" s="17"/>
      <c r="I29" s="17" t="s">
        <v>3</v>
      </c>
      <c r="J29" s="15"/>
      <c r="K29" s="15"/>
      <c r="L29" s="15"/>
      <c r="M29" s="15"/>
      <c r="N29" s="17"/>
      <c r="O29" s="15"/>
      <c r="P29" s="15"/>
      <c r="Q29" s="15"/>
      <c r="R29" s="15"/>
      <c r="S29" s="15"/>
      <c r="T29" s="15"/>
      <c r="U29" s="15" t="s">
        <v>35</v>
      </c>
      <c r="V29" s="94">
        <v>0</v>
      </c>
      <c r="W29" s="94">
        <v>0</v>
      </c>
      <c r="X29" s="94">
        <f t="shared" si="0"/>
        <v>0</v>
      </c>
      <c r="Y29" s="17"/>
      <c r="Z29" s="17"/>
      <c r="AA29" s="15"/>
      <c r="AB29" s="17"/>
      <c r="AC29" s="17"/>
      <c r="AD29" s="15"/>
      <c r="AE29" s="17"/>
      <c r="AF29" s="17"/>
      <c r="AG29" s="17"/>
      <c r="AH29" s="17"/>
      <c r="AI29" s="17"/>
      <c r="AJ29" s="17"/>
      <c r="AK29" s="15" t="str">
        <f>IFERROR(VLOOKUP(AJ29,Legend!$D$2:$E$26,2,0),"")</f>
        <v/>
      </c>
      <c r="AL29" s="17"/>
      <c r="AM29" s="15"/>
      <c r="AN29" s="15"/>
      <c r="AO29" s="15"/>
      <c r="AP29" s="412"/>
      <c r="AQ29" s="15"/>
      <c r="AR29" s="15"/>
    </row>
    <row r="30" spans="1:44" x14ac:dyDescent="0.25">
      <c r="A30" s="17">
        <v>27</v>
      </c>
      <c r="B30" s="17"/>
      <c r="C30" s="17"/>
      <c r="D30" s="18"/>
      <c r="E30" s="93"/>
      <c r="F30" s="91"/>
      <c r="G30" s="17"/>
      <c r="H30" s="17"/>
      <c r="I30" s="17" t="s">
        <v>3</v>
      </c>
      <c r="J30" s="15"/>
      <c r="K30" s="15"/>
      <c r="L30" s="15"/>
      <c r="M30" s="15"/>
      <c r="N30" s="17"/>
      <c r="O30" s="15"/>
      <c r="P30" s="15"/>
      <c r="Q30" s="15"/>
      <c r="R30" s="15"/>
      <c r="S30" s="15"/>
      <c r="T30" s="15"/>
      <c r="U30" s="15" t="s">
        <v>35</v>
      </c>
      <c r="V30" s="94">
        <v>0</v>
      </c>
      <c r="W30" s="94">
        <v>0</v>
      </c>
      <c r="X30" s="94">
        <f t="shared" si="0"/>
        <v>0</v>
      </c>
      <c r="Y30" s="17"/>
      <c r="Z30" s="17"/>
      <c r="AA30" s="15"/>
      <c r="AB30" s="17"/>
      <c r="AC30" s="17"/>
      <c r="AD30" s="15"/>
      <c r="AE30" s="17"/>
      <c r="AF30" s="17"/>
      <c r="AG30" s="17"/>
      <c r="AH30" s="17"/>
      <c r="AI30" s="17"/>
      <c r="AJ30" s="17"/>
      <c r="AK30" s="15" t="str">
        <f>IFERROR(VLOOKUP(AJ30,Legend!$D$2:$E$26,2,0),"")</f>
        <v/>
      </c>
      <c r="AL30" s="17"/>
      <c r="AM30" s="15"/>
      <c r="AN30" s="15"/>
      <c r="AO30" s="15"/>
      <c r="AP30" s="412"/>
      <c r="AQ30" s="15"/>
      <c r="AR30" s="15"/>
    </row>
    <row r="31" spans="1:44" x14ac:dyDescent="0.25">
      <c r="A31" s="17">
        <v>28</v>
      </c>
      <c r="B31" s="17"/>
      <c r="C31" s="17"/>
      <c r="D31" s="18"/>
      <c r="E31" s="93"/>
      <c r="F31" s="91"/>
      <c r="G31" s="17"/>
      <c r="H31" s="17"/>
      <c r="I31" s="17" t="s">
        <v>3</v>
      </c>
      <c r="J31" s="15"/>
      <c r="K31" s="15"/>
      <c r="L31" s="15"/>
      <c r="M31" s="15"/>
      <c r="N31" s="17"/>
      <c r="O31" s="15"/>
      <c r="P31" s="15"/>
      <c r="Q31" s="15"/>
      <c r="R31" s="15"/>
      <c r="S31" s="15"/>
      <c r="T31" s="15"/>
      <c r="U31" s="15" t="s">
        <v>35</v>
      </c>
      <c r="V31" s="94">
        <v>0</v>
      </c>
      <c r="W31" s="94">
        <v>0</v>
      </c>
      <c r="X31" s="94">
        <f t="shared" si="0"/>
        <v>0</v>
      </c>
      <c r="Y31" s="17"/>
      <c r="Z31" s="17"/>
      <c r="AA31" s="15"/>
      <c r="AB31" s="17"/>
      <c r="AC31" s="17"/>
      <c r="AD31" s="15"/>
      <c r="AE31" s="17"/>
      <c r="AF31" s="17"/>
      <c r="AG31" s="17"/>
      <c r="AH31" s="17"/>
      <c r="AI31" s="17"/>
      <c r="AJ31" s="17"/>
      <c r="AK31" s="15" t="str">
        <f>IFERROR(VLOOKUP(AJ31,Legend!$D$2:$E$26,2,0),"")</f>
        <v/>
      </c>
      <c r="AL31" s="17"/>
      <c r="AM31" s="15"/>
      <c r="AN31" s="15"/>
      <c r="AO31" s="15"/>
      <c r="AP31" s="412"/>
      <c r="AQ31" s="15"/>
      <c r="AR31" s="15"/>
    </row>
    <row r="32" spans="1:44" x14ac:dyDescent="0.25">
      <c r="A32" s="17">
        <v>29</v>
      </c>
      <c r="B32" s="17"/>
      <c r="C32" s="17"/>
      <c r="D32" s="18"/>
      <c r="E32" s="93"/>
      <c r="F32" s="91"/>
      <c r="G32" s="17"/>
      <c r="H32" s="17"/>
      <c r="I32" s="17" t="s">
        <v>3</v>
      </c>
      <c r="J32" s="15"/>
      <c r="K32" s="15"/>
      <c r="L32" s="15"/>
      <c r="M32" s="15"/>
      <c r="N32" s="17"/>
      <c r="O32" s="15"/>
      <c r="P32" s="15"/>
      <c r="Q32" s="15"/>
      <c r="R32" s="15"/>
      <c r="S32" s="15"/>
      <c r="T32" s="15"/>
      <c r="U32" s="15" t="s">
        <v>35</v>
      </c>
      <c r="V32" s="94">
        <v>0</v>
      </c>
      <c r="W32" s="94">
        <v>0</v>
      </c>
      <c r="X32" s="94">
        <f t="shared" si="0"/>
        <v>0</v>
      </c>
      <c r="Y32" s="17"/>
      <c r="Z32" s="17"/>
      <c r="AA32" s="15"/>
      <c r="AB32" s="17"/>
      <c r="AC32" s="17"/>
      <c r="AD32" s="15"/>
      <c r="AE32" s="17"/>
      <c r="AF32" s="17"/>
      <c r="AG32" s="17"/>
      <c r="AH32" s="17"/>
      <c r="AI32" s="17"/>
      <c r="AJ32" s="17"/>
      <c r="AK32" s="15" t="str">
        <f>IFERROR(VLOOKUP(AJ32,Legend!$D$2:$E$26,2,0),"")</f>
        <v/>
      </c>
      <c r="AL32" s="17"/>
      <c r="AM32" s="15"/>
      <c r="AN32" s="15"/>
      <c r="AO32" s="15"/>
      <c r="AP32" s="412"/>
      <c r="AQ32" s="15"/>
      <c r="AR32" s="15"/>
    </row>
    <row r="33" spans="1:44" x14ac:dyDescent="0.25">
      <c r="A33" s="17">
        <v>30</v>
      </c>
      <c r="B33" s="17"/>
      <c r="C33" s="17"/>
      <c r="D33" s="18"/>
      <c r="E33" s="93"/>
      <c r="F33" s="91"/>
      <c r="G33" s="17"/>
      <c r="H33" s="17"/>
      <c r="I33" s="17" t="s">
        <v>3</v>
      </c>
      <c r="J33" s="15"/>
      <c r="K33" s="15"/>
      <c r="L33" s="15"/>
      <c r="M33" s="15"/>
      <c r="N33" s="17"/>
      <c r="O33" s="15"/>
      <c r="P33" s="15"/>
      <c r="Q33" s="15"/>
      <c r="R33" s="15"/>
      <c r="S33" s="15"/>
      <c r="T33" s="15"/>
      <c r="U33" s="15" t="s">
        <v>35</v>
      </c>
      <c r="V33" s="94">
        <v>0</v>
      </c>
      <c r="W33" s="94">
        <v>0</v>
      </c>
      <c r="X33" s="94">
        <f t="shared" ref="X33" si="2">V33-W33</f>
        <v>0</v>
      </c>
      <c r="Y33" s="17"/>
      <c r="Z33" s="17"/>
      <c r="AA33" s="15"/>
      <c r="AB33" s="17"/>
      <c r="AC33" s="17"/>
      <c r="AD33" s="15"/>
      <c r="AE33" s="17"/>
      <c r="AF33" s="17"/>
      <c r="AG33" s="17"/>
      <c r="AH33" s="17"/>
      <c r="AI33" s="17"/>
      <c r="AJ33" s="17"/>
      <c r="AK33" s="15" t="str">
        <f>IFERROR(VLOOKUP(AJ33,Legend!$D$2:$E$26,2,0),"")</f>
        <v/>
      </c>
      <c r="AL33" s="17"/>
      <c r="AM33" s="15"/>
      <c r="AN33" s="15"/>
      <c r="AO33" s="15"/>
      <c r="AP33" s="412"/>
      <c r="AQ33" s="15"/>
      <c r="AR33" s="15"/>
    </row>
    <row r="34" spans="1:44" x14ac:dyDescent="0.25">
      <c r="A34" s="17"/>
      <c r="B34" s="17"/>
      <c r="C34" s="17"/>
      <c r="D34" s="18"/>
      <c r="E34" s="93"/>
      <c r="F34" s="91"/>
      <c r="G34" s="17"/>
      <c r="H34" s="17"/>
      <c r="I34" s="17" t="s">
        <v>3</v>
      </c>
      <c r="J34" s="15"/>
      <c r="K34" s="15"/>
      <c r="L34" s="15"/>
      <c r="M34" s="15"/>
      <c r="N34" s="17"/>
      <c r="O34" s="15"/>
      <c r="P34" s="15"/>
      <c r="Q34" s="91"/>
      <c r="R34" s="17"/>
      <c r="S34" s="91"/>
      <c r="T34" s="15"/>
      <c r="U34" s="15"/>
      <c r="V34" s="94">
        <v>0</v>
      </c>
      <c r="W34" s="94">
        <v>0</v>
      </c>
      <c r="X34" s="94"/>
      <c r="Y34" s="17"/>
      <c r="Z34" s="17"/>
      <c r="AA34" s="15"/>
      <c r="AB34" s="17"/>
      <c r="AC34" s="17"/>
      <c r="AD34" s="15"/>
      <c r="AE34" s="17"/>
      <c r="AF34" s="17"/>
      <c r="AG34" s="17"/>
      <c r="AH34" s="17"/>
      <c r="AI34" s="17"/>
      <c r="AJ34" s="17"/>
      <c r="AK34" s="15" t="str">
        <f>IFERROR(VLOOKUP(AJ34,Legend!$D$2:$E$26,2,0),"")</f>
        <v/>
      </c>
      <c r="AL34" s="17"/>
      <c r="AM34" s="15"/>
      <c r="AN34" s="15"/>
      <c r="AO34" s="15"/>
      <c r="AP34" s="412"/>
      <c r="AQ34" s="15"/>
      <c r="AR34" s="15"/>
    </row>
    <row r="35" spans="1:44" x14ac:dyDescent="0.25">
      <c r="T35" s="36"/>
      <c r="U35" s="36" t="s">
        <v>253</v>
      </c>
      <c r="V35" s="59">
        <f>SUBTOTAL(9,V4:V34)</f>
        <v>0</v>
      </c>
      <c r="W35" s="59">
        <f>SUBTOTAL(9,W4:W34)</f>
        <v>0</v>
      </c>
      <c r="X35" s="59">
        <f>SUBTOTAL(9,X4:X34)</f>
        <v>0</v>
      </c>
      <c r="AC35" s="3"/>
      <c r="AH35"/>
      <c r="AK35"/>
      <c r="AL35" s="3"/>
      <c r="AO35"/>
      <c r="AQ35" s="3"/>
    </row>
    <row r="36" spans="1:44" x14ac:dyDescent="0.25">
      <c r="T36" s="36"/>
      <c r="U36" s="36"/>
      <c r="V36" s="59"/>
      <c r="W36" s="59"/>
      <c r="X36" s="59"/>
      <c r="AC36" s="3"/>
      <c r="AH36"/>
      <c r="AK36"/>
      <c r="AL36" s="3"/>
      <c r="AO36"/>
      <c r="AQ36" s="3"/>
    </row>
    <row r="37" spans="1:44" x14ac:dyDescent="0.25">
      <c r="V37" s="12"/>
      <c r="W37" s="12"/>
      <c r="X37" s="12"/>
      <c r="AC37" s="3"/>
      <c r="AH37"/>
      <c r="AK37"/>
      <c r="AL37" s="3"/>
      <c r="AO37"/>
      <c r="AQ37" s="3"/>
    </row>
    <row r="38" spans="1:44" ht="15.75" thickBot="1" x14ac:dyDescent="0.3">
      <c r="U38" s="92" t="s">
        <v>254</v>
      </c>
      <c r="V38" s="70">
        <f>SUM(V4:V34)</f>
        <v>0</v>
      </c>
      <c r="W38" s="70">
        <f>SUM(W4:W34)</f>
        <v>0</v>
      </c>
      <c r="X38" s="70">
        <f>SUM(X4:X34)</f>
        <v>0</v>
      </c>
      <c r="AC38" s="3"/>
      <c r="AH38"/>
      <c r="AK38"/>
      <c r="AL38" s="3"/>
      <c r="AO38"/>
      <c r="AQ38" s="3"/>
    </row>
    <row r="39" spans="1:44" ht="15.75" thickTop="1" x14ac:dyDescent="0.25"/>
    <row r="42" spans="1:44" x14ac:dyDescent="0.25">
      <c r="F42" s="261" t="s">
        <v>367</v>
      </c>
      <c r="I42"/>
      <c r="L42" s="3"/>
      <c r="M42" s="97"/>
      <c r="N42" s="97"/>
      <c r="O42" s="114"/>
      <c r="P42"/>
      <c r="Q42"/>
      <c r="R42" s="429" t="s">
        <v>284</v>
      </c>
      <c r="S42" s="430"/>
      <c r="T42" s="431"/>
      <c r="V42" s="429" t="s">
        <v>310</v>
      </c>
      <c r="W42" s="430"/>
      <c r="X42" s="431"/>
      <c r="Y42" s="3"/>
    </row>
    <row r="43" spans="1:44" ht="30" x14ac:dyDescent="0.25">
      <c r="F43" s="272" t="s">
        <v>366</v>
      </c>
      <c r="G43" s="225" t="s">
        <v>34</v>
      </c>
      <c r="H43" s="225" t="s">
        <v>353</v>
      </c>
      <c r="I43" s="226" t="s">
        <v>349</v>
      </c>
      <c r="J43" s="226" t="s">
        <v>350</v>
      </c>
      <c r="L43" s="3"/>
      <c r="N43" s="98" t="s">
        <v>285</v>
      </c>
      <c r="O43" s="99" t="s">
        <v>167</v>
      </c>
      <c r="P43" s="99" t="s">
        <v>286</v>
      </c>
      <c r="Q43" s="100" t="s">
        <v>257</v>
      </c>
      <c r="R43" s="101" t="s">
        <v>188</v>
      </c>
      <c r="S43" s="102" t="s">
        <v>187</v>
      </c>
      <c r="T43" s="103" t="s">
        <v>178</v>
      </c>
      <c r="U43" s="187"/>
      <c r="V43" s="101" t="s">
        <v>188</v>
      </c>
      <c r="W43" s="188" t="s">
        <v>187</v>
      </c>
      <c r="X43" s="189" t="s">
        <v>178</v>
      </c>
      <c r="Y43" s="3"/>
    </row>
    <row r="44" spans="1:44" x14ac:dyDescent="0.25">
      <c r="F44" s="273" cm="1">
        <f t="array" ref="F44">_xlfn.UNIQUE(F4:F34)</f>
        <v>0</v>
      </c>
      <c r="G44" s="12">
        <f>SUMIF($F$4:$F$34,F44,$V$4:$V$34)</f>
        <v>0</v>
      </c>
      <c r="H44" s="12" t="str">
        <f>IF(G44&gt;=10000,"Yes","N/A")</f>
        <v>N/A</v>
      </c>
      <c r="I44" t="str">
        <f>IF(G44&gt;=10000,"Yes","N/A")</f>
        <v>N/A</v>
      </c>
      <c r="J44" t="str">
        <f>IF(G44&gt;=10000,"Yes","N/A")</f>
        <v>N/A</v>
      </c>
      <c r="L44" s="3"/>
      <c r="N44" s="105">
        <f t="shared" ref="N44:N75" si="3">SUMIF($AK$4:$AK$34,Q44,$V$4:$V$34)</f>
        <v>0</v>
      </c>
      <c r="O44" s="105">
        <f t="shared" ref="O44:O75" si="4">SUMIF($AK$4:$AK$34,Q44,$W$4:$W$34)</f>
        <v>0</v>
      </c>
      <c r="P44" s="105">
        <f t="shared" ref="P44:P75" si="5">SUMIF($AK$4:$AK$34,Q44,$X$4:$X$34)</f>
        <v>0</v>
      </c>
      <c r="Q44" s="106" t="s">
        <v>259</v>
      </c>
      <c r="R44" s="104">
        <f t="shared" ref="R44:R75" si="6">SUMIFS($X$4:$X$34,$AK$4:$AK$34,Q44,$AL$4:$AL$34,$R$43)</f>
        <v>0</v>
      </c>
      <c r="S44" s="104">
        <f t="shared" ref="S44:S75" si="7">SUMIFS($X$4:$X$34,$AK$4:$AK$34,Q44,$AL$4:$AL$34,$S$43)</f>
        <v>0</v>
      </c>
      <c r="T44" s="104">
        <f t="shared" ref="T44:T75" si="8">SUMIFS($X$4:$X$34,$AK$4:$AK$34,Q44,$AL$4:$AL$34,$T$43)</f>
        <v>0</v>
      </c>
      <c r="U44" s="159">
        <f>SUBTOTAL(9,R44:T44)-P44</f>
        <v>0</v>
      </c>
      <c r="V44" s="190">
        <f t="shared" ref="V44:X75" si="9">SUMIFS($W$4:$W$34,$AK$4:$AK$34,$Q44,$AL$4:$AL$34,V$43)</f>
        <v>0</v>
      </c>
      <c r="W44" s="190">
        <f t="shared" si="9"/>
        <v>0</v>
      </c>
      <c r="X44" s="190">
        <f t="shared" si="9"/>
        <v>0</v>
      </c>
      <c r="Y44" s="159">
        <f t="shared" ref="Y44:Y74" si="10">SUBTOTAL(9,V44:X44)-O44</f>
        <v>0</v>
      </c>
    </row>
    <row r="45" spans="1:44" x14ac:dyDescent="0.25">
      <c r="F45" s="273" t="s">
        <v>387</v>
      </c>
      <c r="G45" s="12">
        <f>SUMIF($F$4:$F$34,F45,$V$4:$V$34)</f>
        <v>0</v>
      </c>
      <c r="H45" s="12" t="str">
        <f t="shared" ref="H45" si="11">IF(G45&gt;=10000,"Yes","N/A")</f>
        <v>N/A</v>
      </c>
      <c r="I45" t="str">
        <f t="shared" ref="I45" si="12">IF(G45&gt;=10000,"Yes","N/A")</f>
        <v>N/A</v>
      </c>
      <c r="J45" t="str">
        <f t="shared" ref="J45" si="13">IF(G45&gt;=10000,"Yes","N/A")</f>
        <v>N/A</v>
      </c>
      <c r="L45" s="3"/>
      <c r="M45" s="12"/>
      <c r="N45" s="105">
        <f t="shared" si="3"/>
        <v>0</v>
      </c>
      <c r="O45" s="105">
        <f t="shared" si="4"/>
        <v>0</v>
      </c>
      <c r="P45" s="105">
        <f t="shared" si="5"/>
        <v>0</v>
      </c>
      <c r="Q45" s="106" t="s">
        <v>260</v>
      </c>
      <c r="R45" s="104">
        <f t="shared" si="6"/>
        <v>0</v>
      </c>
      <c r="S45" s="104">
        <f t="shared" si="7"/>
        <v>0</v>
      </c>
      <c r="T45" s="104">
        <f t="shared" si="8"/>
        <v>0</v>
      </c>
      <c r="U45" s="159">
        <f t="shared" ref="U45:U75" si="14">SUBTOTAL(9,R45:T45)-P45</f>
        <v>0</v>
      </c>
      <c r="V45" s="190">
        <f t="shared" si="9"/>
        <v>0</v>
      </c>
      <c r="W45" s="190">
        <f t="shared" si="9"/>
        <v>0</v>
      </c>
      <c r="X45" s="190">
        <f t="shared" si="9"/>
        <v>0</v>
      </c>
      <c r="Y45" s="159">
        <f t="shared" si="10"/>
        <v>0</v>
      </c>
      <c r="AC45" s="3"/>
    </row>
    <row r="46" spans="1:44" x14ac:dyDescent="0.25">
      <c r="L46" s="3"/>
      <c r="M46" s="12"/>
      <c r="N46" s="105">
        <f t="shared" si="3"/>
        <v>0</v>
      </c>
      <c r="O46" s="105">
        <f t="shared" si="4"/>
        <v>0</v>
      </c>
      <c r="P46" s="105">
        <f t="shared" si="5"/>
        <v>0</v>
      </c>
      <c r="Q46" s="106" t="s">
        <v>261</v>
      </c>
      <c r="R46" s="104">
        <f t="shared" si="6"/>
        <v>0</v>
      </c>
      <c r="S46" s="104">
        <f t="shared" si="7"/>
        <v>0</v>
      </c>
      <c r="T46" s="104">
        <f t="shared" si="8"/>
        <v>0</v>
      </c>
      <c r="U46" s="159">
        <f t="shared" si="14"/>
        <v>0</v>
      </c>
      <c r="V46" s="190">
        <f t="shared" si="9"/>
        <v>0</v>
      </c>
      <c r="W46" s="190">
        <f t="shared" si="9"/>
        <v>0</v>
      </c>
      <c r="X46" s="190">
        <f t="shared" si="9"/>
        <v>0</v>
      </c>
      <c r="Y46" s="159">
        <f t="shared" si="10"/>
        <v>0</v>
      </c>
      <c r="AC46" s="3"/>
    </row>
    <row r="47" spans="1:44" x14ac:dyDescent="0.25">
      <c r="L47" s="3"/>
      <c r="M47" s="12"/>
      <c r="N47" s="105">
        <f t="shared" si="3"/>
        <v>0</v>
      </c>
      <c r="O47" s="105">
        <f t="shared" si="4"/>
        <v>0</v>
      </c>
      <c r="P47" s="105">
        <f t="shared" si="5"/>
        <v>0</v>
      </c>
      <c r="Q47" s="106" t="s">
        <v>262</v>
      </c>
      <c r="R47" s="104">
        <f t="shared" si="6"/>
        <v>0</v>
      </c>
      <c r="S47" s="104">
        <f t="shared" si="7"/>
        <v>0</v>
      </c>
      <c r="T47" s="104">
        <f t="shared" si="8"/>
        <v>0</v>
      </c>
      <c r="U47" s="159">
        <f t="shared" si="14"/>
        <v>0</v>
      </c>
      <c r="V47" s="190">
        <f t="shared" si="9"/>
        <v>0</v>
      </c>
      <c r="W47" s="190">
        <f t="shared" si="9"/>
        <v>0</v>
      </c>
      <c r="X47" s="190">
        <f t="shared" si="9"/>
        <v>0</v>
      </c>
      <c r="Y47" s="159">
        <f t="shared" si="10"/>
        <v>0</v>
      </c>
      <c r="AC47" s="3"/>
    </row>
    <row r="48" spans="1:44" x14ac:dyDescent="0.25">
      <c r="L48" s="3"/>
      <c r="M48" s="12"/>
      <c r="N48" s="105">
        <f t="shared" si="3"/>
        <v>0</v>
      </c>
      <c r="O48" s="105">
        <f t="shared" si="4"/>
        <v>0</v>
      </c>
      <c r="P48" s="105">
        <f t="shared" si="5"/>
        <v>0</v>
      </c>
      <c r="Q48" s="106" t="s">
        <v>263</v>
      </c>
      <c r="R48" s="104">
        <f t="shared" si="6"/>
        <v>0</v>
      </c>
      <c r="S48" s="104">
        <f t="shared" si="7"/>
        <v>0</v>
      </c>
      <c r="T48" s="104">
        <f t="shared" si="8"/>
        <v>0</v>
      </c>
      <c r="U48" s="159">
        <f t="shared" si="14"/>
        <v>0</v>
      </c>
      <c r="V48" s="190">
        <f t="shared" si="9"/>
        <v>0</v>
      </c>
      <c r="W48" s="190">
        <f t="shared" si="9"/>
        <v>0</v>
      </c>
      <c r="X48" s="190">
        <f t="shared" si="9"/>
        <v>0</v>
      </c>
      <c r="Y48" s="159">
        <f t="shared" si="10"/>
        <v>0</v>
      </c>
      <c r="AC48" s="3"/>
    </row>
    <row r="49" spans="12:29" x14ac:dyDescent="0.25">
      <c r="L49" s="3"/>
      <c r="M49" s="12"/>
      <c r="N49" s="105">
        <f t="shared" si="3"/>
        <v>0</v>
      </c>
      <c r="O49" s="105">
        <f t="shared" si="4"/>
        <v>0</v>
      </c>
      <c r="P49" s="105">
        <f t="shared" si="5"/>
        <v>0</v>
      </c>
      <c r="Q49" s="106" t="s">
        <v>264</v>
      </c>
      <c r="R49" s="104">
        <f t="shared" si="6"/>
        <v>0</v>
      </c>
      <c r="S49" s="104">
        <f t="shared" si="7"/>
        <v>0</v>
      </c>
      <c r="T49" s="104">
        <f t="shared" si="8"/>
        <v>0</v>
      </c>
      <c r="U49" s="159">
        <f t="shared" si="14"/>
        <v>0</v>
      </c>
      <c r="V49" s="190">
        <f t="shared" si="9"/>
        <v>0</v>
      </c>
      <c r="W49" s="190">
        <f t="shared" si="9"/>
        <v>0</v>
      </c>
      <c r="X49" s="190">
        <f t="shared" si="9"/>
        <v>0</v>
      </c>
      <c r="Y49" s="159">
        <f t="shared" si="10"/>
        <v>0</v>
      </c>
      <c r="AC49" s="3"/>
    </row>
    <row r="50" spans="12:29" x14ac:dyDescent="0.25">
      <c r="L50" s="3"/>
      <c r="M50" s="12"/>
      <c r="N50" s="105">
        <f t="shared" si="3"/>
        <v>0</v>
      </c>
      <c r="O50" s="105">
        <f t="shared" si="4"/>
        <v>0</v>
      </c>
      <c r="P50" s="105">
        <f t="shared" si="5"/>
        <v>0</v>
      </c>
      <c r="Q50" s="106" t="s">
        <v>265</v>
      </c>
      <c r="R50" s="104">
        <f t="shared" si="6"/>
        <v>0</v>
      </c>
      <c r="S50" s="104">
        <f t="shared" si="7"/>
        <v>0</v>
      </c>
      <c r="T50" s="104">
        <f t="shared" si="8"/>
        <v>0</v>
      </c>
      <c r="U50" s="159">
        <f t="shared" si="14"/>
        <v>0</v>
      </c>
      <c r="V50" s="190">
        <f t="shared" si="9"/>
        <v>0</v>
      </c>
      <c r="W50" s="190">
        <f t="shared" si="9"/>
        <v>0</v>
      </c>
      <c r="X50" s="190">
        <f t="shared" si="9"/>
        <v>0</v>
      </c>
      <c r="Y50" s="159">
        <f t="shared" si="10"/>
        <v>0</v>
      </c>
      <c r="AC50" s="3"/>
    </row>
    <row r="51" spans="12:29" x14ac:dyDescent="0.25">
      <c r="L51" s="3"/>
      <c r="M51" s="12"/>
      <c r="N51" s="105">
        <f t="shared" si="3"/>
        <v>0</v>
      </c>
      <c r="O51" s="105">
        <f t="shared" si="4"/>
        <v>0</v>
      </c>
      <c r="P51" s="105">
        <f t="shared" si="5"/>
        <v>0</v>
      </c>
      <c r="Q51" s="106" t="s">
        <v>266</v>
      </c>
      <c r="R51" s="104">
        <f t="shared" si="6"/>
        <v>0</v>
      </c>
      <c r="S51" s="104">
        <f t="shared" si="7"/>
        <v>0</v>
      </c>
      <c r="T51" s="104">
        <f t="shared" si="8"/>
        <v>0</v>
      </c>
      <c r="U51" s="159">
        <f t="shared" si="14"/>
        <v>0</v>
      </c>
      <c r="V51" s="190">
        <f t="shared" si="9"/>
        <v>0</v>
      </c>
      <c r="W51" s="190">
        <f t="shared" si="9"/>
        <v>0</v>
      </c>
      <c r="X51" s="190">
        <f t="shared" si="9"/>
        <v>0</v>
      </c>
      <c r="Y51" s="159">
        <f t="shared" si="10"/>
        <v>0</v>
      </c>
      <c r="AC51" s="3"/>
    </row>
    <row r="52" spans="12:29" x14ac:dyDescent="0.25">
      <c r="L52" s="3"/>
      <c r="M52" s="12"/>
      <c r="N52" s="105">
        <f t="shared" si="3"/>
        <v>0</v>
      </c>
      <c r="O52" s="105">
        <f t="shared" si="4"/>
        <v>0</v>
      </c>
      <c r="P52" s="105">
        <f t="shared" si="5"/>
        <v>0</v>
      </c>
      <c r="Q52" s="106" t="s">
        <v>267</v>
      </c>
      <c r="R52" s="104">
        <f t="shared" si="6"/>
        <v>0</v>
      </c>
      <c r="S52" s="104">
        <f t="shared" si="7"/>
        <v>0</v>
      </c>
      <c r="T52" s="104">
        <f t="shared" si="8"/>
        <v>0</v>
      </c>
      <c r="U52" s="159">
        <f t="shared" si="14"/>
        <v>0</v>
      </c>
      <c r="V52" s="190">
        <f t="shared" si="9"/>
        <v>0</v>
      </c>
      <c r="W52" s="190">
        <f t="shared" si="9"/>
        <v>0</v>
      </c>
      <c r="X52" s="190">
        <f t="shared" si="9"/>
        <v>0</v>
      </c>
      <c r="Y52" s="159">
        <f t="shared" si="10"/>
        <v>0</v>
      </c>
      <c r="AC52" s="3"/>
    </row>
    <row r="53" spans="12:29" x14ac:dyDescent="0.25">
      <c r="L53" s="3"/>
      <c r="M53" s="12"/>
      <c r="N53" s="105">
        <f t="shared" si="3"/>
        <v>0</v>
      </c>
      <c r="O53" s="105">
        <f t="shared" si="4"/>
        <v>0</v>
      </c>
      <c r="P53" s="105">
        <f t="shared" si="5"/>
        <v>0</v>
      </c>
      <c r="Q53" s="106" t="s">
        <v>268</v>
      </c>
      <c r="R53" s="104">
        <f t="shared" si="6"/>
        <v>0</v>
      </c>
      <c r="S53" s="104">
        <f t="shared" si="7"/>
        <v>0</v>
      </c>
      <c r="T53" s="104">
        <f t="shared" si="8"/>
        <v>0</v>
      </c>
      <c r="U53" s="159">
        <f t="shared" si="14"/>
        <v>0</v>
      </c>
      <c r="V53" s="190">
        <f t="shared" si="9"/>
        <v>0</v>
      </c>
      <c r="W53" s="190">
        <f t="shared" si="9"/>
        <v>0</v>
      </c>
      <c r="X53" s="190">
        <f t="shared" si="9"/>
        <v>0</v>
      </c>
      <c r="Y53" s="159">
        <f t="shared" si="10"/>
        <v>0</v>
      </c>
      <c r="AC53" s="3"/>
    </row>
    <row r="54" spans="12:29" x14ac:dyDescent="0.25">
      <c r="L54" s="3"/>
      <c r="M54" s="12"/>
      <c r="N54" s="105">
        <f t="shared" si="3"/>
        <v>0</v>
      </c>
      <c r="O54" s="105">
        <f t="shared" si="4"/>
        <v>0</v>
      </c>
      <c r="P54" s="105">
        <f t="shared" si="5"/>
        <v>0</v>
      </c>
      <c r="Q54" s="106" t="s">
        <v>269</v>
      </c>
      <c r="R54" s="104">
        <f t="shared" si="6"/>
        <v>0</v>
      </c>
      <c r="S54" s="104">
        <f t="shared" si="7"/>
        <v>0</v>
      </c>
      <c r="T54" s="104">
        <f t="shared" si="8"/>
        <v>0</v>
      </c>
      <c r="U54" s="159">
        <f t="shared" si="14"/>
        <v>0</v>
      </c>
      <c r="V54" s="190">
        <f t="shared" si="9"/>
        <v>0</v>
      </c>
      <c r="W54" s="190">
        <f t="shared" si="9"/>
        <v>0</v>
      </c>
      <c r="X54" s="190">
        <f t="shared" si="9"/>
        <v>0</v>
      </c>
      <c r="Y54" s="159">
        <f t="shared" si="10"/>
        <v>0</v>
      </c>
      <c r="AC54" s="3"/>
    </row>
    <row r="55" spans="12:29" x14ac:dyDescent="0.25">
      <c r="L55" s="3"/>
      <c r="M55" s="12"/>
      <c r="N55" s="105">
        <f t="shared" si="3"/>
        <v>0</v>
      </c>
      <c r="O55" s="105">
        <f t="shared" si="4"/>
        <v>0</v>
      </c>
      <c r="P55" s="105">
        <f t="shared" si="5"/>
        <v>0</v>
      </c>
      <c r="Q55" s="106" t="s">
        <v>270</v>
      </c>
      <c r="R55" s="104">
        <f t="shared" si="6"/>
        <v>0</v>
      </c>
      <c r="S55" s="104">
        <f t="shared" si="7"/>
        <v>0</v>
      </c>
      <c r="T55" s="104">
        <f t="shared" si="8"/>
        <v>0</v>
      </c>
      <c r="U55" s="159">
        <f t="shared" si="14"/>
        <v>0</v>
      </c>
      <c r="V55" s="190">
        <f t="shared" si="9"/>
        <v>0</v>
      </c>
      <c r="W55" s="190">
        <f t="shared" si="9"/>
        <v>0</v>
      </c>
      <c r="X55" s="190">
        <f t="shared" si="9"/>
        <v>0</v>
      </c>
      <c r="Y55" s="159">
        <f t="shared" si="10"/>
        <v>0</v>
      </c>
      <c r="AC55" s="3"/>
    </row>
    <row r="56" spans="12:29" x14ac:dyDescent="0.25">
      <c r="L56" s="3"/>
      <c r="M56" s="12"/>
      <c r="N56" s="105">
        <f t="shared" si="3"/>
        <v>0</v>
      </c>
      <c r="O56" s="105">
        <f t="shared" si="4"/>
        <v>0</v>
      </c>
      <c r="P56" s="105">
        <f t="shared" si="5"/>
        <v>0</v>
      </c>
      <c r="Q56" s="106" t="s">
        <v>271</v>
      </c>
      <c r="R56" s="104">
        <f t="shared" si="6"/>
        <v>0</v>
      </c>
      <c r="S56" s="104">
        <f t="shared" si="7"/>
        <v>0</v>
      </c>
      <c r="T56" s="104">
        <f t="shared" si="8"/>
        <v>0</v>
      </c>
      <c r="U56" s="159">
        <f t="shared" si="14"/>
        <v>0</v>
      </c>
      <c r="V56" s="190">
        <f t="shared" si="9"/>
        <v>0</v>
      </c>
      <c r="W56" s="190">
        <f t="shared" si="9"/>
        <v>0</v>
      </c>
      <c r="X56" s="190">
        <f t="shared" si="9"/>
        <v>0</v>
      </c>
      <c r="Y56" s="159">
        <f t="shared" si="10"/>
        <v>0</v>
      </c>
      <c r="AC56" s="3"/>
    </row>
    <row r="57" spans="12:29" x14ac:dyDescent="0.25">
      <c r="L57" s="3"/>
      <c r="M57" s="12"/>
      <c r="N57" s="105">
        <f t="shared" si="3"/>
        <v>0</v>
      </c>
      <c r="O57" s="105">
        <f t="shared" si="4"/>
        <v>0</v>
      </c>
      <c r="P57" s="105">
        <f t="shared" si="5"/>
        <v>0</v>
      </c>
      <c r="Q57" s="106" t="s">
        <v>272</v>
      </c>
      <c r="R57" s="104">
        <f t="shared" si="6"/>
        <v>0</v>
      </c>
      <c r="S57" s="104">
        <f t="shared" si="7"/>
        <v>0</v>
      </c>
      <c r="T57" s="104">
        <f t="shared" si="8"/>
        <v>0</v>
      </c>
      <c r="U57" s="159">
        <f t="shared" si="14"/>
        <v>0</v>
      </c>
      <c r="V57" s="190">
        <f t="shared" si="9"/>
        <v>0</v>
      </c>
      <c r="W57" s="190">
        <f t="shared" si="9"/>
        <v>0</v>
      </c>
      <c r="X57" s="190">
        <f t="shared" si="9"/>
        <v>0</v>
      </c>
      <c r="Y57" s="159">
        <f t="shared" si="10"/>
        <v>0</v>
      </c>
      <c r="AC57" s="3"/>
    </row>
    <row r="58" spans="12:29" x14ac:dyDescent="0.25">
      <c r="L58" s="3"/>
      <c r="M58" s="12"/>
      <c r="N58" s="105">
        <f t="shared" si="3"/>
        <v>0</v>
      </c>
      <c r="O58" s="105">
        <f t="shared" si="4"/>
        <v>0</v>
      </c>
      <c r="P58" s="105">
        <f t="shared" si="5"/>
        <v>0</v>
      </c>
      <c r="Q58" s="106" t="s">
        <v>273</v>
      </c>
      <c r="R58" s="104">
        <f t="shared" si="6"/>
        <v>0</v>
      </c>
      <c r="S58" s="104">
        <f t="shared" si="7"/>
        <v>0</v>
      </c>
      <c r="T58" s="104">
        <f t="shared" si="8"/>
        <v>0</v>
      </c>
      <c r="U58" s="159">
        <f t="shared" si="14"/>
        <v>0</v>
      </c>
      <c r="V58" s="190">
        <f t="shared" si="9"/>
        <v>0</v>
      </c>
      <c r="W58" s="190">
        <f t="shared" si="9"/>
        <v>0</v>
      </c>
      <c r="X58" s="190">
        <f t="shared" si="9"/>
        <v>0</v>
      </c>
      <c r="Y58" s="159">
        <f t="shared" si="10"/>
        <v>0</v>
      </c>
      <c r="AC58" s="3"/>
    </row>
    <row r="59" spans="12:29" x14ac:dyDescent="0.25">
      <c r="L59" s="3"/>
      <c r="M59" s="12"/>
      <c r="N59" s="105">
        <f t="shared" si="3"/>
        <v>0</v>
      </c>
      <c r="O59" s="105">
        <f t="shared" si="4"/>
        <v>0</v>
      </c>
      <c r="P59" s="105">
        <f t="shared" si="5"/>
        <v>0</v>
      </c>
      <c r="Q59" s="106" t="s">
        <v>274</v>
      </c>
      <c r="R59" s="104">
        <f t="shared" si="6"/>
        <v>0</v>
      </c>
      <c r="S59" s="104">
        <f t="shared" si="7"/>
        <v>0</v>
      </c>
      <c r="T59" s="104">
        <f t="shared" si="8"/>
        <v>0</v>
      </c>
      <c r="U59" s="159">
        <f t="shared" si="14"/>
        <v>0</v>
      </c>
      <c r="V59" s="190">
        <f t="shared" si="9"/>
        <v>0</v>
      </c>
      <c r="W59" s="190">
        <f t="shared" si="9"/>
        <v>0</v>
      </c>
      <c r="X59" s="190">
        <f t="shared" si="9"/>
        <v>0</v>
      </c>
      <c r="Y59" s="159">
        <f t="shared" si="10"/>
        <v>0</v>
      </c>
      <c r="AC59" s="3"/>
    </row>
    <row r="60" spans="12:29" x14ac:dyDescent="0.25">
      <c r="L60" s="3"/>
      <c r="M60" s="12"/>
      <c r="N60" s="105">
        <f t="shared" si="3"/>
        <v>0</v>
      </c>
      <c r="O60" s="105">
        <f t="shared" si="4"/>
        <v>0</v>
      </c>
      <c r="P60" s="105">
        <f t="shared" si="5"/>
        <v>0</v>
      </c>
      <c r="Q60" s="106" t="s">
        <v>275</v>
      </c>
      <c r="R60" s="104">
        <f t="shared" si="6"/>
        <v>0</v>
      </c>
      <c r="S60" s="104">
        <f t="shared" si="7"/>
        <v>0</v>
      </c>
      <c r="T60" s="104">
        <f t="shared" si="8"/>
        <v>0</v>
      </c>
      <c r="U60" s="159">
        <f t="shared" si="14"/>
        <v>0</v>
      </c>
      <c r="V60" s="190">
        <f t="shared" si="9"/>
        <v>0</v>
      </c>
      <c r="W60" s="190">
        <f t="shared" si="9"/>
        <v>0</v>
      </c>
      <c r="X60" s="190">
        <f t="shared" si="9"/>
        <v>0</v>
      </c>
      <c r="Y60" s="159">
        <f t="shared" si="10"/>
        <v>0</v>
      </c>
      <c r="AC60" s="3"/>
    </row>
    <row r="61" spans="12:29" x14ac:dyDescent="0.25">
      <c r="L61" s="3"/>
      <c r="M61" s="12"/>
      <c r="N61" s="105">
        <f t="shared" si="3"/>
        <v>0</v>
      </c>
      <c r="O61" s="105">
        <f t="shared" si="4"/>
        <v>0</v>
      </c>
      <c r="P61" s="105">
        <f t="shared" si="5"/>
        <v>0</v>
      </c>
      <c r="Q61" s="106" t="s">
        <v>276</v>
      </c>
      <c r="R61" s="104">
        <f t="shared" si="6"/>
        <v>0</v>
      </c>
      <c r="S61" s="104">
        <f t="shared" si="7"/>
        <v>0</v>
      </c>
      <c r="T61" s="104">
        <f t="shared" si="8"/>
        <v>0</v>
      </c>
      <c r="U61" s="159">
        <f t="shared" si="14"/>
        <v>0</v>
      </c>
      <c r="V61" s="190">
        <f t="shared" si="9"/>
        <v>0</v>
      </c>
      <c r="W61" s="190">
        <f t="shared" si="9"/>
        <v>0</v>
      </c>
      <c r="X61" s="190">
        <f t="shared" si="9"/>
        <v>0</v>
      </c>
      <c r="Y61" s="159">
        <f t="shared" si="10"/>
        <v>0</v>
      </c>
      <c r="AC61" s="3"/>
    </row>
    <row r="62" spans="12:29" x14ac:dyDescent="0.25">
      <c r="L62" s="3"/>
      <c r="M62" s="12"/>
      <c r="N62" s="105">
        <f t="shared" si="3"/>
        <v>0</v>
      </c>
      <c r="O62" s="105">
        <f t="shared" si="4"/>
        <v>0</v>
      </c>
      <c r="P62" s="105">
        <f t="shared" si="5"/>
        <v>0</v>
      </c>
      <c r="Q62" s="106" t="s">
        <v>277</v>
      </c>
      <c r="R62" s="104">
        <f t="shared" si="6"/>
        <v>0</v>
      </c>
      <c r="S62" s="104">
        <f t="shared" si="7"/>
        <v>0</v>
      </c>
      <c r="T62" s="104">
        <f t="shared" si="8"/>
        <v>0</v>
      </c>
      <c r="U62" s="159">
        <f t="shared" si="14"/>
        <v>0</v>
      </c>
      <c r="V62" s="190">
        <f t="shared" si="9"/>
        <v>0</v>
      </c>
      <c r="W62" s="190">
        <f t="shared" si="9"/>
        <v>0</v>
      </c>
      <c r="X62" s="190">
        <f t="shared" si="9"/>
        <v>0</v>
      </c>
      <c r="Y62" s="159">
        <f t="shared" si="10"/>
        <v>0</v>
      </c>
      <c r="AC62" s="3"/>
    </row>
    <row r="63" spans="12:29" x14ac:dyDescent="0.25">
      <c r="L63" s="3"/>
      <c r="M63" s="12"/>
      <c r="N63" s="105">
        <f t="shared" si="3"/>
        <v>0</v>
      </c>
      <c r="O63" s="105">
        <f t="shared" si="4"/>
        <v>0</v>
      </c>
      <c r="P63" s="105">
        <f t="shared" si="5"/>
        <v>0</v>
      </c>
      <c r="Q63" s="106" t="s">
        <v>278</v>
      </c>
      <c r="R63" s="104">
        <f t="shared" si="6"/>
        <v>0</v>
      </c>
      <c r="S63" s="104">
        <f t="shared" si="7"/>
        <v>0</v>
      </c>
      <c r="T63" s="104">
        <f t="shared" si="8"/>
        <v>0</v>
      </c>
      <c r="U63" s="159">
        <f t="shared" si="14"/>
        <v>0</v>
      </c>
      <c r="V63" s="190">
        <f t="shared" si="9"/>
        <v>0</v>
      </c>
      <c r="W63" s="190">
        <f t="shared" si="9"/>
        <v>0</v>
      </c>
      <c r="X63" s="190">
        <f t="shared" si="9"/>
        <v>0</v>
      </c>
      <c r="Y63" s="159">
        <f t="shared" si="10"/>
        <v>0</v>
      </c>
      <c r="AC63" s="3"/>
    </row>
    <row r="64" spans="12:29" x14ac:dyDescent="0.25">
      <c r="L64" s="3"/>
      <c r="M64" s="12"/>
      <c r="N64" s="105">
        <f t="shared" si="3"/>
        <v>0</v>
      </c>
      <c r="O64" s="105">
        <f t="shared" si="4"/>
        <v>0</v>
      </c>
      <c r="P64" s="105">
        <f t="shared" si="5"/>
        <v>0</v>
      </c>
      <c r="Q64" s="106" t="s">
        <v>279</v>
      </c>
      <c r="R64" s="104">
        <f t="shared" si="6"/>
        <v>0</v>
      </c>
      <c r="S64" s="104">
        <f t="shared" si="7"/>
        <v>0</v>
      </c>
      <c r="T64" s="104">
        <f t="shared" si="8"/>
        <v>0</v>
      </c>
      <c r="U64" s="159">
        <f t="shared" si="14"/>
        <v>0</v>
      </c>
      <c r="V64" s="190">
        <f t="shared" si="9"/>
        <v>0</v>
      </c>
      <c r="W64" s="190">
        <f t="shared" si="9"/>
        <v>0</v>
      </c>
      <c r="X64" s="190">
        <f t="shared" si="9"/>
        <v>0</v>
      </c>
      <c r="Y64" s="159">
        <f t="shared" si="10"/>
        <v>0</v>
      </c>
      <c r="AC64" s="3"/>
    </row>
    <row r="65" spans="12:42" x14ac:dyDescent="0.25">
      <c r="L65" s="3"/>
      <c r="M65" s="12"/>
      <c r="N65" s="105">
        <f t="shared" si="3"/>
        <v>0</v>
      </c>
      <c r="O65" s="105">
        <f t="shared" si="4"/>
        <v>0</v>
      </c>
      <c r="P65" s="105">
        <f t="shared" si="5"/>
        <v>0</v>
      </c>
      <c r="Q65" s="106" t="s">
        <v>280</v>
      </c>
      <c r="R65" s="104">
        <f t="shared" si="6"/>
        <v>0</v>
      </c>
      <c r="S65" s="104">
        <f t="shared" si="7"/>
        <v>0</v>
      </c>
      <c r="T65" s="104">
        <f t="shared" si="8"/>
        <v>0</v>
      </c>
      <c r="U65" s="159">
        <f t="shared" si="14"/>
        <v>0</v>
      </c>
      <c r="V65" s="190">
        <f t="shared" si="9"/>
        <v>0</v>
      </c>
      <c r="W65" s="190">
        <f t="shared" si="9"/>
        <v>0</v>
      </c>
      <c r="X65" s="190">
        <f t="shared" si="9"/>
        <v>0</v>
      </c>
      <c r="Y65" s="159">
        <f t="shared" si="10"/>
        <v>0</v>
      </c>
      <c r="AC65" s="3"/>
    </row>
    <row r="66" spans="12:42" x14ac:dyDescent="0.25">
      <c r="L66" s="3"/>
      <c r="M66" s="12"/>
      <c r="N66" s="105">
        <f t="shared" si="3"/>
        <v>0</v>
      </c>
      <c r="O66" s="105">
        <f t="shared" si="4"/>
        <v>0</v>
      </c>
      <c r="P66" s="105">
        <f t="shared" si="5"/>
        <v>0</v>
      </c>
      <c r="Q66" s="106" t="s">
        <v>281</v>
      </c>
      <c r="R66" s="104">
        <f t="shared" si="6"/>
        <v>0</v>
      </c>
      <c r="S66" s="104">
        <f t="shared" si="7"/>
        <v>0</v>
      </c>
      <c r="T66" s="104">
        <f t="shared" si="8"/>
        <v>0</v>
      </c>
      <c r="U66" s="159">
        <f t="shared" si="14"/>
        <v>0</v>
      </c>
      <c r="V66" s="190">
        <f t="shared" si="9"/>
        <v>0</v>
      </c>
      <c r="W66" s="190">
        <f t="shared" si="9"/>
        <v>0</v>
      </c>
      <c r="X66" s="190">
        <f t="shared" si="9"/>
        <v>0</v>
      </c>
      <c r="Y66" s="159">
        <f t="shared" si="10"/>
        <v>0</v>
      </c>
      <c r="AC66" s="3"/>
    </row>
    <row r="67" spans="12:42" x14ac:dyDescent="0.25">
      <c r="L67" s="3"/>
      <c r="M67" s="12"/>
      <c r="N67" s="105">
        <f t="shared" si="3"/>
        <v>0</v>
      </c>
      <c r="O67" s="105">
        <f t="shared" si="4"/>
        <v>0</v>
      </c>
      <c r="P67" s="105">
        <f t="shared" si="5"/>
        <v>0</v>
      </c>
      <c r="Q67" s="106" t="s">
        <v>282</v>
      </c>
      <c r="R67" s="104">
        <f t="shared" si="6"/>
        <v>0</v>
      </c>
      <c r="S67" s="104">
        <f t="shared" si="7"/>
        <v>0</v>
      </c>
      <c r="T67" s="104">
        <f t="shared" si="8"/>
        <v>0</v>
      </c>
      <c r="U67" s="159">
        <f t="shared" si="14"/>
        <v>0</v>
      </c>
      <c r="V67" s="190">
        <f t="shared" si="9"/>
        <v>0</v>
      </c>
      <c r="W67" s="190">
        <f t="shared" si="9"/>
        <v>0</v>
      </c>
      <c r="X67" s="190">
        <f t="shared" si="9"/>
        <v>0</v>
      </c>
      <c r="Y67" s="159">
        <f t="shared" si="10"/>
        <v>0</v>
      </c>
      <c r="AC67" s="3"/>
    </row>
    <row r="68" spans="12:42" x14ac:dyDescent="0.25">
      <c r="L68" s="3"/>
      <c r="M68" s="12"/>
      <c r="N68" s="105">
        <f t="shared" si="3"/>
        <v>0</v>
      </c>
      <c r="O68" s="105">
        <f t="shared" si="4"/>
        <v>0</v>
      </c>
      <c r="P68" s="105">
        <f t="shared" si="5"/>
        <v>0</v>
      </c>
      <c r="Q68" s="106" t="s">
        <v>283</v>
      </c>
      <c r="R68" s="104">
        <f t="shared" si="6"/>
        <v>0</v>
      </c>
      <c r="S68" s="104">
        <f t="shared" si="7"/>
        <v>0</v>
      </c>
      <c r="T68" s="104">
        <f t="shared" si="8"/>
        <v>0</v>
      </c>
      <c r="U68" s="159">
        <f t="shared" si="14"/>
        <v>0</v>
      </c>
      <c r="V68" s="190">
        <f t="shared" si="9"/>
        <v>0</v>
      </c>
      <c r="W68" s="190">
        <f t="shared" si="9"/>
        <v>0</v>
      </c>
      <c r="X68" s="190">
        <f t="shared" si="9"/>
        <v>0</v>
      </c>
      <c r="Y68" s="159">
        <f t="shared" si="10"/>
        <v>0</v>
      </c>
      <c r="AC68" s="3"/>
    </row>
    <row r="69" spans="12:42" x14ac:dyDescent="0.25">
      <c r="L69" s="3"/>
      <c r="M69" s="12"/>
      <c r="N69" s="105">
        <f t="shared" si="3"/>
        <v>0</v>
      </c>
      <c r="O69" s="105">
        <f t="shared" si="4"/>
        <v>0</v>
      </c>
      <c r="P69" s="105">
        <f t="shared" si="5"/>
        <v>0</v>
      </c>
      <c r="Q69" s="106">
        <v>0</v>
      </c>
      <c r="R69" s="104">
        <f t="shared" si="6"/>
        <v>0</v>
      </c>
      <c r="S69" s="104">
        <f t="shared" si="7"/>
        <v>0</v>
      </c>
      <c r="T69" s="104">
        <f t="shared" si="8"/>
        <v>0</v>
      </c>
      <c r="U69" s="159">
        <f t="shared" si="14"/>
        <v>0</v>
      </c>
      <c r="V69" s="190">
        <f t="shared" si="9"/>
        <v>0</v>
      </c>
      <c r="W69" s="190">
        <f t="shared" si="9"/>
        <v>0</v>
      </c>
      <c r="X69" s="190">
        <f t="shared" si="9"/>
        <v>0</v>
      </c>
      <c r="Y69" s="159">
        <f t="shared" si="10"/>
        <v>0</v>
      </c>
      <c r="AC69" s="3"/>
    </row>
    <row r="70" spans="12:42" x14ac:dyDescent="0.25">
      <c r="L70" s="3"/>
      <c r="M70" s="12"/>
      <c r="N70" s="105">
        <f t="shared" si="3"/>
        <v>0</v>
      </c>
      <c r="O70" s="105">
        <f t="shared" si="4"/>
        <v>0</v>
      </c>
      <c r="P70" s="105">
        <f t="shared" si="5"/>
        <v>0</v>
      </c>
      <c r="Q70" s="106">
        <v>0</v>
      </c>
      <c r="R70" s="104">
        <f t="shared" si="6"/>
        <v>0</v>
      </c>
      <c r="S70" s="104">
        <f t="shared" si="7"/>
        <v>0</v>
      </c>
      <c r="T70" s="104">
        <f t="shared" si="8"/>
        <v>0</v>
      </c>
      <c r="U70" s="159">
        <f t="shared" si="14"/>
        <v>0</v>
      </c>
      <c r="V70" s="190">
        <f t="shared" si="9"/>
        <v>0</v>
      </c>
      <c r="W70" s="190">
        <f t="shared" si="9"/>
        <v>0</v>
      </c>
      <c r="X70" s="190">
        <f t="shared" si="9"/>
        <v>0</v>
      </c>
      <c r="Y70" s="159">
        <f t="shared" si="10"/>
        <v>0</v>
      </c>
      <c r="AC70" s="3"/>
    </row>
    <row r="71" spans="12:42" x14ac:dyDescent="0.25">
      <c r="L71" s="3"/>
      <c r="M71" s="12"/>
      <c r="N71" s="105">
        <f t="shared" si="3"/>
        <v>0</v>
      </c>
      <c r="O71" s="105">
        <f t="shared" si="4"/>
        <v>0</v>
      </c>
      <c r="P71" s="105">
        <f t="shared" si="5"/>
        <v>0</v>
      </c>
      <c r="Q71" s="106">
        <v>0</v>
      </c>
      <c r="R71" s="104">
        <f t="shared" si="6"/>
        <v>0</v>
      </c>
      <c r="S71" s="104">
        <f t="shared" si="7"/>
        <v>0</v>
      </c>
      <c r="T71" s="104">
        <f t="shared" si="8"/>
        <v>0</v>
      </c>
      <c r="U71" s="159">
        <f t="shared" si="14"/>
        <v>0</v>
      </c>
      <c r="V71" s="190">
        <f t="shared" si="9"/>
        <v>0</v>
      </c>
      <c r="W71" s="190">
        <f t="shared" si="9"/>
        <v>0</v>
      </c>
      <c r="X71" s="190">
        <f t="shared" si="9"/>
        <v>0</v>
      </c>
      <c r="Y71" s="159">
        <f t="shared" si="10"/>
        <v>0</v>
      </c>
      <c r="AC71" s="3"/>
    </row>
    <row r="72" spans="12:42" x14ac:dyDescent="0.25">
      <c r="L72" s="3"/>
      <c r="M72" s="12"/>
      <c r="N72" s="105">
        <f t="shared" si="3"/>
        <v>0</v>
      </c>
      <c r="O72" s="105">
        <f t="shared" si="4"/>
        <v>0</v>
      </c>
      <c r="P72" s="105">
        <f t="shared" si="5"/>
        <v>0</v>
      </c>
      <c r="Q72" s="106">
        <v>0</v>
      </c>
      <c r="R72" s="104">
        <f t="shared" si="6"/>
        <v>0</v>
      </c>
      <c r="S72" s="104">
        <f t="shared" si="7"/>
        <v>0</v>
      </c>
      <c r="T72" s="104">
        <f t="shared" si="8"/>
        <v>0</v>
      </c>
      <c r="U72" s="159">
        <f t="shared" si="14"/>
        <v>0</v>
      </c>
      <c r="V72" s="190">
        <f t="shared" si="9"/>
        <v>0</v>
      </c>
      <c r="W72" s="190">
        <f t="shared" si="9"/>
        <v>0</v>
      </c>
      <c r="X72" s="190">
        <f t="shared" si="9"/>
        <v>0</v>
      </c>
      <c r="Y72" s="159">
        <f t="shared" si="10"/>
        <v>0</v>
      </c>
      <c r="AC72" s="3"/>
    </row>
    <row r="73" spans="12:42" x14ac:dyDescent="0.25">
      <c r="L73" s="3"/>
      <c r="M73" s="12"/>
      <c r="N73" s="105">
        <f t="shared" si="3"/>
        <v>0</v>
      </c>
      <c r="O73" s="105">
        <f t="shared" si="4"/>
        <v>0</v>
      </c>
      <c r="P73" s="105">
        <f t="shared" si="5"/>
        <v>0</v>
      </c>
      <c r="Q73" s="106">
        <v>0</v>
      </c>
      <c r="R73" s="104">
        <f t="shared" si="6"/>
        <v>0</v>
      </c>
      <c r="S73" s="104">
        <f t="shared" si="7"/>
        <v>0</v>
      </c>
      <c r="T73" s="104">
        <f t="shared" si="8"/>
        <v>0</v>
      </c>
      <c r="U73" s="159">
        <f t="shared" si="14"/>
        <v>0</v>
      </c>
      <c r="V73" s="190">
        <f t="shared" si="9"/>
        <v>0</v>
      </c>
      <c r="W73" s="190">
        <f t="shared" si="9"/>
        <v>0</v>
      </c>
      <c r="X73" s="190">
        <f t="shared" si="9"/>
        <v>0</v>
      </c>
      <c r="Y73" s="159">
        <f t="shared" si="10"/>
        <v>0</v>
      </c>
      <c r="AC73" s="3"/>
    </row>
    <row r="74" spans="12:42" x14ac:dyDescent="0.25">
      <c r="L74" s="3"/>
      <c r="M74" s="12"/>
      <c r="N74" s="105">
        <f t="shared" si="3"/>
        <v>0</v>
      </c>
      <c r="O74" s="105">
        <f t="shared" si="4"/>
        <v>0</v>
      </c>
      <c r="P74" s="105">
        <f t="shared" si="5"/>
        <v>0</v>
      </c>
      <c r="Q74" s="106">
        <v>0</v>
      </c>
      <c r="R74" s="104">
        <f t="shared" si="6"/>
        <v>0</v>
      </c>
      <c r="S74" s="104">
        <f t="shared" si="7"/>
        <v>0</v>
      </c>
      <c r="T74" s="104">
        <f t="shared" si="8"/>
        <v>0</v>
      </c>
      <c r="U74" s="159">
        <f t="shared" si="14"/>
        <v>0</v>
      </c>
      <c r="V74" s="190">
        <f t="shared" si="9"/>
        <v>0</v>
      </c>
      <c r="W74" s="190">
        <f t="shared" si="9"/>
        <v>0</v>
      </c>
      <c r="X74" s="190">
        <f t="shared" si="9"/>
        <v>0</v>
      </c>
      <c r="Y74" s="159">
        <f t="shared" si="10"/>
        <v>0</v>
      </c>
      <c r="AC74" s="3"/>
    </row>
    <row r="75" spans="12:42" ht="15.75" thickBot="1" x14ac:dyDescent="0.3">
      <c r="L75" s="3"/>
      <c r="M75" s="12"/>
      <c r="N75" s="113">
        <f t="shared" si="3"/>
        <v>0</v>
      </c>
      <c r="O75" s="113">
        <f t="shared" si="4"/>
        <v>0</v>
      </c>
      <c r="P75" s="113">
        <f t="shared" si="5"/>
        <v>0</v>
      </c>
      <c r="Q75" s="264">
        <v>0</v>
      </c>
      <c r="R75" s="107">
        <f t="shared" si="6"/>
        <v>0</v>
      </c>
      <c r="S75" s="107">
        <f t="shared" si="7"/>
        <v>0</v>
      </c>
      <c r="T75" s="107">
        <f t="shared" si="8"/>
        <v>0</v>
      </c>
      <c r="U75" s="192">
        <f t="shared" si="14"/>
        <v>0</v>
      </c>
      <c r="V75" s="263">
        <f t="shared" si="9"/>
        <v>0</v>
      </c>
      <c r="W75" s="193">
        <f t="shared" si="9"/>
        <v>0</v>
      </c>
      <c r="X75" s="193">
        <f t="shared" si="9"/>
        <v>0</v>
      </c>
      <c r="Y75" s="192">
        <f>SUBTOTAL(9,V75:X75)-P75</f>
        <v>0</v>
      </c>
      <c r="AC75" s="3"/>
      <c r="AH75"/>
      <c r="AI75" s="3"/>
      <c r="AK75"/>
      <c r="AL75" s="3"/>
      <c r="AO75"/>
      <c r="AP75" s="3"/>
    </row>
    <row r="76" spans="12:42" ht="15.75" thickTop="1" x14ac:dyDescent="0.25">
      <c r="L76" s="3"/>
      <c r="M76" s="12"/>
      <c r="N76" s="108">
        <f>SUM(N44:N75)</f>
        <v>0</v>
      </c>
      <c r="O76" s="109">
        <f>SUM(O44:O75)</f>
        <v>0</v>
      </c>
      <c r="P76" s="115">
        <f>SUM(P44:P75)</f>
        <v>0</v>
      </c>
      <c r="Q76" s="110" t="s">
        <v>195</v>
      </c>
      <c r="R76" s="111">
        <f t="shared" ref="R76:Y76" si="15">SUM(R44:R75)</f>
        <v>0</v>
      </c>
      <c r="S76" s="111">
        <f t="shared" si="15"/>
        <v>0</v>
      </c>
      <c r="T76" s="112">
        <f t="shared" si="15"/>
        <v>0</v>
      </c>
      <c r="U76" s="195">
        <f t="shared" si="15"/>
        <v>0</v>
      </c>
      <c r="V76" s="111">
        <f t="shared" si="15"/>
        <v>0</v>
      </c>
      <c r="W76" s="111">
        <f t="shared" si="15"/>
        <v>0</v>
      </c>
      <c r="X76" s="111">
        <f t="shared" si="15"/>
        <v>0</v>
      </c>
      <c r="Y76" s="111">
        <f t="shared" si="15"/>
        <v>0</v>
      </c>
      <c r="AC76" s="3"/>
      <c r="AH76"/>
      <c r="AI76" s="3"/>
      <c r="AK76"/>
      <c r="AL76" s="3"/>
      <c r="AO76"/>
      <c r="AP76" s="3"/>
    </row>
    <row r="77" spans="12:42" x14ac:dyDescent="0.25">
      <c r="L77" s="3"/>
      <c r="M77" s="12"/>
      <c r="N77" s="298">
        <f>V38-N76</f>
        <v>0</v>
      </c>
      <c r="P77"/>
      <c r="Q77"/>
      <c r="R77"/>
      <c r="T77" s="3"/>
      <c r="Z77"/>
      <c r="AA77"/>
      <c r="AC77" s="3"/>
      <c r="AH77"/>
      <c r="AI77" s="3"/>
      <c r="AK77"/>
      <c r="AL77" s="3"/>
      <c r="AO77"/>
      <c r="AP77" s="3"/>
    </row>
    <row r="78" spans="12:42" x14ac:dyDescent="0.25">
      <c r="L78" s="3"/>
      <c r="P78"/>
      <c r="Q78" s="3"/>
      <c r="S78" s="12"/>
      <c r="W78"/>
      <c r="X78" s="3"/>
      <c r="Z78"/>
      <c r="AA78"/>
      <c r="AB78" s="12"/>
      <c r="AH78"/>
      <c r="AI78" s="3"/>
      <c r="AK78"/>
      <c r="AL78" s="3"/>
      <c r="AO78"/>
      <c r="AP78" s="3"/>
    </row>
    <row r="79" spans="12:42" x14ac:dyDescent="0.25">
      <c r="L79" s="3"/>
      <c r="P79"/>
      <c r="Q79" s="3"/>
      <c r="S79" s="12"/>
      <c r="W79"/>
      <c r="X79" s="3"/>
      <c r="Z79"/>
      <c r="AA79"/>
      <c r="AB79" s="12"/>
      <c r="AH79"/>
      <c r="AI79" s="3"/>
      <c r="AK79"/>
      <c r="AL79" s="3"/>
      <c r="AO79"/>
      <c r="AP79" s="3"/>
    </row>
    <row r="80" spans="12:42" x14ac:dyDescent="0.25">
      <c r="L80" s="3"/>
      <c r="P80"/>
      <c r="Q80" s="3"/>
      <c r="S80" s="12"/>
      <c r="W80"/>
      <c r="X80" s="3"/>
      <c r="Z80"/>
      <c r="AA80"/>
      <c r="AB80" s="12"/>
      <c r="AH80"/>
      <c r="AI80" s="3"/>
      <c r="AK80"/>
      <c r="AL80" s="3"/>
      <c r="AO80"/>
      <c r="AP80" s="3"/>
    </row>
    <row r="81" spans="12:42" x14ac:dyDescent="0.25">
      <c r="L81" s="3"/>
      <c r="P81"/>
      <c r="Q81" s="3"/>
      <c r="S81" s="12"/>
      <c r="W81"/>
      <c r="X81" s="3"/>
      <c r="Z81"/>
      <c r="AA81"/>
      <c r="AB81" s="12"/>
      <c r="AH81"/>
      <c r="AI81" s="3"/>
      <c r="AK81"/>
      <c r="AL81" s="3"/>
      <c r="AO81"/>
      <c r="AP81" s="3"/>
    </row>
    <row r="82" spans="12:42" x14ac:dyDescent="0.25">
      <c r="L82" s="3"/>
      <c r="P82"/>
      <c r="Q82" s="3"/>
      <c r="S82" s="12"/>
      <c r="W82"/>
      <c r="X82" s="3"/>
      <c r="Z82"/>
      <c r="AA82"/>
      <c r="AB82" s="12"/>
      <c r="AH82"/>
      <c r="AI82" s="3"/>
      <c r="AK82"/>
      <c r="AL82" s="3"/>
      <c r="AO82"/>
      <c r="AP82" s="3"/>
    </row>
    <row r="83" spans="12:42" x14ac:dyDescent="0.25">
      <c r="L83" s="3"/>
      <c r="P83"/>
      <c r="Q83" s="3"/>
      <c r="S83" s="12"/>
      <c r="W83"/>
      <c r="X83" s="3"/>
      <c r="Z83"/>
      <c r="AA83"/>
      <c r="AB83" s="12"/>
      <c r="AH83"/>
      <c r="AI83" s="3"/>
      <c r="AK83"/>
      <c r="AL83" s="3"/>
      <c r="AO83"/>
      <c r="AP83" s="3"/>
    </row>
    <row r="84" spans="12:42" x14ac:dyDescent="0.25">
      <c r="L84" s="3"/>
      <c r="P84"/>
      <c r="Q84" s="3"/>
      <c r="S84" s="12"/>
      <c r="W84"/>
      <c r="X84" s="3"/>
      <c r="Z84"/>
      <c r="AA84"/>
      <c r="AB84" s="12"/>
      <c r="AH84"/>
      <c r="AI84" s="3"/>
      <c r="AK84"/>
      <c r="AL84" s="3"/>
      <c r="AO84"/>
      <c r="AP84" s="3"/>
    </row>
    <row r="85" spans="12:42" x14ac:dyDescent="0.25">
      <c r="L85" s="3"/>
      <c r="P85"/>
      <c r="Q85" s="3"/>
      <c r="S85" s="12"/>
      <c r="W85"/>
      <c r="X85" s="3"/>
      <c r="Z85"/>
      <c r="AA85"/>
      <c r="AB85" s="12"/>
      <c r="AH85"/>
      <c r="AI85" s="3"/>
      <c r="AK85"/>
      <c r="AL85" s="3"/>
      <c r="AO85"/>
      <c r="AP85" s="3"/>
    </row>
    <row r="86" spans="12:42" x14ac:dyDescent="0.25">
      <c r="L86" s="3"/>
      <c r="P86"/>
      <c r="Q86" s="3"/>
      <c r="S86" s="12"/>
      <c r="W86"/>
      <c r="X86" s="3"/>
      <c r="Z86"/>
      <c r="AA86"/>
      <c r="AB86" s="12"/>
      <c r="AH86"/>
      <c r="AI86" s="3"/>
      <c r="AK86"/>
      <c r="AL86" s="3"/>
      <c r="AO86"/>
      <c r="AP86" s="3"/>
    </row>
    <row r="87" spans="12:42" x14ac:dyDescent="0.25">
      <c r="L87" s="3"/>
      <c r="P87"/>
      <c r="Q87" s="3"/>
      <c r="S87" s="12"/>
      <c r="W87"/>
      <c r="X87" s="3"/>
      <c r="Z87"/>
      <c r="AA87"/>
      <c r="AB87" s="12"/>
      <c r="AH87"/>
      <c r="AI87" s="3"/>
      <c r="AK87"/>
      <c r="AL87" s="3"/>
      <c r="AO87"/>
      <c r="AP87" s="3"/>
    </row>
    <row r="88" spans="12:42" x14ac:dyDescent="0.25">
      <c r="L88" s="3"/>
      <c r="P88"/>
      <c r="Q88" s="3"/>
      <c r="S88" s="12"/>
      <c r="W88"/>
      <c r="X88" s="3"/>
      <c r="Z88"/>
      <c r="AA88"/>
      <c r="AB88" s="12"/>
      <c r="AH88"/>
      <c r="AI88" s="3"/>
      <c r="AK88"/>
      <c r="AL88" s="3"/>
      <c r="AO88"/>
      <c r="AP88" s="3"/>
    </row>
    <row r="89" spans="12:42" x14ac:dyDescent="0.25">
      <c r="L89" s="3"/>
      <c r="P89"/>
      <c r="Q89" s="3"/>
      <c r="S89" s="12"/>
      <c r="W89"/>
      <c r="X89" s="3"/>
      <c r="Z89"/>
      <c r="AA89"/>
      <c r="AB89" s="12"/>
      <c r="AH89"/>
      <c r="AI89" s="3"/>
      <c r="AK89"/>
      <c r="AL89" s="3"/>
      <c r="AO89"/>
      <c r="AP89" s="3"/>
    </row>
    <row r="90" spans="12:42" x14ac:dyDescent="0.25">
      <c r="L90" s="3"/>
      <c r="P90"/>
      <c r="Q90" s="3"/>
      <c r="S90" s="12"/>
      <c r="W90"/>
      <c r="X90" s="3"/>
      <c r="Z90"/>
      <c r="AA90"/>
      <c r="AB90" s="12"/>
      <c r="AH90"/>
      <c r="AI90" s="3"/>
      <c r="AK90"/>
      <c r="AL90" s="3"/>
      <c r="AO90"/>
      <c r="AP90" s="3"/>
    </row>
    <row r="91" spans="12:42" x14ac:dyDescent="0.25">
      <c r="L91" s="3"/>
      <c r="P91"/>
      <c r="Q91" s="3"/>
      <c r="S91" s="12"/>
      <c r="W91"/>
      <c r="X91" s="3"/>
      <c r="Z91"/>
      <c r="AA91"/>
      <c r="AB91" s="12"/>
      <c r="AH91"/>
      <c r="AI91" s="3"/>
      <c r="AK91"/>
      <c r="AL91" s="3"/>
      <c r="AO91"/>
      <c r="AP91" s="3"/>
    </row>
    <row r="92" spans="12:42" x14ac:dyDescent="0.25">
      <c r="L92" s="3"/>
      <c r="P92"/>
      <c r="Q92" s="3"/>
      <c r="S92" s="12"/>
      <c r="W92"/>
      <c r="X92" s="3"/>
      <c r="Z92"/>
      <c r="AA92"/>
      <c r="AB92" s="12"/>
      <c r="AH92"/>
      <c r="AI92" s="3"/>
      <c r="AK92"/>
      <c r="AL92" s="3"/>
      <c r="AO92"/>
      <c r="AP92" s="3"/>
    </row>
    <row r="93" spans="12:42" x14ac:dyDescent="0.25">
      <c r="L93" s="3"/>
      <c r="P93"/>
      <c r="Q93" s="3"/>
      <c r="S93" s="12"/>
      <c r="W93"/>
      <c r="X93" s="3"/>
      <c r="Z93"/>
      <c r="AA93"/>
      <c r="AB93" s="12"/>
      <c r="AH93"/>
      <c r="AI93" s="3"/>
      <c r="AK93"/>
      <c r="AL93" s="3"/>
      <c r="AO93"/>
      <c r="AP93" s="3"/>
    </row>
    <row r="94" spans="12:42" x14ac:dyDescent="0.25">
      <c r="L94" s="3"/>
      <c r="P94"/>
      <c r="Q94" s="3"/>
      <c r="S94" s="12"/>
      <c r="W94"/>
      <c r="X94" s="3"/>
      <c r="Z94"/>
      <c r="AA94"/>
      <c r="AB94" s="12"/>
      <c r="AH94"/>
      <c r="AI94" s="3"/>
      <c r="AK94"/>
      <c r="AL94" s="3"/>
      <c r="AO94"/>
      <c r="AP94" s="3"/>
    </row>
    <row r="95" spans="12:42" x14ac:dyDescent="0.25">
      <c r="L95" s="3"/>
      <c r="P95"/>
      <c r="Q95" s="3"/>
      <c r="S95" s="12"/>
      <c r="W95"/>
      <c r="X95" s="3"/>
      <c r="Z95"/>
      <c r="AA95"/>
      <c r="AB95" s="12"/>
      <c r="AH95"/>
      <c r="AI95" s="3"/>
      <c r="AK95"/>
      <c r="AL95" s="3"/>
      <c r="AO95"/>
      <c r="AP95" s="3"/>
    </row>
    <row r="96" spans="12:42" x14ac:dyDescent="0.25">
      <c r="L96" s="3"/>
      <c r="P96"/>
      <c r="Q96" s="3"/>
      <c r="S96" s="12"/>
      <c r="W96"/>
      <c r="X96" s="3"/>
      <c r="Z96"/>
      <c r="AA96"/>
      <c r="AB96" s="12"/>
      <c r="AH96"/>
      <c r="AI96" s="3"/>
      <c r="AK96"/>
      <c r="AL96" s="3"/>
      <c r="AO96"/>
      <c r="AP96" s="3"/>
    </row>
    <row r="97" spans="12:42" x14ac:dyDescent="0.25">
      <c r="L97" s="3"/>
      <c r="P97"/>
      <c r="Q97" s="3"/>
      <c r="S97" s="12"/>
      <c r="W97"/>
      <c r="X97" s="3"/>
      <c r="Z97"/>
      <c r="AA97"/>
      <c r="AB97" s="12"/>
      <c r="AH97"/>
      <c r="AI97" s="3"/>
      <c r="AK97"/>
      <c r="AL97" s="3"/>
      <c r="AO97"/>
      <c r="AP97" s="3"/>
    </row>
    <row r="98" spans="12:42" x14ac:dyDescent="0.25">
      <c r="L98" s="3"/>
      <c r="P98"/>
      <c r="Q98" s="3"/>
      <c r="S98" s="12"/>
      <c r="W98"/>
      <c r="X98" s="3"/>
      <c r="Z98"/>
      <c r="AA98"/>
      <c r="AB98" s="12"/>
      <c r="AH98"/>
      <c r="AI98" s="3"/>
      <c r="AK98"/>
      <c r="AL98" s="3"/>
      <c r="AO98"/>
      <c r="AP98" s="3"/>
    </row>
    <row r="99" spans="12:42" x14ac:dyDescent="0.25">
      <c r="L99" s="3"/>
      <c r="P99"/>
      <c r="Q99" s="3"/>
      <c r="S99" s="12"/>
      <c r="W99"/>
      <c r="X99" s="3"/>
      <c r="Z99"/>
      <c r="AA99"/>
      <c r="AB99" s="12"/>
      <c r="AH99"/>
      <c r="AI99" s="3"/>
      <c r="AK99"/>
      <c r="AL99" s="3"/>
      <c r="AO99"/>
      <c r="AP99" s="3"/>
    </row>
    <row r="100" spans="12:42" x14ac:dyDescent="0.25">
      <c r="L100" s="3"/>
      <c r="P100"/>
      <c r="Q100" s="3"/>
      <c r="S100" s="12"/>
      <c r="W100"/>
      <c r="X100" s="3"/>
      <c r="Z100"/>
      <c r="AA100"/>
      <c r="AB100" s="12"/>
      <c r="AH100"/>
      <c r="AI100" s="3"/>
      <c r="AK100"/>
      <c r="AL100" s="3"/>
      <c r="AO100"/>
      <c r="AP100" s="3"/>
    </row>
    <row r="101" spans="12:42" x14ac:dyDescent="0.25">
      <c r="L101" s="3"/>
      <c r="P101"/>
      <c r="Q101" s="3"/>
      <c r="S101" s="12"/>
      <c r="W101"/>
      <c r="X101" s="3"/>
      <c r="Z101"/>
      <c r="AA101"/>
      <c r="AB101" s="12"/>
      <c r="AH101"/>
      <c r="AI101" s="3"/>
      <c r="AK101"/>
      <c r="AL101" s="3"/>
      <c r="AO101"/>
      <c r="AP101" s="3"/>
    </row>
    <row r="102" spans="12:42" x14ac:dyDescent="0.25">
      <c r="L102" s="3"/>
      <c r="P102"/>
      <c r="Q102" s="3"/>
      <c r="S102" s="12"/>
      <c r="W102"/>
      <c r="X102" s="3"/>
      <c r="Z102"/>
      <c r="AA102"/>
      <c r="AB102" s="12"/>
      <c r="AH102"/>
      <c r="AI102" s="3"/>
      <c r="AK102"/>
      <c r="AL102" s="3"/>
      <c r="AO102"/>
      <c r="AP102" s="3"/>
    </row>
    <row r="103" spans="12:42" x14ac:dyDescent="0.25">
      <c r="L103" s="3"/>
      <c r="P103"/>
      <c r="Q103" s="3"/>
      <c r="S103" s="12"/>
      <c r="W103"/>
      <c r="X103" s="3"/>
      <c r="Z103"/>
      <c r="AA103"/>
      <c r="AB103" s="12"/>
      <c r="AH103"/>
      <c r="AI103" s="3"/>
      <c r="AK103"/>
      <c r="AL103" s="3"/>
      <c r="AO103"/>
      <c r="AP103" s="3"/>
    </row>
    <row r="104" spans="12:42" x14ac:dyDescent="0.25">
      <c r="L104" s="3"/>
      <c r="P104"/>
      <c r="Q104" s="3"/>
      <c r="S104" s="12"/>
      <c r="W104"/>
      <c r="X104" s="3"/>
      <c r="Z104"/>
      <c r="AA104"/>
      <c r="AB104" s="12"/>
      <c r="AH104"/>
      <c r="AI104" s="3"/>
      <c r="AK104"/>
      <c r="AL104" s="3"/>
      <c r="AO104"/>
      <c r="AP104" s="3"/>
    </row>
    <row r="105" spans="12:42" x14ac:dyDescent="0.25">
      <c r="L105" s="3"/>
      <c r="P105"/>
      <c r="Q105" s="3"/>
      <c r="S105" s="12"/>
      <c r="W105"/>
      <c r="X105" s="3"/>
      <c r="Z105"/>
      <c r="AA105"/>
      <c r="AB105" s="12"/>
      <c r="AH105"/>
      <c r="AI105" s="3"/>
      <c r="AK105"/>
      <c r="AL105" s="3"/>
      <c r="AO105"/>
      <c r="AP105" s="3"/>
    </row>
    <row r="106" spans="12:42" x14ac:dyDescent="0.25">
      <c r="L106" s="3"/>
      <c r="P106"/>
      <c r="Q106" s="3"/>
      <c r="S106" s="12"/>
      <c r="W106"/>
      <c r="X106" s="3"/>
      <c r="Z106"/>
      <c r="AA106"/>
      <c r="AB106" s="12"/>
      <c r="AH106"/>
      <c r="AI106" s="3"/>
      <c r="AK106"/>
      <c r="AL106" s="3"/>
      <c r="AO106"/>
      <c r="AP106" s="3"/>
    </row>
    <row r="107" spans="12:42" x14ac:dyDescent="0.25">
      <c r="L107" s="3"/>
      <c r="P107"/>
      <c r="Q107" s="3"/>
      <c r="S107" s="12"/>
      <c r="W107"/>
      <c r="X107" s="3"/>
      <c r="Z107"/>
      <c r="AA107"/>
      <c r="AB107" s="12"/>
      <c r="AH107"/>
      <c r="AI107" s="3"/>
      <c r="AK107"/>
      <c r="AL107" s="3"/>
      <c r="AO107"/>
      <c r="AP107" s="3"/>
    </row>
    <row r="108" spans="12:42" x14ac:dyDescent="0.25">
      <c r="L108" s="3"/>
      <c r="P108"/>
      <c r="Q108" s="3"/>
      <c r="S108" s="12"/>
      <c r="W108"/>
      <c r="X108" s="3"/>
      <c r="Z108"/>
      <c r="AA108"/>
      <c r="AB108" s="12"/>
      <c r="AH108"/>
      <c r="AI108" s="3"/>
      <c r="AK108"/>
      <c r="AL108" s="3"/>
      <c r="AO108"/>
      <c r="AP108" s="3"/>
    </row>
    <row r="109" spans="12:42" x14ac:dyDescent="0.25">
      <c r="L109" s="3"/>
      <c r="P109"/>
      <c r="Q109" s="3"/>
      <c r="S109" s="12"/>
      <c r="W109"/>
      <c r="X109" s="3"/>
      <c r="Z109"/>
      <c r="AA109"/>
      <c r="AB109" s="12"/>
      <c r="AH109"/>
      <c r="AI109" s="3"/>
      <c r="AK109"/>
      <c r="AL109" s="3"/>
      <c r="AO109"/>
      <c r="AP109" s="3"/>
    </row>
    <row r="110" spans="12:42" x14ac:dyDescent="0.25">
      <c r="L110" s="3"/>
      <c r="P110"/>
      <c r="Q110" s="3"/>
      <c r="S110" s="12"/>
      <c r="W110"/>
      <c r="X110" s="3"/>
      <c r="Z110"/>
      <c r="AA110"/>
      <c r="AB110" s="12"/>
      <c r="AH110"/>
      <c r="AI110" s="3"/>
      <c r="AK110"/>
      <c r="AL110" s="3"/>
      <c r="AO110"/>
      <c r="AP110" s="3"/>
    </row>
    <row r="111" spans="12:42" x14ac:dyDescent="0.25">
      <c r="L111" s="3"/>
      <c r="P111"/>
      <c r="Q111" s="3"/>
      <c r="S111" s="12"/>
      <c r="W111"/>
      <c r="X111" s="3"/>
      <c r="Z111"/>
      <c r="AA111"/>
      <c r="AB111" s="12"/>
      <c r="AH111"/>
      <c r="AI111" s="3"/>
      <c r="AK111"/>
      <c r="AL111" s="3"/>
      <c r="AO111"/>
      <c r="AP111" s="3"/>
    </row>
    <row r="112" spans="12:42" x14ac:dyDescent="0.25">
      <c r="L112" s="3"/>
      <c r="P112"/>
      <c r="Q112" s="3"/>
      <c r="S112" s="12"/>
      <c r="W112"/>
      <c r="X112" s="3"/>
      <c r="Z112"/>
      <c r="AA112"/>
      <c r="AB112" s="12"/>
      <c r="AH112"/>
      <c r="AI112" s="3"/>
      <c r="AK112"/>
      <c r="AL112" s="3"/>
      <c r="AO112"/>
      <c r="AP112" s="3"/>
    </row>
    <row r="113" spans="12:42" x14ac:dyDescent="0.25">
      <c r="L113" s="3"/>
      <c r="P113"/>
      <c r="Q113" s="3"/>
      <c r="S113" s="12"/>
      <c r="W113"/>
      <c r="X113" s="3"/>
      <c r="Z113"/>
      <c r="AA113"/>
      <c r="AB113" s="12"/>
      <c r="AH113"/>
      <c r="AI113" s="3"/>
      <c r="AK113"/>
      <c r="AL113" s="3"/>
      <c r="AO113"/>
      <c r="AP113" s="3"/>
    </row>
    <row r="1048493" spans="41:41" x14ac:dyDescent="0.25">
      <c r="AO1048493" s="56"/>
    </row>
  </sheetData>
  <autoFilter ref="A3:AR3" xr:uid="{73B594F6-C917-49EB-8D41-9E26AB7E1BA4}"/>
  <mergeCells count="4">
    <mergeCell ref="AP2:AR2"/>
    <mergeCell ref="R42:T42"/>
    <mergeCell ref="V42:X42"/>
    <mergeCell ref="Q2:T2"/>
  </mergeCells>
  <phoneticPr fontId="36" type="noConversion"/>
  <conditionalFormatting sqref="H44:J45">
    <cfRule type="containsText" dxfId="65" priority="5" operator="containsText" text="Yes">
      <formula>NOT(ISERROR(SEARCH("Yes",H44)))</formula>
    </cfRule>
  </conditionalFormatting>
  <conditionalFormatting sqref="Q34:S34">
    <cfRule type="cellIs" dxfId="64" priority="6" operator="equal">
      <formula>"MISSING"</formula>
    </cfRule>
    <cfRule type="cellIs" dxfId="63" priority="7" operator="equal">
      <formula>"YES"</formula>
    </cfRule>
    <cfRule type="cellIs" dxfId="62" priority="8" operator="equal">
      <formula>"NO"</formula>
    </cfRule>
  </conditionalFormatting>
  <conditionalFormatting sqref="R43">
    <cfRule type="cellIs" dxfId="61" priority="40" operator="equal">
      <formula>"NO-OOS"</formula>
    </cfRule>
    <cfRule type="cellIs" dxfId="60" priority="42" operator="equal">
      <formula>"YES"</formula>
    </cfRule>
    <cfRule type="cellIs" dxfId="59" priority="41" operator="equal">
      <formula>"NO-CO"</formula>
    </cfRule>
    <cfRule type="cellIs" dxfId="58" priority="43" operator="equal">
      <formula>"NO"</formula>
    </cfRule>
  </conditionalFormatting>
  <conditionalFormatting sqref="V43">
    <cfRule type="cellIs" dxfId="57" priority="10" operator="equal">
      <formula>"NO-OOS"</formula>
    </cfRule>
    <cfRule type="cellIs" dxfId="56" priority="11" operator="equal">
      <formula>"NO-CO"</formula>
    </cfRule>
    <cfRule type="cellIs" dxfId="55" priority="12" operator="equal">
      <formula>"YES"</formula>
    </cfRule>
    <cfRule type="cellIs" dxfId="54" priority="13" operator="equal">
      <formula>"NO"</formula>
    </cfRule>
  </conditionalFormatting>
  <conditionalFormatting sqref="Y42:Y43">
    <cfRule type="cellIs" dxfId="53" priority="17" operator="equal">
      <formula>"INVALID"</formula>
    </cfRule>
    <cfRule type="cellIs" dxfId="52" priority="18" operator="equal">
      <formula>"VALID"</formula>
    </cfRule>
    <cfRule type="cellIs" dxfId="51" priority="19" operator="equal">
      <formula>"MISSING"</formula>
    </cfRule>
  </conditionalFormatting>
  <conditionalFormatting sqref="Z4:AA34 C24:C25 C27 E27:F27 C31:C32 C34 E34:F34">
    <cfRule type="cellIs" dxfId="50" priority="63" operator="equal">
      <formula>"YES-INVALID"</formula>
    </cfRule>
    <cfRule type="cellIs" dxfId="49" priority="77" operator="equal">
      <formula>"YES"</formula>
    </cfRule>
    <cfRule type="cellIs" dxfId="48" priority="78" operator="equal">
      <formula>"MISSING"</formula>
    </cfRule>
  </conditionalFormatting>
  <conditionalFormatting sqref="AB5:AI34 V43:Y44 AB4:AJ4 AD4:AD23 AK4:AK34 AJ6 AJ8 AJ10 AJ12 AJ14 AJ16 AJ18 AJ20 AJ22 AJ24 AJ26 AJ28 AJ30 AJ32 V42 Y42 Y45:Y74 V45:X75">
    <cfRule type="cellIs" dxfId="47" priority="48" operator="equal">
      <formula>"NO"</formula>
    </cfRule>
  </conditionalFormatting>
  <conditionalFormatting sqref="AB5:AI34 V43:Y44 AB4:AJ4 AD4:AD23 AK4:AL27 AJ6 AJ8 AJ10 AJ12 AJ14 AJ16 AJ18 AJ20 AJ22 AJ24 AJ26 AJ28 AK28:AK34 AL28:AL38 AM29:AM34 AJ30 AJ32 V42 Y42 Y45:Y74 V45:X75">
    <cfRule type="cellIs" dxfId="46" priority="47" operator="equal">
      <formula>"YES"</formula>
    </cfRule>
  </conditionalFormatting>
  <conditionalFormatting sqref="AH4:AH34">
    <cfRule type="cellIs" dxfId="45" priority="44" operator="equal">
      <formula>"INVALID"</formula>
    </cfRule>
    <cfRule type="cellIs" dxfId="44" priority="45" operator="equal">
      <formula>"VALID"</formula>
    </cfRule>
  </conditionalFormatting>
  <conditionalFormatting sqref="AH5:AI34 AH4:AJ4 AK4:AK34 AJ6 AJ8 AJ10 AJ12 AJ14 AJ16 AJ18 AJ20 AJ22 AJ24 AJ26 AJ28 AJ30 AJ32">
    <cfRule type="cellIs" dxfId="43" priority="46" operator="equal">
      <formula>"MISSING"</formula>
    </cfRule>
  </conditionalFormatting>
  <conditionalFormatting sqref="AI21:AI34">
    <cfRule type="containsText" dxfId="42" priority="28" operator="containsText" text="Missing">
      <formula>NOT(ISERROR(SEARCH("Missing",AI21)))</formula>
    </cfRule>
    <cfRule type="containsText" dxfId="41" priority="29" operator="containsText" text="NO">
      <formula>NOT(ISERROR(SEARCH("NO",AI21)))</formula>
    </cfRule>
    <cfRule type="containsText" dxfId="40" priority="30" operator="containsText" text="YES - Valid">
      <formula>NOT(ISERROR(SEARCH("YES - Valid",AI21)))</formula>
    </cfRule>
    <cfRule type="expression" dxfId="39" priority="32">
      <formula>"YES - Invalid"</formula>
    </cfRule>
    <cfRule type="containsText" dxfId="38" priority="31" operator="containsText" text="YES - Invalid">
      <formula>NOT(ISERROR(SEARCH("YES - Invalid",AI21)))</formula>
    </cfRule>
  </conditionalFormatting>
  <conditionalFormatting sqref="AL4:AL23 AM21:AM22 AL24:AM27 AL28:AL38 AM29:AM34">
    <cfRule type="cellIs" dxfId="37" priority="64" operator="equal">
      <formula>"NO-OOS"</formula>
    </cfRule>
    <cfRule type="cellIs" dxfId="36" priority="65" operator="equal">
      <formula>"NO-GA"</formula>
    </cfRule>
  </conditionalFormatting>
  <conditionalFormatting sqref="AM21:AM22">
    <cfRule type="cellIs" dxfId="35" priority="66" operator="equal">
      <formula>"YES"</formula>
    </cfRule>
  </conditionalFormatting>
  <conditionalFormatting sqref="AM24:AM27">
    <cfRule type="cellIs" dxfId="34" priority="1" operator="equal">
      <formula>"YES"</formula>
    </cfRule>
  </conditionalFormatting>
  <conditionalFormatting sqref="AP4:AP34 AO1048493">
    <cfRule type="cellIs" dxfId="33" priority="49" operator="equal">
      <formula>"N/A"</formula>
    </cfRule>
    <cfRule type="cellIs" dxfId="32" priority="50" operator="equal">
      <formula>"NO"</formula>
    </cfRule>
    <cfRule type="cellIs" dxfId="31" priority="51" operator="equal">
      <formula>"YES"</formula>
    </cfRule>
  </conditionalFormatting>
  <dataValidations count="7">
    <dataValidation type="list" allowBlank="1" showInputMessage="1" showErrorMessage="1" sqref="AK35:AK36 V43:X43 Y42:Y43 AE4:AG34 AB4:AC34" xr:uid="{166EA50B-0E50-46C6-8698-0614C2ED7E7B}">
      <formula1>"YES, NO, N/A"</formula1>
    </dataValidation>
    <dataValidation type="list" allowBlank="1" showInputMessage="1" showErrorMessage="1" sqref="Y42:Y43 AH4:AH34" xr:uid="{F5D281AB-EE38-4128-B9FC-4C05DF9B71B5}">
      <formula1>"VALID, INVALID, MISSING, N/A"</formula1>
    </dataValidation>
    <dataValidation type="list" allowBlank="1" showInputMessage="1" showErrorMessage="1" sqref="AI4:AI20" xr:uid="{AD568F24-DA79-4EAD-BBD5-73B7F61CFCFF}">
      <formula1>"YES, Missing, N/A"</formula1>
    </dataValidation>
    <dataValidation type="list" allowBlank="1" showInputMessage="1" showErrorMessage="1" sqref="AI21:AI34" xr:uid="{A5626B57-EA6A-4464-B6DC-62E7E25567D5}">
      <formula1>"YES - Valid, YES - Invalid, Missing, N/A"</formula1>
    </dataValidation>
    <dataValidation type="list" allowBlank="1" showInputMessage="1" showErrorMessage="1" sqref="Y4:Y34" xr:uid="{AC6950FA-7541-42D6-8F84-8A271F15A100}">
      <formula1>"CHECK, CREDIT CARD, ACH/WIRE, CASH"</formula1>
    </dataValidation>
    <dataValidation type="list" allowBlank="1" showInputMessage="1" showErrorMessage="1" sqref="AL4:AL38" xr:uid="{5D375AB1-7E9E-464F-928F-03A05EC34A2B}">
      <formula1>"YES, NO-GA, NO-OOS"</formula1>
    </dataValidation>
    <dataValidation type="list" allowBlank="1" showInputMessage="1" showErrorMessage="1" sqref="Z4:AA34" xr:uid="{DC9AC62F-3B29-461A-8B07-CD9FEA147D91}">
      <formula1>"YES, YES-INVALID, MISSING, N/A"</formula1>
    </dataValidation>
  </dataValidations>
  <pageMargins left="0.7" right="0.7" top="0.75" bottom="0.75" header="0.3" footer="0.3"/>
  <pageSetup orientation="portrait" horizontalDpi="1200" verticalDpi="1200"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B09B219C-CF12-4058-9BF6-04BC25C724D3}">
          <x14:formula1>
            <xm:f>Legend!$A$1:$A$3</xm:f>
          </x14:formula1>
          <xm:sqref>AP75:AP113 AQ35:AQ38 AO114:AO1048576 AC77 AP4:AP34</xm:sqref>
        </x14:dataValidation>
        <x14:dataValidation type="list" allowBlank="1" showInputMessage="1" showErrorMessage="1" xr:uid="{5D1A21DE-DF3C-4BFF-8409-0E3FB08C80FA}">
          <x14:formula1>
            <xm:f>Legend!$D$2:$D$26</xm:f>
          </x14:formula1>
          <xm:sqref>AJ4:AJ34</xm:sqref>
        </x14:dataValidation>
        <x14:dataValidation type="list" allowBlank="1" showInputMessage="1" showErrorMessage="1" xr:uid="{282F9F5F-BDBB-4388-9D24-A07A0FB39FE2}">
          <x14:formula1>
            <xm:f>Overview!$C$15:$C$17</xm:f>
          </x14:formula1>
          <xm:sqref>AA4:AA34</xm:sqref>
        </x14:dataValidation>
        <x14:dataValidation type="list" allowBlank="1" showInputMessage="1" showErrorMessage="1" xr:uid="{BFAD4522-3D62-4627-83BE-6BE0EB5B7A1F}">
          <x14:formula1>
            <xm:f>Legend!$H$3:$H$15</xm:f>
          </x14:formula1>
          <xm:sqref>G4:G34</xm:sqref>
        </x14:dataValidation>
        <x14:dataValidation type="list" allowBlank="1" showInputMessage="1" showErrorMessage="1" xr:uid="{D0A0B509-5113-485F-919C-FE931881A53D}">
          <x14:formula1>
            <xm:f>Legend!$N$3:$N$8</xm:f>
          </x14:formula1>
          <xm:sqref>I4:I34</xm:sqref>
        </x14:dataValidation>
        <x14:dataValidation type="list" showInputMessage="1" showErrorMessage="1" promptTitle="FF2" prompt="GS - Georgia Spend NON PAYROLL_x000a_GL - Geogia Labor (GA Residents)_x000a_NQ - Non Qualified_x000a_DL - Distant Labor (NON-GA Residents)" xr:uid="{5E0860F8-3FD4-419B-94B2-11C2591EB022}">
          <x14:formula1>
            <xm:f>Legend!$K$3:$K$6</xm:f>
          </x14:formula1>
          <xm:sqref>H4:H34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29147-EFF8-455A-A536-E5508207B4C2}">
  <sheetPr>
    <tabColor rgb="FFCCCCFF"/>
  </sheetPr>
  <dimension ref="B1:W190"/>
  <sheetViews>
    <sheetView zoomScale="90" zoomScaleNormal="90" workbookViewId="0">
      <pane ySplit="8" topLeftCell="A9" activePane="bottomLeft" state="frozen"/>
      <selection pane="bottomLeft" activeCell="I7" sqref="I7"/>
    </sheetView>
  </sheetViews>
  <sheetFormatPr defaultColWidth="9.28515625" defaultRowHeight="15" x14ac:dyDescent="0.25"/>
  <cols>
    <col min="1" max="1" width="2.42578125" customWidth="1"/>
    <col min="2" max="2" width="18.28515625" customWidth="1"/>
    <col min="3" max="3" width="15.28515625" style="73" bestFit="1" customWidth="1"/>
    <col min="4" max="5" width="15.28515625" style="73" customWidth="1"/>
    <col min="6" max="6" width="3.5703125" style="73" customWidth="1"/>
    <col min="7" max="7" width="16" style="73" customWidth="1"/>
    <col min="8" max="8" width="11.5703125" style="73" bestFit="1" customWidth="1"/>
    <col min="9" max="9" width="14" style="73" customWidth="1"/>
    <col min="10" max="10" width="11.7109375" style="73" bestFit="1" customWidth="1"/>
    <col min="11" max="11" width="14.7109375" style="73" bestFit="1" customWidth="1"/>
    <col min="12" max="12" width="11.5703125" style="73" customWidth="1"/>
    <col min="13" max="13" width="10.42578125" style="73" bestFit="1" customWidth="1"/>
    <col min="14" max="15" width="11.5703125" customWidth="1"/>
    <col min="16" max="16" width="19.28515625" customWidth="1"/>
  </cols>
  <sheetData>
    <row r="1" spans="2:23" ht="27" customHeight="1" x14ac:dyDescent="0.35">
      <c r="B1" s="124" t="s">
        <v>289</v>
      </c>
      <c r="C1" s="147"/>
      <c r="D1" s="147"/>
      <c r="E1" s="147"/>
      <c r="M1"/>
    </row>
    <row r="2" spans="2:23" ht="21.75" thickBot="1" x14ac:dyDescent="0.4">
      <c r="J2" s="73" t="s">
        <v>290</v>
      </c>
      <c r="M2"/>
      <c r="O2" s="345" t="s">
        <v>291</v>
      </c>
      <c r="P2" s="342"/>
      <c r="Q2" s="343"/>
      <c r="R2" s="343"/>
      <c r="S2" s="343"/>
    </row>
    <row r="3" spans="2:23" ht="21.75" thickBot="1" x14ac:dyDescent="0.4">
      <c r="B3" s="124"/>
      <c r="C3" s="125"/>
      <c r="D3" s="125"/>
      <c r="E3" s="125"/>
      <c r="F3" s="125"/>
      <c r="G3" s="125"/>
      <c r="H3" s="126" t="s">
        <v>78</v>
      </c>
      <c r="I3" s="127" t="s">
        <v>292</v>
      </c>
      <c r="J3" s="128" t="s">
        <v>293</v>
      </c>
      <c r="K3" s="127" t="s">
        <v>294</v>
      </c>
      <c r="L3" s="129"/>
      <c r="M3"/>
      <c r="O3" s="339" t="s">
        <v>395</v>
      </c>
    </row>
    <row r="4" spans="2:23" ht="21.75" thickBot="1" x14ac:dyDescent="0.4">
      <c r="B4" s="124"/>
      <c r="C4" s="125"/>
      <c r="D4" s="125"/>
      <c r="E4" s="125"/>
      <c r="F4" s="125"/>
      <c r="G4" s="125"/>
      <c r="H4" s="341">
        <v>199</v>
      </c>
      <c r="I4" s="130">
        <f>ROUND(H4*0.08,2)</f>
        <v>15.92</v>
      </c>
      <c r="J4" s="131">
        <v>5</v>
      </c>
      <c r="K4" s="130">
        <f>ROUND(H4*0.089,2)</f>
        <v>17.71</v>
      </c>
      <c r="L4" s="132"/>
      <c r="M4"/>
      <c r="O4" s="346" t="s">
        <v>396</v>
      </c>
      <c r="P4" s="344"/>
      <c r="Q4" s="344"/>
      <c r="R4" s="344"/>
      <c r="S4" s="344"/>
      <c r="T4" s="344"/>
      <c r="U4" s="344"/>
      <c r="V4" s="344"/>
      <c r="W4" s="344"/>
    </row>
    <row r="5" spans="2:23" x14ac:dyDescent="0.25">
      <c r="B5" t="s">
        <v>400</v>
      </c>
      <c r="C5" s="347" t="str">
        <f>Overview!C9</f>
        <v>1/14, 1/15/2026</v>
      </c>
      <c r="D5" s="348"/>
      <c r="E5" s="348"/>
      <c r="F5" s="348"/>
      <c r="G5" s="348"/>
      <c r="H5" s="340"/>
      <c r="I5" s="340"/>
      <c r="J5" s="274"/>
      <c r="K5" s="340"/>
      <c r="L5" s="340"/>
      <c r="M5"/>
      <c r="O5" s="339"/>
    </row>
    <row r="6" spans="2:23" ht="21" x14ac:dyDescent="0.35">
      <c r="B6" s="121" t="s">
        <v>321</v>
      </c>
      <c r="C6" s="123"/>
      <c r="D6" s="123"/>
      <c r="E6" s="123"/>
      <c r="F6" s="123"/>
      <c r="G6" s="123"/>
      <c r="H6" s="340"/>
      <c r="I6" s="340"/>
      <c r="J6" s="274"/>
      <c r="K6" s="340"/>
      <c r="L6" s="340"/>
      <c r="M6"/>
      <c r="O6" s="339"/>
    </row>
    <row r="7" spans="2:23" x14ac:dyDescent="0.25">
      <c r="M7"/>
    </row>
    <row r="8" spans="2:23" s="36" customFormat="1" ht="15.75" thickBot="1" x14ac:dyDescent="0.3">
      <c r="B8" s="133"/>
      <c r="C8" s="224"/>
      <c r="D8" s="224" t="s">
        <v>295</v>
      </c>
      <c r="E8" s="224" t="s">
        <v>296</v>
      </c>
      <c r="F8" s="224"/>
      <c r="G8" s="224"/>
      <c r="H8" s="224" t="s">
        <v>253</v>
      </c>
      <c r="I8" s="224" t="s">
        <v>207</v>
      </c>
      <c r="J8" s="224" t="s">
        <v>183</v>
      </c>
      <c r="K8" s="224"/>
      <c r="L8" s="224" t="s">
        <v>297</v>
      </c>
      <c r="M8" s="133" t="s">
        <v>207</v>
      </c>
      <c r="N8" s="133" t="s">
        <v>183</v>
      </c>
    </row>
    <row r="9" spans="2:23" x14ac:dyDescent="0.25">
      <c r="M9"/>
    </row>
    <row r="10" spans="2:23" x14ac:dyDescent="0.25">
      <c r="B10" s="316" t="s">
        <v>389</v>
      </c>
      <c r="C10" s="317" t="s">
        <v>390</v>
      </c>
      <c r="D10" s="147"/>
      <c r="E10" s="147"/>
      <c r="G10" s="147"/>
      <c r="M10"/>
    </row>
    <row r="11" spans="2:23" ht="15.75" thickBot="1" x14ac:dyDescent="0.3">
      <c r="B11" s="133" t="s">
        <v>305</v>
      </c>
      <c r="C11" s="177">
        <v>44936</v>
      </c>
      <c r="D11" s="134" t="s">
        <v>295</v>
      </c>
      <c r="E11" s="134" t="s">
        <v>296</v>
      </c>
      <c r="F11" s="133"/>
      <c r="G11" s="146" t="s">
        <v>189</v>
      </c>
      <c r="H11" s="224" t="s">
        <v>253</v>
      </c>
      <c r="I11" s="224" t="s">
        <v>207</v>
      </c>
      <c r="J11" s="224" t="s">
        <v>183</v>
      </c>
      <c r="K11" s="135"/>
      <c r="L11" s="136" t="s">
        <v>297</v>
      </c>
      <c r="M11" s="136" t="s">
        <v>207</v>
      </c>
      <c r="N11" s="136" t="s">
        <v>183</v>
      </c>
    </row>
    <row r="12" spans="2:23" x14ac:dyDescent="0.25">
      <c r="B12" s="3" t="s">
        <v>298</v>
      </c>
      <c r="C12" s="73">
        <v>250</v>
      </c>
      <c r="D12" s="73">
        <f>$H$4</f>
        <v>199</v>
      </c>
      <c r="E12" s="73">
        <f>ROUND(C12-D12,2)</f>
        <v>51</v>
      </c>
      <c r="G12" s="138" t="s">
        <v>51</v>
      </c>
      <c r="H12" s="73">
        <f>ROUND(C17*C19,2)</f>
        <v>308</v>
      </c>
      <c r="I12" s="139">
        <f>ROUND(C19*E17,2)</f>
        <v>70.37</v>
      </c>
      <c r="J12" s="73">
        <f>ROUND(H12-I12,2)</f>
        <v>237.63</v>
      </c>
      <c r="L12" s="73">
        <v>0</v>
      </c>
      <c r="M12" s="73">
        <v>0</v>
      </c>
      <c r="N12" s="76">
        <f>ROUND(L12-M12,2)</f>
        <v>0</v>
      </c>
    </row>
    <row r="13" spans="2:23" x14ac:dyDescent="0.25">
      <c r="B13" s="3" t="s">
        <v>292</v>
      </c>
      <c r="C13" s="73">
        <v>50</v>
      </c>
      <c r="D13" s="73">
        <f>$I$4</f>
        <v>15.92</v>
      </c>
      <c r="E13" s="73">
        <f>ROUND(C13-D13,2)</f>
        <v>34.08</v>
      </c>
      <c r="G13" s="73" t="s">
        <v>193</v>
      </c>
      <c r="H13" s="73">
        <v>0</v>
      </c>
      <c r="I13" s="139">
        <v>0</v>
      </c>
      <c r="J13" s="73">
        <f>ROUND(H13-I13,2)</f>
        <v>0</v>
      </c>
      <c r="L13" s="73">
        <v>0</v>
      </c>
      <c r="M13" s="73">
        <v>0</v>
      </c>
      <c r="N13" s="76">
        <f t="shared" ref="N13:N22" si="0">ROUND(L13-M13,2)</f>
        <v>0</v>
      </c>
      <c r="P13">
        <f>C13/C12</f>
        <v>0.2</v>
      </c>
      <c r="Q13" t="s">
        <v>401</v>
      </c>
    </row>
    <row r="14" spans="2:23" x14ac:dyDescent="0.25">
      <c r="B14" s="3" t="s">
        <v>299</v>
      </c>
      <c r="C14" s="73">
        <v>5</v>
      </c>
      <c r="D14" s="73">
        <f>$J$4</f>
        <v>5</v>
      </c>
      <c r="E14" s="73">
        <f>ROUND(C14-D14,2)</f>
        <v>0</v>
      </c>
      <c r="G14" s="73" t="s">
        <v>301</v>
      </c>
      <c r="H14" s="73">
        <v>0</v>
      </c>
      <c r="I14" s="139">
        <v>0</v>
      </c>
      <c r="J14" s="73">
        <f t="shared" ref="J14:J16" si="1">ROUND(H14-I14,2)</f>
        <v>0</v>
      </c>
      <c r="L14" s="73">
        <v>0</v>
      </c>
      <c r="M14" s="73">
        <v>0</v>
      </c>
      <c r="N14" s="76">
        <f t="shared" si="0"/>
        <v>0</v>
      </c>
    </row>
    <row r="15" spans="2:23" x14ac:dyDescent="0.25">
      <c r="B15" s="3" t="s">
        <v>300</v>
      </c>
      <c r="C15" s="73">
        <v>3</v>
      </c>
      <c r="D15" s="73">
        <f>$K$4</f>
        <v>17.71</v>
      </c>
      <c r="E15" s="73">
        <f>ROUND(C15-D15,2)</f>
        <v>-14.71</v>
      </c>
      <c r="G15" s="73" t="s">
        <v>303</v>
      </c>
      <c r="H15" s="73">
        <v>0</v>
      </c>
      <c r="I15" s="139">
        <v>0</v>
      </c>
      <c r="J15" s="73">
        <f t="shared" si="1"/>
        <v>0</v>
      </c>
      <c r="L15" s="73">
        <v>0</v>
      </c>
      <c r="M15" s="73">
        <v>0</v>
      </c>
      <c r="N15" s="76">
        <f t="shared" si="0"/>
        <v>0</v>
      </c>
      <c r="P15">
        <f>C15/C12</f>
        <v>1.2E-2</v>
      </c>
      <c r="Q15" t="s">
        <v>402</v>
      </c>
    </row>
    <row r="16" spans="2:23" x14ac:dyDescent="0.25">
      <c r="B16" s="74"/>
      <c r="C16" s="50"/>
      <c r="D16" s="50"/>
      <c r="E16" s="50"/>
      <c r="F16" s="48"/>
      <c r="G16" s="50" t="s">
        <v>304</v>
      </c>
      <c r="H16" s="50">
        <v>0</v>
      </c>
      <c r="I16" s="141">
        <f>M23</f>
        <v>0</v>
      </c>
      <c r="J16" s="73">
        <f t="shared" si="1"/>
        <v>0</v>
      </c>
      <c r="L16" s="73">
        <v>0</v>
      </c>
      <c r="M16" s="73">
        <v>0</v>
      </c>
      <c r="N16" s="76">
        <f t="shared" si="0"/>
        <v>0</v>
      </c>
    </row>
    <row r="17" spans="2:14" x14ac:dyDescent="0.25">
      <c r="B17" s="3" t="s">
        <v>195</v>
      </c>
      <c r="C17" s="73">
        <f>SUM(C12:C16)</f>
        <v>308</v>
      </c>
      <c r="D17" s="73">
        <f>SUM(D12:D16)</f>
        <v>237.63</v>
      </c>
      <c r="E17" s="73">
        <f>ROUND(C17-D17,2)</f>
        <v>70.37</v>
      </c>
      <c r="G17" s="137" t="s">
        <v>195</v>
      </c>
      <c r="H17" s="137">
        <f>SUM(H12:H16)</f>
        <v>308</v>
      </c>
      <c r="I17" s="142">
        <f>SUM(I12:I16)</f>
        <v>70.37</v>
      </c>
      <c r="J17" s="143">
        <f>SUM(J12:J16)</f>
        <v>237.63</v>
      </c>
      <c r="L17" s="73">
        <v>0</v>
      </c>
      <c r="M17" s="73">
        <v>0</v>
      </c>
      <c r="N17" s="76">
        <f t="shared" si="0"/>
        <v>0</v>
      </c>
    </row>
    <row r="18" spans="2:14" x14ac:dyDescent="0.25">
      <c r="B18" s="3"/>
      <c r="L18" s="73">
        <v>0</v>
      </c>
      <c r="M18" s="73">
        <v>0</v>
      </c>
      <c r="N18" s="76">
        <f t="shared" si="0"/>
        <v>0</v>
      </c>
    </row>
    <row r="19" spans="2:14" x14ac:dyDescent="0.25">
      <c r="B19" s="3" t="s">
        <v>302</v>
      </c>
      <c r="C19" s="140">
        <v>1</v>
      </c>
      <c r="D19" s="140"/>
      <c r="E19" s="140"/>
      <c r="F19" s="140"/>
      <c r="L19" s="73">
        <v>0</v>
      </c>
      <c r="M19" s="73">
        <v>0</v>
      </c>
      <c r="N19" s="76">
        <f t="shared" si="0"/>
        <v>0</v>
      </c>
    </row>
    <row r="20" spans="2:14" x14ac:dyDescent="0.25">
      <c r="L20" s="73">
        <v>0</v>
      </c>
      <c r="M20" s="73">
        <v>0</v>
      </c>
      <c r="N20" s="76">
        <f t="shared" si="0"/>
        <v>0</v>
      </c>
    </row>
    <row r="21" spans="2:14" x14ac:dyDescent="0.25">
      <c r="K21" s="144">
        <f>H17-I17-J17</f>
        <v>0</v>
      </c>
      <c r="L21" s="73">
        <v>0</v>
      </c>
      <c r="M21" s="73">
        <v>0</v>
      </c>
      <c r="N21" s="76">
        <f t="shared" si="0"/>
        <v>0</v>
      </c>
    </row>
    <row r="22" spans="2:14" x14ac:dyDescent="0.25">
      <c r="L22" s="50">
        <v>0</v>
      </c>
      <c r="M22" s="50">
        <v>0</v>
      </c>
      <c r="N22" s="145">
        <f t="shared" si="0"/>
        <v>0</v>
      </c>
    </row>
    <row r="23" spans="2:14" x14ac:dyDescent="0.25">
      <c r="I23" s="139"/>
      <c r="L23" s="73">
        <f>SUM(L12:L22)</f>
        <v>0</v>
      </c>
      <c r="M23" s="73">
        <f>SUM(M12:M22)</f>
        <v>0</v>
      </c>
      <c r="N23" s="73">
        <f t="shared" ref="N23" si="2">SUM(N12:N22)</f>
        <v>0</v>
      </c>
    </row>
    <row r="24" spans="2:14" x14ac:dyDescent="0.25">
      <c r="I24" s="139"/>
      <c r="M24"/>
    </row>
    <row r="25" spans="2:14" ht="15.75" thickBot="1" x14ac:dyDescent="0.3">
      <c r="B25" s="133" t="s">
        <v>305</v>
      </c>
      <c r="C25" s="134" t="s">
        <v>322</v>
      </c>
      <c r="D25" s="133" t="s">
        <v>295</v>
      </c>
      <c r="E25" s="133" t="s">
        <v>296</v>
      </c>
      <c r="F25" s="133"/>
      <c r="G25" s="146" t="s">
        <v>189</v>
      </c>
      <c r="H25" s="136" t="s">
        <v>253</v>
      </c>
      <c r="I25" s="136" t="s">
        <v>207</v>
      </c>
      <c r="J25" s="136" t="s">
        <v>183</v>
      </c>
      <c r="K25" s="135"/>
      <c r="L25" s="136" t="s">
        <v>297</v>
      </c>
      <c r="M25" s="136" t="s">
        <v>207</v>
      </c>
      <c r="N25" s="136" t="s">
        <v>183</v>
      </c>
    </row>
    <row r="26" spans="2:14" x14ac:dyDescent="0.25">
      <c r="B26" s="3" t="s">
        <v>298</v>
      </c>
      <c r="D26" s="73">
        <f>$H$4</f>
        <v>199</v>
      </c>
      <c r="E26" s="73">
        <f>ROUND(C26-D26,2)</f>
        <v>-199</v>
      </c>
      <c r="G26" s="138" t="s">
        <v>51</v>
      </c>
      <c r="H26" s="73">
        <f>ROUND(C31*C33,2)</f>
        <v>0</v>
      </c>
      <c r="I26" s="139">
        <f>ROUND(C33*E31,2)</f>
        <v>-475.26</v>
      </c>
      <c r="J26" s="73">
        <f>ROUND(H26-I26,2)</f>
        <v>475.26</v>
      </c>
      <c r="L26" s="73">
        <v>0</v>
      </c>
      <c r="M26" s="73">
        <v>0</v>
      </c>
      <c r="N26" s="76">
        <f>ROUND(L26-M26,2)</f>
        <v>0</v>
      </c>
    </row>
    <row r="27" spans="2:14" x14ac:dyDescent="0.25">
      <c r="B27" s="3" t="s">
        <v>292</v>
      </c>
      <c r="D27" s="73">
        <f>$I$4</f>
        <v>15.92</v>
      </c>
      <c r="E27" s="73">
        <f>ROUND(C27-D27,2)</f>
        <v>-15.92</v>
      </c>
      <c r="G27" s="73" t="s">
        <v>193</v>
      </c>
      <c r="H27" s="73">
        <v>0</v>
      </c>
      <c r="I27" s="139">
        <v>0</v>
      </c>
      <c r="J27" s="73">
        <f>ROUND(H27-I27,2)</f>
        <v>0</v>
      </c>
      <c r="L27" s="73">
        <v>0</v>
      </c>
      <c r="M27" s="73">
        <v>0</v>
      </c>
      <c r="N27" s="76">
        <f t="shared" ref="N27:N36" si="3">ROUND(L27-M27,2)</f>
        <v>0</v>
      </c>
    </row>
    <row r="28" spans="2:14" x14ac:dyDescent="0.25">
      <c r="B28" s="3" t="s">
        <v>299</v>
      </c>
      <c r="D28" s="73">
        <f>$J$4</f>
        <v>5</v>
      </c>
      <c r="E28" s="73">
        <f>ROUND(C28-D28,2)</f>
        <v>-5</v>
      </c>
      <c r="G28" s="73" t="s">
        <v>301</v>
      </c>
      <c r="H28" s="73">
        <v>0</v>
      </c>
      <c r="I28" s="139">
        <v>0</v>
      </c>
      <c r="J28" s="73">
        <f t="shared" ref="J28:J30" si="4">ROUND(H28-I28,2)</f>
        <v>0</v>
      </c>
      <c r="L28" s="73">
        <v>0</v>
      </c>
      <c r="M28" s="73">
        <v>0</v>
      </c>
      <c r="N28" s="76">
        <f t="shared" si="3"/>
        <v>0</v>
      </c>
    </row>
    <row r="29" spans="2:14" x14ac:dyDescent="0.25">
      <c r="B29" s="3" t="s">
        <v>300</v>
      </c>
      <c r="D29" s="73">
        <f>$K$4</f>
        <v>17.71</v>
      </c>
      <c r="E29" s="73">
        <f>ROUND(C29-D29,2)</f>
        <v>-17.71</v>
      </c>
      <c r="G29" s="73" t="s">
        <v>303</v>
      </c>
      <c r="H29" s="73">
        <v>0</v>
      </c>
      <c r="I29" s="139">
        <v>0</v>
      </c>
      <c r="J29" s="73">
        <f t="shared" si="4"/>
        <v>0</v>
      </c>
      <c r="L29" s="73">
        <v>0</v>
      </c>
      <c r="M29" s="73">
        <v>0</v>
      </c>
      <c r="N29" s="76">
        <f t="shared" si="3"/>
        <v>0</v>
      </c>
    </row>
    <row r="30" spans="2:14" x14ac:dyDescent="0.25">
      <c r="B30" s="74"/>
      <c r="C30" s="50"/>
      <c r="D30" s="50"/>
      <c r="E30" s="50"/>
      <c r="F30" s="48"/>
      <c r="G30" s="50" t="s">
        <v>304</v>
      </c>
      <c r="H30" s="50">
        <v>0</v>
      </c>
      <c r="I30" s="141">
        <f>M37</f>
        <v>0</v>
      </c>
      <c r="J30" s="73">
        <f t="shared" si="4"/>
        <v>0</v>
      </c>
      <c r="L30" s="73">
        <v>0</v>
      </c>
      <c r="M30" s="73">
        <v>0</v>
      </c>
      <c r="N30" s="76">
        <f t="shared" si="3"/>
        <v>0</v>
      </c>
    </row>
    <row r="31" spans="2:14" x14ac:dyDescent="0.25">
      <c r="B31" s="3" t="s">
        <v>195</v>
      </c>
      <c r="C31" s="73">
        <f>SUM(C26:C30)</f>
        <v>0</v>
      </c>
      <c r="D31" s="73">
        <f>SUM(D26:D30)</f>
        <v>237.63</v>
      </c>
      <c r="E31" s="73">
        <f>ROUND(C31-D31,2)</f>
        <v>-237.63</v>
      </c>
      <c r="G31" s="137" t="s">
        <v>195</v>
      </c>
      <c r="H31" s="137">
        <f>SUM(H26:H30)</f>
        <v>0</v>
      </c>
      <c r="I31" s="142">
        <f>SUM(I26:I30)</f>
        <v>-475.26</v>
      </c>
      <c r="J31" s="143">
        <f>SUM(J26:J30)</f>
        <v>475.26</v>
      </c>
      <c r="K31" s="144">
        <f>H31-I31-J31</f>
        <v>0</v>
      </c>
      <c r="L31" s="73">
        <v>0</v>
      </c>
      <c r="M31" s="73">
        <v>0</v>
      </c>
      <c r="N31" s="76">
        <f t="shared" si="3"/>
        <v>0</v>
      </c>
    </row>
    <row r="32" spans="2:14" x14ac:dyDescent="0.25">
      <c r="B32" s="3"/>
      <c r="L32" s="73">
        <v>0</v>
      </c>
      <c r="M32" s="73">
        <v>0</v>
      </c>
      <c r="N32" s="76">
        <f t="shared" si="3"/>
        <v>0</v>
      </c>
    </row>
    <row r="33" spans="2:18" x14ac:dyDescent="0.25">
      <c r="B33" s="3" t="s">
        <v>302</v>
      </c>
      <c r="C33" s="140">
        <v>2</v>
      </c>
      <c r="D33" s="140"/>
      <c r="E33" s="140"/>
      <c r="F33" s="140"/>
      <c r="L33" s="73">
        <v>0</v>
      </c>
      <c r="M33" s="73">
        <v>0</v>
      </c>
      <c r="N33" s="76">
        <f t="shared" si="3"/>
        <v>0</v>
      </c>
    </row>
    <row r="34" spans="2:18" x14ac:dyDescent="0.25">
      <c r="L34" s="73">
        <v>0</v>
      </c>
      <c r="M34" s="73">
        <v>0</v>
      </c>
      <c r="N34" s="76">
        <f t="shared" si="3"/>
        <v>0</v>
      </c>
    </row>
    <row r="35" spans="2:18" x14ac:dyDescent="0.25">
      <c r="L35" s="73">
        <v>0</v>
      </c>
      <c r="M35" s="73">
        <v>0</v>
      </c>
      <c r="N35" s="76">
        <f t="shared" si="3"/>
        <v>0</v>
      </c>
    </row>
    <row r="36" spans="2:18" x14ac:dyDescent="0.25">
      <c r="L36" s="50">
        <v>0</v>
      </c>
      <c r="M36" s="50">
        <v>0</v>
      </c>
      <c r="N36" s="145">
        <f t="shared" si="3"/>
        <v>0</v>
      </c>
    </row>
    <row r="37" spans="2:18" x14ac:dyDescent="0.25">
      <c r="I37" s="139"/>
      <c r="L37" s="73">
        <f>SUM(L26:L36)</f>
        <v>0</v>
      </c>
      <c r="M37" s="73">
        <f>SUM(M26:M36)</f>
        <v>0</v>
      </c>
      <c r="N37" s="73">
        <f t="shared" ref="N37" si="5">SUM(N26:N36)</f>
        <v>0</v>
      </c>
    </row>
    <row r="38" spans="2:18" s="73" customFormat="1" x14ac:dyDescent="0.25">
      <c r="B38"/>
      <c r="G38" s="137"/>
      <c r="M38"/>
      <c r="O38"/>
      <c r="P38"/>
      <c r="Q38"/>
      <c r="R38"/>
    </row>
    <row r="39" spans="2:18" ht="15.75" thickBot="1" x14ac:dyDescent="0.3">
      <c r="B39" s="133" t="s">
        <v>305</v>
      </c>
      <c r="C39" s="177">
        <v>44939</v>
      </c>
      <c r="D39" s="133" t="s">
        <v>295</v>
      </c>
      <c r="E39" s="133" t="s">
        <v>296</v>
      </c>
      <c r="F39" s="133"/>
      <c r="G39" s="146" t="s">
        <v>189</v>
      </c>
      <c r="H39" s="136" t="s">
        <v>253</v>
      </c>
      <c r="I39" s="136" t="s">
        <v>207</v>
      </c>
      <c r="J39" s="136" t="s">
        <v>183</v>
      </c>
      <c r="K39" s="135"/>
      <c r="L39" s="136" t="s">
        <v>297</v>
      </c>
      <c r="M39" s="136" t="s">
        <v>207</v>
      </c>
      <c r="N39" s="136" t="s">
        <v>183</v>
      </c>
    </row>
    <row r="40" spans="2:18" x14ac:dyDescent="0.25">
      <c r="B40" s="3" t="s">
        <v>298</v>
      </c>
      <c r="D40" s="73">
        <f>$H$4</f>
        <v>199</v>
      </c>
      <c r="E40" s="73">
        <f>ROUND(C40-D40,2)</f>
        <v>-199</v>
      </c>
      <c r="G40" s="138" t="s">
        <v>51</v>
      </c>
      <c r="H40" s="73">
        <f>ROUND(C45*C47,2)</f>
        <v>0</v>
      </c>
      <c r="I40" s="139">
        <f>ROUND(C47*E45,2)</f>
        <v>-237.63</v>
      </c>
      <c r="J40" s="73">
        <f>ROUND(H40-I40,2)</f>
        <v>237.63</v>
      </c>
      <c r="L40" s="73">
        <v>0</v>
      </c>
      <c r="M40" s="73">
        <v>0</v>
      </c>
      <c r="N40" s="76">
        <f>ROUND(L40-M40,2)</f>
        <v>0</v>
      </c>
    </row>
    <row r="41" spans="2:18" x14ac:dyDescent="0.25">
      <c r="B41" s="3" t="s">
        <v>292</v>
      </c>
      <c r="D41" s="73">
        <f>$I$4</f>
        <v>15.92</v>
      </c>
      <c r="E41" s="73">
        <f>ROUND(C41-D41,2)</f>
        <v>-15.92</v>
      </c>
      <c r="G41" s="73" t="s">
        <v>193</v>
      </c>
      <c r="H41" s="73">
        <v>0</v>
      </c>
      <c r="I41" s="139">
        <v>0</v>
      </c>
      <c r="J41" s="73">
        <f>ROUND(H41-I41,2)</f>
        <v>0</v>
      </c>
      <c r="L41" s="73">
        <v>0</v>
      </c>
      <c r="M41" s="73">
        <v>0</v>
      </c>
      <c r="N41" s="76">
        <f t="shared" ref="N41:N50" si="6">ROUND(L41-M41,2)</f>
        <v>0</v>
      </c>
    </row>
    <row r="42" spans="2:18" x14ac:dyDescent="0.25">
      <c r="B42" s="3" t="s">
        <v>299</v>
      </c>
      <c r="D42" s="73">
        <f>$J$4</f>
        <v>5</v>
      </c>
      <c r="E42" s="73">
        <f>ROUND(C42-D42,2)</f>
        <v>-5</v>
      </c>
      <c r="G42" s="73" t="s">
        <v>301</v>
      </c>
      <c r="H42" s="73">
        <v>0</v>
      </c>
      <c r="I42" s="139">
        <v>0</v>
      </c>
      <c r="J42" s="73">
        <f t="shared" ref="J42:J44" si="7">ROUND(H42-I42,2)</f>
        <v>0</v>
      </c>
      <c r="L42" s="73">
        <v>0</v>
      </c>
      <c r="M42" s="73">
        <v>0</v>
      </c>
      <c r="N42" s="76">
        <f t="shared" si="6"/>
        <v>0</v>
      </c>
    </row>
    <row r="43" spans="2:18" x14ac:dyDescent="0.25">
      <c r="B43" s="3" t="s">
        <v>300</v>
      </c>
      <c r="D43" s="73">
        <f>$K$4</f>
        <v>17.71</v>
      </c>
      <c r="E43" s="73">
        <f>ROUND(C43-D43,2)</f>
        <v>-17.71</v>
      </c>
      <c r="G43" s="73" t="s">
        <v>303</v>
      </c>
      <c r="H43" s="73">
        <v>0</v>
      </c>
      <c r="I43" s="139">
        <v>0</v>
      </c>
      <c r="J43" s="73">
        <f t="shared" si="7"/>
        <v>0</v>
      </c>
      <c r="L43" s="73">
        <v>0</v>
      </c>
      <c r="M43" s="73">
        <v>0</v>
      </c>
      <c r="N43" s="76">
        <f t="shared" si="6"/>
        <v>0</v>
      </c>
    </row>
    <row r="44" spans="2:18" x14ac:dyDescent="0.25">
      <c r="B44" s="74"/>
      <c r="C44" s="50"/>
      <c r="D44" s="50"/>
      <c r="E44" s="50"/>
      <c r="F44" s="48"/>
      <c r="G44" s="50" t="s">
        <v>304</v>
      </c>
      <c r="H44" s="50">
        <v>0</v>
      </c>
      <c r="I44" s="141">
        <f>M51</f>
        <v>0</v>
      </c>
      <c r="J44" s="73">
        <f t="shared" si="7"/>
        <v>0</v>
      </c>
      <c r="L44" s="73">
        <v>0</v>
      </c>
      <c r="M44" s="73">
        <v>0</v>
      </c>
      <c r="N44" s="76">
        <f t="shared" si="6"/>
        <v>0</v>
      </c>
    </row>
    <row r="45" spans="2:18" x14ac:dyDescent="0.25">
      <c r="B45" s="3" t="s">
        <v>195</v>
      </c>
      <c r="C45" s="73">
        <f>SUM(C40:C44)</f>
        <v>0</v>
      </c>
      <c r="D45" s="73">
        <f>SUM(D40:D44)</f>
        <v>237.63</v>
      </c>
      <c r="E45" s="73">
        <f>ROUND(C45-D45,2)</f>
        <v>-237.63</v>
      </c>
      <c r="G45" s="137" t="s">
        <v>195</v>
      </c>
      <c r="H45" s="137">
        <f>SUM(H40:H44)</f>
        <v>0</v>
      </c>
      <c r="I45" s="142">
        <f>SUM(I40:I44)</f>
        <v>-237.63</v>
      </c>
      <c r="J45" s="143">
        <f>SUM(J40:J44)</f>
        <v>237.63</v>
      </c>
      <c r="K45" s="144">
        <f>H45-I45-J45</f>
        <v>0</v>
      </c>
      <c r="L45" s="73">
        <v>0</v>
      </c>
      <c r="M45" s="73">
        <v>0</v>
      </c>
      <c r="N45" s="76">
        <f t="shared" si="6"/>
        <v>0</v>
      </c>
    </row>
    <row r="46" spans="2:18" x14ac:dyDescent="0.25">
      <c r="B46" s="3"/>
      <c r="L46" s="73">
        <v>0</v>
      </c>
      <c r="M46" s="73">
        <v>0</v>
      </c>
      <c r="N46" s="76">
        <f t="shared" si="6"/>
        <v>0</v>
      </c>
    </row>
    <row r="47" spans="2:18" x14ac:dyDescent="0.25">
      <c r="B47" s="3" t="s">
        <v>302</v>
      </c>
      <c r="C47" s="140">
        <v>1</v>
      </c>
      <c r="D47" s="140"/>
      <c r="E47" s="140"/>
      <c r="F47" s="140"/>
      <c r="L47" s="73">
        <v>0</v>
      </c>
      <c r="M47" s="73">
        <v>0</v>
      </c>
      <c r="N47" s="76">
        <f t="shared" si="6"/>
        <v>0</v>
      </c>
    </row>
    <row r="48" spans="2:18" x14ac:dyDescent="0.25">
      <c r="L48" s="73">
        <v>0</v>
      </c>
      <c r="M48" s="73">
        <v>0</v>
      </c>
      <c r="N48" s="76">
        <f t="shared" si="6"/>
        <v>0</v>
      </c>
    </row>
    <row r="49" spans="2:14" x14ac:dyDescent="0.25">
      <c r="L49" s="73">
        <v>0</v>
      </c>
      <c r="M49" s="73">
        <v>0</v>
      </c>
      <c r="N49" s="76">
        <f t="shared" si="6"/>
        <v>0</v>
      </c>
    </row>
    <row r="50" spans="2:14" x14ac:dyDescent="0.25">
      <c r="L50" s="50">
        <v>0</v>
      </c>
      <c r="M50" s="50">
        <v>0</v>
      </c>
      <c r="N50" s="145">
        <f t="shared" si="6"/>
        <v>0</v>
      </c>
    </row>
    <row r="51" spans="2:14" x14ac:dyDescent="0.25">
      <c r="I51" s="139"/>
      <c r="L51" s="73">
        <f>SUM(L40:L50)</f>
        <v>0</v>
      </c>
      <c r="M51" s="73">
        <f>SUM(M40:M50)</f>
        <v>0</v>
      </c>
      <c r="N51" s="73">
        <f t="shared" ref="N51" si="8">SUM(N40:N50)</f>
        <v>0</v>
      </c>
    </row>
    <row r="52" spans="2:14" x14ac:dyDescent="0.25">
      <c r="M52"/>
    </row>
    <row r="53" spans="2:14" ht="15.75" thickBot="1" x14ac:dyDescent="0.3">
      <c r="B53" s="133" t="s">
        <v>305</v>
      </c>
      <c r="C53" s="177">
        <v>44939</v>
      </c>
      <c r="D53" s="133" t="s">
        <v>295</v>
      </c>
      <c r="E53" s="133" t="s">
        <v>296</v>
      </c>
      <c r="F53" s="133"/>
      <c r="G53" s="146" t="s">
        <v>189</v>
      </c>
      <c r="H53" s="136" t="s">
        <v>253</v>
      </c>
      <c r="I53" s="136" t="s">
        <v>207</v>
      </c>
      <c r="J53" s="136" t="s">
        <v>183</v>
      </c>
      <c r="K53" s="135"/>
      <c r="L53" s="136" t="s">
        <v>297</v>
      </c>
      <c r="M53" s="136" t="s">
        <v>207</v>
      </c>
      <c r="N53" s="136" t="s">
        <v>183</v>
      </c>
    </row>
    <row r="54" spans="2:14" x14ac:dyDescent="0.25">
      <c r="B54" s="3" t="s">
        <v>298</v>
      </c>
      <c r="D54" s="73">
        <f>$H$4</f>
        <v>199</v>
      </c>
      <c r="E54" s="73">
        <f>ROUND(C54-D54,2)</f>
        <v>-199</v>
      </c>
      <c r="G54" s="138" t="s">
        <v>51</v>
      </c>
      <c r="H54" s="73">
        <f>ROUND(C59*C61,2)</f>
        <v>0</v>
      </c>
      <c r="I54" s="139">
        <f>ROUND(C61*E59,2)</f>
        <v>-237.63</v>
      </c>
      <c r="J54" s="73">
        <f>ROUND(H54-I54,2)</f>
        <v>237.63</v>
      </c>
      <c r="L54" s="73">
        <v>0</v>
      </c>
      <c r="M54" s="73">
        <v>0</v>
      </c>
      <c r="N54" s="76">
        <f>ROUND(L54-M54,2)</f>
        <v>0</v>
      </c>
    </row>
    <row r="55" spans="2:14" x14ac:dyDescent="0.25">
      <c r="B55" s="3" t="s">
        <v>292</v>
      </c>
      <c r="D55" s="73">
        <f>$I$4</f>
        <v>15.92</v>
      </c>
      <c r="E55" s="73">
        <f>ROUND(C55-D55,2)</f>
        <v>-15.92</v>
      </c>
      <c r="G55" s="73" t="s">
        <v>193</v>
      </c>
      <c r="H55" s="73">
        <v>0</v>
      </c>
      <c r="I55" s="139">
        <v>0</v>
      </c>
      <c r="J55" s="73">
        <f>ROUND(H55-I55,2)</f>
        <v>0</v>
      </c>
      <c r="L55" s="73">
        <v>0</v>
      </c>
      <c r="M55" s="73">
        <v>0</v>
      </c>
      <c r="N55" s="76">
        <f t="shared" ref="N55:N64" si="9">ROUND(L55-M55,2)</f>
        <v>0</v>
      </c>
    </row>
    <row r="56" spans="2:14" x14ac:dyDescent="0.25">
      <c r="B56" s="3" t="s">
        <v>299</v>
      </c>
      <c r="D56" s="73">
        <f>$J$4</f>
        <v>5</v>
      </c>
      <c r="E56" s="73">
        <f>ROUND(C56-D56,2)</f>
        <v>-5</v>
      </c>
      <c r="G56" s="73" t="s">
        <v>301</v>
      </c>
      <c r="H56" s="73">
        <v>0</v>
      </c>
      <c r="I56" s="139">
        <v>0</v>
      </c>
      <c r="J56" s="73">
        <f t="shared" ref="J56:J58" si="10">ROUND(H56-I56,2)</f>
        <v>0</v>
      </c>
      <c r="L56" s="73">
        <v>0</v>
      </c>
      <c r="M56" s="73">
        <v>0</v>
      </c>
      <c r="N56" s="76">
        <f t="shared" si="9"/>
        <v>0</v>
      </c>
    </row>
    <row r="57" spans="2:14" x14ac:dyDescent="0.25">
      <c r="B57" s="3" t="s">
        <v>300</v>
      </c>
      <c r="D57" s="73">
        <f>$K$4</f>
        <v>17.71</v>
      </c>
      <c r="E57" s="73">
        <f>ROUND(C57-D57,2)</f>
        <v>-17.71</v>
      </c>
      <c r="G57" s="73" t="s">
        <v>303</v>
      </c>
      <c r="H57" s="73">
        <v>0</v>
      </c>
      <c r="I57" s="139">
        <v>0</v>
      </c>
      <c r="J57" s="73">
        <f t="shared" si="10"/>
        <v>0</v>
      </c>
      <c r="L57" s="73">
        <v>0</v>
      </c>
      <c r="M57" s="73">
        <v>0</v>
      </c>
      <c r="N57" s="76">
        <f t="shared" si="9"/>
        <v>0</v>
      </c>
    </row>
    <row r="58" spans="2:14" x14ac:dyDescent="0.25">
      <c r="B58" s="74"/>
      <c r="C58" s="50"/>
      <c r="D58" s="50"/>
      <c r="E58" s="50"/>
      <c r="F58" s="48"/>
      <c r="G58" s="50" t="s">
        <v>304</v>
      </c>
      <c r="H58" s="50">
        <v>0</v>
      </c>
      <c r="I58" s="141">
        <f>M65</f>
        <v>0</v>
      </c>
      <c r="J58" s="73">
        <f t="shared" si="10"/>
        <v>0</v>
      </c>
      <c r="L58" s="73">
        <v>0</v>
      </c>
      <c r="M58" s="73">
        <v>0</v>
      </c>
      <c r="N58" s="76">
        <f t="shared" si="9"/>
        <v>0</v>
      </c>
    </row>
    <row r="59" spans="2:14" x14ac:dyDescent="0.25">
      <c r="B59" s="3" t="s">
        <v>195</v>
      </c>
      <c r="C59" s="73">
        <f>SUM(C54:C58)</f>
        <v>0</v>
      </c>
      <c r="D59" s="73">
        <f>SUM(D54:D58)</f>
        <v>237.63</v>
      </c>
      <c r="E59" s="73">
        <f>ROUND(C59-D59,2)</f>
        <v>-237.63</v>
      </c>
      <c r="G59" s="137" t="s">
        <v>195</v>
      </c>
      <c r="H59" s="137">
        <f>SUM(H54:H58)</f>
        <v>0</v>
      </c>
      <c r="I59" s="142">
        <f>SUM(I54:I58)</f>
        <v>-237.63</v>
      </c>
      <c r="J59" s="143">
        <f>SUM(J54:J58)</f>
        <v>237.63</v>
      </c>
      <c r="K59" s="144">
        <f>H59-I59-J59</f>
        <v>0</v>
      </c>
      <c r="L59" s="73">
        <v>0</v>
      </c>
      <c r="M59" s="73">
        <v>0</v>
      </c>
      <c r="N59" s="76">
        <f t="shared" si="9"/>
        <v>0</v>
      </c>
    </row>
    <row r="60" spans="2:14" x14ac:dyDescent="0.25">
      <c r="B60" s="3"/>
      <c r="L60" s="73">
        <v>0</v>
      </c>
      <c r="M60" s="73">
        <v>0</v>
      </c>
      <c r="N60" s="76">
        <f t="shared" si="9"/>
        <v>0</v>
      </c>
    </row>
    <row r="61" spans="2:14" x14ac:dyDescent="0.25">
      <c r="B61" s="3" t="s">
        <v>302</v>
      </c>
      <c r="C61" s="140">
        <v>1</v>
      </c>
      <c r="D61" s="140"/>
      <c r="E61" s="140"/>
      <c r="F61" s="140"/>
      <c r="L61" s="73">
        <v>0</v>
      </c>
      <c r="M61" s="73">
        <v>0</v>
      </c>
      <c r="N61" s="76">
        <f t="shared" si="9"/>
        <v>0</v>
      </c>
    </row>
    <row r="62" spans="2:14" x14ac:dyDescent="0.25">
      <c r="L62" s="73">
        <v>0</v>
      </c>
      <c r="M62" s="73">
        <v>0</v>
      </c>
      <c r="N62" s="76">
        <f t="shared" si="9"/>
        <v>0</v>
      </c>
    </row>
    <row r="63" spans="2:14" x14ac:dyDescent="0.25">
      <c r="L63" s="73">
        <v>0</v>
      </c>
      <c r="M63" s="73">
        <v>0</v>
      </c>
      <c r="N63" s="76">
        <f t="shared" si="9"/>
        <v>0</v>
      </c>
    </row>
    <row r="64" spans="2:14" x14ac:dyDescent="0.25">
      <c r="L64" s="50">
        <v>0</v>
      </c>
      <c r="M64" s="50">
        <v>0</v>
      </c>
      <c r="N64" s="145">
        <f t="shared" si="9"/>
        <v>0</v>
      </c>
    </row>
    <row r="65" spans="2:14" x14ac:dyDescent="0.25">
      <c r="I65" s="139"/>
      <c r="L65" s="73">
        <f>SUM(L54:L64)</f>
        <v>0</v>
      </c>
      <c r="M65" s="73">
        <f>SUM(M54:M64)</f>
        <v>0</v>
      </c>
      <c r="N65" s="73">
        <f t="shared" ref="N65" si="11">SUM(N54:N64)</f>
        <v>0</v>
      </c>
    </row>
    <row r="66" spans="2:14" x14ac:dyDescent="0.25">
      <c r="I66" s="139"/>
      <c r="N66" s="73"/>
    </row>
    <row r="67" spans="2:14" ht="15.75" thickBot="1" x14ac:dyDescent="0.3">
      <c r="B67" s="133" t="s">
        <v>305</v>
      </c>
      <c r="C67" s="177">
        <v>44941</v>
      </c>
      <c r="D67" s="133" t="s">
        <v>295</v>
      </c>
      <c r="E67" s="133" t="s">
        <v>296</v>
      </c>
      <c r="F67" s="133"/>
      <c r="G67" s="146" t="s">
        <v>189</v>
      </c>
      <c r="H67" s="136" t="s">
        <v>253</v>
      </c>
      <c r="I67" s="136" t="s">
        <v>207</v>
      </c>
      <c r="J67" s="136" t="s">
        <v>183</v>
      </c>
      <c r="K67" s="135"/>
      <c r="L67" s="136" t="s">
        <v>297</v>
      </c>
      <c r="M67" s="136" t="s">
        <v>207</v>
      </c>
      <c r="N67" s="136" t="s">
        <v>183</v>
      </c>
    </row>
    <row r="68" spans="2:14" x14ac:dyDescent="0.25">
      <c r="B68" s="3" t="s">
        <v>298</v>
      </c>
      <c r="C68" s="73">
        <v>289</v>
      </c>
      <c r="D68" s="73">
        <f>$H$4</f>
        <v>199</v>
      </c>
      <c r="E68" s="73">
        <f>ROUND(C68-D68,2)</f>
        <v>90</v>
      </c>
      <c r="G68" s="138" t="s">
        <v>51</v>
      </c>
      <c r="H68" s="73">
        <f>ROUND(C73*C75,2)</f>
        <v>341.69</v>
      </c>
      <c r="I68" s="139">
        <f>ROUND(C75*E73,2)</f>
        <v>104.06</v>
      </c>
      <c r="J68" s="73">
        <f>ROUND(H68-I68,2)</f>
        <v>237.63</v>
      </c>
      <c r="L68" s="73">
        <v>0</v>
      </c>
      <c r="M68" s="73">
        <v>0</v>
      </c>
      <c r="N68" s="76">
        <f>ROUND(L68-M68,2)</f>
        <v>0</v>
      </c>
    </row>
    <row r="69" spans="2:14" x14ac:dyDescent="0.25">
      <c r="B69" s="3" t="s">
        <v>292</v>
      </c>
      <c r="C69" s="73">
        <v>24.57</v>
      </c>
      <c r="D69" s="73">
        <f>$I$4</f>
        <v>15.92</v>
      </c>
      <c r="E69" s="73">
        <f>ROUND(C69-D69,2)</f>
        <v>8.65</v>
      </c>
      <c r="G69" s="73" t="s">
        <v>193</v>
      </c>
      <c r="H69" s="73">
        <v>0</v>
      </c>
      <c r="I69" s="139">
        <v>0</v>
      </c>
      <c r="J69" s="73">
        <f>ROUND(H69-I69,2)</f>
        <v>0</v>
      </c>
      <c r="L69" s="73">
        <v>0</v>
      </c>
      <c r="M69" s="73">
        <v>0</v>
      </c>
      <c r="N69" s="76">
        <f t="shared" ref="N69:N78" si="12">ROUND(L69-M69,2)</f>
        <v>0</v>
      </c>
    </row>
    <row r="70" spans="2:14" x14ac:dyDescent="0.25">
      <c r="B70" s="3" t="s">
        <v>299</v>
      </c>
      <c r="C70" s="73">
        <v>5</v>
      </c>
      <c r="D70" s="73">
        <f>$J$4</f>
        <v>5</v>
      </c>
      <c r="E70" s="73">
        <f>ROUND(C70-D70,2)</f>
        <v>0</v>
      </c>
      <c r="G70" s="73" t="s">
        <v>301</v>
      </c>
      <c r="H70" s="73">
        <v>0</v>
      </c>
      <c r="I70" s="139">
        <v>0</v>
      </c>
      <c r="J70" s="73">
        <f t="shared" ref="J70:J72" si="13">ROUND(H70-I70,2)</f>
        <v>0</v>
      </c>
      <c r="L70" s="73">
        <v>0</v>
      </c>
      <c r="M70" s="73">
        <v>0</v>
      </c>
      <c r="N70" s="76">
        <f t="shared" si="12"/>
        <v>0</v>
      </c>
    </row>
    <row r="71" spans="2:14" x14ac:dyDescent="0.25">
      <c r="B71" s="3" t="s">
        <v>300</v>
      </c>
      <c r="C71" s="73">
        <v>23.12</v>
      </c>
      <c r="D71" s="73">
        <f>$K$4</f>
        <v>17.71</v>
      </c>
      <c r="E71" s="73">
        <f>ROUND(C71-D71,2)</f>
        <v>5.41</v>
      </c>
      <c r="G71" s="73" t="s">
        <v>303</v>
      </c>
      <c r="H71" s="73">
        <v>0</v>
      </c>
      <c r="I71" s="139">
        <v>0</v>
      </c>
      <c r="J71" s="73">
        <f t="shared" si="13"/>
        <v>0</v>
      </c>
      <c r="L71" s="73">
        <v>0</v>
      </c>
      <c r="M71" s="73">
        <v>0</v>
      </c>
      <c r="N71" s="76">
        <f t="shared" si="12"/>
        <v>0</v>
      </c>
    </row>
    <row r="72" spans="2:14" x14ac:dyDescent="0.25">
      <c r="B72" s="74"/>
      <c r="C72" s="50"/>
      <c r="D72" s="50"/>
      <c r="E72" s="50"/>
      <c r="F72" s="48"/>
      <c r="G72" s="50" t="s">
        <v>304</v>
      </c>
      <c r="H72" s="50">
        <v>0</v>
      </c>
      <c r="I72" s="141">
        <f>M79</f>
        <v>0</v>
      </c>
      <c r="J72" s="73">
        <f t="shared" si="13"/>
        <v>0</v>
      </c>
      <c r="L72" s="73">
        <v>0</v>
      </c>
      <c r="M72" s="73">
        <v>0</v>
      </c>
      <c r="N72" s="76">
        <f t="shared" si="12"/>
        <v>0</v>
      </c>
    </row>
    <row r="73" spans="2:14" x14ac:dyDescent="0.25">
      <c r="B73" s="3" t="s">
        <v>195</v>
      </c>
      <c r="C73" s="73">
        <f>SUM(C68:C72)</f>
        <v>341.69</v>
      </c>
      <c r="D73" s="73">
        <f>SUM(D68:D72)</f>
        <v>237.63</v>
      </c>
      <c r="E73" s="73">
        <f>ROUND(C73-D73,2)</f>
        <v>104.06</v>
      </c>
      <c r="G73" s="137" t="s">
        <v>195</v>
      </c>
      <c r="H73" s="137">
        <f>SUM(H68:H72)</f>
        <v>341.69</v>
      </c>
      <c r="I73" s="142">
        <f>SUM(I68:I72)</f>
        <v>104.06</v>
      </c>
      <c r="J73" s="143">
        <f>SUM(J68:J72)</f>
        <v>237.63</v>
      </c>
      <c r="K73" s="144">
        <f>H73-I73-J73</f>
        <v>0</v>
      </c>
      <c r="L73" s="73">
        <v>0</v>
      </c>
      <c r="M73" s="73">
        <v>0</v>
      </c>
      <c r="N73" s="76">
        <f t="shared" si="12"/>
        <v>0</v>
      </c>
    </row>
    <row r="74" spans="2:14" x14ac:dyDescent="0.25">
      <c r="B74" s="3"/>
      <c r="L74" s="73">
        <v>0</v>
      </c>
      <c r="M74" s="73">
        <v>0</v>
      </c>
      <c r="N74" s="76">
        <f t="shared" si="12"/>
        <v>0</v>
      </c>
    </row>
    <row r="75" spans="2:14" x14ac:dyDescent="0.25">
      <c r="B75" s="3" t="s">
        <v>302</v>
      </c>
      <c r="C75" s="140">
        <v>1</v>
      </c>
      <c r="D75" s="140"/>
      <c r="E75" s="140"/>
      <c r="F75" s="140"/>
      <c r="L75" s="73">
        <v>0</v>
      </c>
      <c r="M75" s="73">
        <v>0</v>
      </c>
      <c r="N75" s="76">
        <f t="shared" si="12"/>
        <v>0</v>
      </c>
    </row>
    <row r="76" spans="2:14" x14ac:dyDescent="0.25">
      <c r="L76" s="73">
        <v>0</v>
      </c>
      <c r="M76" s="73">
        <v>0</v>
      </c>
      <c r="N76" s="76">
        <f t="shared" si="12"/>
        <v>0</v>
      </c>
    </row>
    <row r="77" spans="2:14" x14ac:dyDescent="0.25">
      <c r="L77" s="73">
        <v>0</v>
      </c>
      <c r="M77" s="73">
        <v>0</v>
      </c>
      <c r="N77" s="76">
        <f t="shared" si="12"/>
        <v>0</v>
      </c>
    </row>
    <row r="78" spans="2:14" x14ac:dyDescent="0.25">
      <c r="L78" s="50">
        <v>0</v>
      </c>
      <c r="M78" s="50">
        <v>0</v>
      </c>
      <c r="N78" s="145">
        <f t="shared" si="12"/>
        <v>0</v>
      </c>
    </row>
    <row r="79" spans="2:14" x14ac:dyDescent="0.25">
      <c r="I79" s="139"/>
      <c r="L79" s="73">
        <f>SUM(L68:L78)</f>
        <v>0</v>
      </c>
      <c r="M79" s="73">
        <f>SUM(M68:M78)</f>
        <v>0</v>
      </c>
      <c r="N79" s="73">
        <f t="shared" ref="N79" si="14">SUM(N68:N78)</f>
        <v>0</v>
      </c>
    </row>
    <row r="80" spans="2:14" x14ac:dyDescent="0.25">
      <c r="I80" s="139"/>
      <c r="N80" s="73"/>
    </row>
    <row r="81" spans="2:20" ht="15.75" thickBot="1" x14ac:dyDescent="0.3">
      <c r="B81" s="133" t="s">
        <v>305</v>
      </c>
      <c r="C81" s="177">
        <v>44942</v>
      </c>
      <c r="D81" s="133" t="s">
        <v>295</v>
      </c>
      <c r="E81" s="133" t="s">
        <v>296</v>
      </c>
      <c r="F81" s="133"/>
      <c r="G81" s="146" t="s">
        <v>189</v>
      </c>
      <c r="H81" s="136" t="s">
        <v>253</v>
      </c>
      <c r="I81" s="136" t="s">
        <v>207</v>
      </c>
      <c r="J81" s="136" t="s">
        <v>183</v>
      </c>
      <c r="K81" s="135"/>
      <c r="L81" s="136" t="s">
        <v>297</v>
      </c>
      <c r="M81" s="136" t="s">
        <v>207</v>
      </c>
      <c r="N81" s="136" t="s">
        <v>183</v>
      </c>
    </row>
    <row r="82" spans="2:20" x14ac:dyDescent="0.25">
      <c r="B82" s="3" t="s">
        <v>298</v>
      </c>
      <c r="C82" s="73">
        <v>291</v>
      </c>
      <c r="D82" s="73">
        <f>$H$4</f>
        <v>199</v>
      </c>
      <c r="E82" s="73">
        <f>ROUND(C82-D82,2)</f>
        <v>92</v>
      </c>
      <c r="G82" s="138" t="s">
        <v>51</v>
      </c>
      <c r="H82" s="73">
        <f>ROUND(C87*C89,2)</f>
        <v>344.02</v>
      </c>
      <c r="I82" s="139">
        <f>ROUND(C89*E87,2)</f>
        <v>106.39</v>
      </c>
      <c r="J82" s="73">
        <f>ROUND(H82-I82,2)</f>
        <v>237.63</v>
      </c>
      <c r="L82" s="73">
        <v>0</v>
      </c>
      <c r="M82" s="73">
        <v>0</v>
      </c>
      <c r="N82" s="76">
        <f>ROUND(L82-M82,2)</f>
        <v>0</v>
      </c>
    </row>
    <row r="83" spans="2:20" x14ac:dyDescent="0.25">
      <c r="B83" s="3" t="s">
        <v>292</v>
      </c>
      <c r="C83" s="73">
        <v>24.74</v>
      </c>
      <c r="D83" s="73">
        <f>$I$4</f>
        <v>15.92</v>
      </c>
      <c r="E83" s="73">
        <f>ROUND(C83-D83,2)</f>
        <v>8.82</v>
      </c>
      <c r="G83" s="73" t="s">
        <v>193</v>
      </c>
      <c r="H83" s="73">
        <v>0</v>
      </c>
      <c r="I83" s="139">
        <v>0</v>
      </c>
      <c r="J83" s="73">
        <f>ROUND(H83-I83,2)</f>
        <v>0</v>
      </c>
      <c r="L83" s="73">
        <v>0</v>
      </c>
      <c r="M83" s="73">
        <v>0</v>
      </c>
      <c r="N83" s="76">
        <f t="shared" ref="N83:N92" si="15">ROUND(L83-M83,2)</f>
        <v>0</v>
      </c>
    </row>
    <row r="84" spans="2:20" x14ac:dyDescent="0.25">
      <c r="B84" s="3" t="s">
        <v>299</v>
      </c>
      <c r="C84" s="73">
        <v>5</v>
      </c>
      <c r="D84" s="73">
        <f>$J$4</f>
        <v>5</v>
      </c>
      <c r="E84" s="73">
        <f>ROUND(C84-D84,2)</f>
        <v>0</v>
      </c>
      <c r="G84" s="73" t="s">
        <v>301</v>
      </c>
      <c r="H84" s="73">
        <v>0</v>
      </c>
      <c r="I84" s="139">
        <v>0</v>
      </c>
      <c r="J84" s="73">
        <f t="shared" ref="J84:J86" si="16">ROUND(H84-I84,2)</f>
        <v>0</v>
      </c>
      <c r="L84" s="73">
        <v>0</v>
      </c>
      <c r="M84" s="73">
        <v>0</v>
      </c>
      <c r="N84" s="76">
        <f t="shared" si="15"/>
        <v>0</v>
      </c>
    </row>
    <row r="85" spans="2:20" x14ac:dyDescent="0.25">
      <c r="B85" s="3" t="s">
        <v>300</v>
      </c>
      <c r="C85" s="73">
        <v>23.28</v>
      </c>
      <c r="D85" s="73">
        <f>$K$4</f>
        <v>17.71</v>
      </c>
      <c r="E85" s="73">
        <f>ROUND(C85-D85,2)</f>
        <v>5.57</v>
      </c>
      <c r="G85" s="73" t="s">
        <v>303</v>
      </c>
      <c r="H85" s="73">
        <v>0</v>
      </c>
      <c r="I85" s="139">
        <v>0</v>
      </c>
      <c r="J85" s="73">
        <f t="shared" si="16"/>
        <v>0</v>
      </c>
      <c r="L85" s="73">
        <v>0</v>
      </c>
      <c r="M85" s="73">
        <v>0</v>
      </c>
      <c r="N85" s="76">
        <f t="shared" si="15"/>
        <v>0</v>
      </c>
    </row>
    <row r="86" spans="2:20" x14ac:dyDescent="0.25">
      <c r="B86" s="74"/>
      <c r="C86" s="50"/>
      <c r="D86" s="50"/>
      <c r="E86" s="50"/>
      <c r="F86" s="48"/>
      <c r="G86" s="50" t="s">
        <v>304</v>
      </c>
      <c r="H86" s="50">
        <v>0</v>
      </c>
      <c r="I86" s="141">
        <f>M93</f>
        <v>0</v>
      </c>
      <c r="J86" s="73">
        <f t="shared" si="16"/>
        <v>0</v>
      </c>
      <c r="L86" s="73">
        <v>0</v>
      </c>
      <c r="M86" s="73">
        <v>0</v>
      </c>
      <c r="N86" s="76">
        <f t="shared" si="15"/>
        <v>0</v>
      </c>
    </row>
    <row r="87" spans="2:20" x14ac:dyDescent="0.25">
      <c r="B87" s="3" t="s">
        <v>195</v>
      </c>
      <c r="C87" s="73">
        <f>SUM(C82:C86)</f>
        <v>344.02</v>
      </c>
      <c r="D87" s="73">
        <f>SUM(D82:D86)</f>
        <v>237.63</v>
      </c>
      <c r="E87" s="73">
        <f>ROUND(C87-D87,2)</f>
        <v>106.39</v>
      </c>
      <c r="G87" s="137" t="s">
        <v>195</v>
      </c>
      <c r="H87" s="137">
        <f>SUM(H82:H86)</f>
        <v>344.02</v>
      </c>
      <c r="I87" s="142">
        <f>SUM(I82:I86)</f>
        <v>106.39</v>
      </c>
      <c r="J87" s="143">
        <f>SUM(J82:J86)</f>
        <v>237.63</v>
      </c>
      <c r="K87" s="144">
        <f>H87-I87-J87</f>
        <v>0</v>
      </c>
      <c r="L87" s="73">
        <v>0</v>
      </c>
      <c r="M87" s="73">
        <v>0</v>
      </c>
      <c r="N87" s="76">
        <f t="shared" si="15"/>
        <v>0</v>
      </c>
    </row>
    <row r="88" spans="2:20" x14ac:dyDescent="0.25">
      <c r="B88" s="3"/>
      <c r="L88" s="73">
        <v>0</v>
      </c>
      <c r="M88" s="73">
        <v>0</v>
      </c>
      <c r="N88" s="76">
        <f t="shared" si="15"/>
        <v>0</v>
      </c>
    </row>
    <row r="89" spans="2:20" x14ac:dyDescent="0.25">
      <c r="B89" s="3" t="s">
        <v>302</v>
      </c>
      <c r="C89" s="140">
        <v>1</v>
      </c>
      <c r="D89" s="140"/>
      <c r="E89" s="140"/>
      <c r="F89" s="140"/>
      <c r="L89" s="73">
        <v>0</v>
      </c>
      <c r="M89" s="73">
        <v>0</v>
      </c>
      <c r="N89" s="76">
        <f t="shared" si="15"/>
        <v>0</v>
      </c>
    </row>
    <row r="90" spans="2:20" x14ac:dyDescent="0.25">
      <c r="L90" s="73">
        <v>0</v>
      </c>
      <c r="M90" s="73">
        <v>0</v>
      </c>
      <c r="N90" s="76">
        <f t="shared" si="15"/>
        <v>0</v>
      </c>
    </row>
    <row r="91" spans="2:20" x14ac:dyDescent="0.25">
      <c r="L91" s="73">
        <v>0</v>
      </c>
      <c r="M91" s="73">
        <v>0</v>
      </c>
      <c r="N91" s="76">
        <f t="shared" si="15"/>
        <v>0</v>
      </c>
    </row>
    <row r="92" spans="2:20" x14ac:dyDescent="0.25">
      <c r="L92" s="50">
        <v>0</v>
      </c>
      <c r="M92" s="50">
        <v>0</v>
      </c>
      <c r="N92" s="145">
        <f t="shared" si="15"/>
        <v>0</v>
      </c>
    </row>
    <row r="93" spans="2:20" x14ac:dyDescent="0.25">
      <c r="I93" s="139"/>
      <c r="L93" s="73">
        <f>SUM(L82:L92)</f>
        <v>0</v>
      </c>
      <c r="M93" s="73">
        <f>SUM(M82:M92)</f>
        <v>0</v>
      </c>
      <c r="N93" s="73">
        <f t="shared" ref="N93" si="17">SUM(N82:N92)</f>
        <v>0</v>
      </c>
    </row>
    <row r="94" spans="2:20" x14ac:dyDescent="0.25">
      <c r="I94" s="139"/>
      <c r="N94" s="73"/>
    </row>
    <row r="95" spans="2:20" x14ac:dyDescent="0.25">
      <c r="G95" s="178"/>
      <c r="H95" s="178" t="s">
        <v>323</v>
      </c>
      <c r="I95" s="178" t="s">
        <v>324</v>
      </c>
      <c r="J95" s="178" t="s">
        <v>325</v>
      </c>
      <c r="M95"/>
      <c r="Q95" s="179"/>
      <c r="S95" s="180"/>
      <c r="T95" s="181" t="s">
        <v>326</v>
      </c>
    </row>
    <row r="96" spans="2:20" x14ac:dyDescent="0.25">
      <c r="G96" s="178" t="s">
        <v>327</v>
      </c>
      <c r="H96" s="178">
        <f>H17+H31+H45+H59+H73+H87</f>
        <v>993.71</v>
      </c>
      <c r="I96" s="178">
        <f>I17+I31+I45+I59+I73+I87</f>
        <v>-669.69999999999993</v>
      </c>
      <c r="J96" s="178">
        <f>J17+J31+J45+J59+J73+J87</f>
        <v>1663.4100000000003</v>
      </c>
      <c r="M96"/>
      <c r="Q96" s="179"/>
      <c r="S96" s="180"/>
      <c r="T96" s="181"/>
    </row>
    <row r="97" spans="2:15" x14ac:dyDescent="0.25">
      <c r="I97" s="139"/>
      <c r="N97" s="73"/>
    </row>
    <row r="98" spans="2:15" x14ac:dyDescent="0.25">
      <c r="I98" s="139"/>
      <c r="N98" s="73"/>
    </row>
    <row r="99" spans="2:15" x14ac:dyDescent="0.25">
      <c r="I99" s="139"/>
      <c r="N99" s="73"/>
    </row>
    <row r="100" spans="2:15" x14ac:dyDescent="0.25">
      <c r="I100" s="139"/>
      <c r="N100" s="73"/>
    </row>
    <row r="101" spans="2:15" x14ac:dyDescent="0.25">
      <c r="I101" s="139"/>
      <c r="N101" s="73"/>
    </row>
    <row r="102" spans="2:15" ht="21" x14ac:dyDescent="0.35">
      <c r="B102" s="121" t="s">
        <v>399</v>
      </c>
      <c r="C102" s="123"/>
      <c r="D102" s="123"/>
      <c r="E102" s="123"/>
      <c r="F102" s="123"/>
      <c r="G102" s="123"/>
      <c r="H102" s="340"/>
      <c r="I102" s="340"/>
      <c r="J102" s="274"/>
      <c r="K102" s="340"/>
      <c r="L102" s="340"/>
      <c r="M102"/>
      <c r="O102" s="339"/>
    </row>
    <row r="103" spans="2:15" x14ac:dyDescent="0.25">
      <c r="M103"/>
    </row>
    <row r="104" spans="2:15" x14ac:dyDescent="0.25">
      <c r="B104" s="316" t="s">
        <v>389</v>
      </c>
      <c r="C104" s="317" t="s">
        <v>390</v>
      </c>
      <c r="D104" s="147"/>
      <c r="E104" s="147"/>
      <c r="G104" s="147"/>
      <c r="M104"/>
    </row>
    <row r="105" spans="2:15" ht="15.75" thickBot="1" x14ac:dyDescent="0.3">
      <c r="B105" s="133" t="s">
        <v>305</v>
      </c>
      <c r="C105" s="177">
        <v>44936</v>
      </c>
      <c r="D105" s="134" t="s">
        <v>295</v>
      </c>
      <c r="E105" s="134" t="s">
        <v>296</v>
      </c>
      <c r="F105" s="133"/>
      <c r="G105" s="146" t="s">
        <v>189</v>
      </c>
      <c r="H105" s="224" t="s">
        <v>253</v>
      </c>
      <c r="I105" s="224" t="s">
        <v>207</v>
      </c>
      <c r="J105" s="224" t="s">
        <v>183</v>
      </c>
      <c r="K105" s="135"/>
      <c r="L105" s="136" t="s">
        <v>297</v>
      </c>
      <c r="M105" s="136" t="s">
        <v>207</v>
      </c>
      <c r="N105" s="136" t="s">
        <v>183</v>
      </c>
    </row>
    <row r="106" spans="2:15" x14ac:dyDescent="0.25">
      <c r="B106" s="3" t="s">
        <v>298</v>
      </c>
      <c r="C106" s="73">
        <v>0</v>
      </c>
      <c r="D106" s="73">
        <f>$H$4</f>
        <v>199</v>
      </c>
      <c r="E106" s="73">
        <f>ROUND(C106-D106,2)</f>
        <v>-199</v>
      </c>
      <c r="G106" s="138" t="s">
        <v>51</v>
      </c>
      <c r="H106" s="73">
        <f>ROUND(C111*C113,2)</f>
        <v>0</v>
      </c>
      <c r="I106" s="139">
        <f>ROUND(C113*E111,2)</f>
        <v>-237.63</v>
      </c>
      <c r="J106" s="73">
        <f>ROUND(H106-I106,2)</f>
        <v>237.63</v>
      </c>
      <c r="L106" s="73">
        <v>0</v>
      </c>
      <c r="M106" s="73">
        <v>0</v>
      </c>
      <c r="N106" s="76">
        <f>ROUND(L106-M106,2)</f>
        <v>0</v>
      </c>
    </row>
    <row r="107" spans="2:15" x14ac:dyDescent="0.25">
      <c r="B107" s="3" t="s">
        <v>292</v>
      </c>
      <c r="C107" s="73">
        <v>0</v>
      </c>
      <c r="D107" s="73">
        <f>$I$4</f>
        <v>15.92</v>
      </c>
      <c r="E107" s="73">
        <f>ROUND(C107-D107,2)</f>
        <v>-15.92</v>
      </c>
      <c r="G107" s="73" t="s">
        <v>193</v>
      </c>
      <c r="H107" s="73">
        <v>0</v>
      </c>
      <c r="I107" s="139">
        <v>0</v>
      </c>
      <c r="J107" s="73">
        <f>ROUND(H107-I107,2)</f>
        <v>0</v>
      </c>
      <c r="L107" s="73">
        <v>0</v>
      </c>
      <c r="M107" s="73">
        <v>0</v>
      </c>
      <c r="N107" s="76">
        <f t="shared" ref="N107:N116" si="18">ROUND(L107-M107,2)</f>
        <v>0</v>
      </c>
    </row>
    <row r="108" spans="2:15" x14ac:dyDescent="0.25">
      <c r="B108" s="3" t="s">
        <v>299</v>
      </c>
      <c r="C108" s="73">
        <v>0</v>
      </c>
      <c r="D108" s="73">
        <f>$J$4</f>
        <v>5</v>
      </c>
      <c r="E108" s="73">
        <f>ROUND(C108-D108,2)</f>
        <v>-5</v>
      </c>
      <c r="G108" s="73" t="s">
        <v>301</v>
      </c>
      <c r="H108" s="73">
        <v>0</v>
      </c>
      <c r="I108" s="139">
        <v>0</v>
      </c>
      <c r="J108" s="73">
        <f t="shared" ref="J108:J110" si="19">ROUND(H108-I108,2)</f>
        <v>0</v>
      </c>
      <c r="L108" s="73">
        <v>0</v>
      </c>
      <c r="M108" s="73">
        <v>0</v>
      </c>
      <c r="N108" s="76">
        <f t="shared" si="18"/>
        <v>0</v>
      </c>
    </row>
    <row r="109" spans="2:15" x14ac:dyDescent="0.25">
      <c r="B109" s="3" t="s">
        <v>300</v>
      </c>
      <c r="C109" s="73">
        <v>0</v>
      </c>
      <c r="D109" s="73">
        <f>$K$4</f>
        <v>17.71</v>
      </c>
      <c r="E109" s="73">
        <f>ROUND(C109-D109,2)</f>
        <v>-17.71</v>
      </c>
      <c r="G109" s="73" t="s">
        <v>303</v>
      </c>
      <c r="H109" s="73">
        <v>0</v>
      </c>
      <c r="I109" s="139">
        <v>0</v>
      </c>
      <c r="J109" s="73">
        <f t="shared" si="19"/>
        <v>0</v>
      </c>
      <c r="L109" s="73">
        <v>0</v>
      </c>
      <c r="M109" s="73">
        <v>0</v>
      </c>
      <c r="N109" s="76">
        <f t="shared" si="18"/>
        <v>0</v>
      </c>
    </row>
    <row r="110" spans="2:15" x14ac:dyDescent="0.25">
      <c r="B110" s="74"/>
      <c r="C110" s="50"/>
      <c r="D110" s="50"/>
      <c r="E110" s="50"/>
      <c r="F110" s="48"/>
      <c r="G110" s="50" t="s">
        <v>304</v>
      </c>
      <c r="H110" s="50">
        <v>0</v>
      </c>
      <c r="I110" s="141">
        <f>M117</f>
        <v>0</v>
      </c>
      <c r="J110" s="73">
        <f t="shared" si="19"/>
        <v>0</v>
      </c>
      <c r="L110" s="73">
        <v>0</v>
      </c>
      <c r="M110" s="73">
        <v>0</v>
      </c>
      <c r="N110" s="76">
        <f t="shared" si="18"/>
        <v>0</v>
      </c>
    </row>
    <row r="111" spans="2:15" x14ac:dyDescent="0.25">
      <c r="B111" s="3" t="s">
        <v>195</v>
      </c>
      <c r="C111" s="73">
        <f>SUM(C106:C110)</f>
        <v>0</v>
      </c>
      <c r="D111" s="73">
        <f>SUM(D106:D110)</f>
        <v>237.63</v>
      </c>
      <c r="E111" s="73">
        <f>ROUND(C111-D111,2)</f>
        <v>-237.63</v>
      </c>
      <c r="G111" s="137" t="s">
        <v>195</v>
      </c>
      <c r="H111" s="137">
        <f>SUM(H106:H110)</f>
        <v>0</v>
      </c>
      <c r="I111" s="142">
        <f>SUM(I106:I110)</f>
        <v>-237.63</v>
      </c>
      <c r="J111" s="143">
        <f>SUM(J106:J110)</f>
        <v>237.63</v>
      </c>
      <c r="L111" s="73">
        <v>0</v>
      </c>
      <c r="M111" s="73">
        <v>0</v>
      </c>
      <c r="N111" s="76">
        <f t="shared" si="18"/>
        <v>0</v>
      </c>
    </row>
    <row r="112" spans="2:15" x14ac:dyDescent="0.25">
      <c r="B112" s="3"/>
      <c r="L112" s="73">
        <v>0</v>
      </c>
      <c r="M112" s="73">
        <v>0</v>
      </c>
      <c r="N112" s="76">
        <f t="shared" si="18"/>
        <v>0</v>
      </c>
    </row>
    <row r="113" spans="2:14" x14ac:dyDescent="0.25">
      <c r="B113" s="3" t="s">
        <v>302</v>
      </c>
      <c r="C113" s="140">
        <v>1</v>
      </c>
      <c r="D113" s="140"/>
      <c r="E113" s="140"/>
      <c r="F113" s="140"/>
      <c r="L113" s="73">
        <v>0</v>
      </c>
      <c r="M113" s="73">
        <v>0</v>
      </c>
      <c r="N113" s="76">
        <f t="shared" si="18"/>
        <v>0</v>
      </c>
    </row>
    <row r="114" spans="2:14" x14ac:dyDescent="0.25">
      <c r="L114" s="73">
        <v>0</v>
      </c>
      <c r="M114" s="73">
        <v>0</v>
      </c>
      <c r="N114" s="76">
        <f t="shared" si="18"/>
        <v>0</v>
      </c>
    </row>
    <row r="115" spans="2:14" x14ac:dyDescent="0.25">
      <c r="K115" s="144">
        <f>H111-I111-J111</f>
        <v>0</v>
      </c>
      <c r="L115" s="73">
        <v>0</v>
      </c>
      <c r="M115" s="73">
        <v>0</v>
      </c>
      <c r="N115" s="76">
        <f t="shared" si="18"/>
        <v>0</v>
      </c>
    </row>
    <row r="116" spans="2:14" x14ac:dyDescent="0.25">
      <c r="L116" s="50">
        <v>0</v>
      </c>
      <c r="M116" s="50">
        <v>0</v>
      </c>
      <c r="N116" s="145">
        <f t="shared" si="18"/>
        <v>0</v>
      </c>
    </row>
    <row r="117" spans="2:14" x14ac:dyDescent="0.25">
      <c r="I117" s="139"/>
      <c r="L117" s="73">
        <f>SUM(L106:L116)</f>
        <v>0</v>
      </c>
      <c r="M117" s="73">
        <f>SUM(M106:M116)</f>
        <v>0</v>
      </c>
      <c r="N117" s="73">
        <f t="shared" ref="N117" si="20">SUM(N106:N116)</f>
        <v>0</v>
      </c>
    </row>
    <row r="118" spans="2:14" x14ac:dyDescent="0.25">
      <c r="I118" s="139"/>
      <c r="M118"/>
    </row>
    <row r="119" spans="2:14" ht="15.75" thickBot="1" x14ac:dyDescent="0.3">
      <c r="B119" s="133" t="s">
        <v>305</v>
      </c>
      <c r="C119" s="134" t="s">
        <v>322</v>
      </c>
      <c r="D119" s="133" t="s">
        <v>295</v>
      </c>
      <c r="E119" s="133" t="s">
        <v>296</v>
      </c>
      <c r="F119" s="133"/>
      <c r="G119" s="146" t="s">
        <v>189</v>
      </c>
      <c r="H119" s="136" t="s">
        <v>253</v>
      </c>
      <c r="I119" s="136" t="s">
        <v>207</v>
      </c>
      <c r="J119" s="136" t="s">
        <v>183</v>
      </c>
      <c r="K119" s="135"/>
      <c r="L119" s="136" t="s">
        <v>297</v>
      </c>
      <c r="M119" s="136" t="s">
        <v>207</v>
      </c>
      <c r="N119" s="136" t="s">
        <v>183</v>
      </c>
    </row>
    <row r="120" spans="2:14" x14ac:dyDescent="0.25">
      <c r="B120" s="3" t="s">
        <v>298</v>
      </c>
      <c r="D120" s="73">
        <f>$H$4</f>
        <v>199</v>
      </c>
      <c r="E120" s="73">
        <f>ROUND(C120-D120,2)</f>
        <v>-199</v>
      </c>
      <c r="G120" s="138" t="s">
        <v>51</v>
      </c>
      <c r="H120" s="73">
        <f>ROUND(C125*C127,2)</f>
        <v>0</v>
      </c>
      <c r="I120" s="139">
        <f>ROUND(C127*E125,2)</f>
        <v>-475.26</v>
      </c>
      <c r="J120" s="73">
        <f>ROUND(H120-I120,2)</f>
        <v>475.26</v>
      </c>
      <c r="L120" s="73">
        <v>0</v>
      </c>
      <c r="M120" s="73">
        <v>0</v>
      </c>
      <c r="N120" s="76">
        <f>ROUND(L120-M120,2)</f>
        <v>0</v>
      </c>
    </row>
    <row r="121" spans="2:14" x14ac:dyDescent="0.25">
      <c r="B121" s="3" t="s">
        <v>292</v>
      </c>
      <c r="D121" s="73">
        <f>$I$4</f>
        <v>15.92</v>
      </c>
      <c r="E121" s="73">
        <f>ROUND(C121-D121,2)</f>
        <v>-15.92</v>
      </c>
      <c r="G121" s="73" t="s">
        <v>193</v>
      </c>
      <c r="H121" s="73">
        <v>0</v>
      </c>
      <c r="I121" s="139">
        <v>0</v>
      </c>
      <c r="J121" s="73">
        <f>ROUND(H121-I121,2)</f>
        <v>0</v>
      </c>
      <c r="L121" s="73">
        <v>0</v>
      </c>
      <c r="M121" s="73">
        <v>0</v>
      </c>
      <c r="N121" s="76">
        <f t="shared" ref="N121:N130" si="21">ROUND(L121-M121,2)</f>
        <v>0</v>
      </c>
    </row>
    <row r="122" spans="2:14" x14ac:dyDescent="0.25">
      <c r="B122" s="3" t="s">
        <v>299</v>
      </c>
      <c r="D122" s="73">
        <f>$J$4</f>
        <v>5</v>
      </c>
      <c r="E122" s="73">
        <f>ROUND(C122-D122,2)</f>
        <v>-5</v>
      </c>
      <c r="G122" s="73" t="s">
        <v>301</v>
      </c>
      <c r="H122" s="73">
        <v>0</v>
      </c>
      <c r="I122" s="139">
        <v>0</v>
      </c>
      <c r="J122" s="73">
        <f t="shared" ref="J122:J124" si="22">ROUND(H122-I122,2)</f>
        <v>0</v>
      </c>
      <c r="L122" s="73">
        <v>0</v>
      </c>
      <c r="M122" s="73">
        <v>0</v>
      </c>
      <c r="N122" s="76">
        <f t="shared" si="21"/>
        <v>0</v>
      </c>
    </row>
    <row r="123" spans="2:14" x14ac:dyDescent="0.25">
      <c r="B123" s="3" t="s">
        <v>300</v>
      </c>
      <c r="D123" s="73">
        <f>$K$4</f>
        <v>17.71</v>
      </c>
      <c r="E123" s="73">
        <f>ROUND(C123-D123,2)</f>
        <v>-17.71</v>
      </c>
      <c r="G123" s="73" t="s">
        <v>303</v>
      </c>
      <c r="H123" s="73">
        <v>0</v>
      </c>
      <c r="I123" s="139">
        <v>0</v>
      </c>
      <c r="J123" s="73">
        <f t="shared" si="22"/>
        <v>0</v>
      </c>
      <c r="L123" s="73">
        <v>0</v>
      </c>
      <c r="M123" s="73">
        <v>0</v>
      </c>
      <c r="N123" s="76">
        <f t="shared" si="21"/>
        <v>0</v>
      </c>
    </row>
    <row r="124" spans="2:14" x14ac:dyDescent="0.25">
      <c r="B124" s="74"/>
      <c r="C124" s="50"/>
      <c r="D124" s="50"/>
      <c r="E124" s="50"/>
      <c r="F124" s="48"/>
      <c r="G124" s="50" t="s">
        <v>304</v>
      </c>
      <c r="H124" s="50">
        <v>0</v>
      </c>
      <c r="I124" s="141">
        <f>M131</f>
        <v>0</v>
      </c>
      <c r="J124" s="73">
        <f t="shared" si="22"/>
        <v>0</v>
      </c>
      <c r="L124" s="73">
        <v>0</v>
      </c>
      <c r="M124" s="73">
        <v>0</v>
      </c>
      <c r="N124" s="76">
        <f t="shared" si="21"/>
        <v>0</v>
      </c>
    </row>
    <row r="125" spans="2:14" x14ac:dyDescent="0.25">
      <c r="B125" s="3" t="s">
        <v>195</v>
      </c>
      <c r="C125" s="73">
        <f>SUM(C120:C124)</f>
        <v>0</v>
      </c>
      <c r="D125" s="73">
        <f>SUM(D120:D124)</f>
        <v>237.63</v>
      </c>
      <c r="E125" s="73">
        <f>ROUND(C125-D125,2)</f>
        <v>-237.63</v>
      </c>
      <c r="G125" s="137" t="s">
        <v>195</v>
      </c>
      <c r="H125" s="137">
        <f>SUM(H120:H124)</f>
        <v>0</v>
      </c>
      <c r="I125" s="142">
        <f>SUM(I120:I124)</f>
        <v>-475.26</v>
      </c>
      <c r="J125" s="143">
        <f>SUM(J120:J124)</f>
        <v>475.26</v>
      </c>
      <c r="K125" s="144">
        <f>H125-I125-J125</f>
        <v>0</v>
      </c>
      <c r="L125" s="73">
        <v>0</v>
      </c>
      <c r="M125" s="73">
        <v>0</v>
      </c>
      <c r="N125" s="76">
        <f t="shared" si="21"/>
        <v>0</v>
      </c>
    </row>
    <row r="126" spans="2:14" x14ac:dyDescent="0.25">
      <c r="B126" s="3"/>
      <c r="L126" s="73">
        <v>0</v>
      </c>
      <c r="M126" s="73">
        <v>0</v>
      </c>
      <c r="N126" s="76">
        <f t="shared" si="21"/>
        <v>0</v>
      </c>
    </row>
    <row r="127" spans="2:14" x14ac:dyDescent="0.25">
      <c r="B127" s="3" t="s">
        <v>302</v>
      </c>
      <c r="C127" s="140">
        <v>2</v>
      </c>
      <c r="D127" s="140"/>
      <c r="E127" s="140"/>
      <c r="F127" s="140"/>
      <c r="L127" s="73">
        <v>0</v>
      </c>
      <c r="M127" s="73">
        <v>0</v>
      </c>
      <c r="N127" s="76">
        <f t="shared" si="21"/>
        <v>0</v>
      </c>
    </row>
    <row r="128" spans="2:14" x14ac:dyDescent="0.25">
      <c r="L128" s="73">
        <v>0</v>
      </c>
      <c r="M128" s="73">
        <v>0</v>
      </c>
      <c r="N128" s="76">
        <f t="shared" si="21"/>
        <v>0</v>
      </c>
    </row>
    <row r="129" spans="2:18" x14ac:dyDescent="0.25">
      <c r="L129" s="73">
        <v>0</v>
      </c>
      <c r="M129" s="73">
        <v>0</v>
      </c>
      <c r="N129" s="76">
        <f t="shared" si="21"/>
        <v>0</v>
      </c>
    </row>
    <row r="130" spans="2:18" x14ac:dyDescent="0.25">
      <c r="L130" s="50">
        <v>0</v>
      </c>
      <c r="M130" s="50">
        <v>0</v>
      </c>
      <c r="N130" s="145">
        <f t="shared" si="21"/>
        <v>0</v>
      </c>
    </row>
    <row r="131" spans="2:18" x14ac:dyDescent="0.25">
      <c r="I131" s="139"/>
      <c r="L131" s="73">
        <f>SUM(L120:L130)</f>
        <v>0</v>
      </c>
      <c r="M131" s="73">
        <f>SUM(M120:M130)</f>
        <v>0</v>
      </c>
      <c r="N131" s="73">
        <f t="shared" ref="N131" si="23">SUM(N120:N130)</f>
        <v>0</v>
      </c>
    </row>
    <row r="132" spans="2:18" s="73" customFormat="1" x14ac:dyDescent="0.25">
      <c r="B132"/>
      <c r="G132" s="137"/>
      <c r="M132"/>
      <c r="O132"/>
      <c r="P132"/>
      <c r="Q132"/>
      <c r="R132"/>
    </row>
    <row r="133" spans="2:18" ht="15.75" thickBot="1" x14ac:dyDescent="0.3">
      <c r="B133" s="133" t="s">
        <v>305</v>
      </c>
      <c r="C133" s="177">
        <v>44939</v>
      </c>
      <c r="D133" s="133" t="s">
        <v>295</v>
      </c>
      <c r="E133" s="133" t="s">
        <v>296</v>
      </c>
      <c r="F133" s="133"/>
      <c r="G133" s="146" t="s">
        <v>189</v>
      </c>
      <c r="H133" s="136" t="s">
        <v>253</v>
      </c>
      <c r="I133" s="136" t="s">
        <v>207</v>
      </c>
      <c r="J133" s="136" t="s">
        <v>183</v>
      </c>
      <c r="K133" s="135"/>
      <c r="L133" s="136" t="s">
        <v>297</v>
      </c>
      <c r="M133" s="136" t="s">
        <v>207</v>
      </c>
      <c r="N133" s="136" t="s">
        <v>183</v>
      </c>
    </row>
    <row r="134" spans="2:18" x14ac:dyDescent="0.25">
      <c r="B134" s="3" t="s">
        <v>298</v>
      </c>
      <c r="D134" s="73">
        <f>$H$4</f>
        <v>199</v>
      </c>
      <c r="E134" s="73">
        <f>ROUND(C134-D134,2)</f>
        <v>-199</v>
      </c>
      <c r="G134" s="138" t="s">
        <v>51</v>
      </c>
      <c r="H134" s="73">
        <f>ROUND(C139*C141,2)</f>
        <v>0</v>
      </c>
      <c r="I134" s="139">
        <f>ROUND(C141*E139,2)</f>
        <v>-237.63</v>
      </c>
      <c r="J134" s="73">
        <f>ROUND(H134-I134,2)</f>
        <v>237.63</v>
      </c>
      <c r="L134" s="73">
        <v>0</v>
      </c>
      <c r="M134" s="73">
        <v>0</v>
      </c>
      <c r="N134" s="76">
        <f>ROUND(L134-M134,2)</f>
        <v>0</v>
      </c>
    </row>
    <row r="135" spans="2:18" x14ac:dyDescent="0.25">
      <c r="B135" s="3" t="s">
        <v>292</v>
      </c>
      <c r="D135" s="73">
        <f>$I$4</f>
        <v>15.92</v>
      </c>
      <c r="E135" s="73">
        <f>ROUND(C135-D135,2)</f>
        <v>-15.92</v>
      </c>
      <c r="G135" s="73" t="s">
        <v>193</v>
      </c>
      <c r="H135" s="73">
        <v>0</v>
      </c>
      <c r="I135" s="139">
        <v>0</v>
      </c>
      <c r="J135" s="73">
        <f>ROUND(H135-I135,2)</f>
        <v>0</v>
      </c>
      <c r="L135" s="73">
        <v>0</v>
      </c>
      <c r="M135" s="73">
        <v>0</v>
      </c>
      <c r="N135" s="76">
        <f t="shared" ref="N135:N144" si="24">ROUND(L135-M135,2)</f>
        <v>0</v>
      </c>
    </row>
    <row r="136" spans="2:18" x14ac:dyDescent="0.25">
      <c r="B136" s="3" t="s">
        <v>299</v>
      </c>
      <c r="D136" s="73">
        <f>$J$4</f>
        <v>5</v>
      </c>
      <c r="E136" s="73">
        <f>ROUND(C136-D136,2)</f>
        <v>-5</v>
      </c>
      <c r="G136" s="73" t="s">
        <v>301</v>
      </c>
      <c r="H136" s="73">
        <v>0</v>
      </c>
      <c r="I136" s="139">
        <v>0</v>
      </c>
      <c r="J136" s="73">
        <f t="shared" ref="J136:J138" si="25">ROUND(H136-I136,2)</f>
        <v>0</v>
      </c>
      <c r="L136" s="73">
        <v>0</v>
      </c>
      <c r="M136" s="73">
        <v>0</v>
      </c>
      <c r="N136" s="76">
        <f t="shared" si="24"/>
        <v>0</v>
      </c>
    </row>
    <row r="137" spans="2:18" x14ac:dyDescent="0.25">
      <c r="B137" s="3" t="s">
        <v>300</v>
      </c>
      <c r="D137" s="73">
        <f>$K$4</f>
        <v>17.71</v>
      </c>
      <c r="E137" s="73">
        <f>ROUND(C137-D137,2)</f>
        <v>-17.71</v>
      </c>
      <c r="G137" s="73" t="s">
        <v>303</v>
      </c>
      <c r="H137" s="73">
        <v>0</v>
      </c>
      <c r="I137" s="139">
        <v>0</v>
      </c>
      <c r="J137" s="73">
        <f t="shared" si="25"/>
        <v>0</v>
      </c>
      <c r="L137" s="73">
        <v>0</v>
      </c>
      <c r="M137" s="73">
        <v>0</v>
      </c>
      <c r="N137" s="76">
        <f t="shared" si="24"/>
        <v>0</v>
      </c>
    </row>
    <row r="138" spans="2:18" x14ac:dyDescent="0.25">
      <c r="B138" s="74"/>
      <c r="C138" s="50"/>
      <c r="D138" s="50"/>
      <c r="E138" s="50"/>
      <c r="F138" s="48"/>
      <c r="G138" s="50" t="s">
        <v>304</v>
      </c>
      <c r="H138" s="50">
        <v>0</v>
      </c>
      <c r="I138" s="141">
        <f>M145</f>
        <v>0</v>
      </c>
      <c r="J138" s="73">
        <f t="shared" si="25"/>
        <v>0</v>
      </c>
      <c r="L138" s="73">
        <v>0</v>
      </c>
      <c r="M138" s="73">
        <v>0</v>
      </c>
      <c r="N138" s="76">
        <f t="shared" si="24"/>
        <v>0</v>
      </c>
    </row>
    <row r="139" spans="2:18" x14ac:dyDescent="0.25">
      <c r="B139" s="3" t="s">
        <v>195</v>
      </c>
      <c r="C139" s="73">
        <f>SUM(C134:C138)</f>
        <v>0</v>
      </c>
      <c r="D139" s="73">
        <f>SUM(D134:D138)</f>
        <v>237.63</v>
      </c>
      <c r="E139" s="73">
        <f>ROUND(C139-D139,2)</f>
        <v>-237.63</v>
      </c>
      <c r="G139" s="137" t="s">
        <v>195</v>
      </c>
      <c r="H139" s="137">
        <f>SUM(H134:H138)</f>
        <v>0</v>
      </c>
      <c r="I139" s="142">
        <f>SUM(I134:I138)</f>
        <v>-237.63</v>
      </c>
      <c r="J139" s="143">
        <f>SUM(J134:J138)</f>
        <v>237.63</v>
      </c>
      <c r="K139" s="144">
        <f>H139-I139-J139</f>
        <v>0</v>
      </c>
      <c r="L139" s="73">
        <v>0</v>
      </c>
      <c r="M139" s="73">
        <v>0</v>
      </c>
      <c r="N139" s="76">
        <f t="shared" si="24"/>
        <v>0</v>
      </c>
    </row>
    <row r="140" spans="2:18" x14ac:dyDescent="0.25">
      <c r="B140" s="3"/>
      <c r="L140" s="73">
        <v>0</v>
      </c>
      <c r="M140" s="73">
        <v>0</v>
      </c>
      <c r="N140" s="76">
        <f t="shared" si="24"/>
        <v>0</v>
      </c>
    </row>
    <row r="141" spans="2:18" x14ac:dyDescent="0.25">
      <c r="B141" s="3" t="s">
        <v>302</v>
      </c>
      <c r="C141" s="140">
        <v>1</v>
      </c>
      <c r="D141" s="140"/>
      <c r="E141" s="140"/>
      <c r="F141" s="140"/>
      <c r="L141" s="73">
        <v>0</v>
      </c>
      <c r="M141" s="73">
        <v>0</v>
      </c>
      <c r="N141" s="76">
        <f t="shared" si="24"/>
        <v>0</v>
      </c>
    </row>
    <row r="142" spans="2:18" x14ac:dyDescent="0.25">
      <c r="L142" s="73">
        <v>0</v>
      </c>
      <c r="M142" s="73">
        <v>0</v>
      </c>
      <c r="N142" s="76">
        <f t="shared" si="24"/>
        <v>0</v>
      </c>
    </row>
    <row r="143" spans="2:18" x14ac:dyDescent="0.25">
      <c r="L143" s="73">
        <v>0</v>
      </c>
      <c r="M143" s="73">
        <v>0</v>
      </c>
      <c r="N143" s="76">
        <f t="shared" si="24"/>
        <v>0</v>
      </c>
    </row>
    <row r="144" spans="2:18" x14ac:dyDescent="0.25">
      <c r="L144" s="50">
        <v>0</v>
      </c>
      <c r="M144" s="50">
        <v>0</v>
      </c>
      <c r="N144" s="145">
        <f t="shared" si="24"/>
        <v>0</v>
      </c>
    </row>
    <row r="145" spans="2:14" x14ac:dyDescent="0.25">
      <c r="I145" s="139"/>
      <c r="L145" s="73">
        <f>SUM(L134:L144)</f>
        <v>0</v>
      </c>
      <c r="M145" s="73">
        <f>SUM(M134:M144)</f>
        <v>0</v>
      </c>
      <c r="N145" s="73">
        <f t="shared" ref="N145" si="26">SUM(N134:N144)</f>
        <v>0</v>
      </c>
    </row>
    <row r="146" spans="2:14" x14ac:dyDescent="0.25">
      <c r="M146"/>
    </row>
    <row r="147" spans="2:14" ht="15.75" thickBot="1" x14ac:dyDescent="0.3">
      <c r="B147" s="133" t="s">
        <v>305</v>
      </c>
      <c r="C147" s="177">
        <v>44939</v>
      </c>
      <c r="D147" s="133" t="s">
        <v>295</v>
      </c>
      <c r="E147" s="133" t="s">
        <v>296</v>
      </c>
      <c r="F147" s="133"/>
      <c r="G147" s="146" t="s">
        <v>189</v>
      </c>
      <c r="H147" s="136" t="s">
        <v>253</v>
      </c>
      <c r="I147" s="136" t="s">
        <v>207</v>
      </c>
      <c r="J147" s="136" t="s">
        <v>183</v>
      </c>
      <c r="K147" s="135"/>
      <c r="L147" s="136" t="s">
        <v>297</v>
      </c>
      <c r="M147" s="136" t="s">
        <v>207</v>
      </c>
      <c r="N147" s="136" t="s">
        <v>183</v>
      </c>
    </row>
    <row r="148" spans="2:14" x14ac:dyDescent="0.25">
      <c r="B148" s="3" t="s">
        <v>298</v>
      </c>
      <c r="D148" s="73">
        <f>$H$4</f>
        <v>199</v>
      </c>
      <c r="E148" s="73">
        <f>ROUND(C148-D148,2)</f>
        <v>-199</v>
      </c>
      <c r="G148" s="138" t="s">
        <v>51</v>
      </c>
      <c r="H148" s="73">
        <f>ROUND(C153*C155,2)</f>
        <v>0</v>
      </c>
      <c r="I148" s="139">
        <f>ROUND(C155*E153,2)</f>
        <v>-237.63</v>
      </c>
      <c r="J148" s="73">
        <f>ROUND(H148-I148,2)</f>
        <v>237.63</v>
      </c>
      <c r="L148" s="73">
        <v>0</v>
      </c>
      <c r="M148" s="73">
        <v>0</v>
      </c>
      <c r="N148" s="76">
        <f>ROUND(L148-M148,2)</f>
        <v>0</v>
      </c>
    </row>
    <row r="149" spans="2:14" x14ac:dyDescent="0.25">
      <c r="B149" s="3" t="s">
        <v>292</v>
      </c>
      <c r="D149" s="73">
        <f>$I$4</f>
        <v>15.92</v>
      </c>
      <c r="E149" s="73">
        <f>ROUND(C149-D149,2)</f>
        <v>-15.92</v>
      </c>
      <c r="G149" s="73" t="s">
        <v>193</v>
      </c>
      <c r="H149" s="73">
        <v>0</v>
      </c>
      <c r="I149" s="139">
        <v>0</v>
      </c>
      <c r="J149" s="73">
        <f>ROUND(H149-I149,2)</f>
        <v>0</v>
      </c>
      <c r="L149" s="73">
        <v>0</v>
      </c>
      <c r="M149" s="73">
        <v>0</v>
      </c>
      <c r="N149" s="76">
        <f t="shared" ref="N149:N158" si="27">ROUND(L149-M149,2)</f>
        <v>0</v>
      </c>
    </row>
    <row r="150" spans="2:14" x14ac:dyDescent="0.25">
      <c r="B150" s="3" t="s">
        <v>299</v>
      </c>
      <c r="D150" s="73">
        <f>$J$4</f>
        <v>5</v>
      </c>
      <c r="E150" s="73">
        <f>ROUND(C150-D150,2)</f>
        <v>-5</v>
      </c>
      <c r="G150" s="73" t="s">
        <v>301</v>
      </c>
      <c r="H150" s="73">
        <v>0</v>
      </c>
      <c r="I150" s="139">
        <v>0</v>
      </c>
      <c r="J150" s="73">
        <f t="shared" ref="J150:J152" si="28">ROUND(H150-I150,2)</f>
        <v>0</v>
      </c>
      <c r="L150" s="73">
        <v>0</v>
      </c>
      <c r="M150" s="73">
        <v>0</v>
      </c>
      <c r="N150" s="76">
        <f t="shared" si="27"/>
        <v>0</v>
      </c>
    </row>
    <row r="151" spans="2:14" x14ac:dyDescent="0.25">
      <c r="B151" s="3" t="s">
        <v>300</v>
      </c>
      <c r="D151" s="73">
        <f>$K$4</f>
        <v>17.71</v>
      </c>
      <c r="E151" s="73">
        <f>ROUND(C151-D151,2)</f>
        <v>-17.71</v>
      </c>
      <c r="G151" s="73" t="s">
        <v>303</v>
      </c>
      <c r="H151" s="73">
        <v>0</v>
      </c>
      <c r="I151" s="139">
        <v>0</v>
      </c>
      <c r="J151" s="73">
        <f t="shared" si="28"/>
        <v>0</v>
      </c>
      <c r="L151" s="73">
        <v>0</v>
      </c>
      <c r="M151" s="73">
        <v>0</v>
      </c>
      <c r="N151" s="76">
        <f t="shared" si="27"/>
        <v>0</v>
      </c>
    </row>
    <row r="152" spans="2:14" x14ac:dyDescent="0.25">
      <c r="B152" s="74"/>
      <c r="C152" s="50"/>
      <c r="D152" s="50"/>
      <c r="E152" s="50"/>
      <c r="F152" s="48"/>
      <c r="G152" s="50" t="s">
        <v>304</v>
      </c>
      <c r="H152" s="50">
        <v>0</v>
      </c>
      <c r="I152" s="141">
        <f>M159</f>
        <v>0</v>
      </c>
      <c r="J152" s="73">
        <f t="shared" si="28"/>
        <v>0</v>
      </c>
      <c r="L152" s="73">
        <v>0</v>
      </c>
      <c r="M152" s="73">
        <v>0</v>
      </c>
      <c r="N152" s="76">
        <f t="shared" si="27"/>
        <v>0</v>
      </c>
    </row>
    <row r="153" spans="2:14" x14ac:dyDescent="0.25">
      <c r="B153" s="3" t="s">
        <v>195</v>
      </c>
      <c r="C153" s="73">
        <f>SUM(C148:C152)</f>
        <v>0</v>
      </c>
      <c r="D153" s="73">
        <f>SUM(D148:D152)</f>
        <v>237.63</v>
      </c>
      <c r="E153" s="73">
        <f>ROUND(C153-D153,2)</f>
        <v>-237.63</v>
      </c>
      <c r="G153" s="137" t="s">
        <v>195</v>
      </c>
      <c r="H153" s="137">
        <f>SUM(H148:H152)</f>
        <v>0</v>
      </c>
      <c r="I153" s="142">
        <f>SUM(I148:I152)</f>
        <v>-237.63</v>
      </c>
      <c r="J153" s="143">
        <f>SUM(J148:J152)</f>
        <v>237.63</v>
      </c>
      <c r="K153" s="144">
        <f>H153-I153-J153</f>
        <v>0</v>
      </c>
      <c r="L153" s="73">
        <v>0</v>
      </c>
      <c r="M153" s="73">
        <v>0</v>
      </c>
      <c r="N153" s="76">
        <f t="shared" si="27"/>
        <v>0</v>
      </c>
    </row>
    <row r="154" spans="2:14" x14ac:dyDescent="0.25">
      <c r="B154" s="3"/>
      <c r="L154" s="73">
        <v>0</v>
      </c>
      <c r="M154" s="73">
        <v>0</v>
      </c>
      <c r="N154" s="76">
        <f t="shared" si="27"/>
        <v>0</v>
      </c>
    </row>
    <row r="155" spans="2:14" x14ac:dyDescent="0.25">
      <c r="B155" s="3" t="s">
        <v>302</v>
      </c>
      <c r="C155" s="140">
        <v>1</v>
      </c>
      <c r="D155" s="140"/>
      <c r="E155" s="140"/>
      <c r="F155" s="140"/>
      <c r="L155" s="73">
        <v>0</v>
      </c>
      <c r="M155" s="73">
        <v>0</v>
      </c>
      <c r="N155" s="76">
        <f t="shared" si="27"/>
        <v>0</v>
      </c>
    </row>
    <row r="156" spans="2:14" x14ac:dyDescent="0.25">
      <c r="L156" s="73">
        <v>0</v>
      </c>
      <c r="M156" s="73">
        <v>0</v>
      </c>
      <c r="N156" s="76">
        <f t="shared" si="27"/>
        <v>0</v>
      </c>
    </row>
    <row r="157" spans="2:14" x14ac:dyDescent="0.25">
      <c r="L157" s="73">
        <v>0</v>
      </c>
      <c r="M157" s="73">
        <v>0</v>
      </c>
      <c r="N157" s="76">
        <f t="shared" si="27"/>
        <v>0</v>
      </c>
    </row>
    <row r="158" spans="2:14" x14ac:dyDescent="0.25">
      <c r="L158" s="50">
        <v>0</v>
      </c>
      <c r="M158" s="50">
        <v>0</v>
      </c>
      <c r="N158" s="145">
        <f t="shared" si="27"/>
        <v>0</v>
      </c>
    </row>
    <row r="159" spans="2:14" x14ac:dyDescent="0.25">
      <c r="I159" s="139"/>
      <c r="L159" s="73">
        <f>SUM(L148:L158)</f>
        <v>0</v>
      </c>
      <c r="M159" s="73">
        <f>SUM(M148:M158)</f>
        <v>0</v>
      </c>
      <c r="N159" s="73">
        <f t="shared" ref="N159" si="29">SUM(N148:N158)</f>
        <v>0</v>
      </c>
    </row>
    <row r="160" spans="2:14" x14ac:dyDescent="0.25">
      <c r="I160" s="139"/>
      <c r="N160" s="73"/>
    </row>
    <row r="161" spans="2:14" ht="15.75" thickBot="1" x14ac:dyDescent="0.3">
      <c r="B161" s="133" t="s">
        <v>305</v>
      </c>
      <c r="C161" s="177">
        <v>44941</v>
      </c>
      <c r="D161" s="133" t="s">
        <v>295</v>
      </c>
      <c r="E161" s="133" t="s">
        <v>296</v>
      </c>
      <c r="F161" s="133"/>
      <c r="G161" s="146" t="s">
        <v>189</v>
      </c>
      <c r="H161" s="136" t="s">
        <v>253</v>
      </c>
      <c r="I161" s="136" t="s">
        <v>207</v>
      </c>
      <c r="J161" s="136" t="s">
        <v>183</v>
      </c>
      <c r="K161" s="135"/>
      <c r="L161" s="136" t="s">
        <v>297</v>
      </c>
      <c r="M161" s="136" t="s">
        <v>207</v>
      </c>
      <c r="N161" s="136" t="s">
        <v>183</v>
      </c>
    </row>
    <row r="162" spans="2:14" x14ac:dyDescent="0.25">
      <c r="B162" s="3" t="s">
        <v>298</v>
      </c>
      <c r="C162" s="73">
        <v>289</v>
      </c>
      <c r="D162" s="73">
        <f>$H$4</f>
        <v>199</v>
      </c>
      <c r="E162" s="73">
        <f>ROUND(C162-D162,2)</f>
        <v>90</v>
      </c>
      <c r="G162" s="138" t="s">
        <v>51</v>
      </c>
      <c r="H162" s="73">
        <f>ROUND(C167*C169,2)</f>
        <v>341.69</v>
      </c>
      <c r="I162" s="139">
        <f>ROUND(C169*E167,2)</f>
        <v>104.06</v>
      </c>
      <c r="J162" s="73">
        <f>ROUND(H162-I162,2)</f>
        <v>237.63</v>
      </c>
      <c r="L162" s="73">
        <v>0</v>
      </c>
      <c r="M162" s="73">
        <v>0</v>
      </c>
      <c r="N162" s="76">
        <f>ROUND(L162-M162,2)</f>
        <v>0</v>
      </c>
    </row>
    <row r="163" spans="2:14" x14ac:dyDescent="0.25">
      <c r="B163" s="3" t="s">
        <v>292</v>
      </c>
      <c r="C163" s="73">
        <v>24.57</v>
      </c>
      <c r="D163" s="73">
        <f>$I$4</f>
        <v>15.92</v>
      </c>
      <c r="E163" s="73">
        <f>ROUND(C163-D163,2)</f>
        <v>8.65</v>
      </c>
      <c r="G163" s="73" t="s">
        <v>193</v>
      </c>
      <c r="H163" s="73">
        <v>0</v>
      </c>
      <c r="I163" s="139">
        <v>0</v>
      </c>
      <c r="J163" s="73">
        <f>ROUND(H163-I163,2)</f>
        <v>0</v>
      </c>
      <c r="L163" s="73">
        <v>0</v>
      </c>
      <c r="M163" s="73">
        <v>0</v>
      </c>
      <c r="N163" s="76">
        <f t="shared" ref="N163:N172" si="30">ROUND(L163-M163,2)</f>
        <v>0</v>
      </c>
    </row>
    <row r="164" spans="2:14" x14ac:dyDescent="0.25">
      <c r="B164" s="3" t="s">
        <v>299</v>
      </c>
      <c r="C164" s="73">
        <v>5</v>
      </c>
      <c r="D164" s="73">
        <f>$J$4</f>
        <v>5</v>
      </c>
      <c r="E164" s="73">
        <f>ROUND(C164-D164,2)</f>
        <v>0</v>
      </c>
      <c r="G164" s="73" t="s">
        <v>301</v>
      </c>
      <c r="H164" s="73">
        <v>0</v>
      </c>
      <c r="I164" s="139">
        <v>0</v>
      </c>
      <c r="J164" s="73">
        <f t="shared" ref="J164:J166" si="31">ROUND(H164-I164,2)</f>
        <v>0</v>
      </c>
      <c r="L164" s="73">
        <v>0</v>
      </c>
      <c r="M164" s="73">
        <v>0</v>
      </c>
      <c r="N164" s="76">
        <f t="shared" si="30"/>
        <v>0</v>
      </c>
    </row>
    <row r="165" spans="2:14" x14ac:dyDescent="0.25">
      <c r="B165" s="3" t="s">
        <v>300</v>
      </c>
      <c r="C165" s="73">
        <v>23.12</v>
      </c>
      <c r="D165" s="73">
        <f>$K$4</f>
        <v>17.71</v>
      </c>
      <c r="E165" s="73">
        <f>ROUND(C165-D165,2)</f>
        <v>5.41</v>
      </c>
      <c r="G165" s="73" t="s">
        <v>303</v>
      </c>
      <c r="H165" s="73">
        <v>0</v>
      </c>
      <c r="I165" s="139">
        <v>0</v>
      </c>
      <c r="J165" s="73">
        <f t="shared" si="31"/>
        <v>0</v>
      </c>
      <c r="L165" s="73">
        <v>0</v>
      </c>
      <c r="M165" s="73">
        <v>0</v>
      </c>
      <c r="N165" s="76">
        <f t="shared" si="30"/>
        <v>0</v>
      </c>
    </row>
    <row r="166" spans="2:14" x14ac:dyDescent="0.25">
      <c r="B166" s="74"/>
      <c r="C166" s="50"/>
      <c r="D166" s="50"/>
      <c r="E166" s="50"/>
      <c r="F166" s="48"/>
      <c r="G166" s="50" t="s">
        <v>304</v>
      </c>
      <c r="H166" s="50">
        <v>0</v>
      </c>
      <c r="I166" s="141">
        <f>M173</f>
        <v>0</v>
      </c>
      <c r="J166" s="73">
        <f t="shared" si="31"/>
        <v>0</v>
      </c>
      <c r="L166" s="73">
        <v>0</v>
      </c>
      <c r="M166" s="73">
        <v>0</v>
      </c>
      <c r="N166" s="76">
        <f t="shared" si="30"/>
        <v>0</v>
      </c>
    </row>
    <row r="167" spans="2:14" x14ac:dyDescent="0.25">
      <c r="B167" s="3" t="s">
        <v>195</v>
      </c>
      <c r="C167" s="73">
        <f>SUM(C162:C166)</f>
        <v>341.69</v>
      </c>
      <c r="D167" s="73">
        <f>SUM(D162:D166)</f>
        <v>237.63</v>
      </c>
      <c r="E167" s="73">
        <f>ROUND(C167-D167,2)</f>
        <v>104.06</v>
      </c>
      <c r="G167" s="137" t="s">
        <v>195</v>
      </c>
      <c r="H167" s="137">
        <f>SUM(H162:H166)</f>
        <v>341.69</v>
      </c>
      <c r="I167" s="142">
        <f>SUM(I162:I166)</f>
        <v>104.06</v>
      </c>
      <c r="J167" s="143">
        <f>SUM(J162:J166)</f>
        <v>237.63</v>
      </c>
      <c r="K167" s="144">
        <f>H167-I167-J167</f>
        <v>0</v>
      </c>
      <c r="L167" s="73">
        <v>0</v>
      </c>
      <c r="M167" s="73">
        <v>0</v>
      </c>
      <c r="N167" s="76">
        <f t="shared" si="30"/>
        <v>0</v>
      </c>
    </row>
    <row r="168" spans="2:14" x14ac:dyDescent="0.25">
      <c r="B168" s="3"/>
      <c r="L168" s="73">
        <v>0</v>
      </c>
      <c r="M168" s="73">
        <v>0</v>
      </c>
      <c r="N168" s="76">
        <f t="shared" si="30"/>
        <v>0</v>
      </c>
    </row>
    <row r="169" spans="2:14" x14ac:dyDescent="0.25">
      <c r="B169" s="3" t="s">
        <v>302</v>
      </c>
      <c r="C169" s="140">
        <v>1</v>
      </c>
      <c r="D169" s="140"/>
      <c r="E169" s="140"/>
      <c r="F169" s="140"/>
      <c r="L169" s="73">
        <v>0</v>
      </c>
      <c r="M169" s="73">
        <v>0</v>
      </c>
      <c r="N169" s="76">
        <f t="shared" si="30"/>
        <v>0</v>
      </c>
    </row>
    <row r="170" spans="2:14" x14ac:dyDescent="0.25">
      <c r="L170" s="73">
        <v>0</v>
      </c>
      <c r="M170" s="73">
        <v>0</v>
      </c>
      <c r="N170" s="76">
        <f t="shared" si="30"/>
        <v>0</v>
      </c>
    </row>
    <row r="171" spans="2:14" x14ac:dyDescent="0.25">
      <c r="L171" s="73">
        <v>0</v>
      </c>
      <c r="M171" s="73">
        <v>0</v>
      </c>
      <c r="N171" s="76">
        <f t="shared" si="30"/>
        <v>0</v>
      </c>
    </row>
    <row r="172" spans="2:14" x14ac:dyDescent="0.25">
      <c r="L172" s="50">
        <v>0</v>
      </c>
      <c r="M172" s="50">
        <v>0</v>
      </c>
      <c r="N172" s="145">
        <f t="shared" si="30"/>
        <v>0</v>
      </c>
    </row>
    <row r="173" spans="2:14" x14ac:dyDescent="0.25">
      <c r="I173" s="139"/>
      <c r="L173" s="73">
        <f>SUM(L162:L172)</f>
        <v>0</v>
      </c>
      <c r="M173" s="73">
        <f>SUM(M162:M172)</f>
        <v>0</v>
      </c>
      <c r="N173" s="73">
        <f t="shared" ref="N173" si="32">SUM(N162:N172)</f>
        <v>0</v>
      </c>
    </row>
    <row r="174" spans="2:14" x14ac:dyDescent="0.25">
      <c r="I174" s="139"/>
      <c r="N174" s="73"/>
    </row>
    <row r="175" spans="2:14" ht="15.75" thickBot="1" x14ac:dyDescent="0.3">
      <c r="B175" s="133" t="s">
        <v>305</v>
      </c>
      <c r="C175" s="177">
        <v>44942</v>
      </c>
      <c r="D175" s="133" t="s">
        <v>295</v>
      </c>
      <c r="E175" s="133" t="s">
        <v>296</v>
      </c>
      <c r="F175" s="133"/>
      <c r="G175" s="146" t="s">
        <v>189</v>
      </c>
      <c r="H175" s="136" t="s">
        <v>253</v>
      </c>
      <c r="I175" s="136" t="s">
        <v>207</v>
      </c>
      <c r="J175" s="136" t="s">
        <v>183</v>
      </c>
      <c r="K175" s="135"/>
      <c r="L175" s="136" t="s">
        <v>297</v>
      </c>
      <c r="M175" s="136" t="s">
        <v>207</v>
      </c>
      <c r="N175" s="136" t="s">
        <v>183</v>
      </c>
    </row>
    <row r="176" spans="2:14" x14ac:dyDescent="0.25">
      <c r="B176" s="3" t="s">
        <v>298</v>
      </c>
      <c r="C176" s="73">
        <v>291</v>
      </c>
      <c r="D176" s="73">
        <f>$H$4</f>
        <v>199</v>
      </c>
      <c r="E176" s="73">
        <f>ROUND(C176-D176,2)</f>
        <v>92</v>
      </c>
      <c r="G176" s="138" t="s">
        <v>51</v>
      </c>
      <c r="H176" s="73">
        <f>ROUND(C181*C183,2)</f>
        <v>344.02</v>
      </c>
      <c r="I176" s="139">
        <f>ROUND(C183*E181,2)</f>
        <v>106.39</v>
      </c>
      <c r="J176" s="73">
        <f>ROUND(H176-I176,2)</f>
        <v>237.63</v>
      </c>
      <c r="L176" s="73">
        <v>0</v>
      </c>
      <c r="M176" s="73">
        <v>0</v>
      </c>
      <c r="N176" s="76">
        <f>ROUND(L176-M176,2)</f>
        <v>0</v>
      </c>
    </row>
    <row r="177" spans="2:20" x14ac:dyDescent="0.25">
      <c r="B177" s="3" t="s">
        <v>292</v>
      </c>
      <c r="C177" s="73">
        <v>24.74</v>
      </c>
      <c r="D177" s="73">
        <f>$I$4</f>
        <v>15.92</v>
      </c>
      <c r="E177" s="73">
        <f>ROUND(C177-D177,2)</f>
        <v>8.82</v>
      </c>
      <c r="G177" s="73" t="s">
        <v>193</v>
      </c>
      <c r="H177" s="73">
        <v>0</v>
      </c>
      <c r="I177" s="139">
        <v>0</v>
      </c>
      <c r="J177" s="73">
        <f>ROUND(H177-I177,2)</f>
        <v>0</v>
      </c>
      <c r="L177" s="73">
        <v>0</v>
      </c>
      <c r="M177" s="73">
        <v>0</v>
      </c>
      <c r="N177" s="76">
        <f t="shared" ref="N177:N186" si="33">ROUND(L177-M177,2)</f>
        <v>0</v>
      </c>
    </row>
    <row r="178" spans="2:20" x14ac:dyDescent="0.25">
      <c r="B178" s="3" t="s">
        <v>299</v>
      </c>
      <c r="C178" s="73">
        <v>5</v>
      </c>
      <c r="D178" s="73">
        <f>$J$4</f>
        <v>5</v>
      </c>
      <c r="E178" s="73">
        <f>ROUND(C178-D178,2)</f>
        <v>0</v>
      </c>
      <c r="G178" s="73" t="s">
        <v>301</v>
      </c>
      <c r="H178" s="73">
        <v>0</v>
      </c>
      <c r="I178" s="139">
        <v>0</v>
      </c>
      <c r="J178" s="73">
        <f t="shared" ref="J178:J180" si="34">ROUND(H178-I178,2)</f>
        <v>0</v>
      </c>
      <c r="L178" s="73">
        <v>0</v>
      </c>
      <c r="M178" s="73">
        <v>0</v>
      </c>
      <c r="N178" s="76">
        <f t="shared" si="33"/>
        <v>0</v>
      </c>
    </row>
    <row r="179" spans="2:20" x14ac:dyDescent="0.25">
      <c r="B179" s="3" t="s">
        <v>300</v>
      </c>
      <c r="C179" s="73">
        <v>23.28</v>
      </c>
      <c r="D179" s="73">
        <f>$K$4</f>
        <v>17.71</v>
      </c>
      <c r="E179" s="73">
        <f>ROUND(C179-D179,2)</f>
        <v>5.57</v>
      </c>
      <c r="G179" s="73" t="s">
        <v>303</v>
      </c>
      <c r="H179" s="73">
        <v>0</v>
      </c>
      <c r="I179" s="139">
        <v>0</v>
      </c>
      <c r="J179" s="73">
        <f t="shared" si="34"/>
        <v>0</v>
      </c>
      <c r="L179" s="73">
        <v>0</v>
      </c>
      <c r="M179" s="73">
        <v>0</v>
      </c>
      <c r="N179" s="76">
        <f t="shared" si="33"/>
        <v>0</v>
      </c>
    </row>
    <row r="180" spans="2:20" x14ac:dyDescent="0.25">
      <c r="B180" s="74"/>
      <c r="C180" s="50"/>
      <c r="D180" s="50"/>
      <c r="E180" s="50"/>
      <c r="F180" s="48"/>
      <c r="G180" s="50" t="s">
        <v>304</v>
      </c>
      <c r="H180" s="50">
        <v>0</v>
      </c>
      <c r="I180" s="141">
        <f>M187</f>
        <v>0</v>
      </c>
      <c r="J180" s="73">
        <f t="shared" si="34"/>
        <v>0</v>
      </c>
      <c r="L180" s="73">
        <v>0</v>
      </c>
      <c r="M180" s="73">
        <v>0</v>
      </c>
      <c r="N180" s="76">
        <f t="shared" si="33"/>
        <v>0</v>
      </c>
    </row>
    <row r="181" spans="2:20" x14ac:dyDescent="0.25">
      <c r="B181" s="3" t="s">
        <v>195</v>
      </c>
      <c r="C181" s="73">
        <f>SUM(C176:C180)</f>
        <v>344.02</v>
      </c>
      <c r="D181" s="73">
        <f>SUM(D176:D180)</f>
        <v>237.63</v>
      </c>
      <c r="E181" s="73">
        <f>ROUND(C181-D181,2)</f>
        <v>106.39</v>
      </c>
      <c r="G181" s="137" t="s">
        <v>195</v>
      </c>
      <c r="H181" s="137">
        <f>SUM(H176:H180)</f>
        <v>344.02</v>
      </c>
      <c r="I181" s="142">
        <f>SUM(I176:I180)</f>
        <v>106.39</v>
      </c>
      <c r="J181" s="143">
        <f>SUM(J176:J180)</f>
        <v>237.63</v>
      </c>
      <c r="K181" s="144">
        <f>H181-I181-J181</f>
        <v>0</v>
      </c>
      <c r="L181" s="73">
        <v>0</v>
      </c>
      <c r="M181" s="73">
        <v>0</v>
      </c>
      <c r="N181" s="76">
        <f t="shared" si="33"/>
        <v>0</v>
      </c>
    </row>
    <row r="182" spans="2:20" x14ac:dyDescent="0.25">
      <c r="B182" s="3"/>
      <c r="L182" s="73">
        <v>0</v>
      </c>
      <c r="M182" s="73">
        <v>0</v>
      </c>
      <c r="N182" s="76">
        <f t="shared" si="33"/>
        <v>0</v>
      </c>
    </row>
    <row r="183" spans="2:20" x14ac:dyDescent="0.25">
      <c r="B183" s="3" t="s">
        <v>302</v>
      </c>
      <c r="C183" s="140">
        <v>1</v>
      </c>
      <c r="D183" s="140"/>
      <c r="E183" s="140"/>
      <c r="F183" s="140"/>
      <c r="L183" s="73">
        <v>0</v>
      </c>
      <c r="M183" s="73">
        <v>0</v>
      </c>
      <c r="N183" s="76">
        <f t="shared" si="33"/>
        <v>0</v>
      </c>
    </row>
    <row r="184" spans="2:20" x14ac:dyDescent="0.25">
      <c r="L184" s="73">
        <v>0</v>
      </c>
      <c r="M184" s="73">
        <v>0</v>
      </c>
      <c r="N184" s="76">
        <f t="shared" si="33"/>
        <v>0</v>
      </c>
    </row>
    <row r="185" spans="2:20" x14ac:dyDescent="0.25">
      <c r="L185" s="73">
        <v>0</v>
      </c>
      <c r="M185" s="73">
        <v>0</v>
      </c>
      <c r="N185" s="76">
        <f t="shared" si="33"/>
        <v>0</v>
      </c>
    </row>
    <row r="186" spans="2:20" x14ac:dyDescent="0.25">
      <c r="L186" s="50">
        <v>0</v>
      </c>
      <c r="M186" s="50">
        <v>0</v>
      </c>
      <c r="N186" s="145">
        <f t="shared" si="33"/>
        <v>0</v>
      </c>
    </row>
    <row r="187" spans="2:20" x14ac:dyDescent="0.25">
      <c r="I187" s="139"/>
      <c r="L187" s="73">
        <f>SUM(L176:L186)</f>
        <v>0</v>
      </c>
      <c r="M187" s="73">
        <f>SUM(M176:M186)</f>
        <v>0</v>
      </c>
      <c r="N187" s="73">
        <f t="shared" ref="N187" si="35">SUM(N176:N186)</f>
        <v>0</v>
      </c>
    </row>
    <row r="188" spans="2:20" x14ac:dyDescent="0.25">
      <c r="I188" s="139"/>
      <c r="N188" s="73"/>
    </row>
    <row r="189" spans="2:20" x14ac:dyDescent="0.25">
      <c r="G189" s="178"/>
      <c r="H189" s="178" t="s">
        <v>323</v>
      </c>
      <c r="I189" s="178" t="s">
        <v>324</v>
      </c>
      <c r="J189" s="178" t="s">
        <v>325</v>
      </c>
      <c r="M189"/>
      <c r="Q189" s="179"/>
      <c r="S189" s="180"/>
      <c r="T189" s="181" t="s">
        <v>326</v>
      </c>
    </row>
    <row r="190" spans="2:20" x14ac:dyDescent="0.25">
      <c r="G190" s="178" t="s">
        <v>327</v>
      </c>
      <c r="H190" s="178">
        <f>H111+H125+H139+H153+H167+H181</f>
        <v>685.71</v>
      </c>
      <c r="I190" s="178">
        <f>I111+I125+I139+I153+I167+I181</f>
        <v>-977.70000000000016</v>
      </c>
      <c r="J190" s="178">
        <f>J111+J125+J139+J153+J167+J181</f>
        <v>1663.4100000000003</v>
      </c>
      <c r="M190"/>
      <c r="Q190" s="179"/>
      <c r="S190" s="180"/>
      <c r="T190" s="181"/>
    </row>
  </sheetData>
  <hyperlinks>
    <hyperlink ref="O2:S2" r:id="rId1" display="Allowable Lodging Per Diem Atlanta Rate for Oct 2021 - Sept 2021 = $163.00" xr:uid="{6A231658-1A89-4B64-AA44-CF8D4A122CB0}"/>
    <hyperlink ref="G11" r:id="rId2" xr:uid="{0D08E5E9-9A4A-4B81-8DD9-1C24C086E112}"/>
    <hyperlink ref="G25" r:id="rId3" xr:uid="{2B3F5F7F-CE50-45D2-852C-D34C43CD42B7}"/>
    <hyperlink ref="G39" r:id="rId4" xr:uid="{AC944A5D-8392-4D05-B2AC-87E76206094B}"/>
    <hyperlink ref="G53" r:id="rId5" xr:uid="{6E9CD165-05C0-4D22-84AF-99890DE7C4CF}"/>
    <hyperlink ref="G67" r:id="rId6" xr:uid="{6A6C429F-BD0F-4D59-9298-FAF750E02D9B}"/>
    <hyperlink ref="G81" r:id="rId7" xr:uid="{8FBBCCC0-C736-46DD-AF9B-CA7F42FDF580}"/>
    <hyperlink ref="O3:O4" r:id="rId8" display="Allowable Lodging Per Diem Rate in Atlanta for Oct  2023 - Dec 2023 = $173.00" xr:uid="{712BCA65-E163-4207-89AE-1C768D649E19}"/>
    <hyperlink ref="O4" r:id="rId9" display="Allowable Lodging Per Diem Atlanta Rate for Oct 2021 - Sept 2021 = $163.00" xr:uid="{5EFF49A6-A9A3-48F0-9165-FB0E5DE070E5}"/>
    <hyperlink ref="O3" r:id="rId10" display="Allowable Lodging Per Diem Atlanta Rate for Oct 2021 - Sept 2021 = $163.00" xr:uid="{B8DD938A-94E1-4C07-8E33-52DF15A05A69}"/>
    <hyperlink ref="G105" r:id="rId11" xr:uid="{FCB522BA-816F-4F23-A956-7EADDC33AE51}"/>
    <hyperlink ref="G119" r:id="rId12" xr:uid="{781CBFA8-19F5-4876-9836-9E26B8BD726B}"/>
    <hyperlink ref="G133" r:id="rId13" xr:uid="{8EB1FD25-2999-4D04-952C-C30AD47BDC6D}"/>
    <hyperlink ref="G147" r:id="rId14" xr:uid="{FA9E1A4A-5769-4B97-B6F6-0151F06F9D87}"/>
    <hyperlink ref="G161" r:id="rId15" xr:uid="{F4AE7D0E-1CE6-474B-BC9E-DAFC98015A48}"/>
    <hyperlink ref="G175" r:id="rId16" xr:uid="{42738A25-343E-440D-A1FB-3461E76E541D}"/>
  </hyperlinks>
  <printOptions horizontalCentered="1"/>
  <pageMargins left="0.35" right="0.35" top="0.75" bottom="0.75" header="0.3" footer="0.3"/>
  <pageSetup scale="72" orientation="landscape" r:id="rId1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FB537-3CEF-47E8-829B-676A9732F1EC}">
  <sheetPr codeName="Sheet15">
    <tabColor rgb="FFCCCCFF"/>
  </sheetPr>
  <dimension ref="A1:BF79"/>
  <sheetViews>
    <sheetView zoomScale="90" zoomScaleNormal="90" workbookViewId="0">
      <pane ySplit="3" topLeftCell="A4" activePane="bottomLeft" state="frozen"/>
      <selection activeCell="Z175" sqref="Z175"/>
      <selection pane="bottomLeft" activeCell="AM10" sqref="AM10"/>
    </sheetView>
  </sheetViews>
  <sheetFormatPr defaultRowHeight="15" x14ac:dyDescent="0.25"/>
  <cols>
    <col min="1" max="1" width="11.7109375" style="3" bestFit="1" customWidth="1"/>
    <col min="2" max="2" width="17.28515625" bestFit="1" customWidth="1"/>
    <col min="3" max="3" width="22.140625" style="3" customWidth="1"/>
    <col min="4" max="4" width="25" style="3" bestFit="1" customWidth="1"/>
    <col min="5" max="6" width="15.42578125" bestFit="1" customWidth="1"/>
    <col min="7" max="7" width="16.28515625" bestFit="1" customWidth="1"/>
    <col min="8" max="8" width="36.28515625" bestFit="1" customWidth="1"/>
    <col min="9" max="9" width="8.85546875" bestFit="1" customWidth="1"/>
    <col min="10" max="10" width="10" bestFit="1" customWidth="1"/>
    <col min="11" max="11" width="16.5703125" bestFit="1" customWidth="1"/>
    <col min="12" max="12" width="16.7109375" bestFit="1" customWidth="1"/>
    <col min="13" max="13" width="52.28515625" bestFit="1" customWidth="1"/>
    <col min="14" max="14" width="16.28515625" bestFit="1" customWidth="1"/>
    <col min="15" max="15" width="16.7109375" bestFit="1" customWidth="1"/>
    <col min="16" max="16" width="17.7109375" bestFit="1" customWidth="1"/>
    <col min="17" max="18" width="13.7109375" customWidth="1"/>
    <col min="19" max="19" width="11.7109375" bestFit="1" customWidth="1"/>
    <col min="20" max="20" width="12.7109375" bestFit="1" customWidth="1"/>
    <col min="21" max="21" width="11.28515625" bestFit="1" customWidth="1"/>
    <col min="22" max="22" width="12.7109375" customWidth="1"/>
    <col min="23" max="23" width="13.5703125" style="3" bestFit="1" customWidth="1"/>
    <col min="24" max="24" width="13" style="3" bestFit="1" customWidth="1"/>
    <col min="25" max="25" width="15.42578125" style="3" bestFit="1" customWidth="1"/>
    <col min="26" max="26" width="20.42578125" style="3" bestFit="1" customWidth="1"/>
    <col min="27" max="27" width="16.5703125" style="3" bestFit="1" customWidth="1"/>
    <col min="28" max="28" width="10" style="3" bestFit="1" customWidth="1"/>
    <col min="29" max="29" width="8.28515625" style="3" bestFit="1" customWidth="1"/>
    <col min="31" max="31" width="49.7109375" bestFit="1" customWidth="1"/>
    <col min="32" max="32" width="17.7109375" bestFit="1" customWidth="1"/>
    <col min="33" max="33" width="12.85546875" bestFit="1" customWidth="1"/>
    <col min="34" max="34" width="14" bestFit="1" customWidth="1"/>
    <col min="35" max="35" width="14.28515625" bestFit="1" customWidth="1"/>
    <col min="36" max="36" width="8.5703125" bestFit="1" customWidth="1"/>
    <col min="37" max="37" width="11.140625" bestFit="1" customWidth="1"/>
    <col min="38" max="38" width="14" bestFit="1" customWidth="1"/>
    <col min="39" max="39" width="32.28515625" customWidth="1"/>
    <col min="40" max="40" width="44.85546875" customWidth="1"/>
    <col min="41" max="41" width="17.28515625" style="3" bestFit="1" customWidth="1"/>
    <col min="42" max="42" width="15" bestFit="1" customWidth="1"/>
    <col min="43" max="43" width="10.7109375" bestFit="1" customWidth="1"/>
    <col min="44" max="44" width="12.7109375" style="12" bestFit="1" customWidth="1"/>
    <col min="45" max="45" width="17.7109375" style="12" bestFit="1" customWidth="1"/>
    <col min="46" max="46" width="13.7109375" style="12" bestFit="1" customWidth="1"/>
    <col min="47" max="47" width="24" bestFit="1" customWidth="1"/>
    <col min="48" max="48" width="27.28515625" bestFit="1" customWidth="1"/>
    <col min="49" max="49" width="16.5703125" bestFit="1" customWidth="1"/>
    <col min="50" max="50" width="12.28515625" bestFit="1" customWidth="1"/>
    <col min="51" max="51" width="20.28515625" bestFit="1" customWidth="1"/>
    <col min="52" max="52" width="25.7109375" bestFit="1" customWidth="1"/>
    <col min="53" max="53" width="16.5703125" bestFit="1" customWidth="1"/>
    <col min="54" max="54" width="10" bestFit="1" customWidth="1"/>
    <col min="55" max="55" width="8.28515625" bestFit="1" customWidth="1"/>
    <col min="56" max="56" width="19.5703125" bestFit="1" customWidth="1"/>
    <col min="57" max="57" width="16.7109375" style="3" bestFit="1" customWidth="1"/>
    <col min="58" max="58" width="83.5703125" style="4" bestFit="1" customWidth="1"/>
    <col min="59" max="59" width="149.28515625" bestFit="1" customWidth="1"/>
  </cols>
  <sheetData>
    <row r="1" spans="1:58" ht="47.25" thickBot="1" x14ac:dyDescent="0.75">
      <c r="A1" s="451" t="s">
        <v>192</v>
      </c>
      <c r="B1" s="451"/>
      <c r="C1" s="451"/>
      <c r="D1" s="451"/>
    </row>
    <row r="2" spans="1:58" ht="15.75" thickBot="1" x14ac:dyDescent="0.3">
      <c r="B2" s="3"/>
      <c r="C2" s="182" t="s">
        <v>371</v>
      </c>
      <c r="D2" s="410" t="s">
        <v>458</v>
      </c>
      <c r="E2" s="411" t="str">
        <f>Overview!C9</f>
        <v>1/14, 1/15/2026</v>
      </c>
      <c r="U2" s="55"/>
      <c r="V2" s="55"/>
      <c r="W2" s="182" t="s">
        <v>371</v>
      </c>
      <c r="X2" s="184"/>
      <c r="Y2" s="184"/>
      <c r="Z2" s="389"/>
      <c r="AA2" s="184"/>
      <c r="AB2" s="184"/>
      <c r="AC2" s="184"/>
      <c r="AD2" s="55"/>
      <c r="AE2" s="182" t="s">
        <v>371</v>
      </c>
      <c r="AF2" s="55"/>
      <c r="AG2" s="55"/>
      <c r="AH2" s="55"/>
      <c r="AI2" s="182" t="s">
        <v>371</v>
      </c>
      <c r="AJ2" s="55"/>
      <c r="AK2" s="55"/>
    </row>
    <row r="3" spans="1:58" s="328" customFormat="1" ht="45" x14ac:dyDescent="0.25">
      <c r="A3" s="349" t="s">
        <v>372</v>
      </c>
      <c r="B3" s="349" t="s">
        <v>25</v>
      </c>
      <c r="C3" s="326" t="s">
        <v>370</v>
      </c>
      <c r="D3" s="413" t="s">
        <v>190</v>
      </c>
      <c r="E3" s="413" t="s">
        <v>27</v>
      </c>
      <c r="F3" s="349" t="s">
        <v>28</v>
      </c>
      <c r="G3" s="349" t="s">
        <v>191</v>
      </c>
      <c r="H3" s="349" t="s">
        <v>29</v>
      </c>
      <c r="I3" s="349" t="s">
        <v>0</v>
      </c>
      <c r="J3" s="349" t="s">
        <v>1</v>
      </c>
      <c r="K3" s="349" t="s">
        <v>30</v>
      </c>
      <c r="L3" s="349" t="s">
        <v>31</v>
      </c>
      <c r="M3" s="349" t="s">
        <v>32</v>
      </c>
      <c r="N3" s="352" t="s">
        <v>73</v>
      </c>
      <c r="O3" s="352" t="s">
        <v>76</v>
      </c>
      <c r="P3" s="352" t="s">
        <v>74</v>
      </c>
      <c r="Q3" s="352" t="s">
        <v>75</v>
      </c>
      <c r="R3" s="352" t="s">
        <v>77</v>
      </c>
      <c r="S3" s="349" t="s">
        <v>33</v>
      </c>
      <c r="T3" s="353" t="s">
        <v>34</v>
      </c>
      <c r="U3" s="354" t="s">
        <v>167</v>
      </c>
      <c r="V3" s="354" t="s">
        <v>183</v>
      </c>
      <c r="W3" s="326" t="s">
        <v>374</v>
      </c>
      <c r="X3" s="326" t="s">
        <v>392</v>
      </c>
      <c r="Y3" s="326" t="s">
        <v>393</v>
      </c>
      <c r="Z3" s="326" t="s">
        <v>408</v>
      </c>
      <c r="AA3" s="354" t="s">
        <v>179</v>
      </c>
      <c r="AB3" s="354" t="s">
        <v>180</v>
      </c>
      <c r="AC3" s="354" t="s">
        <v>181</v>
      </c>
      <c r="AD3" s="354" t="s">
        <v>182</v>
      </c>
      <c r="AE3" s="355" t="s">
        <v>256</v>
      </c>
      <c r="AF3" s="355" t="s">
        <v>257</v>
      </c>
      <c r="AG3" s="326" t="s">
        <v>184</v>
      </c>
      <c r="AH3" s="354" t="s">
        <v>368</v>
      </c>
      <c r="AI3" s="354" t="s">
        <v>373</v>
      </c>
      <c r="AJ3" s="354" t="s">
        <v>175</v>
      </c>
      <c r="AK3" s="354" t="s">
        <v>176</v>
      </c>
      <c r="AL3" s="354" t="s">
        <v>350</v>
      </c>
      <c r="AM3" s="327" t="s">
        <v>183</v>
      </c>
      <c r="AN3" s="327" t="s">
        <v>109</v>
      </c>
      <c r="AO3" s="326" t="s">
        <v>185</v>
      </c>
    </row>
    <row r="4" spans="1:58" x14ac:dyDescent="0.25">
      <c r="A4" s="17">
        <v>1</v>
      </c>
      <c r="B4" s="15"/>
      <c r="C4" s="93">
        <v>1</v>
      </c>
      <c r="D4" s="17"/>
      <c r="E4" s="18"/>
      <c r="F4" s="15"/>
      <c r="G4" s="15"/>
      <c r="H4" s="15"/>
      <c r="I4" s="17" t="s">
        <v>6</v>
      </c>
      <c r="J4" s="17" t="s">
        <v>2</v>
      </c>
      <c r="K4" s="17" t="s">
        <v>8</v>
      </c>
      <c r="L4" s="15"/>
      <c r="M4" s="15"/>
      <c r="N4" s="15"/>
      <c r="O4" s="15"/>
      <c r="P4" s="15"/>
      <c r="Q4" s="15"/>
      <c r="R4" s="15"/>
      <c r="S4" s="15" t="s">
        <v>35</v>
      </c>
      <c r="T4" s="89">
        <v>0</v>
      </c>
      <c r="U4" s="89">
        <v>0</v>
      </c>
      <c r="V4" s="89">
        <f>T4-U4</f>
        <v>0</v>
      </c>
      <c r="W4" s="17" t="s">
        <v>192</v>
      </c>
      <c r="X4" s="17"/>
      <c r="Y4" s="17"/>
      <c r="Z4" s="15" t="s">
        <v>405</v>
      </c>
      <c r="AA4" s="15"/>
      <c r="AB4" s="15"/>
      <c r="AC4" s="15"/>
      <c r="AD4" s="15"/>
      <c r="AE4" s="17"/>
      <c r="AF4" s="15" t="str">
        <f>IFERROR(VLOOKUP(AE4,Legend!$D$2:$E$26,2,0),"")</f>
        <v/>
      </c>
      <c r="AG4" s="17"/>
      <c r="AH4" s="17"/>
      <c r="AI4" s="17"/>
      <c r="AJ4" s="17"/>
      <c r="AK4" s="17"/>
      <c r="AL4" s="17"/>
      <c r="AM4" s="17"/>
      <c r="AN4" s="15"/>
      <c r="AO4" s="15"/>
      <c r="AR4"/>
      <c r="AS4"/>
      <c r="AT4"/>
      <c r="BE4"/>
      <c r="BF4"/>
    </row>
    <row r="5" spans="1:58" x14ac:dyDescent="0.25">
      <c r="A5" s="17">
        <v>2</v>
      </c>
      <c r="B5" s="15"/>
      <c r="C5" s="93"/>
      <c r="D5" s="17"/>
      <c r="E5" s="18"/>
      <c r="F5" s="15"/>
      <c r="G5" s="15"/>
      <c r="H5" s="15"/>
      <c r="I5" s="17" t="s">
        <v>14</v>
      </c>
      <c r="J5" s="17" t="s">
        <v>9</v>
      </c>
      <c r="K5" s="17" t="s">
        <v>8</v>
      </c>
      <c r="L5" s="15"/>
      <c r="M5" s="15"/>
      <c r="N5" s="15"/>
      <c r="O5" s="15"/>
      <c r="P5" s="15"/>
      <c r="Q5" s="15"/>
      <c r="R5" s="15"/>
      <c r="S5" s="15" t="s">
        <v>35</v>
      </c>
      <c r="T5" s="89">
        <v>0</v>
      </c>
      <c r="U5" s="89">
        <v>0</v>
      </c>
      <c r="V5" s="89">
        <f t="shared" ref="V5:V33" si="0">T5-U5</f>
        <v>0</v>
      </c>
      <c r="W5" s="17" t="s">
        <v>192</v>
      </c>
      <c r="X5" s="17"/>
      <c r="Y5" s="17"/>
      <c r="Z5" s="15" t="s">
        <v>406</v>
      </c>
      <c r="AA5" s="15"/>
      <c r="AB5" s="15"/>
      <c r="AC5" s="15"/>
      <c r="AD5" s="15"/>
      <c r="AE5" s="17"/>
      <c r="AF5" s="15" t="str">
        <f>IFERROR(VLOOKUP(AE5,Legend!$D$2:$E$26,2,0),"")</f>
        <v/>
      </c>
      <c r="AG5" s="17"/>
      <c r="AH5" s="17"/>
      <c r="AI5" s="17"/>
      <c r="AJ5" s="17"/>
      <c r="AK5" s="17"/>
      <c r="AL5" s="17"/>
      <c r="AM5" s="17"/>
      <c r="AN5" s="15"/>
      <c r="AO5" s="15"/>
      <c r="AR5"/>
      <c r="AS5"/>
      <c r="AT5"/>
      <c r="BE5"/>
      <c r="BF5"/>
    </row>
    <row r="6" spans="1:58" x14ac:dyDescent="0.25">
      <c r="A6" s="17">
        <v>3</v>
      </c>
      <c r="B6" s="15"/>
      <c r="C6" s="93"/>
      <c r="D6" s="17"/>
      <c r="E6" s="18"/>
      <c r="F6" s="15"/>
      <c r="G6" s="15"/>
      <c r="H6" s="15"/>
      <c r="I6" s="17" t="s">
        <v>7</v>
      </c>
      <c r="J6" s="17" t="s">
        <v>5</v>
      </c>
      <c r="K6" s="17" t="s">
        <v>8</v>
      </c>
      <c r="L6" s="15"/>
      <c r="M6" s="15"/>
      <c r="N6" s="15"/>
      <c r="O6" s="15"/>
      <c r="P6" s="15"/>
      <c r="Q6" s="15"/>
      <c r="R6" s="15"/>
      <c r="S6" s="15" t="s">
        <v>35</v>
      </c>
      <c r="T6" s="89">
        <v>0</v>
      </c>
      <c r="U6" s="89">
        <v>0</v>
      </c>
      <c r="V6" s="89">
        <f t="shared" si="0"/>
        <v>0</v>
      </c>
      <c r="W6" s="17" t="s">
        <v>192</v>
      </c>
      <c r="X6" s="17"/>
      <c r="Y6" s="17"/>
      <c r="Z6" s="15" t="s">
        <v>407</v>
      </c>
      <c r="AA6" s="15"/>
      <c r="AB6" s="15"/>
      <c r="AC6" s="15"/>
      <c r="AD6" s="15"/>
      <c r="AE6" s="17"/>
      <c r="AF6" s="15" t="str">
        <f>IFERROR(VLOOKUP(AE6,Legend!$D$2:$E$26,2,0),"")</f>
        <v/>
      </c>
      <c r="AG6" s="17"/>
      <c r="AH6" s="17"/>
      <c r="AI6" s="17"/>
      <c r="AJ6" s="17"/>
      <c r="AK6" s="17"/>
      <c r="AL6" s="17"/>
      <c r="AM6" s="17"/>
      <c r="AN6" s="91"/>
      <c r="AO6" s="15"/>
      <c r="AR6"/>
      <c r="AS6"/>
      <c r="AT6"/>
      <c r="BE6"/>
      <c r="BF6"/>
    </row>
    <row r="7" spans="1:58" x14ac:dyDescent="0.25">
      <c r="A7" s="17">
        <v>4</v>
      </c>
      <c r="B7" s="15"/>
      <c r="C7" s="93"/>
      <c r="D7" s="17"/>
      <c r="E7" s="18"/>
      <c r="F7" s="15"/>
      <c r="G7" s="15"/>
      <c r="H7" s="15"/>
      <c r="I7" s="17" t="s">
        <v>4</v>
      </c>
      <c r="J7" s="17" t="s">
        <v>44</v>
      </c>
      <c r="K7" s="17" t="s">
        <v>8</v>
      </c>
      <c r="L7" s="15"/>
      <c r="M7" s="15"/>
      <c r="N7" s="15"/>
      <c r="O7" s="15"/>
      <c r="P7" s="15"/>
      <c r="Q7" s="15"/>
      <c r="R7" s="15"/>
      <c r="S7" s="15" t="s">
        <v>35</v>
      </c>
      <c r="T7" s="89">
        <v>0</v>
      </c>
      <c r="U7" s="89">
        <v>0</v>
      </c>
      <c r="V7" s="89">
        <f t="shared" si="0"/>
        <v>0</v>
      </c>
      <c r="W7" s="17" t="s">
        <v>192</v>
      </c>
      <c r="X7" s="17"/>
      <c r="Y7" s="17"/>
      <c r="Z7" s="15"/>
      <c r="AA7" s="15"/>
      <c r="AB7" s="15"/>
      <c r="AC7" s="15"/>
      <c r="AD7" s="15"/>
      <c r="AE7" s="17"/>
      <c r="AF7" s="15" t="str">
        <f>IFERROR(VLOOKUP(AE7,Legend!$D$2:$E$26,2,0),"")</f>
        <v/>
      </c>
      <c r="AG7" s="17"/>
      <c r="AH7" s="17"/>
      <c r="AI7" s="17"/>
      <c r="AJ7" s="17"/>
      <c r="AK7" s="17"/>
      <c r="AL7" s="17"/>
      <c r="AM7" s="17"/>
      <c r="AN7" s="15"/>
      <c r="AO7" s="15"/>
      <c r="AR7"/>
      <c r="AS7"/>
      <c r="AT7"/>
      <c r="BE7"/>
      <c r="BF7"/>
    </row>
    <row r="8" spans="1:58" x14ac:dyDescent="0.25">
      <c r="A8" s="17">
        <v>5</v>
      </c>
      <c r="B8" s="15"/>
      <c r="C8" s="93"/>
      <c r="D8" s="17"/>
      <c r="E8" s="18"/>
      <c r="F8" s="15"/>
      <c r="G8" s="15"/>
      <c r="H8" s="15"/>
      <c r="I8" s="17" t="s">
        <v>16</v>
      </c>
      <c r="J8" s="17"/>
      <c r="K8" s="17" t="s">
        <v>8</v>
      </c>
      <c r="L8" s="15"/>
      <c r="M8" s="15"/>
      <c r="N8" s="15"/>
      <c r="O8" s="15"/>
      <c r="P8" s="15"/>
      <c r="Q8" s="15"/>
      <c r="R8" s="15"/>
      <c r="S8" s="15" t="s">
        <v>35</v>
      </c>
      <c r="T8" s="89">
        <v>0</v>
      </c>
      <c r="U8" s="89">
        <v>0</v>
      </c>
      <c r="V8" s="89">
        <f t="shared" si="0"/>
        <v>0</v>
      </c>
      <c r="W8" s="17" t="s">
        <v>192</v>
      </c>
      <c r="X8" s="17"/>
      <c r="Y8" s="17"/>
      <c r="Z8" s="15"/>
      <c r="AA8" s="15"/>
      <c r="AB8" s="15"/>
      <c r="AC8" s="15"/>
      <c r="AD8" s="15"/>
      <c r="AE8" s="17"/>
      <c r="AF8" s="15" t="str">
        <f>IFERROR(VLOOKUP(AE8,Legend!$D$2:$E$26,2,0),"")</f>
        <v/>
      </c>
      <c r="AG8" s="17"/>
      <c r="AH8" s="17"/>
      <c r="AI8" s="17"/>
      <c r="AJ8" s="17"/>
      <c r="AK8" s="17"/>
      <c r="AL8" s="17"/>
      <c r="AM8" s="17"/>
      <c r="AN8" s="15"/>
      <c r="AO8" s="15"/>
      <c r="AR8"/>
      <c r="AS8"/>
      <c r="AT8"/>
      <c r="BE8"/>
      <c r="BF8"/>
    </row>
    <row r="9" spans="1:58" x14ac:dyDescent="0.25">
      <c r="A9" s="17">
        <v>6</v>
      </c>
      <c r="B9" s="15"/>
      <c r="C9" s="93"/>
      <c r="D9" s="17"/>
      <c r="E9" s="18"/>
      <c r="F9" s="15"/>
      <c r="G9" s="15"/>
      <c r="H9" s="15"/>
      <c r="I9" s="17" t="s">
        <v>172</v>
      </c>
      <c r="J9" s="17"/>
      <c r="K9" s="17" t="s">
        <v>8</v>
      </c>
      <c r="L9" s="15"/>
      <c r="M9" s="15"/>
      <c r="N9" s="15"/>
      <c r="O9" s="15"/>
      <c r="P9" s="15"/>
      <c r="Q9" s="15"/>
      <c r="R9" s="15"/>
      <c r="S9" s="15" t="s">
        <v>35</v>
      </c>
      <c r="T9" s="89">
        <v>0</v>
      </c>
      <c r="U9" s="89">
        <v>0</v>
      </c>
      <c r="V9" s="89">
        <f t="shared" si="0"/>
        <v>0</v>
      </c>
      <c r="W9" s="17" t="s">
        <v>192</v>
      </c>
      <c r="X9" s="17"/>
      <c r="Y9" s="17"/>
      <c r="Z9" s="15"/>
      <c r="AA9" s="15"/>
      <c r="AB9" s="15"/>
      <c r="AC9" s="15"/>
      <c r="AD9" s="15"/>
      <c r="AE9" s="17"/>
      <c r="AF9" s="15" t="str">
        <f>IFERROR(VLOOKUP(AE9,Legend!$D$2:$E$26,2,0),"")</f>
        <v/>
      </c>
      <c r="AG9" s="17"/>
      <c r="AH9" s="17"/>
      <c r="AI9" s="17"/>
      <c r="AJ9" s="17"/>
      <c r="AK9" s="17"/>
      <c r="AL9" s="17"/>
      <c r="AM9" s="17"/>
      <c r="AN9" s="15"/>
      <c r="AO9" s="15"/>
      <c r="AR9"/>
      <c r="AS9"/>
      <c r="AT9"/>
      <c r="BE9"/>
      <c r="BF9"/>
    </row>
    <row r="10" spans="1:58" x14ac:dyDescent="0.25">
      <c r="A10" s="17">
        <v>7</v>
      </c>
      <c r="B10" s="15"/>
      <c r="C10" s="93"/>
      <c r="D10" s="17"/>
      <c r="E10" s="18"/>
      <c r="F10" s="15"/>
      <c r="G10" s="15"/>
      <c r="H10" s="15"/>
      <c r="I10" s="17" t="s">
        <v>81</v>
      </c>
      <c r="J10" s="17"/>
      <c r="K10" s="17" t="s">
        <v>8</v>
      </c>
      <c r="L10" s="15"/>
      <c r="M10" s="15"/>
      <c r="N10" s="15"/>
      <c r="O10" s="15"/>
      <c r="P10" s="15"/>
      <c r="Q10" s="15"/>
      <c r="R10" s="15"/>
      <c r="S10" s="15" t="s">
        <v>35</v>
      </c>
      <c r="T10" s="89">
        <v>0</v>
      </c>
      <c r="U10" s="89">
        <v>0</v>
      </c>
      <c r="V10" s="89">
        <f t="shared" si="0"/>
        <v>0</v>
      </c>
      <c r="W10" s="17" t="s">
        <v>192</v>
      </c>
      <c r="X10" s="17"/>
      <c r="Y10" s="17"/>
      <c r="Z10" s="15"/>
      <c r="AA10" s="15"/>
      <c r="AB10" s="15"/>
      <c r="AC10" s="15"/>
      <c r="AD10" s="15"/>
      <c r="AE10" s="17"/>
      <c r="AF10" s="15" t="str">
        <f>IFERROR(VLOOKUP(AE10,Legend!$D$2:$E$26,2,0),"")</f>
        <v/>
      </c>
      <c r="AG10" s="17"/>
      <c r="AH10" s="17"/>
      <c r="AI10" s="17"/>
      <c r="AJ10" s="17"/>
      <c r="AK10" s="17"/>
      <c r="AL10" s="17"/>
      <c r="AM10" s="17"/>
      <c r="AN10" s="15"/>
      <c r="AO10" s="88"/>
      <c r="AR10"/>
      <c r="AS10"/>
      <c r="AT10"/>
      <c r="BE10"/>
      <c r="BF10"/>
    </row>
    <row r="11" spans="1:58" x14ac:dyDescent="0.25">
      <c r="A11" s="17">
        <v>8</v>
      </c>
      <c r="B11" s="15"/>
      <c r="C11" s="93"/>
      <c r="D11" s="17"/>
      <c r="E11" s="18"/>
      <c r="F11" s="15"/>
      <c r="G11" s="15"/>
      <c r="H11" s="15"/>
      <c r="I11" s="17" t="s">
        <v>82</v>
      </c>
      <c r="J11" s="17"/>
      <c r="K11" s="17" t="s">
        <v>8</v>
      </c>
      <c r="L11" s="15"/>
      <c r="M11" s="15"/>
      <c r="N11" s="15"/>
      <c r="O11" s="15"/>
      <c r="P11" s="15"/>
      <c r="Q11" s="15"/>
      <c r="R11" s="15"/>
      <c r="S11" s="15" t="s">
        <v>35</v>
      </c>
      <c r="T11" s="89">
        <v>0</v>
      </c>
      <c r="U11" s="89">
        <v>0</v>
      </c>
      <c r="V11" s="89">
        <f t="shared" si="0"/>
        <v>0</v>
      </c>
      <c r="W11" s="17" t="s">
        <v>192</v>
      </c>
      <c r="X11" s="17"/>
      <c r="Y11" s="17"/>
      <c r="Z11" s="15"/>
      <c r="AA11" s="15"/>
      <c r="AB11" s="15"/>
      <c r="AC11" s="15"/>
      <c r="AD11" s="15"/>
      <c r="AE11" s="17"/>
      <c r="AF11" s="15" t="str">
        <f>IFERROR(VLOOKUP(AE11,Legend!$D$2:$E$26,2,0),"")</f>
        <v/>
      </c>
      <c r="AG11" s="17"/>
      <c r="AH11" s="17"/>
      <c r="AI11" s="17"/>
      <c r="AJ11" s="17"/>
      <c r="AK11" s="17"/>
      <c r="AL11" s="17"/>
      <c r="AM11" s="17"/>
      <c r="AN11" s="15"/>
      <c r="AO11" s="15"/>
      <c r="AR11"/>
      <c r="AS11"/>
      <c r="AT11"/>
      <c r="BE11"/>
      <c r="BF11"/>
    </row>
    <row r="12" spans="1:58" x14ac:dyDescent="0.25">
      <c r="A12" s="17">
        <v>9</v>
      </c>
      <c r="B12" s="15"/>
      <c r="C12" s="93"/>
      <c r="D12" s="17"/>
      <c r="E12" s="18"/>
      <c r="F12" s="15"/>
      <c r="G12" s="15"/>
      <c r="H12" s="15"/>
      <c r="I12" s="17" t="s">
        <v>21</v>
      </c>
      <c r="J12" s="17"/>
      <c r="K12" s="17" t="s">
        <v>8</v>
      </c>
      <c r="L12" s="15"/>
      <c r="M12" s="15"/>
      <c r="N12" s="15"/>
      <c r="O12" s="15"/>
      <c r="P12" s="15"/>
      <c r="Q12" s="15"/>
      <c r="R12" s="15"/>
      <c r="S12" s="15" t="s">
        <v>35</v>
      </c>
      <c r="T12" s="89">
        <v>0</v>
      </c>
      <c r="U12" s="89">
        <v>0</v>
      </c>
      <c r="V12" s="89">
        <f t="shared" si="0"/>
        <v>0</v>
      </c>
      <c r="W12" s="17" t="s">
        <v>192</v>
      </c>
      <c r="X12" s="17"/>
      <c r="Y12" s="17"/>
      <c r="Z12" s="15"/>
      <c r="AA12" s="15"/>
      <c r="AB12" s="15"/>
      <c r="AC12" s="15"/>
      <c r="AD12" s="15"/>
      <c r="AE12" s="17"/>
      <c r="AF12" s="15" t="str">
        <f>IFERROR(VLOOKUP(AE12,Legend!$D$2:$E$26,2,0),"")</f>
        <v/>
      </c>
      <c r="AG12" s="17"/>
      <c r="AH12" s="17"/>
      <c r="AI12" s="17"/>
      <c r="AJ12" s="17"/>
      <c r="AK12" s="17"/>
      <c r="AL12" s="17"/>
      <c r="AM12" s="17"/>
      <c r="AN12" s="15"/>
      <c r="AO12" s="15"/>
      <c r="AR12"/>
      <c r="AS12"/>
      <c r="AT12"/>
      <c r="BE12"/>
      <c r="BF12"/>
    </row>
    <row r="13" spans="1:58" x14ac:dyDescent="0.25">
      <c r="A13" s="17">
        <v>10</v>
      </c>
      <c r="B13" s="15"/>
      <c r="C13" s="93"/>
      <c r="D13" s="17"/>
      <c r="E13" s="18"/>
      <c r="F13" s="15"/>
      <c r="G13" s="15"/>
      <c r="H13" s="15"/>
      <c r="I13" s="17" t="s">
        <v>22</v>
      </c>
      <c r="J13" s="17"/>
      <c r="K13" s="17" t="s">
        <v>8</v>
      </c>
      <c r="L13" s="15"/>
      <c r="M13" s="15"/>
      <c r="N13" s="15"/>
      <c r="O13" s="15"/>
      <c r="P13" s="15"/>
      <c r="Q13" s="15"/>
      <c r="R13" s="15"/>
      <c r="S13" s="15" t="s">
        <v>35</v>
      </c>
      <c r="T13" s="89">
        <v>0</v>
      </c>
      <c r="U13" s="89">
        <v>0</v>
      </c>
      <c r="V13" s="89">
        <f t="shared" si="0"/>
        <v>0</v>
      </c>
      <c r="W13" s="17" t="s">
        <v>192</v>
      </c>
      <c r="X13" s="17"/>
      <c r="Y13" s="17"/>
      <c r="Z13" s="15"/>
      <c r="AA13" s="15"/>
      <c r="AB13" s="15"/>
      <c r="AC13" s="15"/>
      <c r="AD13" s="15"/>
      <c r="AE13" s="17"/>
      <c r="AF13" s="15" t="str">
        <f>IFERROR(VLOOKUP(AE13,Legend!$D$2:$E$26,2,0),"")</f>
        <v/>
      </c>
      <c r="AG13" s="17"/>
      <c r="AH13" s="17"/>
      <c r="AI13" s="17"/>
      <c r="AJ13" s="17"/>
      <c r="AK13" s="17"/>
      <c r="AL13" s="17"/>
      <c r="AM13" s="17"/>
      <c r="AN13" s="15"/>
      <c r="AO13" s="15"/>
      <c r="AR13"/>
      <c r="AS13"/>
      <c r="AT13"/>
      <c r="BE13"/>
      <c r="BF13"/>
    </row>
    <row r="14" spans="1:58" x14ac:dyDescent="0.25">
      <c r="A14" s="17">
        <v>11</v>
      </c>
      <c r="B14" s="15"/>
      <c r="C14" s="93"/>
      <c r="D14" s="17"/>
      <c r="E14" s="18"/>
      <c r="F14" s="15"/>
      <c r="G14" s="15"/>
      <c r="H14" s="15"/>
      <c r="I14" s="17" t="s">
        <v>11</v>
      </c>
      <c r="J14" s="17"/>
      <c r="K14" s="17" t="s">
        <v>8</v>
      </c>
      <c r="L14" s="15"/>
      <c r="M14" s="15"/>
      <c r="N14" s="15"/>
      <c r="O14" s="15"/>
      <c r="P14" s="15"/>
      <c r="Q14" s="15"/>
      <c r="R14" s="15"/>
      <c r="S14" s="15" t="s">
        <v>35</v>
      </c>
      <c r="T14" s="89">
        <v>0</v>
      </c>
      <c r="U14" s="89">
        <v>0</v>
      </c>
      <c r="V14" s="89">
        <f t="shared" si="0"/>
        <v>0</v>
      </c>
      <c r="W14" s="17" t="s">
        <v>192</v>
      </c>
      <c r="X14" s="17"/>
      <c r="Y14" s="17"/>
      <c r="Z14" s="15"/>
      <c r="AA14" s="15"/>
      <c r="AB14" s="15"/>
      <c r="AC14" s="15"/>
      <c r="AD14" s="15"/>
      <c r="AE14" s="17"/>
      <c r="AF14" s="15" t="str">
        <f>IFERROR(VLOOKUP(AE14,Legend!$D$2:$E$26,2,0),"")</f>
        <v/>
      </c>
      <c r="AG14" s="17"/>
      <c r="AH14" s="17"/>
      <c r="AI14" s="17"/>
      <c r="AJ14" s="17"/>
      <c r="AK14" s="17"/>
      <c r="AL14" s="17"/>
      <c r="AM14" s="17"/>
      <c r="AN14" s="15"/>
      <c r="AO14" s="15"/>
      <c r="AR14"/>
      <c r="AS14"/>
      <c r="AT14"/>
      <c r="BE14"/>
      <c r="BF14"/>
    </row>
    <row r="15" spans="1:58" x14ac:dyDescent="0.25">
      <c r="A15" s="17">
        <v>12</v>
      </c>
      <c r="B15" s="15"/>
      <c r="C15" s="93"/>
      <c r="D15" s="17"/>
      <c r="E15" s="18"/>
      <c r="F15" s="15"/>
      <c r="G15" s="15"/>
      <c r="H15" s="15"/>
      <c r="I15" s="17" t="s">
        <v>5</v>
      </c>
      <c r="J15" s="17"/>
      <c r="K15" s="17" t="s">
        <v>8</v>
      </c>
      <c r="L15" s="15"/>
      <c r="M15" s="15"/>
      <c r="N15" s="15"/>
      <c r="O15" s="15"/>
      <c r="P15" s="15"/>
      <c r="Q15" s="15"/>
      <c r="R15" s="15"/>
      <c r="S15" s="15" t="s">
        <v>35</v>
      </c>
      <c r="T15" s="89">
        <v>0</v>
      </c>
      <c r="U15" s="89">
        <v>0</v>
      </c>
      <c r="V15" s="89">
        <f t="shared" si="0"/>
        <v>0</v>
      </c>
      <c r="W15" s="17" t="s">
        <v>192</v>
      </c>
      <c r="X15" s="17"/>
      <c r="Y15" s="17"/>
      <c r="Z15" s="15"/>
      <c r="AA15" s="15"/>
      <c r="AB15" s="15"/>
      <c r="AC15" s="15"/>
      <c r="AD15" s="15"/>
      <c r="AE15" s="17"/>
      <c r="AF15" s="15" t="str">
        <f>IFERROR(VLOOKUP(AE15,Legend!$D$2:$E$26,2,0),"")</f>
        <v/>
      </c>
      <c r="AG15" s="17"/>
      <c r="AH15" s="17"/>
      <c r="AI15" s="17"/>
      <c r="AJ15" s="17"/>
      <c r="AK15" s="17"/>
      <c r="AL15" s="17"/>
      <c r="AM15" s="17"/>
      <c r="AN15" s="15"/>
      <c r="AO15" s="15"/>
      <c r="AR15"/>
      <c r="AS15"/>
      <c r="AT15"/>
      <c r="BE15"/>
      <c r="BF15"/>
    </row>
    <row r="16" spans="1:58" x14ac:dyDescent="0.25">
      <c r="A16" s="17">
        <v>13</v>
      </c>
      <c r="B16" s="15"/>
      <c r="C16" s="93"/>
      <c r="D16" s="17"/>
      <c r="E16" s="18"/>
      <c r="F16" s="15"/>
      <c r="G16" s="15"/>
      <c r="H16" s="15"/>
      <c r="I16" s="17"/>
      <c r="J16" s="17"/>
      <c r="K16" s="17" t="s">
        <v>8</v>
      </c>
      <c r="L16" s="15"/>
      <c r="M16" s="15"/>
      <c r="N16" s="15"/>
      <c r="O16" s="15"/>
      <c r="P16" s="15"/>
      <c r="Q16" s="15"/>
      <c r="R16" s="15"/>
      <c r="S16" s="15" t="s">
        <v>35</v>
      </c>
      <c r="T16" s="89">
        <v>0</v>
      </c>
      <c r="U16" s="89">
        <v>0</v>
      </c>
      <c r="V16" s="89">
        <f t="shared" si="0"/>
        <v>0</v>
      </c>
      <c r="W16" s="17" t="s">
        <v>192</v>
      </c>
      <c r="X16" s="17"/>
      <c r="Y16" s="17"/>
      <c r="Z16" s="15"/>
      <c r="AA16" s="15"/>
      <c r="AB16" s="15"/>
      <c r="AC16" s="15"/>
      <c r="AD16" s="15"/>
      <c r="AE16" s="17"/>
      <c r="AF16" s="15" t="str">
        <f>IFERROR(VLOOKUP(AE16,Legend!$D$2:$E$26,2,0),"")</f>
        <v/>
      </c>
      <c r="AG16" s="17"/>
      <c r="AH16" s="17"/>
      <c r="AI16" s="17"/>
      <c r="AJ16" s="17"/>
      <c r="AK16" s="17"/>
      <c r="AL16" s="17"/>
      <c r="AM16" s="17"/>
      <c r="AN16" s="15"/>
      <c r="AO16" s="88"/>
      <c r="AR16"/>
      <c r="AS16"/>
      <c r="AT16"/>
      <c r="BE16"/>
      <c r="BF16"/>
    </row>
    <row r="17" spans="1:58" x14ac:dyDescent="0.25">
      <c r="A17" s="17">
        <v>14</v>
      </c>
      <c r="B17" s="15"/>
      <c r="C17" s="93"/>
      <c r="D17" s="17"/>
      <c r="E17" s="18"/>
      <c r="F17" s="15"/>
      <c r="G17" s="15"/>
      <c r="H17" s="15"/>
      <c r="I17" s="17"/>
      <c r="J17" s="17"/>
      <c r="K17" s="17" t="s">
        <v>8</v>
      </c>
      <c r="L17" s="15"/>
      <c r="M17" s="15"/>
      <c r="N17" s="15"/>
      <c r="O17" s="15"/>
      <c r="P17" s="15"/>
      <c r="Q17" s="15"/>
      <c r="R17" s="15"/>
      <c r="S17" s="15" t="s">
        <v>35</v>
      </c>
      <c r="T17" s="89">
        <v>0</v>
      </c>
      <c r="U17" s="89">
        <v>0</v>
      </c>
      <c r="V17" s="89">
        <f t="shared" si="0"/>
        <v>0</v>
      </c>
      <c r="W17" s="17"/>
      <c r="X17" s="17"/>
      <c r="Y17" s="17"/>
      <c r="Z17" s="15"/>
      <c r="AA17" s="15"/>
      <c r="AB17" s="15"/>
      <c r="AC17" s="15"/>
      <c r="AD17" s="15"/>
      <c r="AE17" s="17"/>
      <c r="AF17" s="15" t="str">
        <f>IFERROR(VLOOKUP(AE17,Legend!$D$2:$E$26,2,0),"")</f>
        <v/>
      </c>
      <c r="AG17" s="17"/>
      <c r="AH17" s="17"/>
      <c r="AI17" s="17"/>
      <c r="AJ17" s="17"/>
      <c r="AK17" s="17"/>
      <c r="AL17" s="17"/>
      <c r="AM17" s="17"/>
      <c r="AN17" s="15"/>
      <c r="AO17" s="88"/>
      <c r="AR17"/>
      <c r="AS17"/>
      <c r="AT17"/>
      <c r="BE17"/>
      <c r="BF17"/>
    </row>
    <row r="18" spans="1:58" x14ac:dyDescent="0.25">
      <c r="A18" s="17">
        <v>15</v>
      </c>
      <c r="B18" s="15"/>
      <c r="C18" s="93"/>
      <c r="D18" s="17"/>
      <c r="E18" s="18"/>
      <c r="F18" s="15"/>
      <c r="G18" s="15"/>
      <c r="H18" s="15"/>
      <c r="I18" s="17"/>
      <c r="J18" s="17"/>
      <c r="K18" s="17" t="s">
        <v>8</v>
      </c>
      <c r="L18" s="15"/>
      <c r="M18" s="15"/>
      <c r="N18" s="15"/>
      <c r="O18" s="15"/>
      <c r="P18" s="15"/>
      <c r="Q18" s="15"/>
      <c r="R18" s="15"/>
      <c r="S18" s="15" t="s">
        <v>35</v>
      </c>
      <c r="T18" s="89">
        <v>0</v>
      </c>
      <c r="U18" s="89">
        <v>0</v>
      </c>
      <c r="V18" s="89">
        <f t="shared" si="0"/>
        <v>0</v>
      </c>
      <c r="W18" s="17"/>
      <c r="X18" s="17"/>
      <c r="Y18" s="17"/>
      <c r="Z18" s="15"/>
      <c r="AA18" s="15"/>
      <c r="AB18" s="15"/>
      <c r="AC18" s="15"/>
      <c r="AD18" s="15"/>
      <c r="AE18" s="17"/>
      <c r="AF18" s="15" t="str">
        <f>IFERROR(VLOOKUP(AE18,Legend!$D$2:$E$26,2,0),"")</f>
        <v/>
      </c>
      <c r="AG18" s="17"/>
      <c r="AH18" s="17"/>
      <c r="AI18" s="17"/>
      <c r="AJ18" s="17"/>
      <c r="AK18" s="17"/>
      <c r="AL18" s="17"/>
      <c r="AM18" s="17"/>
      <c r="AN18" s="15"/>
      <c r="AO18" s="15"/>
      <c r="AR18"/>
      <c r="AS18"/>
      <c r="AT18"/>
      <c r="BE18"/>
      <c r="BF18"/>
    </row>
    <row r="19" spans="1:58" x14ac:dyDescent="0.25">
      <c r="A19" s="17">
        <v>16</v>
      </c>
      <c r="B19" s="15"/>
      <c r="C19" s="93"/>
      <c r="D19" s="17"/>
      <c r="E19" s="18"/>
      <c r="F19" s="15"/>
      <c r="G19" s="15"/>
      <c r="H19" s="15"/>
      <c r="I19" s="17"/>
      <c r="J19" s="17"/>
      <c r="K19" s="17" t="s">
        <v>8</v>
      </c>
      <c r="L19" s="15"/>
      <c r="M19" s="15"/>
      <c r="N19" s="15"/>
      <c r="O19" s="15"/>
      <c r="P19" s="15"/>
      <c r="Q19" s="15"/>
      <c r="R19" s="15"/>
      <c r="S19" s="15" t="s">
        <v>35</v>
      </c>
      <c r="T19" s="89">
        <v>0</v>
      </c>
      <c r="U19" s="89">
        <v>0</v>
      </c>
      <c r="V19" s="89">
        <f t="shared" si="0"/>
        <v>0</v>
      </c>
      <c r="W19" s="17"/>
      <c r="X19" s="17"/>
      <c r="Y19" s="17"/>
      <c r="Z19" s="15"/>
      <c r="AA19" s="15"/>
      <c r="AB19" s="15"/>
      <c r="AC19" s="15"/>
      <c r="AD19" s="15"/>
      <c r="AE19" s="17"/>
      <c r="AF19" s="15" t="str">
        <f>IFERROR(VLOOKUP(AE19,Legend!$D$2:$E$26,2,0),"")</f>
        <v/>
      </c>
      <c r="AG19" s="17"/>
      <c r="AH19" s="17"/>
      <c r="AI19" s="17"/>
      <c r="AJ19" s="17"/>
      <c r="AK19" s="17"/>
      <c r="AL19" s="17"/>
      <c r="AM19" s="17"/>
      <c r="AN19" s="15"/>
      <c r="AO19" s="15"/>
      <c r="AR19"/>
      <c r="AS19"/>
      <c r="AT19"/>
      <c r="BE19"/>
      <c r="BF19"/>
    </row>
    <row r="20" spans="1:58" x14ac:dyDescent="0.25">
      <c r="A20" s="17">
        <v>17</v>
      </c>
      <c r="B20" s="15"/>
      <c r="C20" s="93"/>
      <c r="D20" s="17"/>
      <c r="E20" s="18"/>
      <c r="F20" s="15"/>
      <c r="G20" s="15"/>
      <c r="H20" s="15"/>
      <c r="I20" s="17"/>
      <c r="J20" s="17"/>
      <c r="K20" s="17" t="s">
        <v>8</v>
      </c>
      <c r="L20" s="15"/>
      <c r="M20" s="15"/>
      <c r="N20" s="15"/>
      <c r="O20" s="15"/>
      <c r="P20" s="15"/>
      <c r="Q20" s="15"/>
      <c r="R20" s="15"/>
      <c r="S20" s="15" t="s">
        <v>35</v>
      </c>
      <c r="T20" s="89">
        <v>0</v>
      </c>
      <c r="U20" s="89">
        <v>0</v>
      </c>
      <c r="V20" s="89">
        <f t="shared" si="0"/>
        <v>0</v>
      </c>
      <c r="W20" s="17"/>
      <c r="X20" s="17"/>
      <c r="Y20" s="17"/>
      <c r="Z20" s="15"/>
      <c r="AA20" s="15"/>
      <c r="AB20" s="15"/>
      <c r="AC20" s="15"/>
      <c r="AD20" s="15"/>
      <c r="AE20" s="17"/>
      <c r="AF20" s="15" t="str">
        <f>IFERROR(VLOOKUP(AE20,Legend!$D$2:$E$26,2,0),"")</f>
        <v/>
      </c>
      <c r="AG20" s="17"/>
      <c r="AH20" s="17"/>
      <c r="AI20" s="17"/>
      <c r="AJ20" s="17"/>
      <c r="AK20" s="17"/>
      <c r="AL20" s="17"/>
      <c r="AM20" s="17"/>
      <c r="AN20" s="15"/>
      <c r="AO20" s="15"/>
      <c r="AR20"/>
      <c r="AS20"/>
      <c r="AT20"/>
      <c r="BE20"/>
      <c r="BF20"/>
    </row>
    <row r="21" spans="1:58" x14ac:dyDescent="0.25">
      <c r="A21" s="17">
        <v>18</v>
      </c>
      <c r="B21" s="15"/>
      <c r="C21" s="93"/>
      <c r="D21" s="17"/>
      <c r="E21" s="18"/>
      <c r="F21" s="15"/>
      <c r="G21" s="15"/>
      <c r="H21" s="15"/>
      <c r="I21" s="17"/>
      <c r="J21" s="17"/>
      <c r="K21" s="17" t="s">
        <v>8</v>
      </c>
      <c r="L21" s="15"/>
      <c r="M21" s="15"/>
      <c r="N21" s="15"/>
      <c r="O21" s="15"/>
      <c r="P21" s="15"/>
      <c r="Q21" s="15"/>
      <c r="R21" s="15"/>
      <c r="S21" s="15" t="s">
        <v>35</v>
      </c>
      <c r="T21" s="89">
        <v>0</v>
      </c>
      <c r="U21" s="89">
        <v>0</v>
      </c>
      <c r="V21" s="89">
        <f t="shared" si="0"/>
        <v>0</v>
      </c>
      <c r="W21" s="17"/>
      <c r="X21" s="17"/>
      <c r="Y21" s="17"/>
      <c r="Z21" s="15"/>
      <c r="AA21" s="15"/>
      <c r="AB21" s="15"/>
      <c r="AC21" s="15"/>
      <c r="AD21" s="15"/>
      <c r="AE21" s="17"/>
      <c r="AF21" s="15" t="str">
        <f>IFERROR(VLOOKUP(AE21,Legend!$D$2:$E$26,2,0),"")</f>
        <v/>
      </c>
      <c r="AG21" s="17"/>
      <c r="AH21" s="17"/>
      <c r="AI21" s="17"/>
      <c r="AJ21" s="17"/>
      <c r="AK21" s="17"/>
      <c r="AL21" s="17"/>
      <c r="AM21" s="17"/>
      <c r="AN21" s="15"/>
      <c r="AO21" s="15"/>
      <c r="AR21"/>
      <c r="AS21"/>
      <c r="AT21"/>
      <c r="BE21"/>
      <c r="BF21"/>
    </row>
    <row r="22" spans="1:58" x14ac:dyDescent="0.25">
      <c r="A22" s="17">
        <v>19</v>
      </c>
      <c r="B22" s="15"/>
      <c r="C22" s="93"/>
      <c r="D22" s="17"/>
      <c r="E22" s="18"/>
      <c r="F22" s="15"/>
      <c r="G22" s="15"/>
      <c r="H22" s="15"/>
      <c r="I22" s="17"/>
      <c r="J22" s="17"/>
      <c r="K22" s="17" t="s">
        <v>8</v>
      </c>
      <c r="L22" s="15"/>
      <c r="M22" s="15"/>
      <c r="N22" s="15"/>
      <c r="O22" s="15"/>
      <c r="P22" s="15"/>
      <c r="Q22" s="15"/>
      <c r="R22" s="15"/>
      <c r="S22" s="15" t="s">
        <v>35</v>
      </c>
      <c r="T22" s="89">
        <v>0</v>
      </c>
      <c r="U22" s="89">
        <v>0</v>
      </c>
      <c r="V22" s="89">
        <f t="shared" si="0"/>
        <v>0</v>
      </c>
      <c r="W22" s="17"/>
      <c r="X22" s="17"/>
      <c r="Y22" s="17"/>
      <c r="Z22" s="15"/>
      <c r="AA22" s="15"/>
      <c r="AB22" s="15"/>
      <c r="AC22" s="15"/>
      <c r="AD22" s="15"/>
      <c r="AE22" s="17"/>
      <c r="AF22" s="15" t="str">
        <f>IFERROR(VLOOKUP(AE22,Legend!$D$2:$E$26,2,0),"")</f>
        <v/>
      </c>
      <c r="AG22" s="17"/>
      <c r="AH22" s="17"/>
      <c r="AI22" s="17"/>
      <c r="AJ22" s="17"/>
      <c r="AK22" s="17"/>
      <c r="AL22" s="17"/>
      <c r="AM22" s="17"/>
      <c r="AN22" s="15"/>
      <c r="AO22" s="15"/>
      <c r="AR22"/>
      <c r="AS22"/>
      <c r="AT22"/>
      <c r="BE22"/>
      <c r="BF22"/>
    </row>
    <row r="23" spans="1:58" x14ac:dyDescent="0.25">
      <c r="A23" s="17">
        <v>20</v>
      </c>
      <c r="B23" s="15"/>
      <c r="C23" s="93"/>
      <c r="D23" s="17"/>
      <c r="E23" s="18"/>
      <c r="F23" s="15"/>
      <c r="G23" s="15"/>
      <c r="H23" s="15"/>
      <c r="I23" s="17"/>
      <c r="J23" s="17"/>
      <c r="K23" s="17" t="s">
        <v>8</v>
      </c>
      <c r="L23" s="15"/>
      <c r="M23" s="15"/>
      <c r="N23" s="15"/>
      <c r="O23" s="15"/>
      <c r="P23" s="15"/>
      <c r="Q23" s="15"/>
      <c r="R23" s="15"/>
      <c r="S23" s="15" t="s">
        <v>35</v>
      </c>
      <c r="T23" s="89">
        <v>0</v>
      </c>
      <c r="U23" s="89">
        <v>0</v>
      </c>
      <c r="V23" s="89">
        <f t="shared" si="0"/>
        <v>0</v>
      </c>
      <c r="W23" s="17"/>
      <c r="X23" s="17"/>
      <c r="Y23" s="17"/>
      <c r="Z23" s="15"/>
      <c r="AA23" s="15"/>
      <c r="AB23" s="15"/>
      <c r="AC23" s="15"/>
      <c r="AD23" s="15"/>
      <c r="AE23" s="17"/>
      <c r="AF23" s="15" t="str">
        <f>IFERROR(VLOOKUP(AE23,Legend!$D$2:$E$26,2,0),"")</f>
        <v/>
      </c>
      <c r="AG23" s="17"/>
      <c r="AH23" s="17"/>
      <c r="AI23" s="17"/>
      <c r="AJ23" s="17"/>
      <c r="AK23" s="17"/>
      <c r="AL23" s="17"/>
      <c r="AM23" s="17"/>
      <c r="AN23" s="91"/>
      <c r="AO23" s="15"/>
      <c r="AR23"/>
      <c r="AS23"/>
      <c r="AT23"/>
      <c r="BE23"/>
      <c r="BF23"/>
    </row>
    <row r="24" spans="1:58" x14ac:dyDescent="0.25">
      <c r="A24" s="17">
        <v>21</v>
      </c>
      <c r="B24" s="15"/>
      <c r="C24" s="93"/>
      <c r="D24" s="17"/>
      <c r="E24" s="18"/>
      <c r="F24" s="15"/>
      <c r="G24" s="15"/>
      <c r="H24" s="15"/>
      <c r="I24" s="17"/>
      <c r="J24" s="17"/>
      <c r="K24" s="17" t="s">
        <v>8</v>
      </c>
      <c r="L24" s="15"/>
      <c r="M24" s="15"/>
      <c r="N24" s="15"/>
      <c r="O24" s="15"/>
      <c r="P24" s="15"/>
      <c r="Q24" s="15"/>
      <c r="R24" s="15"/>
      <c r="S24" s="15" t="s">
        <v>35</v>
      </c>
      <c r="T24" s="89">
        <v>0</v>
      </c>
      <c r="U24" s="89">
        <v>0</v>
      </c>
      <c r="V24" s="89">
        <f t="shared" si="0"/>
        <v>0</v>
      </c>
      <c r="W24" s="17"/>
      <c r="X24" s="17"/>
      <c r="Y24" s="17"/>
      <c r="Z24" s="15"/>
      <c r="AA24" s="15"/>
      <c r="AB24" s="15"/>
      <c r="AC24" s="15"/>
      <c r="AD24" s="15"/>
      <c r="AE24" s="17"/>
      <c r="AF24" s="15" t="str">
        <f>IFERROR(VLOOKUP(AE24,Legend!$D$2:$E$26,2,0),"")</f>
        <v/>
      </c>
      <c r="AG24" s="17"/>
      <c r="AH24" s="17"/>
      <c r="AI24" s="17"/>
      <c r="AJ24" s="17"/>
      <c r="AK24" s="17"/>
      <c r="AL24" s="17"/>
      <c r="AM24" s="17"/>
      <c r="AN24" s="15"/>
      <c r="AO24" s="15"/>
      <c r="AR24"/>
      <c r="AS24"/>
      <c r="AT24"/>
      <c r="BE24"/>
      <c r="BF24"/>
    </row>
    <row r="25" spans="1:58" x14ac:dyDescent="0.25">
      <c r="A25" s="17">
        <v>22</v>
      </c>
      <c r="B25" s="15"/>
      <c r="C25" s="93"/>
      <c r="D25" s="17"/>
      <c r="E25" s="18"/>
      <c r="F25" s="15"/>
      <c r="G25" s="15"/>
      <c r="H25" s="15"/>
      <c r="I25" s="17"/>
      <c r="J25" s="17"/>
      <c r="K25" s="17" t="s">
        <v>8</v>
      </c>
      <c r="L25" s="15"/>
      <c r="M25" s="15"/>
      <c r="N25" s="15"/>
      <c r="O25" s="15"/>
      <c r="P25" s="15"/>
      <c r="Q25" s="15"/>
      <c r="R25" s="15"/>
      <c r="S25" s="15" t="s">
        <v>35</v>
      </c>
      <c r="T25" s="89">
        <v>0</v>
      </c>
      <c r="U25" s="89">
        <v>0</v>
      </c>
      <c r="V25" s="89">
        <f t="shared" si="0"/>
        <v>0</v>
      </c>
      <c r="W25" s="17"/>
      <c r="X25" s="17"/>
      <c r="Y25" s="17"/>
      <c r="Z25" s="15"/>
      <c r="AA25" s="15"/>
      <c r="AB25" s="15"/>
      <c r="AC25" s="15"/>
      <c r="AD25" s="15"/>
      <c r="AE25" s="17"/>
      <c r="AF25" s="15" t="str">
        <f>IFERROR(VLOOKUP(AE25,Legend!$D$2:$E$26,2,0),"")</f>
        <v/>
      </c>
      <c r="AG25" s="17"/>
      <c r="AH25" s="17"/>
      <c r="AI25" s="17"/>
      <c r="AJ25" s="17"/>
      <c r="AK25" s="17"/>
      <c r="AL25" s="17"/>
      <c r="AM25" s="17"/>
      <c r="AN25" s="15"/>
      <c r="AO25" s="15"/>
      <c r="AR25"/>
      <c r="AS25"/>
      <c r="AT25"/>
      <c r="BE25"/>
      <c r="BF25"/>
    </row>
    <row r="26" spans="1:58" x14ac:dyDescent="0.25">
      <c r="A26" s="17">
        <v>23</v>
      </c>
      <c r="B26" s="15"/>
      <c r="C26" s="93"/>
      <c r="D26" s="17"/>
      <c r="E26" s="18"/>
      <c r="F26" s="15"/>
      <c r="G26" s="15"/>
      <c r="H26" s="15"/>
      <c r="I26" s="17"/>
      <c r="J26" s="17"/>
      <c r="K26" s="17" t="s">
        <v>8</v>
      </c>
      <c r="L26" s="15"/>
      <c r="M26" s="15"/>
      <c r="N26" s="15"/>
      <c r="O26" s="15"/>
      <c r="P26" s="15"/>
      <c r="Q26" s="15"/>
      <c r="R26" s="15"/>
      <c r="S26" s="15" t="s">
        <v>35</v>
      </c>
      <c r="T26" s="89">
        <v>0</v>
      </c>
      <c r="U26" s="89">
        <v>0</v>
      </c>
      <c r="V26" s="89">
        <f t="shared" si="0"/>
        <v>0</v>
      </c>
      <c r="W26" s="17"/>
      <c r="X26" s="17"/>
      <c r="Y26" s="17"/>
      <c r="Z26" s="15"/>
      <c r="AA26" s="15"/>
      <c r="AB26" s="15"/>
      <c r="AC26" s="15"/>
      <c r="AD26" s="15"/>
      <c r="AE26" s="17"/>
      <c r="AF26" s="15" t="str">
        <f>IFERROR(VLOOKUP(AE26,Legend!$D$2:$E$26,2,0),"")</f>
        <v/>
      </c>
      <c r="AG26" s="17"/>
      <c r="AH26" s="17"/>
      <c r="AI26" s="17"/>
      <c r="AJ26" s="17"/>
      <c r="AK26" s="17"/>
      <c r="AL26" s="17"/>
      <c r="AM26" s="17"/>
      <c r="AN26" s="15"/>
      <c r="AO26" s="15"/>
      <c r="AR26"/>
      <c r="AS26"/>
      <c r="AT26"/>
      <c r="BE26"/>
      <c r="BF26"/>
    </row>
    <row r="27" spans="1:58" x14ac:dyDescent="0.25">
      <c r="A27" s="17">
        <v>24</v>
      </c>
      <c r="B27" s="15"/>
      <c r="C27" s="93"/>
      <c r="D27" s="17"/>
      <c r="E27" s="18"/>
      <c r="F27" s="15"/>
      <c r="G27" s="15"/>
      <c r="H27" s="15"/>
      <c r="I27" s="17"/>
      <c r="J27" s="17"/>
      <c r="K27" s="17" t="s">
        <v>8</v>
      </c>
      <c r="L27" s="15"/>
      <c r="M27" s="15"/>
      <c r="N27" s="15"/>
      <c r="O27" s="15"/>
      <c r="P27" s="15"/>
      <c r="Q27" s="15"/>
      <c r="R27" s="15"/>
      <c r="S27" s="15" t="s">
        <v>35</v>
      </c>
      <c r="T27" s="89">
        <v>0</v>
      </c>
      <c r="U27" s="89">
        <v>0</v>
      </c>
      <c r="V27" s="89">
        <f t="shared" si="0"/>
        <v>0</v>
      </c>
      <c r="W27" s="17"/>
      <c r="X27" s="17"/>
      <c r="Y27" s="17"/>
      <c r="Z27" s="15"/>
      <c r="AA27" s="15"/>
      <c r="AB27" s="15"/>
      <c r="AC27" s="15"/>
      <c r="AD27" s="15"/>
      <c r="AE27" s="17"/>
      <c r="AF27" s="15" t="str">
        <f>IFERROR(VLOOKUP(AE27,Legend!$D$2:$E$26,2,0),"")</f>
        <v/>
      </c>
      <c r="AG27" s="17"/>
      <c r="AH27" s="17"/>
      <c r="AI27" s="17"/>
      <c r="AJ27" s="17"/>
      <c r="AK27" s="17"/>
      <c r="AL27" s="17"/>
      <c r="AM27" s="17"/>
      <c r="AN27" s="15"/>
      <c r="AO27" s="15"/>
      <c r="AR27"/>
      <c r="AS27"/>
      <c r="AT27"/>
      <c r="BE27"/>
      <c r="BF27"/>
    </row>
    <row r="28" spans="1:58" x14ac:dyDescent="0.25">
      <c r="A28" s="17">
        <v>25</v>
      </c>
      <c r="B28" s="15"/>
      <c r="C28" s="93"/>
      <c r="D28" s="17"/>
      <c r="E28" s="18"/>
      <c r="F28" s="15"/>
      <c r="G28" s="15"/>
      <c r="H28" s="15"/>
      <c r="I28" s="17"/>
      <c r="J28" s="17"/>
      <c r="K28" s="17" t="s">
        <v>8</v>
      </c>
      <c r="L28" s="15"/>
      <c r="M28" s="15"/>
      <c r="N28" s="15"/>
      <c r="O28" s="15"/>
      <c r="P28" s="15"/>
      <c r="Q28" s="15"/>
      <c r="R28" s="15"/>
      <c r="S28" s="15" t="s">
        <v>35</v>
      </c>
      <c r="T28" s="89">
        <v>0</v>
      </c>
      <c r="U28" s="89">
        <v>0</v>
      </c>
      <c r="V28" s="89">
        <f t="shared" si="0"/>
        <v>0</v>
      </c>
      <c r="W28" s="17"/>
      <c r="X28" s="17"/>
      <c r="Y28" s="17"/>
      <c r="Z28" s="15"/>
      <c r="AA28" s="15"/>
      <c r="AB28" s="15"/>
      <c r="AC28" s="15"/>
      <c r="AD28" s="15"/>
      <c r="AE28" s="17"/>
      <c r="AF28" s="15" t="str">
        <f>IFERROR(VLOOKUP(AE28,Legend!$D$2:$E$26,2,0),"")</f>
        <v/>
      </c>
      <c r="AG28" s="17"/>
      <c r="AH28" s="17"/>
      <c r="AI28" s="17"/>
      <c r="AJ28" s="17"/>
      <c r="AK28" s="17"/>
      <c r="AL28" s="17"/>
      <c r="AM28" s="17"/>
      <c r="AN28" s="15"/>
      <c r="AO28" s="15"/>
      <c r="AR28"/>
      <c r="AS28"/>
      <c r="AT28"/>
      <c r="BE28"/>
      <c r="BF28"/>
    </row>
    <row r="29" spans="1:58" x14ac:dyDescent="0.25">
      <c r="A29" s="17">
        <v>26</v>
      </c>
      <c r="B29" s="15"/>
      <c r="C29" s="93"/>
      <c r="D29" s="17"/>
      <c r="E29" s="18"/>
      <c r="F29" s="15"/>
      <c r="G29" s="15"/>
      <c r="H29" s="15"/>
      <c r="I29" s="17"/>
      <c r="J29" s="17"/>
      <c r="K29" s="17" t="s">
        <v>8</v>
      </c>
      <c r="L29" s="15"/>
      <c r="M29" s="15"/>
      <c r="N29" s="15"/>
      <c r="O29" s="15"/>
      <c r="P29" s="15"/>
      <c r="Q29" s="15"/>
      <c r="R29" s="15"/>
      <c r="S29" s="15" t="s">
        <v>35</v>
      </c>
      <c r="T29" s="89">
        <v>0</v>
      </c>
      <c r="U29" s="89">
        <v>0</v>
      </c>
      <c r="V29" s="89">
        <f t="shared" si="0"/>
        <v>0</v>
      </c>
      <c r="W29" s="17"/>
      <c r="X29" s="17"/>
      <c r="Y29" s="17"/>
      <c r="Z29" s="15"/>
      <c r="AA29" s="15"/>
      <c r="AB29" s="15"/>
      <c r="AC29" s="15"/>
      <c r="AD29" s="15"/>
      <c r="AE29" s="17"/>
      <c r="AF29" s="15" t="str">
        <f>IFERROR(VLOOKUP(AE29,Legend!$D$2:$E$26,2,0),"")</f>
        <v/>
      </c>
      <c r="AG29" s="17"/>
      <c r="AH29" s="17"/>
      <c r="AI29" s="17"/>
      <c r="AJ29" s="17"/>
      <c r="AK29" s="17"/>
      <c r="AL29" s="17"/>
      <c r="AM29" s="17"/>
      <c r="AN29" s="91"/>
      <c r="AO29" s="15"/>
      <c r="AR29"/>
      <c r="AS29"/>
      <c r="AT29"/>
      <c r="BE29"/>
      <c r="BF29"/>
    </row>
    <row r="30" spans="1:58" x14ac:dyDescent="0.25">
      <c r="A30" s="17">
        <v>27</v>
      </c>
      <c r="B30" s="15"/>
      <c r="C30" s="93"/>
      <c r="D30" s="17"/>
      <c r="E30" s="18"/>
      <c r="F30" s="15"/>
      <c r="G30" s="15"/>
      <c r="H30" s="15"/>
      <c r="I30" s="17"/>
      <c r="J30" s="17"/>
      <c r="K30" s="17" t="s">
        <v>8</v>
      </c>
      <c r="L30" s="15"/>
      <c r="M30" s="15"/>
      <c r="N30" s="15"/>
      <c r="O30" s="15"/>
      <c r="P30" s="15"/>
      <c r="Q30" s="15"/>
      <c r="R30" s="15"/>
      <c r="S30" s="15" t="s">
        <v>35</v>
      </c>
      <c r="T30" s="89">
        <v>0</v>
      </c>
      <c r="U30" s="89">
        <v>0</v>
      </c>
      <c r="V30" s="89">
        <f t="shared" si="0"/>
        <v>0</v>
      </c>
      <c r="W30" s="17"/>
      <c r="X30" s="17"/>
      <c r="Y30" s="17"/>
      <c r="Z30" s="15"/>
      <c r="AA30" s="15"/>
      <c r="AB30" s="15"/>
      <c r="AC30" s="15"/>
      <c r="AD30" s="15"/>
      <c r="AE30" s="17"/>
      <c r="AF30" s="15" t="str">
        <f>IFERROR(VLOOKUP(AE30,Legend!$D$2:$E$26,2,0),"")</f>
        <v/>
      </c>
      <c r="AG30" s="17"/>
      <c r="AH30" s="17"/>
      <c r="AI30" s="17"/>
      <c r="AJ30" s="17"/>
      <c r="AK30" s="17"/>
      <c r="AL30" s="17"/>
      <c r="AM30" s="17"/>
      <c r="AN30" s="91"/>
      <c r="AO30" s="15"/>
      <c r="AR30"/>
      <c r="AS30"/>
      <c r="AT30"/>
      <c r="BE30"/>
      <c r="BF30"/>
    </row>
    <row r="31" spans="1:58" x14ac:dyDescent="0.25">
      <c r="A31" s="17">
        <v>28</v>
      </c>
      <c r="B31" s="15"/>
      <c r="C31" s="93"/>
      <c r="D31" s="17"/>
      <c r="E31" s="18"/>
      <c r="F31" s="15"/>
      <c r="G31" s="15"/>
      <c r="H31" s="15"/>
      <c r="I31" s="17"/>
      <c r="J31" s="17"/>
      <c r="K31" s="17" t="s">
        <v>8</v>
      </c>
      <c r="L31" s="15"/>
      <c r="M31" s="15"/>
      <c r="N31" s="15"/>
      <c r="O31" s="15"/>
      <c r="P31" s="15"/>
      <c r="Q31" s="15"/>
      <c r="R31" s="15"/>
      <c r="S31" s="15" t="s">
        <v>35</v>
      </c>
      <c r="T31" s="89">
        <v>0</v>
      </c>
      <c r="U31" s="89">
        <v>0</v>
      </c>
      <c r="V31" s="89">
        <f t="shared" si="0"/>
        <v>0</v>
      </c>
      <c r="W31" s="17"/>
      <c r="X31" s="17"/>
      <c r="Y31" s="17"/>
      <c r="Z31" s="15"/>
      <c r="AA31" s="15"/>
      <c r="AB31" s="15"/>
      <c r="AC31" s="15"/>
      <c r="AD31" s="15"/>
      <c r="AE31" s="17"/>
      <c r="AF31" s="15" t="str">
        <f>IFERROR(VLOOKUP(AE31,Legend!$D$2:$E$26,2,0),"")</f>
        <v/>
      </c>
      <c r="AG31" s="17"/>
      <c r="AH31" s="17"/>
      <c r="AI31" s="17"/>
      <c r="AJ31" s="17"/>
      <c r="AK31" s="17"/>
      <c r="AL31" s="17"/>
      <c r="AM31" s="17"/>
      <c r="AN31" s="91"/>
      <c r="AO31" s="15"/>
      <c r="AR31"/>
      <c r="AS31"/>
      <c r="AT31"/>
      <c r="BE31"/>
      <c r="BF31"/>
    </row>
    <row r="32" spans="1:58" x14ac:dyDescent="0.25">
      <c r="A32" s="17">
        <v>29</v>
      </c>
      <c r="B32" s="15"/>
      <c r="C32" s="93"/>
      <c r="D32" s="17"/>
      <c r="E32" s="18"/>
      <c r="F32" s="15"/>
      <c r="G32" s="15"/>
      <c r="H32" s="15"/>
      <c r="I32" s="17"/>
      <c r="J32" s="17"/>
      <c r="K32" s="17" t="s">
        <v>8</v>
      </c>
      <c r="L32" s="15"/>
      <c r="M32" s="15"/>
      <c r="N32" s="15"/>
      <c r="O32" s="15"/>
      <c r="P32" s="15"/>
      <c r="Q32" s="15"/>
      <c r="R32" s="15"/>
      <c r="S32" s="15" t="s">
        <v>35</v>
      </c>
      <c r="T32" s="89">
        <v>0</v>
      </c>
      <c r="U32" s="89">
        <v>0</v>
      </c>
      <c r="V32" s="89">
        <f t="shared" si="0"/>
        <v>0</v>
      </c>
      <c r="W32" s="17"/>
      <c r="X32" s="17"/>
      <c r="Y32" s="17"/>
      <c r="Z32" s="15"/>
      <c r="AA32" s="15"/>
      <c r="AB32" s="15"/>
      <c r="AC32" s="15"/>
      <c r="AD32" s="15"/>
      <c r="AE32" s="17"/>
      <c r="AF32" s="15" t="str">
        <f>IFERROR(VLOOKUP(AE32,Legend!$D$2:$E$26,2,0),"")</f>
        <v/>
      </c>
      <c r="AG32" s="17"/>
      <c r="AH32" s="17"/>
      <c r="AI32" s="17"/>
      <c r="AJ32" s="17"/>
      <c r="AK32" s="17"/>
      <c r="AL32" s="17"/>
      <c r="AM32" s="17"/>
      <c r="AN32" s="91"/>
      <c r="AO32" s="15"/>
      <c r="AR32"/>
      <c r="AS32"/>
      <c r="AT32"/>
      <c r="BE32"/>
      <c r="BF32"/>
    </row>
    <row r="33" spans="1:58" x14ac:dyDescent="0.25">
      <c r="A33" s="17">
        <v>30</v>
      </c>
      <c r="B33" s="15"/>
      <c r="C33" s="93"/>
      <c r="D33" s="17"/>
      <c r="E33" s="18"/>
      <c r="F33" s="15"/>
      <c r="G33" s="15"/>
      <c r="H33" s="15"/>
      <c r="I33" s="17"/>
      <c r="J33" s="17"/>
      <c r="K33" s="17" t="s">
        <v>8</v>
      </c>
      <c r="L33" s="15"/>
      <c r="M33" s="15"/>
      <c r="N33" s="15"/>
      <c r="O33" s="15"/>
      <c r="P33" s="15"/>
      <c r="Q33" s="15"/>
      <c r="R33" s="15"/>
      <c r="S33" s="15" t="s">
        <v>35</v>
      </c>
      <c r="T33" s="89">
        <v>0</v>
      </c>
      <c r="U33" s="89">
        <v>0</v>
      </c>
      <c r="V33" s="89">
        <f t="shared" si="0"/>
        <v>0</v>
      </c>
      <c r="W33" s="17"/>
      <c r="X33" s="17"/>
      <c r="Y33" s="17"/>
      <c r="Z33" s="15"/>
      <c r="AA33" s="15"/>
      <c r="AB33" s="15"/>
      <c r="AC33" s="15"/>
      <c r="AD33" s="15"/>
      <c r="AE33" s="17"/>
      <c r="AF33" s="15" t="str">
        <f>IFERROR(VLOOKUP(AE33,Legend!$D$2:$E$26,2,0),"")</f>
        <v/>
      </c>
      <c r="AG33" s="17"/>
      <c r="AH33" s="17"/>
      <c r="AI33" s="17"/>
      <c r="AJ33" s="17"/>
      <c r="AK33" s="17"/>
      <c r="AL33" s="17"/>
      <c r="AM33" s="17"/>
      <c r="AN33" s="91"/>
      <c r="AO33" s="15"/>
      <c r="AR33"/>
      <c r="AS33"/>
      <c r="AT33"/>
      <c r="BE33"/>
      <c r="BF33"/>
    </row>
    <row r="34" spans="1:58" x14ac:dyDescent="0.25">
      <c r="A34" s="17"/>
      <c r="B34" s="15"/>
      <c r="C34" s="93"/>
      <c r="D34" s="17"/>
      <c r="E34" s="18"/>
      <c r="F34" s="15"/>
      <c r="G34" s="15"/>
      <c r="H34" s="15"/>
      <c r="I34" s="17"/>
      <c r="J34" s="17"/>
      <c r="K34" s="17" t="s">
        <v>8</v>
      </c>
      <c r="L34" s="15"/>
      <c r="M34" s="15"/>
      <c r="N34" s="15"/>
      <c r="O34" s="15"/>
      <c r="P34" s="15"/>
      <c r="Q34" s="15"/>
      <c r="R34" s="15"/>
      <c r="S34" s="15" t="s">
        <v>35</v>
      </c>
      <c r="T34" s="89">
        <v>0</v>
      </c>
      <c r="U34" s="89">
        <v>0</v>
      </c>
      <c r="V34" s="89">
        <f t="shared" ref="V34" si="1">T34-U34</f>
        <v>0</v>
      </c>
      <c r="W34" s="17"/>
      <c r="X34" s="17"/>
      <c r="Y34" s="17"/>
      <c r="Z34" s="15"/>
      <c r="AA34" s="17"/>
      <c r="AB34" s="17"/>
      <c r="AC34" s="17"/>
      <c r="AD34" s="15"/>
      <c r="AE34" s="17"/>
      <c r="AF34" s="15" t="str">
        <f>IFERROR(VLOOKUP(AE34,Legend!$D$2:$E$26,2,0),"")</f>
        <v/>
      </c>
      <c r="AG34" s="17"/>
      <c r="AH34" s="17"/>
      <c r="AI34" s="17"/>
      <c r="AJ34" s="17"/>
      <c r="AK34" s="17"/>
      <c r="AL34" s="17"/>
      <c r="AM34" s="17"/>
      <c r="AN34" s="15"/>
      <c r="AO34" s="15"/>
      <c r="AR34"/>
      <c r="AS34"/>
      <c r="AT34"/>
      <c r="BE34"/>
      <c r="BF34"/>
    </row>
    <row r="35" spans="1:58" x14ac:dyDescent="0.25">
      <c r="S35" s="36" t="s">
        <v>253</v>
      </c>
      <c r="T35" s="96">
        <f>SUBTOTAL(9,T4:T34)</f>
        <v>0</v>
      </c>
      <c r="U35" s="59">
        <f>SUBTOTAL(9,U4:U34)</f>
        <v>0</v>
      </c>
      <c r="V35" s="59">
        <f>SUBTOTAL(9,V4:V34)</f>
        <v>0</v>
      </c>
      <c r="AD35" s="57"/>
      <c r="AE35" s="36"/>
      <c r="AG35" s="12"/>
      <c r="AH35" s="59"/>
      <c r="AI35" s="59"/>
      <c r="AJ35" s="3"/>
      <c r="AO35"/>
      <c r="AR35"/>
      <c r="AS35" s="3"/>
      <c r="AT35" s="3"/>
      <c r="AU35" s="4"/>
      <c r="BE35"/>
      <c r="BF35"/>
    </row>
    <row r="36" spans="1:58" x14ac:dyDescent="0.25">
      <c r="AU36" s="3"/>
      <c r="BD36" s="3"/>
    </row>
    <row r="37" spans="1:58" x14ac:dyDescent="0.25">
      <c r="BD37" s="3"/>
    </row>
    <row r="38" spans="1:58" ht="15.75" thickBot="1" x14ac:dyDescent="0.3">
      <c r="R38" s="57"/>
      <c r="S38" s="92" t="s">
        <v>254</v>
      </c>
      <c r="T38" s="70">
        <f>SUM(T4:T34)</f>
        <v>0</v>
      </c>
      <c r="U38" s="70">
        <f>SUM(U4:U34)</f>
        <v>0</v>
      </c>
      <c r="V38" s="70">
        <f>SUM(V4:V34)</f>
        <v>0</v>
      </c>
      <c r="W38" s="96"/>
      <c r="Y38"/>
      <c r="Z38"/>
      <c r="AA38"/>
      <c r="BD38" s="3"/>
    </row>
    <row r="39" spans="1:58" ht="15.75" thickTop="1" x14ac:dyDescent="0.25">
      <c r="R39" s="3"/>
      <c r="U39" s="12"/>
      <c r="V39" s="12"/>
      <c r="W39" s="12"/>
      <c r="Y39"/>
      <c r="Z39"/>
      <c r="AA39"/>
      <c r="BD39" s="3"/>
    </row>
    <row r="40" spans="1:58" x14ac:dyDescent="0.25">
      <c r="R40" s="3"/>
      <c r="U40" s="12"/>
      <c r="V40" s="12"/>
      <c r="W40" s="12"/>
      <c r="Y40"/>
      <c r="Z40"/>
      <c r="AA40"/>
      <c r="BD40" s="3"/>
    </row>
    <row r="41" spans="1:58" x14ac:dyDescent="0.25">
      <c r="BD41" s="3"/>
    </row>
    <row r="42" spans="1:58" x14ac:dyDescent="0.25">
      <c r="BD42" s="3"/>
    </row>
    <row r="43" spans="1:58" x14ac:dyDescent="0.25">
      <c r="L43" s="3"/>
      <c r="O43" s="12"/>
      <c r="P43" s="12"/>
      <c r="Q43" s="12"/>
      <c r="R43" s="3"/>
      <c r="V43" s="3"/>
      <c r="BD43" s="3"/>
    </row>
    <row r="44" spans="1:58" x14ac:dyDescent="0.25">
      <c r="J44" s="97"/>
      <c r="K44" s="97"/>
      <c r="L44" s="114"/>
      <c r="N44" s="429" t="s">
        <v>284</v>
      </c>
      <c r="O44" s="430"/>
      <c r="P44" s="431"/>
      <c r="Q44" s="3"/>
      <c r="R44" s="429" t="s">
        <v>310</v>
      </c>
      <c r="S44" s="430"/>
      <c r="T44" s="431"/>
      <c r="U44" s="3"/>
      <c r="V44" s="3"/>
      <c r="BD44" s="3"/>
    </row>
    <row r="45" spans="1:58" x14ac:dyDescent="0.25">
      <c r="J45" s="98" t="s">
        <v>285</v>
      </c>
      <c r="K45" s="99" t="s">
        <v>167</v>
      </c>
      <c r="L45" s="99" t="s">
        <v>286</v>
      </c>
      <c r="M45" s="100" t="s">
        <v>257</v>
      </c>
      <c r="N45" s="101" t="s">
        <v>188</v>
      </c>
      <c r="O45" s="102" t="s">
        <v>187</v>
      </c>
      <c r="P45" s="103" t="s">
        <v>178</v>
      </c>
      <c r="Q45" s="187"/>
      <c r="R45" s="101" t="s">
        <v>188</v>
      </c>
      <c r="S45" s="188" t="s">
        <v>187</v>
      </c>
      <c r="T45" s="189" t="s">
        <v>178</v>
      </c>
      <c r="U45" s="3"/>
      <c r="V45" s="3"/>
      <c r="BD45" s="3"/>
    </row>
    <row r="46" spans="1:58" x14ac:dyDescent="0.25">
      <c r="J46" s="105">
        <f t="shared" ref="J46:J77" si="2">SUMIF($AF$4:$AF$34,M46,$T$4:$T$34)</f>
        <v>0</v>
      </c>
      <c r="K46" s="105">
        <f t="shared" ref="K46:K77" si="3">SUMIF($AF$4:$AF$34,M46,$U$4:$U$34)</f>
        <v>0</v>
      </c>
      <c r="L46" s="118">
        <f t="shared" ref="L46:L77" si="4">SUMIF($AF$4:$AF$34,M46,$V$4:$V$34)</f>
        <v>0</v>
      </c>
      <c r="M46" s="106" t="s">
        <v>259</v>
      </c>
      <c r="N46" s="104">
        <f t="shared" ref="N46:N77" si="5">SUMIFS($V$4:$V$34,$AF$4:$AF$34,M46,$AM$4:$AM$34,$N$45)</f>
        <v>0</v>
      </c>
      <c r="O46" s="104">
        <f t="shared" ref="O46:O77" si="6">SUMIFS($V$4:$V$34,$AF$4:$AF$34,M46,$AM$4:$AM$34,$O$45)</f>
        <v>0</v>
      </c>
      <c r="P46" s="104">
        <f t="shared" ref="P46:P77" si="7">SUMIFS($V$4:$V$34,$AF$4:$AF$34,M46,$AM$4:$AM$34,$P$45)</f>
        <v>0</v>
      </c>
      <c r="Q46" s="159">
        <f t="shared" ref="Q46:Q77" si="8">SUBTOTAL(9,N46:P46)-L46</f>
        <v>0</v>
      </c>
      <c r="R46" s="190">
        <f t="shared" ref="R46:T76" si="9">SUMIFS($U$3:$U$34,$AF$3:$AF$34,$M46,$AM$3:$AM$34,R$45)</f>
        <v>0</v>
      </c>
      <c r="S46" s="190">
        <f t="shared" si="9"/>
        <v>0</v>
      </c>
      <c r="T46" s="190">
        <f t="shared" si="9"/>
        <v>0</v>
      </c>
      <c r="U46" s="159">
        <f t="shared" ref="U46:U47" si="10">SUBTOTAL(9,R46:T46)-K46</f>
        <v>0</v>
      </c>
      <c r="V46" s="3"/>
      <c r="BD46" s="3"/>
    </row>
    <row r="47" spans="1:58" x14ac:dyDescent="0.25">
      <c r="J47" s="105">
        <f t="shared" si="2"/>
        <v>0</v>
      </c>
      <c r="K47" s="105">
        <f t="shared" si="3"/>
        <v>0</v>
      </c>
      <c r="L47" s="118">
        <f t="shared" si="4"/>
        <v>0</v>
      </c>
      <c r="M47" s="106" t="s">
        <v>260</v>
      </c>
      <c r="N47" s="104">
        <f t="shared" si="5"/>
        <v>0</v>
      </c>
      <c r="O47" s="104">
        <f t="shared" si="6"/>
        <v>0</v>
      </c>
      <c r="P47" s="104">
        <f t="shared" si="7"/>
        <v>0</v>
      </c>
      <c r="Q47" s="159">
        <f t="shared" si="8"/>
        <v>0</v>
      </c>
      <c r="R47" s="190">
        <f t="shared" si="9"/>
        <v>0</v>
      </c>
      <c r="S47" s="190">
        <f t="shared" si="9"/>
        <v>0</v>
      </c>
      <c r="T47" s="190">
        <f t="shared" si="9"/>
        <v>0</v>
      </c>
      <c r="U47" s="159">
        <f t="shared" si="10"/>
        <v>0</v>
      </c>
      <c r="V47" s="3"/>
      <c r="BD47" s="3"/>
    </row>
    <row r="48" spans="1:58" x14ac:dyDescent="0.25">
      <c r="J48" s="105">
        <f t="shared" si="2"/>
        <v>0</v>
      </c>
      <c r="K48" s="105">
        <f t="shared" si="3"/>
        <v>0</v>
      </c>
      <c r="L48" s="118">
        <f t="shared" si="4"/>
        <v>0</v>
      </c>
      <c r="M48" s="106" t="s">
        <v>261</v>
      </c>
      <c r="N48" s="104">
        <f t="shared" si="5"/>
        <v>0</v>
      </c>
      <c r="O48" s="104">
        <f t="shared" si="6"/>
        <v>0</v>
      </c>
      <c r="P48" s="104">
        <f t="shared" si="7"/>
        <v>0</v>
      </c>
      <c r="Q48" s="159">
        <f t="shared" si="8"/>
        <v>0</v>
      </c>
      <c r="R48" s="190">
        <f t="shared" si="9"/>
        <v>0</v>
      </c>
      <c r="S48" s="190">
        <f t="shared" si="9"/>
        <v>0</v>
      </c>
      <c r="T48" s="190">
        <f t="shared" si="9"/>
        <v>0</v>
      </c>
      <c r="U48" s="159">
        <f>SUBTOTAL(9,R48:T48)-K48</f>
        <v>0</v>
      </c>
      <c r="V48" s="3"/>
      <c r="BD48" s="3"/>
    </row>
    <row r="49" spans="10:56" x14ac:dyDescent="0.25">
      <c r="J49" s="105">
        <f t="shared" si="2"/>
        <v>0</v>
      </c>
      <c r="K49" s="105">
        <f t="shared" si="3"/>
        <v>0</v>
      </c>
      <c r="L49" s="118">
        <f t="shared" si="4"/>
        <v>0</v>
      </c>
      <c r="M49" s="106" t="s">
        <v>262</v>
      </c>
      <c r="N49" s="104">
        <f t="shared" si="5"/>
        <v>0</v>
      </c>
      <c r="O49" s="104">
        <f t="shared" si="6"/>
        <v>0</v>
      </c>
      <c r="P49" s="104">
        <f t="shared" si="7"/>
        <v>0</v>
      </c>
      <c r="Q49" s="159">
        <f t="shared" si="8"/>
        <v>0</v>
      </c>
      <c r="R49" s="190">
        <f t="shared" si="9"/>
        <v>0</v>
      </c>
      <c r="S49" s="190">
        <f t="shared" si="9"/>
        <v>0</v>
      </c>
      <c r="T49" s="190">
        <f t="shared" si="9"/>
        <v>0</v>
      </c>
      <c r="U49" s="159">
        <f t="shared" ref="U49:U77" si="11">SUBTOTAL(9,R49:T49)-K49</f>
        <v>0</v>
      </c>
      <c r="V49" s="3"/>
      <c r="BD49" s="3"/>
    </row>
    <row r="50" spans="10:56" x14ac:dyDescent="0.25">
      <c r="J50" s="105">
        <f t="shared" si="2"/>
        <v>0</v>
      </c>
      <c r="K50" s="105">
        <f t="shared" si="3"/>
        <v>0</v>
      </c>
      <c r="L50" s="118">
        <f t="shared" si="4"/>
        <v>0</v>
      </c>
      <c r="M50" s="106" t="s">
        <v>263</v>
      </c>
      <c r="N50" s="104">
        <f t="shared" si="5"/>
        <v>0</v>
      </c>
      <c r="O50" s="104">
        <f t="shared" si="6"/>
        <v>0</v>
      </c>
      <c r="P50" s="104">
        <f t="shared" si="7"/>
        <v>0</v>
      </c>
      <c r="Q50" s="159">
        <f t="shared" si="8"/>
        <v>0</v>
      </c>
      <c r="R50" s="190">
        <f t="shared" si="9"/>
        <v>0</v>
      </c>
      <c r="S50" s="190">
        <f t="shared" si="9"/>
        <v>0</v>
      </c>
      <c r="T50" s="190">
        <f t="shared" si="9"/>
        <v>0</v>
      </c>
      <c r="U50" s="159">
        <f t="shared" si="11"/>
        <v>0</v>
      </c>
      <c r="V50" s="3"/>
      <c r="BD50" s="3"/>
    </row>
    <row r="51" spans="10:56" x14ac:dyDescent="0.25">
      <c r="J51" s="105">
        <f t="shared" si="2"/>
        <v>0</v>
      </c>
      <c r="K51" s="105">
        <f t="shared" si="3"/>
        <v>0</v>
      </c>
      <c r="L51" s="118">
        <f t="shared" si="4"/>
        <v>0</v>
      </c>
      <c r="M51" s="106" t="s">
        <v>264</v>
      </c>
      <c r="N51" s="104">
        <f t="shared" si="5"/>
        <v>0</v>
      </c>
      <c r="O51" s="104">
        <f t="shared" si="6"/>
        <v>0</v>
      </c>
      <c r="P51" s="104">
        <f t="shared" si="7"/>
        <v>0</v>
      </c>
      <c r="Q51" s="159">
        <f t="shared" si="8"/>
        <v>0</v>
      </c>
      <c r="R51" s="190">
        <f t="shared" si="9"/>
        <v>0</v>
      </c>
      <c r="S51" s="190">
        <f t="shared" si="9"/>
        <v>0</v>
      </c>
      <c r="T51" s="190">
        <f t="shared" si="9"/>
        <v>0</v>
      </c>
      <c r="U51" s="159">
        <f t="shared" si="11"/>
        <v>0</v>
      </c>
      <c r="V51" s="3"/>
      <c r="BD51" s="3"/>
    </row>
    <row r="52" spans="10:56" x14ac:dyDescent="0.25">
      <c r="J52" s="105">
        <f t="shared" si="2"/>
        <v>0</v>
      </c>
      <c r="K52" s="105">
        <f t="shared" si="3"/>
        <v>0</v>
      </c>
      <c r="L52" s="118">
        <f t="shared" si="4"/>
        <v>0</v>
      </c>
      <c r="M52" s="106" t="s">
        <v>265</v>
      </c>
      <c r="N52" s="104">
        <f t="shared" si="5"/>
        <v>0</v>
      </c>
      <c r="O52" s="104">
        <f t="shared" si="6"/>
        <v>0</v>
      </c>
      <c r="P52" s="104">
        <f t="shared" si="7"/>
        <v>0</v>
      </c>
      <c r="Q52" s="159">
        <f t="shared" si="8"/>
        <v>0</v>
      </c>
      <c r="R52" s="190">
        <f t="shared" si="9"/>
        <v>0</v>
      </c>
      <c r="S52" s="190">
        <f t="shared" si="9"/>
        <v>0</v>
      </c>
      <c r="T52" s="190">
        <f t="shared" si="9"/>
        <v>0</v>
      </c>
      <c r="U52" s="159">
        <f t="shared" si="11"/>
        <v>0</v>
      </c>
      <c r="V52" s="3"/>
      <c r="BD52" s="3"/>
    </row>
    <row r="53" spans="10:56" x14ac:dyDescent="0.25">
      <c r="J53" s="105">
        <f t="shared" si="2"/>
        <v>0</v>
      </c>
      <c r="K53" s="105">
        <f t="shared" si="3"/>
        <v>0</v>
      </c>
      <c r="L53" s="118">
        <f t="shared" si="4"/>
        <v>0</v>
      </c>
      <c r="M53" s="106" t="s">
        <v>266</v>
      </c>
      <c r="N53" s="104">
        <f t="shared" si="5"/>
        <v>0</v>
      </c>
      <c r="O53" s="104">
        <f t="shared" si="6"/>
        <v>0</v>
      </c>
      <c r="P53" s="104">
        <f t="shared" si="7"/>
        <v>0</v>
      </c>
      <c r="Q53" s="159">
        <f t="shared" si="8"/>
        <v>0</v>
      </c>
      <c r="R53" s="190">
        <f t="shared" si="9"/>
        <v>0</v>
      </c>
      <c r="S53" s="190">
        <f t="shared" si="9"/>
        <v>0</v>
      </c>
      <c r="T53" s="190">
        <f t="shared" si="9"/>
        <v>0</v>
      </c>
      <c r="U53" s="159">
        <f t="shared" si="11"/>
        <v>0</v>
      </c>
      <c r="V53" s="3"/>
      <c r="BD53" s="3"/>
    </row>
    <row r="54" spans="10:56" x14ac:dyDescent="0.25">
      <c r="J54" s="105">
        <f t="shared" si="2"/>
        <v>0</v>
      </c>
      <c r="K54" s="105">
        <f t="shared" si="3"/>
        <v>0</v>
      </c>
      <c r="L54" s="118">
        <f t="shared" si="4"/>
        <v>0</v>
      </c>
      <c r="M54" s="106" t="s">
        <v>267</v>
      </c>
      <c r="N54" s="104">
        <f t="shared" si="5"/>
        <v>0</v>
      </c>
      <c r="O54" s="104">
        <f t="shared" si="6"/>
        <v>0</v>
      </c>
      <c r="P54" s="104">
        <f t="shared" si="7"/>
        <v>0</v>
      </c>
      <c r="Q54" s="159">
        <f t="shared" si="8"/>
        <v>0</v>
      </c>
      <c r="R54" s="190">
        <f t="shared" si="9"/>
        <v>0</v>
      </c>
      <c r="S54" s="190">
        <f t="shared" si="9"/>
        <v>0</v>
      </c>
      <c r="T54" s="190">
        <f t="shared" si="9"/>
        <v>0</v>
      </c>
      <c r="U54" s="159">
        <f t="shared" si="11"/>
        <v>0</v>
      </c>
      <c r="V54" s="3"/>
      <c r="BD54" s="3"/>
    </row>
    <row r="55" spans="10:56" x14ac:dyDescent="0.25">
      <c r="J55" s="105">
        <f t="shared" si="2"/>
        <v>0</v>
      </c>
      <c r="K55" s="105">
        <f t="shared" si="3"/>
        <v>0</v>
      </c>
      <c r="L55" s="118">
        <f t="shared" si="4"/>
        <v>0</v>
      </c>
      <c r="M55" s="106" t="s">
        <v>268</v>
      </c>
      <c r="N55" s="104">
        <f t="shared" si="5"/>
        <v>0</v>
      </c>
      <c r="O55" s="104">
        <f t="shared" si="6"/>
        <v>0</v>
      </c>
      <c r="P55" s="104">
        <f t="shared" si="7"/>
        <v>0</v>
      </c>
      <c r="Q55" s="159">
        <f t="shared" si="8"/>
        <v>0</v>
      </c>
      <c r="R55" s="190">
        <f t="shared" si="9"/>
        <v>0</v>
      </c>
      <c r="S55" s="190">
        <f t="shared" si="9"/>
        <v>0</v>
      </c>
      <c r="T55" s="190">
        <f t="shared" si="9"/>
        <v>0</v>
      </c>
      <c r="U55" s="159">
        <f t="shared" si="11"/>
        <v>0</v>
      </c>
      <c r="V55" s="3"/>
    </row>
    <row r="56" spans="10:56" x14ac:dyDescent="0.25">
      <c r="J56" s="105">
        <f t="shared" si="2"/>
        <v>0</v>
      </c>
      <c r="K56" s="105">
        <f t="shared" si="3"/>
        <v>0</v>
      </c>
      <c r="L56" s="118">
        <f t="shared" si="4"/>
        <v>0</v>
      </c>
      <c r="M56" s="106" t="s">
        <v>269</v>
      </c>
      <c r="N56" s="104">
        <f t="shared" si="5"/>
        <v>0</v>
      </c>
      <c r="O56" s="104">
        <f t="shared" si="6"/>
        <v>0</v>
      </c>
      <c r="P56" s="104">
        <f t="shared" si="7"/>
        <v>0</v>
      </c>
      <c r="Q56" s="159">
        <f t="shared" si="8"/>
        <v>0</v>
      </c>
      <c r="R56" s="190">
        <f t="shared" si="9"/>
        <v>0</v>
      </c>
      <c r="S56" s="190">
        <f t="shared" si="9"/>
        <v>0</v>
      </c>
      <c r="T56" s="190">
        <f t="shared" si="9"/>
        <v>0</v>
      </c>
      <c r="U56" s="159">
        <f t="shared" si="11"/>
        <v>0</v>
      </c>
      <c r="V56" s="3"/>
    </row>
    <row r="57" spans="10:56" x14ac:dyDescent="0.25">
      <c r="J57" s="105">
        <f t="shared" si="2"/>
        <v>0</v>
      </c>
      <c r="K57" s="105">
        <f t="shared" si="3"/>
        <v>0</v>
      </c>
      <c r="L57" s="118">
        <f t="shared" si="4"/>
        <v>0</v>
      </c>
      <c r="M57" s="106" t="s">
        <v>270</v>
      </c>
      <c r="N57" s="104">
        <f t="shared" si="5"/>
        <v>0</v>
      </c>
      <c r="O57" s="104">
        <f t="shared" si="6"/>
        <v>0</v>
      </c>
      <c r="P57" s="104">
        <f t="shared" si="7"/>
        <v>0</v>
      </c>
      <c r="Q57" s="159">
        <f t="shared" si="8"/>
        <v>0</v>
      </c>
      <c r="R57" s="190">
        <f t="shared" si="9"/>
        <v>0</v>
      </c>
      <c r="S57" s="190">
        <f t="shared" si="9"/>
        <v>0</v>
      </c>
      <c r="T57" s="190">
        <f t="shared" si="9"/>
        <v>0</v>
      </c>
      <c r="U57" s="159">
        <f t="shared" si="11"/>
        <v>0</v>
      </c>
      <c r="V57" s="3"/>
    </row>
    <row r="58" spans="10:56" x14ac:dyDescent="0.25">
      <c r="J58" s="105">
        <f t="shared" si="2"/>
        <v>0</v>
      </c>
      <c r="K58" s="105">
        <f t="shared" si="3"/>
        <v>0</v>
      </c>
      <c r="L58" s="118">
        <f t="shared" si="4"/>
        <v>0</v>
      </c>
      <c r="M58" s="106" t="s">
        <v>271</v>
      </c>
      <c r="N58" s="104">
        <f t="shared" si="5"/>
        <v>0</v>
      </c>
      <c r="O58" s="104">
        <f t="shared" si="6"/>
        <v>0</v>
      </c>
      <c r="P58" s="104">
        <f t="shared" si="7"/>
        <v>0</v>
      </c>
      <c r="Q58" s="159">
        <f t="shared" si="8"/>
        <v>0</v>
      </c>
      <c r="R58" s="190">
        <f t="shared" si="9"/>
        <v>0</v>
      </c>
      <c r="S58" s="190">
        <f t="shared" si="9"/>
        <v>0</v>
      </c>
      <c r="T58" s="190">
        <f t="shared" si="9"/>
        <v>0</v>
      </c>
      <c r="U58" s="159">
        <f t="shared" si="11"/>
        <v>0</v>
      </c>
      <c r="V58" s="3"/>
    </row>
    <row r="59" spans="10:56" x14ac:dyDescent="0.25">
      <c r="J59" s="105">
        <f t="shared" si="2"/>
        <v>0</v>
      </c>
      <c r="K59" s="105">
        <f t="shared" si="3"/>
        <v>0</v>
      </c>
      <c r="L59" s="118">
        <f t="shared" si="4"/>
        <v>0</v>
      </c>
      <c r="M59" s="106" t="s">
        <v>272</v>
      </c>
      <c r="N59" s="104">
        <f t="shared" si="5"/>
        <v>0</v>
      </c>
      <c r="O59" s="104">
        <f t="shared" si="6"/>
        <v>0</v>
      </c>
      <c r="P59" s="104">
        <f t="shared" si="7"/>
        <v>0</v>
      </c>
      <c r="Q59" s="159">
        <f t="shared" si="8"/>
        <v>0</v>
      </c>
      <c r="R59" s="190">
        <f t="shared" si="9"/>
        <v>0</v>
      </c>
      <c r="S59" s="190">
        <f t="shared" si="9"/>
        <v>0</v>
      </c>
      <c r="T59" s="190">
        <f t="shared" si="9"/>
        <v>0</v>
      </c>
      <c r="U59" s="159">
        <f t="shared" si="11"/>
        <v>0</v>
      </c>
      <c r="V59" s="3"/>
    </row>
    <row r="60" spans="10:56" x14ac:dyDescent="0.25">
      <c r="J60" s="105">
        <f t="shared" si="2"/>
        <v>0</v>
      </c>
      <c r="K60" s="105">
        <f t="shared" si="3"/>
        <v>0</v>
      </c>
      <c r="L60" s="118">
        <f t="shared" si="4"/>
        <v>0</v>
      </c>
      <c r="M60" s="106" t="s">
        <v>273</v>
      </c>
      <c r="N60" s="104">
        <f t="shared" si="5"/>
        <v>0</v>
      </c>
      <c r="O60" s="104">
        <f t="shared" si="6"/>
        <v>0</v>
      </c>
      <c r="P60" s="104">
        <f t="shared" si="7"/>
        <v>0</v>
      </c>
      <c r="Q60" s="159">
        <f t="shared" si="8"/>
        <v>0</v>
      </c>
      <c r="R60" s="190">
        <f t="shared" si="9"/>
        <v>0</v>
      </c>
      <c r="S60" s="190">
        <f t="shared" si="9"/>
        <v>0</v>
      </c>
      <c r="T60" s="190">
        <f t="shared" si="9"/>
        <v>0</v>
      </c>
      <c r="U60" s="159">
        <f t="shared" si="11"/>
        <v>0</v>
      </c>
      <c r="V60" s="3"/>
    </row>
    <row r="61" spans="10:56" x14ac:dyDescent="0.25">
      <c r="J61" s="105">
        <f t="shared" si="2"/>
        <v>0</v>
      </c>
      <c r="K61" s="105">
        <f t="shared" si="3"/>
        <v>0</v>
      </c>
      <c r="L61" s="118">
        <f t="shared" si="4"/>
        <v>0</v>
      </c>
      <c r="M61" s="106" t="s">
        <v>274</v>
      </c>
      <c r="N61" s="104">
        <f t="shared" si="5"/>
        <v>0</v>
      </c>
      <c r="O61" s="104">
        <f t="shared" si="6"/>
        <v>0</v>
      </c>
      <c r="P61" s="104">
        <f t="shared" si="7"/>
        <v>0</v>
      </c>
      <c r="Q61" s="159">
        <f t="shared" si="8"/>
        <v>0</v>
      </c>
      <c r="R61" s="190">
        <f t="shared" si="9"/>
        <v>0</v>
      </c>
      <c r="S61" s="190">
        <f t="shared" si="9"/>
        <v>0</v>
      </c>
      <c r="T61" s="190">
        <f t="shared" si="9"/>
        <v>0</v>
      </c>
      <c r="U61" s="159">
        <f t="shared" si="11"/>
        <v>0</v>
      </c>
      <c r="V61" s="3"/>
    </row>
    <row r="62" spans="10:56" x14ac:dyDescent="0.25">
      <c r="J62" s="105">
        <f t="shared" si="2"/>
        <v>0</v>
      </c>
      <c r="K62" s="105">
        <f t="shared" si="3"/>
        <v>0</v>
      </c>
      <c r="L62" s="118">
        <f t="shared" si="4"/>
        <v>0</v>
      </c>
      <c r="M62" s="106" t="s">
        <v>275</v>
      </c>
      <c r="N62" s="104">
        <f t="shared" si="5"/>
        <v>0</v>
      </c>
      <c r="O62" s="104">
        <f t="shared" si="6"/>
        <v>0</v>
      </c>
      <c r="P62" s="104">
        <f t="shared" si="7"/>
        <v>0</v>
      </c>
      <c r="Q62" s="159">
        <f t="shared" si="8"/>
        <v>0</v>
      </c>
      <c r="R62" s="190">
        <f t="shared" si="9"/>
        <v>0</v>
      </c>
      <c r="S62" s="190">
        <f t="shared" si="9"/>
        <v>0</v>
      </c>
      <c r="T62" s="190">
        <f t="shared" si="9"/>
        <v>0</v>
      </c>
      <c r="U62" s="159">
        <f t="shared" si="11"/>
        <v>0</v>
      </c>
      <c r="V62" s="3"/>
    </row>
    <row r="63" spans="10:56" x14ac:dyDescent="0.25">
      <c r="J63" s="105">
        <f t="shared" si="2"/>
        <v>0</v>
      </c>
      <c r="K63" s="105">
        <f t="shared" si="3"/>
        <v>0</v>
      </c>
      <c r="L63" s="118">
        <f t="shared" si="4"/>
        <v>0</v>
      </c>
      <c r="M63" s="106" t="s">
        <v>276</v>
      </c>
      <c r="N63" s="104">
        <f t="shared" si="5"/>
        <v>0</v>
      </c>
      <c r="O63" s="104">
        <f t="shared" si="6"/>
        <v>0</v>
      </c>
      <c r="P63" s="104">
        <f t="shared" si="7"/>
        <v>0</v>
      </c>
      <c r="Q63" s="159">
        <f t="shared" si="8"/>
        <v>0</v>
      </c>
      <c r="R63" s="190">
        <f t="shared" si="9"/>
        <v>0</v>
      </c>
      <c r="S63" s="190">
        <f t="shared" si="9"/>
        <v>0</v>
      </c>
      <c r="T63" s="190">
        <f t="shared" si="9"/>
        <v>0</v>
      </c>
      <c r="U63" s="159">
        <f t="shared" si="11"/>
        <v>0</v>
      </c>
      <c r="V63" s="3"/>
    </row>
    <row r="64" spans="10:56" x14ac:dyDescent="0.25">
      <c r="J64" s="105">
        <f t="shared" si="2"/>
        <v>0</v>
      </c>
      <c r="K64" s="105">
        <f t="shared" si="3"/>
        <v>0</v>
      </c>
      <c r="L64" s="118">
        <f t="shared" si="4"/>
        <v>0</v>
      </c>
      <c r="M64" s="106" t="s">
        <v>277</v>
      </c>
      <c r="N64" s="104">
        <f t="shared" si="5"/>
        <v>0</v>
      </c>
      <c r="O64" s="104">
        <f t="shared" si="6"/>
        <v>0</v>
      </c>
      <c r="P64" s="104">
        <f t="shared" si="7"/>
        <v>0</v>
      </c>
      <c r="Q64" s="159">
        <f t="shared" si="8"/>
        <v>0</v>
      </c>
      <c r="R64" s="190">
        <f t="shared" si="9"/>
        <v>0</v>
      </c>
      <c r="S64" s="190">
        <f t="shared" si="9"/>
        <v>0</v>
      </c>
      <c r="T64" s="190">
        <f t="shared" si="9"/>
        <v>0</v>
      </c>
      <c r="U64" s="159">
        <f t="shared" si="11"/>
        <v>0</v>
      </c>
      <c r="V64" s="3"/>
    </row>
    <row r="65" spans="10:22" x14ac:dyDescent="0.25">
      <c r="J65" s="105">
        <f t="shared" si="2"/>
        <v>0</v>
      </c>
      <c r="K65" s="105">
        <f t="shared" si="3"/>
        <v>0</v>
      </c>
      <c r="L65" s="118">
        <f t="shared" si="4"/>
        <v>0</v>
      </c>
      <c r="M65" s="106" t="s">
        <v>278</v>
      </c>
      <c r="N65" s="104">
        <f t="shared" si="5"/>
        <v>0</v>
      </c>
      <c r="O65" s="104">
        <f t="shared" si="6"/>
        <v>0</v>
      </c>
      <c r="P65" s="104">
        <f t="shared" si="7"/>
        <v>0</v>
      </c>
      <c r="Q65" s="159">
        <f t="shared" si="8"/>
        <v>0</v>
      </c>
      <c r="R65" s="190">
        <f t="shared" si="9"/>
        <v>0</v>
      </c>
      <c r="S65" s="190">
        <f t="shared" si="9"/>
        <v>0</v>
      </c>
      <c r="T65" s="190">
        <f t="shared" si="9"/>
        <v>0</v>
      </c>
      <c r="U65" s="159">
        <f t="shared" si="11"/>
        <v>0</v>
      </c>
      <c r="V65" s="3"/>
    </row>
    <row r="66" spans="10:22" x14ac:dyDescent="0.25">
      <c r="J66" s="105">
        <f t="shared" si="2"/>
        <v>0</v>
      </c>
      <c r="K66" s="105">
        <f t="shared" si="3"/>
        <v>0</v>
      </c>
      <c r="L66" s="118">
        <f t="shared" si="4"/>
        <v>0</v>
      </c>
      <c r="M66" s="106" t="s">
        <v>279</v>
      </c>
      <c r="N66" s="104">
        <f t="shared" si="5"/>
        <v>0</v>
      </c>
      <c r="O66" s="104">
        <f t="shared" si="6"/>
        <v>0</v>
      </c>
      <c r="P66" s="104">
        <f t="shared" si="7"/>
        <v>0</v>
      </c>
      <c r="Q66" s="159">
        <f t="shared" si="8"/>
        <v>0</v>
      </c>
      <c r="R66" s="190">
        <f t="shared" si="9"/>
        <v>0</v>
      </c>
      <c r="S66" s="190">
        <f t="shared" si="9"/>
        <v>0</v>
      </c>
      <c r="T66" s="190">
        <f t="shared" si="9"/>
        <v>0</v>
      </c>
      <c r="U66" s="159">
        <f t="shared" si="11"/>
        <v>0</v>
      </c>
      <c r="V66" s="3"/>
    </row>
    <row r="67" spans="10:22" x14ac:dyDescent="0.25">
      <c r="J67" s="105">
        <f t="shared" si="2"/>
        <v>0</v>
      </c>
      <c r="K67" s="105">
        <f t="shared" si="3"/>
        <v>0</v>
      </c>
      <c r="L67" s="118">
        <f t="shared" si="4"/>
        <v>0</v>
      </c>
      <c r="M67" s="106" t="s">
        <v>280</v>
      </c>
      <c r="N67" s="104">
        <f t="shared" si="5"/>
        <v>0</v>
      </c>
      <c r="O67" s="104">
        <f t="shared" si="6"/>
        <v>0</v>
      </c>
      <c r="P67" s="104">
        <f t="shared" si="7"/>
        <v>0</v>
      </c>
      <c r="Q67" s="159">
        <f t="shared" si="8"/>
        <v>0</v>
      </c>
      <c r="R67" s="190">
        <f t="shared" si="9"/>
        <v>0</v>
      </c>
      <c r="S67" s="190">
        <f t="shared" si="9"/>
        <v>0</v>
      </c>
      <c r="T67" s="190">
        <f t="shared" si="9"/>
        <v>0</v>
      </c>
      <c r="U67" s="159">
        <f t="shared" si="11"/>
        <v>0</v>
      </c>
      <c r="V67" s="3"/>
    </row>
    <row r="68" spans="10:22" x14ac:dyDescent="0.25">
      <c r="J68" s="105">
        <f t="shared" si="2"/>
        <v>0</v>
      </c>
      <c r="K68" s="105">
        <f t="shared" si="3"/>
        <v>0</v>
      </c>
      <c r="L68" s="118">
        <f t="shared" si="4"/>
        <v>0</v>
      </c>
      <c r="M68" s="106" t="s">
        <v>281</v>
      </c>
      <c r="N68" s="104">
        <f t="shared" si="5"/>
        <v>0</v>
      </c>
      <c r="O68" s="104">
        <f t="shared" si="6"/>
        <v>0</v>
      </c>
      <c r="P68" s="104">
        <f t="shared" si="7"/>
        <v>0</v>
      </c>
      <c r="Q68" s="159">
        <f t="shared" si="8"/>
        <v>0</v>
      </c>
      <c r="R68" s="190">
        <f t="shared" si="9"/>
        <v>0</v>
      </c>
      <c r="S68" s="190">
        <f t="shared" si="9"/>
        <v>0</v>
      </c>
      <c r="T68" s="190">
        <f t="shared" si="9"/>
        <v>0</v>
      </c>
      <c r="U68" s="159">
        <f t="shared" si="11"/>
        <v>0</v>
      </c>
      <c r="V68" s="3"/>
    </row>
    <row r="69" spans="10:22" x14ac:dyDescent="0.25">
      <c r="J69" s="105">
        <f t="shared" si="2"/>
        <v>0</v>
      </c>
      <c r="K69" s="105">
        <f t="shared" si="3"/>
        <v>0</v>
      </c>
      <c r="L69" s="118">
        <f t="shared" si="4"/>
        <v>0</v>
      </c>
      <c r="M69" s="106" t="s">
        <v>282</v>
      </c>
      <c r="N69" s="104">
        <f t="shared" si="5"/>
        <v>0</v>
      </c>
      <c r="O69" s="104">
        <f t="shared" si="6"/>
        <v>0</v>
      </c>
      <c r="P69" s="104">
        <f t="shared" si="7"/>
        <v>0</v>
      </c>
      <c r="Q69" s="159">
        <f t="shared" si="8"/>
        <v>0</v>
      </c>
      <c r="R69" s="190">
        <f t="shared" si="9"/>
        <v>0</v>
      </c>
      <c r="S69" s="190">
        <f t="shared" si="9"/>
        <v>0</v>
      </c>
      <c r="T69" s="190">
        <f t="shared" si="9"/>
        <v>0</v>
      </c>
      <c r="U69" s="159">
        <f t="shared" si="11"/>
        <v>0</v>
      </c>
      <c r="V69" s="3"/>
    </row>
    <row r="70" spans="10:22" x14ac:dyDescent="0.25">
      <c r="J70" s="105">
        <f t="shared" si="2"/>
        <v>0</v>
      </c>
      <c r="K70" s="105">
        <f t="shared" si="3"/>
        <v>0</v>
      </c>
      <c r="L70" s="118">
        <f t="shared" si="4"/>
        <v>0</v>
      </c>
      <c r="M70" s="106" t="s">
        <v>283</v>
      </c>
      <c r="N70" s="104">
        <f t="shared" si="5"/>
        <v>0</v>
      </c>
      <c r="O70" s="104">
        <f t="shared" si="6"/>
        <v>0</v>
      </c>
      <c r="P70" s="104">
        <f t="shared" si="7"/>
        <v>0</v>
      </c>
      <c r="Q70" s="159">
        <f t="shared" si="8"/>
        <v>0</v>
      </c>
      <c r="R70" s="190">
        <f t="shared" si="9"/>
        <v>0</v>
      </c>
      <c r="S70" s="190">
        <f t="shared" si="9"/>
        <v>0</v>
      </c>
      <c r="T70" s="190">
        <f t="shared" si="9"/>
        <v>0</v>
      </c>
      <c r="U70" s="159">
        <f t="shared" si="11"/>
        <v>0</v>
      </c>
      <c r="V70" s="3"/>
    </row>
    <row r="71" spans="10:22" x14ac:dyDescent="0.25">
      <c r="J71" s="105">
        <f t="shared" si="2"/>
        <v>0</v>
      </c>
      <c r="K71" s="105">
        <f t="shared" si="3"/>
        <v>0</v>
      </c>
      <c r="L71" s="118">
        <f t="shared" si="4"/>
        <v>0</v>
      </c>
      <c r="M71" s="106">
        <v>0</v>
      </c>
      <c r="N71" s="104">
        <f t="shared" si="5"/>
        <v>0</v>
      </c>
      <c r="O71" s="104">
        <f t="shared" si="6"/>
        <v>0</v>
      </c>
      <c r="P71" s="104">
        <f t="shared" si="7"/>
        <v>0</v>
      </c>
      <c r="Q71" s="159">
        <f t="shared" si="8"/>
        <v>0</v>
      </c>
      <c r="R71" s="190">
        <f t="shared" si="9"/>
        <v>0</v>
      </c>
      <c r="S71" s="190">
        <f t="shared" si="9"/>
        <v>0</v>
      </c>
      <c r="T71" s="190">
        <f t="shared" si="9"/>
        <v>0</v>
      </c>
      <c r="U71" s="159">
        <f t="shared" si="11"/>
        <v>0</v>
      </c>
      <c r="V71" s="3"/>
    </row>
    <row r="72" spans="10:22" x14ac:dyDescent="0.25">
      <c r="J72" s="105">
        <f t="shared" si="2"/>
        <v>0</v>
      </c>
      <c r="K72" s="105">
        <f t="shared" si="3"/>
        <v>0</v>
      </c>
      <c r="L72" s="118">
        <f t="shared" si="4"/>
        <v>0</v>
      </c>
      <c r="M72" s="106">
        <v>0</v>
      </c>
      <c r="N72" s="104">
        <f t="shared" si="5"/>
        <v>0</v>
      </c>
      <c r="O72" s="104">
        <f t="shared" si="6"/>
        <v>0</v>
      </c>
      <c r="P72" s="104">
        <f t="shared" si="7"/>
        <v>0</v>
      </c>
      <c r="Q72" s="159">
        <f t="shared" si="8"/>
        <v>0</v>
      </c>
      <c r="R72" s="190">
        <f t="shared" si="9"/>
        <v>0</v>
      </c>
      <c r="S72" s="190">
        <f t="shared" si="9"/>
        <v>0</v>
      </c>
      <c r="T72" s="190">
        <f t="shared" si="9"/>
        <v>0</v>
      </c>
      <c r="U72" s="159">
        <f t="shared" si="11"/>
        <v>0</v>
      </c>
      <c r="V72" s="3"/>
    </row>
    <row r="73" spans="10:22" x14ac:dyDescent="0.25">
      <c r="J73" s="105">
        <f t="shared" si="2"/>
        <v>0</v>
      </c>
      <c r="K73" s="105">
        <f t="shared" si="3"/>
        <v>0</v>
      </c>
      <c r="L73" s="118">
        <f t="shared" si="4"/>
        <v>0</v>
      </c>
      <c r="M73" s="106">
        <v>0</v>
      </c>
      <c r="N73" s="104">
        <f t="shared" si="5"/>
        <v>0</v>
      </c>
      <c r="O73" s="104">
        <f t="shared" si="6"/>
        <v>0</v>
      </c>
      <c r="P73" s="104">
        <f t="shared" si="7"/>
        <v>0</v>
      </c>
      <c r="Q73" s="159">
        <f t="shared" si="8"/>
        <v>0</v>
      </c>
      <c r="R73" s="190">
        <f t="shared" si="9"/>
        <v>0</v>
      </c>
      <c r="S73" s="190">
        <f t="shared" si="9"/>
        <v>0</v>
      </c>
      <c r="T73" s="190">
        <f t="shared" si="9"/>
        <v>0</v>
      </c>
      <c r="U73" s="159">
        <f t="shared" si="11"/>
        <v>0</v>
      </c>
      <c r="V73" s="3"/>
    </row>
    <row r="74" spans="10:22" x14ac:dyDescent="0.25">
      <c r="J74" s="105">
        <f t="shared" si="2"/>
        <v>0</v>
      </c>
      <c r="K74" s="105">
        <f t="shared" si="3"/>
        <v>0</v>
      </c>
      <c r="L74" s="118">
        <f t="shared" si="4"/>
        <v>0</v>
      </c>
      <c r="M74" s="106">
        <v>0</v>
      </c>
      <c r="N74" s="104">
        <f t="shared" si="5"/>
        <v>0</v>
      </c>
      <c r="O74" s="104">
        <f t="shared" si="6"/>
        <v>0</v>
      </c>
      <c r="P74" s="104">
        <f t="shared" si="7"/>
        <v>0</v>
      </c>
      <c r="Q74" s="159">
        <f t="shared" si="8"/>
        <v>0</v>
      </c>
      <c r="R74" s="190">
        <f t="shared" si="9"/>
        <v>0</v>
      </c>
      <c r="S74" s="190">
        <f t="shared" si="9"/>
        <v>0</v>
      </c>
      <c r="T74" s="190">
        <f t="shared" si="9"/>
        <v>0</v>
      </c>
      <c r="U74" s="159">
        <f t="shared" si="11"/>
        <v>0</v>
      </c>
      <c r="V74" s="3"/>
    </row>
    <row r="75" spans="10:22" x14ac:dyDescent="0.25">
      <c r="J75" s="105">
        <f t="shared" si="2"/>
        <v>0</v>
      </c>
      <c r="K75" s="105">
        <f t="shared" si="3"/>
        <v>0</v>
      </c>
      <c r="L75" s="118">
        <f t="shared" si="4"/>
        <v>0</v>
      </c>
      <c r="M75" s="106">
        <v>0</v>
      </c>
      <c r="N75" s="104">
        <f t="shared" si="5"/>
        <v>0</v>
      </c>
      <c r="O75" s="104">
        <f t="shared" si="6"/>
        <v>0</v>
      </c>
      <c r="P75" s="104">
        <f t="shared" si="7"/>
        <v>0</v>
      </c>
      <c r="Q75" s="159">
        <f t="shared" si="8"/>
        <v>0</v>
      </c>
      <c r="R75" s="190">
        <f t="shared" si="9"/>
        <v>0</v>
      </c>
      <c r="S75" s="190">
        <f t="shared" si="9"/>
        <v>0</v>
      </c>
      <c r="T75" s="190">
        <f t="shared" si="9"/>
        <v>0</v>
      </c>
      <c r="U75" s="271">
        <f t="shared" si="11"/>
        <v>0</v>
      </c>
      <c r="V75" s="3"/>
    </row>
    <row r="76" spans="10:22" x14ac:dyDescent="0.25">
      <c r="J76" s="105">
        <f t="shared" si="2"/>
        <v>0</v>
      </c>
      <c r="K76" s="105">
        <f t="shared" si="3"/>
        <v>0</v>
      </c>
      <c r="L76" s="118">
        <f t="shared" si="4"/>
        <v>0</v>
      </c>
      <c r="M76" s="106">
        <v>0</v>
      </c>
      <c r="N76" s="104">
        <f t="shared" si="5"/>
        <v>0</v>
      </c>
      <c r="O76" s="104">
        <f t="shared" si="6"/>
        <v>0</v>
      </c>
      <c r="P76" s="104">
        <f t="shared" si="7"/>
        <v>0</v>
      </c>
      <c r="Q76" s="159">
        <f t="shared" si="8"/>
        <v>0</v>
      </c>
      <c r="R76" s="190">
        <f t="shared" si="9"/>
        <v>0</v>
      </c>
      <c r="S76" s="190">
        <f t="shared" si="9"/>
        <v>0</v>
      </c>
      <c r="T76" s="190">
        <f t="shared" si="9"/>
        <v>0</v>
      </c>
      <c r="U76" s="271">
        <f t="shared" si="11"/>
        <v>0</v>
      </c>
      <c r="V76" s="3"/>
    </row>
    <row r="77" spans="10:22" ht="15.75" thickBot="1" x14ac:dyDescent="0.3">
      <c r="J77" s="113">
        <f t="shared" si="2"/>
        <v>0</v>
      </c>
      <c r="K77" s="113">
        <f t="shared" si="3"/>
        <v>0</v>
      </c>
      <c r="L77" s="119">
        <f t="shared" si="4"/>
        <v>0</v>
      </c>
      <c r="M77" s="264">
        <v>0</v>
      </c>
      <c r="N77" s="107">
        <f t="shared" si="5"/>
        <v>0</v>
      </c>
      <c r="O77" s="107">
        <f t="shared" si="6"/>
        <v>0</v>
      </c>
      <c r="P77" s="107">
        <f t="shared" si="7"/>
        <v>0</v>
      </c>
      <c r="Q77" s="192">
        <f t="shared" si="8"/>
        <v>0</v>
      </c>
      <c r="R77" s="193">
        <f>SUMIFS($AF$3:$AF$33,$Q$3:$Q$33,M77,$AC$3:$AC$33,#REF!)</f>
        <v>0</v>
      </c>
      <c r="S77" s="194">
        <f>SUMIFS($AF$3:$AF$33,$Q$3:$Q$33,M77,$AC$3:$AC$33,#REF!)</f>
        <v>0</v>
      </c>
      <c r="T77" s="194">
        <f>SUMIFS($AF$3:$AF$33,$Q$3:$Q$33,M77,$AC$3:$AC$33,#REF!)</f>
        <v>0</v>
      </c>
      <c r="U77" s="192">
        <f t="shared" si="11"/>
        <v>0</v>
      </c>
      <c r="V77" s="3"/>
    </row>
    <row r="78" spans="10:22" ht="15.75" thickTop="1" x14ac:dyDescent="0.25">
      <c r="J78" s="108">
        <f>SUM(J46:J77)</f>
        <v>0</v>
      </c>
      <c r="K78" s="109">
        <f>SUM(K46:K77)</f>
        <v>0</v>
      </c>
      <c r="L78" s="115">
        <f>SUM(L46:L77)</f>
        <v>0</v>
      </c>
      <c r="M78" s="110" t="s">
        <v>195</v>
      </c>
      <c r="N78" s="111">
        <f>SUM(N46:N77)</f>
        <v>0</v>
      </c>
      <c r="O78" s="111">
        <f>SUM(O46:O77)</f>
        <v>0</v>
      </c>
      <c r="P78" s="112">
        <f>SUM(P46:P77)</f>
        <v>0</v>
      </c>
      <c r="Q78" s="195">
        <f t="shared" ref="Q78" si="12">SUM(Q46:Q77)</f>
        <v>0</v>
      </c>
      <c r="R78" s="111">
        <f>SUM(R46:R77)</f>
        <v>0</v>
      </c>
      <c r="S78" s="111">
        <f>SUM(S46:S77)</f>
        <v>0</v>
      </c>
      <c r="T78" s="270">
        <f>SUM(T46:T77)</f>
        <v>0</v>
      </c>
      <c r="U78" s="270">
        <f>SUM(U46:U77)</f>
        <v>0</v>
      </c>
      <c r="V78" s="3"/>
    </row>
    <row r="79" spans="10:22" x14ac:dyDescent="0.25">
      <c r="Q79" s="3"/>
      <c r="R79" s="3"/>
      <c r="S79" s="3"/>
      <c r="T79" s="3"/>
      <c r="U79" s="3"/>
      <c r="V79" s="3"/>
    </row>
  </sheetData>
  <mergeCells count="3">
    <mergeCell ref="N44:P44"/>
    <mergeCell ref="R44:T44"/>
    <mergeCell ref="A1:D1"/>
  </mergeCells>
  <conditionalFormatting sqref="N45">
    <cfRule type="cellIs" dxfId="30" priority="14" operator="equal">
      <formula>"NO-OOS"</formula>
    </cfRule>
    <cfRule type="cellIs" dxfId="29" priority="15" operator="equal">
      <formula>"NO-CO"</formula>
    </cfRule>
    <cfRule type="cellIs" dxfId="28" priority="16" operator="equal">
      <formula>"YES"</formula>
    </cfRule>
    <cfRule type="cellIs" dxfId="27" priority="17" operator="equal">
      <formula>"NO"</formula>
    </cfRule>
  </conditionalFormatting>
  <conditionalFormatting sqref="R45">
    <cfRule type="cellIs" dxfId="26" priority="4" operator="equal">
      <formula>"NO-OOS"</formula>
    </cfRule>
    <cfRule type="cellIs" dxfId="25" priority="5" operator="equal">
      <formula>"NO-CO"</formula>
    </cfRule>
    <cfRule type="cellIs" dxfId="24" priority="6" operator="equal">
      <formula>"YES"</formula>
    </cfRule>
    <cfRule type="cellIs" dxfId="23" priority="7" operator="equal">
      <formula>"NO"</formula>
    </cfRule>
  </conditionalFormatting>
  <conditionalFormatting sqref="U44:U45">
    <cfRule type="cellIs" dxfId="22" priority="9" operator="equal">
      <formula>"YES"</formula>
    </cfRule>
    <cfRule type="cellIs" dxfId="21" priority="10" operator="equal">
      <formula>"NO"</formula>
    </cfRule>
    <cfRule type="cellIs" dxfId="20" priority="11" operator="equal">
      <formula>"INVALID"</formula>
    </cfRule>
    <cfRule type="cellIs" dxfId="19" priority="12" operator="equal">
      <formula>"VALID"</formula>
    </cfRule>
    <cfRule type="cellIs" dxfId="18" priority="13" operator="equal">
      <formula>"MISSING"</formula>
    </cfRule>
  </conditionalFormatting>
  <conditionalFormatting sqref="X34:X37">
    <cfRule type="cellIs" dxfId="17" priority="28" operator="equal">
      <formula>"YES-INVALID"</formula>
    </cfRule>
    <cfRule type="cellIs" dxfId="16" priority="30" operator="equal">
      <formula>"MISSING"</formula>
    </cfRule>
  </conditionalFormatting>
  <conditionalFormatting sqref="X4:Y33 D8:D33 Y34">
    <cfRule type="cellIs" dxfId="15" priority="55" operator="equal">
      <formula>"YES-INVALID"</formula>
    </cfRule>
    <cfRule type="cellIs" dxfId="14" priority="56" operator="equal">
      <formula>"YES"</formula>
    </cfRule>
    <cfRule type="cellIs" dxfId="13" priority="57" operator="equal">
      <formula>"MISSING"</formula>
    </cfRule>
  </conditionalFormatting>
  <conditionalFormatting sqref="Z4:AD34">
    <cfRule type="cellIs" dxfId="12" priority="1" operator="equal">
      <formula>"YES-INVALID"</formula>
    </cfRule>
    <cfRule type="cellIs" dxfId="11" priority="2" operator="equal">
      <formula>"YES"</formula>
    </cfRule>
    <cfRule type="cellIs" dxfId="10" priority="3" operator="equal">
      <formula>"MISSING"</formula>
    </cfRule>
  </conditionalFormatting>
  <conditionalFormatting sqref="AA34:AC34">
    <cfRule type="cellIs" dxfId="9" priority="65" operator="equal">
      <formula>"NO"</formula>
    </cfRule>
  </conditionalFormatting>
  <conditionalFormatting sqref="AG4:AL34 AJ35 AS35 AU36 BD36:BD54 X38:X40 R43">
    <cfRule type="cellIs" dxfId="8" priority="32" operator="equal">
      <formula>"NO"</formula>
    </cfRule>
  </conditionalFormatting>
  <conditionalFormatting sqref="AG4:AM34 X34:X40 AJ35 AS35:AT35 AU36">
    <cfRule type="cellIs" dxfId="7" priority="31" operator="equal">
      <formula>"YES"</formula>
    </cfRule>
  </conditionalFormatting>
  <conditionalFormatting sqref="AK4:AK34">
    <cfRule type="cellIs" dxfId="6" priority="42" operator="equal">
      <formula>"INVALID"</formula>
    </cfRule>
    <cfRule type="cellIs" dxfId="5" priority="43" operator="equal">
      <formula>"VALID"</formula>
    </cfRule>
  </conditionalFormatting>
  <conditionalFormatting sqref="AK4:AL34">
    <cfRule type="cellIs" dxfId="4" priority="41" operator="equal">
      <formula>"MISSING"</formula>
    </cfRule>
  </conditionalFormatting>
  <conditionalFormatting sqref="AM4:AM34 AN6 AN23 AN29 AT35 BE36:BE58">
    <cfRule type="cellIs" dxfId="3" priority="61" operator="equal">
      <formula>"NO-OOS"</formula>
    </cfRule>
    <cfRule type="cellIs" dxfId="2" priority="62" operator="equal">
      <formula>"NO-GA"</formula>
    </cfRule>
  </conditionalFormatting>
  <conditionalFormatting sqref="AN6 AN23 AN29">
    <cfRule type="cellIs" dxfId="1" priority="63" operator="equal">
      <formula>"YES"</formula>
    </cfRule>
  </conditionalFormatting>
  <conditionalFormatting sqref="BD36:BD54 BE36:BE58 R43">
    <cfRule type="cellIs" dxfId="0" priority="29" operator="equal">
      <formula>"YES"</formula>
    </cfRule>
  </conditionalFormatting>
  <dataValidations count="6">
    <dataValidation type="list" allowBlank="1" showInputMessage="1" showErrorMessage="1" sqref="AT35 BE36:BE58 AM4:AM34" xr:uid="{7559E8C8-DB49-435A-894F-238DA7789500}">
      <formula1>"YES, NO-GA, NO-OOS"</formula1>
    </dataValidation>
    <dataValidation type="list" allowBlank="1" showInputMessage="1" showErrorMessage="1" sqref="AA4:AD4 X4:Y33 X34:X37 Y34 Z4:Z34" xr:uid="{009524F3-038D-453A-8E02-045FA9663B8B}">
      <formula1>"YES, YES-INVALID, MISSING, N/A"</formula1>
    </dataValidation>
    <dataValidation type="list" allowBlank="1" showInputMessage="1" showErrorMessage="1" sqref="AJ35 AS35 AU36 R43 X38:X40 BD36:BD54 AG4:AJ34" xr:uid="{FC15BFC2-E822-4F7F-AD70-8428132B767D}">
      <formula1>"YES, NO, N/A"</formula1>
    </dataValidation>
    <dataValidation type="list" allowBlank="1" showInputMessage="1" showErrorMessage="1" sqref="U44:U45 AK4:AK34" xr:uid="{1B70B5AC-37A3-475D-8E1C-B087C5DEBA44}">
      <formula1>"VALID, INVALID, MISSING, N/A"</formula1>
    </dataValidation>
    <dataValidation type="list" allowBlank="1" showInputMessage="1" showErrorMessage="1" sqref="AL4:AL34" xr:uid="{A7B49931-3F6A-4591-8F8E-E8B5341B5EC2}">
      <formula1>"YES, Missing, N/A"</formula1>
    </dataValidation>
    <dataValidation type="list" allowBlank="1" showInputMessage="1" showErrorMessage="1" sqref="W4:W34" xr:uid="{268346AD-89D1-4E49-A525-02DB3A40E07B}">
      <formula1>"CHECK, CREDIT CARD, ACH/WIRE, PETTY CASH"</formula1>
    </dataValidation>
  </dataValidations>
  <hyperlinks>
    <hyperlink ref="C4:C23" r:id="rId1" display="ProdCo\Petty Cash\Armour, Naundi - Petty Cash (1 of 2).pdf" xr:uid="{A4CF11F6-0A23-44D0-B9F9-55591DA37ED4}"/>
  </hyperlinks>
  <pageMargins left="0.7" right="0.7" top="0.75" bottom="0.75" header="0.3" footer="0.3"/>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96C96F8-D75C-44AF-B681-1DEBD7BC5A43}">
          <x14:formula1>
            <xm:f>Legend!$D$2:$D$26</xm:f>
          </x14:formula1>
          <xm:sqref>AE4:AE34</xm:sqref>
        </x14:dataValidation>
        <x14:dataValidation type="list" allowBlank="1" showInputMessage="1" showErrorMessage="1" xr:uid="{DC308248-44E8-4316-81B1-1B9C810FA950}">
          <x14:formula1>
            <xm:f>Overview!$C$15:$C$17</xm:f>
          </x14:formula1>
          <xm:sqref>Z4:Z34</xm:sqref>
        </x14:dataValidation>
        <x14:dataValidation type="list" allowBlank="1" showInputMessage="1" showErrorMessage="1" xr:uid="{9CEB2E93-3A79-42C6-BB0C-5E490EADF9BD}">
          <x14:formula1>
            <xm:f>Legend!$H$3:$H$15</xm:f>
          </x14:formula1>
          <xm:sqref>I4:I34</xm:sqref>
        </x14:dataValidation>
        <x14:dataValidation type="list" allowBlank="1" showInputMessage="1" showErrorMessage="1" xr:uid="{CD9A9175-1ABC-403C-84A6-0705B11B10D1}">
          <x14:formula1>
            <xm:f>Legend!$N$3:$N$8</xm:f>
          </x14:formula1>
          <xm:sqref>K4:K34</xm:sqref>
        </x14:dataValidation>
        <x14:dataValidation type="list" showInputMessage="1" showErrorMessage="1" promptTitle="FF2" prompt="GS - Georgia Spend NON PAYROLL_x000a_GL - Geogia Labor (GA Residents)_x000a_NQ - Non Qualified_x000a_DL - Distant Labor (NON-GA Residents)" xr:uid="{2056B083-A076-48A7-A7E8-4596EDDE19DF}">
          <x14:formula1>
            <xm:f>Legend!$K$3:$K$6</xm:f>
          </x14:formula1>
          <xm:sqref>J4:J34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F57D3-2555-49BB-86A4-A25D8B616015}">
  <sheetPr>
    <tabColor rgb="FFFFC000"/>
  </sheetPr>
  <dimension ref="A1:S12"/>
  <sheetViews>
    <sheetView workbookViewId="0">
      <selection activeCell="C16" sqref="C16"/>
    </sheetView>
  </sheetViews>
  <sheetFormatPr defaultRowHeight="15" x14ac:dyDescent="0.25"/>
  <cols>
    <col min="1" max="1" width="13" customWidth="1"/>
    <col min="2" max="2" width="14.7109375" customWidth="1"/>
    <col min="3" max="3" width="39.28515625" bestFit="1" customWidth="1"/>
    <col min="4" max="4" width="20.85546875" bestFit="1" customWidth="1"/>
    <col min="5" max="5" width="35.7109375" bestFit="1" customWidth="1"/>
    <col min="6" max="6" width="23.5703125" bestFit="1" customWidth="1"/>
    <col min="7" max="8" width="10.7109375" bestFit="1" customWidth="1"/>
    <col min="9" max="9" width="28.140625" customWidth="1"/>
    <col min="10" max="10" width="23.5703125" bestFit="1" customWidth="1"/>
    <col min="11" max="11" width="17" bestFit="1" customWidth="1"/>
    <col min="12" max="12" width="28.7109375" customWidth="1"/>
    <col min="13" max="13" width="11.28515625" bestFit="1" customWidth="1"/>
    <col min="14" max="14" width="13.28515625" customWidth="1"/>
    <col min="15" max="15" width="13.5703125" bestFit="1" customWidth="1"/>
    <col min="16" max="16" width="12.28515625" bestFit="1" customWidth="1"/>
    <col min="17" max="17" width="10.7109375" bestFit="1" customWidth="1"/>
    <col min="18" max="18" width="13.42578125" bestFit="1" customWidth="1"/>
    <col min="19" max="19" width="29.28515625" customWidth="1"/>
  </cols>
  <sheetData>
    <row r="1" spans="1:19" ht="36" x14ac:dyDescent="0.55000000000000004">
      <c r="A1" s="391" t="s">
        <v>474</v>
      </c>
    </row>
    <row r="3" spans="1:19" ht="21" x14ac:dyDescent="0.35">
      <c r="A3" s="419" t="s">
        <v>475</v>
      </c>
      <c r="B3" s="385" t="s">
        <v>448</v>
      </c>
      <c r="C3" s="4"/>
      <c r="D3" s="4"/>
      <c r="E3" s="4"/>
      <c r="F3" s="4"/>
      <c r="G3" s="4"/>
    </row>
    <row r="4" spans="1:19" ht="21" x14ac:dyDescent="0.35">
      <c r="A4" s="419" t="s">
        <v>458</v>
      </c>
      <c r="B4" s="386">
        <v>46155</v>
      </c>
      <c r="C4" s="385" t="s">
        <v>447</v>
      </c>
      <c r="D4" s="385"/>
      <c r="F4" s="385"/>
      <c r="G4" s="385"/>
    </row>
    <row r="6" spans="1:19" x14ac:dyDescent="0.25">
      <c r="A6" s="380" t="s">
        <v>431</v>
      </c>
      <c r="B6" s="384" t="s">
        <v>446</v>
      </c>
      <c r="C6" s="384" t="s">
        <v>482</v>
      </c>
      <c r="D6" s="384" t="s">
        <v>494</v>
      </c>
      <c r="E6" s="381" t="s">
        <v>432</v>
      </c>
      <c r="F6" s="381" t="s">
        <v>468</v>
      </c>
      <c r="G6" s="381" t="s">
        <v>461</v>
      </c>
      <c r="H6" s="383" t="s">
        <v>435</v>
      </c>
      <c r="I6" s="382" t="s">
        <v>488</v>
      </c>
      <c r="J6" s="415" t="s">
        <v>473</v>
      </c>
      <c r="K6" s="381" t="s">
        <v>433</v>
      </c>
      <c r="L6" s="383" t="s">
        <v>434</v>
      </c>
      <c r="M6" s="383" t="s">
        <v>459</v>
      </c>
      <c r="N6" s="383" t="s">
        <v>394</v>
      </c>
      <c r="O6" s="381" t="s">
        <v>164</v>
      </c>
      <c r="P6" s="387" t="s">
        <v>444</v>
      </c>
      <c r="Q6" s="387" t="s">
        <v>483</v>
      </c>
      <c r="R6" s="417" t="s">
        <v>445</v>
      </c>
      <c r="S6" s="387" t="s">
        <v>495</v>
      </c>
    </row>
    <row r="7" spans="1:19" x14ac:dyDescent="0.25">
      <c r="A7" s="377" t="s">
        <v>448</v>
      </c>
      <c r="B7" s="376" t="b">
        <v>0</v>
      </c>
      <c r="C7" s="376" t="s">
        <v>476</v>
      </c>
      <c r="D7" s="376" t="s">
        <v>489</v>
      </c>
      <c r="E7" s="377" t="s">
        <v>419</v>
      </c>
      <c r="F7" s="377" t="s">
        <v>469</v>
      </c>
      <c r="G7" s="377"/>
      <c r="H7" s="379" t="s">
        <v>438</v>
      </c>
      <c r="I7" s="378">
        <v>850</v>
      </c>
      <c r="J7" s="416">
        <f>I7*0.0499</f>
        <v>42.414999999999999</v>
      </c>
      <c r="K7" s="377" t="s">
        <v>420</v>
      </c>
      <c r="L7" s="379" t="s">
        <v>436</v>
      </c>
      <c r="M7" s="379" t="s">
        <v>462</v>
      </c>
      <c r="N7" s="379" t="s">
        <v>13</v>
      </c>
      <c r="O7" s="379" t="s">
        <v>12</v>
      </c>
      <c r="P7" s="388">
        <v>46155</v>
      </c>
      <c r="Q7" s="414">
        <v>1807</v>
      </c>
      <c r="R7" s="418">
        <v>46162</v>
      </c>
      <c r="S7" s="379"/>
    </row>
    <row r="8" spans="1:19" x14ac:dyDescent="0.25">
      <c r="A8" s="377" t="s">
        <v>448</v>
      </c>
      <c r="B8" s="376" t="b">
        <v>0</v>
      </c>
      <c r="C8" s="376" t="s">
        <v>477</v>
      </c>
      <c r="D8" s="376" t="s">
        <v>490</v>
      </c>
      <c r="E8" s="377" t="s">
        <v>421</v>
      </c>
      <c r="F8" s="377" t="s">
        <v>470</v>
      </c>
      <c r="G8" s="377"/>
      <c r="H8" s="379" t="s">
        <v>439</v>
      </c>
      <c r="I8" s="378">
        <v>1725</v>
      </c>
      <c r="J8" s="416">
        <f t="shared" ref="J8:J12" si="0">I8*0.0499</f>
        <v>86.077500000000001</v>
      </c>
      <c r="K8" s="377" t="s">
        <v>422</v>
      </c>
      <c r="L8" s="379" t="s">
        <v>436</v>
      </c>
      <c r="M8" s="379" t="s">
        <v>463</v>
      </c>
      <c r="N8" s="379" t="s">
        <v>460</v>
      </c>
      <c r="O8" s="379" t="s">
        <v>12</v>
      </c>
      <c r="P8" s="388">
        <v>46156</v>
      </c>
      <c r="Q8" s="414">
        <v>240065</v>
      </c>
      <c r="R8" s="418">
        <v>46162</v>
      </c>
    </row>
    <row r="9" spans="1:19" x14ac:dyDescent="0.25">
      <c r="A9" s="377" t="s">
        <v>448</v>
      </c>
      <c r="B9" s="376" t="b">
        <v>0</v>
      </c>
      <c r="C9" s="376" t="s">
        <v>478</v>
      </c>
      <c r="D9" s="376" t="s">
        <v>491</v>
      </c>
      <c r="E9" s="377" t="s">
        <v>423</v>
      </c>
      <c r="F9" s="377" t="s">
        <v>471</v>
      </c>
      <c r="G9" s="377"/>
      <c r="H9" s="379" t="s">
        <v>440</v>
      </c>
      <c r="I9" s="378">
        <v>6150.76</v>
      </c>
      <c r="J9" s="416">
        <f t="shared" si="0"/>
        <v>306.92292400000002</v>
      </c>
      <c r="K9" s="377" t="s">
        <v>424</v>
      </c>
      <c r="L9" s="379" t="s">
        <v>436</v>
      </c>
      <c r="M9" s="379" t="s">
        <v>464</v>
      </c>
      <c r="N9" s="379" t="s">
        <v>12</v>
      </c>
      <c r="O9" s="379" t="s">
        <v>12</v>
      </c>
      <c r="P9" s="388">
        <v>46157</v>
      </c>
      <c r="Q9" s="414" t="s">
        <v>484</v>
      </c>
      <c r="R9" s="418">
        <v>46162</v>
      </c>
    </row>
    <row r="10" spans="1:19" x14ac:dyDescent="0.25">
      <c r="A10" s="377" t="s">
        <v>448</v>
      </c>
      <c r="B10" s="376" t="b">
        <v>0</v>
      </c>
      <c r="C10" s="376" t="s">
        <v>479</v>
      </c>
      <c r="D10" s="376" t="s">
        <v>96</v>
      </c>
      <c r="E10" s="377" t="s">
        <v>425</v>
      </c>
      <c r="F10" s="377" t="s">
        <v>472</v>
      </c>
      <c r="G10" s="377"/>
      <c r="H10" s="379" t="s">
        <v>441</v>
      </c>
      <c r="I10" s="378">
        <v>1518.75</v>
      </c>
      <c r="J10" s="416">
        <f t="shared" si="0"/>
        <v>75.785624999999996</v>
      </c>
      <c r="K10" s="377" t="s">
        <v>426</v>
      </c>
      <c r="L10" s="379" t="s">
        <v>436</v>
      </c>
      <c r="M10" s="379" t="s">
        <v>465</v>
      </c>
      <c r="N10" s="379" t="s">
        <v>12</v>
      </c>
      <c r="O10" s="379" t="s">
        <v>12</v>
      </c>
      <c r="P10" s="388">
        <v>46158</v>
      </c>
      <c r="Q10" s="414" t="s">
        <v>485</v>
      </c>
      <c r="R10" s="418">
        <v>46162</v>
      </c>
    </row>
    <row r="11" spans="1:19" x14ac:dyDescent="0.25">
      <c r="A11" s="377" t="s">
        <v>448</v>
      </c>
      <c r="B11" s="376" t="b">
        <v>0</v>
      </c>
      <c r="C11" s="376" t="s">
        <v>480</v>
      </c>
      <c r="D11" s="376" t="s">
        <v>492</v>
      </c>
      <c r="E11" s="377" t="s">
        <v>427</v>
      </c>
      <c r="F11" s="377" t="s">
        <v>470</v>
      </c>
      <c r="G11" s="377"/>
      <c r="H11" s="379" t="s">
        <v>442</v>
      </c>
      <c r="I11" s="378">
        <v>1400</v>
      </c>
      <c r="J11" s="416">
        <f t="shared" si="0"/>
        <v>69.86</v>
      </c>
      <c r="K11" s="377" t="s">
        <v>428</v>
      </c>
      <c r="L11" s="379" t="s">
        <v>436</v>
      </c>
      <c r="M11" s="379" t="s">
        <v>466</v>
      </c>
      <c r="N11" s="379" t="s">
        <v>12</v>
      </c>
      <c r="O11" s="379" t="s">
        <v>12</v>
      </c>
      <c r="P11" s="388">
        <v>46159</v>
      </c>
      <c r="Q11" s="414" t="s">
        <v>486</v>
      </c>
      <c r="R11" s="418">
        <v>46162</v>
      </c>
    </row>
    <row r="12" spans="1:19" x14ac:dyDescent="0.25">
      <c r="A12" s="377" t="s">
        <v>448</v>
      </c>
      <c r="B12" s="376" t="b">
        <v>0</v>
      </c>
      <c r="C12" s="376" t="s">
        <v>481</v>
      </c>
      <c r="D12" s="376" t="s">
        <v>493</v>
      </c>
      <c r="E12" s="377" t="s">
        <v>429</v>
      </c>
      <c r="F12" s="377" t="s">
        <v>470</v>
      </c>
      <c r="G12" s="377"/>
      <c r="H12" s="379" t="s">
        <v>443</v>
      </c>
      <c r="I12" s="378">
        <v>18000</v>
      </c>
      <c r="J12" s="416">
        <f t="shared" si="0"/>
        <v>898.2</v>
      </c>
      <c r="K12" s="377" t="s">
        <v>430</v>
      </c>
      <c r="L12" s="379" t="s">
        <v>437</v>
      </c>
      <c r="M12" s="379" t="s">
        <v>467</v>
      </c>
      <c r="N12" s="379" t="s">
        <v>12</v>
      </c>
      <c r="O12" s="379" t="s">
        <v>12</v>
      </c>
      <c r="P12" s="388">
        <v>46160</v>
      </c>
      <c r="Q12" s="414" t="s">
        <v>487</v>
      </c>
      <c r="R12" s="418">
        <v>46162</v>
      </c>
    </row>
  </sheetData>
  <phoneticPr fontId="3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3CB02-EF81-4412-8934-4A3DAD6FCC62}">
  <sheetPr codeName="Sheet13">
    <tabColor rgb="FFFFC000"/>
  </sheetPr>
  <dimension ref="A1:S36"/>
  <sheetViews>
    <sheetView workbookViewId="0">
      <selection activeCell="G7" sqref="G7"/>
    </sheetView>
  </sheetViews>
  <sheetFormatPr defaultRowHeight="15" x14ac:dyDescent="0.25"/>
  <cols>
    <col min="1" max="1" width="32.28515625" customWidth="1"/>
    <col min="2" max="2" width="48.5703125" customWidth="1"/>
    <col min="4" max="4" width="8.7109375" bestFit="1" customWidth="1"/>
    <col min="5" max="5" width="10.28515625" bestFit="1" customWidth="1"/>
    <col min="6" max="6" width="8.28515625" bestFit="1" customWidth="1"/>
    <col min="7" max="7" width="22.28515625" bestFit="1" customWidth="1"/>
    <col min="8" max="8" width="27.42578125" bestFit="1" customWidth="1"/>
    <col min="10" max="10" width="28.42578125" customWidth="1"/>
    <col min="11" max="11" width="36.28515625" customWidth="1"/>
  </cols>
  <sheetData>
    <row r="1" spans="1:11" ht="15.75" x14ac:dyDescent="0.25">
      <c r="A1" s="35" t="s">
        <v>90</v>
      </c>
      <c r="E1" s="3"/>
      <c r="F1" s="3"/>
    </row>
    <row r="2" spans="1:11" x14ac:dyDescent="0.25">
      <c r="A2" s="36" t="s">
        <v>91</v>
      </c>
      <c r="B2" s="4" t="s">
        <v>92</v>
      </c>
      <c r="C2" s="4"/>
      <c r="D2" s="4"/>
      <c r="E2" s="3"/>
      <c r="F2" s="3"/>
    </row>
    <row r="3" spans="1:11" x14ac:dyDescent="0.25">
      <c r="A3" s="36" t="s">
        <v>93</v>
      </c>
      <c r="B3" s="4" t="s">
        <v>94</v>
      </c>
      <c r="C3" s="4"/>
      <c r="D3" s="4"/>
      <c r="E3" s="3"/>
      <c r="F3" s="3"/>
    </row>
    <row r="4" spans="1:11" x14ac:dyDescent="0.25">
      <c r="A4" s="36" t="s">
        <v>95</v>
      </c>
      <c r="B4" s="4" t="s">
        <v>96</v>
      </c>
      <c r="C4" s="4"/>
      <c r="D4" s="4"/>
      <c r="E4" s="3"/>
      <c r="F4" s="3"/>
    </row>
    <row r="5" spans="1:11" x14ac:dyDescent="0.25">
      <c r="A5" s="36" t="s">
        <v>97</v>
      </c>
      <c r="B5" s="19">
        <v>44348</v>
      </c>
      <c r="C5" s="19"/>
      <c r="D5" s="19"/>
      <c r="E5" s="3"/>
      <c r="F5" s="3"/>
    </row>
    <row r="6" spans="1:11" x14ac:dyDescent="0.25">
      <c r="A6" s="36" t="s">
        <v>98</v>
      </c>
      <c r="B6" s="19">
        <v>44362</v>
      </c>
      <c r="C6" s="19"/>
      <c r="D6" s="19"/>
      <c r="E6" s="3"/>
      <c r="F6" s="3"/>
    </row>
    <row r="7" spans="1:11" x14ac:dyDescent="0.25">
      <c r="A7" s="36" t="s">
        <v>99</v>
      </c>
      <c r="B7" s="19">
        <v>44469</v>
      </c>
      <c r="C7" s="19"/>
      <c r="D7" s="19"/>
      <c r="E7" s="3"/>
      <c r="F7" s="3"/>
    </row>
    <row r="8" spans="1:11" x14ac:dyDescent="0.25">
      <c r="A8" s="36" t="s">
        <v>100</v>
      </c>
      <c r="B8" s="37" t="s">
        <v>199</v>
      </c>
      <c r="C8" s="37"/>
      <c r="D8" s="37"/>
      <c r="E8" s="3"/>
      <c r="F8" s="3"/>
    </row>
    <row r="9" spans="1:11" x14ac:dyDescent="0.25">
      <c r="A9" s="36"/>
      <c r="B9" s="37"/>
      <c r="C9" s="37"/>
      <c r="D9" s="37"/>
      <c r="E9" s="3"/>
      <c r="F9" s="3"/>
    </row>
    <row r="10" spans="1:11" ht="64.5" x14ac:dyDescent="0.25">
      <c r="A10" s="20" t="s">
        <v>101</v>
      </c>
      <c r="B10" s="20" t="s">
        <v>102</v>
      </c>
      <c r="C10" s="21" t="s">
        <v>103</v>
      </c>
      <c r="D10" s="21" t="s">
        <v>104</v>
      </c>
      <c r="E10" s="8" t="s">
        <v>105</v>
      </c>
      <c r="F10" s="8" t="s">
        <v>106</v>
      </c>
      <c r="G10" s="8" t="s">
        <v>37</v>
      </c>
      <c r="H10" s="8" t="s">
        <v>107</v>
      </c>
      <c r="I10" s="34"/>
      <c r="J10" s="8" t="s">
        <v>108</v>
      </c>
      <c r="K10" s="8" t="s">
        <v>109</v>
      </c>
    </row>
    <row r="11" spans="1:11" ht="64.5" x14ac:dyDescent="0.25">
      <c r="A11" s="22" t="s">
        <v>110</v>
      </c>
      <c r="B11" s="18" t="s">
        <v>111</v>
      </c>
      <c r="C11" s="38">
        <v>0</v>
      </c>
      <c r="D11" s="38"/>
      <c r="E11" s="23" t="s">
        <v>13</v>
      </c>
      <c r="F11" s="23" t="s">
        <v>112</v>
      </c>
      <c r="G11" s="15" t="s">
        <v>113</v>
      </c>
      <c r="H11" s="39" t="s">
        <v>114</v>
      </c>
      <c r="J11" s="40">
        <v>50000</v>
      </c>
      <c r="K11" s="24" t="s">
        <v>115</v>
      </c>
    </row>
    <row r="12" spans="1:11" x14ac:dyDescent="0.25">
      <c r="A12" s="22">
        <v>44331</v>
      </c>
      <c r="B12" s="15" t="s">
        <v>116</v>
      </c>
      <c r="C12" s="38">
        <v>0</v>
      </c>
      <c r="D12" s="38">
        <v>1</v>
      </c>
      <c r="E12" s="23" t="s">
        <v>13</v>
      </c>
      <c r="F12" s="23" t="s">
        <v>112</v>
      </c>
      <c r="G12" s="15" t="s">
        <v>117</v>
      </c>
      <c r="H12" s="39" t="s">
        <v>114</v>
      </c>
      <c r="J12" s="15"/>
      <c r="K12" s="24"/>
    </row>
    <row r="13" spans="1:11" x14ac:dyDescent="0.25">
      <c r="A13" s="22">
        <v>44375</v>
      </c>
      <c r="B13" s="15" t="s">
        <v>118</v>
      </c>
      <c r="C13" s="38">
        <v>0.5</v>
      </c>
      <c r="D13" s="38">
        <v>1</v>
      </c>
      <c r="E13" s="23" t="s">
        <v>119</v>
      </c>
      <c r="F13" s="23"/>
      <c r="G13" s="15" t="s">
        <v>120</v>
      </c>
      <c r="H13" s="15" t="s">
        <v>121</v>
      </c>
      <c r="J13" s="15"/>
      <c r="K13" s="24"/>
    </row>
    <row r="14" spans="1:11" ht="39" x14ac:dyDescent="0.25">
      <c r="A14" s="22">
        <v>44376</v>
      </c>
      <c r="B14" s="15" t="s">
        <v>116</v>
      </c>
      <c r="C14" s="38">
        <v>0</v>
      </c>
      <c r="D14" s="38">
        <v>1</v>
      </c>
      <c r="E14" s="23" t="s">
        <v>12</v>
      </c>
      <c r="F14" s="23" t="s">
        <v>112</v>
      </c>
      <c r="G14" s="15" t="s">
        <v>122</v>
      </c>
      <c r="H14" s="39" t="s">
        <v>114</v>
      </c>
      <c r="J14" s="15"/>
      <c r="K14" s="24" t="s">
        <v>123</v>
      </c>
    </row>
    <row r="15" spans="1:11" x14ac:dyDescent="0.25">
      <c r="A15" s="22">
        <v>44377</v>
      </c>
      <c r="B15" s="15" t="s">
        <v>116</v>
      </c>
      <c r="C15" s="38">
        <v>1</v>
      </c>
      <c r="D15" s="38">
        <v>1</v>
      </c>
      <c r="E15" s="23" t="s">
        <v>12</v>
      </c>
      <c r="F15" s="23" t="s">
        <v>89</v>
      </c>
      <c r="G15" s="15" t="s">
        <v>124</v>
      </c>
      <c r="H15" s="39" t="s">
        <v>114</v>
      </c>
      <c r="J15" s="15"/>
      <c r="K15" s="24"/>
    </row>
    <row r="16" spans="1:11" x14ac:dyDescent="0.25">
      <c r="A16" s="17" t="s">
        <v>125</v>
      </c>
      <c r="B16" s="15" t="s">
        <v>126</v>
      </c>
      <c r="C16" s="38">
        <v>28</v>
      </c>
      <c r="D16" s="38">
        <v>28</v>
      </c>
      <c r="E16" s="23" t="s">
        <v>12</v>
      </c>
      <c r="F16" s="23" t="s">
        <v>89</v>
      </c>
      <c r="G16" s="15" t="s">
        <v>127</v>
      </c>
      <c r="H16" s="15" t="s">
        <v>128</v>
      </c>
      <c r="J16" s="15"/>
      <c r="K16" s="24"/>
    </row>
    <row r="17" spans="1:11" x14ac:dyDescent="0.25">
      <c r="A17" s="17" t="s">
        <v>129</v>
      </c>
      <c r="B17" s="15" t="s">
        <v>130</v>
      </c>
      <c r="C17" s="38">
        <v>0</v>
      </c>
      <c r="D17" s="38">
        <v>3</v>
      </c>
      <c r="E17" s="23"/>
      <c r="F17" s="23" t="s">
        <v>112</v>
      </c>
      <c r="G17" s="15" t="s">
        <v>131</v>
      </c>
      <c r="H17" s="15" t="s">
        <v>121</v>
      </c>
      <c r="J17" s="15"/>
      <c r="K17" s="24"/>
    </row>
    <row r="18" spans="1:11" x14ac:dyDescent="0.25">
      <c r="A18" s="17" t="s">
        <v>132</v>
      </c>
      <c r="B18" s="15" t="s">
        <v>126</v>
      </c>
      <c r="C18" s="38">
        <v>0</v>
      </c>
      <c r="D18" s="38">
        <v>3</v>
      </c>
      <c r="E18" s="23" t="s">
        <v>133</v>
      </c>
      <c r="F18" s="23" t="s">
        <v>112</v>
      </c>
      <c r="G18" s="15" t="s">
        <v>134</v>
      </c>
      <c r="H18" s="15" t="s">
        <v>128</v>
      </c>
      <c r="J18" s="15"/>
      <c r="K18" s="24"/>
    </row>
    <row r="19" spans="1:11" x14ac:dyDescent="0.25">
      <c r="A19" s="17" t="s">
        <v>135</v>
      </c>
      <c r="B19" s="15" t="s">
        <v>136</v>
      </c>
      <c r="C19" s="38">
        <v>0</v>
      </c>
      <c r="D19" s="38">
        <v>2</v>
      </c>
      <c r="E19" s="23" t="s">
        <v>133</v>
      </c>
      <c r="F19" s="23" t="s">
        <v>112</v>
      </c>
      <c r="G19" s="15" t="s">
        <v>137</v>
      </c>
      <c r="H19" s="39" t="s">
        <v>114</v>
      </c>
      <c r="J19" s="15"/>
      <c r="K19" s="24"/>
    </row>
    <row r="20" spans="1:11" x14ac:dyDescent="0.25">
      <c r="A20" s="22">
        <v>44417</v>
      </c>
      <c r="B20" s="15" t="s">
        <v>138</v>
      </c>
      <c r="C20" s="38">
        <v>1</v>
      </c>
      <c r="D20" s="38">
        <v>1</v>
      </c>
      <c r="E20" s="23" t="s">
        <v>12</v>
      </c>
      <c r="F20" s="23" t="s">
        <v>89</v>
      </c>
      <c r="G20" s="15" t="s">
        <v>139</v>
      </c>
      <c r="H20" s="15" t="s">
        <v>12</v>
      </c>
      <c r="J20" s="15"/>
      <c r="K20" s="24"/>
    </row>
    <row r="21" spans="1:11" x14ac:dyDescent="0.25">
      <c r="A21" s="22">
        <v>44418</v>
      </c>
      <c r="B21" s="15" t="s">
        <v>140</v>
      </c>
      <c r="C21" s="38">
        <v>0.5</v>
      </c>
      <c r="D21" s="38">
        <v>1</v>
      </c>
      <c r="E21" s="23" t="s">
        <v>141</v>
      </c>
      <c r="F21" s="23"/>
      <c r="G21" s="15" t="s">
        <v>142</v>
      </c>
      <c r="H21" s="15" t="s">
        <v>121</v>
      </c>
      <c r="J21" s="15"/>
      <c r="K21" s="24"/>
    </row>
    <row r="22" spans="1:11" x14ac:dyDescent="0.25">
      <c r="A22" s="17" t="s">
        <v>143</v>
      </c>
      <c r="B22" s="15" t="s">
        <v>144</v>
      </c>
      <c r="C22" s="38">
        <v>0</v>
      </c>
      <c r="D22" s="38">
        <v>4</v>
      </c>
      <c r="E22" s="23" t="s">
        <v>13</v>
      </c>
      <c r="F22" s="23" t="s">
        <v>112</v>
      </c>
      <c r="G22" s="15"/>
      <c r="H22" s="39" t="s">
        <v>114</v>
      </c>
      <c r="J22" s="15"/>
      <c r="K22" s="24"/>
    </row>
    <row r="23" spans="1:11" x14ac:dyDescent="0.25">
      <c r="A23" s="22">
        <v>44430</v>
      </c>
      <c r="B23" s="15" t="s">
        <v>145</v>
      </c>
      <c r="C23" s="38">
        <v>0</v>
      </c>
      <c r="D23" s="38">
        <v>1</v>
      </c>
      <c r="E23" s="23" t="s">
        <v>13</v>
      </c>
      <c r="F23" s="23" t="s">
        <v>112</v>
      </c>
      <c r="G23" s="15"/>
      <c r="H23" s="39" t="s">
        <v>114</v>
      </c>
      <c r="J23" s="15"/>
      <c r="K23" s="24"/>
    </row>
    <row r="24" spans="1:11" ht="15.75" x14ac:dyDescent="0.25">
      <c r="A24" s="25" t="s">
        <v>146</v>
      </c>
      <c r="B24" s="41" t="s">
        <v>147</v>
      </c>
      <c r="C24" s="42">
        <v>4</v>
      </c>
      <c r="D24" s="42">
        <v>5</v>
      </c>
      <c r="E24" s="26" t="s">
        <v>12</v>
      </c>
      <c r="F24" s="26" t="s">
        <v>89</v>
      </c>
      <c r="G24" s="41" t="s">
        <v>148</v>
      </c>
      <c r="H24" s="39" t="s">
        <v>114</v>
      </c>
      <c r="I24" s="43"/>
      <c r="J24" s="41"/>
      <c r="K24" s="24"/>
    </row>
    <row r="25" spans="1:11" ht="15.75" x14ac:dyDescent="0.25">
      <c r="A25" s="25" t="s">
        <v>149</v>
      </c>
      <c r="B25" s="41" t="s">
        <v>150</v>
      </c>
      <c r="C25" s="42">
        <v>1</v>
      </c>
      <c r="D25" s="42">
        <v>2</v>
      </c>
      <c r="E25" s="26" t="s">
        <v>151</v>
      </c>
      <c r="F25" s="26"/>
      <c r="G25" s="41" t="s">
        <v>152</v>
      </c>
      <c r="H25" s="39" t="s">
        <v>114</v>
      </c>
      <c r="I25" s="43"/>
      <c r="J25" s="41"/>
      <c r="K25" s="24"/>
    </row>
    <row r="26" spans="1:11" x14ac:dyDescent="0.25">
      <c r="A26" s="22">
        <v>44510</v>
      </c>
      <c r="B26" s="15" t="s">
        <v>153</v>
      </c>
      <c r="C26" s="38">
        <v>0</v>
      </c>
      <c r="D26" s="38">
        <v>1</v>
      </c>
      <c r="E26" s="23" t="s">
        <v>13</v>
      </c>
      <c r="F26" s="23" t="s">
        <v>112</v>
      </c>
      <c r="G26" s="15" t="s">
        <v>154</v>
      </c>
      <c r="H26" s="39" t="s">
        <v>114</v>
      </c>
      <c r="J26" s="15"/>
      <c r="K26" s="24"/>
    </row>
    <row r="27" spans="1:11" x14ac:dyDescent="0.25">
      <c r="A27" s="22">
        <v>44515</v>
      </c>
      <c r="B27" s="15" t="s">
        <v>153</v>
      </c>
      <c r="C27" s="38">
        <v>0</v>
      </c>
      <c r="D27" s="38">
        <v>1</v>
      </c>
      <c r="E27" s="23" t="s">
        <v>88</v>
      </c>
      <c r="F27" s="23" t="s">
        <v>112</v>
      </c>
      <c r="G27" s="15" t="s">
        <v>155</v>
      </c>
      <c r="H27" s="39" t="s">
        <v>114</v>
      </c>
      <c r="J27" s="15"/>
      <c r="K27" s="24"/>
    </row>
    <row r="28" spans="1:11" x14ac:dyDescent="0.25">
      <c r="A28" s="22">
        <v>44516</v>
      </c>
      <c r="B28" s="15" t="s">
        <v>153</v>
      </c>
      <c r="C28" s="38">
        <v>0</v>
      </c>
      <c r="D28" s="38">
        <v>1</v>
      </c>
      <c r="E28" s="23" t="s">
        <v>88</v>
      </c>
      <c r="F28" s="23" t="s">
        <v>112</v>
      </c>
      <c r="G28" s="15" t="s">
        <v>156</v>
      </c>
      <c r="H28" s="39" t="s">
        <v>114</v>
      </c>
      <c r="J28" s="15"/>
      <c r="K28" s="24"/>
    </row>
    <row r="29" spans="1:11" ht="64.5" x14ac:dyDescent="0.25">
      <c r="A29" s="22">
        <v>44561</v>
      </c>
      <c r="B29" s="15" t="s">
        <v>157</v>
      </c>
      <c r="C29" s="38"/>
      <c r="D29" s="38"/>
      <c r="E29" s="23" t="s">
        <v>13</v>
      </c>
      <c r="F29" s="23"/>
      <c r="G29" s="15" t="s">
        <v>158</v>
      </c>
      <c r="H29" s="39" t="s">
        <v>114</v>
      </c>
      <c r="J29" s="40">
        <v>50000</v>
      </c>
      <c r="K29" s="24" t="s">
        <v>115</v>
      </c>
    </row>
    <row r="30" spans="1:11" ht="64.5" x14ac:dyDescent="0.25">
      <c r="A30" s="22"/>
      <c r="B30" s="15" t="s">
        <v>159</v>
      </c>
      <c r="C30" s="38"/>
      <c r="D30" s="38"/>
      <c r="E30" s="23"/>
      <c r="F30" s="23"/>
      <c r="G30" s="15" t="s">
        <v>160</v>
      </c>
      <c r="H30" s="39"/>
      <c r="J30" s="40">
        <v>50000</v>
      </c>
      <c r="K30" s="24" t="s">
        <v>161</v>
      </c>
    </row>
    <row r="31" spans="1:11" x14ac:dyDescent="0.25">
      <c r="A31" s="17" t="s">
        <v>162</v>
      </c>
      <c r="B31" s="15"/>
      <c r="C31" s="44">
        <f>SUM(C11:C29)</f>
        <v>36</v>
      </c>
      <c r="D31" s="44">
        <f>SUM(D11:D29)</f>
        <v>57</v>
      </c>
      <c r="E31" s="27"/>
      <c r="F31" s="27"/>
      <c r="G31" s="15"/>
      <c r="H31" s="15"/>
      <c r="J31" s="45">
        <f>SUM(J11:J30)</f>
        <v>150000</v>
      </c>
      <c r="K31" s="9"/>
    </row>
    <row r="32" spans="1:11" ht="15.75" thickBot="1" x14ac:dyDescent="0.3">
      <c r="B32" s="28" t="s">
        <v>163</v>
      </c>
      <c r="D32" s="29">
        <f>C31/D31</f>
        <v>0.63157894736842102</v>
      </c>
      <c r="E32" s="30"/>
      <c r="F32" s="30"/>
      <c r="J32" s="46"/>
    </row>
    <row r="33" spans="1:19" ht="15.75" thickTop="1" x14ac:dyDescent="0.25">
      <c r="D33" s="31"/>
      <c r="E33" s="30"/>
      <c r="F33" s="30"/>
      <c r="J33" s="46"/>
    </row>
    <row r="34" spans="1:19" ht="60" customHeight="1" x14ac:dyDescent="0.25">
      <c r="A34" s="452" t="s">
        <v>200</v>
      </c>
      <c r="B34" s="452"/>
      <c r="C34" s="452"/>
      <c r="D34" s="452"/>
      <c r="E34" s="452"/>
      <c r="F34" s="452"/>
      <c r="G34" s="452"/>
      <c r="H34" s="452"/>
      <c r="I34" s="51"/>
      <c r="J34" s="51"/>
      <c r="K34" s="51"/>
      <c r="L34" s="52"/>
      <c r="M34" s="52"/>
      <c r="N34" s="52"/>
      <c r="O34" s="52"/>
      <c r="P34" s="52"/>
      <c r="Q34" s="52"/>
      <c r="R34" s="52"/>
      <c r="S34" s="52"/>
    </row>
    <row r="35" spans="1:19" x14ac:dyDescent="0.25">
      <c r="D35" s="32"/>
      <c r="E35" s="33"/>
      <c r="F35" s="33"/>
      <c r="J35" s="47"/>
    </row>
    <row r="36" spans="1:19" x14ac:dyDescent="0.25">
      <c r="E36" s="3"/>
      <c r="F36" s="3"/>
    </row>
  </sheetData>
  <mergeCells count="1">
    <mergeCell ref="A34:H3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4CB83-3488-4EF1-9E01-E2C8AEE9C1B0}">
  <sheetPr codeName="Sheet18">
    <tabColor theme="1"/>
  </sheetPr>
  <dimension ref="A1:O26"/>
  <sheetViews>
    <sheetView workbookViewId="0">
      <selection activeCell="H23" sqref="H23"/>
    </sheetView>
  </sheetViews>
  <sheetFormatPr defaultRowHeight="15" x14ac:dyDescent="0.25"/>
  <cols>
    <col min="4" max="4" width="9.85546875" bestFit="1" customWidth="1"/>
    <col min="5" max="5" width="47.140625" bestFit="1" customWidth="1"/>
    <col min="8" max="8" width="33.85546875" bestFit="1" customWidth="1"/>
    <col min="9" max="9" width="80.42578125" bestFit="1" customWidth="1"/>
    <col min="11" max="11" width="34.28515625" bestFit="1" customWidth="1"/>
    <col min="12" max="12" width="34.7109375" bestFit="1" customWidth="1"/>
    <col min="14" max="14" width="34" bestFit="1" customWidth="1"/>
    <col min="15" max="15" width="28.5703125" bestFit="1" customWidth="1"/>
  </cols>
  <sheetData>
    <row r="1" spans="1:15" ht="15.75" thickBot="1" x14ac:dyDescent="0.3">
      <c r="A1" s="56" t="s">
        <v>178</v>
      </c>
      <c r="B1" s="56" t="s">
        <v>178</v>
      </c>
      <c r="D1" s="95" t="s">
        <v>256</v>
      </c>
      <c r="E1" s="95" t="s">
        <v>258</v>
      </c>
    </row>
    <row r="2" spans="1:15" x14ac:dyDescent="0.25">
      <c r="A2" s="56" t="s">
        <v>177</v>
      </c>
      <c r="B2" s="56" t="s">
        <v>187</v>
      </c>
      <c r="D2" s="3">
        <v>1</v>
      </c>
      <c r="E2" t="s">
        <v>259</v>
      </c>
      <c r="H2" s="6" t="s">
        <v>42</v>
      </c>
      <c r="I2" s="7" t="s">
        <v>37</v>
      </c>
      <c r="J2" s="3"/>
      <c r="K2" s="6" t="s">
        <v>43</v>
      </c>
      <c r="L2" s="7" t="s">
        <v>37</v>
      </c>
      <c r="M2" s="3"/>
      <c r="N2" s="6" t="s">
        <v>38</v>
      </c>
      <c r="O2" s="7" t="s">
        <v>37</v>
      </c>
    </row>
    <row r="3" spans="1:15" x14ac:dyDescent="0.25">
      <c r="A3" s="56" t="s">
        <v>186</v>
      </c>
      <c r="B3" s="56" t="s">
        <v>188</v>
      </c>
      <c r="D3" s="3">
        <v>2</v>
      </c>
      <c r="E3" t="s">
        <v>260</v>
      </c>
      <c r="H3" s="13" t="s">
        <v>6</v>
      </c>
      <c r="I3" s="1" t="s">
        <v>197</v>
      </c>
      <c r="K3" s="13" t="s">
        <v>2</v>
      </c>
      <c r="L3" s="1" t="s">
        <v>45</v>
      </c>
      <c r="N3" s="13" t="s">
        <v>3</v>
      </c>
      <c r="O3" s="1" t="s">
        <v>47</v>
      </c>
    </row>
    <row r="4" spans="1:15" x14ac:dyDescent="0.25">
      <c r="D4" s="3">
        <v>3</v>
      </c>
      <c r="E4" t="s">
        <v>261</v>
      </c>
      <c r="H4" s="13" t="s">
        <v>14</v>
      </c>
      <c r="I4" s="1" t="s">
        <v>49</v>
      </c>
      <c r="K4" s="13" t="s">
        <v>9</v>
      </c>
      <c r="L4" s="1" t="s">
        <v>48</v>
      </c>
      <c r="N4" s="13" t="s">
        <v>36</v>
      </c>
      <c r="O4" s="1" t="s">
        <v>39</v>
      </c>
    </row>
    <row r="5" spans="1:15" x14ac:dyDescent="0.25">
      <c r="D5" s="3">
        <v>4</v>
      </c>
      <c r="E5" t="s">
        <v>262</v>
      </c>
      <c r="H5" s="13" t="s">
        <v>7</v>
      </c>
      <c r="I5" s="1" t="s">
        <v>15</v>
      </c>
      <c r="K5" s="13" t="s">
        <v>166</v>
      </c>
      <c r="L5" s="1" t="s">
        <v>167</v>
      </c>
      <c r="N5" s="13" t="s">
        <v>8</v>
      </c>
      <c r="O5" s="1" t="s">
        <v>40</v>
      </c>
    </row>
    <row r="6" spans="1:15" ht="15.75" thickBot="1" x14ac:dyDescent="0.3">
      <c r="D6" s="3">
        <v>5</v>
      </c>
      <c r="E6" t="s">
        <v>263</v>
      </c>
      <c r="H6" s="13" t="s">
        <v>4</v>
      </c>
      <c r="I6" s="1" t="s">
        <v>198</v>
      </c>
      <c r="K6" s="14" t="s">
        <v>44</v>
      </c>
      <c r="L6" s="2" t="s">
        <v>46</v>
      </c>
      <c r="N6" s="13" t="s">
        <v>10</v>
      </c>
      <c r="O6" s="1" t="s">
        <v>53</v>
      </c>
    </row>
    <row r="7" spans="1:15" x14ac:dyDescent="0.25">
      <c r="D7" s="3">
        <v>6</v>
      </c>
      <c r="E7" t="s">
        <v>264</v>
      </c>
      <c r="H7" s="13" t="s">
        <v>16</v>
      </c>
      <c r="I7" s="1" t="s">
        <v>17</v>
      </c>
      <c r="N7" s="13" t="s">
        <v>19</v>
      </c>
      <c r="O7" s="1" t="s">
        <v>41</v>
      </c>
    </row>
    <row r="8" spans="1:15" ht="15.75" thickBot="1" x14ac:dyDescent="0.3">
      <c r="D8" s="3">
        <v>7</v>
      </c>
      <c r="E8" t="s">
        <v>265</v>
      </c>
      <c r="H8" s="13" t="s">
        <v>172</v>
      </c>
      <c r="I8" s="1" t="s">
        <v>173</v>
      </c>
      <c r="K8" s="10" t="s">
        <v>170</v>
      </c>
      <c r="L8" s="11"/>
      <c r="M8" s="3"/>
      <c r="N8" s="14"/>
      <c r="O8" s="2" t="s">
        <v>20</v>
      </c>
    </row>
    <row r="9" spans="1:15" x14ac:dyDescent="0.25">
      <c r="D9" s="3">
        <v>8</v>
      </c>
      <c r="E9" t="s">
        <v>266</v>
      </c>
      <c r="H9" s="13" t="s">
        <v>81</v>
      </c>
      <c r="I9" s="1" t="s">
        <v>79</v>
      </c>
    </row>
    <row r="10" spans="1:15" x14ac:dyDescent="0.25">
      <c r="D10" s="3">
        <v>9</v>
      </c>
      <c r="E10" t="s">
        <v>267</v>
      </c>
      <c r="H10" s="13" t="s">
        <v>82</v>
      </c>
      <c r="I10" s="1" t="s">
        <v>80</v>
      </c>
      <c r="N10" s="10" t="s">
        <v>169</v>
      </c>
      <c r="O10" s="10"/>
    </row>
    <row r="11" spans="1:15" x14ac:dyDescent="0.25">
      <c r="D11" s="3">
        <v>10</v>
      </c>
      <c r="E11" t="s">
        <v>268</v>
      </c>
      <c r="H11" s="13" t="s">
        <v>21</v>
      </c>
      <c r="I11" s="1" t="s">
        <v>23</v>
      </c>
    </row>
    <row r="12" spans="1:15" x14ac:dyDescent="0.25">
      <c r="D12" s="3">
        <v>11</v>
      </c>
      <c r="E12" t="s">
        <v>269</v>
      </c>
      <c r="H12" s="13" t="s">
        <v>22</v>
      </c>
      <c r="I12" s="1" t="s">
        <v>24</v>
      </c>
    </row>
    <row r="13" spans="1:15" x14ac:dyDescent="0.25">
      <c r="D13" s="3">
        <v>12</v>
      </c>
      <c r="E13" t="s">
        <v>270</v>
      </c>
      <c r="H13" s="13" t="s">
        <v>11</v>
      </c>
      <c r="I13" s="1" t="s">
        <v>50</v>
      </c>
    </row>
    <row r="14" spans="1:15" x14ac:dyDescent="0.25">
      <c r="D14" s="3">
        <v>13</v>
      </c>
      <c r="E14" t="s">
        <v>271</v>
      </c>
      <c r="H14" s="13" t="s">
        <v>5</v>
      </c>
      <c r="I14" s="1" t="s">
        <v>18</v>
      </c>
    </row>
    <row r="15" spans="1:15" ht="15.75" thickBot="1" x14ac:dyDescent="0.3">
      <c r="D15" s="3">
        <v>14</v>
      </c>
      <c r="E15" t="s">
        <v>272</v>
      </c>
      <c r="H15" s="14"/>
      <c r="I15" s="2" t="s">
        <v>52</v>
      </c>
    </row>
    <row r="16" spans="1:15" x14ac:dyDescent="0.25">
      <c r="D16" s="3">
        <v>15</v>
      </c>
      <c r="E16" t="s">
        <v>273</v>
      </c>
    </row>
    <row r="17" spans="4:9" x14ac:dyDescent="0.25">
      <c r="D17" s="3">
        <v>16</v>
      </c>
      <c r="E17" t="s">
        <v>274</v>
      </c>
      <c r="H17" s="10" t="s">
        <v>174</v>
      </c>
      <c r="I17" s="10"/>
    </row>
    <row r="18" spans="4:9" x14ac:dyDescent="0.25">
      <c r="D18" s="3">
        <v>17</v>
      </c>
      <c r="E18" s="4" t="s">
        <v>275</v>
      </c>
    </row>
    <row r="19" spans="4:9" x14ac:dyDescent="0.25">
      <c r="D19" s="3">
        <v>18</v>
      </c>
      <c r="E19" s="4" t="s">
        <v>276</v>
      </c>
    </row>
    <row r="20" spans="4:9" x14ac:dyDescent="0.25">
      <c r="D20" s="3">
        <v>19</v>
      </c>
      <c r="E20" s="4" t="s">
        <v>277</v>
      </c>
    </row>
    <row r="21" spans="4:9" x14ac:dyDescent="0.25">
      <c r="D21" s="3">
        <v>20</v>
      </c>
      <c r="E21" s="4" t="s">
        <v>278</v>
      </c>
    </row>
    <row r="22" spans="4:9" x14ac:dyDescent="0.25">
      <c r="D22" s="3">
        <v>21</v>
      </c>
      <c r="E22" s="4" t="s">
        <v>279</v>
      </c>
    </row>
    <row r="23" spans="4:9" x14ac:dyDescent="0.25">
      <c r="D23" s="3">
        <v>22</v>
      </c>
      <c r="E23" s="4" t="s">
        <v>280</v>
      </c>
    </row>
    <row r="24" spans="4:9" x14ac:dyDescent="0.25">
      <c r="D24" s="3">
        <v>23</v>
      </c>
      <c r="E24" s="4" t="s">
        <v>281</v>
      </c>
    </row>
    <row r="25" spans="4:9" x14ac:dyDescent="0.25">
      <c r="D25" s="3">
        <v>24</v>
      </c>
      <c r="E25" s="4" t="s">
        <v>282</v>
      </c>
    </row>
    <row r="26" spans="4:9" x14ac:dyDescent="0.25">
      <c r="D26" s="3">
        <v>25</v>
      </c>
      <c r="E26" s="4" t="s">
        <v>283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7ff3518b-2e3d-4dfb-a834-48e552d5b5bf" xsi:nil="true"/>
    <lcf76f155ced4ddcb4097134ff3c332f xmlns="f4e7d37e-1dcc-4436-a729-076bff741ea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04A511723502843AC0584E68EC60535" ma:contentTypeVersion="10" ma:contentTypeDescription="Create a new document." ma:contentTypeScope="" ma:versionID="ff63fb62a58374411fb78640410c144a">
  <xsd:schema xmlns:xsd="http://www.w3.org/2001/XMLSchema" xmlns:xs="http://www.w3.org/2001/XMLSchema" xmlns:p="http://schemas.microsoft.com/office/2006/metadata/properties" xmlns:ns2="f4e7d37e-1dcc-4436-a729-076bff741eab" xmlns:ns3="7ff3518b-2e3d-4dfb-a834-48e552d5b5bf" targetNamespace="http://schemas.microsoft.com/office/2006/metadata/properties" ma:root="true" ma:fieldsID="c798555e0c2066085f99ca6133f7a140" ns2:_="" ns3:_="">
    <xsd:import namespace="f4e7d37e-1dcc-4436-a729-076bff741eab"/>
    <xsd:import namespace="7ff3518b-2e3d-4dfb-a834-48e552d5b5b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e7d37e-1dcc-4436-a729-076bff741e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9be8b6ea-d13c-4d71-97d6-b0474eec2ac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ff3518b-2e3d-4dfb-a834-48e552d5b5b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e8a67d3-72a2-4d67-a918-656f717b250f}" ma:internalName="TaxCatchAll" ma:showField="CatchAllData" ma:web="7ff3518b-2e3d-4dfb-a834-48e552d5b5b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055814-755F-4F0E-9F5C-7A35C53B3357}">
  <ds:schemaRefs>
    <ds:schemaRef ds:uri="http://schemas.microsoft.com/office/2006/documentManagement/types"/>
    <ds:schemaRef ds:uri="http://schemas.microsoft.com/office/infopath/2007/PartnerControls"/>
    <ds:schemaRef ds:uri="a8a2f651-990e-4cb4-b51d-5a3728ba909d"/>
    <ds:schemaRef ds:uri="http://purl.org/dc/elements/1.1/"/>
    <ds:schemaRef ds:uri="http://schemas.microsoft.com/office/2006/metadata/properties"/>
    <ds:schemaRef ds:uri="http://purl.org/dc/terms/"/>
    <ds:schemaRef ds:uri="http://schemas.openxmlformats.org/package/2006/metadata/core-properties"/>
    <ds:schemaRef ds:uri="aeea613b-99da-40d7-9a4c-20e318ae4387"/>
    <ds:schemaRef ds:uri="http://www.w3.org/XML/1998/namespace"/>
    <ds:schemaRef ds:uri="http://purl.org/dc/dcmitype/"/>
    <ds:schemaRef ds:uri="6f422367-258e-4b99-afd8-6916da0758cf"/>
    <ds:schemaRef ds:uri="05771381-544d-48e0-a7fd-a7bfa380d728"/>
    <ds:schemaRef ds:uri="76a59bb2-c683-447d-99ce-9d6742243c7a"/>
    <ds:schemaRef ds:uri="85925d68-4395-4619-9ed4-82205d641ac6"/>
  </ds:schemaRefs>
</ds:datastoreItem>
</file>

<file path=customXml/itemProps2.xml><?xml version="1.0" encoding="utf-8"?>
<ds:datastoreItem xmlns:ds="http://schemas.openxmlformats.org/officeDocument/2006/customXml" ds:itemID="{5D1296E8-53D6-4B88-A22C-B412463147D1}"/>
</file>

<file path=customXml/itemProps3.xml><?xml version="1.0" encoding="utf-8"?>
<ds:datastoreItem xmlns:ds="http://schemas.openxmlformats.org/officeDocument/2006/customXml" ds:itemID="{F3E9BB95-58F3-4A64-8737-C0A3AF646B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Overview</vt:lpstr>
      <vt:lpstr>Cost Report</vt:lpstr>
      <vt:lpstr>Check Figure</vt:lpstr>
      <vt:lpstr>Checklist</vt:lpstr>
      <vt:lpstr>GL(BILLING)</vt:lpstr>
      <vt:lpstr>GL (PRODCO)</vt:lpstr>
      <vt:lpstr>Payroll Report</vt:lpstr>
      <vt:lpstr>Payroll Roster</vt:lpstr>
      <vt:lpstr>Talent</vt:lpstr>
      <vt:lpstr>AP</vt:lpstr>
      <vt:lpstr>Hotel Charges Summary</vt:lpstr>
      <vt:lpstr>Petty Cash</vt:lpstr>
      <vt:lpstr>Loan Out Withholding</vt:lpstr>
      <vt:lpstr>Loan-out Allocation - Days</vt:lpstr>
      <vt:lpstr>Legend</vt:lpstr>
      <vt:lpstr>'Cost Report'!Print_Area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Shanaghan, Brian</dc:creator>
  <cp:keywords/>
  <dc:description/>
  <cp:lastModifiedBy>Steven Ward</cp:lastModifiedBy>
  <cp:revision/>
  <cp:lastPrinted>2021-06-22T20:27:15Z</cp:lastPrinted>
  <dcterms:created xsi:type="dcterms:W3CDTF">2020-07-07T22:38:53Z</dcterms:created>
  <dcterms:modified xsi:type="dcterms:W3CDTF">2026-07-01T22:55:47Z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0x010100504A511723502843AC0584E68EC60535</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GUID">
    <vt:lpwstr>7e8d68ac-f31f-4742-9282-1a753fcbc8a5</vt:lpwstr>
  </property>
</Properties>
</file>